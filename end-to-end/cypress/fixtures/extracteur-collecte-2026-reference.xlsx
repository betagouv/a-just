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700" windowWidth="27040" windowHeight="1572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JUR_ASS" state="hidden" r:id="rId13"/>
    <sheet sheetId="28" name="ETPT_TJ_DDG" state="visible" r:id="rId14"/>
    <sheet sheetId="29" name="ETPT_TPRX_DDG" state="visible" r:id="rId15"/>
    <sheet sheetId="30" name="ETPT_CPH_DDG" state="visible" r:id="rId16"/>
    <sheet sheetId="39" name="ETPT_JUR_ASS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sharedStrings.xml><?xml version="1.0" encoding="utf-8"?>
<sst xmlns="http://schemas.openxmlformats.org/spreadsheetml/2006/main" count="20121" uniqueCount="4610">
  <si>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</si>
  <si>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</si>
  <si>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</si>
  <si>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</si>
  <si>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</si>
  <si>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</si>
  <si>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</si>
  <si>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</si>
  <si>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</si>
  <si>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</si>
  <si>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</si>
  <si>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</si>
  <si>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</si>
  <si>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</si>
  <si>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</si>
  <si>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</si>
  <si>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</si>
  <si>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</si>
  <si>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</si>
  <si>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</si>
  <si>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</si>
  <si>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</si>
  <si>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</si>
  <si>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</si>
  <si>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</si>
  <si>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</si>
  <si>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</si>
  <si>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</si>
  <si>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</si>
  <si>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</si>
  <si>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</si>
  <si>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</si>
  <si>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</si>
  <si>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</si>
  <si>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</si>
  <si>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</si>
  <si>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</si>
  <si>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</si>
  <si>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</si>
  <si>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</si>
  <si>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</si>
  <si>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</si>
  <si>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</si>
  <si>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</si>
  <si>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</si>
  <si>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</si>
  <si>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</si>
  <si>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</si>
  <si>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</si>
  <si>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</si>
  <si>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</si>
  <si>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</si>
  <si>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</si>
  <si>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</si>
  <si>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</si>
  <si>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</si>
  <si>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</si>
  <si>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</si>
  <si>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</si>
  <si>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</si>
  <si>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</si>
  <si>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</si>
  <si>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</si>
  <si>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</si>
  <si>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</si>
  <si>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</si>
  <si>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</si>
  <si>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</si>
  <si>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</si>
  <si>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</si>
  <si>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</si>
  <si>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</si>
  <si>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</si>
  <si>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</si>
  <si>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</si>
  <si>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</si>
  <si>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</si>
  <si>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</si>
  <si>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</si>
  <si>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</si>
  <si>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</si>
  <si>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</si>
  <si>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</si>
  <si>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</si>
  <si>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</si>
  <si>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</si>
  <si>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</si>
  <si>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</si>
  <si>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</si>
  <si>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</si>
  <si>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</si>
  <si>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</si>
  <si>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</si>
  <si>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</si>
  <si>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</si>
  <si>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</si>
  <si>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</si>
  <si>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</si>
  <si>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</si>
  <si>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</si>
  <si>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</si>
  <si>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</si>
  <si>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</si>
  <si>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</si>
  <si>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</si>
  <si>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</si>
  <si>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</si>
  <si>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</si>
  <si>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</si>
  <si>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</si>
  <si>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</si>
  <si>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</si>
  <si>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</si>
  <si>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</si>
  <si>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</si>
  <si>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</si>
  <si>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</si>
  <si>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</si>
  <si>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</si>
  <si>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</si>
  <si>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</si>
  <si>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</si>
  <si>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</si>
  <si>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</si>
  <si>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</si>
  <si>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</si>
  <si>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</si>
  <si>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</si>
  <si>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</si>
  <si>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</si>
  <si>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</si>
  <si>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</si>
  <si>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</si>
  <si>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</si>
  <si>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</si>
  <si>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</si>
  <si>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</si>
  <si>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</si>
  <si>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</si>
  <si>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</si>
  <si>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12.8. AUTRE ABSENTÉISME</t>
  </si>
  <si>
    <t>12.2. COMPTE ÉPARGNE TEMPS</t>
  </si>
  <si>
    <t>12.3. CONGÉ LONGUE MALADIE</t>
  </si>
  <si>
    <t>12.33. CONGÉ PARENTAL &lt; 6 MOIS</t>
  </si>
  <si>
    <t>12.1. DÉCHARGE SYNDICALE</t>
  </si>
  <si>
    <t>12.4. TEMPS PARTIEL THÉRAPEUTIQUE</t>
  </si>
  <si>
    <t>12.6. AUTORISATION SPÉCIALE D'ABSENCE</t>
  </si>
  <si>
    <t>12.41. CONGÉ DE FORMATION</t>
  </si>
  <si>
    <t>12.61. STAGE PROBATOIRE DANS UNE AUTRE JURIDICTION</t>
  </si>
  <si>
    <t>12.5. MISE À DISPOSITION</t>
  </si>
  <si>
    <t>12.7. AUTRES INDISPONIBILITÉS (ACTION 99)</t>
  </si>
  <si>
    <t>12.99 STAGE PROBATOIRE DANS UNE AUTRE JURIDICTION</t>
  </si>
  <si>
    <t>3864</t>
  </si>
  <si>
    <t>24fb8bb550</t>
  </si>
  <si>
    <t>202b194901</t>
  </si>
  <si>
    <t>acfa0cb9be</t>
  </si>
  <si>
    <t>49eb2fb7d8</t>
  </si>
  <si>
    <t>x</t>
  </si>
  <si>
    <t>2016-05-17</t>
  </si>
  <si>
    <t>590</t>
  </si>
  <si>
    <t>51b03b4cdd</t>
  </si>
  <si>
    <t>e2addd79a5</t>
  </si>
  <si>
    <t>bf5e7b6b41</t>
  </si>
  <si>
    <t>2021-01-01</t>
  </si>
  <si>
    <t>3670</t>
  </si>
  <si>
    <t>bcbad7bba5</t>
  </si>
  <si>
    <t>53f7115d7e</t>
  </si>
  <si>
    <t>8b0e2ab48a</t>
  </si>
  <si>
    <t>2015-09-01</t>
  </si>
  <si>
    <t>10241</t>
  </si>
  <si>
    <t>0087c75f85</t>
  </si>
  <si>
    <t>e7f1e11ec5</t>
  </si>
  <si>
    <t>87a77972f5</t>
  </si>
  <si>
    <t>Magistrat</t>
  </si>
  <si>
    <t>MTT</t>
  </si>
  <si>
    <t>2022-01-01</t>
  </si>
  <si>
    <t>517</t>
  </si>
  <si>
    <t>04d7ecc126</t>
  </si>
  <si>
    <t>58f1970bac</t>
  </si>
  <si>
    <t>03d5e6d326</t>
  </si>
  <si>
    <t>VP</t>
  </si>
  <si>
    <t>605</t>
  </si>
  <si>
    <t>081f92896e</t>
  </si>
  <si>
    <t>250eb1aaba</t>
  </si>
  <si>
    <t>84445e4bcd</t>
  </si>
  <si>
    <t>JI</t>
  </si>
  <si>
    <t>537</t>
  </si>
  <si>
    <t>09bca2406c</t>
  </si>
  <si>
    <t>54afc013f2</t>
  </si>
  <si>
    <t>cd0ee33d7c</t>
  </si>
  <si>
    <t>VPAP</t>
  </si>
  <si>
    <t>504</t>
  </si>
  <si>
    <t>0a306d1137</t>
  </si>
  <si>
    <t>c02beefa2e</t>
  </si>
  <si>
    <t>ad3daa56c8</t>
  </si>
  <si>
    <t>VP PLACÉ</t>
  </si>
  <si>
    <t>2021-01-02</t>
  </si>
  <si>
    <t>575</t>
  </si>
  <si>
    <t>10f947acc1</t>
  </si>
  <si>
    <t>bb2251f348</t>
  </si>
  <si>
    <t>2630255973</t>
  </si>
  <si>
    <t>J</t>
  </si>
  <si>
    <t>573</t>
  </si>
  <si>
    <t>12cea55097</t>
  </si>
  <si>
    <t>fc3bc2d2a9</t>
  </si>
  <si>
    <t>db949448f9</t>
  </si>
  <si>
    <t>492</t>
  </si>
  <si>
    <t>1320420ddc</t>
  </si>
  <si>
    <t>9d106bcc0a</t>
  </si>
  <si>
    <t>9dfdf943d6</t>
  </si>
  <si>
    <t>1VP</t>
  </si>
  <si>
    <t>2024-01-09</t>
  </si>
  <si>
    <t>606</t>
  </si>
  <si>
    <t>133d9110b7</t>
  </si>
  <si>
    <t>2157413e36</t>
  </si>
  <si>
    <t>40ff9bfd04</t>
  </si>
  <si>
    <t>550</t>
  </si>
  <si>
    <t>14b07062a0</t>
  </si>
  <si>
    <t>5517a1288f</t>
  </si>
  <si>
    <t>d2fabbdc2d</t>
  </si>
  <si>
    <t>VPCP</t>
  </si>
  <si>
    <t>608</t>
  </si>
  <si>
    <t>18191a24d2</t>
  </si>
  <si>
    <t>5a8d6331ca</t>
  </si>
  <si>
    <t>f5e6d44c9f</t>
  </si>
  <si>
    <t>521</t>
  </si>
  <si>
    <t>1a72e72c26</t>
  </si>
  <si>
    <t>d49bf4220a</t>
  </si>
  <si>
    <t>a03e7e2052</t>
  </si>
  <si>
    <t>514</t>
  </si>
  <si>
    <t>1b7bb34e1a</t>
  </si>
  <si>
    <t>1f14dc2728</t>
  </si>
  <si>
    <t>0bd7c55167</t>
  </si>
  <si>
    <t>10239</t>
  </si>
  <si>
    <t>1e0874c688</t>
  </si>
  <si>
    <t>66b54f8594</t>
  </si>
  <si>
    <t>d3318bddb8</t>
  </si>
  <si>
    <t>2022-04-01</t>
  </si>
  <si>
    <t>587</t>
  </si>
  <si>
    <t>1fc3f6477e</t>
  </si>
  <si>
    <t>39514092c9</t>
  </si>
  <si>
    <t>30aaaef9dd</t>
  </si>
  <si>
    <t>506</t>
  </si>
  <si>
    <t>24cf98ad44</t>
  </si>
  <si>
    <t>d528a5f100</t>
  </si>
  <si>
    <t>3992dc40f4</t>
  </si>
  <si>
    <t>584</t>
  </si>
  <si>
    <t>256e50c6db</t>
  </si>
  <si>
    <t>8d3b531d5b</t>
  </si>
  <si>
    <t>c24c4c6dd4</t>
  </si>
  <si>
    <t>545</t>
  </si>
  <si>
    <t>2617f2ee6b</t>
  </si>
  <si>
    <t>5fc4c9e494</t>
  </si>
  <si>
    <t>df32f7449c</t>
  </si>
  <si>
    <t>526</t>
  </si>
  <si>
    <t>2bab46ee40</t>
  </si>
  <si>
    <t>58d94c4abd</t>
  </si>
  <si>
    <t>07f8c805fc</t>
  </si>
  <si>
    <t>578</t>
  </si>
  <si>
    <t>2e43e0c9d1</t>
  </si>
  <si>
    <t>50200377e4</t>
  </si>
  <si>
    <t>7e5c5412c5</t>
  </si>
  <si>
    <t>J. PLACÉ</t>
  </si>
  <si>
    <t>2022-09-01</t>
  </si>
  <si>
    <t>559</t>
  </si>
  <si>
    <t>2f44fc5212</t>
  </si>
  <si>
    <t>446365ee57</t>
  </si>
  <si>
    <t>eabc1ab01d</t>
  </si>
  <si>
    <t>VPI</t>
  </si>
  <si>
    <t>495</t>
  </si>
  <si>
    <t>2fdbb8a454</t>
  </si>
  <si>
    <t>0261a3f15c</t>
  </si>
  <si>
    <t>2bff5ac028</t>
  </si>
  <si>
    <t>1VPCP</t>
  </si>
  <si>
    <t>505</t>
  </si>
  <si>
    <t>362df881cf</t>
  </si>
  <si>
    <t>d48fca86a6</t>
  </si>
  <si>
    <t>3003071eb5</t>
  </si>
  <si>
    <t>2020-12-31</t>
  </si>
  <si>
    <t>509</t>
  </si>
  <si>
    <t>39b37c00f0</t>
  </si>
  <si>
    <t>c70c230529</t>
  </si>
  <si>
    <t>3c4d74a0d2</t>
  </si>
  <si>
    <t>10244</t>
  </si>
  <si>
    <t>3da70f5879</t>
  </si>
  <si>
    <t>8c37d1c8f6</t>
  </si>
  <si>
    <t>23c5b87e96</t>
  </si>
  <si>
    <t>MHFJ</t>
  </si>
  <si>
    <t>2023-01-01</t>
  </si>
  <si>
    <t>544</t>
  </si>
  <si>
    <t>3dda2b5d23</t>
  </si>
  <si>
    <t>d0a6ca24ec</t>
  </si>
  <si>
    <t>d87b489eda</t>
  </si>
  <si>
    <t>510</t>
  </si>
  <si>
    <t>3eea741d1a</t>
  </si>
  <si>
    <t>17ef9daf88</t>
  </si>
  <si>
    <t>1721764bd0</t>
  </si>
  <si>
    <t>551</t>
  </si>
  <si>
    <t>40fdc941dd</t>
  </si>
  <si>
    <t>ec890289a2</t>
  </si>
  <si>
    <t>385dd6dd8d</t>
  </si>
  <si>
    <t>VPE</t>
  </si>
  <si>
    <t>547</t>
  </si>
  <si>
    <t>45a5577f4c</t>
  </si>
  <si>
    <t>c8ad6c6d32</t>
  </si>
  <si>
    <t>a15048be59</t>
  </si>
  <si>
    <t>515</t>
  </si>
  <si>
    <t>45dc08b6b5</t>
  </si>
  <si>
    <t>059dd46ae5</t>
  </si>
  <si>
    <t>cc94bedb86</t>
  </si>
  <si>
    <t>511</t>
  </si>
  <si>
    <t>460e1ee55f</t>
  </si>
  <si>
    <t>07b50cb677</t>
  </si>
  <si>
    <t>da88e3f0a9</t>
  </si>
  <si>
    <t>572</t>
  </si>
  <si>
    <t>4717aa305e</t>
  </si>
  <si>
    <t>33e540d4a9</t>
  </si>
  <si>
    <t>069a971a74</t>
  </si>
  <si>
    <t>VPSG</t>
  </si>
  <si>
    <t>593</t>
  </si>
  <si>
    <t>4a124e0168</t>
  </si>
  <si>
    <t>a4e8af5aba</t>
  </si>
  <si>
    <t>d68709caa6</t>
  </si>
  <si>
    <t>JAP</t>
  </si>
  <si>
    <t>502</t>
  </si>
  <si>
    <t>4c302c0e14</t>
  </si>
  <si>
    <t>3b28c35d56</t>
  </si>
  <si>
    <t>70b084ca13</t>
  </si>
  <si>
    <t>529</t>
  </si>
  <si>
    <t>4c7670ac40</t>
  </si>
  <si>
    <t>45e33615b1</t>
  </si>
  <si>
    <t>29fa4517df</t>
  </si>
  <si>
    <t>524</t>
  </si>
  <si>
    <t>52d17f8b59</t>
  </si>
  <si>
    <t>ff90d70851</t>
  </si>
  <si>
    <t>506f053a3a</t>
  </si>
  <si>
    <t>594</t>
  </si>
  <si>
    <t>537af2ac74</t>
  </si>
  <si>
    <t>1e6b5c9e2f</t>
  </si>
  <si>
    <t>42271152a3</t>
  </si>
  <si>
    <t>595</t>
  </si>
  <si>
    <t>54b836f629</t>
  </si>
  <si>
    <t>5525880aa5</t>
  </si>
  <si>
    <t>9b3c5cc9b8</t>
  </si>
  <si>
    <t>JCP</t>
  </si>
  <si>
    <t>609</t>
  </si>
  <si>
    <t>55bb90f429</t>
  </si>
  <si>
    <t>54f034775c</t>
  </si>
  <si>
    <t>056b24fcb8</t>
  </si>
  <si>
    <t>556</t>
  </si>
  <si>
    <t>5e95fb5a62</t>
  </si>
  <si>
    <t>a4df2803d5</t>
  </si>
  <si>
    <t>36605ad91c</t>
  </si>
  <si>
    <t>503</t>
  </si>
  <si>
    <t>5faa36fa0b</t>
  </si>
  <si>
    <t>ed0ce506c8</t>
  </si>
  <si>
    <t>7ff25bc60d</t>
  </si>
  <si>
    <t>557</t>
  </si>
  <si>
    <t>6041775c85</t>
  </si>
  <si>
    <t>414a6e854a</t>
  </si>
  <si>
    <t>3eb2e7f525</t>
  </si>
  <si>
    <t>497</t>
  </si>
  <si>
    <t>629861f26b</t>
  </si>
  <si>
    <t>d8eaec52a6</t>
  </si>
  <si>
    <t>9eea88f4a9</t>
  </si>
  <si>
    <t>1VPI</t>
  </si>
  <si>
    <t>525</t>
  </si>
  <si>
    <t>62beba9b87</t>
  </si>
  <si>
    <t>596a8277e6</t>
  </si>
  <si>
    <t>091cbd4fb4</t>
  </si>
  <si>
    <t>518</t>
  </si>
  <si>
    <t>678fd2a00a</t>
  </si>
  <si>
    <t>25b3cf4534</t>
  </si>
  <si>
    <t>6855c9b8de</t>
  </si>
  <si>
    <t>534</t>
  </si>
  <si>
    <t>67b8798673</t>
  </si>
  <si>
    <t>740e4b3142</t>
  </si>
  <si>
    <t>3b1a1aacf7</t>
  </si>
  <si>
    <t>582</t>
  </si>
  <si>
    <t>67d33bb32e</t>
  </si>
  <si>
    <t>6c82d85773</t>
  </si>
  <si>
    <t>3f6a54f3ff</t>
  </si>
  <si>
    <t>516</t>
  </si>
  <si>
    <t>680277a8c9</t>
  </si>
  <si>
    <t>8dcb65e6fc</t>
  </si>
  <si>
    <t>ecc8427e94</t>
  </si>
  <si>
    <t>564</t>
  </si>
  <si>
    <t>69eec487c9</t>
  </si>
  <si>
    <t>bfdbe2513d</t>
  </si>
  <si>
    <t>a9497d1342</t>
  </si>
  <si>
    <t>554</t>
  </si>
  <si>
    <t>6ca83d4058</t>
  </si>
  <si>
    <t>a2ac831be7</t>
  </si>
  <si>
    <t>ef1635d1f3</t>
  </si>
  <si>
    <t>530</t>
  </si>
  <si>
    <t>6ce9f2b6dc</t>
  </si>
  <si>
    <t>f0b419b914</t>
  </si>
  <si>
    <t>3f1a842e0a</t>
  </si>
  <si>
    <t>527</t>
  </si>
  <si>
    <t>6db98ff166</t>
  </si>
  <si>
    <t>6f38496ecd</t>
  </si>
  <si>
    <t>1160a2f011</t>
  </si>
  <si>
    <t>539</t>
  </si>
  <si>
    <t>723892c730</t>
  </si>
  <si>
    <t>0f7dac064b</t>
  </si>
  <si>
    <t>71e546f340</t>
  </si>
  <si>
    <t>500</t>
  </si>
  <si>
    <t>73b35dc83a</t>
  </si>
  <si>
    <t>e905795c5f</t>
  </si>
  <si>
    <t>6d8ef145c1</t>
  </si>
  <si>
    <t>1VPAP</t>
  </si>
  <si>
    <t>538</t>
  </si>
  <si>
    <t>7892a30ae2</t>
  </si>
  <si>
    <t>96e6365af3</t>
  </si>
  <si>
    <t>6a23e9c0ba</t>
  </si>
  <si>
    <t>592</t>
  </si>
  <si>
    <t>78dfa659e4</t>
  </si>
  <si>
    <t>b2079154c7</t>
  </si>
  <si>
    <t>3337b67ec7</t>
  </si>
  <si>
    <t>555</t>
  </si>
  <si>
    <t>7a552de4ea</t>
  </si>
  <si>
    <t>3b73b0562f</t>
  </si>
  <si>
    <t>47bbdeec31</t>
  </si>
  <si>
    <t>585</t>
  </si>
  <si>
    <t>7ada140b60</t>
  </si>
  <si>
    <t>e37d65aa45</t>
  </si>
  <si>
    <t>49e2fc61aa</t>
  </si>
  <si>
    <t>577</t>
  </si>
  <si>
    <t>7fb6068eba</t>
  </si>
  <si>
    <t>ebd804d3fe</t>
  </si>
  <si>
    <t>95b26728e9</t>
  </si>
  <si>
    <t>610</t>
  </si>
  <si>
    <t>83aeab7fe5</t>
  </si>
  <si>
    <t>5bc40959ac</t>
  </si>
  <si>
    <t>b5d6e07f17</t>
  </si>
  <si>
    <t>604</t>
  </si>
  <si>
    <t>85585916dc</t>
  </si>
  <si>
    <t>a008472199</t>
  </si>
  <si>
    <t>b1191d60ee</t>
  </si>
  <si>
    <t>581</t>
  </si>
  <si>
    <t>85c67ddbba</t>
  </si>
  <si>
    <t>358a849eb9</t>
  </si>
  <si>
    <t>484ddc634c</t>
  </si>
  <si>
    <t>598</t>
  </si>
  <si>
    <t>896d110cf6</t>
  </si>
  <si>
    <t>d5cbb4aca4</t>
  </si>
  <si>
    <t>ead5aa9752</t>
  </si>
  <si>
    <t>507</t>
  </si>
  <si>
    <t>8ae4873b54</t>
  </si>
  <si>
    <t>f4b5ae0119</t>
  </si>
  <si>
    <t>64795f82b6</t>
  </si>
  <si>
    <t>560</t>
  </si>
  <si>
    <t>8c6a310ac7</t>
  </si>
  <si>
    <t>9b2b787dca</t>
  </si>
  <si>
    <t>a9d395560e</t>
  </si>
  <si>
    <t>536</t>
  </si>
  <si>
    <t>900afeae94</t>
  </si>
  <si>
    <t>29e897f26c</t>
  </si>
  <si>
    <t>0f5143ec92</t>
  </si>
  <si>
    <t>523</t>
  </si>
  <si>
    <t>9231d3ade6</t>
  </si>
  <si>
    <t>46e5962ba2</t>
  </si>
  <si>
    <t>287af9385f</t>
  </si>
  <si>
    <t>7339</t>
  </si>
  <si>
    <t>9270500931</t>
  </si>
  <si>
    <t>b7b24a4bee</t>
  </si>
  <si>
    <t>7cd0f94588</t>
  </si>
  <si>
    <t>2023-12-31</t>
  </si>
  <si>
    <t>493</t>
  </si>
  <si>
    <t>92d3bfc079</t>
  </si>
  <si>
    <t>9f4bcdde61</t>
  </si>
  <si>
    <t>157b7a7fb3</t>
  </si>
  <si>
    <t>535</t>
  </si>
  <si>
    <t>94babe2f18</t>
  </si>
  <si>
    <t>976e643256</t>
  </si>
  <si>
    <t>b3cfb37c23</t>
  </si>
  <si>
    <t>508</t>
  </si>
  <si>
    <t>99aa88eac8</t>
  </si>
  <si>
    <t>8bd27b8668</t>
  </si>
  <si>
    <t>e6410d7a38</t>
  </si>
  <si>
    <t>541</t>
  </si>
  <si>
    <t>9aefca75a6</t>
  </si>
  <si>
    <t>8b2908435b</t>
  </si>
  <si>
    <t>5038e7f7c0</t>
  </si>
  <si>
    <t>571</t>
  </si>
  <si>
    <t>9c6635a581</t>
  </si>
  <si>
    <t>d25f23a2ca</t>
  </si>
  <si>
    <t>7c361b7e83</t>
  </si>
  <si>
    <t>VPLD</t>
  </si>
  <si>
    <t>569</t>
  </si>
  <si>
    <t>9e4237632a</t>
  </si>
  <si>
    <t>3f1bc5bd50</t>
  </si>
  <si>
    <t>583dc75408</t>
  </si>
  <si>
    <t>552</t>
  </si>
  <si>
    <t>9ed91c7ac0</t>
  </si>
  <si>
    <t>e7de1b5471</t>
  </si>
  <si>
    <t>47a8950c1d</t>
  </si>
  <si>
    <t>489</t>
  </si>
  <si>
    <t>9f953b18f7</t>
  </si>
  <si>
    <t>584f5eee19</t>
  </si>
  <si>
    <t>239a46267a</t>
  </si>
  <si>
    <t>P</t>
  </si>
  <si>
    <t>512</t>
  </si>
  <si>
    <t>a00c932fa8</t>
  </si>
  <si>
    <t>9893fe40ee</t>
  </si>
  <si>
    <t>27ebd76b94</t>
  </si>
  <si>
    <t>568</t>
  </si>
  <si>
    <t>a17dc3ca35</t>
  </si>
  <si>
    <t>8c05b349e2</t>
  </si>
  <si>
    <t>1392543965</t>
  </si>
  <si>
    <t>543</t>
  </si>
  <si>
    <t>a6f4746912</t>
  </si>
  <si>
    <t>d3352f4d85</t>
  </si>
  <si>
    <t>806b76b756</t>
  </si>
  <si>
    <t>563</t>
  </si>
  <si>
    <t>a7a16dd232</t>
  </si>
  <si>
    <t>9b4b0ce9a9</t>
  </si>
  <si>
    <t>f1eba7c645</t>
  </si>
  <si>
    <t>519</t>
  </si>
  <si>
    <t>aa4beb63c7</t>
  </si>
  <si>
    <t>df475b5bfa</t>
  </si>
  <si>
    <t>9960b148fe</t>
  </si>
  <si>
    <t>4056</t>
  </si>
  <si>
    <t>ac075a877a</t>
  </si>
  <si>
    <t>76101f6b38</t>
  </si>
  <si>
    <t>a303c087ff</t>
  </si>
  <si>
    <t>2022-07-01</t>
  </si>
  <si>
    <t>567</t>
  </si>
  <si>
    <t>b1c8eb8f00</t>
  </si>
  <si>
    <t>873eb33d04</t>
  </si>
  <si>
    <t>a3c27acaa0</t>
  </si>
  <si>
    <t>531</t>
  </si>
  <si>
    <t>b44baa2207</t>
  </si>
  <si>
    <t>dcf3d9c597</t>
  </si>
  <si>
    <t>cc0b200a9b</t>
  </si>
  <si>
    <t>549</t>
  </si>
  <si>
    <t>b7c681df5a</t>
  </si>
  <si>
    <t>b62adbc476</t>
  </si>
  <si>
    <t>0612fb3216</t>
  </si>
  <si>
    <t>562</t>
  </si>
  <si>
    <t>b8c207a9fe</t>
  </si>
  <si>
    <t>512961110f</t>
  </si>
  <si>
    <t>865dd0730d</t>
  </si>
  <si>
    <t>513</t>
  </si>
  <si>
    <t>bb4b53de4c</t>
  </si>
  <si>
    <t>7c7441167d</t>
  </si>
  <si>
    <t>3a1ae5d686</t>
  </si>
  <si>
    <t>532</t>
  </si>
  <si>
    <t>bc7d261dd6</t>
  </si>
  <si>
    <t>c09a4cf8b0</t>
  </si>
  <si>
    <t>acf35e2e66</t>
  </si>
  <si>
    <t>491</t>
  </si>
  <si>
    <t>bcb9489361</t>
  </si>
  <si>
    <t>9fe634ec49</t>
  </si>
  <si>
    <t>8871cb7c36</t>
  </si>
  <si>
    <t>2023-11-27</t>
  </si>
  <si>
    <t>589</t>
  </si>
  <si>
    <t>bf22238621</t>
  </si>
  <si>
    <t>70eef8b438</t>
  </si>
  <si>
    <t>6969051acf</t>
  </si>
  <si>
    <t>599</t>
  </si>
  <si>
    <t>c2c59aa535</t>
  </si>
  <si>
    <t>d334367478</t>
  </si>
  <si>
    <t>3d897657d3</t>
  </si>
  <si>
    <t>JE</t>
  </si>
  <si>
    <t>602</t>
  </si>
  <si>
    <t>c4a5771a63</t>
  </si>
  <si>
    <t>87f6a8f595</t>
  </si>
  <si>
    <t>75e4c8bb9a</t>
  </si>
  <si>
    <t>528</t>
  </si>
  <si>
    <t>c4ece2c555</t>
  </si>
  <si>
    <t>5b31ae7e8e</t>
  </si>
  <si>
    <t>53643423d6</t>
  </si>
  <si>
    <t>548</t>
  </si>
  <si>
    <t>c836395fd3</t>
  </si>
  <si>
    <t>1aa300c01d</t>
  </si>
  <si>
    <t>8ff7702116</t>
  </si>
  <si>
    <t>540</t>
  </si>
  <si>
    <t>c8bc03f131</t>
  </si>
  <si>
    <t>6b44c8c1bb</t>
  </si>
  <si>
    <t>5ef7b054a8</t>
  </si>
  <si>
    <t>576</t>
  </si>
  <si>
    <t>c9f54ed1d9</t>
  </si>
  <si>
    <t>7785300b83</t>
  </si>
  <si>
    <t>0fb2d59b33</t>
  </si>
  <si>
    <t>522</t>
  </si>
  <si>
    <t>d172531d0e</t>
  </si>
  <si>
    <t>9f5a5ead0a</t>
  </si>
  <si>
    <t>ca745334b8</t>
  </si>
  <si>
    <t>546</t>
  </si>
  <si>
    <t>d55d71b5df</t>
  </si>
  <si>
    <t>660fd3a69c</t>
  </si>
  <si>
    <t>e24b9d0af5</t>
  </si>
  <si>
    <t>2021-09-01</t>
  </si>
  <si>
    <t>553</t>
  </si>
  <si>
    <t>da179aa1c5</t>
  </si>
  <si>
    <t>549e26d9d6</t>
  </si>
  <si>
    <t>ad44bb65eb</t>
  </si>
  <si>
    <t>561</t>
  </si>
  <si>
    <t>dca2a75a81</t>
  </si>
  <si>
    <t>8a4c9440cf</t>
  </si>
  <si>
    <t>ec5b00e35d</t>
  </si>
  <si>
    <t>588</t>
  </si>
  <si>
    <t>dda283173a</t>
  </si>
  <si>
    <t>b3a9c92429</t>
  </si>
  <si>
    <t>51402f65aa</t>
  </si>
  <si>
    <t>533</t>
  </si>
  <si>
    <t>e1388abbf2</t>
  </si>
  <si>
    <t>9952819b23</t>
  </si>
  <si>
    <t>f348feccab</t>
  </si>
  <si>
    <t>603</t>
  </si>
  <si>
    <t>e26a1e655c</t>
  </si>
  <si>
    <t>de33db04e7</t>
  </si>
  <si>
    <t>376acf3a04</t>
  </si>
  <si>
    <t>574</t>
  </si>
  <si>
    <t>e3ae35d478</t>
  </si>
  <si>
    <t>1e00267bd0</t>
  </si>
  <si>
    <t>902f8d121c</t>
  </si>
  <si>
    <t>583</t>
  </si>
  <si>
    <t>e46ca91943</t>
  </si>
  <si>
    <t>afbecb6ccd</t>
  </si>
  <si>
    <t>38e6dc1fdb</t>
  </si>
  <si>
    <t>601</t>
  </si>
  <si>
    <t>e97dc81f50</t>
  </si>
  <si>
    <t>079471b0d4</t>
  </si>
  <si>
    <t>b2a867952c</t>
  </si>
  <si>
    <t>586</t>
  </si>
  <si>
    <t>eaf8bf006e</t>
  </si>
  <si>
    <t>bcc7504370</t>
  </si>
  <si>
    <t>17dfaf1ec0</t>
  </si>
  <si>
    <t>2022-02-01</t>
  </si>
  <si>
    <t>499</t>
  </si>
  <si>
    <t>eb7352380c</t>
  </si>
  <si>
    <t>7ecadf3c88</t>
  </si>
  <si>
    <t>9a5301a9e4</t>
  </si>
  <si>
    <t>1VPA</t>
  </si>
  <si>
    <t>597</t>
  </si>
  <si>
    <t>f07d94faff</t>
  </si>
  <si>
    <t>888195dc3b</t>
  </si>
  <si>
    <t>91ce22b59e</t>
  </si>
  <si>
    <t>566</t>
  </si>
  <si>
    <t>f09dfdadb6</t>
  </si>
  <si>
    <t>7c32bf5dea</t>
  </si>
  <si>
    <t>3d7bd56f9f</t>
  </si>
  <si>
    <t>520</t>
  </si>
  <si>
    <t>f287dc811e</t>
  </si>
  <si>
    <t>ead652a24c</t>
  </si>
  <si>
    <t>f4dc048d08</t>
  </si>
  <si>
    <t>607</t>
  </si>
  <si>
    <t>f47aca1201</t>
  </si>
  <si>
    <t>9aae10b7a6</t>
  </si>
  <si>
    <t>07e8713313</t>
  </si>
  <si>
    <t>580</t>
  </si>
  <si>
    <t>f4a200dbfe</t>
  </si>
  <si>
    <t>7b67664098</t>
  </si>
  <si>
    <t>ec43ecc4fc</t>
  </si>
  <si>
    <t>579</t>
  </si>
  <si>
    <t>f67624d8ea</t>
  </si>
  <si>
    <t>f3ffc70b4f</t>
  </si>
  <si>
    <t>3f48e88308</t>
  </si>
  <si>
    <t>496</t>
  </si>
  <si>
    <t>f8db3d067d</t>
  </si>
  <si>
    <t>d205b576e6</t>
  </si>
  <si>
    <t>1edd6135a8</t>
  </si>
  <si>
    <t>1VPE</t>
  </si>
  <si>
    <t>596</t>
  </si>
  <si>
    <t>f940b2b531</t>
  </si>
  <si>
    <t>017cb5bb31</t>
  </si>
  <si>
    <t>96bafa0bc1</t>
  </si>
  <si>
    <t>570</t>
  </si>
  <si>
    <t>f9c0e1b7cc</t>
  </si>
  <si>
    <t>833d51ffc9</t>
  </si>
  <si>
    <t>6132e7a6ac</t>
  </si>
  <si>
    <t>600</t>
  </si>
  <si>
    <t>fc8d5e2e68</t>
  </si>
  <si>
    <t>e18146c356</t>
  </si>
  <si>
    <t>296b00a525</t>
  </si>
  <si>
    <t>565</t>
  </si>
  <si>
    <t>fd96a35912</t>
  </si>
  <si>
    <t>5ec61ec88d</t>
  </si>
  <si>
    <t>5fa7b659ee</t>
  </si>
  <si>
    <t>542</t>
  </si>
  <si>
    <t>fddb746a82</t>
  </si>
  <si>
    <t>ecae4586ab</t>
  </si>
  <si>
    <t>92c0b02af1</t>
  </si>
  <si>
    <t>591</t>
  </si>
  <si>
    <t>febbb6c66c</t>
  </si>
  <si>
    <t>0a922a25b6</t>
  </si>
  <si>
    <t>3c3f5bbb7e</t>
  </si>
  <si>
    <t>501</t>
  </si>
  <si>
    <t>ff8f7008af</t>
  </si>
  <si>
    <t>8c81b75727</t>
  </si>
  <si>
    <t>6362f1af68</t>
  </si>
  <si>
    <t>1VPLD</t>
  </si>
  <si>
    <t>3722</t>
  </si>
  <si>
    <t>0073146ea3</t>
  </si>
  <si>
    <t>73db9c9f43</t>
  </si>
  <si>
    <t>25891b7e2c</t>
  </si>
  <si>
    <t>Greffe</t>
  </si>
  <si>
    <t>VAC</t>
  </si>
  <si>
    <t>2019-09-01</t>
  </si>
  <si>
    <t>3758</t>
  </si>
  <si>
    <t>019b986726</t>
  </si>
  <si>
    <t>b60132b211</t>
  </si>
  <si>
    <t>3625dceebd</t>
  </si>
  <si>
    <t>CB</t>
  </si>
  <si>
    <t>1991-07-11</t>
  </si>
  <si>
    <t>3720</t>
  </si>
  <si>
    <t>01c03924ac</t>
  </si>
  <si>
    <t>810ca032fd</t>
  </si>
  <si>
    <t>641d28ca3d</t>
  </si>
  <si>
    <t>GRES</t>
  </si>
  <si>
    <t>2019-01-01</t>
  </si>
  <si>
    <t>3700</t>
  </si>
  <si>
    <t>024158eb86</t>
  </si>
  <si>
    <t>5b50f8ef07</t>
  </si>
  <si>
    <t>121d9974e7</t>
  </si>
  <si>
    <t>2021-12-01</t>
  </si>
  <si>
    <t>3768</t>
  </si>
  <si>
    <t>02ee2bc81c</t>
  </si>
  <si>
    <t>51c909db7c</t>
  </si>
  <si>
    <t>511ba3b643</t>
  </si>
  <si>
    <t>2021-07-01</t>
  </si>
  <si>
    <t>3869</t>
  </si>
  <si>
    <t>04a5eb9f05</t>
  </si>
  <si>
    <t>6fca13780b</t>
  </si>
  <si>
    <t>fab473d6bd</t>
  </si>
  <si>
    <t>B</t>
  </si>
  <si>
    <t>2017-09-01</t>
  </si>
  <si>
    <t>4017</t>
  </si>
  <si>
    <t>04c147fd4c</t>
  </si>
  <si>
    <t>401407ec4d</t>
  </si>
  <si>
    <t>97d775f6c2</t>
  </si>
  <si>
    <t>1993-09-13</t>
  </si>
  <si>
    <t>3901</t>
  </si>
  <si>
    <t>04f4dd3400</t>
  </si>
  <si>
    <t>ce5fd575cf</t>
  </si>
  <si>
    <t>aaaf76c1a5</t>
  </si>
  <si>
    <t>A</t>
  </si>
  <si>
    <t>2020-09-01</t>
  </si>
  <si>
    <t>4024</t>
  </si>
  <si>
    <t>059913a6d1</t>
  </si>
  <si>
    <t>516d9980ef</t>
  </si>
  <si>
    <t>b712189718</t>
  </si>
  <si>
    <t>3987</t>
  </si>
  <si>
    <t>0641948cce</t>
  </si>
  <si>
    <t>d64d494bd8</t>
  </si>
  <si>
    <t>e23708b726</t>
  </si>
  <si>
    <t>1985-12-02</t>
  </si>
  <si>
    <t>3838</t>
  </si>
  <si>
    <t>06e01878e7</t>
  </si>
  <si>
    <t>3c96b2d86a</t>
  </si>
  <si>
    <t>0a4f739f3b</t>
  </si>
  <si>
    <t>2018-09-01</t>
  </si>
  <si>
    <t>3898</t>
  </si>
  <si>
    <t>06e4118ea1</t>
  </si>
  <si>
    <t>9d331fabd1</t>
  </si>
  <si>
    <t>a615df456e</t>
  </si>
  <si>
    <t>2018-06-01</t>
  </si>
  <si>
    <t>3846</t>
  </si>
  <si>
    <t>09ba187a7b</t>
  </si>
  <si>
    <t>196b838e83</t>
  </si>
  <si>
    <t>37c0bc5ec4</t>
  </si>
  <si>
    <t>2022-03-01</t>
  </si>
  <si>
    <t>3692</t>
  </si>
  <si>
    <t>0a1d98f0f2</t>
  </si>
  <si>
    <t>00b003e684</t>
  </si>
  <si>
    <t>7ad3d8924b</t>
  </si>
  <si>
    <t>3857</t>
  </si>
  <si>
    <t>0ab9518722</t>
  </si>
  <si>
    <t>be3b0ce11e</t>
  </si>
  <si>
    <t>761437bff9</t>
  </si>
  <si>
    <t>2001-09-11</t>
  </si>
  <si>
    <t>3716</t>
  </si>
  <si>
    <t>0b219e01bc</t>
  </si>
  <si>
    <t>fd6d1593be</t>
  </si>
  <si>
    <t>37c05c76e9</t>
  </si>
  <si>
    <t>2018-11-01</t>
  </si>
  <si>
    <t>3968</t>
  </si>
  <si>
    <t>0b9bc0b1cc</t>
  </si>
  <si>
    <t>39adb0ecf5</t>
  </si>
  <si>
    <t>7689b1d6db</t>
  </si>
  <si>
    <t>2021-05-01</t>
  </si>
  <si>
    <t>3767</t>
  </si>
  <si>
    <t>0b9f7a90f8</t>
  </si>
  <si>
    <t>5a43428964</t>
  </si>
  <si>
    <t>544eccf1bc</t>
  </si>
  <si>
    <t>3663</t>
  </si>
  <si>
    <t>0be1ebb5e9</t>
  </si>
  <si>
    <t>9b07d918a4</t>
  </si>
  <si>
    <t>634d68d1cd</t>
  </si>
  <si>
    <t>2020-10-01</t>
  </si>
  <si>
    <t>4023</t>
  </si>
  <si>
    <t>0c5ba4c399</t>
  </si>
  <si>
    <t>a23e6d4651</t>
  </si>
  <si>
    <t>0c3c75b758</t>
  </si>
  <si>
    <t>2005-10-01</t>
  </si>
  <si>
    <t>3690</t>
  </si>
  <si>
    <t>0cca26dab7</t>
  </si>
  <si>
    <t>7b5714c0f9</t>
  </si>
  <si>
    <t>c812a2e179</t>
  </si>
  <si>
    <t>2019-11-25</t>
  </si>
  <si>
    <t>3953</t>
  </si>
  <si>
    <t>0cf63f0d16</t>
  </si>
  <si>
    <t>61254aa2f4</t>
  </si>
  <si>
    <t>f668c01db7</t>
  </si>
  <si>
    <t>2020-09-04</t>
  </si>
  <si>
    <t>4038</t>
  </si>
  <si>
    <t>0e4725f5c0</t>
  </si>
  <si>
    <t>9c1bb25573</t>
  </si>
  <si>
    <t>caaf5be712</t>
  </si>
  <si>
    <t>2004-10-20</t>
  </si>
  <si>
    <t>3999</t>
  </si>
  <si>
    <t>0edcb4a550</t>
  </si>
  <si>
    <t>b918a52190</t>
  </si>
  <si>
    <t>477684a2e4</t>
  </si>
  <si>
    <t>2013-03-01</t>
  </si>
  <si>
    <t>3897</t>
  </si>
  <si>
    <t>0f6afcf3d6</t>
  </si>
  <si>
    <t>085ed60ba7</t>
  </si>
  <si>
    <t>12d7e69712</t>
  </si>
  <si>
    <t>B PLACÉ</t>
  </si>
  <si>
    <t>2002-09-17</t>
  </si>
  <si>
    <t>3949</t>
  </si>
  <si>
    <t>105ec6443a</t>
  </si>
  <si>
    <t>e16d634f54</t>
  </si>
  <si>
    <t>bea36eebc7</t>
  </si>
  <si>
    <t>3826</t>
  </si>
  <si>
    <t>1173e76cd1</t>
  </si>
  <si>
    <t>359097f683</t>
  </si>
  <si>
    <t>20ad857e09</t>
  </si>
  <si>
    <t>2020-12-03</t>
  </si>
  <si>
    <t>3976</t>
  </si>
  <si>
    <t>120f74f2d1</t>
  </si>
  <si>
    <t>ef961ffdc1</t>
  </si>
  <si>
    <t>67a2cd6262</t>
  </si>
  <si>
    <t>2016-09-01</t>
  </si>
  <si>
    <t>3757</t>
  </si>
  <si>
    <t>133fe98f0c</t>
  </si>
  <si>
    <t>f6b1acbb68</t>
  </si>
  <si>
    <t>cfdd8b5564</t>
  </si>
  <si>
    <t>3715</t>
  </si>
  <si>
    <t>13920ad73a</t>
  </si>
  <si>
    <t>5ac9179273</t>
  </si>
  <si>
    <t>cf8175025c</t>
  </si>
  <si>
    <t>4032</t>
  </si>
  <si>
    <t>13ca413ce2</t>
  </si>
  <si>
    <t>a0d142b2d8</t>
  </si>
  <si>
    <t>3c65d9f8dd</t>
  </si>
  <si>
    <t>2022-03-07</t>
  </si>
  <si>
    <t>3697</t>
  </si>
  <si>
    <t>1505f0516d</t>
  </si>
  <si>
    <t>f83a8c9bd9</t>
  </si>
  <si>
    <t>95d309755f</t>
  </si>
  <si>
    <t>3866</t>
  </si>
  <si>
    <t>1530712bb6</t>
  </si>
  <si>
    <t>5e51e06541</t>
  </si>
  <si>
    <t>f87854e3ed</t>
  </si>
  <si>
    <t>3753</t>
  </si>
  <si>
    <t>158245fcfa</t>
  </si>
  <si>
    <t>b23dc459b0</t>
  </si>
  <si>
    <t>6019bfa61c</t>
  </si>
  <si>
    <t>3756</t>
  </si>
  <si>
    <t>1599183294</t>
  </si>
  <si>
    <t>30aafe2c93</t>
  </si>
  <si>
    <t>e6a695289b</t>
  </si>
  <si>
    <t>2011-05-30</t>
  </si>
  <si>
    <t>3652</t>
  </si>
  <si>
    <t>172ad56552</t>
  </si>
  <si>
    <t>1d2a5dcfc0</t>
  </si>
  <si>
    <t>7cfe4b94d9</t>
  </si>
  <si>
    <t>2019-11-01</t>
  </si>
  <si>
    <t>3704</t>
  </si>
  <si>
    <t>175a9405ae</t>
  </si>
  <si>
    <t>35785384db</t>
  </si>
  <si>
    <t>57b148d136</t>
  </si>
  <si>
    <t>2002-01-07</t>
  </si>
  <si>
    <t>3827</t>
  </si>
  <si>
    <t>17c3e492aa</t>
  </si>
  <si>
    <t>979a9b3d81</t>
  </si>
  <si>
    <t>23baa2bc31</t>
  </si>
  <si>
    <t>2019-07-01</t>
  </si>
  <si>
    <t>4020</t>
  </si>
  <si>
    <t>18068dd542</t>
  </si>
  <si>
    <t>f0f6f2c381</t>
  </si>
  <si>
    <t>75d72792e8</t>
  </si>
  <si>
    <t>4014</t>
  </si>
  <si>
    <t>190860e2d5</t>
  </si>
  <si>
    <t>a37732136a</t>
  </si>
  <si>
    <t>3250a974bc</t>
  </si>
  <si>
    <t>3799</t>
  </si>
  <si>
    <t>19510f0b56</t>
  </si>
  <si>
    <t>9bfd244c3c</t>
  </si>
  <si>
    <t>0532b9a7ad</t>
  </si>
  <si>
    <t>3880</t>
  </si>
  <si>
    <t>1996e17a60</t>
  </si>
  <si>
    <t>0e61d19c70</t>
  </si>
  <si>
    <t>27cff758a3</t>
  </si>
  <si>
    <t>3770</t>
  </si>
  <si>
    <t>19bfda8aeb</t>
  </si>
  <si>
    <t>155a67a8fe</t>
  </si>
  <si>
    <t>b23a97bd18</t>
  </si>
  <si>
    <t>2017-03-01</t>
  </si>
  <si>
    <t>3896</t>
  </si>
  <si>
    <t>1a802b4ec4</t>
  </si>
  <si>
    <t>bb1ade5720</t>
  </si>
  <si>
    <t>7c001a7f5a</t>
  </si>
  <si>
    <t>2020-04-01</t>
  </si>
  <si>
    <t>3752</t>
  </si>
  <si>
    <t>1ac2b4bc0a</t>
  </si>
  <si>
    <t>1016b183e8</t>
  </si>
  <si>
    <t>c8a338ca27</t>
  </si>
  <si>
    <t>4000</t>
  </si>
  <si>
    <t>1b5e7d6533</t>
  </si>
  <si>
    <t>664bd55cf8</t>
  </si>
  <si>
    <t>65a389ca8c</t>
  </si>
  <si>
    <t>2013-09-01</t>
  </si>
  <si>
    <t>3980</t>
  </si>
  <si>
    <t>1b82c32aae</t>
  </si>
  <si>
    <t>90a7babe86</t>
  </si>
  <si>
    <t>0b7403b4e1</t>
  </si>
  <si>
    <t>3903</t>
  </si>
  <si>
    <t>1dbc2ea3a0</t>
  </si>
  <si>
    <t>389dee071b</t>
  </si>
  <si>
    <t>fea47f42ec</t>
  </si>
  <si>
    <t>3754</t>
  </si>
  <si>
    <t>1df987f4cc</t>
  </si>
  <si>
    <t>85dbc86c92</t>
  </si>
  <si>
    <t>44ff291c6c</t>
  </si>
  <si>
    <t>2009-05-31</t>
  </si>
  <si>
    <t>3660</t>
  </si>
  <si>
    <t>1e05ed6503</t>
  </si>
  <si>
    <t>d48d107a57</t>
  </si>
  <si>
    <t>35b28e5145</t>
  </si>
  <si>
    <t>3981</t>
  </si>
  <si>
    <t>1e912ca205</t>
  </si>
  <si>
    <t>0fdbb8fa33</t>
  </si>
  <si>
    <t>a6134573cf</t>
  </si>
  <si>
    <t>3834</t>
  </si>
  <si>
    <t>1ee3c3ba40</t>
  </si>
  <si>
    <t>9e767664b5</t>
  </si>
  <si>
    <t>b0632b6583</t>
  </si>
  <si>
    <t>2021-03-01</t>
  </si>
  <si>
    <t>3924</t>
  </si>
  <si>
    <t>206e52736d</t>
  </si>
  <si>
    <t>1bf4d535d5</t>
  </si>
  <si>
    <t>cdc5e6b3e0</t>
  </si>
  <si>
    <t>3771</t>
  </si>
  <si>
    <t>208f2e06fe</t>
  </si>
  <si>
    <t>b559bfc41b</t>
  </si>
  <si>
    <t>1286e03a0f</t>
  </si>
  <si>
    <t>3836</t>
  </si>
  <si>
    <t>2134203bea</t>
  </si>
  <si>
    <t>b69bb238ac</t>
  </si>
  <si>
    <t>8436331401</t>
  </si>
  <si>
    <t>2008-03-03</t>
  </si>
  <si>
    <t>3667</t>
  </si>
  <si>
    <t>219b5d368e</t>
  </si>
  <si>
    <t>aa1e734297</t>
  </si>
  <si>
    <t>ec7ef40437</t>
  </si>
  <si>
    <t>2012-04-01</t>
  </si>
  <si>
    <t>3871</t>
  </si>
  <si>
    <t>228af07e7e</t>
  </si>
  <si>
    <t>7cf0318dc0</t>
  </si>
  <si>
    <t>49d83c66b5</t>
  </si>
  <si>
    <t>4027</t>
  </si>
  <si>
    <t>22a8dee165</t>
  </si>
  <si>
    <t>0c0e2e342c</t>
  </si>
  <si>
    <t>a88692e5a6</t>
  </si>
  <si>
    <t>2018-09-17</t>
  </si>
  <si>
    <t>3950</t>
  </si>
  <si>
    <t>23d0d58aee</t>
  </si>
  <si>
    <t>e0e6a6dc0f</t>
  </si>
  <si>
    <t>e40c29cb14</t>
  </si>
  <si>
    <t>2016-11-01</t>
  </si>
  <si>
    <t>3744</t>
  </si>
  <si>
    <t>24cad4978d</t>
  </si>
  <si>
    <t>c563879cb4</t>
  </si>
  <si>
    <t>f5c9683a71</t>
  </si>
  <si>
    <t>1980-07-01</t>
  </si>
  <si>
    <t>3694</t>
  </si>
  <si>
    <t>24d6cec878</t>
  </si>
  <si>
    <t>2a0854e7aa</t>
  </si>
  <si>
    <t>3b33ca867e</t>
  </si>
  <si>
    <t>3676</t>
  </si>
  <si>
    <t>2569268aed</t>
  </si>
  <si>
    <t>95942d2698</t>
  </si>
  <si>
    <t>2ee2770f6a</t>
  </si>
  <si>
    <t>3997</t>
  </si>
  <si>
    <t>2622411779</t>
  </si>
  <si>
    <t>64c0bb7f32</t>
  </si>
  <si>
    <t>f45bcc11b8</t>
  </si>
  <si>
    <t>3892</t>
  </si>
  <si>
    <t>2629f586c9</t>
  </si>
  <si>
    <t>0018c10fda</t>
  </si>
  <si>
    <t>ea4623d516</t>
  </si>
  <si>
    <t>3941</t>
  </si>
  <si>
    <t>27427eccfe</t>
  </si>
  <si>
    <t>5669bd1077</t>
  </si>
  <si>
    <t>387a9d0f9c</t>
  </si>
  <si>
    <t>2012-09-03</t>
  </si>
  <si>
    <t>3778</t>
  </si>
  <si>
    <t>27f2b1245b</t>
  </si>
  <si>
    <t>c9be229d3b</t>
  </si>
  <si>
    <t>343cb7c059</t>
  </si>
  <si>
    <t>3875</t>
  </si>
  <si>
    <t>280fb1535f</t>
  </si>
  <si>
    <t>9dcdb8c8a8</t>
  </si>
  <si>
    <t>f448bffcaf</t>
  </si>
  <si>
    <t>3946</t>
  </si>
  <si>
    <t>28cb90ddf3</t>
  </si>
  <si>
    <t>2618dcb24b</t>
  </si>
  <si>
    <t>f0ea72ef6b</t>
  </si>
  <si>
    <t>2021-12-31</t>
  </si>
  <si>
    <t>3856</t>
  </si>
  <si>
    <t>2a1fe046c7</t>
  </si>
  <si>
    <t>f1d6e7b7f2</t>
  </si>
  <si>
    <t>ac95999a82</t>
  </si>
  <si>
    <t>4005</t>
  </si>
  <si>
    <t>2acb8b15de</t>
  </si>
  <si>
    <t>dcaa8b9d1a</t>
  </si>
  <si>
    <t>89fdcbee18</t>
  </si>
  <si>
    <t>3829</t>
  </si>
  <si>
    <t>2b1336960e</t>
  </si>
  <si>
    <t>78d0fb86b5</t>
  </si>
  <si>
    <t>a4048f211e</t>
  </si>
  <si>
    <t>3736</t>
  </si>
  <si>
    <t>2b8614c44d</t>
  </si>
  <si>
    <t>ba1a31d7b3</t>
  </si>
  <si>
    <t>446e148bd6</t>
  </si>
  <si>
    <t>3843</t>
  </si>
  <si>
    <t>2c67d7fb2a</t>
  </si>
  <si>
    <t>5e155509f5</t>
  </si>
  <si>
    <t>8e19284b9f</t>
  </si>
  <si>
    <t>1979-02-01</t>
  </si>
  <si>
    <t>3654</t>
  </si>
  <si>
    <t>2c874581b5</t>
  </si>
  <si>
    <t>863ea6e855</t>
  </si>
  <si>
    <t>8b9dbd651f</t>
  </si>
  <si>
    <t>2019-03-01</t>
  </si>
  <si>
    <t>3841</t>
  </si>
  <si>
    <t>2d4f36f4f4</t>
  </si>
  <si>
    <t>f7f355f22b</t>
  </si>
  <si>
    <t>9fea9074f4</t>
  </si>
  <si>
    <t>3742</t>
  </si>
  <si>
    <t>2ec5498ac2</t>
  </si>
  <si>
    <t>3fa316690a</t>
  </si>
  <si>
    <t>13b55753b7</t>
  </si>
  <si>
    <t>2017-11-01</t>
  </si>
  <si>
    <t>3973</t>
  </si>
  <si>
    <t>2f7ae205ee</t>
  </si>
  <si>
    <t>c475ca9134</t>
  </si>
  <si>
    <t>943048974f</t>
  </si>
  <si>
    <t>2020-03-01</t>
  </si>
  <si>
    <t>3932</t>
  </si>
  <si>
    <t>30399f0422</t>
  </si>
  <si>
    <t>256940b867</t>
  </si>
  <si>
    <t>95e2fe3a0d</t>
  </si>
  <si>
    <t>1992-03-02</t>
  </si>
  <si>
    <t>3977</t>
  </si>
  <si>
    <t>31949e92de</t>
  </si>
  <si>
    <t>5a51b53f77</t>
  </si>
  <si>
    <t>41bd831a1c</t>
  </si>
  <si>
    <t>3928</t>
  </si>
  <si>
    <t>3299c1b9aa</t>
  </si>
  <si>
    <t>af6cfa315c</t>
  </si>
  <si>
    <t>add647974e</t>
  </si>
  <si>
    <t>3808</t>
  </si>
  <si>
    <t>33a97e7ab5</t>
  </si>
  <si>
    <t>f9493c912d</t>
  </si>
  <si>
    <t>a5cb825a5c</t>
  </si>
  <si>
    <t>2022-06-01</t>
  </si>
  <si>
    <t>3766</t>
  </si>
  <si>
    <t>33c7ca088e</t>
  </si>
  <si>
    <t>b154127a8a</t>
  </si>
  <si>
    <t>44fb17a8dc</t>
  </si>
  <si>
    <t>1992-01-02</t>
  </si>
  <si>
    <t>3812</t>
  </si>
  <si>
    <t>352cd315e8</t>
  </si>
  <si>
    <t>7f9f838cd9</t>
  </si>
  <si>
    <t>ab7b0baac6</t>
  </si>
  <si>
    <t>3776</t>
  </si>
  <si>
    <t>35719d1dfc</t>
  </si>
  <si>
    <t>074485f480</t>
  </si>
  <si>
    <t>e008e30fc0</t>
  </si>
  <si>
    <t>2018-03-01</t>
  </si>
  <si>
    <t>3938</t>
  </si>
  <si>
    <t>3574dbb6dc</t>
  </si>
  <si>
    <t>b9ffc3e291</t>
  </si>
  <si>
    <t>0ef23f278f</t>
  </si>
  <si>
    <t>2004-07-07</t>
  </si>
  <si>
    <t>3944</t>
  </si>
  <si>
    <t>3586286f55</t>
  </si>
  <si>
    <t>6ffcff3b51</t>
  </si>
  <si>
    <t>ffce050cc2</t>
  </si>
  <si>
    <t>2013-06-19</t>
  </si>
  <si>
    <t>3741</t>
  </si>
  <si>
    <t>36650f131c</t>
  </si>
  <si>
    <t>76c860921a</t>
  </si>
  <si>
    <t>fa75e747c9</t>
  </si>
  <si>
    <t>2021-10-01</t>
  </si>
  <si>
    <t>3674</t>
  </si>
  <si>
    <t>368b3c2f17</t>
  </si>
  <si>
    <t>8500fa7390</t>
  </si>
  <si>
    <t>68a0a83c59</t>
  </si>
  <si>
    <t>3958</t>
  </si>
  <si>
    <t>371ff1d477</t>
  </si>
  <si>
    <t>84d741437a</t>
  </si>
  <si>
    <t>31c570ab75</t>
  </si>
  <si>
    <t>3939</t>
  </si>
  <si>
    <t>37f61bbf6c</t>
  </si>
  <si>
    <t>ade6e19c29</t>
  </si>
  <si>
    <t>4fcc2b9925</t>
  </si>
  <si>
    <t>2016-03-01</t>
  </si>
  <si>
    <t>3969</t>
  </si>
  <si>
    <t>3806776d46</t>
  </si>
  <si>
    <t>152f22a233</t>
  </si>
  <si>
    <t>c5f134bce3</t>
  </si>
  <si>
    <t>2014-03-01</t>
  </si>
  <si>
    <t>3696</t>
  </si>
  <si>
    <t>387fffc5a7</t>
  </si>
  <si>
    <t>20032a0f8f</t>
  </si>
  <si>
    <t>96fb9308ce</t>
  </si>
  <si>
    <t>3735</t>
  </si>
  <si>
    <t>3914eccae3</t>
  </si>
  <si>
    <t>f78b14c793</t>
  </si>
  <si>
    <t>774c1d0c60</t>
  </si>
  <si>
    <t>2022-03-21</t>
  </si>
  <si>
    <t>4010</t>
  </si>
  <si>
    <t>399fd6fa1e</t>
  </si>
  <si>
    <t>e7e2b89d5b</t>
  </si>
  <si>
    <t>3dea3b8401</t>
  </si>
  <si>
    <t>2020-03-03</t>
  </si>
  <si>
    <t>3889</t>
  </si>
  <si>
    <t>3a94560f76</t>
  </si>
  <si>
    <t>9ee52bb849</t>
  </si>
  <si>
    <t>3cda3399e4</t>
  </si>
  <si>
    <t>2005-02-01</t>
  </si>
  <si>
    <t>4031</t>
  </si>
  <si>
    <t>3add36f202</t>
  </si>
  <si>
    <t>a9a20d361c</t>
  </si>
  <si>
    <t>f6d19e06f7</t>
  </si>
  <si>
    <t>3840</t>
  </si>
  <si>
    <t>3af0261ecc</t>
  </si>
  <si>
    <t>f06fbeaad5</t>
  </si>
  <si>
    <t>a40094f4a5</t>
  </si>
  <si>
    <t>3802</t>
  </si>
  <si>
    <t>3c964f4c0a</t>
  </si>
  <si>
    <t>bddbd7d987</t>
  </si>
  <si>
    <t>0f97a815c3</t>
  </si>
  <si>
    <t>2013-11-29</t>
  </si>
  <si>
    <t>4013</t>
  </si>
  <si>
    <t>3ce692845a</t>
  </si>
  <si>
    <t>cad0a41bf7</t>
  </si>
  <si>
    <t>7d951c6bc2</t>
  </si>
  <si>
    <t>2020-11-01</t>
  </si>
  <si>
    <t>3904</t>
  </si>
  <si>
    <t>3cf44f536b</t>
  </si>
  <si>
    <t>fff1eeb085</t>
  </si>
  <si>
    <t>1b74d7a65a</t>
  </si>
  <si>
    <t>3842</t>
  </si>
  <si>
    <t>3d26cebef9</t>
  </si>
  <si>
    <t>d14307df29</t>
  </si>
  <si>
    <t>fcb13d2f3f</t>
  </si>
  <si>
    <t>1994-10-03</t>
  </si>
  <si>
    <t>3803</t>
  </si>
  <si>
    <t>3d36866dc7</t>
  </si>
  <si>
    <t>0164d11fd3</t>
  </si>
  <si>
    <t>fc59716b06</t>
  </si>
  <si>
    <t>3686</t>
  </si>
  <si>
    <t>3d56d88f30</t>
  </si>
  <si>
    <t>0149d10097</t>
  </si>
  <si>
    <t>ace0f98316</t>
  </si>
  <si>
    <t>2014-09-01</t>
  </si>
  <si>
    <t>3823</t>
  </si>
  <si>
    <t>3f957ff393</t>
  </si>
  <si>
    <t>23fa2305c2</t>
  </si>
  <si>
    <t>eaf69dde94</t>
  </si>
  <si>
    <t>3688</t>
  </si>
  <si>
    <t>4126044007</t>
  </si>
  <si>
    <t>28ff7b0296</t>
  </si>
  <si>
    <t>c7c97657ef</t>
  </si>
  <si>
    <t>3811</t>
  </si>
  <si>
    <t>414392f827</t>
  </si>
  <si>
    <t>2ae5571394</t>
  </si>
  <si>
    <t>447359a600</t>
  </si>
  <si>
    <t>3847</t>
  </si>
  <si>
    <t>419ea19101</t>
  </si>
  <si>
    <t>2df83a59bb</t>
  </si>
  <si>
    <t>5f5975e974</t>
  </si>
  <si>
    <t>3945</t>
  </si>
  <si>
    <t>41a33c8a38</t>
  </si>
  <si>
    <t>dfc3926eab</t>
  </si>
  <si>
    <t>0efccbdfb5</t>
  </si>
  <si>
    <t>3713</t>
  </si>
  <si>
    <t>4223ad8bd7</t>
  </si>
  <si>
    <t>4a7bbbdf52</t>
  </si>
  <si>
    <t>3ede68883a</t>
  </si>
  <si>
    <t>3971</t>
  </si>
  <si>
    <t>4255a5a296</t>
  </si>
  <si>
    <t>66ca132c2c</t>
  </si>
  <si>
    <t>ce34cd6abb</t>
  </si>
  <si>
    <t>2006-09-04</t>
  </si>
  <si>
    <t>3804</t>
  </si>
  <si>
    <t>42ae6239d1</t>
  </si>
  <si>
    <t>ab1122b30c</t>
  </si>
  <si>
    <t>fbbeecf462</t>
  </si>
  <si>
    <t>3725</t>
  </si>
  <si>
    <t>42e5b29c44</t>
  </si>
  <si>
    <t>490aaf4fc4</t>
  </si>
  <si>
    <t>ed315c0fea</t>
  </si>
  <si>
    <t>CONT B JP</t>
  </si>
  <si>
    <t>3695</t>
  </si>
  <si>
    <t>451f53ef26</t>
  </si>
  <si>
    <t>79113ea788</t>
  </si>
  <si>
    <t>1f8239c443</t>
  </si>
  <si>
    <t>2020-07-01</t>
  </si>
  <si>
    <t>3684</t>
  </si>
  <si>
    <t>462042426a</t>
  </si>
  <si>
    <t>b9b743cccf</t>
  </si>
  <si>
    <t>ffe6bb0c81</t>
  </si>
  <si>
    <t>3929</t>
  </si>
  <si>
    <t>46ca95ee32</t>
  </si>
  <si>
    <t>64aea462c2</t>
  </si>
  <si>
    <t>d5264e5c0d</t>
  </si>
  <si>
    <t>3839</t>
  </si>
  <si>
    <t>47400e9a03</t>
  </si>
  <si>
    <t>20839fa778</t>
  </si>
  <si>
    <t>40948648d3</t>
  </si>
  <si>
    <t>3906</t>
  </si>
  <si>
    <t>47acff20e9</t>
  </si>
  <si>
    <t>43bd72de70</t>
  </si>
  <si>
    <t>29ef523315</t>
  </si>
  <si>
    <t>1985-11-01</t>
  </si>
  <si>
    <t>3913</t>
  </si>
  <si>
    <t>47b0eebe65</t>
  </si>
  <si>
    <t>d2a80fe2d8</t>
  </si>
  <si>
    <t>f859e3f627</t>
  </si>
  <si>
    <t>1992-02-21</t>
  </si>
  <si>
    <t>3821</t>
  </si>
  <si>
    <t>4881c921bf</t>
  </si>
  <si>
    <t>5807dba7d1</t>
  </si>
  <si>
    <t>9113c9af61</t>
  </si>
  <si>
    <t>2015-03-01</t>
  </si>
  <si>
    <t>3951</t>
  </si>
  <si>
    <t>48f4202811</t>
  </si>
  <si>
    <t>c4ceabd323</t>
  </si>
  <si>
    <t>7c470b95da</t>
  </si>
  <si>
    <t>3733</t>
  </si>
  <si>
    <t>4bb7a5007e</t>
  </si>
  <si>
    <t>e243788c3c</t>
  </si>
  <si>
    <t>3c999fe2ab</t>
  </si>
  <si>
    <t>CONT C JP</t>
  </si>
  <si>
    <t>4042</t>
  </si>
  <si>
    <t>4bd93edd75</t>
  </si>
  <si>
    <t>ef28d33fef</t>
  </si>
  <si>
    <t>118b5357ad</t>
  </si>
  <si>
    <t>3777</t>
  </si>
  <si>
    <t>4be4925cb3</t>
  </si>
  <si>
    <t>c4d00062ea</t>
  </si>
  <si>
    <t>c3766dab74</t>
  </si>
  <si>
    <t>2000-03-06</t>
  </si>
  <si>
    <t>3691</t>
  </si>
  <si>
    <t>4c1069c54a</t>
  </si>
  <si>
    <t>9fb11bd254</t>
  </si>
  <si>
    <t>df9b3b614c</t>
  </si>
  <si>
    <t>3730</t>
  </si>
  <si>
    <t>4c2765e6d0</t>
  </si>
  <si>
    <t>9e4e569b02</t>
  </si>
  <si>
    <t>6f35a65cab</t>
  </si>
  <si>
    <t>CONT A</t>
  </si>
  <si>
    <t>3882</t>
  </si>
  <si>
    <t>4d3c4465ba</t>
  </si>
  <si>
    <t>167353c840</t>
  </si>
  <si>
    <t>65fb495664</t>
  </si>
  <si>
    <t>3728</t>
  </si>
  <si>
    <t>4ddc61a834</t>
  </si>
  <si>
    <t>931e92a60e</t>
  </si>
  <si>
    <t>cf296e5ae1</t>
  </si>
  <si>
    <t>3718</t>
  </si>
  <si>
    <t>4f7aa4f5fc</t>
  </si>
  <si>
    <t>e276f8e8ee</t>
  </si>
  <si>
    <t>8e624c93b6</t>
  </si>
  <si>
    <t>3915</t>
  </si>
  <si>
    <t>4fec07f5f5</t>
  </si>
  <si>
    <t>3e35bdc19e</t>
  </si>
  <si>
    <t>3437664e46</t>
  </si>
  <si>
    <t>3796</t>
  </si>
  <si>
    <t>50e4d4371d</t>
  </si>
  <si>
    <t>9bd5660b95</t>
  </si>
  <si>
    <t>7f5f444dfe</t>
  </si>
  <si>
    <t>3721</t>
  </si>
  <si>
    <t>51d6aec31b</t>
  </si>
  <si>
    <t>e5795fc779</t>
  </si>
  <si>
    <t>6b0a466442</t>
  </si>
  <si>
    <t>3937</t>
  </si>
  <si>
    <t>51e926a0a7</t>
  </si>
  <si>
    <t>68a8a45d13</t>
  </si>
  <si>
    <t>3519d889f3</t>
  </si>
  <si>
    <t>2008-09-01</t>
  </si>
  <si>
    <t>3870</t>
  </si>
  <si>
    <t>52295b260e</t>
  </si>
  <si>
    <t>e33117fab7</t>
  </si>
  <si>
    <t>9f9ba26e4b</t>
  </si>
  <si>
    <t>2021-03-02</t>
  </si>
  <si>
    <t>3955</t>
  </si>
  <si>
    <t>52ae2f8598</t>
  </si>
  <si>
    <t>a7cdc0a5a5</t>
  </si>
  <si>
    <t>0e3a96e68f</t>
  </si>
  <si>
    <t>2020-12-01</t>
  </si>
  <si>
    <t>3701</t>
  </si>
  <si>
    <t>5394a74172</t>
  </si>
  <si>
    <t>c0cd5fffc5</t>
  </si>
  <si>
    <t>3ec2944e94</t>
  </si>
  <si>
    <t>3751</t>
  </si>
  <si>
    <t>548332689e</t>
  </si>
  <si>
    <t>25af6a3490</t>
  </si>
  <si>
    <t>94d98fa693</t>
  </si>
  <si>
    <t>3899</t>
  </si>
  <si>
    <t>54a52a34c7</t>
  </si>
  <si>
    <t>4410fb0d66</t>
  </si>
  <si>
    <t>f417594ffa</t>
  </si>
  <si>
    <t>2012-11-01</t>
  </si>
  <si>
    <t>3963</t>
  </si>
  <si>
    <t>54aeae9a94</t>
  </si>
  <si>
    <t>17cc5843a4</t>
  </si>
  <si>
    <t>3537738ed7</t>
  </si>
  <si>
    <t>1999-11-02</t>
  </si>
  <si>
    <t>3930</t>
  </si>
  <si>
    <t>54f2c6e0c3</t>
  </si>
  <si>
    <t>077fb54571</t>
  </si>
  <si>
    <t>97cb60914e</t>
  </si>
  <si>
    <t>1998-09-07</t>
  </si>
  <si>
    <t>3990</t>
  </si>
  <si>
    <t>56f031b387</t>
  </si>
  <si>
    <t>ce10c0b817</t>
  </si>
  <si>
    <t>e57cc2d925</t>
  </si>
  <si>
    <t>3991</t>
  </si>
  <si>
    <t>570cedbc81</t>
  </si>
  <si>
    <t>6b65adaa22</t>
  </si>
  <si>
    <t>d854fb2742</t>
  </si>
  <si>
    <t>3860</t>
  </si>
  <si>
    <t>57392ca6ea</t>
  </si>
  <si>
    <t>f12819c16d</t>
  </si>
  <si>
    <t>b329116ab3</t>
  </si>
  <si>
    <t>1998-01-02</t>
  </si>
  <si>
    <t>3935</t>
  </si>
  <si>
    <t>573f8d4b3d</t>
  </si>
  <si>
    <t>64e0f0c776</t>
  </si>
  <si>
    <t>a1c05b3697</t>
  </si>
  <si>
    <t>1995-12-05</t>
  </si>
  <si>
    <t>4043</t>
  </si>
  <si>
    <t>576629bbb8</t>
  </si>
  <si>
    <t>043c71c704</t>
  </si>
  <si>
    <t>53743c3277</t>
  </si>
  <si>
    <t>3712</t>
  </si>
  <si>
    <t>5815ee6c2c</t>
  </si>
  <si>
    <t>0a20363b0c</t>
  </si>
  <si>
    <t>b46e122554</t>
  </si>
  <si>
    <t>3998</t>
  </si>
  <si>
    <t>5846fee5df</t>
  </si>
  <si>
    <t>8465901d29</t>
  </si>
  <si>
    <t>6ea7270b1e</t>
  </si>
  <si>
    <t>2010-06-01</t>
  </si>
  <si>
    <t>3669</t>
  </si>
  <si>
    <t>5a3f2a463f</t>
  </si>
  <si>
    <t>213a1cde50</t>
  </si>
  <si>
    <t>dda4bb9c1c</t>
  </si>
  <si>
    <t>2003-09-30</t>
  </si>
  <si>
    <t>3962</t>
  </si>
  <si>
    <t>5a4eed85f6</t>
  </si>
  <si>
    <t>84e2705f67</t>
  </si>
  <si>
    <t>b780f55c42</t>
  </si>
  <si>
    <t>3940</t>
  </si>
  <si>
    <t>5a758d9e92</t>
  </si>
  <si>
    <t>fb348cec90</t>
  </si>
  <si>
    <t>62c4c7d33d</t>
  </si>
  <si>
    <t>2009-09-01</t>
  </si>
  <si>
    <t>3709</t>
  </si>
  <si>
    <t>5acbb56dca</t>
  </si>
  <si>
    <t>c57e81b2b9</t>
  </si>
  <si>
    <t>1df70c4aa1</t>
  </si>
  <si>
    <t>3773</t>
  </si>
  <si>
    <t>5bbe35ef67</t>
  </si>
  <si>
    <t>134a7799f1</t>
  </si>
  <si>
    <t>2d26901f1a</t>
  </si>
  <si>
    <t>3817</t>
  </si>
  <si>
    <t>5edf295abf</t>
  </si>
  <si>
    <t>5f99e0ac64</t>
  </si>
  <si>
    <t>9b81f4be6d</t>
  </si>
  <si>
    <t>2011-03-01</t>
  </si>
  <si>
    <t>3865</t>
  </si>
  <si>
    <t>5fa6e1ad84</t>
  </si>
  <si>
    <t>f10fc667c8</t>
  </si>
  <si>
    <t>bcbc337388</t>
  </si>
  <si>
    <t>3917</t>
  </si>
  <si>
    <t>6027e956fd</t>
  </si>
  <si>
    <t>f9e1dbe2b1</t>
  </si>
  <si>
    <t>857dfef0f7</t>
  </si>
  <si>
    <t>A PLACÉ</t>
  </si>
  <si>
    <t>2013-05-01</t>
  </si>
  <si>
    <t>3873</t>
  </si>
  <si>
    <t>6268c7e2da</t>
  </si>
  <si>
    <t>7589b6095f</t>
  </si>
  <si>
    <t>f78b72b531</t>
  </si>
  <si>
    <t>3931</t>
  </si>
  <si>
    <t>62ccc0fdcc</t>
  </si>
  <si>
    <t>a74ea01747</t>
  </si>
  <si>
    <t>49147e7273</t>
  </si>
  <si>
    <t>1999-09-06</t>
  </si>
  <si>
    <t>3993</t>
  </si>
  <si>
    <t>632fa216a8</t>
  </si>
  <si>
    <t>fe50023de4</t>
  </si>
  <si>
    <t>8bb445371a</t>
  </si>
  <si>
    <t>2002-05-14</t>
  </si>
  <si>
    <t>3926</t>
  </si>
  <si>
    <t>6344f5be4a</t>
  </si>
  <si>
    <t>ad79428295</t>
  </si>
  <si>
    <t>59d724242d</t>
  </si>
  <si>
    <t>4016</t>
  </si>
  <si>
    <t>6462759050</t>
  </si>
  <si>
    <t>824e8dc0fd</t>
  </si>
  <si>
    <t>480fcd5fb2</t>
  </si>
  <si>
    <t>2007-03-05</t>
  </si>
  <si>
    <t>3910</t>
  </si>
  <si>
    <t>65022a36af</t>
  </si>
  <si>
    <t>74d92284a6</t>
  </si>
  <si>
    <t>5012ed0542</t>
  </si>
  <si>
    <t>2005-07-05</t>
  </si>
  <si>
    <t>4015</t>
  </si>
  <si>
    <t>6840666b4d</t>
  </si>
  <si>
    <t>1f16c25f2a</t>
  </si>
  <si>
    <t>a366bcfcf6</t>
  </si>
  <si>
    <t>3760</t>
  </si>
  <si>
    <t>68cbe55708</t>
  </si>
  <si>
    <t>ce60066acc</t>
  </si>
  <si>
    <t>8b181443c0</t>
  </si>
  <si>
    <t>1992-11-12</t>
  </si>
  <si>
    <t>3830</t>
  </si>
  <si>
    <t>68eceaa344</t>
  </si>
  <si>
    <t>86b7ebf152</t>
  </si>
  <si>
    <t>22ed01d32b</t>
  </si>
  <si>
    <t>2014-05-01</t>
  </si>
  <si>
    <t>3680</t>
  </si>
  <si>
    <t>68f81f20c7</t>
  </si>
  <si>
    <t>fd3659a462</t>
  </si>
  <si>
    <t>1be60dcc35</t>
  </si>
  <si>
    <t>3805</t>
  </si>
  <si>
    <t>6d08a6eece</t>
  </si>
  <si>
    <t>e6bdcb1a03</t>
  </si>
  <si>
    <t>9d9f2f8f3e</t>
  </si>
  <si>
    <t>2017-02-01</t>
  </si>
  <si>
    <t>3763</t>
  </si>
  <si>
    <t>6d72cd5ee8</t>
  </si>
  <si>
    <t>6ecf0b1e0c</t>
  </si>
  <si>
    <t>25a78a12c5</t>
  </si>
  <si>
    <t>2003-02-03</t>
  </si>
  <si>
    <t>3874</t>
  </si>
  <si>
    <t>6d988888a0</t>
  </si>
  <si>
    <t>7337ab5d53</t>
  </si>
  <si>
    <t>88981cf8ed</t>
  </si>
  <si>
    <t>4004</t>
  </si>
  <si>
    <t>6f992bc79c</t>
  </si>
  <si>
    <t>3a52486086</t>
  </si>
  <si>
    <t>e8edb2816a</t>
  </si>
  <si>
    <t>3845</t>
  </si>
  <si>
    <t>7077146e4a</t>
  </si>
  <si>
    <t>5738ddc2b2</t>
  </si>
  <si>
    <t>566573187e</t>
  </si>
  <si>
    <t>2009-12-31</t>
  </si>
  <si>
    <t>3755</t>
  </si>
  <si>
    <t>70b483bcb4</t>
  </si>
  <si>
    <t>f3f1755d74</t>
  </si>
  <si>
    <t>146d02aba9</t>
  </si>
  <si>
    <t>CT</t>
  </si>
  <si>
    <t>2020-01-01</t>
  </si>
  <si>
    <t>3781</t>
  </si>
  <si>
    <t>71910176bf</t>
  </si>
  <si>
    <t>0b3735c12d</t>
  </si>
  <si>
    <t>2d43157d2e</t>
  </si>
  <si>
    <t>2017-12-01</t>
  </si>
  <si>
    <t>3668</t>
  </si>
  <si>
    <t>72b4873ee6</t>
  </si>
  <si>
    <t>967caadf3e</t>
  </si>
  <si>
    <t>47cf8b6234</t>
  </si>
  <si>
    <t>2018-04-01</t>
  </si>
  <si>
    <t>2023-12-30</t>
  </si>
  <si>
    <t>3717</t>
  </si>
  <si>
    <t>72f2af05a5</t>
  </si>
  <si>
    <t>1bd927fabd</t>
  </si>
  <si>
    <t>49e29aa8e9</t>
  </si>
  <si>
    <t>3816</t>
  </si>
  <si>
    <t>74a89b9838</t>
  </si>
  <si>
    <t>a36684dfa6</t>
  </si>
  <si>
    <t>93b686ccbb</t>
  </si>
  <si>
    <t>1994-01-10</t>
  </si>
  <si>
    <t>3914</t>
  </si>
  <si>
    <t>7548a5e32a</t>
  </si>
  <si>
    <t>e3e57a9eca</t>
  </si>
  <si>
    <t>5112358288</t>
  </si>
  <si>
    <t>1996-12-23</t>
  </si>
  <si>
    <t>3677</t>
  </si>
  <si>
    <t>75b4377b3e</t>
  </si>
  <si>
    <t>31b29bfd8e</t>
  </si>
  <si>
    <t>9cfadf3c9f</t>
  </si>
  <si>
    <t>3658</t>
  </si>
  <si>
    <t>764bc9a450</t>
  </si>
  <si>
    <t>5ff7bf4c39</t>
  </si>
  <si>
    <t>c1adbb5acf</t>
  </si>
  <si>
    <t>3714</t>
  </si>
  <si>
    <t>7ab5ef075a</t>
  </si>
  <si>
    <t>51229ef816</t>
  </si>
  <si>
    <t>dadd69b993</t>
  </si>
  <si>
    <t>3783</t>
  </si>
  <si>
    <t>7ac3373d9f</t>
  </si>
  <si>
    <t>3861b2c5fc</t>
  </si>
  <si>
    <t>4640f14da0</t>
  </si>
  <si>
    <t>3952</t>
  </si>
  <si>
    <t>7b7476911d</t>
  </si>
  <si>
    <t>a9181c0c3a</t>
  </si>
  <si>
    <t>47061ac1c1</t>
  </si>
  <si>
    <t>3794</t>
  </si>
  <si>
    <t>7bb05ed325</t>
  </si>
  <si>
    <t>fa42557ead</t>
  </si>
  <si>
    <t>ddcb85e57b</t>
  </si>
  <si>
    <t>2006-10-02</t>
  </si>
  <si>
    <t>3792</t>
  </si>
  <si>
    <t>7c3d05e6c9</t>
  </si>
  <si>
    <t>67e8ef0ae7</t>
  </si>
  <si>
    <t>edc9852676</t>
  </si>
  <si>
    <t>3673</t>
  </si>
  <si>
    <t>7c5ee5f9a9</t>
  </si>
  <si>
    <t>9da2b6a563</t>
  </si>
  <si>
    <t>9d40b824f2</t>
  </si>
  <si>
    <t>3785</t>
  </si>
  <si>
    <t>7c782d62c3</t>
  </si>
  <si>
    <t>b06740507f</t>
  </si>
  <si>
    <t>647387041d</t>
  </si>
  <si>
    <t>3738</t>
  </si>
  <si>
    <t>7cdee8af7a</t>
  </si>
  <si>
    <t>110fc96fcc</t>
  </si>
  <si>
    <t>730150d901</t>
  </si>
  <si>
    <t>1984-09-01</t>
  </si>
  <si>
    <t>3986</t>
  </si>
  <si>
    <t>7ce867019d</t>
  </si>
  <si>
    <t>29b0485d9f</t>
  </si>
  <si>
    <t>b8b3955cc4</t>
  </si>
  <si>
    <t>2016-12-05</t>
  </si>
  <si>
    <t>4002</t>
  </si>
  <si>
    <t>7d91b599c8</t>
  </si>
  <si>
    <t>fe0113a271</t>
  </si>
  <si>
    <t>234f261b96</t>
  </si>
  <si>
    <t>3894</t>
  </si>
  <si>
    <t>7da179e73b</t>
  </si>
  <si>
    <t>4aef28cc3a</t>
  </si>
  <si>
    <t>d5e0c7d320</t>
  </si>
  <si>
    <t>3907</t>
  </si>
  <si>
    <t>7ec97adfd1</t>
  </si>
  <si>
    <t>934df5c502</t>
  </si>
  <si>
    <t>ad0e4fe694</t>
  </si>
  <si>
    <t>3912</t>
  </si>
  <si>
    <t>801e969001</t>
  </si>
  <si>
    <t>647ad4175e</t>
  </si>
  <si>
    <t>98869acc2c</t>
  </si>
  <si>
    <t>1996-04-01</t>
  </si>
  <si>
    <t>3978</t>
  </si>
  <si>
    <t>8151f40d60</t>
  </si>
  <si>
    <t>ec5a6564ed</t>
  </si>
  <si>
    <t>1870e4437c</t>
  </si>
  <si>
    <t>3708</t>
  </si>
  <si>
    <t>81eaf55b8a</t>
  </si>
  <si>
    <t>c741a0b874</t>
  </si>
  <si>
    <t>ebb4f786d3</t>
  </si>
  <si>
    <t>3895</t>
  </si>
  <si>
    <t>82c41ed6a2</t>
  </si>
  <si>
    <t>aee6b50661</t>
  </si>
  <si>
    <t>f405d5b62a</t>
  </si>
  <si>
    <t>1993-07-01</t>
  </si>
  <si>
    <t>4029</t>
  </si>
  <si>
    <t>8388c9f9e9</t>
  </si>
  <si>
    <t>e8c20fa01d</t>
  </si>
  <si>
    <t>61bcb89cca</t>
  </si>
  <si>
    <t>3923</t>
  </si>
  <si>
    <t>84bb509e35</t>
  </si>
  <si>
    <t>14794e387d</t>
  </si>
  <si>
    <t>5c46170639</t>
  </si>
  <si>
    <t>2017-06-01</t>
  </si>
  <si>
    <t>3851</t>
  </si>
  <si>
    <t>858a79e47f</t>
  </si>
  <si>
    <t>85d4ac8d4a</t>
  </si>
  <si>
    <t>f6c574caf4</t>
  </si>
  <si>
    <t>3967</t>
  </si>
  <si>
    <t>8598470bef</t>
  </si>
  <si>
    <t>ec66b18898</t>
  </si>
  <si>
    <t>6dca149875</t>
  </si>
  <si>
    <t>3664</t>
  </si>
  <si>
    <t>85c5e1b854</t>
  </si>
  <si>
    <t>af90a8df8a</t>
  </si>
  <si>
    <t>3a064b3616</t>
  </si>
  <si>
    <t>3911</t>
  </si>
  <si>
    <t>865dddc870</t>
  </si>
  <si>
    <t>873a142a58</t>
  </si>
  <si>
    <t>ec6308cce1</t>
  </si>
  <si>
    <t>2010-03-01</t>
  </si>
  <si>
    <t>3844</t>
  </si>
  <si>
    <t>87d54472c3</t>
  </si>
  <si>
    <t>34b42754c8</t>
  </si>
  <si>
    <t>9931ad379f</t>
  </si>
  <si>
    <t>1998-09-18</t>
  </si>
  <si>
    <t>3790</t>
  </si>
  <si>
    <t>88d91c67b5</t>
  </si>
  <si>
    <t>074daa20a5</t>
  </si>
  <si>
    <t>5c60840122</t>
  </si>
  <si>
    <t>2001-05-02</t>
  </si>
  <si>
    <t>3739</t>
  </si>
  <si>
    <t>890ec1c7c2</t>
  </si>
  <si>
    <t>60199b8f3f</t>
  </si>
  <si>
    <t>6e54b26548</t>
  </si>
  <si>
    <t>3921</t>
  </si>
  <si>
    <t>8a23b184e9</t>
  </si>
  <si>
    <t>c060cd6d7b</t>
  </si>
  <si>
    <t>1843a261d5</t>
  </si>
  <si>
    <t>3927</t>
  </si>
  <si>
    <t>8a51143cd9</t>
  </si>
  <si>
    <t>b74e4152ea</t>
  </si>
  <si>
    <t>8dac449446</t>
  </si>
  <si>
    <t>3822</t>
  </si>
  <si>
    <t>8a8f29dab6</t>
  </si>
  <si>
    <t>830d11a288</t>
  </si>
  <si>
    <t>5a897b45d4</t>
  </si>
  <si>
    <t>3732</t>
  </si>
  <si>
    <t>8a9d1f2f77</t>
  </si>
  <si>
    <t>030557da19</t>
  </si>
  <si>
    <t>32411a0e99</t>
  </si>
  <si>
    <t>3884</t>
  </si>
  <si>
    <t>8b1f942e20</t>
  </si>
  <si>
    <t>9e3e9f0642</t>
  </si>
  <si>
    <t>07cd719e3a</t>
  </si>
  <si>
    <t>3747</t>
  </si>
  <si>
    <t>8bdc4b9d88</t>
  </si>
  <si>
    <t>adc6abea9c</t>
  </si>
  <si>
    <t>f80c1fb4da</t>
  </si>
  <si>
    <t>1995-10-10</t>
  </si>
  <si>
    <t>3992</t>
  </si>
  <si>
    <t>8e195c885e</t>
  </si>
  <si>
    <t>762b7e52d6</t>
  </si>
  <si>
    <t>e994782888</t>
  </si>
  <si>
    <t>3769</t>
  </si>
  <si>
    <t>8e7319d43e</t>
  </si>
  <si>
    <t>d699d25cf1</t>
  </si>
  <si>
    <t>c03e77e728</t>
  </si>
  <si>
    <t>3954</t>
  </si>
  <si>
    <t>8f2796df1a</t>
  </si>
  <si>
    <t>4916316620</t>
  </si>
  <si>
    <t>145f24a3e5</t>
  </si>
  <si>
    <t>2020-05-01</t>
  </si>
  <si>
    <t>3988</t>
  </si>
  <si>
    <t>8f3c54064e</t>
  </si>
  <si>
    <t>e75af74f2f</t>
  </si>
  <si>
    <t>677b2bf9a5</t>
  </si>
  <si>
    <t>1991-09-10</t>
  </si>
  <si>
    <t>3961</t>
  </si>
  <si>
    <t>8f57029910</t>
  </si>
  <si>
    <t>32679a9b62</t>
  </si>
  <si>
    <t>6081303f32</t>
  </si>
  <si>
    <t>3970</t>
  </si>
  <si>
    <t>924c49eeaf</t>
  </si>
  <si>
    <t>3cd569fee5</t>
  </si>
  <si>
    <t>98d3928961</t>
  </si>
  <si>
    <t>3989</t>
  </si>
  <si>
    <t>925273cb30</t>
  </si>
  <si>
    <t>1a46dac71a</t>
  </si>
  <si>
    <t>d1a8fa4568</t>
  </si>
  <si>
    <t>3671</t>
  </si>
  <si>
    <t>925c8e1bfa</t>
  </si>
  <si>
    <t>770383eb9c</t>
  </si>
  <si>
    <t>8007c14c37</t>
  </si>
  <si>
    <t>3772</t>
  </si>
  <si>
    <t>9285ab035e</t>
  </si>
  <si>
    <t>e1a2e2d5b7</t>
  </si>
  <si>
    <t>c41f4a36b6</t>
  </si>
  <si>
    <t>3675</t>
  </si>
  <si>
    <t>92f7ec8787</t>
  </si>
  <si>
    <t>abbf7b89ab</t>
  </si>
  <si>
    <t>d8497bdc64</t>
  </si>
  <si>
    <t>3666</t>
  </si>
  <si>
    <t>94fa8dc5e2</t>
  </si>
  <si>
    <t>0f406eb9b5</t>
  </si>
  <si>
    <t>d12f47248d</t>
  </si>
  <si>
    <t>3947</t>
  </si>
  <si>
    <t>954bed9a78</t>
  </si>
  <si>
    <t>bd3bcd3d46</t>
  </si>
  <si>
    <t>5d06d5b0aa</t>
  </si>
  <si>
    <t>2018-10-01</t>
  </si>
  <si>
    <t>3824</t>
  </si>
  <si>
    <t>95a485993c</t>
  </si>
  <si>
    <t>55745e56f0</t>
  </si>
  <si>
    <t>0ff0aba7c8</t>
  </si>
  <si>
    <t>2011-11-03</t>
  </si>
  <si>
    <t>3682</t>
  </si>
  <si>
    <t>9613629cb6</t>
  </si>
  <si>
    <t>36be047cf9</t>
  </si>
  <si>
    <t>f49e22859d</t>
  </si>
  <si>
    <t>3965</t>
  </si>
  <si>
    <t>964c827794</t>
  </si>
  <si>
    <t>331c3b856d</t>
  </si>
  <si>
    <t>5744ace937</t>
  </si>
  <si>
    <t>3858</t>
  </si>
  <si>
    <t>965fc12974</t>
  </si>
  <si>
    <t>7f7a4544ed</t>
  </si>
  <si>
    <t>16b74b49e5</t>
  </si>
  <si>
    <t>4009</t>
  </si>
  <si>
    <t>971c301e2d</t>
  </si>
  <si>
    <t>90d7e0ee25</t>
  </si>
  <si>
    <t>8654f72d27</t>
  </si>
  <si>
    <t>3750</t>
  </si>
  <si>
    <t>973da4a3a1</t>
  </si>
  <si>
    <t>8fe320061b</t>
  </si>
  <si>
    <t>7a366b4123</t>
  </si>
  <si>
    <t>3683</t>
  </si>
  <si>
    <t>97b2631f0a</t>
  </si>
  <si>
    <t>b829692049</t>
  </si>
  <si>
    <t>897449620f</t>
  </si>
  <si>
    <t>3983</t>
  </si>
  <si>
    <t>988430083f</t>
  </si>
  <si>
    <t>f4025e5e8e</t>
  </si>
  <si>
    <t>76a451b05d</t>
  </si>
  <si>
    <t>4019</t>
  </si>
  <si>
    <t>9913b5226a</t>
  </si>
  <si>
    <t>8a6bfd6cf0</t>
  </si>
  <si>
    <t>7dd1172c27</t>
  </si>
  <si>
    <t>CB PLACÉ</t>
  </si>
  <si>
    <t>3883</t>
  </si>
  <si>
    <t>999a15420f</t>
  </si>
  <si>
    <t>7d78628cc5</t>
  </si>
  <si>
    <t>2a0fdb9592</t>
  </si>
  <si>
    <t>2012-05-25</t>
  </si>
  <si>
    <t>3749</t>
  </si>
  <si>
    <t>99c81ebac3</t>
  </si>
  <si>
    <t>a27f393641</t>
  </si>
  <si>
    <t>7f073c90e1</t>
  </si>
  <si>
    <t>2020-02-01</t>
  </si>
  <si>
    <t>3835</t>
  </si>
  <si>
    <t>9ac54dffb7</t>
  </si>
  <si>
    <t>244a507acc</t>
  </si>
  <si>
    <t>0169b7602c</t>
  </si>
  <si>
    <t>3746</t>
  </si>
  <si>
    <t>9be59cd9c0</t>
  </si>
  <si>
    <t>c5937b4f7b</t>
  </si>
  <si>
    <t>c22d6be1b3</t>
  </si>
  <si>
    <t>3727</t>
  </si>
  <si>
    <t>9c3a59bb76</t>
  </si>
  <si>
    <t>4b3021f48d</t>
  </si>
  <si>
    <t>5d7b5d3327</t>
  </si>
  <si>
    <t>3672</t>
  </si>
  <si>
    <t>9c3ab43852</t>
  </si>
  <si>
    <t>1a9abe4ce0</t>
  </si>
  <si>
    <t>3b883d5063</t>
  </si>
  <si>
    <t>2006-10-16</t>
  </si>
  <si>
    <t>3787</t>
  </si>
  <si>
    <t>9df43f5133</t>
  </si>
  <si>
    <t>2e0a1864ca</t>
  </si>
  <si>
    <t>fc5f1e925e</t>
  </si>
  <si>
    <t>3788</t>
  </si>
  <si>
    <t>9dfc8a6ba1</t>
  </si>
  <si>
    <t>44a00c7ae6</t>
  </si>
  <si>
    <t>f726260500</t>
  </si>
  <si>
    <t>3800</t>
  </si>
  <si>
    <t>9e38a23c83</t>
  </si>
  <si>
    <t>d1d557a8de</t>
  </si>
  <si>
    <t>f29b799d0a</t>
  </si>
  <si>
    <t>2016-10-01</t>
  </si>
  <si>
    <t>4036</t>
  </si>
  <si>
    <t>9fb82e6e7f</t>
  </si>
  <si>
    <t>77489d0e19</t>
  </si>
  <si>
    <t>fc4ad6c934</t>
  </si>
  <si>
    <t>4041</t>
  </si>
  <si>
    <t>a06a1256cb</t>
  </si>
  <si>
    <t>63e25ee4f0</t>
  </si>
  <si>
    <t>68532c1dce</t>
  </si>
  <si>
    <t>3854</t>
  </si>
  <si>
    <t>a3c82f7e3b</t>
  </si>
  <si>
    <t>98caaabca3</t>
  </si>
  <si>
    <t>343256cbf7</t>
  </si>
  <si>
    <t>3960</t>
  </si>
  <si>
    <t>a537986bb4</t>
  </si>
  <si>
    <t>824f7fc054</t>
  </si>
  <si>
    <t>2af86e35f8</t>
  </si>
  <si>
    <t>4025</t>
  </si>
  <si>
    <t>a5a05a3cef</t>
  </si>
  <si>
    <t>72ebf6caa8</t>
  </si>
  <si>
    <t>f5a2b156b1</t>
  </si>
  <si>
    <t>3779</t>
  </si>
  <si>
    <t>a6ac2027ff</t>
  </si>
  <si>
    <t>60532cff5b</t>
  </si>
  <si>
    <t>eb75aa602a</t>
  </si>
  <si>
    <t>1987-10-01</t>
  </si>
  <si>
    <t>3918</t>
  </si>
  <si>
    <t>a6fb9fd340</t>
  </si>
  <si>
    <t>3261ed341c</t>
  </si>
  <si>
    <t>4b7b7e8fb0</t>
  </si>
  <si>
    <t>2012-07-17</t>
  </si>
  <si>
    <t>3775</t>
  </si>
  <si>
    <t>a72298b7ed</t>
  </si>
  <si>
    <t>0138216b9a</t>
  </si>
  <si>
    <t>f2402834da</t>
  </si>
  <si>
    <t>3868</t>
  </si>
  <si>
    <t>a725a05582</t>
  </si>
  <si>
    <t>01b7960e24</t>
  </si>
  <si>
    <t>59d43a8054</t>
  </si>
  <si>
    <t>2012-10-23</t>
  </si>
  <si>
    <t>3748</t>
  </si>
  <si>
    <t>a73811ac85</t>
  </si>
  <si>
    <t>327f0e35e8</t>
  </si>
  <si>
    <t>d122dfec6e</t>
  </si>
  <si>
    <t>1987-09-15</t>
  </si>
  <si>
    <t>4003</t>
  </si>
  <si>
    <t>a75c6aca16</t>
  </si>
  <si>
    <t>294059b8df</t>
  </si>
  <si>
    <t>3ef1c27d07</t>
  </si>
  <si>
    <t>3774</t>
  </si>
  <si>
    <t>a7a64795ca</t>
  </si>
  <si>
    <t>e5551dd0af</t>
  </si>
  <si>
    <t>73a0597660</t>
  </si>
  <si>
    <t>3849</t>
  </si>
  <si>
    <t>a8e4a25631</t>
  </si>
  <si>
    <t>a8555f7df4</t>
  </si>
  <si>
    <t>1fd28a61bf</t>
  </si>
  <si>
    <t>3863</t>
  </si>
  <si>
    <t>a95a1a05a8</t>
  </si>
  <si>
    <t>ed1b1fc598</t>
  </si>
  <si>
    <t>53ca47c03a</t>
  </si>
  <si>
    <t>B GREF  PLACÉ</t>
  </si>
  <si>
    <t>2021-02-01</t>
  </si>
  <si>
    <t>3765</t>
  </si>
  <si>
    <t>a979e203ba</t>
  </si>
  <si>
    <t>ea7bede5f1</t>
  </si>
  <si>
    <t>40b4e3b12e</t>
  </si>
  <si>
    <t>2001-08-16</t>
  </si>
  <si>
    <t>3762</t>
  </si>
  <si>
    <t>aa1e8d84fb</t>
  </si>
  <si>
    <t>bbc05d2ad0</t>
  </si>
  <si>
    <t>626bb36648</t>
  </si>
  <si>
    <t>2003-06-01</t>
  </si>
  <si>
    <t>3964</t>
  </si>
  <si>
    <t>aa7cadb1e6</t>
  </si>
  <si>
    <t>55d0bda63c</t>
  </si>
  <si>
    <t>6ef857b1e4</t>
  </si>
  <si>
    <t>3833</t>
  </si>
  <si>
    <t>aab1878277</t>
  </si>
  <si>
    <t>601320b73e</t>
  </si>
  <si>
    <t>0481df7f86</t>
  </si>
  <si>
    <t>4044</t>
  </si>
  <si>
    <t>ac32e3280e</t>
  </si>
  <si>
    <t>7c9b895025</t>
  </si>
  <si>
    <t>45a5dea32a</t>
  </si>
  <si>
    <t>1997-02-03</t>
  </si>
  <si>
    <t>4026</t>
  </si>
  <si>
    <t>ac87a52c3b</t>
  </si>
  <si>
    <t>71ac3d2a6c</t>
  </si>
  <si>
    <t>e1428ae7f5</t>
  </si>
  <si>
    <t>2011-11-01</t>
  </si>
  <si>
    <t>3979</t>
  </si>
  <si>
    <t>ad00818163</t>
  </si>
  <si>
    <t>55dc1307ee</t>
  </si>
  <si>
    <t>81f2dda6fb</t>
  </si>
  <si>
    <t>3809</t>
  </si>
  <si>
    <t>ad082a7ba3</t>
  </si>
  <si>
    <t>37713b1a46</t>
  </si>
  <si>
    <t>e13b8c8187</t>
  </si>
  <si>
    <t>3761</t>
  </si>
  <si>
    <t>adfaad5cd6</t>
  </si>
  <si>
    <t>ed3d7a59c4</t>
  </si>
  <si>
    <t>385aeaf5b3</t>
  </si>
  <si>
    <t>3876</t>
  </si>
  <si>
    <t>b03146f087</t>
  </si>
  <si>
    <t>064342cf88</t>
  </si>
  <si>
    <t>66d315a9d3</t>
  </si>
  <si>
    <t>1990-09-24</t>
  </si>
  <si>
    <t>3933</t>
  </si>
  <si>
    <t>b08c41bbf2</t>
  </si>
  <si>
    <t>66e3c09a96</t>
  </si>
  <si>
    <t>c98b3d0aa7</t>
  </si>
  <si>
    <t>2004-09-10</t>
  </si>
  <si>
    <t>3877</t>
  </si>
  <si>
    <t>b0b569ad49</t>
  </si>
  <si>
    <t>6b78fc445c</t>
  </si>
  <si>
    <t>bb4c47a639</t>
  </si>
  <si>
    <t>2011-09-01</t>
  </si>
  <si>
    <t>3681</t>
  </si>
  <si>
    <t>b170f72ae1</t>
  </si>
  <si>
    <t>07461e9e7f</t>
  </si>
  <si>
    <t>b62ccc96e0</t>
  </si>
  <si>
    <t>2000-09-01</t>
  </si>
  <si>
    <t>5608</t>
  </si>
  <si>
    <t>b296e66480</t>
  </si>
  <si>
    <t>574dd947ba</t>
  </si>
  <si>
    <t>9cc726ae2f</t>
  </si>
  <si>
    <t>2023-01-02</t>
  </si>
  <si>
    <t>3893</t>
  </si>
  <si>
    <t>b2a53a6958</t>
  </si>
  <si>
    <t>d0155c0dc7</t>
  </si>
  <si>
    <t>42300de5b5</t>
  </si>
  <si>
    <t>3902</t>
  </si>
  <si>
    <t>b37ced35dc</t>
  </si>
  <si>
    <t>93e762a252</t>
  </si>
  <si>
    <t>78cedad8b8</t>
  </si>
  <si>
    <t>3957</t>
  </si>
  <si>
    <t>b487c4a6e3</t>
  </si>
  <si>
    <t>ac76a07afc</t>
  </si>
  <si>
    <t>261855501d</t>
  </si>
  <si>
    <t>3995</t>
  </si>
  <si>
    <t>b4bd1a9d70</t>
  </si>
  <si>
    <t>9ba3c885b3</t>
  </si>
  <si>
    <t>adbdba08cb</t>
  </si>
  <si>
    <t>4045</t>
  </si>
  <si>
    <t>b4bd4cddb6</t>
  </si>
  <si>
    <t>fb3c397b61</t>
  </si>
  <si>
    <t>577a739958</t>
  </si>
  <si>
    <t>3848</t>
  </si>
  <si>
    <t>b50db4cc54</t>
  </si>
  <si>
    <t>9a7273828d</t>
  </si>
  <si>
    <t>975190dba8</t>
  </si>
  <si>
    <t>4008</t>
  </si>
  <si>
    <t>b5a6bd5849</t>
  </si>
  <si>
    <t>674581d200</t>
  </si>
  <si>
    <t>585e9d6cf8</t>
  </si>
  <si>
    <t>4034</t>
  </si>
  <si>
    <t>b709f8b26a</t>
  </si>
  <si>
    <t>e38cc57a41</t>
  </si>
  <si>
    <t>ed9d1981aa</t>
  </si>
  <si>
    <t>3743</t>
  </si>
  <si>
    <t>b932337daf</t>
  </si>
  <si>
    <t>97f6846f9d</t>
  </si>
  <si>
    <t>dbeb523954</t>
  </si>
  <si>
    <t>3908</t>
  </si>
  <si>
    <t>b938c03450</t>
  </si>
  <si>
    <t>200d075d36</t>
  </si>
  <si>
    <t>5edb7c8362</t>
  </si>
  <si>
    <t>3909</t>
  </si>
  <si>
    <t>b9c7317625</t>
  </si>
  <si>
    <t>16a20100f4</t>
  </si>
  <si>
    <t>6d84c281ed</t>
  </si>
  <si>
    <t>3729</t>
  </si>
  <si>
    <t>ba63d8c287</t>
  </si>
  <si>
    <t>f8d490db6d</t>
  </si>
  <si>
    <t>44994a1a1c</t>
  </si>
  <si>
    <t>2021-11-15</t>
  </si>
  <si>
    <t>3825</t>
  </si>
  <si>
    <t>bb1d045209</t>
  </si>
  <si>
    <t>2bc51f9a8d</t>
  </si>
  <si>
    <t>df72a4e5cb</t>
  </si>
  <si>
    <t>2013-04-11</t>
  </si>
  <si>
    <t>3818</t>
  </si>
  <si>
    <t>bd5391b764</t>
  </si>
  <si>
    <t>d97b9b6eb0</t>
  </si>
  <si>
    <t>f5d62780c1</t>
  </si>
  <si>
    <t>3659</t>
  </si>
  <si>
    <t>bdd025d0d7</t>
  </si>
  <si>
    <t>3d65a50a86</t>
  </si>
  <si>
    <t>14ba917941</t>
  </si>
  <si>
    <t>3719</t>
  </si>
  <si>
    <t>bec79dc073</t>
  </si>
  <si>
    <t>691ac8ad42</t>
  </si>
  <si>
    <t>a8413faf6e</t>
  </si>
  <si>
    <t>CONT CB</t>
  </si>
  <si>
    <t>3886</t>
  </si>
  <si>
    <t>bed62153fa</t>
  </si>
  <si>
    <t>0876a80b2b</t>
  </si>
  <si>
    <t>07440a651c</t>
  </si>
  <si>
    <t>3820</t>
  </si>
  <si>
    <t>beedb50317</t>
  </si>
  <si>
    <t>4f35bea9bd</t>
  </si>
  <si>
    <t>ce81796c01</t>
  </si>
  <si>
    <t>3693</t>
  </si>
  <si>
    <t>bf4073b1de</t>
  </si>
  <si>
    <t>d792bb5e28</t>
  </si>
  <si>
    <t>be121259ce</t>
  </si>
  <si>
    <t>3710</t>
  </si>
  <si>
    <t>bf527f7ea2</t>
  </si>
  <si>
    <t>4a5ab2670d</t>
  </si>
  <si>
    <t>f48581da16</t>
  </si>
  <si>
    <t>3900</t>
  </si>
  <si>
    <t>bfbea5cbe3</t>
  </si>
  <si>
    <t>70117d5954</t>
  </si>
  <si>
    <t>4368cdb925</t>
  </si>
  <si>
    <t>3791</t>
  </si>
  <si>
    <t>bff91dad06</t>
  </si>
  <si>
    <t>bf27ba8ced</t>
  </si>
  <si>
    <t>9963b7b3d2</t>
  </si>
  <si>
    <t>3982</t>
  </si>
  <si>
    <t>c04a57415e</t>
  </si>
  <si>
    <t>829486ffa1</t>
  </si>
  <si>
    <t>709bac0133</t>
  </si>
  <si>
    <t>3959</t>
  </si>
  <si>
    <t>c07d9ef0ad</t>
  </si>
  <si>
    <t>9ad8a6ea64</t>
  </si>
  <si>
    <t>570b7cb0a4</t>
  </si>
  <si>
    <t>3855</t>
  </si>
  <si>
    <t>c0cdb511d6</t>
  </si>
  <si>
    <t>319bad4579</t>
  </si>
  <si>
    <t>5b75513863</t>
  </si>
  <si>
    <t>3994</t>
  </si>
  <si>
    <t>c13cf1be03</t>
  </si>
  <si>
    <t>9c3be1c005</t>
  </si>
  <si>
    <t>b9c54d8000</t>
  </si>
  <si>
    <t>3859</t>
  </si>
  <si>
    <t>c1493cf9be</t>
  </si>
  <si>
    <t>d0eb27c2b6</t>
  </si>
  <si>
    <t>fa017063e9</t>
  </si>
  <si>
    <t>2015-04-01</t>
  </si>
  <si>
    <t>3879</t>
  </si>
  <si>
    <t>c2a03f43cb</t>
  </si>
  <si>
    <t>63b3c67c44</t>
  </si>
  <si>
    <t>a4d975c4fe</t>
  </si>
  <si>
    <t>3972</t>
  </si>
  <si>
    <t>c2d78f777f</t>
  </si>
  <si>
    <t>55ce333bc2</t>
  </si>
  <si>
    <t>4995e7c8f6</t>
  </si>
  <si>
    <t>3878</t>
  </si>
  <si>
    <t>c41a06dfff</t>
  </si>
  <si>
    <t>58c1cf12e5</t>
  </si>
  <si>
    <t>942d5c6805</t>
  </si>
  <si>
    <t>3661</t>
  </si>
  <si>
    <t>c4cc15b20f</t>
  </si>
  <si>
    <t>7ce367a60f</t>
  </si>
  <si>
    <t>b282a07b0a</t>
  </si>
  <si>
    <t>2019-12-16</t>
  </si>
  <si>
    <t>3936</t>
  </si>
  <si>
    <t>c704bf96ff</t>
  </si>
  <si>
    <t>561a7499fb</t>
  </si>
  <si>
    <t>92a54077a1</t>
  </si>
  <si>
    <t>2009-09-12</t>
  </si>
  <si>
    <t>3887</t>
  </si>
  <si>
    <t>c7bd03ccdc</t>
  </si>
  <si>
    <t>c9a8be8e9d</t>
  </si>
  <si>
    <t>e82962a7f2</t>
  </si>
  <si>
    <t>3943</t>
  </si>
  <si>
    <t>c7bef4ccc7</t>
  </si>
  <si>
    <t>bd140fbdfc</t>
  </si>
  <si>
    <t>0b5ec2234b</t>
  </si>
  <si>
    <t>3920</t>
  </si>
  <si>
    <t>c81cb7c654</t>
  </si>
  <si>
    <t>b9036eb0da</t>
  </si>
  <si>
    <t>481f6ef825</t>
  </si>
  <si>
    <t>3706</t>
  </si>
  <si>
    <t>c968b31ccf</t>
  </si>
  <si>
    <t>ca317da123</t>
  </si>
  <si>
    <t>7caf35520b</t>
  </si>
  <si>
    <t>CONT CT</t>
  </si>
  <si>
    <t>2017-07-01</t>
  </si>
  <si>
    <t>3740</t>
  </si>
  <si>
    <t>c96aabb754</t>
  </si>
  <si>
    <t>baa662be6b</t>
  </si>
  <si>
    <t>604654c385</t>
  </si>
  <si>
    <t>3737</t>
  </si>
  <si>
    <t>c9953af3af</t>
  </si>
  <si>
    <t>504aed9ca1</t>
  </si>
  <si>
    <t>665724a0b8</t>
  </si>
  <si>
    <t>3905</t>
  </si>
  <si>
    <t>cad04e76bf</t>
  </si>
  <si>
    <t>b1d1621419</t>
  </si>
  <si>
    <t>771f5a30f6</t>
  </si>
  <si>
    <t>2021-04-01</t>
  </si>
  <si>
    <t>3764</t>
  </si>
  <si>
    <t>cb315dc220</t>
  </si>
  <si>
    <t>6dc52f96f0</t>
  </si>
  <si>
    <t>106ce13d2e</t>
  </si>
  <si>
    <t>3651</t>
  </si>
  <si>
    <t>cc7175e011</t>
  </si>
  <si>
    <t>3dbe6a3e17</t>
  </si>
  <si>
    <t>e6fa696f18</t>
  </si>
  <si>
    <t>3922</t>
  </si>
  <si>
    <t>cc8bd11d92</t>
  </si>
  <si>
    <t>c9fc6c1ade</t>
  </si>
  <si>
    <t>c2801fea0f</t>
  </si>
  <si>
    <t>4001</t>
  </si>
  <si>
    <t>cccc2a4ab1</t>
  </si>
  <si>
    <t>23de9336d4</t>
  </si>
  <si>
    <t>95c94b4ec4</t>
  </si>
  <si>
    <t>3656</t>
  </si>
  <si>
    <t>ce0d0f224e</t>
  </si>
  <si>
    <t>231c6cffe5</t>
  </si>
  <si>
    <t>4780c09444</t>
  </si>
  <si>
    <t>4007</t>
  </si>
  <si>
    <t>cedb71a161</t>
  </si>
  <si>
    <t>545a5e18ba</t>
  </si>
  <si>
    <t>d5af943c21</t>
  </si>
  <si>
    <t>3966</t>
  </si>
  <si>
    <t>cf643e76dc</t>
  </si>
  <si>
    <t>a32e05a9ee</t>
  </si>
  <si>
    <t>8f65578d62</t>
  </si>
  <si>
    <t>3807</t>
  </si>
  <si>
    <t>cfea913780</t>
  </si>
  <si>
    <t>b99d67d005</t>
  </si>
  <si>
    <t>28f536bb37</t>
  </si>
  <si>
    <t>2005-12-01</t>
  </si>
  <si>
    <t>2023-08-31</t>
  </si>
  <si>
    <t>3657</t>
  </si>
  <si>
    <t>d099db0a3c</t>
  </si>
  <si>
    <t>b8a9416083</t>
  </si>
  <si>
    <t>1f12b77210</t>
  </si>
  <si>
    <t>3919</t>
  </si>
  <si>
    <t>d1413a9779</t>
  </si>
  <si>
    <t>e15251951b</t>
  </si>
  <si>
    <t>691199d4cb</t>
  </si>
  <si>
    <t>3881</t>
  </si>
  <si>
    <t>d1c5f0bdb1</t>
  </si>
  <si>
    <t>71924d5567</t>
  </si>
  <si>
    <t>475e5a0dd6</t>
  </si>
  <si>
    <t>2020-12-14</t>
  </si>
  <si>
    <t>3759</t>
  </si>
  <si>
    <t>d280683dc5</t>
  </si>
  <si>
    <t>c7728f0f40</t>
  </si>
  <si>
    <t>597c0cb385</t>
  </si>
  <si>
    <t>3810</t>
  </si>
  <si>
    <t>d2e71f20c5</t>
  </si>
  <si>
    <t>e03c2df50b</t>
  </si>
  <si>
    <t>97808189ae</t>
  </si>
  <si>
    <t>2021-05-17</t>
  </si>
  <si>
    <t>3975</t>
  </si>
  <si>
    <t>d466711af4</t>
  </si>
  <si>
    <t>dfee829080</t>
  </si>
  <si>
    <t>ccade81e74</t>
  </si>
  <si>
    <t>3828</t>
  </si>
  <si>
    <t>d63fb6dc3a</t>
  </si>
  <si>
    <t>f86b002a76</t>
  </si>
  <si>
    <t>13aeb90234</t>
  </si>
  <si>
    <t>2013-02-01</t>
  </si>
  <si>
    <t>3885</t>
  </si>
  <si>
    <t>d761701849</t>
  </si>
  <si>
    <t>5c3ced1e72</t>
  </si>
  <si>
    <t>a53ce45276</t>
  </si>
  <si>
    <t>3819</t>
  </si>
  <si>
    <t>d88afb0fac</t>
  </si>
  <si>
    <t>62e58b3f2d</t>
  </si>
  <si>
    <t>660c38b4d3</t>
  </si>
  <si>
    <t>2010-09-01</t>
  </si>
  <si>
    <t>3724</t>
  </si>
  <si>
    <t>d9704b9962</t>
  </si>
  <si>
    <t>a2d90c7f7c</t>
  </si>
  <si>
    <t>1a4d9c0aa2</t>
  </si>
  <si>
    <t>2021-07-23</t>
  </si>
  <si>
    <t>4039</t>
  </si>
  <si>
    <t>d9705e86e1</t>
  </si>
  <si>
    <t>5d17e45208</t>
  </si>
  <si>
    <t>1bc2612d3f</t>
  </si>
  <si>
    <t>CONT B</t>
  </si>
  <si>
    <t>1991-10-01</t>
  </si>
  <si>
    <t>3948</t>
  </si>
  <si>
    <t>d97ec4f0c9</t>
  </si>
  <si>
    <t>195bf5c28f</t>
  </si>
  <si>
    <t>a21fdcdcff</t>
  </si>
  <si>
    <t>3689</t>
  </si>
  <si>
    <t>d9e797aeba</t>
  </si>
  <si>
    <t>bcea011089</t>
  </si>
  <si>
    <t>8fc078c233</t>
  </si>
  <si>
    <t>3786</t>
  </si>
  <si>
    <t>da13bd4c5a</t>
  </si>
  <si>
    <t>590d0fb332</t>
  </si>
  <si>
    <t>ed29fc1d9f</t>
  </si>
  <si>
    <t>4011</t>
  </si>
  <si>
    <t>da57fdefef</t>
  </si>
  <si>
    <t>81b6cb45d3</t>
  </si>
  <si>
    <t>f329137fdc</t>
  </si>
  <si>
    <t>4040</t>
  </si>
  <si>
    <t>daaa14e908</t>
  </si>
  <si>
    <t>2037a70416</t>
  </si>
  <si>
    <t>1f0bb4a5b3</t>
  </si>
  <si>
    <t>3956</t>
  </si>
  <si>
    <t>daeb85beae</t>
  </si>
  <si>
    <t>0484fd2ecd</t>
  </si>
  <si>
    <t>0273cf6e60</t>
  </si>
  <si>
    <t>3699</t>
  </si>
  <si>
    <t>db17adb02d</t>
  </si>
  <si>
    <t>5eeed8a756</t>
  </si>
  <si>
    <t>cef2670c8f</t>
  </si>
  <si>
    <t>CONT A JP</t>
  </si>
  <si>
    <t>3832</t>
  </si>
  <si>
    <t>db3f956ab5</t>
  </si>
  <si>
    <t>d13662c7eb</t>
  </si>
  <si>
    <t>244ce01113</t>
  </si>
  <si>
    <t>3655</t>
  </si>
  <si>
    <t>dbfdb78d01</t>
  </si>
  <si>
    <t>c43b943161</t>
  </si>
  <si>
    <t>b43485e302</t>
  </si>
  <si>
    <t>3837</t>
  </si>
  <si>
    <t>dc4345c315</t>
  </si>
  <si>
    <t>62c8031337</t>
  </si>
  <si>
    <t>91154c5aac</t>
  </si>
  <si>
    <t>3731</t>
  </si>
  <si>
    <t>dc47d15146</t>
  </si>
  <si>
    <t>87cdabacde</t>
  </si>
  <si>
    <t>5221f25259</t>
  </si>
  <si>
    <t>3793</t>
  </si>
  <si>
    <t>dc4898bf2b</t>
  </si>
  <si>
    <t>ea85654f8f</t>
  </si>
  <si>
    <t>2c586a02ab</t>
  </si>
  <si>
    <t>2016-10-17</t>
  </si>
  <si>
    <t>3687</t>
  </si>
  <si>
    <t>ddc69d403a</t>
  </si>
  <si>
    <t>36d2830cd3</t>
  </si>
  <si>
    <t>95199c403c</t>
  </si>
  <si>
    <t>3925</t>
  </si>
  <si>
    <t>dddb5dafcd</t>
  </si>
  <si>
    <t>99a5cc4479</t>
  </si>
  <si>
    <t>0c549b68a6</t>
  </si>
  <si>
    <t>3916</t>
  </si>
  <si>
    <t>de68017d8f</t>
  </si>
  <si>
    <t>195236478f</t>
  </si>
  <si>
    <t>7c829d1e0c</t>
  </si>
  <si>
    <t>3784</t>
  </si>
  <si>
    <t>ded3824d2c</t>
  </si>
  <si>
    <t>82b3057245</t>
  </si>
  <si>
    <t>f6111312cf</t>
  </si>
  <si>
    <t>3888</t>
  </si>
  <si>
    <t>df3bc54852</t>
  </si>
  <si>
    <t>69891643f3</t>
  </si>
  <si>
    <t>04a7b86e8a</t>
  </si>
  <si>
    <t>3861</t>
  </si>
  <si>
    <t>e027d735f0</t>
  </si>
  <si>
    <t>dd564f1d08</t>
  </si>
  <si>
    <t>fbde4c3df2</t>
  </si>
  <si>
    <t>3723</t>
  </si>
  <si>
    <t>e10482deff</t>
  </si>
  <si>
    <t>e653b41c94</t>
  </si>
  <si>
    <t>fc2cb1037b</t>
  </si>
  <si>
    <t>3707</t>
  </si>
  <si>
    <t>e161393dce</t>
  </si>
  <si>
    <t>8dbb6656d5</t>
  </si>
  <si>
    <t>e3d0c2dcd7</t>
  </si>
  <si>
    <t>2002-09-02</t>
  </si>
  <si>
    <t>3806</t>
  </si>
  <si>
    <t>e260454a9a</t>
  </si>
  <si>
    <t>b7091e1bf9</t>
  </si>
  <si>
    <t>ab7d9fceb7</t>
  </si>
  <si>
    <t>3850</t>
  </si>
  <si>
    <t>e423108bda</t>
  </si>
  <si>
    <t>95d8ccc2c5</t>
  </si>
  <si>
    <t>b62eccabd9</t>
  </si>
  <si>
    <t>2015-11-01</t>
  </si>
  <si>
    <t>3891</t>
  </si>
  <si>
    <t>e425091ca4</t>
  </si>
  <si>
    <t>465cf4fb9b</t>
  </si>
  <si>
    <t>fb58c751f6</t>
  </si>
  <si>
    <t>3789</t>
  </si>
  <si>
    <t>e4ffa551cb</t>
  </si>
  <si>
    <t>845bf85666</t>
  </si>
  <si>
    <t>b9cfa010fb</t>
  </si>
  <si>
    <t>3801</t>
  </si>
  <si>
    <t>e5443f0b69</t>
  </si>
  <si>
    <t>f3d4dca714</t>
  </si>
  <si>
    <t>0bb6780cd6</t>
  </si>
  <si>
    <t>1989-12-01</t>
  </si>
  <si>
    <t>4028</t>
  </si>
  <si>
    <t>e5b5b73d8d</t>
  </si>
  <si>
    <t>9d9901d33f</t>
  </si>
  <si>
    <t>1de62e33bf</t>
  </si>
  <si>
    <t>3831</t>
  </si>
  <si>
    <t>e5c9206a92</t>
  </si>
  <si>
    <t>7a81b943d5</t>
  </si>
  <si>
    <t>4985092f07</t>
  </si>
  <si>
    <t>3996</t>
  </si>
  <si>
    <t>e6d6b9e1b6</t>
  </si>
  <si>
    <t>72637b4377</t>
  </si>
  <si>
    <t>810e2a86e6</t>
  </si>
  <si>
    <t>4018</t>
  </si>
  <si>
    <t>e876bc02d7</t>
  </si>
  <si>
    <t>402940adbf</t>
  </si>
  <si>
    <t>b205dcbb32</t>
  </si>
  <si>
    <t>3679</t>
  </si>
  <si>
    <t>e924b5fe68</t>
  </si>
  <si>
    <t>d867b8b4eb</t>
  </si>
  <si>
    <t>33616cfdd7</t>
  </si>
  <si>
    <t>1996-09-16</t>
  </si>
  <si>
    <t>3872</t>
  </si>
  <si>
    <t>e9affaf35c</t>
  </si>
  <si>
    <t>bfda0d811c</t>
  </si>
  <si>
    <t>b63f88bec3</t>
  </si>
  <si>
    <t>3678</t>
  </si>
  <si>
    <t>e9c6af50a2</t>
  </si>
  <si>
    <t>97fac6f158</t>
  </si>
  <si>
    <t>fb12d80d2d</t>
  </si>
  <si>
    <t>1993-12-06</t>
  </si>
  <si>
    <t>3985</t>
  </si>
  <si>
    <t>e9dea0f34c</t>
  </si>
  <si>
    <t>c2ecddeb0c</t>
  </si>
  <si>
    <t>51fb827045</t>
  </si>
  <si>
    <t>4021</t>
  </si>
  <si>
    <t>ea8b53ef70</t>
  </si>
  <si>
    <t>906bf82531</t>
  </si>
  <si>
    <t>cb5f1e0ceb</t>
  </si>
  <si>
    <t>3974</t>
  </si>
  <si>
    <t>eab75c06ae</t>
  </si>
  <si>
    <t>ba50c8595b</t>
  </si>
  <si>
    <t>3e0de12554</t>
  </si>
  <si>
    <t>3942</t>
  </si>
  <si>
    <t>eb0105bbf7</t>
  </si>
  <si>
    <t>447c5543c3</t>
  </si>
  <si>
    <t>7756ad569f</t>
  </si>
  <si>
    <t>3705</t>
  </si>
  <si>
    <t>eb2bbcb3d0</t>
  </si>
  <si>
    <t>d6fbb6d670</t>
  </si>
  <si>
    <t>182f04db43</t>
  </si>
  <si>
    <t>2002-01-02</t>
  </si>
  <si>
    <t>4035</t>
  </si>
  <si>
    <t>eb9ffea657</t>
  </si>
  <si>
    <t>2a87a0a473</t>
  </si>
  <si>
    <t>e36d1db84b</t>
  </si>
  <si>
    <t>3853</t>
  </si>
  <si>
    <t>ed52943258</t>
  </si>
  <si>
    <t>8386e38303</t>
  </si>
  <si>
    <t>74f60413cc</t>
  </si>
  <si>
    <t>2006-03-20</t>
  </si>
  <si>
    <t>3685</t>
  </si>
  <si>
    <t>ee73e6c3ca</t>
  </si>
  <si>
    <t>e1b392fb8c</t>
  </si>
  <si>
    <t>2fe2f30bd7</t>
  </si>
  <si>
    <t>3662</t>
  </si>
  <si>
    <t>ef8126782a</t>
  </si>
  <si>
    <t>0850ec50c3</t>
  </si>
  <si>
    <t>63f6ca6809</t>
  </si>
  <si>
    <t>3862</t>
  </si>
  <si>
    <t>f04cb125c6</t>
  </si>
  <si>
    <t>2940bf29e2</t>
  </si>
  <si>
    <t>a565ca6966</t>
  </si>
  <si>
    <t>3813</t>
  </si>
  <si>
    <t>f1b43bb61d</t>
  </si>
  <si>
    <t>488980f40e</t>
  </si>
  <si>
    <t>c3c055e288</t>
  </si>
  <si>
    <t>1996-09-02</t>
  </si>
  <si>
    <t>3734</t>
  </si>
  <si>
    <t>f26ce6e1e0</t>
  </si>
  <si>
    <t>af0de24168</t>
  </si>
  <si>
    <t>56cb3b95ea</t>
  </si>
  <si>
    <t>2020-10-05</t>
  </si>
  <si>
    <t>3665</t>
  </si>
  <si>
    <t>f312261473</t>
  </si>
  <si>
    <t>78e60c9ed8</t>
  </si>
  <si>
    <t>423f37872b</t>
  </si>
  <si>
    <t>3745</t>
  </si>
  <si>
    <t>f36fae6610</t>
  </si>
  <si>
    <t>bf5125cc3d</t>
  </si>
  <si>
    <t>ad6a9aa559</t>
  </si>
  <si>
    <t>4033</t>
  </si>
  <si>
    <t>f47957b1d2</t>
  </si>
  <si>
    <t>c6d82b4653</t>
  </si>
  <si>
    <t>29e5ea0336</t>
  </si>
  <si>
    <t>3782</t>
  </si>
  <si>
    <t>f4d39cc6ad</t>
  </si>
  <si>
    <t>2f6be86ecc</t>
  </si>
  <si>
    <t>484b5d3582</t>
  </si>
  <si>
    <t>3852</t>
  </si>
  <si>
    <t>f62292a4a2</t>
  </si>
  <si>
    <t>543e368d3c</t>
  </si>
  <si>
    <t>a641a5b6f7</t>
  </si>
  <si>
    <t>3798</t>
  </si>
  <si>
    <t>f622d55d95</t>
  </si>
  <si>
    <t>585c202f55</t>
  </si>
  <si>
    <t>70d2d6679a</t>
  </si>
  <si>
    <t>4037</t>
  </si>
  <si>
    <t>f7526e9444</t>
  </si>
  <si>
    <t>a44a83775c</t>
  </si>
  <si>
    <t>000fc8b29f</t>
  </si>
  <si>
    <t>3890</t>
  </si>
  <si>
    <t>f7b366f156</t>
  </si>
  <si>
    <t>fe8528bef0</t>
  </si>
  <si>
    <t>e653f34286</t>
  </si>
  <si>
    <t>3984</t>
  </si>
  <si>
    <t>f7b93f0693</t>
  </si>
  <si>
    <t>21e78c6981</t>
  </si>
  <si>
    <t>1270a4d78a</t>
  </si>
  <si>
    <t>3703</t>
  </si>
  <si>
    <t>f80e63024d</t>
  </si>
  <si>
    <t>17ef4a8261</t>
  </si>
  <si>
    <t>c7531c799b</t>
  </si>
  <si>
    <t>4030</t>
  </si>
  <si>
    <t>f979b518fa</t>
  </si>
  <si>
    <t>d409e1b198</t>
  </si>
  <si>
    <t>2499d51d82</t>
  </si>
  <si>
    <t>3795</t>
  </si>
  <si>
    <t>f9950e4978</t>
  </si>
  <si>
    <t>093a924119</t>
  </si>
  <si>
    <t>34326fd3bb</t>
  </si>
  <si>
    <t>3814</t>
  </si>
  <si>
    <t>f9d7109168</t>
  </si>
  <si>
    <t>c5aa6d531d</t>
  </si>
  <si>
    <t>7e8eaf9fea</t>
  </si>
  <si>
    <t>3726</t>
  </si>
  <si>
    <t>fa16cc03d2</t>
  </si>
  <si>
    <t>7b596fce33</t>
  </si>
  <si>
    <t>261c373dee</t>
  </si>
  <si>
    <t>4006</t>
  </si>
  <si>
    <t>fa7b964cbf</t>
  </si>
  <si>
    <t>e91383e38c</t>
  </si>
  <si>
    <t>dcec9c5e9a</t>
  </si>
  <si>
    <t>3653</t>
  </si>
  <si>
    <t>fab77ac473</t>
  </si>
  <si>
    <t>61e9b6b5ec</t>
  </si>
  <si>
    <t>adb929819d</t>
  </si>
  <si>
    <t>3780</t>
  </si>
  <si>
    <t>fb0a3a3c25</t>
  </si>
  <si>
    <t>70181d9fb5</t>
  </si>
  <si>
    <t>e82ee07ab1</t>
  </si>
  <si>
    <t>3867</t>
  </si>
  <si>
    <t>fb13c69e0b</t>
  </si>
  <si>
    <t>89f25bbb93</t>
  </si>
  <si>
    <t>e9fd4d6c13</t>
  </si>
  <si>
    <t>3797</t>
  </si>
  <si>
    <t>fbe76389ed</t>
  </si>
  <si>
    <t>624f50d9be</t>
  </si>
  <si>
    <t>eb1d50e854</t>
  </si>
  <si>
    <t>4012</t>
  </si>
  <si>
    <t>fd9a3cc59b</t>
  </si>
  <si>
    <t>5f25b8a50a</t>
  </si>
  <si>
    <t>9c6e31a877</t>
  </si>
  <si>
    <t>3815</t>
  </si>
  <si>
    <t>fda724be91</t>
  </si>
  <si>
    <t>4dae538869</t>
  </si>
  <si>
    <t>b47790328c</t>
  </si>
  <si>
    <t>1996-01-31</t>
  </si>
  <si>
    <t>3711</t>
  </si>
  <si>
    <t>ff865c7a15</t>
  </si>
  <si>
    <t>ac4255314a</t>
  </si>
  <si>
    <t>02f03f6cb6</t>
  </si>
  <si>
    <t>10235</t>
  </si>
  <si>
    <t>027eeaff64</t>
  </si>
  <si>
    <t>d9543f0d85</t>
  </si>
  <si>
    <t>81cb4170e8</t>
  </si>
  <si>
    <t>Autour du magistrat</t>
  </si>
  <si>
    <t>ADJ</t>
  </si>
  <si>
    <t>2024-12-04</t>
  </si>
  <si>
    <t>10238</t>
  </si>
  <si>
    <t>1ded61d77e</t>
  </si>
  <si>
    <t>86192b03b4</t>
  </si>
  <si>
    <t>3d34ef9dbd</t>
  </si>
  <si>
    <t>10240</t>
  </si>
  <si>
    <t>3466c4e03f</t>
  </si>
  <si>
    <t>889f2c1a81</t>
  </si>
  <si>
    <t>01682e748a</t>
  </si>
  <si>
    <t>5601</t>
  </si>
  <si>
    <t>4ae2521cbb</t>
  </si>
  <si>
    <t>27916761e1</t>
  </si>
  <si>
    <t>96688fde48</t>
  </si>
  <si>
    <t>JA</t>
  </si>
  <si>
    <t>2022-11-01</t>
  </si>
  <si>
    <t>10247</t>
  </si>
  <si>
    <t>80a3ea55d9</t>
  </si>
  <si>
    <t>e2c2038e23</t>
  </si>
  <si>
    <t>794b703fed</t>
  </si>
  <si>
    <t>10242</t>
  </si>
  <si>
    <t>867ce81781</t>
  </si>
  <si>
    <t>c8b592045f</t>
  </si>
  <si>
    <t>2234167f47</t>
  </si>
  <si>
    <t>2023-03-01</t>
  </si>
  <si>
    <t>10236</t>
  </si>
  <si>
    <t>e93af67115</t>
  </si>
  <si>
    <t>3aaa736fb4</t>
  </si>
  <si>
    <t>62cde299ad</t>
  </si>
  <si>
    <t>AS</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</si>
  <si>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</si>
  <si>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</si>
  <si>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</si>
  <si>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</si>
  <si>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</si>
  <si>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</si>
  <si>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</si>
  <si>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</si>
  <si>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</si>
  <si>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</si>
  <si>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</si>
  <si>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Autre absentéisme  + CET &lt; 30 jours)</t>
  </si>
  <si>
    <t/>
  </si>
  <si>
    <t>ETPT global sur la période (incluant absentéisme et action 99)</t>
  </si>
  <si>
    <t>6C692B37BD</t>
  </si>
  <si>
    <t>33DA32BA41</t>
  </si>
  <si>
    <t>37EE64B022</t>
  </si>
  <si>
    <t>536255F8CF</t>
  </si>
  <si>
    <t>M-CONT</t>
  </si>
  <si>
    <t>4F2868C408</t>
  </si>
  <si>
    <t>M-TIT</t>
  </si>
  <si>
    <t>9E754A1C05</t>
  </si>
  <si>
    <t>A5405F6F4C</t>
  </si>
  <si>
    <t>BC33BD6854</t>
  </si>
  <si>
    <t>VP PLACÉ ADDITIONNEL</t>
  </si>
  <si>
    <t>M-PLAC-ADD</t>
  </si>
  <si>
    <t>36B78BE9D0</t>
  </si>
  <si>
    <t>0D7D8A0E1A</t>
  </si>
  <si>
    <t>8BD058283D</t>
  </si>
  <si>
    <t>DD404AA17E</t>
  </si>
  <si>
    <t>6BBEF329D1</t>
  </si>
  <si>
    <t>6ABEE103AA</t>
  </si>
  <si>
    <t>77790AC48B</t>
  </si>
  <si>
    <t>EFCECB92A2</t>
  </si>
  <si>
    <t>318751BFE8</t>
  </si>
  <si>
    <t>CB50769887</t>
  </si>
  <si>
    <t>9D016C1311</t>
  </si>
  <si>
    <t>F68BE175AA</t>
  </si>
  <si>
    <t>42DBEC21BB</t>
  </si>
  <si>
    <t>707D3F02DE</t>
  </si>
  <si>
    <t>9E0C7FDE71</t>
  </si>
  <si>
    <t>J. PLACÉ ADDITIONNEL</t>
  </si>
  <si>
    <t>A90B29D0AC</t>
  </si>
  <si>
    <t>6BE9192582</t>
  </si>
  <si>
    <t>EB73C5288A</t>
  </si>
  <si>
    <t>66592C6BE0</t>
  </si>
  <si>
    <t>43DA4B3A9A</t>
  </si>
  <si>
    <t>E37FC5DC69</t>
  </si>
  <si>
    <t>A6C08703C6</t>
  </si>
  <si>
    <t>880F9D1F5D</t>
  </si>
  <si>
    <t>6D516266EA</t>
  </si>
  <si>
    <t>367094F9F2</t>
  </si>
  <si>
    <t>83309C4B26</t>
  </si>
  <si>
    <t>A86DAE6051</t>
  </si>
  <si>
    <t>21AC9176AF</t>
  </si>
  <si>
    <t>B1D50402BA</t>
  </si>
  <si>
    <t>B2684E40D7</t>
  </si>
  <si>
    <t>1F679B62F3</t>
  </si>
  <si>
    <t>79CBCBE573</t>
  </si>
  <si>
    <t>94D0C52519</t>
  </si>
  <si>
    <t>83F4A344FC</t>
  </si>
  <si>
    <t>F7CB04EC28</t>
  </si>
  <si>
    <t>0E14EB2BFE</t>
  </si>
  <si>
    <t>639BA2861B</t>
  </si>
  <si>
    <t>A6787B9837</t>
  </si>
  <si>
    <t>62C927DFC4</t>
  </si>
  <si>
    <t>DA9E57CCEF</t>
  </si>
  <si>
    <t>4486E209E2</t>
  </si>
  <si>
    <t>9743E609F7</t>
  </si>
  <si>
    <t>B75F9219B8</t>
  </si>
  <si>
    <t>2A9B7A474F</t>
  </si>
  <si>
    <t>BD53BBCA7E</t>
  </si>
  <si>
    <t>88659D7985</t>
  </si>
  <si>
    <t>65742BA0D0</t>
  </si>
  <si>
    <t>75E6E11824</t>
  </si>
  <si>
    <t>F0F9C8DF11</t>
  </si>
  <si>
    <t>D125457A60</t>
  </si>
  <si>
    <t>C9D16AFAA5</t>
  </si>
  <si>
    <t>FEE9C1C6CE</t>
  </si>
  <si>
    <t>B8E2522B41</t>
  </si>
  <si>
    <t>1E49EA81EA</t>
  </si>
  <si>
    <t>D7D1854C9D</t>
  </si>
  <si>
    <t>483633B287</t>
  </si>
  <si>
    <t>4A077FD689</t>
  </si>
  <si>
    <t>D0F1F01393</t>
  </si>
  <si>
    <t>C7E926F3CF</t>
  </si>
  <si>
    <t>9B000A0209</t>
  </si>
  <si>
    <t>9914DE195A</t>
  </si>
  <si>
    <t>23D96B1D0C</t>
  </si>
  <si>
    <t>172FC2D6B1</t>
  </si>
  <si>
    <t>2C07B2247E</t>
  </si>
  <si>
    <t>30592D328F</t>
  </si>
  <si>
    <t>C6010DC7ED</t>
  </si>
  <si>
    <t>40DFA5673C</t>
  </si>
  <si>
    <t>9D3C25A9DB</t>
  </si>
  <si>
    <t>19DD8FF4FB</t>
  </si>
  <si>
    <t>A491CC41F5</t>
  </si>
  <si>
    <t>26C3EA3EB5</t>
  </si>
  <si>
    <t>6970E81C76</t>
  </si>
  <si>
    <t>94FD41D94B</t>
  </si>
  <si>
    <t>BC74C7DBF6</t>
  </si>
  <si>
    <t>E516730CD3</t>
  </si>
  <si>
    <t>B84B314911</t>
  </si>
  <si>
    <t>DE2F94CACF</t>
  </si>
  <si>
    <t>E8361EC06A</t>
  </si>
  <si>
    <t>BECA4822F3</t>
  </si>
  <si>
    <t>780CD3712D</t>
  </si>
  <si>
    <t>5927661DFB</t>
  </si>
  <si>
    <t>918CCEEA87</t>
  </si>
  <si>
    <t>F880D4933D</t>
  </si>
  <si>
    <t>C71F34381A</t>
  </si>
  <si>
    <t>E034F66DFA</t>
  </si>
  <si>
    <t>FEFC54712C</t>
  </si>
  <si>
    <t>3E30408A03</t>
  </si>
  <si>
    <t>B8BA03611E</t>
  </si>
  <si>
    <t>81658C6CC1</t>
  </si>
  <si>
    <t>48C93A89FF</t>
  </si>
  <si>
    <t>D5DC5BC184</t>
  </si>
  <si>
    <t>AF83266B4B</t>
  </si>
  <si>
    <t>FA9B4A36F7</t>
  </si>
  <si>
    <t>864E52BC7C</t>
  </si>
  <si>
    <t>E3F14B10BF</t>
  </si>
  <si>
    <t>9DCA9FA79B</t>
  </si>
  <si>
    <t>4C03ED40F9</t>
  </si>
  <si>
    <t>E2E41DF2CF</t>
  </si>
  <si>
    <t>883193BB6B</t>
  </si>
  <si>
    <t>51DBB6A659</t>
  </si>
  <si>
    <t>6A96C627CD</t>
  </si>
  <si>
    <t>4C513577D1</t>
  </si>
  <si>
    <t>D40FF0FC80</t>
  </si>
  <si>
    <t>6B1EF1045D</t>
  </si>
  <si>
    <t>F40B2080CB</t>
  </si>
  <si>
    <t>0A663EB445</t>
  </si>
  <si>
    <t>E61A0438F6</t>
  </si>
  <si>
    <t>3360940FCF</t>
  </si>
  <si>
    <t>90708DDC17</t>
  </si>
  <si>
    <t>A201D0A404</t>
  </si>
  <si>
    <t>739AE3F690</t>
  </si>
  <si>
    <t>078BC85426</t>
  </si>
  <si>
    <t>1E9160D287</t>
  </si>
  <si>
    <t>1DCF5D0882</t>
  </si>
  <si>
    <t>1D271F9F20</t>
  </si>
  <si>
    <t>BE11158B84</t>
  </si>
  <si>
    <t>8BEDCC2133</t>
  </si>
  <si>
    <t>CEA57F548A</t>
  </si>
  <si>
    <t>C</t>
  </si>
  <si>
    <t>FF49F344A2</t>
  </si>
  <si>
    <t>F-TIT</t>
  </si>
  <si>
    <t>C6FEBF23ED</t>
  </si>
  <si>
    <t>6CD60E583A</t>
  </si>
  <si>
    <t>231321132A</t>
  </si>
  <si>
    <t>3F1546E48E</t>
  </si>
  <si>
    <t>5CB3FFC47A</t>
  </si>
  <si>
    <t>0024E0D4FA</t>
  </si>
  <si>
    <t>DEF0D6EF88</t>
  </si>
  <si>
    <t>DACAF2A86D</t>
  </si>
  <si>
    <t>5D8C0585F1</t>
  </si>
  <si>
    <t>B50D81408A</t>
  </si>
  <si>
    <t>CA022E07B6</t>
  </si>
  <si>
    <t>0207B07F50</t>
  </si>
  <si>
    <t>5A81335F8E</t>
  </si>
  <si>
    <t>64D5F36C8A</t>
  </si>
  <si>
    <t>FB452E7734</t>
  </si>
  <si>
    <t>D30C996423</t>
  </si>
  <si>
    <t>2BAD933370</t>
  </si>
  <si>
    <t>27376D1ED5</t>
  </si>
  <si>
    <t>B4E93E8836</t>
  </si>
  <si>
    <t>847AE5C9BF</t>
  </si>
  <si>
    <t>5E766863D2</t>
  </si>
  <si>
    <t>3A02C32882</t>
  </si>
  <si>
    <t>4D9C4911A8</t>
  </si>
  <si>
    <t>B PLACÉ ADDITIONNEL</t>
  </si>
  <si>
    <t>F-PLAC-ADD</t>
  </si>
  <si>
    <t>02982A6BC0</t>
  </si>
  <si>
    <t>52AD69AE74</t>
  </si>
  <si>
    <t>56022C28CF</t>
  </si>
  <si>
    <t>EBC39F5BB0</t>
  </si>
  <si>
    <t>2E1C062ED6</t>
  </si>
  <si>
    <t>A0C9A0C533</t>
  </si>
  <si>
    <t>F558511DD5</t>
  </si>
  <si>
    <t>53BDEBC458</t>
  </si>
  <si>
    <t>C9A5240075</t>
  </si>
  <si>
    <t>4298DBBAE7</t>
  </si>
  <si>
    <t>70C9A02F9D</t>
  </si>
  <si>
    <t>DE8AF4DC20</t>
  </si>
  <si>
    <t>0DF0C45C82</t>
  </si>
  <si>
    <t>D910E3721C</t>
  </si>
  <si>
    <t>ABB35872C3</t>
  </si>
  <si>
    <t>7F8F74B335</t>
  </si>
  <si>
    <t>CA858D9E9F</t>
  </si>
  <si>
    <t>46EB4B7550</t>
  </si>
  <si>
    <t>FE1DC936D7</t>
  </si>
  <si>
    <t>3FF2105F6B</t>
  </si>
  <si>
    <t>ADC9132FCD</t>
  </si>
  <si>
    <t>E54C1870F3</t>
  </si>
  <si>
    <t>266AB7F35A</t>
  </si>
  <si>
    <t>3B933FAF11</t>
  </si>
  <si>
    <t>4E82BD2DC7</t>
  </si>
  <si>
    <t>5CCEA9F003</t>
  </si>
  <si>
    <t>37C52F91D1</t>
  </si>
  <si>
    <t>148549F401</t>
  </si>
  <si>
    <t>4F59835880</t>
  </si>
  <si>
    <t>0184123CD4</t>
  </si>
  <si>
    <t>9D5CF626DA</t>
  </si>
  <si>
    <t>D22AA18927</t>
  </si>
  <si>
    <t>5D1D89F582</t>
  </si>
  <si>
    <t>AC5615E797</t>
  </si>
  <si>
    <t>DACAE05100</t>
  </si>
  <si>
    <t>17F3A308FB</t>
  </si>
  <si>
    <t>67F933CBBD</t>
  </si>
  <si>
    <t>503D642113</t>
  </si>
  <si>
    <t>9C123BEA63</t>
  </si>
  <si>
    <t>45625B7FBE</t>
  </si>
  <si>
    <t>D127AB1DD2</t>
  </si>
  <si>
    <t>244148B340</t>
  </si>
  <si>
    <t>5856881155</t>
  </si>
  <si>
    <t>0757634412</t>
  </si>
  <si>
    <t>1E2EFDCA9E</t>
  </si>
  <si>
    <t>4F46ADF458</t>
  </si>
  <si>
    <t>942D918831</t>
  </si>
  <si>
    <t>B99AA8F651</t>
  </si>
  <si>
    <t>CFE2E95D19</t>
  </si>
  <si>
    <t>AF34AB1461</t>
  </si>
  <si>
    <t>A026D82A84</t>
  </si>
  <si>
    <t>F1C4FECDB9</t>
  </si>
  <si>
    <t>B04DB2FE04</t>
  </si>
  <si>
    <t>3644F9DFC8</t>
  </si>
  <si>
    <t>9E6360C124</t>
  </si>
  <si>
    <t>A8F5953E61</t>
  </si>
  <si>
    <t>AF35A19737</t>
  </si>
  <si>
    <t>A794D3CD19</t>
  </si>
  <si>
    <t>C6A048B794</t>
  </si>
  <si>
    <t>CCB28868A2</t>
  </si>
  <si>
    <t>275956C52F</t>
  </si>
  <si>
    <t>55A5B82DB8</t>
  </si>
  <si>
    <t>328CF34A62</t>
  </si>
  <si>
    <t>CA15E7468C</t>
  </si>
  <si>
    <t>DD349F190C</t>
  </si>
  <si>
    <t>7D21471861</t>
  </si>
  <si>
    <t>4E0E2474C2</t>
  </si>
  <si>
    <t>C7BDC221CF</t>
  </si>
  <si>
    <t>9A2E47DFD3</t>
  </si>
  <si>
    <t>9337494B0B</t>
  </si>
  <si>
    <t>54097B5BE6</t>
  </si>
  <si>
    <t>063BF5C7CB</t>
  </si>
  <si>
    <t>2D139B9DEA</t>
  </si>
  <si>
    <t>7B783F7780</t>
  </si>
  <si>
    <t>CF2BA9EC1E</t>
  </si>
  <si>
    <t>C6DF0FA8BB</t>
  </si>
  <si>
    <t>29AF44DCBD</t>
  </si>
  <si>
    <t>CBDCE650DE</t>
  </si>
  <si>
    <t>31DFD87232</t>
  </si>
  <si>
    <t>C8B65D4823</t>
  </si>
  <si>
    <t>B37366FF09</t>
  </si>
  <si>
    <t>4A23DE3187</t>
  </si>
  <si>
    <t>AC65953F81</t>
  </si>
  <si>
    <t>3605969F3B</t>
  </si>
  <si>
    <t>F9A6069F97</t>
  </si>
  <si>
    <t>1F54CE8445</t>
  </si>
  <si>
    <t>1EDE396C79</t>
  </si>
  <si>
    <t>738A77E5E1</t>
  </si>
  <si>
    <t>3B7AAF8851</t>
  </si>
  <si>
    <t>ECE2B2CB88</t>
  </si>
  <si>
    <t>B9CC4BB56E</t>
  </si>
  <si>
    <t>C980157D09</t>
  </si>
  <si>
    <t>BED3966BDF</t>
  </si>
  <si>
    <t>9CF69EC9E9</t>
  </si>
  <si>
    <t>995285A3D8</t>
  </si>
  <si>
    <t>C1A8B5D6A2</t>
  </si>
  <si>
    <t>5B5C4D8D21</t>
  </si>
  <si>
    <t>787499D2DF</t>
  </si>
  <si>
    <t>E74AA01EF2</t>
  </si>
  <si>
    <t>CEC8B761EB</t>
  </si>
  <si>
    <t>CONT A Autres</t>
  </si>
  <si>
    <t>376286BD73</t>
  </si>
  <si>
    <t>2158DBB515</t>
  </si>
  <si>
    <t>58963CD8EE</t>
  </si>
  <si>
    <t>D097D950E3</t>
  </si>
  <si>
    <t>C75AA20618</t>
  </si>
  <si>
    <t>56A486DA7C</t>
  </si>
  <si>
    <t>029F177EBD</t>
  </si>
  <si>
    <t>41C589F0D0</t>
  </si>
  <si>
    <t>D5BDC06B69</t>
  </si>
  <si>
    <t>7AE7BA7911</t>
  </si>
  <si>
    <t>B6F518821C</t>
  </si>
  <si>
    <t>48E12967A9</t>
  </si>
  <si>
    <t>69F034D2D5</t>
  </si>
  <si>
    <t>1551354F22</t>
  </si>
  <si>
    <t>B018EACBCF</t>
  </si>
  <si>
    <t>3536368142</t>
  </si>
  <si>
    <t>FF1CFB9EB3</t>
  </si>
  <si>
    <t>B749EB2099</t>
  </si>
  <si>
    <t>9B7B95F475</t>
  </si>
  <si>
    <t>5036B32528</t>
  </si>
  <si>
    <t>97613332C6</t>
  </si>
  <si>
    <t>4D5FCD861D</t>
  </si>
  <si>
    <t>4D22818A1B</t>
  </si>
  <si>
    <t>41B1BFD305</t>
  </si>
  <si>
    <t>BC6D2F42C8</t>
  </si>
  <si>
    <t>F5560F42C8</t>
  </si>
  <si>
    <t>C3D07D8786</t>
  </si>
  <si>
    <t>53B8126A00</t>
  </si>
  <si>
    <t>B907947547</t>
  </si>
  <si>
    <t>A PLACÉ ADDITIONNEL</t>
  </si>
  <si>
    <t>CE093C8E13</t>
  </si>
  <si>
    <t>D4E8BC4FDF</t>
  </si>
  <si>
    <t>1AC49AE6D8</t>
  </si>
  <si>
    <t>51DAEAF335</t>
  </si>
  <si>
    <t>ED72D0C1E3</t>
  </si>
  <si>
    <t>4A02132444</t>
  </si>
  <si>
    <t>908855F34F</t>
  </si>
  <si>
    <t>C9983DF80A</t>
  </si>
  <si>
    <t>EED8E1A5F6</t>
  </si>
  <si>
    <t>5CA672F805</t>
  </si>
  <si>
    <t>D356C0E279</t>
  </si>
  <si>
    <t>6F631FDA43</t>
  </si>
  <si>
    <t>F6D75C82CC</t>
  </si>
  <si>
    <t>F227019995</t>
  </si>
  <si>
    <t>2378708C14</t>
  </si>
  <si>
    <t>21303CB80B</t>
  </si>
  <si>
    <t>2C46AAEAF3</t>
  </si>
  <si>
    <t>A734ECEDD2</t>
  </si>
  <si>
    <t>3EA1B398E8</t>
  </si>
  <si>
    <t>4F2CC01312</t>
  </si>
  <si>
    <t>C82CE341CD</t>
  </si>
  <si>
    <t>C8E06F795B</t>
  </si>
  <si>
    <t>51F9631D38</t>
  </si>
  <si>
    <t>887F5454AC</t>
  </si>
  <si>
    <t>B4DA5FCA36</t>
  </si>
  <si>
    <t>849B28F320</t>
  </si>
  <si>
    <t>F44250DE42</t>
  </si>
  <si>
    <t>CD59BEB63F</t>
  </si>
  <si>
    <t>07B6FEBE48</t>
  </si>
  <si>
    <t>3BC60B5CD3</t>
  </si>
  <si>
    <t>EE54D9D930</t>
  </si>
  <si>
    <t>C0D2FBEA39</t>
  </si>
  <si>
    <t>14C5ED2981</t>
  </si>
  <si>
    <t>2B798E8B2A</t>
  </si>
  <si>
    <t>F17E1DB238</t>
  </si>
  <si>
    <t>EE1F94ADE1</t>
  </si>
  <si>
    <t>75E9822B54</t>
  </si>
  <si>
    <t>F2FDB20C52</t>
  </si>
  <si>
    <t>1AE552A584</t>
  </si>
  <si>
    <t>2652566AB9</t>
  </si>
  <si>
    <t>E68F73EF30</t>
  </si>
  <si>
    <t>20E7BDDDA6</t>
  </si>
  <si>
    <t>B2ADAB379D</t>
  </si>
  <si>
    <t>4255008DD3</t>
  </si>
  <si>
    <t>0B943E3B87</t>
  </si>
  <si>
    <t>BF5709A469</t>
  </si>
  <si>
    <t>ECC8CB1EF1</t>
  </si>
  <si>
    <t>934BE580CD</t>
  </si>
  <si>
    <t>FD45423950</t>
  </si>
  <si>
    <t>240EC20940</t>
  </si>
  <si>
    <t>E9BD9D56DE</t>
  </si>
  <si>
    <t>1D1177C5C4</t>
  </si>
  <si>
    <t>4AB994302A</t>
  </si>
  <si>
    <t>D6D8299D10</t>
  </si>
  <si>
    <t>09660E9622</t>
  </si>
  <si>
    <t>A33A3D36BA</t>
  </si>
  <si>
    <t>9A89822C53</t>
  </si>
  <si>
    <t>A1227E384D</t>
  </si>
  <si>
    <t>8C2971BB78</t>
  </si>
  <si>
    <t>FFD371E11A</t>
  </si>
  <si>
    <t>04924261E3</t>
  </si>
  <si>
    <t>8E0106B274</t>
  </si>
  <si>
    <t>9EAF3852D6</t>
  </si>
  <si>
    <t>98880B195B</t>
  </si>
  <si>
    <t>2B847BBA8D</t>
  </si>
  <si>
    <t>00E7260E04</t>
  </si>
  <si>
    <t>B7E0F9344B</t>
  </si>
  <si>
    <t>F2D7966DFC</t>
  </si>
  <si>
    <t>18CF8AFDD7</t>
  </si>
  <si>
    <t>1AEAC2D51A</t>
  </si>
  <si>
    <t>D5BF3B99C3</t>
  </si>
  <si>
    <t>D754E439DE</t>
  </si>
  <si>
    <t>5AA68E4B43</t>
  </si>
  <si>
    <t>5BBFFEF4D7</t>
  </si>
  <si>
    <t>D9C92093D1</t>
  </si>
  <si>
    <t>CB PLACÉ ADDITIONNEL</t>
  </si>
  <si>
    <t>65E67F2E9D</t>
  </si>
  <si>
    <t>67AB0D93A6</t>
  </si>
  <si>
    <t>EC5E9311BC</t>
  </si>
  <si>
    <t>05C10BEA95</t>
  </si>
  <si>
    <t>A37B861D5F</t>
  </si>
  <si>
    <t>6D2DFEFA22</t>
  </si>
  <si>
    <t>BC59340BFD</t>
  </si>
  <si>
    <t>720064BA71</t>
  </si>
  <si>
    <t>6ECE41B128</t>
  </si>
  <si>
    <t>F27716F443</t>
  </si>
  <si>
    <t>228D0F4549</t>
  </si>
  <si>
    <t>2F7377E88C</t>
  </si>
  <si>
    <t>2B6E2F9FF0</t>
  </si>
  <si>
    <t>76A9764E59</t>
  </si>
  <si>
    <t>FCA02B10F9</t>
  </si>
  <si>
    <t>68B15D977B</t>
  </si>
  <si>
    <t>8B8808B5FE</t>
  </si>
  <si>
    <t>28334088C9</t>
  </si>
  <si>
    <t>ABFBC145A5</t>
  </si>
  <si>
    <t>431E9C4F72</t>
  </si>
  <si>
    <t>DCE15C64F9</t>
  </si>
  <si>
    <t>C7560B017F</t>
  </si>
  <si>
    <t>77DD753304</t>
  </si>
  <si>
    <t>B GREF  PLACÉ ADDITIONNEL</t>
  </si>
  <si>
    <t>327F7F0E6F</t>
  </si>
  <si>
    <t>0AF70AC113</t>
  </si>
  <si>
    <t>BD2C627EBE</t>
  </si>
  <si>
    <t>76A89A7DBC</t>
  </si>
  <si>
    <t>F39A1A5014</t>
  </si>
  <si>
    <t>CED9D58FE7</t>
  </si>
  <si>
    <t>846E0A9E56</t>
  </si>
  <si>
    <t>07D98A9F46</t>
  </si>
  <si>
    <t>1FBD62A48D</t>
  </si>
  <si>
    <t>8FB252362F</t>
  </si>
  <si>
    <t>603A720906</t>
  </si>
  <si>
    <t>A8E683525A</t>
  </si>
  <si>
    <t>C40E336191</t>
  </si>
  <si>
    <t>8481785C6A</t>
  </si>
  <si>
    <t>381D9B299A</t>
  </si>
  <si>
    <t>D8EF37A39D</t>
  </si>
  <si>
    <t>372F7878F8</t>
  </si>
  <si>
    <t>1DB664B15F</t>
  </si>
  <si>
    <t>87F92F9347</t>
  </si>
  <si>
    <t>CD8A0CC4CC</t>
  </si>
  <si>
    <t>2B1DC82347</t>
  </si>
  <si>
    <t>25DFCF0B4D</t>
  </si>
  <si>
    <t>D93CC50E47</t>
  </si>
  <si>
    <t>9388B96D5F</t>
  </si>
  <si>
    <t>9861C7C462</t>
  </si>
  <si>
    <t>1BE951A143</t>
  </si>
  <si>
    <t>B7D90866A3</t>
  </si>
  <si>
    <t>299A3B343B</t>
  </si>
  <si>
    <t>B146F27774</t>
  </si>
  <si>
    <t>9E867E8D7A</t>
  </si>
  <si>
    <t>1F6E002F6C</t>
  </si>
  <si>
    <t>2BF3FE8964</t>
  </si>
  <si>
    <t>E379E3554C</t>
  </si>
  <si>
    <t>5C67AAFF82</t>
  </si>
  <si>
    <t>DE6E5867A8</t>
  </si>
  <si>
    <t>0DCB46394E</t>
  </si>
  <si>
    <t>11DADB2404</t>
  </si>
  <si>
    <t>E56374ABA4</t>
  </si>
  <si>
    <t>54501D0B7D</t>
  </si>
  <si>
    <t>833C071328</t>
  </si>
  <si>
    <t>33E8502144</t>
  </si>
  <si>
    <t>94A319428B</t>
  </si>
  <si>
    <t>D7BB2FF2D9</t>
  </si>
  <si>
    <t>4D4DE0E73A</t>
  </si>
  <si>
    <t>DA57DB17D9</t>
  </si>
  <si>
    <t>18AAA961F1</t>
  </si>
  <si>
    <t>E34D4D3210</t>
  </si>
  <si>
    <t>9BB7D8B4ED</t>
  </si>
  <si>
    <t>C2C8C85E79</t>
  </si>
  <si>
    <t>36F6E182EB</t>
  </si>
  <si>
    <t>6D78FC3D67</t>
  </si>
  <si>
    <t>19B91A6DCE</t>
  </si>
  <si>
    <t>F234D720DF</t>
  </si>
  <si>
    <t>1A54CF0020</t>
  </si>
  <si>
    <t>83441D778E</t>
  </si>
  <si>
    <t>03AEA8FB0D</t>
  </si>
  <si>
    <t>E097CF6718</t>
  </si>
  <si>
    <t>ACA0F11023</t>
  </si>
  <si>
    <t>0278C38C1F</t>
  </si>
  <si>
    <t>DE41B95615</t>
  </si>
  <si>
    <t>4AA5CC35BA</t>
  </si>
  <si>
    <t>60FF2E068D</t>
  </si>
  <si>
    <t>C899932CF0</t>
  </si>
  <si>
    <t>53F33E8CBE</t>
  </si>
  <si>
    <t>A364E78D27</t>
  </si>
  <si>
    <t>0C55702C8D</t>
  </si>
  <si>
    <t>7748AD03B2</t>
  </si>
  <si>
    <t>30F8AE3FAB</t>
  </si>
  <si>
    <t>07953F5C51</t>
  </si>
  <si>
    <t>1F3CDE28AD</t>
  </si>
  <si>
    <t>A8471473A0</t>
  </si>
  <si>
    <t>FD7E859BAE</t>
  </si>
  <si>
    <t>9D667C1D32</t>
  </si>
  <si>
    <t>7D169E6C9D</t>
  </si>
  <si>
    <t>9D450A0611</t>
  </si>
  <si>
    <t>22EBD889E4</t>
  </si>
  <si>
    <t>FDF4F2D091</t>
  </si>
  <si>
    <t>9135124C7A</t>
  </si>
  <si>
    <t>90257A3276</t>
  </si>
  <si>
    <t>CONT A JP Siège</t>
  </si>
  <si>
    <t>2B9D8E0768</t>
  </si>
  <si>
    <t>69CFFED2F8</t>
  </si>
  <si>
    <t>3E040B7B38</t>
  </si>
  <si>
    <t>C1CCA5B0B5</t>
  </si>
  <si>
    <t>AA755F9033</t>
  </si>
  <si>
    <t>7E67BC0EBC</t>
  </si>
  <si>
    <t>86BE0388E4</t>
  </si>
  <si>
    <t>1684435344</t>
  </si>
  <si>
    <t>A1E546FDAE</t>
  </si>
  <si>
    <t>CFABB5BB14</t>
  </si>
  <si>
    <t>AE2D1E7942</t>
  </si>
  <si>
    <t>043BB9277E</t>
  </si>
  <si>
    <t>6D569121F9</t>
  </si>
  <si>
    <t>EA7AC97A43</t>
  </si>
  <si>
    <t>208D160879</t>
  </si>
  <si>
    <t>3081429A76</t>
  </si>
  <si>
    <t>DEF6820A51</t>
  </si>
  <si>
    <t>28FEAD27EA</t>
  </si>
  <si>
    <t>53556EE2D5</t>
  </si>
  <si>
    <t>3628366E8F</t>
  </si>
  <si>
    <t>AAC29CBDAC</t>
  </si>
  <si>
    <t>EC1882992F</t>
  </si>
  <si>
    <t>DE475EAD39</t>
  </si>
  <si>
    <t>0731F3E29E</t>
  </si>
  <si>
    <t>EE89EC5CFF</t>
  </si>
  <si>
    <t>61E6C643F6</t>
  </si>
  <si>
    <t>61AD061F2E</t>
  </si>
  <si>
    <t>9914C1F2D3</t>
  </si>
  <si>
    <t>3B7E02CFF3</t>
  </si>
  <si>
    <t>08063C95AD</t>
  </si>
  <si>
    <t>BD17EF0EDC</t>
  </si>
  <si>
    <t>68C5594153</t>
  </si>
  <si>
    <t>9F04AFF1D7</t>
  </si>
  <si>
    <t>D4F38178B9</t>
  </si>
  <si>
    <t>95419541C8</t>
  </si>
  <si>
    <t>07D67ED806</t>
  </si>
  <si>
    <t>6CA7F26765</t>
  </si>
  <si>
    <t>4E9DE5B66B</t>
  </si>
  <si>
    <t>0C2EFA9398</t>
  </si>
  <si>
    <t>74D714DEA5</t>
  </si>
  <si>
    <t>E29867DC35</t>
  </si>
  <si>
    <t>DAAC55C0E6</t>
  </si>
  <si>
    <t>8114A33C41</t>
  </si>
  <si>
    <t>413B7AA90D</t>
  </si>
  <si>
    <t>6589E79313</t>
  </si>
  <si>
    <t>953E5C1DCD</t>
  </si>
  <si>
    <t>6E5796D033</t>
  </si>
  <si>
    <t>2E61E2ED8A</t>
  </si>
  <si>
    <t>9B02DD0FD5</t>
  </si>
  <si>
    <t>5DF670E806</t>
  </si>
  <si>
    <t>CEBD3260A6</t>
  </si>
  <si>
    <t>77D6B93C55</t>
  </si>
  <si>
    <t>5EFCDFD41C</t>
  </si>
  <si>
    <t>97C4C0865B</t>
  </si>
  <si>
    <t>205363E844</t>
  </si>
  <si>
    <t>706F4CE4E8</t>
  </si>
  <si>
    <t>5AE8449182</t>
  </si>
  <si>
    <t>E00FE75B95</t>
  </si>
  <si>
    <t>D77C0E8FA6</t>
  </si>
  <si>
    <t>BF844F79BA</t>
  </si>
  <si>
    <t>1B6EE0EC1A</t>
  </si>
  <si>
    <t>FD6378D980</t>
  </si>
  <si>
    <t>47F0D6F0F2</t>
  </si>
  <si>
    <t>JA Siège autres</t>
  </si>
  <si>
    <t>AD3C68B351</t>
  </si>
  <si>
    <t>9C8F0EC76B</t>
  </si>
  <si>
    <t>F711E18E42</t>
  </si>
  <si>
    <t xml:space="preserve">                     Synthèse ETPT</t>
  </si>
  <si>
    <t>Agrégats DDG</t>
  </si>
  <si>
    <t>Selectionner une juridiction</t>
  </si>
  <si>
    <t>Code</t>
  </si>
  <si>
    <t>24FB8BB550</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</si>
  <si>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</si>
  <si>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</si>
  <si>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</si>
  <si>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</si>
  <si>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</si>
  <si>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</si>
  <si>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</si>
  <si>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</si>
  <si>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</si>
  <si>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</si>
  <si>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</si>
  <si>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</si>
  <si>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</si>
  <si>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</si>
  <si>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</si>
  <si>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</si>
  <si>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</si>
  <si>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</si>
  <si>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</si>
  <si>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</si>
  <si>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</si>
  <si>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</si>
  <si>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</si>
  <si>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Magistrat SIEGE NS</t>
  </si>
  <si>
    <t>Magistrat1VP</t>
  </si>
  <si>
    <t>PREMIER VICE-PRÉSIDENT</t>
  </si>
  <si>
    <t>Magistrat1VPA</t>
  </si>
  <si>
    <t>PREMIER VICE-PRÉSIDENT ADJOINT</t>
  </si>
  <si>
    <t>Magistrat1VPCP</t>
  </si>
  <si>
    <t>PREMIER VICE-PRÉSIDENT CHARGÉ DES FONCTIONS DE JUGE DES CONTENTIEUX DE LA PROTECTION</t>
  </si>
  <si>
    <t>Magistrat SIEGE S</t>
  </si>
  <si>
    <t>Magistrat1VPE</t>
  </si>
  <si>
    <t>PREMIER VICE-PRÉSIDENT CHARGÉ DES FONCTIONS DE JUGE DES ENFANTS</t>
  </si>
  <si>
    <t>Magistrat1VPI</t>
  </si>
  <si>
    <t>PREMIER VICE-PRÉSIDENT CHARGÉ DES FONCTIONS DE JUGE D'INSTRUCTION</t>
  </si>
  <si>
    <t>MagistratVPSG</t>
  </si>
  <si>
    <t>VICE-PRÉSIDENT CHARGÉ D'UN SECRÉTARIAT GÉNÉRAL</t>
  </si>
  <si>
    <t>Magistrat1VPAP</t>
  </si>
  <si>
    <t>PREMIER VICE-PRÉSIDENT CHARGÉ DES FONCTIONS DE JUGE DE L'APPLICATION DES PEINES</t>
  </si>
  <si>
    <t>Magistrat1VPLD</t>
  </si>
  <si>
    <t>PREMIER VICE-PRÉSIDENT CHARGÉ DES FONCTIONS DE JUGE DES LIBERTÉS ET DE LA DÉTENTION</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</si>
  <si>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</si>
  <si>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</si>
  <si>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</si>
  <si>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</si>
  <si>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</si>
  <si>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</si>
  <si>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</si>
  <si>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</si>
  <si>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</si>
  <si>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</si>
  <si>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</si>
  <si>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</si>
  <si>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</si>
  <si>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</si>
  <si>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</si>
  <si>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</si>
  <si>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</si>
  <si>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</si>
  <si>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</si>
  <si>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</si>
  <si>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</si>
  <si>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</si>
  <si>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</si>
  <si>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</si>
  <si>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</si>
  <si>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</si>
  <si>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</si>
  <si>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</si>
  <si>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</si>
  <si>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</si>
  <si>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</si>
  <si>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</si>
  <si>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</si>
  <si>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</si>
  <si>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</si>
  <si>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</si>
  <si>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</si>
  <si>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</si>
  <si>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</si>
  <si>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</si>
  <si>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</si>
  <si>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</si>
  <si>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</si>
  <si>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MagistratMHFNJ</t>
  </si>
  <si>
    <t>MAGISTRAT HONORAIRE NON JURIDICTIONNEL</t>
  </si>
  <si>
    <t>MHFNJ</t>
  </si>
  <si>
    <t>MagistratMTT</t>
  </si>
  <si>
    <t>MAGISTRAT A TITRE TEMPORAIRE</t>
  </si>
  <si>
    <t>MagistratMRES</t>
  </si>
  <si>
    <t>MAGISTRAT RESERVISTE</t>
  </si>
  <si>
    <t>MRES</t>
  </si>
  <si>
    <t>GreffeA</t>
  </si>
  <si>
    <t>Fonctionnaire A-B-CBUR</t>
  </si>
  <si>
    <t>GreffeA GREFFIER</t>
  </si>
  <si>
    <t>A GREFFIER</t>
  </si>
  <si>
    <t>GreffeCHCAB</t>
  </si>
  <si>
    <t>CHEF DE CABINET</t>
  </si>
  <si>
    <t>CHCAB</t>
  </si>
  <si>
    <t>GreffeB</t>
  </si>
  <si>
    <t>B GREFFIER</t>
  </si>
  <si>
    <t>GreffeSA</t>
  </si>
  <si>
    <t>SA</t>
  </si>
  <si>
    <t>GreffeCB</t>
  </si>
  <si>
    <t>GreffeCT</t>
  </si>
  <si>
    <t>Fonctionnaire CTECH</t>
  </si>
  <si>
    <t>GreffeA PLACÉ</t>
  </si>
  <si>
    <t>GreffeA PLACÉ ADDITIONNEL</t>
  </si>
  <si>
    <t>Fonctionnaire A-B-CBUR placé ADD</t>
  </si>
  <si>
    <t>GreffeA PLACÉ SUBSTITUTION</t>
  </si>
  <si>
    <t>A PLACÉ SUBSTITUTION</t>
  </si>
  <si>
    <t>Fonctionnaire A-B-CBUR placé SUB</t>
  </si>
  <si>
    <t>F-PLAC-SUB</t>
  </si>
  <si>
    <t>GreffeB GREF  PLACÉ</t>
  </si>
  <si>
    <t>B GREFFIER PLACÉ</t>
  </si>
  <si>
    <t>GreffeB GREF  PLACÉ ADDITIONNEL</t>
  </si>
  <si>
    <t>B GREFFIER PLACÉ ADDITIONNEL</t>
  </si>
  <si>
    <t>GreffeB GREF  PLACÉ SUBSTITUTION</t>
  </si>
  <si>
    <t>B GREFFIER PLACÉ SUBSTITUTION</t>
  </si>
  <si>
    <t>B GREF  PLACÉ SUBSTITUTION</t>
  </si>
  <si>
    <t>GreffeB PLACÉ</t>
  </si>
  <si>
    <t>GreffeB PLACÉ ADDITIONNEL</t>
  </si>
  <si>
    <t>GreffeB PLACÉ SUBSTITUTION</t>
  </si>
  <si>
    <t>B PLACÉ SUBSTITUTION</t>
  </si>
  <si>
    <t>GreffeCB PLACÉ</t>
  </si>
  <si>
    <t>GreffeCB PLACÉ ADDITIONNEL</t>
  </si>
  <si>
    <t>GreffeCB PLACÉ SUBSTITUTION</t>
  </si>
  <si>
    <t>CB PLACÉ SUBSTITUTION</t>
  </si>
  <si>
    <t>GreffeDSGJ PLACÉ ADDITIONNEL</t>
  </si>
  <si>
    <t>DSGJ PLACÉ ADDITIONNEL</t>
  </si>
  <si>
    <t>GreffeDSGJ PLACÉ SUBSTITUTION</t>
  </si>
  <si>
    <t>DSGJ PLACÉ SUBSTITUTION</t>
  </si>
  <si>
    <t>GreffeCT PLACÉ</t>
  </si>
  <si>
    <t>CT PLACÉ</t>
  </si>
  <si>
    <t>GreffeCT PLACÉ ADDITIONNEL</t>
  </si>
  <si>
    <t>CT PLACÉ ADDITIONNEL</t>
  </si>
  <si>
    <t>Fonctionnaire CTECH placé ADD</t>
  </si>
  <si>
    <t>GreffeCT PLACÉ SUBSTITUTION</t>
  </si>
  <si>
    <t>CT PLACÉ SUBSTITUTION</t>
  </si>
  <si>
    <t>Fonctionnaire CTECH placé SUB</t>
  </si>
  <si>
    <t>GreffeGRES</t>
  </si>
  <si>
    <t>GREFFIER RESERVISTE</t>
  </si>
  <si>
    <t>GreffeCONT A</t>
  </si>
  <si>
    <t>CONTRACTUEL A</t>
  </si>
  <si>
    <t>GreffeCONT A Autres</t>
  </si>
  <si>
    <t>GreffeCONT A VIF Parquet</t>
  </si>
  <si>
    <t>CONT A VIF Parquet</t>
  </si>
  <si>
    <t>GreffeCONT A VIF Siège</t>
  </si>
  <si>
    <t>CONT A VIF Siège</t>
  </si>
  <si>
    <t>GreffeCONT B</t>
  </si>
  <si>
    <t>CONTRACTUEL B</t>
  </si>
  <si>
    <t>GreffeCONT C</t>
  </si>
  <si>
    <t>CONTRACTUEL C</t>
  </si>
  <si>
    <t>CONT C</t>
  </si>
  <si>
    <t>GreffeCONT CB</t>
  </si>
  <si>
    <t>CONTRACTUEL CB</t>
  </si>
  <si>
    <t>GreffeCONT CT</t>
  </si>
  <si>
    <t>CONTRACTUEL CT</t>
  </si>
  <si>
    <t>GreffeVAC</t>
  </si>
  <si>
    <t>VACATAIRE</t>
  </si>
  <si>
    <t>GreffeCONT A JP</t>
  </si>
  <si>
    <t>CONTRACTUEL A JUSTICE DE PROXIMITE</t>
  </si>
  <si>
    <t>GreffeCONT A JP Parquet</t>
  </si>
  <si>
    <t>CONT A JP Parquet</t>
  </si>
  <si>
    <t>GreffeCONT A JP Siège</t>
  </si>
  <si>
    <t>GreffeCONT B JP</t>
  </si>
  <si>
    <t>CONTRACTUEL B JUSTICE DE PROXIMITE</t>
  </si>
  <si>
    <t>GreffeCONT C JP</t>
  </si>
  <si>
    <t>CONTRACTUEL C JUSTICE DE PROXIMITE</t>
  </si>
  <si>
    <t>Autour du magistratAS</t>
  </si>
  <si>
    <t>ASSISTANT SPECIALISE</t>
  </si>
  <si>
    <t>Autour du magistratADJ</t>
  </si>
  <si>
    <t>ASSISTANT DE JUSTICE</t>
  </si>
  <si>
    <t>Autour du magistratAtt. J</t>
  </si>
  <si>
    <t>ATTACHÉ DE JUSTICE</t>
  </si>
  <si>
    <t>Att. J</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</si>
  <si>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</si>
  <si>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</si>
  <si>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</si>
  <si>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</si>
  <si>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</si>
  <si>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</si>
  <si>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</si>
  <si>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</si>
  <si>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</si>
  <si>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</si>
  <si>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</si>
  <si>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</si>
  <si>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t>
  </si>
  <si>
    <t>ATTACHÉ DE JUSTICE JLD</t>
  </si>
  <si>
    <t>Att. J JLD</t>
  </si>
  <si>
    <t>JA/AttJ JLD</t>
  </si>
  <si>
    <t>Autour du magistratAtt. J Parquet</t>
  </si>
  <si>
    <t>ATTACHÉ DE JUSTICE Parquet</t>
  </si>
  <si>
    <t>Att. J Parquet</t>
  </si>
  <si>
    <t>JA/AttJ Parquet</t>
  </si>
  <si>
    <t>Autour du magistratAtt. J Siège autres</t>
  </si>
  <si>
    <t>ATTACHÉ DE JUSTICE JA Siège autres</t>
  </si>
  <si>
    <t>Att. J Siège autres</t>
  </si>
  <si>
    <t>JA/AttJ Siège autres</t>
  </si>
  <si>
    <t>Autour du magistratAtt. J Social</t>
  </si>
  <si>
    <t>ATTACHÉ DE JUSTICE pôle Social</t>
  </si>
  <si>
    <t>Att. J Social</t>
  </si>
  <si>
    <t>JA/AttJ Social</t>
  </si>
  <si>
    <t>Autour du magistratJA</t>
  </si>
  <si>
    <t>JURISTE ASSISTANT</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</si>
  <si>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</si>
  <si>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</si>
  <si>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</si>
  <si>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</si>
  <si>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</si>
  <si>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</si>
  <si>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</si>
  <si>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</si>
  <si>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</si>
  <si>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</si>
  <si>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</si>
  <si>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</si>
  <si>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</si>
  <si>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</si>
  <si>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</si>
  <si>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</si>
  <si>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</si>
  <si>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</si>
  <si>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</si>
  <si>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</si>
  <si>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magistratPPI</t>
  </si>
  <si>
    <t>ELEVE AVOCAT</t>
  </si>
  <si>
    <t>PPI</t>
  </si>
  <si>
    <t>Autour du magistratCONT A JP</t>
  </si>
  <si>
    <t>Autour du magistratCONT A JP Parquet</t>
  </si>
  <si>
    <t>Autour du magistratCONT A JP Siège</t>
  </si>
  <si>
    <t>Autour du magistratCONT B JP</t>
  </si>
  <si>
    <t>Autour du magistratCONT C JP</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</si>
  <si>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</si>
  <si>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</si>
  <si>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</si>
  <si>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</si>
  <si>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</si>
  <si>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</si>
  <si>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</si>
  <si>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</si>
  <si>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</si>
  <si>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</si>
  <si>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</si>
  <si>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</si>
  <si>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</si>
  <si>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</si>
  <si>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</si>
  <si>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</si>
  <si>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584f5eee19 9f953b18f7 239a46267a</t>
  </si>
  <si>
    <t>7. TOTAL SIÈGE PÉNAL =&gt; 0.005 · 7.14. CI =&gt; 0.005 · 11. TOTAL AUTRES ACTIVITÉS =&gt; 0.995 · 11.1. SOUTIEN (HORS FORMATIONS SUIVIES) =&gt; 0.995</t>
  </si>
  <si>
    <t>2023-03-31</t>
  </si>
  <si>
    <t>9fe634ec49 bcb9489361 8871cb7c36</t>
  </si>
  <si>
    <t>4. TOTAL CIVIL NON SPÉCIALISÉ =&gt; 0.28 · 4.6. CONSTRUCTION =&gt; 0.14 · 4.15. CIVI =&gt; 0.14 · 5. TOTAL JLD CIVIL =&gt; 0.01 · 5.1. RÉTENTION DES ÉTRANGERS =&gt; 0.01 · 7. TOTAL SIÈGE PÉNAL =&gt; 0.64 · 7.1. COLLÉGIALES HORS JIRS =&gt; 0.5 · 7.14. CI =&gt; 0.14 · 11. TOTAL AUTRES ACTIVITÉS =&gt; 0.07 · 11.1. SOUTIEN (HORS FORMATIONS SUIVIES) =&gt; 0.07</t>
  </si>
  <si>
    <t>9d106bcc0a 1320420ddc 9dfdf943d6</t>
  </si>
  <si>
    <t>10. TOTAL JLD PÉNAL =&gt; 0.2 · 10.1. HORS JIRS =&gt; 0.2 · 11. TOTAL AUTRES ACTIVITÉS =&gt; 0.3</t>
  </si>
  <si>
    <t>10. TOTAL JLD PÉNAL =&gt; 0.2 · 10.1. HORS JIRS =&gt; 0.2 · 11. TOTAL AUTRES ACTIVITÉS =&gt; 0.3 · 2. TOTAL CONTENTIEUX JAF =&gt; 0</t>
  </si>
  <si>
    <t>9f4bcdde61 92d3bfc079 157b7a7fb3</t>
  </si>
  <si>
    <t>4. TOTAL CIVIL NON SPÉCIALISÉ =&gt; 0.68 · 5. TOTAL JLD CIVIL =&gt; 0.01 · 7. TOTAL SIÈGE PÉNAL =&gt; 0.01 · 10. TOTAL JLD PÉNAL =&gt; 0.01 · 11. TOTAL AUTRES ACTIVITÉS =&gt; 0.29</t>
  </si>
  <si>
    <t>4. TOTAL CIVIL NON SPÉCIALISÉ =&gt; 0.68 · 5. TOTAL JLD CIVIL =&gt; 0.01 · 10. TOTAL JLD PÉNAL =&gt; 0.01 · 7. TOTAL SIÈGE PÉNAL =&gt; 0.01 · 11. TOTAL AUTRES ACTIVITÉS =&gt; 0.29</t>
  </si>
  <si>
    <t>0261a3f15c 2fdbb8a454 2bff5ac028</t>
  </si>
  <si>
    <t>3. TOTAL CONTENTIEUX DE LA PROTECTION =&gt; 0.13 · 4. TOTAL CIVIL NON SPÉCIALISÉ =&gt; 0.5 · 5. TOTAL JLD CIVIL =&gt; 0.02 · 7. TOTAL SIÈGE PÉNAL =&gt; 0.05 · 11. TOTAL AUTRES ACTIVITÉS =&gt; 0.3</t>
  </si>
  <si>
    <t>4. TOTAL CIVIL NON SPÉCIALISÉ =&gt; 0.5 · 3. TOTAL CONTENTIEUX DE LA PROTECTION =&gt; 0.13 · 5. TOTAL JLD CIVIL =&gt; 0.02 · 7. TOTAL SIÈGE PÉNAL =&gt; 0.05 · 11. TOTAL AUTRES ACTIVITÉS =&gt; 0.3</t>
  </si>
  <si>
    <t>d205b576e6 f8db3d067d 1edd6135a8</t>
  </si>
  <si>
    <t>6. TOTAL JUGES DES ENFANTS =&gt; 0.698 · 7. TOTAL SIÈGE PÉNAL =&gt; 0.022 · 11. TOTAL AUTRES ACTIVITÉS =&gt; 0.28 · 11.1. SOUTIEN (HORS FORMATIONS SUIVIES) =&gt; 0.15 · 11.5. CSM =&gt; 0.13</t>
  </si>
  <si>
    <t>d8eaec52a6 629861f26b 9eea88f4a9</t>
  </si>
  <si>
    <t>7. TOTAL SIÈGE PÉNAL =&gt; 0.105 · 8. TOTAL JUGES D'INSTRUCTION =&gt; 0.521 · 11. TOTAL AUTRES ACTIVITÉS =&gt; 0.374</t>
  </si>
  <si>
    <t>7ecadf3c88 eb7352380c 9a5301a9e4</t>
  </si>
  <si>
    <t>4. TOTAL CIVIL NON SPÉCIALISÉ =&gt; 0.64 · 10. TOTAL JLD PÉNAL =&gt; 0.04 · 11. TOTAL AUTRES ACTIVITÉS =&gt; 0.12</t>
  </si>
  <si>
    <t>10. TOTAL JLD PÉNAL =&gt; 0.04 · 11. TOTAL AUTRES ACTIVITÉS =&gt; 0.12 · 4. TOTAL CIVIL NON SPÉCIALISÉ =&gt; 0.64</t>
  </si>
  <si>
    <t>e905795c5f 73b35dc83a 6d8ef145c1</t>
  </si>
  <si>
    <t>1. TOTAL CONTENTIEUX SOCIAL =&gt; 0.6 · 5. TOTAL JLD CIVIL =&gt; 0.01 · 7. TOTAL SIÈGE PÉNAL =&gt; 0.07 · 8. TOTAL JUGES D'INSTRUCTION =&gt; 0.06 · 10. TOTAL JLD PÉNAL =&gt; 0.01 · 11. TOTAL AUTRES ACTIVITÉS =&gt; 0.25</t>
  </si>
  <si>
    <t>8c81b75727 ff8f7008af 6362f1af68</t>
  </si>
  <si>
    <t>5. TOTAL JLD CIVIL =&gt; 0.28 · 7. TOTAL SIÈGE PÉNAL =&gt; 0.24 · 10. TOTAL JLD PÉNAL =&gt; 0.182 · 11. TOTAL AUTRES ACTIVITÉS =&gt; 0.298</t>
  </si>
  <si>
    <t>5. TOTAL JLD CIVIL =&gt; 0.28 · 10. TOTAL JLD PÉNAL =&gt; 0.182 · 7. TOTAL SIÈGE PÉNAL =&gt; 0.24 · 11. TOTAL AUTRES ACTIVITÉS =&gt; 0.298</t>
  </si>
  <si>
    <t>3b28c35d56 4c302c0e14 70b084ca13</t>
  </si>
  <si>
    <t>1. TOTAL CONTENTIEUX SOCIAL =&gt; 0.835 · 5. TOTAL JLD CIVIL =&gt; 0.03 · 7. TOTAL SIÈGE PÉNAL =&gt; 0.055 · 11. TOTAL AUTRES ACTIVITÉS =&gt; 0.08</t>
  </si>
  <si>
    <t>ed0ce506c8 5faa36fa0b 7ff25bc60d</t>
  </si>
  <si>
    <t>1. TOTAL CONTENTIEUX SOCIAL =&gt; 0.81 · 5. TOTAL JLD CIVIL =&gt; 0.05 · 7. TOTAL SIÈGE PÉNAL =&gt; 0.08 · 10. TOTAL JLD PÉNAL =&gt; 0.01 · 11. TOTAL AUTRES ACTIVITÉS =&gt; 0.05</t>
  </si>
  <si>
    <t>5. TOTAL JLD CIVIL =&gt; 0.05 · 10. TOTAL JLD PÉNAL =&gt; 0.01 · 7. TOTAL SIÈGE PÉNAL =&gt; 0.08 · 11. TOTAL AUTRES ACTIVITÉS =&gt; 0.05 · 1. TOTAL CONTENTIEUX SOCIAL =&gt; 0.81</t>
  </si>
  <si>
    <t>c02beefa2e 0a306d1137 ad3daa56c8</t>
  </si>
  <si>
    <t>4. TOTAL CIVIL NON SPÉCIALISÉ =&gt; 0.903 · 5. TOTAL JLD CIVIL =&gt; 0.003 · 7. TOTAL SIÈGE PÉNAL =&gt; 0.04 · 10. TOTAL JLD PÉNAL =&gt; 0.005 · 11. TOTAL AUTRES ACTIVITÉS =&gt; 0.05</t>
  </si>
  <si>
    <t>d48fca86a6 362df881cf 3003071eb5</t>
  </si>
  <si>
    <t>7. TOTAL SIÈGE PÉNAL =&gt; 0.72 · 7.1. COLLÉGIALES HORS JIRS =&gt; 0.64 · 7.13. JUGE UNIQUE =&gt; 0.08 · 10. TOTAL JLD PÉNAL =&gt; 0.024 · 10.1. HORS JIRS =&gt; 0.024 · 11. TOTAL AUTRES ACTIVITÉS =&gt; 0.056 · 12. TOTAL INDISPONIBILITÉ =&gt; 0.2 · 12.1. DÉCHARGE SYNDICALE =&gt; 0.2</t>
  </si>
  <si>
    <t>7. TOTAL SIÈGE PÉNAL =&gt; 0.72 · 11. TOTAL AUTRES ACTIVITÉS =&gt; 0.056 · 10. TOTAL JLD PÉNAL =&gt; 0.024 · 7.1. COLLÉGIALES HORS JIRS =&gt; 0.64 · 7.13. JUGE UNIQUE =&gt; 0.08 · 10.1. HORS JIRS =&gt; 0.024 · Décharge syndicale =&gt; 0.2 · TOTAL INDISPONIBILITÉS =&gt; 0.2</t>
  </si>
  <si>
    <t>d528a5f100 24cf98ad44 3992dc40f4</t>
  </si>
  <si>
    <t>12. TOTAL INDISPONIBILITÉ =&gt; 1 · 12.5. MISE À DISPOSITION =&gt; 1</t>
  </si>
  <si>
    <t>1. TOTAL CONTENTIEUX SOCIAL =&gt; 0 · 5. TOTAL JLD CIVIL =&gt; 0 · 10. TOTAL JLD PÉNAL =&gt; 0 · 7. TOTAL SIÈGE PÉNAL =&gt; 0 · 11. TOTAL AUTRES ACTIVITÉS =&gt; 0 · Mise à disposition =&gt; 1 · TOTAL INDISPONIBILITÉS =&gt; 1</t>
  </si>
  <si>
    <t>f4b5ae0119 8ae4873b54 64795f82b6</t>
  </si>
  <si>
    <t>4. TOTAL CIVIL NON SPÉCIALISÉ =&gt; 0.88 · 5. TOTAL JLD CIVIL =&gt; 0.01 · 10. TOTAL JLD PÉNAL =&gt; 0.01 · 11. TOTAL AUTRES ACTIVITÉS =&gt; 0.1</t>
  </si>
  <si>
    <t>5. TOTAL JLD CIVIL =&gt; 0.01 · 10. TOTAL JLD PÉNAL =&gt; 0.01 · 11. TOTAL AUTRES ACTIVITÉS =&gt; 0.1 · 4. TOTAL CIVIL NON SPÉCIALISÉ =&gt; 0.88</t>
  </si>
  <si>
    <t>8bd27b8668 99aa88eac8 e6410d7a38</t>
  </si>
  <si>
    <t>4. TOTAL CIVIL NON SPÉCIALISÉ =&gt; 0.8 · 5. TOTAL JLD CIVIL =&gt; 0.005 · 7. TOTAL SIÈGE PÉNAL =&gt; 0.106 · 10. TOTAL JLD PÉNAL =&gt; 0.029 · 11. TOTAL AUTRES ACTIVITÉS =&gt; 0.06</t>
  </si>
  <si>
    <t>5. TOTAL JLD CIVIL =&gt; 0.005 · 10. TOTAL JLD PÉNAL =&gt; 0.029 · 7. TOTAL SIÈGE PÉNAL =&gt; 0.106 · 11. TOTAL AUTRES ACTIVITÉS =&gt; 0.06 · 4. TOTAL CIVIL NON SPÉCIALISÉ =&gt; 0.8</t>
  </si>
  <si>
    <t>c70c230529 39b37c00f0 3c4d74a0d2</t>
  </si>
  <si>
    <t>1. TOTAL CONTENTIEUX SOCIAL =&gt; 0.3 · 3. TOTAL CONTENTIEUX DE LA PROTECTION =&gt; 0.57 · 7. TOTAL SIÈGE PÉNAL =&gt; 0.03 · 11. TOTAL AUTRES ACTIVITÉS =&gt; 0.1</t>
  </si>
  <si>
    <t>7. TOTAL SIÈGE PÉNAL =&gt; 0.03 · 11. TOTAL AUTRES ACTIVITÉS =&gt; 0.1 · 1. TOTAL CONTENTIEUX SOCIAL =&gt; 0.3 · 3. TOTAL CONTENTIEUX DE LA PROTECTION =&gt; 0.57</t>
  </si>
  <si>
    <t>17ef9daf88 3eea741d1a 1721764bd0</t>
  </si>
  <si>
    <t>4. TOTAL CIVIL NON SPÉCIALISÉ =&gt; 0.64 · 4.1. DROIT DES PERSONNES =&gt; 0.64 · 5. TOTAL JLD CIVIL =&gt; 0.008 · 7. TOTAL SIÈGE PÉNAL =&gt; 0.104 · 7.1. COLLÉGIALES HORS JIRS =&gt; 0.064 · 7.14. CI =&gt; 0.04 · 10. TOTAL JLD PÉNAL =&gt; 0.008 · 11. TOTAL AUTRES ACTIVITÉS =&gt; 0.04</t>
  </si>
  <si>
    <t>2023-02-20</t>
  </si>
  <si>
    <t>4. TOTAL CIVIL NON SPÉCIALISÉ =&gt; 0.295 · 4.1. DROIT DES PERSONNES =&gt; 0.295 · 5. TOTAL JLD CIVIL =&gt; 0.004 · 7. TOTAL SIÈGE PÉNAL =&gt; 0.048 · 7.1. COLLÉGIALES HORS JIRS =&gt; 0.03 · 7.14. CI =&gt; 0.018 · 10. TOTAL JLD PÉNAL =&gt; 0.004 · 11. TOTAL AUTRES ACTIVITÉS =&gt; 0.018</t>
  </si>
  <si>
    <t>2023-02-01</t>
  </si>
  <si>
    <t>2023-02-19</t>
  </si>
  <si>
    <t>5. TOTAL JLD CIVIL =&gt; 0.002 · 10. TOTAL JLD PÉNAL =&gt; 0.002 · 11. TOTAL AUTRES ACTIVITÉS =&gt; 0.008 · 4. TOTAL CIVIL NON SPÉCIALISÉ =&gt; 0.128 · 4.1. DROIT DES PERSONNES =&gt; 0.128 · 7. TOTAL SIÈGE PÉNAL =&gt; 0.021 · 7.1. COLLÉGIALES HORS JIRS =&gt; 0.013 · 7.14. CI =&gt; 0.008 · Compte épargne temps =&gt; 0.16</t>
  </si>
  <si>
    <t>2023-01-31</t>
  </si>
  <si>
    <t>5. TOTAL JLD CIVIL =&gt; 0.003 · 10. TOTAL JLD PÉNAL =&gt; 0.003 · 11. TOTAL AUTRES ACTIVITÉS =&gt; 0.014 · 4. TOTAL CIVIL NON SPÉCIALISÉ =&gt; 0.217 · 4.1. DROIT DES PERSONNES =&gt; 0.217 · 7. TOTAL SIÈGE PÉNAL =&gt; 0.035 · 7.1. COLLÉGIALES HORS JIRS =&gt; 0.022 · 7.14. CI =&gt; 0.014</t>
  </si>
  <si>
    <t>07b50cb677 460e1ee55f da88e3f0a9</t>
  </si>
  <si>
    <t>1. TOTAL CONTENTIEUX SOCIAL =&gt; 0.825 · 5. TOTAL JLD CIVIL =&gt; 0.04 · 7. TOTAL SIÈGE PÉNAL =&gt; 0.075 · 10. TOTAL JLD PÉNAL =&gt; 0.01 · 11. TOTAL AUTRES ACTIVITÉS =&gt; 0.05</t>
  </si>
  <si>
    <t>1. TOTAL CONTENTIEUX SOCIAL =&gt; 0.825 · 5. TOTAL JLD CIVIL =&gt; 0.04 · 10. TOTAL JLD PÉNAL =&gt; 0.01 · 7. TOTAL SIÈGE PÉNAL =&gt; 0.075 · 11. TOTAL AUTRES ACTIVITÉS =&gt; 0.05</t>
  </si>
  <si>
    <t>9893fe40ee a00c932fa8 27ebd76b94</t>
  </si>
  <si>
    <t>4. TOTAL CIVIL NON SPÉCIALISÉ =&gt; 0.715 · 5. TOTAL JLD CIVIL =&gt; 0.18 · 7. TOTAL SIÈGE PÉNAL =&gt; 0.05 · 10. TOTAL JLD PÉNAL =&gt; 0.005 · 11. TOTAL AUTRES ACTIVITÉS =&gt; 0.05</t>
  </si>
  <si>
    <t>4. TOTAL CIVIL NON SPÉCIALISÉ =&gt; 0.715 · 5. TOTAL JLD CIVIL =&gt; 0.18 · 10. TOTAL JLD PÉNAL =&gt; 0.005 · 7. TOTAL SIÈGE PÉNAL =&gt; 0.05 · 11. TOTAL AUTRES ACTIVITÉS =&gt; 0.05</t>
  </si>
  <si>
    <t>7c7441167d bb4b53de4c 3a1ae5d686</t>
  </si>
  <si>
    <t>4. TOTAL CIVIL NON SPÉCIALISÉ =&gt; 0.94 · 10. TOTAL JLD PÉNAL =&gt; 0.01 · 11. TOTAL AUTRES ACTIVITÉS =&gt; 0.05</t>
  </si>
  <si>
    <t>1f14dc2728 1b7bb34e1a 0bd7c55167</t>
  </si>
  <si>
    <t>7. TOTAL SIÈGE PÉNAL =&gt; 0.043 · 10. TOTAL JLD PÉNAL =&gt; 0.048 · 11. TOTAL AUTRES ACTIVITÉS =&gt; 0.055</t>
  </si>
  <si>
    <t>7. TOTAL SIÈGE PÉNAL =&gt; 0.043 · 10. TOTAL JLD PÉNAL =&gt; 0.048 · 11. TOTAL AUTRES ACTIVITÉS =&gt; 0.055 · 2. TOTAL CONTENTIEUX JAF =&gt; 0</t>
  </si>
  <si>
    <t>059dd46ae5 45dc08b6b5 cc94bedb86</t>
  </si>
  <si>
    <t>4. TOTAL CIVIL NON SPÉCIALISÉ =&gt; 0.735 · 5. TOTAL JLD CIVIL =&gt; 0.01 · 7. TOTAL SIÈGE PÉNAL =&gt; 0.045 · 10. TOTAL JLD PÉNAL =&gt; 0.02 · 11. TOTAL AUTRES ACTIVITÉS =&gt; 0.19</t>
  </si>
  <si>
    <t>4. TOTAL CIVIL NON SPÉCIALISÉ =&gt; 0.735 · 5. TOTAL JLD CIVIL =&gt; 0.01 · 10. TOTAL JLD PÉNAL =&gt; 0.02 · 7. TOTAL SIÈGE PÉNAL =&gt; 0.045 · 11. TOTAL AUTRES ACTIVITÉS =&gt; 0.19</t>
  </si>
  <si>
    <t>8dcb65e6fc 680277a8c9 ecc8427e94</t>
  </si>
  <si>
    <t>4. TOTAL CIVIL NON SPÉCIALISÉ =&gt; 0.716 · 7. TOTAL SIÈGE PÉNAL =&gt; 0.036 · 10. TOTAL JLD PÉNAL =&gt; 0.008 · 11. TOTAL AUTRES ACTIVITÉS =&gt; 0.04</t>
  </si>
  <si>
    <t>4. TOTAL CIVIL NON SPÉCIALISÉ =&gt; 0.716 · 10. TOTAL JLD PÉNAL =&gt; 0.008 · 7. TOTAL SIÈGE PÉNAL =&gt; 0.036 · 11. TOTAL AUTRES ACTIVITÉS =&gt; 0.04</t>
  </si>
  <si>
    <t>58f1970bac 04d7ecc126 03d5e6d326</t>
  </si>
  <si>
    <t>1. TOTAL CONTENTIEUX SOCIAL =&gt; 0.2 · 4. TOTAL CIVIL NON SPÉCIALISÉ =&gt; 0.6 · 5. TOTAL JLD CIVIL =&gt; 0.09 · 10. TOTAL JLD PÉNAL =&gt; 0.06 · 11. TOTAL AUTRES ACTIVITÉS =&gt; 0.05</t>
  </si>
  <si>
    <t>5. TOTAL JLD CIVIL =&gt; 0.09 · 10. TOTAL JLD PÉNAL =&gt; 0.06 · 11. TOTAL AUTRES ACTIVITÉS =&gt; 0.05 · 4. TOTAL CIVIL NON SPÉCIALISÉ =&gt; 0.6 · 1. TOTAL CONTENTIEUX SOCIAL =&gt; 0.2</t>
  </si>
  <si>
    <t>25b3cf4534 678fd2a00a 6855c9b8de</t>
  </si>
  <si>
    <t>4. TOTAL CIVIL NON SPÉCIALISÉ =&gt; 0.475 · 11. TOTAL AUTRES ACTIVITÉS =&gt; 0.025</t>
  </si>
  <si>
    <t>df475b5bfa aa4beb63c7 9960b148fe</t>
  </si>
  <si>
    <t>4. TOTAL CIVIL NON SPÉCIALISÉ =&gt; 0.915 · 7. TOTAL SIÈGE PÉNAL =&gt; 0.025 · 10. TOTAL JLD PÉNAL =&gt; 0.01 · 11. TOTAL AUTRES ACTIVITÉS =&gt; 0.05</t>
  </si>
  <si>
    <t>4. TOTAL CIVIL NON SPÉCIALISÉ =&gt; 0.915 · 10. TOTAL JLD PÉNAL =&gt; 0.01 · 7. TOTAL SIÈGE PÉNAL =&gt; 0.025 · 11. TOTAL AUTRES ACTIVITÉS =&gt; 0.05</t>
  </si>
  <si>
    <t>ead652a24c f287dc811e f4dc048d08</t>
  </si>
  <si>
    <t>4. TOTAL CIVIL NON SPÉCIALISÉ =&gt; 0.69 · 7. TOTAL SIÈGE PÉNAL =&gt; 0.08 · 10. TOTAL JLD PÉNAL =&gt; 0.03 · 11. TOTAL AUTRES ACTIVITÉS =&gt; 0.2</t>
  </si>
  <si>
    <t>4. TOTAL CIVIL NON SPÉCIALISÉ =&gt; 0.69 · 10. TOTAL JLD PÉNAL =&gt; 0.03 · 7. TOTAL SIÈGE PÉNAL =&gt; 0.08 · 11. TOTAL AUTRES ACTIVITÉS =&gt; 0.2</t>
  </si>
  <si>
    <t>d49bf4220a 1a72e72c26 a03e7e2052</t>
  </si>
  <si>
    <t>5. TOTAL JLD CIVIL =&gt; 0.01 · 7. TOTAL SIÈGE PÉNAL =&gt; 0.82 · 10. TOTAL JLD PÉNAL =&gt; 0.01 · 11. TOTAL AUTRES ACTIVITÉS =&gt; 0.16</t>
  </si>
  <si>
    <t>5. TOTAL JLD CIVIL =&gt; 0.01 · 10. TOTAL JLD PÉNAL =&gt; 0.01 · 7. TOTAL SIÈGE PÉNAL =&gt; 0.82 · 11. TOTAL AUTRES ACTIVITÉS =&gt; 0.16</t>
  </si>
  <si>
    <t>9f5a5ead0a d172531d0e ca745334b8</t>
  </si>
  <si>
    <t>4. TOTAL CIVIL NON SPÉCIALISÉ =&gt; 0.853 · 5. TOTAL JLD CIVIL =&gt; 0.01 · 7. TOTAL SIÈGE PÉNAL =&gt; 0.067 · 10. TOTAL JLD PÉNAL =&gt; 0.01 · 11. TOTAL AUTRES ACTIVITÉS =&gt; 0.06</t>
  </si>
  <si>
    <t>5. TOTAL JLD CIVIL =&gt; 0.01 · 10. TOTAL JLD PÉNAL =&gt; 0.01 · 7. TOTAL SIÈGE PÉNAL =&gt; 0.067 · 11. TOTAL AUTRES ACTIVITÉS =&gt; 0.06 · 4. TOTAL CIVIL NON SPÉCIALISÉ =&gt; 0.853</t>
  </si>
  <si>
    <t>46e5962ba2 9231d3ade6 287af9385f</t>
  </si>
  <si>
    <t>4. TOTAL CIVIL NON SPÉCIALISÉ =&gt; 0.648 · 7. TOTAL SIÈGE PÉNAL =&gt; 0.061 · 10. TOTAL JLD PÉNAL =&gt; 0.035 · 11. TOTAL AUTRES ACTIVITÉS =&gt; 0.056</t>
  </si>
  <si>
    <t>ff90d70851 52d17f8b59 506f053a3a</t>
  </si>
  <si>
    <t>4. TOTAL CIVIL NON SPÉCIALISÉ =&gt; 0.85 · 7. TOTAL SIÈGE PÉNAL =&gt; 0.07 · 10. TOTAL JLD PÉNAL =&gt; 0.01 · 11. TOTAL AUTRES ACTIVITÉS =&gt; 0.07</t>
  </si>
  <si>
    <t>4. TOTAL CIVIL NON SPÉCIALISÉ =&gt; 0.85 · 10. TOTAL JLD PÉNAL =&gt; 0.01 · 7. TOTAL SIÈGE PÉNAL =&gt; 0.07 · 11. TOTAL AUTRES ACTIVITÉS =&gt; 0.07</t>
  </si>
  <si>
    <t>596a8277e6 62beba9b87 091cbd4fb4</t>
  </si>
  <si>
    <t>4. TOTAL CIVIL NON SPÉCIALISÉ =&gt; 0.599 · 5. TOTAL JLD CIVIL =&gt; 0.005 · 7. TOTAL SIÈGE PÉNAL =&gt; 0.177 · 10. TOTAL JLD PÉNAL =&gt; 0.008 · 11. TOTAL AUTRES ACTIVITÉS =&gt; 0.042</t>
  </si>
  <si>
    <t>58d94c4abd 2bab46ee40 07f8c805fc</t>
  </si>
  <si>
    <t>4. TOTAL CIVIL NON SPÉCIALISÉ =&gt; 0.852 · 5. TOTAL JLD CIVIL =&gt; 0.01 · 7. TOTAL SIÈGE PÉNAL =&gt; 0.06 · 10. TOTAL JLD PÉNAL =&gt; 0.01 · 11. TOTAL AUTRES ACTIVITÉS =&gt; 0.069</t>
  </si>
  <si>
    <t>4. TOTAL CIVIL NON SPÉCIALISÉ =&gt; 0.852 · 5. TOTAL JLD CIVIL =&gt; 0.01 · 10. TOTAL JLD PÉNAL =&gt; 0.01 · 7. TOTAL SIÈGE PÉNAL =&gt; 0.06 · 11. TOTAL AUTRES ACTIVITÉS =&gt; 0.069</t>
  </si>
  <si>
    <t>6f38496ecd 6db98ff166 1160a2f011</t>
  </si>
  <si>
    <t>5. TOTAL JLD CIVIL =&gt; 0.324 · 7. TOTAL SIÈGE PÉNAL =&gt; 0.3 · 10. TOTAL JLD PÉNAL =&gt; 0.008 · 11. TOTAL AUTRES ACTIVITÉS =&gt; 0.04</t>
  </si>
  <si>
    <t>5. TOTAL JLD CIVIL =&gt; 0.324 · 7. TOTAL SIÈGE PÉNAL =&gt; 0.3 · 10. TOTAL JLD PÉNAL =&gt; 0.008 · 11. TOTAL AUTRES ACTIVITÉS =&gt; 0.04 · 2. TOTAL CONTENTIEUX JAF =&gt; 0</t>
  </si>
  <si>
    <t>5b31ae7e8e c4ece2c555 53643423d6</t>
  </si>
  <si>
    <t>7. TOTAL SIÈGE PÉNAL =&gt; 0.05 · 10. TOTAL JLD PÉNAL =&gt; 0.03 · 11. TOTAL AUTRES ACTIVITÉS =&gt; 0.25</t>
  </si>
  <si>
    <t>10. TOTAL JLD PÉNAL =&gt; 0.03 · 7. TOTAL SIÈGE PÉNAL =&gt; 0.05 · 11. TOTAL AUTRES ACTIVITÉS =&gt; 0.25 · 2. TOTAL CONTENTIEUX JAF =&gt; 0</t>
  </si>
  <si>
    <t>45e33615b1 4c7670ac40 29fa4517df</t>
  </si>
  <si>
    <t>4. TOTAL CIVIL NON SPÉCIALISÉ =&gt; 0.86 · 7. TOTAL SIÈGE PÉNAL =&gt; 0.06 · 10. TOTAL JLD PÉNAL =&gt; 0.01 · 11. TOTAL AUTRES ACTIVITÉS =&gt; 0.07</t>
  </si>
  <si>
    <t>4. TOTAL CIVIL NON SPÉCIALISÉ =&gt; 0.86 · 10. TOTAL JLD PÉNAL =&gt; 0.01 · 7. TOTAL SIÈGE PÉNAL =&gt; 0.06 · 11. TOTAL AUTRES ACTIVITÉS =&gt; 0.07</t>
  </si>
  <si>
    <t>f0b419b914 6ce9f2b6dc 3f1a842e0a</t>
  </si>
  <si>
    <t>4. TOTAL CIVIL NON SPÉCIALISÉ =&gt; 0.653 · 7. TOTAL SIÈGE PÉNAL =&gt; 0.077 · 11. TOTAL AUTRES ACTIVITÉS =&gt; 0.27</t>
  </si>
  <si>
    <t>dcf3d9c597 b44baa2207 cc0b200a9b</t>
  </si>
  <si>
    <t>7. TOTAL SIÈGE PÉNAL =&gt; 0.94 · 10. TOTAL JLD PÉNAL =&gt; 0.01 · 11. TOTAL AUTRES ACTIVITÉS =&gt; 0.05</t>
  </si>
  <si>
    <t>10. TOTAL JLD PÉNAL =&gt; 0.01 · 7. TOTAL SIÈGE PÉNAL =&gt; 0.94 · 11. TOTAL AUTRES ACTIVITÉS =&gt; 0.05</t>
  </si>
  <si>
    <t>c09a4cf8b0 bc7d261dd6 acf35e2e66</t>
  </si>
  <si>
    <t>7. TOTAL SIÈGE PÉNAL =&gt; 0.84 · 11. TOTAL AUTRES ACTIVITÉS =&gt; 0.16</t>
  </si>
  <si>
    <t>9952819b23 e1388abbf2 f348feccab</t>
  </si>
  <si>
    <t>7. TOTAL SIÈGE PÉNAL =&gt; 0.925 · 10. TOTAL JLD PÉNAL =&gt; 0.01 · 11. TOTAL AUTRES ACTIVITÉS =&gt; 0.065</t>
  </si>
  <si>
    <t>10. TOTAL JLD PÉNAL =&gt; 0.01 · 7. TOTAL SIÈGE PÉNAL =&gt; 0.925 · 11. TOTAL AUTRES ACTIVITÉS =&gt; 0.065</t>
  </si>
  <si>
    <t>740e4b3142 67b8798673 3b1a1aacf7</t>
  </si>
  <si>
    <t>5. TOTAL JLD CIVIL =&gt; 0.01 · 7. TOTAL SIÈGE PÉNAL =&gt; 0.065 · 9. TOTAL JAP =&gt; 0.865 · 10. TOTAL JLD PÉNAL =&gt; 0.01 · 11. TOTAL AUTRES ACTIVITÉS =&gt; 0.05</t>
  </si>
  <si>
    <t>9. TOTAL JAP =&gt; 0.865 · 5. TOTAL JLD CIVIL =&gt; 0.01 · 10. TOTAL JLD PÉNAL =&gt; 0.01 · 7. TOTAL SIÈGE PÉNAL =&gt; 0.065 · 11. TOTAL AUTRES ACTIVITÉS =&gt; 0.05</t>
  </si>
  <si>
    <t>976e643256 94babe2f18 b3cfb37c23</t>
  </si>
  <si>
    <t>7. TOTAL SIÈGE PÉNAL =&gt; 0.045 · 9. TOTAL JAP =&gt; 0.865 · 10. TOTAL JLD PÉNAL =&gt; 0.02 · 11. TOTAL AUTRES ACTIVITÉS =&gt; 0.07</t>
  </si>
  <si>
    <t>9. TOTAL JAP =&gt; 0.865 · 10. TOTAL JLD PÉNAL =&gt; 0.02 · 7. TOTAL SIÈGE PÉNAL =&gt; 0.045 · 11. TOTAL AUTRES ACTIVITÉS =&gt; 0.07</t>
  </si>
  <si>
    <t>29e897f26c 900afeae94 0f5143ec92</t>
  </si>
  <si>
    <t>7. TOTAL SIÈGE PÉNAL =&gt; 0.33 · 9. TOTAL JAP =&gt; 0.61 · 10. TOTAL JLD PÉNAL =&gt; 0.01 · 11. TOTAL AUTRES ACTIVITÉS =&gt; 0.05</t>
  </si>
  <si>
    <t>9. TOTAL JAP =&gt; 0.61 · 10. TOTAL JLD PÉNAL =&gt; 0.01 · 7. TOTAL SIÈGE PÉNAL =&gt; 0.33 · 11. TOTAL AUTRES ACTIVITÉS =&gt; 0.05</t>
  </si>
  <si>
    <t>54afc013f2 09bca2406c cd0ee33d7c</t>
  </si>
  <si>
    <t>7. TOTAL SIÈGE PÉNAL =&gt; 0.03 · 9. TOTAL JAP =&gt; 0.91 · 10. TOTAL JLD PÉNAL =&gt; 0.01 · 11. TOTAL AUTRES ACTIVITÉS =&gt; 0.05</t>
  </si>
  <si>
    <t>9. TOTAL JAP =&gt; 0.91 · 10. TOTAL JLD PÉNAL =&gt; 0.01 · 7. TOTAL SIÈGE PÉNAL =&gt; 0.03 · 11. TOTAL AUTRES ACTIVITÉS =&gt; 0.05</t>
  </si>
  <si>
    <t>96e6365af3 7892a30ae2 6a23e9c0ba</t>
  </si>
  <si>
    <t>7. TOTAL SIÈGE PÉNAL =&gt; 0.06 · 9. TOTAL JAP =&gt; 0.88 · 10. TOTAL JLD PÉNAL =&gt; 0.01 · 11. TOTAL AUTRES ACTIVITÉS =&gt; 0.05</t>
  </si>
  <si>
    <t>9. TOTAL JAP =&gt; 0.88 · 10. TOTAL JLD PÉNAL =&gt; 0.01 · 7. TOTAL SIÈGE PÉNAL =&gt; 0.06 · 11. TOTAL AUTRES ACTIVITÉS =&gt; 0.05</t>
  </si>
  <si>
    <t>0f7dac064b 723892c730 71e546f340</t>
  </si>
  <si>
    <t>3. TOTAL CONTENTIEUX DE LA PROTECTION =&gt; 0.835 · 4. TOTAL CIVIL NON SPÉCIALISÉ =&gt; 0.06 · 5. TOTAL JLD CIVIL =&gt; 0.01 · 7. TOTAL SIÈGE PÉNAL =&gt; 0.03 · 10. TOTAL JLD PÉNAL =&gt; 0.01 · 11. TOTAL AUTRES ACTIVITÉS =&gt; 0.055</t>
  </si>
  <si>
    <t>4. TOTAL CIVIL NON SPÉCIALISÉ =&gt; 0.06 · 3. TOTAL CONTENTIEUX DE LA PROTECTION =&gt; 0.835 · 5. TOTAL JLD CIVIL =&gt; 0.01 · 10. TOTAL JLD PÉNAL =&gt; 0.01 · 7. TOTAL SIÈGE PÉNAL =&gt; 0.03 · 11. TOTAL AUTRES ACTIVITÉS =&gt; 0.055</t>
  </si>
  <si>
    <t>6b44c8c1bb c8bc03f131 5ef7b054a8</t>
  </si>
  <si>
    <t>3. TOTAL CONTENTIEUX DE LA PROTECTION =&gt; 0.42 · 4. TOTAL CIVIL NON SPÉCIALISÉ =&gt; 0.49 · 7. TOTAL SIÈGE PÉNAL =&gt; 0.03 · 10. TOTAL JLD PÉNAL =&gt; 0.01 · 11. TOTAL AUTRES ACTIVITÉS =&gt; 0.05</t>
  </si>
  <si>
    <t>4. TOTAL CIVIL NON SPÉCIALISÉ =&gt; 0.49 · 3. TOTAL CONTENTIEUX DE LA PROTECTION =&gt; 0.42 · 10. TOTAL JLD PÉNAL =&gt; 0.01 · 7. TOTAL SIÈGE PÉNAL =&gt; 0.03 · 11. TOTAL AUTRES ACTIVITÉS =&gt; 0.05</t>
  </si>
  <si>
    <t>8b2908435b 9aefca75a6 5038e7f7c0</t>
  </si>
  <si>
    <t>3. TOTAL CONTENTIEUX DE LA PROTECTION =&gt; 0.64 · 4. TOTAL CIVIL NON SPÉCIALISÉ =&gt; 0.26 · 5. TOTAL JLD CIVIL =&gt; 0.015 · 7. TOTAL SIÈGE PÉNAL =&gt; 0.03 · 10. TOTAL JLD PÉNAL =&gt; 0.005 · 11. TOTAL AUTRES ACTIVITÉS =&gt; 0.05</t>
  </si>
  <si>
    <t>4. TOTAL CIVIL NON SPÉCIALISÉ =&gt; 0.26 · 3. TOTAL CONTENTIEUX DE LA PROTECTION =&gt; 0.64 · 5. TOTAL JLD CIVIL =&gt; 0.015 · 10. TOTAL JLD PÉNAL =&gt; 0.005 · 7. TOTAL SIÈGE PÉNAL =&gt; 0.03 · 11. TOTAL AUTRES ACTIVITÉS =&gt; 0.05</t>
  </si>
  <si>
    <t>ecae4586ab fddb746a82 92c0b02af1</t>
  </si>
  <si>
    <t>3. TOTAL CONTENTIEUX DE LA PROTECTION =&gt; 0.85 · 4. TOTAL CIVIL NON SPÉCIALISÉ =&gt; 0.033 · 7. TOTAL SIÈGE PÉNAL =&gt; 0.063 · 10. TOTAL JLD PÉNAL =&gt; 0.005 · 11. TOTAL AUTRES ACTIVITÉS =&gt; 0.05</t>
  </si>
  <si>
    <t>4. TOTAL CIVIL NON SPÉCIALISÉ =&gt; 0.033 · 3. TOTAL CONTENTIEUX DE LA PROTECTION =&gt; 0.85 · 10. TOTAL JLD PÉNAL =&gt; 0.005 · 7. TOTAL SIÈGE PÉNAL =&gt; 0.063 · 11. TOTAL AUTRES ACTIVITÉS =&gt; 0.05</t>
  </si>
  <si>
    <t>d3352f4d85 a6f4746912 806b76b756</t>
  </si>
  <si>
    <t>3. TOTAL CONTENTIEUX DE LA PROTECTION =&gt; 0.62 · 4. TOTAL CIVIL NON SPÉCIALISÉ =&gt; 0.044 · 5. TOTAL JLD CIVIL =&gt; 0.019 · 7. TOTAL SIÈGE PÉNAL =&gt; 0.061 · 10. TOTAL JLD PÉNAL =&gt; 0.015 · 11. TOTAL AUTRES ACTIVITÉS =&gt; 0.04</t>
  </si>
  <si>
    <t>d0a6ca24ec 3dda2b5d23 d87b489eda</t>
  </si>
  <si>
    <t>3. TOTAL CONTENTIEUX DE LA PROTECTION =&gt; 0.354 · 4. TOTAL CIVIL NON SPÉCIALISÉ =&gt; 0.136 · 5. TOTAL JLD CIVIL =&gt; 0.174 · 7. TOTAL SIÈGE PÉNAL =&gt; 0.081 · 10. TOTAL JLD PÉNAL =&gt; 0.008 · 11. TOTAL AUTRES ACTIVITÉS =&gt; 0.048</t>
  </si>
  <si>
    <t>5fc4c9e494 2617f2ee6b df32f7449c</t>
  </si>
  <si>
    <t>3. TOTAL CONTENTIEUX DE LA PROTECTION =&gt; 0.385 · 4. TOTAL CIVIL NON SPÉCIALISÉ =&gt; 0.485 · 5. TOTAL JLD CIVIL =&gt; 0.01 · 7. TOTAL SIÈGE PÉNAL =&gt; 0.02 · 11. TOTAL AUTRES ACTIVITÉS =&gt; 0.1</t>
  </si>
  <si>
    <t>4. TOTAL CIVIL NON SPÉCIALISÉ =&gt; 0.485 · 3. TOTAL CONTENTIEUX DE LA PROTECTION =&gt; 0.385 · 5. TOTAL JLD CIVIL =&gt; 0.01 · 7. TOTAL SIÈGE PÉNAL =&gt; 0.02 · 11. TOTAL AUTRES ACTIVITÉS =&gt; 0.1</t>
  </si>
  <si>
    <t>660fd3a69c d55d71b5df e24b9d0af5</t>
  </si>
  <si>
    <t>1. TOTAL CONTENTIEUX SOCIAL =&gt; 0.8</t>
  </si>
  <si>
    <t>c8ad6c6d32 45a5577f4c a15048be59</t>
  </si>
  <si>
    <t>3. TOTAL CONTENTIEUX DE LA PROTECTION =&gt; 0.28 · 4. TOTAL CIVIL NON SPÉCIALISÉ =&gt; 0.38 · 5. TOTAL JLD CIVIL =&gt; 0.01 · 7. TOTAL SIÈGE PÉNAL =&gt; 0.04 · 10. TOTAL JLD PÉNAL =&gt; 0.01 · 11. TOTAL AUTRES ACTIVITÉS =&gt; 0.28</t>
  </si>
  <si>
    <t>4. TOTAL CIVIL NON SPÉCIALISÉ =&gt; 0.38 · 3. TOTAL CONTENTIEUX DE LA PROTECTION =&gt; 0.28 · 5. TOTAL JLD CIVIL =&gt; 0.01 · 10. TOTAL JLD PÉNAL =&gt; 0.01 · 7. TOTAL SIÈGE PÉNAL =&gt; 0.04 · 11. TOTAL AUTRES ACTIVITÉS =&gt; 0.28</t>
  </si>
  <si>
    <t>1aa300c01d c836395fd3 8ff7702116</t>
  </si>
  <si>
    <t>3. TOTAL CONTENTIEUX DE LA PROTECTION =&gt; 0.145 · 4. TOTAL CIVIL NON SPÉCIALISÉ =&gt; 0.75 · 7. TOTAL SIÈGE PÉNAL =&gt; 0.035 · 7.1. COLLÉGIALES HORS JIRS =&gt; 0.035 · 11. TOTAL AUTRES ACTIVITÉS =&gt; 0.07 · 11.1. SOUTIEN (HORS FORMATIONS SUIVIES) =&gt; 0.07</t>
  </si>
  <si>
    <t>3. TOTAL CONTENTIEUX DE LA PROTECTION =&gt; 0.145 · 4. TOTAL CIVIL NON SPÉCIALISÉ =&gt; 0.75 · 7. TOTAL SIÈGE PÉNAL =&gt; 0.035 · 11. TOTAL AUTRES ACTIVITÉS =&gt; 0.07 · 7.1. COLLÉGIALES HORS JIRS =&gt; 0.035 · 11.1. SOUTIEN (HORS FORMATIONS SUIVIES) =&gt; 0.07</t>
  </si>
  <si>
    <t>b62adbc476 b7c681df5a 0612fb3216</t>
  </si>
  <si>
    <t>3. TOTAL CONTENTIEUX DE LA PROTECTION =&gt; 0.811 · 4. TOTAL CIVIL NON SPÉCIALISÉ =&gt; 0.02 · 5. TOTAL JLD CIVIL =&gt; 0.002 · 7. TOTAL SIÈGE PÉNAL =&gt; 0.077 · 11. TOTAL AUTRES ACTIVITÉS =&gt; 0.09</t>
  </si>
  <si>
    <t>5517a1288f 14b07062a0 d2fabbdc2d</t>
  </si>
  <si>
    <t>1. TOTAL CONTENTIEUX SOCIAL =&gt; 0.02 · 3. TOTAL CONTENTIEUX DE LA PROTECTION =&gt; 0.06 · 4. TOTAL CIVIL NON SPÉCIALISÉ =&gt; 0.825 · 5. TOTAL JLD CIVIL =&gt; 0.02 · 7. TOTAL SIÈGE PÉNAL =&gt; 0.025 · 11. TOTAL AUTRES ACTIVITÉS =&gt; 0.05</t>
  </si>
  <si>
    <t>4. TOTAL CIVIL NON SPÉCIALISÉ =&gt; 0.825 · 1. TOTAL CONTENTIEUX SOCIAL =&gt; 0.02 · 3. TOTAL CONTENTIEUX DE LA PROTECTION =&gt; 0.06 · 5. TOTAL JLD CIVIL =&gt; 0.02 · 7. TOTAL SIÈGE PÉNAL =&gt; 0.025 · 11. TOTAL AUTRES ACTIVITÉS =&gt; 0.05</t>
  </si>
  <si>
    <t>ec890289a2 40fdc941dd 385dd6dd8d</t>
  </si>
  <si>
    <t>6. TOTAL JUGES DES ENFANTS =&gt; 0.759 · 7. TOTAL SIÈGE PÉNAL =&gt; 0.05 · 11. TOTAL AUTRES ACTIVITÉS =&gt; 0.191</t>
  </si>
  <si>
    <t>e7de1b5471 9ed91c7ac0 47a8950c1d</t>
  </si>
  <si>
    <t>6. TOTAL JUGES DES ENFANTS =&gt; 0.925 · 7. TOTAL SIÈGE PÉNAL =&gt; 0.025 · 11. TOTAL AUTRES ACTIVITÉS =&gt; 0.05</t>
  </si>
  <si>
    <t>549e26d9d6 da179aa1c5 ad44bb65eb</t>
  </si>
  <si>
    <t>6. TOTAL JUGES DES ENFANTS =&gt; 0.9 · 7. TOTAL SIÈGE PÉNAL =&gt; 0.05 · 11. TOTAL AUTRES ACTIVITÉS =&gt; 0.05</t>
  </si>
  <si>
    <t>a2ac831be7 6ca83d4058 ef1635d1f3</t>
  </si>
  <si>
    <t>6. TOTAL JUGES DES ENFANTS =&gt; 0.88 · 7. TOTAL SIÈGE PÉNAL =&gt; 0.07 · 11. TOTAL AUTRES ACTIVITÉS =&gt; 0.05</t>
  </si>
  <si>
    <t>3b73b0562f 7a552de4ea 47bbdeec31</t>
  </si>
  <si>
    <t>6. TOTAL JUGES DES ENFANTS =&gt; 0.61 · 7. TOTAL SIÈGE PÉNAL =&gt; 0.34 · 11. TOTAL AUTRES ACTIVITÉS =&gt; 0.05</t>
  </si>
  <si>
    <t>a4df2803d5 5e95fb5a62 36605ad91c</t>
  </si>
  <si>
    <t>6. TOTAL JUGES DES ENFANTS =&gt; 0.885 · 7. TOTAL SIÈGE PÉNAL =&gt; 0.045 · 11. TOTAL AUTRES ACTIVITÉS =&gt; 0.07</t>
  </si>
  <si>
    <t>414a6e854a 6041775c85 3eb2e7f525</t>
  </si>
  <si>
    <t>7. TOTAL SIÈGE PÉNAL =&gt; 0.42 · 8. TOTAL JUGES D'INSTRUCTION =&gt; 0.28 · 11. TOTAL AUTRES ACTIVITÉS =&gt; 0.05</t>
  </si>
  <si>
    <t>8. TOTAL JUGES D'INSTRUCTION =&gt; 0.28 · 7. TOTAL SIÈGE PÉNAL =&gt; 0.42 · 11. TOTAL AUTRES ACTIVITÉS =&gt; 0.05</t>
  </si>
  <si>
    <t>446365ee57 2f44fc5212 eabc1ab01d</t>
  </si>
  <si>
    <t>7. TOTAL SIÈGE PÉNAL =&gt; 0.289 · 8. TOTAL JUGES D'INSTRUCTION =&gt; 0.641 · 11. TOTAL AUTRES ACTIVITÉS =&gt; 0.07</t>
  </si>
  <si>
    <t>9b2b787dca 8c6a310ac7 a9d395560e</t>
  </si>
  <si>
    <t>4. TOTAL CIVIL NON SPÉCIALISÉ =&gt; 0.262 · 5. TOTAL JLD CIVIL =&gt; 0.02 · 7. TOTAL SIÈGE PÉNAL =&gt; 0.622 · 8. TOTAL JUGES D'INSTRUCTION =&gt; 0.047 · 11. TOTAL AUTRES ACTIVITÉS =&gt; 0.05</t>
  </si>
  <si>
    <t>4. TOTAL CIVIL NON SPÉCIALISÉ =&gt; 0.262 · 5. TOTAL JLD CIVIL =&gt; 0.02 · 8. TOTAL JUGES D'INSTRUCTION =&gt; 0.047 · 7. TOTAL SIÈGE PÉNAL =&gt; 0.622 · 11. TOTAL AUTRES ACTIVITÉS =&gt; 0.05</t>
  </si>
  <si>
    <t>8a4c9440cf dca2a75a81 ec5b00e35d</t>
  </si>
  <si>
    <t>7. TOTAL SIÈGE PÉNAL =&gt; 0.1 · 8. TOTAL JUGES D'INSTRUCTION =&gt; 0.807 · 11. TOTAL AUTRES ACTIVITÉS =&gt; 0.093</t>
  </si>
  <si>
    <t>8. TOTAL JUGES D'INSTRUCTION =&gt; 0.807 · 7. TOTAL SIÈGE PÉNAL =&gt; 0.1 · 11. TOTAL AUTRES ACTIVITÉS =&gt; 0.093</t>
  </si>
  <si>
    <t>512961110f b8c207a9fe 865dd0730d</t>
  </si>
  <si>
    <t>7. TOTAL SIÈGE PÉNAL =&gt; 0.064 · 8. TOTAL JUGES D'INSTRUCTION =&gt; 0.886 · 11. TOTAL AUTRES ACTIVITÉS =&gt; 0.05</t>
  </si>
  <si>
    <t>8. TOTAL JUGES D'INSTRUCTION =&gt; 0.886 · 7. TOTAL SIÈGE PÉNAL =&gt; 0.064 · 11. TOTAL AUTRES ACTIVITÉS =&gt; 0.05</t>
  </si>
  <si>
    <t>9b4b0ce9a9 a7a16dd232 f1eba7c645</t>
  </si>
  <si>
    <t>7. TOTAL SIÈGE PÉNAL =&gt; 0.88 · 11. TOTAL AUTRES ACTIVITÉS =&gt; 0.12</t>
  </si>
  <si>
    <t>bfdbe2513d 69eec487c9 a9497d1342</t>
  </si>
  <si>
    <t>7. TOTAL SIÈGE PÉNAL =&gt; 0.33 · 10. TOTAL JLD PÉNAL =&gt; 0.62 · 11. TOTAL AUTRES ACTIVITÉS =&gt; 0.05</t>
  </si>
  <si>
    <t>10. TOTAL JLD PÉNAL =&gt; 0.62 · 7. TOTAL SIÈGE PÉNAL =&gt; 0.33 · 11. TOTAL AUTRES ACTIVITÉS =&gt; 0.05</t>
  </si>
  <si>
    <t>5ec61ec88d fd96a35912 5fa7b659ee</t>
  </si>
  <si>
    <t>7. TOTAL SIÈGE PÉNAL =&gt; 0.02 · 8. TOTAL JUGES D'INSTRUCTION =&gt; 0.93 · 11. TOTAL AUTRES ACTIVITÉS =&gt; 0.05</t>
  </si>
  <si>
    <t>8. TOTAL JUGES D'INSTRUCTION =&gt; 0.93 · 7. TOTAL SIÈGE PÉNAL =&gt; 0.02 · 11. TOTAL AUTRES ACTIVITÉS =&gt; 0.05</t>
  </si>
  <si>
    <t>7c32bf5dea f09dfdadb6 3d7bd56f9f</t>
  </si>
  <si>
    <t>7. TOTAL SIÈGE PÉNAL =&gt; 0.024 · 8. TOTAL JUGES D'INSTRUCTION =&gt; 0.926 · 11. TOTAL AUTRES ACTIVITÉS =&gt; 0.05</t>
  </si>
  <si>
    <t>8. TOTAL JUGES D'INSTRUCTION =&gt; 0.926 · 7. TOTAL SIÈGE PÉNAL =&gt; 0.024 · 11. TOTAL AUTRES ACTIVITÉS =&gt; 0.05</t>
  </si>
  <si>
    <t>873eb33d04 b1c8eb8f00 a3c27acaa0</t>
  </si>
  <si>
    <t>5. TOTAL JLD CIVIL =&gt; 0.285 · 7. TOTAL SIÈGE PÉNAL =&gt; 0.42 · 10. TOTAL JLD PÉNAL =&gt; 0.165 · 11. TOTAL AUTRES ACTIVITÉS =&gt; 0.13</t>
  </si>
  <si>
    <t>5. TOTAL JLD CIVIL =&gt; 0.285 · 10. TOTAL JLD PÉNAL =&gt; 0.165 · 7. TOTAL SIÈGE PÉNAL =&gt; 0.42 · 11. TOTAL AUTRES ACTIVITÉS =&gt; 0.13</t>
  </si>
  <si>
    <t>8c05b349e2 a17dc3ca35 1392543965</t>
  </si>
  <si>
    <t>5. TOTAL JLD CIVIL =&gt; 0.33 · 7. TOTAL SIÈGE PÉNAL =&gt; 0.45 · 10. TOTAL JLD PÉNAL =&gt; 0.17 · 11. TOTAL AUTRES ACTIVITÉS =&gt; 0.05</t>
  </si>
  <si>
    <t>5. TOTAL JLD CIVIL =&gt; 0.33 · 10. TOTAL JLD PÉNAL =&gt; 0.17 · 7. TOTAL SIÈGE PÉNAL =&gt; 0.45 · 11. TOTAL AUTRES ACTIVITÉS =&gt; 0.05</t>
  </si>
  <si>
    <t>3f1bc5bd50 9e4237632a 583dc75408</t>
  </si>
  <si>
    <t>5. TOTAL JLD CIVIL =&gt; 0.29 · 7. TOTAL SIÈGE PÉNAL =&gt; 0.414 · 10. TOTAL JLD PÉNAL =&gt; 0.15 · 11. TOTAL AUTRES ACTIVITÉS =&gt; 0.146</t>
  </si>
  <si>
    <t>5. TOTAL JLD CIVIL =&gt; 0.29 · 10. TOTAL JLD PÉNAL =&gt; 0.15 · 7. TOTAL SIÈGE PÉNAL =&gt; 0.414 · 11. TOTAL AUTRES ACTIVITÉS =&gt; 0.146</t>
  </si>
  <si>
    <t>833d51ffc9 f9c0e1b7cc 6132e7a6ac</t>
  </si>
  <si>
    <t>5. TOTAL JLD CIVIL =&gt; 0.32 · 7. TOTAL SIÈGE PÉNAL =&gt; 0.46 · 10. TOTAL JLD PÉNAL =&gt; 0.17 · 11. TOTAL AUTRES ACTIVITÉS =&gt; 0.05</t>
  </si>
  <si>
    <t>5. TOTAL JLD CIVIL =&gt; 0.32 · 10. TOTAL JLD PÉNAL =&gt; 0.17 · 7. TOTAL SIÈGE PÉNAL =&gt; 0.46 · 11. TOTAL AUTRES ACTIVITÉS =&gt; 0.05</t>
  </si>
  <si>
    <t>d25f23a2ca 9c6635a581 7c361b7e83</t>
  </si>
  <si>
    <t>33e540d4a9 4717aa305e 069a971a74</t>
  </si>
  <si>
    <t>4. TOTAL CIVIL NON SPÉCIALISÉ =&gt; 0.2 · 5. TOTAL JLD CIVIL =&gt; 0.01 · 7. TOTAL SIÈGE PÉNAL =&gt; 0.05 · 11. TOTAL AUTRES ACTIVITÉS =&gt; 0.74</t>
  </si>
  <si>
    <t>fc3bc2d2a9 12cea55097 db949448f9</t>
  </si>
  <si>
    <t>4. TOTAL CIVIL NON SPÉCIALISÉ =&gt; 0.209 · 7. TOTAL SIÈGE PÉNAL =&gt; 0.191 · 11. TOTAL AUTRES ACTIVITÉS =&gt; 0.05</t>
  </si>
  <si>
    <t>4. TOTAL CIVIL NON SPÉCIALISÉ =&gt; 0.209 · 7. TOTAL SIÈGE PÉNAL =&gt; 0.191 · 11. TOTAL AUTRES ACTIVITÉS =&gt; 0.05 · 2. TOTAL CONTENTIEUX JAF =&gt; 0</t>
  </si>
  <si>
    <t>1e00267bd0 e3ae35d478 902f8d121c</t>
  </si>
  <si>
    <t>7. TOTAL SIÈGE PÉNAL =&gt; 0.048 · 11. TOTAL AUTRES ACTIVITÉS =&gt; 0.056</t>
  </si>
  <si>
    <t>7. TOTAL SIÈGE PÉNAL =&gt; 0.048 · 11. TOTAL AUTRES ACTIVITÉS =&gt; 0.056 · 2. TOTAL CONTENTIEUX JAF =&gt; 0</t>
  </si>
  <si>
    <t>bb2251f348 10f947acc1 2630255973</t>
  </si>
  <si>
    <t>7. TOTAL SIÈGE PÉNAL =&gt; 0.05 · 11. TOTAL AUTRES ACTIVITÉS =&gt; 0.09</t>
  </si>
  <si>
    <t>7. TOTAL SIÈGE PÉNAL =&gt; 0.05 · 11. TOTAL AUTRES ACTIVITÉS =&gt; 0.09 · 2. TOTAL CONTENTIEUX JAF =&gt; 0</t>
  </si>
  <si>
    <t>7785300b83 c9f54ed1d9 0fb2d59b33</t>
  </si>
  <si>
    <t>7. TOTAL SIÈGE PÉNAL =&gt; 0.95 · 11. TOTAL AUTRES ACTIVITÉS =&gt; 0.05</t>
  </si>
  <si>
    <t>ebd804d3fe 7fb6068eba 95b26728e9</t>
  </si>
  <si>
    <t>4. TOTAL CIVIL NON SPÉCIALISÉ =&gt; 0.849 · 7. TOTAL SIÈGE PÉNAL =&gt; 0.101 · 11. TOTAL AUTRES ACTIVITÉS =&gt; 0.05</t>
  </si>
  <si>
    <t>50200377e4 2e43e0c9d1 7e5c5412c5</t>
  </si>
  <si>
    <t>1. TOTAL CONTENTIEUX SOCIAL =&gt; 0.87 · 7. TOTAL SIÈGE PÉNAL =&gt; 0.08 · 11. TOTAL AUTRES ACTIVITÉS =&gt; 0.05</t>
  </si>
  <si>
    <t>f3ffc70b4f f67624d8ea 3f48e88308</t>
  </si>
  <si>
    <t>4. TOTAL CIVIL NON SPÉCIALISÉ =&gt; 0.16 · 7. TOTAL SIÈGE PÉNAL =&gt; 0.79 · 11. TOTAL AUTRES ACTIVITÉS =&gt; 0.05</t>
  </si>
  <si>
    <t>7b67664098 f4a200dbfe ec43ecc4fc</t>
  </si>
  <si>
    <t>4. TOTAL CIVIL NON SPÉCIALISÉ =&gt; 0.895 · 7. TOTAL SIÈGE PÉNAL =&gt; 0.055 · 11. TOTAL AUTRES ACTIVITÉS =&gt; 0.05</t>
  </si>
  <si>
    <t>358a849eb9 85c67ddbba 484ddc634c</t>
  </si>
  <si>
    <t>4. TOTAL CIVIL NON SPÉCIALISÉ =&gt; 0.92 · 7. TOTAL SIÈGE PÉNAL =&gt; 0.03 · 11. TOTAL AUTRES ACTIVITÉS =&gt; 0.05</t>
  </si>
  <si>
    <t>6c82d85773 67d33bb32e 3f6a54f3ff</t>
  </si>
  <si>
    <t>7. TOTAL SIÈGE PÉNAL =&gt; 0.94 · 11. TOTAL AUTRES ACTIVITÉS =&gt; 0.06</t>
  </si>
  <si>
    <t>afbecb6ccd e46ca91943 38e6dc1fdb</t>
  </si>
  <si>
    <t>7. TOTAL SIÈGE PÉNAL =&gt; 0.158 · 11. TOTAL AUTRES ACTIVITÉS =&gt; 0.05</t>
  </si>
  <si>
    <t>7. TOTAL SIÈGE PÉNAL =&gt; 0.158 · 11. TOTAL AUTRES ACTIVITÉS =&gt; 0.05 · 2. TOTAL CONTENTIEUX JAF =&gt; 0</t>
  </si>
  <si>
    <t>8d3b531d5b 256e50c6db c24c4c6dd4</t>
  </si>
  <si>
    <t>7. TOTAL SIÈGE PÉNAL =&gt; 0.101 · 11. TOTAL AUTRES ACTIVITÉS =&gt; 0.05</t>
  </si>
  <si>
    <t>7. TOTAL SIÈGE PÉNAL =&gt; 0.101 · 11. TOTAL AUTRES ACTIVITÉS =&gt; 0.05 · 2. TOTAL CONTENTIEUX JAF =&gt; 0</t>
  </si>
  <si>
    <t>e37d65aa45 7ada140b60 49e2fc61aa</t>
  </si>
  <si>
    <t>4. TOTAL CIVIL NON SPÉCIALISÉ =&gt; 0.07 · 7. TOTAL SIÈGE PÉNAL =&gt; 0.88 · 11. TOTAL AUTRES ACTIVITÉS =&gt; 0.05</t>
  </si>
  <si>
    <t>bcc7504370 eaf8bf006e 17dfaf1ec0</t>
  </si>
  <si>
    <t>39514092c9 1fc3f6477e 30aaaef9dd</t>
  </si>
  <si>
    <t>1. TOTAL CONTENTIEUX SOCIAL =&gt; 0.83 · 7. TOTAL SIÈGE PÉNAL =&gt; 0.12 · 11. TOTAL AUTRES ACTIVITÉS =&gt; 0.05</t>
  </si>
  <si>
    <t>b3a9c92429 dda283173a 51402f65aa</t>
  </si>
  <si>
    <t>4. TOTAL CIVIL NON SPÉCIALISÉ =&gt; 0.1 · 5. TOTAL JLD CIVIL =&gt; 0.025 · 7. TOTAL SIÈGE PÉNAL =&gt; 0.825 · 11. TOTAL AUTRES ACTIVITÉS =&gt; 0.05</t>
  </si>
  <si>
    <t>70eef8b438 bf22238621 6969051acf</t>
  </si>
  <si>
    <t>4. TOTAL CIVIL NON SPÉCIALISÉ =&gt; 0.9 · 7. TOTAL SIÈGE PÉNAL =&gt; 0.05 · 11. TOTAL AUTRES ACTIVITÉS =&gt; 0.05</t>
  </si>
  <si>
    <t>e2addd79a5 51b03b4cdd bf5e7b6b41</t>
  </si>
  <si>
    <t>0a922a25b6 febbb6c66c 3c3f5bbb7e</t>
  </si>
  <si>
    <t>7. TOTAL SIÈGE PÉNAL =&gt; 0.025 · 11. TOTAL AUTRES ACTIVITÉS =&gt; 0.055</t>
  </si>
  <si>
    <t>7. TOTAL SIÈGE PÉNAL =&gt; 0.025 · 11. TOTAL AUTRES ACTIVITÉS =&gt; 0.055 · 2. TOTAL CONTENTIEUX JAF =&gt; 0</t>
  </si>
  <si>
    <t>b2079154c7 78dfa659e4 3337b67ec7</t>
  </si>
  <si>
    <t>7. TOTAL SIÈGE PÉNAL =&gt; 0.015 · 9. TOTAL JAP =&gt; 0.87 · 11. TOTAL AUTRES ACTIVITÉS =&gt; 0.115</t>
  </si>
  <si>
    <t>9. TOTAL JAP =&gt; 0.87 · 7. TOTAL SIÈGE PÉNAL =&gt; 0.015 · 11. TOTAL AUTRES ACTIVITÉS =&gt; 0.115</t>
  </si>
  <si>
    <t>a4e8af5aba 4a124e0168 d68709caa6</t>
  </si>
  <si>
    <t>7. TOTAL SIÈGE PÉNAL =&gt; 0.015 · 9. TOTAL JAP =&gt; 0.85 · 11. TOTAL AUTRES ACTIVITÉS =&gt; 0.135</t>
  </si>
  <si>
    <t>9. TOTAL JAP =&gt; 0.85 · 7. TOTAL SIÈGE PÉNAL =&gt; 0.015 · 11. TOTAL AUTRES ACTIVITÉS =&gt; 0.135</t>
  </si>
  <si>
    <t>1e6b5c9e2f 537af2ac74 42271152a3</t>
  </si>
  <si>
    <t>7. TOTAL SIÈGE PÉNAL =&gt; 0.1 · 9. TOTAL JAP =&gt; 0.79 · 11. TOTAL AUTRES ACTIVITÉS =&gt; 0.11</t>
  </si>
  <si>
    <t>9. TOTAL JAP =&gt; 0.79 · 7. TOTAL SIÈGE PÉNAL =&gt; 0.1 · 11. TOTAL AUTRES ACTIVITÉS =&gt; 0.11</t>
  </si>
  <si>
    <t>5525880aa5 54b836f629 9b3c5cc9b8</t>
  </si>
  <si>
    <t>3. TOTAL CONTENTIEUX DE LA PROTECTION =&gt; 0.815 · 4. TOTAL CIVIL NON SPÉCIALISÉ =&gt; 0.085 · 7. TOTAL SIÈGE PÉNAL =&gt; 0.05 · 11. TOTAL AUTRES ACTIVITÉS =&gt; 0.05</t>
  </si>
  <si>
    <t>4. TOTAL CIVIL NON SPÉCIALISÉ =&gt; 0.085 · 3. TOTAL CONTENTIEUX DE LA PROTECTION =&gt; 0.815 · 7. TOTAL SIÈGE PÉNAL =&gt; 0.05 · 11. TOTAL AUTRES ACTIVITÉS =&gt; 0.05</t>
  </si>
  <si>
    <t>017cb5bb31 f940b2b531 96bafa0bc1</t>
  </si>
  <si>
    <t>3. TOTAL CONTENTIEUX DE LA PROTECTION =&gt; 0.496 · 4. TOTAL CIVIL NON SPÉCIALISÉ =&gt; 0.24 · 7. TOTAL SIÈGE PÉNAL =&gt; 0.024 · 11. TOTAL AUTRES ACTIVITÉS =&gt; 0.04</t>
  </si>
  <si>
    <t>4. TOTAL CIVIL NON SPÉCIALISÉ =&gt; 0.24 · 3. TOTAL CONTENTIEUX DE LA PROTECTION =&gt; 0.496 · 7. TOTAL SIÈGE PÉNAL =&gt; 0.024 · 11. TOTAL AUTRES ACTIVITÉS =&gt; 0.04</t>
  </si>
  <si>
    <t>888195dc3b f07d94faff 91ce22b59e</t>
  </si>
  <si>
    <t>3. TOTAL CONTENTIEUX DE LA PROTECTION =&gt; 0.257 · 4. TOTAL CIVIL NON SPÉCIALISÉ =&gt; 0.108 · 7. TOTAL SIÈGE PÉNAL =&gt; 0.052 · 11. TOTAL AUTRES ACTIVITÉS =&gt; 0.05</t>
  </si>
  <si>
    <t>4. TOTAL CIVIL NON SPÉCIALISÉ =&gt; 0.108 · 3. TOTAL CONTENTIEUX DE LA PROTECTION =&gt; 0.257 · 7. TOTAL SIÈGE PÉNAL =&gt; 0.052 · 11. TOTAL AUTRES ACTIVITÉS =&gt; 0.05 · 2. TOTAL CONTENTIEUX JAF =&gt; 0</t>
  </si>
  <si>
    <t>d5cbb4aca4 896d110cf6 ead5aa9752</t>
  </si>
  <si>
    <t>3. TOTAL CONTENTIEUX DE LA PROTECTION =&gt; 0.59 · 4. TOTAL CIVIL NON SPÉCIALISÉ =&gt; 0.29 · 5. TOTAL JLD CIVIL =&gt; 0.015 · 7. TOTAL SIÈGE PÉNAL =&gt; 0.055 · 11. TOTAL AUTRES ACTIVITÉS =&gt; 0.05</t>
  </si>
  <si>
    <t>4. TOTAL CIVIL NON SPÉCIALISÉ =&gt; 0.29 · 3. TOTAL CONTENTIEUX DE LA PROTECTION =&gt; 0.59 · 5. TOTAL JLD CIVIL =&gt; 0.015 · 7. TOTAL SIÈGE PÉNAL =&gt; 0.055 · 11. TOTAL AUTRES ACTIVITÉS =&gt; 0.05</t>
  </si>
  <si>
    <t>d334367478 c2c59aa535 3d897657d3</t>
  </si>
  <si>
    <t>6. TOTAL JUGES DES ENFANTS =&gt; 0.88 · 7. TOTAL SIÈGE PÉNAL =&gt; 0.05 · 11. TOTAL AUTRES ACTIVITÉS =&gt; 0.07</t>
  </si>
  <si>
    <t>e18146c356 fc8d5e2e68 296b00a525</t>
  </si>
  <si>
    <t>6. TOTAL JUGES DES ENFANTS =&gt; 0.91 · 7. TOTAL SIÈGE PÉNAL =&gt; 0.04 · 11. TOTAL AUTRES ACTIVITÉS =&gt; 0.05</t>
  </si>
  <si>
    <t>079471b0d4 e97dc81f50 b2a867952c</t>
  </si>
  <si>
    <t>6. TOTAL JUGES DES ENFANTS =&gt; 0.705 · 7. TOTAL SIÈGE PÉNAL =&gt; 0.057 · 7.1. COLLÉGIALES HORS JIRS =&gt; 0.025 · 7.2. CRPC =&gt; 0.025 · 7.3. OP CORRECTIONNELLES =&gt; 0.008 · 11. TOTAL AUTRES ACTIVITÉS =&gt; 0.057</t>
  </si>
  <si>
    <t>87f6a8f595 c4a5771a63 75e4c8bb9a</t>
  </si>
  <si>
    <t>6. TOTAL JUGES DES ENFANTS =&gt; 0.91 · 7. TOTAL SIÈGE PÉNAL =&gt; 0.02 · 11. TOTAL AUTRES ACTIVITÉS =&gt; 0.07</t>
  </si>
  <si>
    <t>de33db04e7 e26a1e655c 376acf3a04</t>
  </si>
  <si>
    <t>6. TOTAL JUGES DES ENFANTS =&gt; 0.87 · 7. TOTAL SIÈGE PÉNAL =&gt; 0.08 · 11. TOTAL AUTRES ACTIVITÉS =&gt; 0.05</t>
  </si>
  <si>
    <t>a008472199 85585916dc b1191d60ee</t>
  </si>
  <si>
    <t>7. TOTAL SIÈGE PÉNAL =&gt; 0.04 · 8. TOTAL JUGES D'INSTRUCTION =&gt; 0.862 · 11. TOTAL AUTRES ACTIVITÉS =&gt; 0.098</t>
  </si>
  <si>
    <t>8. TOTAL JUGES D'INSTRUCTION =&gt; 0.862 · 7. TOTAL SIÈGE PÉNAL =&gt; 0.04 · 11. TOTAL AUTRES ACTIVITÉS =&gt; 0.098</t>
  </si>
  <si>
    <t>250eb1aaba 081f92896e 84445e4bcd</t>
  </si>
  <si>
    <t>7. TOTAL SIÈGE PÉNAL =&gt; 0.05 · 8. TOTAL JUGES D'INSTRUCTION =&gt; 0.9 · 11. TOTAL AUTRES ACTIVITÉS =&gt; 0.05</t>
  </si>
  <si>
    <t>8. TOTAL JUGES D'INSTRUCTION =&gt; 0.9 · 7. TOTAL SIÈGE PÉNAL =&gt; 0.05 · 11. TOTAL AUTRES ACTIVITÉS =&gt; 0.05</t>
  </si>
  <si>
    <t>2157413e36 133d9110b7 40ff9bfd04</t>
  </si>
  <si>
    <t>7. TOTAL SIÈGE PÉNAL =&gt; 0.855 · 8. TOTAL JUGES D'INSTRUCTION =&gt; 0.048 · 11. TOTAL AUTRES ACTIVITÉS =&gt; 0.048</t>
  </si>
  <si>
    <t>9aae10b7a6 f47aca1201 07e8713313</t>
  </si>
  <si>
    <t>7. TOTAL SIÈGE PÉNAL =&gt; 0.025 · 8. TOTAL JUGES D'INSTRUCTION =&gt; 0.925 · 11. TOTAL AUTRES ACTIVITÉS =&gt; 0.05</t>
  </si>
  <si>
    <t>8. TOTAL JUGES D'INSTRUCTION =&gt; 0.925 · 7. TOTAL SIÈGE PÉNAL =&gt; 0.025 · 11. TOTAL AUTRES ACTIVITÉS =&gt; 0.05</t>
  </si>
  <si>
    <t>5a8d6331ca 18191a24d2 f5e6d44c9f</t>
  </si>
  <si>
    <t>54f034775c 55bb90f429 056b24fcb8</t>
  </si>
  <si>
    <t>7. TOTAL SIÈGE PÉNAL =&gt; 0.425 · 8. TOTAL JUGES D'INSTRUCTION =&gt; 0.525 · 11. TOTAL AUTRES ACTIVITÉS =&gt; 0.05</t>
  </si>
  <si>
    <t>8. TOTAL JUGES D'INSTRUCTION =&gt; 0.525 · 7. TOTAL SIÈGE PÉNAL =&gt; 0.425 · 11. TOTAL AUTRES ACTIVITÉS =&gt; 0.05</t>
  </si>
  <si>
    <t>5bc40959ac 83aeab7fe5 b5d6e07f17</t>
  </si>
  <si>
    <t>7. TOTAL SIÈGE PÉNAL =&gt; 0.04 · 8. TOTAL JUGES D'INSTRUCTION =&gt; 0.91 · 11. TOTAL AUTRES ACTIVITÉS =&gt; 0.05</t>
  </si>
  <si>
    <t>8. TOTAL JUGES D'INSTRUCTION =&gt; 0.91 · 7. TOTAL SIÈGE PÉNAL =&gt; 0.04 · 11. TOTAL AUTRES ACTIVITÉS =&gt; 0.05</t>
  </si>
  <si>
    <t>3dbe6a3e17 cc7175e011 e6fa696f18</t>
  </si>
  <si>
    <t>2. TOTAL CONTENTIEUX JAF =&gt; 0</t>
  </si>
  <si>
    <t>1d2a5dcfc0 172ad56552 7cfe4b94d9</t>
  </si>
  <si>
    <t>5. TOTAL JLD CIVIL =&gt; 1</t>
  </si>
  <si>
    <t>61e9b6b5ec fab77ac473 adb929819d</t>
  </si>
  <si>
    <t>10. TOTAL JLD PÉNAL =&gt; 1</t>
  </si>
  <si>
    <t>863ea6e855 2c874581b5 8b9dbd651f</t>
  </si>
  <si>
    <t>c43b943161 dbfdb78d01 b43485e302</t>
  </si>
  <si>
    <t>231c6cffe5 ce0d0f224e 4780c09444</t>
  </si>
  <si>
    <t>b8a9416083 d099db0a3c 1f12b77210</t>
  </si>
  <si>
    <t>5ff7bf4c39 764bc9a450 c1adbb5acf</t>
  </si>
  <si>
    <t>7. TOTAL SIÈGE PÉNAL =&gt; 1 · 7.52. COUR CRIMINELLE =&gt; 0.5 · 7.51. COUR D'ASSISES JIRS =&gt; 0.5</t>
  </si>
  <si>
    <t>3d65a50a86 bdd025d0d7 14ba917941</t>
  </si>
  <si>
    <t>d48d107a57 1e05ed6503 35b28e5145</t>
  </si>
  <si>
    <t>2. TOTAL CONTENTIEUX JAF =&gt; 0.9 · 2.1. MARIAGES ET RÉGIMES MATRIMONIAUX =&gt; 0.9 · 11. TOTAL AUTRES ACTIVITÉS =&gt; 0.1 · 11.1. SOUTIEN (HORS FORMATIONS SUIVIES) =&gt; 0.1</t>
  </si>
  <si>
    <t>7ce367a60f c4cc15b20f b282a07b0a</t>
  </si>
  <si>
    <t>0850ec50c3 ef8126782a 63f6ca6809</t>
  </si>
  <si>
    <t>4. TOTAL CIVIL NON SPÉCIALISÉ =&gt; 1</t>
  </si>
  <si>
    <t>9b07d918a4 0be1ebb5e9 634d68d1cd</t>
  </si>
  <si>
    <t>af90a8df8a 85c5e1b854 3a064b3616</t>
  </si>
  <si>
    <t>78e60c9ed8 f312261473 423f37872b</t>
  </si>
  <si>
    <t>0f406eb9b5 94fa8dc5e2 d12f47248d</t>
  </si>
  <si>
    <t>aa1e734297 219b5d368e ec7ef40437</t>
  </si>
  <si>
    <t>7. TOTAL SIÈGE PÉNAL =&gt; 1 · 7.1. COLLÉGIALES HORS JIRS =&gt; 0.5 · 7.3. OP CORRECTIONNELLES =&gt; 0.5</t>
  </si>
  <si>
    <t>967caadf3e 72b4873ee6 47cf8b6234</t>
  </si>
  <si>
    <t>11. TOTAL AUTRES ACTIVITÉS =&gt; 1 · 11.51. ACCUEIL DU JUSTICIABLE (DONT SAUJ) =&gt; 1</t>
  </si>
  <si>
    <t>213a1cde50 5a3f2a463f dda4bb9c1c</t>
  </si>
  <si>
    <t>3. TOTAL CONTENTIEUX DE LA PROTECTION =&gt; 0.8</t>
  </si>
  <si>
    <t>53f7115d7e bcbad7bba5 8b0e2ab48a</t>
  </si>
  <si>
    <t>770383eb9c 925c8e1bfa 8007c14c37</t>
  </si>
  <si>
    <t>1a9abe4ce0 9c3ab43852 3b883d5063</t>
  </si>
  <si>
    <t>9da2b6a563 7c5ee5f9a9 9d40b824f2</t>
  </si>
  <si>
    <t>8500fa7390 368b3c2f17 68a0a83c59</t>
  </si>
  <si>
    <t>6. TOTAL JUGES DES ENFANTS =&gt; 1</t>
  </si>
  <si>
    <t>abbf7b89ab 92f7ec8787 d8497bdc64</t>
  </si>
  <si>
    <t>7. TOTAL SIÈGE PÉNAL =&gt; 1</t>
  </si>
  <si>
    <t>95942d2698 2569268aed 2ee2770f6a</t>
  </si>
  <si>
    <t>8. TOTAL JUGES D'INSTRUCTION =&gt; 1</t>
  </si>
  <si>
    <t>31b29bfd8e 75b4377b3e 9cfadf3c9f</t>
  </si>
  <si>
    <t>97fac6f158 e9c6af50a2 fb12d80d2d</t>
  </si>
  <si>
    <t>d867b8b4eb e924b5fe68 33616cfdd7</t>
  </si>
  <si>
    <t>fd3659a462 68f81f20c7 1be60dcc35</t>
  </si>
  <si>
    <t>07461e9e7f b170f72ae1 b62ccc96e0</t>
  </si>
  <si>
    <t>36be047cf9 9613629cb6 f49e22859d</t>
  </si>
  <si>
    <t>b829692049 97b2631f0a 897449620f</t>
  </si>
  <si>
    <t>b9b743cccf 462042426a ffe6bb0c81</t>
  </si>
  <si>
    <t>e1b392fb8c ee73e6c3ca 2fe2f30bd7</t>
  </si>
  <si>
    <t>0149d10097 3d56d88f30 ace0f98316</t>
  </si>
  <si>
    <t>36d2830cd3 ddc69d403a 95199c403c</t>
  </si>
  <si>
    <t>28ff7b0296 4126044007 c7c97657ef</t>
  </si>
  <si>
    <t>bcea011089 d9e797aeba 8fc078c233</t>
  </si>
  <si>
    <t>7b5714c0f9 0cca26dab7 c812a2e179</t>
  </si>
  <si>
    <t>9fb11bd254 4c1069c54a df9b3b614c</t>
  </si>
  <si>
    <t>00b003e684 0a1d98f0f2 7ad3d8924b</t>
  </si>
  <si>
    <t>d792bb5e28 bf4073b1de be121259ce</t>
  </si>
  <si>
    <t>2a0854e7aa 24d6cec878 3b33ca867e</t>
  </si>
  <si>
    <t>79113ea788 451f53ef26 1f8239c443</t>
  </si>
  <si>
    <t>6. TOTAL JUGES DES ENFANTS =&gt; 1 · 6.1. ACTIVITÉ CIVILE =&gt; 1</t>
  </si>
  <si>
    <t>20032a0f8f 387fffc5a7 96fb9308ce</t>
  </si>
  <si>
    <t>f83a8c9bd9 1505f0516d 95d309755f</t>
  </si>
  <si>
    <t>2. TOTAL CONTENTIEUX JAF =&gt; 0.8 · 2.1. MARIAGES ET RÉGIMES MATRIMONIAUX =&gt; 0.8</t>
  </si>
  <si>
    <t>5eeed8a756 db17adb02d cef2670c8f</t>
  </si>
  <si>
    <t>7. TOTAL SIÈGE PÉNAL =&gt; 1 · 7.52. COUR CRIMINELLE =&gt; 1</t>
  </si>
  <si>
    <t>5b50f8ef07 024158eb86 121d9974e7</t>
  </si>
  <si>
    <t>7. TOTAL SIÈGE PÉNAL =&gt; 0.8 · 7.52. COUR CRIMINELLE =&gt; 0.32 · 7.7. OP CONTRAVENTIONNELLES =&gt; 0.48</t>
  </si>
  <si>
    <t>c0cd5fffc5 5394a74172 3ec2944e94</t>
  </si>
  <si>
    <t>5. TOTAL JLD CIVIL =&gt; 1 · 5.1. RÉTENTION DES ÉTRANGERS =&gt; 1</t>
  </si>
  <si>
    <t>17ef4a8261 f80e63024d c7531c799b</t>
  </si>
  <si>
    <t>35785384db 175a9405ae 57b148d136</t>
  </si>
  <si>
    <t>d6fbb6d670 eb2bbcb3d0 182f04db43</t>
  </si>
  <si>
    <t>ca317da123 c968b31ccf 7caf35520b</t>
  </si>
  <si>
    <t>1. TOTAL CONTENTIEUX SOCIAL =&gt; 1 · 1.1. DÉPARTAGE PRUD'HOMAL =&gt; 1</t>
  </si>
  <si>
    <t>8dbb6656d5 e161393dce e3d0c2dcd7</t>
  </si>
  <si>
    <t>3. TOTAL CONTENTIEUX DE LA PROTECTION =&gt; 0.8 · 3.2. PROTECTION DES MAJEURS =&gt; 0.8</t>
  </si>
  <si>
    <t>c741a0b874 81eaf55b8a ebb4f786d3</t>
  </si>
  <si>
    <t>c57e81b2b9 5acbb56dca 1df70c4aa1</t>
  </si>
  <si>
    <t>4a5ab2670d bf527f7ea2 f48581da16</t>
  </si>
  <si>
    <t>ac4255314a ff865c7a15 02f03f6cb6</t>
  </si>
  <si>
    <t>0a20363b0c 5815ee6c2c b46e122554</t>
  </si>
  <si>
    <t>4a7bbbdf52 4223ad8bd7 3ede68883a</t>
  </si>
  <si>
    <t>51229ef816 7ab5ef075a dadd69b993</t>
  </si>
  <si>
    <t>5ac9179273 13920ad73a cf8175025c</t>
  </si>
  <si>
    <t>fd6d1593be 0b219e01bc 37c05c76e9</t>
  </si>
  <si>
    <t>1bd927fabd 72f2af05a5 49e29aa8e9</t>
  </si>
  <si>
    <t>e276f8e8ee 4f7aa4f5fc 8e624c93b6</t>
  </si>
  <si>
    <t>691ac8ad42 bec79dc073 a8413faf6e</t>
  </si>
  <si>
    <t>10. TOTAL JLD PÉNAL =&gt; 0.8 · 10.1. HORS JIRS =&gt; 0.8</t>
  </si>
  <si>
    <t>810ca032fd 01c03924ac 641d28ca3d</t>
  </si>
  <si>
    <t>11. TOTAL AUTRES ACTIVITÉS =&gt; 1 · 11.1. SOUTIEN (HORS FORMATIONS SUIVIES) =&gt; 1</t>
  </si>
  <si>
    <t>e5795fc779 51d6aec31b 6b0a466442</t>
  </si>
  <si>
    <t>73db9c9f43 0073146ea3 25891b7e2c</t>
  </si>
  <si>
    <t>7. TOTAL SIÈGE PÉNAL =&gt; 1 · 7.13. JUGE UNIQUE =&gt; 1</t>
  </si>
  <si>
    <t>e653b41c94 e10482deff fc2cb1037b</t>
  </si>
  <si>
    <t>a2d90c7f7c d9704b9962 1a4d9c0aa2</t>
  </si>
  <si>
    <t>490aaf4fc4 42e5b29c44 ed315c0fea</t>
  </si>
  <si>
    <t>7. TOTAL SIÈGE PÉNAL =&gt; 1 · 7.4. COMPOSITIONS PÉNALES =&gt; 1</t>
  </si>
  <si>
    <t>7b596fce33 fa16cc03d2 261c373dee</t>
  </si>
  <si>
    <t>4b3021f48d 9c3a59bb76 5d7b5d3327</t>
  </si>
  <si>
    <t>931e92a60e 4ddc61a834 cf296e5ae1</t>
  </si>
  <si>
    <t>f8d490db6d ba63d8c287 44994a1a1c</t>
  </si>
  <si>
    <t>9e4e569b02 4c2765e6d0 6f35a65cab</t>
  </si>
  <si>
    <t>5. TOTAL JLD CIVIL =&gt; 1 · 5.2. HO - CONTENTION =&gt; 1</t>
  </si>
  <si>
    <t>87cdabacde dc47d15146 5221f25259</t>
  </si>
  <si>
    <t>7. TOTAL SIÈGE PÉNAL =&gt; 1 · 7.4. COMPOSITIONS PÉNALES =&gt; 0.3 · 7.3. OP CORRECTIONNELLES =&gt; 0.7</t>
  </si>
  <si>
    <t>030557da19 8a9d1f2f77 32411a0e99</t>
  </si>
  <si>
    <t>e243788c3c 4bb7a5007e 3c999fe2ab</t>
  </si>
  <si>
    <t>7. TOTAL SIÈGE PÉNAL =&gt; 1 · 7.6. TRIBUNAL DE POLICE =&gt; 0.5 · 7.122. COLLÉGIALES AUTRES SECTIONS SPÉCIALISÉES =&gt; 0.5</t>
  </si>
  <si>
    <t>af0de24168 f26ce6e1e0 56cb3b95ea</t>
  </si>
  <si>
    <t>f78b14c793 3914eccae3 774c1d0c60</t>
  </si>
  <si>
    <t>ba1a31d7b3 2b8614c44d 446e148bd6</t>
  </si>
  <si>
    <t>504aed9ca1 c9953af3af 665724a0b8</t>
  </si>
  <si>
    <t>110fc96fcc 7cdee8af7a 730150d901</t>
  </si>
  <si>
    <t>7. TOTAL SIÈGE PÉNAL =&gt; 0.6 · 7.4. COMPOSITIONS PÉNALES =&gt; 0.24 · 7.3. OP CORRECTIONNELLES =&gt; 0.18 · 7.7. OP CONTRAVENTIONNELLES =&gt; 0.18</t>
  </si>
  <si>
    <t>60199b8f3f 890ec1c7c2 6e54b26548</t>
  </si>
  <si>
    <t>baa662be6b c96aabb754 604654c385</t>
  </si>
  <si>
    <t>7. TOTAL SIÈGE PÉNAL =&gt; 1 · 7.52. COUR CRIMINELLE =&gt; 0.4 · 7.7. OP CONTRAVENTIONNELLES =&gt; 0.6</t>
  </si>
  <si>
    <t>76c860921a 36650f131c fa75e747c9</t>
  </si>
  <si>
    <t>3fa316690a 2ec5498ac2 13b55753b7</t>
  </si>
  <si>
    <t>97f6846f9d b932337daf dbeb523954</t>
  </si>
  <si>
    <t>c563879cb4 24cad4978d f5c9683a71</t>
  </si>
  <si>
    <t>7. TOTAL SIÈGE PÉNAL =&gt; 1 · 7.12. COLLÉGIALES JIRS CRIM-ORG =&gt; 1</t>
  </si>
  <si>
    <t>bf5125cc3d f36fae6610 ad6a9aa559</t>
  </si>
  <si>
    <t>c5937b4f7b 9be59cd9c0 c22d6be1b3</t>
  </si>
  <si>
    <t>adc6abea9c 8bdc4b9d88 f80c1fb4da</t>
  </si>
  <si>
    <t>327f0e35e8 a73811ac85 d122dfec6e</t>
  </si>
  <si>
    <t>a27f393641 99c81ebac3 7f073c90e1</t>
  </si>
  <si>
    <t>3. TOTAL CONTENTIEUX DE LA PROTECTION =&gt; 0.64 · 3.2. PROTECTION DES MAJEURS =&gt; 0.64 · 11. TOTAL AUTRES ACTIVITÉS =&gt; 0.16 · 11.2. FORMATIONS SUIVIES =&gt; 0.04 · 11.51. ACCUEIL DU JUSTICIABLE (DONT SAUJ) =&gt; 0.12</t>
  </si>
  <si>
    <t>8fe320061b 973da4a3a1 7a366b4123</t>
  </si>
  <si>
    <t>25af6a3490 548332689e 94d98fa693</t>
  </si>
  <si>
    <t>1016b183e8 1ac2b4bc0a c8a338ca27</t>
  </si>
  <si>
    <t>b23dc459b0 158245fcfa 6019bfa61c</t>
  </si>
  <si>
    <t>85dbc86c92 1df987f4cc 44ff291c6c</t>
  </si>
  <si>
    <t>f3f1755d74 70b483bcb4 146d02aba9</t>
  </si>
  <si>
    <t>30aafe2c93 1599183294 e6a695289b</t>
  </si>
  <si>
    <t>5. TOTAL JLD CIVIL =&gt; 0.9</t>
  </si>
  <si>
    <t>f6b1acbb68 133fe98f0c cfdd8b5564</t>
  </si>
  <si>
    <t>b60132b211 019b986726 3625dceebd</t>
  </si>
  <si>
    <t>c7728f0f40 d280683dc5 597c0cb385</t>
  </si>
  <si>
    <t>4. TOTAL CIVIL NON SPÉCIALISÉ =&gt; 0.8</t>
  </si>
  <si>
    <t>ce60066acc 68cbe55708 8b181443c0</t>
  </si>
  <si>
    <t>ed3d7a59c4 adfaad5cd6 385aeaf5b3</t>
  </si>
  <si>
    <t>bbc05d2ad0 aa1e8d84fb 626bb36648</t>
  </si>
  <si>
    <t>6ecf0b1e0c 6d72cd5ee8 25a78a12c5</t>
  </si>
  <si>
    <t>6dc52f96f0 cb315dc220 106ce13d2e</t>
  </si>
  <si>
    <t>ea7bede5f1 a979e203ba 40b4e3b12e</t>
  </si>
  <si>
    <t>b154127a8a 33c7ca088e 44fb17a8dc</t>
  </si>
  <si>
    <t>5a43428964 0b9f7a90f8 544eccf1bc</t>
  </si>
  <si>
    <t>51c909db7c 02ee2bc81c 511ba3b643</t>
  </si>
  <si>
    <t>d699d25cf1 8e7319d43e c03e77e728</t>
  </si>
  <si>
    <t>155a67a8fe 19bfda8aeb b23a97bd18</t>
  </si>
  <si>
    <t>b559bfc41b 208f2e06fe 1286e03a0f</t>
  </si>
  <si>
    <t>4. TOTAL CIVIL NON SPÉCIALISÉ =&gt; 0.9</t>
  </si>
  <si>
    <t>e1a2e2d5b7 9285ab035e c41f4a36b6</t>
  </si>
  <si>
    <t>134a7799f1 5bbe35ef67 2d26901f1a</t>
  </si>
  <si>
    <t>e5551dd0af a7a64795ca 73a0597660</t>
  </si>
  <si>
    <t>0138216b9a a72298b7ed f2402834da</t>
  </si>
  <si>
    <t>074485f480 35719d1dfc e008e30fc0</t>
  </si>
  <si>
    <t>c4d00062ea 4be4925cb3 c3766dab74</t>
  </si>
  <si>
    <t>c9be229d3b 27f2b1245b 343cb7c059</t>
  </si>
  <si>
    <t>60532cff5b a6ac2027ff eb75aa602a</t>
  </si>
  <si>
    <t>70181d9fb5 fb0a3a3c25 e82ee07ab1</t>
  </si>
  <si>
    <t>0b3735c12d 71910176bf 2d43157d2e</t>
  </si>
  <si>
    <t>2f6be86ecc f4d39cc6ad 484b5d3582</t>
  </si>
  <si>
    <t>3861b2c5fc 7ac3373d9f 4640f14da0</t>
  </si>
  <si>
    <t>82b3057245 ded3824d2c f6111312cf</t>
  </si>
  <si>
    <t>b06740507f 7c782d62c3 647387041d</t>
  </si>
  <si>
    <t>590d0fb332 da13bd4c5a ed29fc1d9f</t>
  </si>
  <si>
    <t>2e0a1864ca 9df43f5133 fc5f1e925e</t>
  </si>
  <si>
    <t>44a00c7ae6 9dfc8a6ba1 f726260500</t>
  </si>
  <si>
    <t>845bf85666 e4ffa551cb b9cfa010fb</t>
  </si>
  <si>
    <t>074daa20a5 88d91c67b5 5c60840122</t>
  </si>
  <si>
    <t>bf27ba8ced bff91dad06 9963b7b3d2</t>
  </si>
  <si>
    <t>67e8ef0ae7 7c3d05e6c9 edc9852676</t>
  </si>
  <si>
    <t>ea85654f8f dc4898bf2b 2c586a02ab</t>
  </si>
  <si>
    <t>fa42557ead 7bb05ed325 ddcb85e57b</t>
  </si>
  <si>
    <t>093a924119 f9950e4978 34326fd3bb</t>
  </si>
  <si>
    <t>9bd5660b95 50e4d4371d 7f5f444dfe</t>
  </si>
  <si>
    <t>624f50d9be fbe76389ed eb1d50e854</t>
  </si>
  <si>
    <t>4. TOTAL CIVIL NON SPÉCIALISÉ =&gt; 0.8 · 4.2. DROIT DE LA FAMILLE =&gt; 0.8 · 11. TOTAL AUTRES ACTIVITÉS =&gt; 0.2 · 11.1. SOUTIEN (HORS FORMATIONS SUIVIES) =&gt; 0.15 · 11.2. FORMATIONS SUIVIES =&gt; 0.05</t>
  </si>
  <si>
    <t>585c202f55 f622d55d95 70d2d6679a</t>
  </si>
  <si>
    <t>9bfd244c3c 19510f0b56 0532b9a7ad</t>
  </si>
  <si>
    <t>d1d557a8de 9e38a23c83 f29b799d0a</t>
  </si>
  <si>
    <t>4. TOTAL CIVIL NON SPÉCIALISÉ =&gt; 0.5</t>
  </si>
  <si>
    <t>f3d4dca714 e5443f0b69 0bb6780cd6</t>
  </si>
  <si>
    <t>bddbd7d987 3c964f4c0a 0f97a815c3</t>
  </si>
  <si>
    <t>0164d11fd3 3d36866dc7 fc59716b06</t>
  </si>
  <si>
    <t>ab1122b30c 42ae6239d1 fbbeecf462</t>
  </si>
  <si>
    <t>e6bdcb1a03 6d08a6eece 9d9f2f8f3e</t>
  </si>
  <si>
    <t>b7091e1bf9 e260454a9a ab7d9fceb7</t>
  </si>
  <si>
    <t>b99d67d005 cfea913780 28f536bb37</t>
  </si>
  <si>
    <t>1. TOTAL CONTENTIEUX SOCIAL =&gt; 1</t>
  </si>
  <si>
    <t>f9493c912d 33a97e7ab5 a5cb825a5c</t>
  </si>
  <si>
    <t>37713b1a46 ad082a7ba3 e13b8c8187</t>
  </si>
  <si>
    <t>e03c2df50b d2e71f20c5 97808189ae</t>
  </si>
  <si>
    <t>2ae5571394 414392f827 447359a600</t>
  </si>
  <si>
    <t>7f9f838cd9 352cd315e8 ab7b0baac6</t>
  </si>
  <si>
    <t>488980f40e f1b43bb61d c3c055e288</t>
  </si>
  <si>
    <t>c5aa6d531d f9d7109168 7e8eaf9fea</t>
  </si>
  <si>
    <t>4dae538869 fda724be91 b47790328c</t>
  </si>
  <si>
    <t>a36684dfa6 74a89b9838 93b686ccbb</t>
  </si>
  <si>
    <t>5f99e0ac64 5edf295abf 9b81f4be6d</t>
  </si>
  <si>
    <t>d97b9b6eb0 bd5391b764 f5d62780c1</t>
  </si>
  <si>
    <t>62e58b3f2d d88afb0fac 660c38b4d3</t>
  </si>
  <si>
    <t>3. TOTAL CONTENTIEUX DE LA PROTECTION =&gt; 1</t>
  </si>
  <si>
    <t>4f35bea9bd beedb50317 ce81796c01</t>
  </si>
  <si>
    <t>3. TOTAL CONTENTIEUX DE LA PROTECTION =&gt; 0.9</t>
  </si>
  <si>
    <t>5807dba7d1 4881c921bf 9113c9af61</t>
  </si>
  <si>
    <t>830d11a288 8a8f29dab6 5a897b45d4</t>
  </si>
  <si>
    <t>23fa2305c2 3f957ff393 eaf69dde94</t>
  </si>
  <si>
    <t>55745e56f0 95a485993c 0ff0aba7c8</t>
  </si>
  <si>
    <t>2bc51f9a8d bb1d045209 df72a4e5cb</t>
  </si>
  <si>
    <t>359097f683 1173e76cd1 20ad857e09</t>
  </si>
  <si>
    <t>979a9b3d81 17c3e492aa 23baa2bc31</t>
  </si>
  <si>
    <t>f86b002a76 d63fb6dc3a 13aeb90234</t>
  </si>
  <si>
    <t>78d0fb86b5 2b1336960e a4048f211e</t>
  </si>
  <si>
    <t>86b7ebf152 68eceaa344 22ed01d32b</t>
  </si>
  <si>
    <t>7a81b943d5 e5c9206a92 4985092f07</t>
  </si>
  <si>
    <t>5. TOTAL JLD CIVIL =&gt; 0.8</t>
  </si>
  <si>
    <t>d13662c7eb db3f956ab5 244ce01113</t>
  </si>
  <si>
    <t>601320b73e aab1878277 0481df7f86</t>
  </si>
  <si>
    <t>9e767664b5 1ee3c3ba40 b0632b6583</t>
  </si>
  <si>
    <t>12.31. CONGÉ MALADIE ORDINAIRE =&gt; 1</t>
  </si>
  <si>
    <t>Congé maladie ordinaire =&gt; 1</t>
  </si>
  <si>
    <t>244a507acc 9ac54dffb7 0169b7602c</t>
  </si>
  <si>
    <t>b69bb238ac 2134203bea 8436331401</t>
  </si>
  <si>
    <t>7. TOTAL SIÈGE PÉNAL =&gt; 1 · 7.12. COLLÉGIALES JIRS CRIM-ORG =&gt; 0.3 · 7.122. COLLÉGIALES AUTRES SECTIONS SPÉCIALISÉES =&gt; 0.7</t>
  </si>
  <si>
    <t>62c8031337 dc4345c315 91154c5aac</t>
  </si>
  <si>
    <t>3c96b2d86a 06e01878e7 0a4f739f3b</t>
  </si>
  <si>
    <t>20839fa778 47400e9a03 40948648d3</t>
  </si>
  <si>
    <t>f06fbeaad5 3af0261ecc a40094f4a5</t>
  </si>
  <si>
    <t>f7f355f22b 2d4f36f4f4 9fea9074f4</t>
  </si>
  <si>
    <t>11. TOTAL AUTRES ACTIVITÉS =&gt; 1 · 11.4. ACCÈS AU DROIT ET À LA JUSTICE =&gt; 0.2 · 11.51. ACCUEIL DU JUSTICIABLE (DONT SAUJ) =&gt; 0.8</t>
  </si>
  <si>
    <t>d14307df29 3d26cebef9 fcb13d2f3f</t>
  </si>
  <si>
    <t>5e155509f5 2c67d7fb2a 8e19284b9f</t>
  </si>
  <si>
    <t>34b42754c8 87d54472c3 9931ad379f</t>
  </si>
  <si>
    <t>5738ddc2b2 7077146e4a 566573187e</t>
  </si>
  <si>
    <t>196b838e83 09ba187a7b 37c0bc5ec4</t>
  </si>
  <si>
    <t>2df83a59bb 419ea19101 5f5975e974</t>
  </si>
  <si>
    <t>9a7273828d b50db4cc54 975190dba8</t>
  </si>
  <si>
    <t>a8555f7df4 a8e4a25631 1fd28a61bf</t>
  </si>
  <si>
    <t>95d8ccc2c5 e423108bda b62eccabd9</t>
  </si>
  <si>
    <t>85d4ac8d4a 858a79e47f f6c574caf4</t>
  </si>
  <si>
    <t>543e368d3c f62292a4a2 a641a5b6f7</t>
  </si>
  <si>
    <t>8386e38303 ed52943258 74f60413cc</t>
  </si>
  <si>
    <t>98caaabca3 a3c82f7e3b 343256cbf7</t>
  </si>
  <si>
    <t>319bad4579 c0cdb511d6 5b75513863</t>
  </si>
  <si>
    <t>f1d6e7b7f2 2a1fe046c7 ac95999a82</t>
  </si>
  <si>
    <t>be3b0ce11e 0ab9518722 761437bff9</t>
  </si>
  <si>
    <t>7f7a4544ed 965fc12974 16b74b49e5</t>
  </si>
  <si>
    <t>d0eb27c2b6 c1493cf9be fa017063e9</t>
  </si>
  <si>
    <t>f12819c16d 57392ca6ea b329116ab3</t>
  </si>
  <si>
    <t>dd564f1d08 e027d735f0 fbde4c3df2</t>
  </si>
  <si>
    <t>2940bf29e2 f04cb125c6 a565ca6966</t>
  </si>
  <si>
    <t>ed1b1fc598 a95a1a05a8 53ca47c03a</t>
  </si>
  <si>
    <t>7. TOTAL SIÈGE PÉNAL =&gt; 1 · 7.14. CI =&gt; 0.2 · 7.4. COMPOSITIONS PÉNALES =&gt; 0.8</t>
  </si>
  <si>
    <t>acfa0cb9be 202b194901 49eb2fb7d8</t>
  </si>
  <si>
    <t>f10fc667c8 5fa6e1ad84 bcbc337388</t>
  </si>
  <si>
    <t>5e51e06541 1530712bb6 f87854e3ed</t>
  </si>
  <si>
    <t>89f25bbb93 fb13c69e0b e9fd4d6c13</t>
  </si>
  <si>
    <t>01b7960e24 a725a05582 59d43a8054</t>
  </si>
  <si>
    <t>6fca13780b 04a5eb9f05 fab473d6bd</t>
  </si>
  <si>
    <t>e33117fab7 52295b260e 9f9ba26e4b</t>
  </si>
  <si>
    <t>7cf0318dc0 228af07e7e 49d83c66b5</t>
  </si>
  <si>
    <t>bfda0d811c e9affaf35c b63f88bec3</t>
  </si>
  <si>
    <t>7589b6095f 6268c7e2da f78b72b531</t>
  </si>
  <si>
    <t>7337ab5d53 6d988888a0 88981cf8ed</t>
  </si>
  <si>
    <t>9dcdb8c8a8 280fb1535f f448bffcaf</t>
  </si>
  <si>
    <t>064342cf88 b03146f087 66d315a9d3</t>
  </si>
  <si>
    <t>6b78fc445c b0b569ad49 bb4c47a639</t>
  </si>
  <si>
    <t>58c1cf12e5 c41a06dfff 942d5c6805</t>
  </si>
  <si>
    <t>63b3c67c44 c2a03f43cb a4d975c4fe</t>
  </si>
  <si>
    <t>0e61d19c70 1996e17a60 27cff758a3</t>
  </si>
  <si>
    <t>6. TOTAL JUGES DES ENFANTS =&gt; 0.8</t>
  </si>
  <si>
    <t>71924d5567 d1c5f0bdb1 475e5a0dd6</t>
  </si>
  <si>
    <t>167353c840 4d3c4465ba 65fb495664</t>
  </si>
  <si>
    <t>7d78628cc5 999a15420f 2a0fdb9592</t>
  </si>
  <si>
    <t>9e3e9f0642 8b1f942e20 07cd719e3a</t>
  </si>
  <si>
    <t>5c3ced1e72 d761701849 a53ce45276</t>
  </si>
  <si>
    <t>0876a80b2b bed62153fa 07440a651c</t>
  </si>
  <si>
    <t>c9a8be8e9d c7bd03ccdc e82962a7f2</t>
  </si>
  <si>
    <t>7. TOTAL SIÈGE PÉNAL =&gt; 0.8</t>
  </si>
  <si>
    <t>69891643f3 df3bc54852 04a7b86e8a</t>
  </si>
  <si>
    <t>9ee52bb849 3a94560f76 3cda3399e4</t>
  </si>
  <si>
    <t>fe8528bef0 f7b366f156 e653f34286</t>
  </si>
  <si>
    <t>465cf4fb9b e425091ca4 fb58c751f6</t>
  </si>
  <si>
    <t>0018c10fda 2629f586c9 ea4623d516</t>
  </si>
  <si>
    <t>d0155c0dc7 b2a53a6958 42300de5b5</t>
  </si>
  <si>
    <t>4aef28cc3a 7da179e73b d5e0c7d320</t>
  </si>
  <si>
    <t>aee6b50661 82c41ed6a2 f405d5b62a</t>
  </si>
  <si>
    <t>bb1ade5720 1a802b4ec4 7c001a7f5a</t>
  </si>
  <si>
    <t>085ed60ba7 0f6afcf3d6 12d7e69712</t>
  </si>
  <si>
    <t>8. TOTAL JUGES D'INSTRUCTION =&gt; 0.8</t>
  </si>
  <si>
    <t>9d331fabd1 06e4118ea1 a615df456e</t>
  </si>
  <si>
    <t>4410fb0d66 54a52a34c7 f417594ffa</t>
  </si>
  <si>
    <t>70117d5954 bfbea5cbe3 4368cdb925</t>
  </si>
  <si>
    <t>ce5fd575cf 04f4dd3400 aaaf76c1a5</t>
  </si>
  <si>
    <t>93e762a252 b37ced35dc 78cedad8b8</t>
  </si>
  <si>
    <t>389dee071b 1dbc2ea3a0 fea47f42ec</t>
  </si>
  <si>
    <t>9. TOTAL JAP =&gt; 1</t>
  </si>
  <si>
    <t>fff1eeb085 3cf44f536b 1b74d7a65a</t>
  </si>
  <si>
    <t>b1d1621419 cad04e76bf 771f5a30f6</t>
  </si>
  <si>
    <t>43bd72de70 47acff20e9 29ef523315</t>
  </si>
  <si>
    <t>934df5c502 7ec97adfd1 ad0e4fe694</t>
  </si>
  <si>
    <t>200d075d36 b938c03450 5edb7c8362</t>
  </si>
  <si>
    <t>16a20100f4 b9c7317625 6d84c281ed</t>
  </si>
  <si>
    <t>74d92284a6 65022a36af 5012ed0542</t>
  </si>
  <si>
    <t>10. TOTAL JLD PÉNAL =&gt; 0.8</t>
  </si>
  <si>
    <t>873a142a58 865dddc870 ec6308cce1</t>
  </si>
  <si>
    <t>647ad4175e 801e969001 98869acc2c</t>
  </si>
  <si>
    <t>d2a80fe2d8 47b0eebe65 f859e3f627</t>
  </si>
  <si>
    <t>10. TOTAL JLD PÉNAL =&gt; 0.9</t>
  </si>
  <si>
    <t>e3e57a9eca 7548a5e32a 5112358288</t>
  </si>
  <si>
    <t>3e35bdc19e 4fec07f5f5 3437664e46</t>
  </si>
  <si>
    <t>195236478f de68017d8f 7c829d1e0c</t>
  </si>
  <si>
    <t>11. TOTAL AUTRES ACTIVITÉS =&gt; 0.8</t>
  </si>
  <si>
    <t>f9e1dbe2b1 6027e956fd 857dfef0f7</t>
  </si>
  <si>
    <t>3261ed341c a6fb9fd340 4b7b7e8fb0</t>
  </si>
  <si>
    <t>e15251951b d1413a9779 691199d4cb</t>
  </si>
  <si>
    <t>b9036eb0da c81cb7c654 481f6ef825</t>
  </si>
  <si>
    <t>c060cd6d7b 8a23b184e9 1843a261d5</t>
  </si>
  <si>
    <t>c9fc6c1ade cc8bd11d92 c2801fea0f</t>
  </si>
  <si>
    <t>14794e387d 84bb509e35 5c46170639</t>
  </si>
  <si>
    <t>1bf4d535d5 206e52736d cdc5e6b3e0</t>
  </si>
  <si>
    <t>99a5cc4479 dddb5dafcd 0c549b68a6</t>
  </si>
  <si>
    <t>ad79428295 6344f5be4a 59d724242d</t>
  </si>
  <si>
    <t>b74e4152ea 8a51143cd9 8dac449446</t>
  </si>
  <si>
    <t>af6cfa315c 3299c1b9aa add647974e</t>
  </si>
  <si>
    <t>64aea462c2 46ca95ee32 d5264e5c0d</t>
  </si>
  <si>
    <t>077fb54571 54f2c6e0c3 97cb60914e</t>
  </si>
  <si>
    <t>a74ea01747 62ccc0fdcc 49147e7273</t>
  </si>
  <si>
    <t>256940b867 30399f0422 95e2fe3a0d</t>
  </si>
  <si>
    <t>66e3c09a96 b08c41bbf2 c98b3d0aa7</t>
  </si>
  <si>
    <t>64e0f0c776 573f8d4b3d a1c05b3697</t>
  </si>
  <si>
    <t>11. TOTAL AUTRES ACTIVITÉS =&gt; 1 · 11.7. FONCTIONNAIRES AFFECTÉS AU CPH =&gt; 1</t>
  </si>
  <si>
    <t>561a7499fb c704bf96ff 92a54077a1</t>
  </si>
  <si>
    <t>68a8a45d13 51e926a0a7 3519d889f3</t>
  </si>
  <si>
    <t>b9ffc3e291 3574dbb6dc 0ef23f278f</t>
  </si>
  <si>
    <t>ade6e19c29 37f61bbf6c 4fcc2b9925</t>
  </si>
  <si>
    <t>fb348cec90 5a758d9e92 62c4c7d33d</t>
  </si>
  <si>
    <t>4. TOTAL CIVIL NON SPÉCIALISÉ =&gt; 1 · 4.0. CONTENTIEUX GÉNÉRAL &lt;10.000€ =&gt; 0.2 · 4.1. DROIT DES PERSONNES =&gt; 0.8</t>
  </si>
  <si>
    <t>5669bd1077 27427eccfe 387a9d0f9c</t>
  </si>
  <si>
    <t>447c5543c3 eb0105bbf7 7756ad569f</t>
  </si>
  <si>
    <t>bd140fbdfc c7bef4ccc7 0b5ec2234b</t>
  </si>
  <si>
    <t>6ffcff3b51 3586286f55 ffce050cc2</t>
  </si>
  <si>
    <t>dfc3926eab 41a33c8a38 0efccbdfb5</t>
  </si>
  <si>
    <t>2618dcb24b 28cb90ddf3 f0ea72ef6b</t>
  </si>
  <si>
    <t>4. TOTAL CIVIL NON SPÉCIALISÉ =&gt; 0.72 · 4.1. DROIT DES PERSONNES =&gt; 0.24 · 4.2. DROIT DE LA FAMILLE =&gt; 0.48 · 11. TOTAL AUTRES ACTIVITÉS =&gt; 0.08 · 11.51. ACCUEIL DU JUSTICIABLE (DONT SAUJ) =&gt; 0.08</t>
  </si>
  <si>
    <t>bd3bcd3d46 954bed9a78 5d06d5b0aa</t>
  </si>
  <si>
    <t>6. TOTAL JUGES DES ENFANTS =&gt; 1 · 6.1. ACTIVITÉ CIVILE =&gt; 0.4 · 6.2. ACTIVITÉ PÉNALE =&gt; 0.6</t>
  </si>
  <si>
    <t>195bf5c28f d97ec4f0c9 a21fdcdcff</t>
  </si>
  <si>
    <t>e16d634f54 105ec6443a bea36eebc7</t>
  </si>
  <si>
    <t>e0e6a6dc0f 23d0d58aee e40c29cb14</t>
  </si>
  <si>
    <t>c4ceabd323 48f4202811 7c470b95da</t>
  </si>
  <si>
    <t>a9181c0c3a 7b7476911d 47061ac1c1</t>
  </si>
  <si>
    <t>61254aa2f4 0cf63f0d16 f668c01db7</t>
  </si>
  <si>
    <t>1. TOTAL CONTENTIEUX SOCIAL =&gt; 0.5</t>
  </si>
  <si>
    <t>4916316620 8f2796df1a 145f24a3e5</t>
  </si>
  <si>
    <t>a7cdc0a5a5 52ae2f8598 0e3a96e68f</t>
  </si>
  <si>
    <t>0484fd2ecd daeb85beae 0273cf6e60</t>
  </si>
  <si>
    <t>ac76a07afc b487c4a6e3 261855501d</t>
  </si>
  <si>
    <t>7. TOTAL SIÈGE PÉNAL =&gt; 1 · 7.2. CRPC =&gt; 0.2 · 7.5. COUR D'ASSISES HORS JIRS =&gt; 0.4 · 7.6. TRIBUNAL DE POLICE =&gt; 0.4</t>
  </si>
  <si>
    <t>84d741437a 371ff1d477 31c570ab75</t>
  </si>
  <si>
    <t>9ad8a6ea64 c07d9ef0ad 570b7cb0a4</t>
  </si>
  <si>
    <t>824f7fc054 a537986bb4 2af86e35f8</t>
  </si>
  <si>
    <t>7. TOTAL SIÈGE PÉNAL =&gt; 1 · 7.8. AUTRES SIÈGE PÉNAL =&gt; 1</t>
  </si>
  <si>
    <t>32679a9b62 8f57029910 6081303f32</t>
  </si>
  <si>
    <t>7. TOTAL SIÈGE PÉNAL =&gt; 1 · 7.15. CPPV =&gt; 0.3 · 7.4. COMPOSITIONS PÉNALES =&gt; 0.3 · 7.52. COUR CRIMINELLE =&gt; 0.4</t>
  </si>
  <si>
    <t>84e2705f67 5a4eed85f6 b780f55c42</t>
  </si>
  <si>
    <t>7. TOTAL SIÈGE PÉNAL =&gt; 1 · 7.3. OP CORRECTIONNELLES =&gt; 0.8 · 7.121. COLLÉGIALES JIRS ÉCO-FI =&gt; 0.2</t>
  </si>
  <si>
    <t>17cc5843a4 54aeae9a94 3537738ed7</t>
  </si>
  <si>
    <t>55d0bda63c aa7cadb1e6 6ef857b1e4</t>
  </si>
  <si>
    <t>331c3b856d 964c827794 5744ace937</t>
  </si>
  <si>
    <t>a32e05a9ee cf643e76dc 8f65578d62</t>
  </si>
  <si>
    <t>ec66b18898 8598470bef 6dca149875</t>
  </si>
  <si>
    <t>39adb0ecf5 0b9bc0b1cc 7689b1d6db</t>
  </si>
  <si>
    <t>152f22a233 3806776d46 c5f134bce3</t>
  </si>
  <si>
    <t>3cd569fee5 924c49eeaf 98d3928961</t>
  </si>
  <si>
    <t>66ca132c2c 4255a5a296 ce34cd6abb</t>
  </si>
  <si>
    <t>55ce333bc2 c2d78f777f 4995e7c8f6</t>
  </si>
  <si>
    <t>c475ca9134 2f7ae205ee 943048974f</t>
  </si>
  <si>
    <t>11. TOTAL AUTRES ACTIVITÉS =&gt; 1 · 11.7. FONCTIONNAIRES AFFECTÉS AU CPH =&gt; 1 · 12.31. CONGÉ MALADIE ORDINAIRE =&gt; 0.308</t>
  </si>
  <si>
    <t>2023-03-06</t>
  </si>
  <si>
    <t>11. TOTAL AUTRES ACTIVITÉS =&gt; 0.308 · 11.7. FONCTIONNAIRES AFFECTÉS AU CPH =&gt; 0.308 · Congé maladie ordinaire =&gt; 0.308</t>
  </si>
  <si>
    <t>2023-03-05</t>
  </si>
  <si>
    <t>11. TOTAL AUTRES ACTIVITÉS =&gt; 0.692 · 11.7. FONCTIONNAIRES AFFECTÉS AU CPH =&gt; 0.692</t>
  </si>
  <si>
    <t>ba50c8595b eab75c06ae 3e0de12554</t>
  </si>
  <si>
    <t>dfee829080 d466711af4 ccade81e74</t>
  </si>
  <si>
    <t>ef961ffdc1 120f74f2d1 67a2cd6262</t>
  </si>
  <si>
    <t>5a51b53f77 31949e92de 41bd831a1c</t>
  </si>
  <si>
    <t>ec5a6564ed 8151f40d60 1870e4437c</t>
  </si>
  <si>
    <t>55dc1307ee ad00818163 81f2dda6fb</t>
  </si>
  <si>
    <t>90a7babe86 1b82c32aae 0b7403b4e1</t>
  </si>
  <si>
    <t>0fdbb8fa33 1e912ca205 a6134573cf</t>
  </si>
  <si>
    <t>829486ffa1 c04a57415e 709bac0133</t>
  </si>
  <si>
    <t>f4025e5e8e 988430083f 76a451b05d</t>
  </si>
  <si>
    <t>21e78c6981 f7b93f0693 1270a4d78a</t>
  </si>
  <si>
    <t>c2ecddeb0c e9dea0f34c 51fb827045</t>
  </si>
  <si>
    <t>29b0485d9f 7ce867019d b8b3955cc4</t>
  </si>
  <si>
    <t>d64d494bd8 0641948cce e23708b726</t>
  </si>
  <si>
    <t>e75af74f2f 8f3c54064e 677b2bf9a5</t>
  </si>
  <si>
    <t>1a46dac71a 925273cb30 d1a8fa4568</t>
  </si>
  <si>
    <t>ce10c0b817 56f031b387 e57cc2d925</t>
  </si>
  <si>
    <t>6b65adaa22 570cedbc81 d854fb2742</t>
  </si>
  <si>
    <t>762b7e52d6 8e195c885e e994782888</t>
  </si>
  <si>
    <t>fe50023de4 632fa216a8 8bb445371a</t>
  </si>
  <si>
    <t>9c3be1c005 c13cf1be03 b9c54d8000</t>
  </si>
  <si>
    <t>9ba3c885b3 b4bd1a9d70 adbdba08cb</t>
  </si>
  <si>
    <t>72637b4377 e6d6b9e1b6 810e2a86e6</t>
  </si>
  <si>
    <t>64c0bb7f32 2622411779 f45bcc11b8</t>
  </si>
  <si>
    <t>8465901d29 5846fee5df 6ea7270b1e</t>
  </si>
  <si>
    <t>b918a52190 0edcb4a550 477684a2e4</t>
  </si>
  <si>
    <t>664bd55cf8 1b5e7d6533 65a389ca8c</t>
  </si>
  <si>
    <t>23de9336d4 cccc2a4ab1 95c94b4ec4</t>
  </si>
  <si>
    <t>fe0113a271 7d91b599c8 234f261b96</t>
  </si>
  <si>
    <t>294059b8df a75c6aca16 3ef1c27d07</t>
  </si>
  <si>
    <t>3a52486086 6f992bc79c e8edb2816a</t>
  </si>
  <si>
    <t>dcaa8b9d1a 2acb8b15de 89fdcbee18</t>
  </si>
  <si>
    <t>e91383e38c fa7b964cbf dcec9c5e9a</t>
  </si>
  <si>
    <t>545a5e18ba cedb71a161 d5af943c21</t>
  </si>
  <si>
    <t>674581d200 b5a6bd5849 585e9d6cf8</t>
  </si>
  <si>
    <t>90d7e0ee25 971c301e2d 8654f72d27</t>
  </si>
  <si>
    <t>e7e2b89d5b 399fd6fa1e 3dea3b8401</t>
  </si>
  <si>
    <t>81b6cb45d3 da57fdefef f329137fdc</t>
  </si>
  <si>
    <t>5f25b8a50a fd9a3cc59b 9c6e31a877</t>
  </si>
  <si>
    <t>cad0a41bf7 3ce692845a 7d951c6bc2</t>
  </si>
  <si>
    <t>a37732136a 190860e2d5 3250a974bc</t>
  </si>
  <si>
    <t>1f16c25f2a 6840666b4d a366bcfcf6</t>
  </si>
  <si>
    <t>824e8dc0fd 6462759050 480fcd5fb2</t>
  </si>
  <si>
    <t>401407ec4d 04c147fd4c 97d775f6c2</t>
  </si>
  <si>
    <t>402940adbf e876bc02d7 b205dcbb32</t>
  </si>
  <si>
    <t>8a6bfd6cf0 9913b5226a 7dd1172c27</t>
  </si>
  <si>
    <t>f0f6f2c381 18068dd542 75d72792e8</t>
  </si>
  <si>
    <t>906bf82531 ea8b53ef70 cb5f1e0ceb</t>
  </si>
  <si>
    <t>a23e6d4651 0c5ba4c399 0c3c75b758</t>
  </si>
  <si>
    <t>516d9980ef 059913a6d1 b712189718</t>
  </si>
  <si>
    <t>72ebf6caa8 a5a05a3cef f5a2b156b1</t>
  </si>
  <si>
    <t>71ac3d2a6c ac87a52c3b e1428ae7f5</t>
  </si>
  <si>
    <t>0c0e2e342c 22a8dee165 a88692e5a6</t>
  </si>
  <si>
    <t>9d9901d33f e5b5b73d8d 1de62e33bf</t>
  </si>
  <si>
    <t>e8c20fa01d 8388c9f9e9 61bcb89cca</t>
  </si>
  <si>
    <t>d409e1b198 f979b518fa 2499d51d82</t>
  </si>
  <si>
    <t>a9a20d361c 3add36f202 f6d19e06f7</t>
  </si>
  <si>
    <t>a0d142b2d8 13ca413ce2 3c65d9f8dd</t>
  </si>
  <si>
    <t>c6d82b4653 f47957b1d2 29e5ea0336</t>
  </si>
  <si>
    <t>e38cc57a41 b709f8b26a ed9d1981aa</t>
  </si>
  <si>
    <t>2a87a0a473 eb9ffea657 e36d1db84b</t>
  </si>
  <si>
    <t>77489d0e19 9fb82e6e7f fc4ad6c934</t>
  </si>
  <si>
    <t>a44a83775c f7526e9444 000fc8b29f</t>
  </si>
  <si>
    <t>9c1bb25573 0e4725f5c0 caaf5be712</t>
  </si>
  <si>
    <t>5d17e45208 d9705e86e1 1bc2612d3f</t>
  </si>
  <si>
    <t>3. TOTAL CONTENTIEUX DE LA PROTECTION =&gt; 1 · 3.3. SURENDETTEMENT DES PARTICULIERS =&gt; 1</t>
  </si>
  <si>
    <t>2037a70416 daaa14e908 1f0bb4a5b3</t>
  </si>
  <si>
    <t>63e25ee4f0 a06a1256cb 68532c1dce</t>
  </si>
  <si>
    <t>ef28d33fef 4bd93edd75 118b5357ad</t>
  </si>
  <si>
    <t>043c71c704 576629bbb8 53743c3277</t>
  </si>
  <si>
    <t>7c9b895025 ac32e3280e 45a5dea32a</t>
  </si>
  <si>
    <t>fb3c397b61 b4bd4cddb6 577a739958</t>
  </si>
  <si>
    <t>76101f6b38 ac075a877a a303c087ff</t>
  </si>
  <si>
    <t>11. TOTAL AUTRES ACTIVITÉS =&gt; 0.32</t>
  </si>
  <si>
    <t>11. TOTAL AUTRES ACTIVITÉS =&gt; 0.32 · 2. TOTAL CONTENTIEUX JAF =&gt; 0</t>
  </si>
  <si>
    <t>27916761e1 4ae2521cbb 96688fde48</t>
  </si>
  <si>
    <t>4. TOTAL CIVIL NON SPÉCIALISÉ =&gt; 0.4 · 4.6. CONSTRUCTION =&gt; 0.4 · 8. TOTAL JUGES D'INSTRUCTION =&gt; 0.5 · 8.1. SERVICE GÉNÉRAL =&gt; 0.5 · 11. TOTAL AUTRES ACTIVITÉS =&gt; 0.1 · 11.1. SOUTIEN (HORS FORMATIONS SUIVIES) =&gt; 0.1</t>
  </si>
  <si>
    <t>574dd947ba b296e66480 9cc726ae2f</t>
  </si>
  <si>
    <t>3. TOTAL CONTENTIEUX DE LA PROTECTION =&gt; 0.6 · 3.2. PROTECTION DES MAJEURS =&gt; 0.6</t>
  </si>
  <si>
    <t>b7b24a4bee 9270500931 7cd0f94588</t>
  </si>
  <si>
    <t>1. TOTAL CONTENTIEUX SOCIAL =&gt; 0.6 · 11. TOTAL AUTRES ACTIVITÉS =&gt; 0.4 · 11.1. SOUTIEN (HORS FORMATIONS SUIVIES) =&gt; 0.4</t>
  </si>
  <si>
    <t>d9543f0d85 027eeaff64 81cb4170e8</t>
  </si>
  <si>
    <t>1. TOTAL CONTENTIEUX SOCIAL =&gt; 0.317 · 1.2. CONTENTIEUX DE LA PROTECTION SOCIALE =&gt; 0.317 · 2. TOTAL CONTENTIEUX JAF =&gt; 0.317 · 2.2. DIVORCE - CONTENTIEUX =&gt; 0.317</t>
  </si>
  <si>
    <t>3aaa736fb4 e93af67115 62cde299ad</t>
  </si>
  <si>
    <t>2. TOTAL CONTENTIEUX JAF =&gt; 0.178 · 2.1. MARIAGES ET RÉGIMES MATRIMONIAUX =&gt; 0.178 · 3. TOTAL CONTENTIEUX DE LA PROTECTION =&gt; 0.711 · 3.3. SURENDETTEMENT DES PARTICULIERS =&gt; 0.711</t>
  </si>
  <si>
    <t>86192b03b4 1ded61d77e 3d34ef9dbd</t>
  </si>
  <si>
    <t>4. TOTAL CIVIL NON SPÉCIALISÉ =&gt; 0.75 · 4.0. CONTENTIEUX GÉNÉRAL &lt;10.000€ =&gt; 0.75</t>
  </si>
  <si>
    <t>66b54f8594 1e0874c688 d3318bddb8</t>
  </si>
  <si>
    <t>7. TOTAL SIÈGE PÉNAL =&gt; 0.144 · 7.1. COLLÉGIALES HORS JIRS =&gt; 0.144</t>
  </si>
  <si>
    <t>889f2c1a81 3466c4e03f 01682e748a</t>
  </si>
  <si>
    <t>6. TOTAL JUGES DES ENFANTS =&gt; 0.3 · 6.2. ACTIVITÉ PÉNALE =&gt; 0.3 · 7. TOTAL SIÈGE PÉNAL =&gt; 0.5 · 7.1. COLLÉGIALES HORS JIRS =&gt; 0.5 · 11. TOTAL AUTRES ACTIVITÉS =&gt; 0.2 · 11.4. ACCÈS AU DROIT ET À LA JUSTICE =&gt; 0.2</t>
  </si>
  <si>
    <t>e7f1e11ec5 0087c75f85 87a77972f5</t>
  </si>
  <si>
    <t>4. TOTAL CIVIL NON SPÉCIALISÉ =&gt; 0.433 · 4.0. CONTENTIEUX GÉNÉRAL &lt;10.000€ =&gt; 0.433</t>
  </si>
  <si>
    <t>c8b592045f 867ce81781 2234167f47</t>
  </si>
  <si>
    <t>4. TOTAL CIVIL NON SPÉCIALISÉ =&gt; 0.283 · 4.1. DROIT DES PERSONNES =&gt; 0.283</t>
  </si>
  <si>
    <t>8c37d1c8f6 3da70f5879 23c5b87e96</t>
  </si>
  <si>
    <t>3. TOTAL CONTENTIEUX DE LA PROTECTION =&gt; 0.577 · 3.3. SURENDETTEMENT DES PARTICULIERS =&gt; 0.577 · 7. TOTAL SIÈGE PÉNAL =&gt; 0.144 · 7.14. CI =&gt; 0.144</t>
  </si>
  <si>
    <t>e2c2038e23 80a3ea55d9 794b703fed</t>
  </si>
  <si>
    <t>1. TOTAL CONTENTIEUX SOCIAL =&gt; 0.8 · 1.1. DÉPARTAGE PRUD'HOMAL =&gt; 0.8 · 11. TOTAL AUTRES ACTIVITÉS =&gt; 0.2 · 11.2. FORMATIONS SUIVIES =&gt; 0.2</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</si>
  <si>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</si>
  <si>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</si>
  <si>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</si>
  <si>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</si>
  <si>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</si>
  <si>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</si>
  <si>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</si>
  <si>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</si>
  <si>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</si>
  <si>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</si>
  <si>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</si>
  <si>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</si>
  <si>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</si>
  <si>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</si>
  <si>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</si>
  <si>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</si>
  <si>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</si>
  <si>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</si>
  <si>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</si>
  <si>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</si>
  <si>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</si>
  <si>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</si>
  <si>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</si>
  <si>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</si>
  <si>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</si>
  <si>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</si>
  <si>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</si>
  <si>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</si>
  <si>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</si>
  <si>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</si>
  <si>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</si>
  <si>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</si>
  <si>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</si>
  <si>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</si>
  <si>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</si>
  <si>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</si>
  <si>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</si>
  <si>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</si>
  <si>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</si>
  <si>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</si>
  <si>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</si>
  <si>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</si>
  <si>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</si>
  <si>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</si>
  <si>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</si>
  <si>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</si>
  <si>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</si>
  <si>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</si>
  <si>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</si>
  <si>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</si>
  <si>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</si>
  <si>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</si>
  <si>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</si>
  <si>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</si>
  <si>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</si>
  <si>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</si>
  <si>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</si>
  <si>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</si>
  <si>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</si>
  <si>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</si>
  <si>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</si>
  <si>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</si>
  <si>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</si>
  <si>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</si>
  <si>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</si>
  <si>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</si>
  <si>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</si>
  <si>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</si>
  <si>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</si>
  <si>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</si>
  <si>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</si>
  <si>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</si>
  <si>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</si>
  <si>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</si>
  <si>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</si>
  <si>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</si>
  <si>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</si>
  <si>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</si>
  <si>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</si>
  <si>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</si>
  <si>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</si>
  <si>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</si>
  <si>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</si>
  <si>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</si>
  <si>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</si>
  <si>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</si>
  <si>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</si>
  <si>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</si>
  <si>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</si>
  <si>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</si>
  <si>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</si>
  <si>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</si>
  <si>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</si>
  <si>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</si>
  <si>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</si>
  <si>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</si>
  <si>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</si>
  <si>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</si>
  <si>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</si>
  <si>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</si>
  <si>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</si>
  <si>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</si>
  <si>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</si>
  <si>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</si>
  <si>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</si>
  <si>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</si>
  <si>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</si>
  <si>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</si>
  <si>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</si>
  <si>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</si>
  <si>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</si>
  <si>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</si>
  <si>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</si>
  <si>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</si>
  <si>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</si>
  <si>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</si>
  <si>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</si>
  <si>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</si>
  <si>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</si>
  <si>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</si>
  <si>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</si>
  <si>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</si>
  <si>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</si>
  <si>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</si>
  <si>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</si>
  <si>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</si>
  <si>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</si>
  <si>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</si>
  <si>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</si>
  <si>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</si>
  <si>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</si>
  <si>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</si>
  <si>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</si>
  <si>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</si>
  <si>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</si>
  <si>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</si>
  <si>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</si>
  <si>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</si>
  <si>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</si>
  <si>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</si>
  <si>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</si>
  <si>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</si>
  <si>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</si>
  <si>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</si>
  <si>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</si>
  <si>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</si>
  <si>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</si>
  <si>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</si>
  <si>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</si>
  <si>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</si>
  <si>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</si>
  <si>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</si>
  <si>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</si>
  <si>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</si>
  <si>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</si>
  <si>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</si>
  <si>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</si>
  <si>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</si>
  <si>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</si>
  <si>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</si>
  <si>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</si>
  <si>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</si>
  <si>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</si>
  <si>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</si>
  <si>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</si>
  <si>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</si>
  <si>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</si>
  <si>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</si>
  <si>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</si>
  <si>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</si>
  <si>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</si>
  <si>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</si>
  <si>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</si>
  <si>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</si>
  <si>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</si>
  <si>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</si>
  <si>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</si>
  <si>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</si>
  <si>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</si>
  <si>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</si>
  <si>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</si>
  <si>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</si>
  <si>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</si>
  <si>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</si>
  <si>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</si>
  <si>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</si>
  <si>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</si>
  <si>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</si>
  <si>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</si>
  <si>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</si>
  <si>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CONT_A_JP_VIF_PARQUET</t>
  </si>
  <si>
    <t>JUR_ASS_JAP</t>
  </si>
  <si>
    <t>JUR_ASS_JE</t>
  </si>
  <si>
    <t>JUR_ASS_JINST</t>
  </si>
  <si>
    <t>JUR_ASS_JLD</t>
  </si>
  <si>
    <t>Sous action</t>
  </si>
  <si>
    <t>Contractuels A J Prox et A VIF</t>
  </si>
  <si>
    <t>Contractuels A J Prox et A VIF au Parquet</t>
  </si>
  <si>
    <t>Juristes assistants chambres sociales (CA)</t>
  </si>
  <si>
    <t>Juristes assistants au parquet</t>
  </si>
  <si>
    <t>Juristes assistants Pôle social (TJ)</t>
  </si>
  <si>
    <t>Juristes assistants affectés aux JAP</t>
  </si>
  <si>
    <t>Juristes assistants affectés aux JE</t>
  </si>
  <si>
    <t>Juristes assistants affectés aux Juge d'instruction</t>
  </si>
  <si>
    <t>Juristes assistants affectés aux JLD</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</si>
  <si>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</si>
  <si>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</si>
  <si>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</si>
  <si>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</si>
  <si>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</si>
  <si>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</si>
  <si>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</si>
  <si>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</si>
  <si>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</si>
  <si>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</si>
  <si>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</si>
  <si>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</si>
  <si>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</si>
  <si>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</si>
  <si>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</si>
  <si>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</si>
  <si>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</si>
  <si>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JURISTES ASSISTANTS (futur Attachés de justice)</t>
  </si>
  <si>
    <t>TJ</t>
  </si>
  <si>
    <t>TPROX</t>
  </si>
  <si>
    <t>CPH</t>
  </si>
  <si>
    <t>CPH détachés</t>
  </si>
  <si>
    <t>#! END_ROW</t>
  </si>
  <si>
    <t>#! FINISH</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</si>
  <si>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</si>
  <si>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</si>
  <si>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</si>
  <si>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t xml:space="preserve">5. TOTAL JLD CIVIL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</si>
  <si>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</si>
  <si>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</si>
  <si>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</si>
  <si>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</si>
  <si>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</si>
  <si>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</si>
  <si>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</si>
  <si>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</si>
  <si>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</si>
  <si>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</si>
  <si>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</si>
  <si>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</si>
  <si>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</si>
  <si>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</si>
  <si>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</si>
  <si>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</si>
  <si>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</si>
  <si>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</si>
  <si>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</si>
  <si>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</si>
  <si>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</si>
  <si>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</si>
  <si>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</si>
  <si>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</si>
  <si>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</si>
  <si>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</si>
  <si>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</si>
  <si>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</si>
  <si>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</si>
  <si>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</si>
  <si>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</si>
  <si>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</si>
  <si>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</si>
  <si>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</si>
  <si>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</si>
  <si>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</si>
  <si>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</si>
  <si>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</si>
  <si>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</si>
  <si>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</si>
  <si>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</si>
  <si>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</si>
  <si>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</si>
  <si>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</si>
  <si>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</si>
  <si>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</si>
  <si>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</si>
  <si>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</si>
  <si>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</si>
  <si>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</si>
  <si>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</si>
  <si>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</si>
  <si>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</si>
  <si>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</si>
  <si>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</si>
  <si>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</si>
  <si>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</si>
  <si>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</si>
  <si>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</si>
  <si>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</si>
  <si>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</si>
  <si>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</si>
  <si>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</si>
  <si>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</si>
  <si>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</si>
  <si>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</si>
  <si>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</si>
  <si>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</si>
  <si>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</si>
  <si>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</si>
  <si>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</si>
  <si>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</si>
  <si>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</si>
  <si>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5. TOTAL JLD CIVIL +  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</si>
  <si>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</si>
  <si>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</si>
  <si>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</si>
  <si>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</si>
  <si>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</si>
  <si>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</si>
  <si>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</si>
  <si>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</si>
  <si>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</si>
  <si>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</si>
  <si>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</si>
  <si>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</si>
  <si>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</si>
  <si>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</si>
  <si>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</si>
  <si>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</si>
  <si>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</si>
  <si>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</si>
  <si>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</si>
  <si>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</si>
  <si>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5. TOTAL JLD CIVIL +  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</si>
  <si>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</si>
  <si>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</si>
  <si>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</si>
  <si>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</si>
  <si>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</si>
  <si>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</si>
  <si>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</si>
  <si>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</si>
  <si>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</si>
  <si>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</si>
  <si>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</si>
  <si>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</si>
  <si>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</si>
  <si>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</si>
  <si>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</si>
  <si>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</si>
  <si>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</si>
  <si>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</si>
  <si>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</si>
  <si>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</si>
  <si>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</si>
  <si>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</si>
  <si>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</si>
  <si>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</si>
  <si>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</si>
  <si>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</si>
  <si>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</si>
  <si>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</si>
  <si>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</si>
  <si>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</si>
  <si>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</si>
  <si>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</si>
  <si>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</si>
  <si>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</si>
  <si>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</si>
  <si>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</si>
  <si>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</si>
  <si>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</si>
  <si>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</si>
  <si>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</si>
  <si>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</si>
  <si>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</si>
  <si>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</si>
  <si>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</si>
  <si>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</si>
  <si>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</si>
  <si>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</si>
  <si>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</si>
  <si>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5. TOTAL JLD CIVIL + 6.1.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</si>
  <si>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</si>
  <si>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</si>
  <si>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</si>
  <si>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</si>
  <si>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</si>
  <si>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</si>
  <si>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</si>
  <si>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</si>
  <si>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</si>
  <si>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</si>
  <si>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</si>
  <si>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</si>
  <si>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</si>
  <si>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</si>
  <si>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</si>
  <si>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</si>
  <si>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</si>
  <si>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</si>
  <si>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</si>
  <si>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</si>
  <si>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</si>
  <si>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</si>
  <si>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</si>
  <si>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</si>
  <si>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</si>
  <si>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</si>
  <si>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</si>
  <si>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</si>
  <si>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</si>
  <si>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</si>
  <si>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</si>
  <si>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</si>
  <si>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</si>
  <si>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</si>
  <si>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</si>
  <si>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5. TOTAL JLD CIVIL + 6.Juge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</si>
  <si>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</si>
  <si>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</si>
  <si>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</si>
  <si>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+ 6.1. ACTIVITÉ CIVILE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</si>
  <si>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</si>
  <si>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</si>
  <si>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</si>
  <si>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</si>
  <si>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</si>
  <si>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</si>
  <si>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</si>
  <si>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</si>
  <si>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</si>
  <si>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</si>
  <si>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5. TOTAL JLD CIVIL + 6.Juge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</si>
  <si>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</si>
  <si>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</si>
  <si>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</si>
  <si>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+ 6.1. ACTIVITÉ CIVILE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</si>
  <si>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</si>
  <si>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</si>
  <si>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</si>
  <si>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</si>
  <si>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</si>
  <si>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</si>
  <si>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</si>
  <si>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</si>
  <si>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</si>
  <si>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</si>
  <si>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</si>
  <si>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</si>
  <si>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</si>
  <si>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</si>
  <si>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</si>
  <si>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</si>
  <si>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</si>
  <si>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</si>
  <si>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</si>
  <si>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</si>
  <si>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</si>
  <si>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</si>
  <si>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</si>
  <si>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</si>
  <si>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</si>
  <si>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</si>
  <si>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</si>
  <si>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</si>
  <si>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</si>
  <si>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</si>
  <si>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</si>
  <si>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</si>
  <si>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</si>
  <si>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</si>
  <si>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</si>
  <si>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</si>
  <si>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</si>
  <si>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</si>
  <si>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ETPT juristes assistants chambres sociales</t>
  </si>
  <si>
    <t>ETPT de contractuels a j prox et a vif</t>
  </si>
  <si>
    <t>ETPT juristes assistants siège autres</t>
  </si>
  <si>
    <t>ETPT juristes assistants pôle social</t>
  </si>
  <si>
    <t>ETPT juristes assistants au parquet</t>
  </si>
  <si>
    <t>ETPT de contractuels a j prox et a vif au parquet</t>
  </si>
  <si>
    <t>ETPT juristes assistants affectés aux jap</t>
  </si>
  <si>
    <t>ETPT juristes assistants affectés aux je</t>
  </si>
  <si>
    <t>ETPT juristes assistants affectés aux juge d'instruction</t>
  </si>
  <si>
    <t>ETPT juristes assistants affectés aux jld</t>
  </si>
  <si>
    <t xml:space="preserve">Fonctions recodées :
- CONT A JP SIEGE
- CONT A VIF SIEGE
- CONT A JP PARQUET
- CONT A VIF PARQUET
- Att.J/JA PARQUET
- Att.J/JA SIEGE AUTRES
- Att.J/JA SOCIAL
- Att.J/JA JAP
- Att.J/JA JE
- Att.J/JA JI
- Att.J/AJ JLD</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</si>
  <si>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</si>
  <si>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2. TOTAL CONTENTIEUX JAF + 3. TOTAL CONTENTIEUX DE LA PROTECTION + 4. TOTAL CIVIL NON SPÉCIALISÉ + 11.7. FONCTIONNAIRES AFFECTÉS AU CPH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 xml:space="preserve">
Critère sur le TJ ou le TPROX ou le CPH</t>
    </r>
  </si>
  <si>
    <r>
      <t xml:space="preserve">1. TOTAL CONTENTIEUX SOCIAL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</si>
  <si>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</si>
  <si>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</si>
  <si>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</si>
  <si>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5. TOTAL JLD CIVIL
</t>
    </r>
    <r>
      <rPr>
        <b/>
        <color rgb="FF0070C0"/>
        <family val="2"/>
        <sz val="10"/>
        <rFont val="Arial"/>
      </rPr>
      <t xml:space="preserve">Fonction recodée = Att.J/JA PARQUET + Att.J/JA SIEGE AUTRES + Att.J/JA SOCIAL + Att.J/JA JAP + Att.J/JA JE + Att.J/JA JI + Att.J/AJ JLD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</si>
  <si>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</si>
  <si>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7. TOTAL SIÈGE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</si>
  <si>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</si>
  <si>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</si>
  <si>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</si>
  <si>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</si>
  <si>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</si>
  <si>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</si>
  <si>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</si>
  <si>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</si>
  <si>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</si>
  <si>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</si>
  <si>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</si>
  <si>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</si>
  <si>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</si>
  <si>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</si>
  <si>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</si>
  <si>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</si>
  <si>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</si>
  <si>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</si>
  <si>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</si>
  <si>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</si>
  <si>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</si>
  <si>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</si>
  <si>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</si>
  <si>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</si>
  <si>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</si>
  <si>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</si>
  <si>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</si>
  <si>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</si>
  <si>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</si>
  <si>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</si>
  <si>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</si>
  <si>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</si>
  <si>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</si>
  <si>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</si>
  <si>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</si>
  <si>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</si>
  <si>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</si>
  <si>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</si>
  <si>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</si>
  <si>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</si>
  <si>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</si>
  <si>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</si>
  <si>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</si>
  <si>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</si>
  <si>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</si>
  <si>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</si>
  <si>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</si>
  <si>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</si>
  <si>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</si>
  <si>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</si>
  <si>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</si>
  <si>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</si>
  <si>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</si>
  <si>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SOCIAL</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</si>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</sst>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2"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b/>
      <color rgb="FFFF0000"/>
      <family val="2"/>
      <scheme val="minor"/>
      <sz val="12"/>
      <name val="Calibri"/>
    </font>
    <font>
      <color theme="1"/>
      <family val="2"/>
      <sz val="10"/>
      <name val="Arial"/>
    </font>
    <font>
      <color theme="1"/>
      <family val="2"/>
      <scheme val="minor"/>
      <sz val="7"/>
      <name val="Calibri"/>
    </font>
    <font>
      <color theme="1"/>
      <family val="2"/>
      <sz val="7"/>
      <name val="Arial"/>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
      <b/>
      <color rgb="FF0070C0"/>
      <family val="2"/>
      <sz val="11"/>
      <name val="Arial"/>
    </font>
    <font>
      <color theme="2" tint="-0.0999786370433668"/>
      <family val="2"/>
      <sz val="7"/>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2">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8" fillId="0" borderId="0" xfId="0" applyNumberFormat="1" applyFont="1" applyProtection="1">
      <protection hidden="1"/>
    </xf>
    <xf numFmtId="0" fontId="28" fillId="0" borderId="0" xfId="0" applyFont="1" applyProtection="1">
      <protection hidden="1"/>
    </xf>
    <xf numFmtId="168" fontId="18" fillId="0" borderId="0" xfId="0" applyNumberFormat="1" applyFont="1" applyProtection="1">
      <protection hidden="1"/>
    </xf>
    <xf numFmtId="0" fontId="29" fillId="0" borderId="0" xfId="0" applyFont="1" applyAlignment="1">
      <alignment vertical="center" wrapText="1"/>
    </xf>
    <xf numFmtId="168" fontId="25" fillId="26" borderId="22" xfId="0" applyNumberFormat="1" applyFont="1" applyFill="1" applyBorder="1" applyAlignment="1">
      <alignment horizontal="right" wrapText="1"/>
    </xf>
    <xf numFmtId="0" fontId="30" fillId="0" borderId="0" xfId="0" applyFont="1" applyAlignment="1" applyProtection="1">
      <alignment horizontal="right"/>
      <protection hidden="1"/>
    </xf>
    <xf numFmtId="0" fontId="31" fillId="0" borderId="0" xfId="0" applyFont="1" applyAlignment="1">
      <alignment horizontal="right"/>
    </xf>
    <xf numFmtId="168" fontId="30"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31" fillId="0" borderId="0" xfId="0" applyFont="1" applyAlignment="1" applyProtection="1">
      <alignment horizontal="right"/>
      <protection hidden="1"/>
    </xf>
    <xf numFmtId="0" fontId="31" fillId="0" borderId="0" xfId="0" applyFont="1" applyAlignment="1">
      <alignment horizontal="right" wrapText="1"/>
    </xf>
    <xf numFmtId="168" fontId="31"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0"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31" fillId="26" borderId="22" xfId="0" applyNumberFormat="1" applyFont="1" applyFill="1" applyBorder="1" applyAlignment="1">
      <alignment horizontal="right" wrapText="1"/>
    </xf>
    <xf numFmtId="0" fontId="30" fillId="0" borderId="0" xfId="0" applyFont="1" applyAlignment="1">
      <alignment horizontal="right"/>
    </xf>
    <xf numFmtId="168" fontId="31"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31"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31"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31" fillId="0" borderId="0" xfId="0" applyFont="1" applyAlignment="1">
      <alignment horizontal="right" vertical="center"/>
    </xf>
    <xf numFmtId="168" fontId="31"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31"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31"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0" fillId="0" borderId="28" xfId="0" applyFont="1" applyBorder="1"/>
    <xf numFmtId="49" fontId="23" fillId="27" borderId="29" xfId="0" applyNumberFormat="1" applyFont="1" applyFill="1" applyBorder="1" applyAlignment="1">
      <alignment horizontal="left" vertical="center" wrapText="1"/>
    </xf>
    <xf numFmtId="0" fontId="29" fillId="0" borderId="0" xfId="0" applyFont="1" applyProtection="1">
      <protection hidden="1"/>
    </xf>
    <xf numFmtId="0" fontId="44" fillId="0" borderId="0" xfId="0" applyFont="1" applyProtection="1">
      <protection locked="0"/>
    </xf>
    <xf numFmtId="0" fontId="29"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29"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29"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60" fillId="0" borderId="22" xfId="0" applyNumberFormat="1" applyFont="1" applyBorder="1" applyAlignment="1">
      <alignment vertical="center" wrapText="1"/>
    </xf>
    <xf numFmtId="168" fontId="29" fillId="0" borderId="22" xfId="0" applyNumberFormat="1" applyFont="1" applyBorder="1" applyAlignment="1">
      <alignment horizontal="center" vertical="center" wrapText="1"/>
    </xf>
    <xf numFmtId="168" fontId="21" fillId="0" borderId="22" xfId="0" applyNumberFormat="1" applyFont="1" applyBorder="1"/>
    <xf numFmtId="168" fontId="6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V528"/>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5" width="10" customWidth="1"/>
    <col min="6" max="6" width="19" customWidth="1"/>
    <col min="7" max="7" width="13" customWidth="1"/>
    <col min="8" max="11" customWidth="1"/>
    <col min="12" max="124" width="27" customWidth="1"/>
  </cols>
  <sheetData>
    <row r="1" ht="80" customHeight="1" spans="1:126"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V1" s="45"/>
    </row>
    <row r="2" ht="66" customHeight="1" spans="1:126"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S2" s="46" t="s">
        <v>150</v>
      </c>
      <c r="DT2" s="46" t="s">
        <v>151</v>
      </c>
      <c r="DV2" s="1"/>
    </row>
    <row r="3" spans="1:126" x14ac:dyDescent="0.25">
      <c r="A3" s="47" t="s">
        <v>152</v>
      </c>
      <c r="B3" s="47" t="s">
        <v>153</v>
      </c>
      <c r="C3" s="47" t="s">
        <v>154</v>
      </c>
      <c r="D3" s="47" t="s">
        <v>155</v>
      </c>
      <c r="E3" s="47" t="s">
        <v>156</v>
      </c>
      <c r="F3" s="47"/>
      <c r="G3" s="47"/>
      <c r="H3" s="47" t="str">
        <f>=IFERROR(VLOOKUP(A3,'ETPT Format DDG'!A:J,10,FALSE),"")</f>
        <v>0</v>
      </c>
      <c r="I3" s="47" t="str">
        <f>='ETPT Format DDG'!M3</f>
        <v/>
      </c>
      <c r="J3" s="47" t="str">
        <f>='ETPT Format DDG'!D3</f>
        <v/>
      </c>
      <c r="K3" s="47" t="s">
        <v>157</v>
      </c>
      <c r="L3" s="47" t="s">
        <v>158</v>
      </c>
      <c r="M3" s="47"/>
      <c r="N3" s="47"/>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row>
    <row r="4" spans="1:126" x14ac:dyDescent="0.25">
      <c r="A4" s="47" t="s">
        <v>159</v>
      </c>
      <c r="B4" s="47" t="s">
        <v>153</v>
      </c>
      <c r="C4" s="47" t="s">
        <v>160</v>
      </c>
      <c r="D4" s="47" t="s">
        <v>161</v>
      </c>
      <c r="E4" s="47" t="s">
        <v>162</v>
      </c>
      <c r="F4" s="47"/>
      <c r="G4" s="47"/>
      <c r="H4" s="47" t="str">
        <f>=IFERROR(VLOOKUP(A4,'ETPT Format DDG'!A:J,10,FALSE),"")</f>
        <v>0</v>
      </c>
      <c r="I4" s="47" t="str">
        <f>='ETPT Format DDG'!M4</f>
        <v/>
      </c>
      <c r="J4" s="47" t="str">
        <f>='ETPT Format DDG'!D4</f>
        <v/>
      </c>
      <c r="K4" s="47" t="s">
        <v>157</v>
      </c>
      <c r="L4" s="47" t="s">
        <v>163</v>
      </c>
      <c r="M4" s="47"/>
      <c r="N4" s="47"/>
      <c r="O4" s="47">
        <v>0</v>
      </c>
      <c r="P4" s="47">
        <v>0</v>
      </c>
      <c r="Q4" s="47">
        <v>0</v>
      </c>
      <c r="R4" s="47">
        <v>0</v>
      </c>
      <c r="S4" s="47">
        <v>0</v>
      </c>
      <c r="T4" s="47">
        <v>0</v>
      </c>
      <c r="U4" s="47">
        <v>0</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v>
      </c>
      <c r="BU4" s="47">
        <v>0</v>
      </c>
      <c r="BV4" s="47">
        <v>0</v>
      </c>
      <c r="BW4" s="47">
        <v>0</v>
      </c>
      <c r="BX4" s="47">
        <v>0</v>
      </c>
      <c r="BY4" s="47">
        <v>0</v>
      </c>
      <c r="BZ4" s="47">
        <v>0</v>
      </c>
      <c r="CA4" s="47">
        <v>0</v>
      </c>
      <c r="CB4" s="47">
        <v>0</v>
      </c>
      <c r="CC4" s="47">
        <v>0</v>
      </c>
      <c r="CD4" s="47">
        <v>0</v>
      </c>
      <c r="CE4" s="47">
        <v>0</v>
      </c>
      <c r="CF4" s="47">
        <v>0</v>
      </c>
      <c r="CG4" s="47">
        <v>0</v>
      </c>
      <c r="CH4" s="47">
        <v>0</v>
      </c>
      <c r="CI4" s="47">
        <v>0</v>
      </c>
      <c r="CJ4" s="47">
        <v>0</v>
      </c>
      <c r="CK4" s="47">
        <v>0</v>
      </c>
      <c r="CL4" s="47">
        <v>0</v>
      </c>
      <c r="CM4" s="47">
        <v>0</v>
      </c>
      <c r="CN4" s="47">
        <v>0</v>
      </c>
      <c r="CO4" s="47">
        <v>0</v>
      </c>
      <c r="CP4" s="47">
        <v>0</v>
      </c>
      <c r="CQ4" s="47">
        <v>0</v>
      </c>
      <c r="CR4" s="47">
        <v>0</v>
      </c>
      <c r="CS4" s="47">
        <v>0</v>
      </c>
      <c r="CT4" s="47">
        <v>0</v>
      </c>
      <c r="CU4" s="47">
        <v>0</v>
      </c>
      <c r="CV4" s="47">
        <v>0</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row>
    <row r="5" spans="1:126" x14ac:dyDescent="0.25">
      <c r="A5" s="47" t="s">
        <v>164</v>
      </c>
      <c r="B5" s="47" t="s">
        <v>153</v>
      </c>
      <c r="C5" s="47" t="s">
        <v>165</v>
      </c>
      <c r="D5" s="47" t="s">
        <v>166</v>
      </c>
      <c r="E5" s="47" t="s">
        <v>167</v>
      </c>
      <c r="F5" s="47"/>
      <c r="G5" s="47"/>
      <c r="H5" s="47" t="str">
        <f>=IFERROR(VLOOKUP(A5,'ETPT Format DDG'!A:J,10,FALSE),"")</f>
        <v>0</v>
      </c>
      <c r="I5" s="47" t="str">
        <f>='ETPT Format DDG'!M5</f>
        <v/>
      </c>
      <c r="J5" s="47" t="str">
        <f>='ETPT Format DDG'!D5</f>
        <v/>
      </c>
      <c r="K5" s="47" t="s">
        <v>157</v>
      </c>
      <c r="L5" s="47" t="s">
        <v>168</v>
      </c>
      <c r="M5" s="47"/>
      <c r="N5" s="47"/>
      <c r="O5" s="47">
        <v>0</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row>
    <row r="6" spans="1:126" x14ac:dyDescent="0.25">
      <c r="A6" s="47" t="s">
        <v>169</v>
      </c>
      <c r="B6" s="47" t="s">
        <v>153</v>
      </c>
      <c r="C6" s="47" t="s">
        <v>170</v>
      </c>
      <c r="D6" s="47" t="s">
        <v>171</v>
      </c>
      <c r="E6" s="47" t="s">
        <v>172</v>
      </c>
      <c r="F6" s="47" t="s">
        <v>173</v>
      </c>
      <c r="G6" s="47" t="s">
        <v>174</v>
      </c>
      <c r="H6" s="47" t="str">
        <f>=IFERROR(VLOOKUP(A6,'ETPT Format DDG'!A:J,10,FALSE),"")</f>
        <v>0</v>
      </c>
      <c r="I6" s="47" t="str">
        <f>='ETPT Format DDG'!M6</f>
        <v/>
      </c>
      <c r="J6" s="47" t="str">
        <f>='ETPT Format DDG'!D6</f>
        <v/>
      </c>
      <c r="K6" s="47" t="s">
        <v>157</v>
      </c>
      <c r="L6" s="47" t="s">
        <v>175</v>
      </c>
      <c r="M6" s="47"/>
      <c r="N6" s="47">
        <v>0.4327</v>
      </c>
      <c r="O6" s="47">
        <v>0.4327</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0.4327</v>
      </c>
      <c r="AO6" s="47">
        <v>0.4327</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v>
      </c>
      <c r="BU6" s="47">
        <v>0</v>
      </c>
      <c r="BV6" s="47">
        <v>0</v>
      </c>
      <c r="BW6" s="47">
        <v>0</v>
      </c>
      <c r="BX6" s="47">
        <v>0</v>
      </c>
      <c r="BY6" s="47">
        <v>0</v>
      </c>
      <c r="BZ6" s="47">
        <v>0</v>
      </c>
      <c r="CA6" s="47">
        <v>0</v>
      </c>
      <c r="CB6" s="47">
        <v>0</v>
      </c>
      <c r="CC6" s="47">
        <v>0</v>
      </c>
      <c r="CD6" s="47">
        <v>0</v>
      </c>
      <c r="CE6" s="47">
        <v>0</v>
      </c>
      <c r="CF6" s="47">
        <v>0</v>
      </c>
      <c r="CG6" s="47">
        <v>0</v>
      </c>
      <c r="CH6" s="47">
        <v>0</v>
      </c>
      <c r="CI6" s="47">
        <v>0</v>
      </c>
      <c r="CJ6" s="47">
        <v>0</v>
      </c>
      <c r="CK6" s="47">
        <v>0</v>
      </c>
      <c r="CL6" s="47">
        <v>0</v>
      </c>
      <c r="CM6" s="47">
        <v>0</v>
      </c>
      <c r="CN6" s="47">
        <v>0</v>
      </c>
      <c r="CO6" s="47">
        <v>0</v>
      </c>
      <c r="CP6" s="47">
        <v>0</v>
      </c>
      <c r="CQ6" s="47">
        <v>0</v>
      </c>
      <c r="CR6" s="47">
        <v>0</v>
      </c>
      <c r="CS6" s="47">
        <v>0</v>
      </c>
      <c r="CT6" s="47">
        <v>0</v>
      </c>
      <c r="CU6" s="47">
        <v>0</v>
      </c>
      <c r="CV6" s="47">
        <v>0</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row>
    <row r="7" spans="1:126" x14ac:dyDescent="0.25">
      <c r="A7" s="47" t="s">
        <v>176</v>
      </c>
      <c r="B7" s="47" t="s">
        <v>153</v>
      </c>
      <c r="C7" s="47" t="s">
        <v>177</v>
      </c>
      <c r="D7" s="47" t="s">
        <v>178</v>
      </c>
      <c r="E7" s="47" t="s">
        <v>179</v>
      </c>
      <c r="F7" s="47" t="s">
        <v>173</v>
      </c>
      <c r="G7" s="47" t="s">
        <v>180</v>
      </c>
      <c r="H7" s="47" t="str">
        <f>=IFERROR(VLOOKUP(A7,'ETPT Format DDG'!A:J,10,FALSE),"")</f>
        <v>0</v>
      </c>
      <c r="I7" s="47" t="str">
        <f>='ETPT Format DDG'!M7</f>
        <v/>
      </c>
      <c r="J7" s="47" t="str">
        <f>='ETPT Format DDG'!D7</f>
        <v/>
      </c>
      <c r="K7" s="47" t="s">
        <v>157</v>
      </c>
      <c r="L7" s="47" t="s">
        <v>163</v>
      </c>
      <c r="M7" s="47"/>
      <c r="N7" s="47">
        <v>1</v>
      </c>
      <c r="O7" s="47">
        <v>1</v>
      </c>
      <c r="P7" s="47">
        <v>0.2</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0.6</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0.09</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0.06</v>
      </c>
      <c r="CR7" s="47">
        <v>0</v>
      </c>
      <c r="CS7" s="47">
        <v>0</v>
      </c>
      <c r="CT7" s="47">
        <v>0.05</v>
      </c>
      <c r="CU7" s="47">
        <v>0</v>
      </c>
      <c r="CV7" s="47">
        <v>0</v>
      </c>
      <c r="CW7" s="47">
        <v>0</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row>
    <row r="8" spans="1:126" x14ac:dyDescent="0.25">
      <c r="A8" s="47" t="s">
        <v>181</v>
      </c>
      <c r="B8" s="47" t="s">
        <v>153</v>
      </c>
      <c r="C8" s="47" t="s">
        <v>182</v>
      </c>
      <c r="D8" s="47" t="s">
        <v>183</v>
      </c>
      <c r="E8" s="47" t="s">
        <v>184</v>
      </c>
      <c r="F8" s="47" t="s">
        <v>173</v>
      </c>
      <c r="G8" s="47" t="s">
        <v>185</v>
      </c>
      <c r="H8" s="47" t="str">
        <f>=IFERROR(VLOOKUP(A8,'ETPT Format DDG'!A:J,10,FALSE),"")</f>
        <v>0</v>
      </c>
      <c r="I8" s="47" t="str">
        <f>='ETPT Format DDG'!M8</f>
        <v/>
      </c>
      <c r="J8" s="47" t="str">
        <f>='ETPT Format DDG'!D8</f>
        <v/>
      </c>
      <c r="K8" s="47" t="s">
        <v>157</v>
      </c>
      <c r="L8" s="47" t="s">
        <v>163</v>
      </c>
      <c r="M8" s="47"/>
      <c r="N8" s="47">
        <v>1</v>
      </c>
      <c r="O8" s="47">
        <v>1</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0.05</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0.9</v>
      </c>
      <c r="CG8" s="47">
        <v>0</v>
      </c>
      <c r="CH8" s="47">
        <v>0</v>
      </c>
      <c r="CI8" s="47">
        <v>0</v>
      </c>
      <c r="CJ8" s="47">
        <v>0</v>
      </c>
      <c r="CK8" s="47">
        <v>0</v>
      </c>
      <c r="CL8" s="47">
        <v>0</v>
      </c>
      <c r="CM8" s="47">
        <v>0</v>
      </c>
      <c r="CN8" s="47">
        <v>0</v>
      </c>
      <c r="CO8" s="47">
        <v>0</v>
      </c>
      <c r="CP8" s="47">
        <v>0</v>
      </c>
      <c r="CQ8" s="47">
        <v>0</v>
      </c>
      <c r="CR8" s="47">
        <v>0</v>
      </c>
      <c r="CS8" s="47">
        <v>0</v>
      </c>
      <c r="CT8" s="47">
        <v>0.05</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row>
    <row r="9" spans="1:126" x14ac:dyDescent="0.25">
      <c r="A9" s="47" t="s">
        <v>186</v>
      </c>
      <c r="B9" s="47" t="s">
        <v>153</v>
      </c>
      <c r="C9" s="47" t="s">
        <v>187</v>
      </c>
      <c r="D9" s="47" t="s">
        <v>188</v>
      </c>
      <c r="E9" s="47" t="s">
        <v>189</v>
      </c>
      <c r="F9" s="47" t="s">
        <v>173</v>
      </c>
      <c r="G9" s="47" t="s">
        <v>190</v>
      </c>
      <c r="H9" s="47" t="str">
        <f>=IFERROR(VLOOKUP(A9,'ETPT Format DDG'!A:J,10,FALSE),"")</f>
        <v>0</v>
      </c>
      <c r="I9" s="47" t="str">
        <f>='ETPT Format DDG'!M9</f>
        <v/>
      </c>
      <c r="J9" s="47" t="str">
        <f>='ETPT Format DDG'!D9</f>
        <v/>
      </c>
      <c r="K9" s="47" t="s">
        <v>157</v>
      </c>
      <c r="L9" s="47" t="s">
        <v>163</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0.03</v>
      </c>
      <c r="BP9" s="47">
        <v>0</v>
      </c>
      <c r="BQ9" s="47">
        <v>0</v>
      </c>
      <c r="BR9" s="47">
        <v>0</v>
      </c>
      <c r="BS9" s="47">
        <v>0</v>
      </c>
      <c r="BT9" s="47">
        <v>0</v>
      </c>
      <c r="BU9" s="47">
        <v>0</v>
      </c>
      <c r="BV9" s="47">
        <v>0</v>
      </c>
      <c r="BW9" s="47">
        <v>0</v>
      </c>
      <c r="BX9" s="47">
        <v>0</v>
      </c>
      <c r="BY9" s="47">
        <v>0</v>
      </c>
      <c r="BZ9" s="47">
        <v>0</v>
      </c>
      <c r="CA9" s="47">
        <v>0</v>
      </c>
      <c r="CB9" s="47">
        <v>0</v>
      </c>
      <c r="CC9" s="47">
        <v>0</v>
      </c>
      <c r="CD9" s="47">
        <v>0</v>
      </c>
      <c r="CE9" s="47">
        <v>0</v>
      </c>
      <c r="CF9" s="47">
        <v>0</v>
      </c>
      <c r="CG9" s="47">
        <v>0</v>
      </c>
      <c r="CH9" s="47">
        <v>0</v>
      </c>
      <c r="CI9" s="47">
        <v>0</v>
      </c>
      <c r="CJ9" s="47">
        <v>0</v>
      </c>
      <c r="CK9" s="47">
        <v>0</v>
      </c>
      <c r="CL9" s="47">
        <v>0.91</v>
      </c>
      <c r="CM9" s="47">
        <v>0</v>
      </c>
      <c r="CN9" s="47">
        <v>0</v>
      </c>
      <c r="CO9" s="47">
        <v>0</v>
      </c>
      <c r="CP9" s="47">
        <v>0</v>
      </c>
      <c r="CQ9" s="47">
        <v>0.01</v>
      </c>
      <c r="CR9" s="47">
        <v>0</v>
      </c>
      <c r="CS9" s="47">
        <v>0</v>
      </c>
      <c r="CT9" s="47">
        <v>0.05</v>
      </c>
      <c r="CU9" s="47">
        <v>0</v>
      </c>
      <c r="CV9" s="47">
        <v>0</v>
      </c>
      <c r="CW9" s="47">
        <v>0</v>
      </c>
      <c r="CX9" s="47">
        <v>0</v>
      </c>
      <c r="CY9" s="47">
        <v>0</v>
      </c>
      <c r="CZ9" s="47">
        <v>0</v>
      </c>
      <c r="DA9" s="47">
        <v>0</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c r="DS9" s="47">
        <v>0</v>
      </c>
      <c r="DT9" s="47">
        <v>0</v>
      </c>
    </row>
    <row r="10" spans="1:126" x14ac:dyDescent="0.25">
      <c r="A10" s="47" t="s">
        <v>191</v>
      </c>
      <c r="B10" s="47" t="s">
        <v>153</v>
      </c>
      <c r="C10" s="47" t="s">
        <v>192</v>
      </c>
      <c r="D10" s="47" t="s">
        <v>193</v>
      </c>
      <c r="E10" s="47" t="s">
        <v>194</v>
      </c>
      <c r="F10" s="47" t="s">
        <v>173</v>
      </c>
      <c r="G10" s="47" t="s">
        <v>195</v>
      </c>
      <c r="H10" s="47" t="str">
        <f>=IFERROR(VLOOKUP(A10,'ETPT Format DDG'!A:J,10,FALSE),"")</f>
        <v>0</v>
      </c>
      <c r="I10" s="47" t="str">
        <f>='ETPT Format DDG'!M10</f>
        <v/>
      </c>
      <c r="J10" s="47" t="str">
        <f>='ETPT Format DDG'!D10</f>
        <v/>
      </c>
      <c r="K10" s="47" t="s">
        <v>157</v>
      </c>
      <c r="L10" s="47" t="s">
        <v>196</v>
      </c>
      <c r="M10" s="47"/>
      <c r="N10" s="47">
        <v>1</v>
      </c>
      <c r="O10" s="47">
        <v>1</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0.9025</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0.0025</v>
      </c>
      <c r="BI10" s="47">
        <v>0</v>
      </c>
      <c r="BJ10" s="47">
        <v>0</v>
      </c>
      <c r="BK10" s="47">
        <v>0</v>
      </c>
      <c r="BL10" s="47">
        <v>0</v>
      </c>
      <c r="BM10" s="47">
        <v>0</v>
      </c>
      <c r="BN10" s="47">
        <v>0</v>
      </c>
      <c r="BO10" s="47">
        <v>0.04</v>
      </c>
      <c r="BP10" s="47">
        <v>0</v>
      </c>
      <c r="BQ10" s="47">
        <v>0</v>
      </c>
      <c r="BR10" s="47">
        <v>0</v>
      </c>
      <c r="BS10" s="47">
        <v>0</v>
      </c>
      <c r="BT10" s="47">
        <v>0</v>
      </c>
      <c r="BU10" s="47">
        <v>0</v>
      </c>
      <c r="BV10" s="47">
        <v>0</v>
      </c>
      <c r="BW10" s="47">
        <v>0</v>
      </c>
      <c r="BX10" s="47">
        <v>0</v>
      </c>
      <c r="BY10" s="47">
        <v>0</v>
      </c>
      <c r="BZ10" s="47">
        <v>0</v>
      </c>
      <c r="CA10" s="47">
        <v>0</v>
      </c>
      <c r="CB10" s="47">
        <v>0</v>
      </c>
      <c r="CC10" s="47">
        <v>0</v>
      </c>
      <c r="CD10" s="47">
        <v>0</v>
      </c>
      <c r="CE10" s="47">
        <v>0</v>
      </c>
      <c r="CF10" s="47">
        <v>0</v>
      </c>
      <c r="CG10" s="47">
        <v>0</v>
      </c>
      <c r="CH10" s="47">
        <v>0</v>
      </c>
      <c r="CI10" s="47">
        <v>0</v>
      </c>
      <c r="CJ10" s="47">
        <v>0</v>
      </c>
      <c r="CK10" s="47">
        <v>0</v>
      </c>
      <c r="CL10" s="47">
        <v>0</v>
      </c>
      <c r="CM10" s="47">
        <v>0</v>
      </c>
      <c r="CN10" s="47">
        <v>0</v>
      </c>
      <c r="CO10" s="47">
        <v>0</v>
      </c>
      <c r="CP10" s="47">
        <v>0</v>
      </c>
      <c r="CQ10" s="47">
        <v>0.005</v>
      </c>
      <c r="CR10" s="47">
        <v>0</v>
      </c>
      <c r="CS10" s="47">
        <v>0</v>
      </c>
      <c r="CT10" s="47">
        <v>0.05</v>
      </c>
      <c r="CU10" s="47">
        <v>0</v>
      </c>
      <c r="CV10" s="47">
        <v>0</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row>
    <row r="11" spans="1:126" x14ac:dyDescent="0.25">
      <c r="A11" s="47" t="s">
        <v>197</v>
      </c>
      <c r="B11" s="47" t="s">
        <v>153</v>
      </c>
      <c r="C11" s="47" t="s">
        <v>198</v>
      </c>
      <c r="D11" s="47" t="s">
        <v>199</v>
      </c>
      <c r="E11" s="47" t="s">
        <v>200</v>
      </c>
      <c r="F11" s="47" t="s">
        <v>173</v>
      </c>
      <c r="G11" s="47" t="s">
        <v>201</v>
      </c>
      <c r="H11" s="47" t="str">
        <f>=IFERROR(VLOOKUP(A11,'ETPT Format DDG'!A:J,10,FALSE),"")</f>
        <v>0</v>
      </c>
      <c r="I11" s="47" t="str">
        <f>='ETPT Format DDG'!M11</f>
        <v/>
      </c>
      <c r="J11" s="47" t="str">
        <f>='ETPT Format DDG'!D11</f>
        <v/>
      </c>
      <c r="K11" s="47" t="s">
        <v>157</v>
      </c>
      <c r="L11" s="47" t="s">
        <v>163</v>
      </c>
      <c r="M11" s="47"/>
      <c r="N11" s="47">
        <v>1</v>
      </c>
      <c r="O11" s="47">
        <v>0.14</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0.05</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0.09</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row>
    <row r="12" spans="1:126" x14ac:dyDescent="0.25">
      <c r="A12" s="47" t="s">
        <v>202</v>
      </c>
      <c r="B12" s="47" t="s">
        <v>153</v>
      </c>
      <c r="C12" s="47" t="s">
        <v>203</v>
      </c>
      <c r="D12" s="47" t="s">
        <v>204</v>
      </c>
      <c r="E12" s="47" t="s">
        <v>205</v>
      </c>
      <c r="F12" s="47" t="s">
        <v>173</v>
      </c>
      <c r="G12" s="47" t="s">
        <v>201</v>
      </c>
      <c r="H12" s="47" t="str">
        <f>=IFERROR(VLOOKUP(A12,'ETPT Format DDG'!A:J,10,FALSE),"")</f>
        <v>0</v>
      </c>
      <c r="I12" s="47" t="str">
        <f>='ETPT Format DDG'!M12</f>
        <v/>
      </c>
      <c r="J12" s="47" t="str">
        <f>='ETPT Format DDG'!D12</f>
        <v/>
      </c>
      <c r="K12" s="47" t="s">
        <v>157</v>
      </c>
      <c r="L12" s="47" t="s">
        <v>163</v>
      </c>
      <c r="M12" s="47"/>
      <c r="N12" s="47">
        <v>1</v>
      </c>
      <c r="O12" s="47">
        <v>0.45</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0.2093</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0.1907</v>
      </c>
      <c r="BP12" s="47">
        <v>0</v>
      </c>
      <c r="BQ12" s="47">
        <v>0</v>
      </c>
      <c r="BR12" s="47">
        <v>0</v>
      </c>
      <c r="BS12" s="47">
        <v>0</v>
      </c>
      <c r="BT12" s="47">
        <v>0</v>
      </c>
      <c r="BU12" s="47">
        <v>0</v>
      </c>
      <c r="BV12" s="47">
        <v>0</v>
      </c>
      <c r="BW12" s="47">
        <v>0</v>
      </c>
      <c r="BX12" s="47">
        <v>0</v>
      </c>
      <c r="BY12" s="47">
        <v>0</v>
      </c>
      <c r="BZ12" s="47">
        <v>0</v>
      </c>
      <c r="CA12" s="47">
        <v>0</v>
      </c>
      <c r="CB12" s="47">
        <v>0</v>
      </c>
      <c r="CC12" s="47">
        <v>0</v>
      </c>
      <c r="CD12" s="47">
        <v>0</v>
      </c>
      <c r="CE12" s="47">
        <v>0</v>
      </c>
      <c r="CF12" s="47">
        <v>0</v>
      </c>
      <c r="CG12" s="47">
        <v>0</v>
      </c>
      <c r="CH12" s="47">
        <v>0</v>
      </c>
      <c r="CI12" s="47">
        <v>0</v>
      </c>
      <c r="CJ12" s="47">
        <v>0</v>
      </c>
      <c r="CK12" s="47">
        <v>0</v>
      </c>
      <c r="CL12" s="47">
        <v>0</v>
      </c>
      <c r="CM12" s="47">
        <v>0</v>
      </c>
      <c r="CN12" s="47">
        <v>0</v>
      </c>
      <c r="CO12" s="47">
        <v>0</v>
      </c>
      <c r="CP12" s="47">
        <v>0</v>
      </c>
      <c r="CQ12" s="47">
        <v>0</v>
      </c>
      <c r="CR12" s="47">
        <v>0</v>
      </c>
      <c r="CS12" s="47">
        <v>0</v>
      </c>
      <c r="CT12" s="47">
        <v>0.05</v>
      </c>
      <c r="CU12" s="47">
        <v>0</v>
      </c>
      <c r="CV12" s="47">
        <v>0</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row>
    <row r="13" spans="1:126" x14ac:dyDescent="0.25">
      <c r="A13" s="47" t="s">
        <v>206</v>
      </c>
      <c r="B13" s="47" t="s">
        <v>153</v>
      </c>
      <c r="C13" s="47" t="s">
        <v>207</v>
      </c>
      <c r="D13" s="47" t="s">
        <v>208</v>
      </c>
      <c r="E13" s="47" t="s">
        <v>209</v>
      </c>
      <c r="F13" s="47" t="s">
        <v>173</v>
      </c>
      <c r="G13" s="47" t="s">
        <v>210</v>
      </c>
      <c r="H13" s="47" t="str">
        <f>=IFERROR(VLOOKUP(A13,'ETPT Format DDG'!A:J,10,FALSE),"")</f>
        <v>0</v>
      </c>
      <c r="I13" s="47" t="str">
        <f>='ETPT Format DDG'!M13</f>
        <v/>
      </c>
      <c r="J13" s="47" t="str">
        <f>='ETPT Format DDG'!D13</f>
        <v/>
      </c>
      <c r="K13" s="47" t="s">
        <v>157</v>
      </c>
      <c r="L13" s="47" t="s">
        <v>163</v>
      </c>
      <c r="M13" s="47" t="s">
        <v>211</v>
      </c>
      <c r="N13" s="47">
        <v>1</v>
      </c>
      <c r="O13" s="47">
        <v>0.5</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0.2</v>
      </c>
      <c r="CR13" s="47">
        <v>0.2</v>
      </c>
      <c r="CS13" s="47">
        <v>0</v>
      </c>
      <c r="CT13" s="47">
        <v>0.3</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row>
    <row r="14" spans="1:126" x14ac:dyDescent="0.25">
      <c r="A14" s="47" t="s">
        <v>212</v>
      </c>
      <c r="B14" s="47" t="s">
        <v>153</v>
      </c>
      <c r="C14" s="47" t="s">
        <v>213</v>
      </c>
      <c r="D14" s="47" t="s">
        <v>214</v>
      </c>
      <c r="E14" s="47" t="s">
        <v>215</v>
      </c>
      <c r="F14" s="47" t="s">
        <v>173</v>
      </c>
      <c r="G14" s="47" t="s">
        <v>185</v>
      </c>
      <c r="H14" s="47" t="str">
        <f>=IFERROR(VLOOKUP(A14,'ETPT Format DDG'!A:J,10,FALSE),"")</f>
        <v>0</v>
      </c>
      <c r="I14" s="47" t="str">
        <f>='ETPT Format DDG'!M14</f>
        <v/>
      </c>
      <c r="J14" s="47" t="str">
        <f>='ETPT Format DDG'!D14</f>
        <v/>
      </c>
      <c r="K14" s="47" t="s">
        <v>157</v>
      </c>
      <c r="L14" s="47" t="s">
        <v>163</v>
      </c>
      <c r="M14" s="47"/>
      <c r="N14" s="47">
        <v>0.95</v>
      </c>
      <c r="O14" s="47">
        <v>0.95</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0.855</v>
      </c>
      <c r="BP14" s="47">
        <v>0</v>
      </c>
      <c r="BQ14" s="47">
        <v>0</v>
      </c>
      <c r="BR14" s="47">
        <v>0</v>
      </c>
      <c r="BS14" s="47">
        <v>0</v>
      </c>
      <c r="BT14" s="47">
        <v>0</v>
      </c>
      <c r="BU14" s="47">
        <v>0</v>
      </c>
      <c r="BV14" s="47">
        <v>0</v>
      </c>
      <c r="BW14" s="47">
        <v>0</v>
      </c>
      <c r="BX14" s="47">
        <v>0</v>
      </c>
      <c r="BY14" s="47">
        <v>0</v>
      </c>
      <c r="BZ14" s="47">
        <v>0</v>
      </c>
      <c r="CA14" s="47">
        <v>0</v>
      </c>
      <c r="CB14" s="47">
        <v>0</v>
      </c>
      <c r="CC14" s="47">
        <v>0</v>
      </c>
      <c r="CD14" s="47">
        <v>0</v>
      </c>
      <c r="CE14" s="47">
        <v>0</v>
      </c>
      <c r="CF14" s="47">
        <v>0.0475</v>
      </c>
      <c r="CG14" s="47">
        <v>0</v>
      </c>
      <c r="CH14" s="47">
        <v>0</v>
      </c>
      <c r="CI14" s="47">
        <v>0</v>
      </c>
      <c r="CJ14" s="47">
        <v>0</v>
      </c>
      <c r="CK14" s="47">
        <v>0</v>
      </c>
      <c r="CL14" s="47">
        <v>0</v>
      </c>
      <c r="CM14" s="47">
        <v>0</v>
      </c>
      <c r="CN14" s="47">
        <v>0</v>
      </c>
      <c r="CO14" s="47">
        <v>0</v>
      </c>
      <c r="CP14" s="47">
        <v>0</v>
      </c>
      <c r="CQ14" s="47">
        <v>0</v>
      </c>
      <c r="CR14" s="47">
        <v>0</v>
      </c>
      <c r="CS14" s="47">
        <v>0</v>
      </c>
      <c r="CT14" s="47">
        <v>0.0475</v>
      </c>
      <c r="CU14" s="47">
        <v>0</v>
      </c>
      <c r="CV14" s="47">
        <v>0</v>
      </c>
      <c r="CW14" s="47">
        <v>0</v>
      </c>
      <c r="CX14" s="47">
        <v>0</v>
      </c>
      <c r="CY14" s="47">
        <v>0</v>
      </c>
      <c r="CZ14" s="47">
        <v>0</v>
      </c>
      <c r="DA14" s="47">
        <v>0</v>
      </c>
      <c r="DB14" s="47">
        <v>0</v>
      </c>
      <c r="DC14" s="47">
        <v>0</v>
      </c>
      <c r="DD14" s="47">
        <v>0</v>
      </c>
      <c r="DE14" s="47">
        <v>0</v>
      </c>
      <c r="DF14" s="47">
        <v>0.05</v>
      </c>
      <c r="DG14" s="47">
        <v>0</v>
      </c>
      <c r="DH14" s="47">
        <v>0</v>
      </c>
      <c r="DI14" s="47">
        <v>0</v>
      </c>
      <c r="DJ14" s="47">
        <v>0</v>
      </c>
      <c r="DK14" s="47">
        <v>0</v>
      </c>
      <c r="DL14" s="47">
        <v>0</v>
      </c>
      <c r="DM14" s="47">
        <v>0</v>
      </c>
      <c r="DN14" s="47">
        <v>0</v>
      </c>
      <c r="DO14" s="47">
        <v>0</v>
      </c>
      <c r="DP14" s="47">
        <v>0</v>
      </c>
      <c r="DQ14" s="47">
        <v>0</v>
      </c>
      <c r="DR14" s="47">
        <v>0</v>
      </c>
      <c r="DS14" s="47">
        <v>0</v>
      </c>
      <c r="DT14" s="47">
        <v>0</v>
      </c>
    </row>
    <row r="15" spans="1:126" x14ac:dyDescent="0.25">
      <c r="A15" s="47" t="s">
        <v>216</v>
      </c>
      <c r="B15" s="47" t="s">
        <v>153</v>
      </c>
      <c r="C15" s="47" t="s">
        <v>217</v>
      </c>
      <c r="D15" s="47" t="s">
        <v>218</v>
      </c>
      <c r="E15" s="47" t="s">
        <v>219</v>
      </c>
      <c r="F15" s="47" t="s">
        <v>173</v>
      </c>
      <c r="G15" s="47" t="s">
        <v>220</v>
      </c>
      <c r="H15" s="47" t="str">
        <f>=IFERROR(VLOOKUP(A15,'ETPT Format DDG'!A:J,10,FALSE),"")</f>
        <v>0</v>
      </c>
      <c r="I15" s="47" t="str">
        <f>='ETPT Format DDG'!M15</f>
        <v/>
      </c>
      <c r="J15" s="47" t="str">
        <f>='ETPT Format DDG'!D15</f>
        <v/>
      </c>
      <c r="K15" s="47" t="s">
        <v>157</v>
      </c>
      <c r="L15" s="47" t="s">
        <v>163</v>
      </c>
      <c r="M15" s="47"/>
      <c r="N15" s="47">
        <v>1</v>
      </c>
      <c r="O15" s="47">
        <v>1</v>
      </c>
      <c r="P15" s="47">
        <v>0.02</v>
      </c>
      <c r="Q15" s="47">
        <v>0</v>
      </c>
      <c r="R15" s="47">
        <v>0</v>
      </c>
      <c r="S15" s="47">
        <v>0</v>
      </c>
      <c r="T15" s="47">
        <v>0</v>
      </c>
      <c r="U15" s="47">
        <v>0</v>
      </c>
      <c r="V15" s="47">
        <v>0</v>
      </c>
      <c r="W15" s="47">
        <v>0</v>
      </c>
      <c r="X15" s="47">
        <v>0</v>
      </c>
      <c r="Y15" s="47">
        <v>0</v>
      </c>
      <c r="Z15" s="47">
        <v>0</v>
      </c>
      <c r="AA15" s="47">
        <v>0</v>
      </c>
      <c r="AB15" s="47">
        <v>0</v>
      </c>
      <c r="AC15" s="47">
        <v>0</v>
      </c>
      <c r="AD15" s="47">
        <v>0</v>
      </c>
      <c r="AE15" s="47">
        <v>0.06</v>
      </c>
      <c r="AF15" s="47">
        <v>0</v>
      </c>
      <c r="AG15" s="47">
        <v>0</v>
      </c>
      <c r="AH15" s="47">
        <v>0</v>
      </c>
      <c r="AI15" s="47">
        <v>0</v>
      </c>
      <c r="AJ15" s="47">
        <v>0</v>
      </c>
      <c r="AK15" s="47">
        <v>0</v>
      </c>
      <c r="AL15" s="47">
        <v>0</v>
      </c>
      <c r="AM15" s="47">
        <v>0</v>
      </c>
      <c r="AN15" s="47">
        <v>0.825</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0.02</v>
      </c>
      <c r="BI15" s="47">
        <v>0</v>
      </c>
      <c r="BJ15" s="47">
        <v>0</v>
      </c>
      <c r="BK15" s="47">
        <v>0</v>
      </c>
      <c r="BL15" s="47">
        <v>0</v>
      </c>
      <c r="BM15" s="47">
        <v>0</v>
      </c>
      <c r="BN15" s="47">
        <v>0</v>
      </c>
      <c r="BO15" s="47">
        <v>0.025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v>
      </c>
      <c r="CR15" s="47">
        <v>0</v>
      </c>
      <c r="CS15" s="47">
        <v>0</v>
      </c>
      <c r="CT15" s="47">
        <v>0.05</v>
      </c>
      <c r="CU15" s="47">
        <v>0</v>
      </c>
      <c r="CV15" s="47">
        <v>0</v>
      </c>
      <c r="CW15" s="47">
        <v>0</v>
      </c>
      <c r="CX15" s="47">
        <v>0</v>
      </c>
      <c r="CY15" s="47">
        <v>0</v>
      </c>
      <c r="CZ15" s="47">
        <v>0</v>
      </c>
      <c r="DA15" s="47">
        <v>0</v>
      </c>
      <c r="DB15" s="47">
        <v>0</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row>
    <row r="16" spans="1:126" x14ac:dyDescent="0.25">
      <c r="A16" s="47" t="s">
        <v>221</v>
      </c>
      <c r="B16" s="47" t="s">
        <v>153</v>
      </c>
      <c r="C16" s="47" t="s">
        <v>222</v>
      </c>
      <c r="D16" s="47" t="s">
        <v>223</v>
      </c>
      <c r="E16" s="47" t="s">
        <v>224</v>
      </c>
      <c r="F16" s="47" t="s">
        <v>173</v>
      </c>
      <c r="G16" s="47" t="s">
        <v>185</v>
      </c>
      <c r="H16" s="47" t="str">
        <f>=IFERROR(VLOOKUP(A16,'ETPT Format DDG'!A:J,10,FALSE),"")</f>
        <v>0</v>
      </c>
      <c r="I16" s="47" t="str">
        <f>='ETPT Format DDG'!M16</f>
        <v/>
      </c>
      <c r="J16" s="47" t="str">
        <f>='ETPT Format DDG'!D16</f>
        <v/>
      </c>
      <c r="K16" s="47" t="s">
        <v>157</v>
      </c>
      <c r="L16" s="47" t="s">
        <v>163</v>
      </c>
      <c r="M16" s="47"/>
      <c r="N16" s="47">
        <v>1</v>
      </c>
      <c r="O16" s="47">
        <v>1</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0.025</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0.925</v>
      </c>
      <c r="CG16" s="47">
        <v>0</v>
      </c>
      <c r="CH16" s="47">
        <v>0</v>
      </c>
      <c r="CI16" s="47">
        <v>0</v>
      </c>
      <c r="CJ16" s="47">
        <v>0</v>
      </c>
      <c r="CK16" s="47">
        <v>0</v>
      </c>
      <c r="CL16" s="47">
        <v>0</v>
      </c>
      <c r="CM16" s="47">
        <v>0</v>
      </c>
      <c r="CN16" s="47">
        <v>0</v>
      </c>
      <c r="CO16" s="47">
        <v>0</v>
      </c>
      <c r="CP16" s="47">
        <v>0</v>
      </c>
      <c r="CQ16" s="47">
        <v>0</v>
      </c>
      <c r="CR16" s="47">
        <v>0</v>
      </c>
      <c r="CS16" s="47">
        <v>0</v>
      </c>
      <c r="CT16" s="47">
        <v>0.05</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row>
    <row r="17" spans="1:126" x14ac:dyDescent="0.25">
      <c r="A17" s="47" t="s">
        <v>225</v>
      </c>
      <c r="B17" s="47" t="s">
        <v>153</v>
      </c>
      <c r="C17" s="47" t="s">
        <v>226</v>
      </c>
      <c r="D17" s="47" t="s">
        <v>227</v>
      </c>
      <c r="E17" s="47" t="s">
        <v>228</v>
      </c>
      <c r="F17" s="47" t="s">
        <v>173</v>
      </c>
      <c r="G17" s="47" t="s">
        <v>180</v>
      </c>
      <c r="H17" s="47" t="str">
        <f>=IFERROR(VLOOKUP(A17,'ETPT Format DDG'!A:J,10,FALSE),"")</f>
        <v>0</v>
      </c>
      <c r="I17" s="47" t="str">
        <f>='ETPT Format DDG'!M17</f>
        <v/>
      </c>
      <c r="J17" s="47" t="str">
        <f>='ETPT Format DDG'!D17</f>
        <v/>
      </c>
      <c r="K17" s="47" t="s">
        <v>157</v>
      </c>
      <c r="L17" s="47" t="s">
        <v>163</v>
      </c>
      <c r="M17" s="47"/>
      <c r="N17" s="47">
        <v>1</v>
      </c>
      <c r="O17" s="47">
        <v>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v>
      </c>
      <c r="AT17" s="47">
        <v>0</v>
      </c>
      <c r="AU17" s="47">
        <v>0</v>
      </c>
      <c r="AV17" s="47">
        <v>0</v>
      </c>
      <c r="AW17" s="47">
        <v>0</v>
      </c>
      <c r="AX17" s="47">
        <v>0</v>
      </c>
      <c r="AY17" s="47">
        <v>0</v>
      </c>
      <c r="AZ17" s="47">
        <v>0</v>
      </c>
      <c r="BA17" s="47">
        <v>0</v>
      </c>
      <c r="BB17" s="47">
        <v>0</v>
      </c>
      <c r="BC17" s="47">
        <v>0</v>
      </c>
      <c r="BD17" s="47">
        <v>0</v>
      </c>
      <c r="BE17" s="47">
        <v>0</v>
      </c>
      <c r="BF17" s="47">
        <v>0</v>
      </c>
      <c r="BG17" s="47">
        <v>0</v>
      </c>
      <c r="BH17" s="47">
        <v>0.01</v>
      </c>
      <c r="BI17" s="47">
        <v>0</v>
      </c>
      <c r="BJ17" s="47">
        <v>0</v>
      </c>
      <c r="BK17" s="47">
        <v>0</v>
      </c>
      <c r="BL17" s="47">
        <v>0</v>
      </c>
      <c r="BM17" s="47">
        <v>0</v>
      </c>
      <c r="BN17" s="47">
        <v>0</v>
      </c>
      <c r="BO17" s="47">
        <v>0.82</v>
      </c>
      <c r="BP17" s="47">
        <v>0</v>
      </c>
      <c r="BQ17" s="47">
        <v>0</v>
      </c>
      <c r="BR17" s="47">
        <v>0</v>
      </c>
      <c r="BS17" s="47">
        <v>0</v>
      </c>
      <c r="BT17" s="47">
        <v>0</v>
      </c>
      <c r="BU17" s="47">
        <v>0</v>
      </c>
      <c r="BV17" s="47">
        <v>0</v>
      </c>
      <c r="BW17" s="47">
        <v>0</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0.01</v>
      </c>
      <c r="CR17" s="47">
        <v>0</v>
      </c>
      <c r="CS17" s="47">
        <v>0</v>
      </c>
      <c r="CT17" s="47">
        <v>0.16</v>
      </c>
      <c r="CU17" s="47">
        <v>0</v>
      </c>
      <c r="CV17" s="47">
        <v>0</v>
      </c>
      <c r="CW17" s="47">
        <v>0</v>
      </c>
      <c r="CX17" s="47">
        <v>0</v>
      </c>
      <c r="CY17" s="47">
        <v>0</v>
      </c>
      <c r="CZ17" s="47">
        <v>0</v>
      </c>
      <c r="DA17" s="47">
        <v>0</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row>
    <row r="18" spans="1:126" x14ac:dyDescent="0.25">
      <c r="A18" s="47" t="s">
        <v>229</v>
      </c>
      <c r="B18" s="47" t="s">
        <v>153</v>
      </c>
      <c r="C18" s="47" t="s">
        <v>230</v>
      </c>
      <c r="D18" s="47" t="s">
        <v>231</v>
      </c>
      <c r="E18" s="47" t="s">
        <v>232</v>
      </c>
      <c r="F18" s="47" t="s">
        <v>173</v>
      </c>
      <c r="G18" s="47" t="s">
        <v>180</v>
      </c>
      <c r="H18" s="47" t="str">
        <f>=IFERROR(VLOOKUP(A18,'ETPT Format DDG'!A:J,10,FALSE),"")</f>
        <v>0</v>
      </c>
      <c r="I18" s="47" t="str">
        <f>='ETPT Format DDG'!M18</f>
        <v/>
      </c>
      <c r="J18" s="47" t="str">
        <f>='ETPT Format DDG'!D18</f>
        <v/>
      </c>
      <c r="K18" s="47" t="s">
        <v>157</v>
      </c>
      <c r="L18" s="47" t="s">
        <v>163</v>
      </c>
      <c r="M18" s="47"/>
      <c r="N18" s="47">
        <v>1</v>
      </c>
      <c r="O18" s="47">
        <v>0.1463</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v>
      </c>
      <c r="BN18" s="47">
        <v>0</v>
      </c>
      <c r="BO18" s="47">
        <v>0.0433</v>
      </c>
      <c r="BP18" s="47">
        <v>0</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0.048</v>
      </c>
      <c r="CR18" s="47">
        <v>0</v>
      </c>
      <c r="CS18" s="47">
        <v>0</v>
      </c>
      <c r="CT18" s="47">
        <v>0.055</v>
      </c>
      <c r="CU18" s="47">
        <v>0</v>
      </c>
      <c r="CV18" s="47">
        <v>0</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row>
    <row r="19" spans="1:126" x14ac:dyDescent="0.25">
      <c r="A19" s="47" t="s">
        <v>233</v>
      </c>
      <c r="B19" s="47" t="s">
        <v>153</v>
      </c>
      <c r="C19" s="47" t="s">
        <v>234</v>
      </c>
      <c r="D19" s="47" t="s">
        <v>235</v>
      </c>
      <c r="E19" s="47" t="s">
        <v>236</v>
      </c>
      <c r="F19" s="47" t="s">
        <v>173</v>
      </c>
      <c r="G19" s="47" t="s">
        <v>174</v>
      </c>
      <c r="H19" s="47" t="str">
        <f>=IFERROR(VLOOKUP(A19,'ETPT Format DDG'!A:J,10,FALSE),"")</f>
        <v>0</v>
      </c>
      <c r="I19" s="47" t="str">
        <f>='ETPT Format DDG'!M19</f>
        <v/>
      </c>
      <c r="J19" s="47" t="str">
        <f>='ETPT Format DDG'!D19</f>
        <v/>
      </c>
      <c r="K19" s="47" t="s">
        <v>157</v>
      </c>
      <c r="L19" s="47" t="s">
        <v>237</v>
      </c>
      <c r="M19" s="47"/>
      <c r="N19" s="47">
        <v>0.1442</v>
      </c>
      <c r="O19" s="47">
        <v>0.1442</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0.1442</v>
      </c>
      <c r="BP19" s="47">
        <v>0.1442</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row>
    <row r="20" spans="1:126" x14ac:dyDescent="0.25">
      <c r="A20" s="47" t="s">
        <v>238</v>
      </c>
      <c r="B20" s="47" t="s">
        <v>153</v>
      </c>
      <c r="C20" s="47" t="s">
        <v>239</v>
      </c>
      <c r="D20" s="47" t="s">
        <v>240</v>
      </c>
      <c r="E20" s="47" t="s">
        <v>241</v>
      </c>
      <c r="F20" s="47" t="s">
        <v>173</v>
      </c>
      <c r="G20" s="47" t="s">
        <v>201</v>
      </c>
      <c r="H20" s="47" t="str">
        <f>=IFERROR(VLOOKUP(A20,'ETPT Format DDG'!A:J,10,FALSE),"")</f>
        <v>0</v>
      </c>
      <c r="I20" s="47" t="str">
        <f>='ETPT Format DDG'!M20</f>
        <v/>
      </c>
      <c r="J20" s="47" t="str">
        <f>='ETPT Format DDG'!D20</f>
        <v/>
      </c>
      <c r="K20" s="47" t="s">
        <v>157</v>
      </c>
      <c r="L20" s="47" t="s">
        <v>163</v>
      </c>
      <c r="M20" s="47"/>
      <c r="N20" s="47">
        <v>1</v>
      </c>
      <c r="O20" s="47">
        <v>1</v>
      </c>
      <c r="P20" s="47">
        <v>0.83</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0.12</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0.05</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row>
    <row r="21" spans="1:126" x14ac:dyDescent="0.25">
      <c r="A21" s="47" t="s">
        <v>242</v>
      </c>
      <c r="B21" s="47" t="s">
        <v>153</v>
      </c>
      <c r="C21" s="47" t="s">
        <v>243</v>
      </c>
      <c r="D21" s="47" t="s">
        <v>244</v>
      </c>
      <c r="E21" s="47" t="s">
        <v>245</v>
      </c>
      <c r="F21" s="47" t="s">
        <v>173</v>
      </c>
      <c r="G21" s="47" t="s">
        <v>180</v>
      </c>
      <c r="H21" s="47" t="str">
        <f>=IFERROR(VLOOKUP(A21,'ETPT Format DDG'!A:J,10,FALSE),"")</f>
        <v>0</v>
      </c>
      <c r="I21" s="47" t="str">
        <f>='ETPT Format DDG'!M21</f>
        <v/>
      </c>
      <c r="J21" s="47" t="str">
        <f>='ETPT Format DDG'!D21</f>
        <v/>
      </c>
      <c r="K21" s="47" t="s">
        <v>157</v>
      </c>
      <c r="L21" s="47" t="s">
        <v>163</v>
      </c>
      <c r="M21" s="47"/>
      <c r="N21" s="47">
        <v>0</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1</v>
      </c>
      <c r="DG21" s="47">
        <v>0</v>
      </c>
      <c r="DH21" s="47">
        <v>0</v>
      </c>
      <c r="DI21" s="47">
        <v>0</v>
      </c>
      <c r="DJ21" s="47">
        <v>0</v>
      </c>
      <c r="DK21" s="47">
        <v>0</v>
      </c>
      <c r="DL21" s="47">
        <v>0</v>
      </c>
      <c r="DM21" s="47">
        <v>0</v>
      </c>
      <c r="DN21" s="47">
        <v>0</v>
      </c>
      <c r="DO21" s="47">
        <v>0</v>
      </c>
      <c r="DP21" s="47">
        <v>0</v>
      </c>
      <c r="DQ21" s="47">
        <v>0</v>
      </c>
      <c r="DR21" s="47">
        <v>1</v>
      </c>
      <c r="DS21" s="47">
        <v>0</v>
      </c>
      <c r="DT21" s="47">
        <v>0</v>
      </c>
    </row>
    <row r="22" spans="1:126" x14ac:dyDescent="0.25">
      <c r="A22" s="47" t="s">
        <v>246</v>
      </c>
      <c r="B22" s="47" t="s">
        <v>153</v>
      </c>
      <c r="C22" s="47" t="s">
        <v>247</v>
      </c>
      <c r="D22" s="47" t="s">
        <v>248</v>
      </c>
      <c r="E22" s="47" t="s">
        <v>249</v>
      </c>
      <c r="F22" s="47" t="s">
        <v>173</v>
      </c>
      <c r="G22" s="47" t="s">
        <v>201</v>
      </c>
      <c r="H22" s="47" t="str">
        <f>=IFERROR(VLOOKUP(A22,'ETPT Format DDG'!A:J,10,FALSE),"")</f>
        <v>0</v>
      </c>
      <c r="I22" s="47" t="str">
        <f>='ETPT Format DDG'!M22</f>
        <v/>
      </c>
      <c r="J22" s="47" t="str">
        <f>='ETPT Format DDG'!D22</f>
        <v/>
      </c>
      <c r="K22" s="47" t="s">
        <v>157</v>
      </c>
      <c r="L22" s="47" t="s">
        <v>163</v>
      </c>
      <c r="M22" s="47"/>
      <c r="N22" s="47">
        <v>1</v>
      </c>
      <c r="O22" s="47">
        <v>0.151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0.101</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0.05</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row>
    <row r="23" spans="1:126" x14ac:dyDescent="0.25">
      <c r="A23" s="47" t="s">
        <v>250</v>
      </c>
      <c r="B23" s="47" t="s">
        <v>153</v>
      </c>
      <c r="C23" s="47" t="s">
        <v>251</v>
      </c>
      <c r="D23" s="47" t="s">
        <v>252</v>
      </c>
      <c r="E23" s="47" t="s">
        <v>253</v>
      </c>
      <c r="F23" s="47" t="s">
        <v>173</v>
      </c>
      <c r="G23" s="47" t="s">
        <v>220</v>
      </c>
      <c r="H23" s="47" t="str">
        <f>=IFERROR(VLOOKUP(A23,'ETPT Format DDG'!A:J,10,FALSE),"")</f>
        <v>0</v>
      </c>
      <c r="I23" s="47" t="str">
        <f>='ETPT Format DDG'!M23</f>
        <v/>
      </c>
      <c r="J23" s="47" t="str">
        <f>='ETPT Format DDG'!D23</f>
        <v/>
      </c>
      <c r="K23" s="47" t="s">
        <v>157</v>
      </c>
      <c r="L23" s="47" t="s">
        <v>163</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0.385</v>
      </c>
      <c r="AF23" s="47">
        <v>0</v>
      </c>
      <c r="AG23" s="47">
        <v>0</v>
      </c>
      <c r="AH23" s="47">
        <v>0</v>
      </c>
      <c r="AI23" s="47">
        <v>0</v>
      </c>
      <c r="AJ23" s="47">
        <v>0</v>
      </c>
      <c r="AK23" s="47">
        <v>0</v>
      </c>
      <c r="AL23" s="47">
        <v>0</v>
      </c>
      <c r="AM23" s="47">
        <v>0</v>
      </c>
      <c r="AN23" s="47">
        <v>0.485</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0.01</v>
      </c>
      <c r="BI23" s="47">
        <v>0</v>
      </c>
      <c r="BJ23" s="47">
        <v>0</v>
      </c>
      <c r="BK23" s="47">
        <v>0</v>
      </c>
      <c r="BL23" s="47">
        <v>0</v>
      </c>
      <c r="BM23" s="47">
        <v>0</v>
      </c>
      <c r="BN23" s="47">
        <v>0</v>
      </c>
      <c r="BO23" s="47">
        <v>0.02</v>
      </c>
      <c r="BP23" s="47">
        <v>0</v>
      </c>
      <c r="BQ23" s="47">
        <v>0</v>
      </c>
      <c r="BR23" s="47">
        <v>0</v>
      </c>
      <c r="BS23" s="47">
        <v>0</v>
      </c>
      <c r="BT23" s="47">
        <v>0</v>
      </c>
      <c r="BU23" s="47">
        <v>0</v>
      </c>
      <c r="BV23" s="47">
        <v>0</v>
      </c>
      <c r="BW23" s="47">
        <v>0</v>
      </c>
      <c r="BX23" s="47">
        <v>0</v>
      </c>
      <c r="BY23" s="47">
        <v>0</v>
      </c>
      <c r="BZ23" s="47">
        <v>0</v>
      </c>
      <c r="CA23" s="47">
        <v>0</v>
      </c>
      <c r="CB23" s="47">
        <v>0</v>
      </c>
      <c r="CC23" s="47">
        <v>0</v>
      </c>
      <c r="CD23" s="47">
        <v>0</v>
      </c>
      <c r="CE23" s="47">
        <v>0</v>
      </c>
      <c r="CF23" s="47">
        <v>0</v>
      </c>
      <c r="CG23" s="47">
        <v>0</v>
      </c>
      <c r="CH23" s="47">
        <v>0</v>
      </c>
      <c r="CI23" s="47">
        <v>0</v>
      </c>
      <c r="CJ23" s="47">
        <v>0</v>
      </c>
      <c r="CK23" s="47">
        <v>0</v>
      </c>
      <c r="CL23" s="47">
        <v>0</v>
      </c>
      <c r="CM23" s="47">
        <v>0</v>
      </c>
      <c r="CN23" s="47">
        <v>0</v>
      </c>
      <c r="CO23" s="47">
        <v>0</v>
      </c>
      <c r="CP23" s="47">
        <v>0</v>
      </c>
      <c r="CQ23" s="47">
        <v>0</v>
      </c>
      <c r="CR23" s="47">
        <v>0</v>
      </c>
      <c r="CS23" s="47">
        <v>0</v>
      </c>
      <c r="CT23" s="47">
        <v>0.1</v>
      </c>
      <c r="CU23" s="47">
        <v>0</v>
      </c>
      <c r="CV23" s="47">
        <v>0</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row>
    <row r="24" spans="1:126" x14ac:dyDescent="0.25">
      <c r="A24" s="47" t="s">
        <v>254</v>
      </c>
      <c r="B24" s="47" t="s">
        <v>153</v>
      </c>
      <c r="C24" s="47" t="s">
        <v>255</v>
      </c>
      <c r="D24" s="47" t="s">
        <v>256</v>
      </c>
      <c r="E24" s="47" t="s">
        <v>257</v>
      </c>
      <c r="F24" s="47" t="s">
        <v>173</v>
      </c>
      <c r="G24" s="47" t="s">
        <v>180</v>
      </c>
      <c r="H24" s="47" t="str">
        <f>=IFERROR(VLOOKUP(A24,'ETPT Format DDG'!A:J,10,FALSE),"")</f>
        <v>0</v>
      </c>
      <c r="I24" s="47" t="str">
        <f>='ETPT Format DDG'!M24</f>
        <v/>
      </c>
      <c r="J24" s="47" t="str">
        <f>='ETPT Format DDG'!D24</f>
        <v/>
      </c>
      <c r="K24" s="47" t="s">
        <v>157</v>
      </c>
      <c r="L24" s="47" t="s">
        <v>163</v>
      </c>
      <c r="M24" s="47"/>
      <c r="N24" s="47">
        <v>1</v>
      </c>
      <c r="O24" s="47">
        <v>1</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0.8516</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0.0096</v>
      </c>
      <c r="BI24" s="47">
        <v>0</v>
      </c>
      <c r="BJ24" s="47">
        <v>0</v>
      </c>
      <c r="BK24" s="47">
        <v>0</v>
      </c>
      <c r="BL24" s="47">
        <v>0</v>
      </c>
      <c r="BM24" s="47">
        <v>0</v>
      </c>
      <c r="BN24" s="47">
        <v>0</v>
      </c>
      <c r="BO24" s="47">
        <v>0.06</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0.0096</v>
      </c>
      <c r="CR24" s="47">
        <v>0</v>
      </c>
      <c r="CS24" s="47">
        <v>0</v>
      </c>
      <c r="CT24" s="47">
        <v>0.0692</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row>
    <row r="25" spans="1:126" x14ac:dyDescent="0.25">
      <c r="A25" s="47" t="s">
        <v>258</v>
      </c>
      <c r="B25" s="47" t="s">
        <v>153</v>
      </c>
      <c r="C25" s="47" t="s">
        <v>259</v>
      </c>
      <c r="D25" s="47" t="s">
        <v>260</v>
      </c>
      <c r="E25" s="47" t="s">
        <v>261</v>
      </c>
      <c r="F25" s="47" t="s">
        <v>173</v>
      </c>
      <c r="G25" s="47" t="s">
        <v>262</v>
      </c>
      <c r="H25" s="47" t="str">
        <f>=IFERROR(VLOOKUP(A25,'ETPT Format DDG'!A:J,10,FALSE),"")</f>
        <v>0</v>
      </c>
      <c r="I25" s="47" t="str">
        <f>='ETPT Format DDG'!M25</f>
        <v/>
      </c>
      <c r="J25" s="47" t="str">
        <f>='ETPT Format DDG'!D25</f>
        <v/>
      </c>
      <c r="K25" s="47" t="s">
        <v>157</v>
      </c>
      <c r="L25" s="47" t="s">
        <v>263</v>
      </c>
      <c r="M25" s="47"/>
      <c r="N25" s="47">
        <v>1</v>
      </c>
      <c r="O25" s="47">
        <v>1</v>
      </c>
      <c r="P25" s="47">
        <v>0.87</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0.08</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0.05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row>
    <row r="26" spans="1:126" x14ac:dyDescent="0.25">
      <c r="A26" s="47" t="s">
        <v>264</v>
      </c>
      <c r="B26" s="47" t="s">
        <v>153</v>
      </c>
      <c r="C26" s="47" t="s">
        <v>265</v>
      </c>
      <c r="D26" s="47" t="s">
        <v>266</v>
      </c>
      <c r="E26" s="47" t="s">
        <v>267</v>
      </c>
      <c r="F26" s="47" t="s">
        <v>173</v>
      </c>
      <c r="G26" s="47" t="s">
        <v>268</v>
      </c>
      <c r="H26" s="47" t="str">
        <f>=IFERROR(VLOOKUP(A26,'ETPT Format DDG'!A:J,10,FALSE),"")</f>
        <v>0</v>
      </c>
      <c r="I26" s="47" t="str">
        <f>='ETPT Format DDG'!M26</f>
        <v/>
      </c>
      <c r="J26" s="47" t="str">
        <f>='ETPT Format DDG'!D26</f>
        <v/>
      </c>
      <c r="K26" s="47" t="s">
        <v>157</v>
      </c>
      <c r="L26" s="47" t="s">
        <v>163</v>
      </c>
      <c r="M26" s="47"/>
      <c r="N26" s="47">
        <v>1</v>
      </c>
      <c r="O26" s="47">
        <v>1</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0.289</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0.641</v>
      </c>
      <c r="CG26" s="47">
        <v>0</v>
      </c>
      <c r="CH26" s="47">
        <v>0</v>
      </c>
      <c r="CI26" s="47">
        <v>0</v>
      </c>
      <c r="CJ26" s="47">
        <v>0</v>
      </c>
      <c r="CK26" s="47">
        <v>0</v>
      </c>
      <c r="CL26" s="47">
        <v>0</v>
      </c>
      <c r="CM26" s="47">
        <v>0</v>
      </c>
      <c r="CN26" s="47">
        <v>0</v>
      </c>
      <c r="CO26" s="47">
        <v>0</v>
      </c>
      <c r="CP26" s="47">
        <v>0</v>
      </c>
      <c r="CQ26" s="47">
        <v>0</v>
      </c>
      <c r="CR26" s="47">
        <v>0</v>
      </c>
      <c r="CS26" s="47">
        <v>0</v>
      </c>
      <c r="CT26" s="47">
        <v>0.07</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row>
    <row r="27" spans="1:126" x14ac:dyDescent="0.25">
      <c r="A27" s="47" t="s">
        <v>269</v>
      </c>
      <c r="B27" s="47" t="s">
        <v>153</v>
      </c>
      <c r="C27" s="47" t="s">
        <v>270</v>
      </c>
      <c r="D27" s="47" t="s">
        <v>271</v>
      </c>
      <c r="E27" s="47" t="s">
        <v>272</v>
      </c>
      <c r="F27" s="47" t="s">
        <v>173</v>
      </c>
      <c r="G27" s="47" t="s">
        <v>273</v>
      </c>
      <c r="H27" s="47" t="str">
        <f>=IFERROR(VLOOKUP(A27,'ETPT Format DDG'!A:J,10,FALSE),"")</f>
        <v>0</v>
      </c>
      <c r="I27" s="47" t="str">
        <f>='ETPT Format DDG'!M27</f>
        <v/>
      </c>
      <c r="J27" s="47" t="str">
        <f>='ETPT Format DDG'!D27</f>
        <v/>
      </c>
      <c r="K27" s="47" t="s">
        <v>157</v>
      </c>
      <c r="L27" s="47" t="s">
        <v>163</v>
      </c>
      <c r="M27" s="47"/>
      <c r="N27" s="47">
        <v>1</v>
      </c>
      <c r="O27" s="47">
        <v>1</v>
      </c>
      <c r="P27" s="47">
        <v>0</v>
      </c>
      <c r="Q27" s="47">
        <v>0</v>
      </c>
      <c r="R27" s="47">
        <v>0</v>
      </c>
      <c r="S27" s="47">
        <v>0</v>
      </c>
      <c r="T27" s="47">
        <v>0</v>
      </c>
      <c r="U27" s="47">
        <v>0</v>
      </c>
      <c r="V27" s="47">
        <v>0</v>
      </c>
      <c r="W27" s="47">
        <v>0</v>
      </c>
      <c r="X27" s="47">
        <v>0</v>
      </c>
      <c r="Y27" s="47">
        <v>0</v>
      </c>
      <c r="Z27" s="47">
        <v>0</v>
      </c>
      <c r="AA27" s="47">
        <v>0</v>
      </c>
      <c r="AB27" s="47">
        <v>0</v>
      </c>
      <c r="AC27" s="47">
        <v>0</v>
      </c>
      <c r="AD27" s="47">
        <v>0</v>
      </c>
      <c r="AE27" s="47">
        <v>0.13</v>
      </c>
      <c r="AF27" s="47">
        <v>0</v>
      </c>
      <c r="AG27" s="47">
        <v>0</v>
      </c>
      <c r="AH27" s="47">
        <v>0</v>
      </c>
      <c r="AI27" s="47">
        <v>0</v>
      </c>
      <c r="AJ27" s="47">
        <v>0</v>
      </c>
      <c r="AK27" s="47">
        <v>0</v>
      </c>
      <c r="AL27" s="47">
        <v>0</v>
      </c>
      <c r="AM27" s="47">
        <v>0</v>
      </c>
      <c r="AN27" s="47">
        <v>0.5</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0.02</v>
      </c>
      <c r="BI27" s="47">
        <v>0</v>
      </c>
      <c r="BJ27" s="47">
        <v>0</v>
      </c>
      <c r="BK27" s="47">
        <v>0</v>
      </c>
      <c r="BL27" s="47">
        <v>0</v>
      </c>
      <c r="BM27" s="47">
        <v>0</v>
      </c>
      <c r="BN27" s="47">
        <v>0</v>
      </c>
      <c r="BO27" s="47">
        <v>0.05</v>
      </c>
      <c r="BP27" s="47">
        <v>0</v>
      </c>
      <c r="BQ27" s="47">
        <v>0</v>
      </c>
      <c r="BR27" s="47">
        <v>0</v>
      </c>
      <c r="BS27" s="47">
        <v>0</v>
      </c>
      <c r="BT27" s="47">
        <v>0</v>
      </c>
      <c r="BU27" s="47">
        <v>0</v>
      </c>
      <c r="BV27" s="47">
        <v>0</v>
      </c>
      <c r="BW27" s="47">
        <v>0</v>
      </c>
      <c r="BX27" s="47">
        <v>0</v>
      </c>
      <c r="BY27" s="47">
        <v>0</v>
      </c>
      <c r="BZ27" s="47">
        <v>0</v>
      </c>
      <c r="CA27" s="47">
        <v>0</v>
      </c>
      <c r="CB27" s="47">
        <v>0</v>
      </c>
      <c r="CC27" s="47">
        <v>0</v>
      </c>
      <c r="CD27" s="47">
        <v>0</v>
      </c>
      <c r="CE27" s="47">
        <v>0</v>
      </c>
      <c r="CF27" s="47">
        <v>0</v>
      </c>
      <c r="CG27" s="47">
        <v>0</v>
      </c>
      <c r="CH27" s="47">
        <v>0</v>
      </c>
      <c r="CI27" s="47">
        <v>0</v>
      </c>
      <c r="CJ27" s="47">
        <v>0</v>
      </c>
      <c r="CK27" s="47">
        <v>0</v>
      </c>
      <c r="CL27" s="47">
        <v>0</v>
      </c>
      <c r="CM27" s="47">
        <v>0</v>
      </c>
      <c r="CN27" s="47">
        <v>0</v>
      </c>
      <c r="CO27" s="47">
        <v>0</v>
      </c>
      <c r="CP27" s="47">
        <v>0</v>
      </c>
      <c r="CQ27" s="47">
        <v>0</v>
      </c>
      <c r="CR27" s="47">
        <v>0</v>
      </c>
      <c r="CS27" s="47">
        <v>0</v>
      </c>
      <c r="CT27" s="47">
        <v>0.3</v>
      </c>
      <c r="CU27" s="47">
        <v>0</v>
      </c>
      <c r="CV27" s="47">
        <v>0</v>
      </c>
      <c r="CW27" s="47">
        <v>0</v>
      </c>
      <c r="CX27" s="47">
        <v>0</v>
      </c>
      <c r="CY27" s="47">
        <v>0</v>
      </c>
      <c r="CZ27" s="47">
        <v>0</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row>
    <row r="28" spans="1:126" x14ac:dyDescent="0.25">
      <c r="A28" s="47" t="s">
        <v>274</v>
      </c>
      <c r="B28" s="47" t="s">
        <v>153</v>
      </c>
      <c r="C28" s="47" t="s">
        <v>275</v>
      </c>
      <c r="D28" s="47" t="s">
        <v>276</v>
      </c>
      <c r="E28" s="47" t="s">
        <v>277</v>
      </c>
      <c r="F28" s="47" t="s">
        <v>173</v>
      </c>
      <c r="G28" s="47" t="s">
        <v>180</v>
      </c>
      <c r="H28" s="47" t="str">
        <f>=IFERROR(VLOOKUP(A28,'ETPT Format DDG'!A:J,10,FALSE),"")</f>
        <v>0</v>
      </c>
      <c r="I28" s="47" t="str">
        <f>='ETPT Format DDG'!M28</f>
        <v/>
      </c>
      <c r="J28" s="47" t="str">
        <f>='ETPT Format DDG'!D28</f>
        <v/>
      </c>
      <c r="K28" s="47" t="s">
        <v>157</v>
      </c>
      <c r="L28" s="47" t="s">
        <v>278</v>
      </c>
      <c r="M28" s="47"/>
      <c r="N28" s="47">
        <v>0.8</v>
      </c>
      <c r="O28" s="47">
        <v>0.8</v>
      </c>
      <c r="P28" s="47">
        <v>0</v>
      </c>
      <c r="Q28" s="47">
        <v>0</v>
      </c>
      <c r="R28" s="47">
        <v>0</v>
      </c>
      <c r="S28" s="47">
        <v>0</v>
      </c>
      <c r="T28" s="47">
        <v>0</v>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0.72</v>
      </c>
      <c r="BP28" s="47">
        <v>0.64</v>
      </c>
      <c r="BQ28" s="47">
        <v>0</v>
      </c>
      <c r="BR28" s="47">
        <v>0.08</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0.024</v>
      </c>
      <c r="CR28" s="47">
        <v>0.024</v>
      </c>
      <c r="CS28" s="47">
        <v>0</v>
      </c>
      <c r="CT28" s="47">
        <v>0.056</v>
      </c>
      <c r="CU28" s="47">
        <v>0</v>
      </c>
      <c r="CV28" s="47">
        <v>0</v>
      </c>
      <c r="CW28" s="47">
        <v>0</v>
      </c>
      <c r="CX28" s="47">
        <v>0</v>
      </c>
      <c r="CY28" s="47">
        <v>0</v>
      </c>
      <c r="CZ28" s="47">
        <v>0</v>
      </c>
      <c r="DA28" s="47">
        <v>0</v>
      </c>
      <c r="DB28" s="47">
        <v>0</v>
      </c>
      <c r="DC28" s="47">
        <v>0</v>
      </c>
      <c r="DD28" s="47">
        <v>0</v>
      </c>
      <c r="DE28" s="47">
        <v>0</v>
      </c>
      <c r="DF28" s="47">
        <v>0.2</v>
      </c>
      <c r="DG28" s="47">
        <v>0</v>
      </c>
      <c r="DH28" s="47">
        <v>0</v>
      </c>
      <c r="DI28" s="47">
        <v>0</v>
      </c>
      <c r="DJ28" s="47">
        <v>0</v>
      </c>
      <c r="DK28" s="47">
        <v>0</v>
      </c>
      <c r="DL28" s="47">
        <v>0</v>
      </c>
      <c r="DM28" s="47">
        <v>0.2</v>
      </c>
      <c r="DN28" s="47">
        <v>0</v>
      </c>
      <c r="DO28" s="47">
        <v>0</v>
      </c>
      <c r="DP28" s="47">
        <v>0</v>
      </c>
      <c r="DQ28" s="47">
        <v>0</v>
      </c>
      <c r="DR28" s="47">
        <v>0</v>
      </c>
      <c r="DS28" s="47">
        <v>0</v>
      </c>
      <c r="DT28" s="47">
        <v>0</v>
      </c>
    </row>
    <row r="29" spans="1:126" x14ac:dyDescent="0.25">
      <c r="A29" s="47" t="s">
        <v>279</v>
      </c>
      <c r="B29" s="47" t="s">
        <v>153</v>
      </c>
      <c r="C29" s="47" t="s">
        <v>280</v>
      </c>
      <c r="D29" s="47" t="s">
        <v>281</v>
      </c>
      <c r="E29" s="47" t="s">
        <v>282</v>
      </c>
      <c r="F29" s="47" t="s">
        <v>173</v>
      </c>
      <c r="G29" s="47" t="s">
        <v>180</v>
      </c>
      <c r="H29" s="47" t="str">
        <f>=IFERROR(VLOOKUP(A29,'ETPT Format DDG'!A:J,10,FALSE),"")</f>
        <v>0</v>
      </c>
      <c r="I29" s="47" t="str">
        <f>='ETPT Format DDG'!M29</f>
        <v/>
      </c>
      <c r="J29" s="47" t="str">
        <f>='ETPT Format DDG'!D29</f>
        <v/>
      </c>
      <c r="K29" s="47" t="s">
        <v>157</v>
      </c>
      <c r="L29" s="47" t="s">
        <v>163</v>
      </c>
      <c r="M29" s="47"/>
      <c r="N29" s="47">
        <v>1</v>
      </c>
      <c r="O29" s="47">
        <v>1</v>
      </c>
      <c r="P29" s="47">
        <v>0.3</v>
      </c>
      <c r="Q29" s="47">
        <v>0</v>
      </c>
      <c r="R29" s="47">
        <v>0</v>
      </c>
      <c r="S29" s="47">
        <v>0</v>
      </c>
      <c r="T29" s="47">
        <v>0</v>
      </c>
      <c r="U29" s="47">
        <v>0</v>
      </c>
      <c r="V29" s="47">
        <v>0</v>
      </c>
      <c r="W29" s="47">
        <v>0</v>
      </c>
      <c r="X29" s="47">
        <v>0</v>
      </c>
      <c r="Y29" s="47">
        <v>0</v>
      </c>
      <c r="Z29" s="47">
        <v>0</v>
      </c>
      <c r="AA29" s="47">
        <v>0</v>
      </c>
      <c r="AB29" s="47">
        <v>0</v>
      </c>
      <c r="AC29" s="47">
        <v>0</v>
      </c>
      <c r="AD29" s="47">
        <v>0</v>
      </c>
      <c r="AE29" s="47">
        <v>0.57</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0.03</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0.1</v>
      </c>
      <c r="CU29" s="47">
        <v>0</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c r="DS29" s="47">
        <v>0</v>
      </c>
      <c r="DT29" s="47">
        <v>0</v>
      </c>
    </row>
    <row r="30" spans="1:126" x14ac:dyDescent="0.25">
      <c r="A30" s="47" t="s">
        <v>283</v>
      </c>
      <c r="B30" s="47" t="s">
        <v>153</v>
      </c>
      <c r="C30" s="47" t="s">
        <v>284</v>
      </c>
      <c r="D30" s="47" t="s">
        <v>285</v>
      </c>
      <c r="E30" s="47" t="s">
        <v>286</v>
      </c>
      <c r="F30" s="47" t="s">
        <v>173</v>
      </c>
      <c r="G30" s="47" t="s">
        <v>287</v>
      </c>
      <c r="H30" s="47" t="str">
        <f>=IFERROR(VLOOKUP(A30,'ETPT Format DDG'!A:J,10,FALSE),"")</f>
        <v>0</v>
      </c>
      <c r="I30" s="47" t="str">
        <f>='ETPT Format DDG'!M30</f>
        <v/>
      </c>
      <c r="J30" s="47" t="str">
        <f>='ETPT Format DDG'!D30</f>
        <v/>
      </c>
      <c r="K30" s="47" t="s">
        <v>157</v>
      </c>
      <c r="L30" s="47" t="s">
        <v>288</v>
      </c>
      <c r="M30" s="47"/>
      <c r="N30" s="47">
        <v>0.7212</v>
      </c>
      <c r="O30" s="47">
        <v>0.7212</v>
      </c>
      <c r="P30" s="47">
        <v>0</v>
      </c>
      <c r="Q30" s="47">
        <v>0</v>
      </c>
      <c r="R30" s="47">
        <v>0</v>
      </c>
      <c r="S30" s="47">
        <v>0</v>
      </c>
      <c r="T30" s="47">
        <v>0</v>
      </c>
      <c r="U30" s="47">
        <v>0</v>
      </c>
      <c r="V30" s="47">
        <v>0</v>
      </c>
      <c r="W30" s="47">
        <v>0</v>
      </c>
      <c r="X30" s="47">
        <v>0</v>
      </c>
      <c r="Y30" s="47">
        <v>0</v>
      </c>
      <c r="Z30" s="47">
        <v>0</v>
      </c>
      <c r="AA30" s="47">
        <v>0</v>
      </c>
      <c r="AB30" s="47">
        <v>0</v>
      </c>
      <c r="AC30" s="47">
        <v>0</v>
      </c>
      <c r="AD30" s="47">
        <v>0</v>
      </c>
      <c r="AE30" s="47">
        <v>0.577</v>
      </c>
      <c r="AF30" s="47">
        <v>0</v>
      </c>
      <c r="AG30" s="47">
        <v>0.577</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0.1442</v>
      </c>
      <c r="BP30" s="47">
        <v>0</v>
      </c>
      <c r="BQ30" s="47">
        <v>0.1442</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row>
    <row r="31" spans="1:126" x14ac:dyDescent="0.25">
      <c r="A31" s="47" t="s">
        <v>289</v>
      </c>
      <c r="B31" s="47" t="s">
        <v>153</v>
      </c>
      <c r="C31" s="47" t="s">
        <v>290</v>
      </c>
      <c r="D31" s="47" t="s">
        <v>291</v>
      </c>
      <c r="E31" s="47" t="s">
        <v>292</v>
      </c>
      <c r="F31" s="47" t="s">
        <v>173</v>
      </c>
      <c r="G31" s="47" t="s">
        <v>220</v>
      </c>
      <c r="H31" s="47" t="str">
        <f>=IFERROR(VLOOKUP(A31,'ETPT Format DDG'!A:J,10,FALSE),"")</f>
        <v>0</v>
      </c>
      <c r="I31" s="47" t="str">
        <f>='ETPT Format DDG'!M31</f>
        <v/>
      </c>
      <c r="J31" s="47" t="str">
        <f>='ETPT Format DDG'!D31</f>
        <v/>
      </c>
      <c r="K31" s="47" t="s">
        <v>157</v>
      </c>
      <c r="L31" s="47" t="s">
        <v>163</v>
      </c>
      <c r="M31" s="47"/>
      <c r="N31" s="47">
        <v>0.8</v>
      </c>
      <c r="O31" s="47">
        <v>0.8</v>
      </c>
      <c r="P31" s="47">
        <v>0</v>
      </c>
      <c r="Q31" s="47">
        <v>0</v>
      </c>
      <c r="R31" s="47">
        <v>0</v>
      </c>
      <c r="S31" s="47">
        <v>0</v>
      </c>
      <c r="T31" s="47">
        <v>0</v>
      </c>
      <c r="U31" s="47">
        <v>0</v>
      </c>
      <c r="V31" s="47">
        <v>0</v>
      </c>
      <c r="W31" s="47">
        <v>0</v>
      </c>
      <c r="X31" s="47">
        <v>0</v>
      </c>
      <c r="Y31" s="47">
        <v>0</v>
      </c>
      <c r="Z31" s="47">
        <v>0</v>
      </c>
      <c r="AA31" s="47">
        <v>0</v>
      </c>
      <c r="AB31" s="47">
        <v>0</v>
      </c>
      <c r="AC31" s="47">
        <v>0</v>
      </c>
      <c r="AD31" s="47">
        <v>0</v>
      </c>
      <c r="AE31" s="47">
        <v>0.3541</v>
      </c>
      <c r="AF31" s="47">
        <v>0</v>
      </c>
      <c r="AG31" s="47">
        <v>0</v>
      </c>
      <c r="AH31" s="47">
        <v>0</v>
      </c>
      <c r="AI31" s="47">
        <v>0</v>
      </c>
      <c r="AJ31" s="47">
        <v>0</v>
      </c>
      <c r="AK31" s="47">
        <v>0</v>
      </c>
      <c r="AL31" s="47">
        <v>0</v>
      </c>
      <c r="AM31" s="47">
        <v>0</v>
      </c>
      <c r="AN31" s="47">
        <v>0.136</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0.1735</v>
      </c>
      <c r="BI31" s="47">
        <v>0</v>
      </c>
      <c r="BJ31" s="47">
        <v>0</v>
      </c>
      <c r="BK31" s="47">
        <v>0</v>
      </c>
      <c r="BL31" s="47">
        <v>0</v>
      </c>
      <c r="BM31" s="47">
        <v>0</v>
      </c>
      <c r="BN31" s="47">
        <v>0</v>
      </c>
      <c r="BO31" s="47">
        <v>0.0807</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0.0077</v>
      </c>
      <c r="CR31" s="47">
        <v>0</v>
      </c>
      <c r="CS31" s="47">
        <v>0</v>
      </c>
      <c r="CT31" s="47">
        <v>0.048</v>
      </c>
      <c r="CU31" s="47">
        <v>0</v>
      </c>
      <c r="CV31" s="47">
        <v>0</v>
      </c>
      <c r="CW31" s="47">
        <v>0</v>
      </c>
      <c r="CX31" s="47">
        <v>0</v>
      </c>
      <c r="CY31" s="47">
        <v>0</v>
      </c>
      <c r="CZ31" s="47">
        <v>0</v>
      </c>
      <c r="DA31" s="47">
        <v>0</v>
      </c>
      <c r="DB31" s="47">
        <v>0</v>
      </c>
      <c r="DC31" s="47">
        <v>0</v>
      </c>
      <c r="DD31" s="47">
        <v>0</v>
      </c>
      <c r="DE31" s="47">
        <v>0</v>
      </c>
      <c r="DF31" s="47">
        <v>0.2</v>
      </c>
      <c r="DG31" s="47">
        <v>0</v>
      </c>
      <c r="DH31" s="47">
        <v>0</v>
      </c>
      <c r="DI31" s="47">
        <v>0</v>
      </c>
      <c r="DJ31" s="47">
        <v>0</v>
      </c>
      <c r="DK31" s="47">
        <v>0</v>
      </c>
      <c r="DL31" s="47">
        <v>0</v>
      </c>
      <c r="DM31" s="47">
        <v>0</v>
      </c>
      <c r="DN31" s="47">
        <v>0</v>
      </c>
      <c r="DO31" s="47">
        <v>0</v>
      </c>
      <c r="DP31" s="47">
        <v>0</v>
      </c>
      <c r="DQ31" s="47">
        <v>0</v>
      </c>
      <c r="DR31" s="47">
        <v>0</v>
      </c>
      <c r="DS31" s="47">
        <v>0</v>
      </c>
      <c r="DT31" s="47">
        <v>0</v>
      </c>
    </row>
    <row r="32" spans="1:126" x14ac:dyDescent="0.25">
      <c r="A32" s="47" t="s">
        <v>293</v>
      </c>
      <c r="B32" s="47" t="s">
        <v>153</v>
      </c>
      <c r="C32" s="47" t="s">
        <v>294</v>
      </c>
      <c r="D32" s="47" t="s">
        <v>295</v>
      </c>
      <c r="E32" s="47" t="s">
        <v>296</v>
      </c>
      <c r="F32" s="47" t="s">
        <v>173</v>
      </c>
      <c r="G32" s="47" t="s">
        <v>180</v>
      </c>
      <c r="H32" s="47" t="str">
        <f>=IFERROR(VLOOKUP(A32,'ETPT Format DDG'!A:J,10,FALSE),"")</f>
        <v>0</v>
      </c>
      <c r="I32" s="47" t="str">
        <f>='ETPT Format DDG'!M32</f>
        <v/>
      </c>
      <c r="J32" s="47" t="str">
        <f>='ETPT Format DDG'!D32</f>
        <v/>
      </c>
      <c r="K32" s="47" t="s">
        <v>157</v>
      </c>
      <c r="L32" s="47" t="s">
        <v>163</v>
      </c>
      <c r="M32" s="47"/>
      <c r="N32" s="47">
        <v>0.64</v>
      </c>
      <c r="O32" s="47">
        <v>0.64</v>
      </c>
      <c r="P32" s="47">
        <v>0</v>
      </c>
      <c r="Q32" s="47">
        <v>0</v>
      </c>
      <c r="R32" s="47">
        <v>0</v>
      </c>
      <c r="S32" s="47">
        <v>0</v>
      </c>
      <c r="T32" s="47">
        <v>0</v>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0.512</v>
      </c>
      <c r="AO32" s="47">
        <v>0</v>
      </c>
      <c r="AP32" s="47">
        <v>0.512</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0.0064</v>
      </c>
      <c r="BI32" s="47">
        <v>0</v>
      </c>
      <c r="BJ32" s="47">
        <v>0</v>
      </c>
      <c r="BK32" s="47">
        <v>0</v>
      </c>
      <c r="BL32" s="47">
        <v>0</v>
      </c>
      <c r="BM32" s="47">
        <v>0</v>
      </c>
      <c r="BN32" s="47">
        <v>0</v>
      </c>
      <c r="BO32" s="47">
        <v>0.0832</v>
      </c>
      <c r="BP32" s="47">
        <v>0.0512</v>
      </c>
      <c r="BQ32" s="47">
        <v>0.032</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0.0064</v>
      </c>
      <c r="CR32" s="47">
        <v>0</v>
      </c>
      <c r="CS32" s="47">
        <v>0</v>
      </c>
      <c r="CT32" s="47">
        <v>0.032</v>
      </c>
      <c r="CU32" s="47">
        <v>0</v>
      </c>
      <c r="CV32" s="47">
        <v>0</v>
      </c>
      <c r="CW32" s="47">
        <v>0</v>
      </c>
      <c r="CX32" s="47">
        <v>0</v>
      </c>
      <c r="CY32" s="47">
        <v>0</v>
      </c>
      <c r="CZ32" s="47">
        <v>0</v>
      </c>
      <c r="DA32" s="47">
        <v>0</v>
      </c>
      <c r="DB32" s="47">
        <v>0</v>
      </c>
      <c r="DC32" s="47">
        <v>0</v>
      </c>
      <c r="DD32" s="47">
        <v>0</v>
      </c>
      <c r="DE32" s="47">
        <v>0</v>
      </c>
      <c r="DF32" s="47">
        <v>0.16</v>
      </c>
      <c r="DG32" s="47">
        <v>0</v>
      </c>
      <c r="DH32" s="47">
        <v>0</v>
      </c>
      <c r="DI32" s="47">
        <v>0</v>
      </c>
      <c r="DJ32" s="47">
        <v>0.16</v>
      </c>
      <c r="DK32" s="47">
        <v>0</v>
      </c>
      <c r="DL32" s="47">
        <v>0</v>
      </c>
      <c r="DM32" s="47">
        <v>0</v>
      </c>
      <c r="DN32" s="47">
        <v>0</v>
      </c>
      <c r="DO32" s="47">
        <v>0</v>
      </c>
      <c r="DP32" s="47">
        <v>0</v>
      </c>
      <c r="DQ32" s="47">
        <v>0</v>
      </c>
      <c r="DR32" s="47">
        <v>0</v>
      </c>
      <c r="DS32" s="47">
        <v>0</v>
      </c>
      <c r="DT32" s="47">
        <v>0</v>
      </c>
    </row>
    <row r="33" spans="1:126" x14ac:dyDescent="0.25">
      <c r="A33" s="47" t="s">
        <v>297</v>
      </c>
      <c r="B33" s="47" t="s">
        <v>153</v>
      </c>
      <c r="C33" s="47" t="s">
        <v>298</v>
      </c>
      <c r="D33" s="47" t="s">
        <v>299</v>
      </c>
      <c r="E33" s="47" t="s">
        <v>300</v>
      </c>
      <c r="F33" s="47" t="s">
        <v>173</v>
      </c>
      <c r="G33" s="47" t="s">
        <v>301</v>
      </c>
      <c r="H33" s="47" t="str">
        <f>=IFERROR(VLOOKUP(A33,'ETPT Format DDG'!A:J,10,FALSE),"")</f>
        <v>0</v>
      </c>
      <c r="I33" s="47" t="str">
        <f>='ETPT Format DDG'!M33</f>
        <v/>
      </c>
      <c r="J33" s="47" t="str">
        <f>='ETPT Format DDG'!D33</f>
        <v/>
      </c>
      <c r="K33" s="47" t="s">
        <v>157</v>
      </c>
      <c r="L33" s="47" t="s">
        <v>175</v>
      </c>
      <c r="M33" s="47"/>
      <c r="N33" s="47">
        <v>1</v>
      </c>
      <c r="O33" s="47">
        <v>1</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0.7587</v>
      </c>
      <c r="BM33" s="47">
        <v>0</v>
      </c>
      <c r="BN33" s="47">
        <v>0</v>
      </c>
      <c r="BO33" s="47">
        <v>0.05</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0.1913</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c r="DS33" s="47">
        <v>0</v>
      </c>
      <c r="DT33" s="47">
        <v>0</v>
      </c>
    </row>
    <row r="34" spans="1:126" x14ac:dyDescent="0.25">
      <c r="A34" s="47" t="s">
        <v>302</v>
      </c>
      <c r="B34" s="47" t="s">
        <v>153</v>
      </c>
      <c r="C34" s="47" t="s">
        <v>303</v>
      </c>
      <c r="D34" s="47" t="s">
        <v>304</v>
      </c>
      <c r="E34" s="47" t="s">
        <v>305</v>
      </c>
      <c r="F34" s="47" t="s">
        <v>173</v>
      </c>
      <c r="G34" s="47" t="s">
        <v>220</v>
      </c>
      <c r="H34" s="47" t="str">
        <f>=IFERROR(VLOOKUP(A34,'ETPT Format DDG'!A:J,10,FALSE),"")</f>
        <v>0</v>
      </c>
      <c r="I34" s="47" t="str">
        <f>='ETPT Format DDG'!M34</f>
        <v/>
      </c>
      <c r="J34" s="47" t="str">
        <f>='ETPT Format DDG'!D34</f>
        <v/>
      </c>
      <c r="K34" s="47" t="s">
        <v>157</v>
      </c>
      <c r="L34" s="47" t="s">
        <v>163</v>
      </c>
      <c r="M34" s="47"/>
      <c r="N34" s="47">
        <v>1</v>
      </c>
      <c r="O34" s="47">
        <v>1</v>
      </c>
      <c r="P34" s="47">
        <v>0</v>
      </c>
      <c r="Q34" s="47">
        <v>0</v>
      </c>
      <c r="R34" s="47">
        <v>0</v>
      </c>
      <c r="S34" s="47">
        <v>0</v>
      </c>
      <c r="T34" s="47">
        <v>0</v>
      </c>
      <c r="U34" s="47">
        <v>0</v>
      </c>
      <c r="V34" s="47">
        <v>0</v>
      </c>
      <c r="W34" s="47">
        <v>0</v>
      </c>
      <c r="X34" s="47">
        <v>0</v>
      </c>
      <c r="Y34" s="47">
        <v>0</v>
      </c>
      <c r="Z34" s="47">
        <v>0</v>
      </c>
      <c r="AA34" s="47">
        <v>0</v>
      </c>
      <c r="AB34" s="47">
        <v>0</v>
      </c>
      <c r="AC34" s="47">
        <v>0</v>
      </c>
      <c r="AD34" s="47">
        <v>0</v>
      </c>
      <c r="AE34" s="47">
        <v>0.28</v>
      </c>
      <c r="AF34" s="47">
        <v>0</v>
      </c>
      <c r="AG34" s="47">
        <v>0</v>
      </c>
      <c r="AH34" s="47">
        <v>0</v>
      </c>
      <c r="AI34" s="47">
        <v>0</v>
      </c>
      <c r="AJ34" s="47">
        <v>0</v>
      </c>
      <c r="AK34" s="47">
        <v>0</v>
      </c>
      <c r="AL34" s="47">
        <v>0</v>
      </c>
      <c r="AM34" s="47">
        <v>0</v>
      </c>
      <c r="AN34" s="47">
        <v>0.38</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0.01</v>
      </c>
      <c r="BI34" s="47">
        <v>0</v>
      </c>
      <c r="BJ34" s="47">
        <v>0</v>
      </c>
      <c r="BK34" s="47">
        <v>0</v>
      </c>
      <c r="BL34" s="47">
        <v>0</v>
      </c>
      <c r="BM34" s="47">
        <v>0</v>
      </c>
      <c r="BN34" s="47">
        <v>0</v>
      </c>
      <c r="BO34" s="47">
        <v>0.04</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0.01</v>
      </c>
      <c r="CR34" s="47">
        <v>0</v>
      </c>
      <c r="CS34" s="47">
        <v>0</v>
      </c>
      <c r="CT34" s="47">
        <v>0.28</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c r="DS34" s="47">
        <v>0</v>
      </c>
      <c r="DT34" s="47">
        <v>0</v>
      </c>
    </row>
    <row r="35" spans="1:126" x14ac:dyDescent="0.25">
      <c r="A35" s="47" t="s">
        <v>306</v>
      </c>
      <c r="B35" s="47" t="s">
        <v>153</v>
      </c>
      <c r="C35" s="47" t="s">
        <v>307</v>
      </c>
      <c r="D35" s="47" t="s">
        <v>308</v>
      </c>
      <c r="E35" s="47" t="s">
        <v>309</v>
      </c>
      <c r="F35" s="47" t="s">
        <v>173</v>
      </c>
      <c r="G35" s="47" t="s">
        <v>180</v>
      </c>
      <c r="H35" s="47" t="str">
        <f>=IFERROR(VLOOKUP(A35,'ETPT Format DDG'!A:J,10,FALSE),"")</f>
        <v>0</v>
      </c>
      <c r="I35" s="47" t="str">
        <f>='ETPT Format DDG'!M35</f>
        <v/>
      </c>
      <c r="J35" s="47" t="str">
        <f>='ETPT Format DDG'!D35</f>
        <v/>
      </c>
      <c r="K35" s="47" t="s">
        <v>157</v>
      </c>
      <c r="L35" s="47" t="s">
        <v>163</v>
      </c>
      <c r="M35" s="47"/>
      <c r="N35" s="47">
        <v>1</v>
      </c>
      <c r="O35" s="47">
        <v>1</v>
      </c>
      <c r="P35" s="47">
        <v>0</v>
      </c>
      <c r="Q35" s="47">
        <v>0</v>
      </c>
      <c r="R35" s="47">
        <v>0</v>
      </c>
      <c r="S35" s="47">
        <v>0</v>
      </c>
      <c r="T35" s="47">
        <v>0</v>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0.735</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0.01</v>
      </c>
      <c r="BI35" s="47">
        <v>0</v>
      </c>
      <c r="BJ35" s="47">
        <v>0</v>
      </c>
      <c r="BK35" s="47">
        <v>0</v>
      </c>
      <c r="BL35" s="47">
        <v>0</v>
      </c>
      <c r="BM35" s="47">
        <v>0</v>
      </c>
      <c r="BN35" s="47">
        <v>0</v>
      </c>
      <c r="BO35" s="47">
        <v>0.045</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0.02</v>
      </c>
      <c r="CR35" s="47">
        <v>0</v>
      </c>
      <c r="CS35" s="47">
        <v>0</v>
      </c>
      <c r="CT35" s="47">
        <v>0.19</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row>
    <row r="36" spans="1:126" x14ac:dyDescent="0.25">
      <c r="A36" s="47" t="s">
        <v>310</v>
      </c>
      <c r="B36" s="47" t="s">
        <v>153</v>
      </c>
      <c r="C36" s="47" t="s">
        <v>311</v>
      </c>
      <c r="D36" s="47" t="s">
        <v>312</v>
      </c>
      <c r="E36" s="47" t="s">
        <v>313</v>
      </c>
      <c r="F36" s="47" t="s">
        <v>173</v>
      </c>
      <c r="G36" s="47" t="s">
        <v>180</v>
      </c>
      <c r="H36" s="47" t="str">
        <f>=IFERROR(VLOOKUP(A36,'ETPT Format DDG'!A:J,10,FALSE),"")</f>
        <v>0</v>
      </c>
      <c r="I36" s="47" t="str">
        <f>='ETPT Format DDG'!M36</f>
        <v/>
      </c>
      <c r="J36" s="47" t="str">
        <f>='ETPT Format DDG'!D36</f>
        <v/>
      </c>
      <c r="K36" s="47" t="s">
        <v>157</v>
      </c>
      <c r="L36" s="47" t="s">
        <v>163</v>
      </c>
      <c r="M36" s="47"/>
      <c r="N36" s="47">
        <v>1</v>
      </c>
      <c r="O36" s="47">
        <v>1</v>
      </c>
      <c r="P36" s="47">
        <v>0.825</v>
      </c>
      <c r="Q36" s="47">
        <v>0</v>
      </c>
      <c r="R36" s="47">
        <v>0</v>
      </c>
      <c r="S36" s="47">
        <v>0</v>
      </c>
      <c r="T36" s="47">
        <v>0</v>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0.04</v>
      </c>
      <c r="BI36" s="47">
        <v>0</v>
      </c>
      <c r="BJ36" s="47">
        <v>0</v>
      </c>
      <c r="BK36" s="47">
        <v>0</v>
      </c>
      <c r="BL36" s="47">
        <v>0</v>
      </c>
      <c r="BM36" s="47">
        <v>0</v>
      </c>
      <c r="BN36" s="47">
        <v>0</v>
      </c>
      <c r="BO36" s="47">
        <v>0.075</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0.01</v>
      </c>
      <c r="CR36" s="47">
        <v>0</v>
      </c>
      <c r="CS36" s="47">
        <v>0</v>
      </c>
      <c r="CT36" s="47">
        <v>0.05</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row>
    <row r="37" spans="1:126" x14ac:dyDescent="0.25">
      <c r="A37" s="47" t="s">
        <v>314</v>
      </c>
      <c r="B37" s="47" t="s">
        <v>153</v>
      </c>
      <c r="C37" s="47" t="s">
        <v>315</v>
      </c>
      <c r="D37" s="47" t="s">
        <v>316</v>
      </c>
      <c r="E37" s="47" t="s">
        <v>317</v>
      </c>
      <c r="F37" s="47" t="s">
        <v>173</v>
      </c>
      <c r="G37" s="47" t="s">
        <v>318</v>
      </c>
      <c r="H37" s="47" t="str">
        <f>=IFERROR(VLOOKUP(A37,'ETPT Format DDG'!A:J,10,FALSE),"")</f>
        <v>0</v>
      </c>
      <c r="I37" s="47" t="str">
        <f>='ETPT Format DDG'!M37</f>
        <v/>
      </c>
      <c r="J37" s="47" t="str">
        <f>='ETPT Format DDG'!D37</f>
        <v/>
      </c>
      <c r="K37" s="47" t="s">
        <v>157</v>
      </c>
      <c r="L37" s="47" t="s">
        <v>163</v>
      </c>
      <c r="M37" s="47"/>
      <c r="N37" s="47">
        <v>1</v>
      </c>
      <c r="O37" s="47">
        <v>1</v>
      </c>
      <c r="P37" s="47">
        <v>0</v>
      </c>
      <c r="Q37" s="47">
        <v>0</v>
      </c>
      <c r="R37" s="47">
        <v>0</v>
      </c>
      <c r="S37" s="47">
        <v>0</v>
      </c>
      <c r="T37" s="47">
        <v>0</v>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0.2</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0.01</v>
      </c>
      <c r="BI37" s="47">
        <v>0</v>
      </c>
      <c r="BJ37" s="47">
        <v>0</v>
      </c>
      <c r="BK37" s="47">
        <v>0</v>
      </c>
      <c r="BL37" s="47">
        <v>0</v>
      </c>
      <c r="BM37" s="47">
        <v>0</v>
      </c>
      <c r="BN37" s="47">
        <v>0</v>
      </c>
      <c r="BO37" s="47">
        <v>0.05</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0.74</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row>
    <row r="38" spans="1:126" x14ac:dyDescent="0.25">
      <c r="A38" s="47" t="s">
        <v>319</v>
      </c>
      <c r="B38" s="47" t="s">
        <v>153</v>
      </c>
      <c r="C38" s="47" t="s">
        <v>320</v>
      </c>
      <c r="D38" s="47" t="s">
        <v>321</v>
      </c>
      <c r="E38" s="47" t="s">
        <v>322</v>
      </c>
      <c r="F38" s="47" t="s">
        <v>173</v>
      </c>
      <c r="G38" s="47" t="s">
        <v>323</v>
      </c>
      <c r="H38" s="47" t="str">
        <f>=IFERROR(VLOOKUP(A38,'ETPT Format DDG'!A:J,10,FALSE),"")</f>
        <v>0</v>
      </c>
      <c r="I38" s="47" t="str">
        <f>='ETPT Format DDG'!M38</f>
        <v/>
      </c>
      <c r="J38" s="47" t="str">
        <f>='ETPT Format DDG'!D38</f>
        <v/>
      </c>
      <c r="K38" s="47" t="s">
        <v>157</v>
      </c>
      <c r="L38" s="47" t="s">
        <v>163</v>
      </c>
      <c r="M38" s="47"/>
      <c r="N38" s="47">
        <v>1</v>
      </c>
      <c r="O38" s="47">
        <v>1</v>
      </c>
      <c r="P38" s="47">
        <v>0</v>
      </c>
      <c r="Q38" s="47">
        <v>0</v>
      </c>
      <c r="R38" s="47">
        <v>0</v>
      </c>
      <c r="S38" s="47">
        <v>0</v>
      </c>
      <c r="T38" s="47">
        <v>0</v>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0.015</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0.85</v>
      </c>
      <c r="CM38" s="47">
        <v>0</v>
      </c>
      <c r="CN38" s="47">
        <v>0</v>
      </c>
      <c r="CO38" s="47">
        <v>0</v>
      </c>
      <c r="CP38" s="47">
        <v>0</v>
      </c>
      <c r="CQ38" s="47">
        <v>0</v>
      </c>
      <c r="CR38" s="47">
        <v>0</v>
      </c>
      <c r="CS38" s="47">
        <v>0</v>
      </c>
      <c r="CT38" s="47">
        <v>0.135</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row>
    <row r="39" spans="1:126" x14ac:dyDescent="0.25">
      <c r="A39" s="47" t="s">
        <v>324</v>
      </c>
      <c r="B39" s="47" t="s">
        <v>153</v>
      </c>
      <c r="C39" s="47" t="s">
        <v>325</v>
      </c>
      <c r="D39" s="47" t="s">
        <v>326</v>
      </c>
      <c r="E39" s="47" t="s">
        <v>327</v>
      </c>
      <c r="F39" s="47" t="s">
        <v>173</v>
      </c>
      <c r="G39" s="47" t="s">
        <v>180</v>
      </c>
      <c r="H39" s="47" t="str">
        <f>=IFERROR(VLOOKUP(A39,'ETPT Format DDG'!A:J,10,FALSE),"")</f>
        <v>0</v>
      </c>
      <c r="I39" s="47" t="str">
        <f>='ETPT Format DDG'!M39</f>
        <v/>
      </c>
      <c r="J39" s="47" t="str">
        <f>='ETPT Format DDG'!D39</f>
        <v/>
      </c>
      <c r="K39" s="47" t="s">
        <v>157</v>
      </c>
      <c r="L39" s="47" t="s">
        <v>163</v>
      </c>
      <c r="M39" s="47"/>
      <c r="N39" s="47">
        <v>1</v>
      </c>
      <c r="O39" s="47">
        <v>1</v>
      </c>
      <c r="P39" s="47">
        <v>0.835</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0.03</v>
      </c>
      <c r="BI39" s="47">
        <v>0</v>
      </c>
      <c r="BJ39" s="47">
        <v>0</v>
      </c>
      <c r="BK39" s="47">
        <v>0</v>
      </c>
      <c r="BL39" s="47">
        <v>0</v>
      </c>
      <c r="BM39" s="47">
        <v>0</v>
      </c>
      <c r="BN39" s="47">
        <v>0</v>
      </c>
      <c r="BO39" s="47">
        <v>0.055</v>
      </c>
      <c r="BP39" s="47">
        <v>0</v>
      </c>
      <c r="BQ39" s="47">
        <v>0</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0.08</v>
      </c>
      <c r="CU39" s="47">
        <v>0</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row>
    <row r="40" spans="1:126" x14ac:dyDescent="0.25">
      <c r="A40" s="47" t="s">
        <v>328</v>
      </c>
      <c r="B40" s="47" t="s">
        <v>153</v>
      </c>
      <c r="C40" s="47" t="s">
        <v>329</v>
      </c>
      <c r="D40" s="47" t="s">
        <v>330</v>
      </c>
      <c r="E40" s="47" t="s">
        <v>331</v>
      </c>
      <c r="F40" s="47" t="s">
        <v>173</v>
      </c>
      <c r="G40" s="47" t="s">
        <v>180</v>
      </c>
      <c r="H40" s="47" t="str">
        <f>=IFERROR(VLOOKUP(A40,'ETPT Format DDG'!A:J,10,FALSE),"")</f>
        <v>0</v>
      </c>
      <c r="I40" s="47" t="str">
        <f>='ETPT Format DDG'!M40</f>
        <v/>
      </c>
      <c r="J40" s="47" t="str">
        <f>='ETPT Format DDG'!D40</f>
        <v/>
      </c>
      <c r="K40" s="47" t="s">
        <v>157</v>
      </c>
      <c r="L40" s="47" t="s">
        <v>163</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0.86</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0.06</v>
      </c>
      <c r="BP40" s="47">
        <v>0</v>
      </c>
      <c r="BQ40" s="47">
        <v>0</v>
      </c>
      <c r="BR40" s="47">
        <v>0</v>
      </c>
      <c r="BS40" s="47">
        <v>0</v>
      </c>
      <c r="BT40" s="47">
        <v>0</v>
      </c>
      <c r="BU40" s="47">
        <v>0</v>
      </c>
      <c r="BV40" s="47">
        <v>0</v>
      </c>
      <c r="BW40" s="47">
        <v>0</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0.01</v>
      </c>
      <c r="CR40" s="47">
        <v>0</v>
      </c>
      <c r="CS40" s="47">
        <v>0</v>
      </c>
      <c r="CT40" s="47">
        <v>0.07</v>
      </c>
      <c r="CU40" s="47">
        <v>0</v>
      </c>
      <c r="CV40" s="47">
        <v>0</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row>
    <row r="41" spans="1:126" x14ac:dyDescent="0.25">
      <c r="A41" s="47" t="s">
        <v>332</v>
      </c>
      <c r="B41" s="47" t="s">
        <v>153</v>
      </c>
      <c r="C41" s="47" t="s">
        <v>333</v>
      </c>
      <c r="D41" s="47" t="s">
        <v>334</v>
      </c>
      <c r="E41" s="47" t="s">
        <v>335</v>
      </c>
      <c r="F41" s="47" t="s">
        <v>173</v>
      </c>
      <c r="G41" s="47" t="s">
        <v>180</v>
      </c>
      <c r="H41" s="47" t="str">
        <f>=IFERROR(VLOOKUP(A41,'ETPT Format DDG'!A:J,10,FALSE),"")</f>
        <v>0</v>
      </c>
      <c r="I41" s="47" t="str">
        <f>='ETPT Format DDG'!M41</f>
        <v/>
      </c>
      <c r="J41" s="47" t="str">
        <f>='ETPT Format DDG'!D41</f>
        <v/>
      </c>
      <c r="K41" s="47" t="s">
        <v>157</v>
      </c>
      <c r="L41" s="47" t="s">
        <v>163</v>
      </c>
      <c r="M41" s="47"/>
      <c r="N41" s="47">
        <v>1</v>
      </c>
      <c r="O41" s="47">
        <v>1</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0.85</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0.07</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0.01</v>
      </c>
      <c r="CR41" s="47">
        <v>0</v>
      </c>
      <c r="CS41" s="47">
        <v>0</v>
      </c>
      <c r="CT41" s="47">
        <v>0.07</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row>
    <row r="42" spans="1:126" x14ac:dyDescent="0.25">
      <c r="A42" s="47" t="s">
        <v>336</v>
      </c>
      <c r="B42" s="47" t="s">
        <v>153</v>
      </c>
      <c r="C42" s="47" t="s">
        <v>337</v>
      </c>
      <c r="D42" s="47" t="s">
        <v>338</v>
      </c>
      <c r="E42" s="47" t="s">
        <v>339</v>
      </c>
      <c r="F42" s="47" t="s">
        <v>173</v>
      </c>
      <c r="G42" s="47" t="s">
        <v>323</v>
      </c>
      <c r="H42" s="47" t="str">
        <f>=IFERROR(VLOOKUP(A42,'ETPT Format DDG'!A:J,10,FALSE),"")</f>
        <v>0</v>
      </c>
      <c r="I42" s="47" t="str">
        <f>='ETPT Format DDG'!M42</f>
        <v/>
      </c>
      <c r="J42" s="47" t="str">
        <f>='ETPT Format DDG'!D42</f>
        <v/>
      </c>
      <c r="K42" s="47" t="s">
        <v>157</v>
      </c>
      <c r="L42" s="47" t="s">
        <v>163</v>
      </c>
      <c r="M42" s="47"/>
      <c r="N42" s="47">
        <v>1</v>
      </c>
      <c r="O42" s="47">
        <v>1</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0.1</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0.79</v>
      </c>
      <c r="CM42" s="47">
        <v>0</v>
      </c>
      <c r="CN42" s="47">
        <v>0</v>
      </c>
      <c r="CO42" s="47">
        <v>0</v>
      </c>
      <c r="CP42" s="47">
        <v>0</v>
      </c>
      <c r="CQ42" s="47">
        <v>0</v>
      </c>
      <c r="CR42" s="47">
        <v>0</v>
      </c>
      <c r="CS42" s="47">
        <v>0</v>
      </c>
      <c r="CT42" s="47">
        <v>0.11</v>
      </c>
      <c r="CU42" s="47">
        <v>0</v>
      </c>
      <c r="CV42" s="47">
        <v>0</v>
      </c>
      <c r="CW42" s="47">
        <v>0</v>
      </c>
      <c r="CX42" s="47">
        <v>0</v>
      </c>
      <c r="CY42" s="47">
        <v>0</v>
      </c>
      <c r="CZ42" s="47">
        <v>0</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c r="DS42" s="47">
        <v>0</v>
      </c>
      <c r="DT42" s="47">
        <v>0</v>
      </c>
    </row>
    <row r="43" spans="1:126" x14ac:dyDescent="0.25">
      <c r="A43" s="47" t="s">
        <v>340</v>
      </c>
      <c r="B43" s="47" t="s">
        <v>153</v>
      </c>
      <c r="C43" s="47" t="s">
        <v>341</v>
      </c>
      <c r="D43" s="47" t="s">
        <v>342</v>
      </c>
      <c r="E43" s="47" t="s">
        <v>343</v>
      </c>
      <c r="F43" s="47" t="s">
        <v>173</v>
      </c>
      <c r="G43" s="47" t="s">
        <v>344</v>
      </c>
      <c r="H43" s="47" t="str">
        <f>=IFERROR(VLOOKUP(A43,'ETPT Format DDG'!A:J,10,FALSE),"")</f>
        <v>0</v>
      </c>
      <c r="I43" s="47" t="str">
        <f>='ETPT Format DDG'!M43</f>
        <v/>
      </c>
      <c r="J43" s="47" t="str">
        <f>='ETPT Format DDG'!D43</f>
        <v/>
      </c>
      <c r="K43" s="47" t="s">
        <v>157</v>
      </c>
      <c r="L43" s="47" t="s">
        <v>163</v>
      </c>
      <c r="M43" s="47"/>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0.815</v>
      </c>
      <c r="AF43" s="47">
        <v>0</v>
      </c>
      <c r="AG43" s="47">
        <v>0</v>
      </c>
      <c r="AH43" s="47">
        <v>0</v>
      </c>
      <c r="AI43" s="47">
        <v>0</v>
      </c>
      <c r="AJ43" s="47">
        <v>0</v>
      </c>
      <c r="AK43" s="47">
        <v>0</v>
      </c>
      <c r="AL43" s="47">
        <v>0</v>
      </c>
      <c r="AM43" s="47">
        <v>0</v>
      </c>
      <c r="AN43" s="47">
        <v>0.085</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0.05</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0.05</v>
      </c>
      <c r="CU43" s="47">
        <v>0</v>
      </c>
      <c r="CV43" s="47">
        <v>0</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row>
    <row r="44" spans="1:126" x14ac:dyDescent="0.25">
      <c r="A44" s="47" t="s">
        <v>345</v>
      </c>
      <c r="B44" s="47" t="s">
        <v>153</v>
      </c>
      <c r="C44" s="47" t="s">
        <v>346</v>
      </c>
      <c r="D44" s="47" t="s">
        <v>347</v>
      </c>
      <c r="E44" s="47" t="s">
        <v>348</v>
      </c>
      <c r="F44" s="47" t="s">
        <v>173</v>
      </c>
      <c r="G44" s="47" t="s">
        <v>185</v>
      </c>
      <c r="H44" s="47" t="str">
        <f>=IFERROR(VLOOKUP(A44,'ETPT Format DDG'!A:J,10,FALSE),"")</f>
        <v>0</v>
      </c>
      <c r="I44" s="47" t="str">
        <f>='ETPT Format DDG'!M44</f>
        <v/>
      </c>
      <c r="J44" s="47" t="str">
        <f>='ETPT Format DDG'!D44</f>
        <v/>
      </c>
      <c r="K44" s="47" t="s">
        <v>157</v>
      </c>
      <c r="L44" s="47" t="s">
        <v>163</v>
      </c>
      <c r="M44" s="47"/>
      <c r="N44" s="47">
        <v>1</v>
      </c>
      <c r="O44" s="47">
        <v>1</v>
      </c>
      <c r="P44" s="47">
        <v>0</v>
      </c>
      <c r="Q44" s="47">
        <v>0</v>
      </c>
      <c r="R44" s="47">
        <v>0</v>
      </c>
      <c r="S44" s="47">
        <v>0</v>
      </c>
      <c r="T44" s="47">
        <v>0</v>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0.425</v>
      </c>
      <c r="BP44" s="47">
        <v>0</v>
      </c>
      <c r="BQ44" s="47">
        <v>0</v>
      </c>
      <c r="BR44" s="47">
        <v>0</v>
      </c>
      <c r="BS44" s="47">
        <v>0</v>
      </c>
      <c r="BT44" s="47">
        <v>0</v>
      </c>
      <c r="BU44" s="47">
        <v>0</v>
      </c>
      <c r="BV44" s="47">
        <v>0</v>
      </c>
      <c r="BW44" s="47">
        <v>0</v>
      </c>
      <c r="BX44" s="47">
        <v>0</v>
      </c>
      <c r="BY44" s="47">
        <v>0</v>
      </c>
      <c r="BZ44" s="47">
        <v>0</v>
      </c>
      <c r="CA44" s="47">
        <v>0</v>
      </c>
      <c r="CB44" s="47">
        <v>0</v>
      </c>
      <c r="CC44" s="47">
        <v>0</v>
      </c>
      <c r="CD44" s="47">
        <v>0</v>
      </c>
      <c r="CE44" s="47">
        <v>0</v>
      </c>
      <c r="CF44" s="47">
        <v>0.525</v>
      </c>
      <c r="CG44" s="47">
        <v>0</v>
      </c>
      <c r="CH44" s="47">
        <v>0</v>
      </c>
      <c r="CI44" s="47">
        <v>0</v>
      </c>
      <c r="CJ44" s="47">
        <v>0</v>
      </c>
      <c r="CK44" s="47">
        <v>0</v>
      </c>
      <c r="CL44" s="47">
        <v>0</v>
      </c>
      <c r="CM44" s="47">
        <v>0</v>
      </c>
      <c r="CN44" s="47">
        <v>0</v>
      </c>
      <c r="CO44" s="47">
        <v>0</v>
      </c>
      <c r="CP44" s="47">
        <v>0</v>
      </c>
      <c r="CQ44" s="47">
        <v>0</v>
      </c>
      <c r="CR44" s="47">
        <v>0</v>
      </c>
      <c r="CS44" s="47">
        <v>0</v>
      </c>
      <c r="CT44" s="47">
        <v>0.05</v>
      </c>
      <c r="CU44" s="47">
        <v>0</v>
      </c>
      <c r="CV44" s="47">
        <v>0</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row>
    <row r="45" spans="1:126" x14ac:dyDescent="0.25">
      <c r="A45" s="47" t="s">
        <v>349</v>
      </c>
      <c r="B45" s="47" t="s">
        <v>153</v>
      </c>
      <c r="C45" s="47" t="s">
        <v>350</v>
      </c>
      <c r="D45" s="47" t="s">
        <v>351</v>
      </c>
      <c r="E45" s="47" t="s">
        <v>352</v>
      </c>
      <c r="F45" s="47" t="s">
        <v>173</v>
      </c>
      <c r="G45" s="47" t="s">
        <v>301</v>
      </c>
      <c r="H45" s="47" t="str">
        <f>=IFERROR(VLOOKUP(A45,'ETPT Format DDG'!A:J,10,FALSE),"")</f>
        <v>0</v>
      </c>
      <c r="I45" s="47" t="str">
        <f>='ETPT Format DDG'!M45</f>
        <v/>
      </c>
      <c r="J45" s="47" t="str">
        <f>='ETPT Format DDG'!D45</f>
        <v/>
      </c>
      <c r="K45" s="47" t="s">
        <v>157</v>
      </c>
      <c r="L45" s="47" t="s">
        <v>163</v>
      </c>
      <c r="M45" s="47"/>
      <c r="N45" s="47">
        <v>1</v>
      </c>
      <c r="O45" s="47">
        <v>1</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0.885</v>
      </c>
      <c r="BM45" s="47">
        <v>0</v>
      </c>
      <c r="BN45" s="47">
        <v>0</v>
      </c>
      <c r="BO45" s="47">
        <v>0.045</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0.07</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row>
    <row r="46" spans="1:126" x14ac:dyDescent="0.25">
      <c r="A46" s="47" t="s">
        <v>353</v>
      </c>
      <c r="B46" s="47" t="s">
        <v>153</v>
      </c>
      <c r="C46" s="47" t="s">
        <v>354</v>
      </c>
      <c r="D46" s="47" t="s">
        <v>355</v>
      </c>
      <c r="E46" s="47" t="s">
        <v>356</v>
      </c>
      <c r="F46" s="47" t="s">
        <v>173</v>
      </c>
      <c r="G46" s="47" t="s">
        <v>180</v>
      </c>
      <c r="H46" s="47" t="str">
        <f>=IFERROR(VLOOKUP(A46,'ETPT Format DDG'!A:J,10,FALSE),"")</f>
        <v>0</v>
      </c>
      <c r="I46" s="47" t="str">
        <f>='ETPT Format DDG'!M46</f>
        <v/>
      </c>
      <c r="J46" s="47" t="str">
        <f>='ETPT Format DDG'!D46</f>
        <v/>
      </c>
      <c r="K46" s="47" t="s">
        <v>157</v>
      </c>
      <c r="L46" s="47" t="s">
        <v>163</v>
      </c>
      <c r="M46" s="47"/>
      <c r="N46" s="47">
        <v>1</v>
      </c>
      <c r="O46" s="47">
        <v>1</v>
      </c>
      <c r="P46" s="47">
        <v>0.81</v>
      </c>
      <c r="Q46" s="47">
        <v>0</v>
      </c>
      <c r="R46" s="47">
        <v>0</v>
      </c>
      <c r="S46" s="47">
        <v>0</v>
      </c>
      <c r="T46" s="47">
        <v>0</v>
      </c>
      <c r="U46" s="47">
        <v>0</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0.05</v>
      </c>
      <c r="BI46" s="47">
        <v>0</v>
      </c>
      <c r="BJ46" s="47">
        <v>0</v>
      </c>
      <c r="BK46" s="47">
        <v>0</v>
      </c>
      <c r="BL46" s="47">
        <v>0</v>
      </c>
      <c r="BM46" s="47">
        <v>0</v>
      </c>
      <c r="BN46" s="47">
        <v>0</v>
      </c>
      <c r="BO46" s="47">
        <v>0.08</v>
      </c>
      <c r="BP46" s="47">
        <v>0</v>
      </c>
      <c r="BQ46" s="47">
        <v>0</v>
      </c>
      <c r="BR46" s="47">
        <v>0</v>
      </c>
      <c r="BS46" s="47">
        <v>0</v>
      </c>
      <c r="BT46" s="47">
        <v>0</v>
      </c>
      <c r="BU46" s="47">
        <v>0</v>
      </c>
      <c r="BV46" s="47">
        <v>0</v>
      </c>
      <c r="BW46" s="47">
        <v>0</v>
      </c>
      <c r="BX46" s="47">
        <v>0</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0.01</v>
      </c>
      <c r="CR46" s="47">
        <v>0</v>
      </c>
      <c r="CS46" s="47">
        <v>0</v>
      </c>
      <c r="CT46" s="47">
        <v>0.05</v>
      </c>
      <c r="CU46" s="47">
        <v>0</v>
      </c>
      <c r="CV46" s="47">
        <v>0</v>
      </c>
      <c r="CW46" s="47">
        <v>0</v>
      </c>
      <c r="CX46" s="47">
        <v>0</v>
      </c>
      <c r="CY46" s="47">
        <v>0</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row>
    <row r="47" spans="1:126" x14ac:dyDescent="0.25">
      <c r="A47" s="47" t="s">
        <v>357</v>
      </c>
      <c r="B47" s="47" t="s">
        <v>153</v>
      </c>
      <c r="C47" s="47" t="s">
        <v>358</v>
      </c>
      <c r="D47" s="47" t="s">
        <v>359</v>
      </c>
      <c r="E47" s="47" t="s">
        <v>360</v>
      </c>
      <c r="F47" s="47" t="s">
        <v>173</v>
      </c>
      <c r="G47" s="47" t="s">
        <v>268</v>
      </c>
      <c r="H47" s="47" t="str">
        <f>=IFERROR(VLOOKUP(A47,'ETPT Format DDG'!A:J,10,FALSE),"")</f>
        <v>0</v>
      </c>
      <c r="I47" s="47" t="str">
        <f>='ETPT Format DDG'!M47</f>
        <v/>
      </c>
      <c r="J47" s="47" t="str">
        <f>='ETPT Format DDG'!D47</f>
        <v/>
      </c>
      <c r="K47" s="47" t="s">
        <v>157</v>
      </c>
      <c r="L47" s="47" t="s">
        <v>163</v>
      </c>
      <c r="M47" s="47"/>
      <c r="N47" s="47">
        <v>1</v>
      </c>
      <c r="O47" s="47">
        <v>0.75</v>
      </c>
      <c r="P47" s="47">
        <v>0</v>
      </c>
      <c r="Q47" s="47">
        <v>0</v>
      </c>
      <c r="R47" s="47">
        <v>0</v>
      </c>
      <c r="S47" s="47">
        <v>0</v>
      </c>
      <c r="T47" s="47">
        <v>0</v>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0.42</v>
      </c>
      <c r="BP47" s="47">
        <v>0</v>
      </c>
      <c r="BQ47" s="47">
        <v>0</v>
      </c>
      <c r="BR47" s="47">
        <v>0</v>
      </c>
      <c r="BS47" s="47">
        <v>0</v>
      </c>
      <c r="BT47" s="47">
        <v>0</v>
      </c>
      <c r="BU47" s="47">
        <v>0</v>
      </c>
      <c r="BV47" s="47">
        <v>0</v>
      </c>
      <c r="BW47" s="47">
        <v>0</v>
      </c>
      <c r="BX47" s="47">
        <v>0</v>
      </c>
      <c r="BY47" s="47">
        <v>0</v>
      </c>
      <c r="BZ47" s="47">
        <v>0</v>
      </c>
      <c r="CA47" s="47">
        <v>0</v>
      </c>
      <c r="CB47" s="47">
        <v>0</v>
      </c>
      <c r="CC47" s="47">
        <v>0</v>
      </c>
      <c r="CD47" s="47">
        <v>0</v>
      </c>
      <c r="CE47" s="47">
        <v>0</v>
      </c>
      <c r="CF47" s="47">
        <v>0.28</v>
      </c>
      <c r="CG47" s="47">
        <v>0</v>
      </c>
      <c r="CH47" s="47">
        <v>0</v>
      </c>
      <c r="CI47" s="47">
        <v>0</v>
      </c>
      <c r="CJ47" s="47">
        <v>0</v>
      </c>
      <c r="CK47" s="47">
        <v>0</v>
      </c>
      <c r="CL47" s="47">
        <v>0</v>
      </c>
      <c r="CM47" s="47">
        <v>0</v>
      </c>
      <c r="CN47" s="47">
        <v>0</v>
      </c>
      <c r="CO47" s="47">
        <v>0</v>
      </c>
      <c r="CP47" s="47">
        <v>0</v>
      </c>
      <c r="CQ47" s="47">
        <v>0</v>
      </c>
      <c r="CR47" s="47">
        <v>0</v>
      </c>
      <c r="CS47" s="47">
        <v>0</v>
      </c>
      <c r="CT47" s="47">
        <v>0.05</v>
      </c>
      <c r="CU47" s="47">
        <v>0</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row>
    <row r="48" spans="1:126" x14ac:dyDescent="0.25">
      <c r="A48" s="47" t="s">
        <v>361</v>
      </c>
      <c r="B48" s="47" t="s">
        <v>153</v>
      </c>
      <c r="C48" s="47" t="s">
        <v>362</v>
      </c>
      <c r="D48" s="47" t="s">
        <v>363</v>
      </c>
      <c r="E48" s="47" t="s">
        <v>364</v>
      </c>
      <c r="F48" s="47" t="s">
        <v>173</v>
      </c>
      <c r="G48" s="47" t="s">
        <v>365</v>
      </c>
      <c r="H48" s="47" t="str">
        <f>=IFERROR(VLOOKUP(A48,'ETPT Format DDG'!A:J,10,FALSE),"")</f>
        <v>0</v>
      </c>
      <c r="I48" s="47" t="str">
        <f>='ETPT Format DDG'!M48</f>
        <v/>
      </c>
      <c r="J48" s="47" t="str">
        <f>='ETPT Format DDG'!D48</f>
        <v/>
      </c>
      <c r="K48" s="47" t="s">
        <v>157</v>
      </c>
      <c r="L48" s="47" t="s">
        <v>163</v>
      </c>
      <c r="M48" s="47"/>
      <c r="N48" s="47">
        <v>1</v>
      </c>
      <c r="O48" s="47">
        <v>1</v>
      </c>
      <c r="P48" s="47">
        <v>0</v>
      </c>
      <c r="Q48" s="47">
        <v>0</v>
      </c>
      <c r="R48" s="47">
        <v>0</v>
      </c>
      <c r="S48" s="47">
        <v>0</v>
      </c>
      <c r="T48" s="47">
        <v>0</v>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0.105</v>
      </c>
      <c r="BP48" s="47">
        <v>0</v>
      </c>
      <c r="BQ48" s="47">
        <v>0</v>
      </c>
      <c r="BR48" s="47">
        <v>0</v>
      </c>
      <c r="BS48" s="47">
        <v>0</v>
      </c>
      <c r="BT48" s="47">
        <v>0</v>
      </c>
      <c r="BU48" s="47">
        <v>0</v>
      </c>
      <c r="BV48" s="47">
        <v>0</v>
      </c>
      <c r="BW48" s="47">
        <v>0</v>
      </c>
      <c r="BX48" s="47">
        <v>0</v>
      </c>
      <c r="BY48" s="47">
        <v>0</v>
      </c>
      <c r="BZ48" s="47">
        <v>0</v>
      </c>
      <c r="CA48" s="47">
        <v>0</v>
      </c>
      <c r="CB48" s="47">
        <v>0</v>
      </c>
      <c r="CC48" s="47">
        <v>0</v>
      </c>
      <c r="CD48" s="47">
        <v>0</v>
      </c>
      <c r="CE48" s="47">
        <v>0</v>
      </c>
      <c r="CF48" s="47">
        <v>0.521</v>
      </c>
      <c r="CG48" s="47">
        <v>0</v>
      </c>
      <c r="CH48" s="47">
        <v>0</v>
      </c>
      <c r="CI48" s="47">
        <v>0</v>
      </c>
      <c r="CJ48" s="47">
        <v>0</v>
      </c>
      <c r="CK48" s="47">
        <v>0</v>
      </c>
      <c r="CL48" s="47">
        <v>0</v>
      </c>
      <c r="CM48" s="47">
        <v>0</v>
      </c>
      <c r="CN48" s="47">
        <v>0</v>
      </c>
      <c r="CO48" s="47">
        <v>0</v>
      </c>
      <c r="CP48" s="47">
        <v>0</v>
      </c>
      <c r="CQ48" s="47">
        <v>0</v>
      </c>
      <c r="CR48" s="47">
        <v>0</v>
      </c>
      <c r="CS48" s="47">
        <v>0</v>
      </c>
      <c r="CT48" s="47">
        <v>0.374</v>
      </c>
      <c r="CU48" s="47">
        <v>0</v>
      </c>
      <c r="CV48" s="47">
        <v>0</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row>
    <row r="49" spans="1:126" x14ac:dyDescent="0.25">
      <c r="A49" s="47" t="s">
        <v>366</v>
      </c>
      <c r="B49" s="47" t="s">
        <v>153</v>
      </c>
      <c r="C49" s="47" t="s">
        <v>367</v>
      </c>
      <c r="D49" s="47" t="s">
        <v>368</v>
      </c>
      <c r="E49" s="47" t="s">
        <v>369</v>
      </c>
      <c r="F49" s="47" t="s">
        <v>173</v>
      </c>
      <c r="G49" s="47" t="s">
        <v>180</v>
      </c>
      <c r="H49" s="47" t="str">
        <f>=IFERROR(VLOOKUP(A49,'ETPT Format DDG'!A:J,10,FALSE),"")</f>
        <v>0</v>
      </c>
      <c r="I49" s="47" t="str">
        <f>='ETPT Format DDG'!M49</f>
        <v/>
      </c>
      <c r="J49" s="47" t="str">
        <f>='ETPT Format DDG'!D49</f>
        <v/>
      </c>
      <c r="K49" s="47" t="s">
        <v>157</v>
      </c>
      <c r="L49" s="47" t="s">
        <v>163</v>
      </c>
      <c r="M49" s="47"/>
      <c r="N49" s="47">
        <v>0.83</v>
      </c>
      <c r="O49" s="47">
        <v>0.83</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0.5985</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0.005</v>
      </c>
      <c r="BI49" s="47">
        <v>0</v>
      </c>
      <c r="BJ49" s="47">
        <v>0</v>
      </c>
      <c r="BK49" s="47">
        <v>0</v>
      </c>
      <c r="BL49" s="47">
        <v>0</v>
      </c>
      <c r="BM49" s="47">
        <v>0</v>
      </c>
      <c r="BN49" s="47">
        <v>0</v>
      </c>
      <c r="BO49" s="47">
        <v>0.177</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v>
      </c>
      <c r="CL49" s="47">
        <v>0</v>
      </c>
      <c r="CM49" s="47">
        <v>0</v>
      </c>
      <c r="CN49" s="47">
        <v>0</v>
      </c>
      <c r="CO49" s="47">
        <v>0</v>
      </c>
      <c r="CP49" s="47">
        <v>0</v>
      </c>
      <c r="CQ49" s="47">
        <v>0.008</v>
      </c>
      <c r="CR49" s="47">
        <v>0</v>
      </c>
      <c r="CS49" s="47">
        <v>0</v>
      </c>
      <c r="CT49" s="47">
        <v>0.0415</v>
      </c>
      <c r="CU49" s="47">
        <v>0</v>
      </c>
      <c r="CV49" s="47">
        <v>0</v>
      </c>
      <c r="CW49" s="47">
        <v>0</v>
      </c>
      <c r="CX49" s="47">
        <v>0</v>
      </c>
      <c r="CY49" s="47">
        <v>0</v>
      </c>
      <c r="CZ49" s="47">
        <v>0</v>
      </c>
      <c r="DA49" s="47">
        <v>0</v>
      </c>
      <c r="DB49" s="47">
        <v>0</v>
      </c>
      <c r="DC49" s="47">
        <v>0</v>
      </c>
      <c r="DD49" s="47">
        <v>0</v>
      </c>
      <c r="DE49" s="47">
        <v>0</v>
      </c>
      <c r="DF49" s="47">
        <v>0.17</v>
      </c>
      <c r="DG49" s="47">
        <v>0</v>
      </c>
      <c r="DH49" s="47">
        <v>0</v>
      </c>
      <c r="DI49" s="47">
        <v>0</v>
      </c>
      <c r="DJ49" s="47">
        <v>0</v>
      </c>
      <c r="DK49" s="47">
        <v>0</v>
      </c>
      <c r="DL49" s="47">
        <v>0</v>
      </c>
      <c r="DM49" s="47">
        <v>0</v>
      </c>
      <c r="DN49" s="47">
        <v>0</v>
      </c>
      <c r="DO49" s="47">
        <v>0</v>
      </c>
      <c r="DP49" s="47">
        <v>0</v>
      </c>
      <c r="DQ49" s="47">
        <v>0</v>
      </c>
      <c r="DR49" s="47">
        <v>0</v>
      </c>
      <c r="DS49" s="47">
        <v>0</v>
      </c>
      <c r="DT49" s="47">
        <v>0</v>
      </c>
    </row>
    <row r="50" spans="1:126" x14ac:dyDescent="0.25">
      <c r="A50" s="47" t="s">
        <v>370</v>
      </c>
      <c r="B50" s="47" t="s">
        <v>153</v>
      </c>
      <c r="C50" s="47" t="s">
        <v>371</v>
      </c>
      <c r="D50" s="47" t="s">
        <v>372</v>
      </c>
      <c r="E50" s="47" t="s">
        <v>373</v>
      </c>
      <c r="F50" s="47" t="s">
        <v>173</v>
      </c>
      <c r="G50" s="47" t="s">
        <v>180</v>
      </c>
      <c r="H50" s="47" t="str">
        <f>=IFERROR(VLOOKUP(A50,'ETPT Format DDG'!A:J,10,FALSE),"")</f>
        <v>0</v>
      </c>
      <c r="I50" s="47" t="str">
        <f>='ETPT Format DDG'!M50</f>
        <v/>
      </c>
      <c r="J50" s="47" t="str">
        <f>='ETPT Format DDG'!D50</f>
        <v/>
      </c>
      <c r="K50" s="47" t="s">
        <v>157</v>
      </c>
      <c r="L50" s="47" t="s">
        <v>163</v>
      </c>
      <c r="M50" s="47"/>
      <c r="N50" s="47">
        <v>0.5</v>
      </c>
      <c r="O50" s="47">
        <v>0.5</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0.475</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0.025</v>
      </c>
      <c r="CU50" s="47">
        <v>0</v>
      </c>
      <c r="CV50" s="47">
        <v>0</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row>
    <row r="51" spans="1:126" x14ac:dyDescent="0.25">
      <c r="A51" s="47" t="s">
        <v>374</v>
      </c>
      <c r="B51" s="47" t="s">
        <v>153</v>
      </c>
      <c r="C51" s="47" t="s">
        <v>375</v>
      </c>
      <c r="D51" s="47" t="s">
        <v>376</v>
      </c>
      <c r="E51" s="47" t="s">
        <v>377</v>
      </c>
      <c r="F51" s="47" t="s">
        <v>173</v>
      </c>
      <c r="G51" s="47" t="s">
        <v>190</v>
      </c>
      <c r="H51" s="47" t="str">
        <f>=IFERROR(VLOOKUP(A51,'ETPT Format DDG'!A:J,10,FALSE),"")</f>
        <v>0</v>
      </c>
      <c r="I51" s="47" t="str">
        <f>='ETPT Format DDG'!M51</f>
        <v/>
      </c>
      <c r="J51" s="47" t="str">
        <f>='ETPT Format DDG'!D51</f>
        <v/>
      </c>
      <c r="K51" s="47" t="s">
        <v>157</v>
      </c>
      <c r="L51" s="47" t="s">
        <v>163</v>
      </c>
      <c r="M51" s="47"/>
      <c r="N51" s="47">
        <v>1</v>
      </c>
      <c r="O51" s="47">
        <v>1</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0.01</v>
      </c>
      <c r="BI51" s="47">
        <v>0</v>
      </c>
      <c r="BJ51" s="47">
        <v>0</v>
      </c>
      <c r="BK51" s="47">
        <v>0</v>
      </c>
      <c r="BL51" s="47">
        <v>0</v>
      </c>
      <c r="BM51" s="47">
        <v>0</v>
      </c>
      <c r="BN51" s="47">
        <v>0</v>
      </c>
      <c r="BO51" s="47">
        <v>0.065</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0.865</v>
      </c>
      <c r="CM51" s="47">
        <v>0</v>
      </c>
      <c r="CN51" s="47">
        <v>0</v>
      </c>
      <c r="CO51" s="47">
        <v>0</v>
      </c>
      <c r="CP51" s="47">
        <v>0</v>
      </c>
      <c r="CQ51" s="47">
        <v>0.01</v>
      </c>
      <c r="CR51" s="47">
        <v>0</v>
      </c>
      <c r="CS51" s="47">
        <v>0</v>
      </c>
      <c r="CT51" s="47">
        <v>0.05</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row>
    <row r="52" spans="1:126" x14ac:dyDescent="0.25">
      <c r="A52" s="47" t="s">
        <v>378</v>
      </c>
      <c r="B52" s="47" t="s">
        <v>153</v>
      </c>
      <c r="C52" s="47" t="s">
        <v>379</v>
      </c>
      <c r="D52" s="47" t="s">
        <v>380</v>
      </c>
      <c r="E52" s="47" t="s">
        <v>381</v>
      </c>
      <c r="F52" s="47" t="s">
        <v>173</v>
      </c>
      <c r="G52" s="47" t="s">
        <v>201</v>
      </c>
      <c r="H52" s="47" t="str">
        <f>=IFERROR(VLOOKUP(A52,'ETPT Format DDG'!A:J,10,FALSE),"")</f>
        <v>0</v>
      </c>
      <c r="I52" s="47" t="str">
        <f>='ETPT Format DDG'!M52</f>
        <v/>
      </c>
      <c r="J52" s="47" t="str">
        <f>='ETPT Format DDG'!D52</f>
        <v/>
      </c>
      <c r="K52" s="47" t="s">
        <v>157</v>
      </c>
      <c r="L52" s="47" t="s">
        <v>163</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0.94</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0.06</v>
      </c>
      <c r="CU52" s="47">
        <v>0</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row>
    <row r="53" spans="1:126" x14ac:dyDescent="0.25">
      <c r="A53" s="47" t="s">
        <v>382</v>
      </c>
      <c r="B53" s="47" t="s">
        <v>153</v>
      </c>
      <c r="C53" s="47" t="s">
        <v>383</v>
      </c>
      <c r="D53" s="47" t="s">
        <v>384</v>
      </c>
      <c r="E53" s="47" t="s">
        <v>385</v>
      </c>
      <c r="F53" s="47" t="s">
        <v>173</v>
      </c>
      <c r="G53" s="47" t="s">
        <v>180</v>
      </c>
      <c r="H53" s="47" t="str">
        <f>=IFERROR(VLOOKUP(A53,'ETPT Format DDG'!A:J,10,FALSE),"")</f>
        <v>0</v>
      </c>
      <c r="I53" s="47" t="str">
        <f>='ETPT Format DDG'!M53</f>
        <v/>
      </c>
      <c r="J53" s="47" t="str">
        <f>='ETPT Format DDG'!D53</f>
        <v/>
      </c>
      <c r="K53" s="47" t="s">
        <v>157</v>
      </c>
      <c r="L53" s="47" t="s">
        <v>163</v>
      </c>
      <c r="M53" s="47"/>
      <c r="N53" s="47">
        <v>0.8</v>
      </c>
      <c r="O53" s="47">
        <v>0.8</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0.716</v>
      </c>
      <c r="AO53" s="47">
        <v>0</v>
      </c>
      <c r="AP53" s="47">
        <v>0</v>
      </c>
      <c r="AQ53" s="47">
        <v>0</v>
      </c>
      <c r="AR53" s="47">
        <v>0</v>
      </c>
      <c r="AS53" s="47">
        <v>0</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0.036</v>
      </c>
      <c r="BP53" s="47">
        <v>0</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0.008</v>
      </c>
      <c r="CR53" s="47">
        <v>0</v>
      </c>
      <c r="CS53" s="47">
        <v>0</v>
      </c>
      <c r="CT53" s="47">
        <v>0.04</v>
      </c>
      <c r="CU53" s="47">
        <v>0</v>
      </c>
      <c r="CV53" s="47">
        <v>0</v>
      </c>
      <c r="CW53" s="47">
        <v>0</v>
      </c>
      <c r="CX53" s="47">
        <v>0</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row>
    <row r="54" spans="1:126" x14ac:dyDescent="0.25">
      <c r="A54" s="47" t="s">
        <v>386</v>
      </c>
      <c r="B54" s="47" t="s">
        <v>153</v>
      </c>
      <c r="C54" s="47" t="s">
        <v>387</v>
      </c>
      <c r="D54" s="47" t="s">
        <v>388</v>
      </c>
      <c r="E54" s="47" t="s">
        <v>389</v>
      </c>
      <c r="F54" s="47" t="s">
        <v>173</v>
      </c>
      <c r="G54" s="47" t="s">
        <v>268</v>
      </c>
      <c r="H54" s="47" t="str">
        <f>=IFERROR(VLOOKUP(A54,'ETPT Format DDG'!A:J,10,FALSE),"")</f>
        <v>0</v>
      </c>
      <c r="I54" s="47" t="str">
        <f>='ETPT Format DDG'!M54</f>
        <v/>
      </c>
      <c r="J54" s="47" t="str">
        <f>='ETPT Format DDG'!D54</f>
        <v/>
      </c>
      <c r="K54" s="47" t="s">
        <v>157</v>
      </c>
      <c r="L54" s="47" t="s">
        <v>163</v>
      </c>
      <c r="M54" s="47"/>
      <c r="N54" s="47">
        <v>1</v>
      </c>
      <c r="O54" s="47">
        <v>1</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0.33</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0.62</v>
      </c>
      <c r="CR54" s="47">
        <v>0</v>
      </c>
      <c r="CS54" s="47">
        <v>0</v>
      </c>
      <c r="CT54" s="47">
        <v>0.05</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row>
    <row r="55" spans="1:126" x14ac:dyDescent="0.25">
      <c r="A55" s="47" t="s">
        <v>390</v>
      </c>
      <c r="B55" s="47" t="s">
        <v>153</v>
      </c>
      <c r="C55" s="47" t="s">
        <v>391</v>
      </c>
      <c r="D55" s="47" t="s">
        <v>392</v>
      </c>
      <c r="E55" s="47" t="s">
        <v>393</v>
      </c>
      <c r="F55" s="47" t="s">
        <v>173</v>
      </c>
      <c r="G55" s="47" t="s">
        <v>301</v>
      </c>
      <c r="H55" s="47" t="str">
        <f>=IFERROR(VLOOKUP(A55,'ETPT Format DDG'!A:J,10,FALSE),"")</f>
        <v>0</v>
      </c>
      <c r="I55" s="47" t="str">
        <f>='ETPT Format DDG'!M55</f>
        <v/>
      </c>
      <c r="J55" s="47" t="str">
        <f>='ETPT Format DDG'!D55</f>
        <v/>
      </c>
      <c r="K55" s="47" t="s">
        <v>157</v>
      </c>
      <c r="L55" s="47" t="s">
        <v>163</v>
      </c>
      <c r="M55" s="47"/>
      <c r="N55" s="47">
        <v>1</v>
      </c>
      <c r="O55" s="47">
        <v>1</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0.88</v>
      </c>
      <c r="BM55" s="47">
        <v>0</v>
      </c>
      <c r="BN55" s="47">
        <v>0</v>
      </c>
      <c r="BO55" s="47">
        <v>0.07</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0.05</v>
      </c>
      <c r="CU55" s="47">
        <v>0</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row>
    <row r="56" spans="1:126" x14ac:dyDescent="0.25">
      <c r="A56" s="47" t="s">
        <v>394</v>
      </c>
      <c r="B56" s="47" t="s">
        <v>153</v>
      </c>
      <c r="C56" s="47" t="s">
        <v>395</v>
      </c>
      <c r="D56" s="47" t="s">
        <v>396</v>
      </c>
      <c r="E56" s="47" t="s">
        <v>397</v>
      </c>
      <c r="F56" s="47" t="s">
        <v>173</v>
      </c>
      <c r="G56" s="47" t="s">
        <v>180</v>
      </c>
      <c r="H56" s="47" t="str">
        <f>=IFERROR(VLOOKUP(A56,'ETPT Format DDG'!A:J,10,FALSE),"")</f>
        <v>0</v>
      </c>
      <c r="I56" s="47" t="str">
        <f>='ETPT Format DDG'!M56</f>
        <v/>
      </c>
      <c r="J56" s="47" t="str">
        <f>='ETPT Format DDG'!D56</f>
        <v/>
      </c>
      <c r="K56" s="47" t="s">
        <v>157</v>
      </c>
      <c r="L56" s="47" t="s">
        <v>163</v>
      </c>
      <c r="M56" s="47"/>
      <c r="N56" s="47">
        <v>1</v>
      </c>
      <c r="O56" s="47">
        <v>1</v>
      </c>
      <c r="P56" s="47">
        <v>0</v>
      </c>
      <c r="Q56" s="47">
        <v>0</v>
      </c>
      <c r="R56" s="47">
        <v>0</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0.6532</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0.0768</v>
      </c>
      <c r="BP56" s="47">
        <v>0</v>
      </c>
      <c r="BQ56" s="47">
        <v>0</v>
      </c>
      <c r="BR56" s="47">
        <v>0</v>
      </c>
      <c r="BS56" s="47">
        <v>0</v>
      </c>
      <c r="BT56" s="47">
        <v>0</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0.27</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row>
    <row r="57" spans="1:126" x14ac:dyDescent="0.25">
      <c r="A57" s="47" t="s">
        <v>398</v>
      </c>
      <c r="B57" s="47" t="s">
        <v>153</v>
      </c>
      <c r="C57" s="47" t="s">
        <v>399</v>
      </c>
      <c r="D57" s="47" t="s">
        <v>400</v>
      </c>
      <c r="E57" s="47" t="s">
        <v>401</v>
      </c>
      <c r="F57" s="47" t="s">
        <v>173</v>
      </c>
      <c r="G57" s="47" t="s">
        <v>180</v>
      </c>
      <c r="H57" s="47" t="str">
        <f>=IFERROR(VLOOKUP(A57,'ETPT Format DDG'!A:J,10,FALSE),"")</f>
        <v>0</v>
      </c>
      <c r="I57" s="47" t="str">
        <f>='ETPT Format DDG'!M57</f>
        <v/>
      </c>
      <c r="J57" s="47" t="str">
        <f>='ETPT Format DDG'!D57</f>
        <v/>
      </c>
      <c r="K57" s="47" t="s">
        <v>157</v>
      </c>
      <c r="L57" s="47" t="s">
        <v>163</v>
      </c>
      <c r="M57" s="47"/>
      <c r="N57" s="47">
        <v>0.8</v>
      </c>
      <c r="O57" s="47">
        <v>0.672</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0.324</v>
      </c>
      <c r="BI57" s="47">
        <v>0</v>
      </c>
      <c r="BJ57" s="47">
        <v>0</v>
      </c>
      <c r="BK57" s="47">
        <v>0</v>
      </c>
      <c r="BL57" s="47">
        <v>0</v>
      </c>
      <c r="BM57" s="47">
        <v>0</v>
      </c>
      <c r="BN57" s="47">
        <v>0</v>
      </c>
      <c r="BO57" s="47">
        <v>0.3</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0.008</v>
      </c>
      <c r="CR57" s="47">
        <v>0</v>
      </c>
      <c r="CS57" s="47">
        <v>0</v>
      </c>
      <c r="CT57" s="47">
        <v>0.04</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row>
    <row r="58" spans="1:126" x14ac:dyDescent="0.25">
      <c r="A58" s="47" t="s">
        <v>402</v>
      </c>
      <c r="B58" s="47" t="s">
        <v>153</v>
      </c>
      <c r="C58" s="47" t="s">
        <v>403</v>
      </c>
      <c r="D58" s="47" t="s">
        <v>404</v>
      </c>
      <c r="E58" s="47" t="s">
        <v>405</v>
      </c>
      <c r="F58" s="47" t="s">
        <v>173</v>
      </c>
      <c r="G58" s="47" t="s">
        <v>220</v>
      </c>
      <c r="H58" s="47" t="str">
        <f>=IFERROR(VLOOKUP(A58,'ETPT Format DDG'!A:J,10,FALSE),"")</f>
        <v>0</v>
      </c>
      <c r="I58" s="47" t="str">
        <f>='ETPT Format DDG'!M58</f>
        <v/>
      </c>
      <c r="J58" s="47" t="str">
        <f>='ETPT Format DDG'!D58</f>
        <v/>
      </c>
      <c r="K58" s="47" t="s">
        <v>157</v>
      </c>
      <c r="L58" s="47" t="s">
        <v>163</v>
      </c>
      <c r="M58" s="47"/>
      <c r="N58" s="47">
        <v>1</v>
      </c>
      <c r="O58" s="47">
        <v>1</v>
      </c>
      <c r="P58" s="47">
        <v>0</v>
      </c>
      <c r="Q58" s="47">
        <v>0</v>
      </c>
      <c r="R58" s="47">
        <v>0</v>
      </c>
      <c r="S58" s="47">
        <v>0</v>
      </c>
      <c r="T58" s="47">
        <v>0</v>
      </c>
      <c r="U58" s="47">
        <v>0</v>
      </c>
      <c r="V58" s="47">
        <v>0</v>
      </c>
      <c r="W58" s="47">
        <v>0</v>
      </c>
      <c r="X58" s="47">
        <v>0</v>
      </c>
      <c r="Y58" s="47">
        <v>0</v>
      </c>
      <c r="Z58" s="47">
        <v>0</v>
      </c>
      <c r="AA58" s="47">
        <v>0</v>
      </c>
      <c r="AB58" s="47">
        <v>0</v>
      </c>
      <c r="AC58" s="47">
        <v>0</v>
      </c>
      <c r="AD58" s="47">
        <v>0</v>
      </c>
      <c r="AE58" s="47">
        <v>0.835</v>
      </c>
      <c r="AF58" s="47">
        <v>0</v>
      </c>
      <c r="AG58" s="47">
        <v>0</v>
      </c>
      <c r="AH58" s="47">
        <v>0</v>
      </c>
      <c r="AI58" s="47">
        <v>0</v>
      </c>
      <c r="AJ58" s="47">
        <v>0</v>
      </c>
      <c r="AK58" s="47">
        <v>0</v>
      </c>
      <c r="AL58" s="47">
        <v>0</v>
      </c>
      <c r="AM58" s="47">
        <v>0</v>
      </c>
      <c r="AN58" s="47">
        <v>0.06</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0.01</v>
      </c>
      <c r="BI58" s="47">
        <v>0</v>
      </c>
      <c r="BJ58" s="47">
        <v>0</v>
      </c>
      <c r="BK58" s="47">
        <v>0</v>
      </c>
      <c r="BL58" s="47">
        <v>0</v>
      </c>
      <c r="BM58" s="47">
        <v>0</v>
      </c>
      <c r="BN58" s="47">
        <v>0</v>
      </c>
      <c r="BO58" s="47">
        <v>0.03</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0.01</v>
      </c>
      <c r="CR58" s="47">
        <v>0</v>
      </c>
      <c r="CS58" s="47">
        <v>0</v>
      </c>
      <c r="CT58" s="47">
        <v>0.055</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row>
    <row r="59" spans="1:126" x14ac:dyDescent="0.25">
      <c r="A59" s="47" t="s">
        <v>406</v>
      </c>
      <c r="B59" s="47" t="s">
        <v>153</v>
      </c>
      <c r="C59" s="47" t="s">
        <v>407</v>
      </c>
      <c r="D59" s="47" t="s">
        <v>408</v>
      </c>
      <c r="E59" s="47" t="s">
        <v>409</v>
      </c>
      <c r="F59" s="47" t="s">
        <v>173</v>
      </c>
      <c r="G59" s="47" t="s">
        <v>410</v>
      </c>
      <c r="H59" s="47" t="str">
        <f>=IFERROR(VLOOKUP(A59,'ETPT Format DDG'!A:J,10,FALSE),"")</f>
        <v>0</v>
      </c>
      <c r="I59" s="47" t="str">
        <f>='ETPT Format DDG'!M59</f>
        <v/>
      </c>
      <c r="J59" s="47" t="str">
        <f>='ETPT Format DDG'!D59</f>
        <v/>
      </c>
      <c r="K59" s="47" t="s">
        <v>157</v>
      </c>
      <c r="L59" s="47" t="s">
        <v>163</v>
      </c>
      <c r="M59" s="47"/>
      <c r="N59" s="47">
        <v>1</v>
      </c>
      <c r="O59" s="47">
        <v>1</v>
      </c>
      <c r="P59" s="47">
        <v>0.6</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0.01</v>
      </c>
      <c r="BI59" s="47">
        <v>0</v>
      </c>
      <c r="BJ59" s="47">
        <v>0</v>
      </c>
      <c r="BK59" s="47">
        <v>0</v>
      </c>
      <c r="BL59" s="47">
        <v>0</v>
      </c>
      <c r="BM59" s="47">
        <v>0</v>
      </c>
      <c r="BN59" s="47">
        <v>0</v>
      </c>
      <c r="BO59" s="47">
        <v>0.07</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0.06</v>
      </c>
      <c r="CG59" s="47">
        <v>0</v>
      </c>
      <c r="CH59" s="47">
        <v>0</v>
      </c>
      <c r="CI59" s="47">
        <v>0</v>
      </c>
      <c r="CJ59" s="47">
        <v>0</v>
      </c>
      <c r="CK59" s="47">
        <v>0</v>
      </c>
      <c r="CL59" s="47">
        <v>0</v>
      </c>
      <c r="CM59" s="47">
        <v>0</v>
      </c>
      <c r="CN59" s="47">
        <v>0</v>
      </c>
      <c r="CO59" s="47">
        <v>0</v>
      </c>
      <c r="CP59" s="47">
        <v>0</v>
      </c>
      <c r="CQ59" s="47">
        <v>0.01</v>
      </c>
      <c r="CR59" s="47">
        <v>0</v>
      </c>
      <c r="CS59" s="47">
        <v>0</v>
      </c>
      <c r="CT59" s="47">
        <v>0.25</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row>
    <row r="60" spans="1:126" x14ac:dyDescent="0.25">
      <c r="A60" s="47" t="s">
        <v>411</v>
      </c>
      <c r="B60" s="47" t="s">
        <v>153</v>
      </c>
      <c r="C60" s="47" t="s">
        <v>412</v>
      </c>
      <c r="D60" s="47" t="s">
        <v>413</v>
      </c>
      <c r="E60" s="47" t="s">
        <v>414</v>
      </c>
      <c r="F60" s="47" t="s">
        <v>173</v>
      </c>
      <c r="G60" s="47" t="s">
        <v>190</v>
      </c>
      <c r="H60" s="47" t="str">
        <f>=IFERROR(VLOOKUP(A60,'ETPT Format DDG'!A:J,10,FALSE),"")</f>
        <v>0</v>
      </c>
      <c r="I60" s="47" t="str">
        <f>='ETPT Format DDG'!M60</f>
        <v/>
      </c>
      <c r="J60" s="47" t="str">
        <f>='ETPT Format DDG'!D60</f>
        <v/>
      </c>
      <c r="K60" s="47" t="s">
        <v>157</v>
      </c>
      <c r="L60" s="47" t="s">
        <v>163</v>
      </c>
      <c r="M60" s="47"/>
      <c r="N60" s="47">
        <v>1</v>
      </c>
      <c r="O60" s="47">
        <v>1</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0.06</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0.88</v>
      </c>
      <c r="CM60" s="47">
        <v>0</v>
      </c>
      <c r="CN60" s="47">
        <v>0</v>
      </c>
      <c r="CO60" s="47">
        <v>0</v>
      </c>
      <c r="CP60" s="47">
        <v>0</v>
      </c>
      <c r="CQ60" s="47">
        <v>0.01</v>
      </c>
      <c r="CR60" s="47">
        <v>0</v>
      </c>
      <c r="CS60" s="47">
        <v>0</v>
      </c>
      <c r="CT60" s="47">
        <v>0.05</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row>
    <row r="61" spans="1:126" x14ac:dyDescent="0.25">
      <c r="A61" s="47" t="s">
        <v>415</v>
      </c>
      <c r="B61" s="47" t="s">
        <v>153</v>
      </c>
      <c r="C61" s="47" t="s">
        <v>416</v>
      </c>
      <c r="D61" s="47" t="s">
        <v>417</v>
      </c>
      <c r="E61" s="47" t="s">
        <v>418</v>
      </c>
      <c r="F61" s="47" t="s">
        <v>173</v>
      </c>
      <c r="G61" s="47" t="s">
        <v>323</v>
      </c>
      <c r="H61" s="47" t="str">
        <f>=IFERROR(VLOOKUP(A61,'ETPT Format DDG'!A:J,10,FALSE),"")</f>
        <v>0</v>
      </c>
      <c r="I61" s="47" t="str">
        <f>='ETPT Format DDG'!M61</f>
        <v/>
      </c>
      <c r="J61" s="47" t="str">
        <f>='ETPT Format DDG'!D61</f>
        <v/>
      </c>
      <c r="K61" s="47" t="s">
        <v>157</v>
      </c>
      <c r="L61" s="47" t="s">
        <v>163</v>
      </c>
      <c r="M61" s="47"/>
      <c r="N61" s="47">
        <v>1</v>
      </c>
      <c r="O61" s="47">
        <v>1</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0.015</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0.87</v>
      </c>
      <c r="CM61" s="47">
        <v>0</v>
      </c>
      <c r="CN61" s="47">
        <v>0</v>
      </c>
      <c r="CO61" s="47">
        <v>0</v>
      </c>
      <c r="CP61" s="47">
        <v>0</v>
      </c>
      <c r="CQ61" s="47">
        <v>0</v>
      </c>
      <c r="CR61" s="47">
        <v>0</v>
      </c>
      <c r="CS61" s="47">
        <v>0</v>
      </c>
      <c r="CT61" s="47">
        <v>0.115</v>
      </c>
      <c r="CU61" s="47">
        <v>0</v>
      </c>
      <c r="CV61" s="47">
        <v>0</v>
      </c>
      <c r="CW61" s="47">
        <v>0</v>
      </c>
      <c r="CX61" s="47">
        <v>0</v>
      </c>
      <c r="CY61" s="47">
        <v>0</v>
      </c>
      <c r="CZ61" s="47">
        <v>0</v>
      </c>
      <c r="DA61" s="47">
        <v>0</v>
      </c>
      <c r="DB61" s="47">
        <v>0</v>
      </c>
      <c r="DC61" s="47">
        <v>0</v>
      </c>
      <c r="DD61" s="47">
        <v>0</v>
      </c>
      <c r="DE61" s="47">
        <v>0</v>
      </c>
      <c r="DF61" s="47">
        <v>0</v>
      </c>
      <c r="DG61" s="47">
        <v>0</v>
      </c>
      <c r="DH61" s="47">
        <v>0</v>
      </c>
      <c r="DI61" s="47">
        <v>0</v>
      </c>
      <c r="DJ61" s="47">
        <v>0</v>
      </c>
      <c r="DK61" s="47">
        <v>0</v>
      </c>
      <c r="DL61" s="47">
        <v>0</v>
      </c>
      <c r="DM61" s="47">
        <v>0</v>
      </c>
      <c r="DN61" s="47">
        <v>0</v>
      </c>
      <c r="DO61" s="47">
        <v>0</v>
      </c>
      <c r="DP61" s="47">
        <v>0</v>
      </c>
      <c r="DQ61" s="47">
        <v>0</v>
      </c>
      <c r="DR61" s="47">
        <v>0</v>
      </c>
      <c r="DS61" s="47">
        <v>0</v>
      </c>
      <c r="DT61" s="47">
        <v>0</v>
      </c>
    </row>
    <row r="62" spans="1:126" x14ac:dyDescent="0.25">
      <c r="A62" s="47" t="s">
        <v>419</v>
      </c>
      <c r="B62" s="47" t="s">
        <v>153</v>
      </c>
      <c r="C62" s="47" t="s">
        <v>420</v>
      </c>
      <c r="D62" s="47" t="s">
        <v>421</v>
      </c>
      <c r="E62" s="47" t="s">
        <v>422</v>
      </c>
      <c r="F62" s="47" t="s">
        <v>173</v>
      </c>
      <c r="G62" s="47" t="s">
        <v>301</v>
      </c>
      <c r="H62" s="47" t="str">
        <f>=IFERROR(VLOOKUP(A62,'ETPT Format DDG'!A:J,10,FALSE),"")</f>
        <v>0</v>
      </c>
      <c r="I62" s="47" t="str">
        <f>='ETPT Format DDG'!M62</f>
        <v/>
      </c>
      <c r="J62" s="47" t="str">
        <f>='ETPT Format DDG'!D62</f>
        <v/>
      </c>
      <c r="K62" s="47" t="s">
        <v>157</v>
      </c>
      <c r="L62" s="47" t="s">
        <v>163</v>
      </c>
      <c r="M62" s="47"/>
      <c r="N62" s="47">
        <v>1</v>
      </c>
      <c r="O62" s="47">
        <v>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0.61</v>
      </c>
      <c r="BM62" s="47">
        <v>0</v>
      </c>
      <c r="BN62" s="47">
        <v>0</v>
      </c>
      <c r="BO62" s="47">
        <v>0.34</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0.05</v>
      </c>
      <c r="CU62" s="47">
        <v>0</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row>
    <row r="63" spans="1:126" x14ac:dyDescent="0.25">
      <c r="A63" s="47" t="s">
        <v>423</v>
      </c>
      <c r="B63" s="47" t="s">
        <v>153</v>
      </c>
      <c r="C63" s="47" t="s">
        <v>424</v>
      </c>
      <c r="D63" s="47" t="s">
        <v>425</v>
      </c>
      <c r="E63" s="47" t="s">
        <v>426</v>
      </c>
      <c r="F63" s="47" t="s">
        <v>173</v>
      </c>
      <c r="G63" s="47" t="s">
        <v>201</v>
      </c>
      <c r="H63" s="47" t="str">
        <f>=IFERROR(VLOOKUP(A63,'ETPT Format DDG'!A:J,10,FALSE),"")</f>
        <v>0</v>
      </c>
      <c r="I63" s="47" t="str">
        <f>='ETPT Format DDG'!M63</f>
        <v/>
      </c>
      <c r="J63" s="47" t="str">
        <f>='ETPT Format DDG'!D63</f>
        <v/>
      </c>
      <c r="K63" s="47" t="s">
        <v>157</v>
      </c>
      <c r="L63" s="47" t="s">
        <v>163</v>
      </c>
      <c r="M63" s="47"/>
      <c r="N63" s="47">
        <v>1</v>
      </c>
      <c r="O63" s="47">
        <v>1</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0.07</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0.88</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0.05</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row>
    <row r="64" spans="1:126" x14ac:dyDescent="0.25">
      <c r="A64" s="47" t="s">
        <v>427</v>
      </c>
      <c r="B64" s="47" t="s">
        <v>153</v>
      </c>
      <c r="C64" s="47" t="s">
        <v>428</v>
      </c>
      <c r="D64" s="47" t="s">
        <v>429</v>
      </c>
      <c r="E64" s="47" t="s">
        <v>430</v>
      </c>
      <c r="F64" s="47" t="s">
        <v>173</v>
      </c>
      <c r="G64" s="47" t="s">
        <v>201</v>
      </c>
      <c r="H64" s="47" t="str">
        <f>=IFERROR(VLOOKUP(A64,'ETPT Format DDG'!A:J,10,FALSE),"")</f>
        <v>0</v>
      </c>
      <c r="I64" s="47" t="str">
        <f>='ETPT Format DDG'!M64</f>
        <v/>
      </c>
      <c r="J64" s="47" t="str">
        <f>='ETPT Format DDG'!D64</f>
        <v/>
      </c>
      <c r="K64" s="47" t="s">
        <v>157</v>
      </c>
      <c r="L64" s="47" t="s">
        <v>163</v>
      </c>
      <c r="M64" s="47"/>
      <c r="N64" s="47">
        <v>1</v>
      </c>
      <c r="O64" s="47">
        <v>1</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0.8491</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0.1009</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0.05</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row>
    <row r="65" spans="1:126" x14ac:dyDescent="0.25">
      <c r="A65" s="47" t="s">
        <v>431</v>
      </c>
      <c r="B65" s="47" t="s">
        <v>153</v>
      </c>
      <c r="C65" s="47" t="s">
        <v>432</v>
      </c>
      <c r="D65" s="47" t="s">
        <v>433</v>
      </c>
      <c r="E65" s="47" t="s">
        <v>434</v>
      </c>
      <c r="F65" s="47" t="s">
        <v>173</v>
      </c>
      <c r="G65" s="47" t="s">
        <v>185</v>
      </c>
      <c r="H65" s="47" t="str">
        <f>=IFERROR(VLOOKUP(A65,'ETPT Format DDG'!A:J,10,FALSE),"")</f>
        <v>0</v>
      </c>
      <c r="I65" s="47" t="str">
        <f>='ETPT Format DDG'!M65</f>
        <v/>
      </c>
      <c r="J65" s="47" t="str">
        <f>='ETPT Format DDG'!D65</f>
        <v/>
      </c>
      <c r="K65" s="47" t="s">
        <v>157</v>
      </c>
      <c r="L65" s="47" t="s">
        <v>163</v>
      </c>
      <c r="M65" s="47"/>
      <c r="N65" s="47">
        <v>1</v>
      </c>
      <c r="O65" s="47">
        <v>1</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0.04</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0.91</v>
      </c>
      <c r="CG65" s="47">
        <v>0</v>
      </c>
      <c r="CH65" s="47">
        <v>0</v>
      </c>
      <c r="CI65" s="47">
        <v>0</v>
      </c>
      <c r="CJ65" s="47">
        <v>0</v>
      </c>
      <c r="CK65" s="47">
        <v>0</v>
      </c>
      <c r="CL65" s="47">
        <v>0</v>
      </c>
      <c r="CM65" s="47">
        <v>0</v>
      </c>
      <c r="CN65" s="47">
        <v>0</v>
      </c>
      <c r="CO65" s="47">
        <v>0</v>
      </c>
      <c r="CP65" s="47">
        <v>0</v>
      </c>
      <c r="CQ65" s="47">
        <v>0</v>
      </c>
      <c r="CR65" s="47">
        <v>0</v>
      </c>
      <c r="CS65" s="47">
        <v>0</v>
      </c>
      <c r="CT65" s="47">
        <v>0.05</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row>
    <row r="66" spans="1:126" x14ac:dyDescent="0.25">
      <c r="A66" s="47" t="s">
        <v>435</v>
      </c>
      <c r="B66" s="47" t="s">
        <v>153</v>
      </c>
      <c r="C66" s="47" t="s">
        <v>436</v>
      </c>
      <c r="D66" s="47" t="s">
        <v>437</v>
      </c>
      <c r="E66" s="47" t="s">
        <v>438</v>
      </c>
      <c r="F66" s="47" t="s">
        <v>173</v>
      </c>
      <c r="G66" s="47" t="s">
        <v>185</v>
      </c>
      <c r="H66" s="47" t="str">
        <f>=IFERROR(VLOOKUP(A66,'ETPT Format DDG'!A:J,10,FALSE),"")</f>
        <v>0</v>
      </c>
      <c r="I66" s="47" t="str">
        <f>='ETPT Format DDG'!M66</f>
        <v/>
      </c>
      <c r="J66" s="47" t="str">
        <f>='ETPT Format DDG'!D66</f>
        <v/>
      </c>
      <c r="K66" s="47" t="s">
        <v>157</v>
      </c>
      <c r="L66" s="47" t="s">
        <v>163</v>
      </c>
      <c r="M66" s="47"/>
      <c r="N66" s="47">
        <v>1</v>
      </c>
      <c r="O66" s="47">
        <v>1</v>
      </c>
      <c r="P66" s="47">
        <v>0</v>
      </c>
      <c r="Q66" s="47">
        <v>0</v>
      </c>
      <c r="R66" s="47">
        <v>0</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0.04</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0.862</v>
      </c>
      <c r="CG66" s="47">
        <v>0</v>
      </c>
      <c r="CH66" s="47">
        <v>0</v>
      </c>
      <c r="CI66" s="47">
        <v>0</v>
      </c>
      <c r="CJ66" s="47">
        <v>0</v>
      </c>
      <c r="CK66" s="47">
        <v>0</v>
      </c>
      <c r="CL66" s="47">
        <v>0</v>
      </c>
      <c r="CM66" s="47">
        <v>0</v>
      </c>
      <c r="CN66" s="47">
        <v>0</v>
      </c>
      <c r="CO66" s="47">
        <v>0</v>
      </c>
      <c r="CP66" s="47">
        <v>0</v>
      </c>
      <c r="CQ66" s="47">
        <v>0</v>
      </c>
      <c r="CR66" s="47">
        <v>0</v>
      </c>
      <c r="CS66" s="47">
        <v>0</v>
      </c>
      <c r="CT66" s="47">
        <v>0.098</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row>
    <row r="67" spans="1:126" x14ac:dyDescent="0.25">
      <c r="A67" s="47" t="s">
        <v>439</v>
      </c>
      <c r="B67" s="47" t="s">
        <v>153</v>
      </c>
      <c r="C67" s="47" t="s">
        <v>440</v>
      </c>
      <c r="D67" s="47" t="s">
        <v>441</v>
      </c>
      <c r="E67" s="47" t="s">
        <v>442</v>
      </c>
      <c r="F67" s="47" t="s">
        <v>173</v>
      </c>
      <c r="G67" s="47" t="s">
        <v>201</v>
      </c>
      <c r="H67" s="47" t="str">
        <f>=IFERROR(VLOOKUP(A67,'ETPT Format DDG'!A:J,10,FALSE),"")</f>
        <v>0</v>
      </c>
      <c r="I67" s="47" t="str">
        <f>='ETPT Format DDG'!M67</f>
        <v/>
      </c>
      <c r="J67" s="47" t="str">
        <f>='ETPT Format DDG'!D67</f>
        <v/>
      </c>
      <c r="K67" s="47" t="s">
        <v>157</v>
      </c>
      <c r="L67" s="47" t="s">
        <v>163</v>
      </c>
      <c r="M67" s="47"/>
      <c r="N67" s="47">
        <v>1</v>
      </c>
      <c r="O67" s="47">
        <v>1</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0.92</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0.03</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0.05</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row>
    <row r="68" spans="1:126" x14ac:dyDescent="0.25">
      <c r="A68" s="47" t="s">
        <v>443</v>
      </c>
      <c r="B68" s="47" t="s">
        <v>153</v>
      </c>
      <c r="C68" s="47" t="s">
        <v>444</v>
      </c>
      <c r="D68" s="47" t="s">
        <v>445</v>
      </c>
      <c r="E68" s="47" t="s">
        <v>446</v>
      </c>
      <c r="F68" s="47" t="s">
        <v>173</v>
      </c>
      <c r="G68" s="47" t="s">
        <v>344</v>
      </c>
      <c r="H68" s="47" t="str">
        <f>=IFERROR(VLOOKUP(A68,'ETPT Format DDG'!A:J,10,FALSE),"")</f>
        <v>0</v>
      </c>
      <c r="I68" s="47" t="str">
        <f>='ETPT Format DDG'!M68</f>
        <v/>
      </c>
      <c r="J68" s="47" t="str">
        <f>='ETPT Format DDG'!D68</f>
        <v/>
      </c>
      <c r="K68" s="47" t="s">
        <v>157</v>
      </c>
      <c r="L68" s="47" t="s">
        <v>163</v>
      </c>
      <c r="M68" s="47"/>
      <c r="N68" s="47">
        <v>1</v>
      </c>
      <c r="O68" s="47">
        <v>1</v>
      </c>
      <c r="P68" s="47">
        <v>0</v>
      </c>
      <c r="Q68" s="47">
        <v>0</v>
      </c>
      <c r="R68" s="47">
        <v>0</v>
      </c>
      <c r="S68" s="47">
        <v>0</v>
      </c>
      <c r="T68" s="47">
        <v>0</v>
      </c>
      <c r="U68" s="47">
        <v>0</v>
      </c>
      <c r="V68" s="47">
        <v>0</v>
      </c>
      <c r="W68" s="47">
        <v>0</v>
      </c>
      <c r="X68" s="47">
        <v>0</v>
      </c>
      <c r="Y68" s="47">
        <v>0</v>
      </c>
      <c r="Z68" s="47">
        <v>0</v>
      </c>
      <c r="AA68" s="47">
        <v>0</v>
      </c>
      <c r="AB68" s="47">
        <v>0</v>
      </c>
      <c r="AC68" s="47">
        <v>0</v>
      </c>
      <c r="AD68" s="47">
        <v>0</v>
      </c>
      <c r="AE68" s="47">
        <v>0.59</v>
      </c>
      <c r="AF68" s="47">
        <v>0</v>
      </c>
      <c r="AG68" s="47">
        <v>0</v>
      </c>
      <c r="AH68" s="47">
        <v>0</v>
      </c>
      <c r="AI68" s="47">
        <v>0</v>
      </c>
      <c r="AJ68" s="47">
        <v>0</v>
      </c>
      <c r="AK68" s="47">
        <v>0</v>
      </c>
      <c r="AL68" s="47">
        <v>0</v>
      </c>
      <c r="AM68" s="47">
        <v>0</v>
      </c>
      <c r="AN68" s="47">
        <v>0.29</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0.015</v>
      </c>
      <c r="BI68" s="47">
        <v>0</v>
      </c>
      <c r="BJ68" s="47">
        <v>0</v>
      </c>
      <c r="BK68" s="47">
        <v>0</v>
      </c>
      <c r="BL68" s="47">
        <v>0</v>
      </c>
      <c r="BM68" s="47">
        <v>0</v>
      </c>
      <c r="BN68" s="47">
        <v>0</v>
      </c>
      <c r="BO68" s="47">
        <v>0.055</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0.05</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row>
    <row r="69" spans="1:126" x14ac:dyDescent="0.25">
      <c r="A69" s="47" t="s">
        <v>447</v>
      </c>
      <c r="B69" s="47" t="s">
        <v>153</v>
      </c>
      <c r="C69" s="47" t="s">
        <v>448</v>
      </c>
      <c r="D69" s="47" t="s">
        <v>449</v>
      </c>
      <c r="E69" s="47" t="s">
        <v>450</v>
      </c>
      <c r="F69" s="47" t="s">
        <v>173</v>
      </c>
      <c r="G69" s="47" t="s">
        <v>180</v>
      </c>
      <c r="H69" s="47" t="str">
        <f>=IFERROR(VLOOKUP(A69,'ETPT Format DDG'!A:J,10,FALSE),"")</f>
        <v>0</v>
      </c>
      <c r="I69" s="47" t="str">
        <f>='ETPT Format DDG'!M69</f>
        <v/>
      </c>
      <c r="J69" s="47" t="str">
        <f>='ETPT Format DDG'!D69</f>
        <v/>
      </c>
      <c r="K69" s="47" t="s">
        <v>157</v>
      </c>
      <c r="L69" s="47" t="s">
        <v>163</v>
      </c>
      <c r="M69" s="47"/>
      <c r="N69" s="47">
        <v>1</v>
      </c>
      <c r="O69" s="47">
        <v>1</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0.88</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0.01</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0.01</v>
      </c>
      <c r="CR69" s="47">
        <v>0</v>
      </c>
      <c r="CS69" s="47">
        <v>0</v>
      </c>
      <c r="CT69" s="47">
        <v>0.1</v>
      </c>
      <c r="CU69" s="47">
        <v>0</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row>
    <row r="70" spans="1:126" x14ac:dyDescent="0.25">
      <c r="A70" s="47" t="s">
        <v>451</v>
      </c>
      <c r="B70" s="47" t="s">
        <v>153</v>
      </c>
      <c r="C70" s="47" t="s">
        <v>452</v>
      </c>
      <c r="D70" s="47" t="s">
        <v>453</v>
      </c>
      <c r="E70" s="47" t="s">
        <v>454</v>
      </c>
      <c r="F70" s="47" t="s">
        <v>173</v>
      </c>
      <c r="G70" s="47" t="s">
        <v>268</v>
      </c>
      <c r="H70" s="47" t="str">
        <f>=IFERROR(VLOOKUP(A70,'ETPT Format DDG'!A:J,10,FALSE),"")</f>
        <v>0</v>
      </c>
      <c r="I70" s="47" t="str">
        <f>='ETPT Format DDG'!M70</f>
        <v/>
      </c>
      <c r="J70" s="47" t="str">
        <f>='ETPT Format DDG'!D70</f>
        <v/>
      </c>
      <c r="K70" s="47" t="s">
        <v>157</v>
      </c>
      <c r="L70" s="47" t="s">
        <v>163</v>
      </c>
      <c r="M70" s="47"/>
      <c r="N70" s="47">
        <v>1</v>
      </c>
      <c r="O70" s="47">
        <v>1</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0.2617</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0.02</v>
      </c>
      <c r="BI70" s="47">
        <v>0</v>
      </c>
      <c r="BJ70" s="47">
        <v>0</v>
      </c>
      <c r="BK70" s="47">
        <v>0</v>
      </c>
      <c r="BL70" s="47">
        <v>0</v>
      </c>
      <c r="BM70" s="47">
        <v>0</v>
      </c>
      <c r="BN70" s="47">
        <v>0</v>
      </c>
      <c r="BO70" s="47">
        <v>0.6216</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0.0467</v>
      </c>
      <c r="CG70" s="47">
        <v>0</v>
      </c>
      <c r="CH70" s="47">
        <v>0</v>
      </c>
      <c r="CI70" s="47">
        <v>0</v>
      </c>
      <c r="CJ70" s="47">
        <v>0</v>
      </c>
      <c r="CK70" s="47">
        <v>0</v>
      </c>
      <c r="CL70" s="47">
        <v>0</v>
      </c>
      <c r="CM70" s="47">
        <v>0</v>
      </c>
      <c r="CN70" s="47">
        <v>0</v>
      </c>
      <c r="CO70" s="47">
        <v>0</v>
      </c>
      <c r="CP70" s="47">
        <v>0</v>
      </c>
      <c r="CQ70" s="47">
        <v>0</v>
      </c>
      <c r="CR70" s="47">
        <v>0</v>
      </c>
      <c r="CS70" s="47">
        <v>0</v>
      </c>
      <c r="CT70" s="47">
        <v>0.05</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row>
    <row r="71" spans="1:126" x14ac:dyDescent="0.25">
      <c r="A71" s="47" t="s">
        <v>455</v>
      </c>
      <c r="B71" s="47" t="s">
        <v>153</v>
      </c>
      <c r="C71" s="47" t="s">
        <v>456</v>
      </c>
      <c r="D71" s="47" t="s">
        <v>457</v>
      </c>
      <c r="E71" s="47" t="s">
        <v>458</v>
      </c>
      <c r="F71" s="47" t="s">
        <v>173</v>
      </c>
      <c r="G71" s="47" t="s">
        <v>190</v>
      </c>
      <c r="H71" s="47" t="str">
        <f>=IFERROR(VLOOKUP(A71,'ETPT Format DDG'!A:J,10,FALSE),"")</f>
        <v>0</v>
      </c>
      <c r="I71" s="47" t="str">
        <f>='ETPT Format DDG'!M71</f>
        <v/>
      </c>
      <c r="J71" s="47" t="str">
        <f>='ETPT Format DDG'!D71</f>
        <v/>
      </c>
      <c r="K71" s="47" t="s">
        <v>157</v>
      </c>
      <c r="L71" s="47" t="s">
        <v>163</v>
      </c>
      <c r="M71" s="47"/>
      <c r="N71" s="47">
        <v>1</v>
      </c>
      <c r="O71" s="47">
        <v>1</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0.33</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0.61</v>
      </c>
      <c r="CM71" s="47">
        <v>0</v>
      </c>
      <c r="CN71" s="47">
        <v>0</v>
      </c>
      <c r="CO71" s="47">
        <v>0</v>
      </c>
      <c r="CP71" s="47">
        <v>0</v>
      </c>
      <c r="CQ71" s="47">
        <v>0.01</v>
      </c>
      <c r="CR71" s="47">
        <v>0</v>
      </c>
      <c r="CS71" s="47">
        <v>0</v>
      </c>
      <c r="CT71" s="47">
        <v>0.05</v>
      </c>
      <c r="CU71" s="47">
        <v>0</v>
      </c>
      <c r="CV71" s="47">
        <v>0</v>
      </c>
      <c r="CW71" s="47">
        <v>0</v>
      </c>
      <c r="CX71" s="47">
        <v>0</v>
      </c>
      <c r="CY71" s="47">
        <v>0</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c r="DS71" s="47">
        <v>0</v>
      </c>
      <c r="DT71" s="47">
        <v>0</v>
      </c>
    </row>
    <row r="72" spans="1:126" x14ac:dyDescent="0.25">
      <c r="A72" s="47" t="s">
        <v>459</v>
      </c>
      <c r="B72" s="47" t="s">
        <v>153</v>
      </c>
      <c r="C72" s="47" t="s">
        <v>460</v>
      </c>
      <c r="D72" s="47" t="s">
        <v>461</v>
      </c>
      <c r="E72" s="47" t="s">
        <v>462</v>
      </c>
      <c r="F72" s="47" t="s">
        <v>173</v>
      </c>
      <c r="G72" s="47" t="s">
        <v>180</v>
      </c>
      <c r="H72" s="47" t="str">
        <f>=IFERROR(VLOOKUP(A72,'ETPT Format DDG'!A:J,10,FALSE),"")</f>
        <v>0</v>
      </c>
      <c r="I72" s="47" t="str">
        <f>='ETPT Format DDG'!M72</f>
        <v/>
      </c>
      <c r="J72" s="47" t="str">
        <f>='ETPT Format DDG'!D72</f>
        <v/>
      </c>
      <c r="K72" s="47" t="s">
        <v>157</v>
      </c>
      <c r="L72" s="47" t="s">
        <v>163</v>
      </c>
      <c r="M72" s="47"/>
      <c r="N72" s="47">
        <v>0.8</v>
      </c>
      <c r="O72" s="47">
        <v>0.8</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0.6479</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0.0614</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0.0346</v>
      </c>
      <c r="CR72" s="47">
        <v>0</v>
      </c>
      <c r="CS72" s="47">
        <v>0</v>
      </c>
      <c r="CT72" s="47">
        <v>0.056</v>
      </c>
      <c r="CU72" s="47">
        <v>0</v>
      </c>
      <c r="CV72" s="47">
        <v>0</v>
      </c>
      <c r="CW72" s="47">
        <v>0</v>
      </c>
      <c r="CX72" s="47">
        <v>0</v>
      </c>
      <c r="CY72" s="47">
        <v>0</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c r="DS72" s="47">
        <v>0</v>
      </c>
      <c r="DT72" s="47">
        <v>0</v>
      </c>
    </row>
    <row r="73" spans="1:126" x14ac:dyDescent="0.25">
      <c r="A73" s="47" t="s">
        <v>463</v>
      </c>
      <c r="B73" s="47" t="s">
        <v>153</v>
      </c>
      <c r="C73" s="47" t="s">
        <v>464</v>
      </c>
      <c r="D73" s="47" t="s">
        <v>465</v>
      </c>
      <c r="E73" s="47" t="s">
        <v>466</v>
      </c>
      <c r="F73" s="47" t="s">
        <v>173</v>
      </c>
      <c r="G73" s="47" t="s">
        <v>262</v>
      </c>
      <c r="H73" s="47" t="str">
        <f>=IFERROR(VLOOKUP(A73,'ETPT Format DDG'!A:J,10,FALSE),"")</f>
        <v>0</v>
      </c>
      <c r="I73" s="47" t="str">
        <f>='ETPT Format DDG'!M73</f>
        <v/>
      </c>
      <c r="J73" s="47" t="str">
        <f>='ETPT Format DDG'!D73</f>
        <v/>
      </c>
      <c r="K73" s="47" t="s">
        <v>157</v>
      </c>
      <c r="L73" s="47" t="s">
        <v>288</v>
      </c>
      <c r="M73" s="47" t="s">
        <v>467</v>
      </c>
      <c r="N73" s="47">
        <v>1</v>
      </c>
      <c r="O73" s="47">
        <v>1</v>
      </c>
      <c r="P73" s="47">
        <v>0.6</v>
      </c>
      <c r="Q73" s="47">
        <v>0</v>
      </c>
      <c r="R73" s="47">
        <v>0</v>
      </c>
      <c r="S73" s="47">
        <v>0</v>
      </c>
      <c r="T73" s="47">
        <v>0</v>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0.4</v>
      </c>
      <c r="CU73" s="47">
        <v>0.4</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row>
    <row r="74" spans="1:126" x14ac:dyDescent="0.25">
      <c r="A74" s="47" t="s">
        <v>468</v>
      </c>
      <c r="B74" s="47" t="s">
        <v>153</v>
      </c>
      <c r="C74" s="47" t="s">
        <v>469</v>
      </c>
      <c r="D74" s="47" t="s">
        <v>470</v>
      </c>
      <c r="E74" s="47" t="s">
        <v>471</v>
      </c>
      <c r="F74" s="47" t="s">
        <v>173</v>
      </c>
      <c r="G74" s="47" t="s">
        <v>210</v>
      </c>
      <c r="H74" s="47" t="str">
        <f>=IFERROR(VLOOKUP(A74,'ETPT Format DDG'!A:J,10,FALSE),"")</f>
        <v>0</v>
      </c>
      <c r="I74" s="47" t="str">
        <f>='ETPT Format DDG'!M74</f>
        <v/>
      </c>
      <c r="J74" s="47" t="str">
        <f>='ETPT Format DDG'!D74</f>
        <v/>
      </c>
      <c r="K74" s="47" t="s">
        <v>157</v>
      </c>
      <c r="L74" s="47" t="s">
        <v>163</v>
      </c>
      <c r="M74" s="47"/>
      <c r="N74" s="47">
        <v>1</v>
      </c>
      <c r="O74" s="47">
        <v>1</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0.68</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0.01</v>
      </c>
      <c r="BI74" s="47">
        <v>0</v>
      </c>
      <c r="BJ74" s="47">
        <v>0</v>
      </c>
      <c r="BK74" s="47">
        <v>0</v>
      </c>
      <c r="BL74" s="47">
        <v>0</v>
      </c>
      <c r="BM74" s="47">
        <v>0</v>
      </c>
      <c r="BN74" s="47">
        <v>0</v>
      </c>
      <c r="BO74" s="47">
        <v>0.01</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0.01</v>
      </c>
      <c r="CR74" s="47">
        <v>0</v>
      </c>
      <c r="CS74" s="47">
        <v>0</v>
      </c>
      <c r="CT74" s="47">
        <v>0.29</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c r="DS74" s="47">
        <v>0</v>
      </c>
      <c r="DT74" s="47">
        <v>0</v>
      </c>
    </row>
    <row r="75" spans="1:126" x14ac:dyDescent="0.25">
      <c r="A75" s="47" t="s">
        <v>472</v>
      </c>
      <c r="B75" s="47" t="s">
        <v>153</v>
      </c>
      <c r="C75" s="47" t="s">
        <v>473</v>
      </c>
      <c r="D75" s="47" t="s">
        <v>474</v>
      </c>
      <c r="E75" s="47" t="s">
        <v>475</v>
      </c>
      <c r="F75" s="47" t="s">
        <v>173</v>
      </c>
      <c r="G75" s="47" t="s">
        <v>190</v>
      </c>
      <c r="H75" s="47" t="str">
        <f>=IFERROR(VLOOKUP(A75,'ETPT Format DDG'!A:J,10,FALSE),"")</f>
        <v>0</v>
      </c>
      <c r="I75" s="47" t="str">
        <f>='ETPT Format DDG'!M75</f>
        <v/>
      </c>
      <c r="J75" s="47" t="str">
        <f>='ETPT Format DDG'!D75</f>
        <v/>
      </c>
      <c r="K75" s="47" t="s">
        <v>157</v>
      </c>
      <c r="L75" s="47" t="s">
        <v>163</v>
      </c>
      <c r="M75" s="47"/>
      <c r="N75" s="47">
        <v>1</v>
      </c>
      <c r="O75" s="47">
        <v>1</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0.045</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0.865</v>
      </c>
      <c r="CM75" s="47">
        <v>0</v>
      </c>
      <c r="CN75" s="47">
        <v>0</v>
      </c>
      <c r="CO75" s="47">
        <v>0</v>
      </c>
      <c r="CP75" s="47">
        <v>0</v>
      </c>
      <c r="CQ75" s="47">
        <v>0.02</v>
      </c>
      <c r="CR75" s="47">
        <v>0</v>
      </c>
      <c r="CS75" s="47">
        <v>0</v>
      </c>
      <c r="CT75" s="47">
        <v>0.07</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row>
    <row r="76" spans="1:126" x14ac:dyDescent="0.25">
      <c r="A76" s="47" t="s">
        <v>476</v>
      </c>
      <c r="B76" s="47" t="s">
        <v>153</v>
      </c>
      <c r="C76" s="47" t="s">
        <v>477</v>
      </c>
      <c r="D76" s="47" t="s">
        <v>478</v>
      </c>
      <c r="E76" s="47" t="s">
        <v>479</v>
      </c>
      <c r="F76" s="47" t="s">
        <v>173</v>
      </c>
      <c r="G76" s="47" t="s">
        <v>180</v>
      </c>
      <c r="H76" s="47" t="str">
        <f>=IFERROR(VLOOKUP(A76,'ETPT Format DDG'!A:J,10,FALSE),"")</f>
        <v>0</v>
      </c>
      <c r="I76" s="47" t="str">
        <f>='ETPT Format DDG'!M76</f>
        <v/>
      </c>
      <c r="J76" s="47" t="str">
        <f>='ETPT Format DDG'!D76</f>
        <v/>
      </c>
      <c r="K76" s="47" t="s">
        <v>157</v>
      </c>
      <c r="L76" s="47" t="s">
        <v>163</v>
      </c>
      <c r="M76" s="47"/>
      <c r="N76" s="47">
        <v>1</v>
      </c>
      <c r="O76" s="47">
        <v>1</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0.8</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0.005</v>
      </c>
      <c r="BI76" s="47">
        <v>0</v>
      </c>
      <c r="BJ76" s="47">
        <v>0</v>
      </c>
      <c r="BK76" s="47">
        <v>0</v>
      </c>
      <c r="BL76" s="47">
        <v>0</v>
      </c>
      <c r="BM76" s="47">
        <v>0</v>
      </c>
      <c r="BN76" s="47">
        <v>0</v>
      </c>
      <c r="BO76" s="47">
        <v>0.1061</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0.0289</v>
      </c>
      <c r="CR76" s="47">
        <v>0</v>
      </c>
      <c r="CS76" s="47">
        <v>0</v>
      </c>
      <c r="CT76" s="47">
        <v>0.06</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row>
    <row r="77" spans="1:126" x14ac:dyDescent="0.25">
      <c r="A77" s="47" t="s">
        <v>480</v>
      </c>
      <c r="B77" s="47" t="s">
        <v>153</v>
      </c>
      <c r="C77" s="47" t="s">
        <v>481</v>
      </c>
      <c r="D77" s="47" t="s">
        <v>482</v>
      </c>
      <c r="E77" s="47" t="s">
        <v>483</v>
      </c>
      <c r="F77" s="47" t="s">
        <v>173</v>
      </c>
      <c r="G77" s="47" t="s">
        <v>220</v>
      </c>
      <c r="H77" s="47" t="str">
        <f>=IFERROR(VLOOKUP(A77,'ETPT Format DDG'!A:J,10,FALSE),"")</f>
        <v>0</v>
      </c>
      <c r="I77" s="47" t="str">
        <f>='ETPT Format DDG'!M77</f>
        <v/>
      </c>
      <c r="J77" s="47" t="str">
        <f>='ETPT Format DDG'!D77</f>
        <v/>
      </c>
      <c r="K77" s="47" t="s">
        <v>157</v>
      </c>
      <c r="L77" s="47" t="s">
        <v>163</v>
      </c>
      <c r="M77" s="47"/>
      <c r="N77" s="47">
        <v>1</v>
      </c>
      <c r="O77" s="47">
        <v>1</v>
      </c>
      <c r="P77" s="47">
        <v>0</v>
      </c>
      <c r="Q77" s="47">
        <v>0</v>
      </c>
      <c r="R77" s="47">
        <v>0</v>
      </c>
      <c r="S77" s="47">
        <v>0</v>
      </c>
      <c r="T77" s="47">
        <v>0</v>
      </c>
      <c r="U77" s="47">
        <v>0</v>
      </c>
      <c r="V77" s="47">
        <v>0</v>
      </c>
      <c r="W77" s="47">
        <v>0</v>
      </c>
      <c r="X77" s="47">
        <v>0</v>
      </c>
      <c r="Y77" s="47">
        <v>0</v>
      </c>
      <c r="Z77" s="47">
        <v>0</v>
      </c>
      <c r="AA77" s="47">
        <v>0</v>
      </c>
      <c r="AB77" s="47">
        <v>0</v>
      </c>
      <c r="AC77" s="47">
        <v>0</v>
      </c>
      <c r="AD77" s="47">
        <v>0</v>
      </c>
      <c r="AE77" s="47">
        <v>0.64</v>
      </c>
      <c r="AF77" s="47">
        <v>0</v>
      </c>
      <c r="AG77" s="47">
        <v>0</v>
      </c>
      <c r="AH77" s="47">
        <v>0</v>
      </c>
      <c r="AI77" s="47">
        <v>0</v>
      </c>
      <c r="AJ77" s="47">
        <v>0</v>
      </c>
      <c r="AK77" s="47">
        <v>0</v>
      </c>
      <c r="AL77" s="47">
        <v>0</v>
      </c>
      <c r="AM77" s="47">
        <v>0</v>
      </c>
      <c r="AN77" s="47">
        <v>0.26</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0.015</v>
      </c>
      <c r="BI77" s="47">
        <v>0</v>
      </c>
      <c r="BJ77" s="47">
        <v>0</v>
      </c>
      <c r="BK77" s="47">
        <v>0</v>
      </c>
      <c r="BL77" s="47">
        <v>0</v>
      </c>
      <c r="BM77" s="47">
        <v>0</v>
      </c>
      <c r="BN77" s="47">
        <v>0</v>
      </c>
      <c r="BO77" s="47">
        <v>0.03</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0.005</v>
      </c>
      <c r="CR77" s="47">
        <v>0</v>
      </c>
      <c r="CS77" s="47">
        <v>0</v>
      </c>
      <c r="CT77" s="47">
        <v>0.05</v>
      </c>
      <c r="CU77" s="47">
        <v>0</v>
      </c>
      <c r="CV77" s="47">
        <v>0</v>
      </c>
      <c r="CW77" s="47">
        <v>0</v>
      </c>
      <c r="CX77" s="47">
        <v>0</v>
      </c>
      <c r="CY77" s="47">
        <v>0</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c r="DT77" s="47">
        <v>0</v>
      </c>
    </row>
    <row r="78" spans="1:126" x14ac:dyDescent="0.25">
      <c r="A78" s="47" t="s">
        <v>484</v>
      </c>
      <c r="B78" s="47" t="s">
        <v>153</v>
      </c>
      <c r="C78" s="47" t="s">
        <v>485</v>
      </c>
      <c r="D78" s="47" t="s">
        <v>486</v>
      </c>
      <c r="E78" s="47" t="s">
        <v>487</v>
      </c>
      <c r="F78" s="47" t="s">
        <v>173</v>
      </c>
      <c r="G78" s="47" t="s">
        <v>488</v>
      </c>
      <c r="H78" s="47" t="str">
        <f>=IFERROR(VLOOKUP(A78,'ETPT Format DDG'!A:J,10,FALSE),"")</f>
        <v>0</v>
      </c>
      <c r="I78" s="47" t="str">
        <f>='ETPT Format DDG'!M78</f>
        <v/>
      </c>
      <c r="J78" s="47" t="str">
        <f>='ETPT Format DDG'!D78</f>
        <v/>
      </c>
      <c r="K78" s="47" t="s">
        <v>157</v>
      </c>
      <c r="L78" s="47" t="s">
        <v>163</v>
      </c>
      <c r="M78" s="47"/>
      <c r="N78" s="47">
        <v>1</v>
      </c>
      <c r="O78" s="47">
        <v>1</v>
      </c>
      <c r="P78" s="47">
        <v>0</v>
      </c>
      <c r="Q78" s="47">
        <v>0</v>
      </c>
      <c r="R78" s="47">
        <v>0</v>
      </c>
      <c r="S78" s="47">
        <v>0</v>
      </c>
      <c r="T78" s="47">
        <v>0</v>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0.33</v>
      </c>
      <c r="BI78" s="47">
        <v>0</v>
      </c>
      <c r="BJ78" s="47">
        <v>0</v>
      </c>
      <c r="BK78" s="47">
        <v>0</v>
      </c>
      <c r="BL78" s="47">
        <v>0</v>
      </c>
      <c r="BM78" s="47">
        <v>0</v>
      </c>
      <c r="BN78" s="47">
        <v>0</v>
      </c>
      <c r="BO78" s="47">
        <v>0.45</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0.17</v>
      </c>
      <c r="CR78" s="47">
        <v>0</v>
      </c>
      <c r="CS78" s="47">
        <v>0</v>
      </c>
      <c r="CT78" s="47">
        <v>0.05</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row>
    <row r="79" spans="1:126" x14ac:dyDescent="0.25">
      <c r="A79" s="47" t="s">
        <v>489</v>
      </c>
      <c r="B79" s="47" t="s">
        <v>153</v>
      </c>
      <c r="C79" s="47" t="s">
        <v>490</v>
      </c>
      <c r="D79" s="47" t="s">
        <v>491</v>
      </c>
      <c r="E79" s="47" t="s">
        <v>492</v>
      </c>
      <c r="F79" s="47" t="s">
        <v>173</v>
      </c>
      <c r="G79" s="47" t="s">
        <v>488</v>
      </c>
      <c r="H79" s="47" t="str">
        <f>=IFERROR(VLOOKUP(A79,'ETPT Format DDG'!A:J,10,FALSE),"")</f>
        <v>0</v>
      </c>
      <c r="I79" s="47" t="str">
        <f>='ETPT Format DDG'!M79</f>
        <v/>
      </c>
      <c r="J79" s="47" t="str">
        <f>='ETPT Format DDG'!D79</f>
        <v/>
      </c>
      <c r="K79" s="47" t="s">
        <v>157</v>
      </c>
      <c r="L79" s="47" t="s">
        <v>163</v>
      </c>
      <c r="M79" s="47"/>
      <c r="N79" s="47">
        <v>1</v>
      </c>
      <c r="O79" s="47">
        <v>1</v>
      </c>
      <c r="P79" s="47">
        <v>0</v>
      </c>
      <c r="Q79" s="47">
        <v>0</v>
      </c>
      <c r="R79" s="47">
        <v>0</v>
      </c>
      <c r="S79" s="47">
        <v>0</v>
      </c>
      <c r="T79" s="47">
        <v>0</v>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0.29</v>
      </c>
      <c r="BI79" s="47">
        <v>0</v>
      </c>
      <c r="BJ79" s="47">
        <v>0</v>
      </c>
      <c r="BK79" s="47">
        <v>0</v>
      </c>
      <c r="BL79" s="47">
        <v>0</v>
      </c>
      <c r="BM79" s="47">
        <v>0</v>
      </c>
      <c r="BN79" s="47">
        <v>0</v>
      </c>
      <c r="BO79" s="47">
        <v>0.414</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0.15</v>
      </c>
      <c r="CR79" s="47">
        <v>0</v>
      </c>
      <c r="CS79" s="47">
        <v>0</v>
      </c>
      <c r="CT79" s="47">
        <v>0.146</v>
      </c>
      <c r="CU79" s="47">
        <v>0</v>
      </c>
      <c r="CV79" s="47">
        <v>0</v>
      </c>
      <c r="CW79" s="47">
        <v>0</v>
      </c>
      <c r="CX79" s="47">
        <v>0</v>
      </c>
      <c r="CY79" s="47">
        <v>0</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c r="DT79" s="47">
        <v>0</v>
      </c>
    </row>
    <row r="80" spans="1:126" x14ac:dyDescent="0.25">
      <c r="A80" s="47" t="s">
        <v>493</v>
      </c>
      <c r="B80" s="47" t="s">
        <v>153</v>
      </c>
      <c r="C80" s="47" t="s">
        <v>494</v>
      </c>
      <c r="D80" s="47" t="s">
        <v>495</v>
      </c>
      <c r="E80" s="47" t="s">
        <v>496</v>
      </c>
      <c r="F80" s="47" t="s">
        <v>173</v>
      </c>
      <c r="G80" s="47" t="s">
        <v>301</v>
      </c>
      <c r="H80" s="47" t="str">
        <f>=IFERROR(VLOOKUP(A80,'ETPT Format DDG'!A:J,10,FALSE),"")</f>
        <v>0</v>
      </c>
      <c r="I80" s="47" t="str">
        <f>='ETPT Format DDG'!M80</f>
        <v/>
      </c>
      <c r="J80" s="47" t="str">
        <f>='ETPT Format DDG'!D80</f>
        <v/>
      </c>
      <c r="K80" s="47" t="s">
        <v>157</v>
      </c>
      <c r="L80" s="47" t="s">
        <v>163</v>
      </c>
      <c r="M80" s="47"/>
      <c r="N80" s="47">
        <v>1</v>
      </c>
      <c r="O80" s="47">
        <v>1</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0.925</v>
      </c>
      <c r="BM80" s="47">
        <v>0</v>
      </c>
      <c r="BN80" s="47">
        <v>0</v>
      </c>
      <c r="BO80" s="47">
        <v>0.025</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0.05</v>
      </c>
      <c r="CU80" s="47">
        <v>0</v>
      </c>
      <c r="CV80" s="47">
        <v>0</v>
      </c>
      <c r="CW80" s="47">
        <v>0</v>
      </c>
      <c r="CX80" s="47">
        <v>0</v>
      </c>
      <c r="CY80" s="47">
        <v>0</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c r="DS80" s="47">
        <v>0</v>
      </c>
      <c r="DT80" s="47">
        <v>0</v>
      </c>
    </row>
    <row r="81" spans="1:126" x14ac:dyDescent="0.25">
      <c r="A81" s="47" t="s">
        <v>497</v>
      </c>
      <c r="B81" s="47" t="s">
        <v>153</v>
      </c>
      <c r="C81" s="47" t="s">
        <v>498</v>
      </c>
      <c r="D81" s="47" t="s">
        <v>499</v>
      </c>
      <c r="E81" s="47" t="s">
        <v>500</v>
      </c>
      <c r="F81" s="47" t="s">
        <v>173</v>
      </c>
      <c r="G81" s="47" t="s">
        <v>501</v>
      </c>
      <c r="H81" s="47" t="str">
        <f>=IFERROR(VLOOKUP(A81,'ETPT Format DDG'!A:J,10,FALSE),"")</f>
        <v>0</v>
      </c>
      <c r="I81" s="47" t="str">
        <f>='ETPT Format DDG'!M81</f>
        <v/>
      </c>
      <c r="J81" s="47" t="str">
        <f>='ETPT Format DDG'!D81</f>
        <v/>
      </c>
      <c r="K81" s="47" t="s">
        <v>157</v>
      </c>
      <c r="L81" s="47" t="s">
        <v>163</v>
      </c>
      <c r="M81" s="47"/>
      <c r="N81" s="47">
        <v>1</v>
      </c>
      <c r="O81" s="47">
        <v>1</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0.005</v>
      </c>
      <c r="BP81" s="47">
        <v>0</v>
      </c>
      <c r="BQ81" s="47">
        <v>0.005</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0.995</v>
      </c>
      <c r="CU81" s="47">
        <v>0.995</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row>
    <row r="82" spans="1:126" x14ac:dyDescent="0.25">
      <c r="A82" s="47" t="s">
        <v>502</v>
      </c>
      <c r="B82" s="47" t="s">
        <v>153</v>
      </c>
      <c r="C82" s="47" t="s">
        <v>503</v>
      </c>
      <c r="D82" s="47" t="s">
        <v>504</v>
      </c>
      <c r="E82" s="47" t="s">
        <v>505</v>
      </c>
      <c r="F82" s="47" t="s">
        <v>173</v>
      </c>
      <c r="G82" s="47" t="s">
        <v>180</v>
      </c>
      <c r="H82" s="47" t="str">
        <f>=IFERROR(VLOOKUP(A82,'ETPT Format DDG'!A:J,10,FALSE),"")</f>
        <v>0</v>
      </c>
      <c r="I82" s="47" t="str">
        <f>='ETPT Format DDG'!M82</f>
        <v/>
      </c>
      <c r="J82" s="47" t="str">
        <f>='ETPT Format DDG'!D82</f>
        <v/>
      </c>
      <c r="K82" s="47" t="s">
        <v>157</v>
      </c>
      <c r="L82" s="47" t="s">
        <v>163</v>
      </c>
      <c r="M82" s="47"/>
      <c r="N82" s="47">
        <v>1</v>
      </c>
      <c r="O82" s="47">
        <v>1</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0.715</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0.18</v>
      </c>
      <c r="BI82" s="47">
        <v>0</v>
      </c>
      <c r="BJ82" s="47">
        <v>0</v>
      </c>
      <c r="BK82" s="47">
        <v>0</v>
      </c>
      <c r="BL82" s="47">
        <v>0</v>
      </c>
      <c r="BM82" s="47">
        <v>0</v>
      </c>
      <c r="BN82" s="47">
        <v>0</v>
      </c>
      <c r="BO82" s="47">
        <v>0.05</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0.005</v>
      </c>
      <c r="CR82" s="47">
        <v>0</v>
      </c>
      <c r="CS82" s="47">
        <v>0</v>
      </c>
      <c r="CT82" s="47">
        <v>0.05</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row>
    <row r="83" spans="1:126" x14ac:dyDescent="0.25">
      <c r="A83" s="47" t="s">
        <v>506</v>
      </c>
      <c r="B83" s="47" t="s">
        <v>153</v>
      </c>
      <c r="C83" s="47" t="s">
        <v>507</v>
      </c>
      <c r="D83" s="47" t="s">
        <v>508</v>
      </c>
      <c r="E83" s="47" t="s">
        <v>509</v>
      </c>
      <c r="F83" s="47" t="s">
        <v>173</v>
      </c>
      <c r="G83" s="47" t="s">
        <v>488</v>
      </c>
      <c r="H83" s="47" t="str">
        <f>=IFERROR(VLOOKUP(A83,'ETPT Format DDG'!A:J,10,FALSE),"")</f>
        <v>0</v>
      </c>
      <c r="I83" s="47" t="str">
        <f>='ETPT Format DDG'!M83</f>
        <v/>
      </c>
      <c r="J83" s="47" t="str">
        <f>='ETPT Format DDG'!D83</f>
        <v/>
      </c>
      <c r="K83" s="47" t="s">
        <v>157</v>
      </c>
      <c r="L83" s="47" t="s">
        <v>163</v>
      </c>
      <c r="M83" s="47"/>
      <c r="N83" s="47">
        <v>1</v>
      </c>
      <c r="O83" s="47">
        <v>1</v>
      </c>
      <c r="P83" s="47">
        <v>0</v>
      </c>
      <c r="Q83" s="47">
        <v>0</v>
      </c>
      <c r="R83" s="47">
        <v>0</v>
      </c>
      <c r="S83" s="47">
        <v>0</v>
      </c>
      <c r="T83" s="47">
        <v>0</v>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0.33</v>
      </c>
      <c r="BI83" s="47">
        <v>0</v>
      </c>
      <c r="BJ83" s="47">
        <v>0</v>
      </c>
      <c r="BK83" s="47">
        <v>0</v>
      </c>
      <c r="BL83" s="47">
        <v>0</v>
      </c>
      <c r="BM83" s="47">
        <v>0</v>
      </c>
      <c r="BN83" s="47">
        <v>0</v>
      </c>
      <c r="BO83" s="47">
        <v>0.45</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0.17</v>
      </c>
      <c r="CR83" s="47">
        <v>0</v>
      </c>
      <c r="CS83" s="47">
        <v>0</v>
      </c>
      <c r="CT83" s="47">
        <v>0.05</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row>
    <row r="84" spans="1:126" x14ac:dyDescent="0.25">
      <c r="A84" s="47" t="s">
        <v>510</v>
      </c>
      <c r="B84" s="47" t="s">
        <v>153</v>
      </c>
      <c r="C84" s="47" t="s">
        <v>511</v>
      </c>
      <c r="D84" s="47" t="s">
        <v>512</v>
      </c>
      <c r="E84" s="47" t="s">
        <v>513</v>
      </c>
      <c r="F84" s="47" t="s">
        <v>173</v>
      </c>
      <c r="G84" s="47" t="s">
        <v>220</v>
      </c>
      <c r="H84" s="47" t="str">
        <f>=IFERROR(VLOOKUP(A84,'ETPT Format DDG'!A:J,10,FALSE),"")</f>
        <v>0</v>
      </c>
      <c r="I84" s="47" t="str">
        <f>='ETPT Format DDG'!M84</f>
        <v/>
      </c>
      <c r="J84" s="47" t="str">
        <f>='ETPT Format DDG'!D84</f>
        <v/>
      </c>
      <c r="K84" s="47" t="s">
        <v>157</v>
      </c>
      <c r="L84" s="47" t="s">
        <v>163</v>
      </c>
      <c r="M84" s="47"/>
      <c r="N84" s="47">
        <v>0.8</v>
      </c>
      <c r="O84" s="47">
        <v>0.8</v>
      </c>
      <c r="P84" s="47">
        <v>0</v>
      </c>
      <c r="Q84" s="47">
        <v>0</v>
      </c>
      <c r="R84" s="47">
        <v>0</v>
      </c>
      <c r="S84" s="47">
        <v>0</v>
      </c>
      <c r="T84" s="47">
        <v>0</v>
      </c>
      <c r="U84" s="47">
        <v>0</v>
      </c>
      <c r="V84" s="47">
        <v>0</v>
      </c>
      <c r="W84" s="47">
        <v>0</v>
      </c>
      <c r="X84" s="47">
        <v>0</v>
      </c>
      <c r="Y84" s="47">
        <v>0</v>
      </c>
      <c r="Z84" s="47">
        <v>0</v>
      </c>
      <c r="AA84" s="47">
        <v>0</v>
      </c>
      <c r="AB84" s="47">
        <v>0</v>
      </c>
      <c r="AC84" s="47">
        <v>0</v>
      </c>
      <c r="AD84" s="47">
        <v>0</v>
      </c>
      <c r="AE84" s="47">
        <v>0.62</v>
      </c>
      <c r="AF84" s="47">
        <v>0</v>
      </c>
      <c r="AG84" s="47">
        <v>0</v>
      </c>
      <c r="AH84" s="47">
        <v>0</v>
      </c>
      <c r="AI84" s="47">
        <v>0</v>
      </c>
      <c r="AJ84" s="47">
        <v>0</v>
      </c>
      <c r="AK84" s="47">
        <v>0</v>
      </c>
      <c r="AL84" s="47">
        <v>0</v>
      </c>
      <c r="AM84" s="47">
        <v>0</v>
      </c>
      <c r="AN84" s="47">
        <v>0.044</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0.0192</v>
      </c>
      <c r="BI84" s="47">
        <v>0</v>
      </c>
      <c r="BJ84" s="47">
        <v>0</v>
      </c>
      <c r="BK84" s="47">
        <v>0</v>
      </c>
      <c r="BL84" s="47">
        <v>0</v>
      </c>
      <c r="BM84" s="47">
        <v>0</v>
      </c>
      <c r="BN84" s="47">
        <v>0</v>
      </c>
      <c r="BO84" s="47">
        <v>0.0614</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0.0154</v>
      </c>
      <c r="CR84" s="47">
        <v>0</v>
      </c>
      <c r="CS84" s="47">
        <v>0</v>
      </c>
      <c r="CT84" s="47">
        <v>0.04</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row>
    <row r="85" spans="1:126" x14ac:dyDescent="0.25">
      <c r="A85" s="47" t="s">
        <v>514</v>
      </c>
      <c r="B85" s="47" t="s">
        <v>153</v>
      </c>
      <c r="C85" s="47" t="s">
        <v>515</v>
      </c>
      <c r="D85" s="47" t="s">
        <v>516</v>
      </c>
      <c r="E85" s="47" t="s">
        <v>517</v>
      </c>
      <c r="F85" s="47" t="s">
        <v>173</v>
      </c>
      <c r="G85" s="47" t="s">
        <v>268</v>
      </c>
      <c r="H85" s="47" t="str">
        <f>=IFERROR(VLOOKUP(A85,'ETPT Format DDG'!A:J,10,FALSE),"")</f>
        <v>0</v>
      </c>
      <c r="I85" s="47" t="str">
        <f>='ETPT Format DDG'!M85</f>
        <v/>
      </c>
      <c r="J85" s="47" t="str">
        <f>='ETPT Format DDG'!D85</f>
        <v/>
      </c>
      <c r="K85" s="47" t="s">
        <v>157</v>
      </c>
      <c r="L85" s="47" t="s">
        <v>163</v>
      </c>
      <c r="M85" s="47"/>
      <c r="N85" s="47">
        <v>1</v>
      </c>
      <c r="O85" s="47">
        <v>1</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0.88</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0.12</v>
      </c>
      <c r="CU85" s="47">
        <v>0</v>
      </c>
      <c r="CV85" s="47">
        <v>0</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c r="DT85" s="47">
        <v>0</v>
      </c>
    </row>
    <row r="86" spans="1:126" x14ac:dyDescent="0.25">
      <c r="A86" s="47" t="s">
        <v>518</v>
      </c>
      <c r="B86" s="47" t="s">
        <v>153</v>
      </c>
      <c r="C86" s="47" t="s">
        <v>519</v>
      </c>
      <c r="D86" s="47" t="s">
        <v>520</v>
      </c>
      <c r="E86" s="47" t="s">
        <v>521</v>
      </c>
      <c r="F86" s="47" t="s">
        <v>173</v>
      </c>
      <c r="G86" s="47" t="s">
        <v>180</v>
      </c>
      <c r="H86" s="47" t="str">
        <f>=IFERROR(VLOOKUP(A86,'ETPT Format DDG'!A:J,10,FALSE),"")</f>
        <v>0</v>
      </c>
      <c r="I86" s="47" t="str">
        <f>='ETPT Format DDG'!M86</f>
        <v/>
      </c>
      <c r="J86" s="47" t="str">
        <f>='ETPT Format DDG'!D86</f>
        <v/>
      </c>
      <c r="K86" s="47" t="s">
        <v>157</v>
      </c>
      <c r="L86" s="47" t="s">
        <v>163</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0.915</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0.025</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0.01</v>
      </c>
      <c r="CR86" s="47">
        <v>0</v>
      </c>
      <c r="CS86" s="47">
        <v>0</v>
      </c>
      <c r="CT86" s="47">
        <v>0.05</v>
      </c>
      <c r="CU86" s="47">
        <v>0</v>
      </c>
      <c r="CV86" s="47">
        <v>0</v>
      </c>
      <c r="CW86" s="47">
        <v>0</v>
      </c>
      <c r="CX86" s="47">
        <v>0</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row>
    <row r="87" spans="1:126" x14ac:dyDescent="0.25">
      <c r="A87" s="47" t="s">
        <v>522</v>
      </c>
      <c r="B87" s="47" t="s">
        <v>153</v>
      </c>
      <c r="C87" s="47" t="s">
        <v>523</v>
      </c>
      <c r="D87" s="47" t="s">
        <v>524</v>
      </c>
      <c r="E87" s="47" t="s">
        <v>525</v>
      </c>
      <c r="F87" s="47" t="s">
        <v>173</v>
      </c>
      <c r="G87" s="47" t="s">
        <v>201</v>
      </c>
      <c r="H87" s="47" t="str">
        <f>=IFERROR(VLOOKUP(A87,'ETPT Format DDG'!A:J,10,FALSE),"")</f>
        <v>0</v>
      </c>
      <c r="I87" s="47" t="str">
        <f>='ETPT Format DDG'!M87</f>
        <v/>
      </c>
      <c r="J87" s="47" t="str">
        <f>='ETPT Format DDG'!D87</f>
        <v/>
      </c>
      <c r="K87" s="47" t="s">
        <v>157</v>
      </c>
      <c r="L87" s="47" t="s">
        <v>526</v>
      </c>
      <c r="M87" s="47"/>
      <c r="N87" s="47">
        <v>0.8</v>
      </c>
      <c r="O87" s="47">
        <v>0.32</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0.32</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row>
    <row r="88" spans="1:126" x14ac:dyDescent="0.25">
      <c r="A88" s="47" t="s">
        <v>527</v>
      </c>
      <c r="B88" s="47" t="s">
        <v>153</v>
      </c>
      <c r="C88" s="47" t="s">
        <v>528</v>
      </c>
      <c r="D88" s="47" t="s">
        <v>529</v>
      </c>
      <c r="E88" s="47" t="s">
        <v>530</v>
      </c>
      <c r="F88" s="47" t="s">
        <v>173</v>
      </c>
      <c r="G88" s="47" t="s">
        <v>488</v>
      </c>
      <c r="H88" s="47" t="str">
        <f>=IFERROR(VLOOKUP(A88,'ETPT Format DDG'!A:J,10,FALSE),"")</f>
        <v>0</v>
      </c>
      <c r="I88" s="47" t="str">
        <f>='ETPT Format DDG'!M88</f>
        <v/>
      </c>
      <c r="J88" s="47" t="str">
        <f>='ETPT Format DDG'!D88</f>
        <v/>
      </c>
      <c r="K88" s="47" t="s">
        <v>157</v>
      </c>
      <c r="L88" s="47" t="s">
        <v>163</v>
      </c>
      <c r="M88" s="47"/>
      <c r="N88" s="47">
        <v>1</v>
      </c>
      <c r="O88" s="47">
        <v>1</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0.285</v>
      </c>
      <c r="BI88" s="47">
        <v>0</v>
      </c>
      <c r="BJ88" s="47">
        <v>0</v>
      </c>
      <c r="BK88" s="47">
        <v>0</v>
      </c>
      <c r="BL88" s="47">
        <v>0</v>
      </c>
      <c r="BM88" s="47">
        <v>0</v>
      </c>
      <c r="BN88" s="47">
        <v>0</v>
      </c>
      <c r="BO88" s="47">
        <v>0.42</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0.165</v>
      </c>
      <c r="CR88" s="47">
        <v>0</v>
      </c>
      <c r="CS88" s="47">
        <v>0</v>
      </c>
      <c r="CT88" s="47">
        <v>0.13</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row>
    <row r="89" spans="1:126" x14ac:dyDescent="0.25">
      <c r="A89" s="47" t="s">
        <v>531</v>
      </c>
      <c r="B89" s="47" t="s">
        <v>153</v>
      </c>
      <c r="C89" s="47" t="s">
        <v>532</v>
      </c>
      <c r="D89" s="47" t="s">
        <v>533</v>
      </c>
      <c r="E89" s="47" t="s">
        <v>534</v>
      </c>
      <c r="F89" s="47" t="s">
        <v>173</v>
      </c>
      <c r="G89" s="47" t="s">
        <v>180</v>
      </c>
      <c r="H89" s="47" t="str">
        <f>=IFERROR(VLOOKUP(A89,'ETPT Format DDG'!A:J,10,FALSE),"")</f>
        <v>0</v>
      </c>
      <c r="I89" s="47" t="str">
        <f>='ETPT Format DDG'!M89</f>
        <v/>
      </c>
      <c r="J89" s="47" t="str">
        <f>='ETPT Format DDG'!D89</f>
        <v/>
      </c>
      <c r="K89" s="47" t="s">
        <v>157</v>
      </c>
      <c r="L89" s="47" t="s">
        <v>163</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0.94</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0.01</v>
      </c>
      <c r="CR89" s="47">
        <v>0</v>
      </c>
      <c r="CS89" s="47">
        <v>0</v>
      </c>
      <c r="CT89" s="47">
        <v>0.05</v>
      </c>
      <c r="CU89" s="47">
        <v>0</v>
      </c>
      <c r="CV89" s="47">
        <v>0</v>
      </c>
      <c r="CW89" s="47">
        <v>0</v>
      </c>
      <c r="CX89" s="47">
        <v>0</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row>
    <row r="90" spans="1:126" x14ac:dyDescent="0.25">
      <c r="A90" s="47" t="s">
        <v>535</v>
      </c>
      <c r="B90" s="47" t="s">
        <v>153</v>
      </c>
      <c r="C90" s="47" t="s">
        <v>536</v>
      </c>
      <c r="D90" s="47" t="s">
        <v>537</v>
      </c>
      <c r="E90" s="47" t="s">
        <v>538</v>
      </c>
      <c r="F90" s="47" t="s">
        <v>173</v>
      </c>
      <c r="G90" s="47" t="s">
        <v>220</v>
      </c>
      <c r="H90" s="47" t="str">
        <f>=IFERROR(VLOOKUP(A90,'ETPT Format DDG'!A:J,10,FALSE),"")</f>
        <v>0</v>
      </c>
      <c r="I90" s="47" t="str">
        <f>='ETPT Format DDG'!M90</f>
        <v/>
      </c>
      <c r="J90" s="47" t="str">
        <f>='ETPT Format DDG'!D90</f>
        <v/>
      </c>
      <c r="K90" s="47" t="s">
        <v>157</v>
      </c>
      <c r="L90" s="47" t="s">
        <v>163</v>
      </c>
      <c r="M90" s="47"/>
      <c r="N90" s="47">
        <v>1</v>
      </c>
      <c r="O90" s="47">
        <v>1</v>
      </c>
      <c r="P90" s="47">
        <v>0</v>
      </c>
      <c r="Q90" s="47">
        <v>0</v>
      </c>
      <c r="R90" s="47">
        <v>0</v>
      </c>
      <c r="S90" s="47">
        <v>0</v>
      </c>
      <c r="T90" s="47">
        <v>0</v>
      </c>
      <c r="U90" s="47">
        <v>0</v>
      </c>
      <c r="V90" s="47">
        <v>0</v>
      </c>
      <c r="W90" s="47">
        <v>0</v>
      </c>
      <c r="X90" s="47">
        <v>0</v>
      </c>
      <c r="Y90" s="47">
        <v>0</v>
      </c>
      <c r="Z90" s="47">
        <v>0</v>
      </c>
      <c r="AA90" s="47">
        <v>0</v>
      </c>
      <c r="AB90" s="47">
        <v>0</v>
      </c>
      <c r="AC90" s="47">
        <v>0</v>
      </c>
      <c r="AD90" s="47">
        <v>0</v>
      </c>
      <c r="AE90" s="47">
        <v>0.8108</v>
      </c>
      <c r="AF90" s="47">
        <v>0</v>
      </c>
      <c r="AG90" s="47">
        <v>0</v>
      </c>
      <c r="AH90" s="47">
        <v>0</v>
      </c>
      <c r="AI90" s="47">
        <v>0</v>
      </c>
      <c r="AJ90" s="47">
        <v>0</v>
      </c>
      <c r="AK90" s="47">
        <v>0</v>
      </c>
      <c r="AL90" s="47">
        <v>0</v>
      </c>
      <c r="AM90" s="47">
        <v>0</v>
      </c>
      <c r="AN90" s="47">
        <v>0.02</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0.0024</v>
      </c>
      <c r="BI90" s="47">
        <v>0</v>
      </c>
      <c r="BJ90" s="47">
        <v>0</v>
      </c>
      <c r="BK90" s="47">
        <v>0</v>
      </c>
      <c r="BL90" s="47">
        <v>0</v>
      </c>
      <c r="BM90" s="47">
        <v>0</v>
      </c>
      <c r="BN90" s="47">
        <v>0</v>
      </c>
      <c r="BO90" s="47">
        <v>0.0768</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0.09</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row>
    <row r="91" spans="1:126" x14ac:dyDescent="0.25">
      <c r="A91" s="47" t="s">
        <v>539</v>
      </c>
      <c r="B91" s="47" t="s">
        <v>153</v>
      </c>
      <c r="C91" s="47" t="s">
        <v>540</v>
      </c>
      <c r="D91" s="47" t="s">
        <v>541</v>
      </c>
      <c r="E91" s="47" t="s">
        <v>542</v>
      </c>
      <c r="F91" s="47" t="s">
        <v>173</v>
      </c>
      <c r="G91" s="47" t="s">
        <v>268</v>
      </c>
      <c r="H91" s="47" t="str">
        <f>=IFERROR(VLOOKUP(A91,'ETPT Format DDG'!A:J,10,FALSE),"")</f>
        <v>0</v>
      </c>
      <c r="I91" s="47" t="str">
        <f>='ETPT Format DDG'!M91</f>
        <v/>
      </c>
      <c r="J91" s="47" t="str">
        <f>='ETPT Format DDG'!D91</f>
        <v/>
      </c>
      <c r="K91" s="47" t="s">
        <v>157</v>
      </c>
      <c r="L91" s="47" t="s">
        <v>163</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0.0644</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0.8856</v>
      </c>
      <c r="CG91" s="47">
        <v>0</v>
      </c>
      <c r="CH91" s="47">
        <v>0</v>
      </c>
      <c r="CI91" s="47">
        <v>0</v>
      </c>
      <c r="CJ91" s="47">
        <v>0</v>
      </c>
      <c r="CK91" s="47">
        <v>0</v>
      </c>
      <c r="CL91" s="47">
        <v>0</v>
      </c>
      <c r="CM91" s="47">
        <v>0</v>
      </c>
      <c r="CN91" s="47">
        <v>0</v>
      </c>
      <c r="CO91" s="47">
        <v>0</v>
      </c>
      <c r="CP91" s="47">
        <v>0</v>
      </c>
      <c r="CQ91" s="47">
        <v>0</v>
      </c>
      <c r="CR91" s="47">
        <v>0</v>
      </c>
      <c r="CS91" s="47">
        <v>0</v>
      </c>
      <c r="CT91" s="47">
        <v>0.05</v>
      </c>
      <c r="CU91" s="47">
        <v>0</v>
      </c>
      <c r="CV91" s="47">
        <v>0</v>
      </c>
      <c r="CW91" s="47">
        <v>0</v>
      </c>
      <c r="CX91" s="47">
        <v>0</v>
      </c>
      <c r="CY91" s="47">
        <v>0</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c r="DR91" s="47">
        <v>0</v>
      </c>
      <c r="DS91" s="47">
        <v>0</v>
      </c>
      <c r="DT91" s="47">
        <v>0</v>
      </c>
    </row>
    <row r="92" spans="1:126" x14ac:dyDescent="0.25">
      <c r="A92" s="47" t="s">
        <v>543</v>
      </c>
      <c r="B92" s="47" t="s">
        <v>153</v>
      </c>
      <c r="C92" s="47" t="s">
        <v>544</v>
      </c>
      <c r="D92" s="47" t="s">
        <v>545</v>
      </c>
      <c r="E92" s="47" t="s">
        <v>546</v>
      </c>
      <c r="F92" s="47" t="s">
        <v>173</v>
      </c>
      <c r="G92" s="47" t="s">
        <v>180</v>
      </c>
      <c r="H92" s="47" t="str">
        <f>=IFERROR(VLOOKUP(A92,'ETPT Format DDG'!A:J,10,FALSE),"")</f>
        <v>0</v>
      </c>
      <c r="I92" s="47" t="str">
        <f>='ETPT Format DDG'!M92</f>
        <v/>
      </c>
      <c r="J92" s="47" t="str">
        <f>='ETPT Format DDG'!D92</f>
        <v/>
      </c>
      <c r="K92" s="47" t="s">
        <v>157</v>
      </c>
      <c r="L92" s="47" t="s">
        <v>163</v>
      </c>
      <c r="M92" s="47"/>
      <c r="N92" s="47">
        <v>1</v>
      </c>
      <c r="O92" s="47">
        <v>1</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0.94</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0.01</v>
      </c>
      <c r="CR92" s="47">
        <v>0</v>
      </c>
      <c r="CS92" s="47">
        <v>0</v>
      </c>
      <c r="CT92" s="47">
        <v>0.05</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row>
    <row r="93" spans="1:126" x14ac:dyDescent="0.25">
      <c r="A93" s="47" t="s">
        <v>547</v>
      </c>
      <c r="B93" s="47" t="s">
        <v>153</v>
      </c>
      <c r="C93" s="47" t="s">
        <v>548</v>
      </c>
      <c r="D93" s="47" t="s">
        <v>549</v>
      </c>
      <c r="E93" s="47" t="s">
        <v>550</v>
      </c>
      <c r="F93" s="47" t="s">
        <v>173</v>
      </c>
      <c r="G93" s="47" t="s">
        <v>180</v>
      </c>
      <c r="H93" s="47" t="str">
        <f>=IFERROR(VLOOKUP(A93,'ETPT Format DDG'!A:J,10,FALSE),"")</f>
        <v>0</v>
      </c>
      <c r="I93" s="47" t="str">
        <f>='ETPT Format DDG'!M93</f>
        <v/>
      </c>
      <c r="J93" s="47" t="str">
        <f>='ETPT Format DDG'!D93</f>
        <v/>
      </c>
      <c r="K93" s="47" t="s">
        <v>157</v>
      </c>
      <c r="L93" s="47" t="s">
        <v>163</v>
      </c>
      <c r="M93" s="47"/>
      <c r="N93" s="47">
        <v>1</v>
      </c>
      <c r="O93" s="47">
        <v>1</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0.84</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0.16</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row>
    <row r="94" spans="1:126" x14ac:dyDescent="0.25">
      <c r="A94" s="47" t="s">
        <v>551</v>
      </c>
      <c r="B94" s="47" t="s">
        <v>153</v>
      </c>
      <c r="C94" s="47" t="s">
        <v>552</v>
      </c>
      <c r="D94" s="47" t="s">
        <v>553</v>
      </c>
      <c r="E94" s="47" t="s">
        <v>554</v>
      </c>
      <c r="F94" s="47" t="s">
        <v>173</v>
      </c>
      <c r="G94" s="47" t="s">
        <v>210</v>
      </c>
      <c r="H94" s="47" t="str">
        <f>=IFERROR(VLOOKUP(A94,'ETPT Format DDG'!A:J,10,FALSE),"")</f>
        <v>0</v>
      </c>
      <c r="I94" s="47" t="str">
        <f>='ETPT Format DDG'!M94</f>
        <v/>
      </c>
      <c r="J94" s="47" t="str">
        <f>='ETPT Format DDG'!D94</f>
        <v/>
      </c>
      <c r="K94" s="47" t="s">
        <v>157</v>
      </c>
      <c r="L94" s="47" t="s">
        <v>163</v>
      </c>
      <c r="M94" s="47" t="s">
        <v>555</v>
      </c>
      <c r="N94" s="47">
        <v>1</v>
      </c>
      <c r="O94" s="47">
        <v>1</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0.28</v>
      </c>
      <c r="AO94" s="47">
        <v>0</v>
      </c>
      <c r="AP94" s="47">
        <v>0</v>
      </c>
      <c r="AQ94" s="47">
        <v>0</v>
      </c>
      <c r="AR94" s="47">
        <v>0</v>
      </c>
      <c r="AS94" s="47">
        <v>0</v>
      </c>
      <c r="AT94" s="47">
        <v>0</v>
      </c>
      <c r="AU94" s="47">
        <v>0.14</v>
      </c>
      <c r="AV94" s="47">
        <v>0</v>
      </c>
      <c r="AW94" s="47">
        <v>0</v>
      </c>
      <c r="AX94" s="47">
        <v>0</v>
      </c>
      <c r="AY94" s="47">
        <v>0</v>
      </c>
      <c r="AZ94" s="47">
        <v>0</v>
      </c>
      <c r="BA94" s="47">
        <v>0</v>
      </c>
      <c r="BB94" s="47">
        <v>0</v>
      </c>
      <c r="BC94" s="47">
        <v>0</v>
      </c>
      <c r="BD94" s="47">
        <v>0</v>
      </c>
      <c r="BE94" s="47">
        <v>0.14</v>
      </c>
      <c r="BF94" s="47">
        <v>0</v>
      </c>
      <c r="BG94" s="47">
        <v>0</v>
      </c>
      <c r="BH94" s="47">
        <v>0.01</v>
      </c>
      <c r="BI94" s="47">
        <v>0.01</v>
      </c>
      <c r="BJ94" s="47">
        <v>0</v>
      </c>
      <c r="BK94" s="47">
        <v>0</v>
      </c>
      <c r="BL94" s="47">
        <v>0</v>
      </c>
      <c r="BM94" s="47">
        <v>0</v>
      </c>
      <c r="BN94" s="47">
        <v>0</v>
      </c>
      <c r="BO94" s="47">
        <v>0.64</v>
      </c>
      <c r="BP94" s="47">
        <v>0.5</v>
      </c>
      <c r="BQ94" s="47">
        <v>0.14</v>
      </c>
      <c r="BR94" s="47">
        <v>0</v>
      </c>
      <c r="BS94" s="47">
        <v>0</v>
      </c>
      <c r="BT94" s="47">
        <v>0</v>
      </c>
      <c r="BU94" s="47">
        <v>0</v>
      </c>
      <c r="BV94" s="47">
        <v>0</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0.07</v>
      </c>
      <c r="CU94" s="47">
        <v>0.07</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row>
    <row r="95" spans="1:126" x14ac:dyDescent="0.25">
      <c r="A95" s="47" t="s">
        <v>556</v>
      </c>
      <c r="B95" s="47" t="s">
        <v>153</v>
      </c>
      <c r="C95" s="47" t="s">
        <v>557</v>
      </c>
      <c r="D95" s="47" t="s">
        <v>558</v>
      </c>
      <c r="E95" s="47" t="s">
        <v>559</v>
      </c>
      <c r="F95" s="47" t="s">
        <v>173</v>
      </c>
      <c r="G95" s="47" t="s">
        <v>201</v>
      </c>
      <c r="H95" s="47" t="str">
        <f>=IFERROR(VLOOKUP(A95,'ETPT Format DDG'!A:J,10,FALSE),"")</f>
        <v>0</v>
      </c>
      <c r="I95" s="47" t="str">
        <f>='ETPT Format DDG'!M95</f>
        <v/>
      </c>
      <c r="J95" s="47" t="str">
        <f>='ETPT Format DDG'!D95</f>
        <v/>
      </c>
      <c r="K95" s="47" t="s">
        <v>157</v>
      </c>
      <c r="L95" s="47" t="s">
        <v>163</v>
      </c>
      <c r="M95" s="47"/>
      <c r="N95" s="47">
        <v>1</v>
      </c>
      <c r="O95" s="47">
        <v>1</v>
      </c>
      <c r="P95" s="47">
        <v>0</v>
      </c>
      <c r="Q95" s="47">
        <v>0</v>
      </c>
      <c r="R95" s="47">
        <v>0</v>
      </c>
      <c r="S95" s="47">
        <v>0</v>
      </c>
      <c r="T95" s="47">
        <v>0</v>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0.9</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0.05</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0.05</v>
      </c>
      <c r="CU95" s="47">
        <v>0</v>
      </c>
      <c r="CV95" s="47">
        <v>0</v>
      </c>
      <c r="CW95" s="47">
        <v>0</v>
      </c>
      <c r="CX95" s="47">
        <v>0</v>
      </c>
      <c r="CY95" s="47">
        <v>0</v>
      </c>
      <c r="CZ95" s="47">
        <v>0</v>
      </c>
      <c r="DA95" s="47">
        <v>0</v>
      </c>
      <c r="DB95" s="47">
        <v>0</v>
      </c>
      <c r="DC95" s="47">
        <v>0</v>
      </c>
      <c r="DD95" s="47">
        <v>0</v>
      </c>
      <c r="DE95" s="47">
        <v>0</v>
      </c>
      <c r="DF95" s="47">
        <v>0</v>
      </c>
      <c r="DG95" s="47">
        <v>0</v>
      </c>
      <c r="DH95" s="47">
        <v>0</v>
      </c>
      <c r="DI95" s="47">
        <v>0</v>
      </c>
      <c r="DJ95" s="47">
        <v>0</v>
      </c>
      <c r="DK95" s="47">
        <v>0</v>
      </c>
      <c r="DL95" s="47">
        <v>0</v>
      </c>
      <c r="DM95" s="47">
        <v>0</v>
      </c>
      <c r="DN95" s="47">
        <v>0</v>
      </c>
      <c r="DO95" s="47">
        <v>0</v>
      </c>
      <c r="DP95" s="47">
        <v>0</v>
      </c>
      <c r="DQ95" s="47">
        <v>0</v>
      </c>
      <c r="DR95" s="47">
        <v>0</v>
      </c>
      <c r="DS95" s="47">
        <v>0</v>
      </c>
      <c r="DT95" s="47">
        <v>0</v>
      </c>
    </row>
    <row r="96" spans="1:126" x14ac:dyDescent="0.25">
      <c r="A96" s="47" t="s">
        <v>560</v>
      </c>
      <c r="B96" s="47" t="s">
        <v>153</v>
      </c>
      <c r="C96" s="47" t="s">
        <v>561</v>
      </c>
      <c r="D96" s="47" t="s">
        <v>562</v>
      </c>
      <c r="E96" s="47" t="s">
        <v>563</v>
      </c>
      <c r="F96" s="47" t="s">
        <v>173</v>
      </c>
      <c r="G96" s="47" t="s">
        <v>564</v>
      </c>
      <c r="H96" s="47" t="str">
        <f>=IFERROR(VLOOKUP(A96,'ETPT Format DDG'!A:J,10,FALSE),"")</f>
        <v>0</v>
      </c>
      <c r="I96" s="47" t="str">
        <f>='ETPT Format DDG'!M96</f>
        <v/>
      </c>
      <c r="J96" s="47" t="str">
        <f>='ETPT Format DDG'!D96</f>
        <v/>
      </c>
      <c r="K96" s="47" t="s">
        <v>157</v>
      </c>
      <c r="L96" s="47" t="s">
        <v>163</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0.88</v>
      </c>
      <c r="BM96" s="47">
        <v>0</v>
      </c>
      <c r="BN96" s="47">
        <v>0</v>
      </c>
      <c r="BO96" s="47">
        <v>0.05</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0.07</v>
      </c>
      <c r="CU96" s="47">
        <v>0</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row>
    <row r="97" spans="1:126" x14ac:dyDescent="0.25">
      <c r="A97" s="47" t="s">
        <v>565</v>
      </c>
      <c r="B97" s="47" t="s">
        <v>153</v>
      </c>
      <c r="C97" s="47" t="s">
        <v>566</v>
      </c>
      <c r="D97" s="47" t="s">
        <v>567</v>
      </c>
      <c r="E97" s="47" t="s">
        <v>568</v>
      </c>
      <c r="F97" s="47" t="s">
        <v>173</v>
      </c>
      <c r="G97" s="47" t="s">
        <v>564</v>
      </c>
      <c r="H97" s="47" t="str">
        <f>=IFERROR(VLOOKUP(A97,'ETPT Format DDG'!A:J,10,FALSE),"")</f>
        <v>0</v>
      </c>
      <c r="I97" s="47" t="str">
        <f>='ETPT Format DDG'!M97</f>
        <v/>
      </c>
      <c r="J97" s="47" t="str">
        <f>='ETPT Format DDG'!D97</f>
        <v/>
      </c>
      <c r="K97" s="47" t="s">
        <v>157</v>
      </c>
      <c r="L97" s="47" t="s">
        <v>163</v>
      </c>
      <c r="M97" s="47"/>
      <c r="N97" s="47">
        <v>1</v>
      </c>
      <c r="O97" s="47">
        <v>1</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0.91</v>
      </c>
      <c r="BM97" s="47">
        <v>0</v>
      </c>
      <c r="BN97" s="47">
        <v>0</v>
      </c>
      <c r="BO97" s="47">
        <v>0.02</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0.07</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row>
    <row r="98" spans="1:126" x14ac:dyDescent="0.25">
      <c r="A98" s="47" t="s">
        <v>569</v>
      </c>
      <c r="B98" s="47" t="s">
        <v>153</v>
      </c>
      <c r="C98" s="47" t="s">
        <v>570</v>
      </c>
      <c r="D98" s="47" t="s">
        <v>571</v>
      </c>
      <c r="E98" s="47" t="s">
        <v>572</v>
      </c>
      <c r="F98" s="47" t="s">
        <v>173</v>
      </c>
      <c r="G98" s="47" t="s">
        <v>180</v>
      </c>
      <c r="H98" s="47" t="str">
        <f>=IFERROR(VLOOKUP(A98,'ETPT Format DDG'!A:J,10,FALSE),"")</f>
        <v>0</v>
      </c>
      <c r="I98" s="47" t="str">
        <f>='ETPT Format DDG'!M98</f>
        <v/>
      </c>
      <c r="J98" s="47" t="str">
        <f>='ETPT Format DDG'!D98</f>
        <v/>
      </c>
      <c r="K98" s="47" t="s">
        <v>157</v>
      </c>
      <c r="L98" s="47" t="s">
        <v>163</v>
      </c>
      <c r="M98" s="47"/>
      <c r="N98" s="47">
        <v>1</v>
      </c>
      <c r="O98" s="47">
        <v>0.33</v>
      </c>
      <c r="P98" s="47">
        <v>0</v>
      </c>
      <c r="Q98" s="47">
        <v>0</v>
      </c>
      <c r="R98" s="47">
        <v>0</v>
      </c>
      <c r="S98" s="47">
        <v>0</v>
      </c>
      <c r="T98" s="47">
        <v>0</v>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0.05</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0.03</v>
      </c>
      <c r="CR98" s="47">
        <v>0</v>
      </c>
      <c r="CS98" s="47">
        <v>0</v>
      </c>
      <c r="CT98" s="47">
        <v>0.25</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row>
    <row r="99" spans="1:126" x14ac:dyDescent="0.25">
      <c r="A99" s="47" t="s">
        <v>573</v>
      </c>
      <c r="B99" s="47" t="s">
        <v>153</v>
      </c>
      <c r="C99" s="47" t="s">
        <v>574</v>
      </c>
      <c r="D99" s="47" t="s">
        <v>575</v>
      </c>
      <c r="E99" s="47" t="s">
        <v>576</v>
      </c>
      <c r="F99" s="47" t="s">
        <v>173</v>
      </c>
      <c r="G99" s="47" t="s">
        <v>220</v>
      </c>
      <c r="H99" s="47" t="str">
        <f>=IFERROR(VLOOKUP(A99,'ETPT Format DDG'!A:J,10,FALSE),"")</f>
        <v>0</v>
      </c>
      <c r="I99" s="47" t="str">
        <f>='ETPT Format DDG'!M99</f>
        <v/>
      </c>
      <c r="J99" s="47" t="str">
        <f>='ETPT Format DDG'!D99</f>
        <v/>
      </c>
      <c r="K99" s="47" t="s">
        <v>157</v>
      </c>
      <c r="L99" s="47" t="s">
        <v>278</v>
      </c>
      <c r="M99" s="47"/>
      <c r="N99" s="47">
        <v>1</v>
      </c>
      <c r="O99" s="47">
        <v>1</v>
      </c>
      <c r="P99" s="47">
        <v>0</v>
      </c>
      <c r="Q99" s="47">
        <v>0</v>
      </c>
      <c r="R99" s="47">
        <v>0</v>
      </c>
      <c r="S99" s="47">
        <v>0</v>
      </c>
      <c r="T99" s="47">
        <v>0</v>
      </c>
      <c r="U99" s="47">
        <v>0</v>
      </c>
      <c r="V99" s="47">
        <v>0</v>
      </c>
      <c r="W99" s="47">
        <v>0</v>
      </c>
      <c r="X99" s="47">
        <v>0</v>
      </c>
      <c r="Y99" s="47">
        <v>0</v>
      </c>
      <c r="Z99" s="47">
        <v>0</v>
      </c>
      <c r="AA99" s="47">
        <v>0</v>
      </c>
      <c r="AB99" s="47">
        <v>0</v>
      </c>
      <c r="AC99" s="47">
        <v>0</v>
      </c>
      <c r="AD99" s="47">
        <v>0</v>
      </c>
      <c r="AE99" s="47">
        <v>0.145</v>
      </c>
      <c r="AF99" s="47">
        <v>0</v>
      </c>
      <c r="AG99" s="47">
        <v>0</v>
      </c>
      <c r="AH99" s="47">
        <v>0</v>
      </c>
      <c r="AI99" s="47">
        <v>0</v>
      </c>
      <c r="AJ99" s="47">
        <v>0</v>
      </c>
      <c r="AK99" s="47">
        <v>0</v>
      </c>
      <c r="AL99" s="47">
        <v>0</v>
      </c>
      <c r="AM99" s="47">
        <v>0</v>
      </c>
      <c r="AN99" s="47">
        <v>0.75</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0.035</v>
      </c>
      <c r="BP99" s="47">
        <v>0.035</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0.07</v>
      </c>
      <c r="CU99" s="47">
        <v>0.07</v>
      </c>
      <c r="CV99" s="47">
        <v>0</v>
      </c>
      <c r="CW99" s="47">
        <v>0</v>
      </c>
      <c r="CX99" s="47">
        <v>0</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row>
    <row r="100" spans="1:126" x14ac:dyDescent="0.25">
      <c r="A100" s="47" t="s">
        <v>577</v>
      </c>
      <c r="B100" s="47" t="s">
        <v>153</v>
      </c>
      <c r="C100" s="47" t="s">
        <v>578</v>
      </c>
      <c r="D100" s="47" t="s">
        <v>579</v>
      </c>
      <c r="E100" s="47" t="s">
        <v>580</v>
      </c>
      <c r="F100" s="47" t="s">
        <v>173</v>
      </c>
      <c r="G100" s="47" t="s">
        <v>220</v>
      </c>
      <c r="H100" s="47" t="str">
        <f>=IFERROR(VLOOKUP(A100,'ETPT Format DDG'!A:J,10,FALSE),"")</f>
        <v>0</v>
      </c>
      <c r="I100" s="47" t="str">
        <f>='ETPT Format DDG'!M100</f>
        <v/>
      </c>
      <c r="J100" s="47" t="str">
        <f>='ETPT Format DDG'!D100</f>
        <v/>
      </c>
      <c r="K100" s="47" t="s">
        <v>157</v>
      </c>
      <c r="L100" s="47" t="s">
        <v>163</v>
      </c>
      <c r="M100" s="47"/>
      <c r="N100" s="47">
        <v>1</v>
      </c>
      <c r="O100" s="47">
        <v>1</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0.42</v>
      </c>
      <c r="AF100" s="47">
        <v>0</v>
      </c>
      <c r="AG100" s="47">
        <v>0</v>
      </c>
      <c r="AH100" s="47">
        <v>0</v>
      </c>
      <c r="AI100" s="47">
        <v>0</v>
      </c>
      <c r="AJ100" s="47">
        <v>0</v>
      </c>
      <c r="AK100" s="47">
        <v>0</v>
      </c>
      <c r="AL100" s="47">
        <v>0</v>
      </c>
      <c r="AM100" s="47">
        <v>0</v>
      </c>
      <c r="AN100" s="47">
        <v>0.49</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0.03</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0.01</v>
      </c>
      <c r="CR100" s="47">
        <v>0</v>
      </c>
      <c r="CS100" s="47">
        <v>0</v>
      </c>
      <c r="CT100" s="47">
        <v>0.05</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row>
    <row r="101" spans="1:126" x14ac:dyDescent="0.25">
      <c r="A101" s="47" t="s">
        <v>581</v>
      </c>
      <c r="B101" s="47" t="s">
        <v>153</v>
      </c>
      <c r="C101" s="47" t="s">
        <v>582</v>
      </c>
      <c r="D101" s="47" t="s">
        <v>583</v>
      </c>
      <c r="E101" s="47" t="s">
        <v>584</v>
      </c>
      <c r="F101" s="47" t="s">
        <v>173</v>
      </c>
      <c r="G101" s="47" t="s">
        <v>201</v>
      </c>
      <c r="H101" s="47" t="str">
        <f>=IFERROR(VLOOKUP(A101,'ETPT Format DDG'!A:J,10,FALSE),"")</f>
        <v>0</v>
      </c>
      <c r="I101" s="47" t="str">
        <f>='ETPT Format DDG'!M101</f>
        <v/>
      </c>
      <c r="J101" s="47" t="str">
        <f>='ETPT Format DDG'!D101</f>
        <v/>
      </c>
      <c r="K101" s="47" t="s">
        <v>157</v>
      </c>
      <c r="L101" s="47" t="s">
        <v>163</v>
      </c>
      <c r="M101" s="47"/>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0.95</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0.05</v>
      </c>
      <c r="CU101" s="47">
        <v>0</v>
      </c>
      <c r="CV101" s="47">
        <v>0</v>
      </c>
      <c r="CW101" s="47">
        <v>0</v>
      </c>
      <c r="CX101" s="47">
        <v>0</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row>
    <row r="102" spans="1:126" x14ac:dyDescent="0.25">
      <c r="A102" s="47" t="s">
        <v>585</v>
      </c>
      <c r="B102" s="47" t="s">
        <v>153</v>
      </c>
      <c r="C102" s="47" t="s">
        <v>586</v>
      </c>
      <c r="D102" s="47" t="s">
        <v>587</v>
      </c>
      <c r="E102" s="47" t="s">
        <v>588</v>
      </c>
      <c r="F102" s="47" t="s">
        <v>173</v>
      </c>
      <c r="G102" s="47" t="s">
        <v>180</v>
      </c>
      <c r="H102" s="47" t="str">
        <f>=IFERROR(VLOOKUP(A102,'ETPT Format DDG'!A:J,10,FALSE),"")</f>
        <v>0</v>
      </c>
      <c r="I102" s="47" t="str">
        <f>='ETPT Format DDG'!M102</f>
        <v/>
      </c>
      <c r="J102" s="47" t="str">
        <f>='ETPT Format DDG'!D102</f>
        <v/>
      </c>
      <c r="K102" s="47" t="s">
        <v>157</v>
      </c>
      <c r="L102" s="47" t="s">
        <v>163</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0.8526</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0.01</v>
      </c>
      <c r="BI102" s="47">
        <v>0</v>
      </c>
      <c r="BJ102" s="47">
        <v>0</v>
      </c>
      <c r="BK102" s="47">
        <v>0</v>
      </c>
      <c r="BL102" s="47">
        <v>0</v>
      </c>
      <c r="BM102" s="47">
        <v>0</v>
      </c>
      <c r="BN102" s="47">
        <v>0</v>
      </c>
      <c r="BO102" s="47">
        <v>0.0674</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0.01</v>
      </c>
      <c r="CR102" s="47">
        <v>0</v>
      </c>
      <c r="CS102" s="47">
        <v>0</v>
      </c>
      <c r="CT102" s="47">
        <v>0.06</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c r="DT102" s="47">
        <v>0</v>
      </c>
    </row>
    <row r="103" spans="1:126" x14ac:dyDescent="0.25">
      <c r="A103" s="47" t="s">
        <v>589</v>
      </c>
      <c r="B103" s="47" t="s">
        <v>153</v>
      </c>
      <c r="C103" s="47" t="s">
        <v>590</v>
      </c>
      <c r="D103" s="47" t="s">
        <v>591</v>
      </c>
      <c r="E103" s="47" t="s">
        <v>592</v>
      </c>
      <c r="F103" s="47" t="s">
        <v>173</v>
      </c>
      <c r="G103" s="47" t="s">
        <v>195</v>
      </c>
      <c r="H103" s="47" t="str">
        <f>=IFERROR(VLOOKUP(A103,'ETPT Format DDG'!A:J,10,FALSE),"")</f>
        <v>0</v>
      </c>
      <c r="I103" s="47" t="str">
        <f>='ETPT Format DDG'!M103</f>
        <v/>
      </c>
      <c r="J103" s="47" t="str">
        <f>='ETPT Format DDG'!D103</f>
        <v/>
      </c>
      <c r="K103" s="47" t="s">
        <v>157</v>
      </c>
      <c r="L103" s="47" t="s">
        <v>593</v>
      </c>
      <c r="M103" s="47"/>
      <c r="N103" s="47">
        <v>0.8</v>
      </c>
      <c r="O103" s="47">
        <v>0.8</v>
      </c>
      <c r="P103" s="47">
        <v>0.8</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row>
    <row r="104" spans="1:126" x14ac:dyDescent="0.25">
      <c r="A104" s="47" t="s">
        <v>594</v>
      </c>
      <c r="B104" s="47" t="s">
        <v>153</v>
      </c>
      <c r="C104" s="47" t="s">
        <v>595</v>
      </c>
      <c r="D104" s="47" t="s">
        <v>596</v>
      </c>
      <c r="E104" s="47" t="s">
        <v>597</v>
      </c>
      <c r="F104" s="47" t="s">
        <v>173</v>
      </c>
      <c r="G104" s="47" t="s">
        <v>301</v>
      </c>
      <c r="H104" s="47" t="str">
        <f>=IFERROR(VLOOKUP(A104,'ETPT Format DDG'!A:J,10,FALSE),"")</f>
        <v>0</v>
      </c>
      <c r="I104" s="47" t="str">
        <f>='ETPT Format DDG'!M104</f>
        <v/>
      </c>
      <c r="J104" s="47" t="str">
        <f>='ETPT Format DDG'!D104</f>
        <v/>
      </c>
      <c r="K104" s="47" t="s">
        <v>157</v>
      </c>
      <c r="L104" s="47" t="s">
        <v>163</v>
      </c>
      <c r="M104" s="47"/>
      <c r="N104" s="47">
        <v>1</v>
      </c>
      <c r="O104" s="47">
        <v>1</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0.9</v>
      </c>
      <c r="BM104" s="47">
        <v>0</v>
      </c>
      <c r="BN104" s="47">
        <v>0</v>
      </c>
      <c r="BO104" s="47">
        <v>0.05</v>
      </c>
      <c r="BP104" s="47">
        <v>0</v>
      </c>
      <c r="BQ104" s="47">
        <v>0</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0.05</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row>
    <row r="105" spans="1:126" x14ac:dyDescent="0.25">
      <c r="A105" s="47" t="s">
        <v>598</v>
      </c>
      <c r="B105" s="47" t="s">
        <v>153</v>
      </c>
      <c r="C105" s="47" t="s">
        <v>599</v>
      </c>
      <c r="D105" s="47" t="s">
        <v>600</v>
      </c>
      <c r="E105" s="47" t="s">
        <v>601</v>
      </c>
      <c r="F105" s="47" t="s">
        <v>173</v>
      </c>
      <c r="G105" s="47" t="s">
        <v>268</v>
      </c>
      <c r="H105" s="47" t="str">
        <f>=IFERROR(VLOOKUP(A105,'ETPT Format DDG'!A:J,10,FALSE),"")</f>
        <v>0</v>
      </c>
      <c r="I105" s="47" t="str">
        <f>='ETPT Format DDG'!M105</f>
        <v/>
      </c>
      <c r="J105" s="47" t="str">
        <f>='ETPT Format DDG'!D105</f>
        <v/>
      </c>
      <c r="K105" s="47" t="s">
        <v>157</v>
      </c>
      <c r="L105" s="47" t="s">
        <v>163</v>
      </c>
      <c r="M105" s="47"/>
      <c r="N105" s="47">
        <v>1</v>
      </c>
      <c r="O105" s="47">
        <v>1</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0.1</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0.807</v>
      </c>
      <c r="CG105" s="47">
        <v>0</v>
      </c>
      <c r="CH105" s="47">
        <v>0</v>
      </c>
      <c r="CI105" s="47">
        <v>0</v>
      </c>
      <c r="CJ105" s="47">
        <v>0</v>
      </c>
      <c r="CK105" s="47">
        <v>0</v>
      </c>
      <c r="CL105" s="47">
        <v>0</v>
      </c>
      <c r="CM105" s="47">
        <v>0</v>
      </c>
      <c r="CN105" s="47">
        <v>0</v>
      </c>
      <c r="CO105" s="47">
        <v>0</v>
      </c>
      <c r="CP105" s="47">
        <v>0</v>
      </c>
      <c r="CQ105" s="47">
        <v>0</v>
      </c>
      <c r="CR105" s="47">
        <v>0</v>
      </c>
      <c r="CS105" s="47">
        <v>0</v>
      </c>
      <c r="CT105" s="47">
        <v>0.093</v>
      </c>
      <c r="CU105" s="47">
        <v>0</v>
      </c>
      <c r="CV105" s="47">
        <v>0</v>
      </c>
      <c r="CW105" s="47">
        <v>0</v>
      </c>
      <c r="CX105" s="47">
        <v>0</v>
      </c>
      <c r="CY105" s="47">
        <v>0</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c r="DS105" s="47">
        <v>0</v>
      </c>
      <c r="DT105" s="47">
        <v>0</v>
      </c>
    </row>
    <row r="106" spans="1:126" x14ac:dyDescent="0.25">
      <c r="A106" s="47" t="s">
        <v>602</v>
      </c>
      <c r="B106" s="47" t="s">
        <v>153</v>
      </c>
      <c r="C106" s="47" t="s">
        <v>603</v>
      </c>
      <c r="D106" s="47" t="s">
        <v>604</v>
      </c>
      <c r="E106" s="47" t="s">
        <v>605</v>
      </c>
      <c r="F106" s="47" t="s">
        <v>173</v>
      </c>
      <c r="G106" s="47" t="s">
        <v>201</v>
      </c>
      <c r="H106" s="47" t="str">
        <f>=IFERROR(VLOOKUP(A106,'ETPT Format DDG'!A:J,10,FALSE),"")</f>
        <v>0</v>
      </c>
      <c r="I106" s="47" t="str">
        <f>='ETPT Format DDG'!M106</f>
        <v/>
      </c>
      <c r="J106" s="47" t="str">
        <f>='ETPT Format DDG'!D106</f>
        <v/>
      </c>
      <c r="K106" s="47" t="s">
        <v>157</v>
      </c>
      <c r="L106" s="47" t="s">
        <v>163</v>
      </c>
      <c r="M106" s="47"/>
      <c r="N106" s="47">
        <v>1</v>
      </c>
      <c r="O106" s="47">
        <v>1</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0.1</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0.025</v>
      </c>
      <c r="BI106" s="47">
        <v>0</v>
      </c>
      <c r="BJ106" s="47">
        <v>0</v>
      </c>
      <c r="BK106" s="47">
        <v>0</v>
      </c>
      <c r="BL106" s="47">
        <v>0</v>
      </c>
      <c r="BM106" s="47">
        <v>0</v>
      </c>
      <c r="BN106" s="47">
        <v>0</v>
      </c>
      <c r="BO106" s="47">
        <v>0.825</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0.05</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row>
    <row r="107" spans="1:126" x14ac:dyDescent="0.25">
      <c r="A107" s="47" t="s">
        <v>606</v>
      </c>
      <c r="B107" s="47" t="s">
        <v>153</v>
      </c>
      <c r="C107" s="47" t="s">
        <v>607</v>
      </c>
      <c r="D107" s="47" t="s">
        <v>608</v>
      </c>
      <c r="E107" s="47" t="s">
        <v>609</v>
      </c>
      <c r="F107" s="47" t="s">
        <v>173</v>
      </c>
      <c r="G107" s="47" t="s">
        <v>180</v>
      </c>
      <c r="H107" s="47" t="str">
        <f>=IFERROR(VLOOKUP(A107,'ETPT Format DDG'!A:J,10,FALSE),"")</f>
        <v>0</v>
      </c>
      <c r="I107" s="47" t="str">
        <f>='ETPT Format DDG'!M107</f>
        <v/>
      </c>
      <c r="J107" s="47" t="str">
        <f>='ETPT Format DDG'!D107</f>
        <v/>
      </c>
      <c r="K107" s="47" t="s">
        <v>157</v>
      </c>
      <c r="L107" s="47" t="s">
        <v>163</v>
      </c>
      <c r="M107" s="47"/>
      <c r="N107" s="47">
        <v>1</v>
      </c>
      <c r="O107" s="47">
        <v>1</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0.925</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0.01</v>
      </c>
      <c r="CR107" s="47">
        <v>0</v>
      </c>
      <c r="CS107" s="47">
        <v>0</v>
      </c>
      <c r="CT107" s="47">
        <v>0.065</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row>
    <row r="108" spans="1:126" x14ac:dyDescent="0.25">
      <c r="A108" s="47" t="s">
        <v>610</v>
      </c>
      <c r="B108" s="47" t="s">
        <v>153</v>
      </c>
      <c r="C108" s="47" t="s">
        <v>611</v>
      </c>
      <c r="D108" s="47" t="s">
        <v>612</v>
      </c>
      <c r="E108" s="47" t="s">
        <v>613</v>
      </c>
      <c r="F108" s="47" t="s">
        <v>173</v>
      </c>
      <c r="G108" s="47" t="s">
        <v>564</v>
      </c>
      <c r="H108" s="47" t="str">
        <f>=IFERROR(VLOOKUP(A108,'ETPT Format DDG'!A:J,10,FALSE),"")</f>
        <v>0</v>
      </c>
      <c r="I108" s="47" t="str">
        <f>='ETPT Format DDG'!M108</f>
        <v/>
      </c>
      <c r="J108" s="47" t="str">
        <f>='ETPT Format DDG'!D108</f>
        <v/>
      </c>
      <c r="K108" s="47" t="s">
        <v>157</v>
      </c>
      <c r="L108" s="47" t="s">
        <v>163</v>
      </c>
      <c r="M108" s="47"/>
      <c r="N108" s="47">
        <v>1</v>
      </c>
      <c r="O108" s="47">
        <v>1</v>
      </c>
      <c r="P108" s="47">
        <v>0</v>
      </c>
      <c r="Q108" s="47">
        <v>0</v>
      </c>
      <c r="R108" s="47">
        <v>0</v>
      </c>
      <c r="S108" s="47">
        <v>0</v>
      </c>
      <c r="T108" s="47">
        <v>0</v>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0.87</v>
      </c>
      <c r="BM108" s="47">
        <v>0</v>
      </c>
      <c r="BN108" s="47">
        <v>0</v>
      </c>
      <c r="BO108" s="47">
        <v>0.08</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0.05</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row>
    <row r="109" spans="1:126" x14ac:dyDescent="0.25">
      <c r="A109" s="47" t="s">
        <v>614</v>
      </c>
      <c r="B109" s="47" t="s">
        <v>153</v>
      </c>
      <c r="C109" s="47" t="s">
        <v>615</v>
      </c>
      <c r="D109" s="47" t="s">
        <v>616</v>
      </c>
      <c r="E109" s="47" t="s">
        <v>617</v>
      </c>
      <c r="F109" s="47" t="s">
        <v>173</v>
      </c>
      <c r="G109" s="47" t="s">
        <v>201</v>
      </c>
      <c r="H109" s="47" t="str">
        <f>=IFERROR(VLOOKUP(A109,'ETPT Format DDG'!A:J,10,FALSE),"")</f>
        <v>0</v>
      </c>
      <c r="I109" s="47" t="str">
        <f>='ETPT Format DDG'!M109</f>
        <v/>
      </c>
      <c r="J109" s="47" t="str">
        <f>='ETPT Format DDG'!D109</f>
        <v/>
      </c>
      <c r="K109" s="47" t="s">
        <v>157</v>
      </c>
      <c r="L109" s="47" t="s">
        <v>163</v>
      </c>
      <c r="M109" s="47"/>
      <c r="N109" s="47">
        <v>0.8</v>
      </c>
      <c r="O109" s="47">
        <v>0.104</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0.048</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0.056</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row>
    <row r="110" spans="1:126" x14ac:dyDescent="0.25">
      <c r="A110" s="47" t="s">
        <v>618</v>
      </c>
      <c r="B110" s="47" t="s">
        <v>153</v>
      </c>
      <c r="C110" s="47" t="s">
        <v>619</v>
      </c>
      <c r="D110" s="47" t="s">
        <v>620</v>
      </c>
      <c r="E110" s="47" t="s">
        <v>621</v>
      </c>
      <c r="F110" s="47" t="s">
        <v>173</v>
      </c>
      <c r="G110" s="47" t="s">
        <v>201</v>
      </c>
      <c r="H110" s="47" t="str">
        <f>=IFERROR(VLOOKUP(A110,'ETPT Format DDG'!A:J,10,FALSE),"")</f>
        <v>0</v>
      </c>
      <c r="I110" s="47" t="str">
        <f>='ETPT Format DDG'!M110</f>
        <v/>
      </c>
      <c r="J110" s="47" t="str">
        <f>='ETPT Format DDG'!D110</f>
        <v/>
      </c>
      <c r="K110" s="47" t="s">
        <v>157</v>
      </c>
      <c r="L110" s="47" t="s">
        <v>163</v>
      </c>
      <c r="M110" s="47"/>
      <c r="N110" s="47">
        <v>1</v>
      </c>
      <c r="O110" s="47">
        <v>0.2081</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0.1581</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0.05</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row>
    <row r="111" spans="1:126" x14ac:dyDescent="0.25">
      <c r="A111" s="47" t="s">
        <v>622</v>
      </c>
      <c r="B111" s="47" t="s">
        <v>153</v>
      </c>
      <c r="C111" s="47" t="s">
        <v>623</v>
      </c>
      <c r="D111" s="47" t="s">
        <v>624</v>
      </c>
      <c r="E111" s="47" t="s">
        <v>625</v>
      </c>
      <c r="F111" s="47" t="s">
        <v>173</v>
      </c>
      <c r="G111" s="47" t="s">
        <v>564</v>
      </c>
      <c r="H111" s="47" t="str">
        <f>=IFERROR(VLOOKUP(A111,'ETPT Format DDG'!A:J,10,FALSE),"")</f>
        <v>0</v>
      </c>
      <c r="I111" s="47" t="str">
        <f>='ETPT Format DDG'!M111</f>
        <v/>
      </c>
      <c r="J111" s="47" t="str">
        <f>='ETPT Format DDG'!D111</f>
        <v/>
      </c>
      <c r="K111" s="47" t="s">
        <v>157</v>
      </c>
      <c r="L111" s="47" t="s">
        <v>163</v>
      </c>
      <c r="M111" s="47"/>
      <c r="N111" s="47">
        <v>0.82</v>
      </c>
      <c r="O111" s="47">
        <v>0.82</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0.7052</v>
      </c>
      <c r="BM111" s="47">
        <v>0</v>
      </c>
      <c r="BN111" s="47">
        <v>0</v>
      </c>
      <c r="BO111" s="47">
        <v>0.0574</v>
      </c>
      <c r="BP111" s="47">
        <v>0.0246</v>
      </c>
      <c r="BQ111" s="47">
        <v>0</v>
      </c>
      <c r="BR111" s="47">
        <v>0</v>
      </c>
      <c r="BS111" s="47">
        <v>0.0246</v>
      </c>
      <c r="BT111" s="47">
        <v>0</v>
      </c>
      <c r="BU111" s="47">
        <v>0</v>
      </c>
      <c r="BV111" s="47">
        <v>0.0082</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0.0574</v>
      </c>
      <c r="CU111" s="47">
        <v>0</v>
      </c>
      <c r="CV111" s="47">
        <v>0</v>
      </c>
      <c r="CW111" s="47">
        <v>0</v>
      </c>
      <c r="CX111" s="47">
        <v>0</v>
      </c>
      <c r="CY111" s="47">
        <v>0</v>
      </c>
      <c r="CZ111" s="47">
        <v>0</v>
      </c>
      <c r="DA111" s="47">
        <v>0</v>
      </c>
      <c r="DB111" s="47">
        <v>0</v>
      </c>
      <c r="DC111" s="47">
        <v>0</v>
      </c>
      <c r="DD111" s="47">
        <v>0</v>
      </c>
      <c r="DE111" s="47">
        <v>0</v>
      </c>
      <c r="DF111" s="47">
        <v>0.18</v>
      </c>
      <c r="DG111" s="47">
        <v>0</v>
      </c>
      <c r="DH111" s="47">
        <v>0</v>
      </c>
      <c r="DI111" s="47">
        <v>0</v>
      </c>
      <c r="DJ111" s="47">
        <v>0</v>
      </c>
      <c r="DK111" s="47">
        <v>0</v>
      </c>
      <c r="DL111" s="47">
        <v>0</v>
      </c>
      <c r="DM111" s="47">
        <v>0</v>
      </c>
      <c r="DN111" s="47">
        <v>0</v>
      </c>
      <c r="DO111" s="47">
        <v>0</v>
      </c>
      <c r="DP111" s="47">
        <v>0</v>
      </c>
      <c r="DQ111" s="47">
        <v>0</v>
      </c>
      <c r="DR111" s="47">
        <v>0</v>
      </c>
      <c r="DS111" s="47">
        <v>0</v>
      </c>
      <c r="DT111" s="47">
        <v>0</v>
      </c>
    </row>
    <row r="112" spans="1:126" x14ac:dyDescent="0.25">
      <c r="A112" s="47" t="s">
        <v>626</v>
      </c>
      <c r="B112" s="47" t="s">
        <v>153</v>
      </c>
      <c r="C112" s="47" t="s">
        <v>627</v>
      </c>
      <c r="D112" s="47" t="s">
        <v>628</v>
      </c>
      <c r="E112" s="47" t="s">
        <v>629</v>
      </c>
      <c r="F112" s="47" t="s">
        <v>173</v>
      </c>
      <c r="G112" s="47" t="s">
        <v>262</v>
      </c>
      <c r="H112" s="47" t="str">
        <f>=IFERROR(VLOOKUP(A112,'ETPT Format DDG'!A:J,10,FALSE),"")</f>
        <v>0</v>
      </c>
      <c r="I112" s="47" t="str">
        <f>='ETPT Format DDG'!M112</f>
        <v/>
      </c>
      <c r="J112" s="47" t="str">
        <f>='ETPT Format DDG'!D112</f>
        <v/>
      </c>
      <c r="K112" s="47" t="s">
        <v>157</v>
      </c>
      <c r="L112" s="47" t="s">
        <v>630</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0.95</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0.05</v>
      </c>
      <c r="CU112" s="47">
        <v>0</v>
      </c>
      <c r="CV112" s="47">
        <v>0</v>
      </c>
      <c r="CW112" s="47">
        <v>0</v>
      </c>
      <c r="CX112" s="47">
        <v>0</v>
      </c>
      <c r="CY112" s="47">
        <v>0</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c r="DT112" s="47">
        <v>0</v>
      </c>
    </row>
    <row r="113" spans="1:126" x14ac:dyDescent="0.25">
      <c r="A113" s="47" t="s">
        <v>631</v>
      </c>
      <c r="B113" s="47" t="s">
        <v>153</v>
      </c>
      <c r="C113" s="47" t="s">
        <v>632</v>
      </c>
      <c r="D113" s="47" t="s">
        <v>633</v>
      </c>
      <c r="E113" s="47" t="s">
        <v>634</v>
      </c>
      <c r="F113" s="47" t="s">
        <v>173</v>
      </c>
      <c r="G113" s="47" t="s">
        <v>635</v>
      </c>
      <c r="H113" s="47" t="str">
        <f>=IFERROR(VLOOKUP(A113,'ETPT Format DDG'!A:J,10,FALSE),"")</f>
        <v>0</v>
      </c>
      <c r="I113" s="47" t="str">
        <f>='ETPT Format DDG'!M113</f>
        <v/>
      </c>
      <c r="J113" s="47" t="str">
        <f>='ETPT Format DDG'!D113</f>
        <v/>
      </c>
      <c r="K113" s="47" t="s">
        <v>157</v>
      </c>
      <c r="L113" s="47" t="s">
        <v>163</v>
      </c>
      <c r="M113" s="47"/>
      <c r="N113" s="47">
        <v>0.8</v>
      </c>
      <c r="O113" s="47">
        <v>0.8</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0.64</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0.04</v>
      </c>
      <c r="CR113" s="47">
        <v>0</v>
      </c>
      <c r="CS113" s="47">
        <v>0</v>
      </c>
      <c r="CT113" s="47">
        <v>0.12</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row>
    <row r="114" spans="1:126" x14ac:dyDescent="0.25">
      <c r="A114" s="47" t="s">
        <v>636</v>
      </c>
      <c r="B114" s="47" t="s">
        <v>153</v>
      </c>
      <c r="C114" s="47" t="s">
        <v>637</v>
      </c>
      <c r="D114" s="47" t="s">
        <v>638</v>
      </c>
      <c r="E114" s="47" t="s">
        <v>639</v>
      </c>
      <c r="F114" s="47" t="s">
        <v>173</v>
      </c>
      <c r="G114" s="47" t="s">
        <v>344</v>
      </c>
      <c r="H114" s="47" t="str">
        <f>=IFERROR(VLOOKUP(A114,'ETPT Format DDG'!A:J,10,FALSE),"")</f>
        <v>0</v>
      </c>
      <c r="I114" s="47" t="str">
        <f>='ETPT Format DDG'!M114</f>
        <v/>
      </c>
      <c r="J114" s="47" t="str">
        <f>='ETPT Format DDG'!D114</f>
        <v/>
      </c>
      <c r="K114" s="47" t="s">
        <v>157</v>
      </c>
      <c r="L114" s="47" t="s">
        <v>163</v>
      </c>
      <c r="M114" s="47"/>
      <c r="N114" s="47">
        <v>1</v>
      </c>
      <c r="O114" s="47">
        <v>0.4667</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0.2566</v>
      </c>
      <c r="AF114" s="47">
        <v>0</v>
      </c>
      <c r="AG114" s="47">
        <v>0</v>
      </c>
      <c r="AH114" s="47">
        <v>0</v>
      </c>
      <c r="AI114" s="47">
        <v>0</v>
      </c>
      <c r="AJ114" s="47">
        <v>0</v>
      </c>
      <c r="AK114" s="47">
        <v>0</v>
      </c>
      <c r="AL114" s="47">
        <v>0</v>
      </c>
      <c r="AM114" s="47">
        <v>0</v>
      </c>
      <c r="AN114" s="47">
        <v>0.1083</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0.0518</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0.05</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row>
    <row r="115" spans="1:126" x14ac:dyDescent="0.25">
      <c r="A115" s="47" t="s">
        <v>640</v>
      </c>
      <c r="B115" s="47" t="s">
        <v>153</v>
      </c>
      <c r="C115" s="47" t="s">
        <v>641</v>
      </c>
      <c r="D115" s="47" t="s">
        <v>642</v>
      </c>
      <c r="E115" s="47" t="s">
        <v>643</v>
      </c>
      <c r="F115" s="47" t="s">
        <v>173</v>
      </c>
      <c r="G115" s="47" t="s">
        <v>268</v>
      </c>
      <c r="H115" s="47" t="str">
        <f>=IFERROR(VLOOKUP(A115,'ETPT Format DDG'!A:J,10,FALSE),"")</f>
        <v>0</v>
      </c>
      <c r="I115" s="47" t="str">
        <f>='ETPT Format DDG'!M115</f>
        <v/>
      </c>
      <c r="J115" s="47" t="str">
        <f>='ETPT Format DDG'!D115</f>
        <v/>
      </c>
      <c r="K115" s="47" t="s">
        <v>157</v>
      </c>
      <c r="L115" s="47" t="s">
        <v>163</v>
      </c>
      <c r="M115" s="47"/>
      <c r="N115" s="47">
        <v>1</v>
      </c>
      <c r="O115" s="47">
        <v>1</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0.024</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0.926</v>
      </c>
      <c r="CG115" s="47">
        <v>0</v>
      </c>
      <c r="CH115" s="47">
        <v>0</v>
      </c>
      <c r="CI115" s="47">
        <v>0</v>
      </c>
      <c r="CJ115" s="47">
        <v>0</v>
      </c>
      <c r="CK115" s="47">
        <v>0</v>
      </c>
      <c r="CL115" s="47">
        <v>0</v>
      </c>
      <c r="CM115" s="47">
        <v>0</v>
      </c>
      <c r="CN115" s="47">
        <v>0</v>
      </c>
      <c r="CO115" s="47">
        <v>0</v>
      </c>
      <c r="CP115" s="47">
        <v>0</v>
      </c>
      <c r="CQ115" s="47">
        <v>0</v>
      </c>
      <c r="CR115" s="47">
        <v>0</v>
      </c>
      <c r="CS115" s="47">
        <v>0</v>
      </c>
      <c r="CT115" s="47">
        <v>0.05</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row>
    <row r="116" spans="1:126" x14ac:dyDescent="0.25">
      <c r="A116" s="47" t="s">
        <v>644</v>
      </c>
      <c r="B116" s="47" t="s">
        <v>153</v>
      </c>
      <c r="C116" s="47" t="s">
        <v>645</v>
      </c>
      <c r="D116" s="47" t="s">
        <v>646</v>
      </c>
      <c r="E116" s="47" t="s">
        <v>647</v>
      </c>
      <c r="F116" s="47" t="s">
        <v>173</v>
      </c>
      <c r="G116" s="47" t="s">
        <v>180</v>
      </c>
      <c r="H116" s="47" t="str">
        <f>=IFERROR(VLOOKUP(A116,'ETPT Format DDG'!A:J,10,FALSE),"")</f>
        <v>0</v>
      </c>
      <c r="I116" s="47" t="str">
        <f>='ETPT Format DDG'!M116</f>
        <v/>
      </c>
      <c r="J116" s="47" t="str">
        <f>='ETPT Format DDG'!D116</f>
        <v/>
      </c>
      <c r="K116" s="47" t="s">
        <v>157</v>
      </c>
      <c r="L116" s="47" t="s">
        <v>163</v>
      </c>
      <c r="M116" s="47"/>
      <c r="N116" s="47">
        <v>1</v>
      </c>
      <c r="O116" s="47">
        <v>1</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0.69</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0.08</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0.03</v>
      </c>
      <c r="CR116" s="47">
        <v>0</v>
      </c>
      <c r="CS116" s="47">
        <v>0</v>
      </c>
      <c r="CT116" s="47">
        <v>0.2</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row>
    <row r="117" spans="1:126" x14ac:dyDescent="0.25">
      <c r="A117" s="47" t="s">
        <v>648</v>
      </c>
      <c r="B117" s="47" t="s">
        <v>153</v>
      </c>
      <c r="C117" s="47" t="s">
        <v>649</v>
      </c>
      <c r="D117" s="47" t="s">
        <v>650</v>
      </c>
      <c r="E117" s="47" t="s">
        <v>651</v>
      </c>
      <c r="F117" s="47" t="s">
        <v>173</v>
      </c>
      <c r="G117" s="47" t="s">
        <v>185</v>
      </c>
      <c r="H117" s="47" t="str">
        <f>=IFERROR(VLOOKUP(A117,'ETPT Format DDG'!A:J,10,FALSE),"")</f>
        <v>0</v>
      </c>
      <c r="I117" s="47" t="str">
        <f>='ETPT Format DDG'!M117</f>
        <v/>
      </c>
      <c r="J117" s="47" t="str">
        <f>='ETPT Format DDG'!D117</f>
        <v/>
      </c>
      <c r="K117" s="47" t="s">
        <v>157</v>
      </c>
      <c r="L117" s="47" t="s">
        <v>163</v>
      </c>
      <c r="M117" s="47"/>
      <c r="N117" s="47">
        <v>1</v>
      </c>
      <c r="O117" s="47">
        <v>1</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0.025</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0.925</v>
      </c>
      <c r="CG117" s="47">
        <v>0</v>
      </c>
      <c r="CH117" s="47">
        <v>0</v>
      </c>
      <c r="CI117" s="47">
        <v>0</v>
      </c>
      <c r="CJ117" s="47">
        <v>0</v>
      </c>
      <c r="CK117" s="47">
        <v>0</v>
      </c>
      <c r="CL117" s="47">
        <v>0</v>
      </c>
      <c r="CM117" s="47">
        <v>0</v>
      </c>
      <c r="CN117" s="47">
        <v>0</v>
      </c>
      <c r="CO117" s="47">
        <v>0</v>
      </c>
      <c r="CP117" s="47">
        <v>0</v>
      </c>
      <c r="CQ117" s="47">
        <v>0</v>
      </c>
      <c r="CR117" s="47">
        <v>0</v>
      </c>
      <c r="CS117" s="47">
        <v>0</v>
      </c>
      <c r="CT117" s="47">
        <v>0.05</v>
      </c>
      <c r="CU117" s="47">
        <v>0</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row>
    <row r="118" spans="1:126" x14ac:dyDescent="0.25">
      <c r="A118" s="47" t="s">
        <v>652</v>
      </c>
      <c r="B118" s="47" t="s">
        <v>153</v>
      </c>
      <c r="C118" s="47" t="s">
        <v>653</v>
      </c>
      <c r="D118" s="47" t="s">
        <v>654</v>
      </c>
      <c r="E118" s="47" t="s">
        <v>655</v>
      </c>
      <c r="F118" s="47" t="s">
        <v>173</v>
      </c>
      <c r="G118" s="47" t="s">
        <v>201</v>
      </c>
      <c r="H118" s="47" t="str">
        <f>=IFERROR(VLOOKUP(A118,'ETPT Format DDG'!A:J,10,FALSE),"")</f>
        <v>0</v>
      </c>
      <c r="I118" s="47" t="str">
        <f>='ETPT Format DDG'!M118</f>
        <v/>
      </c>
      <c r="J118" s="47" t="str">
        <f>='ETPT Format DDG'!D118</f>
        <v/>
      </c>
      <c r="K118" s="47" t="s">
        <v>157</v>
      </c>
      <c r="L118" s="47" t="s">
        <v>163</v>
      </c>
      <c r="M118" s="47"/>
      <c r="N118" s="47">
        <v>1</v>
      </c>
      <c r="O118" s="47">
        <v>1</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0.895</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0.055</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0.05</v>
      </c>
      <c r="CU118" s="47">
        <v>0</v>
      </c>
      <c r="CV118" s="47">
        <v>0</v>
      </c>
      <c r="CW118" s="47">
        <v>0</v>
      </c>
      <c r="CX118" s="47">
        <v>0</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row>
    <row r="119" spans="1:126" x14ac:dyDescent="0.25">
      <c r="A119" s="47" t="s">
        <v>656</v>
      </c>
      <c r="B119" s="47" t="s">
        <v>153</v>
      </c>
      <c r="C119" s="47" t="s">
        <v>657</v>
      </c>
      <c r="D119" s="47" t="s">
        <v>658</v>
      </c>
      <c r="E119" s="47" t="s">
        <v>659</v>
      </c>
      <c r="F119" s="47" t="s">
        <v>173</v>
      </c>
      <c r="G119" s="47" t="s">
        <v>201</v>
      </c>
      <c r="H119" s="47" t="str">
        <f>=IFERROR(VLOOKUP(A119,'ETPT Format DDG'!A:J,10,FALSE),"")</f>
        <v>0</v>
      </c>
      <c r="I119" s="47" t="str">
        <f>='ETPT Format DDG'!M119</f>
        <v/>
      </c>
      <c r="J119" s="47" t="str">
        <f>='ETPT Format DDG'!D119</f>
        <v/>
      </c>
      <c r="K119" s="47" t="s">
        <v>157</v>
      </c>
      <c r="L119" s="47" t="s">
        <v>163</v>
      </c>
      <c r="M119" s="47"/>
      <c r="N119" s="47">
        <v>1</v>
      </c>
      <c r="O119" s="47">
        <v>1</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0.16</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0.79</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0.05</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row>
    <row r="120" spans="1:126" x14ac:dyDescent="0.25">
      <c r="A120" s="47" t="s">
        <v>660</v>
      </c>
      <c r="B120" s="47" t="s">
        <v>153</v>
      </c>
      <c r="C120" s="47" t="s">
        <v>661</v>
      </c>
      <c r="D120" s="47" t="s">
        <v>662</v>
      </c>
      <c r="E120" s="47" t="s">
        <v>663</v>
      </c>
      <c r="F120" s="47" t="s">
        <v>173</v>
      </c>
      <c r="G120" s="47" t="s">
        <v>664</v>
      </c>
      <c r="H120" s="47" t="str">
        <f>=IFERROR(VLOOKUP(A120,'ETPT Format DDG'!A:J,10,FALSE),"")</f>
        <v>0</v>
      </c>
      <c r="I120" s="47" t="str">
        <f>='ETPT Format DDG'!M120</f>
        <v/>
      </c>
      <c r="J120" s="47" t="str">
        <f>='ETPT Format DDG'!D120</f>
        <v/>
      </c>
      <c r="K120" s="47" t="s">
        <v>157</v>
      </c>
      <c r="L120" s="47" t="s">
        <v>163</v>
      </c>
      <c r="M120" s="47"/>
      <c r="N120" s="47">
        <v>1</v>
      </c>
      <c r="O120" s="47">
        <v>1</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0.698</v>
      </c>
      <c r="BM120" s="47">
        <v>0</v>
      </c>
      <c r="BN120" s="47">
        <v>0</v>
      </c>
      <c r="BO120" s="47">
        <v>0.022</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0.28</v>
      </c>
      <c r="CU120" s="47">
        <v>0.15</v>
      </c>
      <c r="CV120" s="47">
        <v>0</v>
      </c>
      <c r="CW120" s="47">
        <v>0</v>
      </c>
      <c r="CX120" s="47">
        <v>0</v>
      </c>
      <c r="CY120" s="47">
        <v>0.13</v>
      </c>
      <c r="CZ120" s="47">
        <v>0</v>
      </c>
      <c r="DA120" s="47">
        <v>0</v>
      </c>
      <c r="DB120" s="47">
        <v>0</v>
      </c>
      <c r="DC120" s="47">
        <v>0</v>
      </c>
      <c r="DD120" s="47">
        <v>0</v>
      </c>
      <c r="DE120" s="47">
        <v>0</v>
      </c>
      <c r="DF120" s="47">
        <v>0</v>
      </c>
      <c r="DG120" s="47">
        <v>0</v>
      </c>
      <c r="DH120" s="47">
        <v>0</v>
      </c>
      <c r="DI120" s="47">
        <v>0</v>
      </c>
      <c r="DJ120" s="47">
        <v>0</v>
      </c>
      <c r="DK120" s="47">
        <v>0</v>
      </c>
      <c r="DL120" s="47">
        <v>0</v>
      </c>
      <c r="DM120" s="47">
        <v>0</v>
      </c>
      <c r="DN120" s="47">
        <v>0</v>
      </c>
      <c r="DO120" s="47">
        <v>0</v>
      </c>
      <c r="DP120" s="47">
        <v>0</v>
      </c>
      <c r="DQ120" s="47">
        <v>0</v>
      </c>
      <c r="DR120" s="47">
        <v>0</v>
      </c>
      <c r="DS120" s="47">
        <v>0</v>
      </c>
      <c r="DT120" s="47">
        <v>0</v>
      </c>
    </row>
    <row r="121" spans="1:126" x14ac:dyDescent="0.25">
      <c r="A121" s="47" t="s">
        <v>665</v>
      </c>
      <c r="B121" s="47" t="s">
        <v>153</v>
      </c>
      <c r="C121" s="47" t="s">
        <v>666</v>
      </c>
      <c r="D121" s="47" t="s">
        <v>667</v>
      </c>
      <c r="E121" s="47" t="s">
        <v>668</v>
      </c>
      <c r="F121" s="47" t="s">
        <v>173</v>
      </c>
      <c r="G121" s="47" t="s">
        <v>344</v>
      </c>
      <c r="H121" s="47" t="str">
        <f>=IFERROR(VLOOKUP(A121,'ETPT Format DDG'!A:J,10,FALSE),"")</f>
        <v>0</v>
      </c>
      <c r="I121" s="47" t="str">
        <f>='ETPT Format DDG'!M121</f>
        <v/>
      </c>
      <c r="J121" s="47" t="str">
        <f>='ETPT Format DDG'!D121</f>
        <v/>
      </c>
      <c r="K121" s="47" t="s">
        <v>157</v>
      </c>
      <c r="L121" s="47" t="s">
        <v>163</v>
      </c>
      <c r="M121" s="47"/>
      <c r="N121" s="47">
        <v>0.8</v>
      </c>
      <c r="O121" s="47">
        <v>0.8</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0.496</v>
      </c>
      <c r="AF121" s="47">
        <v>0</v>
      </c>
      <c r="AG121" s="47">
        <v>0</v>
      </c>
      <c r="AH121" s="47">
        <v>0</v>
      </c>
      <c r="AI121" s="47">
        <v>0</v>
      </c>
      <c r="AJ121" s="47">
        <v>0</v>
      </c>
      <c r="AK121" s="47">
        <v>0</v>
      </c>
      <c r="AL121" s="47">
        <v>0</v>
      </c>
      <c r="AM121" s="47">
        <v>0</v>
      </c>
      <c r="AN121" s="47">
        <v>0.24</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0.024</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0.04</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row>
    <row r="122" spans="1:126" x14ac:dyDescent="0.25">
      <c r="A122" s="47" t="s">
        <v>669</v>
      </c>
      <c r="B122" s="47" t="s">
        <v>153</v>
      </c>
      <c r="C122" s="47" t="s">
        <v>670</v>
      </c>
      <c r="D122" s="47" t="s">
        <v>671</v>
      </c>
      <c r="E122" s="47" t="s">
        <v>672</v>
      </c>
      <c r="F122" s="47" t="s">
        <v>173</v>
      </c>
      <c r="G122" s="47" t="s">
        <v>488</v>
      </c>
      <c r="H122" s="47" t="str">
        <f>=IFERROR(VLOOKUP(A122,'ETPT Format DDG'!A:J,10,FALSE),"")</f>
        <v>0</v>
      </c>
      <c r="I122" s="47" t="str">
        <f>='ETPT Format DDG'!M122</f>
        <v/>
      </c>
      <c r="J122" s="47" t="str">
        <f>='ETPT Format DDG'!D122</f>
        <v/>
      </c>
      <c r="K122" s="47" t="s">
        <v>157</v>
      </c>
      <c r="L122" s="47" t="s">
        <v>163</v>
      </c>
      <c r="M122" s="47"/>
      <c r="N122" s="47">
        <v>1</v>
      </c>
      <c r="O122" s="47">
        <v>1</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0.32</v>
      </c>
      <c r="BI122" s="47">
        <v>0</v>
      </c>
      <c r="BJ122" s="47">
        <v>0</v>
      </c>
      <c r="BK122" s="47">
        <v>0</v>
      </c>
      <c r="BL122" s="47">
        <v>0</v>
      </c>
      <c r="BM122" s="47">
        <v>0</v>
      </c>
      <c r="BN122" s="47">
        <v>0</v>
      </c>
      <c r="BO122" s="47">
        <v>0.46</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0.17</v>
      </c>
      <c r="CR122" s="47">
        <v>0</v>
      </c>
      <c r="CS122" s="47">
        <v>0</v>
      </c>
      <c r="CT122" s="47">
        <v>0.05</v>
      </c>
      <c r="CU122" s="47">
        <v>0</v>
      </c>
      <c r="CV122" s="47">
        <v>0</v>
      </c>
      <c r="CW122" s="47">
        <v>0</v>
      </c>
      <c r="CX122" s="47">
        <v>0</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row>
    <row r="123" spans="1:126" x14ac:dyDescent="0.25">
      <c r="A123" s="47" t="s">
        <v>673</v>
      </c>
      <c r="B123" s="47" t="s">
        <v>153</v>
      </c>
      <c r="C123" s="47" t="s">
        <v>674</v>
      </c>
      <c r="D123" s="47" t="s">
        <v>675</v>
      </c>
      <c r="E123" s="47" t="s">
        <v>676</v>
      </c>
      <c r="F123" s="47" t="s">
        <v>173</v>
      </c>
      <c r="G123" s="47" t="s">
        <v>564</v>
      </c>
      <c r="H123" s="47" t="str">
        <f>=IFERROR(VLOOKUP(A123,'ETPT Format DDG'!A:J,10,FALSE),"")</f>
        <v>0</v>
      </c>
      <c r="I123" s="47" t="str">
        <f>='ETPT Format DDG'!M123</f>
        <v/>
      </c>
      <c r="J123" s="47" t="str">
        <f>='ETPT Format DDG'!D123</f>
        <v/>
      </c>
      <c r="K123" s="47" t="s">
        <v>157</v>
      </c>
      <c r="L123" s="47" t="s">
        <v>163</v>
      </c>
      <c r="M123" s="47"/>
      <c r="N123" s="47">
        <v>1</v>
      </c>
      <c r="O123" s="47">
        <v>1</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0.91</v>
      </c>
      <c r="BM123" s="47">
        <v>0</v>
      </c>
      <c r="BN123" s="47">
        <v>0</v>
      </c>
      <c r="BO123" s="47">
        <v>0.04</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0.05</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row>
    <row r="124" spans="1:126" x14ac:dyDescent="0.25">
      <c r="A124" s="47" t="s">
        <v>677</v>
      </c>
      <c r="B124" s="47" t="s">
        <v>153</v>
      </c>
      <c r="C124" s="47" t="s">
        <v>678</v>
      </c>
      <c r="D124" s="47" t="s">
        <v>679</v>
      </c>
      <c r="E124" s="47" t="s">
        <v>680</v>
      </c>
      <c r="F124" s="47" t="s">
        <v>173</v>
      </c>
      <c r="G124" s="47" t="s">
        <v>268</v>
      </c>
      <c r="H124" s="47" t="str">
        <f>=IFERROR(VLOOKUP(A124,'ETPT Format DDG'!A:J,10,FALSE),"")</f>
        <v>0</v>
      </c>
      <c r="I124" s="47" t="str">
        <f>='ETPT Format DDG'!M124</f>
        <v/>
      </c>
      <c r="J124" s="47" t="str">
        <f>='ETPT Format DDG'!D124</f>
        <v/>
      </c>
      <c r="K124" s="47" t="s">
        <v>157</v>
      </c>
      <c r="L124" s="47" t="s">
        <v>163</v>
      </c>
      <c r="M124" s="47"/>
      <c r="N124" s="47">
        <v>1</v>
      </c>
      <c r="O124" s="47">
        <v>1</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0.02</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0.93</v>
      </c>
      <c r="CG124" s="47">
        <v>0</v>
      </c>
      <c r="CH124" s="47">
        <v>0</v>
      </c>
      <c r="CI124" s="47">
        <v>0</v>
      </c>
      <c r="CJ124" s="47">
        <v>0</v>
      </c>
      <c r="CK124" s="47">
        <v>0</v>
      </c>
      <c r="CL124" s="47">
        <v>0</v>
      </c>
      <c r="CM124" s="47">
        <v>0</v>
      </c>
      <c r="CN124" s="47">
        <v>0</v>
      </c>
      <c r="CO124" s="47">
        <v>0</v>
      </c>
      <c r="CP124" s="47">
        <v>0</v>
      </c>
      <c r="CQ124" s="47">
        <v>0</v>
      </c>
      <c r="CR124" s="47">
        <v>0</v>
      </c>
      <c r="CS124" s="47">
        <v>0</v>
      </c>
      <c r="CT124" s="47">
        <v>0.05</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row>
    <row r="125" spans="1:126" x14ac:dyDescent="0.25">
      <c r="A125" s="47" t="s">
        <v>681</v>
      </c>
      <c r="B125" s="47" t="s">
        <v>153</v>
      </c>
      <c r="C125" s="47" t="s">
        <v>682</v>
      </c>
      <c r="D125" s="47" t="s">
        <v>683</v>
      </c>
      <c r="E125" s="47" t="s">
        <v>684</v>
      </c>
      <c r="F125" s="47" t="s">
        <v>173</v>
      </c>
      <c r="G125" s="47" t="s">
        <v>220</v>
      </c>
      <c r="H125" s="47" t="str">
        <f>=IFERROR(VLOOKUP(A125,'ETPT Format DDG'!A:J,10,FALSE),"")</f>
        <v>0</v>
      </c>
      <c r="I125" s="47" t="str">
        <f>='ETPT Format DDG'!M125</f>
        <v/>
      </c>
      <c r="J125" s="47" t="str">
        <f>='ETPT Format DDG'!D125</f>
        <v/>
      </c>
      <c r="K125" s="47" t="s">
        <v>157</v>
      </c>
      <c r="L125" s="47" t="s">
        <v>163</v>
      </c>
      <c r="M125" s="47"/>
      <c r="N125" s="47">
        <v>1</v>
      </c>
      <c r="O125" s="47">
        <v>1</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0.85</v>
      </c>
      <c r="AF125" s="47">
        <v>0</v>
      </c>
      <c r="AG125" s="47">
        <v>0</v>
      </c>
      <c r="AH125" s="47">
        <v>0</v>
      </c>
      <c r="AI125" s="47">
        <v>0</v>
      </c>
      <c r="AJ125" s="47">
        <v>0</v>
      </c>
      <c r="AK125" s="47">
        <v>0</v>
      </c>
      <c r="AL125" s="47">
        <v>0</v>
      </c>
      <c r="AM125" s="47">
        <v>0</v>
      </c>
      <c r="AN125" s="47">
        <v>0.0327</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0.0625</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0.0048</v>
      </c>
      <c r="CR125" s="47">
        <v>0</v>
      </c>
      <c r="CS125" s="47">
        <v>0</v>
      </c>
      <c r="CT125" s="47">
        <v>0.05</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row>
    <row r="126" spans="1:126" x14ac:dyDescent="0.25">
      <c r="A126" s="47" t="s">
        <v>685</v>
      </c>
      <c r="B126" s="47" t="s">
        <v>153</v>
      </c>
      <c r="C126" s="47" t="s">
        <v>686</v>
      </c>
      <c r="D126" s="47" t="s">
        <v>687</v>
      </c>
      <c r="E126" s="47" t="s">
        <v>688</v>
      </c>
      <c r="F126" s="47" t="s">
        <v>173</v>
      </c>
      <c r="G126" s="47" t="s">
        <v>201</v>
      </c>
      <c r="H126" s="47" t="str">
        <f>=IFERROR(VLOOKUP(A126,'ETPT Format DDG'!A:J,10,FALSE),"")</f>
        <v>0</v>
      </c>
      <c r="I126" s="47" t="str">
        <f>='ETPT Format DDG'!M126</f>
        <v/>
      </c>
      <c r="J126" s="47" t="str">
        <f>='ETPT Format DDG'!D126</f>
        <v/>
      </c>
      <c r="K126" s="47" t="s">
        <v>157</v>
      </c>
      <c r="L126" s="47" t="s">
        <v>163</v>
      </c>
      <c r="M126" s="47"/>
      <c r="N126" s="47">
        <v>1</v>
      </c>
      <c r="O126" s="47">
        <v>0.0798</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0.025</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0.0548</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row>
    <row r="127" spans="1:126" x14ac:dyDescent="0.25">
      <c r="A127" s="47" t="s">
        <v>689</v>
      </c>
      <c r="B127" s="47" t="s">
        <v>153</v>
      </c>
      <c r="C127" s="47" t="s">
        <v>690</v>
      </c>
      <c r="D127" s="47" t="s">
        <v>691</v>
      </c>
      <c r="E127" s="47" t="s">
        <v>692</v>
      </c>
      <c r="F127" s="47" t="s">
        <v>173</v>
      </c>
      <c r="G127" s="47" t="s">
        <v>693</v>
      </c>
      <c r="H127" s="47" t="str">
        <f>=IFERROR(VLOOKUP(A127,'ETPT Format DDG'!A:J,10,FALSE),"")</f>
        <v>0</v>
      </c>
      <c r="I127" s="47" t="str">
        <f>='ETPT Format DDG'!M127</f>
        <v/>
      </c>
      <c r="J127" s="47" t="str">
        <f>='ETPT Format DDG'!D127</f>
        <v/>
      </c>
      <c r="K127" s="47" t="s">
        <v>157</v>
      </c>
      <c r="L127" s="47" t="s">
        <v>163</v>
      </c>
      <c r="M127" s="47"/>
      <c r="N127" s="47">
        <v>1</v>
      </c>
      <c r="O127" s="47">
        <v>1</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0.28</v>
      </c>
      <c r="BI127" s="47">
        <v>0</v>
      </c>
      <c r="BJ127" s="47">
        <v>0</v>
      </c>
      <c r="BK127" s="47">
        <v>0</v>
      </c>
      <c r="BL127" s="47">
        <v>0</v>
      </c>
      <c r="BM127" s="47">
        <v>0</v>
      </c>
      <c r="BN127" s="47">
        <v>0</v>
      </c>
      <c r="BO127" s="47">
        <v>0.24</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0.182</v>
      </c>
      <c r="CR127" s="47">
        <v>0</v>
      </c>
      <c r="CS127" s="47">
        <v>0</v>
      </c>
      <c r="CT127" s="47">
        <v>0.298</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row>
    <row r="128" spans="1:126" x14ac:dyDescent="0.25">
      <c r="A128" s="47" t="s">
        <v>694</v>
      </c>
      <c r="B128" s="47" t="s">
        <v>153</v>
      </c>
      <c r="C128" s="47" t="s">
        <v>695</v>
      </c>
      <c r="D128" s="47" t="s">
        <v>696</v>
      </c>
      <c r="E128" s="47" t="s">
        <v>697</v>
      </c>
      <c r="F128" s="47" t="s">
        <v>698</v>
      </c>
      <c r="G128" s="47" t="s">
        <v>699</v>
      </c>
      <c r="H128" s="47" t="str">
        <f>=IFERROR(VLOOKUP(A128,'ETPT Format DDG'!A:J,10,FALSE),"")</f>
        <v>0</v>
      </c>
      <c r="I128" s="47" t="str">
        <f>='ETPT Format DDG'!M128</f>
        <v/>
      </c>
      <c r="J128" s="47" t="str">
        <f>='ETPT Format DDG'!D128</f>
        <v/>
      </c>
      <c r="K128" s="47" t="s">
        <v>157</v>
      </c>
      <c r="L128" s="47" t="s">
        <v>700</v>
      </c>
      <c r="M128" s="47"/>
      <c r="N128" s="47">
        <v>1</v>
      </c>
      <c r="O128" s="47">
        <v>1</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1</v>
      </c>
      <c r="BP128" s="47">
        <v>0</v>
      </c>
      <c r="BQ128" s="47">
        <v>0</v>
      </c>
      <c r="BR128" s="47">
        <v>1</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row>
    <row r="129" spans="1:126" x14ac:dyDescent="0.25">
      <c r="A129" s="47" t="s">
        <v>701</v>
      </c>
      <c r="B129" s="47" t="s">
        <v>153</v>
      </c>
      <c r="C129" s="47" t="s">
        <v>702</v>
      </c>
      <c r="D129" s="47" t="s">
        <v>703</v>
      </c>
      <c r="E129" s="47" t="s">
        <v>704</v>
      </c>
      <c r="F129" s="47" t="s">
        <v>698</v>
      </c>
      <c r="G129" s="47" t="s">
        <v>705</v>
      </c>
      <c r="H129" s="47" t="str">
        <f>=IFERROR(VLOOKUP(A129,'ETPT Format DDG'!A:J,10,FALSE),"")</f>
        <v>0</v>
      </c>
      <c r="I129" s="47" t="str">
        <f>='ETPT Format DDG'!M129</f>
        <v/>
      </c>
      <c r="J129" s="47" t="str">
        <f>='ETPT Format DDG'!D129</f>
        <v/>
      </c>
      <c r="K129" s="47" t="s">
        <v>157</v>
      </c>
      <c r="L129" s="47" t="s">
        <v>706</v>
      </c>
      <c r="M129" s="47"/>
      <c r="N129" s="47">
        <v>0.8</v>
      </c>
      <c r="O129" s="47">
        <v>0</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row>
    <row r="130" spans="1:126" x14ac:dyDescent="0.25">
      <c r="A130" s="47" t="s">
        <v>707</v>
      </c>
      <c r="B130" s="47" t="s">
        <v>153</v>
      </c>
      <c r="C130" s="47" t="s">
        <v>708</v>
      </c>
      <c r="D130" s="47" t="s">
        <v>709</v>
      </c>
      <c r="E130" s="47" t="s">
        <v>710</v>
      </c>
      <c r="F130" s="47" t="s">
        <v>698</v>
      </c>
      <c r="G130" s="47" t="s">
        <v>711</v>
      </c>
      <c r="H130" s="47" t="str">
        <f>=IFERROR(VLOOKUP(A130,'ETPT Format DDG'!A:J,10,FALSE),"")</f>
        <v>0</v>
      </c>
      <c r="I130" s="47" t="str">
        <f>='ETPT Format DDG'!M130</f>
        <v/>
      </c>
      <c r="J130" s="47" t="str">
        <f>='ETPT Format DDG'!D130</f>
        <v/>
      </c>
      <c r="K130" s="47" t="s">
        <v>157</v>
      </c>
      <c r="L130" s="47" t="s">
        <v>712</v>
      </c>
      <c r="M130" s="47"/>
      <c r="N130" s="47">
        <v>1</v>
      </c>
      <c r="O130" s="47">
        <v>1</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1</v>
      </c>
      <c r="CU130" s="47">
        <v>1</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row>
    <row r="131" spans="1:126" x14ac:dyDescent="0.25">
      <c r="A131" s="47" t="s">
        <v>713</v>
      </c>
      <c r="B131" s="47" t="s">
        <v>153</v>
      </c>
      <c r="C131" s="47" t="s">
        <v>714</v>
      </c>
      <c r="D131" s="47" t="s">
        <v>715</v>
      </c>
      <c r="E131" s="47" t="s">
        <v>716</v>
      </c>
      <c r="F131" s="47" t="s">
        <v>698</v>
      </c>
      <c r="G131" s="47" t="s">
        <v>711</v>
      </c>
      <c r="H131" s="47" t="str">
        <f>=IFERROR(VLOOKUP(A131,'ETPT Format DDG'!A:J,10,FALSE),"")</f>
        <v>0</v>
      </c>
      <c r="I131" s="47" t="str">
        <f>='ETPT Format DDG'!M131</f>
        <v/>
      </c>
      <c r="J131" s="47" t="str">
        <f>='ETPT Format DDG'!D131</f>
        <v/>
      </c>
      <c r="K131" s="47" t="s">
        <v>157</v>
      </c>
      <c r="L131" s="47" t="s">
        <v>717</v>
      </c>
      <c r="M131" s="47"/>
      <c r="N131" s="47">
        <v>0.8</v>
      </c>
      <c r="O131" s="47">
        <v>0.8</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0.8</v>
      </c>
      <c r="BP131" s="47">
        <v>0</v>
      </c>
      <c r="BQ131" s="47">
        <v>0</v>
      </c>
      <c r="BR131" s="47">
        <v>0</v>
      </c>
      <c r="BS131" s="47">
        <v>0</v>
      </c>
      <c r="BT131" s="47">
        <v>0</v>
      </c>
      <c r="BU131" s="47">
        <v>0</v>
      </c>
      <c r="BV131" s="47">
        <v>0</v>
      </c>
      <c r="BW131" s="47">
        <v>0</v>
      </c>
      <c r="BX131" s="47">
        <v>0.32</v>
      </c>
      <c r="BY131" s="47">
        <v>0</v>
      </c>
      <c r="BZ131" s="47">
        <v>0.48</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row>
    <row r="132" spans="1:126" x14ac:dyDescent="0.25">
      <c r="A132" s="47" t="s">
        <v>718</v>
      </c>
      <c r="B132" s="47" t="s">
        <v>153</v>
      </c>
      <c r="C132" s="47" t="s">
        <v>719</v>
      </c>
      <c r="D132" s="47" t="s">
        <v>720</v>
      </c>
      <c r="E132" s="47" t="s">
        <v>721</v>
      </c>
      <c r="F132" s="47" t="s">
        <v>698</v>
      </c>
      <c r="G132" s="47" t="s">
        <v>705</v>
      </c>
      <c r="H132" s="47" t="str">
        <f>=IFERROR(VLOOKUP(A132,'ETPT Format DDG'!A:J,10,FALSE),"")</f>
        <v>0</v>
      </c>
      <c r="I132" s="47" t="str">
        <f>='ETPT Format DDG'!M132</f>
        <v/>
      </c>
      <c r="J132" s="47" t="str">
        <f>='ETPT Format DDG'!D132</f>
        <v/>
      </c>
      <c r="K132" s="47" t="s">
        <v>157</v>
      </c>
      <c r="L132" s="47" t="s">
        <v>722</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row>
    <row r="133" spans="1:126" x14ac:dyDescent="0.25">
      <c r="A133" s="47" t="s">
        <v>723</v>
      </c>
      <c r="B133" s="47" t="s">
        <v>153</v>
      </c>
      <c r="C133" s="47" t="s">
        <v>724</v>
      </c>
      <c r="D133" s="47" t="s">
        <v>725</v>
      </c>
      <c r="E133" s="47" t="s">
        <v>726</v>
      </c>
      <c r="F133" s="47" t="s">
        <v>698</v>
      </c>
      <c r="G133" s="47" t="s">
        <v>727</v>
      </c>
      <c r="H133" s="47" t="str">
        <f>=IFERROR(VLOOKUP(A133,'ETPT Format DDG'!A:J,10,FALSE),"")</f>
        <v>0</v>
      </c>
      <c r="I133" s="47" t="str">
        <f>='ETPT Format DDG'!M133</f>
        <v/>
      </c>
      <c r="J133" s="47" t="str">
        <f>='ETPT Format DDG'!D133</f>
        <v/>
      </c>
      <c r="K133" s="47" t="s">
        <v>157</v>
      </c>
      <c r="L133" s="47" t="s">
        <v>728</v>
      </c>
      <c r="M133" s="47"/>
      <c r="N133" s="47">
        <v>1</v>
      </c>
      <c r="O133" s="47">
        <v>1</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1</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row>
    <row r="134" spans="1:126" x14ac:dyDescent="0.25">
      <c r="A134" s="47" t="s">
        <v>729</v>
      </c>
      <c r="B134" s="47" t="s">
        <v>153</v>
      </c>
      <c r="C134" s="47" t="s">
        <v>730</v>
      </c>
      <c r="D134" s="47" t="s">
        <v>731</v>
      </c>
      <c r="E134" s="47" t="s">
        <v>732</v>
      </c>
      <c r="F134" s="47" t="s">
        <v>698</v>
      </c>
      <c r="G134" s="47" t="s">
        <v>705</v>
      </c>
      <c r="H134" s="47" t="str">
        <f>=IFERROR(VLOOKUP(A134,'ETPT Format DDG'!A:J,10,FALSE),"")</f>
        <v>0</v>
      </c>
      <c r="I134" s="47" t="str">
        <f>='ETPT Format DDG'!M134</f>
        <v/>
      </c>
      <c r="J134" s="47" t="str">
        <f>='ETPT Format DDG'!D134</f>
        <v/>
      </c>
      <c r="K134" s="47" t="s">
        <v>157</v>
      </c>
      <c r="L134" s="47" t="s">
        <v>733</v>
      </c>
      <c r="M134" s="47"/>
      <c r="N134" s="47">
        <v>1</v>
      </c>
      <c r="O134" s="47">
        <v>0</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row>
    <row r="135" spans="1:126" x14ac:dyDescent="0.25">
      <c r="A135" s="47" t="s">
        <v>734</v>
      </c>
      <c r="B135" s="47" t="s">
        <v>153</v>
      </c>
      <c r="C135" s="47" t="s">
        <v>735</v>
      </c>
      <c r="D135" s="47" t="s">
        <v>736</v>
      </c>
      <c r="E135" s="47" t="s">
        <v>737</v>
      </c>
      <c r="F135" s="47" t="s">
        <v>698</v>
      </c>
      <c r="G135" s="47" t="s">
        <v>738</v>
      </c>
      <c r="H135" s="47" t="str">
        <f>=IFERROR(VLOOKUP(A135,'ETPT Format DDG'!A:J,10,FALSE),"")</f>
        <v>0</v>
      </c>
      <c r="I135" s="47" t="str">
        <f>='ETPT Format DDG'!M135</f>
        <v/>
      </c>
      <c r="J135" s="47" t="str">
        <f>='ETPT Format DDG'!D135</f>
        <v/>
      </c>
      <c r="K135" s="47" t="s">
        <v>157</v>
      </c>
      <c r="L135" s="47" t="s">
        <v>739</v>
      </c>
      <c r="M135" s="47"/>
      <c r="N135" s="47">
        <v>1</v>
      </c>
      <c r="O135" s="47">
        <v>1</v>
      </c>
      <c r="P135" s="47">
        <v>1</v>
      </c>
      <c r="Q135" s="47">
        <v>0</v>
      </c>
      <c r="R135" s="47">
        <v>0</v>
      </c>
      <c r="S135" s="47">
        <v>0</v>
      </c>
      <c r="T135" s="47">
        <v>0</v>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row>
    <row r="136" spans="1:126" x14ac:dyDescent="0.25">
      <c r="A136" s="47" t="s">
        <v>740</v>
      </c>
      <c r="B136" s="47" t="s">
        <v>153</v>
      </c>
      <c r="C136" s="47" t="s">
        <v>741</v>
      </c>
      <c r="D136" s="47" t="s">
        <v>742</v>
      </c>
      <c r="E136" s="47" t="s">
        <v>743</v>
      </c>
      <c r="F136" s="47" t="s">
        <v>698</v>
      </c>
      <c r="G136" s="47" t="s">
        <v>727</v>
      </c>
      <c r="H136" s="47" t="str">
        <f>=IFERROR(VLOOKUP(A136,'ETPT Format DDG'!A:J,10,FALSE),"")</f>
        <v>0</v>
      </c>
      <c r="I136" s="47" t="str">
        <f>='ETPT Format DDG'!M136</f>
        <v/>
      </c>
      <c r="J136" s="47" t="str">
        <f>='ETPT Format DDG'!D136</f>
        <v/>
      </c>
      <c r="K136" s="47" t="s">
        <v>157</v>
      </c>
      <c r="L136" s="47" t="s">
        <v>593</v>
      </c>
      <c r="M136" s="47"/>
      <c r="N136" s="47">
        <v>1</v>
      </c>
      <c r="O136" s="47">
        <v>0</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row>
    <row r="137" spans="1:126" x14ac:dyDescent="0.25">
      <c r="A137" s="47" t="s">
        <v>744</v>
      </c>
      <c r="B137" s="47" t="s">
        <v>153</v>
      </c>
      <c r="C137" s="47" t="s">
        <v>745</v>
      </c>
      <c r="D137" s="47" t="s">
        <v>746</v>
      </c>
      <c r="E137" s="47" t="s">
        <v>747</v>
      </c>
      <c r="F137" s="47" t="s">
        <v>698</v>
      </c>
      <c r="G137" s="47" t="s">
        <v>705</v>
      </c>
      <c r="H137" s="47" t="str">
        <f>=IFERROR(VLOOKUP(A137,'ETPT Format DDG'!A:J,10,FALSE),"")</f>
        <v>0</v>
      </c>
      <c r="I137" s="47" t="str">
        <f>='ETPT Format DDG'!M137</f>
        <v/>
      </c>
      <c r="J137" s="47" t="str">
        <f>='ETPT Format DDG'!D137</f>
        <v/>
      </c>
      <c r="K137" s="47" t="s">
        <v>157</v>
      </c>
      <c r="L137" s="47" t="s">
        <v>748</v>
      </c>
      <c r="M137" s="47"/>
      <c r="N137" s="47">
        <v>0.8</v>
      </c>
      <c r="O137" s="47">
        <v>0</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row>
    <row r="138" spans="1:126" x14ac:dyDescent="0.25">
      <c r="A138" s="47" t="s">
        <v>749</v>
      </c>
      <c r="B138" s="47" t="s">
        <v>153</v>
      </c>
      <c r="C138" s="47" t="s">
        <v>750</v>
      </c>
      <c r="D138" s="47" t="s">
        <v>751</v>
      </c>
      <c r="E138" s="47" t="s">
        <v>752</v>
      </c>
      <c r="F138" s="47" t="s">
        <v>698</v>
      </c>
      <c r="G138" s="47" t="s">
        <v>738</v>
      </c>
      <c r="H138" s="47" t="str">
        <f>=IFERROR(VLOOKUP(A138,'ETPT Format DDG'!A:J,10,FALSE),"")</f>
        <v>0</v>
      </c>
      <c r="I138" s="47" t="str">
        <f>='ETPT Format DDG'!M138</f>
        <v/>
      </c>
      <c r="J138" s="47" t="str">
        <f>='ETPT Format DDG'!D138</f>
        <v/>
      </c>
      <c r="K138" s="47" t="s">
        <v>157</v>
      </c>
      <c r="L138" s="47" t="s">
        <v>753</v>
      </c>
      <c r="M138" s="47"/>
      <c r="N138" s="47">
        <v>0.8</v>
      </c>
      <c r="O138" s="47">
        <v>0.8</v>
      </c>
      <c r="P138" s="47">
        <v>0.8</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0</v>
      </c>
      <c r="CZ138" s="47">
        <v>0</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row>
    <row r="139" spans="1:126" x14ac:dyDescent="0.25">
      <c r="A139" s="47" t="s">
        <v>754</v>
      </c>
      <c r="B139" s="47" t="s">
        <v>153</v>
      </c>
      <c r="C139" s="47" t="s">
        <v>755</v>
      </c>
      <c r="D139" s="47" t="s">
        <v>756</v>
      </c>
      <c r="E139" s="47" t="s">
        <v>757</v>
      </c>
      <c r="F139" s="47" t="s">
        <v>698</v>
      </c>
      <c r="G139" s="47" t="s">
        <v>727</v>
      </c>
      <c r="H139" s="47" t="str">
        <f>=IFERROR(VLOOKUP(A139,'ETPT Format DDG'!A:J,10,FALSE),"")</f>
        <v>0</v>
      </c>
      <c r="I139" s="47" t="str">
        <f>='ETPT Format DDG'!M139</f>
        <v/>
      </c>
      <c r="J139" s="47" t="str">
        <f>='ETPT Format DDG'!D139</f>
        <v/>
      </c>
      <c r="K139" s="47" t="s">
        <v>157</v>
      </c>
      <c r="L139" s="47" t="s">
        <v>758</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1</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row>
    <row r="140" spans="1:126" x14ac:dyDescent="0.25">
      <c r="A140" s="47" t="s">
        <v>759</v>
      </c>
      <c r="B140" s="47" t="s">
        <v>153</v>
      </c>
      <c r="C140" s="47" t="s">
        <v>760</v>
      </c>
      <c r="D140" s="47" t="s">
        <v>761</v>
      </c>
      <c r="E140" s="47" t="s">
        <v>762</v>
      </c>
      <c r="F140" s="47" t="s">
        <v>698</v>
      </c>
      <c r="G140" s="47" t="s">
        <v>705</v>
      </c>
      <c r="H140" s="47" t="str">
        <f>=IFERROR(VLOOKUP(A140,'ETPT Format DDG'!A:J,10,FALSE),"")</f>
        <v>0</v>
      </c>
      <c r="I140" s="47" t="str">
        <f>='ETPT Format DDG'!M140</f>
        <v/>
      </c>
      <c r="J140" s="47" t="str">
        <f>='ETPT Format DDG'!D140</f>
        <v/>
      </c>
      <c r="K140" s="47" t="s">
        <v>157</v>
      </c>
      <c r="L140" s="47" t="s">
        <v>763</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row>
    <row r="141" spans="1:126" x14ac:dyDescent="0.25">
      <c r="A141" s="47" t="s">
        <v>764</v>
      </c>
      <c r="B141" s="47" t="s">
        <v>153</v>
      </c>
      <c r="C141" s="47" t="s">
        <v>765</v>
      </c>
      <c r="D141" s="47" t="s">
        <v>766</v>
      </c>
      <c r="E141" s="47" t="s">
        <v>767</v>
      </c>
      <c r="F141" s="47" t="s">
        <v>698</v>
      </c>
      <c r="G141" s="47" t="s">
        <v>727</v>
      </c>
      <c r="H141" s="47" t="str">
        <f>=IFERROR(VLOOKUP(A141,'ETPT Format DDG'!A:J,10,FALSE),"")</f>
        <v>0</v>
      </c>
      <c r="I141" s="47" t="str">
        <f>='ETPT Format DDG'!M141</f>
        <v/>
      </c>
      <c r="J141" s="47" t="str">
        <f>='ETPT Format DDG'!D141</f>
        <v/>
      </c>
      <c r="K141" s="47" t="s">
        <v>157</v>
      </c>
      <c r="L141" s="47" t="s">
        <v>728</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row>
    <row r="142" spans="1:126" x14ac:dyDescent="0.25">
      <c r="A142" s="47" t="s">
        <v>768</v>
      </c>
      <c r="B142" s="47" t="s">
        <v>153</v>
      </c>
      <c r="C142" s="47" t="s">
        <v>769</v>
      </c>
      <c r="D142" s="47" t="s">
        <v>770</v>
      </c>
      <c r="E142" s="47" t="s">
        <v>771</v>
      </c>
      <c r="F142" s="47" t="s">
        <v>698</v>
      </c>
      <c r="G142" s="47" t="s">
        <v>727</v>
      </c>
      <c r="H142" s="47" t="str">
        <f>=IFERROR(VLOOKUP(A142,'ETPT Format DDG'!A:J,10,FALSE),"")</f>
        <v>0</v>
      </c>
      <c r="I142" s="47" t="str">
        <f>='ETPT Format DDG'!M142</f>
        <v/>
      </c>
      <c r="J142" s="47" t="str">
        <f>='ETPT Format DDG'!D142</f>
        <v/>
      </c>
      <c r="K142" s="47" t="s">
        <v>157</v>
      </c>
      <c r="L142" s="47" t="s">
        <v>772</v>
      </c>
      <c r="M142" s="47"/>
      <c r="N142" s="47">
        <v>1</v>
      </c>
      <c r="O142" s="47">
        <v>1</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1</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row>
    <row r="143" spans="1:126" x14ac:dyDescent="0.25">
      <c r="A143" s="47" t="s">
        <v>773</v>
      </c>
      <c r="B143" s="47" t="s">
        <v>153</v>
      </c>
      <c r="C143" s="47" t="s">
        <v>774</v>
      </c>
      <c r="D143" s="47" t="s">
        <v>775</v>
      </c>
      <c r="E143" s="47" t="s">
        <v>776</v>
      </c>
      <c r="F143" s="47" t="s">
        <v>698</v>
      </c>
      <c r="G143" s="47" t="s">
        <v>727</v>
      </c>
      <c r="H143" s="47" t="str">
        <f>=IFERROR(VLOOKUP(A143,'ETPT Format DDG'!A:J,10,FALSE),"")</f>
        <v>0</v>
      </c>
      <c r="I143" s="47" t="str">
        <f>='ETPT Format DDG'!M143</f>
        <v/>
      </c>
      <c r="J143" s="47" t="str">
        <f>='ETPT Format DDG'!D143</f>
        <v/>
      </c>
      <c r="K143" s="47" t="s">
        <v>157</v>
      </c>
      <c r="L143" s="47" t="s">
        <v>777</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row>
    <row r="144" spans="1:126" x14ac:dyDescent="0.25">
      <c r="A144" s="47" t="s">
        <v>778</v>
      </c>
      <c r="B144" s="47" t="s">
        <v>153</v>
      </c>
      <c r="C144" s="47" t="s">
        <v>779</v>
      </c>
      <c r="D144" s="47" t="s">
        <v>780</v>
      </c>
      <c r="E144" s="47" t="s">
        <v>781</v>
      </c>
      <c r="F144" s="47" t="s">
        <v>698</v>
      </c>
      <c r="G144" s="47" t="s">
        <v>738</v>
      </c>
      <c r="H144" s="47" t="str">
        <f>=IFERROR(VLOOKUP(A144,'ETPT Format DDG'!A:J,10,FALSE),"")</f>
        <v>0</v>
      </c>
      <c r="I144" s="47" t="str">
        <f>='ETPT Format DDG'!M144</f>
        <v/>
      </c>
      <c r="J144" s="47" t="str">
        <f>='ETPT Format DDG'!D144</f>
        <v/>
      </c>
      <c r="K144" s="47" t="s">
        <v>157</v>
      </c>
      <c r="L144" s="47" t="s">
        <v>782</v>
      </c>
      <c r="M144" s="47"/>
      <c r="N144" s="47">
        <v>1</v>
      </c>
      <c r="O144" s="47">
        <v>0</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row>
    <row r="145" spans="1:126" x14ac:dyDescent="0.25">
      <c r="A145" s="47" t="s">
        <v>783</v>
      </c>
      <c r="B145" s="47" t="s">
        <v>153</v>
      </c>
      <c r="C145" s="47" t="s">
        <v>784</v>
      </c>
      <c r="D145" s="47" t="s">
        <v>785</v>
      </c>
      <c r="E145" s="47" t="s">
        <v>786</v>
      </c>
      <c r="F145" s="47" t="s">
        <v>698</v>
      </c>
      <c r="G145" s="47" t="s">
        <v>727</v>
      </c>
      <c r="H145" s="47" t="str">
        <f>=IFERROR(VLOOKUP(A145,'ETPT Format DDG'!A:J,10,FALSE),"")</f>
        <v>0</v>
      </c>
      <c r="I145" s="47" t="str">
        <f>='ETPT Format DDG'!M145</f>
        <v/>
      </c>
      <c r="J145" s="47" t="str">
        <f>='ETPT Format DDG'!D145</f>
        <v/>
      </c>
      <c r="K145" s="47" t="s">
        <v>157</v>
      </c>
      <c r="L145" s="47" t="s">
        <v>712</v>
      </c>
      <c r="M145" s="47"/>
      <c r="N145" s="47">
        <v>1</v>
      </c>
      <c r="O145" s="47">
        <v>1</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1</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row>
    <row r="146" spans="1:126" x14ac:dyDescent="0.25">
      <c r="A146" s="47" t="s">
        <v>787</v>
      </c>
      <c r="B146" s="47" t="s">
        <v>153</v>
      </c>
      <c r="C146" s="47" t="s">
        <v>788</v>
      </c>
      <c r="D146" s="47" t="s">
        <v>789</v>
      </c>
      <c r="E146" s="47" t="s">
        <v>790</v>
      </c>
      <c r="F146" s="47" t="s">
        <v>698</v>
      </c>
      <c r="G146" s="47" t="s">
        <v>705</v>
      </c>
      <c r="H146" s="47" t="str">
        <f>=IFERROR(VLOOKUP(A146,'ETPT Format DDG'!A:J,10,FALSE),"")</f>
        <v>0</v>
      </c>
      <c r="I146" s="47" t="str">
        <f>='ETPT Format DDG'!M146</f>
        <v/>
      </c>
      <c r="J146" s="47" t="str">
        <f>='ETPT Format DDG'!D146</f>
        <v/>
      </c>
      <c r="K146" s="47" t="s">
        <v>157</v>
      </c>
      <c r="L146" s="47" t="s">
        <v>791</v>
      </c>
      <c r="M146" s="47"/>
      <c r="N146" s="47">
        <v>1</v>
      </c>
      <c r="O146" s="47">
        <v>0</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row>
    <row r="147" spans="1:126" x14ac:dyDescent="0.25">
      <c r="A147" s="47" t="s">
        <v>792</v>
      </c>
      <c r="B147" s="47" t="s">
        <v>153</v>
      </c>
      <c r="C147" s="47" t="s">
        <v>793</v>
      </c>
      <c r="D147" s="47" t="s">
        <v>794</v>
      </c>
      <c r="E147" s="47" t="s">
        <v>795</v>
      </c>
      <c r="F147" s="47" t="s">
        <v>698</v>
      </c>
      <c r="G147" s="47" t="s">
        <v>705</v>
      </c>
      <c r="H147" s="47" t="str">
        <f>=IFERROR(VLOOKUP(A147,'ETPT Format DDG'!A:J,10,FALSE),"")</f>
        <v>0</v>
      </c>
      <c r="I147" s="47" t="str">
        <f>='ETPT Format DDG'!M147</f>
        <v/>
      </c>
      <c r="J147" s="47" t="str">
        <f>='ETPT Format DDG'!D147</f>
        <v/>
      </c>
      <c r="K147" s="47" t="s">
        <v>157</v>
      </c>
      <c r="L147" s="47" t="s">
        <v>796</v>
      </c>
      <c r="M147" s="47"/>
      <c r="N147" s="47">
        <v>0.9</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c r="DS147" s="47">
        <v>0</v>
      </c>
      <c r="DT147" s="47">
        <v>0</v>
      </c>
    </row>
    <row r="148" spans="1:126" x14ac:dyDescent="0.25">
      <c r="A148" s="47" t="s">
        <v>797</v>
      </c>
      <c r="B148" s="47" t="s">
        <v>153</v>
      </c>
      <c r="C148" s="47" t="s">
        <v>798</v>
      </c>
      <c r="D148" s="47" t="s">
        <v>799</v>
      </c>
      <c r="E148" s="47" t="s">
        <v>800</v>
      </c>
      <c r="F148" s="47" t="s">
        <v>698</v>
      </c>
      <c r="G148" s="47" t="s">
        <v>727</v>
      </c>
      <c r="H148" s="47" t="str">
        <f>=IFERROR(VLOOKUP(A148,'ETPT Format DDG'!A:J,10,FALSE),"")</f>
        <v>0</v>
      </c>
      <c r="I148" s="47" t="str">
        <f>='ETPT Format DDG'!M148</f>
        <v/>
      </c>
      <c r="J148" s="47" t="str">
        <f>='ETPT Format DDG'!D148</f>
        <v/>
      </c>
      <c r="K148" s="47" t="s">
        <v>157</v>
      </c>
      <c r="L148" s="47" t="s">
        <v>801</v>
      </c>
      <c r="M148" s="47"/>
      <c r="N148" s="47">
        <v>1</v>
      </c>
      <c r="O148" s="47">
        <v>0</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row>
    <row r="149" spans="1:126" x14ac:dyDescent="0.25">
      <c r="A149" s="47" t="s">
        <v>802</v>
      </c>
      <c r="B149" s="47" t="s">
        <v>153</v>
      </c>
      <c r="C149" s="47" t="s">
        <v>803</v>
      </c>
      <c r="D149" s="47" t="s">
        <v>804</v>
      </c>
      <c r="E149" s="47" t="s">
        <v>805</v>
      </c>
      <c r="F149" s="47" t="s">
        <v>698</v>
      </c>
      <c r="G149" s="47" t="s">
        <v>738</v>
      </c>
      <c r="H149" s="47" t="str">
        <f>=IFERROR(VLOOKUP(A149,'ETPT Format DDG'!A:J,10,FALSE),"")</f>
        <v>0</v>
      </c>
      <c r="I149" s="47" t="str">
        <f>='ETPT Format DDG'!M149</f>
        <v/>
      </c>
      <c r="J149" s="47" t="str">
        <f>='ETPT Format DDG'!D149</f>
        <v/>
      </c>
      <c r="K149" s="47" t="s">
        <v>157</v>
      </c>
      <c r="L149" s="47" t="s">
        <v>806</v>
      </c>
      <c r="M149" s="47"/>
      <c r="N149" s="47">
        <v>0.5</v>
      </c>
      <c r="O149" s="47">
        <v>0.5</v>
      </c>
      <c r="P149" s="47">
        <v>0.5</v>
      </c>
      <c r="Q149" s="47">
        <v>0</v>
      </c>
      <c r="R149" s="47">
        <v>0</v>
      </c>
      <c r="S149" s="47">
        <v>0</v>
      </c>
      <c r="T149" s="47">
        <v>0</v>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c r="DS149" s="47">
        <v>0</v>
      </c>
      <c r="DT149" s="47">
        <v>0</v>
      </c>
    </row>
    <row r="150" spans="1:126" x14ac:dyDescent="0.25">
      <c r="A150" s="47" t="s">
        <v>807</v>
      </c>
      <c r="B150" s="47" t="s">
        <v>153</v>
      </c>
      <c r="C150" s="47" t="s">
        <v>808</v>
      </c>
      <c r="D150" s="47" t="s">
        <v>809</v>
      </c>
      <c r="E150" s="47" t="s">
        <v>810</v>
      </c>
      <c r="F150" s="47" t="s">
        <v>698</v>
      </c>
      <c r="G150" s="47" t="s">
        <v>727</v>
      </c>
      <c r="H150" s="47" t="str">
        <f>=IFERROR(VLOOKUP(A150,'ETPT Format DDG'!A:J,10,FALSE),"")</f>
        <v>0</v>
      </c>
      <c r="I150" s="47" t="str">
        <f>='ETPT Format DDG'!M150</f>
        <v/>
      </c>
      <c r="J150" s="47" t="str">
        <f>='ETPT Format DDG'!D150</f>
        <v/>
      </c>
      <c r="K150" s="47" t="s">
        <v>157</v>
      </c>
      <c r="L150" s="47" t="s">
        <v>811</v>
      </c>
      <c r="M150" s="47"/>
      <c r="N150" s="47">
        <v>1</v>
      </c>
      <c r="O150" s="47">
        <v>0</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c r="DT150" s="47">
        <v>0</v>
      </c>
    </row>
    <row r="151" spans="1:126" x14ac:dyDescent="0.25">
      <c r="A151" s="47" t="s">
        <v>812</v>
      </c>
      <c r="B151" s="47" t="s">
        <v>153</v>
      </c>
      <c r="C151" s="47" t="s">
        <v>813</v>
      </c>
      <c r="D151" s="47" t="s">
        <v>814</v>
      </c>
      <c r="E151" s="47" t="s">
        <v>815</v>
      </c>
      <c r="F151" s="47" t="s">
        <v>698</v>
      </c>
      <c r="G151" s="47" t="s">
        <v>727</v>
      </c>
      <c r="H151" s="47" t="str">
        <f>=IFERROR(VLOOKUP(A151,'ETPT Format DDG'!A:J,10,FALSE),"")</f>
        <v>0</v>
      </c>
      <c r="I151" s="47" t="str">
        <f>='ETPT Format DDG'!M151</f>
        <v/>
      </c>
      <c r="J151" s="47" t="str">
        <f>='ETPT Format DDG'!D151</f>
        <v/>
      </c>
      <c r="K151" s="47" t="s">
        <v>157</v>
      </c>
      <c r="L151" s="47" t="s">
        <v>816</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row>
    <row r="152" spans="1:126" x14ac:dyDescent="0.25">
      <c r="A152" s="47" t="s">
        <v>817</v>
      </c>
      <c r="B152" s="47" t="s">
        <v>153</v>
      </c>
      <c r="C152" s="47" t="s">
        <v>818</v>
      </c>
      <c r="D152" s="47" t="s">
        <v>819</v>
      </c>
      <c r="E152" s="47" t="s">
        <v>820</v>
      </c>
      <c r="F152" s="47" t="s">
        <v>698</v>
      </c>
      <c r="G152" s="47" t="s">
        <v>821</v>
      </c>
      <c r="H152" s="47" t="str">
        <f>=IFERROR(VLOOKUP(A152,'ETPT Format DDG'!A:J,10,FALSE),"")</f>
        <v>0</v>
      </c>
      <c r="I152" s="47" t="str">
        <f>='ETPT Format DDG'!M152</f>
        <v/>
      </c>
      <c r="J152" s="47" t="str">
        <f>='ETPT Format DDG'!D152</f>
        <v/>
      </c>
      <c r="K152" s="47" t="s">
        <v>157</v>
      </c>
      <c r="L152" s="47" t="s">
        <v>822</v>
      </c>
      <c r="M152" s="47"/>
      <c r="N152" s="47">
        <v>0.8</v>
      </c>
      <c r="O152" s="47">
        <v>0.8</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0.8</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0</v>
      </c>
      <c r="CZ152" s="47">
        <v>0</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row>
    <row r="153" spans="1:126" x14ac:dyDescent="0.25">
      <c r="A153" s="47" t="s">
        <v>823</v>
      </c>
      <c r="B153" s="47" t="s">
        <v>153</v>
      </c>
      <c r="C153" s="47" t="s">
        <v>824</v>
      </c>
      <c r="D153" s="47" t="s">
        <v>825</v>
      </c>
      <c r="E153" s="47" t="s">
        <v>826</v>
      </c>
      <c r="F153" s="47" t="s">
        <v>698</v>
      </c>
      <c r="G153" s="47" t="s">
        <v>727</v>
      </c>
      <c r="H153" s="47" t="str">
        <f>=IFERROR(VLOOKUP(A153,'ETPT Format DDG'!A:J,10,FALSE),"")</f>
        <v>0</v>
      </c>
      <c r="I153" s="47" t="str">
        <f>='ETPT Format DDG'!M153</f>
        <v/>
      </c>
      <c r="J153" s="47" t="str">
        <f>='ETPT Format DDG'!D153</f>
        <v/>
      </c>
      <c r="K153" s="47" t="s">
        <v>157</v>
      </c>
      <c r="L153" s="47" t="s">
        <v>728</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row>
    <row r="154" spans="1:126" x14ac:dyDescent="0.25">
      <c r="A154" s="47" t="s">
        <v>827</v>
      </c>
      <c r="B154" s="47" t="s">
        <v>153</v>
      </c>
      <c r="C154" s="47" t="s">
        <v>828</v>
      </c>
      <c r="D154" s="47" t="s">
        <v>829</v>
      </c>
      <c r="E154" s="47" t="s">
        <v>830</v>
      </c>
      <c r="F154" s="47" t="s">
        <v>698</v>
      </c>
      <c r="G154" s="47" t="s">
        <v>727</v>
      </c>
      <c r="H154" s="47" t="str">
        <f>=IFERROR(VLOOKUP(A154,'ETPT Format DDG'!A:J,10,FALSE),"")</f>
        <v>0</v>
      </c>
      <c r="I154" s="47" t="str">
        <f>='ETPT Format DDG'!M154</f>
        <v/>
      </c>
      <c r="J154" s="47" t="str">
        <f>='ETPT Format DDG'!D154</f>
        <v/>
      </c>
      <c r="K154" s="47" t="s">
        <v>157</v>
      </c>
      <c r="L154" s="47" t="s">
        <v>831</v>
      </c>
      <c r="M154" s="47"/>
      <c r="N154" s="47">
        <v>1</v>
      </c>
      <c r="O154" s="47">
        <v>1</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1</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row>
    <row r="155" spans="1:126" x14ac:dyDescent="0.25">
      <c r="A155" s="47" t="s">
        <v>832</v>
      </c>
      <c r="B155" s="47" t="s">
        <v>153</v>
      </c>
      <c r="C155" s="47" t="s">
        <v>833</v>
      </c>
      <c r="D155" s="47" t="s">
        <v>834</v>
      </c>
      <c r="E155" s="47" t="s">
        <v>835</v>
      </c>
      <c r="F155" s="47" t="s">
        <v>698</v>
      </c>
      <c r="G155" s="47" t="s">
        <v>705</v>
      </c>
      <c r="H155" s="47" t="str">
        <f>=IFERROR(VLOOKUP(A155,'ETPT Format DDG'!A:J,10,FALSE),"")</f>
        <v>0</v>
      </c>
      <c r="I155" s="47" t="str">
        <f>='ETPT Format DDG'!M155</f>
        <v/>
      </c>
      <c r="J155" s="47" t="str">
        <f>='ETPT Format DDG'!D155</f>
        <v/>
      </c>
      <c r="K155" s="47" t="s">
        <v>157</v>
      </c>
      <c r="L155" s="47" t="s">
        <v>836</v>
      </c>
      <c r="M155" s="47"/>
      <c r="N155" s="47">
        <v>1</v>
      </c>
      <c r="O155" s="47">
        <v>0</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c r="DS155" s="47">
        <v>0</v>
      </c>
      <c r="DT155" s="47">
        <v>0</v>
      </c>
    </row>
    <row r="156" spans="1:126" x14ac:dyDescent="0.25">
      <c r="A156" s="47" t="s">
        <v>837</v>
      </c>
      <c r="B156" s="47" t="s">
        <v>153</v>
      </c>
      <c r="C156" s="47" t="s">
        <v>838</v>
      </c>
      <c r="D156" s="47" t="s">
        <v>839</v>
      </c>
      <c r="E156" s="47" t="s">
        <v>840</v>
      </c>
      <c r="F156" s="47" t="s">
        <v>698</v>
      </c>
      <c r="G156" s="47" t="s">
        <v>727</v>
      </c>
      <c r="H156" s="47" t="str">
        <f>=IFERROR(VLOOKUP(A156,'ETPT Format DDG'!A:J,10,FALSE),"")</f>
        <v>0</v>
      </c>
      <c r="I156" s="47" t="str">
        <f>='ETPT Format DDG'!M156</f>
        <v/>
      </c>
      <c r="J156" s="47" t="str">
        <f>='ETPT Format DDG'!D156</f>
        <v/>
      </c>
      <c r="K156" s="47" t="s">
        <v>157</v>
      </c>
      <c r="L156" s="47" t="s">
        <v>722</v>
      </c>
      <c r="M156" s="47"/>
      <c r="N156" s="47">
        <v>1</v>
      </c>
      <c r="O156" s="47">
        <v>0</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row>
    <row r="157" spans="1:126" x14ac:dyDescent="0.25">
      <c r="A157" s="47" t="s">
        <v>841</v>
      </c>
      <c r="B157" s="47" t="s">
        <v>153</v>
      </c>
      <c r="C157" s="47" t="s">
        <v>842</v>
      </c>
      <c r="D157" s="47" t="s">
        <v>843</v>
      </c>
      <c r="E157" s="47" t="s">
        <v>844</v>
      </c>
      <c r="F157" s="47" t="s">
        <v>698</v>
      </c>
      <c r="G157" s="47" t="s">
        <v>727</v>
      </c>
      <c r="H157" s="47" t="str">
        <f>=IFERROR(VLOOKUP(A157,'ETPT Format DDG'!A:J,10,FALSE),"")</f>
        <v>0</v>
      </c>
      <c r="I157" s="47" t="str">
        <f>='ETPT Format DDG'!M157</f>
        <v/>
      </c>
      <c r="J157" s="47" t="str">
        <f>='ETPT Format DDG'!D157</f>
        <v/>
      </c>
      <c r="K157" s="47" t="s">
        <v>157</v>
      </c>
      <c r="L157" s="47" t="s">
        <v>836</v>
      </c>
      <c r="M157" s="47"/>
      <c r="N157" s="47">
        <v>1</v>
      </c>
      <c r="O157" s="47">
        <v>0</v>
      </c>
      <c r="P157" s="47">
        <v>0</v>
      </c>
      <c r="Q157" s="47">
        <v>0</v>
      </c>
      <c r="R157" s="47">
        <v>0</v>
      </c>
      <c r="S157" s="47">
        <v>0</v>
      </c>
      <c r="T157" s="47">
        <v>0</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row>
    <row r="158" spans="1:126" x14ac:dyDescent="0.25">
      <c r="A158" s="47" t="s">
        <v>845</v>
      </c>
      <c r="B158" s="47" t="s">
        <v>153</v>
      </c>
      <c r="C158" s="47" t="s">
        <v>846</v>
      </c>
      <c r="D158" s="47" t="s">
        <v>847</v>
      </c>
      <c r="E158" s="47" t="s">
        <v>848</v>
      </c>
      <c r="F158" s="47" t="s">
        <v>698</v>
      </c>
      <c r="G158" s="47" t="s">
        <v>727</v>
      </c>
      <c r="H158" s="47" t="str">
        <f>=IFERROR(VLOOKUP(A158,'ETPT Format DDG'!A:J,10,FALSE),"")</f>
        <v>0</v>
      </c>
      <c r="I158" s="47" t="str">
        <f>='ETPT Format DDG'!M158</f>
        <v/>
      </c>
      <c r="J158" s="47" t="str">
        <f>='ETPT Format DDG'!D158</f>
        <v/>
      </c>
      <c r="K158" s="47" t="s">
        <v>157</v>
      </c>
      <c r="L158" s="47" t="s">
        <v>849</v>
      </c>
      <c r="M158" s="47"/>
      <c r="N158" s="47">
        <v>1</v>
      </c>
      <c r="O158" s="47">
        <v>0</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row>
    <row r="159" spans="1:126" x14ac:dyDescent="0.25">
      <c r="A159" s="47" t="s">
        <v>850</v>
      </c>
      <c r="B159" s="47" t="s">
        <v>153</v>
      </c>
      <c r="C159" s="47" t="s">
        <v>851</v>
      </c>
      <c r="D159" s="47" t="s">
        <v>852</v>
      </c>
      <c r="E159" s="47" t="s">
        <v>853</v>
      </c>
      <c r="F159" s="47" t="s">
        <v>698</v>
      </c>
      <c r="G159" s="47" t="s">
        <v>711</v>
      </c>
      <c r="H159" s="47" t="str">
        <f>=IFERROR(VLOOKUP(A159,'ETPT Format DDG'!A:J,10,FALSE),"")</f>
        <v>0</v>
      </c>
      <c r="I159" s="47" t="str">
        <f>='ETPT Format DDG'!M159</f>
        <v/>
      </c>
      <c r="J159" s="47" t="str">
        <f>='ETPT Format DDG'!D159</f>
        <v/>
      </c>
      <c r="K159" s="47" t="s">
        <v>157</v>
      </c>
      <c r="L159" s="47" t="s">
        <v>791</v>
      </c>
      <c r="M159" s="47"/>
      <c r="N159" s="47">
        <v>0.8</v>
      </c>
      <c r="O159" s="47">
        <v>0.8</v>
      </c>
      <c r="P159" s="47">
        <v>0</v>
      </c>
      <c r="Q159" s="47">
        <v>0</v>
      </c>
      <c r="R159" s="47">
        <v>0</v>
      </c>
      <c r="S159" s="47">
        <v>0</v>
      </c>
      <c r="T159" s="47">
        <v>0</v>
      </c>
      <c r="U159" s="47">
        <v>0.8</v>
      </c>
      <c r="V159" s="47">
        <v>0.8</v>
      </c>
      <c r="W159" s="47">
        <v>0</v>
      </c>
      <c r="X159" s="47">
        <v>0</v>
      </c>
      <c r="Y159" s="47">
        <v>0</v>
      </c>
      <c r="Z159" s="47">
        <v>0</v>
      </c>
      <c r="AA159" s="47">
        <v>0</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row>
    <row r="160" spans="1:126" x14ac:dyDescent="0.25">
      <c r="A160" s="47" t="s">
        <v>854</v>
      </c>
      <c r="B160" s="47" t="s">
        <v>153</v>
      </c>
      <c r="C160" s="47" t="s">
        <v>855</v>
      </c>
      <c r="D160" s="47" t="s">
        <v>856</v>
      </c>
      <c r="E160" s="47" t="s">
        <v>857</v>
      </c>
      <c r="F160" s="47" t="s">
        <v>698</v>
      </c>
      <c r="G160" s="47" t="s">
        <v>727</v>
      </c>
      <c r="H160" s="47" t="str">
        <f>=IFERROR(VLOOKUP(A160,'ETPT Format DDG'!A:J,10,FALSE),"")</f>
        <v>0</v>
      </c>
      <c r="I160" s="47" t="str">
        <f>='ETPT Format DDG'!M160</f>
        <v/>
      </c>
      <c r="J160" s="47" t="str">
        <f>='ETPT Format DDG'!D160</f>
        <v/>
      </c>
      <c r="K160" s="47" t="s">
        <v>157</v>
      </c>
      <c r="L160" s="47" t="s">
        <v>816</v>
      </c>
      <c r="M160" s="47"/>
      <c r="N160" s="47">
        <v>1</v>
      </c>
      <c r="O160" s="47">
        <v>1</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1</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c r="DS160" s="47">
        <v>0</v>
      </c>
      <c r="DT160" s="47">
        <v>0</v>
      </c>
    </row>
    <row r="161" spans="1:126" x14ac:dyDescent="0.25">
      <c r="A161" s="47" t="s">
        <v>858</v>
      </c>
      <c r="B161" s="47" t="s">
        <v>153</v>
      </c>
      <c r="C161" s="47" t="s">
        <v>859</v>
      </c>
      <c r="D161" s="47" t="s">
        <v>860</v>
      </c>
      <c r="E161" s="47" t="s">
        <v>861</v>
      </c>
      <c r="F161" s="47" t="s">
        <v>698</v>
      </c>
      <c r="G161" s="47" t="s">
        <v>727</v>
      </c>
      <c r="H161" s="47" t="str">
        <f>=IFERROR(VLOOKUP(A161,'ETPT Format DDG'!A:J,10,FALSE),"")</f>
        <v>0</v>
      </c>
      <c r="I161" s="47" t="str">
        <f>='ETPT Format DDG'!M161</f>
        <v/>
      </c>
      <c r="J161" s="47" t="str">
        <f>='ETPT Format DDG'!D161</f>
        <v/>
      </c>
      <c r="K161" s="47" t="s">
        <v>157</v>
      </c>
      <c r="L161" s="47" t="s">
        <v>712</v>
      </c>
      <c r="M161" s="47"/>
      <c r="N161" s="47">
        <v>1</v>
      </c>
      <c r="O161" s="47">
        <v>0</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c r="DT161" s="47">
        <v>0</v>
      </c>
    </row>
    <row r="162" spans="1:126" x14ac:dyDescent="0.25">
      <c r="A162" s="47" t="s">
        <v>862</v>
      </c>
      <c r="B162" s="47" t="s">
        <v>153</v>
      </c>
      <c r="C162" s="47" t="s">
        <v>863</v>
      </c>
      <c r="D162" s="47" t="s">
        <v>864</v>
      </c>
      <c r="E162" s="47" t="s">
        <v>865</v>
      </c>
      <c r="F162" s="47" t="s">
        <v>698</v>
      </c>
      <c r="G162" s="47" t="s">
        <v>727</v>
      </c>
      <c r="H162" s="47" t="str">
        <f>=IFERROR(VLOOKUP(A162,'ETPT Format DDG'!A:J,10,FALSE),"")</f>
        <v>0</v>
      </c>
      <c r="I162" s="47" t="str">
        <f>='ETPT Format DDG'!M162</f>
        <v/>
      </c>
      <c r="J162" s="47" t="str">
        <f>='ETPT Format DDG'!D162</f>
        <v/>
      </c>
      <c r="K162" s="47" t="s">
        <v>157</v>
      </c>
      <c r="L162" s="47" t="s">
        <v>866</v>
      </c>
      <c r="M162" s="47"/>
      <c r="N162" s="47">
        <v>0.9</v>
      </c>
      <c r="O162" s="47">
        <v>0.9</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0.9</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c r="DT162" s="47">
        <v>0</v>
      </c>
    </row>
    <row r="163" spans="1:126" x14ac:dyDescent="0.25">
      <c r="A163" s="47" t="s">
        <v>867</v>
      </c>
      <c r="B163" s="47" t="s">
        <v>153</v>
      </c>
      <c r="C163" s="47" t="s">
        <v>868</v>
      </c>
      <c r="D163" s="47" t="s">
        <v>869</v>
      </c>
      <c r="E163" s="47" t="s">
        <v>870</v>
      </c>
      <c r="F163" s="47" t="s">
        <v>698</v>
      </c>
      <c r="G163" s="47" t="s">
        <v>727</v>
      </c>
      <c r="H163" s="47" t="str">
        <f>=IFERROR(VLOOKUP(A163,'ETPT Format DDG'!A:J,10,FALSE),"")</f>
        <v>0</v>
      </c>
      <c r="I163" s="47" t="str">
        <f>='ETPT Format DDG'!M163</f>
        <v/>
      </c>
      <c r="J163" s="47" t="str">
        <f>='ETPT Format DDG'!D163</f>
        <v/>
      </c>
      <c r="K163" s="47" t="s">
        <v>157</v>
      </c>
      <c r="L163" s="47" t="s">
        <v>871</v>
      </c>
      <c r="M163" s="47"/>
      <c r="N163" s="47">
        <v>1</v>
      </c>
      <c r="O163" s="47">
        <v>1</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1</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row>
    <row r="164" spans="1:126" x14ac:dyDescent="0.25">
      <c r="A164" s="47" t="s">
        <v>872</v>
      </c>
      <c r="B164" s="47" t="s">
        <v>153</v>
      </c>
      <c r="C164" s="47" t="s">
        <v>873</v>
      </c>
      <c r="D164" s="47" t="s">
        <v>874</v>
      </c>
      <c r="E164" s="47" t="s">
        <v>875</v>
      </c>
      <c r="F164" s="47" t="s">
        <v>698</v>
      </c>
      <c r="G164" s="47" t="s">
        <v>705</v>
      </c>
      <c r="H164" s="47" t="str">
        <f>=IFERROR(VLOOKUP(A164,'ETPT Format DDG'!A:J,10,FALSE),"")</f>
        <v>0</v>
      </c>
      <c r="I164" s="47" t="str">
        <f>='ETPT Format DDG'!M164</f>
        <v/>
      </c>
      <c r="J164" s="47" t="str">
        <f>='ETPT Format DDG'!D164</f>
        <v/>
      </c>
      <c r="K164" s="47" t="s">
        <v>157</v>
      </c>
      <c r="L164" s="47" t="s">
        <v>876</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row>
    <row r="165" spans="1:126" x14ac:dyDescent="0.25">
      <c r="A165" s="47" t="s">
        <v>877</v>
      </c>
      <c r="B165" s="47" t="s">
        <v>153</v>
      </c>
      <c r="C165" s="47" t="s">
        <v>878</v>
      </c>
      <c r="D165" s="47" t="s">
        <v>879</v>
      </c>
      <c r="E165" s="47" t="s">
        <v>880</v>
      </c>
      <c r="F165" s="47" t="s">
        <v>698</v>
      </c>
      <c r="G165" s="47" t="s">
        <v>705</v>
      </c>
      <c r="H165" s="47" t="str">
        <f>=IFERROR(VLOOKUP(A165,'ETPT Format DDG'!A:J,10,FALSE),"")</f>
        <v>0</v>
      </c>
      <c r="I165" s="47" t="str">
        <f>='ETPT Format DDG'!M165</f>
        <v/>
      </c>
      <c r="J165" s="47" t="str">
        <f>='ETPT Format DDG'!D165</f>
        <v/>
      </c>
      <c r="K165" s="47" t="s">
        <v>157</v>
      </c>
      <c r="L165" s="47" t="s">
        <v>881</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row>
    <row r="166" spans="1:126" x14ac:dyDescent="0.25">
      <c r="A166" s="47" t="s">
        <v>882</v>
      </c>
      <c r="B166" s="47" t="s">
        <v>153</v>
      </c>
      <c r="C166" s="47" t="s">
        <v>883</v>
      </c>
      <c r="D166" s="47" t="s">
        <v>884</v>
      </c>
      <c r="E166" s="47" t="s">
        <v>885</v>
      </c>
      <c r="F166" s="47" t="s">
        <v>698</v>
      </c>
      <c r="G166" s="47" t="s">
        <v>727</v>
      </c>
      <c r="H166" s="47" t="str">
        <f>=IFERROR(VLOOKUP(A166,'ETPT Format DDG'!A:J,10,FALSE),"")</f>
        <v>0</v>
      </c>
      <c r="I166" s="47" t="str">
        <f>='ETPT Format DDG'!M166</f>
        <v/>
      </c>
      <c r="J166" s="47" t="str">
        <f>='ETPT Format DDG'!D166</f>
        <v/>
      </c>
      <c r="K166" s="47" t="s">
        <v>157</v>
      </c>
      <c r="L166" s="47" t="s">
        <v>739</v>
      </c>
      <c r="M166" s="47"/>
      <c r="N166" s="47">
        <v>0.8</v>
      </c>
      <c r="O166" s="47">
        <v>0</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row>
    <row r="167" spans="1:126" x14ac:dyDescent="0.25">
      <c r="A167" s="47" t="s">
        <v>886</v>
      </c>
      <c r="B167" s="47" t="s">
        <v>153</v>
      </c>
      <c r="C167" s="47" t="s">
        <v>887</v>
      </c>
      <c r="D167" s="47" t="s">
        <v>888</v>
      </c>
      <c r="E167" s="47" t="s">
        <v>889</v>
      </c>
      <c r="F167" s="47" t="s">
        <v>698</v>
      </c>
      <c r="G167" s="47" t="s">
        <v>705</v>
      </c>
      <c r="H167" s="47" t="str">
        <f>=IFERROR(VLOOKUP(A167,'ETPT Format DDG'!A:J,10,FALSE),"")</f>
        <v>0</v>
      </c>
      <c r="I167" s="47" t="str">
        <f>='ETPT Format DDG'!M167</f>
        <v/>
      </c>
      <c r="J167" s="47" t="str">
        <f>='ETPT Format DDG'!D167</f>
        <v/>
      </c>
      <c r="K167" s="47" t="s">
        <v>157</v>
      </c>
      <c r="L167" s="47" t="s">
        <v>717</v>
      </c>
      <c r="M167" s="47"/>
      <c r="N167" s="47">
        <v>1</v>
      </c>
      <c r="O167" s="47">
        <v>0</v>
      </c>
      <c r="P167" s="47">
        <v>0</v>
      </c>
      <c r="Q167" s="47">
        <v>0</v>
      </c>
      <c r="R167" s="47">
        <v>0</v>
      </c>
      <c r="S167" s="47">
        <v>0</v>
      </c>
      <c r="T167" s="47">
        <v>0</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row>
    <row r="168" spans="1:126" x14ac:dyDescent="0.25">
      <c r="A168" s="47" t="s">
        <v>890</v>
      </c>
      <c r="B168" s="47" t="s">
        <v>153</v>
      </c>
      <c r="C168" s="47" t="s">
        <v>891</v>
      </c>
      <c r="D168" s="47" t="s">
        <v>892</v>
      </c>
      <c r="E168" s="47" t="s">
        <v>893</v>
      </c>
      <c r="F168" s="47" t="s">
        <v>698</v>
      </c>
      <c r="G168" s="47" t="s">
        <v>727</v>
      </c>
      <c r="H168" s="47" t="str">
        <f>=IFERROR(VLOOKUP(A168,'ETPT Format DDG'!A:J,10,FALSE),"")</f>
        <v>0</v>
      </c>
      <c r="I168" s="47" t="str">
        <f>='ETPT Format DDG'!M168</f>
        <v/>
      </c>
      <c r="J168" s="47" t="str">
        <f>='ETPT Format DDG'!D168</f>
        <v/>
      </c>
      <c r="K168" s="47" t="s">
        <v>157</v>
      </c>
      <c r="L168" s="47" t="s">
        <v>763</v>
      </c>
      <c r="M168" s="47"/>
      <c r="N168" s="47">
        <v>1</v>
      </c>
      <c r="O168" s="47">
        <v>1</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1</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row>
    <row r="169" spans="1:126" x14ac:dyDescent="0.25">
      <c r="A169" s="47" t="s">
        <v>894</v>
      </c>
      <c r="B169" s="47" t="s">
        <v>153</v>
      </c>
      <c r="C169" s="47" t="s">
        <v>895</v>
      </c>
      <c r="D169" s="47" t="s">
        <v>896</v>
      </c>
      <c r="E169" s="47" t="s">
        <v>897</v>
      </c>
      <c r="F169" s="47" t="s">
        <v>698</v>
      </c>
      <c r="G169" s="47" t="s">
        <v>727</v>
      </c>
      <c r="H169" s="47" t="str">
        <f>=IFERROR(VLOOKUP(A169,'ETPT Format DDG'!A:J,10,FALSE),"")</f>
        <v>0</v>
      </c>
      <c r="I169" s="47" t="str">
        <f>='ETPT Format DDG'!M169</f>
        <v/>
      </c>
      <c r="J169" s="47" t="str">
        <f>='ETPT Format DDG'!D169</f>
        <v/>
      </c>
      <c r="K169" s="47" t="s">
        <v>157</v>
      </c>
      <c r="L169" s="47" t="s">
        <v>739</v>
      </c>
      <c r="M169" s="47"/>
      <c r="N169" s="47">
        <v>0.8</v>
      </c>
      <c r="O169" s="47">
        <v>0.8</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0.8</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c r="DS169" s="47">
        <v>0</v>
      </c>
      <c r="DT169" s="47">
        <v>0</v>
      </c>
    </row>
    <row r="170" spans="1:126" x14ac:dyDescent="0.25">
      <c r="A170" s="47" t="s">
        <v>898</v>
      </c>
      <c r="B170" s="47" t="s">
        <v>153</v>
      </c>
      <c r="C170" s="47" t="s">
        <v>899</v>
      </c>
      <c r="D170" s="47" t="s">
        <v>900</v>
      </c>
      <c r="E170" s="47" t="s">
        <v>901</v>
      </c>
      <c r="F170" s="47" t="s">
        <v>698</v>
      </c>
      <c r="G170" s="47" t="s">
        <v>727</v>
      </c>
      <c r="H170" s="47" t="str">
        <f>=IFERROR(VLOOKUP(A170,'ETPT Format DDG'!A:J,10,FALSE),"")</f>
        <v>0</v>
      </c>
      <c r="I170" s="47" t="str">
        <f>='ETPT Format DDG'!M170</f>
        <v/>
      </c>
      <c r="J170" s="47" t="str">
        <f>='ETPT Format DDG'!D170</f>
        <v/>
      </c>
      <c r="K170" s="47" t="s">
        <v>157</v>
      </c>
      <c r="L170" s="47" t="s">
        <v>902</v>
      </c>
      <c r="M170" s="47"/>
      <c r="N170" s="47">
        <v>1</v>
      </c>
      <c r="O170" s="47">
        <v>1</v>
      </c>
      <c r="P170" s="47">
        <v>0</v>
      </c>
      <c r="Q170" s="47">
        <v>0</v>
      </c>
      <c r="R170" s="47">
        <v>0</v>
      </c>
      <c r="S170" s="47">
        <v>0</v>
      </c>
      <c r="T170" s="47">
        <v>0</v>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v>
      </c>
      <c r="AK170" s="47">
        <v>0</v>
      </c>
      <c r="AL170" s="47">
        <v>0</v>
      </c>
      <c r="AM170" s="47">
        <v>0</v>
      </c>
      <c r="AN170" s="47">
        <v>1</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row>
    <row r="171" spans="1:126" x14ac:dyDescent="0.25">
      <c r="A171" s="47" t="s">
        <v>903</v>
      </c>
      <c r="B171" s="47" t="s">
        <v>153</v>
      </c>
      <c r="C171" s="47" t="s">
        <v>904</v>
      </c>
      <c r="D171" s="47" t="s">
        <v>905</v>
      </c>
      <c r="E171" s="47" t="s">
        <v>906</v>
      </c>
      <c r="F171" s="47" t="s">
        <v>698</v>
      </c>
      <c r="G171" s="47" t="s">
        <v>705</v>
      </c>
      <c r="H171" s="47" t="str">
        <f>=IFERROR(VLOOKUP(A171,'ETPT Format DDG'!A:J,10,FALSE),"")</f>
        <v>0</v>
      </c>
      <c r="I171" s="47" t="str">
        <f>='ETPT Format DDG'!M171</f>
        <v/>
      </c>
      <c r="J171" s="47" t="str">
        <f>='ETPT Format DDG'!D171</f>
        <v/>
      </c>
      <c r="K171" s="47" t="s">
        <v>157</v>
      </c>
      <c r="L171" s="47" t="s">
        <v>907</v>
      </c>
      <c r="M171" s="47"/>
      <c r="N171" s="47">
        <v>1</v>
      </c>
      <c r="O171" s="47">
        <v>0</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v>
      </c>
      <c r="BU171" s="47">
        <v>0</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v>
      </c>
      <c r="DL171" s="47">
        <v>0</v>
      </c>
      <c r="DM171" s="47">
        <v>0</v>
      </c>
      <c r="DN171" s="47">
        <v>0</v>
      </c>
      <c r="DO171" s="47">
        <v>0</v>
      </c>
      <c r="DP171" s="47">
        <v>0</v>
      </c>
      <c r="DQ171" s="47">
        <v>0</v>
      </c>
      <c r="DR171" s="47">
        <v>0</v>
      </c>
      <c r="DS171" s="47">
        <v>0</v>
      </c>
      <c r="DT171" s="47">
        <v>0</v>
      </c>
    </row>
    <row r="172" spans="1:126" x14ac:dyDescent="0.25">
      <c r="A172" s="47" t="s">
        <v>908</v>
      </c>
      <c r="B172" s="47" t="s">
        <v>153</v>
      </c>
      <c r="C172" s="47" t="s">
        <v>909</v>
      </c>
      <c r="D172" s="47" t="s">
        <v>910</v>
      </c>
      <c r="E172" s="47" t="s">
        <v>911</v>
      </c>
      <c r="F172" s="47" t="s">
        <v>698</v>
      </c>
      <c r="G172" s="47" t="s">
        <v>705</v>
      </c>
      <c r="H172" s="47" t="str">
        <f>=IFERROR(VLOOKUP(A172,'ETPT Format DDG'!A:J,10,FALSE),"")</f>
        <v>0</v>
      </c>
      <c r="I172" s="47" t="str">
        <f>='ETPT Format DDG'!M172</f>
        <v/>
      </c>
      <c r="J172" s="47" t="str">
        <f>='ETPT Format DDG'!D172</f>
        <v/>
      </c>
      <c r="K172" s="47" t="s">
        <v>157</v>
      </c>
      <c r="L172" s="47" t="s">
        <v>763</v>
      </c>
      <c r="M172" s="47"/>
      <c r="N172" s="47">
        <v>1</v>
      </c>
      <c r="O172" s="47">
        <v>0</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row>
    <row r="173" spans="1:126" x14ac:dyDescent="0.25">
      <c r="A173" s="47" t="s">
        <v>912</v>
      </c>
      <c r="B173" s="47" t="s">
        <v>153</v>
      </c>
      <c r="C173" s="47" t="s">
        <v>913</v>
      </c>
      <c r="D173" s="47" t="s">
        <v>914</v>
      </c>
      <c r="E173" s="47" t="s">
        <v>915</v>
      </c>
      <c r="F173" s="47" t="s">
        <v>698</v>
      </c>
      <c r="G173" s="47" t="s">
        <v>727</v>
      </c>
      <c r="H173" s="47" t="str">
        <f>=IFERROR(VLOOKUP(A173,'ETPT Format DDG'!A:J,10,FALSE),"")</f>
        <v>0</v>
      </c>
      <c r="I173" s="47" t="str">
        <f>='ETPT Format DDG'!M173</f>
        <v/>
      </c>
      <c r="J173" s="47" t="str">
        <f>='ETPT Format DDG'!D173</f>
        <v/>
      </c>
      <c r="K173" s="47" t="s">
        <v>157</v>
      </c>
      <c r="L173" s="47" t="s">
        <v>916</v>
      </c>
      <c r="M173" s="47"/>
      <c r="N173" s="47">
        <v>1</v>
      </c>
      <c r="O173" s="47">
        <v>0</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row>
    <row r="174" spans="1:126" x14ac:dyDescent="0.25">
      <c r="A174" s="47" t="s">
        <v>917</v>
      </c>
      <c r="B174" s="47" t="s">
        <v>153</v>
      </c>
      <c r="C174" s="47" t="s">
        <v>918</v>
      </c>
      <c r="D174" s="47" t="s">
        <v>919</v>
      </c>
      <c r="E174" s="47" t="s">
        <v>920</v>
      </c>
      <c r="F174" s="47" t="s">
        <v>698</v>
      </c>
      <c r="G174" s="47" t="s">
        <v>727</v>
      </c>
      <c r="H174" s="47" t="str">
        <f>=IFERROR(VLOOKUP(A174,'ETPT Format DDG'!A:J,10,FALSE),"")</f>
        <v>0</v>
      </c>
      <c r="I174" s="47" t="str">
        <f>='ETPT Format DDG'!M174</f>
        <v/>
      </c>
      <c r="J174" s="47" t="str">
        <f>='ETPT Format DDG'!D174</f>
        <v/>
      </c>
      <c r="K174" s="47" t="s">
        <v>157</v>
      </c>
      <c r="L174" s="47" t="s">
        <v>849</v>
      </c>
      <c r="M174" s="47"/>
      <c r="N174" s="47">
        <v>1</v>
      </c>
      <c r="O174" s="47">
        <v>0</v>
      </c>
      <c r="P174" s="47">
        <v>0</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row>
    <row r="175" spans="1:126" x14ac:dyDescent="0.25">
      <c r="A175" s="47" t="s">
        <v>921</v>
      </c>
      <c r="B175" s="47" t="s">
        <v>153</v>
      </c>
      <c r="C175" s="47" t="s">
        <v>922</v>
      </c>
      <c r="D175" s="47" t="s">
        <v>923</v>
      </c>
      <c r="E175" s="47" t="s">
        <v>924</v>
      </c>
      <c r="F175" s="47" t="s">
        <v>698</v>
      </c>
      <c r="G175" s="47" t="s">
        <v>727</v>
      </c>
      <c r="H175" s="47" t="str">
        <f>=IFERROR(VLOOKUP(A175,'ETPT Format DDG'!A:J,10,FALSE),"")</f>
        <v>0</v>
      </c>
      <c r="I175" s="47" t="str">
        <f>='ETPT Format DDG'!M175</f>
        <v/>
      </c>
      <c r="J175" s="47" t="str">
        <f>='ETPT Format DDG'!D175</f>
        <v/>
      </c>
      <c r="K175" s="47" t="s">
        <v>157</v>
      </c>
      <c r="L175" s="47" t="s">
        <v>916</v>
      </c>
      <c r="M175" s="47"/>
      <c r="N175" s="47">
        <v>1</v>
      </c>
      <c r="O175" s="47">
        <v>1</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1</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row>
    <row r="176" spans="1:126" x14ac:dyDescent="0.25">
      <c r="A176" s="47" t="s">
        <v>925</v>
      </c>
      <c r="B176" s="47" t="s">
        <v>153</v>
      </c>
      <c r="C176" s="47" t="s">
        <v>926</v>
      </c>
      <c r="D176" s="47" t="s">
        <v>927</v>
      </c>
      <c r="E176" s="47" t="s">
        <v>928</v>
      </c>
      <c r="F176" s="47" t="s">
        <v>698</v>
      </c>
      <c r="G176" s="47" t="s">
        <v>727</v>
      </c>
      <c r="H176" s="47" t="str">
        <f>=IFERROR(VLOOKUP(A176,'ETPT Format DDG'!A:J,10,FALSE),"")</f>
        <v>0</v>
      </c>
      <c r="I176" s="47" t="str">
        <f>='ETPT Format DDG'!M176</f>
        <v/>
      </c>
      <c r="J176" s="47" t="str">
        <f>='ETPT Format DDG'!D176</f>
        <v/>
      </c>
      <c r="K176" s="47" t="s">
        <v>157</v>
      </c>
      <c r="L176" s="47" t="s">
        <v>929</v>
      </c>
      <c r="M176" s="47"/>
      <c r="N176" s="47">
        <v>1</v>
      </c>
      <c r="O176" s="47">
        <v>0</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row>
    <row r="177" spans="1:126" x14ac:dyDescent="0.25">
      <c r="A177" s="47" t="s">
        <v>930</v>
      </c>
      <c r="B177" s="47" t="s">
        <v>153</v>
      </c>
      <c r="C177" s="47" t="s">
        <v>931</v>
      </c>
      <c r="D177" s="47" t="s">
        <v>932</v>
      </c>
      <c r="E177" s="47" t="s">
        <v>933</v>
      </c>
      <c r="F177" s="47" t="s">
        <v>698</v>
      </c>
      <c r="G177" s="47" t="s">
        <v>727</v>
      </c>
      <c r="H177" s="47" t="str">
        <f>=IFERROR(VLOOKUP(A177,'ETPT Format DDG'!A:J,10,FALSE),"")</f>
        <v>0</v>
      </c>
      <c r="I177" s="47" t="str">
        <f>='ETPT Format DDG'!M177</f>
        <v/>
      </c>
      <c r="J177" s="47" t="str">
        <f>='ETPT Format DDG'!D177</f>
        <v/>
      </c>
      <c r="K177" s="47" t="s">
        <v>157</v>
      </c>
      <c r="L177" s="47" t="s">
        <v>801</v>
      </c>
      <c r="M177" s="47"/>
      <c r="N177" s="47">
        <v>1</v>
      </c>
      <c r="O177" s="47">
        <v>1</v>
      </c>
      <c r="P177" s="47">
        <v>0</v>
      </c>
      <c r="Q177" s="47">
        <v>0</v>
      </c>
      <c r="R177" s="47">
        <v>0</v>
      </c>
      <c r="S177" s="47">
        <v>0</v>
      </c>
      <c r="T177" s="47">
        <v>0</v>
      </c>
      <c r="U177" s="47">
        <v>0.9</v>
      </c>
      <c r="V177" s="47">
        <v>0.9</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0.1</v>
      </c>
      <c r="CU177" s="47">
        <v>0.1</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row>
    <row r="178" spans="1:126" x14ac:dyDescent="0.25">
      <c r="A178" s="47" t="s">
        <v>934</v>
      </c>
      <c r="B178" s="47" t="s">
        <v>153</v>
      </c>
      <c r="C178" s="47" t="s">
        <v>935</v>
      </c>
      <c r="D178" s="47" t="s">
        <v>936</v>
      </c>
      <c r="E178" s="47" t="s">
        <v>937</v>
      </c>
      <c r="F178" s="47" t="s">
        <v>698</v>
      </c>
      <c r="G178" s="47" t="s">
        <v>705</v>
      </c>
      <c r="H178" s="47" t="str">
        <f>=IFERROR(VLOOKUP(A178,'ETPT Format DDG'!A:J,10,FALSE),"")</f>
        <v>0</v>
      </c>
      <c r="I178" s="47" t="str">
        <f>='ETPT Format DDG'!M178</f>
        <v/>
      </c>
      <c r="J178" s="47" t="str">
        <f>='ETPT Format DDG'!D178</f>
        <v/>
      </c>
      <c r="K178" s="47" t="s">
        <v>157</v>
      </c>
      <c r="L178" s="47" t="s">
        <v>791</v>
      </c>
      <c r="M178" s="47"/>
      <c r="N178" s="47">
        <v>1</v>
      </c>
      <c r="O178" s="47">
        <v>0</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row>
    <row r="179" spans="1:126" x14ac:dyDescent="0.25">
      <c r="A179" s="47" t="s">
        <v>938</v>
      </c>
      <c r="B179" s="47" t="s">
        <v>153</v>
      </c>
      <c r="C179" s="47" t="s">
        <v>939</v>
      </c>
      <c r="D179" s="47" t="s">
        <v>940</v>
      </c>
      <c r="E179" s="47" t="s">
        <v>941</v>
      </c>
      <c r="F179" s="47" t="s">
        <v>698</v>
      </c>
      <c r="G179" s="47" t="s">
        <v>738</v>
      </c>
      <c r="H179" s="47" t="str">
        <f>=IFERROR(VLOOKUP(A179,'ETPT Format DDG'!A:J,10,FALSE),"")</f>
        <v>0</v>
      </c>
      <c r="I179" s="47" t="str">
        <f>='ETPT Format DDG'!M179</f>
        <v/>
      </c>
      <c r="J179" s="47" t="str">
        <f>='ETPT Format DDG'!D179</f>
        <v/>
      </c>
      <c r="K179" s="47" t="s">
        <v>157</v>
      </c>
      <c r="L179" s="47" t="s">
        <v>942</v>
      </c>
      <c r="M179" s="47"/>
      <c r="N179" s="47">
        <v>0</v>
      </c>
      <c r="O179" s="47">
        <v>0</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1</v>
      </c>
      <c r="DG179" s="47">
        <v>1</v>
      </c>
      <c r="DH179" s="47">
        <v>0</v>
      </c>
      <c r="DI179" s="47">
        <v>0</v>
      </c>
      <c r="DJ179" s="47">
        <v>0</v>
      </c>
      <c r="DK179" s="47">
        <v>0</v>
      </c>
      <c r="DL179" s="47">
        <v>0</v>
      </c>
      <c r="DM179" s="47">
        <v>0</v>
      </c>
      <c r="DN179" s="47">
        <v>0</v>
      </c>
      <c r="DO179" s="47">
        <v>0</v>
      </c>
      <c r="DP179" s="47">
        <v>0</v>
      </c>
      <c r="DQ179" s="47">
        <v>0</v>
      </c>
      <c r="DR179" s="47">
        <v>0</v>
      </c>
      <c r="DS179" s="47">
        <v>0</v>
      </c>
      <c r="DT179" s="47">
        <v>0</v>
      </c>
    </row>
    <row r="180" spans="1:126" x14ac:dyDescent="0.25">
      <c r="A180" s="47" t="s">
        <v>943</v>
      </c>
      <c r="B180" s="47" t="s">
        <v>153</v>
      </c>
      <c r="C180" s="47" t="s">
        <v>944</v>
      </c>
      <c r="D180" s="47" t="s">
        <v>945</v>
      </c>
      <c r="E180" s="47" t="s">
        <v>946</v>
      </c>
      <c r="F180" s="47" t="s">
        <v>698</v>
      </c>
      <c r="G180" s="47" t="s">
        <v>705</v>
      </c>
      <c r="H180" s="47" t="str">
        <f>=IFERROR(VLOOKUP(A180,'ETPT Format DDG'!A:J,10,FALSE),"")</f>
        <v>0</v>
      </c>
      <c r="I180" s="47" t="str">
        <f>='ETPT Format DDG'!M180</f>
        <v/>
      </c>
      <c r="J180" s="47" t="str">
        <f>='ETPT Format DDG'!D180</f>
        <v/>
      </c>
      <c r="K180" s="47" t="s">
        <v>157</v>
      </c>
      <c r="L180" s="47" t="s">
        <v>700</v>
      </c>
      <c r="M180" s="47"/>
      <c r="N180" s="47">
        <v>1</v>
      </c>
      <c r="O180" s="47">
        <v>0</v>
      </c>
      <c r="P180" s="47">
        <v>0</v>
      </c>
      <c r="Q180" s="47">
        <v>0</v>
      </c>
      <c r="R180" s="47">
        <v>0</v>
      </c>
      <c r="S180" s="47">
        <v>0</v>
      </c>
      <c r="T180" s="47">
        <v>0</v>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row>
    <row r="181" spans="1:126" x14ac:dyDescent="0.25">
      <c r="A181" s="47" t="s">
        <v>947</v>
      </c>
      <c r="B181" s="47" t="s">
        <v>153</v>
      </c>
      <c r="C181" s="47" t="s">
        <v>948</v>
      </c>
      <c r="D181" s="47" t="s">
        <v>949</v>
      </c>
      <c r="E181" s="47" t="s">
        <v>950</v>
      </c>
      <c r="F181" s="47" t="s">
        <v>698</v>
      </c>
      <c r="G181" s="47" t="s">
        <v>727</v>
      </c>
      <c r="H181" s="47" t="str">
        <f>=IFERROR(VLOOKUP(A181,'ETPT Format DDG'!A:J,10,FALSE),"")</f>
        <v>0</v>
      </c>
      <c r="I181" s="47" t="str">
        <f>='ETPT Format DDG'!M181</f>
        <v/>
      </c>
      <c r="J181" s="47" t="str">
        <f>='ETPT Format DDG'!D181</f>
        <v/>
      </c>
      <c r="K181" s="47" t="s">
        <v>157</v>
      </c>
      <c r="L181" s="47" t="s">
        <v>728</v>
      </c>
      <c r="M181" s="47"/>
      <c r="N181" s="47">
        <v>0.9</v>
      </c>
      <c r="O181" s="47">
        <v>0.9</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0.9</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c r="DS181" s="47">
        <v>0</v>
      </c>
      <c r="DT181" s="47">
        <v>0</v>
      </c>
    </row>
    <row r="182" spans="1:126" x14ac:dyDescent="0.25">
      <c r="A182" s="47" t="s">
        <v>951</v>
      </c>
      <c r="B182" s="47" t="s">
        <v>153</v>
      </c>
      <c r="C182" s="47" t="s">
        <v>952</v>
      </c>
      <c r="D182" s="47" t="s">
        <v>953</v>
      </c>
      <c r="E182" s="47" t="s">
        <v>954</v>
      </c>
      <c r="F182" s="47" t="s">
        <v>698</v>
      </c>
      <c r="G182" s="47" t="s">
        <v>699</v>
      </c>
      <c r="H182" s="47" t="str">
        <f>=IFERROR(VLOOKUP(A182,'ETPT Format DDG'!A:J,10,FALSE),"")</f>
        <v>0</v>
      </c>
      <c r="I182" s="47" t="str">
        <f>='ETPT Format DDG'!M182</f>
        <v/>
      </c>
      <c r="J182" s="47" t="str">
        <f>='ETPT Format DDG'!D182</f>
        <v/>
      </c>
      <c r="K182" s="47" t="s">
        <v>157</v>
      </c>
      <c r="L182" s="47" t="s">
        <v>955</v>
      </c>
      <c r="M182" s="47"/>
      <c r="N182" s="47">
        <v>1</v>
      </c>
      <c r="O182" s="47">
        <v>1</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1</v>
      </c>
      <c r="BP182" s="47">
        <v>0</v>
      </c>
      <c r="BQ182" s="47">
        <v>0</v>
      </c>
      <c r="BR182" s="47">
        <v>0</v>
      </c>
      <c r="BS182" s="47">
        <v>0</v>
      </c>
      <c r="BT182" s="47">
        <v>0</v>
      </c>
      <c r="BU182" s="47">
        <v>0</v>
      </c>
      <c r="BV182" s="47">
        <v>0</v>
      </c>
      <c r="BW182" s="47">
        <v>0</v>
      </c>
      <c r="BX182" s="47">
        <v>0</v>
      </c>
      <c r="BY182" s="47">
        <v>0</v>
      </c>
      <c r="BZ182" s="47">
        <v>0</v>
      </c>
      <c r="CA182" s="47">
        <v>0</v>
      </c>
      <c r="CB182" s="47">
        <v>0.3</v>
      </c>
      <c r="CC182" s="47">
        <v>0</v>
      </c>
      <c r="CD182" s="47">
        <v>0.7</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row>
    <row r="183" spans="1:126" x14ac:dyDescent="0.25">
      <c r="A183" s="47" t="s">
        <v>956</v>
      </c>
      <c r="B183" s="47" t="s">
        <v>153</v>
      </c>
      <c r="C183" s="47" t="s">
        <v>957</v>
      </c>
      <c r="D183" s="47" t="s">
        <v>958</v>
      </c>
      <c r="E183" s="47" t="s">
        <v>959</v>
      </c>
      <c r="F183" s="47" t="s">
        <v>698</v>
      </c>
      <c r="G183" s="47" t="s">
        <v>705</v>
      </c>
      <c r="H183" s="47" t="str">
        <f>=IFERROR(VLOOKUP(A183,'ETPT Format DDG'!A:J,10,FALSE),"")</f>
        <v>0</v>
      </c>
      <c r="I183" s="47" t="str">
        <f>='ETPT Format DDG'!M183</f>
        <v/>
      </c>
      <c r="J183" s="47" t="str">
        <f>='ETPT Format DDG'!D183</f>
        <v/>
      </c>
      <c r="K183" s="47" t="s">
        <v>157</v>
      </c>
      <c r="L183" s="47" t="s">
        <v>960</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1</v>
      </c>
      <c r="BP183" s="47">
        <v>0.5</v>
      </c>
      <c r="BQ183" s="47">
        <v>0</v>
      </c>
      <c r="BR183" s="47">
        <v>0</v>
      </c>
      <c r="BS183" s="47">
        <v>0</v>
      </c>
      <c r="BT183" s="47">
        <v>0</v>
      </c>
      <c r="BU183" s="47">
        <v>0</v>
      </c>
      <c r="BV183" s="47">
        <v>0.5</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row>
    <row r="184" spans="1:126" x14ac:dyDescent="0.25">
      <c r="A184" s="47" t="s">
        <v>961</v>
      </c>
      <c r="B184" s="47" t="s">
        <v>153</v>
      </c>
      <c r="C184" s="47" t="s">
        <v>962</v>
      </c>
      <c r="D184" s="47" t="s">
        <v>963</v>
      </c>
      <c r="E184" s="47" t="s">
        <v>964</v>
      </c>
      <c r="F184" s="47" t="s">
        <v>698</v>
      </c>
      <c r="G184" s="47" t="s">
        <v>727</v>
      </c>
      <c r="H184" s="47" t="str">
        <f>=IFERROR(VLOOKUP(A184,'ETPT Format DDG'!A:J,10,FALSE),"")</f>
        <v>0</v>
      </c>
      <c r="I184" s="47" t="str">
        <f>='ETPT Format DDG'!M184</f>
        <v/>
      </c>
      <c r="J184" s="47" t="str">
        <f>='ETPT Format DDG'!D184</f>
        <v/>
      </c>
      <c r="K184" s="47" t="s">
        <v>157</v>
      </c>
      <c r="L184" s="47" t="s">
        <v>916</v>
      </c>
      <c r="M184" s="47"/>
      <c r="N184" s="47">
        <v>1</v>
      </c>
      <c r="O184" s="47">
        <v>1</v>
      </c>
      <c r="P184" s="47">
        <v>0</v>
      </c>
      <c r="Q184" s="47">
        <v>0</v>
      </c>
      <c r="R184" s="47">
        <v>0</v>
      </c>
      <c r="S184" s="47">
        <v>0</v>
      </c>
      <c r="T184" s="47">
        <v>0</v>
      </c>
      <c r="U184" s="47">
        <v>0</v>
      </c>
      <c r="V184" s="47">
        <v>0</v>
      </c>
      <c r="W184" s="47">
        <v>0</v>
      </c>
      <c r="X184" s="47">
        <v>0</v>
      </c>
      <c r="Y184" s="47">
        <v>0</v>
      </c>
      <c r="Z184" s="47">
        <v>0</v>
      </c>
      <c r="AA184" s="47">
        <v>0</v>
      </c>
      <c r="AB184" s="47">
        <v>0</v>
      </c>
      <c r="AC184" s="47">
        <v>0</v>
      </c>
      <c r="AD184" s="47">
        <v>0</v>
      </c>
      <c r="AE184" s="47">
        <v>1</v>
      </c>
      <c r="AF184" s="47">
        <v>0</v>
      </c>
      <c r="AG184" s="47">
        <v>0</v>
      </c>
      <c r="AH184" s="47">
        <v>0</v>
      </c>
      <c r="AI184" s="47">
        <v>0</v>
      </c>
      <c r="AJ184" s="47">
        <v>0</v>
      </c>
      <c r="AK184" s="47">
        <v>0</v>
      </c>
      <c r="AL184" s="47">
        <v>0</v>
      </c>
      <c r="AM184" s="47">
        <v>0</v>
      </c>
      <c r="AN184" s="47">
        <v>0</v>
      </c>
      <c r="AO184" s="47">
        <v>0</v>
      </c>
      <c r="AP184" s="47">
        <v>0</v>
      </c>
      <c r="AQ184" s="47">
        <v>0</v>
      </c>
      <c r="AR184" s="47">
        <v>0</v>
      </c>
      <c r="AS184" s="47">
        <v>0</v>
      </c>
      <c r="AT184" s="47">
        <v>0</v>
      </c>
      <c r="AU184" s="47">
        <v>0</v>
      </c>
      <c r="AV184" s="47">
        <v>0</v>
      </c>
      <c r="AW184" s="47">
        <v>0</v>
      </c>
      <c r="AX184" s="47">
        <v>0</v>
      </c>
      <c r="AY184" s="47">
        <v>0</v>
      </c>
      <c r="AZ184" s="47">
        <v>0</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row>
    <row r="185" spans="1:126" x14ac:dyDescent="0.25">
      <c r="A185" s="47" t="s">
        <v>965</v>
      </c>
      <c r="B185" s="47" t="s">
        <v>153</v>
      </c>
      <c r="C185" s="47" t="s">
        <v>966</v>
      </c>
      <c r="D185" s="47" t="s">
        <v>967</v>
      </c>
      <c r="E185" s="47" t="s">
        <v>968</v>
      </c>
      <c r="F185" s="47" t="s">
        <v>698</v>
      </c>
      <c r="G185" s="47" t="s">
        <v>727</v>
      </c>
      <c r="H185" s="47" t="str">
        <f>=IFERROR(VLOOKUP(A185,'ETPT Format DDG'!A:J,10,FALSE),"")</f>
        <v>0</v>
      </c>
      <c r="I185" s="47" t="str">
        <f>='ETPT Format DDG'!M185</f>
        <v/>
      </c>
      <c r="J185" s="47" t="str">
        <f>='ETPT Format DDG'!D185</f>
        <v/>
      </c>
      <c r="K185" s="47" t="s">
        <v>157</v>
      </c>
      <c r="L185" s="47" t="s">
        <v>969</v>
      </c>
      <c r="M185" s="47"/>
      <c r="N185" s="47">
        <v>0.8</v>
      </c>
      <c r="O185" s="47">
        <v>0</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row>
    <row r="186" spans="1:126" x14ac:dyDescent="0.25">
      <c r="A186" s="47" t="s">
        <v>970</v>
      </c>
      <c r="B186" s="47" t="s">
        <v>153</v>
      </c>
      <c r="C186" s="47" t="s">
        <v>971</v>
      </c>
      <c r="D186" s="47" t="s">
        <v>972</v>
      </c>
      <c r="E186" s="47" t="s">
        <v>973</v>
      </c>
      <c r="F186" s="47" t="s">
        <v>698</v>
      </c>
      <c r="G186" s="47" t="s">
        <v>705</v>
      </c>
      <c r="H186" s="47" t="str">
        <f>=IFERROR(VLOOKUP(A186,'ETPT Format DDG'!A:J,10,FALSE),"")</f>
        <v>0</v>
      </c>
      <c r="I186" s="47" t="str">
        <f>='ETPT Format DDG'!M186</f>
        <v/>
      </c>
      <c r="J186" s="47" t="str">
        <f>='ETPT Format DDG'!D186</f>
        <v/>
      </c>
      <c r="K186" s="47" t="s">
        <v>157</v>
      </c>
      <c r="L186" s="47" t="s">
        <v>974</v>
      </c>
      <c r="M186" s="47"/>
      <c r="N186" s="47">
        <v>1</v>
      </c>
      <c r="O186" s="47">
        <v>0</v>
      </c>
      <c r="P186" s="47">
        <v>0</v>
      </c>
      <c r="Q186" s="47">
        <v>0</v>
      </c>
      <c r="R186" s="47">
        <v>0</v>
      </c>
      <c r="S186" s="47">
        <v>0</v>
      </c>
      <c r="T186" s="47">
        <v>0</v>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c r="DS186" s="47">
        <v>0</v>
      </c>
      <c r="DT186" s="47">
        <v>0</v>
      </c>
    </row>
    <row r="187" spans="1:126" x14ac:dyDescent="0.25">
      <c r="A187" s="47" t="s">
        <v>975</v>
      </c>
      <c r="B187" s="47" t="s">
        <v>153</v>
      </c>
      <c r="C187" s="47" t="s">
        <v>976</v>
      </c>
      <c r="D187" s="47" t="s">
        <v>977</v>
      </c>
      <c r="E187" s="47" t="s">
        <v>978</v>
      </c>
      <c r="F187" s="47" t="s">
        <v>698</v>
      </c>
      <c r="G187" s="47" t="s">
        <v>699</v>
      </c>
      <c r="H187" s="47" t="str">
        <f>=IFERROR(VLOOKUP(A187,'ETPT Format DDG'!A:J,10,FALSE),"")</f>
        <v>0</v>
      </c>
      <c r="I187" s="47" t="str">
        <f>='ETPT Format DDG'!M187</f>
        <v/>
      </c>
      <c r="J187" s="47" t="str">
        <f>='ETPT Format DDG'!D187</f>
        <v/>
      </c>
      <c r="K187" s="47" t="s">
        <v>157</v>
      </c>
      <c r="L187" s="47" t="s">
        <v>979</v>
      </c>
      <c r="M187" s="47"/>
      <c r="N187" s="47">
        <v>1</v>
      </c>
      <c r="O187" s="47">
        <v>1</v>
      </c>
      <c r="P187" s="47">
        <v>0</v>
      </c>
      <c r="Q187" s="47">
        <v>0</v>
      </c>
      <c r="R187" s="47">
        <v>0</v>
      </c>
      <c r="S187" s="47">
        <v>0</v>
      </c>
      <c r="T187" s="47">
        <v>0</v>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1</v>
      </c>
      <c r="BP187" s="47">
        <v>0</v>
      </c>
      <c r="BQ187" s="47">
        <v>0</v>
      </c>
      <c r="BR187" s="47">
        <v>0</v>
      </c>
      <c r="BS187" s="47">
        <v>0</v>
      </c>
      <c r="BT187" s="47">
        <v>0</v>
      </c>
      <c r="BU187" s="47">
        <v>0</v>
      </c>
      <c r="BV187" s="47">
        <v>0</v>
      </c>
      <c r="BW187" s="47">
        <v>0</v>
      </c>
      <c r="BX187" s="47">
        <v>0</v>
      </c>
      <c r="BY187" s="47">
        <v>0</v>
      </c>
      <c r="BZ187" s="47">
        <v>0</v>
      </c>
      <c r="CA187" s="47">
        <v>0</v>
      </c>
      <c r="CB187" s="47">
        <v>1</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row>
    <row r="188" spans="1:126" x14ac:dyDescent="0.25">
      <c r="A188" s="47" t="s">
        <v>980</v>
      </c>
      <c r="B188" s="47" t="s">
        <v>153</v>
      </c>
      <c r="C188" s="47" t="s">
        <v>981</v>
      </c>
      <c r="D188" s="47" t="s">
        <v>982</v>
      </c>
      <c r="E188" s="47" t="s">
        <v>983</v>
      </c>
      <c r="F188" s="47" t="s">
        <v>698</v>
      </c>
      <c r="G188" s="47" t="s">
        <v>727</v>
      </c>
      <c r="H188" s="47" t="str">
        <f>=IFERROR(VLOOKUP(A188,'ETPT Format DDG'!A:J,10,FALSE),"")</f>
        <v>0</v>
      </c>
      <c r="I188" s="47" t="str">
        <f>='ETPT Format DDG'!M188</f>
        <v/>
      </c>
      <c r="J188" s="47" t="str">
        <f>='ETPT Format DDG'!D188</f>
        <v/>
      </c>
      <c r="K188" s="47" t="s">
        <v>157</v>
      </c>
      <c r="L188" s="47" t="s">
        <v>712</v>
      </c>
      <c r="M188" s="47"/>
      <c r="N188" s="47">
        <v>1</v>
      </c>
      <c r="O188" s="47">
        <v>0</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c r="DS188" s="47">
        <v>0</v>
      </c>
      <c r="DT188" s="47">
        <v>0</v>
      </c>
    </row>
    <row r="189" spans="1:126" x14ac:dyDescent="0.25">
      <c r="A189" s="47" t="s">
        <v>984</v>
      </c>
      <c r="B189" s="47" t="s">
        <v>153</v>
      </c>
      <c r="C189" s="47" t="s">
        <v>985</v>
      </c>
      <c r="D189" s="47" t="s">
        <v>986</v>
      </c>
      <c r="E189" s="47" t="s">
        <v>987</v>
      </c>
      <c r="F189" s="47" t="s">
        <v>698</v>
      </c>
      <c r="G189" s="47" t="s">
        <v>727</v>
      </c>
      <c r="H189" s="47" t="str">
        <f>=IFERROR(VLOOKUP(A189,'ETPT Format DDG'!A:J,10,FALSE),"")</f>
        <v>0</v>
      </c>
      <c r="I189" s="47" t="str">
        <f>='ETPT Format DDG'!M189</f>
        <v/>
      </c>
      <c r="J189" s="47" t="str">
        <f>='ETPT Format DDG'!D189</f>
        <v/>
      </c>
      <c r="K189" s="47" t="s">
        <v>157</v>
      </c>
      <c r="L189" s="47" t="s">
        <v>168</v>
      </c>
      <c r="M189" s="47"/>
      <c r="N189" s="47">
        <v>1</v>
      </c>
      <c r="O189" s="47">
        <v>1</v>
      </c>
      <c r="P189" s="47">
        <v>0</v>
      </c>
      <c r="Q189" s="47">
        <v>0</v>
      </c>
      <c r="R189" s="47">
        <v>0</v>
      </c>
      <c r="S189" s="47">
        <v>0</v>
      </c>
      <c r="T189" s="47">
        <v>0</v>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1</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row>
    <row r="190" spans="1:126" x14ac:dyDescent="0.25">
      <c r="A190" s="47" t="s">
        <v>988</v>
      </c>
      <c r="B190" s="47" t="s">
        <v>153</v>
      </c>
      <c r="C190" s="47" t="s">
        <v>989</v>
      </c>
      <c r="D190" s="47" t="s">
        <v>990</v>
      </c>
      <c r="E190" s="47" t="s">
        <v>991</v>
      </c>
      <c r="F190" s="47" t="s">
        <v>698</v>
      </c>
      <c r="G190" s="47" t="s">
        <v>727</v>
      </c>
      <c r="H190" s="47" t="str">
        <f>=IFERROR(VLOOKUP(A190,'ETPT Format DDG'!A:J,10,FALSE),"")</f>
        <v>0</v>
      </c>
      <c r="I190" s="47" t="str">
        <f>='ETPT Format DDG'!M190</f>
        <v/>
      </c>
      <c r="J190" s="47" t="str">
        <f>='ETPT Format DDG'!D190</f>
        <v/>
      </c>
      <c r="K190" s="47" t="s">
        <v>157</v>
      </c>
      <c r="L190" s="47" t="s">
        <v>168</v>
      </c>
      <c r="M190" s="47"/>
      <c r="N190" s="47">
        <v>1</v>
      </c>
      <c r="O190" s="47">
        <v>0</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c r="DS190" s="47">
        <v>0</v>
      </c>
      <c r="DT190" s="47">
        <v>0</v>
      </c>
    </row>
    <row r="191" spans="1:126" x14ac:dyDescent="0.25">
      <c r="A191" s="47" t="s">
        <v>992</v>
      </c>
      <c r="B191" s="47" t="s">
        <v>153</v>
      </c>
      <c r="C191" s="47" t="s">
        <v>993</v>
      </c>
      <c r="D191" s="47" t="s">
        <v>994</v>
      </c>
      <c r="E191" s="47" t="s">
        <v>995</v>
      </c>
      <c r="F191" s="47" t="s">
        <v>698</v>
      </c>
      <c r="G191" s="47" t="s">
        <v>727</v>
      </c>
      <c r="H191" s="47" t="str">
        <f>=IFERROR(VLOOKUP(A191,'ETPT Format DDG'!A:J,10,FALSE),"")</f>
        <v>0</v>
      </c>
      <c r="I191" s="47" t="str">
        <f>='ETPT Format DDG'!M191</f>
        <v/>
      </c>
      <c r="J191" s="47" t="str">
        <f>='ETPT Format DDG'!D191</f>
        <v/>
      </c>
      <c r="K191" s="47" t="s">
        <v>157</v>
      </c>
      <c r="L191" s="47" t="s">
        <v>836</v>
      </c>
      <c r="M191" s="47"/>
      <c r="N191" s="47">
        <v>1</v>
      </c>
      <c r="O191" s="47">
        <v>1</v>
      </c>
      <c r="P191" s="47">
        <v>0</v>
      </c>
      <c r="Q191" s="47">
        <v>0</v>
      </c>
      <c r="R191" s="47">
        <v>0</v>
      </c>
      <c r="S191" s="47">
        <v>0</v>
      </c>
      <c r="T191" s="47">
        <v>0</v>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v>
      </c>
      <c r="AK191" s="47">
        <v>0</v>
      </c>
      <c r="AL191" s="47">
        <v>0</v>
      </c>
      <c r="AM191" s="47">
        <v>0</v>
      </c>
      <c r="AN191" s="47">
        <v>0</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v>
      </c>
      <c r="BI191" s="47">
        <v>0</v>
      </c>
      <c r="BJ191" s="47">
        <v>0</v>
      </c>
      <c r="BK191" s="47">
        <v>0</v>
      </c>
      <c r="BL191" s="47">
        <v>0</v>
      </c>
      <c r="BM191" s="47">
        <v>0</v>
      </c>
      <c r="BN191" s="47">
        <v>0</v>
      </c>
      <c r="BO191" s="47">
        <v>1</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v>
      </c>
      <c r="CZ191" s="47">
        <v>0</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row>
    <row r="192" spans="1:126" x14ac:dyDescent="0.25">
      <c r="A192" s="47" t="s">
        <v>996</v>
      </c>
      <c r="B192" s="47" t="s">
        <v>153</v>
      </c>
      <c r="C192" s="47" t="s">
        <v>997</v>
      </c>
      <c r="D192" s="47" t="s">
        <v>998</v>
      </c>
      <c r="E192" s="47" t="s">
        <v>999</v>
      </c>
      <c r="F192" s="47" t="s">
        <v>698</v>
      </c>
      <c r="G192" s="47" t="s">
        <v>727</v>
      </c>
      <c r="H192" s="47" t="str">
        <f>=IFERROR(VLOOKUP(A192,'ETPT Format DDG'!A:J,10,FALSE),"")</f>
        <v>0</v>
      </c>
      <c r="I192" s="47" t="str">
        <f>='ETPT Format DDG'!M192</f>
        <v/>
      </c>
      <c r="J192" s="47" t="str">
        <f>='ETPT Format DDG'!D192</f>
        <v/>
      </c>
      <c r="K192" s="47" t="s">
        <v>157</v>
      </c>
      <c r="L192" s="47" t="s">
        <v>1000</v>
      </c>
      <c r="M192" s="47"/>
      <c r="N192" s="47">
        <v>1</v>
      </c>
      <c r="O192" s="47">
        <v>0</v>
      </c>
      <c r="P192" s="47">
        <v>0</v>
      </c>
      <c r="Q192" s="47">
        <v>0</v>
      </c>
      <c r="R192" s="47">
        <v>0</v>
      </c>
      <c r="S192" s="47">
        <v>0</v>
      </c>
      <c r="T192" s="47">
        <v>0</v>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v>
      </c>
      <c r="CL192" s="47">
        <v>0</v>
      </c>
      <c r="CM192" s="47">
        <v>0</v>
      </c>
      <c r="CN192" s="47">
        <v>0</v>
      </c>
      <c r="CO192" s="47">
        <v>0</v>
      </c>
      <c r="CP192" s="47">
        <v>0</v>
      </c>
      <c r="CQ192" s="47">
        <v>0</v>
      </c>
      <c r="CR192" s="47">
        <v>0</v>
      </c>
      <c r="CS192" s="47">
        <v>0</v>
      </c>
      <c r="CT192" s="47">
        <v>0</v>
      </c>
      <c r="CU192" s="47">
        <v>0</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row>
    <row r="193" spans="1:126" x14ac:dyDescent="0.25">
      <c r="A193" s="47" t="s">
        <v>1001</v>
      </c>
      <c r="B193" s="47" t="s">
        <v>153</v>
      </c>
      <c r="C193" s="47" t="s">
        <v>1002</v>
      </c>
      <c r="D193" s="47" t="s">
        <v>1003</v>
      </c>
      <c r="E193" s="47" t="s">
        <v>1004</v>
      </c>
      <c r="F193" s="47" t="s">
        <v>698</v>
      </c>
      <c r="G193" s="47" t="s">
        <v>727</v>
      </c>
      <c r="H193" s="47" t="str">
        <f>=IFERROR(VLOOKUP(A193,'ETPT Format DDG'!A:J,10,FALSE),"")</f>
        <v>0</v>
      </c>
      <c r="I193" s="47" t="str">
        <f>='ETPT Format DDG'!M193</f>
        <v/>
      </c>
      <c r="J193" s="47" t="str">
        <f>='ETPT Format DDG'!D193</f>
        <v/>
      </c>
      <c r="K193" s="47" t="s">
        <v>157</v>
      </c>
      <c r="L193" s="47" t="s">
        <v>763</v>
      </c>
      <c r="M193" s="47"/>
      <c r="N193" s="47">
        <v>1</v>
      </c>
      <c r="O193" s="47">
        <v>1</v>
      </c>
      <c r="P193" s="47">
        <v>0</v>
      </c>
      <c r="Q193" s="47">
        <v>0</v>
      </c>
      <c r="R193" s="47">
        <v>0</v>
      </c>
      <c r="S193" s="47">
        <v>0</v>
      </c>
      <c r="T193" s="47">
        <v>0</v>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v>
      </c>
      <c r="AK193" s="47">
        <v>0</v>
      </c>
      <c r="AL193" s="47">
        <v>0</v>
      </c>
      <c r="AM193" s="47">
        <v>0</v>
      </c>
      <c r="AN193" s="47">
        <v>1</v>
      </c>
      <c r="AO193" s="47">
        <v>0</v>
      </c>
      <c r="AP193" s="47">
        <v>0</v>
      </c>
      <c r="AQ193" s="47">
        <v>0</v>
      </c>
      <c r="AR193" s="47">
        <v>0</v>
      </c>
      <c r="AS193" s="47">
        <v>0</v>
      </c>
      <c r="AT193" s="47">
        <v>0</v>
      </c>
      <c r="AU193" s="47">
        <v>0</v>
      </c>
      <c r="AV193" s="47">
        <v>0</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row>
    <row r="194" spans="1:126" x14ac:dyDescent="0.25">
      <c r="A194" s="47" t="s">
        <v>1005</v>
      </c>
      <c r="B194" s="47" t="s">
        <v>153</v>
      </c>
      <c r="C194" s="47" t="s">
        <v>1006</v>
      </c>
      <c r="D194" s="47" t="s">
        <v>1007</v>
      </c>
      <c r="E194" s="47" t="s">
        <v>1008</v>
      </c>
      <c r="F194" s="47" t="s">
        <v>698</v>
      </c>
      <c r="G194" s="47" t="s">
        <v>727</v>
      </c>
      <c r="H194" s="47" t="str">
        <f>=IFERROR(VLOOKUP(A194,'ETPT Format DDG'!A:J,10,FALSE),"")</f>
        <v>0</v>
      </c>
      <c r="I194" s="47" t="str">
        <f>='ETPT Format DDG'!M194</f>
        <v/>
      </c>
      <c r="J194" s="47" t="str">
        <f>='ETPT Format DDG'!D194</f>
        <v/>
      </c>
      <c r="K194" s="47" t="s">
        <v>157</v>
      </c>
      <c r="L194" s="47" t="s">
        <v>168</v>
      </c>
      <c r="M194" s="47"/>
      <c r="N194" s="47">
        <v>0.8</v>
      </c>
      <c r="O194" s="47">
        <v>0.8</v>
      </c>
      <c r="P194" s="47">
        <v>0</v>
      </c>
      <c r="Q194" s="47">
        <v>0</v>
      </c>
      <c r="R194" s="47">
        <v>0</v>
      </c>
      <c r="S194" s="47">
        <v>0</v>
      </c>
      <c r="T194" s="47">
        <v>0</v>
      </c>
      <c r="U194" s="47">
        <v>0</v>
      </c>
      <c r="V194" s="47">
        <v>0</v>
      </c>
      <c r="W194" s="47">
        <v>0</v>
      </c>
      <c r="X194" s="47">
        <v>0</v>
      </c>
      <c r="Y194" s="47">
        <v>0</v>
      </c>
      <c r="Z194" s="47">
        <v>0</v>
      </c>
      <c r="AA194" s="47">
        <v>0</v>
      </c>
      <c r="AB194" s="47">
        <v>0</v>
      </c>
      <c r="AC194" s="47">
        <v>0</v>
      </c>
      <c r="AD194" s="47">
        <v>0</v>
      </c>
      <c r="AE194" s="47">
        <v>0.8</v>
      </c>
      <c r="AF194" s="47">
        <v>0</v>
      </c>
      <c r="AG194" s="47">
        <v>0</v>
      </c>
      <c r="AH194" s="47">
        <v>0</v>
      </c>
      <c r="AI194" s="47">
        <v>0</v>
      </c>
      <c r="AJ194" s="47">
        <v>0</v>
      </c>
      <c r="AK194" s="47">
        <v>0</v>
      </c>
      <c r="AL194" s="47">
        <v>0</v>
      </c>
      <c r="AM194" s="47">
        <v>0</v>
      </c>
      <c r="AN194" s="47">
        <v>0</v>
      </c>
      <c r="AO194" s="47">
        <v>0</v>
      </c>
      <c r="AP194" s="47">
        <v>0</v>
      </c>
      <c r="AQ194" s="47">
        <v>0</v>
      </c>
      <c r="AR194" s="47">
        <v>0</v>
      </c>
      <c r="AS194" s="47">
        <v>0</v>
      </c>
      <c r="AT194" s="47">
        <v>0</v>
      </c>
      <c r="AU194" s="47">
        <v>0</v>
      </c>
      <c r="AV194" s="47">
        <v>0</v>
      </c>
      <c r="AW194" s="47">
        <v>0</v>
      </c>
      <c r="AX194" s="47">
        <v>0</v>
      </c>
      <c r="AY194" s="47">
        <v>0</v>
      </c>
      <c r="AZ194" s="47">
        <v>0</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row>
    <row r="195" spans="1:126" x14ac:dyDescent="0.25">
      <c r="A195" s="47" t="s">
        <v>1009</v>
      </c>
      <c r="B195" s="47" t="s">
        <v>153</v>
      </c>
      <c r="C195" s="47" t="s">
        <v>1010</v>
      </c>
      <c r="D195" s="47" t="s">
        <v>1011</v>
      </c>
      <c r="E195" s="47" t="s">
        <v>1012</v>
      </c>
      <c r="F195" s="47" t="s">
        <v>698</v>
      </c>
      <c r="G195" s="47" t="s">
        <v>727</v>
      </c>
      <c r="H195" s="47" t="str">
        <f>=IFERROR(VLOOKUP(A195,'ETPT Format DDG'!A:J,10,FALSE),"")</f>
        <v>0</v>
      </c>
      <c r="I195" s="47" t="str">
        <f>='ETPT Format DDG'!M195</f>
        <v/>
      </c>
      <c r="J195" s="47" t="str">
        <f>='ETPT Format DDG'!D195</f>
        <v/>
      </c>
      <c r="K195" s="47" t="s">
        <v>157</v>
      </c>
      <c r="L195" s="47" t="s">
        <v>1013</v>
      </c>
      <c r="M195" s="47"/>
      <c r="N195" s="47">
        <v>0.8</v>
      </c>
      <c r="O195" s="47">
        <v>0.8</v>
      </c>
      <c r="P195" s="47">
        <v>0</v>
      </c>
      <c r="Q195" s="47">
        <v>0</v>
      </c>
      <c r="R195" s="47">
        <v>0</v>
      </c>
      <c r="S195" s="47">
        <v>0</v>
      </c>
      <c r="T195" s="47">
        <v>0</v>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0.72</v>
      </c>
      <c r="AO195" s="47">
        <v>0</v>
      </c>
      <c r="AP195" s="47">
        <v>0.24</v>
      </c>
      <c r="AQ195" s="47">
        <v>0.48</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0.08</v>
      </c>
      <c r="CU195" s="47">
        <v>0</v>
      </c>
      <c r="CV195" s="47">
        <v>0</v>
      </c>
      <c r="CW195" s="47">
        <v>0</v>
      </c>
      <c r="CX195" s="47">
        <v>0</v>
      </c>
      <c r="CY195" s="47">
        <v>0</v>
      </c>
      <c r="CZ195" s="47">
        <v>0.08</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row>
    <row r="196" spans="1:126" x14ac:dyDescent="0.25">
      <c r="A196" s="47" t="s">
        <v>1014</v>
      </c>
      <c r="B196" s="47" t="s">
        <v>153</v>
      </c>
      <c r="C196" s="47" t="s">
        <v>1015</v>
      </c>
      <c r="D196" s="47" t="s">
        <v>1016</v>
      </c>
      <c r="E196" s="47" t="s">
        <v>1017</v>
      </c>
      <c r="F196" s="47" t="s">
        <v>698</v>
      </c>
      <c r="G196" s="47" t="s">
        <v>727</v>
      </c>
      <c r="H196" s="47" t="str">
        <f>=IFERROR(VLOOKUP(A196,'ETPT Format DDG'!A:J,10,FALSE),"")</f>
        <v>0</v>
      </c>
      <c r="I196" s="47" t="str">
        <f>='ETPT Format DDG'!M196</f>
        <v/>
      </c>
      <c r="J196" s="47" t="str">
        <f>='ETPT Format DDG'!D196</f>
        <v/>
      </c>
      <c r="K196" s="47" t="s">
        <v>157</v>
      </c>
      <c r="L196" s="47" t="s">
        <v>942</v>
      </c>
      <c r="M196" s="47"/>
      <c r="N196" s="47">
        <v>1</v>
      </c>
      <c r="O196" s="47">
        <v>1</v>
      </c>
      <c r="P196" s="47">
        <v>0</v>
      </c>
      <c r="Q196" s="47">
        <v>0</v>
      </c>
      <c r="R196" s="47">
        <v>0</v>
      </c>
      <c r="S196" s="47">
        <v>0</v>
      </c>
      <c r="T196" s="47">
        <v>0</v>
      </c>
      <c r="U196" s="47">
        <v>0</v>
      </c>
      <c r="V196" s="47">
        <v>0</v>
      </c>
      <c r="W196" s="47">
        <v>0</v>
      </c>
      <c r="X196" s="47">
        <v>0</v>
      </c>
      <c r="Y196" s="47">
        <v>0</v>
      </c>
      <c r="Z196" s="47">
        <v>0</v>
      </c>
      <c r="AA196" s="47">
        <v>0</v>
      </c>
      <c r="AB196" s="47">
        <v>0</v>
      </c>
      <c r="AC196" s="47">
        <v>0</v>
      </c>
      <c r="AD196" s="47">
        <v>0</v>
      </c>
      <c r="AE196" s="47">
        <v>1</v>
      </c>
      <c r="AF196" s="47">
        <v>0</v>
      </c>
      <c r="AG196" s="47">
        <v>0</v>
      </c>
      <c r="AH196" s="47">
        <v>0</v>
      </c>
      <c r="AI196" s="47">
        <v>0</v>
      </c>
      <c r="AJ196" s="47">
        <v>0</v>
      </c>
      <c r="AK196" s="47">
        <v>0</v>
      </c>
      <c r="AL196" s="47">
        <v>0</v>
      </c>
      <c r="AM196" s="47">
        <v>0</v>
      </c>
      <c r="AN196" s="47">
        <v>0</v>
      </c>
      <c r="AO196" s="47">
        <v>0</v>
      </c>
      <c r="AP196" s="47">
        <v>0</v>
      </c>
      <c r="AQ196" s="47">
        <v>0</v>
      </c>
      <c r="AR196" s="47">
        <v>0</v>
      </c>
      <c r="AS196" s="47">
        <v>0</v>
      </c>
      <c r="AT196" s="47">
        <v>0</v>
      </c>
      <c r="AU196" s="47">
        <v>0</v>
      </c>
      <c r="AV196" s="47">
        <v>0</v>
      </c>
      <c r="AW196" s="47">
        <v>0</v>
      </c>
      <c r="AX196" s="47">
        <v>0</v>
      </c>
      <c r="AY196" s="47">
        <v>0</v>
      </c>
      <c r="AZ196" s="47">
        <v>0</v>
      </c>
      <c r="BA196" s="47">
        <v>0</v>
      </c>
      <c r="BB196" s="47">
        <v>0</v>
      </c>
      <c r="BC196" s="47">
        <v>0</v>
      </c>
      <c r="BD196" s="47">
        <v>0</v>
      </c>
      <c r="BE196" s="47">
        <v>0</v>
      </c>
      <c r="BF196" s="47">
        <v>0</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row>
    <row r="197" spans="1:126" x14ac:dyDescent="0.25">
      <c r="A197" s="47" t="s">
        <v>1018</v>
      </c>
      <c r="B197" s="47" t="s">
        <v>153</v>
      </c>
      <c r="C197" s="47" t="s">
        <v>1019</v>
      </c>
      <c r="D197" s="47" t="s">
        <v>1020</v>
      </c>
      <c r="E197" s="47" t="s">
        <v>1021</v>
      </c>
      <c r="F197" s="47" t="s">
        <v>698</v>
      </c>
      <c r="G197" s="47" t="s">
        <v>727</v>
      </c>
      <c r="H197" s="47" t="str">
        <f>=IFERROR(VLOOKUP(A197,'ETPT Format DDG'!A:J,10,FALSE),"")</f>
        <v>0</v>
      </c>
      <c r="I197" s="47" t="str">
        <f>='ETPT Format DDG'!M197</f>
        <v/>
      </c>
      <c r="J197" s="47" t="str">
        <f>='ETPT Format DDG'!D197</f>
        <v/>
      </c>
      <c r="K197" s="47" t="s">
        <v>157</v>
      </c>
      <c r="L197" s="47" t="s">
        <v>168</v>
      </c>
      <c r="M197" s="47"/>
      <c r="N197" s="47">
        <v>1</v>
      </c>
      <c r="O197" s="47">
        <v>0</v>
      </c>
      <c r="P197" s="47">
        <v>0</v>
      </c>
      <c r="Q197" s="47">
        <v>0</v>
      </c>
      <c r="R197" s="47">
        <v>0</v>
      </c>
      <c r="S197" s="47">
        <v>0</v>
      </c>
      <c r="T197" s="47">
        <v>0</v>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row>
    <row r="198" spans="1:126" x14ac:dyDescent="0.25">
      <c r="A198" s="47" t="s">
        <v>1022</v>
      </c>
      <c r="B198" s="47" t="s">
        <v>153</v>
      </c>
      <c r="C198" s="47" t="s">
        <v>1023</v>
      </c>
      <c r="D198" s="47" t="s">
        <v>1024</v>
      </c>
      <c r="E198" s="47" t="s">
        <v>1025</v>
      </c>
      <c r="F198" s="47" t="s">
        <v>698</v>
      </c>
      <c r="G198" s="47" t="s">
        <v>727</v>
      </c>
      <c r="H198" s="47" t="str">
        <f>=IFERROR(VLOOKUP(A198,'ETPT Format DDG'!A:J,10,FALSE),"")</f>
        <v>0</v>
      </c>
      <c r="I198" s="47" t="str">
        <f>='ETPT Format DDG'!M198</f>
        <v/>
      </c>
      <c r="J198" s="47" t="str">
        <f>='ETPT Format DDG'!D198</f>
        <v/>
      </c>
      <c r="K198" s="47" t="s">
        <v>157</v>
      </c>
      <c r="L198" s="47" t="s">
        <v>753</v>
      </c>
      <c r="M198" s="47"/>
      <c r="N198" s="47">
        <v>1</v>
      </c>
      <c r="O198" s="47">
        <v>1</v>
      </c>
      <c r="P198" s="47">
        <v>0</v>
      </c>
      <c r="Q198" s="47">
        <v>0</v>
      </c>
      <c r="R198" s="47">
        <v>0</v>
      </c>
      <c r="S198" s="47">
        <v>0</v>
      </c>
      <c r="T198" s="47">
        <v>0</v>
      </c>
      <c r="U198" s="47">
        <v>0</v>
      </c>
      <c r="V198" s="47">
        <v>0</v>
      </c>
      <c r="W198" s="47">
        <v>0</v>
      </c>
      <c r="X198" s="47">
        <v>0</v>
      </c>
      <c r="Y198" s="47">
        <v>0</v>
      </c>
      <c r="Z198" s="47">
        <v>0</v>
      </c>
      <c r="AA198" s="47">
        <v>0</v>
      </c>
      <c r="AB198" s="47">
        <v>0</v>
      </c>
      <c r="AC198" s="47">
        <v>0</v>
      </c>
      <c r="AD198" s="47">
        <v>0</v>
      </c>
      <c r="AE198" s="47">
        <v>1</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row>
    <row r="199" spans="1:126" x14ac:dyDescent="0.25">
      <c r="A199" s="47" t="s">
        <v>1026</v>
      </c>
      <c r="B199" s="47" t="s">
        <v>153</v>
      </c>
      <c r="C199" s="47" t="s">
        <v>1027</v>
      </c>
      <c r="D199" s="47" t="s">
        <v>1028</v>
      </c>
      <c r="E199" s="47" t="s">
        <v>1029</v>
      </c>
      <c r="F199" s="47" t="s">
        <v>698</v>
      </c>
      <c r="G199" s="47" t="s">
        <v>727</v>
      </c>
      <c r="H199" s="47" t="str">
        <f>=IFERROR(VLOOKUP(A199,'ETPT Format DDG'!A:J,10,FALSE),"")</f>
        <v>0</v>
      </c>
      <c r="I199" s="47" t="str">
        <f>='ETPT Format DDG'!M199</f>
        <v/>
      </c>
      <c r="J199" s="47" t="str">
        <f>='ETPT Format DDG'!D199</f>
        <v/>
      </c>
      <c r="K199" s="47" t="s">
        <v>157</v>
      </c>
      <c r="L199" s="47" t="s">
        <v>763</v>
      </c>
      <c r="M199" s="47"/>
      <c r="N199" s="47">
        <v>0.8</v>
      </c>
      <c r="O199" s="47">
        <v>0</v>
      </c>
      <c r="P199" s="47">
        <v>0</v>
      </c>
      <c r="Q199" s="47">
        <v>0</v>
      </c>
      <c r="R199" s="47">
        <v>0</v>
      </c>
      <c r="S199" s="47">
        <v>0</v>
      </c>
      <c r="T199" s="47">
        <v>0</v>
      </c>
      <c r="U199" s="47">
        <v>0</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row>
    <row r="200" spans="1:126" x14ac:dyDescent="0.25">
      <c r="A200" s="47" t="s">
        <v>1030</v>
      </c>
      <c r="B200" s="47" t="s">
        <v>153</v>
      </c>
      <c r="C200" s="47" t="s">
        <v>1031</v>
      </c>
      <c r="D200" s="47" t="s">
        <v>1032</v>
      </c>
      <c r="E200" s="47" t="s">
        <v>1033</v>
      </c>
      <c r="F200" s="47" t="s">
        <v>698</v>
      </c>
      <c r="G200" s="47" t="s">
        <v>705</v>
      </c>
      <c r="H200" s="47" t="str">
        <f>=IFERROR(VLOOKUP(A200,'ETPT Format DDG'!A:J,10,FALSE),"")</f>
        <v>0</v>
      </c>
      <c r="I200" s="47" t="str">
        <f>='ETPT Format DDG'!M200</f>
        <v/>
      </c>
      <c r="J200" s="47" t="str">
        <f>='ETPT Format DDG'!D200</f>
        <v/>
      </c>
      <c r="K200" s="47" t="s">
        <v>157</v>
      </c>
      <c r="L200" s="47" t="s">
        <v>1034</v>
      </c>
      <c r="M200" s="47"/>
      <c r="N200" s="47">
        <v>1</v>
      </c>
      <c r="O200" s="47">
        <v>0</v>
      </c>
      <c r="P200" s="47">
        <v>0</v>
      </c>
      <c r="Q200" s="47">
        <v>0</v>
      </c>
      <c r="R200" s="47">
        <v>0</v>
      </c>
      <c r="S200" s="47">
        <v>0</v>
      </c>
      <c r="T200" s="47">
        <v>0</v>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row>
    <row r="201" spans="1:126" x14ac:dyDescent="0.25">
      <c r="A201" s="47" t="s">
        <v>1035</v>
      </c>
      <c r="B201" s="47" t="s">
        <v>153</v>
      </c>
      <c r="C201" s="47" t="s">
        <v>1036</v>
      </c>
      <c r="D201" s="47" t="s">
        <v>1037</v>
      </c>
      <c r="E201" s="47" t="s">
        <v>1038</v>
      </c>
      <c r="F201" s="47" t="s">
        <v>698</v>
      </c>
      <c r="G201" s="47" t="s">
        <v>727</v>
      </c>
      <c r="H201" s="47" t="str">
        <f>=IFERROR(VLOOKUP(A201,'ETPT Format DDG'!A:J,10,FALSE),"")</f>
        <v>0</v>
      </c>
      <c r="I201" s="47" t="str">
        <f>='ETPT Format DDG'!M201</f>
        <v/>
      </c>
      <c r="J201" s="47" t="str">
        <f>='ETPT Format DDG'!D201</f>
        <v/>
      </c>
      <c r="K201" s="47" t="s">
        <v>157</v>
      </c>
      <c r="L201" s="47" t="s">
        <v>1039</v>
      </c>
      <c r="M201" s="47"/>
      <c r="N201" s="47">
        <v>0.8</v>
      </c>
      <c r="O201" s="47">
        <v>0</v>
      </c>
      <c r="P201" s="47">
        <v>0</v>
      </c>
      <c r="Q201" s="47">
        <v>0</v>
      </c>
      <c r="R201" s="47">
        <v>0</v>
      </c>
      <c r="S201" s="47">
        <v>0</v>
      </c>
      <c r="T201" s="47">
        <v>0</v>
      </c>
      <c r="U201" s="47">
        <v>0</v>
      </c>
      <c r="V201" s="47">
        <v>0</v>
      </c>
      <c r="W201" s="47">
        <v>0</v>
      </c>
      <c r="X201" s="47">
        <v>0</v>
      </c>
      <c r="Y201" s="47">
        <v>0</v>
      </c>
      <c r="Z201" s="47">
        <v>0</v>
      </c>
      <c r="AA201" s="47">
        <v>0</v>
      </c>
      <c r="AB201" s="47">
        <v>0</v>
      </c>
      <c r="AC201" s="47">
        <v>0</v>
      </c>
      <c r="AD201" s="47">
        <v>0</v>
      </c>
      <c r="AE201" s="47">
        <v>0</v>
      </c>
      <c r="AF201" s="47">
        <v>0</v>
      </c>
      <c r="AG201" s="47">
        <v>0</v>
      </c>
      <c r="AH201" s="47">
        <v>0</v>
      </c>
      <c r="AI201" s="47">
        <v>0</v>
      </c>
      <c r="AJ201" s="47">
        <v>0</v>
      </c>
      <c r="AK201" s="47">
        <v>0</v>
      </c>
      <c r="AL201" s="47">
        <v>0</v>
      </c>
      <c r="AM201" s="47">
        <v>0</v>
      </c>
      <c r="AN201" s="47">
        <v>0</v>
      </c>
      <c r="AO201" s="47">
        <v>0</v>
      </c>
      <c r="AP201" s="47">
        <v>0</v>
      </c>
      <c r="AQ201" s="47">
        <v>0</v>
      </c>
      <c r="AR201" s="47">
        <v>0</v>
      </c>
      <c r="AS201" s="47">
        <v>0</v>
      </c>
      <c r="AT201" s="47">
        <v>0</v>
      </c>
      <c r="AU201" s="47">
        <v>0</v>
      </c>
      <c r="AV201" s="47">
        <v>0</v>
      </c>
      <c r="AW201" s="47">
        <v>0</v>
      </c>
      <c r="AX201" s="47">
        <v>0</v>
      </c>
      <c r="AY201" s="47">
        <v>0</v>
      </c>
      <c r="AZ201" s="47">
        <v>0</v>
      </c>
      <c r="BA201" s="47">
        <v>0</v>
      </c>
      <c r="BB201" s="47">
        <v>0</v>
      </c>
      <c r="BC201" s="47">
        <v>0</v>
      </c>
      <c r="BD201" s="47">
        <v>0</v>
      </c>
      <c r="BE201" s="47">
        <v>0</v>
      </c>
      <c r="BF201" s="47">
        <v>0</v>
      </c>
      <c r="BG201" s="47">
        <v>0</v>
      </c>
      <c r="BH201" s="47">
        <v>0</v>
      </c>
      <c r="BI201" s="47">
        <v>0</v>
      </c>
      <c r="BJ201" s="47">
        <v>0</v>
      </c>
      <c r="BK201" s="47">
        <v>0</v>
      </c>
      <c r="BL201" s="47">
        <v>0</v>
      </c>
      <c r="BM201" s="47">
        <v>0</v>
      </c>
      <c r="BN201" s="47">
        <v>0</v>
      </c>
      <c r="BO201" s="47">
        <v>0</v>
      </c>
      <c r="BP201" s="47">
        <v>0</v>
      </c>
      <c r="BQ201" s="47">
        <v>0</v>
      </c>
      <c r="BR201" s="47">
        <v>0</v>
      </c>
      <c r="BS201" s="47">
        <v>0</v>
      </c>
      <c r="BT201" s="47">
        <v>0</v>
      </c>
      <c r="BU201" s="47">
        <v>0</v>
      </c>
      <c r="BV201" s="47">
        <v>0</v>
      </c>
      <c r="BW201" s="47">
        <v>0</v>
      </c>
      <c r="BX201" s="47">
        <v>0</v>
      </c>
      <c r="BY201" s="47">
        <v>0</v>
      </c>
      <c r="BZ201" s="47">
        <v>0</v>
      </c>
      <c r="CA201" s="47">
        <v>0</v>
      </c>
      <c r="CB201" s="47">
        <v>0</v>
      </c>
      <c r="CC201" s="47">
        <v>0</v>
      </c>
      <c r="CD201" s="47">
        <v>0</v>
      </c>
      <c r="CE201" s="47">
        <v>0</v>
      </c>
      <c r="CF201" s="47">
        <v>0</v>
      </c>
      <c r="CG201" s="47">
        <v>0</v>
      </c>
      <c r="CH201" s="47">
        <v>0</v>
      </c>
      <c r="CI201" s="47">
        <v>0</v>
      </c>
      <c r="CJ201" s="47">
        <v>0</v>
      </c>
      <c r="CK201" s="47">
        <v>0</v>
      </c>
      <c r="CL201" s="47">
        <v>0</v>
      </c>
      <c r="CM201" s="47">
        <v>0</v>
      </c>
      <c r="CN201" s="47">
        <v>0</v>
      </c>
      <c r="CO201" s="47">
        <v>0</v>
      </c>
      <c r="CP201" s="47">
        <v>0</v>
      </c>
      <c r="CQ201" s="47">
        <v>0</v>
      </c>
      <c r="CR201" s="47">
        <v>0</v>
      </c>
      <c r="CS201" s="47">
        <v>0</v>
      </c>
      <c r="CT201" s="47">
        <v>0</v>
      </c>
      <c r="CU201" s="47">
        <v>0</v>
      </c>
      <c r="CV201" s="47">
        <v>0</v>
      </c>
      <c r="CW201" s="47">
        <v>0</v>
      </c>
      <c r="CX201" s="47">
        <v>0</v>
      </c>
      <c r="CY201" s="47">
        <v>0</v>
      </c>
      <c r="CZ201" s="47">
        <v>0</v>
      </c>
      <c r="DA201" s="47">
        <v>0</v>
      </c>
      <c r="DB201" s="47">
        <v>0</v>
      </c>
      <c r="DC201" s="47">
        <v>0</v>
      </c>
      <c r="DD201" s="47">
        <v>0</v>
      </c>
      <c r="DE201" s="47">
        <v>0</v>
      </c>
      <c r="DF201" s="47">
        <v>0</v>
      </c>
      <c r="DG201" s="47">
        <v>0</v>
      </c>
      <c r="DH201" s="47">
        <v>0</v>
      </c>
      <c r="DI201" s="47">
        <v>0</v>
      </c>
      <c r="DJ201" s="47">
        <v>0</v>
      </c>
      <c r="DK201" s="47">
        <v>0</v>
      </c>
      <c r="DL201" s="47">
        <v>0</v>
      </c>
      <c r="DM201" s="47">
        <v>0</v>
      </c>
      <c r="DN201" s="47">
        <v>0</v>
      </c>
      <c r="DO201" s="47">
        <v>0</v>
      </c>
      <c r="DP201" s="47">
        <v>0</v>
      </c>
      <c r="DQ201" s="47">
        <v>0</v>
      </c>
      <c r="DR201" s="47">
        <v>0</v>
      </c>
      <c r="DS201" s="47">
        <v>0</v>
      </c>
      <c r="DT201" s="47">
        <v>0</v>
      </c>
    </row>
    <row r="202" spans="1:126" x14ac:dyDescent="0.25">
      <c r="A202" s="47" t="s">
        <v>1040</v>
      </c>
      <c r="B202" s="47" t="s">
        <v>153</v>
      </c>
      <c r="C202" s="47" t="s">
        <v>1041</v>
      </c>
      <c r="D202" s="47" t="s">
        <v>1042</v>
      </c>
      <c r="E202" s="47" t="s">
        <v>1043</v>
      </c>
      <c r="F202" s="47" t="s">
        <v>698</v>
      </c>
      <c r="G202" s="47" t="s">
        <v>738</v>
      </c>
      <c r="H202" s="47" t="str">
        <f>=IFERROR(VLOOKUP(A202,'ETPT Format DDG'!A:J,10,FALSE),"")</f>
        <v>0</v>
      </c>
      <c r="I202" s="47" t="str">
        <f>='ETPT Format DDG'!M202</f>
        <v/>
      </c>
      <c r="J202" s="47" t="str">
        <f>='ETPT Format DDG'!D202</f>
        <v/>
      </c>
      <c r="K202" s="47" t="s">
        <v>157</v>
      </c>
      <c r="L202" s="47" t="s">
        <v>763</v>
      </c>
      <c r="M202" s="47"/>
      <c r="N202" s="47">
        <v>1</v>
      </c>
      <c r="O202" s="47">
        <v>1</v>
      </c>
      <c r="P202" s="47">
        <v>0</v>
      </c>
      <c r="Q202" s="47">
        <v>0</v>
      </c>
      <c r="R202" s="47">
        <v>0</v>
      </c>
      <c r="S202" s="47">
        <v>0</v>
      </c>
      <c r="T202" s="47">
        <v>0</v>
      </c>
      <c r="U202" s="47">
        <v>0</v>
      </c>
      <c r="V202" s="47">
        <v>0</v>
      </c>
      <c r="W202" s="47">
        <v>0</v>
      </c>
      <c r="X202" s="47">
        <v>0</v>
      </c>
      <c r="Y202" s="47">
        <v>0</v>
      </c>
      <c r="Z202" s="47">
        <v>0</v>
      </c>
      <c r="AA202" s="47">
        <v>0</v>
      </c>
      <c r="AB202" s="47">
        <v>0</v>
      </c>
      <c r="AC202" s="47">
        <v>0</v>
      </c>
      <c r="AD202" s="47">
        <v>0</v>
      </c>
      <c r="AE202" s="47">
        <v>0</v>
      </c>
      <c r="AF202" s="47">
        <v>0</v>
      </c>
      <c r="AG202" s="47">
        <v>0</v>
      </c>
      <c r="AH202" s="47">
        <v>0</v>
      </c>
      <c r="AI202" s="47">
        <v>0</v>
      </c>
      <c r="AJ202" s="47">
        <v>0</v>
      </c>
      <c r="AK202" s="47">
        <v>0</v>
      </c>
      <c r="AL202" s="47">
        <v>0</v>
      </c>
      <c r="AM202" s="47">
        <v>0</v>
      </c>
      <c r="AN202" s="47">
        <v>0</v>
      </c>
      <c r="AO202" s="47">
        <v>0</v>
      </c>
      <c r="AP202" s="47">
        <v>0</v>
      </c>
      <c r="AQ202" s="47">
        <v>0</v>
      </c>
      <c r="AR202" s="47">
        <v>0</v>
      </c>
      <c r="AS202" s="47">
        <v>0</v>
      </c>
      <c r="AT202" s="47">
        <v>0</v>
      </c>
      <c r="AU202" s="47">
        <v>0</v>
      </c>
      <c r="AV202" s="47">
        <v>0</v>
      </c>
      <c r="AW202" s="47">
        <v>0</v>
      </c>
      <c r="AX202" s="47">
        <v>0</v>
      </c>
      <c r="AY202" s="47">
        <v>0</v>
      </c>
      <c r="AZ202" s="47">
        <v>0</v>
      </c>
      <c r="BA202" s="47">
        <v>0</v>
      </c>
      <c r="BB202" s="47">
        <v>0</v>
      </c>
      <c r="BC202" s="47">
        <v>0</v>
      </c>
      <c r="BD202" s="47">
        <v>0</v>
      </c>
      <c r="BE202" s="47">
        <v>0</v>
      </c>
      <c r="BF202" s="47">
        <v>0</v>
      </c>
      <c r="BG202" s="47">
        <v>0</v>
      </c>
      <c r="BH202" s="47">
        <v>0</v>
      </c>
      <c r="BI202" s="47">
        <v>0</v>
      </c>
      <c r="BJ202" s="47">
        <v>0</v>
      </c>
      <c r="BK202" s="47">
        <v>0</v>
      </c>
      <c r="BL202" s="47">
        <v>0</v>
      </c>
      <c r="BM202" s="47">
        <v>0</v>
      </c>
      <c r="BN202" s="47">
        <v>0</v>
      </c>
      <c r="BO202" s="47">
        <v>0</v>
      </c>
      <c r="BP202" s="47">
        <v>0</v>
      </c>
      <c r="BQ202" s="47">
        <v>0</v>
      </c>
      <c r="BR202" s="47">
        <v>0</v>
      </c>
      <c r="BS202" s="47">
        <v>0</v>
      </c>
      <c r="BT202" s="47">
        <v>0</v>
      </c>
      <c r="BU202" s="47">
        <v>0</v>
      </c>
      <c r="BV202" s="47">
        <v>0</v>
      </c>
      <c r="BW202" s="47">
        <v>0</v>
      </c>
      <c r="BX202" s="47">
        <v>0</v>
      </c>
      <c r="BY202" s="47">
        <v>0</v>
      </c>
      <c r="BZ202" s="47">
        <v>0</v>
      </c>
      <c r="CA202" s="47">
        <v>0</v>
      </c>
      <c r="CB202" s="47">
        <v>0</v>
      </c>
      <c r="CC202" s="47">
        <v>0</v>
      </c>
      <c r="CD202" s="47">
        <v>0</v>
      </c>
      <c r="CE202" s="47">
        <v>0</v>
      </c>
      <c r="CF202" s="47">
        <v>0</v>
      </c>
      <c r="CG202" s="47">
        <v>0</v>
      </c>
      <c r="CH202" s="47">
        <v>0</v>
      </c>
      <c r="CI202" s="47">
        <v>0</v>
      </c>
      <c r="CJ202" s="47">
        <v>0</v>
      </c>
      <c r="CK202" s="47">
        <v>0</v>
      </c>
      <c r="CL202" s="47">
        <v>0</v>
      </c>
      <c r="CM202" s="47">
        <v>0</v>
      </c>
      <c r="CN202" s="47">
        <v>0</v>
      </c>
      <c r="CO202" s="47">
        <v>0</v>
      </c>
      <c r="CP202" s="47">
        <v>0</v>
      </c>
      <c r="CQ202" s="47">
        <v>0</v>
      </c>
      <c r="CR202" s="47">
        <v>0</v>
      </c>
      <c r="CS202" s="47">
        <v>0</v>
      </c>
      <c r="CT202" s="47">
        <v>1</v>
      </c>
      <c r="CU202" s="47">
        <v>0</v>
      </c>
      <c r="CV202" s="47">
        <v>0</v>
      </c>
      <c r="CW202" s="47">
        <v>0</v>
      </c>
      <c r="CX202" s="47">
        <v>0.2</v>
      </c>
      <c r="CY202" s="47">
        <v>0</v>
      </c>
      <c r="CZ202" s="47">
        <v>0.8</v>
      </c>
      <c r="DA202" s="47">
        <v>0</v>
      </c>
      <c r="DB202" s="47">
        <v>0</v>
      </c>
      <c r="DC202" s="47">
        <v>0</v>
      </c>
      <c r="DD202" s="47">
        <v>0</v>
      </c>
      <c r="DE202" s="47">
        <v>0</v>
      </c>
      <c r="DF202" s="47">
        <v>0</v>
      </c>
      <c r="DG202" s="47">
        <v>0</v>
      </c>
      <c r="DH202" s="47">
        <v>0</v>
      </c>
      <c r="DI202" s="47">
        <v>0</v>
      </c>
      <c r="DJ202" s="47">
        <v>0</v>
      </c>
      <c r="DK202" s="47">
        <v>0</v>
      </c>
      <c r="DL202" s="47">
        <v>0</v>
      </c>
      <c r="DM202" s="47">
        <v>0</v>
      </c>
      <c r="DN202" s="47">
        <v>0</v>
      </c>
      <c r="DO202" s="47">
        <v>0</v>
      </c>
      <c r="DP202" s="47">
        <v>0</v>
      </c>
      <c r="DQ202" s="47">
        <v>0</v>
      </c>
      <c r="DR202" s="47">
        <v>0</v>
      </c>
      <c r="DS202" s="47">
        <v>0</v>
      </c>
      <c r="DT202" s="47">
        <v>0</v>
      </c>
    </row>
    <row r="203" spans="1:126" x14ac:dyDescent="0.25">
      <c r="A203" s="47" t="s">
        <v>1044</v>
      </c>
      <c r="B203" s="47" t="s">
        <v>153</v>
      </c>
      <c r="C203" s="47" t="s">
        <v>1045</v>
      </c>
      <c r="D203" s="47" t="s">
        <v>1046</v>
      </c>
      <c r="E203" s="47" t="s">
        <v>1047</v>
      </c>
      <c r="F203" s="47" t="s">
        <v>698</v>
      </c>
      <c r="G203" s="47" t="s">
        <v>705</v>
      </c>
      <c r="H203" s="47" t="str">
        <f>=IFERROR(VLOOKUP(A203,'ETPT Format DDG'!A:J,10,FALSE),"")</f>
        <v>0</v>
      </c>
      <c r="I203" s="47" t="str">
        <f>='ETPT Format DDG'!M203</f>
        <v/>
      </c>
      <c r="J203" s="47" t="str">
        <f>='ETPT Format DDG'!D203</f>
        <v/>
      </c>
      <c r="K203" s="47" t="s">
        <v>157</v>
      </c>
      <c r="L203" s="47" t="s">
        <v>1048</v>
      </c>
      <c r="M203" s="47"/>
      <c r="N203" s="47">
        <v>1</v>
      </c>
      <c r="O203" s="47">
        <v>0</v>
      </c>
      <c r="P203" s="47">
        <v>0</v>
      </c>
      <c r="Q203" s="47">
        <v>0</v>
      </c>
      <c r="R203" s="47">
        <v>0</v>
      </c>
      <c r="S203" s="47">
        <v>0</v>
      </c>
      <c r="T203" s="47">
        <v>0</v>
      </c>
      <c r="U203" s="47">
        <v>0</v>
      </c>
      <c r="V203" s="47">
        <v>0</v>
      </c>
      <c r="W203" s="47">
        <v>0</v>
      </c>
      <c r="X203" s="47">
        <v>0</v>
      </c>
      <c r="Y203" s="47">
        <v>0</v>
      </c>
      <c r="Z203" s="47">
        <v>0</v>
      </c>
      <c r="AA203" s="47">
        <v>0</v>
      </c>
      <c r="AB203" s="47">
        <v>0</v>
      </c>
      <c r="AC203" s="47">
        <v>0</v>
      </c>
      <c r="AD203" s="47">
        <v>0</v>
      </c>
      <c r="AE203" s="47">
        <v>0</v>
      </c>
      <c r="AF203" s="47">
        <v>0</v>
      </c>
      <c r="AG203" s="47">
        <v>0</v>
      </c>
      <c r="AH203" s="47">
        <v>0</v>
      </c>
      <c r="AI203" s="47">
        <v>0</v>
      </c>
      <c r="AJ203" s="47">
        <v>0</v>
      </c>
      <c r="AK203" s="47">
        <v>0</v>
      </c>
      <c r="AL203" s="47">
        <v>0</v>
      </c>
      <c r="AM203" s="47">
        <v>0</v>
      </c>
      <c r="AN203" s="47">
        <v>0</v>
      </c>
      <c r="AO203" s="47">
        <v>0</v>
      </c>
      <c r="AP203" s="47">
        <v>0</v>
      </c>
      <c r="AQ203" s="47">
        <v>0</v>
      </c>
      <c r="AR203" s="47">
        <v>0</v>
      </c>
      <c r="AS203" s="47">
        <v>0</v>
      </c>
      <c r="AT203" s="47">
        <v>0</v>
      </c>
      <c r="AU203" s="47">
        <v>0</v>
      </c>
      <c r="AV203" s="47">
        <v>0</v>
      </c>
      <c r="AW203" s="47">
        <v>0</v>
      </c>
      <c r="AX203" s="47">
        <v>0</v>
      </c>
      <c r="AY203" s="47">
        <v>0</v>
      </c>
      <c r="AZ203" s="47">
        <v>0</v>
      </c>
      <c r="BA203" s="47">
        <v>0</v>
      </c>
      <c r="BB203" s="47">
        <v>0</v>
      </c>
      <c r="BC203" s="47">
        <v>0</v>
      </c>
      <c r="BD203" s="47">
        <v>0</v>
      </c>
      <c r="BE203" s="47">
        <v>0</v>
      </c>
      <c r="BF203" s="47">
        <v>0</v>
      </c>
      <c r="BG203" s="47">
        <v>0</v>
      </c>
      <c r="BH203" s="47">
        <v>0</v>
      </c>
      <c r="BI203" s="47">
        <v>0</v>
      </c>
      <c r="BJ203" s="47">
        <v>0</v>
      </c>
      <c r="BK203" s="47">
        <v>0</v>
      </c>
      <c r="BL203" s="47">
        <v>0</v>
      </c>
      <c r="BM203" s="47">
        <v>0</v>
      </c>
      <c r="BN203" s="47">
        <v>0</v>
      </c>
      <c r="BO203" s="47">
        <v>0</v>
      </c>
      <c r="BP203" s="47">
        <v>0</v>
      </c>
      <c r="BQ203" s="47">
        <v>0</v>
      </c>
      <c r="BR203" s="47">
        <v>0</v>
      </c>
      <c r="BS203" s="47">
        <v>0</v>
      </c>
      <c r="BT203" s="47">
        <v>0</v>
      </c>
      <c r="BU203" s="47">
        <v>0</v>
      </c>
      <c r="BV203" s="47">
        <v>0</v>
      </c>
      <c r="BW203" s="47">
        <v>0</v>
      </c>
      <c r="BX203" s="47">
        <v>0</v>
      </c>
      <c r="BY203" s="47">
        <v>0</v>
      </c>
      <c r="BZ203" s="47">
        <v>0</v>
      </c>
      <c r="CA203" s="47">
        <v>0</v>
      </c>
      <c r="CB203" s="47">
        <v>0</v>
      </c>
      <c r="CC203" s="47">
        <v>0</v>
      </c>
      <c r="CD203" s="47">
        <v>0</v>
      </c>
      <c r="CE203" s="47">
        <v>0</v>
      </c>
      <c r="CF203" s="47">
        <v>0</v>
      </c>
      <c r="CG203" s="47">
        <v>0</v>
      </c>
      <c r="CH203" s="47">
        <v>0</v>
      </c>
      <c r="CI203" s="47">
        <v>0</v>
      </c>
      <c r="CJ203" s="47">
        <v>0</v>
      </c>
      <c r="CK203" s="47">
        <v>0</v>
      </c>
      <c r="CL203" s="47">
        <v>0</v>
      </c>
      <c r="CM203" s="47">
        <v>0</v>
      </c>
      <c r="CN203" s="47">
        <v>0</v>
      </c>
      <c r="CO203" s="47">
        <v>0</v>
      </c>
      <c r="CP203" s="47">
        <v>0</v>
      </c>
      <c r="CQ203" s="47">
        <v>0</v>
      </c>
      <c r="CR203" s="47">
        <v>0</v>
      </c>
      <c r="CS203" s="47">
        <v>0</v>
      </c>
      <c r="CT203" s="47">
        <v>0</v>
      </c>
      <c r="CU203" s="47">
        <v>0</v>
      </c>
      <c r="CV203" s="47">
        <v>0</v>
      </c>
      <c r="CW203" s="47">
        <v>0</v>
      </c>
      <c r="CX203" s="47">
        <v>0</v>
      </c>
      <c r="CY203" s="47">
        <v>0</v>
      </c>
      <c r="CZ203" s="47">
        <v>0</v>
      </c>
      <c r="DA203" s="47">
        <v>0</v>
      </c>
      <c r="DB203" s="47">
        <v>0</v>
      </c>
      <c r="DC203" s="47">
        <v>0</v>
      </c>
      <c r="DD203" s="47">
        <v>0</v>
      </c>
      <c r="DE203" s="47">
        <v>0</v>
      </c>
      <c r="DF203" s="47">
        <v>0</v>
      </c>
      <c r="DG203" s="47">
        <v>0</v>
      </c>
      <c r="DH203" s="47">
        <v>0</v>
      </c>
      <c r="DI203" s="47">
        <v>0</v>
      </c>
      <c r="DJ203" s="47">
        <v>0</v>
      </c>
      <c r="DK203" s="47">
        <v>0</v>
      </c>
      <c r="DL203" s="47">
        <v>0</v>
      </c>
      <c r="DM203" s="47">
        <v>0</v>
      </c>
      <c r="DN203" s="47">
        <v>0</v>
      </c>
      <c r="DO203" s="47">
        <v>0</v>
      </c>
      <c r="DP203" s="47">
        <v>0</v>
      </c>
      <c r="DQ203" s="47">
        <v>0</v>
      </c>
      <c r="DR203" s="47">
        <v>0</v>
      </c>
      <c r="DS203" s="47">
        <v>0</v>
      </c>
      <c r="DT203" s="47">
        <v>0</v>
      </c>
    </row>
    <row r="204" spans="1:126" x14ac:dyDescent="0.25">
      <c r="A204" s="47" t="s">
        <v>1049</v>
      </c>
      <c r="B204" s="47" t="s">
        <v>153</v>
      </c>
      <c r="C204" s="47" t="s">
        <v>1050</v>
      </c>
      <c r="D204" s="47" t="s">
        <v>1051</v>
      </c>
      <c r="E204" s="47" t="s">
        <v>1052</v>
      </c>
      <c r="F204" s="47" t="s">
        <v>698</v>
      </c>
      <c r="G204" s="47" t="s">
        <v>727</v>
      </c>
      <c r="H204" s="47" t="str">
        <f>=IFERROR(VLOOKUP(A204,'ETPT Format DDG'!A:J,10,FALSE),"")</f>
        <v>0</v>
      </c>
      <c r="I204" s="47" t="str">
        <f>='ETPT Format DDG'!M204</f>
        <v/>
      </c>
      <c r="J204" s="47" t="str">
        <f>='ETPT Format DDG'!D204</f>
        <v/>
      </c>
      <c r="K204" s="47" t="s">
        <v>157</v>
      </c>
      <c r="L204" s="47" t="s">
        <v>1053</v>
      </c>
      <c r="M204" s="47"/>
      <c r="N204" s="47">
        <v>0.6923</v>
      </c>
      <c r="O204" s="47">
        <v>0.6923</v>
      </c>
      <c r="P204" s="47">
        <v>0</v>
      </c>
      <c r="Q204" s="47">
        <v>0</v>
      </c>
      <c r="R204" s="47">
        <v>0</v>
      </c>
      <c r="S204" s="47">
        <v>0</v>
      </c>
      <c r="T204" s="47">
        <v>0</v>
      </c>
      <c r="U204" s="47">
        <v>0</v>
      </c>
      <c r="V204" s="47">
        <v>0</v>
      </c>
      <c r="W204" s="47">
        <v>0</v>
      </c>
      <c r="X204" s="47">
        <v>0</v>
      </c>
      <c r="Y204" s="47">
        <v>0</v>
      </c>
      <c r="Z204" s="47">
        <v>0</v>
      </c>
      <c r="AA204" s="47">
        <v>0</v>
      </c>
      <c r="AB204" s="47">
        <v>0</v>
      </c>
      <c r="AC204" s="47">
        <v>0</v>
      </c>
      <c r="AD204" s="47">
        <v>0</v>
      </c>
      <c r="AE204" s="47">
        <v>0</v>
      </c>
      <c r="AF204" s="47">
        <v>0</v>
      </c>
      <c r="AG204" s="47">
        <v>0</v>
      </c>
      <c r="AH204" s="47">
        <v>0</v>
      </c>
      <c r="AI204" s="47">
        <v>0</v>
      </c>
      <c r="AJ204" s="47">
        <v>0</v>
      </c>
      <c r="AK204" s="47">
        <v>0</v>
      </c>
      <c r="AL204" s="47">
        <v>0</v>
      </c>
      <c r="AM204" s="47">
        <v>0</v>
      </c>
      <c r="AN204" s="47">
        <v>0</v>
      </c>
      <c r="AO204" s="47">
        <v>0</v>
      </c>
      <c r="AP204" s="47">
        <v>0</v>
      </c>
      <c r="AQ204" s="47">
        <v>0</v>
      </c>
      <c r="AR204" s="47">
        <v>0</v>
      </c>
      <c r="AS204" s="47">
        <v>0</v>
      </c>
      <c r="AT204" s="47">
        <v>0</v>
      </c>
      <c r="AU204" s="47">
        <v>0</v>
      </c>
      <c r="AV204" s="47">
        <v>0</v>
      </c>
      <c r="AW204" s="47">
        <v>0</v>
      </c>
      <c r="AX204" s="47">
        <v>0</v>
      </c>
      <c r="AY204" s="47">
        <v>0</v>
      </c>
      <c r="AZ204" s="47">
        <v>0</v>
      </c>
      <c r="BA204" s="47">
        <v>0</v>
      </c>
      <c r="BB204" s="47">
        <v>0</v>
      </c>
      <c r="BC204" s="47">
        <v>0</v>
      </c>
      <c r="BD204" s="47">
        <v>0</v>
      </c>
      <c r="BE204" s="47">
        <v>0</v>
      </c>
      <c r="BF204" s="47">
        <v>0</v>
      </c>
      <c r="BG204" s="47">
        <v>0</v>
      </c>
      <c r="BH204" s="47">
        <v>0</v>
      </c>
      <c r="BI204" s="47">
        <v>0</v>
      </c>
      <c r="BJ204" s="47">
        <v>0</v>
      </c>
      <c r="BK204" s="47">
        <v>0</v>
      </c>
      <c r="BL204" s="47">
        <v>0</v>
      </c>
      <c r="BM204" s="47">
        <v>0</v>
      </c>
      <c r="BN204" s="47">
        <v>0</v>
      </c>
      <c r="BO204" s="47">
        <v>0</v>
      </c>
      <c r="BP204" s="47">
        <v>0</v>
      </c>
      <c r="BQ204" s="47">
        <v>0</v>
      </c>
      <c r="BR204" s="47">
        <v>0</v>
      </c>
      <c r="BS204" s="47">
        <v>0</v>
      </c>
      <c r="BT204" s="47">
        <v>0</v>
      </c>
      <c r="BU204" s="47">
        <v>0</v>
      </c>
      <c r="BV204" s="47">
        <v>0</v>
      </c>
      <c r="BW204" s="47">
        <v>0</v>
      </c>
      <c r="BX204" s="47">
        <v>0</v>
      </c>
      <c r="BY204" s="47">
        <v>0</v>
      </c>
      <c r="BZ204" s="47">
        <v>0</v>
      </c>
      <c r="CA204" s="47">
        <v>0</v>
      </c>
      <c r="CB204" s="47">
        <v>0</v>
      </c>
      <c r="CC204" s="47">
        <v>0</v>
      </c>
      <c r="CD204" s="47">
        <v>0</v>
      </c>
      <c r="CE204" s="47">
        <v>0</v>
      </c>
      <c r="CF204" s="47">
        <v>0</v>
      </c>
      <c r="CG204" s="47">
        <v>0</v>
      </c>
      <c r="CH204" s="47">
        <v>0</v>
      </c>
      <c r="CI204" s="47">
        <v>0</v>
      </c>
      <c r="CJ204" s="47">
        <v>0</v>
      </c>
      <c r="CK204" s="47">
        <v>0</v>
      </c>
      <c r="CL204" s="47">
        <v>0</v>
      </c>
      <c r="CM204" s="47">
        <v>0</v>
      </c>
      <c r="CN204" s="47">
        <v>0</v>
      </c>
      <c r="CO204" s="47">
        <v>0</v>
      </c>
      <c r="CP204" s="47">
        <v>0</v>
      </c>
      <c r="CQ204" s="47">
        <v>0</v>
      </c>
      <c r="CR204" s="47">
        <v>0</v>
      </c>
      <c r="CS204" s="47">
        <v>0</v>
      </c>
      <c r="CT204" s="47">
        <v>0.6923</v>
      </c>
      <c r="CU204" s="47">
        <v>0</v>
      </c>
      <c r="CV204" s="47">
        <v>0</v>
      </c>
      <c r="CW204" s="47">
        <v>0</v>
      </c>
      <c r="CX204" s="47">
        <v>0</v>
      </c>
      <c r="CY204" s="47">
        <v>0</v>
      </c>
      <c r="CZ204" s="47">
        <v>0</v>
      </c>
      <c r="DA204" s="47">
        <v>0</v>
      </c>
      <c r="DB204" s="47">
        <v>0.6923</v>
      </c>
      <c r="DC204" s="47">
        <v>0</v>
      </c>
      <c r="DD204" s="47">
        <v>0</v>
      </c>
      <c r="DE204" s="47">
        <v>0</v>
      </c>
      <c r="DF204" s="47">
        <v>0.3077</v>
      </c>
      <c r="DG204" s="47">
        <v>0.3077</v>
      </c>
      <c r="DH204" s="47">
        <v>0</v>
      </c>
      <c r="DI204" s="47">
        <v>0</v>
      </c>
      <c r="DJ204" s="47">
        <v>0</v>
      </c>
      <c r="DK204" s="47">
        <v>0</v>
      </c>
      <c r="DL204" s="47">
        <v>0</v>
      </c>
      <c r="DM204" s="47">
        <v>0</v>
      </c>
      <c r="DN204" s="47">
        <v>0</v>
      </c>
      <c r="DO204" s="47">
        <v>0</v>
      </c>
      <c r="DP204" s="47">
        <v>0</v>
      </c>
      <c r="DQ204" s="47">
        <v>0</v>
      </c>
      <c r="DR204" s="47">
        <v>0</v>
      </c>
      <c r="DS204" s="47">
        <v>0</v>
      </c>
      <c r="DT204" s="47">
        <v>0</v>
      </c>
    </row>
    <row r="205" spans="1:126" x14ac:dyDescent="0.25">
      <c r="A205" s="47" t="s">
        <v>1054</v>
      </c>
      <c r="B205" s="47" t="s">
        <v>153</v>
      </c>
      <c r="C205" s="47" t="s">
        <v>1055</v>
      </c>
      <c r="D205" s="47" t="s">
        <v>1056</v>
      </c>
      <c r="E205" s="47" t="s">
        <v>1057</v>
      </c>
      <c r="F205" s="47" t="s">
        <v>698</v>
      </c>
      <c r="G205" s="47" t="s">
        <v>705</v>
      </c>
      <c r="H205" s="47" t="str">
        <f>=IFERROR(VLOOKUP(A205,'ETPT Format DDG'!A:J,10,FALSE),"")</f>
        <v>0</v>
      </c>
      <c r="I205" s="47" t="str">
        <f>='ETPT Format DDG'!M205</f>
        <v/>
      </c>
      <c r="J205" s="47" t="str">
        <f>='ETPT Format DDG'!D205</f>
        <v/>
      </c>
      <c r="K205" s="47" t="s">
        <v>157</v>
      </c>
      <c r="L205" s="47" t="s">
        <v>1058</v>
      </c>
      <c r="M205" s="47"/>
      <c r="N205" s="47">
        <v>0.8</v>
      </c>
      <c r="O205" s="47">
        <v>0</v>
      </c>
      <c r="P205" s="47">
        <v>0</v>
      </c>
      <c r="Q205" s="47">
        <v>0</v>
      </c>
      <c r="R205" s="47">
        <v>0</v>
      </c>
      <c r="S205" s="47">
        <v>0</v>
      </c>
      <c r="T205" s="47">
        <v>0</v>
      </c>
      <c r="U205" s="47">
        <v>0</v>
      </c>
      <c r="V205" s="47">
        <v>0</v>
      </c>
      <c r="W205" s="47">
        <v>0</v>
      </c>
      <c r="X205" s="47">
        <v>0</v>
      </c>
      <c r="Y205" s="47">
        <v>0</v>
      </c>
      <c r="Z205" s="47">
        <v>0</v>
      </c>
      <c r="AA205" s="47">
        <v>0</v>
      </c>
      <c r="AB205" s="47">
        <v>0</v>
      </c>
      <c r="AC205" s="47">
        <v>0</v>
      </c>
      <c r="AD205" s="47">
        <v>0</v>
      </c>
      <c r="AE205" s="47">
        <v>0</v>
      </c>
      <c r="AF205" s="47">
        <v>0</v>
      </c>
      <c r="AG205" s="47">
        <v>0</v>
      </c>
      <c r="AH205" s="47">
        <v>0</v>
      </c>
      <c r="AI205" s="47">
        <v>0</v>
      </c>
      <c r="AJ205" s="47">
        <v>0</v>
      </c>
      <c r="AK205" s="47">
        <v>0</v>
      </c>
      <c r="AL205" s="47">
        <v>0</v>
      </c>
      <c r="AM205" s="47">
        <v>0</v>
      </c>
      <c r="AN205" s="47">
        <v>0</v>
      </c>
      <c r="AO205" s="47">
        <v>0</v>
      </c>
      <c r="AP205" s="47">
        <v>0</v>
      </c>
      <c r="AQ205" s="47">
        <v>0</v>
      </c>
      <c r="AR205" s="47">
        <v>0</v>
      </c>
      <c r="AS205" s="47">
        <v>0</v>
      </c>
      <c r="AT205" s="47">
        <v>0</v>
      </c>
      <c r="AU205" s="47">
        <v>0</v>
      </c>
      <c r="AV205" s="47">
        <v>0</v>
      </c>
      <c r="AW205" s="47">
        <v>0</v>
      </c>
      <c r="AX205" s="47">
        <v>0</v>
      </c>
      <c r="AY205" s="47">
        <v>0</v>
      </c>
      <c r="AZ205" s="47">
        <v>0</v>
      </c>
      <c r="BA205" s="47">
        <v>0</v>
      </c>
      <c r="BB205" s="47">
        <v>0</v>
      </c>
      <c r="BC205" s="47">
        <v>0</v>
      </c>
      <c r="BD205" s="47">
        <v>0</v>
      </c>
      <c r="BE205" s="47">
        <v>0</v>
      </c>
      <c r="BF205" s="47">
        <v>0</v>
      </c>
      <c r="BG205" s="47">
        <v>0</v>
      </c>
      <c r="BH205" s="47">
        <v>0</v>
      </c>
      <c r="BI205" s="47">
        <v>0</v>
      </c>
      <c r="BJ205" s="47">
        <v>0</v>
      </c>
      <c r="BK205" s="47">
        <v>0</v>
      </c>
      <c r="BL205" s="47">
        <v>0</v>
      </c>
      <c r="BM205" s="47">
        <v>0</v>
      </c>
      <c r="BN205" s="47">
        <v>0</v>
      </c>
      <c r="BO205" s="47">
        <v>0</v>
      </c>
      <c r="BP205" s="47">
        <v>0</v>
      </c>
      <c r="BQ205" s="47">
        <v>0</v>
      </c>
      <c r="BR205" s="47">
        <v>0</v>
      </c>
      <c r="BS205" s="47">
        <v>0</v>
      </c>
      <c r="BT205" s="47">
        <v>0</v>
      </c>
      <c r="BU205" s="47">
        <v>0</v>
      </c>
      <c r="BV205" s="47">
        <v>0</v>
      </c>
      <c r="BW205" s="47">
        <v>0</v>
      </c>
      <c r="BX205" s="47">
        <v>0</v>
      </c>
      <c r="BY205" s="47">
        <v>0</v>
      </c>
      <c r="BZ205" s="47">
        <v>0</v>
      </c>
      <c r="CA205" s="47">
        <v>0</v>
      </c>
      <c r="CB205" s="47">
        <v>0</v>
      </c>
      <c r="CC205" s="47">
        <v>0</v>
      </c>
      <c r="CD205" s="47">
        <v>0</v>
      </c>
      <c r="CE205" s="47">
        <v>0</v>
      </c>
      <c r="CF205" s="47">
        <v>0</v>
      </c>
      <c r="CG205" s="47">
        <v>0</v>
      </c>
      <c r="CH205" s="47">
        <v>0</v>
      </c>
      <c r="CI205" s="47">
        <v>0</v>
      </c>
      <c r="CJ205" s="47">
        <v>0</v>
      </c>
      <c r="CK205" s="47">
        <v>0</v>
      </c>
      <c r="CL205" s="47">
        <v>0</v>
      </c>
      <c r="CM205" s="47">
        <v>0</v>
      </c>
      <c r="CN205" s="47">
        <v>0</v>
      </c>
      <c r="CO205" s="47">
        <v>0</v>
      </c>
      <c r="CP205" s="47">
        <v>0</v>
      </c>
      <c r="CQ205" s="47">
        <v>0</v>
      </c>
      <c r="CR205" s="47">
        <v>0</v>
      </c>
      <c r="CS205" s="47">
        <v>0</v>
      </c>
      <c r="CT205" s="47">
        <v>0</v>
      </c>
      <c r="CU205" s="47">
        <v>0</v>
      </c>
      <c r="CV205" s="47">
        <v>0</v>
      </c>
      <c r="CW205" s="47">
        <v>0</v>
      </c>
      <c r="CX205" s="47">
        <v>0</v>
      </c>
      <c r="CY205" s="47">
        <v>0</v>
      </c>
      <c r="CZ205" s="47">
        <v>0</v>
      </c>
      <c r="DA205" s="47">
        <v>0</v>
      </c>
      <c r="DB205" s="47">
        <v>0</v>
      </c>
      <c r="DC205" s="47">
        <v>0</v>
      </c>
      <c r="DD205" s="47">
        <v>0</v>
      </c>
      <c r="DE205" s="47">
        <v>0</v>
      </c>
      <c r="DF205" s="47">
        <v>0</v>
      </c>
      <c r="DG205" s="47">
        <v>0</v>
      </c>
      <c r="DH205" s="47">
        <v>0</v>
      </c>
      <c r="DI205" s="47">
        <v>0</v>
      </c>
      <c r="DJ205" s="47">
        <v>0</v>
      </c>
      <c r="DK205" s="47">
        <v>0</v>
      </c>
      <c r="DL205" s="47">
        <v>0</v>
      </c>
      <c r="DM205" s="47">
        <v>0</v>
      </c>
      <c r="DN205" s="47">
        <v>0</v>
      </c>
      <c r="DO205" s="47">
        <v>0</v>
      </c>
      <c r="DP205" s="47">
        <v>0</v>
      </c>
      <c r="DQ205" s="47">
        <v>0</v>
      </c>
      <c r="DR205" s="47">
        <v>0</v>
      </c>
      <c r="DS205" s="47">
        <v>0</v>
      </c>
      <c r="DT205" s="47">
        <v>0</v>
      </c>
    </row>
    <row r="206" spans="1:126" x14ac:dyDescent="0.25">
      <c r="A206" s="47" t="s">
        <v>1059</v>
      </c>
      <c r="B206" s="47" t="s">
        <v>153</v>
      </c>
      <c r="C206" s="47" t="s">
        <v>1060</v>
      </c>
      <c r="D206" s="47" t="s">
        <v>1061</v>
      </c>
      <c r="E206" s="47" t="s">
        <v>1062</v>
      </c>
      <c r="F206" s="47" t="s">
        <v>698</v>
      </c>
      <c r="G206" s="47" t="s">
        <v>727</v>
      </c>
      <c r="H206" s="47" t="str">
        <f>=IFERROR(VLOOKUP(A206,'ETPT Format DDG'!A:J,10,FALSE),"")</f>
        <v>0</v>
      </c>
      <c r="I206" s="47" t="str">
        <f>='ETPT Format DDG'!M206</f>
        <v/>
      </c>
      <c r="J206" s="47" t="str">
        <f>='ETPT Format DDG'!D206</f>
        <v/>
      </c>
      <c r="K206" s="47" t="s">
        <v>157</v>
      </c>
      <c r="L206" s="47" t="s">
        <v>763</v>
      </c>
      <c r="M206" s="47"/>
      <c r="N206" s="47">
        <v>1</v>
      </c>
      <c r="O206" s="47">
        <v>0</v>
      </c>
      <c r="P206" s="47">
        <v>0</v>
      </c>
      <c r="Q206" s="47">
        <v>0</v>
      </c>
      <c r="R206" s="47">
        <v>0</v>
      </c>
      <c r="S206" s="47">
        <v>0</v>
      </c>
      <c r="T206" s="47">
        <v>0</v>
      </c>
      <c r="U206" s="47">
        <v>0</v>
      </c>
      <c r="V206" s="47">
        <v>0</v>
      </c>
      <c r="W206" s="47">
        <v>0</v>
      </c>
      <c r="X206" s="47">
        <v>0</v>
      </c>
      <c r="Y206" s="47">
        <v>0</v>
      </c>
      <c r="Z206" s="47">
        <v>0</v>
      </c>
      <c r="AA206" s="47">
        <v>0</v>
      </c>
      <c r="AB206" s="47">
        <v>0</v>
      </c>
      <c r="AC206" s="47">
        <v>0</v>
      </c>
      <c r="AD206" s="47">
        <v>0</v>
      </c>
      <c r="AE206" s="47">
        <v>0</v>
      </c>
      <c r="AF206" s="47">
        <v>0</v>
      </c>
      <c r="AG206" s="47">
        <v>0</v>
      </c>
      <c r="AH206" s="47">
        <v>0</v>
      </c>
      <c r="AI206" s="47">
        <v>0</v>
      </c>
      <c r="AJ206" s="47">
        <v>0</v>
      </c>
      <c r="AK206" s="47">
        <v>0</v>
      </c>
      <c r="AL206" s="47">
        <v>0</v>
      </c>
      <c r="AM206" s="47">
        <v>0</v>
      </c>
      <c r="AN206" s="47">
        <v>0</v>
      </c>
      <c r="AO206" s="47">
        <v>0</v>
      </c>
      <c r="AP206" s="47">
        <v>0</v>
      </c>
      <c r="AQ206" s="47">
        <v>0</v>
      </c>
      <c r="AR206" s="47">
        <v>0</v>
      </c>
      <c r="AS206" s="47">
        <v>0</v>
      </c>
      <c r="AT206" s="47">
        <v>0</v>
      </c>
      <c r="AU206" s="47">
        <v>0</v>
      </c>
      <c r="AV206" s="47">
        <v>0</v>
      </c>
      <c r="AW206" s="47">
        <v>0</v>
      </c>
      <c r="AX206" s="47">
        <v>0</v>
      </c>
      <c r="AY206" s="47">
        <v>0</v>
      </c>
      <c r="AZ206" s="47">
        <v>0</v>
      </c>
      <c r="BA206" s="47">
        <v>0</v>
      </c>
      <c r="BB206" s="47">
        <v>0</v>
      </c>
      <c r="BC206" s="47">
        <v>0</v>
      </c>
      <c r="BD206" s="47">
        <v>0</v>
      </c>
      <c r="BE206" s="47">
        <v>0</v>
      </c>
      <c r="BF206" s="47">
        <v>0</v>
      </c>
      <c r="BG206" s="47">
        <v>0</v>
      </c>
      <c r="BH206" s="47">
        <v>0</v>
      </c>
      <c r="BI206" s="47">
        <v>0</v>
      </c>
      <c r="BJ206" s="47">
        <v>0</v>
      </c>
      <c r="BK206" s="47">
        <v>0</v>
      </c>
      <c r="BL206" s="47">
        <v>0</v>
      </c>
      <c r="BM206" s="47">
        <v>0</v>
      </c>
      <c r="BN206" s="47">
        <v>0</v>
      </c>
      <c r="BO206" s="47">
        <v>0</v>
      </c>
      <c r="BP206" s="47">
        <v>0</v>
      </c>
      <c r="BQ206" s="47">
        <v>0</v>
      </c>
      <c r="BR206" s="47">
        <v>0</v>
      </c>
      <c r="BS206" s="47">
        <v>0</v>
      </c>
      <c r="BT206" s="47">
        <v>0</v>
      </c>
      <c r="BU206" s="47">
        <v>0</v>
      </c>
      <c r="BV206" s="47">
        <v>0</v>
      </c>
      <c r="BW206" s="47">
        <v>0</v>
      </c>
      <c r="BX206" s="47">
        <v>0</v>
      </c>
      <c r="BY206" s="47">
        <v>0</v>
      </c>
      <c r="BZ206" s="47">
        <v>0</v>
      </c>
      <c r="CA206" s="47">
        <v>0</v>
      </c>
      <c r="CB206" s="47">
        <v>0</v>
      </c>
      <c r="CC206" s="47">
        <v>0</v>
      </c>
      <c r="CD206" s="47">
        <v>0</v>
      </c>
      <c r="CE206" s="47">
        <v>0</v>
      </c>
      <c r="CF206" s="47">
        <v>0</v>
      </c>
      <c r="CG206" s="47">
        <v>0</v>
      </c>
      <c r="CH206" s="47">
        <v>0</v>
      </c>
      <c r="CI206" s="47">
        <v>0</v>
      </c>
      <c r="CJ206" s="47">
        <v>0</v>
      </c>
      <c r="CK206" s="47">
        <v>0</v>
      </c>
      <c r="CL206" s="47">
        <v>0</v>
      </c>
      <c r="CM206" s="47">
        <v>0</v>
      </c>
      <c r="CN206" s="47">
        <v>0</v>
      </c>
      <c r="CO206" s="47">
        <v>0</v>
      </c>
      <c r="CP206" s="47">
        <v>0</v>
      </c>
      <c r="CQ206" s="47">
        <v>0</v>
      </c>
      <c r="CR206" s="47">
        <v>0</v>
      </c>
      <c r="CS206" s="47">
        <v>0</v>
      </c>
      <c r="CT206" s="47">
        <v>0</v>
      </c>
      <c r="CU206" s="47">
        <v>0</v>
      </c>
      <c r="CV206" s="47">
        <v>0</v>
      </c>
      <c r="CW206" s="47">
        <v>0</v>
      </c>
      <c r="CX206" s="47">
        <v>0</v>
      </c>
      <c r="CY206" s="47">
        <v>0</v>
      </c>
      <c r="CZ206" s="47">
        <v>0</v>
      </c>
      <c r="DA206" s="47">
        <v>0</v>
      </c>
      <c r="DB206" s="47">
        <v>0</v>
      </c>
      <c r="DC206" s="47">
        <v>0</v>
      </c>
      <c r="DD206" s="47">
        <v>0</v>
      </c>
      <c r="DE206" s="47">
        <v>0</v>
      </c>
      <c r="DF206" s="47">
        <v>0</v>
      </c>
      <c r="DG206" s="47">
        <v>0</v>
      </c>
      <c r="DH206" s="47">
        <v>0</v>
      </c>
      <c r="DI206" s="47">
        <v>0</v>
      </c>
      <c r="DJ206" s="47">
        <v>0</v>
      </c>
      <c r="DK206" s="47">
        <v>0</v>
      </c>
      <c r="DL206" s="47">
        <v>0</v>
      </c>
      <c r="DM206" s="47">
        <v>0</v>
      </c>
      <c r="DN206" s="47">
        <v>0</v>
      </c>
      <c r="DO206" s="47">
        <v>0</v>
      </c>
      <c r="DP206" s="47">
        <v>0</v>
      </c>
      <c r="DQ206" s="47">
        <v>0</v>
      </c>
      <c r="DR206" s="47">
        <v>0</v>
      </c>
      <c r="DS206" s="47">
        <v>0</v>
      </c>
      <c r="DT206" s="47">
        <v>0</v>
      </c>
    </row>
    <row r="207" spans="1:126" x14ac:dyDescent="0.25">
      <c r="A207" s="47" t="s">
        <v>1063</v>
      </c>
      <c r="B207" s="47" t="s">
        <v>153</v>
      </c>
      <c r="C207" s="47" t="s">
        <v>1064</v>
      </c>
      <c r="D207" s="47" t="s">
        <v>1065</v>
      </c>
      <c r="E207" s="47" t="s">
        <v>1066</v>
      </c>
      <c r="F207" s="47" t="s">
        <v>698</v>
      </c>
      <c r="G207" s="47" t="s">
        <v>705</v>
      </c>
      <c r="H207" s="47" t="str">
        <f>=IFERROR(VLOOKUP(A207,'ETPT Format DDG'!A:J,10,FALSE),"")</f>
        <v>0</v>
      </c>
      <c r="I207" s="47" t="str">
        <f>='ETPT Format DDG'!M207</f>
        <v/>
      </c>
      <c r="J207" s="47" t="str">
        <f>='ETPT Format DDG'!D207</f>
        <v/>
      </c>
      <c r="K207" s="47" t="s">
        <v>157</v>
      </c>
      <c r="L207" s="47" t="s">
        <v>717</v>
      </c>
      <c r="M207" s="47"/>
      <c r="N207" s="47">
        <v>1</v>
      </c>
      <c r="O207" s="47">
        <v>0</v>
      </c>
      <c r="P207" s="47">
        <v>0</v>
      </c>
      <c r="Q207" s="47">
        <v>0</v>
      </c>
      <c r="R207" s="47">
        <v>0</v>
      </c>
      <c r="S207" s="47">
        <v>0</v>
      </c>
      <c r="T207" s="47">
        <v>0</v>
      </c>
      <c r="U207" s="47">
        <v>0</v>
      </c>
      <c r="V207" s="47">
        <v>0</v>
      </c>
      <c r="W207" s="47">
        <v>0</v>
      </c>
      <c r="X207" s="47">
        <v>0</v>
      </c>
      <c r="Y207" s="47">
        <v>0</v>
      </c>
      <c r="Z207" s="47">
        <v>0</v>
      </c>
      <c r="AA207" s="47">
        <v>0</v>
      </c>
      <c r="AB207" s="47">
        <v>0</v>
      </c>
      <c r="AC207" s="47">
        <v>0</v>
      </c>
      <c r="AD207" s="47">
        <v>0</v>
      </c>
      <c r="AE207" s="47">
        <v>0</v>
      </c>
      <c r="AF207" s="47">
        <v>0</v>
      </c>
      <c r="AG207" s="47">
        <v>0</v>
      </c>
      <c r="AH207" s="47">
        <v>0</v>
      </c>
      <c r="AI207" s="47">
        <v>0</v>
      </c>
      <c r="AJ207" s="47">
        <v>0</v>
      </c>
      <c r="AK207" s="47">
        <v>0</v>
      </c>
      <c r="AL207" s="47">
        <v>0</v>
      </c>
      <c r="AM207" s="47">
        <v>0</v>
      </c>
      <c r="AN207" s="47">
        <v>0</v>
      </c>
      <c r="AO207" s="47">
        <v>0</v>
      </c>
      <c r="AP207" s="47">
        <v>0</v>
      </c>
      <c r="AQ207" s="47">
        <v>0</v>
      </c>
      <c r="AR207" s="47">
        <v>0</v>
      </c>
      <c r="AS207" s="47">
        <v>0</v>
      </c>
      <c r="AT207" s="47">
        <v>0</v>
      </c>
      <c r="AU207" s="47">
        <v>0</v>
      </c>
      <c r="AV207" s="47">
        <v>0</v>
      </c>
      <c r="AW207" s="47">
        <v>0</v>
      </c>
      <c r="AX207" s="47">
        <v>0</v>
      </c>
      <c r="AY207" s="47">
        <v>0</v>
      </c>
      <c r="AZ207" s="47">
        <v>0</v>
      </c>
      <c r="BA207" s="47">
        <v>0</v>
      </c>
      <c r="BB207" s="47">
        <v>0</v>
      </c>
      <c r="BC207" s="47">
        <v>0</v>
      </c>
      <c r="BD207" s="47">
        <v>0</v>
      </c>
      <c r="BE207" s="47">
        <v>0</v>
      </c>
      <c r="BF207" s="47">
        <v>0</v>
      </c>
      <c r="BG207" s="47">
        <v>0</v>
      </c>
      <c r="BH207" s="47">
        <v>0</v>
      </c>
      <c r="BI207" s="47">
        <v>0</v>
      </c>
      <c r="BJ207" s="47">
        <v>0</v>
      </c>
      <c r="BK207" s="47">
        <v>0</v>
      </c>
      <c r="BL207" s="47">
        <v>0</v>
      </c>
      <c r="BM207" s="47">
        <v>0</v>
      </c>
      <c r="BN207" s="47">
        <v>0</v>
      </c>
      <c r="BO207" s="47">
        <v>0</v>
      </c>
      <c r="BP207" s="47">
        <v>0</v>
      </c>
      <c r="BQ207" s="47">
        <v>0</v>
      </c>
      <c r="BR207" s="47">
        <v>0</v>
      </c>
      <c r="BS207" s="47">
        <v>0</v>
      </c>
      <c r="BT207" s="47">
        <v>0</v>
      </c>
      <c r="BU207" s="47">
        <v>0</v>
      </c>
      <c r="BV207" s="47">
        <v>0</v>
      </c>
      <c r="BW207" s="47">
        <v>0</v>
      </c>
      <c r="BX207" s="47">
        <v>0</v>
      </c>
      <c r="BY207" s="47">
        <v>0</v>
      </c>
      <c r="BZ207" s="47">
        <v>0</v>
      </c>
      <c r="CA207" s="47">
        <v>0</v>
      </c>
      <c r="CB207" s="47">
        <v>0</v>
      </c>
      <c r="CC207" s="47">
        <v>0</v>
      </c>
      <c r="CD207" s="47">
        <v>0</v>
      </c>
      <c r="CE207" s="47">
        <v>0</v>
      </c>
      <c r="CF207" s="47">
        <v>0</v>
      </c>
      <c r="CG207" s="47">
        <v>0</v>
      </c>
      <c r="CH207" s="47">
        <v>0</v>
      </c>
      <c r="CI207" s="47">
        <v>0</v>
      </c>
      <c r="CJ207" s="47">
        <v>0</v>
      </c>
      <c r="CK207" s="47">
        <v>0</v>
      </c>
      <c r="CL207" s="47">
        <v>0</v>
      </c>
      <c r="CM207" s="47">
        <v>0</v>
      </c>
      <c r="CN207" s="47">
        <v>0</v>
      </c>
      <c r="CO207" s="47">
        <v>0</v>
      </c>
      <c r="CP207" s="47">
        <v>0</v>
      </c>
      <c r="CQ207" s="47">
        <v>0</v>
      </c>
      <c r="CR207" s="47">
        <v>0</v>
      </c>
      <c r="CS207" s="47">
        <v>0</v>
      </c>
      <c r="CT207" s="47">
        <v>0</v>
      </c>
      <c r="CU207" s="47">
        <v>0</v>
      </c>
      <c r="CV207" s="47">
        <v>0</v>
      </c>
      <c r="CW207" s="47">
        <v>0</v>
      </c>
      <c r="CX207" s="47">
        <v>0</v>
      </c>
      <c r="CY207" s="47">
        <v>0</v>
      </c>
      <c r="CZ207" s="47">
        <v>0</v>
      </c>
      <c r="DA207" s="47">
        <v>0</v>
      </c>
      <c r="DB207" s="47">
        <v>0</v>
      </c>
      <c r="DC207" s="47">
        <v>0</v>
      </c>
      <c r="DD207" s="47">
        <v>0</v>
      </c>
      <c r="DE207" s="47">
        <v>0</v>
      </c>
      <c r="DF207" s="47">
        <v>0</v>
      </c>
      <c r="DG207" s="47">
        <v>0</v>
      </c>
      <c r="DH207" s="47">
        <v>0</v>
      </c>
      <c r="DI207" s="47">
        <v>0</v>
      </c>
      <c r="DJ207" s="47">
        <v>0</v>
      </c>
      <c r="DK207" s="47">
        <v>0</v>
      </c>
      <c r="DL207" s="47">
        <v>0</v>
      </c>
      <c r="DM207" s="47">
        <v>0</v>
      </c>
      <c r="DN207" s="47">
        <v>0</v>
      </c>
      <c r="DO207" s="47">
        <v>0</v>
      </c>
      <c r="DP207" s="47">
        <v>0</v>
      </c>
      <c r="DQ207" s="47">
        <v>0</v>
      </c>
      <c r="DR207" s="47">
        <v>0</v>
      </c>
      <c r="DS207" s="47">
        <v>0</v>
      </c>
      <c r="DT207" s="47">
        <v>0</v>
      </c>
    </row>
    <row r="208" spans="1:126" x14ac:dyDescent="0.25">
      <c r="A208" s="47" t="s">
        <v>1067</v>
      </c>
      <c r="B208" s="47" t="s">
        <v>153</v>
      </c>
      <c r="C208" s="47" t="s">
        <v>1068</v>
      </c>
      <c r="D208" s="47" t="s">
        <v>1069</v>
      </c>
      <c r="E208" s="47" t="s">
        <v>1070</v>
      </c>
      <c r="F208" s="47" t="s">
        <v>698</v>
      </c>
      <c r="G208" s="47" t="s">
        <v>705</v>
      </c>
      <c r="H208" s="47" t="str">
        <f>=IFERROR(VLOOKUP(A208,'ETPT Format DDG'!A:J,10,FALSE),"")</f>
        <v>0</v>
      </c>
      <c r="I208" s="47" t="str">
        <f>='ETPT Format DDG'!M208</f>
        <v/>
      </c>
      <c r="J208" s="47" t="str">
        <f>='ETPT Format DDG'!D208</f>
        <v/>
      </c>
      <c r="K208" s="47" t="s">
        <v>157</v>
      </c>
      <c r="L208" s="47" t="s">
        <v>1071</v>
      </c>
      <c r="M208" s="47"/>
      <c r="N208" s="47">
        <v>1</v>
      </c>
      <c r="O208" s="47">
        <v>0</v>
      </c>
      <c r="P208" s="47">
        <v>0</v>
      </c>
      <c r="Q208" s="47">
        <v>0</v>
      </c>
      <c r="R208" s="47">
        <v>0</v>
      </c>
      <c r="S208" s="47">
        <v>0</v>
      </c>
      <c r="T208" s="47">
        <v>0</v>
      </c>
      <c r="U208" s="47">
        <v>0</v>
      </c>
      <c r="V208" s="47">
        <v>0</v>
      </c>
      <c r="W208" s="47">
        <v>0</v>
      </c>
      <c r="X208" s="47">
        <v>0</v>
      </c>
      <c r="Y208" s="47">
        <v>0</v>
      </c>
      <c r="Z208" s="47">
        <v>0</v>
      </c>
      <c r="AA208" s="47">
        <v>0</v>
      </c>
      <c r="AB208" s="47">
        <v>0</v>
      </c>
      <c r="AC208" s="47">
        <v>0</v>
      </c>
      <c r="AD208" s="47">
        <v>0</v>
      </c>
      <c r="AE208" s="47">
        <v>0</v>
      </c>
      <c r="AF208" s="47">
        <v>0</v>
      </c>
      <c r="AG208" s="47">
        <v>0</v>
      </c>
      <c r="AH208" s="47">
        <v>0</v>
      </c>
      <c r="AI208" s="47">
        <v>0</v>
      </c>
      <c r="AJ208" s="47">
        <v>0</v>
      </c>
      <c r="AK208" s="47">
        <v>0</v>
      </c>
      <c r="AL208" s="47">
        <v>0</v>
      </c>
      <c r="AM208" s="47">
        <v>0</v>
      </c>
      <c r="AN208" s="47">
        <v>0</v>
      </c>
      <c r="AO208" s="47">
        <v>0</v>
      </c>
      <c r="AP208" s="47">
        <v>0</v>
      </c>
      <c r="AQ208" s="47">
        <v>0</v>
      </c>
      <c r="AR208" s="47">
        <v>0</v>
      </c>
      <c r="AS208" s="47">
        <v>0</v>
      </c>
      <c r="AT208" s="47">
        <v>0</v>
      </c>
      <c r="AU208" s="47">
        <v>0</v>
      </c>
      <c r="AV208" s="47">
        <v>0</v>
      </c>
      <c r="AW208" s="47">
        <v>0</v>
      </c>
      <c r="AX208" s="47">
        <v>0</v>
      </c>
      <c r="AY208" s="47">
        <v>0</v>
      </c>
      <c r="AZ208" s="47">
        <v>0</v>
      </c>
      <c r="BA208" s="47">
        <v>0</v>
      </c>
      <c r="BB208" s="47">
        <v>0</v>
      </c>
      <c r="BC208" s="47">
        <v>0</v>
      </c>
      <c r="BD208" s="47">
        <v>0</v>
      </c>
      <c r="BE208" s="47">
        <v>0</v>
      </c>
      <c r="BF208" s="47">
        <v>0</v>
      </c>
      <c r="BG208" s="47">
        <v>0</v>
      </c>
      <c r="BH208" s="47">
        <v>0</v>
      </c>
      <c r="BI208" s="47">
        <v>0</v>
      </c>
      <c r="BJ208" s="47">
        <v>0</v>
      </c>
      <c r="BK208" s="47">
        <v>0</v>
      </c>
      <c r="BL208" s="47">
        <v>0</v>
      </c>
      <c r="BM208" s="47">
        <v>0</v>
      </c>
      <c r="BN208" s="47">
        <v>0</v>
      </c>
      <c r="BO208" s="47">
        <v>0</v>
      </c>
      <c r="BP208" s="47">
        <v>0</v>
      </c>
      <c r="BQ208" s="47">
        <v>0</v>
      </c>
      <c r="BR208" s="47">
        <v>0</v>
      </c>
      <c r="BS208" s="47">
        <v>0</v>
      </c>
      <c r="BT208" s="47">
        <v>0</v>
      </c>
      <c r="BU208" s="47">
        <v>0</v>
      </c>
      <c r="BV208" s="47">
        <v>0</v>
      </c>
      <c r="BW208" s="47">
        <v>0</v>
      </c>
      <c r="BX208" s="47">
        <v>0</v>
      </c>
      <c r="BY208" s="47">
        <v>0</v>
      </c>
      <c r="BZ208" s="47">
        <v>0</v>
      </c>
      <c r="CA208" s="47">
        <v>0</v>
      </c>
      <c r="CB208" s="47">
        <v>0</v>
      </c>
      <c r="CC208" s="47">
        <v>0</v>
      </c>
      <c r="CD208" s="47">
        <v>0</v>
      </c>
      <c r="CE208" s="47">
        <v>0</v>
      </c>
      <c r="CF208" s="47">
        <v>0</v>
      </c>
      <c r="CG208" s="47">
        <v>0</v>
      </c>
      <c r="CH208" s="47">
        <v>0</v>
      </c>
      <c r="CI208" s="47">
        <v>0</v>
      </c>
      <c r="CJ208" s="47">
        <v>0</v>
      </c>
      <c r="CK208" s="47">
        <v>0</v>
      </c>
      <c r="CL208" s="47">
        <v>0</v>
      </c>
      <c r="CM208" s="47">
        <v>0</v>
      </c>
      <c r="CN208" s="47">
        <v>0</v>
      </c>
      <c r="CO208" s="47">
        <v>0</v>
      </c>
      <c r="CP208" s="47">
        <v>0</v>
      </c>
      <c r="CQ208" s="47">
        <v>0</v>
      </c>
      <c r="CR208" s="47">
        <v>0</v>
      </c>
      <c r="CS208" s="47">
        <v>0</v>
      </c>
      <c r="CT208" s="47">
        <v>0</v>
      </c>
      <c r="CU208" s="47">
        <v>0</v>
      </c>
      <c r="CV208" s="47">
        <v>0</v>
      </c>
      <c r="CW208" s="47">
        <v>0</v>
      </c>
      <c r="CX208" s="47">
        <v>0</v>
      </c>
      <c r="CY208" s="47">
        <v>0</v>
      </c>
      <c r="CZ208" s="47">
        <v>0</v>
      </c>
      <c r="DA208" s="47">
        <v>0</v>
      </c>
      <c r="DB208" s="47">
        <v>0</v>
      </c>
      <c r="DC208" s="47">
        <v>0</v>
      </c>
      <c r="DD208" s="47">
        <v>0</v>
      </c>
      <c r="DE208" s="47">
        <v>0</v>
      </c>
      <c r="DF208" s="47">
        <v>0</v>
      </c>
      <c r="DG208" s="47">
        <v>0</v>
      </c>
      <c r="DH208" s="47">
        <v>0</v>
      </c>
      <c r="DI208" s="47">
        <v>0</v>
      </c>
      <c r="DJ208" s="47">
        <v>0</v>
      </c>
      <c r="DK208" s="47">
        <v>0</v>
      </c>
      <c r="DL208" s="47">
        <v>0</v>
      </c>
      <c r="DM208" s="47">
        <v>0</v>
      </c>
      <c r="DN208" s="47">
        <v>0</v>
      </c>
      <c r="DO208" s="47">
        <v>0</v>
      </c>
      <c r="DP208" s="47">
        <v>0</v>
      </c>
      <c r="DQ208" s="47">
        <v>0</v>
      </c>
      <c r="DR208" s="47">
        <v>0</v>
      </c>
      <c r="DS208" s="47">
        <v>0</v>
      </c>
      <c r="DT208" s="47">
        <v>0</v>
      </c>
    </row>
    <row r="209" spans="1:126" x14ac:dyDescent="0.25">
      <c r="A209" s="47" t="s">
        <v>1072</v>
      </c>
      <c r="B209" s="47" t="s">
        <v>153</v>
      </c>
      <c r="C209" s="47" t="s">
        <v>1073</v>
      </c>
      <c r="D209" s="47" t="s">
        <v>1074</v>
      </c>
      <c r="E209" s="47" t="s">
        <v>1075</v>
      </c>
      <c r="F209" s="47" t="s">
        <v>698</v>
      </c>
      <c r="G209" s="47" t="s">
        <v>727</v>
      </c>
      <c r="H209" s="47" t="str">
        <f>=IFERROR(VLOOKUP(A209,'ETPT Format DDG'!A:J,10,FALSE),"")</f>
        <v>0</v>
      </c>
      <c r="I209" s="47" t="str">
        <f>='ETPT Format DDG'!M209</f>
        <v/>
      </c>
      <c r="J209" s="47" t="str">
        <f>='ETPT Format DDG'!D209</f>
        <v/>
      </c>
      <c r="K209" s="47" t="s">
        <v>157</v>
      </c>
      <c r="L209" s="47" t="s">
        <v>1076</v>
      </c>
      <c r="M209" s="47"/>
      <c r="N209" s="47">
        <v>1</v>
      </c>
      <c r="O209" s="47">
        <v>1</v>
      </c>
      <c r="P209" s="47">
        <v>0</v>
      </c>
      <c r="Q209" s="47">
        <v>0</v>
      </c>
      <c r="R209" s="47">
        <v>0</v>
      </c>
      <c r="S209" s="47">
        <v>0</v>
      </c>
      <c r="T209" s="47">
        <v>0</v>
      </c>
      <c r="U209" s="47">
        <v>0</v>
      </c>
      <c r="V209" s="47">
        <v>0</v>
      </c>
      <c r="W209" s="47">
        <v>0</v>
      </c>
      <c r="X209" s="47">
        <v>0</v>
      </c>
      <c r="Y209" s="47">
        <v>0</v>
      </c>
      <c r="Z209" s="47">
        <v>0</v>
      </c>
      <c r="AA209" s="47">
        <v>0</v>
      </c>
      <c r="AB209" s="47">
        <v>0</v>
      </c>
      <c r="AC209" s="47">
        <v>0</v>
      </c>
      <c r="AD209" s="47">
        <v>0</v>
      </c>
      <c r="AE209" s="47">
        <v>0</v>
      </c>
      <c r="AF209" s="47">
        <v>0</v>
      </c>
      <c r="AG209" s="47">
        <v>0</v>
      </c>
      <c r="AH209" s="47">
        <v>0</v>
      </c>
      <c r="AI209" s="47">
        <v>0</v>
      </c>
      <c r="AJ209" s="47">
        <v>0</v>
      </c>
      <c r="AK209" s="47">
        <v>0</v>
      </c>
      <c r="AL209" s="47">
        <v>0</v>
      </c>
      <c r="AM209" s="47">
        <v>0</v>
      </c>
      <c r="AN209" s="47">
        <v>1</v>
      </c>
      <c r="AO209" s="47">
        <v>0</v>
      </c>
      <c r="AP209" s="47">
        <v>0</v>
      </c>
      <c r="AQ209" s="47">
        <v>0</v>
      </c>
      <c r="AR209" s="47">
        <v>0</v>
      </c>
      <c r="AS209" s="47">
        <v>0</v>
      </c>
      <c r="AT209" s="47">
        <v>0</v>
      </c>
      <c r="AU209" s="47">
        <v>0</v>
      </c>
      <c r="AV209" s="47">
        <v>0</v>
      </c>
      <c r="AW209" s="47">
        <v>0</v>
      </c>
      <c r="AX209" s="47">
        <v>0</v>
      </c>
      <c r="AY209" s="47">
        <v>0</v>
      </c>
      <c r="AZ209" s="47">
        <v>0</v>
      </c>
      <c r="BA209" s="47">
        <v>0</v>
      </c>
      <c r="BB209" s="47">
        <v>0</v>
      </c>
      <c r="BC209" s="47">
        <v>0</v>
      </c>
      <c r="BD209" s="47">
        <v>0</v>
      </c>
      <c r="BE209" s="47">
        <v>0</v>
      </c>
      <c r="BF209" s="47">
        <v>0</v>
      </c>
      <c r="BG209" s="47">
        <v>0</v>
      </c>
      <c r="BH209" s="47">
        <v>0</v>
      </c>
      <c r="BI209" s="47">
        <v>0</v>
      </c>
      <c r="BJ209" s="47">
        <v>0</v>
      </c>
      <c r="BK209" s="47">
        <v>0</v>
      </c>
      <c r="BL209" s="47">
        <v>0</v>
      </c>
      <c r="BM209" s="47">
        <v>0</v>
      </c>
      <c r="BN209" s="47">
        <v>0</v>
      </c>
      <c r="BO209" s="47">
        <v>0</v>
      </c>
      <c r="BP209" s="47">
        <v>0</v>
      </c>
      <c r="BQ209" s="47">
        <v>0</v>
      </c>
      <c r="BR209" s="47">
        <v>0</v>
      </c>
      <c r="BS209" s="47">
        <v>0</v>
      </c>
      <c r="BT209" s="47">
        <v>0</v>
      </c>
      <c r="BU209" s="47">
        <v>0</v>
      </c>
      <c r="BV209" s="47">
        <v>0</v>
      </c>
      <c r="BW209" s="47">
        <v>0</v>
      </c>
      <c r="BX209" s="47">
        <v>0</v>
      </c>
      <c r="BY209" s="47">
        <v>0</v>
      </c>
      <c r="BZ209" s="47">
        <v>0</v>
      </c>
      <c r="CA209" s="47">
        <v>0</v>
      </c>
      <c r="CB209" s="47">
        <v>0</v>
      </c>
      <c r="CC209" s="47">
        <v>0</v>
      </c>
      <c r="CD209" s="47">
        <v>0</v>
      </c>
      <c r="CE209" s="47">
        <v>0</v>
      </c>
      <c r="CF209" s="47">
        <v>0</v>
      </c>
      <c r="CG209" s="47">
        <v>0</v>
      </c>
      <c r="CH209" s="47">
        <v>0</v>
      </c>
      <c r="CI209" s="47">
        <v>0</v>
      </c>
      <c r="CJ209" s="47">
        <v>0</v>
      </c>
      <c r="CK209" s="47">
        <v>0</v>
      </c>
      <c r="CL209" s="47">
        <v>0</v>
      </c>
      <c r="CM209" s="47">
        <v>0</v>
      </c>
      <c r="CN209" s="47">
        <v>0</v>
      </c>
      <c r="CO209" s="47">
        <v>0</v>
      </c>
      <c r="CP209" s="47">
        <v>0</v>
      </c>
      <c r="CQ209" s="47">
        <v>0</v>
      </c>
      <c r="CR209" s="47">
        <v>0</v>
      </c>
      <c r="CS209" s="47">
        <v>0</v>
      </c>
      <c r="CT209" s="47">
        <v>0</v>
      </c>
      <c r="CU209" s="47">
        <v>0</v>
      </c>
      <c r="CV209" s="47">
        <v>0</v>
      </c>
      <c r="CW209" s="47">
        <v>0</v>
      </c>
      <c r="CX209" s="47">
        <v>0</v>
      </c>
      <c r="CY209" s="47">
        <v>0</v>
      </c>
      <c r="CZ209" s="47">
        <v>0</v>
      </c>
      <c r="DA209" s="47">
        <v>0</v>
      </c>
      <c r="DB209" s="47">
        <v>0</v>
      </c>
      <c r="DC209" s="47">
        <v>0</v>
      </c>
      <c r="DD209" s="47">
        <v>0</v>
      </c>
      <c r="DE209" s="47">
        <v>0</v>
      </c>
      <c r="DF209" s="47">
        <v>0</v>
      </c>
      <c r="DG209" s="47">
        <v>0</v>
      </c>
      <c r="DH209" s="47">
        <v>0</v>
      </c>
      <c r="DI209" s="47">
        <v>0</v>
      </c>
      <c r="DJ209" s="47">
        <v>0</v>
      </c>
      <c r="DK209" s="47">
        <v>0</v>
      </c>
      <c r="DL209" s="47">
        <v>0</v>
      </c>
      <c r="DM209" s="47">
        <v>0</v>
      </c>
      <c r="DN209" s="47">
        <v>0</v>
      </c>
      <c r="DO209" s="47">
        <v>0</v>
      </c>
      <c r="DP209" s="47">
        <v>0</v>
      </c>
      <c r="DQ209" s="47">
        <v>0</v>
      </c>
      <c r="DR209" s="47">
        <v>0</v>
      </c>
      <c r="DS209" s="47">
        <v>0</v>
      </c>
      <c r="DT209" s="47">
        <v>0</v>
      </c>
    </row>
    <row r="210" spans="1:126" x14ac:dyDescent="0.25">
      <c r="A210" s="47" t="s">
        <v>1077</v>
      </c>
      <c r="B210" s="47" t="s">
        <v>153</v>
      </c>
      <c r="C210" s="47" t="s">
        <v>1078</v>
      </c>
      <c r="D210" s="47" t="s">
        <v>1079</v>
      </c>
      <c r="E210" s="47" t="s">
        <v>1080</v>
      </c>
      <c r="F210" s="47" t="s">
        <v>698</v>
      </c>
      <c r="G210" s="47" t="s">
        <v>705</v>
      </c>
      <c r="H210" s="47" t="str">
        <f>=IFERROR(VLOOKUP(A210,'ETPT Format DDG'!A:J,10,FALSE),"")</f>
        <v>0</v>
      </c>
      <c r="I210" s="47" t="str">
        <f>='ETPT Format DDG'!M210</f>
        <v/>
      </c>
      <c r="J210" s="47" t="str">
        <f>='ETPT Format DDG'!D210</f>
        <v/>
      </c>
      <c r="K210" s="47" t="s">
        <v>157</v>
      </c>
      <c r="L210" s="47" t="s">
        <v>902</v>
      </c>
      <c r="M210" s="47"/>
      <c r="N210" s="47">
        <v>0.8</v>
      </c>
      <c r="O210" s="47">
        <v>0</v>
      </c>
      <c r="P210" s="47">
        <v>0</v>
      </c>
      <c r="Q210" s="47">
        <v>0</v>
      </c>
      <c r="R210" s="47">
        <v>0</v>
      </c>
      <c r="S210" s="47">
        <v>0</v>
      </c>
      <c r="T210" s="47">
        <v>0</v>
      </c>
      <c r="U210" s="47">
        <v>0</v>
      </c>
      <c r="V210" s="47">
        <v>0</v>
      </c>
      <c r="W210" s="47">
        <v>0</v>
      </c>
      <c r="X210" s="47">
        <v>0</v>
      </c>
      <c r="Y210" s="47">
        <v>0</v>
      </c>
      <c r="Z210" s="47">
        <v>0</v>
      </c>
      <c r="AA210" s="47">
        <v>0</v>
      </c>
      <c r="AB210" s="47">
        <v>0</v>
      </c>
      <c r="AC210" s="47">
        <v>0</v>
      </c>
      <c r="AD210" s="47">
        <v>0</v>
      </c>
      <c r="AE210" s="47">
        <v>0</v>
      </c>
      <c r="AF210" s="47">
        <v>0</v>
      </c>
      <c r="AG210" s="47">
        <v>0</v>
      </c>
      <c r="AH210" s="47">
        <v>0</v>
      </c>
      <c r="AI210" s="47">
        <v>0</v>
      </c>
      <c r="AJ210" s="47">
        <v>0</v>
      </c>
      <c r="AK210" s="47">
        <v>0</v>
      </c>
      <c r="AL210" s="47">
        <v>0</v>
      </c>
      <c r="AM210" s="47">
        <v>0</v>
      </c>
      <c r="AN210" s="47">
        <v>0</v>
      </c>
      <c r="AO210" s="47">
        <v>0</v>
      </c>
      <c r="AP210" s="47">
        <v>0</v>
      </c>
      <c r="AQ210" s="47">
        <v>0</v>
      </c>
      <c r="AR210" s="47">
        <v>0</v>
      </c>
      <c r="AS210" s="47">
        <v>0</v>
      </c>
      <c r="AT210" s="47">
        <v>0</v>
      </c>
      <c r="AU210" s="47">
        <v>0</v>
      </c>
      <c r="AV210" s="47">
        <v>0</v>
      </c>
      <c r="AW210" s="47">
        <v>0</v>
      </c>
      <c r="AX210" s="47">
        <v>0</v>
      </c>
      <c r="AY210" s="47">
        <v>0</v>
      </c>
      <c r="AZ210" s="47">
        <v>0</v>
      </c>
      <c r="BA210" s="47">
        <v>0</v>
      </c>
      <c r="BB210" s="47">
        <v>0</v>
      </c>
      <c r="BC210" s="47">
        <v>0</v>
      </c>
      <c r="BD210" s="47">
        <v>0</v>
      </c>
      <c r="BE210" s="47">
        <v>0</v>
      </c>
      <c r="BF210" s="47">
        <v>0</v>
      </c>
      <c r="BG210" s="47">
        <v>0</v>
      </c>
      <c r="BH210" s="47">
        <v>0</v>
      </c>
      <c r="BI210" s="47">
        <v>0</v>
      </c>
      <c r="BJ210" s="47">
        <v>0</v>
      </c>
      <c r="BK210" s="47">
        <v>0</v>
      </c>
      <c r="BL210" s="47">
        <v>0</v>
      </c>
      <c r="BM210" s="47">
        <v>0</v>
      </c>
      <c r="BN210" s="47">
        <v>0</v>
      </c>
      <c r="BO210" s="47">
        <v>0</v>
      </c>
      <c r="BP210" s="47">
        <v>0</v>
      </c>
      <c r="BQ210" s="47">
        <v>0</v>
      </c>
      <c r="BR210" s="47">
        <v>0</v>
      </c>
      <c r="BS210" s="47">
        <v>0</v>
      </c>
      <c r="BT210" s="47">
        <v>0</v>
      </c>
      <c r="BU210" s="47">
        <v>0</v>
      </c>
      <c r="BV210" s="47">
        <v>0</v>
      </c>
      <c r="BW210" s="47">
        <v>0</v>
      </c>
      <c r="BX210" s="47">
        <v>0</v>
      </c>
      <c r="BY210" s="47">
        <v>0</v>
      </c>
      <c r="BZ210" s="47">
        <v>0</v>
      </c>
      <c r="CA210" s="47">
        <v>0</v>
      </c>
      <c r="CB210" s="47">
        <v>0</v>
      </c>
      <c r="CC210" s="47">
        <v>0</v>
      </c>
      <c r="CD210" s="47">
        <v>0</v>
      </c>
      <c r="CE210" s="47">
        <v>0</v>
      </c>
      <c r="CF210" s="47">
        <v>0</v>
      </c>
      <c r="CG210" s="47">
        <v>0</v>
      </c>
      <c r="CH210" s="47">
        <v>0</v>
      </c>
      <c r="CI210" s="47">
        <v>0</v>
      </c>
      <c r="CJ210" s="47">
        <v>0</v>
      </c>
      <c r="CK210" s="47">
        <v>0</v>
      </c>
      <c r="CL210" s="47">
        <v>0</v>
      </c>
      <c r="CM210" s="47">
        <v>0</v>
      </c>
      <c r="CN210" s="47">
        <v>0</v>
      </c>
      <c r="CO210" s="47">
        <v>0</v>
      </c>
      <c r="CP210" s="47">
        <v>0</v>
      </c>
      <c r="CQ210" s="47">
        <v>0</v>
      </c>
      <c r="CR210" s="47">
        <v>0</v>
      </c>
      <c r="CS210" s="47">
        <v>0</v>
      </c>
      <c r="CT210" s="47">
        <v>0</v>
      </c>
      <c r="CU210" s="47">
        <v>0</v>
      </c>
      <c r="CV210" s="47">
        <v>0</v>
      </c>
      <c r="CW210" s="47">
        <v>0</v>
      </c>
      <c r="CX210" s="47">
        <v>0</v>
      </c>
      <c r="CY210" s="47">
        <v>0</v>
      </c>
      <c r="CZ210" s="47">
        <v>0</v>
      </c>
      <c r="DA210" s="47">
        <v>0</v>
      </c>
      <c r="DB210" s="47">
        <v>0</v>
      </c>
      <c r="DC210" s="47">
        <v>0</v>
      </c>
      <c r="DD210" s="47">
        <v>0</v>
      </c>
      <c r="DE210" s="47">
        <v>0</v>
      </c>
      <c r="DF210" s="47">
        <v>0</v>
      </c>
      <c r="DG210" s="47">
        <v>0</v>
      </c>
      <c r="DH210" s="47">
        <v>0</v>
      </c>
      <c r="DI210" s="47">
        <v>0</v>
      </c>
      <c r="DJ210" s="47">
        <v>0</v>
      </c>
      <c r="DK210" s="47">
        <v>0</v>
      </c>
      <c r="DL210" s="47">
        <v>0</v>
      </c>
      <c r="DM210" s="47">
        <v>0</v>
      </c>
      <c r="DN210" s="47">
        <v>0</v>
      </c>
      <c r="DO210" s="47">
        <v>0</v>
      </c>
      <c r="DP210" s="47">
        <v>0</v>
      </c>
      <c r="DQ210" s="47">
        <v>0</v>
      </c>
      <c r="DR210" s="47">
        <v>0</v>
      </c>
      <c r="DS210" s="47">
        <v>0</v>
      </c>
      <c r="DT210" s="47">
        <v>0</v>
      </c>
    </row>
    <row r="211" spans="1:126" x14ac:dyDescent="0.25">
      <c r="A211" s="47" t="s">
        <v>1081</v>
      </c>
      <c r="B211" s="47" t="s">
        <v>153</v>
      </c>
      <c r="C211" s="47" t="s">
        <v>1082</v>
      </c>
      <c r="D211" s="47" t="s">
        <v>1083</v>
      </c>
      <c r="E211" s="47" t="s">
        <v>1084</v>
      </c>
      <c r="F211" s="47" t="s">
        <v>698</v>
      </c>
      <c r="G211" s="47" t="s">
        <v>727</v>
      </c>
      <c r="H211" s="47" t="str">
        <f>=IFERROR(VLOOKUP(A211,'ETPT Format DDG'!A:J,10,FALSE),"")</f>
        <v>0</v>
      </c>
      <c r="I211" s="47" t="str">
        <f>='ETPT Format DDG'!M211</f>
        <v/>
      </c>
      <c r="J211" s="47" t="str">
        <f>='ETPT Format DDG'!D211</f>
        <v/>
      </c>
      <c r="K211" s="47" t="s">
        <v>157</v>
      </c>
      <c r="L211" s="47" t="s">
        <v>1085</v>
      </c>
      <c r="M211" s="47"/>
      <c r="N211" s="47">
        <v>1</v>
      </c>
      <c r="O211" s="47">
        <v>1</v>
      </c>
      <c r="P211" s="47">
        <v>0</v>
      </c>
      <c r="Q211" s="47">
        <v>0</v>
      </c>
      <c r="R211" s="47">
        <v>0</v>
      </c>
      <c r="S211" s="47">
        <v>0</v>
      </c>
      <c r="T211" s="47">
        <v>0</v>
      </c>
      <c r="U211" s="47">
        <v>0</v>
      </c>
      <c r="V211" s="47">
        <v>0</v>
      </c>
      <c r="W211" s="47">
        <v>0</v>
      </c>
      <c r="X211" s="47">
        <v>0</v>
      </c>
      <c r="Y211" s="47">
        <v>0</v>
      </c>
      <c r="Z211" s="47">
        <v>0</v>
      </c>
      <c r="AA211" s="47">
        <v>0</v>
      </c>
      <c r="AB211" s="47">
        <v>0</v>
      </c>
      <c r="AC211" s="47">
        <v>0</v>
      </c>
      <c r="AD211" s="47">
        <v>0</v>
      </c>
      <c r="AE211" s="47">
        <v>0</v>
      </c>
      <c r="AF211" s="47">
        <v>0</v>
      </c>
      <c r="AG211" s="47">
        <v>0</v>
      </c>
      <c r="AH211" s="47">
        <v>0</v>
      </c>
      <c r="AI211" s="47">
        <v>0</v>
      </c>
      <c r="AJ211" s="47">
        <v>0</v>
      </c>
      <c r="AK211" s="47">
        <v>0</v>
      </c>
      <c r="AL211" s="47">
        <v>0</v>
      </c>
      <c r="AM211" s="47">
        <v>0</v>
      </c>
      <c r="AN211" s="47">
        <v>1</v>
      </c>
      <c r="AO211" s="47">
        <v>0</v>
      </c>
      <c r="AP211" s="47">
        <v>0</v>
      </c>
      <c r="AQ211" s="47">
        <v>0</v>
      </c>
      <c r="AR211" s="47">
        <v>0</v>
      </c>
      <c r="AS211" s="47">
        <v>0</v>
      </c>
      <c r="AT211" s="47">
        <v>0</v>
      </c>
      <c r="AU211" s="47">
        <v>0</v>
      </c>
      <c r="AV211" s="47">
        <v>0</v>
      </c>
      <c r="AW211" s="47">
        <v>0</v>
      </c>
      <c r="AX211" s="47">
        <v>0</v>
      </c>
      <c r="AY211" s="47">
        <v>0</v>
      </c>
      <c r="AZ211" s="47">
        <v>0</v>
      </c>
      <c r="BA211" s="47">
        <v>0</v>
      </c>
      <c r="BB211" s="47">
        <v>0</v>
      </c>
      <c r="BC211" s="47">
        <v>0</v>
      </c>
      <c r="BD211" s="47">
        <v>0</v>
      </c>
      <c r="BE211" s="47">
        <v>0</v>
      </c>
      <c r="BF211" s="47">
        <v>0</v>
      </c>
      <c r="BG211" s="47">
        <v>0</v>
      </c>
      <c r="BH211" s="47">
        <v>0</v>
      </c>
      <c r="BI211" s="47">
        <v>0</v>
      </c>
      <c r="BJ211" s="47">
        <v>0</v>
      </c>
      <c r="BK211" s="47">
        <v>0</v>
      </c>
      <c r="BL211" s="47">
        <v>0</v>
      </c>
      <c r="BM211" s="47">
        <v>0</v>
      </c>
      <c r="BN211" s="47">
        <v>0</v>
      </c>
      <c r="BO211" s="47">
        <v>0</v>
      </c>
      <c r="BP211" s="47">
        <v>0</v>
      </c>
      <c r="BQ211" s="47">
        <v>0</v>
      </c>
      <c r="BR211" s="47">
        <v>0</v>
      </c>
      <c r="BS211" s="47">
        <v>0</v>
      </c>
      <c r="BT211" s="47">
        <v>0</v>
      </c>
      <c r="BU211" s="47">
        <v>0</v>
      </c>
      <c r="BV211" s="47">
        <v>0</v>
      </c>
      <c r="BW211" s="47">
        <v>0</v>
      </c>
      <c r="BX211" s="47">
        <v>0</v>
      </c>
      <c r="BY211" s="47">
        <v>0</v>
      </c>
      <c r="BZ211" s="47">
        <v>0</v>
      </c>
      <c r="CA211" s="47">
        <v>0</v>
      </c>
      <c r="CB211" s="47">
        <v>0</v>
      </c>
      <c r="CC211" s="47">
        <v>0</v>
      </c>
      <c r="CD211" s="47">
        <v>0</v>
      </c>
      <c r="CE211" s="47">
        <v>0</v>
      </c>
      <c r="CF211" s="47">
        <v>0</v>
      </c>
      <c r="CG211" s="47">
        <v>0</v>
      </c>
      <c r="CH211" s="47">
        <v>0</v>
      </c>
      <c r="CI211" s="47">
        <v>0</v>
      </c>
      <c r="CJ211" s="47">
        <v>0</v>
      </c>
      <c r="CK211" s="47">
        <v>0</v>
      </c>
      <c r="CL211" s="47">
        <v>0</v>
      </c>
      <c r="CM211" s="47">
        <v>0</v>
      </c>
      <c r="CN211" s="47">
        <v>0</v>
      </c>
      <c r="CO211" s="47">
        <v>0</v>
      </c>
      <c r="CP211" s="47">
        <v>0</v>
      </c>
      <c r="CQ211" s="47">
        <v>0</v>
      </c>
      <c r="CR211" s="47">
        <v>0</v>
      </c>
      <c r="CS211" s="47">
        <v>0</v>
      </c>
      <c r="CT211" s="47">
        <v>0</v>
      </c>
      <c r="CU211" s="47">
        <v>0</v>
      </c>
      <c r="CV211" s="47">
        <v>0</v>
      </c>
      <c r="CW211" s="47">
        <v>0</v>
      </c>
      <c r="CX211" s="47">
        <v>0</v>
      </c>
      <c r="CY211" s="47">
        <v>0</v>
      </c>
      <c r="CZ211" s="47">
        <v>0</v>
      </c>
      <c r="DA211" s="47">
        <v>0</v>
      </c>
      <c r="DB211" s="47">
        <v>0</v>
      </c>
      <c r="DC211" s="47">
        <v>0</v>
      </c>
      <c r="DD211" s="47">
        <v>0</v>
      </c>
      <c r="DE211" s="47">
        <v>0</v>
      </c>
      <c r="DF211" s="47">
        <v>0</v>
      </c>
      <c r="DG211" s="47">
        <v>0</v>
      </c>
      <c r="DH211" s="47">
        <v>0</v>
      </c>
      <c r="DI211" s="47">
        <v>0</v>
      </c>
      <c r="DJ211" s="47">
        <v>0</v>
      </c>
      <c r="DK211" s="47">
        <v>0</v>
      </c>
      <c r="DL211" s="47">
        <v>0</v>
      </c>
      <c r="DM211" s="47">
        <v>0</v>
      </c>
      <c r="DN211" s="47">
        <v>0</v>
      </c>
      <c r="DO211" s="47">
        <v>0</v>
      </c>
      <c r="DP211" s="47">
        <v>0</v>
      </c>
      <c r="DQ211" s="47">
        <v>0</v>
      </c>
      <c r="DR211" s="47">
        <v>0</v>
      </c>
      <c r="DS211" s="47">
        <v>0</v>
      </c>
      <c r="DT211" s="47">
        <v>0</v>
      </c>
    </row>
    <row r="212" spans="1:126" x14ac:dyDescent="0.25">
      <c r="A212" s="47" t="s">
        <v>1086</v>
      </c>
      <c r="B212" s="47" t="s">
        <v>153</v>
      </c>
      <c r="C212" s="47" t="s">
        <v>1087</v>
      </c>
      <c r="D212" s="47" t="s">
        <v>1088</v>
      </c>
      <c r="E212" s="47" t="s">
        <v>1089</v>
      </c>
      <c r="F212" s="47" t="s">
        <v>698</v>
      </c>
      <c r="G212" s="47" t="s">
        <v>727</v>
      </c>
      <c r="H212" s="47" t="str">
        <f>=IFERROR(VLOOKUP(A212,'ETPT Format DDG'!A:J,10,FALSE),"")</f>
        <v>0</v>
      </c>
      <c r="I212" s="47" t="str">
        <f>='ETPT Format DDG'!M212</f>
        <v/>
      </c>
      <c r="J212" s="47" t="str">
        <f>='ETPT Format DDG'!D212</f>
        <v/>
      </c>
      <c r="K212" s="47" t="s">
        <v>157</v>
      </c>
      <c r="L212" s="47" t="s">
        <v>1090</v>
      </c>
      <c r="M212" s="47"/>
      <c r="N212" s="47">
        <v>0.8</v>
      </c>
      <c r="O212" s="47">
        <v>0</v>
      </c>
      <c r="P212" s="47">
        <v>0</v>
      </c>
      <c r="Q212" s="47">
        <v>0</v>
      </c>
      <c r="R212" s="47">
        <v>0</v>
      </c>
      <c r="S212" s="47">
        <v>0</v>
      </c>
      <c r="T212" s="47">
        <v>0</v>
      </c>
      <c r="U212" s="47">
        <v>0</v>
      </c>
      <c r="V212" s="47">
        <v>0</v>
      </c>
      <c r="W212" s="47">
        <v>0</v>
      </c>
      <c r="X212" s="47">
        <v>0</v>
      </c>
      <c r="Y212" s="47">
        <v>0</v>
      </c>
      <c r="Z212" s="47">
        <v>0</v>
      </c>
      <c r="AA212" s="47">
        <v>0</v>
      </c>
      <c r="AB212" s="47">
        <v>0</v>
      </c>
      <c r="AC212" s="47">
        <v>0</v>
      </c>
      <c r="AD212" s="47">
        <v>0</v>
      </c>
      <c r="AE212" s="47">
        <v>0</v>
      </c>
      <c r="AF212" s="47">
        <v>0</v>
      </c>
      <c r="AG212" s="47">
        <v>0</v>
      </c>
      <c r="AH212" s="47">
        <v>0</v>
      </c>
      <c r="AI212" s="47">
        <v>0</v>
      </c>
      <c r="AJ212" s="47">
        <v>0</v>
      </c>
      <c r="AK212" s="47">
        <v>0</v>
      </c>
      <c r="AL212" s="47">
        <v>0</v>
      </c>
      <c r="AM212" s="47">
        <v>0</v>
      </c>
      <c r="AN212" s="47">
        <v>0</v>
      </c>
      <c r="AO212" s="47">
        <v>0</v>
      </c>
      <c r="AP212" s="47">
        <v>0</v>
      </c>
      <c r="AQ212" s="47">
        <v>0</v>
      </c>
      <c r="AR212" s="47">
        <v>0</v>
      </c>
      <c r="AS212" s="47">
        <v>0</v>
      </c>
      <c r="AT212" s="47">
        <v>0</v>
      </c>
      <c r="AU212" s="47">
        <v>0</v>
      </c>
      <c r="AV212" s="47">
        <v>0</v>
      </c>
      <c r="AW212" s="47">
        <v>0</v>
      </c>
      <c r="AX212" s="47">
        <v>0</v>
      </c>
      <c r="AY212" s="47">
        <v>0</v>
      </c>
      <c r="AZ212" s="47">
        <v>0</v>
      </c>
      <c r="BA212" s="47">
        <v>0</v>
      </c>
      <c r="BB212" s="47">
        <v>0</v>
      </c>
      <c r="BC212" s="47">
        <v>0</v>
      </c>
      <c r="BD212" s="47">
        <v>0</v>
      </c>
      <c r="BE212" s="47">
        <v>0</v>
      </c>
      <c r="BF212" s="47">
        <v>0</v>
      </c>
      <c r="BG212" s="47">
        <v>0</v>
      </c>
      <c r="BH212" s="47">
        <v>0</v>
      </c>
      <c r="BI212" s="47">
        <v>0</v>
      </c>
      <c r="BJ212" s="47">
        <v>0</v>
      </c>
      <c r="BK212" s="47">
        <v>0</v>
      </c>
      <c r="BL212" s="47">
        <v>0</v>
      </c>
      <c r="BM212" s="47">
        <v>0</v>
      </c>
      <c r="BN212" s="47">
        <v>0</v>
      </c>
      <c r="BO212" s="47">
        <v>0</v>
      </c>
      <c r="BP212" s="47">
        <v>0</v>
      </c>
      <c r="BQ212" s="47">
        <v>0</v>
      </c>
      <c r="BR212" s="47">
        <v>0</v>
      </c>
      <c r="BS212" s="47">
        <v>0</v>
      </c>
      <c r="BT212" s="47">
        <v>0</v>
      </c>
      <c r="BU212" s="47">
        <v>0</v>
      </c>
      <c r="BV212" s="47">
        <v>0</v>
      </c>
      <c r="BW212" s="47">
        <v>0</v>
      </c>
      <c r="BX212" s="47">
        <v>0</v>
      </c>
      <c r="BY212" s="47">
        <v>0</v>
      </c>
      <c r="BZ212" s="47">
        <v>0</v>
      </c>
      <c r="CA212" s="47">
        <v>0</v>
      </c>
      <c r="CB212" s="47">
        <v>0</v>
      </c>
      <c r="CC212" s="47">
        <v>0</v>
      </c>
      <c r="CD212" s="47">
        <v>0</v>
      </c>
      <c r="CE212" s="47">
        <v>0</v>
      </c>
      <c r="CF212" s="47">
        <v>0</v>
      </c>
      <c r="CG212" s="47">
        <v>0</v>
      </c>
      <c r="CH212" s="47">
        <v>0</v>
      </c>
      <c r="CI212" s="47">
        <v>0</v>
      </c>
      <c r="CJ212" s="47">
        <v>0</v>
      </c>
      <c r="CK212" s="47">
        <v>0</v>
      </c>
      <c r="CL212" s="47">
        <v>0</v>
      </c>
      <c r="CM212" s="47">
        <v>0</v>
      </c>
      <c r="CN212" s="47">
        <v>0</v>
      </c>
      <c r="CO212" s="47">
        <v>0</v>
      </c>
      <c r="CP212" s="47">
        <v>0</v>
      </c>
      <c r="CQ212" s="47">
        <v>0</v>
      </c>
      <c r="CR212" s="47">
        <v>0</v>
      </c>
      <c r="CS212" s="47">
        <v>0</v>
      </c>
      <c r="CT212" s="47">
        <v>0</v>
      </c>
      <c r="CU212" s="47">
        <v>0</v>
      </c>
      <c r="CV212" s="47">
        <v>0</v>
      </c>
      <c r="CW212" s="47">
        <v>0</v>
      </c>
      <c r="CX212" s="47">
        <v>0</v>
      </c>
      <c r="CY212" s="47">
        <v>0</v>
      </c>
      <c r="CZ212" s="47">
        <v>0</v>
      </c>
      <c r="DA212" s="47">
        <v>0</v>
      </c>
      <c r="DB212" s="47">
        <v>0</v>
      </c>
      <c r="DC212" s="47">
        <v>0</v>
      </c>
      <c r="DD212" s="47">
        <v>0</v>
      </c>
      <c r="DE212" s="47">
        <v>0</v>
      </c>
      <c r="DF212" s="47">
        <v>0</v>
      </c>
      <c r="DG212" s="47">
        <v>0</v>
      </c>
      <c r="DH212" s="47">
        <v>0</v>
      </c>
      <c r="DI212" s="47">
        <v>0</v>
      </c>
      <c r="DJ212" s="47">
        <v>0</v>
      </c>
      <c r="DK212" s="47">
        <v>0</v>
      </c>
      <c r="DL212" s="47">
        <v>0</v>
      </c>
      <c r="DM212" s="47">
        <v>0</v>
      </c>
      <c r="DN212" s="47">
        <v>0</v>
      </c>
      <c r="DO212" s="47">
        <v>0</v>
      </c>
      <c r="DP212" s="47">
        <v>0</v>
      </c>
      <c r="DQ212" s="47">
        <v>0</v>
      </c>
      <c r="DR212" s="47">
        <v>0</v>
      </c>
      <c r="DS212" s="47">
        <v>0</v>
      </c>
      <c r="DT212" s="47">
        <v>0</v>
      </c>
    </row>
    <row r="213" spans="1:126" x14ac:dyDescent="0.25">
      <c r="A213" s="47" t="s">
        <v>1091</v>
      </c>
      <c r="B213" s="47" t="s">
        <v>153</v>
      </c>
      <c r="C213" s="47" t="s">
        <v>1092</v>
      </c>
      <c r="D213" s="47" t="s">
        <v>1093</v>
      </c>
      <c r="E213" s="47" t="s">
        <v>1094</v>
      </c>
      <c r="F213" s="47" t="s">
        <v>698</v>
      </c>
      <c r="G213" s="47" t="s">
        <v>727</v>
      </c>
      <c r="H213" s="47" t="str">
        <f>=IFERROR(VLOOKUP(A213,'ETPT Format DDG'!A:J,10,FALSE),"")</f>
        <v>0</v>
      </c>
      <c r="I213" s="47" t="str">
        <f>='ETPT Format DDG'!M213</f>
        <v/>
      </c>
      <c r="J213" s="47" t="str">
        <f>='ETPT Format DDG'!D213</f>
        <v/>
      </c>
      <c r="K213" s="47" t="s">
        <v>157</v>
      </c>
      <c r="L213" s="47" t="s">
        <v>1095</v>
      </c>
      <c r="M213" s="47"/>
      <c r="N213" s="47">
        <v>1</v>
      </c>
      <c r="O213" s="47">
        <v>0</v>
      </c>
      <c r="P213" s="47">
        <v>0</v>
      </c>
      <c r="Q213" s="47">
        <v>0</v>
      </c>
      <c r="R213" s="47">
        <v>0</v>
      </c>
      <c r="S213" s="47">
        <v>0</v>
      </c>
      <c r="T213" s="47">
        <v>0</v>
      </c>
      <c r="U213" s="47">
        <v>0</v>
      </c>
      <c r="V213" s="47">
        <v>0</v>
      </c>
      <c r="W213" s="47">
        <v>0</v>
      </c>
      <c r="X213" s="47">
        <v>0</v>
      </c>
      <c r="Y213" s="47">
        <v>0</v>
      </c>
      <c r="Z213" s="47">
        <v>0</v>
      </c>
      <c r="AA213" s="47">
        <v>0</v>
      </c>
      <c r="AB213" s="47">
        <v>0</v>
      </c>
      <c r="AC213" s="47">
        <v>0</v>
      </c>
      <c r="AD213" s="47">
        <v>0</v>
      </c>
      <c r="AE213" s="47">
        <v>0</v>
      </c>
      <c r="AF213" s="47">
        <v>0</v>
      </c>
      <c r="AG213" s="47">
        <v>0</v>
      </c>
      <c r="AH213" s="47">
        <v>0</v>
      </c>
      <c r="AI213" s="47">
        <v>0</v>
      </c>
      <c r="AJ213" s="47">
        <v>0</v>
      </c>
      <c r="AK213" s="47">
        <v>0</v>
      </c>
      <c r="AL213" s="47">
        <v>0</v>
      </c>
      <c r="AM213" s="47">
        <v>0</v>
      </c>
      <c r="AN213" s="47">
        <v>0</v>
      </c>
      <c r="AO213" s="47">
        <v>0</v>
      </c>
      <c r="AP213" s="47">
        <v>0</v>
      </c>
      <c r="AQ213" s="47">
        <v>0</v>
      </c>
      <c r="AR213" s="47">
        <v>0</v>
      </c>
      <c r="AS213" s="47">
        <v>0</v>
      </c>
      <c r="AT213" s="47">
        <v>0</v>
      </c>
      <c r="AU213" s="47">
        <v>0</v>
      </c>
      <c r="AV213" s="47">
        <v>0</v>
      </c>
      <c r="AW213" s="47">
        <v>0</v>
      </c>
      <c r="AX213" s="47">
        <v>0</v>
      </c>
      <c r="AY213" s="47">
        <v>0</v>
      </c>
      <c r="AZ213" s="47">
        <v>0</v>
      </c>
      <c r="BA213" s="47">
        <v>0</v>
      </c>
      <c r="BB213" s="47">
        <v>0</v>
      </c>
      <c r="BC213" s="47">
        <v>0</v>
      </c>
      <c r="BD213" s="47">
        <v>0</v>
      </c>
      <c r="BE213" s="47">
        <v>0</v>
      </c>
      <c r="BF213" s="47">
        <v>0</v>
      </c>
      <c r="BG213" s="47">
        <v>0</v>
      </c>
      <c r="BH213" s="47">
        <v>0</v>
      </c>
      <c r="BI213" s="47">
        <v>0</v>
      </c>
      <c r="BJ213" s="47">
        <v>0</v>
      </c>
      <c r="BK213" s="47">
        <v>0</v>
      </c>
      <c r="BL213" s="47">
        <v>0</v>
      </c>
      <c r="BM213" s="47">
        <v>0</v>
      </c>
      <c r="BN213" s="47">
        <v>0</v>
      </c>
      <c r="BO213" s="47">
        <v>0</v>
      </c>
      <c r="BP213" s="47">
        <v>0</v>
      </c>
      <c r="BQ213" s="47">
        <v>0</v>
      </c>
      <c r="BR213" s="47">
        <v>0</v>
      </c>
      <c r="BS213" s="47">
        <v>0</v>
      </c>
      <c r="BT213" s="47">
        <v>0</v>
      </c>
      <c r="BU213" s="47">
        <v>0</v>
      </c>
      <c r="BV213" s="47">
        <v>0</v>
      </c>
      <c r="BW213" s="47">
        <v>0</v>
      </c>
      <c r="BX213" s="47">
        <v>0</v>
      </c>
      <c r="BY213" s="47">
        <v>0</v>
      </c>
      <c r="BZ213" s="47">
        <v>0</v>
      </c>
      <c r="CA213" s="47">
        <v>0</v>
      </c>
      <c r="CB213" s="47">
        <v>0</v>
      </c>
      <c r="CC213" s="47">
        <v>0</v>
      </c>
      <c r="CD213" s="47">
        <v>0</v>
      </c>
      <c r="CE213" s="47">
        <v>0</v>
      </c>
      <c r="CF213" s="47">
        <v>0</v>
      </c>
      <c r="CG213" s="47">
        <v>0</v>
      </c>
      <c r="CH213" s="47">
        <v>0</v>
      </c>
      <c r="CI213" s="47">
        <v>0</v>
      </c>
      <c r="CJ213" s="47">
        <v>0</v>
      </c>
      <c r="CK213" s="47">
        <v>0</v>
      </c>
      <c r="CL213" s="47">
        <v>0</v>
      </c>
      <c r="CM213" s="47">
        <v>0</v>
      </c>
      <c r="CN213" s="47">
        <v>0</v>
      </c>
      <c r="CO213" s="47">
        <v>0</v>
      </c>
      <c r="CP213" s="47">
        <v>0</v>
      </c>
      <c r="CQ213" s="47">
        <v>0</v>
      </c>
      <c r="CR213" s="47">
        <v>0</v>
      </c>
      <c r="CS213" s="47">
        <v>0</v>
      </c>
      <c r="CT213" s="47">
        <v>0</v>
      </c>
      <c r="CU213" s="47">
        <v>0</v>
      </c>
      <c r="CV213" s="47">
        <v>0</v>
      </c>
      <c r="CW213" s="47">
        <v>0</v>
      </c>
      <c r="CX213" s="47">
        <v>0</v>
      </c>
      <c r="CY213" s="47">
        <v>0</v>
      </c>
      <c r="CZ213" s="47">
        <v>0</v>
      </c>
      <c r="DA213" s="47">
        <v>0</v>
      </c>
      <c r="DB213" s="47">
        <v>0</v>
      </c>
      <c r="DC213" s="47">
        <v>0</v>
      </c>
      <c r="DD213" s="47">
        <v>0</v>
      </c>
      <c r="DE213" s="47">
        <v>0</v>
      </c>
      <c r="DF213" s="47">
        <v>0</v>
      </c>
      <c r="DG213" s="47">
        <v>0</v>
      </c>
      <c r="DH213" s="47">
        <v>0</v>
      </c>
      <c r="DI213" s="47">
        <v>0</v>
      </c>
      <c r="DJ213" s="47">
        <v>0</v>
      </c>
      <c r="DK213" s="47">
        <v>0</v>
      </c>
      <c r="DL213" s="47">
        <v>0</v>
      </c>
      <c r="DM213" s="47">
        <v>0</v>
      </c>
      <c r="DN213" s="47">
        <v>0</v>
      </c>
      <c r="DO213" s="47">
        <v>0</v>
      </c>
      <c r="DP213" s="47">
        <v>0</v>
      </c>
      <c r="DQ213" s="47">
        <v>0</v>
      </c>
      <c r="DR213" s="47">
        <v>0</v>
      </c>
      <c r="DS213" s="47">
        <v>0</v>
      </c>
      <c r="DT213" s="47">
        <v>0</v>
      </c>
    </row>
    <row r="214" spans="1:126" x14ac:dyDescent="0.25">
      <c r="A214" s="47" t="s">
        <v>1096</v>
      </c>
      <c r="B214" s="47" t="s">
        <v>153</v>
      </c>
      <c r="C214" s="47" t="s">
        <v>1097</v>
      </c>
      <c r="D214" s="47" t="s">
        <v>1098</v>
      </c>
      <c r="E214" s="47" t="s">
        <v>1099</v>
      </c>
      <c r="F214" s="47" t="s">
        <v>698</v>
      </c>
      <c r="G214" s="47" t="s">
        <v>738</v>
      </c>
      <c r="H214" s="47" t="str">
        <f>=IFERROR(VLOOKUP(A214,'ETPT Format DDG'!A:J,10,FALSE),"")</f>
        <v>0</v>
      </c>
      <c r="I214" s="47" t="str">
        <f>='ETPT Format DDG'!M214</f>
        <v/>
      </c>
      <c r="J214" s="47" t="str">
        <f>='ETPT Format DDG'!D214</f>
        <v/>
      </c>
      <c r="K214" s="47" t="s">
        <v>157</v>
      </c>
      <c r="L214" s="47" t="s">
        <v>1100</v>
      </c>
      <c r="M214" s="47"/>
      <c r="N214" s="47">
        <v>1</v>
      </c>
      <c r="O214" s="47">
        <v>0</v>
      </c>
      <c r="P214" s="47">
        <v>0</v>
      </c>
      <c r="Q214" s="47">
        <v>0</v>
      </c>
      <c r="R214" s="47">
        <v>0</v>
      </c>
      <c r="S214" s="47">
        <v>0</v>
      </c>
      <c r="T214" s="47">
        <v>0</v>
      </c>
      <c r="U214" s="47">
        <v>0</v>
      </c>
      <c r="V214" s="47">
        <v>0</v>
      </c>
      <c r="W214" s="47">
        <v>0</v>
      </c>
      <c r="X214" s="47">
        <v>0</v>
      </c>
      <c r="Y214" s="47">
        <v>0</v>
      </c>
      <c r="Z214" s="47">
        <v>0</v>
      </c>
      <c r="AA214" s="47">
        <v>0</v>
      </c>
      <c r="AB214" s="47">
        <v>0</v>
      </c>
      <c r="AC214" s="47">
        <v>0</v>
      </c>
      <c r="AD214" s="47">
        <v>0</v>
      </c>
      <c r="AE214" s="47">
        <v>0</v>
      </c>
      <c r="AF214" s="47">
        <v>0</v>
      </c>
      <c r="AG214" s="47">
        <v>0</v>
      </c>
      <c r="AH214" s="47">
        <v>0</v>
      </c>
      <c r="AI214" s="47">
        <v>0</v>
      </c>
      <c r="AJ214" s="47">
        <v>0</v>
      </c>
      <c r="AK214" s="47">
        <v>0</v>
      </c>
      <c r="AL214" s="47">
        <v>0</v>
      </c>
      <c r="AM214" s="47">
        <v>0</v>
      </c>
      <c r="AN214" s="47">
        <v>0</v>
      </c>
      <c r="AO214" s="47">
        <v>0</v>
      </c>
      <c r="AP214" s="47">
        <v>0</v>
      </c>
      <c r="AQ214" s="47">
        <v>0</v>
      </c>
      <c r="AR214" s="47">
        <v>0</v>
      </c>
      <c r="AS214" s="47">
        <v>0</v>
      </c>
      <c r="AT214" s="47">
        <v>0</v>
      </c>
      <c r="AU214" s="47">
        <v>0</v>
      </c>
      <c r="AV214" s="47">
        <v>0</v>
      </c>
      <c r="AW214" s="47">
        <v>0</v>
      </c>
      <c r="AX214" s="47">
        <v>0</v>
      </c>
      <c r="AY214" s="47">
        <v>0</v>
      </c>
      <c r="AZ214" s="47">
        <v>0</v>
      </c>
      <c r="BA214" s="47">
        <v>0</v>
      </c>
      <c r="BB214" s="47">
        <v>0</v>
      </c>
      <c r="BC214" s="47">
        <v>0</v>
      </c>
      <c r="BD214" s="47">
        <v>0</v>
      </c>
      <c r="BE214" s="47">
        <v>0</v>
      </c>
      <c r="BF214" s="47">
        <v>0</v>
      </c>
      <c r="BG214" s="47">
        <v>0</v>
      </c>
      <c r="BH214" s="47">
        <v>0</v>
      </c>
      <c r="BI214" s="47">
        <v>0</v>
      </c>
      <c r="BJ214" s="47">
        <v>0</v>
      </c>
      <c r="BK214" s="47">
        <v>0</v>
      </c>
      <c r="BL214" s="47">
        <v>0</v>
      </c>
      <c r="BM214" s="47">
        <v>0</v>
      </c>
      <c r="BN214" s="47">
        <v>0</v>
      </c>
      <c r="BO214" s="47">
        <v>0</v>
      </c>
      <c r="BP214" s="47">
        <v>0</v>
      </c>
      <c r="BQ214" s="47">
        <v>0</v>
      </c>
      <c r="BR214" s="47">
        <v>0</v>
      </c>
      <c r="BS214" s="47">
        <v>0</v>
      </c>
      <c r="BT214" s="47">
        <v>0</v>
      </c>
      <c r="BU214" s="47">
        <v>0</v>
      </c>
      <c r="BV214" s="47">
        <v>0</v>
      </c>
      <c r="BW214" s="47">
        <v>0</v>
      </c>
      <c r="BX214" s="47">
        <v>0</v>
      </c>
      <c r="BY214" s="47">
        <v>0</v>
      </c>
      <c r="BZ214" s="47">
        <v>0</v>
      </c>
      <c r="CA214" s="47">
        <v>0</v>
      </c>
      <c r="CB214" s="47">
        <v>0</v>
      </c>
      <c r="CC214" s="47">
        <v>0</v>
      </c>
      <c r="CD214" s="47">
        <v>0</v>
      </c>
      <c r="CE214" s="47">
        <v>0</v>
      </c>
      <c r="CF214" s="47">
        <v>0</v>
      </c>
      <c r="CG214" s="47">
        <v>0</v>
      </c>
      <c r="CH214" s="47">
        <v>0</v>
      </c>
      <c r="CI214" s="47">
        <v>0</v>
      </c>
      <c r="CJ214" s="47">
        <v>0</v>
      </c>
      <c r="CK214" s="47">
        <v>0</v>
      </c>
      <c r="CL214" s="47">
        <v>0</v>
      </c>
      <c r="CM214" s="47">
        <v>0</v>
      </c>
      <c r="CN214" s="47">
        <v>0</v>
      </c>
      <c r="CO214" s="47">
        <v>0</v>
      </c>
      <c r="CP214" s="47">
        <v>0</v>
      </c>
      <c r="CQ214" s="47">
        <v>0</v>
      </c>
      <c r="CR214" s="47">
        <v>0</v>
      </c>
      <c r="CS214" s="47">
        <v>0</v>
      </c>
      <c r="CT214" s="47">
        <v>0</v>
      </c>
      <c r="CU214" s="47">
        <v>0</v>
      </c>
      <c r="CV214" s="47">
        <v>0</v>
      </c>
      <c r="CW214" s="47">
        <v>0</v>
      </c>
      <c r="CX214" s="47">
        <v>0</v>
      </c>
      <c r="CY214" s="47">
        <v>0</v>
      </c>
      <c r="CZ214" s="47">
        <v>0</v>
      </c>
      <c r="DA214" s="47">
        <v>0</v>
      </c>
      <c r="DB214" s="47">
        <v>0</v>
      </c>
      <c r="DC214" s="47">
        <v>0</v>
      </c>
      <c r="DD214" s="47">
        <v>0</v>
      </c>
      <c r="DE214" s="47">
        <v>0</v>
      </c>
      <c r="DF214" s="47">
        <v>0</v>
      </c>
      <c r="DG214" s="47">
        <v>0</v>
      </c>
      <c r="DH214" s="47">
        <v>0</v>
      </c>
      <c r="DI214" s="47">
        <v>0</v>
      </c>
      <c r="DJ214" s="47">
        <v>0</v>
      </c>
      <c r="DK214" s="47">
        <v>0</v>
      </c>
      <c r="DL214" s="47">
        <v>0</v>
      </c>
      <c r="DM214" s="47">
        <v>0</v>
      </c>
      <c r="DN214" s="47">
        <v>0</v>
      </c>
      <c r="DO214" s="47">
        <v>0</v>
      </c>
      <c r="DP214" s="47">
        <v>0</v>
      </c>
      <c r="DQ214" s="47">
        <v>0</v>
      </c>
      <c r="DR214" s="47">
        <v>0</v>
      </c>
      <c r="DS214" s="47">
        <v>0</v>
      </c>
      <c r="DT214" s="47">
        <v>0</v>
      </c>
    </row>
    <row r="215" spans="1:126" x14ac:dyDescent="0.25">
      <c r="A215" s="47" t="s">
        <v>1101</v>
      </c>
      <c r="B215" s="47" t="s">
        <v>153</v>
      </c>
      <c r="C215" s="47" t="s">
        <v>1102</v>
      </c>
      <c r="D215" s="47" t="s">
        <v>1103</v>
      </c>
      <c r="E215" s="47" t="s">
        <v>1104</v>
      </c>
      <c r="F215" s="47" t="s">
        <v>698</v>
      </c>
      <c r="G215" s="47" t="s">
        <v>727</v>
      </c>
      <c r="H215" s="47" t="str">
        <f>=IFERROR(VLOOKUP(A215,'ETPT Format DDG'!A:J,10,FALSE),"")</f>
        <v>0</v>
      </c>
      <c r="I215" s="47" t="str">
        <f>='ETPT Format DDG'!M215</f>
        <v/>
      </c>
      <c r="J215" s="47" t="str">
        <f>='ETPT Format DDG'!D215</f>
        <v/>
      </c>
      <c r="K215" s="47" t="s">
        <v>157</v>
      </c>
      <c r="L215" s="47" t="s">
        <v>836</v>
      </c>
      <c r="M215" s="47"/>
      <c r="N215" s="47">
        <v>1</v>
      </c>
      <c r="O215" s="47">
        <v>1</v>
      </c>
      <c r="P215" s="47">
        <v>0</v>
      </c>
      <c r="Q215" s="47">
        <v>0</v>
      </c>
      <c r="R215" s="47">
        <v>0</v>
      </c>
      <c r="S215" s="47">
        <v>0</v>
      </c>
      <c r="T215" s="47">
        <v>0</v>
      </c>
      <c r="U215" s="47">
        <v>0</v>
      </c>
      <c r="V215" s="47">
        <v>0</v>
      </c>
      <c r="W215" s="47">
        <v>0</v>
      </c>
      <c r="X215" s="47">
        <v>0</v>
      </c>
      <c r="Y215" s="47">
        <v>0</v>
      </c>
      <c r="Z215" s="47">
        <v>0</v>
      </c>
      <c r="AA215" s="47">
        <v>0</v>
      </c>
      <c r="AB215" s="47">
        <v>0</v>
      </c>
      <c r="AC215" s="47">
        <v>0</v>
      </c>
      <c r="AD215" s="47">
        <v>0</v>
      </c>
      <c r="AE215" s="47">
        <v>0</v>
      </c>
      <c r="AF215" s="47">
        <v>0</v>
      </c>
      <c r="AG215" s="47">
        <v>0</v>
      </c>
      <c r="AH215" s="47">
        <v>0</v>
      </c>
      <c r="AI215" s="47">
        <v>0</v>
      </c>
      <c r="AJ215" s="47">
        <v>0</v>
      </c>
      <c r="AK215" s="47">
        <v>0</v>
      </c>
      <c r="AL215" s="47">
        <v>0</v>
      </c>
      <c r="AM215" s="47">
        <v>0</v>
      </c>
      <c r="AN215" s="47">
        <v>0</v>
      </c>
      <c r="AO215" s="47">
        <v>0</v>
      </c>
      <c r="AP215" s="47">
        <v>0</v>
      </c>
      <c r="AQ215" s="47">
        <v>0</v>
      </c>
      <c r="AR215" s="47">
        <v>0</v>
      </c>
      <c r="AS215" s="47">
        <v>0</v>
      </c>
      <c r="AT215" s="47">
        <v>0</v>
      </c>
      <c r="AU215" s="47">
        <v>0</v>
      </c>
      <c r="AV215" s="47">
        <v>0</v>
      </c>
      <c r="AW215" s="47">
        <v>0</v>
      </c>
      <c r="AX215" s="47">
        <v>0</v>
      </c>
      <c r="AY215" s="47">
        <v>0</v>
      </c>
      <c r="AZ215" s="47">
        <v>0</v>
      </c>
      <c r="BA215" s="47">
        <v>0</v>
      </c>
      <c r="BB215" s="47">
        <v>0</v>
      </c>
      <c r="BC215" s="47">
        <v>0</v>
      </c>
      <c r="BD215" s="47">
        <v>0</v>
      </c>
      <c r="BE215" s="47">
        <v>0</v>
      </c>
      <c r="BF215" s="47">
        <v>0</v>
      </c>
      <c r="BG215" s="47">
        <v>0</v>
      </c>
      <c r="BH215" s="47">
        <v>0</v>
      </c>
      <c r="BI215" s="47">
        <v>0</v>
      </c>
      <c r="BJ215" s="47">
        <v>0</v>
      </c>
      <c r="BK215" s="47">
        <v>0</v>
      </c>
      <c r="BL215" s="47">
        <v>1</v>
      </c>
      <c r="BM215" s="47">
        <v>0</v>
      </c>
      <c r="BN215" s="47">
        <v>0</v>
      </c>
      <c r="BO215" s="47">
        <v>0</v>
      </c>
      <c r="BP215" s="47">
        <v>0</v>
      </c>
      <c r="BQ215" s="47">
        <v>0</v>
      </c>
      <c r="BR215" s="47">
        <v>0</v>
      </c>
      <c r="BS215" s="47">
        <v>0</v>
      </c>
      <c r="BT215" s="47">
        <v>0</v>
      </c>
      <c r="BU215" s="47">
        <v>0</v>
      </c>
      <c r="BV215" s="47">
        <v>0</v>
      </c>
      <c r="BW215" s="47">
        <v>0</v>
      </c>
      <c r="BX215" s="47">
        <v>0</v>
      </c>
      <c r="BY215" s="47">
        <v>0</v>
      </c>
      <c r="BZ215" s="47">
        <v>0</v>
      </c>
      <c r="CA215" s="47">
        <v>0</v>
      </c>
      <c r="CB215" s="47">
        <v>0</v>
      </c>
      <c r="CC215" s="47">
        <v>0</v>
      </c>
      <c r="CD215" s="47">
        <v>0</v>
      </c>
      <c r="CE215" s="47">
        <v>0</v>
      </c>
      <c r="CF215" s="47">
        <v>0</v>
      </c>
      <c r="CG215" s="47">
        <v>0</v>
      </c>
      <c r="CH215" s="47">
        <v>0</v>
      </c>
      <c r="CI215" s="47">
        <v>0</v>
      </c>
      <c r="CJ215" s="47">
        <v>0</v>
      </c>
      <c r="CK215" s="47">
        <v>0</v>
      </c>
      <c r="CL215" s="47">
        <v>0</v>
      </c>
      <c r="CM215" s="47">
        <v>0</v>
      </c>
      <c r="CN215" s="47">
        <v>0</v>
      </c>
      <c r="CO215" s="47">
        <v>0</v>
      </c>
      <c r="CP215" s="47">
        <v>0</v>
      </c>
      <c r="CQ215" s="47">
        <v>0</v>
      </c>
      <c r="CR215" s="47">
        <v>0</v>
      </c>
      <c r="CS215" s="47">
        <v>0</v>
      </c>
      <c r="CT215" s="47">
        <v>0</v>
      </c>
      <c r="CU215" s="47">
        <v>0</v>
      </c>
      <c r="CV215" s="47">
        <v>0</v>
      </c>
      <c r="CW215" s="47">
        <v>0</v>
      </c>
      <c r="CX215" s="47">
        <v>0</v>
      </c>
      <c r="CY215" s="47">
        <v>0</v>
      </c>
      <c r="CZ215" s="47">
        <v>0</v>
      </c>
      <c r="DA215" s="47">
        <v>0</v>
      </c>
      <c r="DB215" s="47">
        <v>0</v>
      </c>
      <c r="DC215" s="47">
        <v>0</v>
      </c>
      <c r="DD215" s="47">
        <v>0</v>
      </c>
      <c r="DE215" s="47">
        <v>0</v>
      </c>
      <c r="DF215" s="47">
        <v>0</v>
      </c>
      <c r="DG215" s="47">
        <v>0</v>
      </c>
      <c r="DH215" s="47">
        <v>0</v>
      </c>
      <c r="DI215" s="47">
        <v>0</v>
      </c>
      <c r="DJ215" s="47">
        <v>0</v>
      </c>
      <c r="DK215" s="47">
        <v>0</v>
      </c>
      <c r="DL215" s="47">
        <v>0</v>
      </c>
      <c r="DM215" s="47">
        <v>0</v>
      </c>
      <c r="DN215" s="47">
        <v>0</v>
      </c>
      <c r="DO215" s="47">
        <v>0</v>
      </c>
      <c r="DP215" s="47">
        <v>0</v>
      </c>
      <c r="DQ215" s="47">
        <v>0</v>
      </c>
      <c r="DR215" s="47">
        <v>0</v>
      </c>
      <c r="DS215" s="47">
        <v>0</v>
      </c>
      <c r="DT215" s="47">
        <v>0</v>
      </c>
    </row>
    <row r="216" spans="1:126" x14ac:dyDescent="0.25">
      <c r="A216" s="47" t="s">
        <v>1105</v>
      </c>
      <c r="B216" s="47" t="s">
        <v>153</v>
      </c>
      <c r="C216" s="47" t="s">
        <v>1106</v>
      </c>
      <c r="D216" s="47" t="s">
        <v>1107</v>
      </c>
      <c r="E216" s="47" t="s">
        <v>1108</v>
      </c>
      <c r="F216" s="47" t="s">
        <v>698</v>
      </c>
      <c r="G216" s="47" t="s">
        <v>727</v>
      </c>
      <c r="H216" s="47" t="str">
        <f>=IFERROR(VLOOKUP(A216,'ETPT Format DDG'!A:J,10,FALSE),"")</f>
        <v>0</v>
      </c>
      <c r="I216" s="47" t="str">
        <f>='ETPT Format DDG'!M216</f>
        <v/>
      </c>
      <c r="J216" s="47" t="str">
        <f>='ETPT Format DDG'!D216</f>
        <v/>
      </c>
      <c r="K216" s="47" t="s">
        <v>157</v>
      </c>
      <c r="L216" s="47" t="s">
        <v>722</v>
      </c>
      <c r="M216" s="47"/>
      <c r="N216" s="47">
        <v>1</v>
      </c>
      <c r="O216" s="47">
        <v>0</v>
      </c>
      <c r="P216" s="47">
        <v>0</v>
      </c>
      <c r="Q216" s="47">
        <v>0</v>
      </c>
      <c r="R216" s="47">
        <v>0</v>
      </c>
      <c r="S216" s="47">
        <v>0</v>
      </c>
      <c r="T216" s="47">
        <v>0</v>
      </c>
      <c r="U216" s="47">
        <v>0</v>
      </c>
      <c r="V216" s="47">
        <v>0</v>
      </c>
      <c r="W216" s="47">
        <v>0</v>
      </c>
      <c r="X216" s="47">
        <v>0</v>
      </c>
      <c r="Y216" s="47">
        <v>0</v>
      </c>
      <c r="Z216" s="47">
        <v>0</v>
      </c>
      <c r="AA216" s="47">
        <v>0</v>
      </c>
      <c r="AB216" s="47">
        <v>0</v>
      </c>
      <c r="AC216" s="47">
        <v>0</v>
      </c>
      <c r="AD216" s="47">
        <v>0</v>
      </c>
      <c r="AE216" s="47">
        <v>0</v>
      </c>
      <c r="AF216" s="47">
        <v>0</v>
      </c>
      <c r="AG216" s="47">
        <v>0</v>
      </c>
      <c r="AH216" s="47">
        <v>0</v>
      </c>
      <c r="AI216" s="47">
        <v>0</v>
      </c>
      <c r="AJ216" s="47">
        <v>0</v>
      </c>
      <c r="AK216" s="47">
        <v>0</v>
      </c>
      <c r="AL216" s="47">
        <v>0</v>
      </c>
      <c r="AM216" s="47">
        <v>0</v>
      </c>
      <c r="AN216" s="47">
        <v>0</v>
      </c>
      <c r="AO216" s="47">
        <v>0</v>
      </c>
      <c r="AP216" s="47">
        <v>0</v>
      </c>
      <c r="AQ216" s="47">
        <v>0</v>
      </c>
      <c r="AR216" s="47">
        <v>0</v>
      </c>
      <c r="AS216" s="47">
        <v>0</v>
      </c>
      <c r="AT216" s="47">
        <v>0</v>
      </c>
      <c r="AU216" s="47">
        <v>0</v>
      </c>
      <c r="AV216" s="47">
        <v>0</v>
      </c>
      <c r="AW216" s="47">
        <v>0</v>
      </c>
      <c r="AX216" s="47">
        <v>0</v>
      </c>
      <c r="AY216" s="47">
        <v>0</v>
      </c>
      <c r="AZ216" s="47">
        <v>0</v>
      </c>
      <c r="BA216" s="47">
        <v>0</v>
      </c>
      <c r="BB216" s="47">
        <v>0</v>
      </c>
      <c r="BC216" s="47">
        <v>0</v>
      </c>
      <c r="BD216" s="47">
        <v>0</v>
      </c>
      <c r="BE216" s="47">
        <v>0</v>
      </c>
      <c r="BF216" s="47">
        <v>0</v>
      </c>
      <c r="BG216" s="47">
        <v>0</v>
      </c>
      <c r="BH216" s="47">
        <v>0</v>
      </c>
      <c r="BI216" s="47">
        <v>0</v>
      </c>
      <c r="BJ216" s="47">
        <v>0</v>
      </c>
      <c r="BK216" s="47">
        <v>0</v>
      </c>
      <c r="BL216" s="47">
        <v>0</v>
      </c>
      <c r="BM216" s="47">
        <v>0</v>
      </c>
      <c r="BN216" s="47">
        <v>0</v>
      </c>
      <c r="BO216" s="47">
        <v>0</v>
      </c>
      <c r="BP216" s="47">
        <v>0</v>
      </c>
      <c r="BQ216" s="47">
        <v>0</v>
      </c>
      <c r="BR216" s="47">
        <v>0</v>
      </c>
      <c r="BS216" s="47">
        <v>0</v>
      </c>
      <c r="BT216" s="47">
        <v>0</v>
      </c>
      <c r="BU216" s="47">
        <v>0</v>
      </c>
      <c r="BV216" s="47">
        <v>0</v>
      </c>
      <c r="BW216" s="47">
        <v>0</v>
      </c>
      <c r="BX216" s="47">
        <v>0</v>
      </c>
      <c r="BY216" s="47">
        <v>0</v>
      </c>
      <c r="BZ216" s="47">
        <v>0</v>
      </c>
      <c r="CA216" s="47">
        <v>0</v>
      </c>
      <c r="CB216" s="47">
        <v>0</v>
      </c>
      <c r="CC216" s="47">
        <v>0</v>
      </c>
      <c r="CD216" s="47">
        <v>0</v>
      </c>
      <c r="CE216" s="47">
        <v>0</v>
      </c>
      <c r="CF216" s="47">
        <v>0</v>
      </c>
      <c r="CG216" s="47">
        <v>0</v>
      </c>
      <c r="CH216" s="47">
        <v>0</v>
      </c>
      <c r="CI216" s="47">
        <v>0</v>
      </c>
      <c r="CJ216" s="47">
        <v>0</v>
      </c>
      <c r="CK216" s="47">
        <v>0</v>
      </c>
      <c r="CL216" s="47">
        <v>0</v>
      </c>
      <c r="CM216" s="47">
        <v>0</v>
      </c>
      <c r="CN216" s="47">
        <v>0</v>
      </c>
      <c r="CO216" s="47">
        <v>0</v>
      </c>
      <c r="CP216" s="47">
        <v>0</v>
      </c>
      <c r="CQ216" s="47">
        <v>0</v>
      </c>
      <c r="CR216" s="47">
        <v>0</v>
      </c>
      <c r="CS216" s="47">
        <v>0</v>
      </c>
      <c r="CT216" s="47">
        <v>0</v>
      </c>
      <c r="CU216" s="47">
        <v>0</v>
      </c>
      <c r="CV216" s="47">
        <v>0</v>
      </c>
      <c r="CW216" s="47">
        <v>0</v>
      </c>
      <c r="CX216" s="47">
        <v>0</v>
      </c>
      <c r="CY216" s="47">
        <v>0</v>
      </c>
      <c r="CZ216" s="47">
        <v>0</v>
      </c>
      <c r="DA216" s="47">
        <v>0</v>
      </c>
      <c r="DB216" s="47">
        <v>0</v>
      </c>
      <c r="DC216" s="47">
        <v>0</v>
      </c>
      <c r="DD216" s="47">
        <v>0</v>
      </c>
      <c r="DE216" s="47">
        <v>0</v>
      </c>
      <c r="DF216" s="47">
        <v>0</v>
      </c>
      <c r="DG216" s="47">
        <v>0</v>
      </c>
      <c r="DH216" s="47">
        <v>0</v>
      </c>
      <c r="DI216" s="47">
        <v>0</v>
      </c>
      <c r="DJ216" s="47">
        <v>0</v>
      </c>
      <c r="DK216" s="47">
        <v>0</v>
      </c>
      <c r="DL216" s="47">
        <v>0</v>
      </c>
      <c r="DM216" s="47">
        <v>0</v>
      </c>
      <c r="DN216" s="47">
        <v>0</v>
      </c>
      <c r="DO216" s="47">
        <v>0</v>
      </c>
      <c r="DP216" s="47">
        <v>0</v>
      </c>
      <c r="DQ216" s="47">
        <v>0</v>
      </c>
      <c r="DR216" s="47">
        <v>0</v>
      </c>
      <c r="DS216" s="47">
        <v>0</v>
      </c>
      <c r="DT216" s="47">
        <v>0</v>
      </c>
    </row>
    <row r="217" spans="1:126" x14ac:dyDescent="0.25">
      <c r="A217" s="47" t="s">
        <v>1109</v>
      </c>
      <c r="B217" s="47" t="s">
        <v>153</v>
      </c>
      <c r="C217" s="47" t="s">
        <v>1110</v>
      </c>
      <c r="D217" s="47" t="s">
        <v>1111</v>
      </c>
      <c r="E217" s="47" t="s">
        <v>1112</v>
      </c>
      <c r="F217" s="47" t="s">
        <v>698</v>
      </c>
      <c r="G217" s="47" t="s">
        <v>727</v>
      </c>
      <c r="H217" s="47" t="str">
        <f>=IFERROR(VLOOKUP(A217,'ETPT Format DDG'!A:J,10,FALSE),"")</f>
        <v>0</v>
      </c>
      <c r="I217" s="47" t="str">
        <f>='ETPT Format DDG'!M217</f>
        <v/>
      </c>
      <c r="J217" s="47" t="str">
        <f>='ETPT Format DDG'!D217</f>
        <v/>
      </c>
      <c r="K217" s="47" t="s">
        <v>157</v>
      </c>
      <c r="L217" s="47" t="s">
        <v>1113</v>
      </c>
      <c r="M217" s="47"/>
      <c r="N217" s="47">
        <v>1</v>
      </c>
      <c r="O217" s="47">
        <v>0</v>
      </c>
      <c r="P217" s="47">
        <v>0</v>
      </c>
      <c r="Q217" s="47">
        <v>0</v>
      </c>
      <c r="R217" s="47">
        <v>0</v>
      </c>
      <c r="S217" s="47">
        <v>0</v>
      </c>
      <c r="T217" s="47">
        <v>0</v>
      </c>
      <c r="U217" s="47">
        <v>0</v>
      </c>
      <c r="V217" s="47">
        <v>0</v>
      </c>
      <c r="W217" s="47">
        <v>0</v>
      </c>
      <c r="X217" s="47">
        <v>0</v>
      </c>
      <c r="Y217" s="47">
        <v>0</v>
      </c>
      <c r="Z217" s="47">
        <v>0</v>
      </c>
      <c r="AA217" s="47">
        <v>0</v>
      </c>
      <c r="AB217" s="47">
        <v>0</v>
      </c>
      <c r="AC217" s="47">
        <v>0</v>
      </c>
      <c r="AD217" s="47">
        <v>0</v>
      </c>
      <c r="AE217" s="47">
        <v>0</v>
      </c>
      <c r="AF217" s="47">
        <v>0</v>
      </c>
      <c r="AG217" s="47">
        <v>0</v>
      </c>
      <c r="AH217" s="47">
        <v>0</v>
      </c>
      <c r="AI217" s="47">
        <v>0</v>
      </c>
      <c r="AJ217" s="47">
        <v>0</v>
      </c>
      <c r="AK217" s="47">
        <v>0</v>
      </c>
      <c r="AL217" s="47">
        <v>0</v>
      </c>
      <c r="AM217" s="47">
        <v>0</v>
      </c>
      <c r="AN217" s="47">
        <v>0</v>
      </c>
      <c r="AO217" s="47">
        <v>0</v>
      </c>
      <c r="AP217" s="47">
        <v>0</v>
      </c>
      <c r="AQ217" s="47">
        <v>0</v>
      </c>
      <c r="AR217" s="47">
        <v>0</v>
      </c>
      <c r="AS217" s="47">
        <v>0</v>
      </c>
      <c r="AT217" s="47">
        <v>0</v>
      </c>
      <c r="AU217" s="47">
        <v>0</v>
      </c>
      <c r="AV217" s="47">
        <v>0</v>
      </c>
      <c r="AW217" s="47">
        <v>0</v>
      </c>
      <c r="AX217" s="47">
        <v>0</v>
      </c>
      <c r="AY217" s="47">
        <v>0</v>
      </c>
      <c r="AZ217" s="47">
        <v>0</v>
      </c>
      <c r="BA217" s="47">
        <v>0</v>
      </c>
      <c r="BB217" s="47">
        <v>0</v>
      </c>
      <c r="BC217" s="47">
        <v>0</v>
      </c>
      <c r="BD217" s="47">
        <v>0</v>
      </c>
      <c r="BE217" s="47">
        <v>0</v>
      </c>
      <c r="BF217" s="47">
        <v>0</v>
      </c>
      <c r="BG217" s="47">
        <v>0</v>
      </c>
      <c r="BH217" s="47">
        <v>0</v>
      </c>
      <c r="BI217" s="47">
        <v>0</v>
      </c>
      <c r="BJ217" s="47">
        <v>0</v>
      </c>
      <c r="BK217" s="47">
        <v>0</v>
      </c>
      <c r="BL217" s="47">
        <v>0</v>
      </c>
      <c r="BM217" s="47">
        <v>0</v>
      </c>
      <c r="BN217" s="47">
        <v>0</v>
      </c>
      <c r="BO217" s="47">
        <v>0</v>
      </c>
      <c r="BP217" s="47">
        <v>0</v>
      </c>
      <c r="BQ217" s="47">
        <v>0</v>
      </c>
      <c r="BR217" s="47">
        <v>0</v>
      </c>
      <c r="BS217" s="47">
        <v>0</v>
      </c>
      <c r="BT217" s="47">
        <v>0</v>
      </c>
      <c r="BU217" s="47">
        <v>0</v>
      </c>
      <c r="BV217" s="47">
        <v>0</v>
      </c>
      <c r="BW217" s="47">
        <v>0</v>
      </c>
      <c r="BX217" s="47">
        <v>0</v>
      </c>
      <c r="BY217" s="47">
        <v>0</v>
      </c>
      <c r="BZ217" s="47">
        <v>0</v>
      </c>
      <c r="CA217" s="47">
        <v>0</v>
      </c>
      <c r="CB217" s="47">
        <v>0</v>
      </c>
      <c r="CC217" s="47">
        <v>0</v>
      </c>
      <c r="CD217" s="47">
        <v>0</v>
      </c>
      <c r="CE217" s="47">
        <v>0</v>
      </c>
      <c r="CF217" s="47">
        <v>0</v>
      </c>
      <c r="CG217" s="47">
        <v>0</v>
      </c>
      <c r="CH217" s="47">
        <v>0</v>
      </c>
      <c r="CI217" s="47">
        <v>0</v>
      </c>
      <c r="CJ217" s="47">
        <v>0</v>
      </c>
      <c r="CK217" s="47">
        <v>0</v>
      </c>
      <c r="CL217" s="47">
        <v>0</v>
      </c>
      <c r="CM217" s="47">
        <v>0</v>
      </c>
      <c r="CN217" s="47">
        <v>0</v>
      </c>
      <c r="CO217" s="47">
        <v>0</v>
      </c>
      <c r="CP217" s="47">
        <v>0</v>
      </c>
      <c r="CQ217" s="47">
        <v>0</v>
      </c>
      <c r="CR217" s="47">
        <v>0</v>
      </c>
      <c r="CS217" s="47">
        <v>0</v>
      </c>
      <c r="CT217" s="47">
        <v>0</v>
      </c>
      <c r="CU217" s="47">
        <v>0</v>
      </c>
      <c r="CV217" s="47">
        <v>0</v>
      </c>
      <c r="CW217" s="47">
        <v>0</v>
      </c>
      <c r="CX217" s="47">
        <v>0</v>
      </c>
      <c r="CY217" s="47">
        <v>0</v>
      </c>
      <c r="CZ217" s="47">
        <v>0</v>
      </c>
      <c r="DA217" s="47">
        <v>0</v>
      </c>
      <c r="DB217" s="47">
        <v>0</v>
      </c>
      <c r="DC217" s="47">
        <v>0</v>
      </c>
      <c r="DD217" s="47">
        <v>0</v>
      </c>
      <c r="DE217" s="47">
        <v>0</v>
      </c>
      <c r="DF217" s="47">
        <v>0</v>
      </c>
      <c r="DG217" s="47">
        <v>0</v>
      </c>
      <c r="DH217" s="47">
        <v>0</v>
      </c>
      <c r="DI217" s="47">
        <v>0</v>
      </c>
      <c r="DJ217" s="47">
        <v>0</v>
      </c>
      <c r="DK217" s="47">
        <v>0</v>
      </c>
      <c r="DL217" s="47">
        <v>0</v>
      </c>
      <c r="DM217" s="47">
        <v>0</v>
      </c>
      <c r="DN217" s="47">
        <v>0</v>
      </c>
      <c r="DO217" s="47">
        <v>0</v>
      </c>
      <c r="DP217" s="47">
        <v>0</v>
      </c>
      <c r="DQ217" s="47">
        <v>0</v>
      </c>
      <c r="DR217" s="47">
        <v>0</v>
      </c>
      <c r="DS217" s="47">
        <v>0</v>
      </c>
      <c r="DT217" s="47">
        <v>0</v>
      </c>
    </row>
    <row r="218" spans="1:126" x14ac:dyDescent="0.25">
      <c r="A218" s="47" t="s">
        <v>1114</v>
      </c>
      <c r="B218" s="47" t="s">
        <v>153</v>
      </c>
      <c r="C218" s="47" t="s">
        <v>1115</v>
      </c>
      <c r="D218" s="47" t="s">
        <v>1116</v>
      </c>
      <c r="E218" s="47" t="s">
        <v>1117</v>
      </c>
      <c r="F218" s="47" t="s">
        <v>698</v>
      </c>
      <c r="G218" s="47" t="s">
        <v>705</v>
      </c>
      <c r="H218" s="47" t="str">
        <f>=IFERROR(VLOOKUP(A218,'ETPT Format DDG'!A:J,10,FALSE),"")</f>
        <v>0</v>
      </c>
      <c r="I218" s="47" t="str">
        <f>='ETPT Format DDG'!M218</f>
        <v/>
      </c>
      <c r="J218" s="47" t="str">
        <f>='ETPT Format DDG'!D218</f>
        <v/>
      </c>
      <c r="K218" s="47" t="s">
        <v>157</v>
      </c>
      <c r="L218" s="47" t="s">
        <v>1118</v>
      </c>
      <c r="M218" s="47"/>
      <c r="N218" s="47">
        <v>1</v>
      </c>
      <c r="O218" s="47">
        <v>0</v>
      </c>
      <c r="P218" s="47">
        <v>0</v>
      </c>
      <c r="Q218" s="47">
        <v>0</v>
      </c>
      <c r="R218" s="47">
        <v>0</v>
      </c>
      <c r="S218" s="47">
        <v>0</v>
      </c>
      <c r="T218" s="47">
        <v>0</v>
      </c>
      <c r="U218" s="47">
        <v>0</v>
      </c>
      <c r="V218" s="47">
        <v>0</v>
      </c>
      <c r="W218" s="47">
        <v>0</v>
      </c>
      <c r="X218" s="47">
        <v>0</v>
      </c>
      <c r="Y218" s="47">
        <v>0</v>
      </c>
      <c r="Z218" s="47">
        <v>0</v>
      </c>
      <c r="AA218" s="47">
        <v>0</v>
      </c>
      <c r="AB218" s="47">
        <v>0</v>
      </c>
      <c r="AC218" s="47">
        <v>0</v>
      </c>
      <c r="AD218" s="47">
        <v>0</v>
      </c>
      <c r="AE218" s="47">
        <v>0</v>
      </c>
      <c r="AF218" s="47">
        <v>0</v>
      </c>
      <c r="AG218" s="47">
        <v>0</v>
      </c>
      <c r="AH218" s="47">
        <v>0</v>
      </c>
      <c r="AI218" s="47">
        <v>0</v>
      </c>
      <c r="AJ218" s="47">
        <v>0</v>
      </c>
      <c r="AK218" s="47">
        <v>0</v>
      </c>
      <c r="AL218" s="47">
        <v>0</v>
      </c>
      <c r="AM218" s="47">
        <v>0</v>
      </c>
      <c r="AN218" s="47">
        <v>0</v>
      </c>
      <c r="AO218" s="47">
        <v>0</v>
      </c>
      <c r="AP218" s="47">
        <v>0</v>
      </c>
      <c r="AQ218" s="47">
        <v>0</v>
      </c>
      <c r="AR218" s="47">
        <v>0</v>
      </c>
      <c r="AS218" s="47">
        <v>0</v>
      </c>
      <c r="AT218" s="47">
        <v>0</v>
      </c>
      <c r="AU218" s="47">
        <v>0</v>
      </c>
      <c r="AV218" s="47">
        <v>0</v>
      </c>
      <c r="AW218" s="47">
        <v>0</v>
      </c>
      <c r="AX218" s="47">
        <v>0</v>
      </c>
      <c r="AY218" s="47">
        <v>0</v>
      </c>
      <c r="AZ218" s="47">
        <v>0</v>
      </c>
      <c r="BA218" s="47">
        <v>0</v>
      </c>
      <c r="BB218" s="47">
        <v>0</v>
      </c>
      <c r="BC218" s="47">
        <v>0</v>
      </c>
      <c r="BD218" s="47">
        <v>0</v>
      </c>
      <c r="BE218" s="47">
        <v>0</v>
      </c>
      <c r="BF218" s="47">
        <v>0</v>
      </c>
      <c r="BG218" s="47">
        <v>0</v>
      </c>
      <c r="BH218" s="47">
        <v>0</v>
      </c>
      <c r="BI218" s="47">
        <v>0</v>
      </c>
      <c r="BJ218" s="47">
        <v>0</v>
      </c>
      <c r="BK218" s="47">
        <v>0</v>
      </c>
      <c r="BL218" s="47">
        <v>0</v>
      </c>
      <c r="BM218" s="47">
        <v>0</v>
      </c>
      <c r="BN218" s="47">
        <v>0</v>
      </c>
      <c r="BO218" s="47">
        <v>0</v>
      </c>
      <c r="BP218" s="47">
        <v>0</v>
      </c>
      <c r="BQ218" s="47">
        <v>0</v>
      </c>
      <c r="BR218" s="47">
        <v>0</v>
      </c>
      <c r="BS218" s="47">
        <v>0</v>
      </c>
      <c r="BT218" s="47">
        <v>0</v>
      </c>
      <c r="BU218" s="47">
        <v>0</v>
      </c>
      <c r="BV218" s="47">
        <v>0</v>
      </c>
      <c r="BW218" s="47">
        <v>0</v>
      </c>
      <c r="BX218" s="47">
        <v>0</v>
      </c>
      <c r="BY218" s="47">
        <v>0</v>
      </c>
      <c r="BZ218" s="47">
        <v>0</v>
      </c>
      <c r="CA218" s="47">
        <v>0</v>
      </c>
      <c r="CB218" s="47">
        <v>0</v>
      </c>
      <c r="CC218" s="47">
        <v>0</v>
      </c>
      <c r="CD218" s="47">
        <v>0</v>
      </c>
      <c r="CE218" s="47">
        <v>0</v>
      </c>
      <c r="CF218" s="47">
        <v>0</v>
      </c>
      <c r="CG218" s="47">
        <v>0</v>
      </c>
      <c r="CH218" s="47">
        <v>0</v>
      </c>
      <c r="CI218" s="47">
        <v>0</v>
      </c>
      <c r="CJ218" s="47">
        <v>0</v>
      </c>
      <c r="CK218" s="47">
        <v>0</v>
      </c>
      <c r="CL218" s="47">
        <v>0</v>
      </c>
      <c r="CM218" s="47">
        <v>0</v>
      </c>
      <c r="CN218" s="47">
        <v>0</v>
      </c>
      <c r="CO218" s="47">
        <v>0</v>
      </c>
      <c r="CP218" s="47">
        <v>0</v>
      </c>
      <c r="CQ218" s="47">
        <v>0</v>
      </c>
      <c r="CR218" s="47">
        <v>0</v>
      </c>
      <c r="CS218" s="47">
        <v>0</v>
      </c>
      <c r="CT218" s="47">
        <v>0</v>
      </c>
      <c r="CU218" s="47">
        <v>0</v>
      </c>
      <c r="CV218" s="47">
        <v>0</v>
      </c>
      <c r="CW218" s="47">
        <v>0</v>
      </c>
      <c r="CX218" s="47">
        <v>0</v>
      </c>
      <c r="CY218" s="47">
        <v>0</v>
      </c>
      <c r="CZ218" s="47">
        <v>0</v>
      </c>
      <c r="DA218" s="47">
        <v>0</v>
      </c>
      <c r="DB218" s="47">
        <v>0</v>
      </c>
      <c r="DC218" s="47">
        <v>0</v>
      </c>
      <c r="DD218" s="47">
        <v>0</v>
      </c>
      <c r="DE218" s="47">
        <v>0</v>
      </c>
      <c r="DF218" s="47">
        <v>0</v>
      </c>
      <c r="DG218" s="47">
        <v>0</v>
      </c>
      <c r="DH218" s="47">
        <v>0</v>
      </c>
      <c r="DI218" s="47">
        <v>0</v>
      </c>
      <c r="DJ218" s="47">
        <v>0</v>
      </c>
      <c r="DK218" s="47">
        <v>0</v>
      </c>
      <c r="DL218" s="47">
        <v>0</v>
      </c>
      <c r="DM218" s="47">
        <v>0</v>
      </c>
      <c r="DN218" s="47">
        <v>0</v>
      </c>
      <c r="DO218" s="47">
        <v>0</v>
      </c>
      <c r="DP218" s="47">
        <v>0</v>
      </c>
      <c r="DQ218" s="47">
        <v>0</v>
      </c>
      <c r="DR218" s="47">
        <v>0</v>
      </c>
      <c r="DS218" s="47">
        <v>0</v>
      </c>
      <c r="DT218" s="47">
        <v>0</v>
      </c>
    </row>
    <row r="219" spans="1:126" x14ac:dyDescent="0.25">
      <c r="A219" s="47" t="s">
        <v>1119</v>
      </c>
      <c r="B219" s="47" t="s">
        <v>153</v>
      </c>
      <c r="C219" s="47" t="s">
        <v>1120</v>
      </c>
      <c r="D219" s="47" t="s">
        <v>1121</v>
      </c>
      <c r="E219" s="47" t="s">
        <v>1122</v>
      </c>
      <c r="F219" s="47" t="s">
        <v>698</v>
      </c>
      <c r="G219" s="47" t="s">
        <v>727</v>
      </c>
      <c r="H219" s="47" t="str">
        <f>=IFERROR(VLOOKUP(A219,'ETPT Format DDG'!A:J,10,FALSE),"")</f>
        <v>0</v>
      </c>
      <c r="I219" s="47" t="str">
        <f>='ETPT Format DDG'!M219</f>
        <v/>
      </c>
      <c r="J219" s="47" t="str">
        <f>='ETPT Format DDG'!D219</f>
        <v/>
      </c>
      <c r="K219" s="47" t="s">
        <v>157</v>
      </c>
      <c r="L219" s="47" t="s">
        <v>849</v>
      </c>
      <c r="M219" s="47"/>
      <c r="N219" s="47">
        <v>1</v>
      </c>
      <c r="O219" s="47">
        <v>0</v>
      </c>
      <c r="P219" s="47">
        <v>0</v>
      </c>
      <c r="Q219" s="47">
        <v>0</v>
      </c>
      <c r="R219" s="47">
        <v>0</v>
      </c>
      <c r="S219" s="47">
        <v>0</v>
      </c>
      <c r="T219" s="47">
        <v>0</v>
      </c>
      <c r="U219" s="47">
        <v>0</v>
      </c>
      <c r="V219" s="47">
        <v>0</v>
      </c>
      <c r="W219" s="47">
        <v>0</v>
      </c>
      <c r="X219" s="47">
        <v>0</v>
      </c>
      <c r="Y219" s="47">
        <v>0</v>
      </c>
      <c r="Z219" s="47">
        <v>0</v>
      </c>
      <c r="AA219" s="47">
        <v>0</v>
      </c>
      <c r="AB219" s="47">
        <v>0</v>
      </c>
      <c r="AC219" s="47">
        <v>0</v>
      </c>
      <c r="AD219" s="47">
        <v>0</v>
      </c>
      <c r="AE219" s="47">
        <v>0</v>
      </c>
      <c r="AF219" s="47">
        <v>0</v>
      </c>
      <c r="AG219" s="47">
        <v>0</v>
      </c>
      <c r="AH219" s="47">
        <v>0</v>
      </c>
      <c r="AI219" s="47">
        <v>0</v>
      </c>
      <c r="AJ219" s="47">
        <v>0</v>
      </c>
      <c r="AK219" s="47">
        <v>0</v>
      </c>
      <c r="AL219" s="47">
        <v>0</v>
      </c>
      <c r="AM219" s="47">
        <v>0</v>
      </c>
      <c r="AN219" s="47">
        <v>0</v>
      </c>
      <c r="AO219" s="47">
        <v>0</v>
      </c>
      <c r="AP219" s="47">
        <v>0</v>
      </c>
      <c r="AQ219" s="47">
        <v>0</v>
      </c>
      <c r="AR219" s="47">
        <v>0</v>
      </c>
      <c r="AS219" s="47">
        <v>0</v>
      </c>
      <c r="AT219" s="47">
        <v>0</v>
      </c>
      <c r="AU219" s="47">
        <v>0</v>
      </c>
      <c r="AV219" s="47">
        <v>0</v>
      </c>
      <c r="AW219" s="47">
        <v>0</v>
      </c>
      <c r="AX219" s="47">
        <v>0</v>
      </c>
      <c r="AY219" s="47">
        <v>0</v>
      </c>
      <c r="AZ219" s="47">
        <v>0</v>
      </c>
      <c r="BA219" s="47">
        <v>0</v>
      </c>
      <c r="BB219" s="47">
        <v>0</v>
      </c>
      <c r="BC219" s="47">
        <v>0</v>
      </c>
      <c r="BD219" s="47">
        <v>0</v>
      </c>
      <c r="BE219" s="47">
        <v>0</v>
      </c>
      <c r="BF219" s="47">
        <v>0</v>
      </c>
      <c r="BG219" s="47">
        <v>0</v>
      </c>
      <c r="BH219" s="47">
        <v>0</v>
      </c>
      <c r="BI219" s="47">
        <v>0</v>
      </c>
      <c r="BJ219" s="47">
        <v>0</v>
      </c>
      <c r="BK219" s="47">
        <v>0</v>
      </c>
      <c r="BL219" s="47">
        <v>0</v>
      </c>
      <c r="BM219" s="47">
        <v>0</v>
      </c>
      <c r="BN219" s="47">
        <v>0</v>
      </c>
      <c r="BO219" s="47">
        <v>0</v>
      </c>
      <c r="BP219" s="47">
        <v>0</v>
      </c>
      <c r="BQ219" s="47">
        <v>0</v>
      </c>
      <c r="BR219" s="47">
        <v>0</v>
      </c>
      <c r="BS219" s="47">
        <v>0</v>
      </c>
      <c r="BT219" s="47">
        <v>0</v>
      </c>
      <c r="BU219" s="47">
        <v>0</v>
      </c>
      <c r="BV219" s="47">
        <v>0</v>
      </c>
      <c r="BW219" s="47">
        <v>0</v>
      </c>
      <c r="BX219" s="47">
        <v>0</v>
      </c>
      <c r="BY219" s="47">
        <v>0</v>
      </c>
      <c r="BZ219" s="47">
        <v>0</v>
      </c>
      <c r="CA219" s="47">
        <v>0</v>
      </c>
      <c r="CB219" s="47">
        <v>0</v>
      </c>
      <c r="CC219" s="47">
        <v>0</v>
      </c>
      <c r="CD219" s="47">
        <v>0</v>
      </c>
      <c r="CE219" s="47">
        <v>0</v>
      </c>
      <c r="CF219" s="47">
        <v>0</v>
      </c>
      <c r="CG219" s="47">
        <v>0</v>
      </c>
      <c r="CH219" s="47">
        <v>0</v>
      </c>
      <c r="CI219" s="47">
        <v>0</v>
      </c>
      <c r="CJ219" s="47">
        <v>0</v>
      </c>
      <c r="CK219" s="47">
        <v>0</v>
      </c>
      <c r="CL219" s="47">
        <v>0</v>
      </c>
      <c r="CM219" s="47">
        <v>0</v>
      </c>
      <c r="CN219" s="47">
        <v>0</v>
      </c>
      <c r="CO219" s="47">
        <v>0</v>
      </c>
      <c r="CP219" s="47">
        <v>0</v>
      </c>
      <c r="CQ219" s="47">
        <v>0</v>
      </c>
      <c r="CR219" s="47">
        <v>0</v>
      </c>
      <c r="CS219" s="47">
        <v>0</v>
      </c>
      <c r="CT219" s="47">
        <v>0</v>
      </c>
      <c r="CU219" s="47">
        <v>0</v>
      </c>
      <c r="CV219" s="47">
        <v>0</v>
      </c>
      <c r="CW219" s="47">
        <v>0</v>
      </c>
      <c r="CX219" s="47">
        <v>0</v>
      </c>
      <c r="CY219" s="47">
        <v>0</v>
      </c>
      <c r="CZ219" s="47">
        <v>0</v>
      </c>
      <c r="DA219" s="47">
        <v>0</v>
      </c>
      <c r="DB219" s="47">
        <v>0</v>
      </c>
      <c r="DC219" s="47">
        <v>0</v>
      </c>
      <c r="DD219" s="47">
        <v>0</v>
      </c>
      <c r="DE219" s="47">
        <v>0</v>
      </c>
      <c r="DF219" s="47">
        <v>0</v>
      </c>
      <c r="DG219" s="47">
        <v>0</v>
      </c>
      <c r="DH219" s="47">
        <v>0</v>
      </c>
      <c r="DI219" s="47">
        <v>0</v>
      </c>
      <c r="DJ219" s="47">
        <v>0</v>
      </c>
      <c r="DK219" s="47">
        <v>0</v>
      </c>
      <c r="DL219" s="47">
        <v>0</v>
      </c>
      <c r="DM219" s="47">
        <v>0</v>
      </c>
      <c r="DN219" s="47">
        <v>0</v>
      </c>
      <c r="DO219" s="47">
        <v>0</v>
      </c>
      <c r="DP219" s="47">
        <v>0</v>
      </c>
      <c r="DQ219" s="47">
        <v>0</v>
      </c>
      <c r="DR219" s="47">
        <v>0</v>
      </c>
      <c r="DS219" s="47">
        <v>0</v>
      </c>
      <c r="DT219" s="47">
        <v>0</v>
      </c>
    </row>
    <row r="220" spans="1:126" x14ac:dyDescent="0.25">
      <c r="A220" s="47" t="s">
        <v>1123</v>
      </c>
      <c r="B220" s="47" t="s">
        <v>153</v>
      </c>
      <c r="C220" s="47" t="s">
        <v>1124</v>
      </c>
      <c r="D220" s="47" t="s">
        <v>1125</v>
      </c>
      <c r="E220" s="47" t="s">
        <v>1126</v>
      </c>
      <c r="F220" s="47" t="s">
        <v>698</v>
      </c>
      <c r="G220" s="47" t="s">
        <v>705</v>
      </c>
      <c r="H220" s="47" t="str">
        <f>=IFERROR(VLOOKUP(A220,'ETPT Format DDG'!A:J,10,FALSE),"")</f>
        <v>0</v>
      </c>
      <c r="I220" s="47" t="str">
        <f>='ETPT Format DDG'!M220</f>
        <v/>
      </c>
      <c r="J220" s="47" t="str">
        <f>='ETPT Format DDG'!D220</f>
        <v/>
      </c>
      <c r="K220" s="47" t="s">
        <v>157</v>
      </c>
      <c r="L220" s="47" t="s">
        <v>1127</v>
      </c>
      <c r="M220" s="47"/>
      <c r="N220" s="47">
        <v>1</v>
      </c>
      <c r="O220" s="47">
        <v>0</v>
      </c>
      <c r="P220" s="47">
        <v>0</v>
      </c>
      <c r="Q220" s="47">
        <v>0</v>
      </c>
      <c r="R220" s="47">
        <v>0</v>
      </c>
      <c r="S220" s="47">
        <v>0</v>
      </c>
      <c r="T220" s="47">
        <v>0</v>
      </c>
      <c r="U220" s="47">
        <v>0</v>
      </c>
      <c r="V220" s="47">
        <v>0</v>
      </c>
      <c r="W220" s="47">
        <v>0</v>
      </c>
      <c r="X220" s="47">
        <v>0</v>
      </c>
      <c r="Y220" s="47">
        <v>0</v>
      </c>
      <c r="Z220" s="47">
        <v>0</v>
      </c>
      <c r="AA220" s="47">
        <v>0</v>
      </c>
      <c r="AB220" s="47">
        <v>0</v>
      </c>
      <c r="AC220" s="47">
        <v>0</v>
      </c>
      <c r="AD220" s="47">
        <v>0</v>
      </c>
      <c r="AE220" s="47">
        <v>0</v>
      </c>
      <c r="AF220" s="47">
        <v>0</v>
      </c>
      <c r="AG220" s="47">
        <v>0</v>
      </c>
      <c r="AH220" s="47">
        <v>0</v>
      </c>
      <c r="AI220" s="47">
        <v>0</v>
      </c>
      <c r="AJ220" s="47">
        <v>0</v>
      </c>
      <c r="AK220" s="47">
        <v>0</v>
      </c>
      <c r="AL220" s="47">
        <v>0</v>
      </c>
      <c r="AM220" s="47">
        <v>0</v>
      </c>
      <c r="AN220" s="47">
        <v>0</v>
      </c>
      <c r="AO220" s="47">
        <v>0</v>
      </c>
      <c r="AP220" s="47">
        <v>0</v>
      </c>
      <c r="AQ220" s="47">
        <v>0</v>
      </c>
      <c r="AR220" s="47">
        <v>0</v>
      </c>
      <c r="AS220" s="47">
        <v>0</v>
      </c>
      <c r="AT220" s="47">
        <v>0</v>
      </c>
      <c r="AU220" s="47">
        <v>0</v>
      </c>
      <c r="AV220" s="47">
        <v>0</v>
      </c>
      <c r="AW220" s="47">
        <v>0</v>
      </c>
      <c r="AX220" s="47">
        <v>0</v>
      </c>
      <c r="AY220" s="47">
        <v>0</v>
      </c>
      <c r="AZ220" s="47">
        <v>0</v>
      </c>
      <c r="BA220" s="47">
        <v>0</v>
      </c>
      <c r="BB220" s="47">
        <v>0</v>
      </c>
      <c r="BC220" s="47">
        <v>0</v>
      </c>
      <c r="BD220" s="47">
        <v>0</v>
      </c>
      <c r="BE220" s="47">
        <v>0</v>
      </c>
      <c r="BF220" s="47">
        <v>0</v>
      </c>
      <c r="BG220" s="47">
        <v>0</v>
      </c>
      <c r="BH220" s="47">
        <v>0</v>
      </c>
      <c r="BI220" s="47">
        <v>0</v>
      </c>
      <c r="BJ220" s="47">
        <v>0</v>
      </c>
      <c r="BK220" s="47">
        <v>0</v>
      </c>
      <c r="BL220" s="47">
        <v>0</v>
      </c>
      <c r="BM220" s="47">
        <v>0</v>
      </c>
      <c r="BN220" s="47">
        <v>0</v>
      </c>
      <c r="BO220" s="47">
        <v>0</v>
      </c>
      <c r="BP220" s="47">
        <v>0</v>
      </c>
      <c r="BQ220" s="47">
        <v>0</v>
      </c>
      <c r="BR220" s="47">
        <v>0</v>
      </c>
      <c r="BS220" s="47">
        <v>0</v>
      </c>
      <c r="BT220" s="47">
        <v>0</v>
      </c>
      <c r="BU220" s="47">
        <v>0</v>
      </c>
      <c r="BV220" s="47">
        <v>0</v>
      </c>
      <c r="BW220" s="47">
        <v>0</v>
      </c>
      <c r="BX220" s="47">
        <v>0</v>
      </c>
      <c r="BY220" s="47">
        <v>0</v>
      </c>
      <c r="BZ220" s="47">
        <v>0</v>
      </c>
      <c r="CA220" s="47">
        <v>0</v>
      </c>
      <c r="CB220" s="47">
        <v>0</v>
      </c>
      <c r="CC220" s="47">
        <v>0</v>
      </c>
      <c r="CD220" s="47">
        <v>0</v>
      </c>
      <c r="CE220" s="47">
        <v>0</v>
      </c>
      <c r="CF220" s="47">
        <v>0</v>
      </c>
      <c r="CG220" s="47">
        <v>0</v>
      </c>
      <c r="CH220" s="47">
        <v>0</v>
      </c>
      <c r="CI220" s="47">
        <v>0</v>
      </c>
      <c r="CJ220" s="47">
        <v>0</v>
      </c>
      <c r="CK220" s="47">
        <v>0</v>
      </c>
      <c r="CL220" s="47">
        <v>0</v>
      </c>
      <c r="CM220" s="47">
        <v>0</v>
      </c>
      <c r="CN220" s="47">
        <v>0</v>
      </c>
      <c r="CO220" s="47">
        <v>0</v>
      </c>
      <c r="CP220" s="47">
        <v>0</v>
      </c>
      <c r="CQ220" s="47">
        <v>0</v>
      </c>
      <c r="CR220" s="47">
        <v>0</v>
      </c>
      <c r="CS220" s="47">
        <v>0</v>
      </c>
      <c r="CT220" s="47">
        <v>0</v>
      </c>
      <c r="CU220" s="47">
        <v>0</v>
      </c>
      <c r="CV220" s="47">
        <v>0</v>
      </c>
      <c r="CW220" s="47">
        <v>0</v>
      </c>
      <c r="CX220" s="47">
        <v>0</v>
      </c>
      <c r="CY220" s="47">
        <v>0</v>
      </c>
      <c r="CZ220" s="47">
        <v>0</v>
      </c>
      <c r="DA220" s="47">
        <v>0</v>
      </c>
      <c r="DB220" s="47">
        <v>0</v>
      </c>
      <c r="DC220" s="47">
        <v>0</v>
      </c>
      <c r="DD220" s="47">
        <v>0</v>
      </c>
      <c r="DE220" s="47">
        <v>0</v>
      </c>
      <c r="DF220" s="47">
        <v>0</v>
      </c>
      <c r="DG220" s="47">
        <v>0</v>
      </c>
      <c r="DH220" s="47">
        <v>0</v>
      </c>
      <c r="DI220" s="47">
        <v>0</v>
      </c>
      <c r="DJ220" s="47">
        <v>0</v>
      </c>
      <c r="DK220" s="47">
        <v>0</v>
      </c>
      <c r="DL220" s="47">
        <v>0</v>
      </c>
      <c r="DM220" s="47">
        <v>0</v>
      </c>
      <c r="DN220" s="47">
        <v>0</v>
      </c>
      <c r="DO220" s="47">
        <v>0</v>
      </c>
      <c r="DP220" s="47">
        <v>0</v>
      </c>
      <c r="DQ220" s="47">
        <v>0</v>
      </c>
      <c r="DR220" s="47">
        <v>0</v>
      </c>
      <c r="DS220" s="47">
        <v>0</v>
      </c>
      <c r="DT220" s="47">
        <v>0</v>
      </c>
    </row>
    <row r="221" spans="1:126" x14ac:dyDescent="0.25">
      <c r="A221" s="47" t="s">
        <v>1128</v>
      </c>
      <c r="B221" s="47" t="s">
        <v>153</v>
      </c>
      <c r="C221" s="47" t="s">
        <v>1129</v>
      </c>
      <c r="D221" s="47" t="s">
        <v>1130</v>
      </c>
      <c r="E221" s="47" t="s">
        <v>1131</v>
      </c>
      <c r="F221" s="47" t="s">
        <v>698</v>
      </c>
      <c r="G221" s="47" t="s">
        <v>727</v>
      </c>
      <c r="H221" s="47" t="str">
        <f>=IFERROR(VLOOKUP(A221,'ETPT Format DDG'!A:J,10,FALSE),"")</f>
        <v>0</v>
      </c>
      <c r="I221" s="47" t="str">
        <f>='ETPT Format DDG'!M221</f>
        <v/>
      </c>
      <c r="J221" s="47" t="str">
        <f>='ETPT Format DDG'!D221</f>
        <v/>
      </c>
      <c r="K221" s="47" t="s">
        <v>157</v>
      </c>
      <c r="L221" s="47" t="s">
        <v>1132</v>
      </c>
      <c r="M221" s="47"/>
      <c r="N221" s="47">
        <v>1</v>
      </c>
      <c r="O221" s="47">
        <v>0</v>
      </c>
      <c r="P221" s="47">
        <v>0</v>
      </c>
      <c r="Q221" s="47">
        <v>0</v>
      </c>
      <c r="R221" s="47">
        <v>0</v>
      </c>
      <c r="S221" s="47">
        <v>0</v>
      </c>
      <c r="T221" s="47">
        <v>0</v>
      </c>
      <c r="U221" s="47">
        <v>0</v>
      </c>
      <c r="V221" s="47">
        <v>0</v>
      </c>
      <c r="W221" s="47">
        <v>0</v>
      </c>
      <c r="X221" s="47">
        <v>0</v>
      </c>
      <c r="Y221" s="47">
        <v>0</v>
      </c>
      <c r="Z221" s="47">
        <v>0</v>
      </c>
      <c r="AA221" s="47">
        <v>0</v>
      </c>
      <c r="AB221" s="47">
        <v>0</v>
      </c>
      <c r="AC221" s="47">
        <v>0</v>
      </c>
      <c r="AD221" s="47">
        <v>0</v>
      </c>
      <c r="AE221" s="47">
        <v>0</v>
      </c>
      <c r="AF221" s="47">
        <v>0</v>
      </c>
      <c r="AG221" s="47">
        <v>0</v>
      </c>
      <c r="AH221" s="47">
        <v>0</v>
      </c>
      <c r="AI221" s="47">
        <v>0</v>
      </c>
      <c r="AJ221" s="47">
        <v>0</v>
      </c>
      <c r="AK221" s="47">
        <v>0</v>
      </c>
      <c r="AL221" s="47">
        <v>0</v>
      </c>
      <c r="AM221" s="47">
        <v>0</v>
      </c>
      <c r="AN221" s="47">
        <v>0</v>
      </c>
      <c r="AO221" s="47">
        <v>0</v>
      </c>
      <c r="AP221" s="47">
        <v>0</v>
      </c>
      <c r="AQ221" s="47">
        <v>0</v>
      </c>
      <c r="AR221" s="47">
        <v>0</v>
      </c>
      <c r="AS221" s="47">
        <v>0</v>
      </c>
      <c r="AT221" s="47">
        <v>0</v>
      </c>
      <c r="AU221" s="47">
        <v>0</v>
      </c>
      <c r="AV221" s="47">
        <v>0</v>
      </c>
      <c r="AW221" s="47">
        <v>0</v>
      </c>
      <c r="AX221" s="47">
        <v>0</v>
      </c>
      <c r="AY221" s="47">
        <v>0</v>
      </c>
      <c r="AZ221" s="47">
        <v>0</v>
      </c>
      <c r="BA221" s="47">
        <v>0</v>
      </c>
      <c r="BB221" s="47">
        <v>0</v>
      </c>
      <c r="BC221" s="47">
        <v>0</v>
      </c>
      <c r="BD221" s="47">
        <v>0</v>
      </c>
      <c r="BE221" s="47">
        <v>0</v>
      </c>
      <c r="BF221" s="47">
        <v>0</v>
      </c>
      <c r="BG221" s="47">
        <v>0</v>
      </c>
      <c r="BH221" s="47">
        <v>0</v>
      </c>
      <c r="BI221" s="47">
        <v>0</v>
      </c>
      <c r="BJ221" s="47">
        <v>0</v>
      </c>
      <c r="BK221" s="47">
        <v>0</v>
      </c>
      <c r="BL221" s="47">
        <v>0</v>
      </c>
      <c r="BM221" s="47">
        <v>0</v>
      </c>
      <c r="BN221" s="47">
        <v>0</v>
      </c>
      <c r="BO221" s="47">
        <v>0</v>
      </c>
      <c r="BP221" s="47">
        <v>0</v>
      </c>
      <c r="BQ221" s="47">
        <v>0</v>
      </c>
      <c r="BR221" s="47">
        <v>0</v>
      </c>
      <c r="BS221" s="47">
        <v>0</v>
      </c>
      <c r="BT221" s="47">
        <v>0</v>
      </c>
      <c r="BU221" s="47">
        <v>0</v>
      </c>
      <c r="BV221" s="47">
        <v>0</v>
      </c>
      <c r="BW221" s="47">
        <v>0</v>
      </c>
      <c r="BX221" s="47">
        <v>0</v>
      </c>
      <c r="BY221" s="47">
        <v>0</v>
      </c>
      <c r="BZ221" s="47">
        <v>0</v>
      </c>
      <c r="CA221" s="47">
        <v>0</v>
      </c>
      <c r="CB221" s="47">
        <v>0</v>
      </c>
      <c r="CC221" s="47">
        <v>0</v>
      </c>
      <c r="CD221" s="47">
        <v>0</v>
      </c>
      <c r="CE221" s="47">
        <v>0</v>
      </c>
      <c r="CF221" s="47">
        <v>0</v>
      </c>
      <c r="CG221" s="47">
        <v>0</v>
      </c>
      <c r="CH221" s="47">
        <v>0</v>
      </c>
      <c r="CI221" s="47">
        <v>0</v>
      </c>
      <c r="CJ221" s="47">
        <v>0</v>
      </c>
      <c r="CK221" s="47">
        <v>0</v>
      </c>
      <c r="CL221" s="47">
        <v>0</v>
      </c>
      <c r="CM221" s="47">
        <v>0</v>
      </c>
      <c r="CN221" s="47">
        <v>0</v>
      </c>
      <c r="CO221" s="47">
        <v>0</v>
      </c>
      <c r="CP221" s="47">
        <v>0</v>
      </c>
      <c r="CQ221" s="47">
        <v>0</v>
      </c>
      <c r="CR221" s="47">
        <v>0</v>
      </c>
      <c r="CS221" s="47">
        <v>0</v>
      </c>
      <c r="CT221" s="47">
        <v>0</v>
      </c>
      <c r="CU221" s="47">
        <v>0</v>
      </c>
      <c r="CV221" s="47">
        <v>0</v>
      </c>
      <c r="CW221" s="47">
        <v>0</v>
      </c>
      <c r="CX221" s="47">
        <v>0</v>
      </c>
      <c r="CY221" s="47">
        <v>0</v>
      </c>
      <c r="CZ221" s="47">
        <v>0</v>
      </c>
      <c r="DA221" s="47">
        <v>0</v>
      </c>
      <c r="DB221" s="47">
        <v>0</v>
      </c>
      <c r="DC221" s="47">
        <v>0</v>
      </c>
      <c r="DD221" s="47">
        <v>0</v>
      </c>
      <c r="DE221" s="47">
        <v>0</v>
      </c>
      <c r="DF221" s="47">
        <v>0</v>
      </c>
      <c r="DG221" s="47">
        <v>0</v>
      </c>
      <c r="DH221" s="47">
        <v>0</v>
      </c>
      <c r="DI221" s="47">
        <v>0</v>
      </c>
      <c r="DJ221" s="47">
        <v>0</v>
      </c>
      <c r="DK221" s="47">
        <v>0</v>
      </c>
      <c r="DL221" s="47">
        <v>0</v>
      </c>
      <c r="DM221" s="47">
        <v>0</v>
      </c>
      <c r="DN221" s="47">
        <v>0</v>
      </c>
      <c r="DO221" s="47">
        <v>0</v>
      </c>
      <c r="DP221" s="47">
        <v>0</v>
      </c>
      <c r="DQ221" s="47">
        <v>0</v>
      </c>
      <c r="DR221" s="47">
        <v>0</v>
      </c>
      <c r="DS221" s="47">
        <v>0</v>
      </c>
      <c r="DT221" s="47">
        <v>0</v>
      </c>
    </row>
    <row r="222" spans="1:126" x14ac:dyDescent="0.25">
      <c r="A222" s="47" t="s">
        <v>1133</v>
      </c>
      <c r="B222" s="47" t="s">
        <v>153</v>
      </c>
      <c r="C222" s="47" t="s">
        <v>1134</v>
      </c>
      <c r="D222" s="47" t="s">
        <v>1135</v>
      </c>
      <c r="E222" s="47" t="s">
        <v>1136</v>
      </c>
      <c r="F222" s="47" t="s">
        <v>698</v>
      </c>
      <c r="G222" s="47" t="s">
        <v>727</v>
      </c>
      <c r="H222" s="47" t="str">
        <f>=IFERROR(VLOOKUP(A222,'ETPT Format DDG'!A:J,10,FALSE),"")</f>
        <v>0</v>
      </c>
      <c r="I222" s="47" t="str">
        <f>='ETPT Format DDG'!M222</f>
        <v/>
      </c>
      <c r="J222" s="47" t="str">
        <f>='ETPT Format DDG'!D222</f>
        <v/>
      </c>
      <c r="K222" s="47" t="s">
        <v>157</v>
      </c>
      <c r="L222" s="47" t="s">
        <v>1137</v>
      </c>
      <c r="M222" s="47"/>
      <c r="N222" s="47">
        <v>1</v>
      </c>
      <c r="O222" s="47">
        <v>1</v>
      </c>
      <c r="P222" s="47">
        <v>0</v>
      </c>
      <c r="Q222" s="47">
        <v>0</v>
      </c>
      <c r="R222" s="47">
        <v>0</v>
      </c>
      <c r="S222" s="47">
        <v>0</v>
      </c>
      <c r="T222" s="47">
        <v>0</v>
      </c>
      <c r="U222" s="47">
        <v>0</v>
      </c>
      <c r="V222" s="47">
        <v>0</v>
      </c>
      <c r="W222" s="47">
        <v>0</v>
      </c>
      <c r="X222" s="47">
        <v>0</v>
      </c>
      <c r="Y222" s="47">
        <v>0</v>
      </c>
      <c r="Z222" s="47">
        <v>0</v>
      </c>
      <c r="AA222" s="47">
        <v>0</v>
      </c>
      <c r="AB222" s="47">
        <v>0</v>
      </c>
      <c r="AC222" s="47">
        <v>0</v>
      </c>
      <c r="AD222" s="47">
        <v>0</v>
      </c>
      <c r="AE222" s="47">
        <v>0</v>
      </c>
      <c r="AF222" s="47">
        <v>0</v>
      </c>
      <c r="AG222" s="47">
        <v>0</v>
      </c>
      <c r="AH222" s="47">
        <v>0</v>
      </c>
      <c r="AI222" s="47">
        <v>0</v>
      </c>
      <c r="AJ222" s="47">
        <v>0</v>
      </c>
      <c r="AK222" s="47">
        <v>0</v>
      </c>
      <c r="AL222" s="47">
        <v>0</v>
      </c>
      <c r="AM222" s="47">
        <v>0</v>
      </c>
      <c r="AN222" s="47">
        <v>0</v>
      </c>
      <c r="AO222" s="47">
        <v>0</v>
      </c>
      <c r="AP222" s="47">
        <v>0</v>
      </c>
      <c r="AQ222" s="47">
        <v>0</v>
      </c>
      <c r="AR222" s="47">
        <v>0</v>
      </c>
      <c r="AS222" s="47">
        <v>0</v>
      </c>
      <c r="AT222" s="47">
        <v>0</v>
      </c>
      <c r="AU222" s="47">
        <v>0</v>
      </c>
      <c r="AV222" s="47">
        <v>0</v>
      </c>
      <c r="AW222" s="47">
        <v>0</v>
      </c>
      <c r="AX222" s="47">
        <v>0</v>
      </c>
      <c r="AY222" s="47">
        <v>0</v>
      </c>
      <c r="AZ222" s="47">
        <v>0</v>
      </c>
      <c r="BA222" s="47">
        <v>0</v>
      </c>
      <c r="BB222" s="47">
        <v>0</v>
      </c>
      <c r="BC222" s="47">
        <v>0</v>
      </c>
      <c r="BD222" s="47">
        <v>0</v>
      </c>
      <c r="BE222" s="47">
        <v>0</v>
      </c>
      <c r="BF222" s="47">
        <v>0</v>
      </c>
      <c r="BG222" s="47">
        <v>0</v>
      </c>
      <c r="BH222" s="47">
        <v>0</v>
      </c>
      <c r="BI222" s="47">
        <v>0</v>
      </c>
      <c r="BJ222" s="47">
        <v>0</v>
      </c>
      <c r="BK222" s="47">
        <v>0</v>
      </c>
      <c r="BL222" s="47">
        <v>0</v>
      </c>
      <c r="BM222" s="47">
        <v>0</v>
      </c>
      <c r="BN222" s="47">
        <v>0</v>
      </c>
      <c r="BO222" s="47">
        <v>1</v>
      </c>
      <c r="BP222" s="47">
        <v>0</v>
      </c>
      <c r="BQ222" s="47">
        <v>0</v>
      </c>
      <c r="BR222" s="47">
        <v>0</v>
      </c>
      <c r="BS222" s="47">
        <v>0</v>
      </c>
      <c r="BT222" s="47">
        <v>0</v>
      </c>
      <c r="BU222" s="47">
        <v>0</v>
      </c>
      <c r="BV222" s="47">
        <v>0</v>
      </c>
      <c r="BW222" s="47">
        <v>0</v>
      </c>
      <c r="BX222" s="47">
        <v>0</v>
      </c>
      <c r="BY222" s="47">
        <v>0</v>
      </c>
      <c r="BZ222" s="47">
        <v>0</v>
      </c>
      <c r="CA222" s="47">
        <v>0</v>
      </c>
      <c r="CB222" s="47">
        <v>0</v>
      </c>
      <c r="CC222" s="47">
        <v>0</v>
      </c>
      <c r="CD222" s="47">
        <v>0</v>
      </c>
      <c r="CE222" s="47">
        <v>0</v>
      </c>
      <c r="CF222" s="47">
        <v>0</v>
      </c>
      <c r="CG222" s="47">
        <v>0</v>
      </c>
      <c r="CH222" s="47">
        <v>0</v>
      </c>
      <c r="CI222" s="47">
        <v>0</v>
      </c>
      <c r="CJ222" s="47">
        <v>0</v>
      </c>
      <c r="CK222" s="47">
        <v>0</v>
      </c>
      <c r="CL222" s="47">
        <v>0</v>
      </c>
      <c r="CM222" s="47">
        <v>0</v>
      </c>
      <c r="CN222" s="47">
        <v>0</v>
      </c>
      <c r="CO222" s="47">
        <v>0</v>
      </c>
      <c r="CP222" s="47">
        <v>0</v>
      </c>
      <c r="CQ222" s="47">
        <v>0</v>
      </c>
      <c r="CR222" s="47">
        <v>0</v>
      </c>
      <c r="CS222" s="47">
        <v>0</v>
      </c>
      <c r="CT222" s="47">
        <v>0</v>
      </c>
      <c r="CU222" s="47">
        <v>0</v>
      </c>
      <c r="CV222" s="47">
        <v>0</v>
      </c>
      <c r="CW222" s="47">
        <v>0</v>
      </c>
      <c r="CX222" s="47">
        <v>0</v>
      </c>
      <c r="CY222" s="47">
        <v>0</v>
      </c>
      <c r="CZ222" s="47">
        <v>0</v>
      </c>
      <c r="DA222" s="47">
        <v>0</v>
      </c>
      <c r="DB222" s="47">
        <v>0</v>
      </c>
      <c r="DC222" s="47">
        <v>0</v>
      </c>
      <c r="DD222" s="47">
        <v>0</v>
      </c>
      <c r="DE222" s="47">
        <v>0</v>
      </c>
      <c r="DF222" s="47">
        <v>0</v>
      </c>
      <c r="DG222" s="47">
        <v>0</v>
      </c>
      <c r="DH222" s="47">
        <v>0</v>
      </c>
      <c r="DI222" s="47">
        <v>0</v>
      </c>
      <c r="DJ222" s="47">
        <v>0</v>
      </c>
      <c r="DK222" s="47">
        <v>0</v>
      </c>
      <c r="DL222" s="47">
        <v>0</v>
      </c>
      <c r="DM222" s="47">
        <v>0</v>
      </c>
      <c r="DN222" s="47">
        <v>0</v>
      </c>
      <c r="DO222" s="47">
        <v>0</v>
      </c>
      <c r="DP222" s="47">
        <v>0</v>
      </c>
      <c r="DQ222" s="47">
        <v>0</v>
      </c>
      <c r="DR222" s="47">
        <v>0</v>
      </c>
      <c r="DS222" s="47">
        <v>0</v>
      </c>
      <c r="DT222" s="47">
        <v>0</v>
      </c>
    </row>
    <row r="223" spans="1:126" x14ac:dyDescent="0.25">
      <c r="A223" s="47" t="s">
        <v>1138</v>
      </c>
      <c r="B223" s="47" t="s">
        <v>153</v>
      </c>
      <c r="C223" s="47" t="s">
        <v>1139</v>
      </c>
      <c r="D223" s="47" t="s">
        <v>1140</v>
      </c>
      <c r="E223" s="47" t="s">
        <v>1141</v>
      </c>
      <c r="F223" s="47" t="s">
        <v>698</v>
      </c>
      <c r="G223" s="47" t="s">
        <v>727</v>
      </c>
      <c r="H223" s="47" t="str">
        <f>=IFERROR(VLOOKUP(A223,'ETPT Format DDG'!A:J,10,FALSE),"")</f>
        <v>0</v>
      </c>
      <c r="I223" s="47" t="str">
        <f>='ETPT Format DDG'!M223</f>
        <v/>
      </c>
      <c r="J223" s="47" t="str">
        <f>='ETPT Format DDG'!D223</f>
        <v/>
      </c>
      <c r="K223" s="47" t="s">
        <v>157</v>
      </c>
      <c r="L223" s="47" t="s">
        <v>712</v>
      </c>
      <c r="M223" s="47"/>
      <c r="N223" s="47">
        <v>1</v>
      </c>
      <c r="O223" s="47">
        <v>0</v>
      </c>
      <c r="P223" s="47">
        <v>0</v>
      </c>
      <c r="Q223" s="47">
        <v>0</v>
      </c>
      <c r="R223" s="47">
        <v>0</v>
      </c>
      <c r="S223" s="47">
        <v>0</v>
      </c>
      <c r="T223" s="47">
        <v>0</v>
      </c>
      <c r="U223" s="47">
        <v>0</v>
      </c>
      <c r="V223" s="47">
        <v>0</v>
      </c>
      <c r="W223" s="47">
        <v>0</v>
      </c>
      <c r="X223" s="47">
        <v>0</v>
      </c>
      <c r="Y223" s="47">
        <v>0</v>
      </c>
      <c r="Z223" s="47">
        <v>0</v>
      </c>
      <c r="AA223" s="47">
        <v>0</v>
      </c>
      <c r="AB223" s="47">
        <v>0</v>
      </c>
      <c r="AC223" s="47">
        <v>0</v>
      </c>
      <c r="AD223" s="47">
        <v>0</v>
      </c>
      <c r="AE223" s="47">
        <v>0</v>
      </c>
      <c r="AF223" s="47">
        <v>0</v>
      </c>
      <c r="AG223" s="47">
        <v>0</v>
      </c>
      <c r="AH223" s="47">
        <v>0</v>
      </c>
      <c r="AI223" s="47">
        <v>0</v>
      </c>
      <c r="AJ223" s="47">
        <v>0</v>
      </c>
      <c r="AK223" s="47">
        <v>0</v>
      </c>
      <c r="AL223" s="47">
        <v>0</v>
      </c>
      <c r="AM223" s="47">
        <v>0</v>
      </c>
      <c r="AN223" s="47">
        <v>0</v>
      </c>
      <c r="AO223" s="47">
        <v>0</v>
      </c>
      <c r="AP223" s="47">
        <v>0</v>
      </c>
      <c r="AQ223" s="47">
        <v>0</v>
      </c>
      <c r="AR223" s="47">
        <v>0</v>
      </c>
      <c r="AS223" s="47">
        <v>0</v>
      </c>
      <c r="AT223" s="47">
        <v>0</v>
      </c>
      <c r="AU223" s="47">
        <v>0</v>
      </c>
      <c r="AV223" s="47">
        <v>0</v>
      </c>
      <c r="AW223" s="47">
        <v>0</v>
      </c>
      <c r="AX223" s="47">
        <v>0</v>
      </c>
      <c r="AY223" s="47">
        <v>0</v>
      </c>
      <c r="AZ223" s="47">
        <v>0</v>
      </c>
      <c r="BA223" s="47">
        <v>0</v>
      </c>
      <c r="BB223" s="47">
        <v>0</v>
      </c>
      <c r="BC223" s="47">
        <v>0</v>
      </c>
      <c r="BD223" s="47">
        <v>0</v>
      </c>
      <c r="BE223" s="47">
        <v>0</v>
      </c>
      <c r="BF223" s="47">
        <v>0</v>
      </c>
      <c r="BG223" s="47">
        <v>0</v>
      </c>
      <c r="BH223" s="47">
        <v>0</v>
      </c>
      <c r="BI223" s="47">
        <v>0</v>
      </c>
      <c r="BJ223" s="47">
        <v>0</v>
      </c>
      <c r="BK223" s="47">
        <v>0</v>
      </c>
      <c r="BL223" s="47">
        <v>0</v>
      </c>
      <c r="BM223" s="47">
        <v>0</v>
      </c>
      <c r="BN223" s="47">
        <v>0</v>
      </c>
      <c r="BO223" s="47">
        <v>0</v>
      </c>
      <c r="BP223" s="47">
        <v>0</v>
      </c>
      <c r="BQ223" s="47">
        <v>0</v>
      </c>
      <c r="BR223" s="47">
        <v>0</v>
      </c>
      <c r="BS223" s="47">
        <v>0</v>
      </c>
      <c r="BT223" s="47">
        <v>0</v>
      </c>
      <c r="BU223" s="47">
        <v>0</v>
      </c>
      <c r="BV223" s="47">
        <v>0</v>
      </c>
      <c r="BW223" s="47">
        <v>0</v>
      </c>
      <c r="BX223" s="47">
        <v>0</v>
      </c>
      <c r="BY223" s="47">
        <v>0</v>
      </c>
      <c r="BZ223" s="47">
        <v>0</v>
      </c>
      <c r="CA223" s="47">
        <v>0</v>
      </c>
      <c r="CB223" s="47">
        <v>0</v>
      </c>
      <c r="CC223" s="47">
        <v>0</v>
      </c>
      <c r="CD223" s="47">
        <v>0</v>
      </c>
      <c r="CE223" s="47">
        <v>0</v>
      </c>
      <c r="CF223" s="47">
        <v>0</v>
      </c>
      <c r="CG223" s="47">
        <v>0</v>
      </c>
      <c r="CH223" s="47">
        <v>0</v>
      </c>
      <c r="CI223" s="47">
        <v>0</v>
      </c>
      <c r="CJ223" s="47">
        <v>0</v>
      </c>
      <c r="CK223" s="47">
        <v>0</v>
      </c>
      <c r="CL223" s="47">
        <v>0</v>
      </c>
      <c r="CM223" s="47">
        <v>0</v>
      </c>
      <c r="CN223" s="47">
        <v>0</v>
      </c>
      <c r="CO223" s="47">
        <v>0</v>
      </c>
      <c r="CP223" s="47">
        <v>0</v>
      </c>
      <c r="CQ223" s="47">
        <v>0</v>
      </c>
      <c r="CR223" s="47">
        <v>0</v>
      </c>
      <c r="CS223" s="47">
        <v>0</v>
      </c>
      <c r="CT223" s="47">
        <v>0</v>
      </c>
      <c r="CU223" s="47">
        <v>0</v>
      </c>
      <c r="CV223" s="47">
        <v>0</v>
      </c>
      <c r="CW223" s="47">
        <v>0</v>
      </c>
      <c r="CX223" s="47">
        <v>0</v>
      </c>
      <c r="CY223" s="47">
        <v>0</v>
      </c>
      <c r="CZ223" s="47">
        <v>0</v>
      </c>
      <c r="DA223" s="47">
        <v>0</v>
      </c>
      <c r="DB223" s="47">
        <v>0</v>
      </c>
      <c r="DC223" s="47">
        <v>0</v>
      </c>
      <c r="DD223" s="47">
        <v>0</v>
      </c>
      <c r="DE223" s="47">
        <v>0</v>
      </c>
      <c r="DF223" s="47">
        <v>0</v>
      </c>
      <c r="DG223" s="47">
        <v>0</v>
      </c>
      <c r="DH223" s="47">
        <v>0</v>
      </c>
      <c r="DI223" s="47">
        <v>0</v>
      </c>
      <c r="DJ223" s="47">
        <v>0</v>
      </c>
      <c r="DK223" s="47">
        <v>0</v>
      </c>
      <c r="DL223" s="47">
        <v>0</v>
      </c>
      <c r="DM223" s="47">
        <v>0</v>
      </c>
      <c r="DN223" s="47">
        <v>0</v>
      </c>
      <c r="DO223" s="47">
        <v>0</v>
      </c>
      <c r="DP223" s="47">
        <v>0</v>
      </c>
      <c r="DQ223" s="47">
        <v>0</v>
      </c>
      <c r="DR223" s="47">
        <v>0</v>
      </c>
      <c r="DS223" s="47">
        <v>0</v>
      </c>
      <c r="DT223" s="47">
        <v>0</v>
      </c>
    </row>
    <row r="224" spans="1:126" x14ac:dyDescent="0.25">
      <c r="A224" s="47" t="s">
        <v>1142</v>
      </c>
      <c r="B224" s="47" t="s">
        <v>153</v>
      </c>
      <c r="C224" s="47" t="s">
        <v>1143</v>
      </c>
      <c r="D224" s="47" t="s">
        <v>1144</v>
      </c>
      <c r="E224" s="47" t="s">
        <v>1145</v>
      </c>
      <c r="F224" s="47" t="s">
        <v>698</v>
      </c>
      <c r="G224" s="47" t="s">
        <v>727</v>
      </c>
      <c r="H224" s="47" t="str">
        <f>=IFERROR(VLOOKUP(A224,'ETPT Format DDG'!A:J,10,FALSE),"")</f>
        <v>0</v>
      </c>
      <c r="I224" s="47" t="str">
        <f>='ETPT Format DDG'!M224</f>
        <v/>
      </c>
      <c r="J224" s="47" t="str">
        <f>='ETPT Format DDG'!D224</f>
        <v/>
      </c>
      <c r="K224" s="47" t="s">
        <v>157</v>
      </c>
      <c r="L224" s="47" t="s">
        <v>728</v>
      </c>
      <c r="M224" s="47"/>
      <c r="N224" s="47">
        <v>1</v>
      </c>
      <c r="O224" s="47">
        <v>1</v>
      </c>
      <c r="P224" s="47">
        <v>0</v>
      </c>
      <c r="Q224" s="47">
        <v>0</v>
      </c>
      <c r="R224" s="47">
        <v>0</v>
      </c>
      <c r="S224" s="47">
        <v>0</v>
      </c>
      <c r="T224" s="47">
        <v>0</v>
      </c>
      <c r="U224" s="47">
        <v>0</v>
      </c>
      <c r="V224" s="47">
        <v>0</v>
      </c>
      <c r="W224" s="47">
        <v>0</v>
      </c>
      <c r="X224" s="47">
        <v>0</v>
      </c>
      <c r="Y224" s="47">
        <v>0</v>
      </c>
      <c r="Z224" s="47">
        <v>0</v>
      </c>
      <c r="AA224" s="47">
        <v>0</v>
      </c>
      <c r="AB224" s="47">
        <v>0</v>
      </c>
      <c r="AC224" s="47">
        <v>0</v>
      </c>
      <c r="AD224" s="47">
        <v>0</v>
      </c>
      <c r="AE224" s="47">
        <v>0</v>
      </c>
      <c r="AF224" s="47">
        <v>0</v>
      </c>
      <c r="AG224" s="47">
        <v>0</v>
      </c>
      <c r="AH224" s="47">
        <v>0</v>
      </c>
      <c r="AI224" s="47">
        <v>0</v>
      </c>
      <c r="AJ224" s="47">
        <v>0</v>
      </c>
      <c r="AK224" s="47">
        <v>0</v>
      </c>
      <c r="AL224" s="47">
        <v>0</v>
      </c>
      <c r="AM224" s="47">
        <v>0</v>
      </c>
      <c r="AN224" s="47">
        <v>0</v>
      </c>
      <c r="AO224" s="47">
        <v>0</v>
      </c>
      <c r="AP224" s="47">
        <v>0</v>
      </c>
      <c r="AQ224" s="47">
        <v>0</v>
      </c>
      <c r="AR224" s="47">
        <v>0</v>
      </c>
      <c r="AS224" s="47">
        <v>0</v>
      </c>
      <c r="AT224" s="47">
        <v>0</v>
      </c>
      <c r="AU224" s="47">
        <v>0</v>
      </c>
      <c r="AV224" s="47">
        <v>0</v>
      </c>
      <c r="AW224" s="47">
        <v>0</v>
      </c>
      <c r="AX224" s="47">
        <v>0</v>
      </c>
      <c r="AY224" s="47">
        <v>0</v>
      </c>
      <c r="AZ224" s="47">
        <v>0</v>
      </c>
      <c r="BA224" s="47">
        <v>0</v>
      </c>
      <c r="BB224" s="47">
        <v>0</v>
      </c>
      <c r="BC224" s="47">
        <v>0</v>
      </c>
      <c r="BD224" s="47">
        <v>0</v>
      </c>
      <c r="BE224" s="47">
        <v>0</v>
      </c>
      <c r="BF224" s="47">
        <v>0</v>
      </c>
      <c r="BG224" s="47">
        <v>0</v>
      </c>
      <c r="BH224" s="47">
        <v>1</v>
      </c>
      <c r="BI224" s="47">
        <v>0</v>
      </c>
      <c r="BJ224" s="47">
        <v>0</v>
      </c>
      <c r="BK224" s="47">
        <v>0</v>
      </c>
      <c r="BL224" s="47">
        <v>0</v>
      </c>
      <c r="BM224" s="47">
        <v>0</v>
      </c>
      <c r="BN224" s="47">
        <v>0</v>
      </c>
      <c r="BO224" s="47">
        <v>0</v>
      </c>
      <c r="BP224" s="47">
        <v>0</v>
      </c>
      <c r="BQ224" s="47">
        <v>0</v>
      </c>
      <c r="BR224" s="47">
        <v>0</v>
      </c>
      <c r="BS224" s="47">
        <v>0</v>
      </c>
      <c r="BT224" s="47">
        <v>0</v>
      </c>
      <c r="BU224" s="47">
        <v>0</v>
      </c>
      <c r="BV224" s="47">
        <v>0</v>
      </c>
      <c r="BW224" s="47">
        <v>0</v>
      </c>
      <c r="BX224" s="47">
        <v>0</v>
      </c>
      <c r="BY224" s="47">
        <v>0</v>
      </c>
      <c r="BZ224" s="47">
        <v>0</v>
      </c>
      <c r="CA224" s="47">
        <v>0</v>
      </c>
      <c r="CB224" s="47">
        <v>0</v>
      </c>
      <c r="CC224" s="47">
        <v>0</v>
      </c>
      <c r="CD224" s="47">
        <v>0</v>
      </c>
      <c r="CE224" s="47">
        <v>0</v>
      </c>
      <c r="CF224" s="47">
        <v>0</v>
      </c>
      <c r="CG224" s="47">
        <v>0</v>
      </c>
      <c r="CH224" s="47">
        <v>0</v>
      </c>
      <c r="CI224" s="47">
        <v>0</v>
      </c>
      <c r="CJ224" s="47">
        <v>0</v>
      </c>
      <c r="CK224" s="47">
        <v>0</v>
      </c>
      <c r="CL224" s="47">
        <v>0</v>
      </c>
      <c r="CM224" s="47">
        <v>0</v>
      </c>
      <c r="CN224" s="47">
        <v>0</v>
      </c>
      <c r="CO224" s="47">
        <v>0</v>
      </c>
      <c r="CP224" s="47">
        <v>0</v>
      </c>
      <c r="CQ224" s="47">
        <v>0</v>
      </c>
      <c r="CR224" s="47">
        <v>0</v>
      </c>
      <c r="CS224" s="47">
        <v>0</v>
      </c>
      <c r="CT224" s="47">
        <v>0</v>
      </c>
      <c r="CU224" s="47">
        <v>0</v>
      </c>
      <c r="CV224" s="47">
        <v>0</v>
      </c>
      <c r="CW224" s="47">
        <v>0</v>
      </c>
      <c r="CX224" s="47">
        <v>0</v>
      </c>
      <c r="CY224" s="47">
        <v>0</v>
      </c>
      <c r="CZ224" s="47">
        <v>0</v>
      </c>
      <c r="DA224" s="47">
        <v>0</v>
      </c>
      <c r="DB224" s="47">
        <v>0</v>
      </c>
      <c r="DC224" s="47">
        <v>0</v>
      </c>
      <c r="DD224" s="47">
        <v>0</v>
      </c>
      <c r="DE224" s="47">
        <v>0</v>
      </c>
      <c r="DF224" s="47">
        <v>0</v>
      </c>
      <c r="DG224" s="47">
        <v>0</v>
      </c>
      <c r="DH224" s="47">
        <v>0</v>
      </c>
      <c r="DI224" s="47">
        <v>0</v>
      </c>
      <c r="DJ224" s="47">
        <v>0</v>
      </c>
      <c r="DK224" s="47">
        <v>0</v>
      </c>
      <c r="DL224" s="47">
        <v>0</v>
      </c>
      <c r="DM224" s="47">
        <v>0</v>
      </c>
      <c r="DN224" s="47">
        <v>0</v>
      </c>
      <c r="DO224" s="47">
        <v>0</v>
      </c>
      <c r="DP224" s="47">
        <v>0</v>
      </c>
      <c r="DQ224" s="47">
        <v>0</v>
      </c>
      <c r="DR224" s="47">
        <v>0</v>
      </c>
      <c r="DS224" s="47">
        <v>0</v>
      </c>
      <c r="DT224" s="47">
        <v>0</v>
      </c>
    </row>
    <row r="225" spans="1:126" x14ac:dyDescent="0.25">
      <c r="A225" s="47" t="s">
        <v>1146</v>
      </c>
      <c r="B225" s="47" t="s">
        <v>153</v>
      </c>
      <c r="C225" s="47" t="s">
        <v>1147</v>
      </c>
      <c r="D225" s="47" t="s">
        <v>1148</v>
      </c>
      <c r="E225" s="47" t="s">
        <v>1149</v>
      </c>
      <c r="F225" s="47" t="s">
        <v>698</v>
      </c>
      <c r="G225" s="47" t="s">
        <v>727</v>
      </c>
      <c r="H225" s="47" t="str">
        <f>=IFERROR(VLOOKUP(A225,'ETPT Format DDG'!A:J,10,FALSE),"")</f>
        <v>0</v>
      </c>
      <c r="I225" s="47" t="str">
        <f>='ETPT Format DDG'!M225</f>
        <v/>
      </c>
      <c r="J225" s="47" t="str">
        <f>='ETPT Format DDG'!D225</f>
        <v/>
      </c>
      <c r="K225" s="47" t="s">
        <v>157</v>
      </c>
      <c r="L225" s="47" t="s">
        <v>1150</v>
      </c>
      <c r="M225" s="47"/>
      <c r="N225" s="47">
        <v>1</v>
      </c>
      <c r="O225" s="47">
        <v>1</v>
      </c>
      <c r="P225" s="47">
        <v>0</v>
      </c>
      <c r="Q225" s="47">
        <v>0</v>
      </c>
      <c r="R225" s="47">
        <v>0</v>
      </c>
      <c r="S225" s="47">
        <v>0</v>
      </c>
      <c r="T225" s="47">
        <v>0</v>
      </c>
      <c r="U225" s="47">
        <v>0</v>
      </c>
      <c r="V225" s="47">
        <v>0</v>
      </c>
      <c r="W225" s="47">
        <v>0</v>
      </c>
      <c r="X225" s="47">
        <v>0</v>
      </c>
      <c r="Y225" s="47">
        <v>0</v>
      </c>
      <c r="Z225" s="47">
        <v>0</v>
      </c>
      <c r="AA225" s="47">
        <v>0</v>
      </c>
      <c r="AB225" s="47">
        <v>0</v>
      </c>
      <c r="AC225" s="47">
        <v>0</v>
      </c>
      <c r="AD225" s="47">
        <v>0</v>
      </c>
      <c r="AE225" s="47">
        <v>0</v>
      </c>
      <c r="AF225" s="47">
        <v>0</v>
      </c>
      <c r="AG225" s="47">
        <v>0</v>
      </c>
      <c r="AH225" s="47">
        <v>0</v>
      </c>
      <c r="AI225" s="47">
        <v>0</v>
      </c>
      <c r="AJ225" s="47">
        <v>0</v>
      </c>
      <c r="AK225" s="47">
        <v>0</v>
      </c>
      <c r="AL225" s="47">
        <v>0</v>
      </c>
      <c r="AM225" s="47">
        <v>0</v>
      </c>
      <c r="AN225" s="47">
        <v>1</v>
      </c>
      <c r="AO225" s="47">
        <v>0</v>
      </c>
      <c r="AP225" s="47">
        <v>0</v>
      </c>
      <c r="AQ225" s="47">
        <v>0</v>
      </c>
      <c r="AR225" s="47">
        <v>0</v>
      </c>
      <c r="AS225" s="47">
        <v>0</v>
      </c>
      <c r="AT225" s="47">
        <v>0</v>
      </c>
      <c r="AU225" s="47">
        <v>0</v>
      </c>
      <c r="AV225" s="47">
        <v>0</v>
      </c>
      <c r="AW225" s="47">
        <v>0</v>
      </c>
      <c r="AX225" s="47">
        <v>0</v>
      </c>
      <c r="AY225" s="47">
        <v>0</v>
      </c>
      <c r="AZ225" s="47">
        <v>0</v>
      </c>
      <c r="BA225" s="47">
        <v>0</v>
      </c>
      <c r="BB225" s="47">
        <v>0</v>
      </c>
      <c r="BC225" s="47">
        <v>0</v>
      </c>
      <c r="BD225" s="47">
        <v>0</v>
      </c>
      <c r="BE225" s="47">
        <v>0</v>
      </c>
      <c r="BF225" s="47">
        <v>0</v>
      </c>
      <c r="BG225" s="47">
        <v>0</v>
      </c>
      <c r="BH225" s="47">
        <v>0</v>
      </c>
      <c r="BI225" s="47">
        <v>0</v>
      </c>
      <c r="BJ225" s="47">
        <v>0</v>
      </c>
      <c r="BK225" s="47">
        <v>0</v>
      </c>
      <c r="BL225" s="47">
        <v>0</v>
      </c>
      <c r="BM225" s="47">
        <v>0</v>
      </c>
      <c r="BN225" s="47">
        <v>0</v>
      </c>
      <c r="BO225" s="47">
        <v>0</v>
      </c>
      <c r="BP225" s="47">
        <v>0</v>
      </c>
      <c r="BQ225" s="47">
        <v>0</v>
      </c>
      <c r="BR225" s="47">
        <v>0</v>
      </c>
      <c r="BS225" s="47">
        <v>0</v>
      </c>
      <c r="BT225" s="47">
        <v>0</v>
      </c>
      <c r="BU225" s="47">
        <v>0</v>
      </c>
      <c r="BV225" s="47">
        <v>0</v>
      </c>
      <c r="BW225" s="47">
        <v>0</v>
      </c>
      <c r="BX225" s="47">
        <v>0</v>
      </c>
      <c r="BY225" s="47">
        <v>0</v>
      </c>
      <c r="BZ225" s="47">
        <v>0</v>
      </c>
      <c r="CA225" s="47">
        <v>0</v>
      </c>
      <c r="CB225" s="47">
        <v>0</v>
      </c>
      <c r="CC225" s="47">
        <v>0</v>
      </c>
      <c r="CD225" s="47">
        <v>0</v>
      </c>
      <c r="CE225" s="47">
        <v>0</v>
      </c>
      <c r="CF225" s="47">
        <v>0</v>
      </c>
      <c r="CG225" s="47">
        <v>0</v>
      </c>
      <c r="CH225" s="47">
        <v>0</v>
      </c>
      <c r="CI225" s="47">
        <v>0</v>
      </c>
      <c r="CJ225" s="47">
        <v>0</v>
      </c>
      <c r="CK225" s="47">
        <v>0</v>
      </c>
      <c r="CL225" s="47">
        <v>0</v>
      </c>
      <c r="CM225" s="47">
        <v>0</v>
      </c>
      <c r="CN225" s="47">
        <v>0</v>
      </c>
      <c r="CO225" s="47">
        <v>0</v>
      </c>
      <c r="CP225" s="47">
        <v>0</v>
      </c>
      <c r="CQ225" s="47">
        <v>0</v>
      </c>
      <c r="CR225" s="47">
        <v>0</v>
      </c>
      <c r="CS225" s="47">
        <v>0</v>
      </c>
      <c r="CT225" s="47">
        <v>0</v>
      </c>
      <c r="CU225" s="47">
        <v>0</v>
      </c>
      <c r="CV225" s="47">
        <v>0</v>
      </c>
      <c r="CW225" s="47">
        <v>0</v>
      </c>
      <c r="CX225" s="47">
        <v>0</v>
      </c>
      <c r="CY225" s="47">
        <v>0</v>
      </c>
      <c r="CZ225" s="47">
        <v>0</v>
      </c>
      <c r="DA225" s="47">
        <v>0</v>
      </c>
      <c r="DB225" s="47">
        <v>0</v>
      </c>
      <c r="DC225" s="47">
        <v>0</v>
      </c>
      <c r="DD225" s="47">
        <v>0</v>
      </c>
      <c r="DE225" s="47">
        <v>0</v>
      </c>
      <c r="DF225" s="47">
        <v>0</v>
      </c>
      <c r="DG225" s="47">
        <v>0</v>
      </c>
      <c r="DH225" s="47">
        <v>0</v>
      </c>
      <c r="DI225" s="47">
        <v>0</v>
      </c>
      <c r="DJ225" s="47">
        <v>0</v>
      </c>
      <c r="DK225" s="47">
        <v>0</v>
      </c>
      <c r="DL225" s="47">
        <v>0</v>
      </c>
      <c r="DM225" s="47">
        <v>0</v>
      </c>
      <c r="DN225" s="47">
        <v>0</v>
      </c>
      <c r="DO225" s="47">
        <v>0</v>
      </c>
      <c r="DP225" s="47">
        <v>0</v>
      </c>
      <c r="DQ225" s="47">
        <v>0</v>
      </c>
      <c r="DR225" s="47">
        <v>0</v>
      </c>
      <c r="DS225" s="47">
        <v>0</v>
      </c>
      <c r="DT225" s="47">
        <v>0</v>
      </c>
    </row>
    <row r="226" spans="1:126" x14ac:dyDescent="0.25">
      <c r="A226" s="47" t="s">
        <v>1151</v>
      </c>
      <c r="B226" s="47" t="s">
        <v>153</v>
      </c>
      <c r="C226" s="47" t="s">
        <v>1152</v>
      </c>
      <c r="D226" s="47" t="s">
        <v>1153</v>
      </c>
      <c r="E226" s="47" t="s">
        <v>1154</v>
      </c>
      <c r="F226" s="47" t="s">
        <v>698</v>
      </c>
      <c r="G226" s="47" t="s">
        <v>705</v>
      </c>
      <c r="H226" s="47" t="str">
        <f>=IFERROR(VLOOKUP(A226,'ETPT Format DDG'!A:J,10,FALSE),"")</f>
        <v>0</v>
      </c>
      <c r="I226" s="47" t="str">
        <f>='ETPT Format DDG'!M226</f>
        <v/>
      </c>
      <c r="J226" s="47" t="str">
        <f>='ETPT Format DDG'!D226</f>
        <v/>
      </c>
      <c r="K226" s="47" t="s">
        <v>157</v>
      </c>
      <c r="L226" s="47" t="s">
        <v>1155</v>
      </c>
      <c r="M226" s="47"/>
      <c r="N226" s="47">
        <v>0.8</v>
      </c>
      <c r="O226" s="47">
        <v>0</v>
      </c>
      <c r="P226" s="47">
        <v>0</v>
      </c>
      <c r="Q226" s="47">
        <v>0</v>
      </c>
      <c r="R226" s="47">
        <v>0</v>
      </c>
      <c r="S226" s="47">
        <v>0</v>
      </c>
      <c r="T226" s="47">
        <v>0</v>
      </c>
      <c r="U226" s="47">
        <v>0</v>
      </c>
      <c r="V226" s="47">
        <v>0</v>
      </c>
      <c r="W226" s="47">
        <v>0</v>
      </c>
      <c r="X226" s="47">
        <v>0</v>
      </c>
      <c r="Y226" s="47">
        <v>0</v>
      </c>
      <c r="Z226" s="47">
        <v>0</v>
      </c>
      <c r="AA226" s="47">
        <v>0</v>
      </c>
      <c r="AB226" s="47">
        <v>0</v>
      </c>
      <c r="AC226" s="47">
        <v>0</v>
      </c>
      <c r="AD226" s="47">
        <v>0</v>
      </c>
      <c r="AE226" s="47">
        <v>0</v>
      </c>
      <c r="AF226" s="47">
        <v>0</v>
      </c>
      <c r="AG226" s="47">
        <v>0</v>
      </c>
      <c r="AH226" s="47">
        <v>0</v>
      </c>
      <c r="AI226" s="47">
        <v>0</v>
      </c>
      <c r="AJ226" s="47">
        <v>0</v>
      </c>
      <c r="AK226" s="47">
        <v>0</v>
      </c>
      <c r="AL226" s="47">
        <v>0</v>
      </c>
      <c r="AM226" s="47">
        <v>0</v>
      </c>
      <c r="AN226" s="47">
        <v>0</v>
      </c>
      <c r="AO226" s="47">
        <v>0</v>
      </c>
      <c r="AP226" s="47">
        <v>0</v>
      </c>
      <c r="AQ226" s="47">
        <v>0</v>
      </c>
      <c r="AR226" s="47">
        <v>0</v>
      </c>
      <c r="AS226" s="47">
        <v>0</v>
      </c>
      <c r="AT226" s="47">
        <v>0</v>
      </c>
      <c r="AU226" s="47">
        <v>0</v>
      </c>
      <c r="AV226" s="47">
        <v>0</v>
      </c>
      <c r="AW226" s="47">
        <v>0</v>
      </c>
      <c r="AX226" s="47">
        <v>0</v>
      </c>
      <c r="AY226" s="47">
        <v>0</v>
      </c>
      <c r="AZ226" s="47">
        <v>0</v>
      </c>
      <c r="BA226" s="47">
        <v>0</v>
      </c>
      <c r="BB226" s="47">
        <v>0</v>
      </c>
      <c r="BC226" s="47">
        <v>0</v>
      </c>
      <c r="BD226" s="47">
        <v>0</v>
      </c>
      <c r="BE226" s="47">
        <v>0</v>
      </c>
      <c r="BF226" s="47">
        <v>0</v>
      </c>
      <c r="BG226" s="47">
        <v>0</v>
      </c>
      <c r="BH226" s="47">
        <v>0</v>
      </c>
      <c r="BI226" s="47">
        <v>0</v>
      </c>
      <c r="BJ226" s="47">
        <v>0</v>
      </c>
      <c r="BK226" s="47">
        <v>0</v>
      </c>
      <c r="BL226" s="47">
        <v>0</v>
      </c>
      <c r="BM226" s="47">
        <v>0</v>
      </c>
      <c r="BN226" s="47">
        <v>0</v>
      </c>
      <c r="BO226" s="47">
        <v>0</v>
      </c>
      <c r="BP226" s="47">
        <v>0</v>
      </c>
      <c r="BQ226" s="47">
        <v>0</v>
      </c>
      <c r="BR226" s="47">
        <v>0</v>
      </c>
      <c r="BS226" s="47">
        <v>0</v>
      </c>
      <c r="BT226" s="47">
        <v>0</v>
      </c>
      <c r="BU226" s="47">
        <v>0</v>
      </c>
      <c r="BV226" s="47">
        <v>0</v>
      </c>
      <c r="BW226" s="47">
        <v>0</v>
      </c>
      <c r="BX226" s="47">
        <v>0</v>
      </c>
      <c r="BY226" s="47">
        <v>0</v>
      </c>
      <c r="BZ226" s="47">
        <v>0</v>
      </c>
      <c r="CA226" s="47">
        <v>0</v>
      </c>
      <c r="CB226" s="47">
        <v>0</v>
      </c>
      <c r="CC226" s="47">
        <v>0</v>
      </c>
      <c r="CD226" s="47">
        <v>0</v>
      </c>
      <c r="CE226" s="47">
        <v>0</v>
      </c>
      <c r="CF226" s="47">
        <v>0</v>
      </c>
      <c r="CG226" s="47">
        <v>0</v>
      </c>
      <c r="CH226" s="47">
        <v>0</v>
      </c>
      <c r="CI226" s="47">
        <v>0</v>
      </c>
      <c r="CJ226" s="47">
        <v>0</v>
      </c>
      <c r="CK226" s="47">
        <v>0</v>
      </c>
      <c r="CL226" s="47">
        <v>0</v>
      </c>
      <c r="CM226" s="47">
        <v>0</v>
      </c>
      <c r="CN226" s="47">
        <v>0</v>
      </c>
      <c r="CO226" s="47">
        <v>0</v>
      </c>
      <c r="CP226" s="47">
        <v>0</v>
      </c>
      <c r="CQ226" s="47">
        <v>0</v>
      </c>
      <c r="CR226" s="47">
        <v>0</v>
      </c>
      <c r="CS226" s="47">
        <v>0</v>
      </c>
      <c r="CT226" s="47">
        <v>0</v>
      </c>
      <c r="CU226" s="47">
        <v>0</v>
      </c>
      <c r="CV226" s="47">
        <v>0</v>
      </c>
      <c r="CW226" s="47">
        <v>0</v>
      </c>
      <c r="CX226" s="47">
        <v>0</v>
      </c>
      <c r="CY226" s="47">
        <v>0</v>
      </c>
      <c r="CZ226" s="47">
        <v>0</v>
      </c>
      <c r="DA226" s="47">
        <v>0</v>
      </c>
      <c r="DB226" s="47">
        <v>0</v>
      </c>
      <c r="DC226" s="47">
        <v>0</v>
      </c>
      <c r="DD226" s="47">
        <v>0</v>
      </c>
      <c r="DE226" s="47">
        <v>0</v>
      </c>
      <c r="DF226" s="47">
        <v>0</v>
      </c>
      <c r="DG226" s="47">
        <v>0</v>
      </c>
      <c r="DH226" s="47">
        <v>0</v>
      </c>
      <c r="DI226" s="47">
        <v>0</v>
      </c>
      <c r="DJ226" s="47">
        <v>0</v>
      </c>
      <c r="DK226" s="47">
        <v>0</v>
      </c>
      <c r="DL226" s="47">
        <v>0</v>
      </c>
      <c r="DM226" s="47">
        <v>0</v>
      </c>
      <c r="DN226" s="47">
        <v>0</v>
      </c>
      <c r="DO226" s="47">
        <v>0</v>
      </c>
      <c r="DP226" s="47">
        <v>0</v>
      </c>
      <c r="DQ226" s="47">
        <v>0</v>
      </c>
      <c r="DR226" s="47">
        <v>0</v>
      </c>
      <c r="DS226" s="47">
        <v>0</v>
      </c>
      <c r="DT226" s="47">
        <v>0</v>
      </c>
    </row>
    <row r="227" spans="1:126" x14ac:dyDescent="0.25">
      <c r="A227" s="47" t="s">
        <v>1156</v>
      </c>
      <c r="B227" s="47" t="s">
        <v>153</v>
      </c>
      <c r="C227" s="47" t="s">
        <v>1157</v>
      </c>
      <c r="D227" s="47" t="s">
        <v>1158</v>
      </c>
      <c r="E227" s="47" t="s">
        <v>1159</v>
      </c>
      <c r="F227" s="47" t="s">
        <v>698</v>
      </c>
      <c r="G227" s="47" t="s">
        <v>727</v>
      </c>
      <c r="H227" s="47" t="str">
        <f>=IFERROR(VLOOKUP(A227,'ETPT Format DDG'!A:J,10,FALSE),"")</f>
        <v>0</v>
      </c>
      <c r="I227" s="47" t="str">
        <f>='ETPT Format DDG'!M227</f>
        <v/>
      </c>
      <c r="J227" s="47" t="str">
        <f>='ETPT Format DDG'!D227</f>
        <v/>
      </c>
      <c r="K227" s="47" t="s">
        <v>157</v>
      </c>
      <c r="L227" s="47" t="s">
        <v>1118</v>
      </c>
      <c r="M227" s="47"/>
      <c r="N227" s="47">
        <v>1</v>
      </c>
      <c r="O227" s="47">
        <v>1</v>
      </c>
      <c r="P227" s="47">
        <v>0</v>
      </c>
      <c r="Q227" s="47">
        <v>0</v>
      </c>
      <c r="R227" s="47">
        <v>0</v>
      </c>
      <c r="S227" s="47">
        <v>0</v>
      </c>
      <c r="T227" s="47">
        <v>0</v>
      </c>
      <c r="U227" s="47">
        <v>0</v>
      </c>
      <c r="V227" s="47">
        <v>0</v>
      </c>
      <c r="W227" s="47">
        <v>0</v>
      </c>
      <c r="X227" s="47">
        <v>0</v>
      </c>
      <c r="Y227" s="47">
        <v>0</v>
      </c>
      <c r="Z227" s="47">
        <v>0</v>
      </c>
      <c r="AA227" s="47">
        <v>0</v>
      </c>
      <c r="AB227" s="47">
        <v>0</v>
      </c>
      <c r="AC227" s="47">
        <v>0</v>
      </c>
      <c r="AD227" s="47">
        <v>0</v>
      </c>
      <c r="AE227" s="47">
        <v>0</v>
      </c>
      <c r="AF227" s="47">
        <v>0</v>
      </c>
      <c r="AG227" s="47">
        <v>0</v>
      </c>
      <c r="AH227" s="47">
        <v>0</v>
      </c>
      <c r="AI227" s="47">
        <v>0</v>
      </c>
      <c r="AJ227" s="47">
        <v>0</v>
      </c>
      <c r="AK227" s="47">
        <v>0</v>
      </c>
      <c r="AL227" s="47">
        <v>0</v>
      </c>
      <c r="AM227" s="47">
        <v>0</v>
      </c>
      <c r="AN227" s="47">
        <v>0</v>
      </c>
      <c r="AO227" s="47">
        <v>0</v>
      </c>
      <c r="AP227" s="47">
        <v>0</v>
      </c>
      <c r="AQ227" s="47">
        <v>0</v>
      </c>
      <c r="AR227" s="47">
        <v>0</v>
      </c>
      <c r="AS227" s="47">
        <v>0</v>
      </c>
      <c r="AT227" s="47">
        <v>0</v>
      </c>
      <c r="AU227" s="47">
        <v>0</v>
      </c>
      <c r="AV227" s="47">
        <v>0</v>
      </c>
      <c r="AW227" s="47">
        <v>0</v>
      </c>
      <c r="AX227" s="47">
        <v>0</v>
      </c>
      <c r="AY227" s="47">
        <v>0</v>
      </c>
      <c r="AZ227" s="47">
        <v>0</v>
      </c>
      <c r="BA227" s="47">
        <v>0</v>
      </c>
      <c r="BB227" s="47">
        <v>0</v>
      </c>
      <c r="BC227" s="47">
        <v>0</v>
      </c>
      <c r="BD227" s="47">
        <v>0</v>
      </c>
      <c r="BE227" s="47">
        <v>0</v>
      </c>
      <c r="BF227" s="47">
        <v>0</v>
      </c>
      <c r="BG227" s="47">
        <v>0</v>
      </c>
      <c r="BH227" s="47">
        <v>0</v>
      </c>
      <c r="BI227" s="47">
        <v>0</v>
      </c>
      <c r="BJ227" s="47">
        <v>0</v>
      </c>
      <c r="BK227" s="47">
        <v>0</v>
      </c>
      <c r="BL227" s="47">
        <v>0</v>
      </c>
      <c r="BM227" s="47">
        <v>0</v>
      </c>
      <c r="BN227" s="47">
        <v>0</v>
      </c>
      <c r="BO227" s="47">
        <v>0</v>
      </c>
      <c r="BP227" s="47">
        <v>0</v>
      </c>
      <c r="BQ227" s="47">
        <v>0</v>
      </c>
      <c r="BR227" s="47">
        <v>0</v>
      </c>
      <c r="BS227" s="47">
        <v>0</v>
      </c>
      <c r="BT227" s="47">
        <v>0</v>
      </c>
      <c r="BU227" s="47">
        <v>0</v>
      </c>
      <c r="BV227" s="47">
        <v>0</v>
      </c>
      <c r="BW227" s="47">
        <v>0</v>
      </c>
      <c r="BX227" s="47">
        <v>0</v>
      </c>
      <c r="BY227" s="47">
        <v>0</v>
      </c>
      <c r="BZ227" s="47">
        <v>0</v>
      </c>
      <c r="CA227" s="47">
        <v>0</v>
      </c>
      <c r="CB227" s="47">
        <v>0</v>
      </c>
      <c r="CC227" s="47">
        <v>0</v>
      </c>
      <c r="CD227" s="47">
        <v>0</v>
      </c>
      <c r="CE227" s="47">
        <v>0</v>
      </c>
      <c r="CF227" s="47">
        <v>0</v>
      </c>
      <c r="CG227" s="47">
        <v>0</v>
      </c>
      <c r="CH227" s="47">
        <v>0</v>
      </c>
      <c r="CI227" s="47">
        <v>0</v>
      </c>
      <c r="CJ227" s="47">
        <v>0</v>
      </c>
      <c r="CK227" s="47">
        <v>0</v>
      </c>
      <c r="CL227" s="47">
        <v>1</v>
      </c>
      <c r="CM227" s="47">
        <v>0</v>
      </c>
      <c r="CN227" s="47">
        <v>0</v>
      </c>
      <c r="CO227" s="47">
        <v>0</v>
      </c>
      <c r="CP227" s="47">
        <v>0</v>
      </c>
      <c r="CQ227" s="47">
        <v>0</v>
      </c>
      <c r="CR227" s="47">
        <v>0</v>
      </c>
      <c r="CS227" s="47">
        <v>0</v>
      </c>
      <c r="CT227" s="47">
        <v>0</v>
      </c>
      <c r="CU227" s="47">
        <v>0</v>
      </c>
      <c r="CV227" s="47">
        <v>0</v>
      </c>
      <c r="CW227" s="47">
        <v>0</v>
      </c>
      <c r="CX227" s="47">
        <v>0</v>
      </c>
      <c r="CY227" s="47">
        <v>0</v>
      </c>
      <c r="CZ227" s="47">
        <v>0</v>
      </c>
      <c r="DA227" s="47">
        <v>0</v>
      </c>
      <c r="DB227" s="47">
        <v>0</v>
      </c>
      <c r="DC227" s="47">
        <v>0</v>
      </c>
      <c r="DD227" s="47">
        <v>0</v>
      </c>
      <c r="DE227" s="47">
        <v>0</v>
      </c>
      <c r="DF227" s="47">
        <v>0</v>
      </c>
      <c r="DG227" s="47">
        <v>0</v>
      </c>
      <c r="DH227" s="47">
        <v>0</v>
      </c>
      <c r="DI227" s="47">
        <v>0</v>
      </c>
      <c r="DJ227" s="47">
        <v>0</v>
      </c>
      <c r="DK227" s="47">
        <v>0</v>
      </c>
      <c r="DL227" s="47">
        <v>0</v>
      </c>
      <c r="DM227" s="47">
        <v>0</v>
      </c>
      <c r="DN227" s="47">
        <v>0</v>
      </c>
      <c r="DO227" s="47">
        <v>0</v>
      </c>
      <c r="DP227" s="47">
        <v>0</v>
      </c>
      <c r="DQ227" s="47">
        <v>0</v>
      </c>
      <c r="DR227" s="47">
        <v>0</v>
      </c>
      <c r="DS227" s="47">
        <v>0</v>
      </c>
      <c r="DT227" s="47">
        <v>0</v>
      </c>
    </row>
    <row r="228" spans="1:126" x14ac:dyDescent="0.25">
      <c r="A228" s="47" t="s">
        <v>1160</v>
      </c>
      <c r="B228" s="47" t="s">
        <v>153</v>
      </c>
      <c r="C228" s="47" t="s">
        <v>1161</v>
      </c>
      <c r="D228" s="47" t="s">
        <v>1162</v>
      </c>
      <c r="E228" s="47" t="s">
        <v>1163</v>
      </c>
      <c r="F228" s="47" t="s">
        <v>698</v>
      </c>
      <c r="G228" s="47" t="s">
        <v>705</v>
      </c>
      <c r="H228" s="47" t="str">
        <f>=IFERROR(VLOOKUP(A228,'ETPT Format DDG'!A:J,10,FALSE),"")</f>
        <v>0</v>
      </c>
      <c r="I228" s="47" t="str">
        <f>='ETPT Format DDG'!M228</f>
        <v/>
      </c>
      <c r="J228" s="47" t="str">
        <f>='ETPT Format DDG'!D228</f>
        <v/>
      </c>
      <c r="K228" s="47" t="s">
        <v>157</v>
      </c>
      <c r="L228" s="47" t="s">
        <v>1164</v>
      </c>
      <c r="M228" s="47"/>
      <c r="N228" s="47">
        <v>0.8</v>
      </c>
      <c r="O228" s="47">
        <v>0</v>
      </c>
      <c r="P228" s="47">
        <v>0</v>
      </c>
      <c r="Q228" s="47">
        <v>0</v>
      </c>
      <c r="R228" s="47">
        <v>0</v>
      </c>
      <c r="S228" s="47">
        <v>0</v>
      </c>
      <c r="T228" s="47">
        <v>0</v>
      </c>
      <c r="U228" s="47">
        <v>0</v>
      </c>
      <c r="V228" s="47">
        <v>0</v>
      </c>
      <c r="W228" s="47">
        <v>0</v>
      </c>
      <c r="X228" s="47">
        <v>0</v>
      </c>
      <c r="Y228" s="47">
        <v>0</v>
      </c>
      <c r="Z228" s="47">
        <v>0</v>
      </c>
      <c r="AA228" s="47">
        <v>0</v>
      </c>
      <c r="AB228" s="47">
        <v>0</v>
      </c>
      <c r="AC228" s="47">
        <v>0</v>
      </c>
      <c r="AD228" s="47">
        <v>0</v>
      </c>
      <c r="AE228" s="47">
        <v>0</v>
      </c>
      <c r="AF228" s="47">
        <v>0</v>
      </c>
      <c r="AG228" s="47">
        <v>0</v>
      </c>
      <c r="AH228" s="47">
        <v>0</v>
      </c>
      <c r="AI228" s="47">
        <v>0</v>
      </c>
      <c r="AJ228" s="47">
        <v>0</v>
      </c>
      <c r="AK228" s="47">
        <v>0</v>
      </c>
      <c r="AL228" s="47">
        <v>0</v>
      </c>
      <c r="AM228" s="47">
        <v>0</v>
      </c>
      <c r="AN228" s="47">
        <v>0</v>
      </c>
      <c r="AO228" s="47">
        <v>0</v>
      </c>
      <c r="AP228" s="47">
        <v>0</v>
      </c>
      <c r="AQ228" s="47">
        <v>0</v>
      </c>
      <c r="AR228" s="47">
        <v>0</v>
      </c>
      <c r="AS228" s="47">
        <v>0</v>
      </c>
      <c r="AT228" s="47">
        <v>0</v>
      </c>
      <c r="AU228" s="47">
        <v>0</v>
      </c>
      <c r="AV228" s="47">
        <v>0</v>
      </c>
      <c r="AW228" s="47">
        <v>0</v>
      </c>
      <c r="AX228" s="47">
        <v>0</v>
      </c>
      <c r="AY228" s="47">
        <v>0</v>
      </c>
      <c r="AZ228" s="47">
        <v>0</v>
      </c>
      <c r="BA228" s="47">
        <v>0</v>
      </c>
      <c r="BB228" s="47">
        <v>0</v>
      </c>
      <c r="BC228" s="47">
        <v>0</v>
      </c>
      <c r="BD228" s="47">
        <v>0</v>
      </c>
      <c r="BE228" s="47">
        <v>0</v>
      </c>
      <c r="BF228" s="47">
        <v>0</v>
      </c>
      <c r="BG228" s="47">
        <v>0</v>
      </c>
      <c r="BH228" s="47">
        <v>0</v>
      </c>
      <c r="BI228" s="47">
        <v>0</v>
      </c>
      <c r="BJ228" s="47">
        <v>0</v>
      </c>
      <c r="BK228" s="47">
        <v>0</v>
      </c>
      <c r="BL228" s="47">
        <v>0</v>
      </c>
      <c r="BM228" s="47">
        <v>0</v>
      </c>
      <c r="BN228" s="47">
        <v>0</v>
      </c>
      <c r="BO228" s="47">
        <v>0</v>
      </c>
      <c r="BP228" s="47">
        <v>0</v>
      </c>
      <c r="BQ228" s="47">
        <v>0</v>
      </c>
      <c r="BR228" s="47">
        <v>0</v>
      </c>
      <c r="BS228" s="47">
        <v>0</v>
      </c>
      <c r="BT228" s="47">
        <v>0</v>
      </c>
      <c r="BU228" s="47">
        <v>0</v>
      </c>
      <c r="BV228" s="47">
        <v>0</v>
      </c>
      <c r="BW228" s="47">
        <v>0</v>
      </c>
      <c r="BX228" s="47">
        <v>0</v>
      </c>
      <c r="BY228" s="47">
        <v>0</v>
      </c>
      <c r="BZ228" s="47">
        <v>0</v>
      </c>
      <c r="CA228" s="47">
        <v>0</v>
      </c>
      <c r="CB228" s="47">
        <v>0</v>
      </c>
      <c r="CC228" s="47">
        <v>0</v>
      </c>
      <c r="CD228" s="47">
        <v>0</v>
      </c>
      <c r="CE228" s="47">
        <v>0</v>
      </c>
      <c r="CF228" s="47">
        <v>0</v>
      </c>
      <c r="CG228" s="47">
        <v>0</v>
      </c>
      <c r="CH228" s="47">
        <v>0</v>
      </c>
      <c r="CI228" s="47">
        <v>0</v>
      </c>
      <c r="CJ228" s="47">
        <v>0</v>
      </c>
      <c r="CK228" s="47">
        <v>0</v>
      </c>
      <c r="CL228" s="47">
        <v>0</v>
      </c>
      <c r="CM228" s="47">
        <v>0</v>
      </c>
      <c r="CN228" s="47">
        <v>0</v>
      </c>
      <c r="CO228" s="47">
        <v>0</v>
      </c>
      <c r="CP228" s="47">
        <v>0</v>
      </c>
      <c r="CQ228" s="47">
        <v>0</v>
      </c>
      <c r="CR228" s="47">
        <v>0</v>
      </c>
      <c r="CS228" s="47">
        <v>0</v>
      </c>
      <c r="CT228" s="47">
        <v>0</v>
      </c>
      <c r="CU228" s="47">
        <v>0</v>
      </c>
      <c r="CV228" s="47">
        <v>0</v>
      </c>
      <c r="CW228" s="47">
        <v>0</v>
      </c>
      <c r="CX228" s="47">
        <v>0</v>
      </c>
      <c r="CY228" s="47">
        <v>0</v>
      </c>
      <c r="CZ228" s="47">
        <v>0</v>
      </c>
      <c r="DA228" s="47">
        <v>0</v>
      </c>
      <c r="DB228" s="47">
        <v>0</v>
      </c>
      <c r="DC228" s="47">
        <v>0</v>
      </c>
      <c r="DD228" s="47">
        <v>0</v>
      </c>
      <c r="DE228" s="47">
        <v>0</v>
      </c>
      <c r="DF228" s="47">
        <v>0</v>
      </c>
      <c r="DG228" s="47">
        <v>0</v>
      </c>
      <c r="DH228" s="47">
        <v>0</v>
      </c>
      <c r="DI228" s="47">
        <v>0</v>
      </c>
      <c r="DJ228" s="47">
        <v>0</v>
      </c>
      <c r="DK228" s="47">
        <v>0</v>
      </c>
      <c r="DL228" s="47">
        <v>0</v>
      </c>
      <c r="DM228" s="47">
        <v>0</v>
      </c>
      <c r="DN228" s="47">
        <v>0</v>
      </c>
      <c r="DO228" s="47">
        <v>0</v>
      </c>
      <c r="DP228" s="47">
        <v>0</v>
      </c>
      <c r="DQ228" s="47">
        <v>0</v>
      </c>
      <c r="DR228" s="47">
        <v>0</v>
      </c>
      <c r="DS228" s="47">
        <v>0</v>
      </c>
      <c r="DT228" s="47">
        <v>0</v>
      </c>
    </row>
    <row r="229" spans="1:126" x14ac:dyDescent="0.25">
      <c r="A229" s="47" t="s">
        <v>1165</v>
      </c>
      <c r="B229" s="47" t="s">
        <v>153</v>
      </c>
      <c r="C229" s="47" t="s">
        <v>1166</v>
      </c>
      <c r="D229" s="47" t="s">
        <v>1167</v>
      </c>
      <c r="E229" s="47" t="s">
        <v>1168</v>
      </c>
      <c r="F229" s="47" t="s">
        <v>698</v>
      </c>
      <c r="G229" s="47" t="s">
        <v>705</v>
      </c>
      <c r="H229" s="47" t="str">
        <f>=IFERROR(VLOOKUP(A229,'ETPT Format DDG'!A:J,10,FALSE),"")</f>
        <v>0</v>
      </c>
      <c r="I229" s="47" t="str">
        <f>='ETPT Format DDG'!M229</f>
        <v/>
      </c>
      <c r="J229" s="47" t="str">
        <f>='ETPT Format DDG'!D229</f>
        <v/>
      </c>
      <c r="K229" s="47" t="s">
        <v>157</v>
      </c>
      <c r="L229" s="47" t="s">
        <v>1085</v>
      </c>
      <c r="M229" s="47"/>
      <c r="N229" s="47">
        <v>0.9</v>
      </c>
      <c r="O229" s="47">
        <v>0</v>
      </c>
      <c r="P229" s="47">
        <v>0</v>
      </c>
      <c r="Q229" s="47">
        <v>0</v>
      </c>
      <c r="R229" s="47">
        <v>0</v>
      </c>
      <c r="S229" s="47">
        <v>0</v>
      </c>
      <c r="T229" s="47">
        <v>0</v>
      </c>
      <c r="U229" s="47">
        <v>0</v>
      </c>
      <c r="V229" s="47">
        <v>0</v>
      </c>
      <c r="W229" s="47">
        <v>0</v>
      </c>
      <c r="X229" s="47">
        <v>0</v>
      </c>
      <c r="Y229" s="47">
        <v>0</v>
      </c>
      <c r="Z229" s="47">
        <v>0</v>
      </c>
      <c r="AA229" s="47">
        <v>0</v>
      </c>
      <c r="AB229" s="47">
        <v>0</v>
      </c>
      <c r="AC229" s="47">
        <v>0</v>
      </c>
      <c r="AD229" s="47">
        <v>0</v>
      </c>
      <c r="AE229" s="47">
        <v>0</v>
      </c>
      <c r="AF229" s="47">
        <v>0</v>
      </c>
      <c r="AG229" s="47">
        <v>0</v>
      </c>
      <c r="AH229" s="47">
        <v>0</v>
      </c>
      <c r="AI229" s="47">
        <v>0</v>
      </c>
      <c r="AJ229" s="47">
        <v>0</v>
      </c>
      <c r="AK229" s="47">
        <v>0</v>
      </c>
      <c r="AL229" s="47">
        <v>0</v>
      </c>
      <c r="AM229" s="47">
        <v>0</v>
      </c>
      <c r="AN229" s="47">
        <v>0</v>
      </c>
      <c r="AO229" s="47">
        <v>0</v>
      </c>
      <c r="AP229" s="47">
        <v>0</v>
      </c>
      <c r="AQ229" s="47">
        <v>0</v>
      </c>
      <c r="AR229" s="47">
        <v>0</v>
      </c>
      <c r="AS229" s="47">
        <v>0</v>
      </c>
      <c r="AT229" s="47">
        <v>0</v>
      </c>
      <c r="AU229" s="47">
        <v>0</v>
      </c>
      <c r="AV229" s="47">
        <v>0</v>
      </c>
      <c r="AW229" s="47">
        <v>0</v>
      </c>
      <c r="AX229" s="47">
        <v>0</v>
      </c>
      <c r="AY229" s="47">
        <v>0</v>
      </c>
      <c r="AZ229" s="47">
        <v>0</v>
      </c>
      <c r="BA229" s="47">
        <v>0</v>
      </c>
      <c r="BB229" s="47">
        <v>0</v>
      </c>
      <c r="BC229" s="47">
        <v>0</v>
      </c>
      <c r="BD229" s="47">
        <v>0</v>
      </c>
      <c r="BE229" s="47">
        <v>0</v>
      </c>
      <c r="BF229" s="47">
        <v>0</v>
      </c>
      <c r="BG229" s="47">
        <v>0</v>
      </c>
      <c r="BH229" s="47">
        <v>0</v>
      </c>
      <c r="BI229" s="47">
        <v>0</v>
      </c>
      <c r="BJ229" s="47">
        <v>0</v>
      </c>
      <c r="BK229" s="47">
        <v>0</v>
      </c>
      <c r="BL229" s="47">
        <v>0</v>
      </c>
      <c r="BM229" s="47">
        <v>0</v>
      </c>
      <c r="BN229" s="47">
        <v>0</v>
      </c>
      <c r="BO229" s="47">
        <v>0</v>
      </c>
      <c r="BP229" s="47">
        <v>0</v>
      </c>
      <c r="BQ229" s="47">
        <v>0</v>
      </c>
      <c r="BR229" s="47">
        <v>0</v>
      </c>
      <c r="BS229" s="47">
        <v>0</v>
      </c>
      <c r="BT229" s="47">
        <v>0</v>
      </c>
      <c r="BU229" s="47">
        <v>0</v>
      </c>
      <c r="BV229" s="47">
        <v>0</v>
      </c>
      <c r="BW229" s="47">
        <v>0</v>
      </c>
      <c r="BX229" s="47">
        <v>0</v>
      </c>
      <c r="BY229" s="47">
        <v>0</v>
      </c>
      <c r="BZ229" s="47">
        <v>0</v>
      </c>
      <c r="CA229" s="47">
        <v>0</v>
      </c>
      <c r="CB229" s="47">
        <v>0</v>
      </c>
      <c r="CC229" s="47">
        <v>0</v>
      </c>
      <c r="CD229" s="47">
        <v>0</v>
      </c>
      <c r="CE229" s="47">
        <v>0</v>
      </c>
      <c r="CF229" s="47">
        <v>0</v>
      </c>
      <c r="CG229" s="47">
        <v>0</v>
      </c>
      <c r="CH229" s="47">
        <v>0</v>
      </c>
      <c r="CI229" s="47">
        <v>0</v>
      </c>
      <c r="CJ229" s="47">
        <v>0</v>
      </c>
      <c r="CK229" s="47">
        <v>0</v>
      </c>
      <c r="CL229" s="47">
        <v>0</v>
      </c>
      <c r="CM229" s="47">
        <v>0</v>
      </c>
      <c r="CN229" s="47">
        <v>0</v>
      </c>
      <c r="CO229" s="47">
        <v>0</v>
      </c>
      <c r="CP229" s="47">
        <v>0</v>
      </c>
      <c r="CQ229" s="47">
        <v>0</v>
      </c>
      <c r="CR229" s="47">
        <v>0</v>
      </c>
      <c r="CS229" s="47">
        <v>0</v>
      </c>
      <c r="CT229" s="47">
        <v>0</v>
      </c>
      <c r="CU229" s="47">
        <v>0</v>
      </c>
      <c r="CV229" s="47">
        <v>0</v>
      </c>
      <c r="CW229" s="47">
        <v>0</v>
      </c>
      <c r="CX229" s="47">
        <v>0</v>
      </c>
      <c r="CY229" s="47">
        <v>0</v>
      </c>
      <c r="CZ229" s="47">
        <v>0</v>
      </c>
      <c r="DA229" s="47">
        <v>0</v>
      </c>
      <c r="DB229" s="47">
        <v>0</v>
      </c>
      <c r="DC229" s="47">
        <v>0</v>
      </c>
      <c r="DD229" s="47">
        <v>0</v>
      </c>
      <c r="DE229" s="47">
        <v>0</v>
      </c>
      <c r="DF229" s="47">
        <v>0</v>
      </c>
      <c r="DG229" s="47">
        <v>0</v>
      </c>
      <c r="DH229" s="47">
        <v>0</v>
      </c>
      <c r="DI229" s="47">
        <v>0</v>
      </c>
      <c r="DJ229" s="47">
        <v>0</v>
      </c>
      <c r="DK229" s="47">
        <v>0</v>
      </c>
      <c r="DL229" s="47">
        <v>0</v>
      </c>
      <c r="DM229" s="47">
        <v>0</v>
      </c>
      <c r="DN229" s="47">
        <v>0</v>
      </c>
      <c r="DO229" s="47">
        <v>0</v>
      </c>
      <c r="DP229" s="47">
        <v>0</v>
      </c>
      <c r="DQ229" s="47">
        <v>0</v>
      </c>
      <c r="DR229" s="47">
        <v>0</v>
      </c>
      <c r="DS229" s="47">
        <v>0</v>
      </c>
      <c r="DT229" s="47">
        <v>0</v>
      </c>
    </row>
    <row r="230" spans="1:126" x14ac:dyDescent="0.25">
      <c r="A230" s="47" t="s">
        <v>1169</v>
      </c>
      <c r="B230" s="47" t="s">
        <v>153</v>
      </c>
      <c r="C230" s="47" t="s">
        <v>1170</v>
      </c>
      <c r="D230" s="47" t="s">
        <v>1171</v>
      </c>
      <c r="E230" s="47" t="s">
        <v>1172</v>
      </c>
      <c r="F230" s="47" t="s">
        <v>698</v>
      </c>
      <c r="G230" s="47" t="s">
        <v>727</v>
      </c>
      <c r="H230" s="47" t="str">
        <f>=IFERROR(VLOOKUP(A230,'ETPT Format DDG'!A:J,10,FALSE),"")</f>
        <v>0</v>
      </c>
      <c r="I230" s="47" t="str">
        <f>='ETPT Format DDG'!M230</f>
        <v/>
      </c>
      <c r="J230" s="47" t="str">
        <f>='ETPT Format DDG'!D230</f>
        <v/>
      </c>
      <c r="K230" s="47" t="s">
        <v>157</v>
      </c>
      <c r="L230" s="47" t="s">
        <v>1173</v>
      </c>
      <c r="M230" s="47"/>
      <c r="N230" s="47">
        <v>0.8</v>
      </c>
      <c r="O230" s="47">
        <v>0</v>
      </c>
      <c r="P230" s="47">
        <v>0</v>
      </c>
      <c r="Q230" s="47">
        <v>0</v>
      </c>
      <c r="R230" s="47">
        <v>0</v>
      </c>
      <c r="S230" s="47">
        <v>0</v>
      </c>
      <c r="T230" s="47">
        <v>0</v>
      </c>
      <c r="U230" s="47">
        <v>0</v>
      </c>
      <c r="V230" s="47">
        <v>0</v>
      </c>
      <c r="W230" s="47">
        <v>0</v>
      </c>
      <c r="X230" s="47">
        <v>0</v>
      </c>
      <c r="Y230" s="47">
        <v>0</v>
      </c>
      <c r="Z230" s="47">
        <v>0</v>
      </c>
      <c r="AA230" s="47">
        <v>0</v>
      </c>
      <c r="AB230" s="47">
        <v>0</v>
      </c>
      <c r="AC230" s="47">
        <v>0</v>
      </c>
      <c r="AD230" s="47">
        <v>0</v>
      </c>
      <c r="AE230" s="47">
        <v>0</v>
      </c>
      <c r="AF230" s="47">
        <v>0</v>
      </c>
      <c r="AG230" s="47">
        <v>0</v>
      </c>
      <c r="AH230" s="47">
        <v>0</v>
      </c>
      <c r="AI230" s="47">
        <v>0</v>
      </c>
      <c r="AJ230" s="47">
        <v>0</v>
      </c>
      <c r="AK230" s="47">
        <v>0</v>
      </c>
      <c r="AL230" s="47">
        <v>0</v>
      </c>
      <c r="AM230" s="47">
        <v>0</v>
      </c>
      <c r="AN230" s="47">
        <v>0</v>
      </c>
      <c r="AO230" s="47">
        <v>0</v>
      </c>
      <c r="AP230" s="47">
        <v>0</v>
      </c>
      <c r="AQ230" s="47">
        <v>0</v>
      </c>
      <c r="AR230" s="47">
        <v>0</v>
      </c>
      <c r="AS230" s="47">
        <v>0</v>
      </c>
      <c r="AT230" s="47">
        <v>0</v>
      </c>
      <c r="AU230" s="47">
        <v>0</v>
      </c>
      <c r="AV230" s="47">
        <v>0</v>
      </c>
      <c r="AW230" s="47">
        <v>0</v>
      </c>
      <c r="AX230" s="47">
        <v>0</v>
      </c>
      <c r="AY230" s="47">
        <v>0</v>
      </c>
      <c r="AZ230" s="47">
        <v>0</v>
      </c>
      <c r="BA230" s="47">
        <v>0</v>
      </c>
      <c r="BB230" s="47">
        <v>0</v>
      </c>
      <c r="BC230" s="47">
        <v>0</v>
      </c>
      <c r="BD230" s="47">
        <v>0</v>
      </c>
      <c r="BE230" s="47">
        <v>0</v>
      </c>
      <c r="BF230" s="47">
        <v>0</v>
      </c>
      <c r="BG230" s="47">
        <v>0</v>
      </c>
      <c r="BH230" s="47">
        <v>0</v>
      </c>
      <c r="BI230" s="47">
        <v>0</v>
      </c>
      <c r="BJ230" s="47">
        <v>0</v>
      </c>
      <c r="BK230" s="47">
        <v>0</v>
      </c>
      <c r="BL230" s="47">
        <v>0</v>
      </c>
      <c r="BM230" s="47">
        <v>0</v>
      </c>
      <c r="BN230" s="47">
        <v>0</v>
      </c>
      <c r="BO230" s="47">
        <v>0</v>
      </c>
      <c r="BP230" s="47">
        <v>0</v>
      </c>
      <c r="BQ230" s="47">
        <v>0</v>
      </c>
      <c r="BR230" s="47">
        <v>0</v>
      </c>
      <c r="BS230" s="47">
        <v>0</v>
      </c>
      <c r="BT230" s="47">
        <v>0</v>
      </c>
      <c r="BU230" s="47">
        <v>0</v>
      </c>
      <c r="BV230" s="47">
        <v>0</v>
      </c>
      <c r="BW230" s="47">
        <v>0</v>
      </c>
      <c r="BX230" s="47">
        <v>0</v>
      </c>
      <c r="BY230" s="47">
        <v>0</v>
      </c>
      <c r="BZ230" s="47">
        <v>0</v>
      </c>
      <c r="CA230" s="47">
        <v>0</v>
      </c>
      <c r="CB230" s="47">
        <v>0</v>
      </c>
      <c r="CC230" s="47">
        <v>0</v>
      </c>
      <c r="CD230" s="47">
        <v>0</v>
      </c>
      <c r="CE230" s="47">
        <v>0</v>
      </c>
      <c r="CF230" s="47">
        <v>0</v>
      </c>
      <c r="CG230" s="47">
        <v>0</v>
      </c>
      <c r="CH230" s="47">
        <v>0</v>
      </c>
      <c r="CI230" s="47">
        <v>0</v>
      </c>
      <c r="CJ230" s="47">
        <v>0</v>
      </c>
      <c r="CK230" s="47">
        <v>0</v>
      </c>
      <c r="CL230" s="47">
        <v>0</v>
      </c>
      <c r="CM230" s="47">
        <v>0</v>
      </c>
      <c r="CN230" s="47">
        <v>0</v>
      </c>
      <c r="CO230" s="47">
        <v>0</v>
      </c>
      <c r="CP230" s="47">
        <v>0</v>
      </c>
      <c r="CQ230" s="47">
        <v>0</v>
      </c>
      <c r="CR230" s="47">
        <v>0</v>
      </c>
      <c r="CS230" s="47">
        <v>0</v>
      </c>
      <c r="CT230" s="47">
        <v>0</v>
      </c>
      <c r="CU230" s="47">
        <v>0</v>
      </c>
      <c r="CV230" s="47">
        <v>0</v>
      </c>
      <c r="CW230" s="47">
        <v>0</v>
      </c>
      <c r="CX230" s="47">
        <v>0</v>
      </c>
      <c r="CY230" s="47">
        <v>0</v>
      </c>
      <c r="CZ230" s="47">
        <v>0</v>
      </c>
      <c r="DA230" s="47">
        <v>0</v>
      </c>
      <c r="DB230" s="47">
        <v>0</v>
      </c>
      <c r="DC230" s="47">
        <v>0</v>
      </c>
      <c r="DD230" s="47">
        <v>0</v>
      </c>
      <c r="DE230" s="47">
        <v>0</v>
      </c>
      <c r="DF230" s="47">
        <v>0</v>
      </c>
      <c r="DG230" s="47">
        <v>0</v>
      </c>
      <c r="DH230" s="47">
        <v>0</v>
      </c>
      <c r="DI230" s="47">
        <v>0</v>
      </c>
      <c r="DJ230" s="47">
        <v>0</v>
      </c>
      <c r="DK230" s="47">
        <v>0</v>
      </c>
      <c r="DL230" s="47">
        <v>0</v>
      </c>
      <c r="DM230" s="47">
        <v>0</v>
      </c>
      <c r="DN230" s="47">
        <v>0</v>
      </c>
      <c r="DO230" s="47">
        <v>0</v>
      </c>
      <c r="DP230" s="47">
        <v>0</v>
      </c>
      <c r="DQ230" s="47">
        <v>0</v>
      </c>
      <c r="DR230" s="47">
        <v>0</v>
      </c>
      <c r="DS230" s="47">
        <v>0</v>
      </c>
      <c r="DT230" s="47">
        <v>0</v>
      </c>
    </row>
    <row r="231" spans="1:126" x14ac:dyDescent="0.25">
      <c r="A231" s="47" t="s">
        <v>1174</v>
      </c>
      <c r="B231" s="47" t="s">
        <v>153</v>
      </c>
      <c r="C231" s="47" t="s">
        <v>1175</v>
      </c>
      <c r="D231" s="47" t="s">
        <v>1176</v>
      </c>
      <c r="E231" s="47" t="s">
        <v>1177</v>
      </c>
      <c r="F231" s="47" t="s">
        <v>698</v>
      </c>
      <c r="G231" s="47" t="s">
        <v>705</v>
      </c>
      <c r="H231" s="47" t="str">
        <f>=IFERROR(VLOOKUP(A231,'ETPT Format DDG'!A:J,10,FALSE),"")</f>
        <v>0</v>
      </c>
      <c r="I231" s="47" t="str">
        <f>='ETPT Format DDG'!M231</f>
        <v/>
      </c>
      <c r="J231" s="47" t="str">
        <f>='ETPT Format DDG'!D231</f>
        <v/>
      </c>
      <c r="K231" s="47" t="s">
        <v>157</v>
      </c>
      <c r="L231" s="47" t="s">
        <v>777</v>
      </c>
      <c r="M231" s="47"/>
      <c r="N231" s="47">
        <v>1</v>
      </c>
      <c r="O231" s="47">
        <v>0</v>
      </c>
      <c r="P231" s="47">
        <v>0</v>
      </c>
      <c r="Q231" s="47">
        <v>0</v>
      </c>
      <c r="R231" s="47">
        <v>0</v>
      </c>
      <c r="S231" s="47">
        <v>0</v>
      </c>
      <c r="T231" s="47">
        <v>0</v>
      </c>
      <c r="U231" s="47">
        <v>0</v>
      </c>
      <c r="V231" s="47">
        <v>0</v>
      </c>
      <c r="W231" s="47">
        <v>0</v>
      </c>
      <c r="X231" s="47">
        <v>0</v>
      </c>
      <c r="Y231" s="47">
        <v>0</v>
      </c>
      <c r="Z231" s="47">
        <v>0</v>
      </c>
      <c r="AA231" s="47">
        <v>0</v>
      </c>
      <c r="AB231" s="47">
        <v>0</v>
      </c>
      <c r="AC231" s="47">
        <v>0</v>
      </c>
      <c r="AD231" s="47">
        <v>0</v>
      </c>
      <c r="AE231" s="47">
        <v>0</v>
      </c>
      <c r="AF231" s="47">
        <v>0</v>
      </c>
      <c r="AG231" s="47">
        <v>0</v>
      </c>
      <c r="AH231" s="47">
        <v>0</v>
      </c>
      <c r="AI231" s="47">
        <v>0</v>
      </c>
      <c r="AJ231" s="47">
        <v>0</v>
      </c>
      <c r="AK231" s="47">
        <v>0</v>
      </c>
      <c r="AL231" s="47">
        <v>0</v>
      </c>
      <c r="AM231" s="47">
        <v>0</v>
      </c>
      <c r="AN231" s="47">
        <v>0</v>
      </c>
      <c r="AO231" s="47">
        <v>0</v>
      </c>
      <c r="AP231" s="47">
        <v>0</v>
      </c>
      <c r="AQ231" s="47">
        <v>0</v>
      </c>
      <c r="AR231" s="47">
        <v>0</v>
      </c>
      <c r="AS231" s="47">
        <v>0</v>
      </c>
      <c r="AT231" s="47">
        <v>0</v>
      </c>
      <c r="AU231" s="47">
        <v>0</v>
      </c>
      <c r="AV231" s="47">
        <v>0</v>
      </c>
      <c r="AW231" s="47">
        <v>0</v>
      </c>
      <c r="AX231" s="47">
        <v>0</v>
      </c>
      <c r="AY231" s="47">
        <v>0</v>
      </c>
      <c r="AZ231" s="47">
        <v>0</v>
      </c>
      <c r="BA231" s="47">
        <v>0</v>
      </c>
      <c r="BB231" s="47">
        <v>0</v>
      </c>
      <c r="BC231" s="47">
        <v>0</v>
      </c>
      <c r="BD231" s="47">
        <v>0</v>
      </c>
      <c r="BE231" s="47">
        <v>0</v>
      </c>
      <c r="BF231" s="47">
        <v>0</v>
      </c>
      <c r="BG231" s="47">
        <v>0</v>
      </c>
      <c r="BH231" s="47">
        <v>0</v>
      </c>
      <c r="BI231" s="47">
        <v>0</v>
      </c>
      <c r="BJ231" s="47">
        <v>0</v>
      </c>
      <c r="BK231" s="47">
        <v>0</v>
      </c>
      <c r="BL231" s="47">
        <v>0</v>
      </c>
      <c r="BM231" s="47">
        <v>0</v>
      </c>
      <c r="BN231" s="47">
        <v>0</v>
      </c>
      <c r="BO231" s="47">
        <v>0</v>
      </c>
      <c r="BP231" s="47">
        <v>0</v>
      </c>
      <c r="BQ231" s="47">
        <v>0</v>
      </c>
      <c r="BR231" s="47">
        <v>0</v>
      </c>
      <c r="BS231" s="47">
        <v>0</v>
      </c>
      <c r="BT231" s="47">
        <v>0</v>
      </c>
      <c r="BU231" s="47">
        <v>0</v>
      </c>
      <c r="BV231" s="47">
        <v>0</v>
      </c>
      <c r="BW231" s="47">
        <v>0</v>
      </c>
      <c r="BX231" s="47">
        <v>0</v>
      </c>
      <c r="BY231" s="47">
        <v>0</v>
      </c>
      <c r="BZ231" s="47">
        <v>0</v>
      </c>
      <c r="CA231" s="47">
        <v>0</v>
      </c>
      <c r="CB231" s="47">
        <v>0</v>
      </c>
      <c r="CC231" s="47">
        <v>0</v>
      </c>
      <c r="CD231" s="47">
        <v>0</v>
      </c>
      <c r="CE231" s="47">
        <v>0</v>
      </c>
      <c r="CF231" s="47">
        <v>0</v>
      </c>
      <c r="CG231" s="47">
        <v>0</v>
      </c>
      <c r="CH231" s="47">
        <v>0</v>
      </c>
      <c r="CI231" s="47">
        <v>0</v>
      </c>
      <c r="CJ231" s="47">
        <v>0</v>
      </c>
      <c r="CK231" s="47">
        <v>0</v>
      </c>
      <c r="CL231" s="47">
        <v>0</v>
      </c>
      <c r="CM231" s="47">
        <v>0</v>
      </c>
      <c r="CN231" s="47">
        <v>0</v>
      </c>
      <c r="CO231" s="47">
        <v>0</v>
      </c>
      <c r="CP231" s="47">
        <v>0</v>
      </c>
      <c r="CQ231" s="47">
        <v>0</v>
      </c>
      <c r="CR231" s="47">
        <v>0</v>
      </c>
      <c r="CS231" s="47">
        <v>0</v>
      </c>
      <c r="CT231" s="47">
        <v>0</v>
      </c>
      <c r="CU231" s="47">
        <v>0</v>
      </c>
      <c r="CV231" s="47">
        <v>0</v>
      </c>
      <c r="CW231" s="47">
        <v>0</v>
      </c>
      <c r="CX231" s="47">
        <v>0</v>
      </c>
      <c r="CY231" s="47">
        <v>0</v>
      </c>
      <c r="CZ231" s="47">
        <v>0</v>
      </c>
      <c r="DA231" s="47">
        <v>0</v>
      </c>
      <c r="DB231" s="47">
        <v>0</v>
      </c>
      <c r="DC231" s="47">
        <v>0</v>
      </c>
      <c r="DD231" s="47">
        <v>0</v>
      </c>
      <c r="DE231" s="47">
        <v>0</v>
      </c>
      <c r="DF231" s="47">
        <v>0</v>
      </c>
      <c r="DG231" s="47">
        <v>0</v>
      </c>
      <c r="DH231" s="47">
        <v>0</v>
      </c>
      <c r="DI231" s="47">
        <v>0</v>
      </c>
      <c r="DJ231" s="47">
        <v>0</v>
      </c>
      <c r="DK231" s="47">
        <v>0</v>
      </c>
      <c r="DL231" s="47">
        <v>0</v>
      </c>
      <c r="DM231" s="47">
        <v>0</v>
      </c>
      <c r="DN231" s="47">
        <v>0</v>
      </c>
      <c r="DO231" s="47">
        <v>0</v>
      </c>
      <c r="DP231" s="47">
        <v>0</v>
      </c>
      <c r="DQ231" s="47">
        <v>0</v>
      </c>
      <c r="DR231" s="47">
        <v>0</v>
      </c>
      <c r="DS231" s="47">
        <v>0</v>
      </c>
      <c r="DT231" s="47">
        <v>0</v>
      </c>
    </row>
    <row r="232" spans="1:126" x14ac:dyDescent="0.25">
      <c r="A232" s="47" t="s">
        <v>1178</v>
      </c>
      <c r="B232" s="47" t="s">
        <v>153</v>
      </c>
      <c r="C232" s="47" t="s">
        <v>1179</v>
      </c>
      <c r="D232" s="47" t="s">
        <v>1180</v>
      </c>
      <c r="E232" s="47" t="s">
        <v>1181</v>
      </c>
      <c r="F232" s="47" t="s">
        <v>698</v>
      </c>
      <c r="G232" s="47" t="s">
        <v>727</v>
      </c>
      <c r="H232" s="47" t="str">
        <f>=IFERROR(VLOOKUP(A232,'ETPT Format DDG'!A:J,10,FALSE),"")</f>
        <v>0</v>
      </c>
      <c r="I232" s="47" t="str">
        <f>='ETPT Format DDG'!M232</f>
        <v/>
      </c>
      <c r="J232" s="47" t="str">
        <f>='ETPT Format DDG'!D232</f>
        <v/>
      </c>
      <c r="K232" s="47" t="s">
        <v>157</v>
      </c>
      <c r="L232" s="47" t="s">
        <v>728</v>
      </c>
      <c r="M232" s="47"/>
      <c r="N232" s="47">
        <v>1</v>
      </c>
      <c r="O232" s="47">
        <v>0</v>
      </c>
      <c r="P232" s="47">
        <v>0</v>
      </c>
      <c r="Q232" s="47">
        <v>0</v>
      </c>
      <c r="R232" s="47">
        <v>0</v>
      </c>
      <c r="S232" s="47">
        <v>0</v>
      </c>
      <c r="T232" s="47">
        <v>0</v>
      </c>
      <c r="U232" s="47">
        <v>0</v>
      </c>
      <c r="V232" s="47">
        <v>0</v>
      </c>
      <c r="W232" s="47">
        <v>0</v>
      </c>
      <c r="X232" s="47">
        <v>0</v>
      </c>
      <c r="Y232" s="47">
        <v>0</v>
      </c>
      <c r="Z232" s="47">
        <v>0</v>
      </c>
      <c r="AA232" s="47">
        <v>0</v>
      </c>
      <c r="AB232" s="47">
        <v>0</v>
      </c>
      <c r="AC232" s="47">
        <v>0</v>
      </c>
      <c r="AD232" s="47">
        <v>0</v>
      </c>
      <c r="AE232" s="47">
        <v>0</v>
      </c>
      <c r="AF232" s="47">
        <v>0</v>
      </c>
      <c r="AG232" s="47">
        <v>0</v>
      </c>
      <c r="AH232" s="47">
        <v>0</v>
      </c>
      <c r="AI232" s="47">
        <v>0</v>
      </c>
      <c r="AJ232" s="47">
        <v>0</v>
      </c>
      <c r="AK232" s="47">
        <v>0</v>
      </c>
      <c r="AL232" s="47">
        <v>0</v>
      </c>
      <c r="AM232" s="47">
        <v>0</v>
      </c>
      <c r="AN232" s="47">
        <v>0</v>
      </c>
      <c r="AO232" s="47">
        <v>0</v>
      </c>
      <c r="AP232" s="47">
        <v>0</v>
      </c>
      <c r="AQ232" s="47">
        <v>0</v>
      </c>
      <c r="AR232" s="47">
        <v>0</v>
      </c>
      <c r="AS232" s="47">
        <v>0</v>
      </c>
      <c r="AT232" s="47">
        <v>0</v>
      </c>
      <c r="AU232" s="47">
        <v>0</v>
      </c>
      <c r="AV232" s="47">
        <v>0</v>
      </c>
      <c r="AW232" s="47">
        <v>0</v>
      </c>
      <c r="AX232" s="47">
        <v>0</v>
      </c>
      <c r="AY232" s="47">
        <v>0</v>
      </c>
      <c r="AZ232" s="47">
        <v>0</v>
      </c>
      <c r="BA232" s="47">
        <v>0</v>
      </c>
      <c r="BB232" s="47">
        <v>0</v>
      </c>
      <c r="BC232" s="47">
        <v>0</v>
      </c>
      <c r="BD232" s="47">
        <v>0</v>
      </c>
      <c r="BE232" s="47">
        <v>0</v>
      </c>
      <c r="BF232" s="47">
        <v>0</v>
      </c>
      <c r="BG232" s="47">
        <v>0</v>
      </c>
      <c r="BH232" s="47">
        <v>0</v>
      </c>
      <c r="BI232" s="47">
        <v>0</v>
      </c>
      <c r="BJ232" s="47">
        <v>0</v>
      </c>
      <c r="BK232" s="47">
        <v>0</v>
      </c>
      <c r="BL232" s="47">
        <v>0</v>
      </c>
      <c r="BM232" s="47">
        <v>0</v>
      </c>
      <c r="BN232" s="47">
        <v>0</v>
      </c>
      <c r="BO232" s="47">
        <v>0</v>
      </c>
      <c r="BP232" s="47">
        <v>0</v>
      </c>
      <c r="BQ232" s="47">
        <v>0</v>
      </c>
      <c r="BR232" s="47">
        <v>0</v>
      </c>
      <c r="BS232" s="47">
        <v>0</v>
      </c>
      <c r="BT232" s="47">
        <v>0</v>
      </c>
      <c r="BU232" s="47">
        <v>0</v>
      </c>
      <c r="BV232" s="47">
        <v>0</v>
      </c>
      <c r="BW232" s="47">
        <v>0</v>
      </c>
      <c r="BX232" s="47">
        <v>0</v>
      </c>
      <c r="BY232" s="47">
        <v>0</v>
      </c>
      <c r="BZ232" s="47">
        <v>0</v>
      </c>
      <c r="CA232" s="47">
        <v>0</v>
      </c>
      <c r="CB232" s="47">
        <v>0</v>
      </c>
      <c r="CC232" s="47">
        <v>0</v>
      </c>
      <c r="CD232" s="47">
        <v>0</v>
      </c>
      <c r="CE232" s="47">
        <v>0</v>
      </c>
      <c r="CF232" s="47">
        <v>0</v>
      </c>
      <c r="CG232" s="47">
        <v>0</v>
      </c>
      <c r="CH232" s="47">
        <v>0</v>
      </c>
      <c r="CI232" s="47">
        <v>0</v>
      </c>
      <c r="CJ232" s="47">
        <v>0</v>
      </c>
      <c r="CK232" s="47">
        <v>0</v>
      </c>
      <c r="CL232" s="47">
        <v>0</v>
      </c>
      <c r="CM232" s="47">
        <v>0</v>
      </c>
      <c r="CN232" s="47">
        <v>0</v>
      </c>
      <c r="CO232" s="47">
        <v>0</v>
      </c>
      <c r="CP232" s="47">
        <v>0</v>
      </c>
      <c r="CQ232" s="47">
        <v>0</v>
      </c>
      <c r="CR232" s="47">
        <v>0</v>
      </c>
      <c r="CS232" s="47">
        <v>0</v>
      </c>
      <c r="CT232" s="47">
        <v>0</v>
      </c>
      <c r="CU232" s="47">
        <v>0</v>
      </c>
      <c r="CV232" s="47">
        <v>0</v>
      </c>
      <c r="CW232" s="47">
        <v>0</v>
      </c>
      <c r="CX232" s="47">
        <v>0</v>
      </c>
      <c r="CY232" s="47">
        <v>0</v>
      </c>
      <c r="CZ232" s="47">
        <v>0</v>
      </c>
      <c r="DA232" s="47">
        <v>0</v>
      </c>
      <c r="DB232" s="47">
        <v>0</v>
      </c>
      <c r="DC232" s="47">
        <v>0</v>
      </c>
      <c r="DD232" s="47">
        <v>0</v>
      </c>
      <c r="DE232" s="47">
        <v>0</v>
      </c>
      <c r="DF232" s="47">
        <v>0</v>
      </c>
      <c r="DG232" s="47">
        <v>0</v>
      </c>
      <c r="DH232" s="47">
        <v>0</v>
      </c>
      <c r="DI232" s="47">
        <v>0</v>
      </c>
      <c r="DJ232" s="47">
        <v>0</v>
      </c>
      <c r="DK232" s="47">
        <v>0</v>
      </c>
      <c r="DL232" s="47">
        <v>0</v>
      </c>
      <c r="DM232" s="47">
        <v>0</v>
      </c>
      <c r="DN232" s="47">
        <v>0</v>
      </c>
      <c r="DO232" s="47">
        <v>0</v>
      </c>
      <c r="DP232" s="47">
        <v>0</v>
      </c>
      <c r="DQ232" s="47">
        <v>0</v>
      </c>
      <c r="DR232" s="47">
        <v>0</v>
      </c>
      <c r="DS232" s="47">
        <v>0</v>
      </c>
      <c r="DT232" s="47">
        <v>0</v>
      </c>
    </row>
    <row r="233" spans="1:126" x14ac:dyDescent="0.25">
      <c r="A233" s="47" t="s">
        <v>1182</v>
      </c>
      <c r="B233" s="47" t="s">
        <v>153</v>
      </c>
      <c r="C233" s="47" t="s">
        <v>1183</v>
      </c>
      <c r="D233" s="47" t="s">
        <v>1184</v>
      </c>
      <c r="E233" s="47" t="s">
        <v>1185</v>
      </c>
      <c r="F233" s="47" t="s">
        <v>698</v>
      </c>
      <c r="G233" s="47" t="s">
        <v>727</v>
      </c>
      <c r="H233" s="47" t="str">
        <f>=IFERROR(VLOOKUP(A233,'ETPT Format DDG'!A:J,10,FALSE),"")</f>
        <v>0</v>
      </c>
      <c r="I233" s="47" t="str">
        <f>='ETPT Format DDG'!M233</f>
        <v/>
      </c>
      <c r="J233" s="47" t="str">
        <f>='ETPT Format DDG'!D233</f>
        <v/>
      </c>
      <c r="K233" s="47" t="s">
        <v>157</v>
      </c>
      <c r="L233" s="47" t="s">
        <v>902</v>
      </c>
      <c r="M233" s="47"/>
      <c r="N233" s="47">
        <v>1</v>
      </c>
      <c r="O233" s="47">
        <v>1</v>
      </c>
      <c r="P233" s="47">
        <v>0</v>
      </c>
      <c r="Q233" s="47">
        <v>0</v>
      </c>
      <c r="R233" s="47">
        <v>0</v>
      </c>
      <c r="S233" s="47">
        <v>0</v>
      </c>
      <c r="T233" s="47">
        <v>0</v>
      </c>
      <c r="U233" s="47">
        <v>0</v>
      </c>
      <c r="V233" s="47">
        <v>0</v>
      </c>
      <c r="W233" s="47">
        <v>0</v>
      </c>
      <c r="X233" s="47">
        <v>0</v>
      </c>
      <c r="Y233" s="47">
        <v>0</v>
      </c>
      <c r="Z233" s="47">
        <v>0</v>
      </c>
      <c r="AA233" s="47">
        <v>0</v>
      </c>
      <c r="AB233" s="47">
        <v>0</v>
      </c>
      <c r="AC233" s="47">
        <v>0</v>
      </c>
      <c r="AD233" s="47">
        <v>0</v>
      </c>
      <c r="AE233" s="47">
        <v>0</v>
      </c>
      <c r="AF233" s="47">
        <v>0</v>
      </c>
      <c r="AG233" s="47">
        <v>0</v>
      </c>
      <c r="AH233" s="47">
        <v>0</v>
      </c>
      <c r="AI233" s="47">
        <v>0</v>
      </c>
      <c r="AJ233" s="47">
        <v>0</v>
      </c>
      <c r="AK233" s="47">
        <v>0</v>
      </c>
      <c r="AL233" s="47">
        <v>0</v>
      </c>
      <c r="AM233" s="47">
        <v>0</v>
      </c>
      <c r="AN233" s="47">
        <v>1</v>
      </c>
      <c r="AO233" s="47">
        <v>0</v>
      </c>
      <c r="AP233" s="47">
        <v>0</v>
      </c>
      <c r="AQ233" s="47">
        <v>0</v>
      </c>
      <c r="AR233" s="47">
        <v>0</v>
      </c>
      <c r="AS233" s="47">
        <v>0</v>
      </c>
      <c r="AT233" s="47">
        <v>0</v>
      </c>
      <c r="AU233" s="47">
        <v>0</v>
      </c>
      <c r="AV233" s="47">
        <v>0</v>
      </c>
      <c r="AW233" s="47">
        <v>0</v>
      </c>
      <c r="AX233" s="47">
        <v>0</v>
      </c>
      <c r="AY233" s="47">
        <v>0</v>
      </c>
      <c r="AZ233" s="47">
        <v>0</v>
      </c>
      <c r="BA233" s="47">
        <v>0</v>
      </c>
      <c r="BB233" s="47">
        <v>0</v>
      </c>
      <c r="BC233" s="47">
        <v>0</v>
      </c>
      <c r="BD233" s="47">
        <v>0</v>
      </c>
      <c r="BE233" s="47">
        <v>0</v>
      </c>
      <c r="BF233" s="47">
        <v>0</v>
      </c>
      <c r="BG233" s="47">
        <v>0</v>
      </c>
      <c r="BH233" s="47">
        <v>0</v>
      </c>
      <c r="BI233" s="47">
        <v>0</v>
      </c>
      <c r="BJ233" s="47">
        <v>0</v>
      </c>
      <c r="BK233" s="47">
        <v>0</v>
      </c>
      <c r="BL233" s="47">
        <v>0</v>
      </c>
      <c r="BM233" s="47">
        <v>0</v>
      </c>
      <c r="BN233" s="47">
        <v>0</v>
      </c>
      <c r="BO233" s="47">
        <v>0</v>
      </c>
      <c r="BP233" s="47">
        <v>0</v>
      </c>
      <c r="BQ233" s="47">
        <v>0</v>
      </c>
      <c r="BR233" s="47">
        <v>0</v>
      </c>
      <c r="BS233" s="47">
        <v>0</v>
      </c>
      <c r="BT233" s="47">
        <v>0</v>
      </c>
      <c r="BU233" s="47">
        <v>0</v>
      </c>
      <c r="BV233" s="47">
        <v>0</v>
      </c>
      <c r="BW233" s="47">
        <v>0</v>
      </c>
      <c r="BX233" s="47">
        <v>0</v>
      </c>
      <c r="BY233" s="47">
        <v>0</v>
      </c>
      <c r="BZ233" s="47">
        <v>0</v>
      </c>
      <c r="CA233" s="47">
        <v>0</v>
      </c>
      <c r="CB233" s="47">
        <v>0</v>
      </c>
      <c r="CC233" s="47">
        <v>0</v>
      </c>
      <c r="CD233" s="47">
        <v>0</v>
      </c>
      <c r="CE233" s="47">
        <v>0</v>
      </c>
      <c r="CF233" s="47">
        <v>0</v>
      </c>
      <c r="CG233" s="47">
        <v>0</v>
      </c>
      <c r="CH233" s="47">
        <v>0</v>
      </c>
      <c r="CI233" s="47">
        <v>0</v>
      </c>
      <c r="CJ233" s="47">
        <v>0</v>
      </c>
      <c r="CK233" s="47">
        <v>0</v>
      </c>
      <c r="CL233" s="47">
        <v>0</v>
      </c>
      <c r="CM233" s="47">
        <v>0</v>
      </c>
      <c r="CN233" s="47">
        <v>0</v>
      </c>
      <c r="CO233" s="47">
        <v>0</v>
      </c>
      <c r="CP233" s="47">
        <v>0</v>
      </c>
      <c r="CQ233" s="47">
        <v>0</v>
      </c>
      <c r="CR233" s="47">
        <v>0</v>
      </c>
      <c r="CS233" s="47">
        <v>0</v>
      </c>
      <c r="CT233" s="47">
        <v>0</v>
      </c>
      <c r="CU233" s="47">
        <v>0</v>
      </c>
      <c r="CV233" s="47">
        <v>0</v>
      </c>
      <c r="CW233" s="47">
        <v>0</v>
      </c>
      <c r="CX233" s="47">
        <v>0</v>
      </c>
      <c r="CY233" s="47">
        <v>0</v>
      </c>
      <c r="CZ233" s="47">
        <v>0</v>
      </c>
      <c r="DA233" s="47">
        <v>0</v>
      </c>
      <c r="DB233" s="47">
        <v>0</v>
      </c>
      <c r="DC233" s="47">
        <v>0</v>
      </c>
      <c r="DD233" s="47">
        <v>0</v>
      </c>
      <c r="DE233" s="47">
        <v>0</v>
      </c>
      <c r="DF233" s="47">
        <v>0</v>
      </c>
      <c r="DG233" s="47">
        <v>0</v>
      </c>
      <c r="DH233" s="47">
        <v>0</v>
      </c>
      <c r="DI233" s="47">
        <v>0</v>
      </c>
      <c r="DJ233" s="47">
        <v>0</v>
      </c>
      <c r="DK233" s="47">
        <v>0</v>
      </c>
      <c r="DL233" s="47">
        <v>0</v>
      </c>
      <c r="DM233" s="47">
        <v>0</v>
      </c>
      <c r="DN233" s="47">
        <v>0</v>
      </c>
      <c r="DO233" s="47">
        <v>0</v>
      </c>
      <c r="DP233" s="47">
        <v>0</v>
      </c>
      <c r="DQ233" s="47">
        <v>0</v>
      </c>
      <c r="DR233" s="47">
        <v>0</v>
      </c>
      <c r="DS233" s="47">
        <v>0</v>
      </c>
      <c r="DT233" s="47">
        <v>0</v>
      </c>
    </row>
    <row r="234" spans="1:126" x14ac:dyDescent="0.25">
      <c r="A234" s="47" t="s">
        <v>1186</v>
      </c>
      <c r="B234" s="47" t="s">
        <v>153</v>
      </c>
      <c r="C234" s="47" t="s">
        <v>1187</v>
      </c>
      <c r="D234" s="47" t="s">
        <v>1188</v>
      </c>
      <c r="E234" s="47" t="s">
        <v>1189</v>
      </c>
      <c r="F234" s="47" t="s">
        <v>698</v>
      </c>
      <c r="G234" s="47" t="s">
        <v>727</v>
      </c>
      <c r="H234" s="47" t="str">
        <f>=IFERROR(VLOOKUP(A234,'ETPT Format DDG'!A:J,10,FALSE),"")</f>
        <v>0</v>
      </c>
      <c r="I234" s="47" t="str">
        <f>='ETPT Format DDG'!M234</f>
        <v/>
      </c>
      <c r="J234" s="47" t="str">
        <f>='ETPT Format DDG'!D234</f>
        <v/>
      </c>
      <c r="K234" s="47" t="s">
        <v>157</v>
      </c>
      <c r="L234" s="47" t="s">
        <v>942</v>
      </c>
      <c r="M234" s="47"/>
      <c r="N234" s="47">
        <v>1</v>
      </c>
      <c r="O234" s="47">
        <v>1</v>
      </c>
      <c r="P234" s="47">
        <v>0</v>
      </c>
      <c r="Q234" s="47">
        <v>0</v>
      </c>
      <c r="R234" s="47">
        <v>0</v>
      </c>
      <c r="S234" s="47">
        <v>0</v>
      </c>
      <c r="T234" s="47">
        <v>0</v>
      </c>
      <c r="U234" s="47">
        <v>0</v>
      </c>
      <c r="V234" s="47">
        <v>0</v>
      </c>
      <c r="W234" s="47">
        <v>0</v>
      </c>
      <c r="X234" s="47">
        <v>0</v>
      </c>
      <c r="Y234" s="47">
        <v>0</v>
      </c>
      <c r="Z234" s="47">
        <v>0</v>
      </c>
      <c r="AA234" s="47">
        <v>0</v>
      </c>
      <c r="AB234" s="47">
        <v>0</v>
      </c>
      <c r="AC234" s="47">
        <v>0</v>
      </c>
      <c r="AD234" s="47">
        <v>0</v>
      </c>
      <c r="AE234" s="47">
        <v>0</v>
      </c>
      <c r="AF234" s="47">
        <v>0</v>
      </c>
      <c r="AG234" s="47">
        <v>0</v>
      </c>
      <c r="AH234" s="47">
        <v>0</v>
      </c>
      <c r="AI234" s="47">
        <v>0</v>
      </c>
      <c r="AJ234" s="47">
        <v>0</v>
      </c>
      <c r="AK234" s="47">
        <v>0</v>
      </c>
      <c r="AL234" s="47">
        <v>0</v>
      </c>
      <c r="AM234" s="47">
        <v>0</v>
      </c>
      <c r="AN234" s="47">
        <v>0</v>
      </c>
      <c r="AO234" s="47">
        <v>0</v>
      </c>
      <c r="AP234" s="47">
        <v>0</v>
      </c>
      <c r="AQ234" s="47">
        <v>0</v>
      </c>
      <c r="AR234" s="47">
        <v>0</v>
      </c>
      <c r="AS234" s="47">
        <v>0</v>
      </c>
      <c r="AT234" s="47">
        <v>0</v>
      </c>
      <c r="AU234" s="47">
        <v>0</v>
      </c>
      <c r="AV234" s="47">
        <v>0</v>
      </c>
      <c r="AW234" s="47">
        <v>0</v>
      </c>
      <c r="AX234" s="47">
        <v>0</v>
      </c>
      <c r="AY234" s="47">
        <v>0</v>
      </c>
      <c r="AZ234" s="47">
        <v>0</v>
      </c>
      <c r="BA234" s="47">
        <v>0</v>
      </c>
      <c r="BB234" s="47">
        <v>0</v>
      </c>
      <c r="BC234" s="47">
        <v>0</v>
      </c>
      <c r="BD234" s="47">
        <v>0</v>
      </c>
      <c r="BE234" s="47">
        <v>0</v>
      </c>
      <c r="BF234" s="47">
        <v>0</v>
      </c>
      <c r="BG234" s="47">
        <v>0</v>
      </c>
      <c r="BH234" s="47">
        <v>1</v>
      </c>
      <c r="BI234" s="47">
        <v>0</v>
      </c>
      <c r="BJ234" s="47">
        <v>0</v>
      </c>
      <c r="BK234" s="47">
        <v>0</v>
      </c>
      <c r="BL234" s="47">
        <v>0</v>
      </c>
      <c r="BM234" s="47">
        <v>0</v>
      </c>
      <c r="BN234" s="47">
        <v>0</v>
      </c>
      <c r="BO234" s="47">
        <v>0</v>
      </c>
      <c r="BP234" s="47">
        <v>0</v>
      </c>
      <c r="BQ234" s="47">
        <v>0</v>
      </c>
      <c r="BR234" s="47">
        <v>0</v>
      </c>
      <c r="BS234" s="47">
        <v>0</v>
      </c>
      <c r="BT234" s="47">
        <v>0</v>
      </c>
      <c r="BU234" s="47">
        <v>0</v>
      </c>
      <c r="BV234" s="47">
        <v>0</v>
      </c>
      <c r="BW234" s="47">
        <v>0</v>
      </c>
      <c r="BX234" s="47">
        <v>0</v>
      </c>
      <c r="BY234" s="47">
        <v>0</v>
      </c>
      <c r="BZ234" s="47">
        <v>0</v>
      </c>
      <c r="CA234" s="47">
        <v>0</v>
      </c>
      <c r="CB234" s="47">
        <v>0</v>
      </c>
      <c r="CC234" s="47">
        <v>0</v>
      </c>
      <c r="CD234" s="47">
        <v>0</v>
      </c>
      <c r="CE234" s="47">
        <v>0</v>
      </c>
      <c r="CF234" s="47">
        <v>0</v>
      </c>
      <c r="CG234" s="47">
        <v>0</v>
      </c>
      <c r="CH234" s="47">
        <v>0</v>
      </c>
      <c r="CI234" s="47">
        <v>0</v>
      </c>
      <c r="CJ234" s="47">
        <v>0</v>
      </c>
      <c r="CK234" s="47">
        <v>0</v>
      </c>
      <c r="CL234" s="47">
        <v>0</v>
      </c>
      <c r="CM234" s="47">
        <v>0</v>
      </c>
      <c r="CN234" s="47">
        <v>0</v>
      </c>
      <c r="CO234" s="47">
        <v>0</v>
      </c>
      <c r="CP234" s="47">
        <v>0</v>
      </c>
      <c r="CQ234" s="47">
        <v>0</v>
      </c>
      <c r="CR234" s="47">
        <v>0</v>
      </c>
      <c r="CS234" s="47">
        <v>0</v>
      </c>
      <c r="CT234" s="47">
        <v>0</v>
      </c>
      <c r="CU234" s="47">
        <v>0</v>
      </c>
      <c r="CV234" s="47">
        <v>0</v>
      </c>
      <c r="CW234" s="47">
        <v>0</v>
      </c>
      <c r="CX234" s="47">
        <v>0</v>
      </c>
      <c r="CY234" s="47">
        <v>0</v>
      </c>
      <c r="CZ234" s="47">
        <v>0</v>
      </c>
      <c r="DA234" s="47">
        <v>0</v>
      </c>
      <c r="DB234" s="47">
        <v>0</v>
      </c>
      <c r="DC234" s="47">
        <v>0</v>
      </c>
      <c r="DD234" s="47">
        <v>0</v>
      </c>
      <c r="DE234" s="47">
        <v>0</v>
      </c>
      <c r="DF234" s="47">
        <v>0</v>
      </c>
      <c r="DG234" s="47">
        <v>0</v>
      </c>
      <c r="DH234" s="47">
        <v>0</v>
      </c>
      <c r="DI234" s="47">
        <v>0</v>
      </c>
      <c r="DJ234" s="47">
        <v>0</v>
      </c>
      <c r="DK234" s="47">
        <v>0</v>
      </c>
      <c r="DL234" s="47">
        <v>0</v>
      </c>
      <c r="DM234" s="47">
        <v>0</v>
      </c>
      <c r="DN234" s="47">
        <v>0</v>
      </c>
      <c r="DO234" s="47">
        <v>0</v>
      </c>
      <c r="DP234" s="47">
        <v>0</v>
      </c>
      <c r="DQ234" s="47">
        <v>0</v>
      </c>
      <c r="DR234" s="47">
        <v>0</v>
      </c>
      <c r="DS234" s="47">
        <v>0</v>
      </c>
      <c r="DT234" s="47">
        <v>0</v>
      </c>
    </row>
    <row r="235" spans="1:126" x14ac:dyDescent="0.25">
      <c r="A235" s="47" t="s">
        <v>1190</v>
      </c>
      <c r="B235" s="47" t="s">
        <v>153</v>
      </c>
      <c r="C235" s="47" t="s">
        <v>1191</v>
      </c>
      <c r="D235" s="47" t="s">
        <v>1192</v>
      </c>
      <c r="E235" s="47" t="s">
        <v>1193</v>
      </c>
      <c r="F235" s="47" t="s">
        <v>698</v>
      </c>
      <c r="G235" s="47" t="s">
        <v>727</v>
      </c>
      <c r="H235" s="47" t="str">
        <f>=IFERROR(VLOOKUP(A235,'ETPT Format DDG'!A:J,10,FALSE),"")</f>
        <v>0</v>
      </c>
      <c r="I235" s="47" t="str">
        <f>='ETPT Format DDG'!M235</f>
        <v/>
      </c>
      <c r="J235" s="47" t="str">
        <f>='ETPT Format DDG'!D235</f>
        <v/>
      </c>
      <c r="K235" s="47" t="s">
        <v>157</v>
      </c>
      <c r="L235" s="47" t="s">
        <v>836</v>
      </c>
      <c r="M235" s="47"/>
      <c r="N235" s="47">
        <v>1</v>
      </c>
      <c r="O235" s="47">
        <v>0</v>
      </c>
      <c r="P235" s="47">
        <v>0</v>
      </c>
      <c r="Q235" s="47">
        <v>0</v>
      </c>
      <c r="R235" s="47">
        <v>0</v>
      </c>
      <c r="S235" s="47">
        <v>0</v>
      </c>
      <c r="T235" s="47">
        <v>0</v>
      </c>
      <c r="U235" s="47">
        <v>0</v>
      </c>
      <c r="V235" s="47">
        <v>0</v>
      </c>
      <c r="W235" s="47">
        <v>0</v>
      </c>
      <c r="X235" s="47">
        <v>0</v>
      </c>
      <c r="Y235" s="47">
        <v>0</v>
      </c>
      <c r="Z235" s="47">
        <v>0</v>
      </c>
      <c r="AA235" s="47">
        <v>0</v>
      </c>
      <c r="AB235" s="47">
        <v>0</v>
      </c>
      <c r="AC235" s="47">
        <v>0</v>
      </c>
      <c r="AD235" s="47">
        <v>0</v>
      </c>
      <c r="AE235" s="47">
        <v>0</v>
      </c>
      <c r="AF235" s="47">
        <v>0</v>
      </c>
      <c r="AG235" s="47">
        <v>0</v>
      </c>
      <c r="AH235" s="47">
        <v>0</v>
      </c>
      <c r="AI235" s="47">
        <v>0</v>
      </c>
      <c r="AJ235" s="47">
        <v>0</v>
      </c>
      <c r="AK235" s="47">
        <v>0</v>
      </c>
      <c r="AL235" s="47">
        <v>0</v>
      </c>
      <c r="AM235" s="47">
        <v>0</v>
      </c>
      <c r="AN235" s="47">
        <v>0</v>
      </c>
      <c r="AO235" s="47">
        <v>0</v>
      </c>
      <c r="AP235" s="47">
        <v>0</v>
      </c>
      <c r="AQ235" s="47">
        <v>0</v>
      </c>
      <c r="AR235" s="47">
        <v>0</v>
      </c>
      <c r="AS235" s="47">
        <v>0</v>
      </c>
      <c r="AT235" s="47">
        <v>0</v>
      </c>
      <c r="AU235" s="47">
        <v>0</v>
      </c>
      <c r="AV235" s="47">
        <v>0</v>
      </c>
      <c r="AW235" s="47">
        <v>0</v>
      </c>
      <c r="AX235" s="47">
        <v>0</v>
      </c>
      <c r="AY235" s="47">
        <v>0</v>
      </c>
      <c r="AZ235" s="47">
        <v>0</v>
      </c>
      <c r="BA235" s="47">
        <v>0</v>
      </c>
      <c r="BB235" s="47">
        <v>0</v>
      </c>
      <c r="BC235" s="47">
        <v>0</v>
      </c>
      <c r="BD235" s="47">
        <v>0</v>
      </c>
      <c r="BE235" s="47">
        <v>0</v>
      </c>
      <c r="BF235" s="47">
        <v>0</v>
      </c>
      <c r="BG235" s="47">
        <v>0</v>
      </c>
      <c r="BH235" s="47">
        <v>0</v>
      </c>
      <c r="BI235" s="47">
        <v>0</v>
      </c>
      <c r="BJ235" s="47">
        <v>0</v>
      </c>
      <c r="BK235" s="47">
        <v>0</v>
      </c>
      <c r="BL235" s="47">
        <v>0</v>
      </c>
      <c r="BM235" s="47">
        <v>0</v>
      </c>
      <c r="BN235" s="47">
        <v>0</v>
      </c>
      <c r="BO235" s="47">
        <v>0</v>
      </c>
      <c r="BP235" s="47">
        <v>0</v>
      </c>
      <c r="BQ235" s="47">
        <v>0</v>
      </c>
      <c r="BR235" s="47">
        <v>0</v>
      </c>
      <c r="BS235" s="47">
        <v>0</v>
      </c>
      <c r="BT235" s="47">
        <v>0</v>
      </c>
      <c r="BU235" s="47">
        <v>0</v>
      </c>
      <c r="BV235" s="47">
        <v>0</v>
      </c>
      <c r="BW235" s="47">
        <v>0</v>
      </c>
      <c r="BX235" s="47">
        <v>0</v>
      </c>
      <c r="BY235" s="47">
        <v>0</v>
      </c>
      <c r="BZ235" s="47">
        <v>0</v>
      </c>
      <c r="CA235" s="47">
        <v>0</v>
      </c>
      <c r="CB235" s="47">
        <v>0</v>
      </c>
      <c r="CC235" s="47">
        <v>0</v>
      </c>
      <c r="CD235" s="47">
        <v>0</v>
      </c>
      <c r="CE235" s="47">
        <v>0</v>
      </c>
      <c r="CF235" s="47">
        <v>0</v>
      </c>
      <c r="CG235" s="47">
        <v>0</v>
      </c>
      <c r="CH235" s="47">
        <v>0</v>
      </c>
      <c r="CI235" s="47">
        <v>0</v>
      </c>
      <c r="CJ235" s="47">
        <v>0</v>
      </c>
      <c r="CK235" s="47">
        <v>0</v>
      </c>
      <c r="CL235" s="47">
        <v>0</v>
      </c>
      <c r="CM235" s="47">
        <v>0</v>
      </c>
      <c r="CN235" s="47">
        <v>0</v>
      </c>
      <c r="CO235" s="47">
        <v>0</v>
      </c>
      <c r="CP235" s="47">
        <v>0</v>
      </c>
      <c r="CQ235" s="47">
        <v>0</v>
      </c>
      <c r="CR235" s="47">
        <v>0</v>
      </c>
      <c r="CS235" s="47">
        <v>0</v>
      </c>
      <c r="CT235" s="47">
        <v>0</v>
      </c>
      <c r="CU235" s="47">
        <v>0</v>
      </c>
      <c r="CV235" s="47">
        <v>0</v>
      </c>
      <c r="CW235" s="47">
        <v>0</v>
      </c>
      <c r="CX235" s="47">
        <v>0</v>
      </c>
      <c r="CY235" s="47">
        <v>0</v>
      </c>
      <c r="CZ235" s="47">
        <v>0</v>
      </c>
      <c r="DA235" s="47">
        <v>0</v>
      </c>
      <c r="DB235" s="47">
        <v>0</v>
      </c>
      <c r="DC235" s="47">
        <v>0</v>
      </c>
      <c r="DD235" s="47">
        <v>0</v>
      </c>
      <c r="DE235" s="47">
        <v>0</v>
      </c>
      <c r="DF235" s="47">
        <v>0</v>
      </c>
      <c r="DG235" s="47">
        <v>0</v>
      </c>
      <c r="DH235" s="47">
        <v>0</v>
      </c>
      <c r="DI235" s="47">
        <v>0</v>
      </c>
      <c r="DJ235" s="47">
        <v>0</v>
      </c>
      <c r="DK235" s="47">
        <v>0</v>
      </c>
      <c r="DL235" s="47">
        <v>0</v>
      </c>
      <c r="DM235" s="47">
        <v>0</v>
      </c>
      <c r="DN235" s="47">
        <v>0</v>
      </c>
      <c r="DO235" s="47">
        <v>0</v>
      </c>
      <c r="DP235" s="47">
        <v>0</v>
      </c>
      <c r="DQ235" s="47">
        <v>0</v>
      </c>
      <c r="DR235" s="47">
        <v>0</v>
      </c>
      <c r="DS235" s="47">
        <v>0</v>
      </c>
      <c r="DT235" s="47">
        <v>0</v>
      </c>
    </row>
    <row r="236" spans="1:126" x14ac:dyDescent="0.25">
      <c r="A236" s="47" t="s">
        <v>1194</v>
      </c>
      <c r="B236" s="47" t="s">
        <v>153</v>
      </c>
      <c r="C236" s="47" t="s">
        <v>1195</v>
      </c>
      <c r="D236" s="47" t="s">
        <v>1196</v>
      </c>
      <c r="E236" s="47" t="s">
        <v>1197</v>
      </c>
      <c r="F236" s="47" t="s">
        <v>698</v>
      </c>
      <c r="G236" s="47" t="s">
        <v>727</v>
      </c>
      <c r="H236" s="47" t="str">
        <f>=IFERROR(VLOOKUP(A236,'ETPT Format DDG'!A:J,10,FALSE),"")</f>
        <v>0</v>
      </c>
      <c r="I236" s="47" t="str">
        <f>='ETPT Format DDG'!M236</f>
        <v/>
      </c>
      <c r="J236" s="47" t="str">
        <f>='ETPT Format DDG'!D236</f>
        <v/>
      </c>
      <c r="K236" s="47" t="s">
        <v>157</v>
      </c>
      <c r="L236" s="47" t="s">
        <v>1085</v>
      </c>
      <c r="M236" s="47"/>
      <c r="N236" s="47">
        <v>1</v>
      </c>
      <c r="O236" s="47">
        <v>0</v>
      </c>
      <c r="P236" s="47">
        <v>0</v>
      </c>
      <c r="Q236" s="47">
        <v>0</v>
      </c>
      <c r="R236" s="47">
        <v>0</v>
      </c>
      <c r="S236" s="47">
        <v>0</v>
      </c>
      <c r="T236" s="47">
        <v>0</v>
      </c>
      <c r="U236" s="47">
        <v>0</v>
      </c>
      <c r="V236" s="47">
        <v>0</v>
      </c>
      <c r="W236" s="47">
        <v>0</v>
      </c>
      <c r="X236" s="47">
        <v>0</v>
      </c>
      <c r="Y236" s="47">
        <v>0</v>
      </c>
      <c r="Z236" s="47">
        <v>0</v>
      </c>
      <c r="AA236" s="47">
        <v>0</v>
      </c>
      <c r="AB236" s="47">
        <v>0</v>
      </c>
      <c r="AC236" s="47">
        <v>0</v>
      </c>
      <c r="AD236" s="47">
        <v>0</v>
      </c>
      <c r="AE236" s="47">
        <v>0</v>
      </c>
      <c r="AF236" s="47">
        <v>0</v>
      </c>
      <c r="AG236" s="47">
        <v>0</v>
      </c>
      <c r="AH236" s="47">
        <v>0</v>
      </c>
      <c r="AI236" s="47">
        <v>0</v>
      </c>
      <c r="AJ236" s="47">
        <v>0</v>
      </c>
      <c r="AK236" s="47">
        <v>0</v>
      </c>
      <c r="AL236" s="47">
        <v>0</v>
      </c>
      <c r="AM236" s="47">
        <v>0</v>
      </c>
      <c r="AN236" s="47">
        <v>0</v>
      </c>
      <c r="AO236" s="47">
        <v>0</v>
      </c>
      <c r="AP236" s="47">
        <v>0</v>
      </c>
      <c r="AQ236" s="47">
        <v>0</v>
      </c>
      <c r="AR236" s="47">
        <v>0</v>
      </c>
      <c r="AS236" s="47">
        <v>0</v>
      </c>
      <c r="AT236" s="47">
        <v>0</v>
      </c>
      <c r="AU236" s="47">
        <v>0</v>
      </c>
      <c r="AV236" s="47">
        <v>0</v>
      </c>
      <c r="AW236" s="47">
        <v>0</v>
      </c>
      <c r="AX236" s="47">
        <v>0</v>
      </c>
      <c r="AY236" s="47">
        <v>0</v>
      </c>
      <c r="AZ236" s="47">
        <v>0</v>
      </c>
      <c r="BA236" s="47">
        <v>0</v>
      </c>
      <c r="BB236" s="47">
        <v>0</v>
      </c>
      <c r="BC236" s="47">
        <v>0</v>
      </c>
      <c r="BD236" s="47">
        <v>0</v>
      </c>
      <c r="BE236" s="47">
        <v>0</v>
      </c>
      <c r="BF236" s="47">
        <v>0</v>
      </c>
      <c r="BG236" s="47">
        <v>0</v>
      </c>
      <c r="BH236" s="47">
        <v>0</v>
      </c>
      <c r="BI236" s="47">
        <v>0</v>
      </c>
      <c r="BJ236" s="47">
        <v>0</v>
      </c>
      <c r="BK236" s="47">
        <v>0</v>
      </c>
      <c r="BL236" s="47">
        <v>0</v>
      </c>
      <c r="BM236" s="47">
        <v>0</v>
      </c>
      <c r="BN236" s="47">
        <v>0</v>
      </c>
      <c r="BO236" s="47">
        <v>0</v>
      </c>
      <c r="BP236" s="47">
        <v>0</v>
      </c>
      <c r="BQ236" s="47">
        <v>0</v>
      </c>
      <c r="BR236" s="47">
        <v>0</v>
      </c>
      <c r="BS236" s="47">
        <v>0</v>
      </c>
      <c r="BT236" s="47">
        <v>0</v>
      </c>
      <c r="BU236" s="47">
        <v>0</v>
      </c>
      <c r="BV236" s="47">
        <v>0</v>
      </c>
      <c r="BW236" s="47">
        <v>0</v>
      </c>
      <c r="BX236" s="47">
        <v>0</v>
      </c>
      <c r="BY236" s="47">
        <v>0</v>
      </c>
      <c r="BZ236" s="47">
        <v>0</v>
      </c>
      <c r="CA236" s="47">
        <v>0</v>
      </c>
      <c r="CB236" s="47">
        <v>0</v>
      </c>
      <c r="CC236" s="47">
        <v>0</v>
      </c>
      <c r="CD236" s="47">
        <v>0</v>
      </c>
      <c r="CE236" s="47">
        <v>0</v>
      </c>
      <c r="CF236" s="47">
        <v>0</v>
      </c>
      <c r="CG236" s="47">
        <v>0</v>
      </c>
      <c r="CH236" s="47">
        <v>0</v>
      </c>
      <c r="CI236" s="47">
        <v>0</v>
      </c>
      <c r="CJ236" s="47">
        <v>0</v>
      </c>
      <c r="CK236" s="47">
        <v>0</v>
      </c>
      <c r="CL236" s="47">
        <v>0</v>
      </c>
      <c r="CM236" s="47">
        <v>0</v>
      </c>
      <c r="CN236" s="47">
        <v>0</v>
      </c>
      <c r="CO236" s="47">
        <v>0</v>
      </c>
      <c r="CP236" s="47">
        <v>0</v>
      </c>
      <c r="CQ236" s="47">
        <v>0</v>
      </c>
      <c r="CR236" s="47">
        <v>0</v>
      </c>
      <c r="CS236" s="47">
        <v>0</v>
      </c>
      <c r="CT236" s="47">
        <v>0</v>
      </c>
      <c r="CU236" s="47">
        <v>0</v>
      </c>
      <c r="CV236" s="47">
        <v>0</v>
      </c>
      <c r="CW236" s="47">
        <v>0</v>
      </c>
      <c r="CX236" s="47">
        <v>0</v>
      </c>
      <c r="CY236" s="47">
        <v>0</v>
      </c>
      <c r="CZ236" s="47">
        <v>0</v>
      </c>
      <c r="DA236" s="47">
        <v>0</v>
      </c>
      <c r="DB236" s="47">
        <v>0</v>
      </c>
      <c r="DC236" s="47">
        <v>0</v>
      </c>
      <c r="DD236" s="47">
        <v>0</v>
      </c>
      <c r="DE236" s="47">
        <v>0</v>
      </c>
      <c r="DF236" s="47">
        <v>0</v>
      </c>
      <c r="DG236" s="47">
        <v>0</v>
      </c>
      <c r="DH236" s="47">
        <v>0</v>
      </c>
      <c r="DI236" s="47">
        <v>0</v>
      </c>
      <c r="DJ236" s="47">
        <v>0</v>
      </c>
      <c r="DK236" s="47">
        <v>0</v>
      </c>
      <c r="DL236" s="47">
        <v>0</v>
      </c>
      <c r="DM236" s="47">
        <v>0</v>
      </c>
      <c r="DN236" s="47">
        <v>0</v>
      </c>
      <c r="DO236" s="47">
        <v>0</v>
      </c>
      <c r="DP236" s="47">
        <v>0</v>
      </c>
      <c r="DQ236" s="47">
        <v>0</v>
      </c>
      <c r="DR236" s="47">
        <v>0</v>
      </c>
      <c r="DS236" s="47">
        <v>0</v>
      </c>
      <c r="DT236" s="47">
        <v>0</v>
      </c>
    </row>
    <row r="237" spans="1:126" x14ac:dyDescent="0.25">
      <c r="A237" s="47" t="s">
        <v>1198</v>
      </c>
      <c r="B237" s="47" t="s">
        <v>153</v>
      </c>
      <c r="C237" s="47" t="s">
        <v>1199</v>
      </c>
      <c r="D237" s="47" t="s">
        <v>1200</v>
      </c>
      <c r="E237" s="47" t="s">
        <v>1201</v>
      </c>
      <c r="F237" s="47" t="s">
        <v>698</v>
      </c>
      <c r="G237" s="47" t="s">
        <v>705</v>
      </c>
      <c r="H237" s="47" t="str">
        <f>=IFERROR(VLOOKUP(A237,'ETPT Format DDG'!A:J,10,FALSE),"")</f>
        <v>0</v>
      </c>
      <c r="I237" s="47" t="str">
        <f>='ETPT Format DDG'!M237</f>
        <v/>
      </c>
      <c r="J237" s="47" t="str">
        <f>='ETPT Format DDG'!D237</f>
        <v/>
      </c>
      <c r="K237" s="47" t="s">
        <v>157</v>
      </c>
      <c r="L237" s="47" t="s">
        <v>1202</v>
      </c>
      <c r="M237" s="47"/>
      <c r="N237" s="47">
        <v>0.8</v>
      </c>
      <c r="O237" s="47">
        <v>0</v>
      </c>
      <c r="P237" s="47">
        <v>0</v>
      </c>
      <c r="Q237" s="47">
        <v>0</v>
      </c>
      <c r="R237" s="47">
        <v>0</v>
      </c>
      <c r="S237" s="47">
        <v>0</v>
      </c>
      <c r="T237" s="47">
        <v>0</v>
      </c>
      <c r="U237" s="47">
        <v>0</v>
      </c>
      <c r="V237" s="47">
        <v>0</v>
      </c>
      <c r="W237" s="47">
        <v>0</v>
      </c>
      <c r="X237" s="47">
        <v>0</v>
      </c>
      <c r="Y237" s="47">
        <v>0</v>
      </c>
      <c r="Z237" s="47">
        <v>0</v>
      </c>
      <c r="AA237" s="47">
        <v>0</v>
      </c>
      <c r="AB237" s="47">
        <v>0</v>
      </c>
      <c r="AC237" s="47">
        <v>0</v>
      </c>
      <c r="AD237" s="47">
        <v>0</v>
      </c>
      <c r="AE237" s="47">
        <v>0</v>
      </c>
      <c r="AF237" s="47">
        <v>0</v>
      </c>
      <c r="AG237" s="47">
        <v>0</v>
      </c>
      <c r="AH237" s="47">
        <v>0</v>
      </c>
      <c r="AI237" s="47">
        <v>0</v>
      </c>
      <c r="AJ237" s="47">
        <v>0</v>
      </c>
      <c r="AK237" s="47">
        <v>0</v>
      </c>
      <c r="AL237" s="47">
        <v>0</v>
      </c>
      <c r="AM237" s="47">
        <v>0</v>
      </c>
      <c r="AN237" s="47">
        <v>0</v>
      </c>
      <c r="AO237" s="47">
        <v>0</v>
      </c>
      <c r="AP237" s="47">
        <v>0</v>
      </c>
      <c r="AQ237" s="47">
        <v>0</v>
      </c>
      <c r="AR237" s="47">
        <v>0</v>
      </c>
      <c r="AS237" s="47">
        <v>0</v>
      </c>
      <c r="AT237" s="47">
        <v>0</v>
      </c>
      <c r="AU237" s="47">
        <v>0</v>
      </c>
      <c r="AV237" s="47">
        <v>0</v>
      </c>
      <c r="AW237" s="47">
        <v>0</v>
      </c>
      <c r="AX237" s="47">
        <v>0</v>
      </c>
      <c r="AY237" s="47">
        <v>0</v>
      </c>
      <c r="AZ237" s="47">
        <v>0</v>
      </c>
      <c r="BA237" s="47">
        <v>0</v>
      </c>
      <c r="BB237" s="47">
        <v>0</v>
      </c>
      <c r="BC237" s="47">
        <v>0</v>
      </c>
      <c r="BD237" s="47">
        <v>0</v>
      </c>
      <c r="BE237" s="47">
        <v>0</v>
      </c>
      <c r="BF237" s="47">
        <v>0</v>
      </c>
      <c r="BG237" s="47">
        <v>0</v>
      </c>
      <c r="BH237" s="47">
        <v>0</v>
      </c>
      <c r="BI237" s="47">
        <v>0</v>
      </c>
      <c r="BJ237" s="47">
        <v>0</v>
      </c>
      <c r="BK237" s="47">
        <v>0</v>
      </c>
      <c r="BL237" s="47">
        <v>0</v>
      </c>
      <c r="BM237" s="47">
        <v>0</v>
      </c>
      <c r="BN237" s="47">
        <v>0</v>
      </c>
      <c r="BO237" s="47">
        <v>0</v>
      </c>
      <c r="BP237" s="47">
        <v>0</v>
      </c>
      <c r="BQ237" s="47">
        <v>0</v>
      </c>
      <c r="BR237" s="47">
        <v>0</v>
      </c>
      <c r="BS237" s="47">
        <v>0</v>
      </c>
      <c r="BT237" s="47">
        <v>0</v>
      </c>
      <c r="BU237" s="47">
        <v>0</v>
      </c>
      <c r="BV237" s="47">
        <v>0</v>
      </c>
      <c r="BW237" s="47">
        <v>0</v>
      </c>
      <c r="BX237" s="47">
        <v>0</v>
      </c>
      <c r="BY237" s="47">
        <v>0</v>
      </c>
      <c r="BZ237" s="47">
        <v>0</v>
      </c>
      <c r="CA237" s="47">
        <v>0</v>
      </c>
      <c r="CB237" s="47">
        <v>0</v>
      </c>
      <c r="CC237" s="47">
        <v>0</v>
      </c>
      <c r="CD237" s="47">
        <v>0</v>
      </c>
      <c r="CE237" s="47">
        <v>0</v>
      </c>
      <c r="CF237" s="47">
        <v>0</v>
      </c>
      <c r="CG237" s="47">
        <v>0</v>
      </c>
      <c r="CH237" s="47">
        <v>0</v>
      </c>
      <c r="CI237" s="47">
        <v>0</v>
      </c>
      <c r="CJ237" s="47">
        <v>0</v>
      </c>
      <c r="CK237" s="47">
        <v>0</v>
      </c>
      <c r="CL237" s="47">
        <v>0</v>
      </c>
      <c r="CM237" s="47">
        <v>0</v>
      </c>
      <c r="CN237" s="47">
        <v>0</v>
      </c>
      <c r="CO237" s="47">
        <v>0</v>
      </c>
      <c r="CP237" s="47">
        <v>0</v>
      </c>
      <c r="CQ237" s="47">
        <v>0</v>
      </c>
      <c r="CR237" s="47">
        <v>0</v>
      </c>
      <c r="CS237" s="47">
        <v>0</v>
      </c>
      <c r="CT237" s="47">
        <v>0</v>
      </c>
      <c r="CU237" s="47">
        <v>0</v>
      </c>
      <c r="CV237" s="47">
        <v>0</v>
      </c>
      <c r="CW237" s="47">
        <v>0</v>
      </c>
      <c r="CX237" s="47">
        <v>0</v>
      </c>
      <c r="CY237" s="47">
        <v>0</v>
      </c>
      <c r="CZ237" s="47">
        <v>0</v>
      </c>
      <c r="DA237" s="47">
        <v>0</v>
      </c>
      <c r="DB237" s="47">
        <v>0</v>
      </c>
      <c r="DC237" s="47">
        <v>0</v>
      </c>
      <c r="DD237" s="47">
        <v>0</v>
      </c>
      <c r="DE237" s="47">
        <v>0</v>
      </c>
      <c r="DF237" s="47">
        <v>0</v>
      </c>
      <c r="DG237" s="47">
        <v>0</v>
      </c>
      <c r="DH237" s="47">
        <v>0</v>
      </c>
      <c r="DI237" s="47">
        <v>0</v>
      </c>
      <c r="DJ237" s="47">
        <v>0</v>
      </c>
      <c r="DK237" s="47">
        <v>0</v>
      </c>
      <c r="DL237" s="47">
        <v>0</v>
      </c>
      <c r="DM237" s="47">
        <v>0</v>
      </c>
      <c r="DN237" s="47">
        <v>0</v>
      </c>
      <c r="DO237" s="47">
        <v>0</v>
      </c>
      <c r="DP237" s="47">
        <v>0</v>
      </c>
      <c r="DQ237" s="47">
        <v>0</v>
      </c>
      <c r="DR237" s="47">
        <v>0</v>
      </c>
      <c r="DS237" s="47">
        <v>0</v>
      </c>
      <c r="DT237" s="47">
        <v>0</v>
      </c>
    </row>
    <row r="238" spans="1:126" x14ac:dyDescent="0.25">
      <c r="A238" s="47" t="s">
        <v>1203</v>
      </c>
      <c r="B238" s="47" t="s">
        <v>153</v>
      </c>
      <c r="C238" s="47" t="s">
        <v>1204</v>
      </c>
      <c r="D238" s="47" t="s">
        <v>1205</v>
      </c>
      <c r="E238" s="47" t="s">
        <v>1206</v>
      </c>
      <c r="F238" s="47" t="s">
        <v>698</v>
      </c>
      <c r="G238" s="47" t="s">
        <v>727</v>
      </c>
      <c r="H238" s="47" t="str">
        <f>=IFERROR(VLOOKUP(A238,'ETPT Format DDG'!A:J,10,FALSE),"")</f>
        <v>0</v>
      </c>
      <c r="I238" s="47" t="str">
        <f>='ETPT Format DDG'!M238</f>
        <v/>
      </c>
      <c r="J238" s="47" t="str">
        <f>='ETPT Format DDG'!D238</f>
        <v/>
      </c>
      <c r="K238" s="47" t="s">
        <v>157</v>
      </c>
      <c r="L238" s="47" t="s">
        <v>836</v>
      </c>
      <c r="M238" s="47"/>
      <c r="N238" s="47">
        <v>1</v>
      </c>
      <c r="O238" s="47">
        <v>1</v>
      </c>
      <c r="P238" s="47">
        <v>0</v>
      </c>
      <c r="Q238" s="47">
        <v>0</v>
      </c>
      <c r="R238" s="47">
        <v>0</v>
      </c>
      <c r="S238" s="47">
        <v>0</v>
      </c>
      <c r="T238" s="47">
        <v>0</v>
      </c>
      <c r="U238" s="47">
        <v>0</v>
      </c>
      <c r="V238" s="47">
        <v>0</v>
      </c>
      <c r="W238" s="47">
        <v>0</v>
      </c>
      <c r="X238" s="47">
        <v>0</v>
      </c>
      <c r="Y238" s="47">
        <v>0</v>
      </c>
      <c r="Z238" s="47">
        <v>0</v>
      </c>
      <c r="AA238" s="47">
        <v>0</v>
      </c>
      <c r="AB238" s="47">
        <v>0</v>
      </c>
      <c r="AC238" s="47">
        <v>0</v>
      </c>
      <c r="AD238" s="47">
        <v>0</v>
      </c>
      <c r="AE238" s="47">
        <v>0</v>
      </c>
      <c r="AF238" s="47">
        <v>0</v>
      </c>
      <c r="AG238" s="47">
        <v>0</v>
      </c>
      <c r="AH238" s="47">
        <v>0</v>
      </c>
      <c r="AI238" s="47">
        <v>0</v>
      </c>
      <c r="AJ238" s="47">
        <v>0</v>
      </c>
      <c r="AK238" s="47">
        <v>0</v>
      </c>
      <c r="AL238" s="47">
        <v>0</v>
      </c>
      <c r="AM238" s="47">
        <v>0</v>
      </c>
      <c r="AN238" s="47">
        <v>1</v>
      </c>
      <c r="AO238" s="47">
        <v>0</v>
      </c>
      <c r="AP238" s="47">
        <v>0</v>
      </c>
      <c r="AQ238" s="47">
        <v>0</v>
      </c>
      <c r="AR238" s="47">
        <v>0</v>
      </c>
      <c r="AS238" s="47">
        <v>0</v>
      </c>
      <c r="AT238" s="47">
        <v>0</v>
      </c>
      <c r="AU238" s="47">
        <v>0</v>
      </c>
      <c r="AV238" s="47">
        <v>0</v>
      </c>
      <c r="AW238" s="47">
        <v>0</v>
      </c>
      <c r="AX238" s="47">
        <v>0</v>
      </c>
      <c r="AY238" s="47">
        <v>0</v>
      </c>
      <c r="AZ238" s="47">
        <v>0</v>
      </c>
      <c r="BA238" s="47">
        <v>0</v>
      </c>
      <c r="BB238" s="47">
        <v>0</v>
      </c>
      <c r="BC238" s="47">
        <v>0</v>
      </c>
      <c r="BD238" s="47">
        <v>0</v>
      </c>
      <c r="BE238" s="47">
        <v>0</v>
      </c>
      <c r="BF238" s="47">
        <v>0</v>
      </c>
      <c r="BG238" s="47">
        <v>0</v>
      </c>
      <c r="BH238" s="47">
        <v>0</v>
      </c>
      <c r="BI238" s="47">
        <v>0</v>
      </c>
      <c r="BJ238" s="47">
        <v>0</v>
      </c>
      <c r="BK238" s="47">
        <v>0</v>
      </c>
      <c r="BL238" s="47">
        <v>0</v>
      </c>
      <c r="BM238" s="47">
        <v>0</v>
      </c>
      <c r="BN238" s="47">
        <v>0</v>
      </c>
      <c r="BO238" s="47">
        <v>0</v>
      </c>
      <c r="BP238" s="47">
        <v>0</v>
      </c>
      <c r="BQ238" s="47">
        <v>0</v>
      </c>
      <c r="BR238" s="47">
        <v>0</v>
      </c>
      <c r="BS238" s="47">
        <v>0</v>
      </c>
      <c r="BT238" s="47">
        <v>0</v>
      </c>
      <c r="BU238" s="47">
        <v>0</v>
      </c>
      <c r="BV238" s="47">
        <v>0</v>
      </c>
      <c r="BW238" s="47">
        <v>0</v>
      </c>
      <c r="BX238" s="47">
        <v>0</v>
      </c>
      <c r="BY238" s="47">
        <v>0</v>
      </c>
      <c r="BZ238" s="47">
        <v>0</v>
      </c>
      <c r="CA238" s="47">
        <v>0</v>
      </c>
      <c r="CB238" s="47">
        <v>0</v>
      </c>
      <c r="CC238" s="47">
        <v>0</v>
      </c>
      <c r="CD238" s="47">
        <v>0</v>
      </c>
      <c r="CE238" s="47">
        <v>0</v>
      </c>
      <c r="CF238" s="47">
        <v>0</v>
      </c>
      <c r="CG238" s="47">
        <v>0</v>
      </c>
      <c r="CH238" s="47">
        <v>0</v>
      </c>
      <c r="CI238" s="47">
        <v>0</v>
      </c>
      <c r="CJ238" s="47">
        <v>0</v>
      </c>
      <c r="CK238" s="47">
        <v>0</v>
      </c>
      <c r="CL238" s="47">
        <v>0</v>
      </c>
      <c r="CM238" s="47">
        <v>0</v>
      </c>
      <c r="CN238" s="47">
        <v>0</v>
      </c>
      <c r="CO238" s="47">
        <v>0</v>
      </c>
      <c r="CP238" s="47">
        <v>0</v>
      </c>
      <c r="CQ238" s="47">
        <v>0</v>
      </c>
      <c r="CR238" s="47">
        <v>0</v>
      </c>
      <c r="CS238" s="47">
        <v>0</v>
      </c>
      <c r="CT238" s="47">
        <v>0</v>
      </c>
      <c r="CU238" s="47">
        <v>0</v>
      </c>
      <c r="CV238" s="47">
        <v>0</v>
      </c>
      <c r="CW238" s="47">
        <v>0</v>
      </c>
      <c r="CX238" s="47">
        <v>0</v>
      </c>
      <c r="CY238" s="47">
        <v>0</v>
      </c>
      <c r="CZ238" s="47">
        <v>0</v>
      </c>
      <c r="DA238" s="47">
        <v>0</v>
      </c>
      <c r="DB238" s="47">
        <v>0</v>
      </c>
      <c r="DC238" s="47">
        <v>0</v>
      </c>
      <c r="DD238" s="47">
        <v>0</v>
      </c>
      <c r="DE238" s="47">
        <v>0</v>
      </c>
      <c r="DF238" s="47">
        <v>0</v>
      </c>
      <c r="DG238" s="47">
        <v>0</v>
      </c>
      <c r="DH238" s="47">
        <v>0</v>
      </c>
      <c r="DI238" s="47">
        <v>0</v>
      </c>
      <c r="DJ238" s="47">
        <v>0</v>
      </c>
      <c r="DK238" s="47">
        <v>0</v>
      </c>
      <c r="DL238" s="47">
        <v>0</v>
      </c>
      <c r="DM238" s="47">
        <v>0</v>
      </c>
      <c r="DN238" s="47">
        <v>0</v>
      </c>
      <c r="DO238" s="47">
        <v>0</v>
      </c>
      <c r="DP238" s="47">
        <v>0</v>
      </c>
      <c r="DQ238" s="47">
        <v>0</v>
      </c>
      <c r="DR238" s="47">
        <v>0</v>
      </c>
      <c r="DS238" s="47">
        <v>0</v>
      </c>
      <c r="DT238" s="47">
        <v>0</v>
      </c>
    </row>
    <row r="239" spans="1:126" x14ac:dyDescent="0.25">
      <c r="A239" s="47" t="s">
        <v>1207</v>
      </c>
      <c r="B239" s="47" t="s">
        <v>153</v>
      </c>
      <c r="C239" s="47" t="s">
        <v>1208</v>
      </c>
      <c r="D239" s="47" t="s">
        <v>1209</v>
      </c>
      <c r="E239" s="47" t="s">
        <v>1210</v>
      </c>
      <c r="F239" s="47" t="s">
        <v>698</v>
      </c>
      <c r="G239" s="47" t="s">
        <v>1211</v>
      </c>
      <c r="H239" s="47" t="str">
        <f>=IFERROR(VLOOKUP(A239,'ETPT Format DDG'!A:J,10,FALSE),"")</f>
        <v>0</v>
      </c>
      <c r="I239" s="47" t="str">
        <f>='ETPT Format DDG'!M239</f>
        <v/>
      </c>
      <c r="J239" s="47" t="str">
        <f>='ETPT Format DDG'!D239</f>
        <v/>
      </c>
      <c r="K239" s="47" t="s">
        <v>157</v>
      </c>
      <c r="L239" s="47" t="s">
        <v>907</v>
      </c>
      <c r="M239" s="47"/>
      <c r="N239" s="47">
        <v>1</v>
      </c>
      <c r="O239" s="47">
        <v>1</v>
      </c>
      <c r="P239" s="47">
        <v>0</v>
      </c>
      <c r="Q239" s="47">
        <v>0</v>
      </c>
      <c r="R239" s="47">
        <v>0</v>
      </c>
      <c r="S239" s="47">
        <v>0</v>
      </c>
      <c r="T239" s="47">
        <v>0</v>
      </c>
      <c r="U239" s="47">
        <v>0</v>
      </c>
      <c r="V239" s="47">
        <v>0</v>
      </c>
      <c r="W239" s="47">
        <v>0</v>
      </c>
      <c r="X239" s="47">
        <v>0</v>
      </c>
      <c r="Y239" s="47">
        <v>0</v>
      </c>
      <c r="Z239" s="47">
        <v>0</v>
      </c>
      <c r="AA239" s="47">
        <v>0</v>
      </c>
      <c r="AB239" s="47">
        <v>0</v>
      </c>
      <c r="AC239" s="47">
        <v>0</v>
      </c>
      <c r="AD239" s="47">
        <v>0</v>
      </c>
      <c r="AE239" s="47">
        <v>0</v>
      </c>
      <c r="AF239" s="47">
        <v>0</v>
      </c>
      <c r="AG239" s="47">
        <v>0</v>
      </c>
      <c r="AH239" s="47">
        <v>0</v>
      </c>
      <c r="AI239" s="47">
        <v>0</v>
      </c>
      <c r="AJ239" s="47">
        <v>0</v>
      </c>
      <c r="AK239" s="47">
        <v>0</v>
      </c>
      <c r="AL239" s="47">
        <v>0</v>
      </c>
      <c r="AM239" s="47">
        <v>0</v>
      </c>
      <c r="AN239" s="47">
        <v>0</v>
      </c>
      <c r="AO239" s="47">
        <v>0</v>
      </c>
      <c r="AP239" s="47">
        <v>0</v>
      </c>
      <c r="AQ239" s="47">
        <v>0</v>
      </c>
      <c r="AR239" s="47">
        <v>0</v>
      </c>
      <c r="AS239" s="47">
        <v>0</v>
      </c>
      <c r="AT239" s="47">
        <v>0</v>
      </c>
      <c r="AU239" s="47">
        <v>0</v>
      </c>
      <c r="AV239" s="47">
        <v>0</v>
      </c>
      <c r="AW239" s="47">
        <v>0</v>
      </c>
      <c r="AX239" s="47">
        <v>0</v>
      </c>
      <c r="AY239" s="47">
        <v>0</v>
      </c>
      <c r="AZ239" s="47">
        <v>0</v>
      </c>
      <c r="BA239" s="47">
        <v>0</v>
      </c>
      <c r="BB239" s="47">
        <v>0</v>
      </c>
      <c r="BC239" s="47">
        <v>0</v>
      </c>
      <c r="BD239" s="47">
        <v>0</v>
      </c>
      <c r="BE239" s="47">
        <v>0</v>
      </c>
      <c r="BF239" s="47">
        <v>0</v>
      </c>
      <c r="BG239" s="47">
        <v>0</v>
      </c>
      <c r="BH239" s="47">
        <v>0</v>
      </c>
      <c r="BI239" s="47">
        <v>0</v>
      </c>
      <c r="BJ239" s="47">
        <v>0</v>
      </c>
      <c r="BK239" s="47">
        <v>0</v>
      </c>
      <c r="BL239" s="47">
        <v>0</v>
      </c>
      <c r="BM239" s="47">
        <v>0</v>
      </c>
      <c r="BN239" s="47">
        <v>0</v>
      </c>
      <c r="BO239" s="47">
        <v>1</v>
      </c>
      <c r="BP239" s="47">
        <v>0</v>
      </c>
      <c r="BQ239" s="47">
        <v>0</v>
      </c>
      <c r="BR239" s="47">
        <v>0</v>
      </c>
      <c r="BS239" s="47">
        <v>0</v>
      </c>
      <c r="BT239" s="47">
        <v>0</v>
      </c>
      <c r="BU239" s="47">
        <v>1</v>
      </c>
      <c r="BV239" s="47">
        <v>0</v>
      </c>
      <c r="BW239" s="47">
        <v>0</v>
      </c>
      <c r="BX239" s="47">
        <v>0</v>
      </c>
      <c r="BY239" s="47">
        <v>0</v>
      </c>
      <c r="BZ239" s="47">
        <v>0</v>
      </c>
      <c r="CA239" s="47">
        <v>0</v>
      </c>
      <c r="CB239" s="47">
        <v>0</v>
      </c>
      <c r="CC239" s="47">
        <v>0</v>
      </c>
      <c r="CD239" s="47">
        <v>0</v>
      </c>
      <c r="CE239" s="47">
        <v>0</v>
      </c>
      <c r="CF239" s="47">
        <v>0</v>
      </c>
      <c r="CG239" s="47">
        <v>0</v>
      </c>
      <c r="CH239" s="47">
        <v>0</v>
      </c>
      <c r="CI239" s="47">
        <v>0</v>
      </c>
      <c r="CJ239" s="47">
        <v>0</v>
      </c>
      <c r="CK239" s="47">
        <v>0</v>
      </c>
      <c r="CL239" s="47">
        <v>0</v>
      </c>
      <c r="CM239" s="47">
        <v>0</v>
      </c>
      <c r="CN239" s="47">
        <v>0</v>
      </c>
      <c r="CO239" s="47">
        <v>0</v>
      </c>
      <c r="CP239" s="47">
        <v>0</v>
      </c>
      <c r="CQ239" s="47">
        <v>0</v>
      </c>
      <c r="CR239" s="47">
        <v>0</v>
      </c>
      <c r="CS239" s="47">
        <v>0</v>
      </c>
      <c r="CT239" s="47">
        <v>0</v>
      </c>
      <c r="CU239" s="47">
        <v>0</v>
      </c>
      <c r="CV239" s="47">
        <v>0</v>
      </c>
      <c r="CW239" s="47">
        <v>0</v>
      </c>
      <c r="CX239" s="47">
        <v>0</v>
      </c>
      <c r="CY239" s="47">
        <v>0</v>
      </c>
      <c r="CZ239" s="47">
        <v>0</v>
      </c>
      <c r="DA239" s="47">
        <v>0</v>
      </c>
      <c r="DB239" s="47">
        <v>0</v>
      </c>
      <c r="DC239" s="47">
        <v>0</v>
      </c>
      <c r="DD239" s="47">
        <v>0</v>
      </c>
      <c r="DE239" s="47">
        <v>0</v>
      </c>
      <c r="DF239" s="47">
        <v>0</v>
      </c>
      <c r="DG239" s="47">
        <v>0</v>
      </c>
      <c r="DH239" s="47">
        <v>0</v>
      </c>
      <c r="DI239" s="47">
        <v>0</v>
      </c>
      <c r="DJ239" s="47">
        <v>0</v>
      </c>
      <c r="DK239" s="47">
        <v>0</v>
      </c>
      <c r="DL239" s="47">
        <v>0</v>
      </c>
      <c r="DM239" s="47">
        <v>0</v>
      </c>
      <c r="DN239" s="47">
        <v>0</v>
      </c>
      <c r="DO239" s="47">
        <v>0</v>
      </c>
      <c r="DP239" s="47">
        <v>0</v>
      </c>
      <c r="DQ239" s="47">
        <v>0</v>
      </c>
      <c r="DR239" s="47">
        <v>0</v>
      </c>
      <c r="DS239" s="47">
        <v>0</v>
      </c>
      <c r="DT239" s="47">
        <v>0</v>
      </c>
    </row>
    <row r="240" spans="1:126" x14ac:dyDescent="0.25">
      <c r="A240" s="47" t="s">
        <v>1212</v>
      </c>
      <c r="B240" s="47" t="s">
        <v>153</v>
      </c>
      <c r="C240" s="47" t="s">
        <v>1213</v>
      </c>
      <c r="D240" s="47" t="s">
        <v>1214</v>
      </c>
      <c r="E240" s="47" t="s">
        <v>1215</v>
      </c>
      <c r="F240" s="47" t="s">
        <v>698</v>
      </c>
      <c r="G240" s="47" t="s">
        <v>711</v>
      </c>
      <c r="H240" s="47" t="str">
        <f>=IFERROR(VLOOKUP(A240,'ETPT Format DDG'!A:J,10,FALSE),"")</f>
        <v>0</v>
      </c>
      <c r="I240" s="47" t="str">
        <f>='ETPT Format DDG'!M240</f>
        <v/>
      </c>
      <c r="J240" s="47" t="str">
        <f>='ETPT Format DDG'!D240</f>
        <v/>
      </c>
      <c r="K240" s="47" t="s">
        <v>157</v>
      </c>
      <c r="L240" s="47" t="s">
        <v>1216</v>
      </c>
      <c r="M240" s="47"/>
      <c r="N240" s="47">
        <v>1</v>
      </c>
      <c r="O240" s="47">
        <v>1</v>
      </c>
      <c r="P240" s="47">
        <v>0</v>
      </c>
      <c r="Q240" s="47">
        <v>0</v>
      </c>
      <c r="R240" s="47">
        <v>0</v>
      </c>
      <c r="S240" s="47">
        <v>0</v>
      </c>
      <c r="T240" s="47">
        <v>0</v>
      </c>
      <c r="U240" s="47">
        <v>0</v>
      </c>
      <c r="V240" s="47">
        <v>0</v>
      </c>
      <c r="W240" s="47">
        <v>0</v>
      </c>
      <c r="X240" s="47">
        <v>0</v>
      </c>
      <c r="Y240" s="47">
        <v>0</v>
      </c>
      <c r="Z240" s="47">
        <v>0</v>
      </c>
      <c r="AA240" s="47">
        <v>0</v>
      </c>
      <c r="AB240" s="47">
        <v>0</v>
      </c>
      <c r="AC240" s="47">
        <v>0</v>
      </c>
      <c r="AD240" s="47">
        <v>0</v>
      </c>
      <c r="AE240" s="47">
        <v>0</v>
      </c>
      <c r="AF240" s="47">
        <v>0</v>
      </c>
      <c r="AG240" s="47">
        <v>0</v>
      </c>
      <c r="AH240" s="47">
        <v>0</v>
      </c>
      <c r="AI240" s="47">
        <v>0</v>
      </c>
      <c r="AJ240" s="47">
        <v>0</v>
      </c>
      <c r="AK240" s="47">
        <v>0</v>
      </c>
      <c r="AL240" s="47">
        <v>0</v>
      </c>
      <c r="AM240" s="47">
        <v>0</v>
      </c>
      <c r="AN240" s="47">
        <v>0</v>
      </c>
      <c r="AO240" s="47">
        <v>0</v>
      </c>
      <c r="AP240" s="47">
        <v>0</v>
      </c>
      <c r="AQ240" s="47">
        <v>0</v>
      </c>
      <c r="AR240" s="47">
        <v>0</v>
      </c>
      <c r="AS240" s="47">
        <v>0</v>
      </c>
      <c r="AT240" s="47">
        <v>0</v>
      </c>
      <c r="AU240" s="47">
        <v>0</v>
      </c>
      <c r="AV240" s="47">
        <v>0</v>
      </c>
      <c r="AW240" s="47">
        <v>0</v>
      </c>
      <c r="AX240" s="47">
        <v>0</v>
      </c>
      <c r="AY240" s="47">
        <v>0</v>
      </c>
      <c r="AZ240" s="47">
        <v>0</v>
      </c>
      <c r="BA240" s="47">
        <v>0</v>
      </c>
      <c r="BB240" s="47">
        <v>0</v>
      </c>
      <c r="BC240" s="47">
        <v>0</v>
      </c>
      <c r="BD240" s="47">
        <v>0</v>
      </c>
      <c r="BE240" s="47">
        <v>0</v>
      </c>
      <c r="BF240" s="47">
        <v>0</v>
      </c>
      <c r="BG240" s="47">
        <v>0</v>
      </c>
      <c r="BH240" s="47">
        <v>0</v>
      </c>
      <c r="BI240" s="47">
        <v>0</v>
      </c>
      <c r="BJ240" s="47">
        <v>0</v>
      </c>
      <c r="BK240" s="47">
        <v>0</v>
      </c>
      <c r="BL240" s="47">
        <v>1</v>
      </c>
      <c r="BM240" s="47">
        <v>1</v>
      </c>
      <c r="BN240" s="47">
        <v>0</v>
      </c>
      <c r="BO240" s="47">
        <v>0</v>
      </c>
      <c r="BP240" s="47">
        <v>0</v>
      </c>
      <c r="BQ240" s="47">
        <v>0</v>
      </c>
      <c r="BR240" s="47">
        <v>0</v>
      </c>
      <c r="BS240" s="47">
        <v>0</v>
      </c>
      <c r="BT240" s="47">
        <v>0</v>
      </c>
      <c r="BU240" s="47">
        <v>0</v>
      </c>
      <c r="BV240" s="47">
        <v>0</v>
      </c>
      <c r="BW240" s="47">
        <v>0</v>
      </c>
      <c r="BX240" s="47">
        <v>0</v>
      </c>
      <c r="BY240" s="47">
        <v>0</v>
      </c>
      <c r="BZ240" s="47">
        <v>0</v>
      </c>
      <c r="CA240" s="47">
        <v>0</v>
      </c>
      <c r="CB240" s="47">
        <v>0</v>
      </c>
      <c r="CC240" s="47">
        <v>0</v>
      </c>
      <c r="CD240" s="47">
        <v>0</v>
      </c>
      <c r="CE240" s="47">
        <v>0</v>
      </c>
      <c r="CF240" s="47">
        <v>0</v>
      </c>
      <c r="CG240" s="47">
        <v>0</v>
      </c>
      <c r="CH240" s="47">
        <v>0</v>
      </c>
      <c r="CI240" s="47">
        <v>0</v>
      </c>
      <c r="CJ240" s="47">
        <v>0</v>
      </c>
      <c r="CK240" s="47">
        <v>0</v>
      </c>
      <c r="CL240" s="47">
        <v>0</v>
      </c>
      <c r="CM240" s="47">
        <v>0</v>
      </c>
      <c r="CN240" s="47">
        <v>0</v>
      </c>
      <c r="CO240" s="47">
        <v>0</v>
      </c>
      <c r="CP240" s="47">
        <v>0</v>
      </c>
      <c r="CQ240" s="47">
        <v>0</v>
      </c>
      <c r="CR240" s="47">
        <v>0</v>
      </c>
      <c r="CS240" s="47">
        <v>0</v>
      </c>
      <c r="CT240" s="47">
        <v>0</v>
      </c>
      <c r="CU240" s="47">
        <v>0</v>
      </c>
      <c r="CV240" s="47">
        <v>0</v>
      </c>
      <c r="CW240" s="47">
        <v>0</v>
      </c>
      <c r="CX240" s="47">
        <v>0</v>
      </c>
      <c r="CY240" s="47">
        <v>0</v>
      </c>
      <c r="CZ240" s="47">
        <v>0</v>
      </c>
      <c r="DA240" s="47">
        <v>0</v>
      </c>
      <c r="DB240" s="47">
        <v>0</v>
      </c>
      <c r="DC240" s="47">
        <v>0</v>
      </c>
      <c r="DD240" s="47">
        <v>0</v>
      </c>
      <c r="DE240" s="47">
        <v>0</v>
      </c>
      <c r="DF240" s="47">
        <v>0</v>
      </c>
      <c r="DG240" s="47">
        <v>0</v>
      </c>
      <c r="DH240" s="47">
        <v>0</v>
      </c>
      <c r="DI240" s="47">
        <v>0</v>
      </c>
      <c r="DJ240" s="47">
        <v>0</v>
      </c>
      <c r="DK240" s="47">
        <v>0</v>
      </c>
      <c r="DL240" s="47">
        <v>0</v>
      </c>
      <c r="DM240" s="47">
        <v>0</v>
      </c>
      <c r="DN240" s="47">
        <v>0</v>
      </c>
      <c r="DO240" s="47">
        <v>0</v>
      </c>
      <c r="DP240" s="47">
        <v>0</v>
      </c>
      <c r="DQ240" s="47">
        <v>0</v>
      </c>
      <c r="DR240" s="47">
        <v>0</v>
      </c>
      <c r="DS240" s="47">
        <v>0</v>
      </c>
      <c r="DT240" s="47">
        <v>0</v>
      </c>
    </row>
    <row r="241" spans="1:126" x14ac:dyDescent="0.25">
      <c r="A241" s="47" t="s">
        <v>1217</v>
      </c>
      <c r="B241" s="47" t="s">
        <v>153</v>
      </c>
      <c r="C241" s="47" t="s">
        <v>1218</v>
      </c>
      <c r="D241" s="47" t="s">
        <v>1219</v>
      </c>
      <c r="E241" s="47" t="s">
        <v>1220</v>
      </c>
      <c r="F241" s="47" t="s">
        <v>698</v>
      </c>
      <c r="G241" s="47" t="s">
        <v>727</v>
      </c>
      <c r="H241" s="47" t="str">
        <f>=IFERROR(VLOOKUP(A241,'ETPT Format DDG'!A:J,10,FALSE),"")</f>
        <v>0</v>
      </c>
      <c r="I241" s="47" t="str">
        <f>='ETPT Format DDG'!M241</f>
        <v/>
      </c>
      <c r="J241" s="47" t="str">
        <f>='ETPT Format DDG'!D241</f>
        <v/>
      </c>
      <c r="K241" s="47" t="s">
        <v>157</v>
      </c>
      <c r="L241" s="47" t="s">
        <v>782</v>
      </c>
      <c r="M241" s="47"/>
      <c r="N241" s="47">
        <v>1</v>
      </c>
      <c r="O241" s="47">
        <v>0</v>
      </c>
      <c r="P241" s="47">
        <v>0</v>
      </c>
      <c r="Q241" s="47">
        <v>0</v>
      </c>
      <c r="R241" s="47">
        <v>0</v>
      </c>
      <c r="S241" s="47">
        <v>0</v>
      </c>
      <c r="T241" s="47">
        <v>0</v>
      </c>
      <c r="U241" s="47">
        <v>0</v>
      </c>
      <c r="V241" s="47">
        <v>0</v>
      </c>
      <c r="W241" s="47">
        <v>0</v>
      </c>
      <c r="X241" s="47">
        <v>0</v>
      </c>
      <c r="Y241" s="47">
        <v>0</v>
      </c>
      <c r="Z241" s="47">
        <v>0</v>
      </c>
      <c r="AA241" s="47">
        <v>0</v>
      </c>
      <c r="AB241" s="47">
        <v>0</v>
      </c>
      <c r="AC241" s="47">
        <v>0</v>
      </c>
      <c r="AD241" s="47">
        <v>0</v>
      </c>
      <c r="AE241" s="47">
        <v>0</v>
      </c>
      <c r="AF241" s="47">
        <v>0</v>
      </c>
      <c r="AG241" s="47">
        <v>0</v>
      </c>
      <c r="AH241" s="47">
        <v>0</v>
      </c>
      <c r="AI241" s="47">
        <v>0</v>
      </c>
      <c r="AJ241" s="47">
        <v>0</v>
      </c>
      <c r="AK241" s="47">
        <v>0</v>
      </c>
      <c r="AL241" s="47">
        <v>0</v>
      </c>
      <c r="AM241" s="47">
        <v>0</v>
      </c>
      <c r="AN241" s="47">
        <v>0</v>
      </c>
      <c r="AO241" s="47">
        <v>0</v>
      </c>
      <c r="AP241" s="47">
        <v>0</v>
      </c>
      <c r="AQ241" s="47">
        <v>0</v>
      </c>
      <c r="AR241" s="47">
        <v>0</v>
      </c>
      <c r="AS241" s="47">
        <v>0</v>
      </c>
      <c r="AT241" s="47">
        <v>0</v>
      </c>
      <c r="AU241" s="47">
        <v>0</v>
      </c>
      <c r="AV241" s="47">
        <v>0</v>
      </c>
      <c r="AW241" s="47">
        <v>0</v>
      </c>
      <c r="AX241" s="47">
        <v>0</v>
      </c>
      <c r="AY241" s="47">
        <v>0</v>
      </c>
      <c r="AZ241" s="47">
        <v>0</v>
      </c>
      <c r="BA241" s="47">
        <v>0</v>
      </c>
      <c r="BB241" s="47">
        <v>0</v>
      </c>
      <c r="BC241" s="47">
        <v>0</v>
      </c>
      <c r="BD241" s="47">
        <v>0</v>
      </c>
      <c r="BE241" s="47">
        <v>0</v>
      </c>
      <c r="BF241" s="47">
        <v>0</v>
      </c>
      <c r="BG241" s="47">
        <v>0</v>
      </c>
      <c r="BH241" s="47">
        <v>0</v>
      </c>
      <c r="BI241" s="47">
        <v>0</v>
      </c>
      <c r="BJ241" s="47">
        <v>0</v>
      </c>
      <c r="BK241" s="47">
        <v>0</v>
      </c>
      <c r="BL241" s="47">
        <v>0</v>
      </c>
      <c r="BM241" s="47">
        <v>0</v>
      </c>
      <c r="BN241" s="47">
        <v>0</v>
      </c>
      <c r="BO241" s="47">
        <v>0</v>
      </c>
      <c r="BP241" s="47">
        <v>0</v>
      </c>
      <c r="BQ241" s="47">
        <v>0</v>
      </c>
      <c r="BR241" s="47">
        <v>0</v>
      </c>
      <c r="BS241" s="47">
        <v>0</v>
      </c>
      <c r="BT241" s="47">
        <v>0</v>
      </c>
      <c r="BU241" s="47">
        <v>0</v>
      </c>
      <c r="BV241" s="47">
        <v>0</v>
      </c>
      <c r="BW241" s="47">
        <v>0</v>
      </c>
      <c r="BX241" s="47">
        <v>0</v>
      </c>
      <c r="BY241" s="47">
        <v>0</v>
      </c>
      <c r="BZ241" s="47">
        <v>0</v>
      </c>
      <c r="CA241" s="47">
        <v>0</v>
      </c>
      <c r="CB241" s="47">
        <v>0</v>
      </c>
      <c r="CC241" s="47">
        <v>0</v>
      </c>
      <c r="CD241" s="47">
        <v>0</v>
      </c>
      <c r="CE241" s="47">
        <v>0</v>
      </c>
      <c r="CF241" s="47">
        <v>0</v>
      </c>
      <c r="CG241" s="47">
        <v>0</v>
      </c>
      <c r="CH241" s="47">
        <v>0</v>
      </c>
      <c r="CI241" s="47">
        <v>0</v>
      </c>
      <c r="CJ241" s="47">
        <v>0</v>
      </c>
      <c r="CK241" s="47">
        <v>0</v>
      </c>
      <c r="CL241" s="47">
        <v>0</v>
      </c>
      <c r="CM241" s="47">
        <v>0</v>
      </c>
      <c r="CN241" s="47">
        <v>0</v>
      </c>
      <c r="CO241" s="47">
        <v>0</v>
      </c>
      <c r="CP241" s="47">
        <v>0</v>
      </c>
      <c r="CQ241" s="47">
        <v>0</v>
      </c>
      <c r="CR241" s="47">
        <v>0</v>
      </c>
      <c r="CS241" s="47">
        <v>0</v>
      </c>
      <c r="CT241" s="47">
        <v>0</v>
      </c>
      <c r="CU241" s="47">
        <v>0</v>
      </c>
      <c r="CV241" s="47">
        <v>0</v>
      </c>
      <c r="CW241" s="47">
        <v>0</v>
      </c>
      <c r="CX241" s="47">
        <v>0</v>
      </c>
      <c r="CY241" s="47">
        <v>0</v>
      </c>
      <c r="CZ241" s="47">
        <v>0</v>
      </c>
      <c r="DA241" s="47">
        <v>0</v>
      </c>
      <c r="DB241" s="47">
        <v>0</v>
      </c>
      <c r="DC241" s="47">
        <v>0</v>
      </c>
      <c r="DD241" s="47">
        <v>0</v>
      </c>
      <c r="DE241" s="47">
        <v>0</v>
      </c>
      <c r="DF241" s="47">
        <v>0</v>
      </c>
      <c r="DG241" s="47">
        <v>0</v>
      </c>
      <c r="DH241" s="47">
        <v>0</v>
      </c>
      <c r="DI241" s="47">
        <v>0</v>
      </c>
      <c r="DJ241" s="47">
        <v>0</v>
      </c>
      <c r="DK241" s="47">
        <v>0</v>
      </c>
      <c r="DL241" s="47">
        <v>0</v>
      </c>
      <c r="DM241" s="47">
        <v>0</v>
      </c>
      <c r="DN241" s="47">
        <v>0</v>
      </c>
      <c r="DO241" s="47">
        <v>0</v>
      </c>
      <c r="DP241" s="47">
        <v>0</v>
      </c>
      <c r="DQ241" s="47">
        <v>0</v>
      </c>
      <c r="DR241" s="47">
        <v>0</v>
      </c>
      <c r="DS241" s="47">
        <v>0</v>
      </c>
      <c r="DT241" s="47">
        <v>0</v>
      </c>
    </row>
    <row r="242" spans="1:126" x14ac:dyDescent="0.25">
      <c r="A242" s="47" t="s">
        <v>1221</v>
      </c>
      <c r="B242" s="47" t="s">
        <v>153</v>
      </c>
      <c r="C242" s="47" t="s">
        <v>1222</v>
      </c>
      <c r="D242" s="47" t="s">
        <v>1223</v>
      </c>
      <c r="E242" s="47" t="s">
        <v>1224</v>
      </c>
      <c r="F242" s="47" t="s">
        <v>698</v>
      </c>
      <c r="G242" s="47" t="s">
        <v>705</v>
      </c>
      <c r="H242" s="47" t="str">
        <f>=IFERROR(VLOOKUP(A242,'ETPT Format DDG'!A:J,10,FALSE),"")</f>
        <v>0</v>
      </c>
      <c r="I242" s="47" t="str">
        <f>='ETPT Format DDG'!M242</f>
        <v/>
      </c>
      <c r="J242" s="47" t="str">
        <f>='ETPT Format DDG'!D242</f>
        <v/>
      </c>
      <c r="K242" s="47" t="s">
        <v>157</v>
      </c>
      <c r="L242" s="47" t="s">
        <v>876</v>
      </c>
      <c r="M242" s="47"/>
      <c r="N242" s="47">
        <v>1</v>
      </c>
      <c r="O242" s="47">
        <v>0</v>
      </c>
      <c r="P242" s="47">
        <v>0</v>
      </c>
      <c r="Q242" s="47">
        <v>0</v>
      </c>
      <c r="R242" s="47">
        <v>0</v>
      </c>
      <c r="S242" s="47">
        <v>0</v>
      </c>
      <c r="T242" s="47">
        <v>0</v>
      </c>
      <c r="U242" s="47">
        <v>0</v>
      </c>
      <c r="V242" s="47">
        <v>0</v>
      </c>
      <c r="W242" s="47">
        <v>0</v>
      </c>
      <c r="X242" s="47">
        <v>0</v>
      </c>
      <c r="Y242" s="47">
        <v>0</v>
      </c>
      <c r="Z242" s="47">
        <v>0</v>
      </c>
      <c r="AA242" s="47">
        <v>0</v>
      </c>
      <c r="AB242" s="47">
        <v>0</v>
      </c>
      <c r="AC242" s="47">
        <v>0</v>
      </c>
      <c r="AD242" s="47">
        <v>0</v>
      </c>
      <c r="AE242" s="47">
        <v>0</v>
      </c>
      <c r="AF242" s="47">
        <v>0</v>
      </c>
      <c r="AG242" s="47">
        <v>0</v>
      </c>
      <c r="AH242" s="47">
        <v>0</v>
      </c>
      <c r="AI242" s="47">
        <v>0</v>
      </c>
      <c r="AJ242" s="47">
        <v>0</v>
      </c>
      <c r="AK242" s="47">
        <v>0</v>
      </c>
      <c r="AL242" s="47">
        <v>0</v>
      </c>
      <c r="AM242" s="47">
        <v>0</v>
      </c>
      <c r="AN242" s="47">
        <v>0</v>
      </c>
      <c r="AO242" s="47">
        <v>0</v>
      </c>
      <c r="AP242" s="47">
        <v>0</v>
      </c>
      <c r="AQ242" s="47">
        <v>0</v>
      </c>
      <c r="AR242" s="47">
        <v>0</v>
      </c>
      <c r="AS242" s="47">
        <v>0</v>
      </c>
      <c r="AT242" s="47">
        <v>0</v>
      </c>
      <c r="AU242" s="47">
        <v>0</v>
      </c>
      <c r="AV242" s="47">
        <v>0</v>
      </c>
      <c r="AW242" s="47">
        <v>0</v>
      </c>
      <c r="AX242" s="47">
        <v>0</v>
      </c>
      <c r="AY242" s="47">
        <v>0</v>
      </c>
      <c r="AZ242" s="47">
        <v>0</v>
      </c>
      <c r="BA242" s="47">
        <v>0</v>
      </c>
      <c r="BB242" s="47">
        <v>0</v>
      </c>
      <c r="BC242" s="47">
        <v>0</v>
      </c>
      <c r="BD242" s="47">
        <v>0</v>
      </c>
      <c r="BE242" s="47">
        <v>0</v>
      </c>
      <c r="BF242" s="47">
        <v>0</v>
      </c>
      <c r="BG242" s="47">
        <v>0</v>
      </c>
      <c r="BH242" s="47">
        <v>0</v>
      </c>
      <c r="BI242" s="47">
        <v>0</v>
      </c>
      <c r="BJ242" s="47">
        <v>0</v>
      </c>
      <c r="BK242" s="47">
        <v>0</v>
      </c>
      <c r="BL242" s="47">
        <v>0</v>
      </c>
      <c r="BM242" s="47">
        <v>0</v>
      </c>
      <c r="BN242" s="47">
        <v>0</v>
      </c>
      <c r="BO242" s="47">
        <v>0</v>
      </c>
      <c r="BP242" s="47">
        <v>0</v>
      </c>
      <c r="BQ242" s="47">
        <v>0</v>
      </c>
      <c r="BR242" s="47">
        <v>0</v>
      </c>
      <c r="BS242" s="47">
        <v>0</v>
      </c>
      <c r="BT242" s="47">
        <v>0</v>
      </c>
      <c r="BU242" s="47">
        <v>0</v>
      </c>
      <c r="BV242" s="47">
        <v>0</v>
      </c>
      <c r="BW242" s="47">
        <v>0</v>
      </c>
      <c r="BX242" s="47">
        <v>0</v>
      </c>
      <c r="BY242" s="47">
        <v>0</v>
      </c>
      <c r="BZ242" s="47">
        <v>0</v>
      </c>
      <c r="CA242" s="47">
        <v>0</v>
      </c>
      <c r="CB242" s="47">
        <v>0</v>
      </c>
      <c r="CC242" s="47">
        <v>0</v>
      </c>
      <c r="CD242" s="47">
        <v>0</v>
      </c>
      <c r="CE242" s="47">
        <v>0</v>
      </c>
      <c r="CF242" s="47">
        <v>0</v>
      </c>
      <c r="CG242" s="47">
        <v>0</v>
      </c>
      <c r="CH242" s="47">
        <v>0</v>
      </c>
      <c r="CI242" s="47">
        <v>0</v>
      </c>
      <c r="CJ242" s="47">
        <v>0</v>
      </c>
      <c r="CK242" s="47">
        <v>0</v>
      </c>
      <c r="CL242" s="47">
        <v>0</v>
      </c>
      <c r="CM242" s="47">
        <v>0</v>
      </c>
      <c r="CN242" s="47">
        <v>0</v>
      </c>
      <c r="CO242" s="47">
        <v>0</v>
      </c>
      <c r="CP242" s="47">
        <v>0</v>
      </c>
      <c r="CQ242" s="47">
        <v>0</v>
      </c>
      <c r="CR242" s="47">
        <v>0</v>
      </c>
      <c r="CS242" s="47">
        <v>0</v>
      </c>
      <c r="CT242" s="47">
        <v>0</v>
      </c>
      <c r="CU242" s="47">
        <v>0</v>
      </c>
      <c r="CV242" s="47">
        <v>0</v>
      </c>
      <c r="CW242" s="47">
        <v>0</v>
      </c>
      <c r="CX242" s="47">
        <v>0</v>
      </c>
      <c r="CY242" s="47">
        <v>0</v>
      </c>
      <c r="CZ242" s="47">
        <v>0</v>
      </c>
      <c r="DA242" s="47">
        <v>0</v>
      </c>
      <c r="DB242" s="47">
        <v>0</v>
      </c>
      <c r="DC242" s="47">
        <v>0</v>
      </c>
      <c r="DD242" s="47">
        <v>0</v>
      </c>
      <c r="DE242" s="47">
        <v>0</v>
      </c>
      <c r="DF242" s="47">
        <v>0</v>
      </c>
      <c r="DG242" s="47">
        <v>0</v>
      </c>
      <c r="DH242" s="47">
        <v>0</v>
      </c>
      <c r="DI242" s="47">
        <v>0</v>
      </c>
      <c r="DJ242" s="47">
        <v>0</v>
      </c>
      <c r="DK242" s="47">
        <v>0</v>
      </c>
      <c r="DL242" s="47">
        <v>0</v>
      </c>
      <c r="DM242" s="47">
        <v>0</v>
      </c>
      <c r="DN242" s="47">
        <v>0</v>
      </c>
      <c r="DO242" s="47">
        <v>0</v>
      </c>
      <c r="DP242" s="47">
        <v>0</v>
      </c>
      <c r="DQ242" s="47">
        <v>0</v>
      </c>
      <c r="DR242" s="47">
        <v>0</v>
      </c>
      <c r="DS242" s="47">
        <v>0</v>
      </c>
      <c r="DT242" s="47">
        <v>0</v>
      </c>
    </row>
    <row r="243" spans="1:126" x14ac:dyDescent="0.25">
      <c r="A243" s="47" t="s">
        <v>1225</v>
      </c>
      <c r="B243" s="47" t="s">
        <v>153</v>
      </c>
      <c r="C243" s="47" t="s">
        <v>1226</v>
      </c>
      <c r="D243" s="47" t="s">
        <v>1227</v>
      </c>
      <c r="E243" s="47" t="s">
        <v>1228</v>
      </c>
      <c r="F243" s="47" t="s">
        <v>698</v>
      </c>
      <c r="G243" s="47" t="s">
        <v>705</v>
      </c>
      <c r="H243" s="47" t="str">
        <f>=IFERROR(VLOOKUP(A243,'ETPT Format DDG'!A:J,10,FALSE),"")</f>
        <v>0</v>
      </c>
      <c r="I243" s="47" t="str">
        <f>='ETPT Format DDG'!M243</f>
        <v/>
      </c>
      <c r="J243" s="47" t="str">
        <f>='ETPT Format DDG'!D243</f>
        <v/>
      </c>
      <c r="K243" s="47" t="s">
        <v>157</v>
      </c>
      <c r="L243" s="47" t="s">
        <v>717</v>
      </c>
      <c r="M243" s="47"/>
      <c r="N243" s="47">
        <v>1</v>
      </c>
      <c r="O243" s="47">
        <v>0</v>
      </c>
      <c r="P243" s="47">
        <v>0</v>
      </c>
      <c r="Q243" s="47">
        <v>0</v>
      </c>
      <c r="R243" s="47">
        <v>0</v>
      </c>
      <c r="S243" s="47">
        <v>0</v>
      </c>
      <c r="T243" s="47">
        <v>0</v>
      </c>
      <c r="U243" s="47">
        <v>0</v>
      </c>
      <c r="V243" s="47">
        <v>0</v>
      </c>
      <c r="W243" s="47">
        <v>0</v>
      </c>
      <c r="X243" s="47">
        <v>0</v>
      </c>
      <c r="Y243" s="47">
        <v>0</v>
      </c>
      <c r="Z243" s="47">
        <v>0</v>
      </c>
      <c r="AA243" s="47">
        <v>0</v>
      </c>
      <c r="AB243" s="47">
        <v>0</v>
      </c>
      <c r="AC243" s="47">
        <v>0</v>
      </c>
      <c r="AD243" s="47">
        <v>0</v>
      </c>
      <c r="AE243" s="47">
        <v>0</v>
      </c>
      <c r="AF243" s="47">
        <v>0</v>
      </c>
      <c r="AG243" s="47">
        <v>0</v>
      </c>
      <c r="AH243" s="47">
        <v>0</v>
      </c>
      <c r="AI243" s="47">
        <v>0</v>
      </c>
      <c r="AJ243" s="47">
        <v>0</v>
      </c>
      <c r="AK243" s="47">
        <v>0</v>
      </c>
      <c r="AL243" s="47">
        <v>0</v>
      </c>
      <c r="AM243" s="47">
        <v>0</v>
      </c>
      <c r="AN243" s="47">
        <v>0</v>
      </c>
      <c r="AO243" s="47">
        <v>0</v>
      </c>
      <c r="AP243" s="47">
        <v>0</v>
      </c>
      <c r="AQ243" s="47">
        <v>0</v>
      </c>
      <c r="AR243" s="47">
        <v>0</v>
      </c>
      <c r="AS243" s="47">
        <v>0</v>
      </c>
      <c r="AT243" s="47">
        <v>0</v>
      </c>
      <c r="AU243" s="47">
        <v>0</v>
      </c>
      <c r="AV243" s="47">
        <v>0</v>
      </c>
      <c r="AW243" s="47">
        <v>0</v>
      </c>
      <c r="AX243" s="47">
        <v>0</v>
      </c>
      <c r="AY243" s="47">
        <v>0</v>
      </c>
      <c r="AZ243" s="47">
        <v>0</v>
      </c>
      <c r="BA243" s="47">
        <v>0</v>
      </c>
      <c r="BB243" s="47">
        <v>0</v>
      </c>
      <c r="BC243" s="47">
        <v>0</v>
      </c>
      <c r="BD243" s="47">
        <v>0</v>
      </c>
      <c r="BE243" s="47">
        <v>0</v>
      </c>
      <c r="BF243" s="47">
        <v>0</v>
      </c>
      <c r="BG243" s="47">
        <v>0</v>
      </c>
      <c r="BH243" s="47">
        <v>0</v>
      </c>
      <c r="BI243" s="47">
        <v>0</v>
      </c>
      <c r="BJ243" s="47">
        <v>0</v>
      </c>
      <c r="BK243" s="47">
        <v>0</v>
      </c>
      <c r="BL243" s="47">
        <v>0</v>
      </c>
      <c r="BM243" s="47">
        <v>0</v>
      </c>
      <c r="BN243" s="47">
        <v>0</v>
      </c>
      <c r="BO243" s="47">
        <v>0</v>
      </c>
      <c r="BP243" s="47">
        <v>0</v>
      </c>
      <c r="BQ243" s="47">
        <v>0</v>
      </c>
      <c r="BR243" s="47">
        <v>0</v>
      </c>
      <c r="BS243" s="47">
        <v>0</v>
      </c>
      <c r="BT243" s="47">
        <v>0</v>
      </c>
      <c r="BU243" s="47">
        <v>0</v>
      </c>
      <c r="BV243" s="47">
        <v>0</v>
      </c>
      <c r="BW243" s="47">
        <v>0</v>
      </c>
      <c r="BX243" s="47">
        <v>0</v>
      </c>
      <c r="BY243" s="47">
        <v>0</v>
      </c>
      <c r="BZ243" s="47">
        <v>0</v>
      </c>
      <c r="CA243" s="47">
        <v>0</v>
      </c>
      <c r="CB243" s="47">
        <v>0</v>
      </c>
      <c r="CC243" s="47">
        <v>0</v>
      </c>
      <c r="CD243" s="47">
        <v>0</v>
      </c>
      <c r="CE243" s="47">
        <v>0</v>
      </c>
      <c r="CF243" s="47">
        <v>0</v>
      </c>
      <c r="CG243" s="47">
        <v>0</v>
      </c>
      <c r="CH243" s="47">
        <v>0</v>
      </c>
      <c r="CI243" s="47">
        <v>0</v>
      </c>
      <c r="CJ243" s="47">
        <v>0</v>
      </c>
      <c r="CK243" s="47">
        <v>0</v>
      </c>
      <c r="CL243" s="47">
        <v>0</v>
      </c>
      <c r="CM243" s="47">
        <v>0</v>
      </c>
      <c r="CN243" s="47">
        <v>0</v>
      </c>
      <c r="CO243" s="47">
        <v>0</v>
      </c>
      <c r="CP243" s="47">
        <v>0</v>
      </c>
      <c r="CQ243" s="47">
        <v>0</v>
      </c>
      <c r="CR243" s="47">
        <v>0</v>
      </c>
      <c r="CS243" s="47">
        <v>0</v>
      </c>
      <c r="CT243" s="47">
        <v>0</v>
      </c>
      <c r="CU243" s="47">
        <v>0</v>
      </c>
      <c r="CV243" s="47">
        <v>0</v>
      </c>
      <c r="CW243" s="47">
        <v>0</v>
      </c>
      <c r="CX243" s="47">
        <v>0</v>
      </c>
      <c r="CY243" s="47">
        <v>0</v>
      </c>
      <c r="CZ243" s="47">
        <v>0</v>
      </c>
      <c r="DA243" s="47">
        <v>0</v>
      </c>
      <c r="DB243" s="47">
        <v>0</v>
      </c>
      <c r="DC243" s="47">
        <v>0</v>
      </c>
      <c r="DD243" s="47">
        <v>0</v>
      </c>
      <c r="DE243" s="47">
        <v>0</v>
      </c>
      <c r="DF243" s="47">
        <v>0</v>
      </c>
      <c r="DG243" s="47">
        <v>0</v>
      </c>
      <c r="DH243" s="47">
        <v>0</v>
      </c>
      <c r="DI243" s="47">
        <v>0</v>
      </c>
      <c r="DJ243" s="47">
        <v>0</v>
      </c>
      <c r="DK243" s="47">
        <v>0</v>
      </c>
      <c r="DL243" s="47">
        <v>0</v>
      </c>
      <c r="DM243" s="47">
        <v>0</v>
      </c>
      <c r="DN243" s="47">
        <v>0</v>
      </c>
      <c r="DO243" s="47">
        <v>0</v>
      </c>
      <c r="DP243" s="47">
        <v>0</v>
      </c>
      <c r="DQ243" s="47">
        <v>0</v>
      </c>
      <c r="DR243" s="47">
        <v>0</v>
      </c>
      <c r="DS243" s="47">
        <v>0</v>
      </c>
      <c r="DT243" s="47">
        <v>0</v>
      </c>
    </row>
    <row r="244" spans="1:126" x14ac:dyDescent="0.25">
      <c r="A244" s="47" t="s">
        <v>1229</v>
      </c>
      <c r="B244" s="47" t="s">
        <v>153</v>
      </c>
      <c r="C244" s="47" t="s">
        <v>1230</v>
      </c>
      <c r="D244" s="47" t="s">
        <v>1231</v>
      </c>
      <c r="E244" s="47" t="s">
        <v>1232</v>
      </c>
      <c r="F244" s="47" t="s">
        <v>698</v>
      </c>
      <c r="G244" s="47" t="s">
        <v>705</v>
      </c>
      <c r="H244" s="47" t="str">
        <f>=IFERROR(VLOOKUP(A244,'ETPT Format DDG'!A:J,10,FALSE),"")</f>
        <v>0</v>
      </c>
      <c r="I244" s="47" t="str">
        <f>='ETPT Format DDG'!M244</f>
        <v/>
      </c>
      <c r="J244" s="47" t="str">
        <f>='ETPT Format DDG'!D244</f>
        <v/>
      </c>
      <c r="K244" s="47" t="s">
        <v>157</v>
      </c>
      <c r="L244" s="47" t="s">
        <v>1233</v>
      </c>
      <c r="M244" s="47"/>
      <c r="N244" s="47">
        <v>0.9</v>
      </c>
      <c r="O244" s="47">
        <v>0</v>
      </c>
      <c r="P244" s="47">
        <v>0</v>
      </c>
      <c r="Q244" s="47">
        <v>0</v>
      </c>
      <c r="R244" s="47">
        <v>0</v>
      </c>
      <c r="S244" s="47">
        <v>0</v>
      </c>
      <c r="T244" s="47">
        <v>0</v>
      </c>
      <c r="U244" s="47">
        <v>0</v>
      </c>
      <c r="V244" s="47">
        <v>0</v>
      </c>
      <c r="W244" s="47">
        <v>0</v>
      </c>
      <c r="X244" s="47">
        <v>0</v>
      </c>
      <c r="Y244" s="47">
        <v>0</v>
      </c>
      <c r="Z244" s="47">
        <v>0</v>
      </c>
      <c r="AA244" s="47">
        <v>0</v>
      </c>
      <c r="AB244" s="47">
        <v>0</v>
      </c>
      <c r="AC244" s="47">
        <v>0</v>
      </c>
      <c r="AD244" s="47">
        <v>0</v>
      </c>
      <c r="AE244" s="47">
        <v>0</v>
      </c>
      <c r="AF244" s="47">
        <v>0</v>
      </c>
      <c r="AG244" s="47">
        <v>0</v>
      </c>
      <c r="AH244" s="47">
        <v>0</v>
      </c>
      <c r="AI244" s="47">
        <v>0</v>
      </c>
      <c r="AJ244" s="47">
        <v>0</v>
      </c>
      <c r="AK244" s="47">
        <v>0</v>
      </c>
      <c r="AL244" s="47">
        <v>0</v>
      </c>
      <c r="AM244" s="47">
        <v>0</v>
      </c>
      <c r="AN244" s="47">
        <v>0</v>
      </c>
      <c r="AO244" s="47">
        <v>0</v>
      </c>
      <c r="AP244" s="47">
        <v>0</v>
      </c>
      <c r="AQ244" s="47">
        <v>0</v>
      </c>
      <c r="AR244" s="47">
        <v>0</v>
      </c>
      <c r="AS244" s="47">
        <v>0</v>
      </c>
      <c r="AT244" s="47">
        <v>0</v>
      </c>
      <c r="AU244" s="47">
        <v>0</v>
      </c>
      <c r="AV244" s="47">
        <v>0</v>
      </c>
      <c r="AW244" s="47">
        <v>0</v>
      </c>
      <c r="AX244" s="47">
        <v>0</v>
      </c>
      <c r="AY244" s="47">
        <v>0</v>
      </c>
      <c r="AZ244" s="47">
        <v>0</v>
      </c>
      <c r="BA244" s="47">
        <v>0</v>
      </c>
      <c r="BB244" s="47">
        <v>0</v>
      </c>
      <c r="BC244" s="47">
        <v>0</v>
      </c>
      <c r="BD244" s="47">
        <v>0</v>
      </c>
      <c r="BE244" s="47">
        <v>0</v>
      </c>
      <c r="BF244" s="47">
        <v>0</v>
      </c>
      <c r="BG244" s="47">
        <v>0</v>
      </c>
      <c r="BH244" s="47">
        <v>0</v>
      </c>
      <c r="BI244" s="47">
        <v>0</v>
      </c>
      <c r="BJ244" s="47">
        <v>0</v>
      </c>
      <c r="BK244" s="47">
        <v>0</v>
      </c>
      <c r="BL244" s="47">
        <v>0</v>
      </c>
      <c r="BM244" s="47">
        <v>0</v>
      </c>
      <c r="BN244" s="47">
        <v>0</v>
      </c>
      <c r="BO244" s="47">
        <v>0</v>
      </c>
      <c r="BP244" s="47">
        <v>0</v>
      </c>
      <c r="BQ244" s="47">
        <v>0</v>
      </c>
      <c r="BR244" s="47">
        <v>0</v>
      </c>
      <c r="BS244" s="47">
        <v>0</v>
      </c>
      <c r="BT244" s="47">
        <v>0</v>
      </c>
      <c r="BU244" s="47">
        <v>0</v>
      </c>
      <c r="BV244" s="47">
        <v>0</v>
      </c>
      <c r="BW244" s="47">
        <v>0</v>
      </c>
      <c r="BX244" s="47">
        <v>0</v>
      </c>
      <c r="BY244" s="47">
        <v>0</v>
      </c>
      <c r="BZ244" s="47">
        <v>0</v>
      </c>
      <c r="CA244" s="47">
        <v>0</v>
      </c>
      <c r="CB244" s="47">
        <v>0</v>
      </c>
      <c r="CC244" s="47">
        <v>0</v>
      </c>
      <c r="CD244" s="47">
        <v>0</v>
      </c>
      <c r="CE244" s="47">
        <v>0</v>
      </c>
      <c r="CF244" s="47">
        <v>0</v>
      </c>
      <c r="CG244" s="47">
        <v>0</v>
      </c>
      <c r="CH244" s="47">
        <v>0</v>
      </c>
      <c r="CI244" s="47">
        <v>0</v>
      </c>
      <c r="CJ244" s="47">
        <v>0</v>
      </c>
      <c r="CK244" s="47">
        <v>0</v>
      </c>
      <c r="CL244" s="47">
        <v>0</v>
      </c>
      <c r="CM244" s="47">
        <v>0</v>
      </c>
      <c r="CN244" s="47">
        <v>0</v>
      </c>
      <c r="CO244" s="47">
        <v>0</v>
      </c>
      <c r="CP244" s="47">
        <v>0</v>
      </c>
      <c r="CQ244" s="47">
        <v>0</v>
      </c>
      <c r="CR244" s="47">
        <v>0</v>
      </c>
      <c r="CS244" s="47">
        <v>0</v>
      </c>
      <c r="CT244" s="47">
        <v>0</v>
      </c>
      <c r="CU244" s="47">
        <v>0</v>
      </c>
      <c r="CV244" s="47">
        <v>0</v>
      </c>
      <c r="CW244" s="47">
        <v>0</v>
      </c>
      <c r="CX244" s="47">
        <v>0</v>
      </c>
      <c r="CY244" s="47">
        <v>0</v>
      </c>
      <c r="CZ244" s="47">
        <v>0</v>
      </c>
      <c r="DA244" s="47">
        <v>0</v>
      </c>
      <c r="DB244" s="47">
        <v>0</v>
      </c>
      <c r="DC244" s="47">
        <v>0</v>
      </c>
      <c r="DD244" s="47">
        <v>0</v>
      </c>
      <c r="DE244" s="47">
        <v>0</v>
      </c>
      <c r="DF244" s="47">
        <v>0</v>
      </c>
      <c r="DG244" s="47">
        <v>0</v>
      </c>
      <c r="DH244" s="47">
        <v>0</v>
      </c>
      <c r="DI244" s="47">
        <v>0</v>
      </c>
      <c r="DJ244" s="47">
        <v>0</v>
      </c>
      <c r="DK244" s="47">
        <v>0</v>
      </c>
      <c r="DL244" s="47">
        <v>0</v>
      </c>
      <c r="DM244" s="47">
        <v>0</v>
      </c>
      <c r="DN244" s="47">
        <v>0</v>
      </c>
      <c r="DO244" s="47">
        <v>0</v>
      </c>
      <c r="DP244" s="47">
        <v>0</v>
      </c>
      <c r="DQ244" s="47">
        <v>0</v>
      </c>
      <c r="DR244" s="47">
        <v>0</v>
      </c>
      <c r="DS244" s="47">
        <v>0</v>
      </c>
      <c r="DT244" s="47">
        <v>0</v>
      </c>
    </row>
    <row r="245" spans="1:126" x14ac:dyDescent="0.25">
      <c r="A245" s="47" t="s">
        <v>1234</v>
      </c>
      <c r="B245" s="47" t="s">
        <v>153</v>
      </c>
      <c r="C245" s="47" t="s">
        <v>1235</v>
      </c>
      <c r="D245" s="47" t="s">
        <v>1236</v>
      </c>
      <c r="E245" s="47" t="s">
        <v>1237</v>
      </c>
      <c r="F245" s="47" t="s">
        <v>698</v>
      </c>
      <c r="G245" s="47" t="s">
        <v>727</v>
      </c>
      <c r="H245" s="47" t="str">
        <f>=IFERROR(VLOOKUP(A245,'ETPT Format DDG'!A:J,10,FALSE),"")</f>
        <v>0</v>
      </c>
      <c r="I245" s="47" t="str">
        <f>='ETPT Format DDG'!M245</f>
        <v/>
      </c>
      <c r="J245" s="47" t="str">
        <f>='ETPT Format DDG'!D245</f>
        <v/>
      </c>
      <c r="K245" s="47" t="s">
        <v>157</v>
      </c>
      <c r="L245" s="47" t="s">
        <v>1238</v>
      </c>
      <c r="M245" s="47"/>
      <c r="N245" s="47">
        <v>0.9</v>
      </c>
      <c r="O245" s="47">
        <v>0.9</v>
      </c>
      <c r="P245" s="47">
        <v>0</v>
      </c>
      <c r="Q245" s="47">
        <v>0</v>
      </c>
      <c r="R245" s="47">
        <v>0</v>
      </c>
      <c r="S245" s="47">
        <v>0</v>
      </c>
      <c r="T245" s="47">
        <v>0</v>
      </c>
      <c r="U245" s="47">
        <v>0</v>
      </c>
      <c r="V245" s="47">
        <v>0</v>
      </c>
      <c r="W245" s="47">
        <v>0</v>
      </c>
      <c r="X245" s="47">
        <v>0</v>
      </c>
      <c r="Y245" s="47">
        <v>0</v>
      </c>
      <c r="Z245" s="47">
        <v>0</v>
      </c>
      <c r="AA245" s="47">
        <v>0</v>
      </c>
      <c r="AB245" s="47">
        <v>0</v>
      </c>
      <c r="AC245" s="47">
        <v>0</v>
      </c>
      <c r="AD245" s="47">
        <v>0</v>
      </c>
      <c r="AE245" s="47">
        <v>0</v>
      </c>
      <c r="AF245" s="47">
        <v>0</v>
      </c>
      <c r="AG245" s="47">
        <v>0</v>
      </c>
      <c r="AH245" s="47">
        <v>0</v>
      </c>
      <c r="AI245" s="47">
        <v>0</v>
      </c>
      <c r="AJ245" s="47">
        <v>0</v>
      </c>
      <c r="AK245" s="47">
        <v>0</v>
      </c>
      <c r="AL245" s="47">
        <v>0</v>
      </c>
      <c r="AM245" s="47">
        <v>0</v>
      </c>
      <c r="AN245" s="47">
        <v>0</v>
      </c>
      <c r="AO245" s="47">
        <v>0</v>
      </c>
      <c r="AP245" s="47">
        <v>0</v>
      </c>
      <c r="AQ245" s="47">
        <v>0</v>
      </c>
      <c r="AR245" s="47">
        <v>0</v>
      </c>
      <c r="AS245" s="47">
        <v>0</v>
      </c>
      <c r="AT245" s="47">
        <v>0</v>
      </c>
      <c r="AU245" s="47">
        <v>0</v>
      </c>
      <c r="AV245" s="47">
        <v>0</v>
      </c>
      <c r="AW245" s="47">
        <v>0</v>
      </c>
      <c r="AX245" s="47">
        <v>0</v>
      </c>
      <c r="AY245" s="47">
        <v>0</v>
      </c>
      <c r="AZ245" s="47">
        <v>0</v>
      </c>
      <c r="BA245" s="47">
        <v>0</v>
      </c>
      <c r="BB245" s="47">
        <v>0</v>
      </c>
      <c r="BC245" s="47">
        <v>0</v>
      </c>
      <c r="BD245" s="47">
        <v>0</v>
      </c>
      <c r="BE245" s="47">
        <v>0</v>
      </c>
      <c r="BF245" s="47">
        <v>0</v>
      </c>
      <c r="BG245" s="47">
        <v>0</v>
      </c>
      <c r="BH245" s="47">
        <v>0</v>
      </c>
      <c r="BI245" s="47">
        <v>0</v>
      </c>
      <c r="BJ245" s="47">
        <v>0</v>
      </c>
      <c r="BK245" s="47">
        <v>0</v>
      </c>
      <c r="BL245" s="47">
        <v>0</v>
      </c>
      <c r="BM245" s="47">
        <v>0</v>
      </c>
      <c r="BN245" s="47">
        <v>0</v>
      </c>
      <c r="BO245" s="47">
        <v>0</v>
      </c>
      <c r="BP245" s="47">
        <v>0</v>
      </c>
      <c r="BQ245" s="47">
        <v>0</v>
      </c>
      <c r="BR245" s="47">
        <v>0</v>
      </c>
      <c r="BS245" s="47">
        <v>0</v>
      </c>
      <c r="BT245" s="47">
        <v>0</v>
      </c>
      <c r="BU245" s="47">
        <v>0</v>
      </c>
      <c r="BV245" s="47">
        <v>0</v>
      </c>
      <c r="BW245" s="47">
        <v>0</v>
      </c>
      <c r="BX245" s="47">
        <v>0</v>
      </c>
      <c r="BY245" s="47">
        <v>0</v>
      </c>
      <c r="BZ245" s="47">
        <v>0</v>
      </c>
      <c r="CA245" s="47">
        <v>0</v>
      </c>
      <c r="CB245" s="47">
        <v>0</v>
      </c>
      <c r="CC245" s="47">
        <v>0</v>
      </c>
      <c r="CD245" s="47">
        <v>0</v>
      </c>
      <c r="CE245" s="47">
        <v>0</v>
      </c>
      <c r="CF245" s="47">
        <v>0</v>
      </c>
      <c r="CG245" s="47">
        <v>0</v>
      </c>
      <c r="CH245" s="47">
        <v>0</v>
      </c>
      <c r="CI245" s="47">
        <v>0</v>
      </c>
      <c r="CJ245" s="47">
        <v>0</v>
      </c>
      <c r="CK245" s="47">
        <v>0</v>
      </c>
      <c r="CL245" s="47">
        <v>0</v>
      </c>
      <c r="CM245" s="47">
        <v>0</v>
      </c>
      <c r="CN245" s="47">
        <v>0</v>
      </c>
      <c r="CO245" s="47">
        <v>0</v>
      </c>
      <c r="CP245" s="47">
        <v>0</v>
      </c>
      <c r="CQ245" s="47">
        <v>0.9</v>
      </c>
      <c r="CR245" s="47">
        <v>0</v>
      </c>
      <c r="CS245" s="47">
        <v>0</v>
      </c>
      <c r="CT245" s="47">
        <v>0</v>
      </c>
      <c r="CU245" s="47">
        <v>0</v>
      </c>
      <c r="CV245" s="47">
        <v>0</v>
      </c>
      <c r="CW245" s="47">
        <v>0</v>
      </c>
      <c r="CX245" s="47">
        <v>0</v>
      </c>
      <c r="CY245" s="47">
        <v>0</v>
      </c>
      <c r="CZ245" s="47">
        <v>0</v>
      </c>
      <c r="DA245" s="47">
        <v>0</v>
      </c>
      <c r="DB245" s="47">
        <v>0</v>
      </c>
      <c r="DC245" s="47">
        <v>0</v>
      </c>
      <c r="DD245" s="47">
        <v>0</v>
      </c>
      <c r="DE245" s="47">
        <v>0</v>
      </c>
      <c r="DF245" s="47">
        <v>0</v>
      </c>
      <c r="DG245" s="47">
        <v>0</v>
      </c>
      <c r="DH245" s="47">
        <v>0</v>
      </c>
      <c r="DI245" s="47">
        <v>0</v>
      </c>
      <c r="DJ245" s="47">
        <v>0</v>
      </c>
      <c r="DK245" s="47">
        <v>0</v>
      </c>
      <c r="DL245" s="47">
        <v>0</v>
      </c>
      <c r="DM245" s="47">
        <v>0</v>
      </c>
      <c r="DN245" s="47">
        <v>0</v>
      </c>
      <c r="DO245" s="47">
        <v>0</v>
      </c>
      <c r="DP245" s="47">
        <v>0</v>
      </c>
      <c r="DQ245" s="47">
        <v>0</v>
      </c>
      <c r="DR245" s="47">
        <v>0</v>
      </c>
      <c r="DS245" s="47">
        <v>0</v>
      </c>
      <c r="DT245" s="47">
        <v>0</v>
      </c>
    </row>
    <row r="246" spans="1:126" x14ac:dyDescent="0.25">
      <c r="A246" s="47" t="s">
        <v>1239</v>
      </c>
      <c r="B246" s="47" t="s">
        <v>153</v>
      </c>
      <c r="C246" s="47" t="s">
        <v>1240</v>
      </c>
      <c r="D246" s="47" t="s">
        <v>1241</v>
      </c>
      <c r="E246" s="47" t="s">
        <v>1242</v>
      </c>
      <c r="F246" s="47" t="s">
        <v>698</v>
      </c>
      <c r="G246" s="47" t="s">
        <v>727</v>
      </c>
      <c r="H246" s="47" t="str">
        <f>=IFERROR(VLOOKUP(A246,'ETPT Format DDG'!A:J,10,FALSE),"")</f>
        <v>0</v>
      </c>
      <c r="I246" s="47" t="str">
        <f>='ETPT Format DDG'!M246</f>
        <v/>
      </c>
      <c r="J246" s="47" t="str">
        <f>='ETPT Format DDG'!D246</f>
        <v/>
      </c>
      <c r="K246" s="47" t="s">
        <v>157</v>
      </c>
      <c r="L246" s="47" t="s">
        <v>1243</v>
      </c>
      <c r="M246" s="47"/>
      <c r="N246" s="47">
        <v>0.8</v>
      </c>
      <c r="O246" s="47">
        <v>0.8</v>
      </c>
      <c r="P246" s="47">
        <v>0</v>
      </c>
      <c r="Q246" s="47">
        <v>0</v>
      </c>
      <c r="R246" s="47">
        <v>0</v>
      </c>
      <c r="S246" s="47">
        <v>0</v>
      </c>
      <c r="T246" s="47">
        <v>0</v>
      </c>
      <c r="U246" s="47">
        <v>0</v>
      </c>
      <c r="V246" s="47">
        <v>0</v>
      </c>
      <c r="W246" s="47">
        <v>0</v>
      </c>
      <c r="X246" s="47">
        <v>0</v>
      </c>
      <c r="Y246" s="47">
        <v>0</v>
      </c>
      <c r="Z246" s="47">
        <v>0</v>
      </c>
      <c r="AA246" s="47">
        <v>0</v>
      </c>
      <c r="AB246" s="47">
        <v>0</v>
      </c>
      <c r="AC246" s="47">
        <v>0</v>
      </c>
      <c r="AD246" s="47">
        <v>0</v>
      </c>
      <c r="AE246" s="47">
        <v>0.8</v>
      </c>
      <c r="AF246" s="47">
        <v>0</v>
      </c>
      <c r="AG246" s="47">
        <v>0</v>
      </c>
      <c r="AH246" s="47">
        <v>0</v>
      </c>
      <c r="AI246" s="47">
        <v>0</v>
      </c>
      <c r="AJ246" s="47">
        <v>0</v>
      </c>
      <c r="AK246" s="47">
        <v>0</v>
      </c>
      <c r="AL246" s="47">
        <v>0</v>
      </c>
      <c r="AM246" s="47">
        <v>0</v>
      </c>
      <c r="AN246" s="47">
        <v>0</v>
      </c>
      <c r="AO246" s="47">
        <v>0</v>
      </c>
      <c r="AP246" s="47">
        <v>0</v>
      </c>
      <c r="AQ246" s="47">
        <v>0</v>
      </c>
      <c r="AR246" s="47">
        <v>0</v>
      </c>
      <c r="AS246" s="47">
        <v>0</v>
      </c>
      <c r="AT246" s="47">
        <v>0</v>
      </c>
      <c r="AU246" s="47">
        <v>0</v>
      </c>
      <c r="AV246" s="47">
        <v>0</v>
      </c>
      <c r="AW246" s="47">
        <v>0</v>
      </c>
      <c r="AX246" s="47">
        <v>0</v>
      </c>
      <c r="AY246" s="47">
        <v>0</v>
      </c>
      <c r="AZ246" s="47">
        <v>0</v>
      </c>
      <c r="BA246" s="47">
        <v>0</v>
      </c>
      <c r="BB246" s="47">
        <v>0</v>
      </c>
      <c r="BC246" s="47">
        <v>0</v>
      </c>
      <c r="BD246" s="47">
        <v>0</v>
      </c>
      <c r="BE246" s="47">
        <v>0</v>
      </c>
      <c r="BF246" s="47">
        <v>0</v>
      </c>
      <c r="BG246" s="47">
        <v>0</v>
      </c>
      <c r="BH246" s="47">
        <v>0</v>
      </c>
      <c r="BI246" s="47">
        <v>0</v>
      </c>
      <c r="BJ246" s="47">
        <v>0</v>
      </c>
      <c r="BK246" s="47">
        <v>0</v>
      </c>
      <c r="BL246" s="47">
        <v>0</v>
      </c>
      <c r="BM246" s="47">
        <v>0</v>
      </c>
      <c r="BN246" s="47">
        <v>0</v>
      </c>
      <c r="BO246" s="47">
        <v>0</v>
      </c>
      <c r="BP246" s="47">
        <v>0</v>
      </c>
      <c r="BQ246" s="47">
        <v>0</v>
      </c>
      <c r="BR246" s="47">
        <v>0</v>
      </c>
      <c r="BS246" s="47">
        <v>0</v>
      </c>
      <c r="BT246" s="47">
        <v>0</v>
      </c>
      <c r="BU246" s="47">
        <v>0</v>
      </c>
      <c r="BV246" s="47">
        <v>0</v>
      </c>
      <c r="BW246" s="47">
        <v>0</v>
      </c>
      <c r="BX246" s="47">
        <v>0</v>
      </c>
      <c r="BY246" s="47">
        <v>0</v>
      </c>
      <c r="BZ246" s="47">
        <v>0</v>
      </c>
      <c r="CA246" s="47">
        <v>0</v>
      </c>
      <c r="CB246" s="47">
        <v>0</v>
      </c>
      <c r="CC246" s="47">
        <v>0</v>
      </c>
      <c r="CD246" s="47">
        <v>0</v>
      </c>
      <c r="CE246" s="47">
        <v>0</v>
      </c>
      <c r="CF246" s="47">
        <v>0</v>
      </c>
      <c r="CG246" s="47">
        <v>0</v>
      </c>
      <c r="CH246" s="47">
        <v>0</v>
      </c>
      <c r="CI246" s="47">
        <v>0</v>
      </c>
      <c r="CJ246" s="47">
        <v>0</v>
      </c>
      <c r="CK246" s="47">
        <v>0</v>
      </c>
      <c r="CL246" s="47">
        <v>0</v>
      </c>
      <c r="CM246" s="47">
        <v>0</v>
      </c>
      <c r="CN246" s="47">
        <v>0</v>
      </c>
      <c r="CO246" s="47">
        <v>0</v>
      </c>
      <c r="CP246" s="47">
        <v>0</v>
      </c>
      <c r="CQ246" s="47">
        <v>0</v>
      </c>
      <c r="CR246" s="47">
        <v>0</v>
      </c>
      <c r="CS246" s="47">
        <v>0</v>
      </c>
      <c r="CT246" s="47">
        <v>0</v>
      </c>
      <c r="CU246" s="47">
        <v>0</v>
      </c>
      <c r="CV246" s="47">
        <v>0</v>
      </c>
      <c r="CW246" s="47">
        <v>0</v>
      </c>
      <c r="CX246" s="47">
        <v>0</v>
      </c>
      <c r="CY246" s="47">
        <v>0</v>
      </c>
      <c r="CZ246" s="47">
        <v>0</v>
      </c>
      <c r="DA246" s="47">
        <v>0</v>
      </c>
      <c r="DB246" s="47">
        <v>0</v>
      </c>
      <c r="DC246" s="47">
        <v>0</v>
      </c>
      <c r="DD246" s="47">
        <v>0</v>
      </c>
      <c r="DE246" s="47">
        <v>0</v>
      </c>
      <c r="DF246" s="47">
        <v>0</v>
      </c>
      <c r="DG246" s="47">
        <v>0</v>
      </c>
      <c r="DH246" s="47">
        <v>0</v>
      </c>
      <c r="DI246" s="47">
        <v>0</v>
      </c>
      <c r="DJ246" s="47">
        <v>0</v>
      </c>
      <c r="DK246" s="47">
        <v>0</v>
      </c>
      <c r="DL246" s="47">
        <v>0</v>
      </c>
      <c r="DM246" s="47">
        <v>0</v>
      </c>
      <c r="DN246" s="47">
        <v>0</v>
      </c>
      <c r="DO246" s="47">
        <v>0</v>
      </c>
      <c r="DP246" s="47">
        <v>0</v>
      </c>
      <c r="DQ246" s="47">
        <v>0</v>
      </c>
      <c r="DR246" s="47">
        <v>0</v>
      </c>
      <c r="DS246" s="47">
        <v>0</v>
      </c>
      <c r="DT246" s="47">
        <v>0</v>
      </c>
    </row>
    <row r="247" spans="1:126" x14ac:dyDescent="0.25">
      <c r="A247" s="47" t="s">
        <v>1244</v>
      </c>
      <c r="B247" s="47" t="s">
        <v>153</v>
      </c>
      <c r="C247" s="47" t="s">
        <v>1245</v>
      </c>
      <c r="D247" s="47" t="s">
        <v>1246</v>
      </c>
      <c r="E247" s="47" t="s">
        <v>1247</v>
      </c>
      <c r="F247" s="47" t="s">
        <v>698</v>
      </c>
      <c r="G247" s="47" t="s">
        <v>705</v>
      </c>
      <c r="H247" s="47" t="str">
        <f>=IFERROR(VLOOKUP(A247,'ETPT Format DDG'!A:J,10,FALSE),"")</f>
        <v>0</v>
      </c>
      <c r="I247" s="47" t="str">
        <f>='ETPT Format DDG'!M247</f>
        <v/>
      </c>
      <c r="J247" s="47" t="str">
        <f>='ETPT Format DDG'!D247</f>
        <v/>
      </c>
      <c r="K247" s="47" t="s">
        <v>157</v>
      </c>
      <c r="L247" s="47" t="s">
        <v>1053</v>
      </c>
      <c r="M247" s="47"/>
      <c r="N247" s="47">
        <v>1</v>
      </c>
      <c r="O247" s="47">
        <v>0</v>
      </c>
      <c r="P247" s="47">
        <v>0</v>
      </c>
      <c r="Q247" s="47">
        <v>0</v>
      </c>
      <c r="R247" s="47">
        <v>0</v>
      </c>
      <c r="S247" s="47">
        <v>0</v>
      </c>
      <c r="T247" s="47">
        <v>0</v>
      </c>
      <c r="U247" s="47">
        <v>0</v>
      </c>
      <c r="V247" s="47">
        <v>0</v>
      </c>
      <c r="W247" s="47">
        <v>0</v>
      </c>
      <c r="X247" s="47">
        <v>0</v>
      </c>
      <c r="Y247" s="47">
        <v>0</v>
      </c>
      <c r="Z247" s="47">
        <v>0</v>
      </c>
      <c r="AA247" s="47">
        <v>0</v>
      </c>
      <c r="AB247" s="47">
        <v>0</v>
      </c>
      <c r="AC247" s="47">
        <v>0</v>
      </c>
      <c r="AD247" s="47">
        <v>0</v>
      </c>
      <c r="AE247" s="47">
        <v>0</v>
      </c>
      <c r="AF247" s="47">
        <v>0</v>
      </c>
      <c r="AG247" s="47">
        <v>0</v>
      </c>
      <c r="AH247" s="47">
        <v>0</v>
      </c>
      <c r="AI247" s="47">
        <v>0</v>
      </c>
      <c r="AJ247" s="47">
        <v>0</v>
      </c>
      <c r="AK247" s="47">
        <v>0</v>
      </c>
      <c r="AL247" s="47">
        <v>0</v>
      </c>
      <c r="AM247" s="47">
        <v>0</v>
      </c>
      <c r="AN247" s="47">
        <v>0</v>
      </c>
      <c r="AO247" s="47">
        <v>0</v>
      </c>
      <c r="AP247" s="47">
        <v>0</v>
      </c>
      <c r="AQ247" s="47">
        <v>0</v>
      </c>
      <c r="AR247" s="47">
        <v>0</v>
      </c>
      <c r="AS247" s="47">
        <v>0</v>
      </c>
      <c r="AT247" s="47">
        <v>0</v>
      </c>
      <c r="AU247" s="47">
        <v>0</v>
      </c>
      <c r="AV247" s="47">
        <v>0</v>
      </c>
      <c r="AW247" s="47">
        <v>0</v>
      </c>
      <c r="AX247" s="47">
        <v>0</v>
      </c>
      <c r="AY247" s="47">
        <v>0</v>
      </c>
      <c r="AZ247" s="47">
        <v>0</v>
      </c>
      <c r="BA247" s="47">
        <v>0</v>
      </c>
      <c r="BB247" s="47">
        <v>0</v>
      </c>
      <c r="BC247" s="47">
        <v>0</v>
      </c>
      <c r="BD247" s="47">
        <v>0</v>
      </c>
      <c r="BE247" s="47">
        <v>0</v>
      </c>
      <c r="BF247" s="47">
        <v>0</v>
      </c>
      <c r="BG247" s="47">
        <v>0</v>
      </c>
      <c r="BH247" s="47">
        <v>0</v>
      </c>
      <c r="BI247" s="47">
        <v>0</v>
      </c>
      <c r="BJ247" s="47">
        <v>0</v>
      </c>
      <c r="BK247" s="47">
        <v>0</v>
      </c>
      <c r="BL247" s="47">
        <v>0</v>
      </c>
      <c r="BM247" s="47">
        <v>0</v>
      </c>
      <c r="BN247" s="47">
        <v>0</v>
      </c>
      <c r="BO247" s="47">
        <v>0</v>
      </c>
      <c r="BP247" s="47">
        <v>0</v>
      </c>
      <c r="BQ247" s="47">
        <v>0</v>
      </c>
      <c r="BR247" s="47">
        <v>0</v>
      </c>
      <c r="BS247" s="47">
        <v>0</v>
      </c>
      <c r="BT247" s="47">
        <v>0</v>
      </c>
      <c r="BU247" s="47">
        <v>0</v>
      </c>
      <c r="BV247" s="47">
        <v>0</v>
      </c>
      <c r="BW247" s="47">
        <v>0</v>
      </c>
      <c r="BX247" s="47">
        <v>0</v>
      </c>
      <c r="BY247" s="47">
        <v>0</v>
      </c>
      <c r="BZ247" s="47">
        <v>0</v>
      </c>
      <c r="CA247" s="47">
        <v>0</v>
      </c>
      <c r="CB247" s="47">
        <v>0</v>
      </c>
      <c r="CC247" s="47">
        <v>0</v>
      </c>
      <c r="CD247" s="47">
        <v>0</v>
      </c>
      <c r="CE247" s="47">
        <v>0</v>
      </c>
      <c r="CF247" s="47">
        <v>0</v>
      </c>
      <c r="CG247" s="47">
        <v>0</v>
      </c>
      <c r="CH247" s="47">
        <v>0</v>
      </c>
      <c r="CI247" s="47">
        <v>0</v>
      </c>
      <c r="CJ247" s="47">
        <v>0</v>
      </c>
      <c r="CK247" s="47">
        <v>0</v>
      </c>
      <c r="CL247" s="47">
        <v>0</v>
      </c>
      <c r="CM247" s="47">
        <v>0</v>
      </c>
      <c r="CN247" s="47">
        <v>0</v>
      </c>
      <c r="CO247" s="47">
        <v>0</v>
      </c>
      <c r="CP247" s="47">
        <v>0</v>
      </c>
      <c r="CQ247" s="47">
        <v>0</v>
      </c>
      <c r="CR247" s="47">
        <v>0</v>
      </c>
      <c r="CS247" s="47">
        <v>0</v>
      </c>
      <c r="CT247" s="47">
        <v>0</v>
      </c>
      <c r="CU247" s="47">
        <v>0</v>
      </c>
      <c r="CV247" s="47">
        <v>0</v>
      </c>
      <c r="CW247" s="47">
        <v>0</v>
      </c>
      <c r="CX247" s="47">
        <v>0</v>
      </c>
      <c r="CY247" s="47">
        <v>0</v>
      </c>
      <c r="CZ247" s="47">
        <v>0</v>
      </c>
      <c r="DA247" s="47">
        <v>0</v>
      </c>
      <c r="DB247" s="47">
        <v>0</v>
      </c>
      <c r="DC247" s="47">
        <v>0</v>
      </c>
      <c r="DD247" s="47">
        <v>0</v>
      </c>
      <c r="DE247" s="47">
        <v>0</v>
      </c>
      <c r="DF247" s="47">
        <v>0</v>
      </c>
      <c r="DG247" s="47">
        <v>0</v>
      </c>
      <c r="DH247" s="47">
        <v>0</v>
      </c>
      <c r="DI247" s="47">
        <v>0</v>
      </c>
      <c r="DJ247" s="47">
        <v>0</v>
      </c>
      <c r="DK247" s="47">
        <v>0</v>
      </c>
      <c r="DL247" s="47">
        <v>0</v>
      </c>
      <c r="DM247" s="47">
        <v>0</v>
      </c>
      <c r="DN247" s="47">
        <v>0</v>
      </c>
      <c r="DO247" s="47">
        <v>0</v>
      </c>
      <c r="DP247" s="47">
        <v>0</v>
      </c>
      <c r="DQ247" s="47">
        <v>0</v>
      </c>
      <c r="DR247" s="47">
        <v>0</v>
      </c>
      <c r="DS247" s="47">
        <v>0</v>
      </c>
      <c r="DT247" s="47">
        <v>0</v>
      </c>
    </row>
    <row r="248" spans="1:126" x14ac:dyDescent="0.25">
      <c r="A248" s="47" t="s">
        <v>1248</v>
      </c>
      <c r="B248" s="47" t="s">
        <v>153</v>
      </c>
      <c r="C248" s="47" t="s">
        <v>1249</v>
      </c>
      <c r="D248" s="47" t="s">
        <v>1250</v>
      </c>
      <c r="E248" s="47" t="s">
        <v>1251</v>
      </c>
      <c r="F248" s="47" t="s">
        <v>698</v>
      </c>
      <c r="G248" s="47" t="s">
        <v>1252</v>
      </c>
      <c r="H248" s="47" t="str">
        <f>=IFERROR(VLOOKUP(A248,'ETPT Format DDG'!A:J,10,FALSE),"")</f>
        <v>0</v>
      </c>
      <c r="I248" s="47" t="str">
        <f>='ETPT Format DDG'!M248</f>
        <v/>
      </c>
      <c r="J248" s="47" t="str">
        <f>='ETPT Format DDG'!D248</f>
        <v/>
      </c>
      <c r="K248" s="47" t="s">
        <v>157</v>
      </c>
      <c r="L248" s="47" t="s">
        <v>1243</v>
      </c>
      <c r="M248" s="47"/>
      <c r="N248" s="47">
        <v>1</v>
      </c>
      <c r="O248" s="47">
        <v>1</v>
      </c>
      <c r="P248" s="47">
        <v>0</v>
      </c>
      <c r="Q248" s="47">
        <v>0</v>
      </c>
      <c r="R248" s="47">
        <v>0</v>
      </c>
      <c r="S248" s="47">
        <v>0</v>
      </c>
      <c r="T248" s="47">
        <v>0</v>
      </c>
      <c r="U248" s="47">
        <v>0</v>
      </c>
      <c r="V248" s="47">
        <v>0</v>
      </c>
      <c r="W248" s="47">
        <v>0</v>
      </c>
      <c r="X248" s="47">
        <v>0</v>
      </c>
      <c r="Y248" s="47">
        <v>0</v>
      </c>
      <c r="Z248" s="47">
        <v>0</v>
      </c>
      <c r="AA248" s="47">
        <v>0</v>
      </c>
      <c r="AB248" s="47">
        <v>0</v>
      </c>
      <c r="AC248" s="47">
        <v>0</v>
      </c>
      <c r="AD248" s="47">
        <v>0</v>
      </c>
      <c r="AE248" s="47">
        <v>0</v>
      </c>
      <c r="AF248" s="47">
        <v>0</v>
      </c>
      <c r="AG248" s="47">
        <v>0</v>
      </c>
      <c r="AH248" s="47">
        <v>0</v>
      </c>
      <c r="AI248" s="47">
        <v>0</v>
      </c>
      <c r="AJ248" s="47">
        <v>0</v>
      </c>
      <c r="AK248" s="47">
        <v>0</v>
      </c>
      <c r="AL248" s="47">
        <v>0</v>
      </c>
      <c r="AM248" s="47">
        <v>0</v>
      </c>
      <c r="AN248" s="47">
        <v>0</v>
      </c>
      <c r="AO248" s="47">
        <v>0</v>
      </c>
      <c r="AP248" s="47">
        <v>0</v>
      </c>
      <c r="AQ248" s="47">
        <v>0</v>
      </c>
      <c r="AR248" s="47">
        <v>0</v>
      </c>
      <c r="AS248" s="47">
        <v>0</v>
      </c>
      <c r="AT248" s="47">
        <v>0</v>
      </c>
      <c r="AU248" s="47">
        <v>0</v>
      </c>
      <c r="AV248" s="47">
        <v>0</v>
      </c>
      <c r="AW248" s="47">
        <v>0</v>
      </c>
      <c r="AX248" s="47">
        <v>0</v>
      </c>
      <c r="AY248" s="47">
        <v>0</v>
      </c>
      <c r="AZ248" s="47">
        <v>0</v>
      </c>
      <c r="BA248" s="47">
        <v>0</v>
      </c>
      <c r="BB248" s="47">
        <v>0</v>
      </c>
      <c r="BC248" s="47">
        <v>0</v>
      </c>
      <c r="BD248" s="47">
        <v>0</v>
      </c>
      <c r="BE248" s="47">
        <v>0</v>
      </c>
      <c r="BF248" s="47">
        <v>0</v>
      </c>
      <c r="BG248" s="47">
        <v>0</v>
      </c>
      <c r="BH248" s="47">
        <v>0</v>
      </c>
      <c r="BI248" s="47">
        <v>0</v>
      </c>
      <c r="BJ248" s="47">
        <v>0</v>
      </c>
      <c r="BK248" s="47">
        <v>0</v>
      </c>
      <c r="BL248" s="47">
        <v>0</v>
      </c>
      <c r="BM248" s="47">
        <v>0</v>
      </c>
      <c r="BN248" s="47">
        <v>0</v>
      </c>
      <c r="BO248" s="47">
        <v>1</v>
      </c>
      <c r="BP248" s="47">
        <v>0</v>
      </c>
      <c r="BQ248" s="47">
        <v>0</v>
      </c>
      <c r="BR248" s="47">
        <v>0</v>
      </c>
      <c r="BS248" s="47">
        <v>0</v>
      </c>
      <c r="BT248" s="47">
        <v>0</v>
      </c>
      <c r="BU248" s="47">
        <v>0</v>
      </c>
      <c r="BV248" s="47">
        <v>0</v>
      </c>
      <c r="BW248" s="47">
        <v>0</v>
      </c>
      <c r="BX248" s="47">
        <v>0</v>
      </c>
      <c r="BY248" s="47">
        <v>0.5</v>
      </c>
      <c r="BZ248" s="47">
        <v>0</v>
      </c>
      <c r="CA248" s="47">
        <v>0</v>
      </c>
      <c r="CB248" s="47">
        <v>0</v>
      </c>
      <c r="CC248" s="47">
        <v>0</v>
      </c>
      <c r="CD248" s="47">
        <v>0.5</v>
      </c>
      <c r="CE248" s="47">
        <v>0</v>
      </c>
      <c r="CF248" s="47">
        <v>0</v>
      </c>
      <c r="CG248" s="47">
        <v>0</v>
      </c>
      <c r="CH248" s="47">
        <v>0</v>
      </c>
      <c r="CI248" s="47">
        <v>0</v>
      </c>
      <c r="CJ248" s="47">
        <v>0</v>
      </c>
      <c r="CK248" s="47">
        <v>0</v>
      </c>
      <c r="CL248" s="47">
        <v>0</v>
      </c>
      <c r="CM248" s="47">
        <v>0</v>
      </c>
      <c r="CN248" s="47">
        <v>0</v>
      </c>
      <c r="CO248" s="47">
        <v>0</v>
      </c>
      <c r="CP248" s="47">
        <v>0</v>
      </c>
      <c r="CQ248" s="47">
        <v>0</v>
      </c>
      <c r="CR248" s="47">
        <v>0</v>
      </c>
      <c r="CS248" s="47">
        <v>0</v>
      </c>
      <c r="CT248" s="47">
        <v>0</v>
      </c>
      <c r="CU248" s="47">
        <v>0</v>
      </c>
      <c r="CV248" s="47">
        <v>0</v>
      </c>
      <c r="CW248" s="47">
        <v>0</v>
      </c>
      <c r="CX248" s="47">
        <v>0</v>
      </c>
      <c r="CY248" s="47">
        <v>0</v>
      </c>
      <c r="CZ248" s="47">
        <v>0</v>
      </c>
      <c r="DA248" s="47">
        <v>0</v>
      </c>
      <c r="DB248" s="47">
        <v>0</v>
      </c>
      <c r="DC248" s="47">
        <v>0</v>
      </c>
      <c r="DD248" s="47">
        <v>0</v>
      </c>
      <c r="DE248" s="47">
        <v>0</v>
      </c>
      <c r="DF248" s="47">
        <v>0</v>
      </c>
      <c r="DG248" s="47">
        <v>0</v>
      </c>
      <c r="DH248" s="47">
        <v>0</v>
      </c>
      <c r="DI248" s="47">
        <v>0</v>
      </c>
      <c r="DJ248" s="47">
        <v>0</v>
      </c>
      <c r="DK248" s="47">
        <v>0</v>
      </c>
      <c r="DL248" s="47">
        <v>0</v>
      </c>
      <c r="DM248" s="47">
        <v>0</v>
      </c>
      <c r="DN248" s="47">
        <v>0</v>
      </c>
      <c r="DO248" s="47">
        <v>0</v>
      </c>
      <c r="DP248" s="47">
        <v>0</v>
      </c>
      <c r="DQ248" s="47">
        <v>0</v>
      </c>
      <c r="DR248" s="47">
        <v>0</v>
      </c>
      <c r="DS248" s="47">
        <v>0</v>
      </c>
      <c r="DT248" s="47">
        <v>0</v>
      </c>
    </row>
    <row r="249" spans="1:126" x14ac:dyDescent="0.25">
      <c r="A249" s="47" t="s">
        <v>1253</v>
      </c>
      <c r="B249" s="47" t="s">
        <v>153</v>
      </c>
      <c r="C249" s="47" t="s">
        <v>1254</v>
      </c>
      <c r="D249" s="47" t="s">
        <v>1255</v>
      </c>
      <c r="E249" s="47" t="s">
        <v>1256</v>
      </c>
      <c r="F249" s="47" t="s">
        <v>698</v>
      </c>
      <c r="G249" s="47" t="s">
        <v>727</v>
      </c>
      <c r="H249" s="47" t="str">
        <f>=IFERROR(VLOOKUP(A249,'ETPT Format DDG'!A:J,10,FALSE),"")</f>
        <v>0</v>
      </c>
      <c r="I249" s="47" t="str">
        <f>='ETPT Format DDG'!M249</f>
        <v/>
      </c>
      <c r="J249" s="47" t="str">
        <f>='ETPT Format DDG'!D249</f>
        <v/>
      </c>
      <c r="K249" s="47" t="s">
        <v>157</v>
      </c>
      <c r="L249" s="47" t="s">
        <v>753</v>
      </c>
      <c r="M249" s="47"/>
      <c r="N249" s="47">
        <v>0.8</v>
      </c>
      <c r="O249" s="47">
        <v>0</v>
      </c>
      <c r="P249" s="47">
        <v>0</v>
      </c>
      <c r="Q249" s="47">
        <v>0</v>
      </c>
      <c r="R249" s="47">
        <v>0</v>
      </c>
      <c r="S249" s="47">
        <v>0</v>
      </c>
      <c r="T249" s="47">
        <v>0</v>
      </c>
      <c r="U249" s="47">
        <v>0</v>
      </c>
      <c r="V249" s="47">
        <v>0</v>
      </c>
      <c r="W249" s="47">
        <v>0</v>
      </c>
      <c r="X249" s="47">
        <v>0</v>
      </c>
      <c r="Y249" s="47">
        <v>0</v>
      </c>
      <c r="Z249" s="47">
        <v>0</v>
      </c>
      <c r="AA249" s="47">
        <v>0</v>
      </c>
      <c r="AB249" s="47">
        <v>0</v>
      </c>
      <c r="AC249" s="47">
        <v>0</v>
      </c>
      <c r="AD249" s="47">
        <v>0</v>
      </c>
      <c r="AE249" s="47">
        <v>0</v>
      </c>
      <c r="AF249" s="47">
        <v>0</v>
      </c>
      <c r="AG249" s="47">
        <v>0</v>
      </c>
      <c r="AH249" s="47">
        <v>0</v>
      </c>
      <c r="AI249" s="47">
        <v>0</v>
      </c>
      <c r="AJ249" s="47">
        <v>0</v>
      </c>
      <c r="AK249" s="47">
        <v>0</v>
      </c>
      <c r="AL249" s="47">
        <v>0</v>
      </c>
      <c r="AM249" s="47">
        <v>0</v>
      </c>
      <c r="AN249" s="47">
        <v>0</v>
      </c>
      <c r="AO249" s="47">
        <v>0</v>
      </c>
      <c r="AP249" s="47">
        <v>0</v>
      </c>
      <c r="AQ249" s="47">
        <v>0</v>
      </c>
      <c r="AR249" s="47">
        <v>0</v>
      </c>
      <c r="AS249" s="47">
        <v>0</v>
      </c>
      <c r="AT249" s="47">
        <v>0</v>
      </c>
      <c r="AU249" s="47">
        <v>0</v>
      </c>
      <c r="AV249" s="47">
        <v>0</v>
      </c>
      <c r="AW249" s="47">
        <v>0</v>
      </c>
      <c r="AX249" s="47">
        <v>0</v>
      </c>
      <c r="AY249" s="47">
        <v>0</v>
      </c>
      <c r="AZ249" s="47">
        <v>0</v>
      </c>
      <c r="BA249" s="47">
        <v>0</v>
      </c>
      <c r="BB249" s="47">
        <v>0</v>
      </c>
      <c r="BC249" s="47">
        <v>0</v>
      </c>
      <c r="BD249" s="47">
        <v>0</v>
      </c>
      <c r="BE249" s="47">
        <v>0</v>
      </c>
      <c r="BF249" s="47">
        <v>0</v>
      </c>
      <c r="BG249" s="47">
        <v>0</v>
      </c>
      <c r="BH249" s="47">
        <v>0</v>
      </c>
      <c r="BI249" s="47">
        <v>0</v>
      </c>
      <c r="BJ249" s="47">
        <v>0</v>
      </c>
      <c r="BK249" s="47">
        <v>0</v>
      </c>
      <c r="BL249" s="47">
        <v>0</v>
      </c>
      <c r="BM249" s="47">
        <v>0</v>
      </c>
      <c r="BN249" s="47">
        <v>0</v>
      </c>
      <c r="BO249" s="47">
        <v>0</v>
      </c>
      <c r="BP249" s="47">
        <v>0</v>
      </c>
      <c r="BQ249" s="47">
        <v>0</v>
      </c>
      <c r="BR249" s="47">
        <v>0</v>
      </c>
      <c r="BS249" s="47">
        <v>0</v>
      </c>
      <c r="BT249" s="47">
        <v>0</v>
      </c>
      <c r="BU249" s="47">
        <v>0</v>
      </c>
      <c r="BV249" s="47">
        <v>0</v>
      </c>
      <c r="BW249" s="47">
        <v>0</v>
      </c>
      <c r="BX249" s="47">
        <v>0</v>
      </c>
      <c r="BY249" s="47">
        <v>0</v>
      </c>
      <c r="BZ249" s="47">
        <v>0</v>
      </c>
      <c r="CA249" s="47">
        <v>0</v>
      </c>
      <c r="CB249" s="47">
        <v>0</v>
      </c>
      <c r="CC249" s="47">
        <v>0</v>
      </c>
      <c r="CD249" s="47">
        <v>0</v>
      </c>
      <c r="CE249" s="47">
        <v>0</v>
      </c>
      <c r="CF249" s="47">
        <v>0</v>
      </c>
      <c r="CG249" s="47">
        <v>0</v>
      </c>
      <c r="CH249" s="47">
        <v>0</v>
      </c>
      <c r="CI249" s="47">
        <v>0</v>
      </c>
      <c r="CJ249" s="47">
        <v>0</v>
      </c>
      <c r="CK249" s="47">
        <v>0</v>
      </c>
      <c r="CL249" s="47">
        <v>0</v>
      </c>
      <c r="CM249" s="47">
        <v>0</v>
      </c>
      <c r="CN249" s="47">
        <v>0</v>
      </c>
      <c r="CO249" s="47">
        <v>0</v>
      </c>
      <c r="CP249" s="47">
        <v>0</v>
      </c>
      <c r="CQ249" s="47">
        <v>0</v>
      </c>
      <c r="CR249" s="47">
        <v>0</v>
      </c>
      <c r="CS249" s="47">
        <v>0</v>
      </c>
      <c r="CT249" s="47">
        <v>0</v>
      </c>
      <c r="CU249" s="47">
        <v>0</v>
      </c>
      <c r="CV249" s="47">
        <v>0</v>
      </c>
      <c r="CW249" s="47">
        <v>0</v>
      </c>
      <c r="CX249" s="47">
        <v>0</v>
      </c>
      <c r="CY249" s="47">
        <v>0</v>
      </c>
      <c r="CZ249" s="47">
        <v>0</v>
      </c>
      <c r="DA249" s="47">
        <v>0</v>
      </c>
      <c r="DB249" s="47">
        <v>0</v>
      </c>
      <c r="DC249" s="47">
        <v>0</v>
      </c>
      <c r="DD249" s="47">
        <v>0</v>
      </c>
      <c r="DE249" s="47">
        <v>0</v>
      </c>
      <c r="DF249" s="47">
        <v>0</v>
      </c>
      <c r="DG249" s="47">
        <v>0</v>
      </c>
      <c r="DH249" s="47">
        <v>0</v>
      </c>
      <c r="DI249" s="47">
        <v>0</v>
      </c>
      <c r="DJ249" s="47">
        <v>0</v>
      </c>
      <c r="DK249" s="47">
        <v>0</v>
      </c>
      <c r="DL249" s="47">
        <v>0</v>
      </c>
      <c r="DM249" s="47">
        <v>0</v>
      </c>
      <c r="DN249" s="47">
        <v>0</v>
      </c>
      <c r="DO249" s="47">
        <v>0</v>
      </c>
      <c r="DP249" s="47">
        <v>0</v>
      </c>
      <c r="DQ249" s="47">
        <v>0</v>
      </c>
      <c r="DR249" s="47">
        <v>0</v>
      </c>
      <c r="DS249" s="47">
        <v>0</v>
      </c>
      <c r="DT249" s="47">
        <v>0</v>
      </c>
    </row>
    <row r="250" spans="1:126" x14ac:dyDescent="0.25">
      <c r="A250" s="47" t="s">
        <v>1257</v>
      </c>
      <c r="B250" s="47" t="s">
        <v>153</v>
      </c>
      <c r="C250" s="47" t="s">
        <v>1258</v>
      </c>
      <c r="D250" s="47" t="s">
        <v>1259</v>
      </c>
      <c r="E250" s="47" t="s">
        <v>1260</v>
      </c>
      <c r="F250" s="47" t="s">
        <v>698</v>
      </c>
      <c r="G250" s="47" t="s">
        <v>727</v>
      </c>
      <c r="H250" s="47" t="str">
        <f>=IFERROR(VLOOKUP(A250,'ETPT Format DDG'!A:J,10,FALSE),"")</f>
        <v>0</v>
      </c>
      <c r="I250" s="47" t="str">
        <f>='ETPT Format DDG'!M250</f>
        <v/>
      </c>
      <c r="J250" s="47" t="str">
        <f>='ETPT Format DDG'!D250</f>
        <v/>
      </c>
      <c r="K250" s="47" t="s">
        <v>157</v>
      </c>
      <c r="L250" s="47" t="s">
        <v>1261</v>
      </c>
      <c r="M250" s="47"/>
      <c r="N250" s="47">
        <v>0.8</v>
      </c>
      <c r="O250" s="47">
        <v>0.8</v>
      </c>
      <c r="P250" s="47">
        <v>0</v>
      </c>
      <c r="Q250" s="47">
        <v>0</v>
      </c>
      <c r="R250" s="47">
        <v>0</v>
      </c>
      <c r="S250" s="47">
        <v>0</v>
      </c>
      <c r="T250" s="47">
        <v>0</v>
      </c>
      <c r="U250" s="47">
        <v>0</v>
      </c>
      <c r="V250" s="47">
        <v>0</v>
      </c>
      <c r="W250" s="47">
        <v>0</v>
      </c>
      <c r="X250" s="47">
        <v>0</v>
      </c>
      <c r="Y250" s="47">
        <v>0</v>
      </c>
      <c r="Z250" s="47">
        <v>0</v>
      </c>
      <c r="AA250" s="47">
        <v>0</v>
      </c>
      <c r="AB250" s="47">
        <v>0</v>
      </c>
      <c r="AC250" s="47">
        <v>0</v>
      </c>
      <c r="AD250" s="47">
        <v>0</v>
      </c>
      <c r="AE250" s="47">
        <v>0</v>
      </c>
      <c r="AF250" s="47">
        <v>0</v>
      </c>
      <c r="AG250" s="47">
        <v>0</v>
      </c>
      <c r="AH250" s="47">
        <v>0</v>
      </c>
      <c r="AI250" s="47">
        <v>0</v>
      </c>
      <c r="AJ250" s="47">
        <v>0</v>
      </c>
      <c r="AK250" s="47">
        <v>0</v>
      </c>
      <c r="AL250" s="47">
        <v>0</v>
      </c>
      <c r="AM250" s="47">
        <v>0</v>
      </c>
      <c r="AN250" s="47">
        <v>0.8</v>
      </c>
      <c r="AO250" s="47">
        <v>0</v>
      </c>
      <c r="AP250" s="47">
        <v>0</v>
      </c>
      <c r="AQ250" s="47">
        <v>0</v>
      </c>
      <c r="AR250" s="47">
        <v>0</v>
      </c>
      <c r="AS250" s="47">
        <v>0</v>
      </c>
      <c r="AT250" s="47">
        <v>0</v>
      </c>
      <c r="AU250" s="47">
        <v>0</v>
      </c>
      <c r="AV250" s="47">
        <v>0</v>
      </c>
      <c r="AW250" s="47">
        <v>0</v>
      </c>
      <c r="AX250" s="47">
        <v>0</v>
      </c>
      <c r="AY250" s="47">
        <v>0</v>
      </c>
      <c r="AZ250" s="47">
        <v>0</v>
      </c>
      <c r="BA250" s="47">
        <v>0</v>
      </c>
      <c r="BB250" s="47">
        <v>0</v>
      </c>
      <c r="BC250" s="47">
        <v>0</v>
      </c>
      <c r="BD250" s="47">
        <v>0</v>
      </c>
      <c r="BE250" s="47">
        <v>0</v>
      </c>
      <c r="BF250" s="47">
        <v>0</v>
      </c>
      <c r="BG250" s="47">
        <v>0</v>
      </c>
      <c r="BH250" s="47">
        <v>0</v>
      </c>
      <c r="BI250" s="47">
        <v>0</v>
      </c>
      <c r="BJ250" s="47">
        <v>0</v>
      </c>
      <c r="BK250" s="47">
        <v>0</v>
      </c>
      <c r="BL250" s="47">
        <v>0</v>
      </c>
      <c r="BM250" s="47">
        <v>0</v>
      </c>
      <c r="BN250" s="47">
        <v>0</v>
      </c>
      <c r="BO250" s="47">
        <v>0</v>
      </c>
      <c r="BP250" s="47">
        <v>0</v>
      </c>
      <c r="BQ250" s="47">
        <v>0</v>
      </c>
      <c r="BR250" s="47">
        <v>0</v>
      </c>
      <c r="BS250" s="47">
        <v>0</v>
      </c>
      <c r="BT250" s="47">
        <v>0</v>
      </c>
      <c r="BU250" s="47">
        <v>0</v>
      </c>
      <c r="BV250" s="47">
        <v>0</v>
      </c>
      <c r="BW250" s="47">
        <v>0</v>
      </c>
      <c r="BX250" s="47">
        <v>0</v>
      </c>
      <c r="BY250" s="47">
        <v>0</v>
      </c>
      <c r="BZ250" s="47">
        <v>0</v>
      </c>
      <c r="CA250" s="47">
        <v>0</v>
      </c>
      <c r="CB250" s="47">
        <v>0</v>
      </c>
      <c r="CC250" s="47">
        <v>0</v>
      </c>
      <c r="CD250" s="47">
        <v>0</v>
      </c>
      <c r="CE250" s="47">
        <v>0</v>
      </c>
      <c r="CF250" s="47">
        <v>0</v>
      </c>
      <c r="CG250" s="47">
        <v>0</v>
      </c>
      <c r="CH250" s="47">
        <v>0</v>
      </c>
      <c r="CI250" s="47">
        <v>0</v>
      </c>
      <c r="CJ250" s="47">
        <v>0</v>
      </c>
      <c r="CK250" s="47">
        <v>0</v>
      </c>
      <c r="CL250" s="47">
        <v>0</v>
      </c>
      <c r="CM250" s="47">
        <v>0</v>
      </c>
      <c r="CN250" s="47">
        <v>0</v>
      </c>
      <c r="CO250" s="47">
        <v>0</v>
      </c>
      <c r="CP250" s="47">
        <v>0</v>
      </c>
      <c r="CQ250" s="47">
        <v>0</v>
      </c>
      <c r="CR250" s="47">
        <v>0</v>
      </c>
      <c r="CS250" s="47">
        <v>0</v>
      </c>
      <c r="CT250" s="47">
        <v>0</v>
      </c>
      <c r="CU250" s="47">
        <v>0</v>
      </c>
      <c r="CV250" s="47">
        <v>0</v>
      </c>
      <c r="CW250" s="47">
        <v>0</v>
      </c>
      <c r="CX250" s="47">
        <v>0</v>
      </c>
      <c r="CY250" s="47">
        <v>0</v>
      </c>
      <c r="CZ250" s="47">
        <v>0</v>
      </c>
      <c r="DA250" s="47">
        <v>0</v>
      </c>
      <c r="DB250" s="47">
        <v>0</v>
      </c>
      <c r="DC250" s="47">
        <v>0</v>
      </c>
      <c r="DD250" s="47">
        <v>0</v>
      </c>
      <c r="DE250" s="47">
        <v>0</v>
      </c>
      <c r="DF250" s="47">
        <v>0</v>
      </c>
      <c r="DG250" s="47">
        <v>0</v>
      </c>
      <c r="DH250" s="47">
        <v>0</v>
      </c>
      <c r="DI250" s="47">
        <v>0</v>
      </c>
      <c r="DJ250" s="47">
        <v>0</v>
      </c>
      <c r="DK250" s="47">
        <v>0</v>
      </c>
      <c r="DL250" s="47">
        <v>0</v>
      </c>
      <c r="DM250" s="47">
        <v>0</v>
      </c>
      <c r="DN250" s="47">
        <v>0</v>
      </c>
      <c r="DO250" s="47">
        <v>0</v>
      </c>
      <c r="DP250" s="47">
        <v>0</v>
      </c>
      <c r="DQ250" s="47">
        <v>0</v>
      </c>
      <c r="DR250" s="47">
        <v>0</v>
      </c>
      <c r="DS250" s="47">
        <v>0</v>
      </c>
      <c r="DT250" s="47">
        <v>0</v>
      </c>
    </row>
    <row r="251" spans="1:126" x14ac:dyDescent="0.25">
      <c r="A251" s="47" t="s">
        <v>1262</v>
      </c>
      <c r="B251" s="47" t="s">
        <v>153</v>
      </c>
      <c r="C251" s="47" t="s">
        <v>1263</v>
      </c>
      <c r="D251" s="47" t="s">
        <v>1264</v>
      </c>
      <c r="E251" s="47" t="s">
        <v>1265</v>
      </c>
      <c r="F251" s="47" t="s">
        <v>698</v>
      </c>
      <c r="G251" s="47" t="s">
        <v>727</v>
      </c>
      <c r="H251" s="47" t="str">
        <f>=IFERROR(VLOOKUP(A251,'ETPT Format DDG'!A:J,10,FALSE),"")</f>
        <v>0</v>
      </c>
      <c r="I251" s="47" t="str">
        <f>='ETPT Format DDG'!M251</f>
        <v/>
      </c>
      <c r="J251" s="47" t="str">
        <f>='ETPT Format DDG'!D251</f>
        <v/>
      </c>
      <c r="K251" s="47" t="s">
        <v>157</v>
      </c>
      <c r="L251" s="47" t="s">
        <v>1039</v>
      </c>
      <c r="M251" s="47"/>
      <c r="N251" s="47">
        <v>0.8</v>
      </c>
      <c r="O251" s="47">
        <v>0</v>
      </c>
      <c r="P251" s="47">
        <v>0</v>
      </c>
      <c r="Q251" s="47">
        <v>0</v>
      </c>
      <c r="R251" s="47">
        <v>0</v>
      </c>
      <c r="S251" s="47">
        <v>0</v>
      </c>
      <c r="T251" s="47">
        <v>0</v>
      </c>
      <c r="U251" s="47">
        <v>0</v>
      </c>
      <c r="V251" s="47">
        <v>0</v>
      </c>
      <c r="W251" s="47">
        <v>0</v>
      </c>
      <c r="X251" s="47">
        <v>0</v>
      </c>
      <c r="Y251" s="47">
        <v>0</v>
      </c>
      <c r="Z251" s="47">
        <v>0</v>
      </c>
      <c r="AA251" s="47">
        <v>0</v>
      </c>
      <c r="AB251" s="47">
        <v>0</v>
      </c>
      <c r="AC251" s="47">
        <v>0</v>
      </c>
      <c r="AD251" s="47">
        <v>0</v>
      </c>
      <c r="AE251" s="47">
        <v>0</v>
      </c>
      <c r="AF251" s="47">
        <v>0</v>
      </c>
      <c r="AG251" s="47">
        <v>0</v>
      </c>
      <c r="AH251" s="47">
        <v>0</v>
      </c>
      <c r="AI251" s="47">
        <v>0</v>
      </c>
      <c r="AJ251" s="47">
        <v>0</v>
      </c>
      <c r="AK251" s="47">
        <v>0</v>
      </c>
      <c r="AL251" s="47">
        <v>0</v>
      </c>
      <c r="AM251" s="47">
        <v>0</v>
      </c>
      <c r="AN251" s="47">
        <v>0</v>
      </c>
      <c r="AO251" s="47">
        <v>0</v>
      </c>
      <c r="AP251" s="47">
        <v>0</v>
      </c>
      <c r="AQ251" s="47">
        <v>0</v>
      </c>
      <c r="AR251" s="47">
        <v>0</v>
      </c>
      <c r="AS251" s="47">
        <v>0</v>
      </c>
      <c r="AT251" s="47">
        <v>0</v>
      </c>
      <c r="AU251" s="47">
        <v>0</v>
      </c>
      <c r="AV251" s="47">
        <v>0</v>
      </c>
      <c r="AW251" s="47">
        <v>0</v>
      </c>
      <c r="AX251" s="47">
        <v>0</v>
      </c>
      <c r="AY251" s="47">
        <v>0</v>
      </c>
      <c r="AZ251" s="47">
        <v>0</v>
      </c>
      <c r="BA251" s="47">
        <v>0</v>
      </c>
      <c r="BB251" s="47">
        <v>0</v>
      </c>
      <c r="BC251" s="47">
        <v>0</v>
      </c>
      <c r="BD251" s="47">
        <v>0</v>
      </c>
      <c r="BE251" s="47">
        <v>0</v>
      </c>
      <c r="BF251" s="47">
        <v>0</v>
      </c>
      <c r="BG251" s="47">
        <v>0</v>
      </c>
      <c r="BH251" s="47">
        <v>0</v>
      </c>
      <c r="BI251" s="47">
        <v>0</v>
      </c>
      <c r="BJ251" s="47">
        <v>0</v>
      </c>
      <c r="BK251" s="47">
        <v>0</v>
      </c>
      <c r="BL251" s="47">
        <v>0</v>
      </c>
      <c r="BM251" s="47">
        <v>0</v>
      </c>
      <c r="BN251" s="47">
        <v>0</v>
      </c>
      <c r="BO251" s="47">
        <v>0</v>
      </c>
      <c r="BP251" s="47">
        <v>0</v>
      </c>
      <c r="BQ251" s="47">
        <v>0</v>
      </c>
      <c r="BR251" s="47">
        <v>0</v>
      </c>
      <c r="BS251" s="47">
        <v>0</v>
      </c>
      <c r="BT251" s="47">
        <v>0</v>
      </c>
      <c r="BU251" s="47">
        <v>0</v>
      </c>
      <c r="BV251" s="47">
        <v>0</v>
      </c>
      <c r="BW251" s="47">
        <v>0</v>
      </c>
      <c r="BX251" s="47">
        <v>0</v>
      </c>
      <c r="BY251" s="47">
        <v>0</v>
      </c>
      <c r="BZ251" s="47">
        <v>0</v>
      </c>
      <c r="CA251" s="47">
        <v>0</v>
      </c>
      <c r="CB251" s="47">
        <v>0</v>
      </c>
      <c r="CC251" s="47">
        <v>0</v>
      </c>
      <c r="CD251" s="47">
        <v>0</v>
      </c>
      <c r="CE251" s="47">
        <v>0</v>
      </c>
      <c r="CF251" s="47">
        <v>0</v>
      </c>
      <c r="CG251" s="47">
        <v>0</v>
      </c>
      <c r="CH251" s="47">
        <v>0</v>
      </c>
      <c r="CI251" s="47">
        <v>0</v>
      </c>
      <c r="CJ251" s="47">
        <v>0</v>
      </c>
      <c r="CK251" s="47">
        <v>0</v>
      </c>
      <c r="CL251" s="47">
        <v>0</v>
      </c>
      <c r="CM251" s="47">
        <v>0</v>
      </c>
      <c r="CN251" s="47">
        <v>0</v>
      </c>
      <c r="CO251" s="47">
        <v>0</v>
      </c>
      <c r="CP251" s="47">
        <v>0</v>
      </c>
      <c r="CQ251" s="47">
        <v>0</v>
      </c>
      <c r="CR251" s="47">
        <v>0</v>
      </c>
      <c r="CS251" s="47">
        <v>0</v>
      </c>
      <c r="CT251" s="47">
        <v>0</v>
      </c>
      <c r="CU251" s="47">
        <v>0</v>
      </c>
      <c r="CV251" s="47">
        <v>0</v>
      </c>
      <c r="CW251" s="47">
        <v>0</v>
      </c>
      <c r="CX251" s="47">
        <v>0</v>
      </c>
      <c r="CY251" s="47">
        <v>0</v>
      </c>
      <c r="CZ251" s="47">
        <v>0</v>
      </c>
      <c r="DA251" s="47">
        <v>0</v>
      </c>
      <c r="DB251" s="47">
        <v>0</v>
      </c>
      <c r="DC251" s="47">
        <v>0</v>
      </c>
      <c r="DD251" s="47">
        <v>0</v>
      </c>
      <c r="DE251" s="47">
        <v>0</v>
      </c>
      <c r="DF251" s="47">
        <v>0</v>
      </c>
      <c r="DG251" s="47">
        <v>0</v>
      </c>
      <c r="DH251" s="47">
        <v>0</v>
      </c>
      <c r="DI251" s="47">
        <v>0</v>
      </c>
      <c r="DJ251" s="47">
        <v>0</v>
      </c>
      <c r="DK251" s="47">
        <v>0</v>
      </c>
      <c r="DL251" s="47">
        <v>0</v>
      </c>
      <c r="DM251" s="47">
        <v>0</v>
      </c>
      <c r="DN251" s="47">
        <v>0</v>
      </c>
      <c r="DO251" s="47">
        <v>0</v>
      </c>
      <c r="DP251" s="47">
        <v>0</v>
      </c>
      <c r="DQ251" s="47">
        <v>0</v>
      </c>
      <c r="DR251" s="47">
        <v>0</v>
      </c>
      <c r="DS251" s="47">
        <v>0</v>
      </c>
      <c r="DT251" s="47">
        <v>0</v>
      </c>
    </row>
    <row r="252" spans="1:126" x14ac:dyDescent="0.25">
      <c r="A252" s="47" t="s">
        <v>1266</v>
      </c>
      <c r="B252" s="47" t="s">
        <v>153</v>
      </c>
      <c r="C252" s="47" t="s">
        <v>1267</v>
      </c>
      <c r="D252" s="47" t="s">
        <v>1268</v>
      </c>
      <c r="E252" s="47" t="s">
        <v>1269</v>
      </c>
      <c r="F252" s="47" t="s">
        <v>698</v>
      </c>
      <c r="G252" s="47" t="s">
        <v>1270</v>
      </c>
      <c r="H252" s="47" t="str">
        <f>=IFERROR(VLOOKUP(A252,'ETPT Format DDG'!A:J,10,FALSE),"")</f>
        <v>0</v>
      </c>
      <c r="I252" s="47" t="str">
        <f>='ETPT Format DDG'!M252</f>
        <v/>
      </c>
      <c r="J252" s="47" t="str">
        <f>='ETPT Format DDG'!D252</f>
        <v/>
      </c>
      <c r="K252" s="47" t="s">
        <v>157</v>
      </c>
      <c r="L252" s="47" t="s">
        <v>717</v>
      </c>
      <c r="M252" s="47"/>
      <c r="N252" s="47">
        <v>1</v>
      </c>
      <c r="O252" s="47">
        <v>1</v>
      </c>
      <c r="P252" s="47">
        <v>0</v>
      </c>
      <c r="Q252" s="47">
        <v>0</v>
      </c>
      <c r="R252" s="47">
        <v>0</v>
      </c>
      <c r="S252" s="47">
        <v>0</v>
      </c>
      <c r="T252" s="47">
        <v>0</v>
      </c>
      <c r="U252" s="47">
        <v>0</v>
      </c>
      <c r="V252" s="47">
        <v>0</v>
      </c>
      <c r="W252" s="47">
        <v>0</v>
      </c>
      <c r="X252" s="47">
        <v>0</v>
      </c>
      <c r="Y252" s="47">
        <v>0</v>
      </c>
      <c r="Z252" s="47">
        <v>0</v>
      </c>
      <c r="AA252" s="47">
        <v>0</v>
      </c>
      <c r="AB252" s="47">
        <v>0</v>
      </c>
      <c r="AC252" s="47">
        <v>0</v>
      </c>
      <c r="AD252" s="47">
        <v>0</v>
      </c>
      <c r="AE252" s="47">
        <v>0</v>
      </c>
      <c r="AF252" s="47">
        <v>0</v>
      </c>
      <c r="AG252" s="47">
        <v>0</v>
      </c>
      <c r="AH252" s="47">
        <v>0</v>
      </c>
      <c r="AI252" s="47">
        <v>0</v>
      </c>
      <c r="AJ252" s="47">
        <v>0</v>
      </c>
      <c r="AK252" s="47">
        <v>0</v>
      </c>
      <c r="AL252" s="47">
        <v>0</v>
      </c>
      <c r="AM252" s="47">
        <v>0</v>
      </c>
      <c r="AN252" s="47">
        <v>0</v>
      </c>
      <c r="AO252" s="47">
        <v>0</v>
      </c>
      <c r="AP252" s="47">
        <v>0</v>
      </c>
      <c r="AQ252" s="47">
        <v>0</v>
      </c>
      <c r="AR252" s="47">
        <v>0</v>
      </c>
      <c r="AS252" s="47">
        <v>0</v>
      </c>
      <c r="AT252" s="47">
        <v>0</v>
      </c>
      <c r="AU252" s="47">
        <v>0</v>
      </c>
      <c r="AV252" s="47">
        <v>0</v>
      </c>
      <c r="AW252" s="47">
        <v>0</v>
      </c>
      <c r="AX252" s="47">
        <v>0</v>
      </c>
      <c r="AY252" s="47">
        <v>0</v>
      </c>
      <c r="AZ252" s="47">
        <v>0</v>
      </c>
      <c r="BA252" s="47">
        <v>0</v>
      </c>
      <c r="BB252" s="47">
        <v>0</v>
      </c>
      <c r="BC252" s="47">
        <v>0</v>
      </c>
      <c r="BD252" s="47">
        <v>0</v>
      </c>
      <c r="BE252" s="47">
        <v>0</v>
      </c>
      <c r="BF252" s="47">
        <v>0</v>
      </c>
      <c r="BG252" s="47">
        <v>0</v>
      </c>
      <c r="BH252" s="47">
        <v>1</v>
      </c>
      <c r="BI252" s="47">
        <v>0</v>
      </c>
      <c r="BJ252" s="47">
        <v>1</v>
      </c>
      <c r="BK252" s="47">
        <v>0</v>
      </c>
      <c r="BL252" s="47">
        <v>0</v>
      </c>
      <c r="BM252" s="47">
        <v>0</v>
      </c>
      <c r="BN252" s="47">
        <v>0</v>
      </c>
      <c r="BO252" s="47">
        <v>0</v>
      </c>
      <c r="BP252" s="47">
        <v>0</v>
      </c>
      <c r="BQ252" s="47">
        <v>0</v>
      </c>
      <c r="BR252" s="47">
        <v>0</v>
      </c>
      <c r="BS252" s="47">
        <v>0</v>
      </c>
      <c r="BT252" s="47">
        <v>0</v>
      </c>
      <c r="BU252" s="47">
        <v>0</v>
      </c>
      <c r="BV252" s="47">
        <v>0</v>
      </c>
      <c r="BW252" s="47">
        <v>0</v>
      </c>
      <c r="BX252" s="47">
        <v>0</v>
      </c>
      <c r="BY252" s="47">
        <v>0</v>
      </c>
      <c r="BZ252" s="47">
        <v>0</v>
      </c>
      <c r="CA252" s="47">
        <v>0</v>
      </c>
      <c r="CB252" s="47">
        <v>0</v>
      </c>
      <c r="CC252" s="47">
        <v>0</v>
      </c>
      <c r="CD252" s="47">
        <v>0</v>
      </c>
      <c r="CE252" s="47">
        <v>0</v>
      </c>
      <c r="CF252" s="47">
        <v>0</v>
      </c>
      <c r="CG252" s="47">
        <v>0</v>
      </c>
      <c r="CH252" s="47">
        <v>0</v>
      </c>
      <c r="CI252" s="47">
        <v>0</v>
      </c>
      <c r="CJ252" s="47">
        <v>0</v>
      </c>
      <c r="CK252" s="47">
        <v>0</v>
      </c>
      <c r="CL252" s="47">
        <v>0</v>
      </c>
      <c r="CM252" s="47">
        <v>0</v>
      </c>
      <c r="CN252" s="47">
        <v>0</v>
      </c>
      <c r="CO252" s="47">
        <v>0</v>
      </c>
      <c r="CP252" s="47">
        <v>0</v>
      </c>
      <c r="CQ252" s="47">
        <v>0</v>
      </c>
      <c r="CR252" s="47">
        <v>0</v>
      </c>
      <c r="CS252" s="47">
        <v>0</v>
      </c>
      <c r="CT252" s="47">
        <v>0</v>
      </c>
      <c r="CU252" s="47">
        <v>0</v>
      </c>
      <c r="CV252" s="47">
        <v>0</v>
      </c>
      <c r="CW252" s="47">
        <v>0</v>
      </c>
      <c r="CX252" s="47">
        <v>0</v>
      </c>
      <c r="CY252" s="47">
        <v>0</v>
      </c>
      <c r="CZ252" s="47">
        <v>0</v>
      </c>
      <c r="DA252" s="47">
        <v>0</v>
      </c>
      <c r="DB252" s="47">
        <v>0</v>
      </c>
      <c r="DC252" s="47">
        <v>0</v>
      </c>
      <c r="DD252" s="47">
        <v>0</v>
      </c>
      <c r="DE252" s="47">
        <v>0</v>
      </c>
      <c r="DF252" s="47">
        <v>0</v>
      </c>
      <c r="DG252" s="47">
        <v>0</v>
      </c>
      <c r="DH252" s="47">
        <v>0</v>
      </c>
      <c r="DI252" s="47">
        <v>0</v>
      </c>
      <c r="DJ252" s="47">
        <v>0</v>
      </c>
      <c r="DK252" s="47">
        <v>0</v>
      </c>
      <c r="DL252" s="47">
        <v>0</v>
      </c>
      <c r="DM252" s="47">
        <v>0</v>
      </c>
      <c r="DN252" s="47">
        <v>0</v>
      </c>
      <c r="DO252" s="47">
        <v>0</v>
      </c>
      <c r="DP252" s="47">
        <v>0</v>
      </c>
      <c r="DQ252" s="47">
        <v>0</v>
      </c>
      <c r="DR252" s="47">
        <v>0</v>
      </c>
      <c r="DS252" s="47">
        <v>0</v>
      </c>
      <c r="DT252" s="47">
        <v>0</v>
      </c>
    </row>
    <row r="253" spans="1:126" x14ac:dyDescent="0.25">
      <c r="A253" s="47" t="s">
        <v>1271</v>
      </c>
      <c r="B253" s="47" t="s">
        <v>153</v>
      </c>
      <c r="C253" s="47" t="s">
        <v>1272</v>
      </c>
      <c r="D253" s="47" t="s">
        <v>1273</v>
      </c>
      <c r="E253" s="47" t="s">
        <v>1274</v>
      </c>
      <c r="F253" s="47" t="s">
        <v>698</v>
      </c>
      <c r="G253" s="47" t="s">
        <v>705</v>
      </c>
      <c r="H253" s="47" t="str">
        <f>=IFERROR(VLOOKUP(A253,'ETPT Format DDG'!A:J,10,FALSE),"")</f>
        <v>0</v>
      </c>
      <c r="I253" s="47" t="str">
        <f>='ETPT Format DDG'!M253</f>
        <v/>
      </c>
      <c r="J253" s="47" t="str">
        <f>='ETPT Format DDG'!D253</f>
        <v/>
      </c>
      <c r="K253" s="47" t="s">
        <v>157</v>
      </c>
      <c r="L253" s="47" t="s">
        <v>1076</v>
      </c>
      <c r="M253" s="47"/>
      <c r="N253" s="47">
        <v>1</v>
      </c>
      <c r="O253" s="47">
        <v>0</v>
      </c>
      <c r="P253" s="47">
        <v>0</v>
      </c>
      <c r="Q253" s="47">
        <v>0</v>
      </c>
      <c r="R253" s="47">
        <v>0</v>
      </c>
      <c r="S253" s="47">
        <v>0</v>
      </c>
      <c r="T253" s="47">
        <v>0</v>
      </c>
      <c r="U253" s="47">
        <v>0</v>
      </c>
      <c r="V253" s="47">
        <v>0</v>
      </c>
      <c r="W253" s="47">
        <v>0</v>
      </c>
      <c r="X253" s="47">
        <v>0</v>
      </c>
      <c r="Y253" s="47">
        <v>0</v>
      </c>
      <c r="Z253" s="47">
        <v>0</v>
      </c>
      <c r="AA253" s="47">
        <v>0</v>
      </c>
      <c r="AB253" s="47">
        <v>0</v>
      </c>
      <c r="AC253" s="47">
        <v>0</v>
      </c>
      <c r="AD253" s="47">
        <v>0</v>
      </c>
      <c r="AE253" s="47">
        <v>0</v>
      </c>
      <c r="AF253" s="47">
        <v>0</v>
      </c>
      <c r="AG253" s="47">
        <v>0</v>
      </c>
      <c r="AH253" s="47">
        <v>0</v>
      </c>
      <c r="AI253" s="47">
        <v>0</v>
      </c>
      <c r="AJ253" s="47">
        <v>0</v>
      </c>
      <c r="AK253" s="47">
        <v>0</v>
      </c>
      <c r="AL253" s="47">
        <v>0</v>
      </c>
      <c r="AM253" s="47">
        <v>0</v>
      </c>
      <c r="AN253" s="47">
        <v>0</v>
      </c>
      <c r="AO253" s="47">
        <v>0</v>
      </c>
      <c r="AP253" s="47">
        <v>0</v>
      </c>
      <c r="AQ253" s="47">
        <v>0</v>
      </c>
      <c r="AR253" s="47">
        <v>0</v>
      </c>
      <c r="AS253" s="47">
        <v>0</v>
      </c>
      <c r="AT253" s="47">
        <v>0</v>
      </c>
      <c r="AU253" s="47">
        <v>0</v>
      </c>
      <c r="AV253" s="47">
        <v>0</v>
      </c>
      <c r="AW253" s="47">
        <v>0</v>
      </c>
      <c r="AX253" s="47">
        <v>0</v>
      </c>
      <c r="AY253" s="47">
        <v>0</v>
      </c>
      <c r="AZ253" s="47">
        <v>0</v>
      </c>
      <c r="BA253" s="47">
        <v>0</v>
      </c>
      <c r="BB253" s="47">
        <v>0</v>
      </c>
      <c r="BC253" s="47">
        <v>0</v>
      </c>
      <c r="BD253" s="47">
        <v>0</v>
      </c>
      <c r="BE253" s="47">
        <v>0</v>
      </c>
      <c r="BF253" s="47">
        <v>0</v>
      </c>
      <c r="BG253" s="47">
        <v>0</v>
      </c>
      <c r="BH253" s="47">
        <v>0</v>
      </c>
      <c r="BI253" s="47">
        <v>0</v>
      </c>
      <c r="BJ253" s="47">
        <v>0</v>
      </c>
      <c r="BK253" s="47">
        <v>0</v>
      </c>
      <c r="BL253" s="47">
        <v>0</v>
      </c>
      <c r="BM253" s="47">
        <v>0</v>
      </c>
      <c r="BN253" s="47">
        <v>0</v>
      </c>
      <c r="BO253" s="47">
        <v>0</v>
      </c>
      <c r="BP253" s="47">
        <v>0</v>
      </c>
      <c r="BQ253" s="47">
        <v>0</v>
      </c>
      <c r="BR253" s="47">
        <v>0</v>
      </c>
      <c r="BS253" s="47">
        <v>0</v>
      </c>
      <c r="BT253" s="47">
        <v>0</v>
      </c>
      <c r="BU253" s="47">
        <v>0</v>
      </c>
      <c r="BV253" s="47">
        <v>0</v>
      </c>
      <c r="BW253" s="47">
        <v>0</v>
      </c>
      <c r="BX253" s="47">
        <v>0</v>
      </c>
      <c r="BY253" s="47">
        <v>0</v>
      </c>
      <c r="BZ253" s="47">
        <v>0</v>
      </c>
      <c r="CA253" s="47">
        <v>0</v>
      </c>
      <c r="CB253" s="47">
        <v>0</v>
      </c>
      <c r="CC253" s="47">
        <v>0</v>
      </c>
      <c r="CD253" s="47">
        <v>0</v>
      </c>
      <c r="CE253" s="47">
        <v>0</v>
      </c>
      <c r="CF253" s="47">
        <v>0</v>
      </c>
      <c r="CG253" s="47">
        <v>0</v>
      </c>
      <c r="CH253" s="47">
        <v>0</v>
      </c>
      <c r="CI253" s="47">
        <v>0</v>
      </c>
      <c r="CJ253" s="47">
        <v>0</v>
      </c>
      <c r="CK253" s="47">
        <v>0</v>
      </c>
      <c r="CL253" s="47">
        <v>0</v>
      </c>
      <c r="CM253" s="47">
        <v>0</v>
      </c>
      <c r="CN253" s="47">
        <v>0</v>
      </c>
      <c r="CO253" s="47">
        <v>0</v>
      </c>
      <c r="CP253" s="47">
        <v>0</v>
      </c>
      <c r="CQ253" s="47">
        <v>0</v>
      </c>
      <c r="CR253" s="47">
        <v>0</v>
      </c>
      <c r="CS253" s="47">
        <v>0</v>
      </c>
      <c r="CT253" s="47">
        <v>0</v>
      </c>
      <c r="CU253" s="47">
        <v>0</v>
      </c>
      <c r="CV253" s="47">
        <v>0</v>
      </c>
      <c r="CW253" s="47">
        <v>0</v>
      </c>
      <c r="CX253" s="47">
        <v>0</v>
      </c>
      <c r="CY253" s="47">
        <v>0</v>
      </c>
      <c r="CZ253" s="47">
        <v>0</v>
      </c>
      <c r="DA253" s="47">
        <v>0</v>
      </c>
      <c r="DB253" s="47">
        <v>0</v>
      </c>
      <c r="DC253" s="47">
        <v>0</v>
      </c>
      <c r="DD253" s="47">
        <v>0</v>
      </c>
      <c r="DE253" s="47">
        <v>0</v>
      </c>
      <c r="DF253" s="47">
        <v>0</v>
      </c>
      <c r="DG253" s="47">
        <v>0</v>
      </c>
      <c r="DH253" s="47">
        <v>0</v>
      </c>
      <c r="DI253" s="47">
        <v>0</v>
      </c>
      <c r="DJ253" s="47">
        <v>0</v>
      </c>
      <c r="DK253" s="47">
        <v>0</v>
      </c>
      <c r="DL253" s="47">
        <v>0</v>
      </c>
      <c r="DM253" s="47">
        <v>0</v>
      </c>
      <c r="DN253" s="47">
        <v>0</v>
      </c>
      <c r="DO253" s="47">
        <v>0</v>
      </c>
      <c r="DP253" s="47">
        <v>0</v>
      </c>
      <c r="DQ253" s="47">
        <v>0</v>
      </c>
      <c r="DR253" s="47">
        <v>0</v>
      </c>
      <c r="DS253" s="47">
        <v>0</v>
      </c>
      <c r="DT253" s="47">
        <v>0</v>
      </c>
    </row>
    <row r="254" spans="1:126" x14ac:dyDescent="0.25">
      <c r="A254" s="47" t="s">
        <v>1275</v>
      </c>
      <c r="B254" s="47" t="s">
        <v>153</v>
      </c>
      <c r="C254" s="47" t="s">
        <v>1276</v>
      </c>
      <c r="D254" s="47" t="s">
        <v>1277</v>
      </c>
      <c r="E254" s="47" t="s">
        <v>1278</v>
      </c>
      <c r="F254" s="47" t="s">
        <v>698</v>
      </c>
      <c r="G254" s="47" t="s">
        <v>738</v>
      </c>
      <c r="H254" s="47" t="str">
        <f>=IFERROR(VLOOKUP(A254,'ETPT Format DDG'!A:J,10,FALSE),"")</f>
        <v>0</v>
      </c>
      <c r="I254" s="47" t="str">
        <f>='ETPT Format DDG'!M254</f>
        <v/>
      </c>
      <c r="J254" s="47" t="str">
        <f>='ETPT Format DDG'!D254</f>
        <v/>
      </c>
      <c r="K254" s="47" t="s">
        <v>157</v>
      </c>
      <c r="L254" s="47" t="s">
        <v>593</v>
      </c>
      <c r="M254" s="47"/>
      <c r="N254" s="47">
        <v>1</v>
      </c>
      <c r="O254" s="47">
        <v>0</v>
      </c>
      <c r="P254" s="47">
        <v>0</v>
      </c>
      <c r="Q254" s="47">
        <v>0</v>
      </c>
      <c r="R254" s="47">
        <v>0</v>
      </c>
      <c r="S254" s="47">
        <v>0</v>
      </c>
      <c r="T254" s="47">
        <v>0</v>
      </c>
      <c r="U254" s="47">
        <v>0</v>
      </c>
      <c r="V254" s="47">
        <v>0</v>
      </c>
      <c r="W254" s="47">
        <v>0</v>
      </c>
      <c r="X254" s="47">
        <v>0</v>
      </c>
      <c r="Y254" s="47">
        <v>0</v>
      </c>
      <c r="Z254" s="47">
        <v>0</v>
      </c>
      <c r="AA254" s="47">
        <v>0</v>
      </c>
      <c r="AB254" s="47">
        <v>0</v>
      </c>
      <c r="AC254" s="47">
        <v>0</v>
      </c>
      <c r="AD254" s="47">
        <v>0</v>
      </c>
      <c r="AE254" s="47">
        <v>0</v>
      </c>
      <c r="AF254" s="47">
        <v>0</v>
      </c>
      <c r="AG254" s="47">
        <v>0</v>
      </c>
      <c r="AH254" s="47">
        <v>0</v>
      </c>
      <c r="AI254" s="47">
        <v>0</v>
      </c>
      <c r="AJ254" s="47">
        <v>0</v>
      </c>
      <c r="AK254" s="47">
        <v>0</v>
      </c>
      <c r="AL254" s="47">
        <v>0</v>
      </c>
      <c r="AM254" s="47">
        <v>0</v>
      </c>
      <c r="AN254" s="47">
        <v>0</v>
      </c>
      <c r="AO254" s="47">
        <v>0</v>
      </c>
      <c r="AP254" s="47">
        <v>0</v>
      </c>
      <c r="AQ254" s="47">
        <v>0</v>
      </c>
      <c r="AR254" s="47">
        <v>0</v>
      </c>
      <c r="AS254" s="47">
        <v>0</v>
      </c>
      <c r="AT254" s="47">
        <v>0</v>
      </c>
      <c r="AU254" s="47">
        <v>0</v>
      </c>
      <c r="AV254" s="47">
        <v>0</v>
      </c>
      <c r="AW254" s="47">
        <v>0</v>
      </c>
      <c r="AX254" s="47">
        <v>0</v>
      </c>
      <c r="AY254" s="47">
        <v>0</v>
      </c>
      <c r="AZ254" s="47">
        <v>0</v>
      </c>
      <c r="BA254" s="47">
        <v>0</v>
      </c>
      <c r="BB254" s="47">
        <v>0</v>
      </c>
      <c r="BC254" s="47">
        <v>0</v>
      </c>
      <c r="BD254" s="47">
        <v>0</v>
      </c>
      <c r="BE254" s="47">
        <v>0</v>
      </c>
      <c r="BF254" s="47">
        <v>0</v>
      </c>
      <c r="BG254" s="47">
        <v>0</v>
      </c>
      <c r="BH254" s="47">
        <v>0</v>
      </c>
      <c r="BI254" s="47">
        <v>0</v>
      </c>
      <c r="BJ254" s="47">
        <v>0</v>
      </c>
      <c r="BK254" s="47">
        <v>0</v>
      </c>
      <c r="BL254" s="47">
        <v>0</v>
      </c>
      <c r="BM254" s="47">
        <v>0</v>
      </c>
      <c r="BN254" s="47">
        <v>0</v>
      </c>
      <c r="BO254" s="47">
        <v>0</v>
      </c>
      <c r="BP254" s="47">
        <v>0</v>
      </c>
      <c r="BQ254" s="47">
        <v>0</v>
      </c>
      <c r="BR254" s="47">
        <v>0</v>
      </c>
      <c r="BS254" s="47">
        <v>0</v>
      </c>
      <c r="BT254" s="47">
        <v>0</v>
      </c>
      <c r="BU254" s="47">
        <v>0</v>
      </c>
      <c r="BV254" s="47">
        <v>0</v>
      </c>
      <c r="BW254" s="47">
        <v>0</v>
      </c>
      <c r="BX254" s="47">
        <v>0</v>
      </c>
      <c r="BY254" s="47">
        <v>0</v>
      </c>
      <c r="BZ254" s="47">
        <v>0</v>
      </c>
      <c r="CA254" s="47">
        <v>0</v>
      </c>
      <c r="CB254" s="47">
        <v>0</v>
      </c>
      <c r="CC254" s="47">
        <v>0</v>
      </c>
      <c r="CD254" s="47">
        <v>0</v>
      </c>
      <c r="CE254" s="47">
        <v>0</v>
      </c>
      <c r="CF254" s="47">
        <v>0</v>
      </c>
      <c r="CG254" s="47">
        <v>0</v>
      </c>
      <c r="CH254" s="47">
        <v>0</v>
      </c>
      <c r="CI254" s="47">
        <v>0</v>
      </c>
      <c r="CJ254" s="47">
        <v>0</v>
      </c>
      <c r="CK254" s="47">
        <v>0</v>
      </c>
      <c r="CL254" s="47">
        <v>0</v>
      </c>
      <c r="CM254" s="47">
        <v>0</v>
      </c>
      <c r="CN254" s="47">
        <v>0</v>
      </c>
      <c r="CO254" s="47">
        <v>0</v>
      </c>
      <c r="CP254" s="47">
        <v>0</v>
      </c>
      <c r="CQ254" s="47">
        <v>0</v>
      </c>
      <c r="CR254" s="47">
        <v>0</v>
      </c>
      <c r="CS254" s="47">
        <v>0</v>
      </c>
      <c r="CT254" s="47">
        <v>0</v>
      </c>
      <c r="CU254" s="47">
        <v>0</v>
      </c>
      <c r="CV254" s="47">
        <v>0</v>
      </c>
      <c r="CW254" s="47">
        <v>0</v>
      </c>
      <c r="CX254" s="47">
        <v>0</v>
      </c>
      <c r="CY254" s="47">
        <v>0</v>
      </c>
      <c r="CZ254" s="47">
        <v>0</v>
      </c>
      <c r="DA254" s="47">
        <v>0</v>
      </c>
      <c r="DB254" s="47">
        <v>0</v>
      </c>
      <c r="DC254" s="47">
        <v>0</v>
      </c>
      <c r="DD254" s="47">
        <v>0</v>
      </c>
      <c r="DE254" s="47">
        <v>0</v>
      </c>
      <c r="DF254" s="47">
        <v>0</v>
      </c>
      <c r="DG254" s="47">
        <v>0</v>
      </c>
      <c r="DH254" s="47">
        <v>0</v>
      </c>
      <c r="DI254" s="47">
        <v>0</v>
      </c>
      <c r="DJ254" s="47">
        <v>0</v>
      </c>
      <c r="DK254" s="47">
        <v>0</v>
      </c>
      <c r="DL254" s="47">
        <v>0</v>
      </c>
      <c r="DM254" s="47">
        <v>0</v>
      </c>
      <c r="DN254" s="47">
        <v>0</v>
      </c>
      <c r="DO254" s="47">
        <v>0</v>
      </c>
      <c r="DP254" s="47">
        <v>0</v>
      </c>
      <c r="DQ254" s="47">
        <v>0</v>
      </c>
      <c r="DR254" s="47">
        <v>0</v>
      </c>
      <c r="DS254" s="47">
        <v>0</v>
      </c>
      <c r="DT254" s="47">
        <v>0</v>
      </c>
    </row>
    <row r="255" spans="1:126" x14ac:dyDescent="0.25">
      <c r="A255" s="47" t="s">
        <v>1279</v>
      </c>
      <c r="B255" s="47" t="s">
        <v>153</v>
      </c>
      <c r="C255" s="47" t="s">
        <v>1280</v>
      </c>
      <c r="D255" s="47" t="s">
        <v>1281</v>
      </c>
      <c r="E255" s="47" t="s">
        <v>1282</v>
      </c>
      <c r="F255" s="47" t="s">
        <v>698</v>
      </c>
      <c r="G255" s="47" t="s">
        <v>727</v>
      </c>
      <c r="H255" s="47" t="str">
        <f>=IFERROR(VLOOKUP(A255,'ETPT Format DDG'!A:J,10,FALSE),"")</f>
        <v>0</v>
      </c>
      <c r="I255" s="47" t="str">
        <f>='ETPT Format DDG'!M255</f>
        <v/>
      </c>
      <c r="J255" s="47" t="str">
        <f>='ETPT Format DDG'!D255</f>
        <v/>
      </c>
      <c r="K255" s="47" t="s">
        <v>157</v>
      </c>
      <c r="L255" s="47" t="s">
        <v>593</v>
      </c>
      <c r="M255" s="47"/>
      <c r="N255" s="47">
        <v>1</v>
      </c>
      <c r="O255" s="47">
        <v>0</v>
      </c>
      <c r="P255" s="47">
        <v>0</v>
      </c>
      <c r="Q255" s="47">
        <v>0</v>
      </c>
      <c r="R255" s="47">
        <v>0</v>
      </c>
      <c r="S255" s="47">
        <v>0</v>
      </c>
      <c r="T255" s="47">
        <v>0</v>
      </c>
      <c r="U255" s="47">
        <v>0</v>
      </c>
      <c r="V255" s="47">
        <v>0</v>
      </c>
      <c r="W255" s="47">
        <v>0</v>
      </c>
      <c r="X255" s="47">
        <v>0</v>
      </c>
      <c r="Y255" s="47">
        <v>0</v>
      </c>
      <c r="Z255" s="47">
        <v>0</v>
      </c>
      <c r="AA255" s="47">
        <v>0</v>
      </c>
      <c r="AB255" s="47">
        <v>0</v>
      </c>
      <c r="AC255" s="47">
        <v>0</v>
      </c>
      <c r="AD255" s="47">
        <v>0</v>
      </c>
      <c r="AE255" s="47">
        <v>0</v>
      </c>
      <c r="AF255" s="47">
        <v>0</v>
      </c>
      <c r="AG255" s="47">
        <v>0</v>
      </c>
      <c r="AH255" s="47">
        <v>0</v>
      </c>
      <c r="AI255" s="47">
        <v>0</v>
      </c>
      <c r="AJ255" s="47">
        <v>0</v>
      </c>
      <c r="AK255" s="47">
        <v>0</v>
      </c>
      <c r="AL255" s="47">
        <v>0</v>
      </c>
      <c r="AM255" s="47">
        <v>0</v>
      </c>
      <c r="AN255" s="47">
        <v>0</v>
      </c>
      <c r="AO255" s="47">
        <v>0</v>
      </c>
      <c r="AP255" s="47">
        <v>0</v>
      </c>
      <c r="AQ255" s="47">
        <v>0</v>
      </c>
      <c r="AR255" s="47">
        <v>0</v>
      </c>
      <c r="AS255" s="47">
        <v>0</v>
      </c>
      <c r="AT255" s="47">
        <v>0</v>
      </c>
      <c r="AU255" s="47">
        <v>0</v>
      </c>
      <c r="AV255" s="47">
        <v>0</v>
      </c>
      <c r="AW255" s="47">
        <v>0</v>
      </c>
      <c r="AX255" s="47">
        <v>0</v>
      </c>
      <c r="AY255" s="47">
        <v>0</v>
      </c>
      <c r="AZ255" s="47">
        <v>0</v>
      </c>
      <c r="BA255" s="47">
        <v>0</v>
      </c>
      <c r="BB255" s="47">
        <v>0</v>
      </c>
      <c r="BC255" s="47">
        <v>0</v>
      </c>
      <c r="BD255" s="47">
        <v>0</v>
      </c>
      <c r="BE255" s="47">
        <v>0</v>
      </c>
      <c r="BF255" s="47">
        <v>0</v>
      </c>
      <c r="BG255" s="47">
        <v>0</v>
      </c>
      <c r="BH255" s="47">
        <v>0</v>
      </c>
      <c r="BI255" s="47">
        <v>0</v>
      </c>
      <c r="BJ255" s="47">
        <v>0</v>
      </c>
      <c r="BK255" s="47">
        <v>0</v>
      </c>
      <c r="BL255" s="47">
        <v>0</v>
      </c>
      <c r="BM255" s="47">
        <v>0</v>
      </c>
      <c r="BN255" s="47">
        <v>0</v>
      </c>
      <c r="BO255" s="47">
        <v>0</v>
      </c>
      <c r="BP255" s="47">
        <v>0</v>
      </c>
      <c r="BQ255" s="47">
        <v>0</v>
      </c>
      <c r="BR255" s="47">
        <v>0</v>
      </c>
      <c r="BS255" s="47">
        <v>0</v>
      </c>
      <c r="BT255" s="47">
        <v>0</v>
      </c>
      <c r="BU255" s="47">
        <v>0</v>
      </c>
      <c r="BV255" s="47">
        <v>0</v>
      </c>
      <c r="BW255" s="47">
        <v>0</v>
      </c>
      <c r="BX255" s="47">
        <v>0</v>
      </c>
      <c r="BY255" s="47">
        <v>0</v>
      </c>
      <c r="BZ255" s="47">
        <v>0</v>
      </c>
      <c r="CA255" s="47">
        <v>0</v>
      </c>
      <c r="CB255" s="47">
        <v>0</v>
      </c>
      <c r="CC255" s="47">
        <v>0</v>
      </c>
      <c r="CD255" s="47">
        <v>0</v>
      </c>
      <c r="CE255" s="47">
        <v>0</v>
      </c>
      <c r="CF255" s="47">
        <v>0</v>
      </c>
      <c r="CG255" s="47">
        <v>0</v>
      </c>
      <c r="CH255" s="47">
        <v>0</v>
      </c>
      <c r="CI255" s="47">
        <v>0</v>
      </c>
      <c r="CJ255" s="47">
        <v>0</v>
      </c>
      <c r="CK255" s="47">
        <v>0</v>
      </c>
      <c r="CL255" s="47">
        <v>0</v>
      </c>
      <c r="CM255" s="47">
        <v>0</v>
      </c>
      <c r="CN255" s="47">
        <v>0</v>
      </c>
      <c r="CO255" s="47">
        <v>0</v>
      </c>
      <c r="CP255" s="47">
        <v>0</v>
      </c>
      <c r="CQ255" s="47">
        <v>0</v>
      </c>
      <c r="CR255" s="47">
        <v>0</v>
      </c>
      <c r="CS255" s="47">
        <v>0</v>
      </c>
      <c r="CT255" s="47">
        <v>0</v>
      </c>
      <c r="CU255" s="47">
        <v>0</v>
      </c>
      <c r="CV255" s="47">
        <v>0</v>
      </c>
      <c r="CW255" s="47">
        <v>0</v>
      </c>
      <c r="CX255" s="47">
        <v>0</v>
      </c>
      <c r="CY255" s="47">
        <v>0</v>
      </c>
      <c r="CZ255" s="47">
        <v>0</v>
      </c>
      <c r="DA255" s="47">
        <v>0</v>
      </c>
      <c r="DB255" s="47">
        <v>0</v>
      </c>
      <c r="DC255" s="47">
        <v>0</v>
      </c>
      <c r="DD255" s="47">
        <v>0</v>
      </c>
      <c r="DE255" s="47">
        <v>0</v>
      </c>
      <c r="DF255" s="47">
        <v>0</v>
      </c>
      <c r="DG255" s="47">
        <v>0</v>
      </c>
      <c r="DH255" s="47">
        <v>0</v>
      </c>
      <c r="DI255" s="47">
        <v>0</v>
      </c>
      <c r="DJ255" s="47">
        <v>0</v>
      </c>
      <c r="DK255" s="47">
        <v>0</v>
      </c>
      <c r="DL255" s="47">
        <v>0</v>
      </c>
      <c r="DM255" s="47">
        <v>0</v>
      </c>
      <c r="DN255" s="47">
        <v>0</v>
      </c>
      <c r="DO255" s="47">
        <v>0</v>
      </c>
      <c r="DP255" s="47">
        <v>0</v>
      </c>
      <c r="DQ255" s="47">
        <v>0</v>
      </c>
      <c r="DR255" s="47">
        <v>0</v>
      </c>
      <c r="DS255" s="47">
        <v>0</v>
      </c>
      <c r="DT255" s="47">
        <v>0</v>
      </c>
    </row>
    <row r="256" spans="1:126" x14ac:dyDescent="0.25">
      <c r="A256" s="47" t="s">
        <v>1283</v>
      </c>
      <c r="B256" s="47" t="s">
        <v>153</v>
      </c>
      <c r="C256" s="47" t="s">
        <v>1284</v>
      </c>
      <c r="D256" s="47" t="s">
        <v>1285</v>
      </c>
      <c r="E256" s="47" t="s">
        <v>1286</v>
      </c>
      <c r="F256" s="47" t="s">
        <v>698</v>
      </c>
      <c r="G256" s="47" t="s">
        <v>705</v>
      </c>
      <c r="H256" s="47" t="str">
        <f>=IFERROR(VLOOKUP(A256,'ETPT Format DDG'!A:J,10,FALSE),"")</f>
        <v>0</v>
      </c>
      <c r="I256" s="47" t="str">
        <f>='ETPT Format DDG'!M256</f>
        <v/>
      </c>
      <c r="J256" s="47" t="str">
        <f>='ETPT Format DDG'!D256</f>
        <v/>
      </c>
      <c r="K256" s="47" t="s">
        <v>157</v>
      </c>
      <c r="L256" s="47" t="s">
        <v>960</v>
      </c>
      <c r="M256" s="47"/>
      <c r="N256" s="47">
        <v>1</v>
      </c>
      <c r="O256" s="47">
        <v>0</v>
      </c>
      <c r="P256" s="47">
        <v>0</v>
      </c>
      <c r="Q256" s="47">
        <v>0</v>
      </c>
      <c r="R256" s="47">
        <v>0</v>
      </c>
      <c r="S256" s="47">
        <v>0</v>
      </c>
      <c r="T256" s="47">
        <v>0</v>
      </c>
      <c r="U256" s="47">
        <v>0</v>
      </c>
      <c r="V256" s="47">
        <v>0</v>
      </c>
      <c r="W256" s="47">
        <v>0</v>
      </c>
      <c r="X256" s="47">
        <v>0</v>
      </c>
      <c r="Y256" s="47">
        <v>0</v>
      </c>
      <c r="Z256" s="47">
        <v>0</v>
      </c>
      <c r="AA256" s="47">
        <v>0</v>
      </c>
      <c r="AB256" s="47">
        <v>0</v>
      </c>
      <c r="AC256" s="47">
        <v>0</v>
      </c>
      <c r="AD256" s="47">
        <v>0</v>
      </c>
      <c r="AE256" s="47">
        <v>0</v>
      </c>
      <c r="AF256" s="47">
        <v>0</v>
      </c>
      <c r="AG256" s="47">
        <v>0</v>
      </c>
      <c r="AH256" s="47">
        <v>0</v>
      </c>
      <c r="AI256" s="47">
        <v>0</v>
      </c>
      <c r="AJ256" s="47">
        <v>0</v>
      </c>
      <c r="AK256" s="47">
        <v>0</v>
      </c>
      <c r="AL256" s="47">
        <v>0</v>
      </c>
      <c r="AM256" s="47">
        <v>0</v>
      </c>
      <c r="AN256" s="47">
        <v>0</v>
      </c>
      <c r="AO256" s="47">
        <v>0</v>
      </c>
      <c r="AP256" s="47">
        <v>0</v>
      </c>
      <c r="AQ256" s="47">
        <v>0</v>
      </c>
      <c r="AR256" s="47">
        <v>0</v>
      </c>
      <c r="AS256" s="47">
        <v>0</v>
      </c>
      <c r="AT256" s="47">
        <v>0</v>
      </c>
      <c r="AU256" s="47">
        <v>0</v>
      </c>
      <c r="AV256" s="47">
        <v>0</v>
      </c>
      <c r="AW256" s="47">
        <v>0</v>
      </c>
      <c r="AX256" s="47">
        <v>0</v>
      </c>
      <c r="AY256" s="47">
        <v>0</v>
      </c>
      <c r="AZ256" s="47">
        <v>0</v>
      </c>
      <c r="BA256" s="47">
        <v>0</v>
      </c>
      <c r="BB256" s="47">
        <v>0</v>
      </c>
      <c r="BC256" s="47">
        <v>0</v>
      </c>
      <c r="BD256" s="47">
        <v>0</v>
      </c>
      <c r="BE256" s="47">
        <v>0</v>
      </c>
      <c r="BF256" s="47">
        <v>0</v>
      </c>
      <c r="BG256" s="47">
        <v>0</v>
      </c>
      <c r="BH256" s="47">
        <v>0</v>
      </c>
      <c r="BI256" s="47">
        <v>0</v>
      </c>
      <c r="BJ256" s="47">
        <v>0</v>
      </c>
      <c r="BK256" s="47">
        <v>0</v>
      </c>
      <c r="BL256" s="47">
        <v>0</v>
      </c>
      <c r="BM256" s="47">
        <v>0</v>
      </c>
      <c r="BN256" s="47">
        <v>0</v>
      </c>
      <c r="BO256" s="47">
        <v>0</v>
      </c>
      <c r="BP256" s="47">
        <v>0</v>
      </c>
      <c r="BQ256" s="47">
        <v>0</v>
      </c>
      <c r="BR256" s="47">
        <v>0</v>
      </c>
      <c r="BS256" s="47">
        <v>0</v>
      </c>
      <c r="BT256" s="47">
        <v>0</v>
      </c>
      <c r="BU256" s="47">
        <v>0</v>
      </c>
      <c r="BV256" s="47">
        <v>0</v>
      </c>
      <c r="BW256" s="47">
        <v>0</v>
      </c>
      <c r="BX256" s="47">
        <v>0</v>
      </c>
      <c r="BY256" s="47">
        <v>0</v>
      </c>
      <c r="BZ256" s="47">
        <v>0</v>
      </c>
      <c r="CA256" s="47">
        <v>0</v>
      </c>
      <c r="CB256" s="47">
        <v>0</v>
      </c>
      <c r="CC256" s="47">
        <v>0</v>
      </c>
      <c r="CD256" s="47">
        <v>0</v>
      </c>
      <c r="CE256" s="47">
        <v>0</v>
      </c>
      <c r="CF256" s="47">
        <v>0</v>
      </c>
      <c r="CG256" s="47">
        <v>0</v>
      </c>
      <c r="CH256" s="47">
        <v>0</v>
      </c>
      <c r="CI256" s="47">
        <v>0</v>
      </c>
      <c r="CJ256" s="47">
        <v>0</v>
      </c>
      <c r="CK256" s="47">
        <v>0</v>
      </c>
      <c r="CL256" s="47">
        <v>0</v>
      </c>
      <c r="CM256" s="47">
        <v>0</v>
      </c>
      <c r="CN256" s="47">
        <v>0</v>
      </c>
      <c r="CO256" s="47">
        <v>0</v>
      </c>
      <c r="CP256" s="47">
        <v>0</v>
      </c>
      <c r="CQ256" s="47">
        <v>0</v>
      </c>
      <c r="CR256" s="47">
        <v>0</v>
      </c>
      <c r="CS256" s="47">
        <v>0</v>
      </c>
      <c r="CT256" s="47">
        <v>0</v>
      </c>
      <c r="CU256" s="47">
        <v>0</v>
      </c>
      <c r="CV256" s="47">
        <v>0</v>
      </c>
      <c r="CW256" s="47">
        <v>0</v>
      </c>
      <c r="CX256" s="47">
        <v>0</v>
      </c>
      <c r="CY256" s="47">
        <v>0</v>
      </c>
      <c r="CZ256" s="47">
        <v>0</v>
      </c>
      <c r="DA256" s="47">
        <v>0</v>
      </c>
      <c r="DB256" s="47">
        <v>0</v>
      </c>
      <c r="DC256" s="47">
        <v>0</v>
      </c>
      <c r="DD256" s="47">
        <v>0</v>
      </c>
      <c r="DE256" s="47">
        <v>0</v>
      </c>
      <c r="DF256" s="47">
        <v>0</v>
      </c>
      <c r="DG256" s="47">
        <v>0</v>
      </c>
      <c r="DH256" s="47">
        <v>0</v>
      </c>
      <c r="DI256" s="47">
        <v>0</v>
      </c>
      <c r="DJ256" s="47">
        <v>0</v>
      </c>
      <c r="DK256" s="47">
        <v>0</v>
      </c>
      <c r="DL256" s="47">
        <v>0</v>
      </c>
      <c r="DM256" s="47">
        <v>0</v>
      </c>
      <c r="DN256" s="47">
        <v>0</v>
      </c>
      <c r="DO256" s="47">
        <v>0</v>
      </c>
      <c r="DP256" s="47">
        <v>0</v>
      </c>
      <c r="DQ256" s="47">
        <v>0</v>
      </c>
      <c r="DR256" s="47">
        <v>0</v>
      </c>
      <c r="DS256" s="47">
        <v>0</v>
      </c>
      <c r="DT256" s="47">
        <v>0</v>
      </c>
    </row>
    <row r="257" spans="1:126" x14ac:dyDescent="0.25">
      <c r="A257" s="47" t="s">
        <v>1287</v>
      </c>
      <c r="B257" s="47" t="s">
        <v>153</v>
      </c>
      <c r="C257" s="47" t="s">
        <v>1288</v>
      </c>
      <c r="D257" s="47" t="s">
        <v>1289</v>
      </c>
      <c r="E257" s="47" t="s">
        <v>1290</v>
      </c>
      <c r="F257" s="47" t="s">
        <v>698</v>
      </c>
      <c r="G257" s="47" t="s">
        <v>727</v>
      </c>
      <c r="H257" s="47" t="str">
        <f>=IFERROR(VLOOKUP(A257,'ETPT Format DDG'!A:J,10,FALSE),"")</f>
        <v>0</v>
      </c>
      <c r="I257" s="47" t="str">
        <f>='ETPT Format DDG'!M257</f>
        <v/>
      </c>
      <c r="J257" s="47" t="str">
        <f>='ETPT Format DDG'!D257</f>
        <v/>
      </c>
      <c r="K257" s="47" t="s">
        <v>157</v>
      </c>
      <c r="L257" s="47" t="s">
        <v>175</v>
      </c>
      <c r="M257" s="47"/>
      <c r="N257" s="47">
        <v>1</v>
      </c>
      <c r="O257" s="47">
        <v>1</v>
      </c>
      <c r="P257" s="47">
        <v>0</v>
      </c>
      <c r="Q257" s="47">
        <v>0</v>
      </c>
      <c r="R257" s="47">
        <v>0</v>
      </c>
      <c r="S257" s="47">
        <v>0</v>
      </c>
      <c r="T257" s="47">
        <v>0</v>
      </c>
      <c r="U257" s="47">
        <v>0</v>
      </c>
      <c r="V257" s="47">
        <v>0</v>
      </c>
      <c r="W257" s="47">
        <v>0</v>
      </c>
      <c r="X257" s="47">
        <v>0</v>
      </c>
      <c r="Y257" s="47">
        <v>0</v>
      </c>
      <c r="Z257" s="47">
        <v>0</v>
      </c>
      <c r="AA257" s="47">
        <v>0</v>
      </c>
      <c r="AB257" s="47">
        <v>0</v>
      </c>
      <c r="AC257" s="47">
        <v>0</v>
      </c>
      <c r="AD257" s="47">
        <v>0</v>
      </c>
      <c r="AE257" s="47">
        <v>0</v>
      </c>
      <c r="AF257" s="47">
        <v>0</v>
      </c>
      <c r="AG257" s="47">
        <v>0</v>
      </c>
      <c r="AH257" s="47">
        <v>0</v>
      </c>
      <c r="AI257" s="47">
        <v>0</v>
      </c>
      <c r="AJ257" s="47">
        <v>0</v>
      </c>
      <c r="AK257" s="47">
        <v>0</v>
      </c>
      <c r="AL257" s="47">
        <v>0</v>
      </c>
      <c r="AM257" s="47">
        <v>0</v>
      </c>
      <c r="AN257" s="47">
        <v>1</v>
      </c>
      <c r="AO257" s="47">
        <v>0</v>
      </c>
      <c r="AP257" s="47">
        <v>0</v>
      </c>
      <c r="AQ257" s="47">
        <v>0</v>
      </c>
      <c r="AR257" s="47">
        <v>0</v>
      </c>
      <c r="AS257" s="47">
        <v>0</v>
      </c>
      <c r="AT257" s="47">
        <v>0</v>
      </c>
      <c r="AU257" s="47">
        <v>0</v>
      </c>
      <c r="AV257" s="47">
        <v>0</v>
      </c>
      <c r="AW257" s="47">
        <v>0</v>
      </c>
      <c r="AX257" s="47">
        <v>0</v>
      </c>
      <c r="AY257" s="47">
        <v>0</v>
      </c>
      <c r="AZ257" s="47">
        <v>0</v>
      </c>
      <c r="BA257" s="47">
        <v>0</v>
      </c>
      <c r="BB257" s="47">
        <v>0</v>
      </c>
      <c r="BC257" s="47">
        <v>0</v>
      </c>
      <c r="BD257" s="47">
        <v>0</v>
      </c>
      <c r="BE257" s="47">
        <v>0</v>
      </c>
      <c r="BF257" s="47">
        <v>0</v>
      </c>
      <c r="BG257" s="47">
        <v>0</v>
      </c>
      <c r="BH257" s="47">
        <v>0</v>
      </c>
      <c r="BI257" s="47">
        <v>0</v>
      </c>
      <c r="BJ257" s="47">
        <v>0</v>
      </c>
      <c r="BK257" s="47">
        <v>0</v>
      </c>
      <c r="BL257" s="47">
        <v>0</v>
      </c>
      <c r="BM257" s="47">
        <v>0</v>
      </c>
      <c r="BN257" s="47">
        <v>0</v>
      </c>
      <c r="BO257" s="47">
        <v>0</v>
      </c>
      <c r="BP257" s="47">
        <v>0</v>
      </c>
      <c r="BQ257" s="47">
        <v>0</v>
      </c>
      <c r="BR257" s="47">
        <v>0</v>
      </c>
      <c r="BS257" s="47">
        <v>0</v>
      </c>
      <c r="BT257" s="47">
        <v>0</v>
      </c>
      <c r="BU257" s="47">
        <v>0</v>
      </c>
      <c r="BV257" s="47">
        <v>0</v>
      </c>
      <c r="BW257" s="47">
        <v>0</v>
      </c>
      <c r="BX257" s="47">
        <v>0</v>
      </c>
      <c r="BY257" s="47">
        <v>0</v>
      </c>
      <c r="BZ257" s="47">
        <v>0</v>
      </c>
      <c r="CA257" s="47">
        <v>0</v>
      </c>
      <c r="CB257" s="47">
        <v>0</v>
      </c>
      <c r="CC257" s="47">
        <v>0</v>
      </c>
      <c r="CD257" s="47">
        <v>0</v>
      </c>
      <c r="CE257" s="47">
        <v>0</v>
      </c>
      <c r="CF257" s="47">
        <v>0</v>
      </c>
      <c r="CG257" s="47">
        <v>0</v>
      </c>
      <c r="CH257" s="47">
        <v>0</v>
      </c>
      <c r="CI257" s="47">
        <v>0</v>
      </c>
      <c r="CJ257" s="47">
        <v>0</v>
      </c>
      <c r="CK257" s="47">
        <v>0</v>
      </c>
      <c r="CL257" s="47">
        <v>0</v>
      </c>
      <c r="CM257" s="47">
        <v>0</v>
      </c>
      <c r="CN257" s="47">
        <v>0</v>
      </c>
      <c r="CO257" s="47">
        <v>0</v>
      </c>
      <c r="CP257" s="47">
        <v>0</v>
      </c>
      <c r="CQ257" s="47">
        <v>0</v>
      </c>
      <c r="CR257" s="47">
        <v>0</v>
      </c>
      <c r="CS257" s="47">
        <v>0</v>
      </c>
      <c r="CT257" s="47">
        <v>0</v>
      </c>
      <c r="CU257" s="47">
        <v>0</v>
      </c>
      <c r="CV257" s="47">
        <v>0</v>
      </c>
      <c r="CW257" s="47">
        <v>0</v>
      </c>
      <c r="CX257" s="47">
        <v>0</v>
      </c>
      <c r="CY257" s="47">
        <v>0</v>
      </c>
      <c r="CZ257" s="47">
        <v>0</v>
      </c>
      <c r="DA257" s="47">
        <v>0</v>
      </c>
      <c r="DB257" s="47">
        <v>0</v>
      </c>
      <c r="DC257" s="47">
        <v>0</v>
      </c>
      <c r="DD257" s="47">
        <v>0</v>
      </c>
      <c r="DE257" s="47">
        <v>0</v>
      </c>
      <c r="DF257" s="47">
        <v>0</v>
      </c>
      <c r="DG257" s="47">
        <v>0</v>
      </c>
      <c r="DH257" s="47">
        <v>0</v>
      </c>
      <c r="DI257" s="47">
        <v>0</v>
      </c>
      <c r="DJ257" s="47">
        <v>0</v>
      </c>
      <c r="DK257" s="47">
        <v>0</v>
      </c>
      <c r="DL257" s="47">
        <v>0</v>
      </c>
      <c r="DM257" s="47">
        <v>0</v>
      </c>
      <c r="DN257" s="47">
        <v>0</v>
      </c>
      <c r="DO257" s="47">
        <v>0</v>
      </c>
      <c r="DP257" s="47">
        <v>0</v>
      </c>
      <c r="DQ257" s="47">
        <v>0</v>
      </c>
      <c r="DR257" s="47">
        <v>0</v>
      </c>
      <c r="DS257" s="47">
        <v>0</v>
      </c>
      <c r="DT257" s="47">
        <v>0</v>
      </c>
    </row>
    <row r="258" spans="1:126" x14ac:dyDescent="0.25">
      <c r="A258" s="47" t="s">
        <v>1291</v>
      </c>
      <c r="B258" s="47" t="s">
        <v>153</v>
      </c>
      <c r="C258" s="47" t="s">
        <v>1292</v>
      </c>
      <c r="D258" s="47" t="s">
        <v>1293</v>
      </c>
      <c r="E258" s="47" t="s">
        <v>1294</v>
      </c>
      <c r="F258" s="47" t="s">
        <v>698</v>
      </c>
      <c r="G258" s="47" t="s">
        <v>727</v>
      </c>
      <c r="H258" s="47" t="str">
        <f>=IFERROR(VLOOKUP(A258,'ETPT Format DDG'!A:J,10,FALSE),"")</f>
        <v>0</v>
      </c>
      <c r="I258" s="47" t="str">
        <f>='ETPT Format DDG'!M258</f>
        <v/>
      </c>
      <c r="J258" s="47" t="str">
        <f>='ETPT Format DDG'!D258</f>
        <v/>
      </c>
      <c r="K258" s="47" t="s">
        <v>157</v>
      </c>
      <c r="L258" s="47" t="s">
        <v>806</v>
      </c>
      <c r="M258" s="47"/>
      <c r="N258" s="47">
        <v>1</v>
      </c>
      <c r="O258" s="47">
        <v>0</v>
      </c>
      <c r="P258" s="47">
        <v>0</v>
      </c>
      <c r="Q258" s="47">
        <v>0</v>
      </c>
      <c r="R258" s="47">
        <v>0</v>
      </c>
      <c r="S258" s="47">
        <v>0</v>
      </c>
      <c r="T258" s="47">
        <v>0</v>
      </c>
      <c r="U258" s="47">
        <v>0</v>
      </c>
      <c r="V258" s="47">
        <v>0</v>
      </c>
      <c r="W258" s="47">
        <v>0</v>
      </c>
      <c r="X258" s="47">
        <v>0</v>
      </c>
      <c r="Y258" s="47">
        <v>0</v>
      </c>
      <c r="Z258" s="47">
        <v>0</v>
      </c>
      <c r="AA258" s="47">
        <v>0</v>
      </c>
      <c r="AB258" s="47">
        <v>0</v>
      </c>
      <c r="AC258" s="47">
        <v>0</v>
      </c>
      <c r="AD258" s="47">
        <v>0</v>
      </c>
      <c r="AE258" s="47">
        <v>0</v>
      </c>
      <c r="AF258" s="47">
        <v>0</v>
      </c>
      <c r="AG258" s="47">
        <v>0</v>
      </c>
      <c r="AH258" s="47">
        <v>0</v>
      </c>
      <c r="AI258" s="47">
        <v>0</v>
      </c>
      <c r="AJ258" s="47">
        <v>0</v>
      </c>
      <c r="AK258" s="47">
        <v>0</v>
      </c>
      <c r="AL258" s="47">
        <v>0</v>
      </c>
      <c r="AM258" s="47">
        <v>0</v>
      </c>
      <c r="AN258" s="47">
        <v>0</v>
      </c>
      <c r="AO258" s="47">
        <v>0</v>
      </c>
      <c r="AP258" s="47">
        <v>0</v>
      </c>
      <c r="AQ258" s="47">
        <v>0</v>
      </c>
      <c r="AR258" s="47">
        <v>0</v>
      </c>
      <c r="AS258" s="47">
        <v>0</v>
      </c>
      <c r="AT258" s="47">
        <v>0</v>
      </c>
      <c r="AU258" s="47">
        <v>0</v>
      </c>
      <c r="AV258" s="47">
        <v>0</v>
      </c>
      <c r="AW258" s="47">
        <v>0</v>
      </c>
      <c r="AX258" s="47">
        <v>0</v>
      </c>
      <c r="AY258" s="47">
        <v>0</v>
      </c>
      <c r="AZ258" s="47">
        <v>0</v>
      </c>
      <c r="BA258" s="47">
        <v>0</v>
      </c>
      <c r="BB258" s="47">
        <v>0</v>
      </c>
      <c r="BC258" s="47">
        <v>0</v>
      </c>
      <c r="BD258" s="47">
        <v>0</v>
      </c>
      <c r="BE258" s="47">
        <v>0</v>
      </c>
      <c r="BF258" s="47">
        <v>0</v>
      </c>
      <c r="BG258" s="47">
        <v>0</v>
      </c>
      <c r="BH258" s="47">
        <v>0</v>
      </c>
      <c r="BI258" s="47">
        <v>0</v>
      </c>
      <c r="BJ258" s="47">
        <v>0</v>
      </c>
      <c r="BK258" s="47">
        <v>0</v>
      </c>
      <c r="BL258" s="47">
        <v>0</v>
      </c>
      <c r="BM258" s="47">
        <v>0</v>
      </c>
      <c r="BN258" s="47">
        <v>0</v>
      </c>
      <c r="BO258" s="47">
        <v>0</v>
      </c>
      <c r="BP258" s="47">
        <v>0</v>
      </c>
      <c r="BQ258" s="47">
        <v>0</v>
      </c>
      <c r="BR258" s="47">
        <v>0</v>
      </c>
      <c r="BS258" s="47">
        <v>0</v>
      </c>
      <c r="BT258" s="47">
        <v>0</v>
      </c>
      <c r="BU258" s="47">
        <v>0</v>
      </c>
      <c r="BV258" s="47">
        <v>0</v>
      </c>
      <c r="BW258" s="47">
        <v>0</v>
      </c>
      <c r="BX258" s="47">
        <v>0</v>
      </c>
      <c r="BY258" s="47">
        <v>0</v>
      </c>
      <c r="BZ258" s="47">
        <v>0</v>
      </c>
      <c r="CA258" s="47">
        <v>0</v>
      </c>
      <c r="CB258" s="47">
        <v>0</v>
      </c>
      <c r="CC258" s="47">
        <v>0</v>
      </c>
      <c r="CD258" s="47">
        <v>0</v>
      </c>
      <c r="CE258" s="47">
        <v>0</v>
      </c>
      <c r="CF258" s="47">
        <v>0</v>
      </c>
      <c r="CG258" s="47">
        <v>0</v>
      </c>
      <c r="CH258" s="47">
        <v>0</v>
      </c>
      <c r="CI258" s="47">
        <v>0</v>
      </c>
      <c r="CJ258" s="47">
        <v>0</v>
      </c>
      <c r="CK258" s="47">
        <v>0</v>
      </c>
      <c r="CL258" s="47">
        <v>0</v>
      </c>
      <c r="CM258" s="47">
        <v>0</v>
      </c>
      <c r="CN258" s="47">
        <v>0</v>
      </c>
      <c r="CO258" s="47">
        <v>0</v>
      </c>
      <c r="CP258" s="47">
        <v>0</v>
      </c>
      <c r="CQ258" s="47">
        <v>0</v>
      </c>
      <c r="CR258" s="47">
        <v>0</v>
      </c>
      <c r="CS258" s="47">
        <v>0</v>
      </c>
      <c r="CT258" s="47">
        <v>0</v>
      </c>
      <c r="CU258" s="47">
        <v>0</v>
      </c>
      <c r="CV258" s="47">
        <v>0</v>
      </c>
      <c r="CW258" s="47">
        <v>0</v>
      </c>
      <c r="CX258" s="47">
        <v>0</v>
      </c>
      <c r="CY258" s="47">
        <v>0</v>
      </c>
      <c r="CZ258" s="47">
        <v>0</v>
      </c>
      <c r="DA258" s="47">
        <v>0</v>
      </c>
      <c r="DB258" s="47">
        <v>0</v>
      </c>
      <c r="DC258" s="47">
        <v>0</v>
      </c>
      <c r="DD258" s="47">
        <v>0</v>
      </c>
      <c r="DE258" s="47">
        <v>0</v>
      </c>
      <c r="DF258" s="47">
        <v>0</v>
      </c>
      <c r="DG258" s="47">
        <v>0</v>
      </c>
      <c r="DH258" s="47">
        <v>0</v>
      </c>
      <c r="DI258" s="47">
        <v>0</v>
      </c>
      <c r="DJ258" s="47">
        <v>0</v>
      </c>
      <c r="DK258" s="47">
        <v>0</v>
      </c>
      <c r="DL258" s="47">
        <v>0</v>
      </c>
      <c r="DM258" s="47">
        <v>0</v>
      </c>
      <c r="DN258" s="47">
        <v>0</v>
      </c>
      <c r="DO258" s="47">
        <v>0</v>
      </c>
      <c r="DP258" s="47">
        <v>0</v>
      </c>
      <c r="DQ258" s="47">
        <v>0</v>
      </c>
      <c r="DR258" s="47">
        <v>0</v>
      </c>
      <c r="DS258" s="47">
        <v>0</v>
      </c>
      <c r="DT258" s="47">
        <v>0</v>
      </c>
    </row>
    <row r="259" spans="1:126" x14ac:dyDescent="0.25">
      <c r="A259" s="47" t="s">
        <v>1295</v>
      </c>
      <c r="B259" s="47" t="s">
        <v>153</v>
      </c>
      <c r="C259" s="47" t="s">
        <v>1296</v>
      </c>
      <c r="D259" s="47" t="s">
        <v>1297</v>
      </c>
      <c r="E259" s="47" t="s">
        <v>1298</v>
      </c>
      <c r="F259" s="47" t="s">
        <v>698</v>
      </c>
      <c r="G259" s="47" t="s">
        <v>738</v>
      </c>
      <c r="H259" s="47" t="str">
        <f>=IFERROR(VLOOKUP(A259,'ETPT Format DDG'!A:J,10,FALSE),"")</f>
        <v>0</v>
      </c>
      <c r="I259" s="47" t="str">
        <f>='ETPT Format DDG'!M259</f>
        <v/>
      </c>
      <c r="J259" s="47" t="str">
        <f>='ETPT Format DDG'!D259</f>
        <v/>
      </c>
      <c r="K259" s="47" t="s">
        <v>157</v>
      </c>
      <c r="L259" s="47" t="s">
        <v>1299</v>
      </c>
      <c r="M259" s="47"/>
      <c r="N259" s="47">
        <v>1</v>
      </c>
      <c r="O259" s="47">
        <v>1</v>
      </c>
      <c r="P259" s="47">
        <v>1</v>
      </c>
      <c r="Q259" s="47">
        <v>0</v>
      </c>
      <c r="R259" s="47">
        <v>0</v>
      </c>
      <c r="S259" s="47">
        <v>0</v>
      </c>
      <c r="T259" s="47">
        <v>0</v>
      </c>
      <c r="U259" s="47">
        <v>0</v>
      </c>
      <c r="V259" s="47">
        <v>0</v>
      </c>
      <c r="W259" s="47">
        <v>0</v>
      </c>
      <c r="X259" s="47">
        <v>0</v>
      </c>
      <c r="Y259" s="47">
        <v>0</v>
      </c>
      <c r="Z259" s="47">
        <v>0</v>
      </c>
      <c r="AA259" s="47">
        <v>0</v>
      </c>
      <c r="AB259" s="47">
        <v>0</v>
      </c>
      <c r="AC259" s="47">
        <v>0</v>
      </c>
      <c r="AD259" s="47">
        <v>0</v>
      </c>
      <c r="AE259" s="47">
        <v>0</v>
      </c>
      <c r="AF259" s="47">
        <v>0</v>
      </c>
      <c r="AG259" s="47">
        <v>0</v>
      </c>
      <c r="AH259" s="47">
        <v>0</v>
      </c>
      <c r="AI259" s="47">
        <v>0</v>
      </c>
      <c r="AJ259" s="47">
        <v>0</v>
      </c>
      <c r="AK259" s="47">
        <v>0</v>
      </c>
      <c r="AL259" s="47">
        <v>0</v>
      </c>
      <c r="AM259" s="47">
        <v>0</v>
      </c>
      <c r="AN259" s="47">
        <v>0</v>
      </c>
      <c r="AO259" s="47">
        <v>0</v>
      </c>
      <c r="AP259" s="47">
        <v>0</v>
      </c>
      <c r="AQ259" s="47">
        <v>0</v>
      </c>
      <c r="AR259" s="47">
        <v>0</v>
      </c>
      <c r="AS259" s="47">
        <v>0</v>
      </c>
      <c r="AT259" s="47">
        <v>0</v>
      </c>
      <c r="AU259" s="47">
        <v>0</v>
      </c>
      <c r="AV259" s="47">
        <v>0</v>
      </c>
      <c r="AW259" s="47">
        <v>0</v>
      </c>
      <c r="AX259" s="47">
        <v>0</v>
      </c>
      <c r="AY259" s="47">
        <v>0</v>
      </c>
      <c r="AZ259" s="47">
        <v>0</v>
      </c>
      <c r="BA259" s="47">
        <v>0</v>
      </c>
      <c r="BB259" s="47">
        <v>0</v>
      </c>
      <c r="BC259" s="47">
        <v>0</v>
      </c>
      <c r="BD259" s="47">
        <v>0</v>
      </c>
      <c r="BE259" s="47">
        <v>0</v>
      </c>
      <c r="BF259" s="47">
        <v>0</v>
      </c>
      <c r="BG259" s="47">
        <v>0</v>
      </c>
      <c r="BH259" s="47">
        <v>0</v>
      </c>
      <c r="BI259" s="47">
        <v>0</v>
      </c>
      <c r="BJ259" s="47">
        <v>0</v>
      </c>
      <c r="BK259" s="47">
        <v>0</v>
      </c>
      <c r="BL259" s="47">
        <v>0</v>
      </c>
      <c r="BM259" s="47">
        <v>0</v>
      </c>
      <c r="BN259" s="47">
        <v>0</v>
      </c>
      <c r="BO259" s="47">
        <v>0</v>
      </c>
      <c r="BP259" s="47">
        <v>0</v>
      </c>
      <c r="BQ259" s="47">
        <v>0</v>
      </c>
      <c r="BR259" s="47">
        <v>0</v>
      </c>
      <c r="BS259" s="47">
        <v>0</v>
      </c>
      <c r="BT259" s="47">
        <v>0</v>
      </c>
      <c r="BU259" s="47">
        <v>0</v>
      </c>
      <c r="BV259" s="47">
        <v>0</v>
      </c>
      <c r="BW259" s="47">
        <v>0</v>
      </c>
      <c r="BX259" s="47">
        <v>0</v>
      </c>
      <c r="BY259" s="47">
        <v>0</v>
      </c>
      <c r="BZ259" s="47">
        <v>0</v>
      </c>
      <c r="CA259" s="47">
        <v>0</v>
      </c>
      <c r="CB259" s="47">
        <v>0</v>
      </c>
      <c r="CC259" s="47">
        <v>0</v>
      </c>
      <c r="CD259" s="47">
        <v>0</v>
      </c>
      <c r="CE259" s="47">
        <v>0</v>
      </c>
      <c r="CF259" s="47">
        <v>0</v>
      </c>
      <c r="CG259" s="47">
        <v>0</v>
      </c>
      <c r="CH259" s="47">
        <v>0</v>
      </c>
      <c r="CI259" s="47">
        <v>0</v>
      </c>
      <c r="CJ259" s="47">
        <v>0</v>
      </c>
      <c r="CK259" s="47">
        <v>0</v>
      </c>
      <c r="CL259" s="47">
        <v>0</v>
      </c>
      <c r="CM259" s="47">
        <v>0</v>
      </c>
      <c r="CN259" s="47">
        <v>0</v>
      </c>
      <c r="CO259" s="47">
        <v>0</v>
      </c>
      <c r="CP259" s="47">
        <v>0</v>
      </c>
      <c r="CQ259" s="47">
        <v>0</v>
      </c>
      <c r="CR259" s="47">
        <v>0</v>
      </c>
      <c r="CS259" s="47">
        <v>0</v>
      </c>
      <c r="CT259" s="47">
        <v>0</v>
      </c>
      <c r="CU259" s="47">
        <v>0</v>
      </c>
      <c r="CV259" s="47">
        <v>0</v>
      </c>
      <c r="CW259" s="47">
        <v>0</v>
      </c>
      <c r="CX259" s="47">
        <v>0</v>
      </c>
      <c r="CY259" s="47">
        <v>0</v>
      </c>
      <c r="CZ259" s="47">
        <v>0</v>
      </c>
      <c r="DA259" s="47">
        <v>0</v>
      </c>
      <c r="DB259" s="47">
        <v>0</v>
      </c>
      <c r="DC259" s="47">
        <v>0</v>
      </c>
      <c r="DD259" s="47">
        <v>0</v>
      </c>
      <c r="DE259" s="47">
        <v>0</v>
      </c>
      <c r="DF259" s="47">
        <v>0</v>
      </c>
      <c r="DG259" s="47">
        <v>0</v>
      </c>
      <c r="DH259" s="47">
        <v>0</v>
      </c>
      <c r="DI259" s="47">
        <v>0</v>
      </c>
      <c r="DJ259" s="47">
        <v>0</v>
      </c>
      <c r="DK259" s="47">
        <v>0</v>
      </c>
      <c r="DL259" s="47">
        <v>0</v>
      </c>
      <c r="DM259" s="47">
        <v>0</v>
      </c>
      <c r="DN259" s="47">
        <v>0</v>
      </c>
      <c r="DO259" s="47">
        <v>0</v>
      </c>
      <c r="DP259" s="47">
        <v>0</v>
      </c>
      <c r="DQ259" s="47">
        <v>0</v>
      </c>
      <c r="DR259" s="47">
        <v>0</v>
      </c>
      <c r="DS259" s="47">
        <v>0</v>
      </c>
      <c r="DT259" s="47">
        <v>0</v>
      </c>
    </row>
    <row r="260" spans="1:126" x14ac:dyDescent="0.25">
      <c r="A260" s="47" t="s">
        <v>1300</v>
      </c>
      <c r="B260" s="47" t="s">
        <v>153</v>
      </c>
      <c r="C260" s="47" t="s">
        <v>1301</v>
      </c>
      <c r="D260" s="47" t="s">
        <v>1302</v>
      </c>
      <c r="E260" s="47" t="s">
        <v>1303</v>
      </c>
      <c r="F260" s="47" t="s">
        <v>698</v>
      </c>
      <c r="G260" s="47" t="s">
        <v>727</v>
      </c>
      <c r="H260" s="47" t="str">
        <f>=IFERROR(VLOOKUP(A260,'ETPT Format DDG'!A:J,10,FALSE),"")</f>
        <v>0</v>
      </c>
      <c r="I260" s="47" t="str">
        <f>='ETPT Format DDG'!M260</f>
        <v/>
      </c>
      <c r="J260" s="47" t="str">
        <f>='ETPT Format DDG'!D260</f>
        <v/>
      </c>
      <c r="K260" s="47" t="s">
        <v>157</v>
      </c>
      <c r="L260" s="47" t="s">
        <v>1304</v>
      </c>
      <c r="M260" s="47"/>
      <c r="N260" s="47">
        <v>1</v>
      </c>
      <c r="O260" s="47">
        <v>1</v>
      </c>
      <c r="P260" s="47">
        <v>0</v>
      </c>
      <c r="Q260" s="47">
        <v>0</v>
      </c>
      <c r="R260" s="47">
        <v>0</v>
      </c>
      <c r="S260" s="47">
        <v>0</v>
      </c>
      <c r="T260" s="47">
        <v>0</v>
      </c>
      <c r="U260" s="47">
        <v>0</v>
      </c>
      <c r="V260" s="47">
        <v>0</v>
      </c>
      <c r="W260" s="47">
        <v>0</v>
      </c>
      <c r="X260" s="47">
        <v>0</v>
      </c>
      <c r="Y260" s="47">
        <v>0</v>
      </c>
      <c r="Z260" s="47">
        <v>0</v>
      </c>
      <c r="AA260" s="47">
        <v>0</v>
      </c>
      <c r="AB260" s="47">
        <v>0</v>
      </c>
      <c r="AC260" s="47">
        <v>0</v>
      </c>
      <c r="AD260" s="47">
        <v>0</v>
      </c>
      <c r="AE260" s="47">
        <v>1</v>
      </c>
      <c r="AF260" s="47">
        <v>0</v>
      </c>
      <c r="AG260" s="47">
        <v>0</v>
      </c>
      <c r="AH260" s="47">
        <v>0</v>
      </c>
      <c r="AI260" s="47">
        <v>0</v>
      </c>
      <c r="AJ260" s="47">
        <v>0</v>
      </c>
      <c r="AK260" s="47">
        <v>0</v>
      </c>
      <c r="AL260" s="47">
        <v>0</v>
      </c>
      <c r="AM260" s="47">
        <v>0</v>
      </c>
      <c r="AN260" s="47">
        <v>0</v>
      </c>
      <c r="AO260" s="47">
        <v>0</v>
      </c>
      <c r="AP260" s="47">
        <v>0</v>
      </c>
      <c r="AQ260" s="47">
        <v>0</v>
      </c>
      <c r="AR260" s="47">
        <v>0</v>
      </c>
      <c r="AS260" s="47">
        <v>0</v>
      </c>
      <c r="AT260" s="47">
        <v>0</v>
      </c>
      <c r="AU260" s="47">
        <v>0</v>
      </c>
      <c r="AV260" s="47">
        <v>0</v>
      </c>
      <c r="AW260" s="47">
        <v>0</v>
      </c>
      <c r="AX260" s="47">
        <v>0</v>
      </c>
      <c r="AY260" s="47">
        <v>0</v>
      </c>
      <c r="AZ260" s="47">
        <v>0</v>
      </c>
      <c r="BA260" s="47">
        <v>0</v>
      </c>
      <c r="BB260" s="47">
        <v>0</v>
      </c>
      <c r="BC260" s="47">
        <v>0</v>
      </c>
      <c r="BD260" s="47">
        <v>0</v>
      </c>
      <c r="BE260" s="47">
        <v>0</v>
      </c>
      <c r="BF260" s="47">
        <v>0</v>
      </c>
      <c r="BG260" s="47">
        <v>0</v>
      </c>
      <c r="BH260" s="47">
        <v>0</v>
      </c>
      <c r="BI260" s="47">
        <v>0</v>
      </c>
      <c r="BJ260" s="47">
        <v>0</v>
      </c>
      <c r="BK260" s="47">
        <v>0</v>
      </c>
      <c r="BL260" s="47">
        <v>0</v>
      </c>
      <c r="BM260" s="47">
        <v>0</v>
      </c>
      <c r="BN260" s="47">
        <v>0</v>
      </c>
      <c r="BO260" s="47">
        <v>0</v>
      </c>
      <c r="BP260" s="47">
        <v>0</v>
      </c>
      <c r="BQ260" s="47">
        <v>0</v>
      </c>
      <c r="BR260" s="47">
        <v>0</v>
      </c>
      <c r="BS260" s="47">
        <v>0</v>
      </c>
      <c r="BT260" s="47">
        <v>0</v>
      </c>
      <c r="BU260" s="47">
        <v>0</v>
      </c>
      <c r="BV260" s="47">
        <v>0</v>
      </c>
      <c r="BW260" s="47">
        <v>0</v>
      </c>
      <c r="BX260" s="47">
        <v>0</v>
      </c>
      <c r="BY260" s="47">
        <v>0</v>
      </c>
      <c r="BZ260" s="47">
        <v>0</v>
      </c>
      <c r="CA260" s="47">
        <v>0</v>
      </c>
      <c r="CB260" s="47">
        <v>0</v>
      </c>
      <c r="CC260" s="47">
        <v>0</v>
      </c>
      <c r="CD260" s="47">
        <v>0</v>
      </c>
      <c r="CE260" s="47">
        <v>0</v>
      </c>
      <c r="CF260" s="47">
        <v>0</v>
      </c>
      <c r="CG260" s="47">
        <v>0</v>
      </c>
      <c r="CH260" s="47">
        <v>0</v>
      </c>
      <c r="CI260" s="47">
        <v>0</v>
      </c>
      <c r="CJ260" s="47">
        <v>0</v>
      </c>
      <c r="CK260" s="47">
        <v>0</v>
      </c>
      <c r="CL260" s="47">
        <v>0</v>
      </c>
      <c r="CM260" s="47">
        <v>0</v>
      </c>
      <c r="CN260" s="47">
        <v>0</v>
      </c>
      <c r="CO260" s="47">
        <v>0</v>
      </c>
      <c r="CP260" s="47">
        <v>0</v>
      </c>
      <c r="CQ260" s="47">
        <v>0</v>
      </c>
      <c r="CR260" s="47">
        <v>0</v>
      </c>
      <c r="CS260" s="47">
        <v>0</v>
      </c>
      <c r="CT260" s="47">
        <v>0</v>
      </c>
      <c r="CU260" s="47">
        <v>0</v>
      </c>
      <c r="CV260" s="47">
        <v>0</v>
      </c>
      <c r="CW260" s="47">
        <v>0</v>
      </c>
      <c r="CX260" s="47">
        <v>0</v>
      </c>
      <c r="CY260" s="47">
        <v>0</v>
      </c>
      <c r="CZ260" s="47">
        <v>0</v>
      </c>
      <c r="DA260" s="47">
        <v>0</v>
      </c>
      <c r="DB260" s="47">
        <v>0</v>
      </c>
      <c r="DC260" s="47">
        <v>0</v>
      </c>
      <c r="DD260" s="47">
        <v>0</v>
      </c>
      <c r="DE260" s="47">
        <v>0</v>
      </c>
      <c r="DF260" s="47">
        <v>0</v>
      </c>
      <c r="DG260" s="47">
        <v>0</v>
      </c>
      <c r="DH260" s="47">
        <v>0</v>
      </c>
      <c r="DI260" s="47">
        <v>0</v>
      </c>
      <c r="DJ260" s="47">
        <v>0</v>
      </c>
      <c r="DK260" s="47">
        <v>0</v>
      </c>
      <c r="DL260" s="47">
        <v>0</v>
      </c>
      <c r="DM260" s="47">
        <v>0</v>
      </c>
      <c r="DN260" s="47">
        <v>0</v>
      </c>
      <c r="DO260" s="47">
        <v>0</v>
      </c>
      <c r="DP260" s="47">
        <v>0</v>
      </c>
      <c r="DQ260" s="47">
        <v>0</v>
      </c>
      <c r="DR260" s="47">
        <v>0</v>
      </c>
      <c r="DS260" s="47">
        <v>0</v>
      </c>
      <c r="DT260" s="47">
        <v>0</v>
      </c>
    </row>
    <row r="261" spans="1:126" x14ac:dyDescent="0.25">
      <c r="A261" s="47" t="s">
        <v>1305</v>
      </c>
      <c r="B261" s="47" t="s">
        <v>153</v>
      </c>
      <c r="C261" s="47" t="s">
        <v>1306</v>
      </c>
      <c r="D261" s="47" t="s">
        <v>1307</v>
      </c>
      <c r="E261" s="47" t="s">
        <v>1308</v>
      </c>
      <c r="F261" s="47" t="s">
        <v>698</v>
      </c>
      <c r="G261" s="47" t="s">
        <v>727</v>
      </c>
      <c r="H261" s="47" t="str">
        <f>=IFERROR(VLOOKUP(A261,'ETPT Format DDG'!A:J,10,FALSE),"")</f>
        <v>0</v>
      </c>
      <c r="I261" s="47" t="str">
        <f>='ETPT Format DDG'!M261</f>
        <v/>
      </c>
      <c r="J261" s="47" t="str">
        <f>='ETPT Format DDG'!D261</f>
        <v/>
      </c>
      <c r="K261" s="47" t="s">
        <v>157</v>
      </c>
      <c r="L261" s="47" t="s">
        <v>1309</v>
      </c>
      <c r="M261" s="47"/>
      <c r="N261" s="47">
        <v>1</v>
      </c>
      <c r="O261" s="47">
        <v>0</v>
      </c>
      <c r="P261" s="47">
        <v>0</v>
      </c>
      <c r="Q261" s="47">
        <v>0</v>
      </c>
      <c r="R261" s="47">
        <v>0</v>
      </c>
      <c r="S261" s="47">
        <v>0</v>
      </c>
      <c r="T261" s="47">
        <v>0</v>
      </c>
      <c r="U261" s="47">
        <v>0</v>
      </c>
      <c r="V261" s="47">
        <v>0</v>
      </c>
      <c r="W261" s="47">
        <v>0</v>
      </c>
      <c r="X261" s="47">
        <v>0</v>
      </c>
      <c r="Y261" s="47">
        <v>0</v>
      </c>
      <c r="Z261" s="47">
        <v>0</v>
      </c>
      <c r="AA261" s="47">
        <v>0</v>
      </c>
      <c r="AB261" s="47">
        <v>0</v>
      </c>
      <c r="AC261" s="47">
        <v>0</v>
      </c>
      <c r="AD261" s="47">
        <v>0</v>
      </c>
      <c r="AE261" s="47">
        <v>0</v>
      </c>
      <c r="AF261" s="47">
        <v>0</v>
      </c>
      <c r="AG261" s="47">
        <v>0</v>
      </c>
      <c r="AH261" s="47">
        <v>0</v>
      </c>
      <c r="AI261" s="47">
        <v>0</v>
      </c>
      <c r="AJ261" s="47">
        <v>0</v>
      </c>
      <c r="AK261" s="47">
        <v>0</v>
      </c>
      <c r="AL261" s="47">
        <v>0</v>
      </c>
      <c r="AM261" s="47">
        <v>0</v>
      </c>
      <c r="AN261" s="47">
        <v>0</v>
      </c>
      <c r="AO261" s="47">
        <v>0</v>
      </c>
      <c r="AP261" s="47">
        <v>0</v>
      </c>
      <c r="AQ261" s="47">
        <v>0</v>
      </c>
      <c r="AR261" s="47">
        <v>0</v>
      </c>
      <c r="AS261" s="47">
        <v>0</v>
      </c>
      <c r="AT261" s="47">
        <v>0</v>
      </c>
      <c r="AU261" s="47">
        <v>0</v>
      </c>
      <c r="AV261" s="47">
        <v>0</v>
      </c>
      <c r="AW261" s="47">
        <v>0</v>
      </c>
      <c r="AX261" s="47">
        <v>0</v>
      </c>
      <c r="AY261" s="47">
        <v>0</v>
      </c>
      <c r="AZ261" s="47">
        <v>0</v>
      </c>
      <c r="BA261" s="47">
        <v>0</v>
      </c>
      <c r="BB261" s="47">
        <v>0</v>
      </c>
      <c r="BC261" s="47">
        <v>0</v>
      </c>
      <c r="BD261" s="47">
        <v>0</v>
      </c>
      <c r="BE261" s="47">
        <v>0</v>
      </c>
      <c r="BF261" s="47">
        <v>0</v>
      </c>
      <c r="BG261" s="47">
        <v>0</v>
      </c>
      <c r="BH261" s="47">
        <v>0</v>
      </c>
      <c r="BI261" s="47">
        <v>0</v>
      </c>
      <c r="BJ261" s="47">
        <v>0</v>
      </c>
      <c r="BK261" s="47">
        <v>0</v>
      </c>
      <c r="BL261" s="47">
        <v>0</v>
      </c>
      <c r="BM261" s="47">
        <v>0</v>
      </c>
      <c r="BN261" s="47">
        <v>0</v>
      </c>
      <c r="BO261" s="47">
        <v>0</v>
      </c>
      <c r="BP261" s="47">
        <v>0</v>
      </c>
      <c r="BQ261" s="47">
        <v>0</v>
      </c>
      <c r="BR261" s="47">
        <v>0</v>
      </c>
      <c r="BS261" s="47">
        <v>0</v>
      </c>
      <c r="BT261" s="47">
        <v>0</v>
      </c>
      <c r="BU261" s="47">
        <v>0</v>
      </c>
      <c r="BV261" s="47">
        <v>0</v>
      </c>
      <c r="BW261" s="47">
        <v>0</v>
      </c>
      <c r="BX261" s="47">
        <v>0</v>
      </c>
      <c r="BY261" s="47">
        <v>0</v>
      </c>
      <c r="BZ261" s="47">
        <v>0</v>
      </c>
      <c r="CA261" s="47">
        <v>0</v>
      </c>
      <c r="CB261" s="47">
        <v>0</v>
      </c>
      <c r="CC261" s="47">
        <v>0</v>
      </c>
      <c r="CD261" s="47">
        <v>0</v>
      </c>
      <c r="CE261" s="47">
        <v>0</v>
      </c>
      <c r="CF261" s="47">
        <v>0</v>
      </c>
      <c r="CG261" s="47">
        <v>0</v>
      </c>
      <c r="CH261" s="47">
        <v>0</v>
      </c>
      <c r="CI261" s="47">
        <v>0</v>
      </c>
      <c r="CJ261" s="47">
        <v>0</v>
      </c>
      <c r="CK261" s="47">
        <v>0</v>
      </c>
      <c r="CL261" s="47">
        <v>0</v>
      </c>
      <c r="CM261" s="47">
        <v>0</v>
      </c>
      <c r="CN261" s="47">
        <v>0</v>
      </c>
      <c r="CO261" s="47">
        <v>0</v>
      </c>
      <c r="CP261" s="47">
        <v>0</v>
      </c>
      <c r="CQ261" s="47">
        <v>0</v>
      </c>
      <c r="CR261" s="47">
        <v>0</v>
      </c>
      <c r="CS261" s="47">
        <v>0</v>
      </c>
      <c r="CT261" s="47">
        <v>0</v>
      </c>
      <c r="CU261" s="47">
        <v>0</v>
      </c>
      <c r="CV261" s="47">
        <v>0</v>
      </c>
      <c r="CW261" s="47">
        <v>0</v>
      </c>
      <c r="CX261" s="47">
        <v>0</v>
      </c>
      <c r="CY261" s="47">
        <v>0</v>
      </c>
      <c r="CZ261" s="47">
        <v>0</v>
      </c>
      <c r="DA261" s="47">
        <v>0</v>
      </c>
      <c r="DB261" s="47">
        <v>0</v>
      </c>
      <c r="DC261" s="47">
        <v>0</v>
      </c>
      <c r="DD261" s="47">
        <v>0</v>
      </c>
      <c r="DE261" s="47">
        <v>0</v>
      </c>
      <c r="DF261" s="47">
        <v>0</v>
      </c>
      <c r="DG261" s="47">
        <v>0</v>
      </c>
      <c r="DH261" s="47">
        <v>0</v>
      </c>
      <c r="DI261" s="47">
        <v>0</v>
      </c>
      <c r="DJ261" s="47">
        <v>0</v>
      </c>
      <c r="DK261" s="47">
        <v>0</v>
      </c>
      <c r="DL261" s="47">
        <v>0</v>
      </c>
      <c r="DM261" s="47">
        <v>0</v>
      </c>
      <c r="DN261" s="47">
        <v>0</v>
      </c>
      <c r="DO261" s="47">
        <v>0</v>
      </c>
      <c r="DP261" s="47">
        <v>0</v>
      </c>
      <c r="DQ261" s="47">
        <v>0</v>
      </c>
      <c r="DR261" s="47">
        <v>0</v>
      </c>
      <c r="DS261" s="47">
        <v>0</v>
      </c>
      <c r="DT261" s="47">
        <v>0</v>
      </c>
    </row>
    <row r="262" spans="1:126" x14ac:dyDescent="0.25">
      <c r="A262" s="47" t="s">
        <v>1310</v>
      </c>
      <c r="B262" s="47" t="s">
        <v>153</v>
      </c>
      <c r="C262" s="47" t="s">
        <v>1311</v>
      </c>
      <c r="D262" s="47" t="s">
        <v>1312</v>
      </c>
      <c r="E262" s="47" t="s">
        <v>1313</v>
      </c>
      <c r="F262" s="47" t="s">
        <v>698</v>
      </c>
      <c r="G262" s="47" t="s">
        <v>711</v>
      </c>
      <c r="H262" s="47" t="str">
        <f>=IFERROR(VLOOKUP(A262,'ETPT Format DDG'!A:J,10,FALSE),"")</f>
        <v>0</v>
      </c>
      <c r="I262" s="47" t="str">
        <f>='ETPT Format DDG'!M262</f>
        <v/>
      </c>
      <c r="J262" s="47" t="str">
        <f>='ETPT Format DDG'!D262</f>
        <v/>
      </c>
      <c r="K262" s="47" t="s">
        <v>157</v>
      </c>
      <c r="L262" s="47" t="s">
        <v>1071</v>
      </c>
      <c r="M262" s="47"/>
      <c r="N262" s="47">
        <v>1</v>
      </c>
      <c r="O262" s="47">
        <v>1</v>
      </c>
      <c r="P262" s="47">
        <v>0</v>
      </c>
      <c r="Q262" s="47">
        <v>0</v>
      </c>
      <c r="R262" s="47">
        <v>0</v>
      </c>
      <c r="S262" s="47">
        <v>0</v>
      </c>
      <c r="T262" s="47">
        <v>0</v>
      </c>
      <c r="U262" s="47">
        <v>0</v>
      </c>
      <c r="V262" s="47">
        <v>0</v>
      </c>
      <c r="W262" s="47">
        <v>0</v>
      </c>
      <c r="X262" s="47">
        <v>0</v>
      </c>
      <c r="Y262" s="47">
        <v>0</v>
      </c>
      <c r="Z262" s="47">
        <v>0</v>
      </c>
      <c r="AA262" s="47">
        <v>0</v>
      </c>
      <c r="AB262" s="47">
        <v>0</v>
      </c>
      <c r="AC262" s="47">
        <v>0</v>
      </c>
      <c r="AD262" s="47">
        <v>0</v>
      </c>
      <c r="AE262" s="47">
        <v>0</v>
      </c>
      <c r="AF262" s="47">
        <v>0</v>
      </c>
      <c r="AG262" s="47">
        <v>0</v>
      </c>
      <c r="AH262" s="47">
        <v>0</v>
      </c>
      <c r="AI262" s="47">
        <v>0</v>
      </c>
      <c r="AJ262" s="47">
        <v>0</v>
      </c>
      <c r="AK262" s="47">
        <v>0</v>
      </c>
      <c r="AL262" s="47">
        <v>0</v>
      </c>
      <c r="AM262" s="47">
        <v>0</v>
      </c>
      <c r="AN262" s="47">
        <v>0</v>
      </c>
      <c r="AO262" s="47">
        <v>0</v>
      </c>
      <c r="AP262" s="47">
        <v>0</v>
      </c>
      <c r="AQ262" s="47">
        <v>0</v>
      </c>
      <c r="AR262" s="47">
        <v>0</v>
      </c>
      <c r="AS262" s="47">
        <v>0</v>
      </c>
      <c r="AT262" s="47">
        <v>0</v>
      </c>
      <c r="AU262" s="47">
        <v>0</v>
      </c>
      <c r="AV262" s="47">
        <v>0</v>
      </c>
      <c r="AW262" s="47">
        <v>0</v>
      </c>
      <c r="AX262" s="47">
        <v>0</v>
      </c>
      <c r="AY262" s="47">
        <v>0</v>
      </c>
      <c r="AZ262" s="47">
        <v>0</v>
      </c>
      <c r="BA262" s="47">
        <v>0</v>
      </c>
      <c r="BB262" s="47">
        <v>0</v>
      </c>
      <c r="BC262" s="47">
        <v>0</v>
      </c>
      <c r="BD262" s="47">
        <v>0</v>
      </c>
      <c r="BE262" s="47">
        <v>0</v>
      </c>
      <c r="BF262" s="47">
        <v>0</v>
      </c>
      <c r="BG262" s="47">
        <v>0</v>
      </c>
      <c r="BH262" s="47">
        <v>1</v>
      </c>
      <c r="BI262" s="47">
        <v>1</v>
      </c>
      <c r="BJ262" s="47">
        <v>0</v>
      </c>
      <c r="BK262" s="47">
        <v>0</v>
      </c>
      <c r="BL262" s="47">
        <v>0</v>
      </c>
      <c r="BM262" s="47">
        <v>0</v>
      </c>
      <c r="BN262" s="47">
        <v>0</v>
      </c>
      <c r="BO262" s="47">
        <v>0</v>
      </c>
      <c r="BP262" s="47">
        <v>0</v>
      </c>
      <c r="BQ262" s="47">
        <v>0</v>
      </c>
      <c r="BR262" s="47">
        <v>0</v>
      </c>
      <c r="BS262" s="47">
        <v>0</v>
      </c>
      <c r="BT262" s="47">
        <v>0</v>
      </c>
      <c r="BU262" s="47">
        <v>0</v>
      </c>
      <c r="BV262" s="47">
        <v>0</v>
      </c>
      <c r="BW262" s="47">
        <v>0</v>
      </c>
      <c r="BX262" s="47">
        <v>0</v>
      </c>
      <c r="BY262" s="47">
        <v>0</v>
      </c>
      <c r="BZ262" s="47">
        <v>0</v>
      </c>
      <c r="CA262" s="47">
        <v>0</v>
      </c>
      <c r="CB262" s="47">
        <v>0</v>
      </c>
      <c r="CC262" s="47">
        <v>0</v>
      </c>
      <c r="CD262" s="47">
        <v>0</v>
      </c>
      <c r="CE262" s="47">
        <v>0</v>
      </c>
      <c r="CF262" s="47">
        <v>0</v>
      </c>
      <c r="CG262" s="47">
        <v>0</v>
      </c>
      <c r="CH262" s="47">
        <v>0</v>
      </c>
      <c r="CI262" s="47">
        <v>0</v>
      </c>
      <c r="CJ262" s="47">
        <v>0</v>
      </c>
      <c r="CK262" s="47">
        <v>0</v>
      </c>
      <c r="CL262" s="47">
        <v>0</v>
      </c>
      <c r="CM262" s="47">
        <v>0</v>
      </c>
      <c r="CN262" s="47">
        <v>0</v>
      </c>
      <c r="CO262" s="47">
        <v>0</v>
      </c>
      <c r="CP262" s="47">
        <v>0</v>
      </c>
      <c r="CQ262" s="47">
        <v>0</v>
      </c>
      <c r="CR262" s="47">
        <v>0</v>
      </c>
      <c r="CS262" s="47">
        <v>0</v>
      </c>
      <c r="CT262" s="47">
        <v>0</v>
      </c>
      <c r="CU262" s="47">
        <v>0</v>
      </c>
      <c r="CV262" s="47">
        <v>0</v>
      </c>
      <c r="CW262" s="47">
        <v>0</v>
      </c>
      <c r="CX262" s="47">
        <v>0</v>
      </c>
      <c r="CY262" s="47">
        <v>0</v>
      </c>
      <c r="CZ262" s="47">
        <v>0</v>
      </c>
      <c r="DA262" s="47">
        <v>0</v>
      </c>
      <c r="DB262" s="47">
        <v>0</v>
      </c>
      <c r="DC262" s="47">
        <v>0</v>
      </c>
      <c r="DD262" s="47">
        <v>0</v>
      </c>
      <c r="DE262" s="47">
        <v>0</v>
      </c>
      <c r="DF262" s="47">
        <v>0</v>
      </c>
      <c r="DG262" s="47">
        <v>0</v>
      </c>
      <c r="DH262" s="47">
        <v>0</v>
      </c>
      <c r="DI262" s="47">
        <v>0</v>
      </c>
      <c r="DJ262" s="47">
        <v>0</v>
      </c>
      <c r="DK262" s="47">
        <v>0</v>
      </c>
      <c r="DL262" s="47">
        <v>0</v>
      </c>
      <c r="DM262" s="47">
        <v>0</v>
      </c>
      <c r="DN262" s="47">
        <v>0</v>
      </c>
      <c r="DO262" s="47">
        <v>0</v>
      </c>
      <c r="DP262" s="47">
        <v>0</v>
      </c>
      <c r="DQ262" s="47">
        <v>0</v>
      </c>
      <c r="DR262" s="47">
        <v>0</v>
      </c>
      <c r="DS262" s="47">
        <v>0</v>
      </c>
      <c r="DT262" s="47">
        <v>0</v>
      </c>
    </row>
    <row r="263" spans="1:126" x14ac:dyDescent="0.25">
      <c r="A263" s="47" t="s">
        <v>1314</v>
      </c>
      <c r="B263" s="47" t="s">
        <v>153</v>
      </c>
      <c r="C263" s="47" t="s">
        <v>1315</v>
      </c>
      <c r="D263" s="47" t="s">
        <v>1316</v>
      </c>
      <c r="E263" s="47" t="s">
        <v>1317</v>
      </c>
      <c r="F263" s="47" t="s">
        <v>698</v>
      </c>
      <c r="G263" s="47" t="s">
        <v>727</v>
      </c>
      <c r="H263" s="47" t="str">
        <f>=IFERROR(VLOOKUP(A263,'ETPT Format DDG'!A:J,10,FALSE),"")</f>
        <v>0</v>
      </c>
      <c r="I263" s="47" t="str">
        <f>='ETPT Format DDG'!M263</f>
        <v/>
      </c>
      <c r="J263" s="47" t="str">
        <f>='ETPT Format DDG'!D263</f>
        <v/>
      </c>
      <c r="K263" s="47" t="s">
        <v>157</v>
      </c>
      <c r="L263" s="47" t="s">
        <v>849</v>
      </c>
      <c r="M263" s="47"/>
      <c r="N263" s="47">
        <v>1</v>
      </c>
      <c r="O263" s="47">
        <v>0</v>
      </c>
      <c r="P263" s="47">
        <v>0</v>
      </c>
      <c r="Q263" s="47">
        <v>0</v>
      </c>
      <c r="R263" s="47">
        <v>0</v>
      </c>
      <c r="S263" s="47">
        <v>0</v>
      </c>
      <c r="T263" s="47">
        <v>0</v>
      </c>
      <c r="U263" s="47">
        <v>0</v>
      </c>
      <c r="V263" s="47">
        <v>0</v>
      </c>
      <c r="W263" s="47">
        <v>0</v>
      </c>
      <c r="X263" s="47">
        <v>0</v>
      </c>
      <c r="Y263" s="47">
        <v>0</v>
      </c>
      <c r="Z263" s="47">
        <v>0</v>
      </c>
      <c r="AA263" s="47">
        <v>0</v>
      </c>
      <c r="AB263" s="47">
        <v>0</v>
      </c>
      <c r="AC263" s="47">
        <v>0</v>
      </c>
      <c r="AD263" s="47">
        <v>0</v>
      </c>
      <c r="AE263" s="47">
        <v>0</v>
      </c>
      <c r="AF263" s="47">
        <v>0</v>
      </c>
      <c r="AG263" s="47">
        <v>0</v>
      </c>
      <c r="AH263" s="47">
        <v>0</v>
      </c>
      <c r="AI263" s="47">
        <v>0</v>
      </c>
      <c r="AJ263" s="47">
        <v>0</v>
      </c>
      <c r="AK263" s="47">
        <v>0</v>
      </c>
      <c r="AL263" s="47">
        <v>0</v>
      </c>
      <c r="AM263" s="47">
        <v>0</v>
      </c>
      <c r="AN263" s="47">
        <v>0</v>
      </c>
      <c r="AO263" s="47">
        <v>0</v>
      </c>
      <c r="AP263" s="47">
        <v>0</v>
      </c>
      <c r="AQ263" s="47">
        <v>0</v>
      </c>
      <c r="AR263" s="47">
        <v>0</v>
      </c>
      <c r="AS263" s="47">
        <v>0</v>
      </c>
      <c r="AT263" s="47">
        <v>0</v>
      </c>
      <c r="AU263" s="47">
        <v>0</v>
      </c>
      <c r="AV263" s="47">
        <v>0</v>
      </c>
      <c r="AW263" s="47">
        <v>0</v>
      </c>
      <c r="AX263" s="47">
        <v>0</v>
      </c>
      <c r="AY263" s="47">
        <v>0</v>
      </c>
      <c r="AZ263" s="47">
        <v>0</v>
      </c>
      <c r="BA263" s="47">
        <v>0</v>
      </c>
      <c r="BB263" s="47">
        <v>0</v>
      </c>
      <c r="BC263" s="47">
        <v>0</v>
      </c>
      <c r="BD263" s="47">
        <v>0</v>
      </c>
      <c r="BE263" s="47">
        <v>0</v>
      </c>
      <c r="BF263" s="47">
        <v>0</v>
      </c>
      <c r="BG263" s="47">
        <v>0</v>
      </c>
      <c r="BH263" s="47">
        <v>0</v>
      </c>
      <c r="BI263" s="47">
        <v>0</v>
      </c>
      <c r="BJ263" s="47">
        <v>0</v>
      </c>
      <c r="BK263" s="47">
        <v>0</v>
      </c>
      <c r="BL263" s="47">
        <v>0</v>
      </c>
      <c r="BM263" s="47">
        <v>0</v>
      </c>
      <c r="BN263" s="47">
        <v>0</v>
      </c>
      <c r="BO263" s="47">
        <v>0</v>
      </c>
      <c r="BP263" s="47">
        <v>0</v>
      </c>
      <c r="BQ263" s="47">
        <v>0</v>
      </c>
      <c r="BR263" s="47">
        <v>0</v>
      </c>
      <c r="BS263" s="47">
        <v>0</v>
      </c>
      <c r="BT263" s="47">
        <v>0</v>
      </c>
      <c r="BU263" s="47">
        <v>0</v>
      </c>
      <c r="BV263" s="47">
        <v>0</v>
      </c>
      <c r="BW263" s="47">
        <v>0</v>
      </c>
      <c r="BX263" s="47">
        <v>0</v>
      </c>
      <c r="BY263" s="47">
        <v>0</v>
      </c>
      <c r="BZ263" s="47">
        <v>0</v>
      </c>
      <c r="CA263" s="47">
        <v>0</v>
      </c>
      <c r="CB263" s="47">
        <v>0</v>
      </c>
      <c r="CC263" s="47">
        <v>0</v>
      </c>
      <c r="CD263" s="47">
        <v>0</v>
      </c>
      <c r="CE263" s="47">
        <v>0</v>
      </c>
      <c r="CF263" s="47">
        <v>0</v>
      </c>
      <c r="CG263" s="47">
        <v>0</v>
      </c>
      <c r="CH263" s="47">
        <v>0</v>
      </c>
      <c r="CI263" s="47">
        <v>0</v>
      </c>
      <c r="CJ263" s="47">
        <v>0</v>
      </c>
      <c r="CK263" s="47">
        <v>0</v>
      </c>
      <c r="CL263" s="47">
        <v>0</v>
      </c>
      <c r="CM263" s="47">
        <v>0</v>
      </c>
      <c r="CN263" s="47">
        <v>0</v>
      </c>
      <c r="CO263" s="47">
        <v>0</v>
      </c>
      <c r="CP263" s="47">
        <v>0</v>
      </c>
      <c r="CQ263" s="47">
        <v>0</v>
      </c>
      <c r="CR263" s="47">
        <v>0</v>
      </c>
      <c r="CS263" s="47">
        <v>0</v>
      </c>
      <c r="CT263" s="47">
        <v>0</v>
      </c>
      <c r="CU263" s="47">
        <v>0</v>
      </c>
      <c r="CV263" s="47">
        <v>0</v>
      </c>
      <c r="CW263" s="47">
        <v>0</v>
      </c>
      <c r="CX263" s="47">
        <v>0</v>
      </c>
      <c r="CY263" s="47">
        <v>0</v>
      </c>
      <c r="CZ263" s="47">
        <v>0</v>
      </c>
      <c r="DA263" s="47">
        <v>0</v>
      </c>
      <c r="DB263" s="47">
        <v>0</v>
      </c>
      <c r="DC263" s="47">
        <v>0</v>
      </c>
      <c r="DD263" s="47">
        <v>0</v>
      </c>
      <c r="DE263" s="47">
        <v>0</v>
      </c>
      <c r="DF263" s="47">
        <v>0</v>
      </c>
      <c r="DG263" s="47">
        <v>0</v>
      </c>
      <c r="DH263" s="47">
        <v>0</v>
      </c>
      <c r="DI263" s="47">
        <v>0</v>
      </c>
      <c r="DJ263" s="47">
        <v>0</v>
      </c>
      <c r="DK263" s="47">
        <v>0</v>
      </c>
      <c r="DL263" s="47">
        <v>0</v>
      </c>
      <c r="DM263" s="47">
        <v>0</v>
      </c>
      <c r="DN263" s="47">
        <v>0</v>
      </c>
      <c r="DO263" s="47">
        <v>0</v>
      </c>
      <c r="DP263" s="47">
        <v>0</v>
      </c>
      <c r="DQ263" s="47">
        <v>0</v>
      </c>
      <c r="DR263" s="47">
        <v>0</v>
      </c>
      <c r="DS263" s="47">
        <v>0</v>
      </c>
      <c r="DT263" s="47">
        <v>0</v>
      </c>
    </row>
    <row r="264" spans="1:126" x14ac:dyDescent="0.25">
      <c r="A264" s="47" t="s">
        <v>1318</v>
      </c>
      <c r="B264" s="47" t="s">
        <v>153</v>
      </c>
      <c r="C264" s="47" t="s">
        <v>1319</v>
      </c>
      <c r="D264" s="47" t="s">
        <v>1320</v>
      </c>
      <c r="E264" s="47" t="s">
        <v>1321</v>
      </c>
      <c r="F264" s="47" t="s">
        <v>698</v>
      </c>
      <c r="G264" s="47" t="s">
        <v>738</v>
      </c>
      <c r="H264" s="47" t="str">
        <f>=IFERROR(VLOOKUP(A264,'ETPT Format DDG'!A:J,10,FALSE),"")</f>
        <v>0</v>
      </c>
      <c r="I264" s="47" t="str">
        <f>='ETPT Format DDG'!M264</f>
        <v/>
      </c>
      <c r="J264" s="47" t="str">
        <f>='ETPT Format DDG'!D264</f>
        <v/>
      </c>
      <c r="K264" s="47" t="s">
        <v>157</v>
      </c>
      <c r="L264" s="47" t="s">
        <v>1322</v>
      </c>
      <c r="M264" s="47"/>
      <c r="N264" s="47">
        <v>1</v>
      </c>
      <c r="O264" s="47">
        <v>1</v>
      </c>
      <c r="P264" s="47">
        <v>1</v>
      </c>
      <c r="Q264" s="47">
        <v>0</v>
      </c>
      <c r="R264" s="47">
        <v>0</v>
      </c>
      <c r="S264" s="47">
        <v>0</v>
      </c>
      <c r="T264" s="47">
        <v>0</v>
      </c>
      <c r="U264" s="47">
        <v>0</v>
      </c>
      <c r="V264" s="47">
        <v>0</v>
      </c>
      <c r="W264" s="47">
        <v>0</v>
      </c>
      <c r="X264" s="47">
        <v>0</v>
      </c>
      <c r="Y264" s="47">
        <v>0</v>
      </c>
      <c r="Z264" s="47">
        <v>0</v>
      </c>
      <c r="AA264" s="47">
        <v>0</v>
      </c>
      <c r="AB264" s="47">
        <v>0</v>
      </c>
      <c r="AC264" s="47">
        <v>0</v>
      </c>
      <c r="AD264" s="47">
        <v>0</v>
      </c>
      <c r="AE264" s="47">
        <v>0</v>
      </c>
      <c r="AF264" s="47">
        <v>0</v>
      </c>
      <c r="AG264" s="47">
        <v>0</v>
      </c>
      <c r="AH264" s="47">
        <v>0</v>
      </c>
      <c r="AI264" s="47">
        <v>0</v>
      </c>
      <c r="AJ264" s="47">
        <v>0</v>
      </c>
      <c r="AK264" s="47">
        <v>0</v>
      </c>
      <c r="AL264" s="47">
        <v>0</v>
      </c>
      <c r="AM264" s="47">
        <v>0</v>
      </c>
      <c r="AN264" s="47">
        <v>0</v>
      </c>
      <c r="AO264" s="47">
        <v>0</v>
      </c>
      <c r="AP264" s="47">
        <v>0</v>
      </c>
      <c r="AQ264" s="47">
        <v>0</v>
      </c>
      <c r="AR264" s="47">
        <v>0</v>
      </c>
      <c r="AS264" s="47">
        <v>0</v>
      </c>
      <c r="AT264" s="47">
        <v>0</v>
      </c>
      <c r="AU264" s="47">
        <v>0</v>
      </c>
      <c r="AV264" s="47">
        <v>0</v>
      </c>
      <c r="AW264" s="47">
        <v>0</v>
      </c>
      <c r="AX264" s="47">
        <v>0</v>
      </c>
      <c r="AY264" s="47">
        <v>0</v>
      </c>
      <c r="AZ264" s="47">
        <v>0</v>
      </c>
      <c r="BA264" s="47">
        <v>0</v>
      </c>
      <c r="BB264" s="47">
        <v>0</v>
      </c>
      <c r="BC264" s="47">
        <v>0</v>
      </c>
      <c r="BD264" s="47">
        <v>0</v>
      </c>
      <c r="BE264" s="47">
        <v>0</v>
      </c>
      <c r="BF264" s="47">
        <v>0</v>
      </c>
      <c r="BG264" s="47">
        <v>0</v>
      </c>
      <c r="BH264" s="47">
        <v>0</v>
      </c>
      <c r="BI264" s="47">
        <v>0</v>
      </c>
      <c r="BJ264" s="47">
        <v>0</v>
      </c>
      <c r="BK264" s="47">
        <v>0</v>
      </c>
      <c r="BL264" s="47">
        <v>0</v>
      </c>
      <c r="BM264" s="47">
        <v>0</v>
      </c>
      <c r="BN264" s="47">
        <v>0</v>
      </c>
      <c r="BO264" s="47">
        <v>0</v>
      </c>
      <c r="BP264" s="47">
        <v>0</v>
      </c>
      <c r="BQ264" s="47">
        <v>0</v>
      </c>
      <c r="BR264" s="47">
        <v>0</v>
      </c>
      <c r="BS264" s="47">
        <v>0</v>
      </c>
      <c r="BT264" s="47">
        <v>0</v>
      </c>
      <c r="BU264" s="47">
        <v>0</v>
      </c>
      <c r="BV264" s="47">
        <v>0</v>
      </c>
      <c r="BW264" s="47">
        <v>0</v>
      </c>
      <c r="BX264" s="47">
        <v>0</v>
      </c>
      <c r="BY264" s="47">
        <v>0</v>
      </c>
      <c r="BZ264" s="47">
        <v>0</v>
      </c>
      <c r="CA264" s="47">
        <v>0</v>
      </c>
      <c r="CB264" s="47">
        <v>0</v>
      </c>
      <c r="CC264" s="47">
        <v>0</v>
      </c>
      <c r="CD264" s="47">
        <v>0</v>
      </c>
      <c r="CE264" s="47">
        <v>0</v>
      </c>
      <c r="CF264" s="47">
        <v>0</v>
      </c>
      <c r="CG264" s="47">
        <v>0</v>
      </c>
      <c r="CH264" s="47">
        <v>0</v>
      </c>
      <c r="CI264" s="47">
        <v>0</v>
      </c>
      <c r="CJ264" s="47">
        <v>0</v>
      </c>
      <c r="CK264" s="47">
        <v>0</v>
      </c>
      <c r="CL264" s="47">
        <v>0</v>
      </c>
      <c r="CM264" s="47">
        <v>0</v>
      </c>
      <c r="CN264" s="47">
        <v>0</v>
      </c>
      <c r="CO264" s="47">
        <v>0</v>
      </c>
      <c r="CP264" s="47">
        <v>0</v>
      </c>
      <c r="CQ264" s="47">
        <v>0</v>
      </c>
      <c r="CR264" s="47">
        <v>0</v>
      </c>
      <c r="CS264" s="47">
        <v>0</v>
      </c>
      <c r="CT264" s="47">
        <v>0</v>
      </c>
      <c r="CU264" s="47">
        <v>0</v>
      </c>
      <c r="CV264" s="47">
        <v>0</v>
      </c>
      <c r="CW264" s="47">
        <v>0</v>
      </c>
      <c r="CX264" s="47">
        <v>0</v>
      </c>
      <c r="CY264" s="47">
        <v>0</v>
      </c>
      <c r="CZ264" s="47">
        <v>0</v>
      </c>
      <c r="DA264" s="47">
        <v>0</v>
      </c>
      <c r="DB264" s="47">
        <v>0</v>
      </c>
      <c r="DC264" s="47">
        <v>0</v>
      </c>
      <c r="DD264" s="47">
        <v>0</v>
      </c>
      <c r="DE264" s="47">
        <v>0</v>
      </c>
      <c r="DF264" s="47">
        <v>0</v>
      </c>
      <c r="DG264" s="47">
        <v>0</v>
      </c>
      <c r="DH264" s="47">
        <v>0</v>
      </c>
      <c r="DI264" s="47">
        <v>0</v>
      </c>
      <c r="DJ264" s="47">
        <v>0</v>
      </c>
      <c r="DK264" s="47">
        <v>0</v>
      </c>
      <c r="DL264" s="47">
        <v>0</v>
      </c>
      <c r="DM264" s="47">
        <v>0</v>
      </c>
      <c r="DN264" s="47">
        <v>0</v>
      </c>
      <c r="DO264" s="47">
        <v>0</v>
      </c>
      <c r="DP264" s="47">
        <v>0</v>
      </c>
      <c r="DQ264" s="47">
        <v>0</v>
      </c>
      <c r="DR264" s="47">
        <v>0</v>
      </c>
      <c r="DS264" s="47">
        <v>0</v>
      </c>
      <c r="DT264" s="47">
        <v>0</v>
      </c>
    </row>
    <row r="265" spans="1:126" x14ac:dyDescent="0.25">
      <c r="A265" s="47" t="s">
        <v>1323</v>
      </c>
      <c r="B265" s="47" t="s">
        <v>153</v>
      </c>
      <c r="C265" s="47" t="s">
        <v>1324</v>
      </c>
      <c r="D265" s="47" t="s">
        <v>1325</v>
      </c>
      <c r="E265" s="47" t="s">
        <v>1326</v>
      </c>
      <c r="F265" s="47" t="s">
        <v>698</v>
      </c>
      <c r="G265" s="47" t="s">
        <v>738</v>
      </c>
      <c r="H265" s="47" t="str">
        <f>=IFERROR(VLOOKUP(A265,'ETPT Format DDG'!A:J,10,FALSE),"")</f>
        <v>0</v>
      </c>
      <c r="I265" s="47" t="str">
        <f>='ETPT Format DDG'!M265</f>
        <v/>
      </c>
      <c r="J265" s="47" t="str">
        <f>='ETPT Format DDG'!D265</f>
        <v/>
      </c>
      <c r="K265" s="47" t="s">
        <v>157</v>
      </c>
      <c r="L265" s="47" t="s">
        <v>1327</v>
      </c>
      <c r="M265" s="47"/>
      <c r="N265" s="47">
        <v>0.8</v>
      </c>
      <c r="O265" s="47">
        <v>0.8</v>
      </c>
      <c r="P265" s="47">
        <v>0.8</v>
      </c>
      <c r="Q265" s="47">
        <v>0</v>
      </c>
      <c r="R265" s="47">
        <v>0</v>
      </c>
      <c r="S265" s="47">
        <v>0</v>
      </c>
      <c r="T265" s="47">
        <v>0</v>
      </c>
      <c r="U265" s="47">
        <v>0</v>
      </c>
      <c r="V265" s="47">
        <v>0</v>
      </c>
      <c r="W265" s="47">
        <v>0</v>
      </c>
      <c r="X265" s="47">
        <v>0</v>
      </c>
      <c r="Y265" s="47">
        <v>0</v>
      </c>
      <c r="Z265" s="47">
        <v>0</v>
      </c>
      <c r="AA265" s="47">
        <v>0</v>
      </c>
      <c r="AB265" s="47">
        <v>0</v>
      </c>
      <c r="AC265" s="47">
        <v>0</v>
      </c>
      <c r="AD265" s="47">
        <v>0</v>
      </c>
      <c r="AE265" s="47">
        <v>0</v>
      </c>
      <c r="AF265" s="47">
        <v>0</v>
      </c>
      <c r="AG265" s="47">
        <v>0</v>
      </c>
      <c r="AH265" s="47">
        <v>0</v>
      </c>
      <c r="AI265" s="47">
        <v>0</v>
      </c>
      <c r="AJ265" s="47">
        <v>0</v>
      </c>
      <c r="AK265" s="47">
        <v>0</v>
      </c>
      <c r="AL265" s="47">
        <v>0</v>
      </c>
      <c r="AM265" s="47">
        <v>0</v>
      </c>
      <c r="AN265" s="47">
        <v>0</v>
      </c>
      <c r="AO265" s="47">
        <v>0</v>
      </c>
      <c r="AP265" s="47">
        <v>0</v>
      </c>
      <c r="AQ265" s="47">
        <v>0</v>
      </c>
      <c r="AR265" s="47">
        <v>0</v>
      </c>
      <c r="AS265" s="47">
        <v>0</v>
      </c>
      <c r="AT265" s="47">
        <v>0</v>
      </c>
      <c r="AU265" s="47">
        <v>0</v>
      </c>
      <c r="AV265" s="47">
        <v>0</v>
      </c>
      <c r="AW265" s="47">
        <v>0</v>
      </c>
      <c r="AX265" s="47">
        <v>0</v>
      </c>
      <c r="AY265" s="47">
        <v>0</v>
      </c>
      <c r="AZ265" s="47">
        <v>0</v>
      </c>
      <c r="BA265" s="47">
        <v>0</v>
      </c>
      <c r="BB265" s="47">
        <v>0</v>
      </c>
      <c r="BC265" s="47">
        <v>0</v>
      </c>
      <c r="BD265" s="47">
        <v>0</v>
      </c>
      <c r="BE265" s="47">
        <v>0</v>
      </c>
      <c r="BF265" s="47">
        <v>0</v>
      </c>
      <c r="BG265" s="47">
        <v>0</v>
      </c>
      <c r="BH265" s="47">
        <v>0</v>
      </c>
      <c r="BI265" s="47">
        <v>0</v>
      </c>
      <c r="BJ265" s="47">
        <v>0</v>
      </c>
      <c r="BK265" s="47">
        <v>0</v>
      </c>
      <c r="BL265" s="47">
        <v>0</v>
      </c>
      <c r="BM265" s="47">
        <v>0</v>
      </c>
      <c r="BN265" s="47">
        <v>0</v>
      </c>
      <c r="BO265" s="47">
        <v>0</v>
      </c>
      <c r="BP265" s="47">
        <v>0</v>
      </c>
      <c r="BQ265" s="47">
        <v>0</v>
      </c>
      <c r="BR265" s="47">
        <v>0</v>
      </c>
      <c r="BS265" s="47">
        <v>0</v>
      </c>
      <c r="BT265" s="47">
        <v>0</v>
      </c>
      <c r="BU265" s="47">
        <v>0</v>
      </c>
      <c r="BV265" s="47">
        <v>0</v>
      </c>
      <c r="BW265" s="47">
        <v>0</v>
      </c>
      <c r="BX265" s="47">
        <v>0</v>
      </c>
      <c r="BY265" s="47">
        <v>0</v>
      </c>
      <c r="BZ265" s="47">
        <v>0</v>
      </c>
      <c r="CA265" s="47">
        <v>0</v>
      </c>
      <c r="CB265" s="47">
        <v>0</v>
      </c>
      <c r="CC265" s="47">
        <v>0</v>
      </c>
      <c r="CD265" s="47">
        <v>0</v>
      </c>
      <c r="CE265" s="47">
        <v>0</v>
      </c>
      <c r="CF265" s="47">
        <v>0</v>
      </c>
      <c r="CG265" s="47">
        <v>0</v>
      </c>
      <c r="CH265" s="47">
        <v>0</v>
      </c>
      <c r="CI265" s="47">
        <v>0</v>
      </c>
      <c r="CJ265" s="47">
        <v>0</v>
      </c>
      <c r="CK265" s="47">
        <v>0</v>
      </c>
      <c r="CL265" s="47">
        <v>0</v>
      </c>
      <c r="CM265" s="47">
        <v>0</v>
      </c>
      <c r="CN265" s="47">
        <v>0</v>
      </c>
      <c r="CO265" s="47">
        <v>0</v>
      </c>
      <c r="CP265" s="47">
        <v>0</v>
      </c>
      <c r="CQ265" s="47">
        <v>0</v>
      </c>
      <c r="CR265" s="47">
        <v>0</v>
      </c>
      <c r="CS265" s="47">
        <v>0</v>
      </c>
      <c r="CT265" s="47">
        <v>0</v>
      </c>
      <c r="CU265" s="47">
        <v>0</v>
      </c>
      <c r="CV265" s="47">
        <v>0</v>
      </c>
      <c r="CW265" s="47">
        <v>0</v>
      </c>
      <c r="CX265" s="47">
        <v>0</v>
      </c>
      <c r="CY265" s="47">
        <v>0</v>
      </c>
      <c r="CZ265" s="47">
        <v>0</v>
      </c>
      <c r="DA265" s="47">
        <v>0</v>
      </c>
      <c r="DB265" s="47">
        <v>0</v>
      </c>
      <c r="DC265" s="47">
        <v>0</v>
      </c>
      <c r="DD265" s="47">
        <v>0</v>
      </c>
      <c r="DE265" s="47">
        <v>0</v>
      </c>
      <c r="DF265" s="47">
        <v>0</v>
      </c>
      <c r="DG265" s="47">
        <v>0</v>
      </c>
      <c r="DH265" s="47">
        <v>0</v>
      </c>
      <c r="DI265" s="47">
        <v>0</v>
      </c>
      <c r="DJ265" s="47">
        <v>0</v>
      </c>
      <c r="DK265" s="47">
        <v>0</v>
      </c>
      <c r="DL265" s="47">
        <v>0</v>
      </c>
      <c r="DM265" s="47">
        <v>0</v>
      </c>
      <c r="DN265" s="47">
        <v>0</v>
      </c>
      <c r="DO265" s="47">
        <v>0</v>
      </c>
      <c r="DP265" s="47">
        <v>0</v>
      </c>
      <c r="DQ265" s="47">
        <v>0</v>
      </c>
      <c r="DR265" s="47">
        <v>0</v>
      </c>
      <c r="DS265" s="47">
        <v>0</v>
      </c>
      <c r="DT265" s="47">
        <v>0</v>
      </c>
    </row>
    <row r="266" spans="1:126" x14ac:dyDescent="0.25">
      <c r="A266" s="47" t="s">
        <v>1328</v>
      </c>
      <c r="B266" s="47" t="s">
        <v>153</v>
      </c>
      <c r="C266" s="47" t="s">
        <v>1329</v>
      </c>
      <c r="D266" s="47" t="s">
        <v>1330</v>
      </c>
      <c r="E266" s="47" t="s">
        <v>1331</v>
      </c>
      <c r="F266" s="47" t="s">
        <v>698</v>
      </c>
      <c r="G266" s="47" t="s">
        <v>727</v>
      </c>
      <c r="H266" s="47" t="str">
        <f>=IFERROR(VLOOKUP(A266,'ETPT Format DDG'!A:J,10,FALSE),"")</f>
        <v>0</v>
      </c>
      <c r="I266" s="47" t="str">
        <f>='ETPT Format DDG'!M266</f>
        <v/>
      </c>
      <c r="J266" s="47" t="str">
        <f>='ETPT Format DDG'!D266</f>
        <v/>
      </c>
      <c r="K266" s="47" t="s">
        <v>157</v>
      </c>
      <c r="L266" s="47" t="s">
        <v>1332</v>
      </c>
      <c r="M266" s="47"/>
      <c r="N266" s="47">
        <v>1</v>
      </c>
      <c r="O266" s="47">
        <v>1</v>
      </c>
      <c r="P266" s="47">
        <v>0</v>
      </c>
      <c r="Q266" s="47">
        <v>0</v>
      </c>
      <c r="R266" s="47">
        <v>0</v>
      </c>
      <c r="S266" s="47">
        <v>0</v>
      </c>
      <c r="T266" s="47">
        <v>0</v>
      </c>
      <c r="U266" s="47">
        <v>0</v>
      </c>
      <c r="V266" s="47">
        <v>0</v>
      </c>
      <c r="W266" s="47">
        <v>0</v>
      </c>
      <c r="X266" s="47">
        <v>0</v>
      </c>
      <c r="Y266" s="47">
        <v>0</v>
      </c>
      <c r="Z266" s="47">
        <v>0</v>
      </c>
      <c r="AA266" s="47">
        <v>0</v>
      </c>
      <c r="AB266" s="47">
        <v>0</v>
      </c>
      <c r="AC266" s="47">
        <v>0</v>
      </c>
      <c r="AD266" s="47">
        <v>0</v>
      </c>
      <c r="AE266" s="47">
        <v>0</v>
      </c>
      <c r="AF266" s="47">
        <v>0</v>
      </c>
      <c r="AG266" s="47">
        <v>0</v>
      </c>
      <c r="AH266" s="47">
        <v>0</v>
      </c>
      <c r="AI266" s="47">
        <v>0</v>
      </c>
      <c r="AJ266" s="47">
        <v>0</v>
      </c>
      <c r="AK266" s="47">
        <v>0</v>
      </c>
      <c r="AL266" s="47">
        <v>0</v>
      </c>
      <c r="AM266" s="47">
        <v>0</v>
      </c>
      <c r="AN266" s="47">
        <v>0</v>
      </c>
      <c r="AO266" s="47">
        <v>0</v>
      </c>
      <c r="AP266" s="47">
        <v>0</v>
      </c>
      <c r="AQ266" s="47">
        <v>0</v>
      </c>
      <c r="AR266" s="47">
        <v>0</v>
      </c>
      <c r="AS266" s="47">
        <v>0</v>
      </c>
      <c r="AT266" s="47">
        <v>0</v>
      </c>
      <c r="AU266" s="47">
        <v>0</v>
      </c>
      <c r="AV266" s="47">
        <v>0</v>
      </c>
      <c r="AW266" s="47">
        <v>0</v>
      </c>
      <c r="AX266" s="47">
        <v>0</v>
      </c>
      <c r="AY266" s="47">
        <v>0</v>
      </c>
      <c r="AZ266" s="47">
        <v>0</v>
      </c>
      <c r="BA266" s="47">
        <v>0</v>
      </c>
      <c r="BB266" s="47">
        <v>0</v>
      </c>
      <c r="BC266" s="47">
        <v>0</v>
      </c>
      <c r="BD266" s="47">
        <v>0</v>
      </c>
      <c r="BE266" s="47">
        <v>0</v>
      </c>
      <c r="BF266" s="47">
        <v>0</v>
      </c>
      <c r="BG266" s="47">
        <v>0</v>
      </c>
      <c r="BH266" s="47">
        <v>0</v>
      </c>
      <c r="BI266" s="47">
        <v>0</v>
      </c>
      <c r="BJ266" s="47">
        <v>0</v>
      </c>
      <c r="BK266" s="47">
        <v>0</v>
      </c>
      <c r="BL266" s="47">
        <v>0</v>
      </c>
      <c r="BM266" s="47">
        <v>0</v>
      </c>
      <c r="BN266" s="47">
        <v>0</v>
      </c>
      <c r="BO266" s="47">
        <v>0</v>
      </c>
      <c r="BP266" s="47">
        <v>0</v>
      </c>
      <c r="BQ266" s="47">
        <v>0</v>
      </c>
      <c r="BR266" s="47">
        <v>0</v>
      </c>
      <c r="BS266" s="47">
        <v>0</v>
      </c>
      <c r="BT266" s="47">
        <v>0</v>
      </c>
      <c r="BU266" s="47">
        <v>0</v>
      </c>
      <c r="BV266" s="47">
        <v>0</v>
      </c>
      <c r="BW266" s="47">
        <v>0</v>
      </c>
      <c r="BX266" s="47">
        <v>0</v>
      </c>
      <c r="BY266" s="47">
        <v>0</v>
      </c>
      <c r="BZ266" s="47">
        <v>0</v>
      </c>
      <c r="CA266" s="47">
        <v>0</v>
      </c>
      <c r="CB266" s="47">
        <v>0</v>
      </c>
      <c r="CC266" s="47">
        <v>0</v>
      </c>
      <c r="CD266" s="47">
        <v>0</v>
      </c>
      <c r="CE266" s="47">
        <v>0</v>
      </c>
      <c r="CF266" s="47">
        <v>0</v>
      </c>
      <c r="CG266" s="47">
        <v>0</v>
      </c>
      <c r="CH266" s="47">
        <v>0</v>
      </c>
      <c r="CI266" s="47">
        <v>0</v>
      </c>
      <c r="CJ266" s="47">
        <v>0</v>
      </c>
      <c r="CK266" s="47">
        <v>0</v>
      </c>
      <c r="CL266" s="47">
        <v>0</v>
      </c>
      <c r="CM266" s="47">
        <v>0</v>
      </c>
      <c r="CN266" s="47">
        <v>0</v>
      </c>
      <c r="CO266" s="47">
        <v>0</v>
      </c>
      <c r="CP266" s="47">
        <v>0</v>
      </c>
      <c r="CQ266" s="47">
        <v>1</v>
      </c>
      <c r="CR266" s="47">
        <v>0</v>
      </c>
      <c r="CS266" s="47">
        <v>0</v>
      </c>
      <c r="CT266" s="47">
        <v>0</v>
      </c>
      <c r="CU266" s="47">
        <v>0</v>
      </c>
      <c r="CV266" s="47">
        <v>0</v>
      </c>
      <c r="CW266" s="47">
        <v>0</v>
      </c>
      <c r="CX266" s="47">
        <v>0</v>
      </c>
      <c r="CY266" s="47">
        <v>0</v>
      </c>
      <c r="CZ266" s="47">
        <v>0</v>
      </c>
      <c r="DA266" s="47">
        <v>0</v>
      </c>
      <c r="DB266" s="47">
        <v>0</v>
      </c>
      <c r="DC266" s="47">
        <v>0</v>
      </c>
      <c r="DD266" s="47">
        <v>0</v>
      </c>
      <c r="DE266" s="47">
        <v>0</v>
      </c>
      <c r="DF266" s="47">
        <v>0</v>
      </c>
      <c r="DG266" s="47">
        <v>0</v>
      </c>
      <c r="DH266" s="47">
        <v>0</v>
      </c>
      <c r="DI266" s="47">
        <v>0</v>
      </c>
      <c r="DJ266" s="47">
        <v>0</v>
      </c>
      <c r="DK266" s="47">
        <v>0</v>
      </c>
      <c r="DL266" s="47">
        <v>0</v>
      </c>
      <c r="DM266" s="47">
        <v>0</v>
      </c>
      <c r="DN266" s="47">
        <v>0</v>
      </c>
      <c r="DO266" s="47">
        <v>0</v>
      </c>
      <c r="DP266" s="47">
        <v>0</v>
      </c>
      <c r="DQ266" s="47">
        <v>0</v>
      </c>
      <c r="DR266" s="47">
        <v>0</v>
      </c>
      <c r="DS266" s="47">
        <v>0</v>
      </c>
      <c r="DT266" s="47">
        <v>0</v>
      </c>
    </row>
    <row r="267" spans="1:126" x14ac:dyDescent="0.25">
      <c r="A267" s="47" t="s">
        <v>1333</v>
      </c>
      <c r="B267" s="47" t="s">
        <v>153</v>
      </c>
      <c r="C267" s="47" t="s">
        <v>1334</v>
      </c>
      <c r="D267" s="47" t="s">
        <v>1335</v>
      </c>
      <c r="E267" s="47" t="s">
        <v>1336</v>
      </c>
      <c r="F267" s="47" t="s">
        <v>698</v>
      </c>
      <c r="G267" s="47" t="s">
        <v>727</v>
      </c>
      <c r="H267" s="47" t="str">
        <f>=IFERROR(VLOOKUP(A267,'ETPT Format DDG'!A:J,10,FALSE),"")</f>
        <v>0</v>
      </c>
      <c r="I267" s="47" t="str">
        <f>='ETPT Format DDG'!M267</f>
        <v/>
      </c>
      <c r="J267" s="47" t="str">
        <f>='ETPT Format DDG'!D267</f>
        <v/>
      </c>
      <c r="K267" s="47" t="s">
        <v>157</v>
      </c>
      <c r="L267" s="47" t="s">
        <v>836</v>
      </c>
      <c r="M267" s="47"/>
      <c r="N267" s="47">
        <v>1</v>
      </c>
      <c r="O267" s="47">
        <v>0</v>
      </c>
      <c r="P267" s="47">
        <v>0</v>
      </c>
      <c r="Q267" s="47">
        <v>0</v>
      </c>
      <c r="R267" s="47">
        <v>0</v>
      </c>
      <c r="S267" s="47">
        <v>0</v>
      </c>
      <c r="T267" s="47">
        <v>0</v>
      </c>
      <c r="U267" s="47">
        <v>0</v>
      </c>
      <c r="V267" s="47">
        <v>0</v>
      </c>
      <c r="W267" s="47">
        <v>0</v>
      </c>
      <c r="X267" s="47">
        <v>0</v>
      </c>
      <c r="Y267" s="47">
        <v>0</v>
      </c>
      <c r="Z267" s="47">
        <v>0</v>
      </c>
      <c r="AA267" s="47">
        <v>0</v>
      </c>
      <c r="AB267" s="47">
        <v>0</v>
      </c>
      <c r="AC267" s="47">
        <v>0</v>
      </c>
      <c r="AD267" s="47">
        <v>0</v>
      </c>
      <c r="AE267" s="47">
        <v>0</v>
      </c>
      <c r="AF267" s="47">
        <v>0</v>
      </c>
      <c r="AG267" s="47">
        <v>0</v>
      </c>
      <c r="AH267" s="47">
        <v>0</v>
      </c>
      <c r="AI267" s="47">
        <v>0</v>
      </c>
      <c r="AJ267" s="47">
        <v>0</v>
      </c>
      <c r="AK267" s="47">
        <v>0</v>
      </c>
      <c r="AL267" s="47">
        <v>0</v>
      </c>
      <c r="AM267" s="47">
        <v>0</v>
      </c>
      <c r="AN267" s="47">
        <v>0</v>
      </c>
      <c r="AO267" s="47">
        <v>0</v>
      </c>
      <c r="AP267" s="47">
        <v>0</v>
      </c>
      <c r="AQ267" s="47">
        <v>0</v>
      </c>
      <c r="AR267" s="47">
        <v>0</v>
      </c>
      <c r="AS267" s="47">
        <v>0</v>
      </c>
      <c r="AT267" s="47">
        <v>0</v>
      </c>
      <c r="AU267" s="47">
        <v>0</v>
      </c>
      <c r="AV267" s="47">
        <v>0</v>
      </c>
      <c r="AW267" s="47">
        <v>0</v>
      </c>
      <c r="AX267" s="47">
        <v>0</v>
      </c>
      <c r="AY267" s="47">
        <v>0</v>
      </c>
      <c r="AZ267" s="47">
        <v>0</v>
      </c>
      <c r="BA267" s="47">
        <v>0</v>
      </c>
      <c r="BB267" s="47">
        <v>0</v>
      </c>
      <c r="BC267" s="47">
        <v>0</v>
      </c>
      <c r="BD267" s="47">
        <v>0</v>
      </c>
      <c r="BE267" s="47">
        <v>0</v>
      </c>
      <c r="BF267" s="47">
        <v>0</v>
      </c>
      <c r="BG267" s="47">
        <v>0</v>
      </c>
      <c r="BH267" s="47">
        <v>0</v>
      </c>
      <c r="BI267" s="47">
        <v>0</v>
      </c>
      <c r="BJ267" s="47">
        <v>0</v>
      </c>
      <c r="BK267" s="47">
        <v>0</v>
      </c>
      <c r="BL267" s="47">
        <v>0</v>
      </c>
      <c r="BM267" s="47">
        <v>0</v>
      </c>
      <c r="BN267" s="47">
        <v>0</v>
      </c>
      <c r="BO267" s="47">
        <v>0</v>
      </c>
      <c r="BP267" s="47">
        <v>0</v>
      </c>
      <c r="BQ267" s="47">
        <v>0</v>
      </c>
      <c r="BR267" s="47">
        <v>0</v>
      </c>
      <c r="BS267" s="47">
        <v>0</v>
      </c>
      <c r="BT267" s="47">
        <v>0</v>
      </c>
      <c r="BU267" s="47">
        <v>0</v>
      </c>
      <c r="BV267" s="47">
        <v>0</v>
      </c>
      <c r="BW267" s="47">
        <v>0</v>
      </c>
      <c r="BX267" s="47">
        <v>0</v>
      </c>
      <c r="BY267" s="47">
        <v>0</v>
      </c>
      <c r="BZ267" s="47">
        <v>0</v>
      </c>
      <c r="CA267" s="47">
        <v>0</v>
      </c>
      <c r="CB267" s="47">
        <v>0</v>
      </c>
      <c r="CC267" s="47">
        <v>0</v>
      </c>
      <c r="CD267" s="47">
        <v>0</v>
      </c>
      <c r="CE267" s="47">
        <v>0</v>
      </c>
      <c r="CF267" s="47">
        <v>0</v>
      </c>
      <c r="CG267" s="47">
        <v>0</v>
      </c>
      <c r="CH267" s="47">
        <v>0</v>
      </c>
      <c r="CI267" s="47">
        <v>0</v>
      </c>
      <c r="CJ267" s="47">
        <v>0</v>
      </c>
      <c r="CK267" s="47">
        <v>0</v>
      </c>
      <c r="CL267" s="47">
        <v>0</v>
      </c>
      <c r="CM267" s="47">
        <v>0</v>
      </c>
      <c r="CN267" s="47">
        <v>0</v>
      </c>
      <c r="CO267" s="47">
        <v>0</v>
      </c>
      <c r="CP267" s="47">
        <v>0</v>
      </c>
      <c r="CQ267" s="47">
        <v>0</v>
      </c>
      <c r="CR267" s="47">
        <v>0</v>
      </c>
      <c r="CS267" s="47">
        <v>0</v>
      </c>
      <c r="CT267" s="47">
        <v>0</v>
      </c>
      <c r="CU267" s="47">
        <v>0</v>
      </c>
      <c r="CV267" s="47">
        <v>0</v>
      </c>
      <c r="CW267" s="47">
        <v>0</v>
      </c>
      <c r="CX267" s="47">
        <v>0</v>
      </c>
      <c r="CY267" s="47">
        <v>0</v>
      </c>
      <c r="CZ267" s="47">
        <v>0</v>
      </c>
      <c r="DA267" s="47">
        <v>0</v>
      </c>
      <c r="DB267" s="47">
        <v>0</v>
      </c>
      <c r="DC267" s="47">
        <v>0</v>
      </c>
      <c r="DD267" s="47">
        <v>0</v>
      </c>
      <c r="DE267" s="47">
        <v>0</v>
      </c>
      <c r="DF267" s="47">
        <v>0</v>
      </c>
      <c r="DG267" s="47">
        <v>0</v>
      </c>
      <c r="DH267" s="47">
        <v>0</v>
      </c>
      <c r="DI267" s="47">
        <v>0</v>
      </c>
      <c r="DJ267" s="47">
        <v>0</v>
      </c>
      <c r="DK267" s="47">
        <v>0</v>
      </c>
      <c r="DL267" s="47">
        <v>0</v>
      </c>
      <c r="DM267" s="47">
        <v>0</v>
      </c>
      <c r="DN267" s="47">
        <v>0</v>
      </c>
      <c r="DO267" s="47">
        <v>0</v>
      </c>
      <c r="DP267" s="47">
        <v>0</v>
      </c>
      <c r="DQ267" s="47">
        <v>0</v>
      </c>
      <c r="DR267" s="47">
        <v>0</v>
      </c>
      <c r="DS267" s="47">
        <v>0</v>
      </c>
      <c r="DT267" s="47">
        <v>0</v>
      </c>
    </row>
    <row r="268" spans="1:126" x14ac:dyDescent="0.25">
      <c r="A268" s="47" t="s">
        <v>1337</v>
      </c>
      <c r="B268" s="47" t="s">
        <v>153</v>
      </c>
      <c r="C268" s="47" t="s">
        <v>1338</v>
      </c>
      <c r="D268" s="47" t="s">
        <v>1339</v>
      </c>
      <c r="E268" s="47" t="s">
        <v>1340</v>
      </c>
      <c r="F268" s="47" t="s">
        <v>698</v>
      </c>
      <c r="G268" s="47" t="s">
        <v>705</v>
      </c>
      <c r="H268" s="47" t="str">
        <f>=IFERROR(VLOOKUP(A268,'ETPT Format DDG'!A:J,10,FALSE),"")</f>
        <v>0</v>
      </c>
      <c r="I268" s="47" t="str">
        <f>='ETPT Format DDG'!M268</f>
        <v/>
      </c>
      <c r="J268" s="47" t="str">
        <f>='ETPT Format DDG'!D268</f>
        <v/>
      </c>
      <c r="K268" s="47" t="s">
        <v>157</v>
      </c>
      <c r="L268" s="47" t="s">
        <v>960</v>
      </c>
      <c r="M268" s="47"/>
      <c r="N268" s="47">
        <v>1</v>
      </c>
      <c r="O268" s="47">
        <v>0</v>
      </c>
      <c r="P268" s="47">
        <v>0</v>
      </c>
      <c r="Q268" s="47">
        <v>0</v>
      </c>
      <c r="R268" s="47">
        <v>0</v>
      </c>
      <c r="S268" s="47">
        <v>0</v>
      </c>
      <c r="T268" s="47">
        <v>0</v>
      </c>
      <c r="U268" s="47">
        <v>0</v>
      </c>
      <c r="V268" s="47">
        <v>0</v>
      </c>
      <c r="W268" s="47">
        <v>0</v>
      </c>
      <c r="X268" s="47">
        <v>0</v>
      </c>
      <c r="Y268" s="47">
        <v>0</v>
      </c>
      <c r="Z268" s="47">
        <v>0</v>
      </c>
      <c r="AA268" s="47">
        <v>0</v>
      </c>
      <c r="AB268" s="47">
        <v>0</v>
      </c>
      <c r="AC268" s="47">
        <v>0</v>
      </c>
      <c r="AD268" s="47">
        <v>0</v>
      </c>
      <c r="AE268" s="47">
        <v>0</v>
      </c>
      <c r="AF268" s="47">
        <v>0</v>
      </c>
      <c r="AG268" s="47">
        <v>0</v>
      </c>
      <c r="AH268" s="47">
        <v>0</v>
      </c>
      <c r="AI268" s="47">
        <v>0</v>
      </c>
      <c r="AJ268" s="47">
        <v>0</v>
      </c>
      <c r="AK268" s="47">
        <v>0</v>
      </c>
      <c r="AL268" s="47">
        <v>0</v>
      </c>
      <c r="AM268" s="47">
        <v>0</v>
      </c>
      <c r="AN268" s="47">
        <v>0</v>
      </c>
      <c r="AO268" s="47">
        <v>0</v>
      </c>
      <c r="AP268" s="47">
        <v>0</v>
      </c>
      <c r="AQ268" s="47">
        <v>0</v>
      </c>
      <c r="AR268" s="47">
        <v>0</v>
      </c>
      <c r="AS268" s="47">
        <v>0</v>
      </c>
      <c r="AT268" s="47">
        <v>0</v>
      </c>
      <c r="AU268" s="47">
        <v>0</v>
      </c>
      <c r="AV268" s="47">
        <v>0</v>
      </c>
      <c r="AW268" s="47">
        <v>0</v>
      </c>
      <c r="AX268" s="47">
        <v>0</v>
      </c>
      <c r="AY268" s="47">
        <v>0</v>
      </c>
      <c r="AZ268" s="47">
        <v>0</v>
      </c>
      <c r="BA268" s="47">
        <v>0</v>
      </c>
      <c r="BB268" s="47">
        <v>0</v>
      </c>
      <c r="BC268" s="47">
        <v>0</v>
      </c>
      <c r="BD268" s="47">
        <v>0</v>
      </c>
      <c r="BE268" s="47">
        <v>0</v>
      </c>
      <c r="BF268" s="47">
        <v>0</v>
      </c>
      <c r="BG268" s="47">
        <v>0</v>
      </c>
      <c r="BH268" s="47">
        <v>0</v>
      </c>
      <c r="BI268" s="47">
        <v>0</v>
      </c>
      <c r="BJ268" s="47">
        <v>0</v>
      </c>
      <c r="BK268" s="47">
        <v>0</v>
      </c>
      <c r="BL268" s="47">
        <v>0</v>
      </c>
      <c r="BM268" s="47">
        <v>0</v>
      </c>
      <c r="BN268" s="47">
        <v>0</v>
      </c>
      <c r="BO268" s="47">
        <v>0</v>
      </c>
      <c r="BP268" s="47">
        <v>0</v>
      </c>
      <c r="BQ268" s="47">
        <v>0</v>
      </c>
      <c r="BR268" s="47">
        <v>0</v>
      </c>
      <c r="BS268" s="47">
        <v>0</v>
      </c>
      <c r="BT268" s="47">
        <v>0</v>
      </c>
      <c r="BU268" s="47">
        <v>0</v>
      </c>
      <c r="BV268" s="47">
        <v>0</v>
      </c>
      <c r="BW268" s="47">
        <v>0</v>
      </c>
      <c r="BX268" s="47">
        <v>0</v>
      </c>
      <c r="BY268" s="47">
        <v>0</v>
      </c>
      <c r="BZ268" s="47">
        <v>0</v>
      </c>
      <c r="CA268" s="47">
        <v>0</v>
      </c>
      <c r="CB268" s="47">
        <v>0</v>
      </c>
      <c r="CC268" s="47">
        <v>0</v>
      </c>
      <c r="CD268" s="47">
        <v>0</v>
      </c>
      <c r="CE268" s="47">
        <v>0</v>
      </c>
      <c r="CF268" s="47">
        <v>0</v>
      </c>
      <c r="CG268" s="47">
        <v>0</v>
      </c>
      <c r="CH268" s="47">
        <v>0</v>
      </c>
      <c r="CI268" s="47">
        <v>0</v>
      </c>
      <c r="CJ268" s="47">
        <v>0</v>
      </c>
      <c r="CK268" s="47">
        <v>0</v>
      </c>
      <c r="CL268" s="47">
        <v>0</v>
      </c>
      <c r="CM268" s="47">
        <v>0</v>
      </c>
      <c r="CN268" s="47">
        <v>0</v>
      </c>
      <c r="CO268" s="47">
        <v>0</v>
      </c>
      <c r="CP268" s="47">
        <v>0</v>
      </c>
      <c r="CQ268" s="47">
        <v>0</v>
      </c>
      <c r="CR268" s="47">
        <v>0</v>
      </c>
      <c r="CS268" s="47">
        <v>0</v>
      </c>
      <c r="CT268" s="47">
        <v>0</v>
      </c>
      <c r="CU268" s="47">
        <v>0</v>
      </c>
      <c r="CV268" s="47">
        <v>0</v>
      </c>
      <c r="CW268" s="47">
        <v>0</v>
      </c>
      <c r="CX268" s="47">
        <v>0</v>
      </c>
      <c r="CY268" s="47">
        <v>0</v>
      </c>
      <c r="CZ268" s="47">
        <v>0</v>
      </c>
      <c r="DA268" s="47">
        <v>0</v>
      </c>
      <c r="DB268" s="47">
        <v>0</v>
      </c>
      <c r="DC268" s="47">
        <v>0</v>
      </c>
      <c r="DD268" s="47">
        <v>0</v>
      </c>
      <c r="DE268" s="47">
        <v>0</v>
      </c>
      <c r="DF268" s="47">
        <v>0</v>
      </c>
      <c r="DG268" s="47">
        <v>0</v>
      </c>
      <c r="DH268" s="47">
        <v>0</v>
      </c>
      <c r="DI268" s="47">
        <v>0</v>
      </c>
      <c r="DJ268" s="47">
        <v>0</v>
      </c>
      <c r="DK268" s="47">
        <v>0</v>
      </c>
      <c r="DL268" s="47">
        <v>0</v>
      </c>
      <c r="DM268" s="47">
        <v>0</v>
      </c>
      <c r="DN268" s="47">
        <v>0</v>
      </c>
      <c r="DO268" s="47">
        <v>0</v>
      </c>
      <c r="DP268" s="47">
        <v>0</v>
      </c>
      <c r="DQ268" s="47">
        <v>0</v>
      </c>
      <c r="DR268" s="47">
        <v>0</v>
      </c>
      <c r="DS268" s="47">
        <v>0</v>
      </c>
      <c r="DT268" s="47">
        <v>0</v>
      </c>
    </row>
    <row r="269" spans="1:126" x14ac:dyDescent="0.25">
      <c r="A269" s="47" t="s">
        <v>1341</v>
      </c>
      <c r="B269" s="47" t="s">
        <v>153</v>
      </c>
      <c r="C269" s="47" t="s">
        <v>1342</v>
      </c>
      <c r="D269" s="47" t="s">
        <v>1343</v>
      </c>
      <c r="E269" s="47" t="s">
        <v>1344</v>
      </c>
      <c r="F269" s="47" t="s">
        <v>698</v>
      </c>
      <c r="G269" s="47" t="s">
        <v>705</v>
      </c>
      <c r="H269" s="47" t="str">
        <f>=IFERROR(VLOOKUP(A269,'ETPT Format DDG'!A:J,10,FALSE),"")</f>
        <v>0</v>
      </c>
      <c r="I269" s="47" t="str">
        <f>='ETPT Format DDG'!M269</f>
        <v/>
      </c>
      <c r="J269" s="47" t="str">
        <f>='ETPT Format DDG'!D269</f>
        <v/>
      </c>
      <c r="K269" s="47" t="s">
        <v>157</v>
      </c>
      <c r="L269" s="47" t="s">
        <v>1345</v>
      </c>
      <c r="M269" s="47"/>
      <c r="N269" s="47">
        <v>1</v>
      </c>
      <c r="O269" s="47">
        <v>0</v>
      </c>
      <c r="P269" s="47">
        <v>0</v>
      </c>
      <c r="Q269" s="47">
        <v>0</v>
      </c>
      <c r="R269" s="47">
        <v>0</v>
      </c>
      <c r="S269" s="47">
        <v>0</v>
      </c>
      <c r="T269" s="47">
        <v>0</v>
      </c>
      <c r="U269" s="47">
        <v>0</v>
      </c>
      <c r="V269" s="47">
        <v>0</v>
      </c>
      <c r="W269" s="47">
        <v>0</v>
      </c>
      <c r="X269" s="47">
        <v>0</v>
      </c>
      <c r="Y269" s="47">
        <v>0</v>
      </c>
      <c r="Z269" s="47">
        <v>0</v>
      </c>
      <c r="AA269" s="47">
        <v>0</v>
      </c>
      <c r="AB269" s="47">
        <v>0</v>
      </c>
      <c r="AC269" s="47">
        <v>0</v>
      </c>
      <c r="AD269" s="47">
        <v>0</v>
      </c>
      <c r="AE269" s="47">
        <v>0</v>
      </c>
      <c r="AF269" s="47">
        <v>0</v>
      </c>
      <c r="AG269" s="47">
        <v>0</v>
      </c>
      <c r="AH269" s="47">
        <v>0</v>
      </c>
      <c r="AI269" s="47">
        <v>0</v>
      </c>
      <c r="AJ269" s="47">
        <v>0</v>
      </c>
      <c r="AK269" s="47">
        <v>0</v>
      </c>
      <c r="AL269" s="47">
        <v>0</v>
      </c>
      <c r="AM269" s="47">
        <v>0</v>
      </c>
      <c r="AN269" s="47">
        <v>0</v>
      </c>
      <c r="AO269" s="47">
        <v>0</v>
      </c>
      <c r="AP269" s="47">
        <v>0</v>
      </c>
      <c r="AQ269" s="47">
        <v>0</v>
      </c>
      <c r="AR269" s="47">
        <v>0</v>
      </c>
      <c r="AS269" s="47">
        <v>0</v>
      </c>
      <c r="AT269" s="47">
        <v>0</v>
      </c>
      <c r="AU269" s="47">
        <v>0</v>
      </c>
      <c r="AV269" s="47">
        <v>0</v>
      </c>
      <c r="AW269" s="47">
        <v>0</v>
      </c>
      <c r="AX269" s="47">
        <v>0</v>
      </c>
      <c r="AY269" s="47">
        <v>0</v>
      </c>
      <c r="AZ269" s="47">
        <v>0</v>
      </c>
      <c r="BA269" s="47">
        <v>0</v>
      </c>
      <c r="BB269" s="47">
        <v>0</v>
      </c>
      <c r="BC269" s="47">
        <v>0</v>
      </c>
      <c r="BD269" s="47">
        <v>0</v>
      </c>
      <c r="BE269" s="47">
        <v>0</v>
      </c>
      <c r="BF269" s="47">
        <v>0</v>
      </c>
      <c r="BG269" s="47">
        <v>0</v>
      </c>
      <c r="BH269" s="47">
        <v>0</v>
      </c>
      <c r="BI269" s="47">
        <v>0</v>
      </c>
      <c r="BJ269" s="47">
        <v>0</v>
      </c>
      <c r="BK269" s="47">
        <v>0</v>
      </c>
      <c r="BL269" s="47">
        <v>0</v>
      </c>
      <c r="BM269" s="47">
        <v>0</v>
      </c>
      <c r="BN269" s="47">
        <v>0</v>
      </c>
      <c r="BO269" s="47">
        <v>0</v>
      </c>
      <c r="BP269" s="47">
        <v>0</v>
      </c>
      <c r="BQ269" s="47">
        <v>0</v>
      </c>
      <c r="BR269" s="47">
        <v>0</v>
      </c>
      <c r="BS269" s="47">
        <v>0</v>
      </c>
      <c r="BT269" s="47">
        <v>0</v>
      </c>
      <c r="BU269" s="47">
        <v>0</v>
      </c>
      <c r="BV269" s="47">
        <v>0</v>
      </c>
      <c r="BW269" s="47">
        <v>0</v>
      </c>
      <c r="BX269" s="47">
        <v>0</v>
      </c>
      <c r="BY269" s="47">
        <v>0</v>
      </c>
      <c r="BZ269" s="47">
        <v>0</v>
      </c>
      <c r="CA269" s="47">
        <v>0</v>
      </c>
      <c r="CB269" s="47">
        <v>0</v>
      </c>
      <c r="CC269" s="47">
        <v>0</v>
      </c>
      <c r="CD269" s="47">
        <v>0</v>
      </c>
      <c r="CE269" s="47">
        <v>0</v>
      </c>
      <c r="CF269" s="47">
        <v>0</v>
      </c>
      <c r="CG269" s="47">
        <v>0</v>
      </c>
      <c r="CH269" s="47">
        <v>0</v>
      </c>
      <c r="CI269" s="47">
        <v>0</v>
      </c>
      <c r="CJ269" s="47">
        <v>0</v>
      </c>
      <c r="CK269" s="47">
        <v>0</v>
      </c>
      <c r="CL269" s="47">
        <v>0</v>
      </c>
      <c r="CM269" s="47">
        <v>0</v>
      </c>
      <c r="CN269" s="47">
        <v>0</v>
      </c>
      <c r="CO269" s="47">
        <v>0</v>
      </c>
      <c r="CP269" s="47">
        <v>0</v>
      </c>
      <c r="CQ269" s="47">
        <v>0</v>
      </c>
      <c r="CR269" s="47">
        <v>0</v>
      </c>
      <c r="CS269" s="47">
        <v>0</v>
      </c>
      <c r="CT269" s="47">
        <v>0</v>
      </c>
      <c r="CU269" s="47">
        <v>0</v>
      </c>
      <c r="CV269" s="47">
        <v>0</v>
      </c>
      <c r="CW269" s="47">
        <v>0</v>
      </c>
      <c r="CX269" s="47">
        <v>0</v>
      </c>
      <c r="CY269" s="47">
        <v>0</v>
      </c>
      <c r="CZ269" s="47">
        <v>0</v>
      </c>
      <c r="DA269" s="47">
        <v>0</v>
      </c>
      <c r="DB269" s="47">
        <v>0</v>
      </c>
      <c r="DC269" s="47">
        <v>0</v>
      </c>
      <c r="DD269" s="47">
        <v>0</v>
      </c>
      <c r="DE269" s="47">
        <v>0</v>
      </c>
      <c r="DF269" s="47">
        <v>0</v>
      </c>
      <c r="DG269" s="47">
        <v>0</v>
      </c>
      <c r="DH269" s="47">
        <v>0</v>
      </c>
      <c r="DI269" s="47">
        <v>0</v>
      </c>
      <c r="DJ269" s="47">
        <v>0</v>
      </c>
      <c r="DK269" s="47">
        <v>0</v>
      </c>
      <c r="DL269" s="47">
        <v>0</v>
      </c>
      <c r="DM269" s="47">
        <v>0</v>
      </c>
      <c r="DN269" s="47">
        <v>0</v>
      </c>
      <c r="DO269" s="47">
        <v>0</v>
      </c>
      <c r="DP269" s="47">
        <v>0</v>
      </c>
      <c r="DQ269" s="47">
        <v>0</v>
      </c>
      <c r="DR269" s="47">
        <v>0</v>
      </c>
      <c r="DS269" s="47">
        <v>0</v>
      </c>
      <c r="DT269" s="47">
        <v>0</v>
      </c>
    </row>
    <row r="270" spans="1:126" x14ac:dyDescent="0.25">
      <c r="A270" s="47" t="s">
        <v>1346</v>
      </c>
      <c r="B270" s="47" t="s">
        <v>153</v>
      </c>
      <c r="C270" s="47" t="s">
        <v>1347</v>
      </c>
      <c r="D270" s="47" t="s">
        <v>1348</v>
      </c>
      <c r="E270" s="47" t="s">
        <v>1349</v>
      </c>
      <c r="F270" s="47" t="s">
        <v>698</v>
      </c>
      <c r="G270" s="47" t="s">
        <v>727</v>
      </c>
      <c r="H270" s="47" t="str">
        <f>=IFERROR(VLOOKUP(A270,'ETPT Format DDG'!A:J,10,FALSE),"")</f>
        <v>0</v>
      </c>
      <c r="I270" s="47" t="str">
        <f>='ETPT Format DDG'!M270</f>
        <v/>
      </c>
      <c r="J270" s="47" t="str">
        <f>='ETPT Format DDG'!D270</f>
        <v/>
      </c>
      <c r="K270" s="47" t="s">
        <v>157</v>
      </c>
      <c r="L270" s="47" t="s">
        <v>1350</v>
      </c>
      <c r="M270" s="47"/>
      <c r="N270" s="47">
        <v>1</v>
      </c>
      <c r="O270" s="47">
        <v>1</v>
      </c>
      <c r="P270" s="47">
        <v>0</v>
      </c>
      <c r="Q270" s="47">
        <v>0</v>
      </c>
      <c r="R270" s="47">
        <v>0</v>
      </c>
      <c r="S270" s="47">
        <v>0</v>
      </c>
      <c r="T270" s="47">
        <v>0</v>
      </c>
      <c r="U270" s="47">
        <v>0</v>
      </c>
      <c r="V270" s="47">
        <v>0</v>
      </c>
      <c r="W270" s="47">
        <v>0</v>
      </c>
      <c r="X270" s="47">
        <v>0</v>
      </c>
      <c r="Y270" s="47">
        <v>0</v>
      </c>
      <c r="Z270" s="47">
        <v>0</v>
      </c>
      <c r="AA270" s="47">
        <v>0</v>
      </c>
      <c r="AB270" s="47">
        <v>0</v>
      </c>
      <c r="AC270" s="47">
        <v>0</v>
      </c>
      <c r="AD270" s="47">
        <v>0</v>
      </c>
      <c r="AE270" s="47">
        <v>0</v>
      </c>
      <c r="AF270" s="47">
        <v>0</v>
      </c>
      <c r="AG270" s="47">
        <v>0</v>
      </c>
      <c r="AH270" s="47">
        <v>0</v>
      </c>
      <c r="AI270" s="47">
        <v>0</v>
      </c>
      <c r="AJ270" s="47">
        <v>0</v>
      </c>
      <c r="AK270" s="47">
        <v>0</v>
      </c>
      <c r="AL270" s="47">
        <v>0</v>
      </c>
      <c r="AM270" s="47">
        <v>0</v>
      </c>
      <c r="AN270" s="47">
        <v>0</v>
      </c>
      <c r="AO270" s="47">
        <v>0</v>
      </c>
      <c r="AP270" s="47">
        <v>0</v>
      </c>
      <c r="AQ270" s="47">
        <v>0</v>
      </c>
      <c r="AR270" s="47">
        <v>0</v>
      </c>
      <c r="AS270" s="47">
        <v>0</v>
      </c>
      <c r="AT270" s="47">
        <v>0</v>
      </c>
      <c r="AU270" s="47">
        <v>0</v>
      </c>
      <c r="AV270" s="47">
        <v>0</v>
      </c>
      <c r="AW270" s="47">
        <v>0</v>
      </c>
      <c r="AX270" s="47">
        <v>0</v>
      </c>
      <c r="AY270" s="47">
        <v>0</v>
      </c>
      <c r="AZ270" s="47">
        <v>0</v>
      </c>
      <c r="BA270" s="47">
        <v>0</v>
      </c>
      <c r="BB270" s="47">
        <v>0</v>
      </c>
      <c r="BC270" s="47">
        <v>0</v>
      </c>
      <c r="BD270" s="47">
        <v>0</v>
      </c>
      <c r="BE270" s="47">
        <v>0</v>
      </c>
      <c r="BF270" s="47">
        <v>0</v>
      </c>
      <c r="BG270" s="47">
        <v>0</v>
      </c>
      <c r="BH270" s="47">
        <v>0</v>
      </c>
      <c r="BI270" s="47">
        <v>0</v>
      </c>
      <c r="BJ270" s="47">
        <v>0</v>
      </c>
      <c r="BK270" s="47">
        <v>0</v>
      </c>
      <c r="BL270" s="47">
        <v>0</v>
      </c>
      <c r="BM270" s="47">
        <v>0</v>
      </c>
      <c r="BN270" s="47">
        <v>0</v>
      </c>
      <c r="BO270" s="47">
        <v>0</v>
      </c>
      <c r="BP270" s="47">
        <v>0</v>
      </c>
      <c r="BQ270" s="47">
        <v>0</v>
      </c>
      <c r="BR270" s="47">
        <v>0</v>
      </c>
      <c r="BS270" s="47">
        <v>0</v>
      </c>
      <c r="BT270" s="47">
        <v>0</v>
      </c>
      <c r="BU270" s="47">
        <v>0</v>
      </c>
      <c r="BV270" s="47">
        <v>0</v>
      </c>
      <c r="BW270" s="47">
        <v>0</v>
      </c>
      <c r="BX270" s="47">
        <v>0</v>
      </c>
      <c r="BY270" s="47">
        <v>0</v>
      </c>
      <c r="BZ270" s="47">
        <v>0</v>
      </c>
      <c r="CA270" s="47">
        <v>0</v>
      </c>
      <c r="CB270" s="47">
        <v>0</v>
      </c>
      <c r="CC270" s="47">
        <v>0</v>
      </c>
      <c r="CD270" s="47">
        <v>0</v>
      </c>
      <c r="CE270" s="47">
        <v>0</v>
      </c>
      <c r="CF270" s="47">
        <v>0</v>
      </c>
      <c r="CG270" s="47">
        <v>0</v>
      </c>
      <c r="CH270" s="47">
        <v>0</v>
      </c>
      <c r="CI270" s="47">
        <v>0</v>
      </c>
      <c r="CJ270" s="47">
        <v>0</v>
      </c>
      <c r="CK270" s="47">
        <v>0</v>
      </c>
      <c r="CL270" s="47">
        <v>0</v>
      </c>
      <c r="CM270" s="47">
        <v>0</v>
      </c>
      <c r="CN270" s="47">
        <v>0</v>
      </c>
      <c r="CO270" s="47">
        <v>0</v>
      </c>
      <c r="CP270" s="47">
        <v>0</v>
      </c>
      <c r="CQ270" s="47">
        <v>0</v>
      </c>
      <c r="CR270" s="47">
        <v>0</v>
      </c>
      <c r="CS270" s="47">
        <v>0</v>
      </c>
      <c r="CT270" s="47">
        <v>1</v>
      </c>
      <c r="CU270" s="47">
        <v>0</v>
      </c>
      <c r="CV270" s="47">
        <v>0</v>
      </c>
      <c r="CW270" s="47">
        <v>0</v>
      </c>
      <c r="CX270" s="47">
        <v>0</v>
      </c>
      <c r="CY270" s="47">
        <v>0</v>
      </c>
      <c r="CZ270" s="47">
        <v>0</v>
      </c>
      <c r="DA270" s="47">
        <v>0</v>
      </c>
      <c r="DB270" s="47">
        <v>1</v>
      </c>
      <c r="DC270" s="47">
        <v>0</v>
      </c>
      <c r="DD270" s="47">
        <v>0</v>
      </c>
      <c r="DE270" s="47">
        <v>0</v>
      </c>
      <c r="DF270" s="47">
        <v>0</v>
      </c>
      <c r="DG270" s="47">
        <v>0</v>
      </c>
      <c r="DH270" s="47">
        <v>0</v>
      </c>
      <c r="DI270" s="47">
        <v>0</v>
      </c>
      <c r="DJ270" s="47">
        <v>0</v>
      </c>
      <c r="DK270" s="47">
        <v>0</v>
      </c>
      <c r="DL270" s="47">
        <v>0</v>
      </c>
      <c r="DM270" s="47">
        <v>0</v>
      </c>
      <c r="DN270" s="47">
        <v>0</v>
      </c>
      <c r="DO270" s="47">
        <v>0</v>
      </c>
      <c r="DP270" s="47">
        <v>0</v>
      </c>
      <c r="DQ270" s="47">
        <v>0</v>
      </c>
      <c r="DR270" s="47">
        <v>0</v>
      </c>
      <c r="DS270" s="47">
        <v>0</v>
      </c>
      <c r="DT270" s="47">
        <v>0</v>
      </c>
    </row>
    <row r="271" spans="1:126" x14ac:dyDescent="0.25">
      <c r="A271" s="47" t="s">
        <v>1351</v>
      </c>
      <c r="B271" s="47" t="s">
        <v>153</v>
      </c>
      <c r="C271" s="47" t="s">
        <v>1352</v>
      </c>
      <c r="D271" s="47" t="s">
        <v>1353</v>
      </c>
      <c r="E271" s="47" t="s">
        <v>1354</v>
      </c>
      <c r="F271" s="47" t="s">
        <v>698</v>
      </c>
      <c r="G271" s="47" t="s">
        <v>727</v>
      </c>
      <c r="H271" s="47" t="str">
        <f>=IFERROR(VLOOKUP(A271,'ETPT Format DDG'!A:J,10,FALSE),"")</f>
        <v>0</v>
      </c>
      <c r="I271" s="47" t="str">
        <f>='ETPT Format DDG'!M271</f>
        <v/>
      </c>
      <c r="J271" s="47" t="str">
        <f>='ETPT Format DDG'!D271</f>
        <v/>
      </c>
      <c r="K271" s="47" t="s">
        <v>157</v>
      </c>
      <c r="L271" s="47" t="s">
        <v>772</v>
      </c>
      <c r="M271" s="47"/>
      <c r="N271" s="47">
        <v>1</v>
      </c>
      <c r="O271" s="47">
        <v>0</v>
      </c>
      <c r="P271" s="47">
        <v>0</v>
      </c>
      <c r="Q271" s="47">
        <v>0</v>
      </c>
      <c r="R271" s="47">
        <v>0</v>
      </c>
      <c r="S271" s="47">
        <v>0</v>
      </c>
      <c r="T271" s="47">
        <v>0</v>
      </c>
      <c r="U271" s="47">
        <v>0</v>
      </c>
      <c r="V271" s="47">
        <v>0</v>
      </c>
      <c r="W271" s="47">
        <v>0</v>
      </c>
      <c r="X271" s="47">
        <v>0</v>
      </c>
      <c r="Y271" s="47">
        <v>0</v>
      </c>
      <c r="Z271" s="47">
        <v>0</v>
      </c>
      <c r="AA271" s="47">
        <v>0</v>
      </c>
      <c r="AB271" s="47">
        <v>0</v>
      </c>
      <c r="AC271" s="47">
        <v>0</v>
      </c>
      <c r="AD271" s="47">
        <v>0</v>
      </c>
      <c r="AE271" s="47">
        <v>0</v>
      </c>
      <c r="AF271" s="47">
        <v>0</v>
      </c>
      <c r="AG271" s="47">
        <v>0</v>
      </c>
      <c r="AH271" s="47">
        <v>0</v>
      </c>
      <c r="AI271" s="47">
        <v>0</v>
      </c>
      <c r="AJ271" s="47">
        <v>0</v>
      </c>
      <c r="AK271" s="47">
        <v>0</v>
      </c>
      <c r="AL271" s="47">
        <v>0</v>
      </c>
      <c r="AM271" s="47">
        <v>0</v>
      </c>
      <c r="AN271" s="47">
        <v>0</v>
      </c>
      <c r="AO271" s="47">
        <v>0</v>
      </c>
      <c r="AP271" s="47">
        <v>0</v>
      </c>
      <c r="AQ271" s="47">
        <v>0</v>
      </c>
      <c r="AR271" s="47">
        <v>0</v>
      </c>
      <c r="AS271" s="47">
        <v>0</v>
      </c>
      <c r="AT271" s="47">
        <v>0</v>
      </c>
      <c r="AU271" s="47">
        <v>0</v>
      </c>
      <c r="AV271" s="47">
        <v>0</v>
      </c>
      <c r="AW271" s="47">
        <v>0</v>
      </c>
      <c r="AX271" s="47">
        <v>0</v>
      </c>
      <c r="AY271" s="47">
        <v>0</v>
      </c>
      <c r="AZ271" s="47">
        <v>0</v>
      </c>
      <c r="BA271" s="47">
        <v>0</v>
      </c>
      <c r="BB271" s="47">
        <v>0</v>
      </c>
      <c r="BC271" s="47">
        <v>0</v>
      </c>
      <c r="BD271" s="47">
        <v>0</v>
      </c>
      <c r="BE271" s="47">
        <v>0</v>
      </c>
      <c r="BF271" s="47">
        <v>0</v>
      </c>
      <c r="BG271" s="47">
        <v>0</v>
      </c>
      <c r="BH271" s="47">
        <v>0</v>
      </c>
      <c r="BI271" s="47">
        <v>0</v>
      </c>
      <c r="BJ271" s="47">
        <v>0</v>
      </c>
      <c r="BK271" s="47">
        <v>0</v>
      </c>
      <c r="BL271" s="47">
        <v>0</v>
      </c>
      <c r="BM271" s="47">
        <v>0</v>
      </c>
      <c r="BN271" s="47">
        <v>0</v>
      </c>
      <c r="BO271" s="47">
        <v>0</v>
      </c>
      <c r="BP271" s="47">
        <v>0</v>
      </c>
      <c r="BQ271" s="47">
        <v>0</v>
      </c>
      <c r="BR271" s="47">
        <v>0</v>
      </c>
      <c r="BS271" s="47">
        <v>0</v>
      </c>
      <c r="BT271" s="47">
        <v>0</v>
      </c>
      <c r="BU271" s="47">
        <v>0</v>
      </c>
      <c r="BV271" s="47">
        <v>0</v>
      </c>
      <c r="BW271" s="47">
        <v>0</v>
      </c>
      <c r="BX271" s="47">
        <v>0</v>
      </c>
      <c r="BY271" s="47">
        <v>0</v>
      </c>
      <c r="BZ271" s="47">
        <v>0</v>
      </c>
      <c r="CA271" s="47">
        <v>0</v>
      </c>
      <c r="CB271" s="47">
        <v>0</v>
      </c>
      <c r="CC271" s="47">
        <v>0</v>
      </c>
      <c r="CD271" s="47">
        <v>0</v>
      </c>
      <c r="CE271" s="47">
        <v>0</v>
      </c>
      <c r="CF271" s="47">
        <v>0</v>
      </c>
      <c r="CG271" s="47">
        <v>0</v>
      </c>
      <c r="CH271" s="47">
        <v>0</v>
      </c>
      <c r="CI271" s="47">
        <v>0</v>
      </c>
      <c r="CJ271" s="47">
        <v>0</v>
      </c>
      <c r="CK271" s="47">
        <v>0</v>
      </c>
      <c r="CL271" s="47">
        <v>0</v>
      </c>
      <c r="CM271" s="47">
        <v>0</v>
      </c>
      <c r="CN271" s="47">
        <v>0</v>
      </c>
      <c r="CO271" s="47">
        <v>0</v>
      </c>
      <c r="CP271" s="47">
        <v>0</v>
      </c>
      <c r="CQ271" s="47">
        <v>0</v>
      </c>
      <c r="CR271" s="47">
        <v>0</v>
      </c>
      <c r="CS271" s="47">
        <v>0</v>
      </c>
      <c r="CT271" s="47">
        <v>0</v>
      </c>
      <c r="CU271" s="47">
        <v>0</v>
      </c>
      <c r="CV271" s="47">
        <v>0</v>
      </c>
      <c r="CW271" s="47">
        <v>0</v>
      </c>
      <c r="CX271" s="47">
        <v>0</v>
      </c>
      <c r="CY271" s="47">
        <v>0</v>
      </c>
      <c r="CZ271" s="47">
        <v>0</v>
      </c>
      <c r="DA271" s="47">
        <v>0</v>
      </c>
      <c r="DB271" s="47">
        <v>0</v>
      </c>
      <c r="DC271" s="47">
        <v>0</v>
      </c>
      <c r="DD271" s="47">
        <v>0</v>
      </c>
      <c r="DE271" s="47">
        <v>0</v>
      </c>
      <c r="DF271" s="47">
        <v>0</v>
      </c>
      <c r="DG271" s="47">
        <v>0</v>
      </c>
      <c r="DH271" s="47">
        <v>0</v>
      </c>
      <c r="DI271" s="47">
        <v>0</v>
      </c>
      <c r="DJ271" s="47">
        <v>0</v>
      </c>
      <c r="DK271" s="47">
        <v>0</v>
      </c>
      <c r="DL271" s="47">
        <v>0</v>
      </c>
      <c r="DM271" s="47">
        <v>0</v>
      </c>
      <c r="DN271" s="47">
        <v>0</v>
      </c>
      <c r="DO271" s="47">
        <v>0</v>
      </c>
      <c r="DP271" s="47">
        <v>0</v>
      </c>
      <c r="DQ271" s="47">
        <v>0</v>
      </c>
      <c r="DR271" s="47">
        <v>0</v>
      </c>
      <c r="DS271" s="47">
        <v>0</v>
      </c>
      <c r="DT271" s="47">
        <v>0</v>
      </c>
    </row>
    <row r="272" spans="1:126" x14ac:dyDescent="0.25">
      <c r="A272" s="47" t="s">
        <v>1355</v>
      </c>
      <c r="B272" s="47" t="s">
        <v>153</v>
      </c>
      <c r="C272" s="47" t="s">
        <v>1356</v>
      </c>
      <c r="D272" s="47" t="s">
        <v>1357</v>
      </c>
      <c r="E272" s="47" t="s">
        <v>1358</v>
      </c>
      <c r="F272" s="47" t="s">
        <v>698</v>
      </c>
      <c r="G272" s="47" t="s">
        <v>727</v>
      </c>
      <c r="H272" s="47" t="str">
        <f>=IFERROR(VLOOKUP(A272,'ETPT Format DDG'!A:J,10,FALSE),"")</f>
        <v>0</v>
      </c>
      <c r="I272" s="47" t="str">
        <f>='ETPT Format DDG'!M272</f>
        <v/>
      </c>
      <c r="J272" s="47" t="str">
        <f>='ETPT Format DDG'!D272</f>
        <v/>
      </c>
      <c r="K272" s="47" t="s">
        <v>157</v>
      </c>
      <c r="L272" s="47" t="s">
        <v>1113</v>
      </c>
      <c r="M272" s="47"/>
      <c r="N272" s="47">
        <v>0.8</v>
      </c>
      <c r="O272" s="47">
        <v>0</v>
      </c>
      <c r="P272" s="47">
        <v>0</v>
      </c>
      <c r="Q272" s="47">
        <v>0</v>
      </c>
      <c r="R272" s="47">
        <v>0</v>
      </c>
      <c r="S272" s="47">
        <v>0</v>
      </c>
      <c r="T272" s="47">
        <v>0</v>
      </c>
      <c r="U272" s="47">
        <v>0</v>
      </c>
      <c r="V272" s="47">
        <v>0</v>
      </c>
      <c r="W272" s="47">
        <v>0</v>
      </c>
      <c r="X272" s="47">
        <v>0</v>
      </c>
      <c r="Y272" s="47">
        <v>0</v>
      </c>
      <c r="Z272" s="47">
        <v>0</v>
      </c>
      <c r="AA272" s="47">
        <v>0</v>
      </c>
      <c r="AB272" s="47">
        <v>0</v>
      </c>
      <c r="AC272" s="47">
        <v>0</v>
      </c>
      <c r="AD272" s="47">
        <v>0</v>
      </c>
      <c r="AE272" s="47">
        <v>0</v>
      </c>
      <c r="AF272" s="47">
        <v>0</v>
      </c>
      <c r="AG272" s="47">
        <v>0</v>
      </c>
      <c r="AH272" s="47">
        <v>0</v>
      </c>
      <c r="AI272" s="47">
        <v>0</v>
      </c>
      <c r="AJ272" s="47">
        <v>0</v>
      </c>
      <c r="AK272" s="47">
        <v>0</v>
      </c>
      <c r="AL272" s="47">
        <v>0</v>
      </c>
      <c r="AM272" s="47">
        <v>0</v>
      </c>
      <c r="AN272" s="47">
        <v>0</v>
      </c>
      <c r="AO272" s="47">
        <v>0</v>
      </c>
      <c r="AP272" s="47">
        <v>0</v>
      </c>
      <c r="AQ272" s="47">
        <v>0</v>
      </c>
      <c r="AR272" s="47">
        <v>0</v>
      </c>
      <c r="AS272" s="47">
        <v>0</v>
      </c>
      <c r="AT272" s="47">
        <v>0</v>
      </c>
      <c r="AU272" s="47">
        <v>0</v>
      </c>
      <c r="AV272" s="47">
        <v>0</v>
      </c>
      <c r="AW272" s="47">
        <v>0</v>
      </c>
      <c r="AX272" s="47">
        <v>0</v>
      </c>
      <c r="AY272" s="47">
        <v>0</v>
      </c>
      <c r="AZ272" s="47">
        <v>0</v>
      </c>
      <c r="BA272" s="47">
        <v>0</v>
      </c>
      <c r="BB272" s="47">
        <v>0</v>
      </c>
      <c r="BC272" s="47">
        <v>0</v>
      </c>
      <c r="BD272" s="47">
        <v>0</v>
      </c>
      <c r="BE272" s="47">
        <v>0</v>
      </c>
      <c r="BF272" s="47">
        <v>0</v>
      </c>
      <c r="BG272" s="47">
        <v>0</v>
      </c>
      <c r="BH272" s="47">
        <v>0</v>
      </c>
      <c r="BI272" s="47">
        <v>0</v>
      </c>
      <c r="BJ272" s="47">
        <v>0</v>
      </c>
      <c r="BK272" s="47">
        <v>0</v>
      </c>
      <c r="BL272" s="47">
        <v>0</v>
      </c>
      <c r="BM272" s="47">
        <v>0</v>
      </c>
      <c r="BN272" s="47">
        <v>0</v>
      </c>
      <c r="BO272" s="47">
        <v>0</v>
      </c>
      <c r="BP272" s="47">
        <v>0</v>
      </c>
      <c r="BQ272" s="47">
        <v>0</v>
      </c>
      <c r="BR272" s="47">
        <v>0</v>
      </c>
      <c r="BS272" s="47">
        <v>0</v>
      </c>
      <c r="BT272" s="47">
        <v>0</v>
      </c>
      <c r="BU272" s="47">
        <v>0</v>
      </c>
      <c r="BV272" s="47">
        <v>0</v>
      </c>
      <c r="BW272" s="47">
        <v>0</v>
      </c>
      <c r="BX272" s="47">
        <v>0</v>
      </c>
      <c r="BY272" s="47">
        <v>0</v>
      </c>
      <c r="BZ272" s="47">
        <v>0</v>
      </c>
      <c r="CA272" s="47">
        <v>0</v>
      </c>
      <c r="CB272" s="47">
        <v>0</v>
      </c>
      <c r="CC272" s="47">
        <v>0</v>
      </c>
      <c r="CD272" s="47">
        <v>0</v>
      </c>
      <c r="CE272" s="47">
        <v>0</v>
      </c>
      <c r="CF272" s="47">
        <v>0</v>
      </c>
      <c r="CG272" s="47">
        <v>0</v>
      </c>
      <c r="CH272" s="47">
        <v>0</v>
      </c>
      <c r="CI272" s="47">
        <v>0</v>
      </c>
      <c r="CJ272" s="47">
        <v>0</v>
      </c>
      <c r="CK272" s="47">
        <v>0</v>
      </c>
      <c r="CL272" s="47">
        <v>0</v>
      </c>
      <c r="CM272" s="47">
        <v>0</v>
      </c>
      <c r="CN272" s="47">
        <v>0</v>
      </c>
      <c r="CO272" s="47">
        <v>0</v>
      </c>
      <c r="CP272" s="47">
        <v>0</v>
      </c>
      <c r="CQ272" s="47">
        <v>0</v>
      </c>
      <c r="CR272" s="47">
        <v>0</v>
      </c>
      <c r="CS272" s="47">
        <v>0</v>
      </c>
      <c r="CT272" s="47">
        <v>0</v>
      </c>
      <c r="CU272" s="47">
        <v>0</v>
      </c>
      <c r="CV272" s="47">
        <v>0</v>
      </c>
      <c r="CW272" s="47">
        <v>0</v>
      </c>
      <c r="CX272" s="47">
        <v>0</v>
      </c>
      <c r="CY272" s="47">
        <v>0</v>
      </c>
      <c r="CZ272" s="47">
        <v>0</v>
      </c>
      <c r="DA272" s="47">
        <v>0</v>
      </c>
      <c r="DB272" s="47">
        <v>0</v>
      </c>
      <c r="DC272" s="47">
        <v>0</v>
      </c>
      <c r="DD272" s="47">
        <v>0</v>
      </c>
      <c r="DE272" s="47">
        <v>0</v>
      </c>
      <c r="DF272" s="47">
        <v>0</v>
      </c>
      <c r="DG272" s="47">
        <v>0</v>
      </c>
      <c r="DH272" s="47">
        <v>0</v>
      </c>
      <c r="DI272" s="47">
        <v>0</v>
      </c>
      <c r="DJ272" s="47">
        <v>0</v>
      </c>
      <c r="DK272" s="47">
        <v>0</v>
      </c>
      <c r="DL272" s="47">
        <v>0</v>
      </c>
      <c r="DM272" s="47">
        <v>0</v>
      </c>
      <c r="DN272" s="47">
        <v>0</v>
      </c>
      <c r="DO272" s="47">
        <v>0</v>
      </c>
      <c r="DP272" s="47">
        <v>0</v>
      </c>
      <c r="DQ272" s="47">
        <v>0</v>
      </c>
      <c r="DR272" s="47">
        <v>0</v>
      </c>
      <c r="DS272" s="47">
        <v>0</v>
      </c>
      <c r="DT272" s="47">
        <v>0</v>
      </c>
    </row>
    <row r="273" spans="1:126" x14ac:dyDescent="0.25">
      <c r="A273" s="47" t="s">
        <v>1359</v>
      </c>
      <c r="B273" s="47" t="s">
        <v>153</v>
      </c>
      <c r="C273" s="47" t="s">
        <v>1360</v>
      </c>
      <c r="D273" s="47" t="s">
        <v>1361</v>
      </c>
      <c r="E273" s="47" t="s">
        <v>1362</v>
      </c>
      <c r="F273" s="47" t="s">
        <v>698</v>
      </c>
      <c r="G273" s="47" t="s">
        <v>727</v>
      </c>
      <c r="H273" s="47" t="str">
        <f>=IFERROR(VLOOKUP(A273,'ETPT Format DDG'!A:J,10,FALSE),"")</f>
        <v>0</v>
      </c>
      <c r="I273" s="47" t="str">
        <f>='ETPT Format DDG'!M273</f>
        <v/>
      </c>
      <c r="J273" s="47" t="str">
        <f>='ETPT Format DDG'!D273</f>
        <v/>
      </c>
      <c r="K273" s="47" t="s">
        <v>157</v>
      </c>
      <c r="L273" s="47" t="s">
        <v>1363</v>
      </c>
      <c r="M273" s="47"/>
      <c r="N273" s="47">
        <v>1</v>
      </c>
      <c r="O273" s="47">
        <v>0</v>
      </c>
      <c r="P273" s="47">
        <v>0</v>
      </c>
      <c r="Q273" s="47">
        <v>0</v>
      </c>
      <c r="R273" s="47">
        <v>0</v>
      </c>
      <c r="S273" s="47">
        <v>0</v>
      </c>
      <c r="T273" s="47">
        <v>0</v>
      </c>
      <c r="U273" s="47">
        <v>0</v>
      </c>
      <c r="V273" s="47">
        <v>0</v>
      </c>
      <c r="W273" s="47">
        <v>0</v>
      </c>
      <c r="X273" s="47">
        <v>0</v>
      </c>
      <c r="Y273" s="47">
        <v>0</v>
      </c>
      <c r="Z273" s="47">
        <v>0</v>
      </c>
      <c r="AA273" s="47">
        <v>0</v>
      </c>
      <c r="AB273" s="47">
        <v>0</v>
      </c>
      <c r="AC273" s="47">
        <v>0</v>
      </c>
      <c r="AD273" s="47">
        <v>0</v>
      </c>
      <c r="AE273" s="47">
        <v>0</v>
      </c>
      <c r="AF273" s="47">
        <v>0</v>
      </c>
      <c r="AG273" s="47">
        <v>0</v>
      </c>
      <c r="AH273" s="47">
        <v>0</v>
      </c>
      <c r="AI273" s="47">
        <v>0</v>
      </c>
      <c r="AJ273" s="47">
        <v>0</v>
      </c>
      <c r="AK273" s="47">
        <v>0</v>
      </c>
      <c r="AL273" s="47">
        <v>0</v>
      </c>
      <c r="AM273" s="47">
        <v>0</v>
      </c>
      <c r="AN273" s="47">
        <v>0</v>
      </c>
      <c r="AO273" s="47">
        <v>0</v>
      </c>
      <c r="AP273" s="47">
        <v>0</v>
      </c>
      <c r="AQ273" s="47">
        <v>0</v>
      </c>
      <c r="AR273" s="47">
        <v>0</v>
      </c>
      <c r="AS273" s="47">
        <v>0</v>
      </c>
      <c r="AT273" s="47">
        <v>0</v>
      </c>
      <c r="AU273" s="47">
        <v>0</v>
      </c>
      <c r="AV273" s="47">
        <v>0</v>
      </c>
      <c r="AW273" s="47">
        <v>0</v>
      </c>
      <c r="AX273" s="47">
        <v>0</v>
      </c>
      <c r="AY273" s="47">
        <v>0</v>
      </c>
      <c r="AZ273" s="47">
        <v>0</v>
      </c>
      <c r="BA273" s="47">
        <v>0</v>
      </c>
      <c r="BB273" s="47">
        <v>0</v>
      </c>
      <c r="BC273" s="47">
        <v>0</v>
      </c>
      <c r="BD273" s="47">
        <v>0</v>
      </c>
      <c r="BE273" s="47">
        <v>0</v>
      </c>
      <c r="BF273" s="47">
        <v>0</v>
      </c>
      <c r="BG273" s="47">
        <v>0</v>
      </c>
      <c r="BH273" s="47">
        <v>0</v>
      </c>
      <c r="BI273" s="47">
        <v>0</v>
      </c>
      <c r="BJ273" s="47">
        <v>0</v>
      </c>
      <c r="BK273" s="47">
        <v>0</v>
      </c>
      <c r="BL273" s="47">
        <v>0</v>
      </c>
      <c r="BM273" s="47">
        <v>0</v>
      </c>
      <c r="BN273" s="47">
        <v>0</v>
      </c>
      <c r="BO273" s="47">
        <v>0</v>
      </c>
      <c r="BP273" s="47">
        <v>0</v>
      </c>
      <c r="BQ273" s="47">
        <v>0</v>
      </c>
      <c r="BR273" s="47">
        <v>0</v>
      </c>
      <c r="BS273" s="47">
        <v>0</v>
      </c>
      <c r="BT273" s="47">
        <v>0</v>
      </c>
      <c r="BU273" s="47">
        <v>0</v>
      </c>
      <c r="BV273" s="47">
        <v>0</v>
      </c>
      <c r="BW273" s="47">
        <v>0</v>
      </c>
      <c r="BX273" s="47">
        <v>0</v>
      </c>
      <c r="BY273" s="47">
        <v>0</v>
      </c>
      <c r="BZ273" s="47">
        <v>0</v>
      </c>
      <c r="CA273" s="47">
        <v>0</v>
      </c>
      <c r="CB273" s="47">
        <v>0</v>
      </c>
      <c r="CC273" s="47">
        <v>0</v>
      </c>
      <c r="CD273" s="47">
        <v>0</v>
      </c>
      <c r="CE273" s="47">
        <v>0</v>
      </c>
      <c r="CF273" s="47">
        <v>0</v>
      </c>
      <c r="CG273" s="47">
        <v>0</v>
      </c>
      <c r="CH273" s="47">
        <v>0</v>
      </c>
      <c r="CI273" s="47">
        <v>0</v>
      </c>
      <c r="CJ273" s="47">
        <v>0</v>
      </c>
      <c r="CK273" s="47">
        <v>0</v>
      </c>
      <c r="CL273" s="47">
        <v>0</v>
      </c>
      <c r="CM273" s="47">
        <v>0</v>
      </c>
      <c r="CN273" s="47">
        <v>0</v>
      </c>
      <c r="CO273" s="47">
        <v>0</v>
      </c>
      <c r="CP273" s="47">
        <v>0</v>
      </c>
      <c r="CQ273" s="47">
        <v>0</v>
      </c>
      <c r="CR273" s="47">
        <v>0</v>
      </c>
      <c r="CS273" s="47">
        <v>0</v>
      </c>
      <c r="CT273" s="47">
        <v>0</v>
      </c>
      <c r="CU273" s="47">
        <v>0</v>
      </c>
      <c r="CV273" s="47">
        <v>0</v>
      </c>
      <c r="CW273" s="47">
        <v>0</v>
      </c>
      <c r="CX273" s="47">
        <v>0</v>
      </c>
      <c r="CY273" s="47">
        <v>0</v>
      </c>
      <c r="CZ273" s="47">
        <v>0</v>
      </c>
      <c r="DA273" s="47">
        <v>0</v>
      </c>
      <c r="DB273" s="47">
        <v>0</v>
      </c>
      <c r="DC273" s="47">
        <v>0</v>
      </c>
      <c r="DD273" s="47">
        <v>0</v>
      </c>
      <c r="DE273" s="47">
        <v>0</v>
      </c>
      <c r="DF273" s="47">
        <v>0</v>
      </c>
      <c r="DG273" s="47">
        <v>0</v>
      </c>
      <c r="DH273" s="47">
        <v>0</v>
      </c>
      <c r="DI273" s="47">
        <v>0</v>
      </c>
      <c r="DJ273" s="47">
        <v>0</v>
      </c>
      <c r="DK273" s="47">
        <v>0</v>
      </c>
      <c r="DL273" s="47">
        <v>0</v>
      </c>
      <c r="DM273" s="47">
        <v>0</v>
      </c>
      <c r="DN273" s="47">
        <v>0</v>
      </c>
      <c r="DO273" s="47">
        <v>0</v>
      </c>
      <c r="DP273" s="47">
        <v>0</v>
      </c>
      <c r="DQ273" s="47">
        <v>0</v>
      </c>
      <c r="DR273" s="47">
        <v>0</v>
      </c>
      <c r="DS273" s="47">
        <v>0</v>
      </c>
      <c r="DT273" s="47">
        <v>0</v>
      </c>
    </row>
    <row r="274" spans="1:126" x14ac:dyDescent="0.25">
      <c r="A274" s="47" t="s">
        <v>1364</v>
      </c>
      <c r="B274" s="47" t="s">
        <v>153</v>
      </c>
      <c r="C274" s="47" t="s">
        <v>1365</v>
      </c>
      <c r="D274" s="47" t="s">
        <v>1366</v>
      </c>
      <c r="E274" s="47" t="s">
        <v>1367</v>
      </c>
      <c r="F274" s="47" t="s">
        <v>698</v>
      </c>
      <c r="G274" s="47" t="s">
        <v>727</v>
      </c>
      <c r="H274" s="47" t="str">
        <f>=IFERROR(VLOOKUP(A274,'ETPT Format DDG'!A:J,10,FALSE),"")</f>
        <v>0</v>
      </c>
      <c r="I274" s="47" t="str">
        <f>='ETPT Format DDG'!M274</f>
        <v/>
      </c>
      <c r="J274" s="47" t="str">
        <f>='ETPT Format DDG'!D274</f>
        <v/>
      </c>
      <c r="K274" s="47" t="s">
        <v>157</v>
      </c>
      <c r="L274" s="47" t="s">
        <v>1368</v>
      </c>
      <c r="M274" s="47"/>
      <c r="N274" s="47">
        <v>0.8</v>
      </c>
      <c r="O274" s="47">
        <v>0.8</v>
      </c>
      <c r="P274" s="47">
        <v>0</v>
      </c>
      <c r="Q274" s="47">
        <v>0</v>
      </c>
      <c r="R274" s="47">
        <v>0</v>
      </c>
      <c r="S274" s="47">
        <v>0</v>
      </c>
      <c r="T274" s="47">
        <v>0</v>
      </c>
      <c r="U274" s="47">
        <v>0</v>
      </c>
      <c r="V274" s="47">
        <v>0</v>
      </c>
      <c r="W274" s="47">
        <v>0</v>
      </c>
      <c r="X274" s="47">
        <v>0</v>
      </c>
      <c r="Y274" s="47">
        <v>0</v>
      </c>
      <c r="Z274" s="47">
        <v>0</v>
      </c>
      <c r="AA274" s="47">
        <v>0</v>
      </c>
      <c r="AB274" s="47">
        <v>0</v>
      </c>
      <c r="AC274" s="47">
        <v>0</v>
      </c>
      <c r="AD274" s="47">
        <v>0</v>
      </c>
      <c r="AE274" s="47">
        <v>0.8</v>
      </c>
      <c r="AF274" s="47">
        <v>0</v>
      </c>
      <c r="AG274" s="47">
        <v>0</v>
      </c>
      <c r="AH274" s="47">
        <v>0</v>
      </c>
      <c r="AI274" s="47">
        <v>0</v>
      </c>
      <c r="AJ274" s="47">
        <v>0</v>
      </c>
      <c r="AK274" s="47">
        <v>0</v>
      </c>
      <c r="AL274" s="47">
        <v>0</v>
      </c>
      <c r="AM274" s="47">
        <v>0</v>
      </c>
      <c r="AN274" s="47">
        <v>0</v>
      </c>
      <c r="AO274" s="47">
        <v>0</v>
      </c>
      <c r="AP274" s="47">
        <v>0</v>
      </c>
      <c r="AQ274" s="47">
        <v>0</v>
      </c>
      <c r="AR274" s="47">
        <v>0</v>
      </c>
      <c r="AS274" s="47">
        <v>0</v>
      </c>
      <c r="AT274" s="47">
        <v>0</v>
      </c>
      <c r="AU274" s="47">
        <v>0</v>
      </c>
      <c r="AV274" s="47">
        <v>0</v>
      </c>
      <c r="AW274" s="47">
        <v>0</v>
      </c>
      <c r="AX274" s="47">
        <v>0</v>
      </c>
      <c r="AY274" s="47">
        <v>0</v>
      </c>
      <c r="AZ274" s="47">
        <v>0</v>
      </c>
      <c r="BA274" s="47">
        <v>0</v>
      </c>
      <c r="BB274" s="47">
        <v>0</v>
      </c>
      <c r="BC274" s="47">
        <v>0</v>
      </c>
      <c r="BD274" s="47">
        <v>0</v>
      </c>
      <c r="BE274" s="47">
        <v>0</v>
      </c>
      <c r="BF274" s="47">
        <v>0</v>
      </c>
      <c r="BG274" s="47">
        <v>0</v>
      </c>
      <c r="BH274" s="47">
        <v>0</v>
      </c>
      <c r="BI274" s="47">
        <v>0</v>
      </c>
      <c r="BJ274" s="47">
        <v>0</v>
      </c>
      <c r="BK274" s="47">
        <v>0</v>
      </c>
      <c r="BL274" s="47">
        <v>0</v>
      </c>
      <c r="BM274" s="47">
        <v>0</v>
      </c>
      <c r="BN274" s="47">
        <v>0</v>
      </c>
      <c r="BO274" s="47">
        <v>0</v>
      </c>
      <c r="BP274" s="47">
        <v>0</v>
      </c>
      <c r="BQ274" s="47">
        <v>0</v>
      </c>
      <c r="BR274" s="47">
        <v>0</v>
      </c>
      <c r="BS274" s="47">
        <v>0</v>
      </c>
      <c r="BT274" s="47">
        <v>0</v>
      </c>
      <c r="BU274" s="47">
        <v>0</v>
      </c>
      <c r="BV274" s="47">
        <v>0</v>
      </c>
      <c r="BW274" s="47">
        <v>0</v>
      </c>
      <c r="BX274" s="47">
        <v>0</v>
      </c>
      <c r="BY274" s="47">
        <v>0</v>
      </c>
      <c r="BZ274" s="47">
        <v>0</v>
      </c>
      <c r="CA274" s="47">
        <v>0</v>
      </c>
      <c r="CB274" s="47">
        <v>0</v>
      </c>
      <c r="CC274" s="47">
        <v>0</v>
      </c>
      <c r="CD274" s="47">
        <v>0</v>
      </c>
      <c r="CE274" s="47">
        <v>0</v>
      </c>
      <c r="CF274" s="47">
        <v>0</v>
      </c>
      <c r="CG274" s="47">
        <v>0</v>
      </c>
      <c r="CH274" s="47">
        <v>0</v>
      </c>
      <c r="CI274" s="47">
        <v>0</v>
      </c>
      <c r="CJ274" s="47">
        <v>0</v>
      </c>
      <c r="CK274" s="47">
        <v>0</v>
      </c>
      <c r="CL274" s="47">
        <v>0</v>
      </c>
      <c r="CM274" s="47">
        <v>0</v>
      </c>
      <c r="CN274" s="47">
        <v>0</v>
      </c>
      <c r="CO274" s="47">
        <v>0</v>
      </c>
      <c r="CP274" s="47">
        <v>0</v>
      </c>
      <c r="CQ274" s="47">
        <v>0</v>
      </c>
      <c r="CR274" s="47">
        <v>0</v>
      </c>
      <c r="CS274" s="47">
        <v>0</v>
      </c>
      <c r="CT274" s="47">
        <v>0</v>
      </c>
      <c r="CU274" s="47">
        <v>0</v>
      </c>
      <c r="CV274" s="47">
        <v>0</v>
      </c>
      <c r="CW274" s="47">
        <v>0</v>
      </c>
      <c r="CX274" s="47">
        <v>0</v>
      </c>
      <c r="CY274" s="47">
        <v>0</v>
      </c>
      <c r="CZ274" s="47">
        <v>0</v>
      </c>
      <c r="DA274" s="47">
        <v>0</v>
      </c>
      <c r="DB274" s="47">
        <v>0</v>
      </c>
      <c r="DC274" s="47">
        <v>0</v>
      </c>
      <c r="DD274" s="47">
        <v>0</v>
      </c>
      <c r="DE274" s="47">
        <v>0</v>
      </c>
      <c r="DF274" s="47">
        <v>0</v>
      </c>
      <c r="DG274" s="47">
        <v>0</v>
      </c>
      <c r="DH274" s="47">
        <v>0</v>
      </c>
      <c r="DI274" s="47">
        <v>0</v>
      </c>
      <c r="DJ274" s="47">
        <v>0</v>
      </c>
      <c r="DK274" s="47">
        <v>0</v>
      </c>
      <c r="DL274" s="47">
        <v>0</v>
      </c>
      <c r="DM274" s="47">
        <v>0</v>
      </c>
      <c r="DN274" s="47">
        <v>0</v>
      </c>
      <c r="DO274" s="47">
        <v>0</v>
      </c>
      <c r="DP274" s="47">
        <v>0</v>
      </c>
      <c r="DQ274" s="47">
        <v>0</v>
      </c>
      <c r="DR274" s="47">
        <v>0</v>
      </c>
      <c r="DS274" s="47">
        <v>0</v>
      </c>
      <c r="DT274" s="47">
        <v>0</v>
      </c>
    </row>
    <row r="275" spans="1:126" x14ac:dyDescent="0.25">
      <c r="A275" s="47" t="s">
        <v>1369</v>
      </c>
      <c r="B275" s="47" t="s">
        <v>153</v>
      </c>
      <c r="C275" s="47" t="s">
        <v>1370</v>
      </c>
      <c r="D275" s="47" t="s">
        <v>1371</v>
      </c>
      <c r="E275" s="47" t="s">
        <v>1372</v>
      </c>
      <c r="F275" s="47" t="s">
        <v>698</v>
      </c>
      <c r="G275" s="47" t="s">
        <v>699</v>
      </c>
      <c r="H275" s="47" t="str">
        <f>=IFERROR(VLOOKUP(A275,'ETPT Format DDG'!A:J,10,FALSE),"")</f>
        <v>0</v>
      </c>
      <c r="I275" s="47" t="str">
        <f>='ETPT Format DDG'!M275</f>
        <v/>
      </c>
      <c r="J275" s="47" t="str">
        <f>='ETPT Format DDG'!D275</f>
        <v/>
      </c>
      <c r="K275" s="47" t="s">
        <v>157</v>
      </c>
      <c r="L275" s="47" t="s">
        <v>1071</v>
      </c>
      <c r="M275" s="47"/>
      <c r="N275" s="47">
        <v>1</v>
      </c>
      <c r="O275" s="47">
        <v>1</v>
      </c>
      <c r="P275" s="47">
        <v>0</v>
      </c>
      <c r="Q275" s="47">
        <v>0</v>
      </c>
      <c r="R275" s="47">
        <v>0</v>
      </c>
      <c r="S275" s="47">
        <v>0</v>
      </c>
      <c r="T275" s="47">
        <v>0</v>
      </c>
      <c r="U275" s="47">
        <v>0</v>
      </c>
      <c r="V275" s="47">
        <v>0</v>
      </c>
      <c r="W275" s="47">
        <v>0</v>
      </c>
      <c r="X275" s="47">
        <v>0</v>
      </c>
      <c r="Y275" s="47">
        <v>0</v>
      </c>
      <c r="Z275" s="47">
        <v>0</v>
      </c>
      <c r="AA275" s="47">
        <v>0</v>
      </c>
      <c r="AB275" s="47">
        <v>0</v>
      </c>
      <c r="AC275" s="47">
        <v>0</v>
      </c>
      <c r="AD275" s="47">
        <v>0</v>
      </c>
      <c r="AE275" s="47">
        <v>0</v>
      </c>
      <c r="AF275" s="47">
        <v>0</v>
      </c>
      <c r="AG275" s="47">
        <v>0</v>
      </c>
      <c r="AH275" s="47">
        <v>0</v>
      </c>
      <c r="AI275" s="47">
        <v>0</v>
      </c>
      <c r="AJ275" s="47">
        <v>0</v>
      </c>
      <c r="AK275" s="47">
        <v>0</v>
      </c>
      <c r="AL275" s="47">
        <v>0</v>
      </c>
      <c r="AM275" s="47">
        <v>0</v>
      </c>
      <c r="AN275" s="47">
        <v>0</v>
      </c>
      <c r="AO275" s="47">
        <v>0</v>
      </c>
      <c r="AP275" s="47">
        <v>0</v>
      </c>
      <c r="AQ275" s="47">
        <v>0</v>
      </c>
      <c r="AR275" s="47">
        <v>0</v>
      </c>
      <c r="AS275" s="47">
        <v>0</v>
      </c>
      <c r="AT275" s="47">
        <v>0</v>
      </c>
      <c r="AU275" s="47">
        <v>0</v>
      </c>
      <c r="AV275" s="47">
        <v>0</v>
      </c>
      <c r="AW275" s="47">
        <v>0</v>
      </c>
      <c r="AX275" s="47">
        <v>0</v>
      </c>
      <c r="AY275" s="47">
        <v>0</v>
      </c>
      <c r="AZ275" s="47">
        <v>0</v>
      </c>
      <c r="BA275" s="47">
        <v>0</v>
      </c>
      <c r="BB275" s="47">
        <v>0</v>
      </c>
      <c r="BC275" s="47">
        <v>0</v>
      </c>
      <c r="BD275" s="47">
        <v>0</v>
      </c>
      <c r="BE275" s="47">
        <v>0</v>
      </c>
      <c r="BF275" s="47">
        <v>0</v>
      </c>
      <c r="BG275" s="47">
        <v>0</v>
      </c>
      <c r="BH275" s="47">
        <v>0</v>
      </c>
      <c r="BI275" s="47">
        <v>0</v>
      </c>
      <c r="BJ275" s="47">
        <v>0</v>
      </c>
      <c r="BK275" s="47">
        <v>0</v>
      </c>
      <c r="BL275" s="47">
        <v>0</v>
      </c>
      <c r="BM275" s="47">
        <v>0</v>
      </c>
      <c r="BN275" s="47">
        <v>0</v>
      </c>
      <c r="BO275" s="47">
        <v>1</v>
      </c>
      <c r="BP275" s="47">
        <v>0</v>
      </c>
      <c r="BQ275" s="47">
        <v>0</v>
      </c>
      <c r="BR275" s="47">
        <v>0</v>
      </c>
      <c r="BS275" s="47">
        <v>0</v>
      </c>
      <c r="BT275" s="47">
        <v>0</v>
      </c>
      <c r="BU275" s="47">
        <v>0</v>
      </c>
      <c r="BV275" s="47">
        <v>0.8</v>
      </c>
      <c r="BW275" s="47">
        <v>0</v>
      </c>
      <c r="BX275" s="47">
        <v>0</v>
      </c>
      <c r="BY275" s="47">
        <v>0</v>
      </c>
      <c r="BZ275" s="47">
        <v>0</v>
      </c>
      <c r="CA275" s="47">
        <v>0</v>
      </c>
      <c r="CB275" s="47">
        <v>0</v>
      </c>
      <c r="CC275" s="47">
        <v>0.2</v>
      </c>
      <c r="CD275" s="47">
        <v>0</v>
      </c>
      <c r="CE275" s="47">
        <v>0</v>
      </c>
      <c r="CF275" s="47">
        <v>0</v>
      </c>
      <c r="CG275" s="47">
        <v>0</v>
      </c>
      <c r="CH275" s="47">
        <v>0</v>
      </c>
      <c r="CI275" s="47">
        <v>0</v>
      </c>
      <c r="CJ275" s="47">
        <v>0</v>
      </c>
      <c r="CK275" s="47">
        <v>0</v>
      </c>
      <c r="CL275" s="47">
        <v>0</v>
      </c>
      <c r="CM275" s="47">
        <v>0</v>
      </c>
      <c r="CN275" s="47">
        <v>0</v>
      </c>
      <c r="CO275" s="47">
        <v>0</v>
      </c>
      <c r="CP275" s="47">
        <v>0</v>
      </c>
      <c r="CQ275" s="47">
        <v>0</v>
      </c>
      <c r="CR275" s="47">
        <v>0</v>
      </c>
      <c r="CS275" s="47">
        <v>0</v>
      </c>
      <c r="CT275" s="47">
        <v>0</v>
      </c>
      <c r="CU275" s="47">
        <v>0</v>
      </c>
      <c r="CV275" s="47">
        <v>0</v>
      </c>
      <c r="CW275" s="47">
        <v>0</v>
      </c>
      <c r="CX275" s="47">
        <v>0</v>
      </c>
      <c r="CY275" s="47">
        <v>0</v>
      </c>
      <c r="CZ275" s="47">
        <v>0</v>
      </c>
      <c r="DA275" s="47">
        <v>0</v>
      </c>
      <c r="DB275" s="47">
        <v>0</v>
      </c>
      <c r="DC275" s="47">
        <v>0</v>
      </c>
      <c r="DD275" s="47">
        <v>0</v>
      </c>
      <c r="DE275" s="47">
        <v>0</v>
      </c>
      <c r="DF275" s="47">
        <v>0</v>
      </c>
      <c r="DG275" s="47">
        <v>0</v>
      </c>
      <c r="DH275" s="47">
        <v>0</v>
      </c>
      <c r="DI275" s="47">
        <v>0</v>
      </c>
      <c r="DJ275" s="47">
        <v>0</v>
      </c>
      <c r="DK275" s="47">
        <v>0</v>
      </c>
      <c r="DL275" s="47">
        <v>0</v>
      </c>
      <c r="DM275" s="47">
        <v>0</v>
      </c>
      <c r="DN275" s="47">
        <v>0</v>
      </c>
      <c r="DO275" s="47">
        <v>0</v>
      </c>
      <c r="DP275" s="47">
        <v>0</v>
      </c>
      <c r="DQ275" s="47">
        <v>0</v>
      </c>
      <c r="DR275" s="47">
        <v>0</v>
      </c>
      <c r="DS275" s="47">
        <v>0</v>
      </c>
      <c r="DT275" s="47">
        <v>0</v>
      </c>
    </row>
    <row r="276" spans="1:126" x14ac:dyDescent="0.25">
      <c r="A276" s="47" t="s">
        <v>1373</v>
      </c>
      <c r="B276" s="47" t="s">
        <v>153</v>
      </c>
      <c r="C276" s="47" t="s">
        <v>1374</v>
      </c>
      <c r="D276" s="47" t="s">
        <v>1375</v>
      </c>
      <c r="E276" s="47" t="s">
        <v>1376</v>
      </c>
      <c r="F276" s="47" t="s">
        <v>698</v>
      </c>
      <c r="G276" s="47" t="s">
        <v>711</v>
      </c>
      <c r="H276" s="47" t="str">
        <f>=IFERROR(VLOOKUP(A276,'ETPT Format DDG'!A:J,10,FALSE),"")</f>
        <v>0</v>
      </c>
      <c r="I276" s="47" t="str">
        <f>='ETPT Format DDG'!M276</f>
        <v/>
      </c>
      <c r="J276" s="47" t="str">
        <f>='ETPT Format DDG'!D276</f>
        <v/>
      </c>
      <c r="K276" s="47" t="s">
        <v>157</v>
      </c>
      <c r="L276" s="47" t="s">
        <v>1377</v>
      </c>
      <c r="M276" s="47"/>
      <c r="N276" s="47">
        <v>1</v>
      </c>
      <c r="O276" s="47">
        <v>1</v>
      </c>
      <c r="P276" s="47">
        <v>0</v>
      </c>
      <c r="Q276" s="47">
        <v>0</v>
      </c>
      <c r="R276" s="47">
        <v>0</v>
      </c>
      <c r="S276" s="47">
        <v>0</v>
      </c>
      <c r="T276" s="47">
        <v>0</v>
      </c>
      <c r="U276" s="47">
        <v>0</v>
      </c>
      <c r="V276" s="47">
        <v>0</v>
      </c>
      <c r="W276" s="47">
        <v>0</v>
      </c>
      <c r="X276" s="47">
        <v>0</v>
      </c>
      <c r="Y276" s="47">
        <v>0</v>
      </c>
      <c r="Z276" s="47">
        <v>0</v>
      </c>
      <c r="AA276" s="47">
        <v>0</v>
      </c>
      <c r="AB276" s="47">
        <v>0</v>
      </c>
      <c r="AC276" s="47">
        <v>0</v>
      </c>
      <c r="AD276" s="47">
        <v>0</v>
      </c>
      <c r="AE276" s="47">
        <v>0</v>
      </c>
      <c r="AF276" s="47">
        <v>0</v>
      </c>
      <c r="AG276" s="47">
        <v>0</v>
      </c>
      <c r="AH276" s="47">
        <v>0</v>
      </c>
      <c r="AI276" s="47">
        <v>0</v>
      </c>
      <c r="AJ276" s="47">
        <v>0</v>
      </c>
      <c r="AK276" s="47">
        <v>0</v>
      </c>
      <c r="AL276" s="47">
        <v>0</v>
      </c>
      <c r="AM276" s="47">
        <v>0</v>
      </c>
      <c r="AN276" s="47">
        <v>1</v>
      </c>
      <c r="AO276" s="47">
        <v>0.2</v>
      </c>
      <c r="AP276" s="47">
        <v>0.8</v>
      </c>
      <c r="AQ276" s="47">
        <v>0</v>
      </c>
      <c r="AR276" s="47">
        <v>0</v>
      </c>
      <c r="AS276" s="47">
        <v>0</v>
      </c>
      <c r="AT276" s="47">
        <v>0</v>
      </c>
      <c r="AU276" s="47">
        <v>0</v>
      </c>
      <c r="AV276" s="47">
        <v>0</v>
      </c>
      <c r="AW276" s="47">
        <v>0</v>
      </c>
      <c r="AX276" s="47">
        <v>0</v>
      </c>
      <c r="AY276" s="47">
        <v>0</v>
      </c>
      <c r="AZ276" s="47">
        <v>0</v>
      </c>
      <c r="BA276" s="47">
        <v>0</v>
      </c>
      <c r="BB276" s="47">
        <v>0</v>
      </c>
      <c r="BC276" s="47">
        <v>0</v>
      </c>
      <c r="BD276" s="47">
        <v>0</v>
      </c>
      <c r="BE276" s="47">
        <v>0</v>
      </c>
      <c r="BF276" s="47">
        <v>0</v>
      </c>
      <c r="BG276" s="47">
        <v>0</v>
      </c>
      <c r="BH276" s="47">
        <v>0</v>
      </c>
      <c r="BI276" s="47">
        <v>0</v>
      </c>
      <c r="BJ276" s="47">
        <v>0</v>
      </c>
      <c r="BK276" s="47">
        <v>0</v>
      </c>
      <c r="BL276" s="47">
        <v>0</v>
      </c>
      <c r="BM276" s="47">
        <v>0</v>
      </c>
      <c r="BN276" s="47">
        <v>0</v>
      </c>
      <c r="BO276" s="47">
        <v>0</v>
      </c>
      <c r="BP276" s="47">
        <v>0</v>
      </c>
      <c r="BQ276" s="47">
        <v>0</v>
      </c>
      <c r="BR276" s="47">
        <v>0</v>
      </c>
      <c r="BS276" s="47">
        <v>0</v>
      </c>
      <c r="BT276" s="47">
        <v>0</v>
      </c>
      <c r="BU276" s="47">
        <v>0</v>
      </c>
      <c r="BV276" s="47">
        <v>0</v>
      </c>
      <c r="BW276" s="47">
        <v>0</v>
      </c>
      <c r="BX276" s="47">
        <v>0</v>
      </c>
      <c r="BY276" s="47">
        <v>0</v>
      </c>
      <c r="BZ276" s="47">
        <v>0</v>
      </c>
      <c r="CA276" s="47">
        <v>0</v>
      </c>
      <c r="CB276" s="47">
        <v>0</v>
      </c>
      <c r="CC276" s="47">
        <v>0</v>
      </c>
      <c r="CD276" s="47">
        <v>0</v>
      </c>
      <c r="CE276" s="47">
        <v>0</v>
      </c>
      <c r="CF276" s="47">
        <v>0</v>
      </c>
      <c r="CG276" s="47">
        <v>0</v>
      </c>
      <c r="CH276" s="47">
        <v>0</v>
      </c>
      <c r="CI276" s="47">
        <v>0</v>
      </c>
      <c r="CJ276" s="47">
        <v>0</v>
      </c>
      <c r="CK276" s="47">
        <v>0</v>
      </c>
      <c r="CL276" s="47">
        <v>0</v>
      </c>
      <c r="CM276" s="47">
        <v>0</v>
      </c>
      <c r="CN276" s="47">
        <v>0</v>
      </c>
      <c r="CO276" s="47">
        <v>0</v>
      </c>
      <c r="CP276" s="47">
        <v>0</v>
      </c>
      <c r="CQ276" s="47">
        <v>0</v>
      </c>
      <c r="CR276" s="47">
        <v>0</v>
      </c>
      <c r="CS276" s="47">
        <v>0</v>
      </c>
      <c r="CT276" s="47">
        <v>0</v>
      </c>
      <c r="CU276" s="47">
        <v>0</v>
      </c>
      <c r="CV276" s="47">
        <v>0</v>
      </c>
      <c r="CW276" s="47">
        <v>0</v>
      </c>
      <c r="CX276" s="47">
        <v>0</v>
      </c>
      <c r="CY276" s="47">
        <v>0</v>
      </c>
      <c r="CZ276" s="47">
        <v>0</v>
      </c>
      <c r="DA276" s="47">
        <v>0</v>
      </c>
      <c r="DB276" s="47">
        <v>0</v>
      </c>
      <c r="DC276" s="47">
        <v>0</v>
      </c>
      <c r="DD276" s="47">
        <v>0</v>
      </c>
      <c r="DE276" s="47">
        <v>0</v>
      </c>
      <c r="DF276" s="47">
        <v>0</v>
      </c>
      <c r="DG276" s="47">
        <v>0</v>
      </c>
      <c r="DH276" s="47">
        <v>0</v>
      </c>
      <c r="DI276" s="47">
        <v>0</v>
      </c>
      <c r="DJ276" s="47">
        <v>0</v>
      </c>
      <c r="DK276" s="47">
        <v>0</v>
      </c>
      <c r="DL276" s="47">
        <v>0</v>
      </c>
      <c r="DM276" s="47">
        <v>0</v>
      </c>
      <c r="DN276" s="47">
        <v>0</v>
      </c>
      <c r="DO276" s="47">
        <v>0</v>
      </c>
      <c r="DP276" s="47">
        <v>0</v>
      </c>
      <c r="DQ276" s="47">
        <v>0</v>
      </c>
      <c r="DR276" s="47">
        <v>0</v>
      </c>
      <c r="DS276" s="47">
        <v>0</v>
      </c>
      <c r="DT276" s="47">
        <v>0</v>
      </c>
    </row>
    <row r="277" spans="1:126" x14ac:dyDescent="0.25">
      <c r="A277" s="47" t="s">
        <v>1378</v>
      </c>
      <c r="B277" s="47" t="s">
        <v>153</v>
      </c>
      <c r="C277" s="47" t="s">
        <v>1379</v>
      </c>
      <c r="D277" s="47" t="s">
        <v>1380</v>
      </c>
      <c r="E277" s="47" t="s">
        <v>1381</v>
      </c>
      <c r="F277" s="47" t="s">
        <v>698</v>
      </c>
      <c r="G277" s="47" t="s">
        <v>727</v>
      </c>
      <c r="H277" s="47" t="str">
        <f>=IFERROR(VLOOKUP(A277,'ETPT Format DDG'!A:J,10,FALSE),"")</f>
        <v>0</v>
      </c>
      <c r="I277" s="47" t="str">
        <f>='ETPT Format DDG'!M277</f>
        <v/>
      </c>
      <c r="J277" s="47" t="str">
        <f>='ETPT Format DDG'!D277</f>
        <v/>
      </c>
      <c r="K277" s="47" t="s">
        <v>157</v>
      </c>
      <c r="L277" s="47" t="s">
        <v>1013</v>
      </c>
      <c r="M277" s="47"/>
      <c r="N277" s="47">
        <v>1</v>
      </c>
      <c r="O277" s="47">
        <v>0</v>
      </c>
      <c r="P277" s="47">
        <v>0</v>
      </c>
      <c r="Q277" s="47">
        <v>0</v>
      </c>
      <c r="R277" s="47">
        <v>0</v>
      </c>
      <c r="S277" s="47">
        <v>0</v>
      </c>
      <c r="T277" s="47">
        <v>0</v>
      </c>
      <c r="U277" s="47">
        <v>0</v>
      </c>
      <c r="V277" s="47">
        <v>0</v>
      </c>
      <c r="W277" s="47">
        <v>0</v>
      </c>
      <c r="X277" s="47">
        <v>0</v>
      </c>
      <c r="Y277" s="47">
        <v>0</v>
      </c>
      <c r="Z277" s="47">
        <v>0</v>
      </c>
      <c r="AA277" s="47">
        <v>0</v>
      </c>
      <c r="AB277" s="47">
        <v>0</v>
      </c>
      <c r="AC277" s="47">
        <v>0</v>
      </c>
      <c r="AD277" s="47">
        <v>0</v>
      </c>
      <c r="AE277" s="47">
        <v>0</v>
      </c>
      <c r="AF277" s="47">
        <v>0</v>
      </c>
      <c r="AG277" s="47">
        <v>0</v>
      </c>
      <c r="AH277" s="47">
        <v>0</v>
      </c>
      <c r="AI277" s="47">
        <v>0</v>
      </c>
      <c r="AJ277" s="47">
        <v>0</v>
      </c>
      <c r="AK277" s="47">
        <v>0</v>
      </c>
      <c r="AL277" s="47">
        <v>0</v>
      </c>
      <c r="AM277" s="47">
        <v>0</v>
      </c>
      <c r="AN277" s="47">
        <v>0</v>
      </c>
      <c r="AO277" s="47">
        <v>0</v>
      </c>
      <c r="AP277" s="47">
        <v>0</v>
      </c>
      <c r="AQ277" s="47">
        <v>0</v>
      </c>
      <c r="AR277" s="47">
        <v>0</v>
      </c>
      <c r="AS277" s="47">
        <v>0</v>
      </c>
      <c r="AT277" s="47">
        <v>0</v>
      </c>
      <c r="AU277" s="47">
        <v>0</v>
      </c>
      <c r="AV277" s="47">
        <v>0</v>
      </c>
      <c r="AW277" s="47">
        <v>0</v>
      </c>
      <c r="AX277" s="47">
        <v>0</v>
      </c>
      <c r="AY277" s="47">
        <v>0</v>
      </c>
      <c r="AZ277" s="47">
        <v>0</v>
      </c>
      <c r="BA277" s="47">
        <v>0</v>
      </c>
      <c r="BB277" s="47">
        <v>0</v>
      </c>
      <c r="BC277" s="47">
        <v>0</v>
      </c>
      <c r="BD277" s="47">
        <v>0</v>
      </c>
      <c r="BE277" s="47">
        <v>0</v>
      </c>
      <c r="BF277" s="47">
        <v>0</v>
      </c>
      <c r="BG277" s="47">
        <v>0</v>
      </c>
      <c r="BH277" s="47">
        <v>0</v>
      </c>
      <c r="BI277" s="47">
        <v>0</v>
      </c>
      <c r="BJ277" s="47">
        <v>0</v>
      </c>
      <c r="BK277" s="47">
        <v>0</v>
      </c>
      <c r="BL277" s="47">
        <v>0</v>
      </c>
      <c r="BM277" s="47">
        <v>0</v>
      </c>
      <c r="BN277" s="47">
        <v>0</v>
      </c>
      <c r="BO277" s="47">
        <v>0</v>
      </c>
      <c r="BP277" s="47">
        <v>0</v>
      </c>
      <c r="BQ277" s="47">
        <v>0</v>
      </c>
      <c r="BR277" s="47">
        <v>0</v>
      </c>
      <c r="BS277" s="47">
        <v>0</v>
      </c>
      <c r="BT277" s="47">
        <v>0</v>
      </c>
      <c r="BU277" s="47">
        <v>0</v>
      </c>
      <c r="BV277" s="47">
        <v>0</v>
      </c>
      <c r="BW277" s="47">
        <v>0</v>
      </c>
      <c r="BX277" s="47">
        <v>0</v>
      </c>
      <c r="BY277" s="47">
        <v>0</v>
      </c>
      <c r="BZ277" s="47">
        <v>0</v>
      </c>
      <c r="CA277" s="47">
        <v>0</v>
      </c>
      <c r="CB277" s="47">
        <v>0</v>
      </c>
      <c r="CC277" s="47">
        <v>0</v>
      </c>
      <c r="CD277" s="47">
        <v>0</v>
      </c>
      <c r="CE277" s="47">
        <v>0</v>
      </c>
      <c r="CF277" s="47">
        <v>0</v>
      </c>
      <c r="CG277" s="47">
        <v>0</v>
      </c>
      <c r="CH277" s="47">
        <v>0</v>
      </c>
      <c r="CI277" s="47">
        <v>0</v>
      </c>
      <c r="CJ277" s="47">
        <v>0</v>
      </c>
      <c r="CK277" s="47">
        <v>0</v>
      </c>
      <c r="CL277" s="47">
        <v>0</v>
      </c>
      <c r="CM277" s="47">
        <v>0</v>
      </c>
      <c r="CN277" s="47">
        <v>0</v>
      </c>
      <c r="CO277" s="47">
        <v>0</v>
      </c>
      <c r="CP277" s="47">
        <v>0</v>
      </c>
      <c r="CQ277" s="47">
        <v>0</v>
      </c>
      <c r="CR277" s="47">
        <v>0</v>
      </c>
      <c r="CS277" s="47">
        <v>0</v>
      </c>
      <c r="CT277" s="47">
        <v>0</v>
      </c>
      <c r="CU277" s="47">
        <v>0</v>
      </c>
      <c r="CV277" s="47">
        <v>0</v>
      </c>
      <c r="CW277" s="47">
        <v>0</v>
      </c>
      <c r="CX277" s="47">
        <v>0</v>
      </c>
      <c r="CY277" s="47">
        <v>0</v>
      </c>
      <c r="CZ277" s="47">
        <v>0</v>
      </c>
      <c r="DA277" s="47">
        <v>0</v>
      </c>
      <c r="DB277" s="47">
        <v>0</v>
      </c>
      <c r="DC277" s="47">
        <v>0</v>
      </c>
      <c r="DD277" s="47">
        <v>0</v>
      </c>
      <c r="DE277" s="47">
        <v>0</v>
      </c>
      <c r="DF277" s="47">
        <v>0</v>
      </c>
      <c r="DG277" s="47">
        <v>0</v>
      </c>
      <c r="DH277" s="47">
        <v>0</v>
      </c>
      <c r="DI277" s="47">
        <v>0</v>
      </c>
      <c r="DJ277" s="47">
        <v>0</v>
      </c>
      <c r="DK277" s="47">
        <v>0</v>
      </c>
      <c r="DL277" s="47">
        <v>0</v>
      </c>
      <c r="DM277" s="47">
        <v>0</v>
      </c>
      <c r="DN277" s="47">
        <v>0</v>
      </c>
      <c r="DO277" s="47">
        <v>0</v>
      </c>
      <c r="DP277" s="47">
        <v>0</v>
      </c>
      <c r="DQ277" s="47">
        <v>0</v>
      </c>
      <c r="DR277" s="47">
        <v>0</v>
      </c>
      <c r="DS277" s="47">
        <v>0</v>
      </c>
      <c r="DT277" s="47">
        <v>0</v>
      </c>
    </row>
    <row r="278" spans="1:126" x14ac:dyDescent="0.25">
      <c r="A278" s="47" t="s">
        <v>1382</v>
      </c>
      <c r="B278" s="47" t="s">
        <v>153</v>
      </c>
      <c r="C278" s="47" t="s">
        <v>1383</v>
      </c>
      <c r="D278" s="47" t="s">
        <v>1384</v>
      </c>
      <c r="E278" s="47" t="s">
        <v>1385</v>
      </c>
      <c r="F278" s="47" t="s">
        <v>698</v>
      </c>
      <c r="G278" s="47" t="s">
        <v>727</v>
      </c>
      <c r="H278" s="47" t="str">
        <f>=IFERROR(VLOOKUP(A278,'ETPT Format DDG'!A:J,10,FALSE),"")</f>
        <v>0</v>
      </c>
      <c r="I278" s="47" t="str">
        <f>='ETPT Format DDG'!M278</f>
        <v/>
      </c>
      <c r="J278" s="47" t="str">
        <f>='ETPT Format DDG'!D278</f>
        <v/>
      </c>
      <c r="K278" s="47" t="s">
        <v>157</v>
      </c>
      <c r="L278" s="47" t="s">
        <v>929</v>
      </c>
      <c r="M278" s="47"/>
      <c r="N278" s="47">
        <v>1</v>
      </c>
      <c r="O278" s="47">
        <v>1</v>
      </c>
      <c r="P278" s="47">
        <v>0</v>
      </c>
      <c r="Q278" s="47">
        <v>0</v>
      </c>
      <c r="R278" s="47">
        <v>0</v>
      </c>
      <c r="S278" s="47">
        <v>0</v>
      </c>
      <c r="T278" s="47">
        <v>0</v>
      </c>
      <c r="U278" s="47">
        <v>0</v>
      </c>
      <c r="V278" s="47">
        <v>0</v>
      </c>
      <c r="W278" s="47">
        <v>0</v>
      </c>
      <c r="X278" s="47">
        <v>0</v>
      </c>
      <c r="Y278" s="47">
        <v>0</v>
      </c>
      <c r="Z278" s="47">
        <v>0</v>
      </c>
      <c r="AA278" s="47">
        <v>0</v>
      </c>
      <c r="AB278" s="47">
        <v>0</v>
      </c>
      <c r="AC278" s="47">
        <v>0</v>
      </c>
      <c r="AD278" s="47">
        <v>0</v>
      </c>
      <c r="AE278" s="47">
        <v>0</v>
      </c>
      <c r="AF278" s="47">
        <v>0</v>
      </c>
      <c r="AG278" s="47">
        <v>0</v>
      </c>
      <c r="AH278" s="47">
        <v>0</v>
      </c>
      <c r="AI278" s="47">
        <v>0</v>
      </c>
      <c r="AJ278" s="47">
        <v>0</v>
      </c>
      <c r="AK278" s="47">
        <v>0</v>
      </c>
      <c r="AL278" s="47">
        <v>0</v>
      </c>
      <c r="AM278" s="47">
        <v>0</v>
      </c>
      <c r="AN278" s="47">
        <v>1</v>
      </c>
      <c r="AO278" s="47">
        <v>0</v>
      </c>
      <c r="AP278" s="47">
        <v>0</v>
      </c>
      <c r="AQ278" s="47">
        <v>0</v>
      </c>
      <c r="AR278" s="47">
        <v>0</v>
      </c>
      <c r="AS278" s="47">
        <v>0</v>
      </c>
      <c r="AT278" s="47">
        <v>0</v>
      </c>
      <c r="AU278" s="47">
        <v>0</v>
      </c>
      <c r="AV278" s="47">
        <v>0</v>
      </c>
      <c r="AW278" s="47">
        <v>0</v>
      </c>
      <c r="AX278" s="47">
        <v>0</v>
      </c>
      <c r="AY278" s="47">
        <v>0</v>
      </c>
      <c r="AZ278" s="47">
        <v>0</v>
      </c>
      <c r="BA278" s="47">
        <v>0</v>
      </c>
      <c r="BB278" s="47">
        <v>0</v>
      </c>
      <c r="BC278" s="47">
        <v>0</v>
      </c>
      <c r="BD278" s="47">
        <v>0</v>
      </c>
      <c r="BE278" s="47">
        <v>0</v>
      </c>
      <c r="BF278" s="47">
        <v>0</v>
      </c>
      <c r="BG278" s="47">
        <v>0</v>
      </c>
      <c r="BH278" s="47">
        <v>0</v>
      </c>
      <c r="BI278" s="47">
        <v>0</v>
      </c>
      <c r="BJ278" s="47">
        <v>0</v>
      </c>
      <c r="BK278" s="47">
        <v>0</v>
      </c>
      <c r="BL278" s="47">
        <v>0</v>
      </c>
      <c r="BM278" s="47">
        <v>0</v>
      </c>
      <c r="BN278" s="47">
        <v>0</v>
      </c>
      <c r="BO278" s="47">
        <v>0</v>
      </c>
      <c r="BP278" s="47">
        <v>0</v>
      </c>
      <c r="BQ278" s="47">
        <v>0</v>
      </c>
      <c r="BR278" s="47">
        <v>0</v>
      </c>
      <c r="BS278" s="47">
        <v>0</v>
      </c>
      <c r="BT278" s="47">
        <v>0</v>
      </c>
      <c r="BU278" s="47">
        <v>0</v>
      </c>
      <c r="BV278" s="47">
        <v>0</v>
      </c>
      <c r="BW278" s="47">
        <v>0</v>
      </c>
      <c r="BX278" s="47">
        <v>0</v>
      </c>
      <c r="BY278" s="47">
        <v>0</v>
      </c>
      <c r="BZ278" s="47">
        <v>0</v>
      </c>
      <c r="CA278" s="47">
        <v>0</v>
      </c>
      <c r="CB278" s="47">
        <v>0</v>
      </c>
      <c r="CC278" s="47">
        <v>0</v>
      </c>
      <c r="CD278" s="47">
        <v>0</v>
      </c>
      <c r="CE278" s="47">
        <v>0</v>
      </c>
      <c r="CF278" s="47">
        <v>0</v>
      </c>
      <c r="CG278" s="47">
        <v>0</v>
      </c>
      <c r="CH278" s="47">
        <v>0</v>
      </c>
      <c r="CI278" s="47">
        <v>0</v>
      </c>
      <c r="CJ278" s="47">
        <v>0</v>
      </c>
      <c r="CK278" s="47">
        <v>0</v>
      </c>
      <c r="CL278" s="47">
        <v>0</v>
      </c>
      <c r="CM278" s="47">
        <v>0</v>
      </c>
      <c r="CN278" s="47">
        <v>0</v>
      </c>
      <c r="CO278" s="47">
        <v>0</v>
      </c>
      <c r="CP278" s="47">
        <v>0</v>
      </c>
      <c r="CQ278" s="47">
        <v>0</v>
      </c>
      <c r="CR278" s="47">
        <v>0</v>
      </c>
      <c r="CS278" s="47">
        <v>0</v>
      </c>
      <c r="CT278" s="47">
        <v>0</v>
      </c>
      <c r="CU278" s="47">
        <v>0</v>
      </c>
      <c r="CV278" s="47">
        <v>0</v>
      </c>
      <c r="CW278" s="47">
        <v>0</v>
      </c>
      <c r="CX278" s="47">
        <v>0</v>
      </c>
      <c r="CY278" s="47">
        <v>0</v>
      </c>
      <c r="CZ278" s="47">
        <v>0</v>
      </c>
      <c r="DA278" s="47">
        <v>0</v>
      </c>
      <c r="DB278" s="47">
        <v>0</v>
      </c>
      <c r="DC278" s="47">
        <v>0</v>
      </c>
      <c r="DD278" s="47">
        <v>0</v>
      </c>
      <c r="DE278" s="47">
        <v>0</v>
      </c>
      <c r="DF278" s="47">
        <v>0</v>
      </c>
      <c r="DG278" s="47">
        <v>0</v>
      </c>
      <c r="DH278" s="47">
        <v>0</v>
      </c>
      <c r="DI278" s="47">
        <v>0</v>
      </c>
      <c r="DJ278" s="47">
        <v>0</v>
      </c>
      <c r="DK278" s="47">
        <v>0</v>
      </c>
      <c r="DL278" s="47">
        <v>0</v>
      </c>
      <c r="DM278" s="47">
        <v>0</v>
      </c>
      <c r="DN278" s="47">
        <v>0</v>
      </c>
      <c r="DO278" s="47">
        <v>0</v>
      </c>
      <c r="DP278" s="47">
        <v>0</v>
      </c>
      <c r="DQ278" s="47">
        <v>0</v>
      </c>
      <c r="DR278" s="47">
        <v>0</v>
      </c>
      <c r="DS278" s="47">
        <v>0</v>
      </c>
      <c r="DT278" s="47">
        <v>0</v>
      </c>
    </row>
    <row r="279" spans="1:126" x14ac:dyDescent="0.25">
      <c r="A279" s="47" t="s">
        <v>1386</v>
      </c>
      <c r="B279" s="47" t="s">
        <v>153</v>
      </c>
      <c r="C279" s="47" t="s">
        <v>1387</v>
      </c>
      <c r="D279" s="47" t="s">
        <v>1388</v>
      </c>
      <c r="E279" s="47" t="s">
        <v>1389</v>
      </c>
      <c r="F279" s="47" t="s">
        <v>698</v>
      </c>
      <c r="G279" s="47" t="s">
        <v>705</v>
      </c>
      <c r="H279" s="47" t="str">
        <f>=IFERROR(VLOOKUP(A279,'ETPT Format DDG'!A:J,10,FALSE),"")</f>
        <v>0</v>
      </c>
      <c r="I279" s="47" t="str">
        <f>='ETPT Format DDG'!M279</f>
        <v/>
      </c>
      <c r="J279" s="47" t="str">
        <f>='ETPT Format DDG'!D279</f>
        <v/>
      </c>
      <c r="K279" s="47" t="s">
        <v>157</v>
      </c>
      <c r="L279" s="47" t="s">
        <v>1390</v>
      </c>
      <c r="M279" s="47"/>
      <c r="N279" s="47">
        <v>1</v>
      </c>
      <c r="O279" s="47">
        <v>0</v>
      </c>
      <c r="P279" s="47">
        <v>0</v>
      </c>
      <c r="Q279" s="47">
        <v>0</v>
      </c>
      <c r="R279" s="47">
        <v>0</v>
      </c>
      <c r="S279" s="47">
        <v>0</v>
      </c>
      <c r="T279" s="47">
        <v>0</v>
      </c>
      <c r="U279" s="47">
        <v>0</v>
      </c>
      <c r="V279" s="47">
        <v>0</v>
      </c>
      <c r="W279" s="47">
        <v>0</v>
      </c>
      <c r="X279" s="47">
        <v>0</v>
      </c>
      <c r="Y279" s="47">
        <v>0</v>
      </c>
      <c r="Z279" s="47">
        <v>0</v>
      </c>
      <c r="AA279" s="47">
        <v>0</v>
      </c>
      <c r="AB279" s="47">
        <v>0</v>
      </c>
      <c r="AC279" s="47">
        <v>0</v>
      </c>
      <c r="AD279" s="47">
        <v>0</v>
      </c>
      <c r="AE279" s="47">
        <v>0</v>
      </c>
      <c r="AF279" s="47">
        <v>0</v>
      </c>
      <c r="AG279" s="47">
        <v>0</v>
      </c>
      <c r="AH279" s="47">
        <v>0</v>
      </c>
      <c r="AI279" s="47">
        <v>0</v>
      </c>
      <c r="AJ279" s="47">
        <v>0</v>
      </c>
      <c r="AK279" s="47">
        <v>0</v>
      </c>
      <c r="AL279" s="47">
        <v>0</v>
      </c>
      <c r="AM279" s="47">
        <v>0</v>
      </c>
      <c r="AN279" s="47">
        <v>0</v>
      </c>
      <c r="AO279" s="47">
        <v>0</v>
      </c>
      <c r="AP279" s="47">
        <v>0</v>
      </c>
      <c r="AQ279" s="47">
        <v>0</v>
      </c>
      <c r="AR279" s="47">
        <v>0</v>
      </c>
      <c r="AS279" s="47">
        <v>0</v>
      </c>
      <c r="AT279" s="47">
        <v>0</v>
      </c>
      <c r="AU279" s="47">
        <v>0</v>
      </c>
      <c r="AV279" s="47">
        <v>0</v>
      </c>
      <c r="AW279" s="47">
        <v>0</v>
      </c>
      <c r="AX279" s="47">
        <v>0</v>
      </c>
      <c r="AY279" s="47">
        <v>0</v>
      </c>
      <c r="AZ279" s="47">
        <v>0</v>
      </c>
      <c r="BA279" s="47">
        <v>0</v>
      </c>
      <c r="BB279" s="47">
        <v>0</v>
      </c>
      <c r="BC279" s="47">
        <v>0</v>
      </c>
      <c r="BD279" s="47">
        <v>0</v>
      </c>
      <c r="BE279" s="47">
        <v>0</v>
      </c>
      <c r="BF279" s="47">
        <v>0</v>
      </c>
      <c r="BG279" s="47">
        <v>0</v>
      </c>
      <c r="BH279" s="47">
        <v>0</v>
      </c>
      <c r="BI279" s="47">
        <v>0</v>
      </c>
      <c r="BJ279" s="47">
        <v>0</v>
      </c>
      <c r="BK279" s="47">
        <v>0</v>
      </c>
      <c r="BL279" s="47">
        <v>0</v>
      </c>
      <c r="BM279" s="47">
        <v>0</v>
      </c>
      <c r="BN279" s="47">
        <v>0</v>
      </c>
      <c r="BO279" s="47">
        <v>0</v>
      </c>
      <c r="BP279" s="47">
        <v>0</v>
      </c>
      <c r="BQ279" s="47">
        <v>0</v>
      </c>
      <c r="BR279" s="47">
        <v>0</v>
      </c>
      <c r="BS279" s="47">
        <v>0</v>
      </c>
      <c r="BT279" s="47">
        <v>0</v>
      </c>
      <c r="BU279" s="47">
        <v>0</v>
      </c>
      <c r="BV279" s="47">
        <v>0</v>
      </c>
      <c r="BW279" s="47">
        <v>0</v>
      </c>
      <c r="BX279" s="47">
        <v>0</v>
      </c>
      <c r="BY279" s="47">
        <v>0</v>
      </c>
      <c r="BZ279" s="47">
        <v>0</v>
      </c>
      <c r="CA279" s="47">
        <v>0</v>
      </c>
      <c r="CB279" s="47">
        <v>0</v>
      </c>
      <c r="CC279" s="47">
        <v>0</v>
      </c>
      <c r="CD279" s="47">
        <v>0</v>
      </c>
      <c r="CE279" s="47">
        <v>0</v>
      </c>
      <c r="CF279" s="47">
        <v>0</v>
      </c>
      <c r="CG279" s="47">
        <v>0</v>
      </c>
      <c r="CH279" s="47">
        <v>0</v>
      </c>
      <c r="CI279" s="47">
        <v>0</v>
      </c>
      <c r="CJ279" s="47">
        <v>0</v>
      </c>
      <c r="CK279" s="47">
        <v>0</v>
      </c>
      <c r="CL279" s="47">
        <v>0</v>
      </c>
      <c r="CM279" s="47">
        <v>0</v>
      </c>
      <c r="CN279" s="47">
        <v>0</v>
      </c>
      <c r="CO279" s="47">
        <v>0</v>
      </c>
      <c r="CP279" s="47">
        <v>0</v>
      </c>
      <c r="CQ279" s="47">
        <v>0</v>
      </c>
      <c r="CR279" s="47">
        <v>0</v>
      </c>
      <c r="CS279" s="47">
        <v>0</v>
      </c>
      <c r="CT279" s="47">
        <v>0</v>
      </c>
      <c r="CU279" s="47">
        <v>0</v>
      </c>
      <c r="CV279" s="47">
        <v>0</v>
      </c>
      <c r="CW279" s="47">
        <v>0</v>
      </c>
      <c r="CX279" s="47">
        <v>0</v>
      </c>
      <c r="CY279" s="47">
        <v>0</v>
      </c>
      <c r="CZ279" s="47">
        <v>0</v>
      </c>
      <c r="DA279" s="47">
        <v>0</v>
      </c>
      <c r="DB279" s="47">
        <v>0</v>
      </c>
      <c r="DC279" s="47">
        <v>0</v>
      </c>
      <c r="DD279" s="47">
        <v>0</v>
      </c>
      <c r="DE279" s="47">
        <v>0</v>
      </c>
      <c r="DF279" s="47">
        <v>0</v>
      </c>
      <c r="DG279" s="47">
        <v>0</v>
      </c>
      <c r="DH279" s="47">
        <v>0</v>
      </c>
      <c r="DI279" s="47">
        <v>0</v>
      </c>
      <c r="DJ279" s="47">
        <v>0</v>
      </c>
      <c r="DK279" s="47">
        <v>0</v>
      </c>
      <c r="DL279" s="47">
        <v>0</v>
      </c>
      <c r="DM279" s="47">
        <v>0</v>
      </c>
      <c r="DN279" s="47">
        <v>0</v>
      </c>
      <c r="DO279" s="47">
        <v>0</v>
      </c>
      <c r="DP279" s="47">
        <v>0</v>
      </c>
      <c r="DQ279" s="47">
        <v>0</v>
      </c>
      <c r="DR279" s="47">
        <v>0</v>
      </c>
      <c r="DS279" s="47">
        <v>0</v>
      </c>
      <c r="DT279" s="47">
        <v>0</v>
      </c>
    </row>
    <row r="280" spans="1:126" x14ac:dyDescent="0.25">
      <c r="A280" s="47" t="s">
        <v>1391</v>
      </c>
      <c r="B280" s="47" t="s">
        <v>153</v>
      </c>
      <c r="C280" s="47" t="s">
        <v>1392</v>
      </c>
      <c r="D280" s="47" t="s">
        <v>1393</v>
      </c>
      <c r="E280" s="47" t="s">
        <v>1394</v>
      </c>
      <c r="F280" s="47" t="s">
        <v>698</v>
      </c>
      <c r="G280" s="47" t="s">
        <v>705</v>
      </c>
      <c r="H280" s="47" t="str">
        <f>=IFERROR(VLOOKUP(A280,'ETPT Format DDG'!A:J,10,FALSE),"")</f>
        <v>0</v>
      </c>
      <c r="I280" s="47" t="str">
        <f>='ETPT Format DDG'!M280</f>
        <v/>
      </c>
      <c r="J280" s="47" t="str">
        <f>='ETPT Format DDG'!D280</f>
        <v/>
      </c>
      <c r="K280" s="47" t="s">
        <v>157</v>
      </c>
      <c r="L280" s="47" t="s">
        <v>1085</v>
      </c>
      <c r="M280" s="47"/>
      <c r="N280" s="47">
        <v>1</v>
      </c>
      <c r="O280" s="47">
        <v>0</v>
      </c>
      <c r="P280" s="47">
        <v>0</v>
      </c>
      <c r="Q280" s="47">
        <v>0</v>
      </c>
      <c r="R280" s="47">
        <v>0</v>
      </c>
      <c r="S280" s="47">
        <v>0</v>
      </c>
      <c r="T280" s="47">
        <v>0</v>
      </c>
      <c r="U280" s="47">
        <v>0</v>
      </c>
      <c r="V280" s="47">
        <v>0</v>
      </c>
      <c r="W280" s="47">
        <v>0</v>
      </c>
      <c r="X280" s="47">
        <v>0</v>
      </c>
      <c r="Y280" s="47">
        <v>0</v>
      </c>
      <c r="Z280" s="47">
        <v>0</v>
      </c>
      <c r="AA280" s="47">
        <v>0</v>
      </c>
      <c r="AB280" s="47">
        <v>0</v>
      </c>
      <c r="AC280" s="47">
        <v>0</v>
      </c>
      <c r="AD280" s="47">
        <v>0</v>
      </c>
      <c r="AE280" s="47">
        <v>0</v>
      </c>
      <c r="AF280" s="47">
        <v>0</v>
      </c>
      <c r="AG280" s="47">
        <v>0</v>
      </c>
      <c r="AH280" s="47">
        <v>0</v>
      </c>
      <c r="AI280" s="47">
        <v>0</v>
      </c>
      <c r="AJ280" s="47">
        <v>0</v>
      </c>
      <c r="AK280" s="47">
        <v>0</v>
      </c>
      <c r="AL280" s="47">
        <v>0</v>
      </c>
      <c r="AM280" s="47">
        <v>0</v>
      </c>
      <c r="AN280" s="47">
        <v>0</v>
      </c>
      <c r="AO280" s="47">
        <v>0</v>
      </c>
      <c r="AP280" s="47">
        <v>0</v>
      </c>
      <c r="AQ280" s="47">
        <v>0</v>
      </c>
      <c r="AR280" s="47">
        <v>0</v>
      </c>
      <c r="AS280" s="47">
        <v>0</v>
      </c>
      <c r="AT280" s="47">
        <v>0</v>
      </c>
      <c r="AU280" s="47">
        <v>0</v>
      </c>
      <c r="AV280" s="47">
        <v>0</v>
      </c>
      <c r="AW280" s="47">
        <v>0</v>
      </c>
      <c r="AX280" s="47">
        <v>0</v>
      </c>
      <c r="AY280" s="47">
        <v>0</v>
      </c>
      <c r="AZ280" s="47">
        <v>0</v>
      </c>
      <c r="BA280" s="47">
        <v>0</v>
      </c>
      <c r="BB280" s="47">
        <v>0</v>
      </c>
      <c r="BC280" s="47">
        <v>0</v>
      </c>
      <c r="BD280" s="47">
        <v>0</v>
      </c>
      <c r="BE280" s="47">
        <v>0</v>
      </c>
      <c r="BF280" s="47">
        <v>0</v>
      </c>
      <c r="BG280" s="47">
        <v>0</v>
      </c>
      <c r="BH280" s="47">
        <v>0</v>
      </c>
      <c r="BI280" s="47">
        <v>0</v>
      </c>
      <c r="BJ280" s="47">
        <v>0</v>
      </c>
      <c r="BK280" s="47">
        <v>0</v>
      </c>
      <c r="BL280" s="47">
        <v>0</v>
      </c>
      <c r="BM280" s="47">
        <v>0</v>
      </c>
      <c r="BN280" s="47">
        <v>0</v>
      </c>
      <c r="BO280" s="47">
        <v>0</v>
      </c>
      <c r="BP280" s="47">
        <v>0</v>
      </c>
      <c r="BQ280" s="47">
        <v>0</v>
      </c>
      <c r="BR280" s="47">
        <v>0</v>
      </c>
      <c r="BS280" s="47">
        <v>0</v>
      </c>
      <c r="BT280" s="47">
        <v>0</v>
      </c>
      <c r="BU280" s="47">
        <v>0</v>
      </c>
      <c r="BV280" s="47">
        <v>0</v>
      </c>
      <c r="BW280" s="47">
        <v>0</v>
      </c>
      <c r="BX280" s="47">
        <v>0</v>
      </c>
      <c r="BY280" s="47">
        <v>0</v>
      </c>
      <c r="BZ280" s="47">
        <v>0</v>
      </c>
      <c r="CA280" s="47">
        <v>0</v>
      </c>
      <c r="CB280" s="47">
        <v>0</v>
      </c>
      <c r="CC280" s="47">
        <v>0</v>
      </c>
      <c r="CD280" s="47">
        <v>0</v>
      </c>
      <c r="CE280" s="47">
        <v>0</v>
      </c>
      <c r="CF280" s="47">
        <v>0</v>
      </c>
      <c r="CG280" s="47">
        <v>0</v>
      </c>
      <c r="CH280" s="47">
        <v>0</v>
      </c>
      <c r="CI280" s="47">
        <v>0</v>
      </c>
      <c r="CJ280" s="47">
        <v>0</v>
      </c>
      <c r="CK280" s="47">
        <v>0</v>
      </c>
      <c r="CL280" s="47">
        <v>0</v>
      </c>
      <c r="CM280" s="47">
        <v>0</v>
      </c>
      <c r="CN280" s="47">
        <v>0</v>
      </c>
      <c r="CO280" s="47">
        <v>0</v>
      </c>
      <c r="CP280" s="47">
        <v>0</v>
      </c>
      <c r="CQ280" s="47">
        <v>0</v>
      </c>
      <c r="CR280" s="47">
        <v>0</v>
      </c>
      <c r="CS280" s="47">
        <v>0</v>
      </c>
      <c r="CT280" s="47">
        <v>0</v>
      </c>
      <c r="CU280" s="47">
        <v>0</v>
      </c>
      <c r="CV280" s="47">
        <v>0</v>
      </c>
      <c r="CW280" s="47">
        <v>0</v>
      </c>
      <c r="CX280" s="47">
        <v>0</v>
      </c>
      <c r="CY280" s="47">
        <v>0</v>
      </c>
      <c r="CZ280" s="47">
        <v>0</v>
      </c>
      <c r="DA280" s="47">
        <v>0</v>
      </c>
      <c r="DB280" s="47">
        <v>0</v>
      </c>
      <c r="DC280" s="47">
        <v>0</v>
      </c>
      <c r="DD280" s="47">
        <v>0</v>
      </c>
      <c r="DE280" s="47">
        <v>0</v>
      </c>
      <c r="DF280" s="47">
        <v>0</v>
      </c>
      <c r="DG280" s="47">
        <v>0</v>
      </c>
      <c r="DH280" s="47">
        <v>0</v>
      </c>
      <c r="DI280" s="47">
        <v>0</v>
      </c>
      <c r="DJ280" s="47">
        <v>0</v>
      </c>
      <c r="DK280" s="47">
        <v>0</v>
      </c>
      <c r="DL280" s="47">
        <v>0</v>
      </c>
      <c r="DM280" s="47">
        <v>0</v>
      </c>
      <c r="DN280" s="47">
        <v>0</v>
      </c>
      <c r="DO280" s="47">
        <v>0</v>
      </c>
      <c r="DP280" s="47">
        <v>0</v>
      </c>
      <c r="DQ280" s="47">
        <v>0</v>
      </c>
      <c r="DR280" s="47">
        <v>0</v>
      </c>
      <c r="DS280" s="47">
        <v>0</v>
      </c>
      <c r="DT280" s="47">
        <v>0</v>
      </c>
    </row>
    <row r="281" spans="1:126" x14ac:dyDescent="0.25">
      <c r="A281" s="47" t="s">
        <v>1395</v>
      </c>
      <c r="B281" s="47" t="s">
        <v>153</v>
      </c>
      <c r="C281" s="47" t="s">
        <v>1396</v>
      </c>
      <c r="D281" s="47" t="s">
        <v>1397</v>
      </c>
      <c r="E281" s="47" t="s">
        <v>1398</v>
      </c>
      <c r="F281" s="47" t="s">
        <v>698</v>
      </c>
      <c r="G281" s="47" t="s">
        <v>1399</v>
      </c>
      <c r="H281" s="47" t="str">
        <f>=IFERROR(VLOOKUP(A281,'ETPT Format DDG'!A:J,10,FALSE),"")</f>
        <v>0</v>
      </c>
      <c r="I281" s="47" t="str">
        <f>='ETPT Format DDG'!M281</f>
        <v/>
      </c>
      <c r="J281" s="47" t="str">
        <f>='ETPT Format DDG'!D281</f>
        <v/>
      </c>
      <c r="K281" s="47" t="s">
        <v>157</v>
      </c>
      <c r="L281" s="47" t="s">
        <v>1400</v>
      </c>
      <c r="M281" s="47"/>
      <c r="N281" s="47">
        <v>1</v>
      </c>
      <c r="O281" s="47">
        <v>1</v>
      </c>
      <c r="P281" s="47">
        <v>1</v>
      </c>
      <c r="Q281" s="47">
        <v>0</v>
      </c>
      <c r="R281" s="47">
        <v>0</v>
      </c>
      <c r="S281" s="47">
        <v>0</v>
      </c>
      <c r="T281" s="47">
        <v>0</v>
      </c>
      <c r="U281" s="47">
        <v>0</v>
      </c>
      <c r="V281" s="47">
        <v>0</v>
      </c>
      <c r="W281" s="47">
        <v>0</v>
      </c>
      <c r="X281" s="47">
        <v>0</v>
      </c>
      <c r="Y281" s="47">
        <v>0</v>
      </c>
      <c r="Z281" s="47">
        <v>0</v>
      </c>
      <c r="AA281" s="47">
        <v>0</v>
      </c>
      <c r="AB281" s="47">
        <v>0</v>
      </c>
      <c r="AC281" s="47">
        <v>0</v>
      </c>
      <c r="AD281" s="47">
        <v>0</v>
      </c>
      <c r="AE281" s="47">
        <v>0</v>
      </c>
      <c r="AF281" s="47">
        <v>0</v>
      </c>
      <c r="AG281" s="47">
        <v>0</v>
      </c>
      <c r="AH281" s="47">
        <v>0</v>
      </c>
      <c r="AI281" s="47">
        <v>0</v>
      </c>
      <c r="AJ281" s="47">
        <v>0</v>
      </c>
      <c r="AK281" s="47">
        <v>0</v>
      </c>
      <c r="AL281" s="47">
        <v>0</v>
      </c>
      <c r="AM281" s="47">
        <v>0</v>
      </c>
      <c r="AN281" s="47">
        <v>0</v>
      </c>
      <c r="AO281" s="47">
        <v>0</v>
      </c>
      <c r="AP281" s="47">
        <v>0</v>
      </c>
      <c r="AQ281" s="47">
        <v>0</v>
      </c>
      <c r="AR281" s="47">
        <v>0</v>
      </c>
      <c r="AS281" s="47">
        <v>0</v>
      </c>
      <c r="AT281" s="47">
        <v>0</v>
      </c>
      <c r="AU281" s="47">
        <v>0</v>
      </c>
      <c r="AV281" s="47">
        <v>0</v>
      </c>
      <c r="AW281" s="47">
        <v>0</v>
      </c>
      <c r="AX281" s="47">
        <v>0</v>
      </c>
      <c r="AY281" s="47">
        <v>0</v>
      </c>
      <c r="AZ281" s="47">
        <v>0</v>
      </c>
      <c r="BA281" s="47">
        <v>0</v>
      </c>
      <c r="BB281" s="47">
        <v>0</v>
      </c>
      <c r="BC281" s="47">
        <v>0</v>
      </c>
      <c r="BD281" s="47">
        <v>0</v>
      </c>
      <c r="BE281" s="47">
        <v>0</v>
      </c>
      <c r="BF281" s="47">
        <v>0</v>
      </c>
      <c r="BG281" s="47">
        <v>0</v>
      </c>
      <c r="BH281" s="47">
        <v>0</v>
      </c>
      <c r="BI281" s="47">
        <v>0</v>
      </c>
      <c r="BJ281" s="47">
        <v>0</v>
      </c>
      <c r="BK281" s="47">
        <v>0</v>
      </c>
      <c r="BL281" s="47">
        <v>0</v>
      </c>
      <c r="BM281" s="47">
        <v>0</v>
      </c>
      <c r="BN281" s="47">
        <v>0</v>
      </c>
      <c r="BO281" s="47">
        <v>0</v>
      </c>
      <c r="BP281" s="47">
        <v>0</v>
      </c>
      <c r="BQ281" s="47">
        <v>0</v>
      </c>
      <c r="BR281" s="47">
        <v>0</v>
      </c>
      <c r="BS281" s="47">
        <v>0</v>
      </c>
      <c r="BT281" s="47">
        <v>0</v>
      </c>
      <c r="BU281" s="47">
        <v>0</v>
      </c>
      <c r="BV281" s="47">
        <v>0</v>
      </c>
      <c r="BW281" s="47">
        <v>0</v>
      </c>
      <c r="BX281" s="47">
        <v>0</v>
      </c>
      <c r="BY281" s="47">
        <v>0</v>
      </c>
      <c r="BZ281" s="47">
        <v>0</v>
      </c>
      <c r="CA281" s="47">
        <v>0</v>
      </c>
      <c r="CB281" s="47">
        <v>0</v>
      </c>
      <c r="CC281" s="47">
        <v>0</v>
      </c>
      <c r="CD281" s="47">
        <v>0</v>
      </c>
      <c r="CE281" s="47">
        <v>0</v>
      </c>
      <c r="CF281" s="47">
        <v>0</v>
      </c>
      <c r="CG281" s="47">
        <v>0</v>
      </c>
      <c r="CH281" s="47">
        <v>0</v>
      </c>
      <c r="CI281" s="47">
        <v>0</v>
      </c>
      <c r="CJ281" s="47">
        <v>0</v>
      </c>
      <c r="CK281" s="47">
        <v>0</v>
      </c>
      <c r="CL281" s="47">
        <v>0</v>
      </c>
      <c r="CM281" s="47">
        <v>0</v>
      </c>
      <c r="CN281" s="47">
        <v>0</v>
      </c>
      <c r="CO281" s="47">
        <v>0</v>
      </c>
      <c r="CP281" s="47">
        <v>0</v>
      </c>
      <c r="CQ281" s="47">
        <v>0</v>
      </c>
      <c r="CR281" s="47">
        <v>0</v>
      </c>
      <c r="CS281" s="47">
        <v>0</v>
      </c>
      <c r="CT281" s="47">
        <v>0</v>
      </c>
      <c r="CU281" s="47">
        <v>0</v>
      </c>
      <c r="CV281" s="47">
        <v>0</v>
      </c>
      <c r="CW281" s="47">
        <v>0</v>
      </c>
      <c r="CX281" s="47">
        <v>0</v>
      </c>
      <c r="CY281" s="47">
        <v>0</v>
      </c>
      <c r="CZ281" s="47">
        <v>0</v>
      </c>
      <c r="DA281" s="47">
        <v>0</v>
      </c>
      <c r="DB281" s="47">
        <v>0</v>
      </c>
      <c r="DC281" s="47">
        <v>0</v>
      </c>
      <c r="DD281" s="47">
        <v>0</v>
      </c>
      <c r="DE281" s="47">
        <v>0</v>
      </c>
      <c r="DF281" s="47">
        <v>0</v>
      </c>
      <c r="DG281" s="47">
        <v>0</v>
      </c>
      <c r="DH281" s="47">
        <v>0</v>
      </c>
      <c r="DI281" s="47">
        <v>0</v>
      </c>
      <c r="DJ281" s="47">
        <v>0</v>
      </c>
      <c r="DK281" s="47">
        <v>0</v>
      </c>
      <c r="DL281" s="47">
        <v>0</v>
      </c>
      <c r="DM281" s="47">
        <v>0</v>
      </c>
      <c r="DN281" s="47">
        <v>0</v>
      </c>
      <c r="DO281" s="47">
        <v>0</v>
      </c>
      <c r="DP281" s="47">
        <v>0</v>
      </c>
      <c r="DQ281" s="47">
        <v>0</v>
      </c>
      <c r="DR281" s="47">
        <v>0</v>
      </c>
      <c r="DS281" s="47">
        <v>0</v>
      </c>
      <c r="DT281" s="47">
        <v>0</v>
      </c>
    </row>
    <row r="282" spans="1:126" x14ac:dyDescent="0.25">
      <c r="A282" s="47" t="s">
        <v>1401</v>
      </c>
      <c r="B282" s="47" t="s">
        <v>153</v>
      </c>
      <c r="C282" s="47" t="s">
        <v>1402</v>
      </c>
      <c r="D282" s="47" t="s">
        <v>1403</v>
      </c>
      <c r="E282" s="47" t="s">
        <v>1404</v>
      </c>
      <c r="F282" s="47" t="s">
        <v>698</v>
      </c>
      <c r="G282" s="47" t="s">
        <v>727</v>
      </c>
      <c r="H282" s="47" t="str">
        <f>=IFERROR(VLOOKUP(A282,'ETPT Format DDG'!A:J,10,FALSE),"")</f>
        <v>0</v>
      </c>
      <c r="I282" s="47" t="str">
        <f>='ETPT Format DDG'!M282</f>
        <v/>
      </c>
      <c r="J282" s="47" t="str">
        <f>='ETPT Format DDG'!D282</f>
        <v/>
      </c>
      <c r="K282" s="47" t="s">
        <v>157</v>
      </c>
      <c r="L282" s="47" t="s">
        <v>728</v>
      </c>
      <c r="M282" s="47"/>
      <c r="N282" s="47">
        <v>1</v>
      </c>
      <c r="O282" s="47">
        <v>1</v>
      </c>
      <c r="P282" s="47">
        <v>0</v>
      </c>
      <c r="Q282" s="47">
        <v>0</v>
      </c>
      <c r="R282" s="47">
        <v>0</v>
      </c>
      <c r="S282" s="47">
        <v>0</v>
      </c>
      <c r="T282" s="47">
        <v>0</v>
      </c>
      <c r="U282" s="47">
        <v>0</v>
      </c>
      <c r="V282" s="47">
        <v>0</v>
      </c>
      <c r="W282" s="47">
        <v>0</v>
      </c>
      <c r="X282" s="47">
        <v>0</v>
      </c>
      <c r="Y282" s="47">
        <v>0</v>
      </c>
      <c r="Z282" s="47">
        <v>0</v>
      </c>
      <c r="AA282" s="47">
        <v>0</v>
      </c>
      <c r="AB282" s="47">
        <v>0</v>
      </c>
      <c r="AC282" s="47">
        <v>0</v>
      </c>
      <c r="AD282" s="47">
        <v>0</v>
      </c>
      <c r="AE282" s="47">
        <v>1</v>
      </c>
      <c r="AF282" s="47">
        <v>0</v>
      </c>
      <c r="AG282" s="47">
        <v>0</v>
      </c>
      <c r="AH282" s="47">
        <v>0</v>
      </c>
      <c r="AI282" s="47">
        <v>0</v>
      </c>
      <c r="AJ282" s="47">
        <v>0</v>
      </c>
      <c r="AK282" s="47">
        <v>0</v>
      </c>
      <c r="AL282" s="47">
        <v>0</v>
      </c>
      <c r="AM282" s="47">
        <v>0</v>
      </c>
      <c r="AN282" s="47">
        <v>0</v>
      </c>
      <c r="AO282" s="47">
        <v>0</v>
      </c>
      <c r="AP282" s="47">
        <v>0</v>
      </c>
      <c r="AQ282" s="47">
        <v>0</v>
      </c>
      <c r="AR282" s="47">
        <v>0</v>
      </c>
      <c r="AS282" s="47">
        <v>0</v>
      </c>
      <c r="AT282" s="47">
        <v>0</v>
      </c>
      <c r="AU282" s="47">
        <v>0</v>
      </c>
      <c r="AV282" s="47">
        <v>0</v>
      </c>
      <c r="AW282" s="47">
        <v>0</v>
      </c>
      <c r="AX282" s="47">
        <v>0</v>
      </c>
      <c r="AY282" s="47">
        <v>0</v>
      </c>
      <c r="AZ282" s="47">
        <v>0</v>
      </c>
      <c r="BA282" s="47">
        <v>0</v>
      </c>
      <c r="BB282" s="47">
        <v>0</v>
      </c>
      <c r="BC282" s="47">
        <v>0</v>
      </c>
      <c r="BD282" s="47">
        <v>0</v>
      </c>
      <c r="BE282" s="47">
        <v>0</v>
      </c>
      <c r="BF282" s="47">
        <v>0</v>
      </c>
      <c r="BG282" s="47">
        <v>0</v>
      </c>
      <c r="BH282" s="47">
        <v>0</v>
      </c>
      <c r="BI282" s="47">
        <v>0</v>
      </c>
      <c r="BJ282" s="47">
        <v>0</v>
      </c>
      <c r="BK282" s="47">
        <v>0</v>
      </c>
      <c r="BL282" s="47">
        <v>0</v>
      </c>
      <c r="BM282" s="47">
        <v>0</v>
      </c>
      <c r="BN282" s="47">
        <v>0</v>
      </c>
      <c r="BO282" s="47">
        <v>0</v>
      </c>
      <c r="BP282" s="47">
        <v>0</v>
      </c>
      <c r="BQ282" s="47">
        <v>0</v>
      </c>
      <c r="BR282" s="47">
        <v>0</v>
      </c>
      <c r="BS282" s="47">
        <v>0</v>
      </c>
      <c r="BT282" s="47">
        <v>0</v>
      </c>
      <c r="BU282" s="47">
        <v>0</v>
      </c>
      <c r="BV282" s="47">
        <v>0</v>
      </c>
      <c r="BW282" s="47">
        <v>0</v>
      </c>
      <c r="BX282" s="47">
        <v>0</v>
      </c>
      <c r="BY282" s="47">
        <v>0</v>
      </c>
      <c r="BZ282" s="47">
        <v>0</v>
      </c>
      <c r="CA282" s="47">
        <v>0</v>
      </c>
      <c r="CB282" s="47">
        <v>0</v>
      </c>
      <c r="CC282" s="47">
        <v>0</v>
      </c>
      <c r="CD282" s="47">
        <v>0</v>
      </c>
      <c r="CE282" s="47">
        <v>0</v>
      </c>
      <c r="CF282" s="47">
        <v>0</v>
      </c>
      <c r="CG282" s="47">
        <v>0</v>
      </c>
      <c r="CH282" s="47">
        <v>0</v>
      </c>
      <c r="CI282" s="47">
        <v>0</v>
      </c>
      <c r="CJ282" s="47">
        <v>0</v>
      </c>
      <c r="CK282" s="47">
        <v>0</v>
      </c>
      <c r="CL282" s="47">
        <v>0</v>
      </c>
      <c r="CM282" s="47">
        <v>0</v>
      </c>
      <c r="CN282" s="47">
        <v>0</v>
      </c>
      <c r="CO282" s="47">
        <v>0</v>
      </c>
      <c r="CP282" s="47">
        <v>0</v>
      </c>
      <c r="CQ282" s="47">
        <v>0</v>
      </c>
      <c r="CR282" s="47">
        <v>0</v>
      </c>
      <c r="CS282" s="47">
        <v>0</v>
      </c>
      <c r="CT282" s="47">
        <v>0</v>
      </c>
      <c r="CU282" s="47">
        <v>0</v>
      </c>
      <c r="CV282" s="47">
        <v>0</v>
      </c>
      <c r="CW282" s="47">
        <v>0</v>
      </c>
      <c r="CX282" s="47">
        <v>0</v>
      </c>
      <c r="CY282" s="47">
        <v>0</v>
      </c>
      <c r="CZ282" s="47">
        <v>0</v>
      </c>
      <c r="DA282" s="47">
        <v>0</v>
      </c>
      <c r="DB282" s="47">
        <v>0</v>
      </c>
      <c r="DC282" s="47">
        <v>0</v>
      </c>
      <c r="DD282" s="47">
        <v>0</v>
      </c>
      <c r="DE282" s="47">
        <v>0</v>
      </c>
      <c r="DF282" s="47">
        <v>0</v>
      </c>
      <c r="DG282" s="47">
        <v>0</v>
      </c>
      <c r="DH282" s="47">
        <v>0</v>
      </c>
      <c r="DI282" s="47">
        <v>0</v>
      </c>
      <c r="DJ282" s="47">
        <v>0</v>
      </c>
      <c r="DK282" s="47">
        <v>0</v>
      </c>
      <c r="DL282" s="47">
        <v>0</v>
      </c>
      <c r="DM282" s="47">
        <v>0</v>
      </c>
      <c r="DN282" s="47">
        <v>0</v>
      </c>
      <c r="DO282" s="47">
        <v>0</v>
      </c>
      <c r="DP282" s="47">
        <v>0</v>
      </c>
      <c r="DQ282" s="47">
        <v>0</v>
      </c>
      <c r="DR282" s="47">
        <v>0</v>
      </c>
      <c r="DS282" s="47">
        <v>0</v>
      </c>
      <c r="DT282" s="47">
        <v>0</v>
      </c>
    </row>
    <row r="283" spans="1:126" x14ac:dyDescent="0.25">
      <c r="A283" s="47" t="s">
        <v>1405</v>
      </c>
      <c r="B283" s="47" t="s">
        <v>153</v>
      </c>
      <c r="C283" s="47" t="s">
        <v>1406</v>
      </c>
      <c r="D283" s="47" t="s">
        <v>1407</v>
      </c>
      <c r="E283" s="47" t="s">
        <v>1408</v>
      </c>
      <c r="F283" s="47" t="s">
        <v>698</v>
      </c>
      <c r="G283" s="47" t="s">
        <v>727</v>
      </c>
      <c r="H283" s="47" t="str">
        <f>=IFERROR(VLOOKUP(A283,'ETPT Format DDG'!A:J,10,FALSE),"")</f>
        <v>0</v>
      </c>
      <c r="I283" s="47" t="str">
        <f>='ETPT Format DDG'!M283</f>
        <v/>
      </c>
      <c r="J283" s="47" t="str">
        <f>='ETPT Format DDG'!D283</f>
        <v/>
      </c>
      <c r="K283" s="47" t="s">
        <v>157</v>
      </c>
      <c r="L283" s="47" t="s">
        <v>1409</v>
      </c>
      <c r="M283" s="47"/>
      <c r="N283" s="47">
        <v>1</v>
      </c>
      <c r="O283" s="47">
        <v>1</v>
      </c>
      <c r="P283" s="47">
        <v>0</v>
      </c>
      <c r="Q283" s="47">
        <v>0</v>
      </c>
      <c r="R283" s="47">
        <v>0</v>
      </c>
      <c r="S283" s="47">
        <v>0</v>
      </c>
      <c r="T283" s="47">
        <v>0</v>
      </c>
      <c r="U283" s="47">
        <v>0</v>
      </c>
      <c r="V283" s="47">
        <v>0</v>
      </c>
      <c r="W283" s="47">
        <v>0</v>
      </c>
      <c r="X283" s="47">
        <v>0</v>
      </c>
      <c r="Y283" s="47">
        <v>0</v>
      </c>
      <c r="Z283" s="47">
        <v>0</v>
      </c>
      <c r="AA283" s="47">
        <v>0</v>
      </c>
      <c r="AB283" s="47">
        <v>0</v>
      </c>
      <c r="AC283" s="47">
        <v>0</v>
      </c>
      <c r="AD283" s="47">
        <v>0</v>
      </c>
      <c r="AE283" s="47">
        <v>0</v>
      </c>
      <c r="AF283" s="47">
        <v>0</v>
      </c>
      <c r="AG283" s="47">
        <v>0</v>
      </c>
      <c r="AH283" s="47">
        <v>0</v>
      </c>
      <c r="AI283" s="47">
        <v>0</v>
      </c>
      <c r="AJ283" s="47">
        <v>0</v>
      </c>
      <c r="AK283" s="47">
        <v>0</v>
      </c>
      <c r="AL283" s="47">
        <v>0</v>
      </c>
      <c r="AM283" s="47">
        <v>0</v>
      </c>
      <c r="AN283" s="47">
        <v>0</v>
      </c>
      <c r="AO283" s="47">
        <v>0</v>
      </c>
      <c r="AP283" s="47">
        <v>0</v>
      </c>
      <c r="AQ283" s="47">
        <v>0</v>
      </c>
      <c r="AR283" s="47">
        <v>0</v>
      </c>
      <c r="AS283" s="47">
        <v>0</v>
      </c>
      <c r="AT283" s="47">
        <v>0</v>
      </c>
      <c r="AU283" s="47">
        <v>0</v>
      </c>
      <c r="AV283" s="47">
        <v>0</v>
      </c>
      <c r="AW283" s="47">
        <v>0</v>
      </c>
      <c r="AX283" s="47">
        <v>0</v>
      </c>
      <c r="AY283" s="47">
        <v>0</v>
      </c>
      <c r="AZ283" s="47">
        <v>0</v>
      </c>
      <c r="BA283" s="47">
        <v>0</v>
      </c>
      <c r="BB283" s="47">
        <v>0</v>
      </c>
      <c r="BC283" s="47">
        <v>0</v>
      </c>
      <c r="BD283" s="47">
        <v>0</v>
      </c>
      <c r="BE283" s="47">
        <v>0</v>
      </c>
      <c r="BF283" s="47">
        <v>0</v>
      </c>
      <c r="BG283" s="47">
        <v>0</v>
      </c>
      <c r="BH283" s="47">
        <v>0</v>
      </c>
      <c r="BI283" s="47">
        <v>0</v>
      </c>
      <c r="BJ283" s="47">
        <v>0</v>
      </c>
      <c r="BK283" s="47">
        <v>0</v>
      </c>
      <c r="BL283" s="47">
        <v>0</v>
      </c>
      <c r="BM283" s="47">
        <v>0</v>
      </c>
      <c r="BN283" s="47">
        <v>0</v>
      </c>
      <c r="BO283" s="47">
        <v>1</v>
      </c>
      <c r="BP283" s="47">
        <v>0</v>
      </c>
      <c r="BQ283" s="47">
        <v>0</v>
      </c>
      <c r="BR283" s="47">
        <v>0</v>
      </c>
      <c r="BS283" s="47">
        <v>0</v>
      </c>
      <c r="BT283" s="47">
        <v>0</v>
      </c>
      <c r="BU283" s="47">
        <v>0</v>
      </c>
      <c r="BV283" s="47">
        <v>0</v>
      </c>
      <c r="BW283" s="47">
        <v>0</v>
      </c>
      <c r="BX283" s="47">
        <v>0</v>
      </c>
      <c r="BY283" s="47">
        <v>0</v>
      </c>
      <c r="BZ283" s="47">
        <v>0</v>
      </c>
      <c r="CA283" s="47">
        <v>0</v>
      </c>
      <c r="CB283" s="47">
        <v>0</v>
      </c>
      <c r="CC283" s="47">
        <v>0</v>
      </c>
      <c r="CD283" s="47">
        <v>0</v>
      </c>
      <c r="CE283" s="47">
        <v>0</v>
      </c>
      <c r="CF283" s="47">
        <v>0</v>
      </c>
      <c r="CG283" s="47">
        <v>0</v>
      </c>
      <c r="CH283" s="47">
        <v>0</v>
      </c>
      <c r="CI283" s="47">
        <v>0</v>
      </c>
      <c r="CJ283" s="47">
        <v>0</v>
      </c>
      <c r="CK283" s="47">
        <v>0</v>
      </c>
      <c r="CL283" s="47">
        <v>0</v>
      </c>
      <c r="CM283" s="47">
        <v>0</v>
      </c>
      <c r="CN283" s="47">
        <v>0</v>
      </c>
      <c r="CO283" s="47">
        <v>0</v>
      </c>
      <c r="CP283" s="47">
        <v>0</v>
      </c>
      <c r="CQ283" s="47">
        <v>0</v>
      </c>
      <c r="CR283" s="47">
        <v>0</v>
      </c>
      <c r="CS283" s="47">
        <v>0</v>
      </c>
      <c r="CT283" s="47">
        <v>0</v>
      </c>
      <c r="CU283" s="47">
        <v>0</v>
      </c>
      <c r="CV283" s="47">
        <v>0</v>
      </c>
      <c r="CW283" s="47">
        <v>0</v>
      </c>
      <c r="CX283" s="47">
        <v>0</v>
      </c>
      <c r="CY283" s="47">
        <v>0</v>
      </c>
      <c r="CZ283" s="47">
        <v>0</v>
      </c>
      <c r="DA283" s="47">
        <v>0</v>
      </c>
      <c r="DB283" s="47">
        <v>0</v>
      </c>
      <c r="DC283" s="47">
        <v>0</v>
      </c>
      <c r="DD283" s="47">
        <v>0</v>
      </c>
      <c r="DE283" s="47">
        <v>0</v>
      </c>
      <c r="DF283" s="47">
        <v>0</v>
      </c>
      <c r="DG283" s="47">
        <v>0</v>
      </c>
      <c r="DH283" s="47">
        <v>0</v>
      </c>
      <c r="DI283" s="47">
        <v>0</v>
      </c>
      <c r="DJ283" s="47">
        <v>0</v>
      </c>
      <c r="DK283" s="47">
        <v>0</v>
      </c>
      <c r="DL283" s="47">
        <v>0</v>
      </c>
      <c r="DM283" s="47">
        <v>0</v>
      </c>
      <c r="DN283" s="47">
        <v>0</v>
      </c>
      <c r="DO283" s="47">
        <v>0</v>
      </c>
      <c r="DP283" s="47">
        <v>0</v>
      </c>
      <c r="DQ283" s="47">
        <v>0</v>
      </c>
      <c r="DR283" s="47">
        <v>0</v>
      </c>
      <c r="DS283" s="47">
        <v>0</v>
      </c>
      <c r="DT283" s="47">
        <v>0</v>
      </c>
    </row>
    <row r="284" spans="1:126" x14ac:dyDescent="0.25">
      <c r="A284" s="47" t="s">
        <v>1410</v>
      </c>
      <c r="B284" s="47" t="s">
        <v>153</v>
      </c>
      <c r="C284" s="47" t="s">
        <v>1411</v>
      </c>
      <c r="D284" s="47" t="s">
        <v>1412</v>
      </c>
      <c r="E284" s="47" t="s">
        <v>1413</v>
      </c>
      <c r="F284" s="47" t="s">
        <v>698</v>
      </c>
      <c r="G284" s="47" t="s">
        <v>727</v>
      </c>
      <c r="H284" s="47" t="str">
        <f>=IFERROR(VLOOKUP(A284,'ETPT Format DDG'!A:J,10,FALSE),"")</f>
        <v>0</v>
      </c>
      <c r="I284" s="47" t="str">
        <f>='ETPT Format DDG'!M284</f>
        <v/>
      </c>
      <c r="J284" s="47" t="str">
        <f>='ETPT Format DDG'!D284</f>
        <v/>
      </c>
      <c r="K284" s="47" t="s">
        <v>157</v>
      </c>
      <c r="L284" s="47" t="s">
        <v>1414</v>
      </c>
      <c r="M284" s="47"/>
      <c r="N284" s="47">
        <v>1</v>
      </c>
      <c r="O284" s="47">
        <v>0</v>
      </c>
      <c r="P284" s="47">
        <v>0</v>
      </c>
      <c r="Q284" s="47">
        <v>0</v>
      </c>
      <c r="R284" s="47">
        <v>0</v>
      </c>
      <c r="S284" s="47">
        <v>0</v>
      </c>
      <c r="T284" s="47">
        <v>0</v>
      </c>
      <c r="U284" s="47">
        <v>0</v>
      </c>
      <c r="V284" s="47">
        <v>0</v>
      </c>
      <c r="W284" s="47">
        <v>0</v>
      </c>
      <c r="X284" s="47">
        <v>0</v>
      </c>
      <c r="Y284" s="47">
        <v>0</v>
      </c>
      <c r="Z284" s="47">
        <v>0</v>
      </c>
      <c r="AA284" s="47">
        <v>0</v>
      </c>
      <c r="AB284" s="47">
        <v>0</v>
      </c>
      <c r="AC284" s="47">
        <v>0</v>
      </c>
      <c r="AD284" s="47">
        <v>0</v>
      </c>
      <c r="AE284" s="47">
        <v>0</v>
      </c>
      <c r="AF284" s="47">
        <v>0</v>
      </c>
      <c r="AG284" s="47">
        <v>0</v>
      </c>
      <c r="AH284" s="47">
        <v>0</v>
      </c>
      <c r="AI284" s="47">
        <v>0</v>
      </c>
      <c r="AJ284" s="47">
        <v>0</v>
      </c>
      <c r="AK284" s="47">
        <v>0</v>
      </c>
      <c r="AL284" s="47">
        <v>0</v>
      </c>
      <c r="AM284" s="47">
        <v>0</v>
      </c>
      <c r="AN284" s="47">
        <v>0</v>
      </c>
      <c r="AO284" s="47">
        <v>0</v>
      </c>
      <c r="AP284" s="47">
        <v>0</v>
      </c>
      <c r="AQ284" s="47">
        <v>0</v>
      </c>
      <c r="AR284" s="47">
        <v>0</v>
      </c>
      <c r="AS284" s="47">
        <v>0</v>
      </c>
      <c r="AT284" s="47">
        <v>0</v>
      </c>
      <c r="AU284" s="47">
        <v>0</v>
      </c>
      <c r="AV284" s="47">
        <v>0</v>
      </c>
      <c r="AW284" s="47">
        <v>0</v>
      </c>
      <c r="AX284" s="47">
        <v>0</v>
      </c>
      <c r="AY284" s="47">
        <v>0</v>
      </c>
      <c r="AZ284" s="47">
        <v>0</v>
      </c>
      <c r="BA284" s="47">
        <v>0</v>
      </c>
      <c r="BB284" s="47">
        <v>0</v>
      </c>
      <c r="BC284" s="47">
        <v>0</v>
      </c>
      <c r="BD284" s="47">
        <v>0</v>
      </c>
      <c r="BE284" s="47">
        <v>0</v>
      </c>
      <c r="BF284" s="47">
        <v>0</v>
      </c>
      <c r="BG284" s="47">
        <v>0</v>
      </c>
      <c r="BH284" s="47">
        <v>0</v>
      </c>
      <c r="BI284" s="47">
        <v>0</v>
      </c>
      <c r="BJ284" s="47">
        <v>0</v>
      </c>
      <c r="BK284" s="47">
        <v>0</v>
      </c>
      <c r="BL284" s="47">
        <v>0</v>
      </c>
      <c r="BM284" s="47">
        <v>0</v>
      </c>
      <c r="BN284" s="47">
        <v>0</v>
      </c>
      <c r="BO284" s="47">
        <v>0</v>
      </c>
      <c r="BP284" s="47">
        <v>0</v>
      </c>
      <c r="BQ284" s="47">
        <v>0</v>
      </c>
      <c r="BR284" s="47">
        <v>0</v>
      </c>
      <c r="BS284" s="47">
        <v>0</v>
      </c>
      <c r="BT284" s="47">
        <v>0</v>
      </c>
      <c r="BU284" s="47">
        <v>0</v>
      </c>
      <c r="BV284" s="47">
        <v>0</v>
      </c>
      <c r="BW284" s="47">
        <v>0</v>
      </c>
      <c r="BX284" s="47">
        <v>0</v>
      </c>
      <c r="BY284" s="47">
        <v>0</v>
      </c>
      <c r="BZ284" s="47">
        <v>0</v>
      </c>
      <c r="CA284" s="47">
        <v>0</v>
      </c>
      <c r="CB284" s="47">
        <v>0</v>
      </c>
      <c r="CC284" s="47">
        <v>0</v>
      </c>
      <c r="CD284" s="47">
        <v>0</v>
      </c>
      <c r="CE284" s="47">
        <v>0</v>
      </c>
      <c r="CF284" s="47">
        <v>0</v>
      </c>
      <c r="CG284" s="47">
        <v>0</v>
      </c>
      <c r="CH284" s="47">
        <v>0</v>
      </c>
      <c r="CI284" s="47">
        <v>0</v>
      </c>
      <c r="CJ284" s="47">
        <v>0</v>
      </c>
      <c r="CK284" s="47">
        <v>0</v>
      </c>
      <c r="CL284" s="47">
        <v>0</v>
      </c>
      <c r="CM284" s="47">
        <v>0</v>
      </c>
      <c r="CN284" s="47">
        <v>0</v>
      </c>
      <c r="CO284" s="47">
        <v>0</v>
      </c>
      <c r="CP284" s="47">
        <v>0</v>
      </c>
      <c r="CQ284" s="47">
        <v>0</v>
      </c>
      <c r="CR284" s="47">
        <v>0</v>
      </c>
      <c r="CS284" s="47">
        <v>0</v>
      </c>
      <c r="CT284" s="47">
        <v>0</v>
      </c>
      <c r="CU284" s="47">
        <v>0</v>
      </c>
      <c r="CV284" s="47">
        <v>0</v>
      </c>
      <c r="CW284" s="47">
        <v>0</v>
      </c>
      <c r="CX284" s="47">
        <v>0</v>
      </c>
      <c r="CY284" s="47">
        <v>0</v>
      </c>
      <c r="CZ284" s="47">
        <v>0</v>
      </c>
      <c r="DA284" s="47">
        <v>0</v>
      </c>
      <c r="DB284" s="47">
        <v>0</v>
      </c>
      <c r="DC284" s="47">
        <v>0</v>
      </c>
      <c r="DD284" s="47">
        <v>0</v>
      </c>
      <c r="DE284" s="47">
        <v>0</v>
      </c>
      <c r="DF284" s="47">
        <v>0</v>
      </c>
      <c r="DG284" s="47">
        <v>0</v>
      </c>
      <c r="DH284" s="47">
        <v>0</v>
      </c>
      <c r="DI284" s="47">
        <v>0</v>
      </c>
      <c r="DJ284" s="47">
        <v>0</v>
      </c>
      <c r="DK284" s="47">
        <v>0</v>
      </c>
      <c r="DL284" s="47">
        <v>0</v>
      </c>
      <c r="DM284" s="47">
        <v>0</v>
      </c>
      <c r="DN284" s="47">
        <v>0</v>
      </c>
      <c r="DO284" s="47">
        <v>0</v>
      </c>
      <c r="DP284" s="47">
        <v>0</v>
      </c>
      <c r="DQ284" s="47">
        <v>0</v>
      </c>
      <c r="DR284" s="47">
        <v>0</v>
      </c>
      <c r="DS284" s="47">
        <v>0</v>
      </c>
      <c r="DT284" s="47">
        <v>0</v>
      </c>
    </row>
    <row r="285" spans="1:126" x14ac:dyDescent="0.25">
      <c r="A285" s="47" t="s">
        <v>1415</v>
      </c>
      <c r="B285" s="47" t="s">
        <v>153</v>
      </c>
      <c r="C285" s="47" t="s">
        <v>1416</v>
      </c>
      <c r="D285" s="47" t="s">
        <v>1417</v>
      </c>
      <c r="E285" s="47" t="s">
        <v>1418</v>
      </c>
      <c r="F285" s="47" t="s">
        <v>698</v>
      </c>
      <c r="G285" s="47" t="s">
        <v>705</v>
      </c>
      <c r="H285" s="47" t="str">
        <f>=IFERROR(VLOOKUP(A285,'ETPT Format DDG'!A:J,10,FALSE),"")</f>
        <v>0</v>
      </c>
      <c r="I285" s="47" t="str">
        <f>='ETPT Format DDG'!M285</f>
        <v/>
      </c>
      <c r="J285" s="47" t="str">
        <f>='ETPT Format DDG'!D285</f>
        <v/>
      </c>
      <c r="K285" s="47" t="s">
        <v>157</v>
      </c>
      <c r="L285" s="47" t="s">
        <v>722</v>
      </c>
      <c r="M285" s="47"/>
      <c r="N285" s="47">
        <v>1</v>
      </c>
      <c r="O285" s="47">
        <v>0</v>
      </c>
      <c r="P285" s="47">
        <v>0</v>
      </c>
      <c r="Q285" s="47">
        <v>0</v>
      </c>
      <c r="R285" s="47">
        <v>0</v>
      </c>
      <c r="S285" s="47">
        <v>0</v>
      </c>
      <c r="T285" s="47">
        <v>0</v>
      </c>
      <c r="U285" s="47">
        <v>0</v>
      </c>
      <c r="V285" s="47">
        <v>0</v>
      </c>
      <c r="W285" s="47">
        <v>0</v>
      </c>
      <c r="X285" s="47">
        <v>0</v>
      </c>
      <c r="Y285" s="47">
        <v>0</v>
      </c>
      <c r="Z285" s="47">
        <v>0</v>
      </c>
      <c r="AA285" s="47">
        <v>0</v>
      </c>
      <c r="AB285" s="47">
        <v>0</v>
      </c>
      <c r="AC285" s="47">
        <v>0</v>
      </c>
      <c r="AD285" s="47">
        <v>0</v>
      </c>
      <c r="AE285" s="47">
        <v>0</v>
      </c>
      <c r="AF285" s="47">
        <v>0</v>
      </c>
      <c r="AG285" s="47">
        <v>0</v>
      </c>
      <c r="AH285" s="47">
        <v>0</v>
      </c>
      <c r="AI285" s="47">
        <v>0</v>
      </c>
      <c r="AJ285" s="47">
        <v>0</v>
      </c>
      <c r="AK285" s="47">
        <v>0</v>
      </c>
      <c r="AL285" s="47">
        <v>0</v>
      </c>
      <c r="AM285" s="47">
        <v>0</v>
      </c>
      <c r="AN285" s="47">
        <v>0</v>
      </c>
      <c r="AO285" s="47">
        <v>0</v>
      </c>
      <c r="AP285" s="47">
        <v>0</v>
      </c>
      <c r="AQ285" s="47">
        <v>0</v>
      </c>
      <c r="AR285" s="47">
        <v>0</v>
      </c>
      <c r="AS285" s="47">
        <v>0</v>
      </c>
      <c r="AT285" s="47">
        <v>0</v>
      </c>
      <c r="AU285" s="47">
        <v>0</v>
      </c>
      <c r="AV285" s="47">
        <v>0</v>
      </c>
      <c r="AW285" s="47">
        <v>0</v>
      </c>
      <c r="AX285" s="47">
        <v>0</v>
      </c>
      <c r="AY285" s="47">
        <v>0</v>
      </c>
      <c r="AZ285" s="47">
        <v>0</v>
      </c>
      <c r="BA285" s="47">
        <v>0</v>
      </c>
      <c r="BB285" s="47">
        <v>0</v>
      </c>
      <c r="BC285" s="47">
        <v>0</v>
      </c>
      <c r="BD285" s="47">
        <v>0</v>
      </c>
      <c r="BE285" s="47">
        <v>0</v>
      </c>
      <c r="BF285" s="47">
        <v>0</v>
      </c>
      <c r="BG285" s="47">
        <v>0</v>
      </c>
      <c r="BH285" s="47">
        <v>0</v>
      </c>
      <c r="BI285" s="47">
        <v>0</v>
      </c>
      <c r="BJ285" s="47">
        <v>0</v>
      </c>
      <c r="BK285" s="47">
        <v>0</v>
      </c>
      <c r="BL285" s="47">
        <v>0</v>
      </c>
      <c r="BM285" s="47">
        <v>0</v>
      </c>
      <c r="BN285" s="47">
        <v>0</v>
      </c>
      <c r="BO285" s="47">
        <v>0</v>
      </c>
      <c r="BP285" s="47">
        <v>0</v>
      </c>
      <c r="BQ285" s="47">
        <v>0</v>
      </c>
      <c r="BR285" s="47">
        <v>0</v>
      </c>
      <c r="BS285" s="47">
        <v>0</v>
      </c>
      <c r="BT285" s="47">
        <v>0</v>
      </c>
      <c r="BU285" s="47">
        <v>0</v>
      </c>
      <c r="BV285" s="47">
        <v>0</v>
      </c>
      <c r="BW285" s="47">
        <v>0</v>
      </c>
      <c r="BX285" s="47">
        <v>0</v>
      </c>
      <c r="BY285" s="47">
        <v>0</v>
      </c>
      <c r="BZ285" s="47">
        <v>0</v>
      </c>
      <c r="CA285" s="47">
        <v>0</v>
      </c>
      <c r="CB285" s="47">
        <v>0</v>
      </c>
      <c r="CC285" s="47">
        <v>0</v>
      </c>
      <c r="CD285" s="47">
        <v>0</v>
      </c>
      <c r="CE285" s="47">
        <v>0</v>
      </c>
      <c r="CF285" s="47">
        <v>0</v>
      </c>
      <c r="CG285" s="47">
        <v>0</v>
      </c>
      <c r="CH285" s="47">
        <v>0</v>
      </c>
      <c r="CI285" s="47">
        <v>0</v>
      </c>
      <c r="CJ285" s="47">
        <v>0</v>
      </c>
      <c r="CK285" s="47">
        <v>0</v>
      </c>
      <c r="CL285" s="47">
        <v>0</v>
      </c>
      <c r="CM285" s="47">
        <v>0</v>
      </c>
      <c r="CN285" s="47">
        <v>0</v>
      </c>
      <c r="CO285" s="47">
        <v>0</v>
      </c>
      <c r="CP285" s="47">
        <v>0</v>
      </c>
      <c r="CQ285" s="47">
        <v>0</v>
      </c>
      <c r="CR285" s="47">
        <v>0</v>
      </c>
      <c r="CS285" s="47">
        <v>0</v>
      </c>
      <c r="CT285" s="47">
        <v>0</v>
      </c>
      <c r="CU285" s="47">
        <v>0</v>
      </c>
      <c r="CV285" s="47">
        <v>0</v>
      </c>
      <c r="CW285" s="47">
        <v>0</v>
      </c>
      <c r="CX285" s="47">
        <v>0</v>
      </c>
      <c r="CY285" s="47">
        <v>0</v>
      </c>
      <c r="CZ285" s="47">
        <v>0</v>
      </c>
      <c r="DA285" s="47">
        <v>0</v>
      </c>
      <c r="DB285" s="47">
        <v>0</v>
      </c>
      <c r="DC285" s="47">
        <v>0</v>
      </c>
      <c r="DD285" s="47">
        <v>0</v>
      </c>
      <c r="DE285" s="47">
        <v>0</v>
      </c>
      <c r="DF285" s="47">
        <v>0</v>
      </c>
      <c r="DG285" s="47">
        <v>0</v>
      </c>
      <c r="DH285" s="47">
        <v>0</v>
      </c>
      <c r="DI285" s="47">
        <v>0</v>
      </c>
      <c r="DJ285" s="47">
        <v>0</v>
      </c>
      <c r="DK285" s="47">
        <v>0</v>
      </c>
      <c r="DL285" s="47">
        <v>0</v>
      </c>
      <c r="DM285" s="47">
        <v>0</v>
      </c>
      <c r="DN285" s="47">
        <v>0</v>
      </c>
      <c r="DO285" s="47">
        <v>0</v>
      </c>
      <c r="DP285" s="47">
        <v>0</v>
      </c>
      <c r="DQ285" s="47">
        <v>0</v>
      </c>
      <c r="DR285" s="47">
        <v>0</v>
      </c>
      <c r="DS285" s="47">
        <v>0</v>
      </c>
      <c r="DT285" s="47">
        <v>0</v>
      </c>
    </row>
    <row r="286" spans="1:126" x14ac:dyDescent="0.25">
      <c r="A286" s="47" t="s">
        <v>1419</v>
      </c>
      <c r="B286" s="47" t="s">
        <v>153</v>
      </c>
      <c r="C286" s="47" t="s">
        <v>1420</v>
      </c>
      <c r="D286" s="47" t="s">
        <v>1421</v>
      </c>
      <c r="E286" s="47" t="s">
        <v>1422</v>
      </c>
      <c r="F286" s="47" t="s">
        <v>698</v>
      </c>
      <c r="G286" s="47" t="s">
        <v>705</v>
      </c>
      <c r="H286" s="47" t="str">
        <f>=IFERROR(VLOOKUP(A286,'ETPT Format DDG'!A:J,10,FALSE),"")</f>
        <v>0</v>
      </c>
      <c r="I286" s="47" t="str">
        <f>='ETPT Format DDG'!M286</f>
        <v/>
      </c>
      <c r="J286" s="47" t="str">
        <f>='ETPT Format DDG'!D286</f>
        <v/>
      </c>
      <c r="K286" s="47" t="s">
        <v>157</v>
      </c>
      <c r="L286" s="47" t="s">
        <v>1423</v>
      </c>
      <c r="M286" s="47"/>
      <c r="N286" s="47">
        <v>1</v>
      </c>
      <c r="O286" s="47">
        <v>0</v>
      </c>
      <c r="P286" s="47">
        <v>0</v>
      </c>
      <c r="Q286" s="47">
        <v>0</v>
      </c>
      <c r="R286" s="47">
        <v>0</v>
      </c>
      <c r="S286" s="47">
        <v>0</v>
      </c>
      <c r="T286" s="47">
        <v>0</v>
      </c>
      <c r="U286" s="47">
        <v>0</v>
      </c>
      <c r="V286" s="47">
        <v>0</v>
      </c>
      <c r="W286" s="47">
        <v>0</v>
      </c>
      <c r="X286" s="47">
        <v>0</v>
      </c>
      <c r="Y286" s="47">
        <v>0</v>
      </c>
      <c r="Z286" s="47">
        <v>0</v>
      </c>
      <c r="AA286" s="47">
        <v>0</v>
      </c>
      <c r="AB286" s="47">
        <v>0</v>
      </c>
      <c r="AC286" s="47">
        <v>0</v>
      </c>
      <c r="AD286" s="47">
        <v>0</v>
      </c>
      <c r="AE286" s="47">
        <v>0</v>
      </c>
      <c r="AF286" s="47">
        <v>0</v>
      </c>
      <c r="AG286" s="47">
        <v>0</v>
      </c>
      <c r="AH286" s="47">
        <v>0</v>
      </c>
      <c r="AI286" s="47">
        <v>0</v>
      </c>
      <c r="AJ286" s="47">
        <v>0</v>
      </c>
      <c r="AK286" s="47">
        <v>0</v>
      </c>
      <c r="AL286" s="47">
        <v>0</v>
      </c>
      <c r="AM286" s="47">
        <v>0</v>
      </c>
      <c r="AN286" s="47">
        <v>0</v>
      </c>
      <c r="AO286" s="47">
        <v>0</v>
      </c>
      <c r="AP286" s="47">
        <v>0</v>
      </c>
      <c r="AQ286" s="47">
        <v>0</v>
      </c>
      <c r="AR286" s="47">
        <v>0</v>
      </c>
      <c r="AS286" s="47">
        <v>0</v>
      </c>
      <c r="AT286" s="47">
        <v>0</v>
      </c>
      <c r="AU286" s="47">
        <v>0</v>
      </c>
      <c r="AV286" s="47">
        <v>0</v>
      </c>
      <c r="AW286" s="47">
        <v>0</v>
      </c>
      <c r="AX286" s="47">
        <v>0</v>
      </c>
      <c r="AY286" s="47">
        <v>0</v>
      </c>
      <c r="AZ286" s="47">
        <v>0</v>
      </c>
      <c r="BA286" s="47">
        <v>0</v>
      </c>
      <c r="BB286" s="47">
        <v>0</v>
      </c>
      <c r="BC286" s="47">
        <v>0</v>
      </c>
      <c r="BD286" s="47">
        <v>0</v>
      </c>
      <c r="BE286" s="47">
        <v>0</v>
      </c>
      <c r="BF286" s="47">
        <v>0</v>
      </c>
      <c r="BG286" s="47">
        <v>0</v>
      </c>
      <c r="BH286" s="47">
        <v>0</v>
      </c>
      <c r="BI286" s="47">
        <v>0</v>
      </c>
      <c r="BJ286" s="47">
        <v>0</v>
      </c>
      <c r="BK286" s="47">
        <v>0</v>
      </c>
      <c r="BL286" s="47">
        <v>0</v>
      </c>
      <c r="BM286" s="47">
        <v>0</v>
      </c>
      <c r="BN286" s="47">
        <v>0</v>
      </c>
      <c r="BO286" s="47">
        <v>0</v>
      </c>
      <c r="BP286" s="47">
        <v>0</v>
      </c>
      <c r="BQ286" s="47">
        <v>0</v>
      </c>
      <c r="BR286" s="47">
        <v>0</v>
      </c>
      <c r="BS286" s="47">
        <v>0</v>
      </c>
      <c r="BT286" s="47">
        <v>0</v>
      </c>
      <c r="BU286" s="47">
        <v>0</v>
      </c>
      <c r="BV286" s="47">
        <v>0</v>
      </c>
      <c r="BW286" s="47">
        <v>0</v>
      </c>
      <c r="BX286" s="47">
        <v>0</v>
      </c>
      <c r="BY286" s="47">
        <v>0</v>
      </c>
      <c r="BZ286" s="47">
        <v>0</v>
      </c>
      <c r="CA286" s="47">
        <v>0</v>
      </c>
      <c r="CB286" s="47">
        <v>0</v>
      </c>
      <c r="CC286" s="47">
        <v>0</v>
      </c>
      <c r="CD286" s="47">
        <v>0</v>
      </c>
      <c r="CE286" s="47">
        <v>0</v>
      </c>
      <c r="CF286" s="47">
        <v>0</v>
      </c>
      <c r="CG286" s="47">
        <v>0</v>
      </c>
      <c r="CH286" s="47">
        <v>0</v>
      </c>
      <c r="CI286" s="47">
        <v>0</v>
      </c>
      <c r="CJ286" s="47">
        <v>0</v>
      </c>
      <c r="CK286" s="47">
        <v>0</v>
      </c>
      <c r="CL286" s="47">
        <v>0</v>
      </c>
      <c r="CM286" s="47">
        <v>0</v>
      </c>
      <c r="CN286" s="47">
        <v>0</v>
      </c>
      <c r="CO286" s="47">
        <v>0</v>
      </c>
      <c r="CP286" s="47">
        <v>0</v>
      </c>
      <c r="CQ286" s="47">
        <v>0</v>
      </c>
      <c r="CR286" s="47">
        <v>0</v>
      </c>
      <c r="CS286" s="47">
        <v>0</v>
      </c>
      <c r="CT286" s="47">
        <v>0</v>
      </c>
      <c r="CU286" s="47">
        <v>0</v>
      </c>
      <c r="CV286" s="47">
        <v>0</v>
      </c>
      <c r="CW286" s="47">
        <v>0</v>
      </c>
      <c r="CX286" s="47">
        <v>0</v>
      </c>
      <c r="CY286" s="47">
        <v>0</v>
      </c>
      <c r="CZ286" s="47">
        <v>0</v>
      </c>
      <c r="DA286" s="47">
        <v>0</v>
      </c>
      <c r="DB286" s="47">
        <v>0</v>
      </c>
      <c r="DC286" s="47">
        <v>0</v>
      </c>
      <c r="DD286" s="47">
        <v>0</v>
      </c>
      <c r="DE286" s="47">
        <v>0</v>
      </c>
      <c r="DF286" s="47">
        <v>0</v>
      </c>
      <c r="DG286" s="47">
        <v>0</v>
      </c>
      <c r="DH286" s="47">
        <v>0</v>
      </c>
      <c r="DI286" s="47">
        <v>0</v>
      </c>
      <c r="DJ286" s="47">
        <v>0</v>
      </c>
      <c r="DK286" s="47">
        <v>0</v>
      </c>
      <c r="DL286" s="47">
        <v>0</v>
      </c>
      <c r="DM286" s="47">
        <v>0</v>
      </c>
      <c r="DN286" s="47">
        <v>0</v>
      </c>
      <c r="DO286" s="47">
        <v>0</v>
      </c>
      <c r="DP286" s="47">
        <v>0</v>
      </c>
      <c r="DQ286" s="47">
        <v>0</v>
      </c>
      <c r="DR286" s="47">
        <v>0</v>
      </c>
      <c r="DS286" s="47">
        <v>0</v>
      </c>
      <c r="DT286" s="47">
        <v>0</v>
      </c>
    </row>
    <row r="287" spans="1:126" x14ac:dyDescent="0.25">
      <c r="A287" s="47" t="s">
        <v>1424</v>
      </c>
      <c r="B287" s="47" t="s">
        <v>153</v>
      </c>
      <c r="C287" s="47" t="s">
        <v>1425</v>
      </c>
      <c r="D287" s="47" t="s">
        <v>1426</v>
      </c>
      <c r="E287" s="47" t="s">
        <v>1427</v>
      </c>
      <c r="F287" s="47" t="s">
        <v>698</v>
      </c>
      <c r="G287" s="47" t="s">
        <v>727</v>
      </c>
      <c r="H287" s="47" t="str">
        <f>=IFERROR(VLOOKUP(A287,'ETPT Format DDG'!A:J,10,FALSE),"")</f>
        <v>0</v>
      </c>
      <c r="I287" s="47" t="str">
        <f>='ETPT Format DDG'!M287</f>
        <v/>
      </c>
      <c r="J287" s="47" t="str">
        <f>='ETPT Format DDG'!D287</f>
        <v/>
      </c>
      <c r="K287" s="47" t="s">
        <v>157</v>
      </c>
      <c r="L287" s="47" t="s">
        <v>1428</v>
      </c>
      <c r="M287" s="47"/>
      <c r="N287" s="47">
        <v>0.8</v>
      </c>
      <c r="O287" s="47">
        <v>0.8</v>
      </c>
      <c r="P287" s="47">
        <v>0</v>
      </c>
      <c r="Q287" s="47">
        <v>0</v>
      </c>
      <c r="R287" s="47">
        <v>0</v>
      </c>
      <c r="S287" s="47">
        <v>0</v>
      </c>
      <c r="T287" s="47">
        <v>0</v>
      </c>
      <c r="U287" s="47">
        <v>0</v>
      </c>
      <c r="V287" s="47">
        <v>0</v>
      </c>
      <c r="W287" s="47">
        <v>0</v>
      </c>
      <c r="X287" s="47">
        <v>0</v>
      </c>
      <c r="Y287" s="47">
        <v>0</v>
      </c>
      <c r="Z287" s="47">
        <v>0</v>
      </c>
      <c r="AA287" s="47">
        <v>0</v>
      </c>
      <c r="AB287" s="47">
        <v>0</v>
      </c>
      <c r="AC287" s="47">
        <v>0</v>
      </c>
      <c r="AD287" s="47">
        <v>0</v>
      </c>
      <c r="AE287" s="47">
        <v>0</v>
      </c>
      <c r="AF287" s="47">
        <v>0</v>
      </c>
      <c r="AG287" s="47">
        <v>0</v>
      </c>
      <c r="AH287" s="47">
        <v>0</v>
      </c>
      <c r="AI287" s="47">
        <v>0</v>
      </c>
      <c r="AJ287" s="47">
        <v>0</v>
      </c>
      <c r="AK287" s="47">
        <v>0</v>
      </c>
      <c r="AL287" s="47">
        <v>0</v>
      </c>
      <c r="AM287" s="47">
        <v>0</v>
      </c>
      <c r="AN287" s="47">
        <v>0</v>
      </c>
      <c r="AO287" s="47">
        <v>0</v>
      </c>
      <c r="AP287" s="47">
        <v>0</v>
      </c>
      <c r="AQ287" s="47">
        <v>0</v>
      </c>
      <c r="AR287" s="47">
        <v>0</v>
      </c>
      <c r="AS287" s="47">
        <v>0</v>
      </c>
      <c r="AT287" s="47">
        <v>0</v>
      </c>
      <c r="AU287" s="47">
        <v>0</v>
      </c>
      <c r="AV287" s="47">
        <v>0</v>
      </c>
      <c r="AW287" s="47">
        <v>0</v>
      </c>
      <c r="AX287" s="47">
        <v>0</v>
      </c>
      <c r="AY287" s="47">
        <v>0</v>
      </c>
      <c r="AZ287" s="47">
        <v>0</v>
      </c>
      <c r="BA287" s="47">
        <v>0</v>
      </c>
      <c r="BB287" s="47">
        <v>0</v>
      </c>
      <c r="BC287" s="47">
        <v>0</v>
      </c>
      <c r="BD287" s="47">
        <v>0</v>
      </c>
      <c r="BE287" s="47">
        <v>0</v>
      </c>
      <c r="BF287" s="47">
        <v>0</v>
      </c>
      <c r="BG287" s="47">
        <v>0</v>
      </c>
      <c r="BH287" s="47">
        <v>0</v>
      </c>
      <c r="BI287" s="47">
        <v>0</v>
      </c>
      <c r="BJ287" s="47">
        <v>0</v>
      </c>
      <c r="BK287" s="47">
        <v>0</v>
      </c>
      <c r="BL287" s="47">
        <v>0</v>
      </c>
      <c r="BM287" s="47">
        <v>0</v>
      </c>
      <c r="BN287" s="47">
        <v>0</v>
      </c>
      <c r="BO287" s="47">
        <v>0</v>
      </c>
      <c r="BP287" s="47">
        <v>0</v>
      </c>
      <c r="BQ287" s="47">
        <v>0</v>
      </c>
      <c r="BR287" s="47">
        <v>0</v>
      </c>
      <c r="BS287" s="47">
        <v>0</v>
      </c>
      <c r="BT287" s="47">
        <v>0</v>
      </c>
      <c r="BU287" s="47">
        <v>0</v>
      </c>
      <c r="BV287" s="47">
        <v>0</v>
      </c>
      <c r="BW287" s="47">
        <v>0</v>
      </c>
      <c r="BX287" s="47">
        <v>0</v>
      </c>
      <c r="BY287" s="47">
        <v>0</v>
      </c>
      <c r="BZ287" s="47">
        <v>0</v>
      </c>
      <c r="CA287" s="47">
        <v>0</v>
      </c>
      <c r="CB287" s="47">
        <v>0</v>
      </c>
      <c r="CC287" s="47">
        <v>0</v>
      </c>
      <c r="CD287" s="47">
        <v>0</v>
      </c>
      <c r="CE287" s="47">
        <v>0</v>
      </c>
      <c r="CF287" s="47">
        <v>0</v>
      </c>
      <c r="CG287" s="47">
        <v>0</v>
      </c>
      <c r="CH287" s="47">
        <v>0</v>
      </c>
      <c r="CI287" s="47">
        <v>0</v>
      </c>
      <c r="CJ287" s="47">
        <v>0</v>
      </c>
      <c r="CK287" s="47">
        <v>0</v>
      </c>
      <c r="CL287" s="47">
        <v>0</v>
      </c>
      <c r="CM287" s="47">
        <v>0</v>
      </c>
      <c r="CN287" s="47">
        <v>0</v>
      </c>
      <c r="CO287" s="47">
        <v>0</v>
      </c>
      <c r="CP287" s="47">
        <v>0</v>
      </c>
      <c r="CQ287" s="47">
        <v>0.8</v>
      </c>
      <c r="CR287" s="47">
        <v>0</v>
      </c>
      <c r="CS287" s="47">
        <v>0</v>
      </c>
      <c r="CT287" s="47">
        <v>0</v>
      </c>
      <c r="CU287" s="47">
        <v>0</v>
      </c>
      <c r="CV287" s="47">
        <v>0</v>
      </c>
      <c r="CW287" s="47">
        <v>0</v>
      </c>
      <c r="CX287" s="47">
        <v>0</v>
      </c>
      <c r="CY287" s="47">
        <v>0</v>
      </c>
      <c r="CZ287" s="47">
        <v>0</v>
      </c>
      <c r="DA287" s="47">
        <v>0</v>
      </c>
      <c r="DB287" s="47">
        <v>0</v>
      </c>
      <c r="DC287" s="47">
        <v>0</v>
      </c>
      <c r="DD287" s="47">
        <v>0</v>
      </c>
      <c r="DE287" s="47">
        <v>0</v>
      </c>
      <c r="DF287" s="47">
        <v>0</v>
      </c>
      <c r="DG287" s="47">
        <v>0</v>
      </c>
      <c r="DH287" s="47">
        <v>0</v>
      </c>
      <c r="DI287" s="47">
        <v>0</v>
      </c>
      <c r="DJ287" s="47">
        <v>0</v>
      </c>
      <c r="DK287" s="47">
        <v>0</v>
      </c>
      <c r="DL287" s="47">
        <v>0</v>
      </c>
      <c r="DM287" s="47">
        <v>0</v>
      </c>
      <c r="DN287" s="47">
        <v>0</v>
      </c>
      <c r="DO287" s="47">
        <v>0</v>
      </c>
      <c r="DP287" s="47">
        <v>0</v>
      </c>
      <c r="DQ287" s="47">
        <v>0</v>
      </c>
      <c r="DR287" s="47">
        <v>0</v>
      </c>
      <c r="DS287" s="47">
        <v>0</v>
      </c>
      <c r="DT287" s="47">
        <v>0</v>
      </c>
    </row>
    <row r="288" spans="1:126" x14ac:dyDescent="0.25">
      <c r="A288" s="47" t="s">
        <v>1429</v>
      </c>
      <c r="B288" s="47" t="s">
        <v>153</v>
      </c>
      <c r="C288" s="47" t="s">
        <v>1430</v>
      </c>
      <c r="D288" s="47" t="s">
        <v>1431</v>
      </c>
      <c r="E288" s="47" t="s">
        <v>1432</v>
      </c>
      <c r="F288" s="47" t="s">
        <v>698</v>
      </c>
      <c r="G288" s="47" t="s">
        <v>727</v>
      </c>
      <c r="H288" s="47" t="str">
        <f>=IFERROR(VLOOKUP(A288,'ETPT Format DDG'!A:J,10,FALSE),"")</f>
        <v>0</v>
      </c>
      <c r="I288" s="47" t="str">
        <f>='ETPT Format DDG'!M288</f>
        <v/>
      </c>
      <c r="J288" s="47" t="str">
        <f>='ETPT Format DDG'!D288</f>
        <v/>
      </c>
      <c r="K288" s="47" t="s">
        <v>157</v>
      </c>
      <c r="L288" s="47" t="s">
        <v>763</v>
      </c>
      <c r="M288" s="47"/>
      <c r="N288" s="47">
        <v>1</v>
      </c>
      <c r="O288" s="47">
        <v>0</v>
      </c>
      <c r="P288" s="47">
        <v>0</v>
      </c>
      <c r="Q288" s="47">
        <v>0</v>
      </c>
      <c r="R288" s="47">
        <v>0</v>
      </c>
      <c r="S288" s="47">
        <v>0</v>
      </c>
      <c r="T288" s="47">
        <v>0</v>
      </c>
      <c r="U288" s="47">
        <v>0</v>
      </c>
      <c r="V288" s="47">
        <v>0</v>
      </c>
      <c r="W288" s="47">
        <v>0</v>
      </c>
      <c r="X288" s="47">
        <v>0</v>
      </c>
      <c r="Y288" s="47">
        <v>0</v>
      </c>
      <c r="Z288" s="47">
        <v>0</v>
      </c>
      <c r="AA288" s="47">
        <v>0</v>
      </c>
      <c r="AB288" s="47">
        <v>0</v>
      </c>
      <c r="AC288" s="47">
        <v>0</v>
      </c>
      <c r="AD288" s="47">
        <v>0</v>
      </c>
      <c r="AE288" s="47">
        <v>0</v>
      </c>
      <c r="AF288" s="47">
        <v>0</v>
      </c>
      <c r="AG288" s="47">
        <v>0</v>
      </c>
      <c r="AH288" s="47">
        <v>0</v>
      </c>
      <c r="AI288" s="47">
        <v>0</v>
      </c>
      <c r="AJ288" s="47">
        <v>0</v>
      </c>
      <c r="AK288" s="47">
        <v>0</v>
      </c>
      <c r="AL288" s="47">
        <v>0</v>
      </c>
      <c r="AM288" s="47">
        <v>0</v>
      </c>
      <c r="AN288" s="47">
        <v>0</v>
      </c>
      <c r="AO288" s="47">
        <v>0</v>
      </c>
      <c r="AP288" s="47">
        <v>0</v>
      </c>
      <c r="AQ288" s="47">
        <v>0</v>
      </c>
      <c r="AR288" s="47">
        <v>0</v>
      </c>
      <c r="AS288" s="47">
        <v>0</v>
      </c>
      <c r="AT288" s="47">
        <v>0</v>
      </c>
      <c r="AU288" s="47">
        <v>0</v>
      </c>
      <c r="AV288" s="47">
        <v>0</v>
      </c>
      <c r="AW288" s="47">
        <v>0</v>
      </c>
      <c r="AX288" s="47">
        <v>0</v>
      </c>
      <c r="AY288" s="47">
        <v>0</v>
      </c>
      <c r="AZ288" s="47">
        <v>0</v>
      </c>
      <c r="BA288" s="47">
        <v>0</v>
      </c>
      <c r="BB288" s="47">
        <v>0</v>
      </c>
      <c r="BC288" s="47">
        <v>0</v>
      </c>
      <c r="BD288" s="47">
        <v>0</v>
      </c>
      <c r="BE288" s="47">
        <v>0</v>
      </c>
      <c r="BF288" s="47">
        <v>0</v>
      </c>
      <c r="BG288" s="47">
        <v>0</v>
      </c>
      <c r="BH288" s="47">
        <v>0</v>
      </c>
      <c r="BI288" s="47">
        <v>0</v>
      </c>
      <c r="BJ288" s="47">
        <v>0</v>
      </c>
      <c r="BK288" s="47">
        <v>0</v>
      </c>
      <c r="BL288" s="47">
        <v>0</v>
      </c>
      <c r="BM288" s="47">
        <v>0</v>
      </c>
      <c r="BN288" s="47">
        <v>0</v>
      </c>
      <c r="BO288" s="47">
        <v>0</v>
      </c>
      <c r="BP288" s="47">
        <v>0</v>
      </c>
      <c r="BQ288" s="47">
        <v>0</v>
      </c>
      <c r="BR288" s="47">
        <v>0</v>
      </c>
      <c r="BS288" s="47">
        <v>0</v>
      </c>
      <c r="BT288" s="47">
        <v>0</v>
      </c>
      <c r="BU288" s="47">
        <v>0</v>
      </c>
      <c r="BV288" s="47">
        <v>0</v>
      </c>
      <c r="BW288" s="47">
        <v>0</v>
      </c>
      <c r="BX288" s="47">
        <v>0</v>
      </c>
      <c r="BY288" s="47">
        <v>0</v>
      </c>
      <c r="BZ288" s="47">
        <v>0</v>
      </c>
      <c r="CA288" s="47">
        <v>0</v>
      </c>
      <c r="CB288" s="47">
        <v>0</v>
      </c>
      <c r="CC288" s="47">
        <v>0</v>
      </c>
      <c r="CD288" s="47">
        <v>0</v>
      </c>
      <c r="CE288" s="47">
        <v>0</v>
      </c>
      <c r="CF288" s="47">
        <v>0</v>
      </c>
      <c r="CG288" s="47">
        <v>0</v>
      </c>
      <c r="CH288" s="47">
        <v>0</v>
      </c>
      <c r="CI288" s="47">
        <v>0</v>
      </c>
      <c r="CJ288" s="47">
        <v>0</v>
      </c>
      <c r="CK288" s="47">
        <v>0</v>
      </c>
      <c r="CL288" s="47">
        <v>0</v>
      </c>
      <c r="CM288" s="47">
        <v>0</v>
      </c>
      <c r="CN288" s="47">
        <v>0</v>
      </c>
      <c r="CO288" s="47">
        <v>0</v>
      </c>
      <c r="CP288" s="47">
        <v>0</v>
      </c>
      <c r="CQ288" s="47">
        <v>0</v>
      </c>
      <c r="CR288" s="47">
        <v>0</v>
      </c>
      <c r="CS288" s="47">
        <v>0</v>
      </c>
      <c r="CT288" s="47">
        <v>0</v>
      </c>
      <c r="CU288" s="47">
        <v>0</v>
      </c>
      <c r="CV288" s="47">
        <v>0</v>
      </c>
      <c r="CW288" s="47">
        <v>0</v>
      </c>
      <c r="CX288" s="47">
        <v>0</v>
      </c>
      <c r="CY288" s="47">
        <v>0</v>
      </c>
      <c r="CZ288" s="47">
        <v>0</v>
      </c>
      <c r="DA288" s="47">
        <v>0</v>
      </c>
      <c r="DB288" s="47">
        <v>0</v>
      </c>
      <c r="DC288" s="47">
        <v>0</v>
      </c>
      <c r="DD288" s="47">
        <v>0</v>
      </c>
      <c r="DE288" s="47">
        <v>0</v>
      </c>
      <c r="DF288" s="47">
        <v>0</v>
      </c>
      <c r="DG288" s="47">
        <v>0</v>
      </c>
      <c r="DH288" s="47">
        <v>0</v>
      </c>
      <c r="DI288" s="47">
        <v>0</v>
      </c>
      <c r="DJ288" s="47">
        <v>0</v>
      </c>
      <c r="DK288" s="47">
        <v>0</v>
      </c>
      <c r="DL288" s="47">
        <v>0</v>
      </c>
      <c r="DM288" s="47">
        <v>0</v>
      </c>
      <c r="DN288" s="47">
        <v>0</v>
      </c>
      <c r="DO288" s="47">
        <v>0</v>
      </c>
      <c r="DP288" s="47">
        <v>0</v>
      </c>
      <c r="DQ288" s="47">
        <v>0</v>
      </c>
      <c r="DR288" s="47">
        <v>0</v>
      </c>
      <c r="DS288" s="47">
        <v>0</v>
      </c>
      <c r="DT288" s="47">
        <v>0</v>
      </c>
    </row>
    <row r="289" spans="1:126" x14ac:dyDescent="0.25">
      <c r="A289" s="47" t="s">
        <v>1433</v>
      </c>
      <c r="B289" s="47" t="s">
        <v>153</v>
      </c>
      <c r="C289" s="47" t="s">
        <v>1434</v>
      </c>
      <c r="D289" s="47" t="s">
        <v>1435</v>
      </c>
      <c r="E289" s="47" t="s">
        <v>1436</v>
      </c>
      <c r="F289" s="47" t="s">
        <v>698</v>
      </c>
      <c r="G289" s="47" t="s">
        <v>727</v>
      </c>
      <c r="H289" s="47" t="str">
        <f>=IFERROR(VLOOKUP(A289,'ETPT Format DDG'!A:J,10,FALSE),"")</f>
        <v>0</v>
      </c>
      <c r="I289" s="47" t="str">
        <f>='ETPT Format DDG'!M289</f>
        <v/>
      </c>
      <c r="J289" s="47" t="str">
        <f>='ETPT Format DDG'!D289</f>
        <v/>
      </c>
      <c r="K289" s="47" t="s">
        <v>157</v>
      </c>
      <c r="L289" s="47" t="s">
        <v>1437</v>
      </c>
      <c r="M289" s="47"/>
      <c r="N289" s="47">
        <v>1</v>
      </c>
      <c r="O289" s="47">
        <v>1</v>
      </c>
      <c r="P289" s="47">
        <v>0</v>
      </c>
      <c r="Q289" s="47">
        <v>0</v>
      </c>
      <c r="R289" s="47">
        <v>0</v>
      </c>
      <c r="S289" s="47">
        <v>0</v>
      </c>
      <c r="T289" s="47">
        <v>0</v>
      </c>
      <c r="U289" s="47">
        <v>0</v>
      </c>
      <c r="V289" s="47">
        <v>0</v>
      </c>
      <c r="W289" s="47">
        <v>0</v>
      </c>
      <c r="X289" s="47">
        <v>0</v>
      </c>
      <c r="Y289" s="47">
        <v>0</v>
      </c>
      <c r="Z289" s="47">
        <v>0</v>
      </c>
      <c r="AA289" s="47">
        <v>0</v>
      </c>
      <c r="AB289" s="47">
        <v>0</v>
      </c>
      <c r="AC289" s="47">
        <v>0</v>
      </c>
      <c r="AD289" s="47">
        <v>0</v>
      </c>
      <c r="AE289" s="47">
        <v>0</v>
      </c>
      <c r="AF289" s="47">
        <v>0</v>
      </c>
      <c r="AG289" s="47">
        <v>0</v>
      </c>
      <c r="AH289" s="47">
        <v>0</v>
      </c>
      <c r="AI289" s="47">
        <v>0</v>
      </c>
      <c r="AJ289" s="47">
        <v>0</v>
      </c>
      <c r="AK289" s="47">
        <v>0</v>
      </c>
      <c r="AL289" s="47">
        <v>0</v>
      </c>
      <c r="AM289" s="47">
        <v>0</v>
      </c>
      <c r="AN289" s="47">
        <v>1</v>
      </c>
      <c r="AO289" s="47">
        <v>0</v>
      </c>
      <c r="AP289" s="47">
        <v>0</v>
      </c>
      <c r="AQ289" s="47">
        <v>0</v>
      </c>
      <c r="AR289" s="47">
        <v>0</v>
      </c>
      <c r="AS289" s="47">
        <v>0</v>
      </c>
      <c r="AT289" s="47">
        <v>0</v>
      </c>
      <c r="AU289" s="47">
        <v>0</v>
      </c>
      <c r="AV289" s="47">
        <v>0</v>
      </c>
      <c r="AW289" s="47">
        <v>0</v>
      </c>
      <c r="AX289" s="47">
        <v>0</v>
      </c>
      <c r="AY289" s="47">
        <v>0</v>
      </c>
      <c r="AZ289" s="47">
        <v>0</v>
      </c>
      <c r="BA289" s="47">
        <v>0</v>
      </c>
      <c r="BB289" s="47">
        <v>0</v>
      </c>
      <c r="BC289" s="47">
        <v>0</v>
      </c>
      <c r="BD289" s="47">
        <v>0</v>
      </c>
      <c r="BE289" s="47">
        <v>0</v>
      </c>
      <c r="BF289" s="47">
        <v>0</v>
      </c>
      <c r="BG289" s="47">
        <v>0</v>
      </c>
      <c r="BH289" s="47">
        <v>0</v>
      </c>
      <c r="BI289" s="47">
        <v>0</v>
      </c>
      <c r="BJ289" s="47">
        <v>0</v>
      </c>
      <c r="BK289" s="47">
        <v>0</v>
      </c>
      <c r="BL289" s="47">
        <v>0</v>
      </c>
      <c r="BM289" s="47">
        <v>0</v>
      </c>
      <c r="BN289" s="47">
        <v>0</v>
      </c>
      <c r="BO289" s="47">
        <v>0</v>
      </c>
      <c r="BP289" s="47">
        <v>0</v>
      </c>
      <c r="BQ289" s="47">
        <v>0</v>
      </c>
      <c r="BR289" s="47">
        <v>0</v>
      </c>
      <c r="BS289" s="47">
        <v>0</v>
      </c>
      <c r="BT289" s="47">
        <v>0</v>
      </c>
      <c r="BU289" s="47">
        <v>0</v>
      </c>
      <c r="BV289" s="47">
        <v>0</v>
      </c>
      <c r="BW289" s="47">
        <v>0</v>
      </c>
      <c r="BX289" s="47">
        <v>0</v>
      </c>
      <c r="BY289" s="47">
        <v>0</v>
      </c>
      <c r="BZ289" s="47">
        <v>0</v>
      </c>
      <c r="CA289" s="47">
        <v>0</v>
      </c>
      <c r="CB289" s="47">
        <v>0</v>
      </c>
      <c r="CC289" s="47">
        <v>0</v>
      </c>
      <c r="CD289" s="47">
        <v>0</v>
      </c>
      <c r="CE289" s="47">
        <v>0</v>
      </c>
      <c r="CF289" s="47">
        <v>0</v>
      </c>
      <c r="CG289" s="47">
        <v>0</v>
      </c>
      <c r="CH289" s="47">
        <v>0</v>
      </c>
      <c r="CI289" s="47">
        <v>0</v>
      </c>
      <c r="CJ289" s="47">
        <v>0</v>
      </c>
      <c r="CK289" s="47">
        <v>0</v>
      </c>
      <c r="CL289" s="47">
        <v>0</v>
      </c>
      <c r="CM289" s="47">
        <v>0</v>
      </c>
      <c r="CN289" s="47">
        <v>0</v>
      </c>
      <c r="CO289" s="47">
        <v>0</v>
      </c>
      <c r="CP289" s="47">
        <v>0</v>
      </c>
      <c r="CQ289" s="47">
        <v>0</v>
      </c>
      <c r="CR289" s="47">
        <v>0</v>
      </c>
      <c r="CS289" s="47">
        <v>0</v>
      </c>
      <c r="CT289" s="47">
        <v>0</v>
      </c>
      <c r="CU289" s="47">
        <v>0</v>
      </c>
      <c r="CV289" s="47">
        <v>0</v>
      </c>
      <c r="CW289" s="47">
        <v>0</v>
      </c>
      <c r="CX289" s="47">
        <v>0</v>
      </c>
      <c r="CY289" s="47">
        <v>0</v>
      </c>
      <c r="CZ289" s="47">
        <v>0</v>
      </c>
      <c r="DA289" s="47">
        <v>0</v>
      </c>
      <c r="DB289" s="47">
        <v>0</v>
      </c>
      <c r="DC289" s="47">
        <v>0</v>
      </c>
      <c r="DD289" s="47">
        <v>0</v>
      </c>
      <c r="DE289" s="47">
        <v>0</v>
      </c>
      <c r="DF289" s="47">
        <v>0</v>
      </c>
      <c r="DG289" s="47">
        <v>0</v>
      </c>
      <c r="DH289" s="47">
        <v>0</v>
      </c>
      <c r="DI289" s="47">
        <v>0</v>
      </c>
      <c r="DJ289" s="47">
        <v>0</v>
      </c>
      <c r="DK289" s="47">
        <v>0</v>
      </c>
      <c r="DL289" s="47">
        <v>0</v>
      </c>
      <c r="DM289" s="47">
        <v>0</v>
      </c>
      <c r="DN289" s="47">
        <v>0</v>
      </c>
      <c r="DO289" s="47">
        <v>0</v>
      </c>
      <c r="DP289" s="47">
        <v>0</v>
      </c>
      <c r="DQ289" s="47">
        <v>0</v>
      </c>
      <c r="DR289" s="47">
        <v>0</v>
      </c>
      <c r="DS289" s="47">
        <v>0</v>
      </c>
      <c r="DT289" s="47">
        <v>0</v>
      </c>
    </row>
    <row r="290" spans="1:126" x14ac:dyDescent="0.25">
      <c r="A290" s="47" t="s">
        <v>1438</v>
      </c>
      <c r="B290" s="47" t="s">
        <v>153</v>
      </c>
      <c r="C290" s="47" t="s">
        <v>1439</v>
      </c>
      <c r="D290" s="47" t="s">
        <v>1440</v>
      </c>
      <c r="E290" s="47" t="s">
        <v>1441</v>
      </c>
      <c r="F290" s="47" t="s">
        <v>698</v>
      </c>
      <c r="G290" s="47" t="s">
        <v>727</v>
      </c>
      <c r="H290" s="47" t="str">
        <f>=IFERROR(VLOOKUP(A290,'ETPT Format DDG'!A:J,10,FALSE),"")</f>
        <v>0</v>
      </c>
      <c r="I290" s="47" t="str">
        <f>='ETPT Format DDG'!M290</f>
        <v/>
      </c>
      <c r="J290" s="47" t="str">
        <f>='ETPT Format DDG'!D290</f>
        <v/>
      </c>
      <c r="K290" s="47" t="s">
        <v>157</v>
      </c>
      <c r="L290" s="47" t="s">
        <v>1442</v>
      </c>
      <c r="M290" s="47"/>
      <c r="N290" s="47">
        <v>1</v>
      </c>
      <c r="O290" s="47">
        <v>1</v>
      </c>
      <c r="P290" s="47">
        <v>0</v>
      </c>
      <c r="Q290" s="47">
        <v>0</v>
      </c>
      <c r="R290" s="47">
        <v>0</v>
      </c>
      <c r="S290" s="47">
        <v>0</v>
      </c>
      <c r="T290" s="47">
        <v>0</v>
      </c>
      <c r="U290" s="47">
        <v>0</v>
      </c>
      <c r="V290" s="47">
        <v>0</v>
      </c>
      <c r="W290" s="47">
        <v>0</v>
      </c>
      <c r="X290" s="47">
        <v>0</v>
      </c>
      <c r="Y290" s="47">
        <v>0</v>
      </c>
      <c r="Z290" s="47">
        <v>0</v>
      </c>
      <c r="AA290" s="47">
        <v>0</v>
      </c>
      <c r="AB290" s="47">
        <v>0</v>
      </c>
      <c r="AC290" s="47">
        <v>0</v>
      </c>
      <c r="AD290" s="47">
        <v>0</v>
      </c>
      <c r="AE290" s="47">
        <v>1</v>
      </c>
      <c r="AF290" s="47">
        <v>0</v>
      </c>
      <c r="AG290" s="47">
        <v>0</v>
      </c>
      <c r="AH290" s="47">
        <v>0</v>
      </c>
      <c r="AI290" s="47">
        <v>0</v>
      </c>
      <c r="AJ290" s="47">
        <v>0</v>
      </c>
      <c r="AK290" s="47">
        <v>0</v>
      </c>
      <c r="AL290" s="47">
        <v>0</v>
      </c>
      <c r="AM290" s="47">
        <v>0</v>
      </c>
      <c r="AN290" s="47">
        <v>0</v>
      </c>
      <c r="AO290" s="47">
        <v>0</v>
      </c>
      <c r="AP290" s="47">
        <v>0</v>
      </c>
      <c r="AQ290" s="47">
        <v>0</v>
      </c>
      <c r="AR290" s="47">
        <v>0</v>
      </c>
      <c r="AS290" s="47">
        <v>0</v>
      </c>
      <c r="AT290" s="47">
        <v>0</v>
      </c>
      <c r="AU290" s="47">
        <v>0</v>
      </c>
      <c r="AV290" s="47">
        <v>0</v>
      </c>
      <c r="AW290" s="47">
        <v>0</v>
      </c>
      <c r="AX290" s="47">
        <v>0</v>
      </c>
      <c r="AY290" s="47">
        <v>0</v>
      </c>
      <c r="AZ290" s="47">
        <v>0</v>
      </c>
      <c r="BA290" s="47">
        <v>0</v>
      </c>
      <c r="BB290" s="47">
        <v>0</v>
      </c>
      <c r="BC290" s="47">
        <v>0</v>
      </c>
      <c r="BD290" s="47">
        <v>0</v>
      </c>
      <c r="BE290" s="47">
        <v>0</v>
      </c>
      <c r="BF290" s="47">
        <v>0</v>
      </c>
      <c r="BG290" s="47">
        <v>0</v>
      </c>
      <c r="BH290" s="47">
        <v>0</v>
      </c>
      <c r="BI290" s="47">
        <v>0</v>
      </c>
      <c r="BJ290" s="47">
        <v>0</v>
      </c>
      <c r="BK290" s="47">
        <v>0</v>
      </c>
      <c r="BL290" s="47">
        <v>0</v>
      </c>
      <c r="BM290" s="47">
        <v>0</v>
      </c>
      <c r="BN290" s="47">
        <v>0</v>
      </c>
      <c r="BO290" s="47">
        <v>0</v>
      </c>
      <c r="BP290" s="47">
        <v>0</v>
      </c>
      <c r="BQ290" s="47">
        <v>0</v>
      </c>
      <c r="BR290" s="47">
        <v>0</v>
      </c>
      <c r="BS290" s="47">
        <v>0</v>
      </c>
      <c r="BT290" s="47">
        <v>0</v>
      </c>
      <c r="BU290" s="47">
        <v>0</v>
      </c>
      <c r="BV290" s="47">
        <v>0</v>
      </c>
      <c r="BW290" s="47">
        <v>0</v>
      </c>
      <c r="BX290" s="47">
        <v>0</v>
      </c>
      <c r="BY290" s="47">
        <v>0</v>
      </c>
      <c r="BZ290" s="47">
        <v>0</v>
      </c>
      <c r="CA290" s="47">
        <v>0</v>
      </c>
      <c r="CB290" s="47">
        <v>0</v>
      </c>
      <c r="CC290" s="47">
        <v>0</v>
      </c>
      <c r="CD290" s="47">
        <v>0</v>
      </c>
      <c r="CE290" s="47">
        <v>0</v>
      </c>
      <c r="CF290" s="47">
        <v>0</v>
      </c>
      <c r="CG290" s="47">
        <v>0</v>
      </c>
      <c r="CH290" s="47">
        <v>0</v>
      </c>
      <c r="CI290" s="47">
        <v>0</v>
      </c>
      <c r="CJ290" s="47">
        <v>0</v>
      </c>
      <c r="CK290" s="47">
        <v>0</v>
      </c>
      <c r="CL290" s="47">
        <v>0</v>
      </c>
      <c r="CM290" s="47">
        <v>0</v>
      </c>
      <c r="CN290" s="47">
        <v>0</v>
      </c>
      <c r="CO290" s="47">
        <v>0</v>
      </c>
      <c r="CP290" s="47">
        <v>0</v>
      </c>
      <c r="CQ290" s="47">
        <v>0</v>
      </c>
      <c r="CR290" s="47">
        <v>0</v>
      </c>
      <c r="CS290" s="47">
        <v>0</v>
      </c>
      <c r="CT290" s="47">
        <v>0</v>
      </c>
      <c r="CU290" s="47">
        <v>0</v>
      </c>
      <c r="CV290" s="47">
        <v>0</v>
      </c>
      <c r="CW290" s="47">
        <v>0</v>
      </c>
      <c r="CX290" s="47">
        <v>0</v>
      </c>
      <c r="CY290" s="47">
        <v>0</v>
      </c>
      <c r="CZ290" s="47">
        <v>0</v>
      </c>
      <c r="DA290" s="47">
        <v>0</v>
      </c>
      <c r="DB290" s="47">
        <v>0</v>
      </c>
      <c r="DC290" s="47">
        <v>0</v>
      </c>
      <c r="DD290" s="47">
        <v>0</v>
      </c>
      <c r="DE290" s="47">
        <v>0</v>
      </c>
      <c r="DF290" s="47">
        <v>0</v>
      </c>
      <c r="DG290" s="47">
        <v>0</v>
      </c>
      <c r="DH290" s="47">
        <v>0</v>
      </c>
      <c r="DI290" s="47">
        <v>0</v>
      </c>
      <c r="DJ290" s="47">
        <v>0</v>
      </c>
      <c r="DK290" s="47">
        <v>0</v>
      </c>
      <c r="DL290" s="47">
        <v>0</v>
      </c>
      <c r="DM290" s="47">
        <v>0</v>
      </c>
      <c r="DN290" s="47">
        <v>0</v>
      </c>
      <c r="DO290" s="47">
        <v>0</v>
      </c>
      <c r="DP290" s="47">
        <v>0</v>
      </c>
      <c r="DQ290" s="47">
        <v>0</v>
      </c>
      <c r="DR290" s="47">
        <v>0</v>
      </c>
      <c r="DS290" s="47">
        <v>0</v>
      </c>
      <c r="DT290" s="47">
        <v>0</v>
      </c>
    </row>
    <row r="291" spans="1:126" x14ac:dyDescent="0.25">
      <c r="A291" s="47" t="s">
        <v>1443</v>
      </c>
      <c r="B291" s="47" t="s">
        <v>153</v>
      </c>
      <c r="C291" s="47" t="s">
        <v>1444</v>
      </c>
      <c r="D291" s="47" t="s">
        <v>1445</v>
      </c>
      <c r="E291" s="47" t="s">
        <v>1446</v>
      </c>
      <c r="F291" s="47" t="s">
        <v>698</v>
      </c>
      <c r="G291" s="47" t="s">
        <v>727</v>
      </c>
      <c r="H291" s="47" t="str">
        <f>=IFERROR(VLOOKUP(A291,'ETPT Format DDG'!A:J,10,FALSE),"")</f>
        <v>0</v>
      </c>
      <c r="I291" s="47" t="str">
        <f>='ETPT Format DDG'!M291</f>
        <v/>
      </c>
      <c r="J291" s="47" t="str">
        <f>='ETPT Format DDG'!D291</f>
        <v/>
      </c>
      <c r="K291" s="47" t="s">
        <v>157</v>
      </c>
      <c r="L291" s="47" t="s">
        <v>1368</v>
      </c>
      <c r="M291" s="47"/>
      <c r="N291" s="47">
        <v>1</v>
      </c>
      <c r="O291" s="47">
        <v>1</v>
      </c>
      <c r="P291" s="47">
        <v>0</v>
      </c>
      <c r="Q291" s="47">
        <v>0</v>
      </c>
      <c r="R291" s="47">
        <v>0</v>
      </c>
      <c r="S291" s="47">
        <v>0</v>
      </c>
      <c r="T291" s="47">
        <v>0</v>
      </c>
      <c r="U291" s="47">
        <v>0</v>
      </c>
      <c r="V291" s="47">
        <v>0</v>
      </c>
      <c r="W291" s="47">
        <v>0</v>
      </c>
      <c r="X291" s="47">
        <v>0</v>
      </c>
      <c r="Y291" s="47">
        <v>0</v>
      </c>
      <c r="Z291" s="47">
        <v>0</v>
      </c>
      <c r="AA291" s="47">
        <v>0</v>
      </c>
      <c r="AB291" s="47">
        <v>0</v>
      </c>
      <c r="AC291" s="47">
        <v>0</v>
      </c>
      <c r="AD291" s="47">
        <v>0</v>
      </c>
      <c r="AE291" s="47">
        <v>0</v>
      </c>
      <c r="AF291" s="47">
        <v>0</v>
      </c>
      <c r="AG291" s="47">
        <v>0</v>
      </c>
      <c r="AH291" s="47">
        <v>0</v>
      </c>
      <c r="AI291" s="47">
        <v>0</v>
      </c>
      <c r="AJ291" s="47">
        <v>0</v>
      </c>
      <c r="AK291" s="47">
        <v>0</v>
      </c>
      <c r="AL291" s="47">
        <v>0</v>
      </c>
      <c r="AM291" s="47">
        <v>0</v>
      </c>
      <c r="AN291" s="47">
        <v>0</v>
      </c>
      <c r="AO291" s="47">
        <v>0</v>
      </c>
      <c r="AP291" s="47">
        <v>0</v>
      </c>
      <c r="AQ291" s="47">
        <v>0</v>
      </c>
      <c r="AR291" s="47">
        <v>0</v>
      </c>
      <c r="AS291" s="47">
        <v>0</v>
      </c>
      <c r="AT291" s="47">
        <v>0</v>
      </c>
      <c r="AU291" s="47">
        <v>0</v>
      </c>
      <c r="AV291" s="47">
        <v>0</v>
      </c>
      <c r="AW291" s="47">
        <v>0</v>
      </c>
      <c r="AX291" s="47">
        <v>0</v>
      </c>
      <c r="AY291" s="47">
        <v>0</v>
      </c>
      <c r="AZ291" s="47">
        <v>0</v>
      </c>
      <c r="BA291" s="47">
        <v>0</v>
      </c>
      <c r="BB291" s="47">
        <v>0</v>
      </c>
      <c r="BC291" s="47">
        <v>0</v>
      </c>
      <c r="BD291" s="47">
        <v>0</v>
      </c>
      <c r="BE291" s="47">
        <v>0</v>
      </c>
      <c r="BF291" s="47">
        <v>0</v>
      </c>
      <c r="BG291" s="47">
        <v>0</v>
      </c>
      <c r="BH291" s="47">
        <v>0</v>
      </c>
      <c r="BI291" s="47">
        <v>0</v>
      </c>
      <c r="BJ291" s="47">
        <v>0</v>
      </c>
      <c r="BK291" s="47">
        <v>0</v>
      </c>
      <c r="BL291" s="47">
        <v>0</v>
      </c>
      <c r="BM291" s="47">
        <v>0</v>
      </c>
      <c r="BN291" s="47">
        <v>0</v>
      </c>
      <c r="BO291" s="47">
        <v>0</v>
      </c>
      <c r="BP291" s="47">
        <v>0</v>
      </c>
      <c r="BQ291" s="47">
        <v>0</v>
      </c>
      <c r="BR291" s="47">
        <v>0</v>
      </c>
      <c r="BS291" s="47">
        <v>0</v>
      </c>
      <c r="BT291" s="47">
        <v>0</v>
      </c>
      <c r="BU291" s="47">
        <v>0</v>
      </c>
      <c r="BV291" s="47">
        <v>0</v>
      </c>
      <c r="BW291" s="47">
        <v>0</v>
      </c>
      <c r="BX291" s="47">
        <v>0</v>
      </c>
      <c r="BY291" s="47">
        <v>0</v>
      </c>
      <c r="BZ291" s="47">
        <v>0</v>
      </c>
      <c r="CA291" s="47">
        <v>0</v>
      </c>
      <c r="CB291" s="47">
        <v>0</v>
      </c>
      <c r="CC291" s="47">
        <v>0</v>
      </c>
      <c r="CD291" s="47">
        <v>0</v>
      </c>
      <c r="CE291" s="47">
        <v>0</v>
      </c>
      <c r="CF291" s="47">
        <v>0</v>
      </c>
      <c r="CG291" s="47">
        <v>0</v>
      </c>
      <c r="CH291" s="47">
        <v>0</v>
      </c>
      <c r="CI291" s="47">
        <v>0</v>
      </c>
      <c r="CJ291" s="47">
        <v>0</v>
      </c>
      <c r="CK291" s="47">
        <v>0</v>
      </c>
      <c r="CL291" s="47">
        <v>0</v>
      </c>
      <c r="CM291" s="47">
        <v>0</v>
      </c>
      <c r="CN291" s="47">
        <v>0</v>
      </c>
      <c r="CO291" s="47">
        <v>0</v>
      </c>
      <c r="CP291" s="47">
        <v>0</v>
      </c>
      <c r="CQ291" s="47">
        <v>1</v>
      </c>
      <c r="CR291" s="47">
        <v>0</v>
      </c>
      <c r="CS291" s="47">
        <v>0</v>
      </c>
      <c r="CT291" s="47">
        <v>0</v>
      </c>
      <c r="CU291" s="47">
        <v>0</v>
      </c>
      <c r="CV291" s="47">
        <v>0</v>
      </c>
      <c r="CW291" s="47">
        <v>0</v>
      </c>
      <c r="CX291" s="47">
        <v>0</v>
      </c>
      <c r="CY291" s="47">
        <v>0</v>
      </c>
      <c r="CZ291" s="47">
        <v>0</v>
      </c>
      <c r="DA291" s="47">
        <v>0</v>
      </c>
      <c r="DB291" s="47">
        <v>0</v>
      </c>
      <c r="DC291" s="47">
        <v>0</v>
      </c>
      <c r="DD291" s="47">
        <v>0</v>
      </c>
      <c r="DE291" s="47">
        <v>0</v>
      </c>
      <c r="DF291" s="47">
        <v>0</v>
      </c>
      <c r="DG291" s="47">
        <v>0</v>
      </c>
      <c r="DH291" s="47">
        <v>0</v>
      </c>
      <c r="DI291" s="47">
        <v>0</v>
      </c>
      <c r="DJ291" s="47">
        <v>0</v>
      </c>
      <c r="DK291" s="47">
        <v>0</v>
      </c>
      <c r="DL291" s="47">
        <v>0</v>
      </c>
      <c r="DM291" s="47">
        <v>0</v>
      </c>
      <c r="DN291" s="47">
        <v>0</v>
      </c>
      <c r="DO291" s="47">
        <v>0</v>
      </c>
      <c r="DP291" s="47">
        <v>0</v>
      </c>
      <c r="DQ291" s="47">
        <v>0</v>
      </c>
      <c r="DR291" s="47">
        <v>0</v>
      </c>
      <c r="DS291" s="47">
        <v>0</v>
      </c>
      <c r="DT291" s="47">
        <v>0</v>
      </c>
    </row>
    <row r="292" spans="1:126" x14ac:dyDescent="0.25">
      <c r="A292" s="47" t="s">
        <v>1447</v>
      </c>
      <c r="B292" s="47" t="s">
        <v>153</v>
      </c>
      <c r="C292" s="47" t="s">
        <v>1448</v>
      </c>
      <c r="D292" s="47" t="s">
        <v>1449</v>
      </c>
      <c r="E292" s="47" t="s">
        <v>1450</v>
      </c>
      <c r="F292" s="47" t="s">
        <v>698</v>
      </c>
      <c r="G292" s="47" t="s">
        <v>705</v>
      </c>
      <c r="H292" s="47" t="str">
        <f>=IFERROR(VLOOKUP(A292,'ETPT Format DDG'!A:J,10,FALSE),"")</f>
        <v>0</v>
      </c>
      <c r="I292" s="47" t="str">
        <f>='ETPT Format DDG'!M292</f>
        <v/>
      </c>
      <c r="J292" s="47" t="str">
        <f>='ETPT Format DDG'!D292</f>
        <v/>
      </c>
      <c r="K292" s="47" t="s">
        <v>157</v>
      </c>
      <c r="L292" s="47" t="s">
        <v>1451</v>
      </c>
      <c r="M292" s="47"/>
      <c r="N292" s="47">
        <v>1</v>
      </c>
      <c r="O292" s="47">
        <v>0</v>
      </c>
      <c r="P292" s="47">
        <v>0</v>
      </c>
      <c r="Q292" s="47">
        <v>0</v>
      </c>
      <c r="R292" s="47">
        <v>0</v>
      </c>
      <c r="S292" s="47">
        <v>0</v>
      </c>
      <c r="T292" s="47">
        <v>0</v>
      </c>
      <c r="U292" s="47">
        <v>0</v>
      </c>
      <c r="V292" s="47">
        <v>0</v>
      </c>
      <c r="W292" s="47">
        <v>0</v>
      </c>
      <c r="X292" s="47">
        <v>0</v>
      </c>
      <c r="Y292" s="47">
        <v>0</v>
      </c>
      <c r="Z292" s="47">
        <v>0</v>
      </c>
      <c r="AA292" s="47">
        <v>0</v>
      </c>
      <c r="AB292" s="47">
        <v>0</v>
      </c>
      <c r="AC292" s="47">
        <v>0</v>
      </c>
      <c r="AD292" s="47">
        <v>0</v>
      </c>
      <c r="AE292" s="47">
        <v>0</v>
      </c>
      <c r="AF292" s="47">
        <v>0</v>
      </c>
      <c r="AG292" s="47">
        <v>0</v>
      </c>
      <c r="AH292" s="47">
        <v>0</v>
      </c>
      <c r="AI292" s="47">
        <v>0</v>
      </c>
      <c r="AJ292" s="47">
        <v>0</v>
      </c>
      <c r="AK292" s="47">
        <v>0</v>
      </c>
      <c r="AL292" s="47">
        <v>0</v>
      </c>
      <c r="AM292" s="47">
        <v>0</v>
      </c>
      <c r="AN292" s="47">
        <v>0</v>
      </c>
      <c r="AO292" s="47">
        <v>0</v>
      </c>
      <c r="AP292" s="47">
        <v>0</v>
      </c>
      <c r="AQ292" s="47">
        <v>0</v>
      </c>
      <c r="AR292" s="47">
        <v>0</v>
      </c>
      <c r="AS292" s="47">
        <v>0</v>
      </c>
      <c r="AT292" s="47">
        <v>0</v>
      </c>
      <c r="AU292" s="47">
        <v>0</v>
      </c>
      <c r="AV292" s="47">
        <v>0</v>
      </c>
      <c r="AW292" s="47">
        <v>0</v>
      </c>
      <c r="AX292" s="47">
        <v>0</v>
      </c>
      <c r="AY292" s="47">
        <v>0</v>
      </c>
      <c r="AZ292" s="47">
        <v>0</v>
      </c>
      <c r="BA292" s="47">
        <v>0</v>
      </c>
      <c r="BB292" s="47">
        <v>0</v>
      </c>
      <c r="BC292" s="47">
        <v>0</v>
      </c>
      <c r="BD292" s="47">
        <v>0</v>
      </c>
      <c r="BE292" s="47">
        <v>0</v>
      </c>
      <c r="BF292" s="47">
        <v>0</v>
      </c>
      <c r="BG292" s="47">
        <v>0</v>
      </c>
      <c r="BH292" s="47">
        <v>0</v>
      </c>
      <c r="BI292" s="47">
        <v>0</v>
      </c>
      <c r="BJ292" s="47">
        <v>0</v>
      </c>
      <c r="BK292" s="47">
        <v>0</v>
      </c>
      <c r="BL292" s="47">
        <v>0</v>
      </c>
      <c r="BM292" s="47">
        <v>0</v>
      </c>
      <c r="BN292" s="47">
        <v>0</v>
      </c>
      <c r="BO292" s="47">
        <v>0</v>
      </c>
      <c r="BP292" s="47">
        <v>0</v>
      </c>
      <c r="BQ292" s="47">
        <v>0</v>
      </c>
      <c r="BR292" s="47">
        <v>0</v>
      </c>
      <c r="BS292" s="47">
        <v>0</v>
      </c>
      <c r="BT292" s="47">
        <v>0</v>
      </c>
      <c r="BU292" s="47">
        <v>0</v>
      </c>
      <c r="BV292" s="47">
        <v>0</v>
      </c>
      <c r="BW292" s="47">
        <v>0</v>
      </c>
      <c r="BX292" s="47">
        <v>0</v>
      </c>
      <c r="BY292" s="47">
        <v>0</v>
      </c>
      <c r="BZ292" s="47">
        <v>0</v>
      </c>
      <c r="CA292" s="47">
        <v>0</v>
      </c>
      <c r="CB292" s="47">
        <v>0</v>
      </c>
      <c r="CC292" s="47">
        <v>0</v>
      </c>
      <c r="CD292" s="47">
        <v>0</v>
      </c>
      <c r="CE292" s="47">
        <v>0</v>
      </c>
      <c r="CF292" s="47">
        <v>0</v>
      </c>
      <c r="CG292" s="47">
        <v>0</v>
      </c>
      <c r="CH292" s="47">
        <v>0</v>
      </c>
      <c r="CI292" s="47">
        <v>0</v>
      </c>
      <c r="CJ292" s="47">
        <v>0</v>
      </c>
      <c r="CK292" s="47">
        <v>0</v>
      </c>
      <c r="CL292" s="47">
        <v>0</v>
      </c>
      <c r="CM292" s="47">
        <v>0</v>
      </c>
      <c r="CN292" s="47">
        <v>0</v>
      </c>
      <c r="CO292" s="47">
        <v>0</v>
      </c>
      <c r="CP292" s="47">
        <v>0</v>
      </c>
      <c r="CQ292" s="47">
        <v>0</v>
      </c>
      <c r="CR292" s="47">
        <v>0</v>
      </c>
      <c r="CS292" s="47">
        <v>0</v>
      </c>
      <c r="CT292" s="47">
        <v>0</v>
      </c>
      <c r="CU292" s="47">
        <v>0</v>
      </c>
      <c r="CV292" s="47">
        <v>0</v>
      </c>
      <c r="CW292" s="47">
        <v>0</v>
      </c>
      <c r="CX292" s="47">
        <v>0</v>
      </c>
      <c r="CY292" s="47">
        <v>0</v>
      </c>
      <c r="CZ292" s="47">
        <v>0</v>
      </c>
      <c r="DA292" s="47">
        <v>0</v>
      </c>
      <c r="DB292" s="47">
        <v>0</v>
      </c>
      <c r="DC292" s="47">
        <v>0</v>
      </c>
      <c r="DD292" s="47">
        <v>0</v>
      </c>
      <c r="DE292" s="47">
        <v>0</v>
      </c>
      <c r="DF292" s="47">
        <v>0</v>
      </c>
      <c r="DG292" s="47">
        <v>0</v>
      </c>
      <c r="DH292" s="47">
        <v>0</v>
      </c>
      <c r="DI292" s="47">
        <v>0</v>
      </c>
      <c r="DJ292" s="47">
        <v>0</v>
      </c>
      <c r="DK292" s="47">
        <v>0</v>
      </c>
      <c r="DL292" s="47">
        <v>0</v>
      </c>
      <c r="DM292" s="47">
        <v>0</v>
      </c>
      <c r="DN292" s="47">
        <v>0</v>
      </c>
      <c r="DO292" s="47">
        <v>0</v>
      </c>
      <c r="DP292" s="47">
        <v>0</v>
      </c>
      <c r="DQ292" s="47">
        <v>0</v>
      </c>
      <c r="DR292" s="47">
        <v>0</v>
      </c>
      <c r="DS292" s="47">
        <v>0</v>
      </c>
      <c r="DT292" s="47">
        <v>0</v>
      </c>
    </row>
    <row r="293" spans="1:126" x14ac:dyDescent="0.25">
      <c r="A293" s="47" t="s">
        <v>1452</v>
      </c>
      <c r="B293" s="47" t="s">
        <v>153</v>
      </c>
      <c r="C293" s="47" t="s">
        <v>1453</v>
      </c>
      <c r="D293" s="47" t="s">
        <v>1454</v>
      </c>
      <c r="E293" s="47" t="s">
        <v>1455</v>
      </c>
      <c r="F293" s="47" t="s">
        <v>698</v>
      </c>
      <c r="G293" s="47" t="s">
        <v>705</v>
      </c>
      <c r="H293" s="47" t="str">
        <f>=IFERROR(VLOOKUP(A293,'ETPT Format DDG'!A:J,10,FALSE),"")</f>
        <v>0</v>
      </c>
      <c r="I293" s="47" t="str">
        <f>='ETPT Format DDG'!M293</f>
        <v/>
      </c>
      <c r="J293" s="47" t="str">
        <f>='ETPT Format DDG'!D293</f>
        <v/>
      </c>
      <c r="K293" s="47" t="s">
        <v>157</v>
      </c>
      <c r="L293" s="47" t="s">
        <v>1456</v>
      </c>
      <c r="M293" s="47"/>
      <c r="N293" s="47">
        <v>1</v>
      </c>
      <c r="O293" s="47">
        <v>0</v>
      </c>
      <c r="P293" s="47">
        <v>0</v>
      </c>
      <c r="Q293" s="47">
        <v>0</v>
      </c>
      <c r="R293" s="47">
        <v>0</v>
      </c>
      <c r="S293" s="47">
        <v>0</v>
      </c>
      <c r="T293" s="47">
        <v>0</v>
      </c>
      <c r="U293" s="47">
        <v>0</v>
      </c>
      <c r="V293" s="47">
        <v>0</v>
      </c>
      <c r="W293" s="47">
        <v>0</v>
      </c>
      <c r="X293" s="47">
        <v>0</v>
      </c>
      <c r="Y293" s="47">
        <v>0</v>
      </c>
      <c r="Z293" s="47">
        <v>0</v>
      </c>
      <c r="AA293" s="47">
        <v>0</v>
      </c>
      <c r="AB293" s="47">
        <v>0</v>
      </c>
      <c r="AC293" s="47">
        <v>0</v>
      </c>
      <c r="AD293" s="47">
        <v>0</v>
      </c>
      <c r="AE293" s="47">
        <v>0</v>
      </c>
      <c r="AF293" s="47">
        <v>0</v>
      </c>
      <c r="AG293" s="47">
        <v>0</v>
      </c>
      <c r="AH293" s="47">
        <v>0</v>
      </c>
      <c r="AI293" s="47">
        <v>0</v>
      </c>
      <c r="AJ293" s="47">
        <v>0</v>
      </c>
      <c r="AK293" s="47">
        <v>0</v>
      </c>
      <c r="AL293" s="47">
        <v>0</v>
      </c>
      <c r="AM293" s="47">
        <v>0</v>
      </c>
      <c r="AN293" s="47">
        <v>0</v>
      </c>
      <c r="AO293" s="47">
        <v>0</v>
      </c>
      <c r="AP293" s="47">
        <v>0</v>
      </c>
      <c r="AQ293" s="47">
        <v>0</v>
      </c>
      <c r="AR293" s="47">
        <v>0</v>
      </c>
      <c r="AS293" s="47">
        <v>0</v>
      </c>
      <c r="AT293" s="47">
        <v>0</v>
      </c>
      <c r="AU293" s="47">
        <v>0</v>
      </c>
      <c r="AV293" s="47">
        <v>0</v>
      </c>
      <c r="AW293" s="47">
        <v>0</v>
      </c>
      <c r="AX293" s="47">
        <v>0</v>
      </c>
      <c r="AY293" s="47">
        <v>0</v>
      </c>
      <c r="AZ293" s="47">
        <v>0</v>
      </c>
      <c r="BA293" s="47">
        <v>0</v>
      </c>
      <c r="BB293" s="47">
        <v>0</v>
      </c>
      <c r="BC293" s="47">
        <v>0</v>
      </c>
      <c r="BD293" s="47">
        <v>0</v>
      </c>
      <c r="BE293" s="47">
        <v>0</v>
      </c>
      <c r="BF293" s="47">
        <v>0</v>
      </c>
      <c r="BG293" s="47">
        <v>0</v>
      </c>
      <c r="BH293" s="47">
        <v>0</v>
      </c>
      <c r="BI293" s="47">
        <v>0</v>
      </c>
      <c r="BJ293" s="47">
        <v>0</v>
      </c>
      <c r="BK293" s="47">
        <v>0</v>
      </c>
      <c r="BL293" s="47">
        <v>0</v>
      </c>
      <c r="BM293" s="47">
        <v>0</v>
      </c>
      <c r="BN293" s="47">
        <v>0</v>
      </c>
      <c r="BO293" s="47">
        <v>0</v>
      </c>
      <c r="BP293" s="47">
        <v>0</v>
      </c>
      <c r="BQ293" s="47">
        <v>0</v>
      </c>
      <c r="BR293" s="47">
        <v>0</v>
      </c>
      <c r="BS293" s="47">
        <v>0</v>
      </c>
      <c r="BT293" s="47">
        <v>0</v>
      </c>
      <c r="BU293" s="47">
        <v>0</v>
      </c>
      <c r="BV293" s="47">
        <v>0</v>
      </c>
      <c r="BW293" s="47">
        <v>0</v>
      </c>
      <c r="BX293" s="47">
        <v>0</v>
      </c>
      <c r="BY293" s="47">
        <v>0</v>
      </c>
      <c r="BZ293" s="47">
        <v>0</v>
      </c>
      <c r="CA293" s="47">
        <v>0</v>
      </c>
      <c r="CB293" s="47">
        <v>0</v>
      </c>
      <c r="CC293" s="47">
        <v>0</v>
      </c>
      <c r="CD293" s="47">
        <v>0</v>
      </c>
      <c r="CE293" s="47">
        <v>0</v>
      </c>
      <c r="CF293" s="47">
        <v>0</v>
      </c>
      <c r="CG293" s="47">
        <v>0</v>
      </c>
      <c r="CH293" s="47">
        <v>0</v>
      </c>
      <c r="CI293" s="47">
        <v>0</v>
      </c>
      <c r="CJ293" s="47">
        <v>0</v>
      </c>
      <c r="CK293" s="47">
        <v>0</v>
      </c>
      <c r="CL293" s="47">
        <v>0</v>
      </c>
      <c r="CM293" s="47">
        <v>0</v>
      </c>
      <c r="CN293" s="47">
        <v>0</v>
      </c>
      <c r="CO293" s="47">
        <v>0</v>
      </c>
      <c r="CP293" s="47">
        <v>0</v>
      </c>
      <c r="CQ293" s="47">
        <v>0</v>
      </c>
      <c r="CR293" s="47">
        <v>0</v>
      </c>
      <c r="CS293" s="47">
        <v>0</v>
      </c>
      <c r="CT293" s="47">
        <v>0</v>
      </c>
      <c r="CU293" s="47">
        <v>0</v>
      </c>
      <c r="CV293" s="47">
        <v>0</v>
      </c>
      <c r="CW293" s="47">
        <v>0</v>
      </c>
      <c r="CX293" s="47">
        <v>0</v>
      </c>
      <c r="CY293" s="47">
        <v>0</v>
      </c>
      <c r="CZ293" s="47">
        <v>0</v>
      </c>
      <c r="DA293" s="47">
        <v>0</v>
      </c>
      <c r="DB293" s="47">
        <v>0</v>
      </c>
      <c r="DC293" s="47">
        <v>0</v>
      </c>
      <c r="DD293" s="47">
        <v>0</v>
      </c>
      <c r="DE293" s="47">
        <v>0</v>
      </c>
      <c r="DF293" s="47">
        <v>0</v>
      </c>
      <c r="DG293" s="47">
        <v>0</v>
      </c>
      <c r="DH293" s="47">
        <v>0</v>
      </c>
      <c r="DI293" s="47">
        <v>0</v>
      </c>
      <c r="DJ293" s="47">
        <v>0</v>
      </c>
      <c r="DK293" s="47">
        <v>0</v>
      </c>
      <c r="DL293" s="47">
        <v>0</v>
      </c>
      <c r="DM293" s="47">
        <v>0</v>
      </c>
      <c r="DN293" s="47">
        <v>0</v>
      </c>
      <c r="DO293" s="47">
        <v>0</v>
      </c>
      <c r="DP293" s="47">
        <v>0</v>
      </c>
      <c r="DQ293" s="47">
        <v>0</v>
      </c>
      <c r="DR293" s="47">
        <v>0</v>
      </c>
      <c r="DS293" s="47">
        <v>0</v>
      </c>
      <c r="DT293" s="47">
        <v>0</v>
      </c>
    </row>
    <row r="294" spans="1:126" x14ac:dyDescent="0.25">
      <c r="A294" s="47" t="s">
        <v>1457</v>
      </c>
      <c r="B294" s="47" t="s">
        <v>153</v>
      </c>
      <c r="C294" s="47" t="s">
        <v>1458</v>
      </c>
      <c r="D294" s="47" t="s">
        <v>1459</v>
      </c>
      <c r="E294" s="47" t="s">
        <v>1460</v>
      </c>
      <c r="F294" s="47" t="s">
        <v>698</v>
      </c>
      <c r="G294" s="47" t="s">
        <v>727</v>
      </c>
      <c r="H294" s="47" t="str">
        <f>=IFERROR(VLOOKUP(A294,'ETPT Format DDG'!A:J,10,FALSE),"")</f>
        <v>0</v>
      </c>
      <c r="I294" s="47" t="str">
        <f>='ETPT Format DDG'!M294</f>
        <v/>
      </c>
      <c r="J294" s="47" t="str">
        <f>='ETPT Format DDG'!D294</f>
        <v/>
      </c>
      <c r="K294" s="47" t="s">
        <v>157</v>
      </c>
      <c r="L294" s="47" t="s">
        <v>1155</v>
      </c>
      <c r="M294" s="47"/>
      <c r="N294" s="47">
        <v>1</v>
      </c>
      <c r="O294" s="47">
        <v>1</v>
      </c>
      <c r="P294" s="47">
        <v>0</v>
      </c>
      <c r="Q294" s="47">
        <v>0</v>
      </c>
      <c r="R294" s="47">
        <v>0</v>
      </c>
      <c r="S294" s="47">
        <v>0</v>
      </c>
      <c r="T294" s="47">
        <v>0</v>
      </c>
      <c r="U294" s="47">
        <v>0</v>
      </c>
      <c r="V294" s="47">
        <v>0</v>
      </c>
      <c r="W294" s="47">
        <v>0</v>
      </c>
      <c r="X294" s="47">
        <v>0</v>
      </c>
      <c r="Y294" s="47">
        <v>0</v>
      </c>
      <c r="Z294" s="47">
        <v>0</v>
      </c>
      <c r="AA294" s="47">
        <v>0</v>
      </c>
      <c r="AB294" s="47">
        <v>0</v>
      </c>
      <c r="AC294" s="47">
        <v>0</v>
      </c>
      <c r="AD294" s="47">
        <v>0</v>
      </c>
      <c r="AE294" s="47">
        <v>1</v>
      </c>
      <c r="AF294" s="47">
        <v>0</v>
      </c>
      <c r="AG294" s="47">
        <v>0</v>
      </c>
      <c r="AH294" s="47">
        <v>0</v>
      </c>
      <c r="AI294" s="47">
        <v>0</v>
      </c>
      <c r="AJ294" s="47">
        <v>0</v>
      </c>
      <c r="AK294" s="47">
        <v>0</v>
      </c>
      <c r="AL294" s="47">
        <v>0</v>
      </c>
      <c r="AM294" s="47">
        <v>0</v>
      </c>
      <c r="AN294" s="47">
        <v>0</v>
      </c>
      <c r="AO294" s="47">
        <v>0</v>
      </c>
      <c r="AP294" s="47">
        <v>0</v>
      </c>
      <c r="AQ294" s="47">
        <v>0</v>
      </c>
      <c r="AR294" s="47">
        <v>0</v>
      </c>
      <c r="AS294" s="47">
        <v>0</v>
      </c>
      <c r="AT294" s="47">
        <v>0</v>
      </c>
      <c r="AU294" s="47">
        <v>0</v>
      </c>
      <c r="AV294" s="47">
        <v>0</v>
      </c>
      <c r="AW294" s="47">
        <v>0</v>
      </c>
      <c r="AX294" s="47">
        <v>0</v>
      </c>
      <c r="AY294" s="47">
        <v>0</v>
      </c>
      <c r="AZ294" s="47">
        <v>0</v>
      </c>
      <c r="BA294" s="47">
        <v>0</v>
      </c>
      <c r="BB294" s="47">
        <v>0</v>
      </c>
      <c r="BC294" s="47">
        <v>0</v>
      </c>
      <c r="BD294" s="47">
        <v>0</v>
      </c>
      <c r="BE294" s="47">
        <v>0</v>
      </c>
      <c r="BF294" s="47">
        <v>0</v>
      </c>
      <c r="BG294" s="47">
        <v>0</v>
      </c>
      <c r="BH294" s="47">
        <v>0</v>
      </c>
      <c r="BI294" s="47">
        <v>0</v>
      </c>
      <c r="BJ294" s="47">
        <v>0</v>
      </c>
      <c r="BK294" s="47">
        <v>0</v>
      </c>
      <c r="BL294" s="47">
        <v>0</v>
      </c>
      <c r="BM294" s="47">
        <v>0</v>
      </c>
      <c r="BN294" s="47">
        <v>0</v>
      </c>
      <c r="BO294" s="47">
        <v>0</v>
      </c>
      <c r="BP294" s="47">
        <v>0</v>
      </c>
      <c r="BQ294" s="47">
        <v>0</v>
      </c>
      <c r="BR294" s="47">
        <v>0</v>
      </c>
      <c r="BS294" s="47">
        <v>0</v>
      </c>
      <c r="BT294" s="47">
        <v>0</v>
      </c>
      <c r="BU294" s="47">
        <v>0</v>
      </c>
      <c r="BV294" s="47">
        <v>0</v>
      </c>
      <c r="BW294" s="47">
        <v>0</v>
      </c>
      <c r="BX294" s="47">
        <v>0</v>
      </c>
      <c r="BY294" s="47">
        <v>0</v>
      </c>
      <c r="BZ294" s="47">
        <v>0</v>
      </c>
      <c r="CA294" s="47">
        <v>0</v>
      </c>
      <c r="CB294" s="47">
        <v>0</v>
      </c>
      <c r="CC294" s="47">
        <v>0</v>
      </c>
      <c r="CD294" s="47">
        <v>0</v>
      </c>
      <c r="CE294" s="47">
        <v>0</v>
      </c>
      <c r="CF294" s="47">
        <v>0</v>
      </c>
      <c r="CG294" s="47">
        <v>0</v>
      </c>
      <c r="CH294" s="47">
        <v>0</v>
      </c>
      <c r="CI294" s="47">
        <v>0</v>
      </c>
      <c r="CJ294" s="47">
        <v>0</v>
      </c>
      <c r="CK294" s="47">
        <v>0</v>
      </c>
      <c r="CL294" s="47">
        <v>0</v>
      </c>
      <c r="CM294" s="47">
        <v>0</v>
      </c>
      <c r="CN294" s="47">
        <v>0</v>
      </c>
      <c r="CO294" s="47">
        <v>0</v>
      </c>
      <c r="CP294" s="47">
        <v>0</v>
      </c>
      <c r="CQ294" s="47">
        <v>0</v>
      </c>
      <c r="CR294" s="47">
        <v>0</v>
      </c>
      <c r="CS294" s="47">
        <v>0</v>
      </c>
      <c r="CT294" s="47">
        <v>0</v>
      </c>
      <c r="CU294" s="47">
        <v>0</v>
      </c>
      <c r="CV294" s="47">
        <v>0</v>
      </c>
      <c r="CW294" s="47">
        <v>0</v>
      </c>
      <c r="CX294" s="47">
        <v>0</v>
      </c>
      <c r="CY294" s="47">
        <v>0</v>
      </c>
      <c r="CZ294" s="47">
        <v>0</v>
      </c>
      <c r="DA294" s="47">
        <v>0</v>
      </c>
      <c r="DB294" s="47">
        <v>0</v>
      </c>
      <c r="DC294" s="47">
        <v>0</v>
      </c>
      <c r="DD294" s="47">
        <v>0</v>
      </c>
      <c r="DE294" s="47">
        <v>0</v>
      </c>
      <c r="DF294" s="47">
        <v>0</v>
      </c>
      <c r="DG294" s="47">
        <v>0</v>
      </c>
      <c r="DH294" s="47">
        <v>0</v>
      </c>
      <c r="DI294" s="47">
        <v>0</v>
      </c>
      <c r="DJ294" s="47">
        <v>0</v>
      </c>
      <c r="DK294" s="47">
        <v>0</v>
      </c>
      <c r="DL294" s="47">
        <v>0</v>
      </c>
      <c r="DM294" s="47">
        <v>0</v>
      </c>
      <c r="DN294" s="47">
        <v>0</v>
      </c>
      <c r="DO294" s="47">
        <v>0</v>
      </c>
      <c r="DP294" s="47">
        <v>0</v>
      </c>
      <c r="DQ294" s="47">
        <v>0</v>
      </c>
      <c r="DR294" s="47">
        <v>0</v>
      </c>
      <c r="DS294" s="47">
        <v>0</v>
      </c>
      <c r="DT294" s="47">
        <v>0</v>
      </c>
    </row>
    <row r="295" spans="1:126" x14ac:dyDescent="0.25">
      <c r="A295" s="47" t="s">
        <v>1461</v>
      </c>
      <c r="B295" s="47" t="s">
        <v>153</v>
      </c>
      <c r="C295" s="47" t="s">
        <v>1462</v>
      </c>
      <c r="D295" s="47" t="s">
        <v>1463</v>
      </c>
      <c r="E295" s="47" t="s">
        <v>1464</v>
      </c>
      <c r="F295" s="47" t="s">
        <v>698</v>
      </c>
      <c r="G295" s="47" t="s">
        <v>727</v>
      </c>
      <c r="H295" s="47" t="str">
        <f>=IFERROR(VLOOKUP(A295,'ETPT Format DDG'!A:J,10,FALSE),"")</f>
        <v>0</v>
      </c>
      <c r="I295" s="47" t="str">
        <f>='ETPT Format DDG'!M295</f>
        <v/>
      </c>
      <c r="J295" s="47" t="str">
        <f>='ETPT Format DDG'!D295</f>
        <v/>
      </c>
      <c r="K295" s="47" t="s">
        <v>157</v>
      </c>
      <c r="L295" s="47" t="s">
        <v>728</v>
      </c>
      <c r="M295" s="47"/>
      <c r="N295" s="47">
        <v>0.8</v>
      </c>
      <c r="O295" s="47">
        <v>0</v>
      </c>
      <c r="P295" s="47">
        <v>0</v>
      </c>
      <c r="Q295" s="47">
        <v>0</v>
      </c>
      <c r="R295" s="47">
        <v>0</v>
      </c>
      <c r="S295" s="47">
        <v>0</v>
      </c>
      <c r="T295" s="47">
        <v>0</v>
      </c>
      <c r="U295" s="47">
        <v>0</v>
      </c>
      <c r="V295" s="47">
        <v>0</v>
      </c>
      <c r="W295" s="47">
        <v>0</v>
      </c>
      <c r="X295" s="47">
        <v>0</v>
      </c>
      <c r="Y295" s="47">
        <v>0</v>
      </c>
      <c r="Z295" s="47">
        <v>0</v>
      </c>
      <c r="AA295" s="47">
        <v>0</v>
      </c>
      <c r="AB295" s="47">
        <v>0</v>
      </c>
      <c r="AC295" s="47">
        <v>0</v>
      </c>
      <c r="AD295" s="47">
        <v>0</v>
      </c>
      <c r="AE295" s="47">
        <v>0</v>
      </c>
      <c r="AF295" s="47">
        <v>0</v>
      </c>
      <c r="AG295" s="47">
        <v>0</v>
      </c>
      <c r="AH295" s="47">
        <v>0</v>
      </c>
      <c r="AI295" s="47">
        <v>0</v>
      </c>
      <c r="AJ295" s="47">
        <v>0</v>
      </c>
      <c r="AK295" s="47">
        <v>0</v>
      </c>
      <c r="AL295" s="47">
        <v>0</v>
      </c>
      <c r="AM295" s="47">
        <v>0</v>
      </c>
      <c r="AN295" s="47">
        <v>0</v>
      </c>
      <c r="AO295" s="47">
        <v>0</v>
      </c>
      <c r="AP295" s="47">
        <v>0</v>
      </c>
      <c r="AQ295" s="47">
        <v>0</v>
      </c>
      <c r="AR295" s="47">
        <v>0</v>
      </c>
      <c r="AS295" s="47">
        <v>0</v>
      </c>
      <c r="AT295" s="47">
        <v>0</v>
      </c>
      <c r="AU295" s="47">
        <v>0</v>
      </c>
      <c r="AV295" s="47">
        <v>0</v>
      </c>
      <c r="AW295" s="47">
        <v>0</v>
      </c>
      <c r="AX295" s="47">
        <v>0</v>
      </c>
      <c r="AY295" s="47">
        <v>0</v>
      </c>
      <c r="AZ295" s="47">
        <v>0</v>
      </c>
      <c r="BA295" s="47">
        <v>0</v>
      </c>
      <c r="BB295" s="47">
        <v>0</v>
      </c>
      <c r="BC295" s="47">
        <v>0</v>
      </c>
      <c r="BD295" s="47">
        <v>0</v>
      </c>
      <c r="BE295" s="47">
        <v>0</v>
      </c>
      <c r="BF295" s="47">
        <v>0</v>
      </c>
      <c r="BG295" s="47">
        <v>0</v>
      </c>
      <c r="BH295" s="47">
        <v>0</v>
      </c>
      <c r="BI295" s="47">
        <v>0</v>
      </c>
      <c r="BJ295" s="47">
        <v>0</v>
      </c>
      <c r="BK295" s="47">
        <v>0</v>
      </c>
      <c r="BL295" s="47">
        <v>0</v>
      </c>
      <c r="BM295" s="47">
        <v>0</v>
      </c>
      <c r="BN295" s="47">
        <v>0</v>
      </c>
      <c r="BO295" s="47">
        <v>0</v>
      </c>
      <c r="BP295" s="47">
        <v>0</v>
      </c>
      <c r="BQ295" s="47">
        <v>0</v>
      </c>
      <c r="BR295" s="47">
        <v>0</v>
      </c>
      <c r="BS295" s="47">
        <v>0</v>
      </c>
      <c r="BT295" s="47">
        <v>0</v>
      </c>
      <c r="BU295" s="47">
        <v>0</v>
      </c>
      <c r="BV295" s="47">
        <v>0</v>
      </c>
      <c r="BW295" s="47">
        <v>0</v>
      </c>
      <c r="BX295" s="47">
        <v>0</v>
      </c>
      <c r="BY295" s="47">
        <v>0</v>
      </c>
      <c r="BZ295" s="47">
        <v>0</v>
      </c>
      <c r="CA295" s="47">
        <v>0</v>
      </c>
      <c r="CB295" s="47">
        <v>0</v>
      </c>
      <c r="CC295" s="47">
        <v>0</v>
      </c>
      <c r="CD295" s="47">
        <v>0</v>
      </c>
      <c r="CE295" s="47">
        <v>0</v>
      </c>
      <c r="CF295" s="47">
        <v>0</v>
      </c>
      <c r="CG295" s="47">
        <v>0</v>
      </c>
      <c r="CH295" s="47">
        <v>0</v>
      </c>
      <c r="CI295" s="47">
        <v>0</v>
      </c>
      <c r="CJ295" s="47">
        <v>0</v>
      </c>
      <c r="CK295" s="47">
        <v>0</v>
      </c>
      <c r="CL295" s="47">
        <v>0</v>
      </c>
      <c r="CM295" s="47">
        <v>0</v>
      </c>
      <c r="CN295" s="47">
        <v>0</v>
      </c>
      <c r="CO295" s="47">
        <v>0</v>
      </c>
      <c r="CP295" s="47">
        <v>0</v>
      </c>
      <c r="CQ295" s="47">
        <v>0</v>
      </c>
      <c r="CR295" s="47">
        <v>0</v>
      </c>
      <c r="CS295" s="47">
        <v>0</v>
      </c>
      <c r="CT295" s="47">
        <v>0</v>
      </c>
      <c r="CU295" s="47">
        <v>0</v>
      </c>
      <c r="CV295" s="47">
        <v>0</v>
      </c>
      <c r="CW295" s="47">
        <v>0</v>
      </c>
      <c r="CX295" s="47">
        <v>0</v>
      </c>
      <c r="CY295" s="47">
        <v>0</v>
      </c>
      <c r="CZ295" s="47">
        <v>0</v>
      </c>
      <c r="DA295" s="47">
        <v>0</v>
      </c>
      <c r="DB295" s="47">
        <v>0</v>
      </c>
      <c r="DC295" s="47">
        <v>0</v>
      </c>
      <c r="DD295" s="47">
        <v>0</v>
      </c>
      <c r="DE295" s="47">
        <v>0</v>
      </c>
      <c r="DF295" s="47">
        <v>0</v>
      </c>
      <c r="DG295" s="47">
        <v>0</v>
      </c>
      <c r="DH295" s="47">
        <v>0</v>
      </c>
      <c r="DI295" s="47">
        <v>0</v>
      </c>
      <c r="DJ295" s="47">
        <v>0</v>
      </c>
      <c r="DK295" s="47">
        <v>0</v>
      </c>
      <c r="DL295" s="47">
        <v>0</v>
      </c>
      <c r="DM295" s="47">
        <v>0</v>
      </c>
      <c r="DN295" s="47">
        <v>0</v>
      </c>
      <c r="DO295" s="47">
        <v>0</v>
      </c>
      <c r="DP295" s="47">
        <v>0</v>
      </c>
      <c r="DQ295" s="47">
        <v>0</v>
      </c>
      <c r="DR295" s="47">
        <v>0</v>
      </c>
      <c r="DS295" s="47">
        <v>0</v>
      </c>
      <c r="DT295" s="47">
        <v>0</v>
      </c>
    </row>
    <row r="296" spans="1:126" x14ac:dyDescent="0.25">
      <c r="A296" s="47" t="s">
        <v>1465</v>
      </c>
      <c r="B296" s="47" t="s">
        <v>153</v>
      </c>
      <c r="C296" s="47" t="s">
        <v>1466</v>
      </c>
      <c r="D296" s="47" t="s">
        <v>1467</v>
      </c>
      <c r="E296" s="47" t="s">
        <v>1468</v>
      </c>
      <c r="F296" s="47" t="s">
        <v>698</v>
      </c>
      <c r="G296" s="47" t="s">
        <v>738</v>
      </c>
      <c r="H296" s="47" t="str">
        <f>=IFERROR(VLOOKUP(A296,'ETPT Format DDG'!A:J,10,FALSE),"")</f>
        <v>0</v>
      </c>
      <c r="I296" s="47" t="str">
        <f>='ETPT Format DDG'!M296</f>
        <v/>
      </c>
      <c r="J296" s="47" t="str">
        <f>='ETPT Format DDG'!D296</f>
        <v/>
      </c>
      <c r="K296" s="47" t="s">
        <v>157</v>
      </c>
      <c r="L296" s="47" t="s">
        <v>1469</v>
      </c>
      <c r="M296" s="47"/>
      <c r="N296" s="47">
        <v>1</v>
      </c>
      <c r="O296" s="47">
        <v>1</v>
      </c>
      <c r="P296" s="47">
        <v>1</v>
      </c>
      <c r="Q296" s="47">
        <v>0</v>
      </c>
      <c r="R296" s="47">
        <v>0</v>
      </c>
      <c r="S296" s="47">
        <v>0</v>
      </c>
      <c r="T296" s="47">
        <v>0</v>
      </c>
      <c r="U296" s="47">
        <v>0</v>
      </c>
      <c r="V296" s="47">
        <v>0</v>
      </c>
      <c r="W296" s="47">
        <v>0</v>
      </c>
      <c r="X296" s="47">
        <v>0</v>
      </c>
      <c r="Y296" s="47">
        <v>0</v>
      </c>
      <c r="Z296" s="47">
        <v>0</v>
      </c>
      <c r="AA296" s="47">
        <v>0</v>
      </c>
      <c r="AB296" s="47">
        <v>0</v>
      </c>
      <c r="AC296" s="47">
        <v>0</v>
      </c>
      <c r="AD296" s="47">
        <v>0</v>
      </c>
      <c r="AE296" s="47">
        <v>0</v>
      </c>
      <c r="AF296" s="47">
        <v>0</v>
      </c>
      <c r="AG296" s="47">
        <v>0</v>
      </c>
      <c r="AH296" s="47">
        <v>0</v>
      </c>
      <c r="AI296" s="47">
        <v>0</v>
      </c>
      <c r="AJ296" s="47">
        <v>0</v>
      </c>
      <c r="AK296" s="47">
        <v>0</v>
      </c>
      <c r="AL296" s="47">
        <v>0</v>
      </c>
      <c r="AM296" s="47">
        <v>0</v>
      </c>
      <c r="AN296" s="47">
        <v>0</v>
      </c>
      <c r="AO296" s="47">
        <v>0</v>
      </c>
      <c r="AP296" s="47">
        <v>0</v>
      </c>
      <c r="AQ296" s="47">
        <v>0</v>
      </c>
      <c r="AR296" s="47">
        <v>0</v>
      </c>
      <c r="AS296" s="47">
        <v>0</v>
      </c>
      <c r="AT296" s="47">
        <v>0</v>
      </c>
      <c r="AU296" s="47">
        <v>0</v>
      </c>
      <c r="AV296" s="47">
        <v>0</v>
      </c>
      <c r="AW296" s="47">
        <v>0</v>
      </c>
      <c r="AX296" s="47">
        <v>0</v>
      </c>
      <c r="AY296" s="47">
        <v>0</v>
      </c>
      <c r="AZ296" s="47">
        <v>0</v>
      </c>
      <c r="BA296" s="47">
        <v>0</v>
      </c>
      <c r="BB296" s="47">
        <v>0</v>
      </c>
      <c r="BC296" s="47">
        <v>0</v>
      </c>
      <c r="BD296" s="47">
        <v>0</v>
      </c>
      <c r="BE296" s="47">
        <v>0</v>
      </c>
      <c r="BF296" s="47">
        <v>0</v>
      </c>
      <c r="BG296" s="47">
        <v>0</v>
      </c>
      <c r="BH296" s="47">
        <v>0</v>
      </c>
      <c r="BI296" s="47">
        <v>0</v>
      </c>
      <c r="BJ296" s="47">
        <v>0</v>
      </c>
      <c r="BK296" s="47">
        <v>0</v>
      </c>
      <c r="BL296" s="47">
        <v>0</v>
      </c>
      <c r="BM296" s="47">
        <v>0</v>
      </c>
      <c r="BN296" s="47">
        <v>0</v>
      </c>
      <c r="BO296" s="47">
        <v>0</v>
      </c>
      <c r="BP296" s="47">
        <v>0</v>
      </c>
      <c r="BQ296" s="47">
        <v>0</v>
      </c>
      <c r="BR296" s="47">
        <v>0</v>
      </c>
      <c r="BS296" s="47">
        <v>0</v>
      </c>
      <c r="BT296" s="47">
        <v>0</v>
      </c>
      <c r="BU296" s="47">
        <v>0</v>
      </c>
      <c r="BV296" s="47">
        <v>0</v>
      </c>
      <c r="BW296" s="47">
        <v>0</v>
      </c>
      <c r="BX296" s="47">
        <v>0</v>
      </c>
      <c r="BY296" s="47">
        <v>0</v>
      </c>
      <c r="BZ296" s="47">
        <v>0</v>
      </c>
      <c r="CA296" s="47">
        <v>0</v>
      </c>
      <c r="CB296" s="47">
        <v>0</v>
      </c>
      <c r="CC296" s="47">
        <v>0</v>
      </c>
      <c r="CD296" s="47">
        <v>0</v>
      </c>
      <c r="CE296" s="47">
        <v>0</v>
      </c>
      <c r="CF296" s="47">
        <v>0</v>
      </c>
      <c r="CG296" s="47">
        <v>0</v>
      </c>
      <c r="CH296" s="47">
        <v>0</v>
      </c>
      <c r="CI296" s="47">
        <v>0</v>
      </c>
      <c r="CJ296" s="47">
        <v>0</v>
      </c>
      <c r="CK296" s="47">
        <v>0</v>
      </c>
      <c r="CL296" s="47">
        <v>0</v>
      </c>
      <c r="CM296" s="47">
        <v>0</v>
      </c>
      <c r="CN296" s="47">
        <v>0</v>
      </c>
      <c r="CO296" s="47">
        <v>0</v>
      </c>
      <c r="CP296" s="47">
        <v>0</v>
      </c>
      <c r="CQ296" s="47">
        <v>0</v>
      </c>
      <c r="CR296" s="47">
        <v>0</v>
      </c>
      <c r="CS296" s="47">
        <v>0</v>
      </c>
      <c r="CT296" s="47">
        <v>0</v>
      </c>
      <c r="CU296" s="47">
        <v>0</v>
      </c>
      <c r="CV296" s="47">
        <v>0</v>
      </c>
      <c r="CW296" s="47">
        <v>0</v>
      </c>
      <c r="CX296" s="47">
        <v>0</v>
      </c>
      <c r="CY296" s="47">
        <v>0</v>
      </c>
      <c r="CZ296" s="47">
        <v>0</v>
      </c>
      <c r="DA296" s="47">
        <v>0</v>
      </c>
      <c r="DB296" s="47">
        <v>0</v>
      </c>
      <c r="DC296" s="47">
        <v>0</v>
      </c>
      <c r="DD296" s="47">
        <v>0</v>
      </c>
      <c r="DE296" s="47">
        <v>0</v>
      </c>
      <c r="DF296" s="47">
        <v>0</v>
      </c>
      <c r="DG296" s="47">
        <v>0</v>
      </c>
      <c r="DH296" s="47">
        <v>0</v>
      </c>
      <c r="DI296" s="47">
        <v>0</v>
      </c>
      <c r="DJ296" s="47">
        <v>0</v>
      </c>
      <c r="DK296" s="47">
        <v>0</v>
      </c>
      <c r="DL296" s="47">
        <v>0</v>
      </c>
      <c r="DM296" s="47">
        <v>0</v>
      </c>
      <c r="DN296" s="47">
        <v>0</v>
      </c>
      <c r="DO296" s="47">
        <v>0</v>
      </c>
      <c r="DP296" s="47">
        <v>0</v>
      </c>
      <c r="DQ296" s="47">
        <v>0</v>
      </c>
      <c r="DR296" s="47">
        <v>0</v>
      </c>
      <c r="DS296" s="47">
        <v>0</v>
      </c>
      <c r="DT296" s="47">
        <v>0</v>
      </c>
    </row>
    <row r="297" spans="1:126" x14ac:dyDescent="0.25">
      <c r="A297" s="47" t="s">
        <v>1470</v>
      </c>
      <c r="B297" s="47" t="s">
        <v>153</v>
      </c>
      <c r="C297" s="47" t="s">
        <v>1471</v>
      </c>
      <c r="D297" s="47" t="s">
        <v>1472</v>
      </c>
      <c r="E297" s="47" t="s">
        <v>1473</v>
      </c>
      <c r="F297" s="47" t="s">
        <v>698</v>
      </c>
      <c r="G297" s="47" t="s">
        <v>1474</v>
      </c>
      <c r="H297" s="47" t="str">
        <f>=IFERROR(VLOOKUP(A297,'ETPT Format DDG'!A:J,10,FALSE),"")</f>
        <v>0</v>
      </c>
      <c r="I297" s="47" t="str">
        <f>='ETPT Format DDG'!M297</f>
        <v/>
      </c>
      <c r="J297" s="47" t="str">
        <f>='ETPT Format DDG'!D297</f>
        <v/>
      </c>
      <c r="K297" s="47" t="s">
        <v>157</v>
      </c>
      <c r="L297" s="47" t="s">
        <v>1475</v>
      </c>
      <c r="M297" s="47"/>
      <c r="N297" s="47">
        <v>1</v>
      </c>
      <c r="O297" s="47">
        <v>0</v>
      </c>
      <c r="P297" s="47">
        <v>0</v>
      </c>
      <c r="Q297" s="47">
        <v>0</v>
      </c>
      <c r="R297" s="47">
        <v>0</v>
      </c>
      <c r="S297" s="47">
        <v>0</v>
      </c>
      <c r="T297" s="47">
        <v>0</v>
      </c>
      <c r="U297" s="47">
        <v>0</v>
      </c>
      <c r="V297" s="47">
        <v>0</v>
      </c>
      <c r="W297" s="47">
        <v>0</v>
      </c>
      <c r="X297" s="47">
        <v>0</v>
      </c>
      <c r="Y297" s="47">
        <v>0</v>
      </c>
      <c r="Z297" s="47">
        <v>0</v>
      </c>
      <c r="AA297" s="47">
        <v>0</v>
      </c>
      <c r="AB297" s="47">
        <v>0</v>
      </c>
      <c r="AC297" s="47">
        <v>0</v>
      </c>
      <c r="AD297" s="47">
        <v>0</v>
      </c>
      <c r="AE297" s="47">
        <v>0</v>
      </c>
      <c r="AF297" s="47">
        <v>0</v>
      </c>
      <c r="AG297" s="47">
        <v>0</v>
      </c>
      <c r="AH297" s="47">
        <v>0</v>
      </c>
      <c r="AI297" s="47">
        <v>0</v>
      </c>
      <c r="AJ297" s="47">
        <v>0</v>
      </c>
      <c r="AK297" s="47">
        <v>0</v>
      </c>
      <c r="AL297" s="47">
        <v>0</v>
      </c>
      <c r="AM297" s="47">
        <v>0</v>
      </c>
      <c r="AN297" s="47">
        <v>0</v>
      </c>
      <c r="AO297" s="47">
        <v>0</v>
      </c>
      <c r="AP297" s="47">
        <v>0</v>
      </c>
      <c r="AQ297" s="47">
        <v>0</v>
      </c>
      <c r="AR297" s="47">
        <v>0</v>
      </c>
      <c r="AS297" s="47">
        <v>0</v>
      </c>
      <c r="AT297" s="47">
        <v>0</v>
      </c>
      <c r="AU297" s="47">
        <v>0</v>
      </c>
      <c r="AV297" s="47">
        <v>0</v>
      </c>
      <c r="AW297" s="47">
        <v>0</v>
      </c>
      <c r="AX297" s="47">
        <v>0</v>
      </c>
      <c r="AY297" s="47">
        <v>0</v>
      </c>
      <c r="AZ297" s="47">
        <v>0</v>
      </c>
      <c r="BA297" s="47">
        <v>0</v>
      </c>
      <c r="BB297" s="47">
        <v>0</v>
      </c>
      <c r="BC297" s="47">
        <v>0</v>
      </c>
      <c r="BD297" s="47">
        <v>0</v>
      </c>
      <c r="BE297" s="47">
        <v>0</v>
      </c>
      <c r="BF297" s="47">
        <v>0</v>
      </c>
      <c r="BG297" s="47">
        <v>0</v>
      </c>
      <c r="BH297" s="47">
        <v>0</v>
      </c>
      <c r="BI297" s="47">
        <v>0</v>
      </c>
      <c r="BJ297" s="47">
        <v>0</v>
      </c>
      <c r="BK297" s="47">
        <v>0</v>
      </c>
      <c r="BL297" s="47">
        <v>0</v>
      </c>
      <c r="BM297" s="47">
        <v>0</v>
      </c>
      <c r="BN297" s="47">
        <v>0</v>
      </c>
      <c r="BO297" s="47">
        <v>0</v>
      </c>
      <c r="BP297" s="47">
        <v>0</v>
      </c>
      <c r="BQ297" s="47">
        <v>0</v>
      </c>
      <c r="BR297" s="47">
        <v>0</v>
      </c>
      <c r="BS297" s="47">
        <v>0</v>
      </c>
      <c r="BT297" s="47">
        <v>0</v>
      </c>
      <c r="BU297" s="47">
        <v>0</v>
      </c>
      <c r="BV297" s="47">
        <v>0</v>
      </c>
      <c r="BW297" s="47">
        <v>0</v>
      </c>
      <c r="BX297" s="47">
        <v>0</v>
      </c>
      <c r="BY297" s="47">
        <v>0</v>
      </c>
      <c r="BZ297" s="47">
        <v>0</v>
      </c>
      <c r="CA297" s="47">
        <v>0</v>
      </c>
      <c r="CB297" s="47">
        <v>0</v>
      </c>
      <c r="CC297" s="47">
        <v>0</v>
      </c>
      <c r="CD297" s="47">
        <v>0</v>
      </c>
      <c r="CE297" s="47">
        <v>0</v>
      </c>
      <c r="CF297" s="47">
        <v>0</v>
      </c>
      <c r="CG297" s="47">
        <v>0</v>
      </c>
      <c r="CH297" s="47">
        <v>0</v>
      </c>
      <c r="CI297" s="47">
        <v>0</v>
      </c>
      <c r="CJ297" s="47">
        <v>0</v>
      </c>
      <c r="CK297" s="47">
        <v>0</v>
      </c>
      <c r="CL297" s="47">
        <v>0</v>
      </c>
      <c r="CM297" s="47">
        <v>0</v>
      </c>
      <c r="CN297" s="47">
        <v>0</v>
      </c>
      <c r="CO297" s="47">
        <v>0</v>
      </c>
      <c r="CP297" s="47">
        <v>0</v>
      </c>
      <c r="CQ297" s="47">
        <v>0</v>
      </c>
      <c r="CR297" s="47">
        <v>0</v>
      </c>
      <c r="CS297" s="47">
        <v>0</v>
      </c>
      <c r="CT297" s="47">
        <v>0</v>
      </c>
      <c r="CU297" s="47">
        <v>0</v>
      </c>
      <c r="CV297" s="47">
        <v>0</v>
      </c>
      <c r="CW297" s="47">
        <v>0</v>
      </c>
      <c r="CX297" s="47">
        <v>0</v>
      </c>
      <c r="CY297" s="47">
        <v>0</v>
      </c>
      <c r="CZ297" s="47">
        <v>0</v>
      </c>
      <c r="DA297" s="47">
        <v>0</v>
      </c>
      <c r="DB297" s="47">
        <v>0</v>
      </c>
      <c r="DC297" s="47">
        <v>0</v>
      </c>
      <c r="DD297" s="47">
        <v>0</v>
      </c>
      <c r="DE297" s="47">
        <v>0</v>
      </c>
      <c r="DF297" s="47">
        <v>0</v>
      </c>
      <c r="DG297" s="47">
        <v>0</v>
      </c>
      <c r="DH297" s="47">
        <v>0</v>
      </c>
      <c r="DI297" s="47">
        <v>0</v>
      </c>
      <c r="DJ297" s="47">
        <v>0</v>
      </c>
      <c r="DK297" s="47">
        <v>0</v>
      </c>
      <c r="DL297" s="47">
        <v>0</v>
      </c>
      <c r="DM297" s="47">
        <v>0</v>
      </c>
      <c r="DN297" s="47">
        <v>0</v>
      </c>
      <c r="DO297" s="47">
        <v>0</v>
      </c>
      <c r="DP297" s="47">
        <v>0</v>
      </c>
      <c r="DQ297" s="47">
        <v>0</v>
      </c>
      <c r="DR297" s="47">
        <v>0</v>
      </c>
      <c r="DS297" s="47">
        <v>0</v>
      </c>
      <c r="DT297" s="47">
        <v>0</v>
      </c>
    </row>
    <row r="298" spans="1:126" x14ac:dyDescent="0.25">
      <c r="A298" s="47" t="s">
        <v>1476</v>
      </c>
      <c r="B298" s="47" t="s">
        <v>153</v>
      </c>
      <c r="C298" s="47" t="s">
        <v>1477</v>
      </c>
      <c r="D298" s="47" t="s">
        <v>1478</v>
      </c>
      <c r="E298" s="47" t="s">
        <v>1479</v>
      </c>
      <c r="F298" s="47" t="s">
        <v>698</v>
      </c>
      <c r="G298" s="47" t="s">
        <v>705</v>
      </c>
      <c r="H298" s="47" t="str">
        <f>=IFERROR(VLOOKUP(A298,'ETPT Format DDG'!A:J,10,FALSE),"")</f>
        <v>0</v>
      </c>
      <c r="I298" s="47" t="str">
        <f>='ETPT Format DDG'!M298</f>
        <v/>
      </c>
      <c r="J298" s="47" t="str">
        <f>='ETPT Format DDG'!D298</f>
        <v/>
      </c>
      <c r="K298" s="47" t="s">
        <v>157</v>
      </c>
      <c r="L298" s="47" t="s">
        <v>1480</v>
      </c>
      <c r="M298" s="47"/>
      <c r="N298" s="47">
        <v>0.8</v>
      </c>
      <c r="O298" s="47">
        <v>0</v>
      </c>
      <c r="P298" s="47">
        <v>0</v>
      </c>
      <c r="Q298" s="47">
        <v>0</v>
      </c>
      <c r="R298" s="47">
        <v>0</v>
      </c>
      <c r="S298" s="47">
        <v>0</v>
      </c>
      <c r="T298" s="47">
        <v>0</v>
      </c>
      <c r="U298" s="47">
        <v>0</v>
      </c>
      <c r="V298" s="47">
        <v>0</v>
      </c>
      <c r="W298" s="47">
        <v>0</v>
      </c>
      <c r="X298" s="47">
        <v>0</v>
      </c>
      <c r="Y298" s="47">
        <v>0</v>
      </c>
      <c r="Z298" s="47">
        <v>0</v>
      </c>
      <c r="AA298" s="47">
        <v>0</v>
      </c>
      <c r="AB298" s="47">
        <v>0</v>
      </c>
      <c r="AC298" s="47">
        <v>0</v>
      </c>
      <c r="AD298" s="47">
        <v>0</v>
      </c>
      <c r="AE298" s="47">
        <v>0</v>
      </c>
      <c r="AF298" s="47">
        <v>0</v>
      </c>
      <c r="AG298" s="47">
        <v>0</v>
      </c>
      <c r="AH298" s="47">
        <v>0</v>
      </c>
      <c r="AI298" s="47">
        <v>0</v>
      </c>
      <c r="AJ298" s="47">
        <v>0</v>
      </c>
      <c r="AK298" s="47">
        <v>0</v>
      </c>
      <c r="AL298" s="47">
        <v>0</v>
      </c>
      <c r="AM298" s="47">
        <v>0</v>
      </c>
      <c r="AN298" s="47">
        <v>0</v>
      </c>
      <c r="AO298" s="47">
        <v>0</v>
      </c>
      <c r="AP298" s="47">
        <v>0</v>
      </c>
      <c r="AQ298" s="47">
        <v>0</v>
      </c>
      <c r="AR298" s="47">
        <v>0</v>
      </c>
      <c r="AS298" s="47">
        <v>0</v>
      </c>
      <c r="AT298" s="47">
        <v>0</v>
      </c>
      <c r="AU298" s="47">
        <v>0</v>
      </c>
      <c r="AV298" s="47">
        <v>0</v>
      </c>
      <c r="AW298" s="47">
        <v>0</v>
      </c>
      <c r="AX298" s="47">
        <v>0</v>
      </c>
      <c r="AY298" s="47">
        <v>0</v>
      </c>
      <c r="AZ298" s="47">
        <v>0</v>
      </c>
      <c r="BA298" s="47">
        <v>0</v>
      </c>
      <c r="BB298" s="47">
        <v>0</v>
      </c>
      <c r="BC298" s="47">
        <v>0</v>
      </c>
      <c r="BD298" s="47">
        <v>0</v>
      </c>
      <c r="BE298" s="47">
        <v>0</v>
      </c>
      <c r="BF298" s="47">
        <v>0</v>
      </c>
      <c r="BG298" s="47">
        <v>0</v>
      </c>
      <c r="BH298" s="47">
        <v>0</v>
      </c>
      <c r="BI298" s="47">
        <v>0</v>
      </c>
      <c r="BJ298" s="47">
        <v>0</v>
      </c>
      <c r="BK298" s="47">
        <v>0</v>
      </c>
      <c r="BL298" s="47">
        <v>0</v>
      </c>
      <c r="BM298" s="47">
        <v>0</v>
      </c>
      <c r="BN298" s="47">
        <v>0</v>
      </c>
      <c r="BO298" s="47">
        <v>0</v>
      </c>
      <c r="BP298" s="47">
        <v>0</v>
      </c>
      <c r="BQ298" s="47">
        <v>0</v>
      </c>
      <c r="BR298" s="47">
        <v>0</v>
      </c>
      <c r="BS298" s="47">
        <v>0</v>
      </c>
      <c r="BT298" s="47">
        <v>0</v>
      </c>
      <c r="BU298" s="47">
        <v>0</v>
      </c>
      <c r="BV298" s="47">
        <v>0</v>
      </c>
      <c r="BW298" s="47">
        <v>0</v>
      </c>
      <c r="BX298" s="47">
        <v>0</v>
      </c>
      <c r="BY298" s="47">
        <v>0</v>
      </c>
      <c r="BZ298" s="47">
        <v>0</v>
      </c>
      <c r="CA298" s="47">
        <v>0</v>
      </c>
      <c r="CB298" s="47">
        <v>0</v>
      </c>
      <c r="CC298" s="47">
        <v>0</v>
      </c>
      <c r="CD298" s="47">
        <v>0</v>
      </c>
      <c r="CE298" s="47">
        <v>0</v>
      </c>
      <c r="CF298" s="47">
        <v>0</v>
      </c>
      <c r="CG298" s="47">
        <v>0</v>
      </c>
      <c r="CH298" s="47">
        <v>0</v>
      </c>
      <c r="CI298" s="47">
        <v>0</v>
      </c>
      <c r="CJ298" s="47">
        <v>0</v>
      </c>
      <c r="CK298" s="47">
        <v>0</v>
      </c>
      <c r="CL298" s="47">
        <v>0</v>
      </c>
      <c r="CM298" s="47">
        <v>0</v>
      </c>
      <c r="CN298" s="47">
        <v>0</v>
      </c>
      <c r="CO298" s="47">
        <v>0</v>
      </c>
      <c r="CP298" s="47">
        <v>0</v>
      </c>
      <c r="CQ298" s="47">
        <v>0</v>
      </c>
      <c r="CR298" s="47">
        <v>0</v>
      </c>
      <c r="CS298" s="47">
        <v>0</v>
      </c>
      <c r="CT298" s="47">
        <v>0</v>
      </c>
      <c r="CU298" s="47">
        <v>0</v>
      </c>
      <c r="CV298" s="47">
        <v>0</v>
      </c>
      <c r="CW298" s="47">
        <v>0</v>
      </c>
      <c r="CX298" s="47">
        <v>0</v>
      </c>
      <c r="CY298" s="47">
        <v>0</v>
      </c>
      <c r="CZ298" s="47">
        <v>0</v>
      </c>
      <c r="DA298" s="47">
        <v>0</v>
      </c>
      <c r="DB298" s="47">
        <v>0</v>
      </c>
      <c r="DC298" s="47">
        <v>0</v>
      </c>
      <c r="DD298" s="47">
        <v>0</v>
      </c>
      <c r="DE298" s="47">
        <v>0</v>
      </c>
      <c r="DF298" s="47">
        <v>0</v>
      </c>
      <c r="DG298" s="47">
        <v>0</v>
      </c>
      <c r="DH298" s="47">
        <v>0</v>
      </c>
      <c r="DI298" s="47">
        <v>0</v>
      </c>
      <c r="DJ298" s="47">
        <v>0</v>
      </c>
      <c r="DK298" s="47">
        <v>0</v>
      </c>
      <c r="DL298" s="47">
        <v>0</v>
      </c>
      <c r="DM298" s="47">
        <v>0</v>
      </c>
      <c r="DN298" s="47">
        <v>0</v>
      </c>
      <c r="DO298" s="47">
        <v>0</v>
      </c>
      <c r="DP298" s="47">
        <v>0</v>
      </c>
      <c r="DQ298" s="47">
        <v>0</v>
      </c>
      <c r="DR298" s="47">
        <v>0</v>
      </c>
      <c r="DS298" s="47">
        <v>0</v>
      </c>
      <c r="DT298" s="47">
        <v>0</v>
      </c>
    </row>
    <row r="299" spans="1:126" x14ac:dyDescent="0.25">
      <c r="A299" s="47" t="s">
        <v>1481</v>
      </c>
      <c r="B299" s="47" t="s">
        <v>153</v>
      </c>
      <c r="C299" s="47" t="s">
        <v>1482</v>
      </c>
      <c r="D299" s="47" t="s">
        <v>1483</v>
      </c>
      <c r="E299" s="47" t="s">
        <v>1484</v>
      </c>
      <c r="F299" s="47" t="s">
        <v>698</v>
      </c>
      <c r="G299" s="47" t="s">
        <v>738</v>
      </c>
      <c r="H299" s="47" t="str">
        <f>=IFERROR(VLOOKUP(A299,'ETPT Format DDG'!A:J,10,FALSE),"")</f>
        <v>0</v>
      </c>
      <c r="I299" s="47" t="str">
        <f>='ETPT Format DDG'!M299</f>
        <v/>
      </c>
      <c r="J299" s="47" t="str">
        <f>='ETPT Format DDG'!D299</f>
        <v/>
      </c>
      <c r="K299" s="47" t="s">
        <v>157</v>
      </c>
      <c r="L299" s="47" t="s">
        <v>1485</v>
      </c>
      <c r="M299" s="47" t="s">
        <v>1486</v>
      </c>
      <c r="N299" s="47">
        <v>1</v>
      </c>
      <c r="O299" s="47">
        <v>1</v>
      </c>
      <c r="P299" s="47">
        <v>0</v>
      </c>
      <c r="Q299" s="47">
        <v>0</v>
      </c>
      <c r="R299" s="47">
        <v>0</v>
      </c>
      <c r="S299" s="47">
        <v>0</v>
      </c>
      <c r="T299" s="47">
        <v>0</v>
      </c>
      <c r="U299" s="47">
        <v>0</v>
      </c>
      <c r="V299" s="47">
        <v>0</v>
      </c>
      <c r="W299" s="47">
        <v>0</v>
      </c>
      <c r="X299" s="47">
        <v>0</v>
      </c>
      <c r="Y299" s="47">
        <v>0</v>
      </c>
      <c r="Z299" s="47">
        <v>0</v>
      </c>
      <c r="AA299" s="47">
        <v>0</v>
      </c>
      <c r="AB299" s="47">
        <v>0</v>
      </c>
      <c r="AC299" s="47">
        <v>0</v>
      </c>
      <c r="AD299" s="47">
        <v>0</v>
      </c>
      <c r="AE299" s="47">
        <v>0</v>
      </c>
      <c r="AF299" s="47">
        <v>0</v>
      </c>
      <c r="AG299" s="47">
        <v>0</v>
      </c>
      <c r="AH299" s="47">
        <v>0</v>
      </c>
      <c r="AI299" s="47">
        <v>0</v>
      </c>
      <c r="AJ299" s="47">
        <v>0</v>
      </c>
      <c r="AK299" s="47">
        <v>0</v>
      </c>
      <c r="AL299" s="47">
        <v>0</v>
      </c>
      <c r="AM299" s="47">
        <v>0</v>
      </c>
      <c r="AN299" s="47">
        <v>0</v>
      </c>
      <c r="AO299" s="47">
        <v>0</v>
      </c>
      <c r="AP299" s="47">
        <v>0</v>
      </c>
      <c r="AQ299" s="47">
        <v>0</v>
      </c>
      <c r="AR299" s="47">
        <v>0</v>
      </c>
      <c r="AS299" s="47">
        <v>0</v>
      </c>
      <c r="AT299" s="47">
        <v>0</v>
      </c>
      <c r="AU299" s="47">
        <v>0</v>
      </c>
      <c r="AV299" s="47">
        <v>0</v>
      </c>
      <c r="AW299" s="47">
        <v>0</v>
      </c>
      <c r="AX299" s="47">
        <v>0</v>
      </c>
      <c r="AY299" s="47">
        <v>0</v>
      </c>
      <c r="AZ299" s="47">
        <v>0</v>
      </c>
      <c r="BA299" s="47">
        <v>0</v>
      </c>
      <c r="BB299" s="47">
        <v>0</v>
      </c>
      <c r="BC299" s="47">
        <v>0</v>
      </c>
      <c r="BD299" s="47">
        <v>0</v>
      </c>
      <c r="BE299" s="47">
        <v>0</v>
      </c>
      <c r="BF299" s="47">
        <v>0</v>
      </c>
      <c r="BG299" s="47">
        <v>0</v>
      </c>
      <c r="BH299" s="47">
        <v>0</v>
      </c>
      <c r="BI299" s="47">
        <v>0</v>
      </c>
      <c r="BJ299" s="47">
        <v>0</v>
      </c>
      <c r="BK299" s="47">
        <v>0</v>
      </c>
      <c r="BL299" s="47">
        <v>0</v>
      </c>
      <c r="BM299" s="47">
        <v>0</v>
      </c>
      <c r="BN299" s="47">
        <v>0</v>
      </c>
      <c r="BO299" s="47">
        <v>0</v>
      </c>
      <c r="BP299" s="47">
        <v>0</v>
      </c>
      <c r="BQ299" s="47">
        <v>0</v>
      </c>
      <c r="BR299" s="47">
        <v>0</v>
      </c>
      <c r="BS299" s="47">
        <v>0</v>
      </c>
      <c r="BT299" s="47">
        <v>0</v>
      </c>
      <c r="BU299" s="47">
        <v>0</v>
      </c>
      <c r="BV299" s="47">
        <v>0</v>
      </c>
      <c r="BW299" s="47">
        <v>0</v>
      </c>
      <c r="BX299" s="47">
        <v>0</v>
      </c>
      <c r="BY299" s="47">
        <v>0</v>
      </c>
      <c r="BZ299" s="47">
        <v>0</v>
      </c>
      <c r="CA299" s="47">
        <v>0</v>
      </c>
      <c r="CB299" s="47">
        <v>0</v>
      </c>
      <c r="CC299" s="47">
        <v>0</v>
      </c>
      <c r="CD299" s="47">
        <v>0</v>
      </c>
      <c r="CE299" s="47">
        <v>0</v>
      </c>
      <c r="CF299" s="47">
        <v>0</v>
      </c>
      <c r="CG299" s="47">
        <v>0</v>
      </c>
      <c r="CH299" s="47">
        <v>0</v>
      </c>
      <c r="CI299" s="47">
        <v>0</v>
      </c>
      <c r="CJ299" s="47">
        <v>0</v>
      </c>
      <c r="CK299" s="47">
        <v>0</v>
      </c>
      <c r="CL299" s="47">
        <v>0</v>
      </c>
      <c r="CM299" s="47">
        <v>0</v>
      </c>
      <c r="CN299" s="47">
        <v>0</v>
      </c>
      <c r="CO299" s="47">
        <v>0</v>
      </c>
      <c r="CP299" s="47">
        <v>0</v>
      </c>
      <c r="CQ299" s="47">
        <v>0</v>
      </c>
      <c r="CR299" s="47">
        <v>0</v>
      </c>
      <c r="CS299" s="47">
        <v>0</v>
      </c>
      <c r="CT299" s="47">
        <v>1</v>
      </c>
      <c r="CU299" s="47">
        <v>0</v>
      </c>
      <c r="CV299" s="47">
        <v>0</v>
      </c>
      <c r="CW299" s="47">
        <v>0</v>
      </c>
      <c r="CX299" s="47">
        <v>0</v>
      </c>
      <c r="CY299" s="47">
        <v>0</v>
      </c>
      <c r="CZ299" s="47">
        <v>1</v>
      </c>
      <c r="DA299" s="47">
        <v>0</v>
      </c>
      <c r="DB299" s="47">
        <v>0</v>
      </c>
      <c r="DC299" s="47">
        <v>0</v>
      </c>
      <c r="DD299" s="47">
        <v>0</v>
      </c>
      <c r="DE299" s="47">
        <v>0</v>
      </c>
      <c r="DF299" s="47">
        <v>0</v>
      </c>
      <c r="DG299" s="47">
        <v>0</v>
      </c>
      <c r="DH299" s="47">
        <v>0</v>
      </c>
      <c r="DI299" s="47">
        <v>0</v>
      </c>
      <c r="DJ299" s="47">
        <v>0</v>
      </c>
      <c r="DK299" s="47">
        <v>0</v>
      </c>
      <c r="DL299" s="47">
        <v>0</v>
      </c>
      <c r="DM299" s="47">
        <v>0</v>
      </c>
      <c r="DN299" s="47">
        <v>0</v>
      </c>
      <c r="DO299" s="47">
        <v>0</v>
      </c>
      <c r="DP299" s="47">
        <v>0</v>
      </c>
      <c r="DQ299" s="47">
        <v>0</v>
      </c>
      <c r="DR299" s="47">
        <v>0</v>
      </c>
      <c r="DS299" s="47">
        <v>0</v>
      </c>
      <c r="DT299" s="47">
        <v>0</v>
      </c>
    </row>
    <row r="300" spans="1:126" x14ac:dyDescent="0.25">
      <c r="A300" s="47" t="s">
        <v>1487</v>
      </c>
      <c r="B300" s="47" t="s">
        <v>153</v>
      </c>
      <c r="C300" s="47" t="s">
        <v>1488</v>
      </c>
      <c r="D300" s="47" t="s">
        <v>1489</v>
      </c>
      <c r="E300" s="47" t="s">
        <v>1490</v>
      </c>
      <c r="F300" s="47" t="s">
        <v>698</v>
      </c>
      <c r="G300" s="47" t="s">
        <v>727</v>
      </c>
      <c r="H300" s="47" t="str">
        <f>=IFERROR(VLOOKUP(A300,'ETPT Format DDG'!A:J,10,FALSE),"")</f>
        <v>0</v>
      </c>
      <c r="I300" s="47" t="str">
        <f>='ETPT Format DDG'!M300</f>
        <v/>
      </c>
      <c r="J300" s="47" t="str">
        <f>='ETPT Format DDG'!D300</f>
        <v/>
      </c>
      <c r="K300" s="47" t="s">
        <v>157</v>
      </c>
      <c r="L300" s="47" t="s">
        <v>739</v>
      </c>
      <c r="M300" s="47"/>
      <c r="N300" s="47">
        <v>1</v>
      </c>
      <c r="O300" s="47">
        <v>0</v>
      </c>
      <c r="P300" s="47">
        <v>0</v>
      </c>
      <c r="Q300" s="47">
        <v>0</v>
      </c>
      <c r="R300" s="47">
        <v>0</v>
      </c>
      <c r="S300" s="47">
        <v>0</v>
      </c>
      <c r="T300" s="47">
        <v>0</v>
      </c>
      <c r="U300" s="47">
        <v>0</v>
      </c>
      <c r="V300" s="47">
        <v>0</v>
      </c>
      <c r="W300" s="47">
        <v>0</v>
      </c>
      <c r="X300" s="47">
        <v>0</v>
      </c>
      <c r="Y300" s="47">
        <v>0</v>
      </c>
      <c r="Z300" s="47">
        <v>0</v>
      </c>
      <c r="AA300" s="47">
        <v>0</v>
      </c>
      <c r="AB300" s="47">
        <v>0</v>
      </c>
      <c r="AC300" s="47">
        <v>0</v>
      </c>
      <c r="AD300" s="47">
        <v>0</v>
      </c>
      <c r="AE300" s="47">
        <v>0</v>
      </c>
      <c r="AF300" s="47">
        <v>0</v>
      </c>
      <c r="AG300" s="47">
        <v>0</v>
      </c>
      <c r="AH300" s="47">
        <v>0</v>
      </c>
      <c r="AI300" s="47">
        <v>0</v>
      </c>
      <c r="AJ300" s="47">
        <v>0</v>
      </c>
      <c r="AK300" s="47">
        <v>0</v>
      </c>
      <c r="AL300" s="47">
        <v>0</v>
      </c>
      <c r="AM300" s="47">
        <v>0</v>
      </c>
      <c r="AN300" s="47">
        <v>0</v>
      </c>
      <c r="AO300" s="47">
        <v>0</v>
      </c>
      <c r="AP300" s="47">
        <v>0</v>
      </c>
      <c r="AQ300" s="47">
        <v>0</v>
      </c>
      <c r="AR300" s="47">
        <v>0</v>
      </c>
      <c r="AS300" s="47">
        <v>0</v>
      </c>
      <c r="AT300" s="47">
        <v>0</v>
      </c>
      <c r="AU300" s="47">
        <v>0</v>
      </c>
      <c r="AV300" s="47">
        <v>0</v>
      </c>
      <c r="AW300" s="47">
        <v>0</v>
      </c>
      <c r="AX300" s="47">
        <v>0</v>
      </c>
      <c r="AY300" s="47">
        <v>0</v>
      </c>
      <c r="AZ300" s="47">
        <v>0</v>
      </c>
      <c r="BA300" s="47">
        <v>0</v>
      </c>
      <c r="BB300" s="47">
        <v>0</v>
      </c>
      <c r="BC300" s="47">
        <v>0</v>
      </c>
      <c r="BD300" s="47">
        <v>0</v>
      </c>
      <c r="BE300" s="47">
        <v>0</v>
      </c>
      <c r="BF300" s="47">
        <v>0</v>
      </c>
      <c r="BG300" s="47">
        <v>0</v>
      </c>
      <c r="BH300" s="47">
        <v>0</v>
      </c>
      <c r="BI300" s="47">
        <v>0</v>
      </c>
      <c r="BJ300" s="47">
        <v>0</v>
      </c>
      <c r="BK300" s="47">
        <v>0</v>
      </c>
      <c r="BL300" s="47">
        <v>0</v>
      </c>
      <c r="BM300" s="47">
        <v>0</v>
      </c>
      <c r="BN300" s="47">
        <v>0</v>
      </c>
      <c r="BO300" s="47">
        <v>0</v>
      </c>
      <c r="BP300" s="47">
        <v>0</v>
      </c>
      <c r="BQ300" s="47">
        <v>0</v>
      </c>
      <c r="BR300" s="47">
        <v>0</v>
      </c>
      <c r="BS300" s="47">
        <v>0</v>
      </c>
      <c r="BT300" s="47">
        <v>0</v>
      </c>
      <c r="BU300" s="47">
        <v>0</v>
      </c>
      <c r="BV300" s="47">
        <v>0</v>
      </c>
      <c r="BW300" s="47">
        <v>0</v>
      </c>
      <c r="BX300" s="47">
        <v>0</v>
      </c>
      <c r="BY300" s="47">
        <v>0</v>
      </c>
      <c r="BZ300" s="47">
        <v>0</v>
      </c>
      <c r="CA300" s="47">
        <v>0</v>
      </c>
      <c r="CB300" s="47">
        <v>0</v>
      </c>
      <c r="CC300" s="47">
        <v>0</v>
      </c>
      <c r="CD300" s="47">
        <v>0</v>
      </c>
      <c r="CE300" s="47">
        <v>0</v>
      </c>
      <c r="CF300" s="47">
        <v>0</v>
      </c>
      <c r="CG300" s="47">
        <v>0</v>
      </c>
      <c r="CH300" s="47">
        <v>0</v>
      </c>
      <c r="CI300" s="47">
        <v>0</v>
      </c>
      <c r="CJ300" s="47">
        <v>0</v>
      </c>
      <c r="CK300" s="47">
        <v>0</v>
      </c>
      <c r="CL300" s="47">
        <v>0</v>
      </c>
      <c r="CM300" s="47">
        <v>0</v>
      </c>
      <c r="CN300" s="47">
        <v>0</v>
      </c>
      <c r="CO300" s="47">
        <v>0</v>
      </c>
      <c r="CP300" s="47">
        <v>0</v>
      </c>
      <c r="CQ300" s="47">
        <v>0</v>
      </c>
      <c r="CR300" s="47">
        <v>0</v>
      </c>
      <c r="CS300" s="47">
        <v>0</v>
      </c>
      <c r="CT300" s="47">
        <v>0</v>
      </c>
      <c r="CU300" s="47">
        <v>0</v>
      </c>
      <c r="CV300" s="47">
        <v>0</v>
      </c>
      <c r="CW300" s="47">
        <v>0</v>
      </c>
      <c r="CX300" s="47">
        <v>0</v>
      </c>
      <c r="CY300" s="47">
        <v>0</v>
      </c>
      <c r="CZ300" s="47">
        <v>0</v>
      </c>
      <c r="DA300" s="47">
        <v>0</v>
      </c>
      <c r="DB300" s="47">
        <v>0</v>
      </c>
      <c r="DC300" s="47">
        <v>0</v>
      </c>
      <c r="DD300" s="47">
        <v>0</v>
      </c>
      <c r="DE300" s="47">
        <v>0</v>
      </c>
      <c r="DF300" s="47">
        <v>0</v>
      </c>
      <c r="DG300" s="47">
        <v>0</v>
      </c>
      <c r="DH300" s="47">
        <v>0</v>
      </c>
      <c r="DI300" s="47">
        <v>0</v>
      </c>
      <c r="DJ300" s="47">
        <v>0</v>
      </c>
      <c r="DK300" s="47">
        <v>0</v>
      </c>
      <c r="DL300" s="47">
        <v>0</v>
      </c>
      <c r="DM300" s="47">
        <v>0</v>
      </c>
      <c r="DN300" s="47">
        <v>0</v>
      </c>
      <c r="DO300" s="47">
        <v>0</v>
      </c>
      <c r="DP300" s="47">
        <v>0</v>
      </c>
      <c r="DQ300" s="47">
        <v>0</v>
      </c>
      <c r="DR300" s="47">
        <v>0</v>
      </c>
      <c r="DS300" s="47">
        <v>0</v>
      </c>
      <c r="DT300" s="47">
        <v>0</v>
      </c>
    </row>
    <row r="301" spans="1:126" x14ac:dyDescent="0.25">
      <c r="A301" s="47" t="s">
        <v>1491</v>
      </c>
      <c r="B301" s="47" t="s">
        <v>153</v>
      </c>
      <c r="C301" s="47" t="s">
        <v>1492</v>
      </c>
      <c r="D301" s="47" t="s">
        <v>1493</v>
      </c>
      <c r="E301" s="47" t="s">
        <v>1494</v>
      </c>
      <c r="F301" s="47" t="s">
        <v>698</v>
      </c>
      <c r="G301" s="47" t="s">
        <v>727</v>
      </c>
      <c r="H301" s="47" t="str">
        <f>=IFERROR(VLOOKUP(A301,'ETPT Format DDG'!A:J,10,FALSE),"")</f>
        <v>0</v>
      </c>
      <c r="I301" s="47" t="str">
        <f>='ETPT Format DDG'!M301</f>
        <v/>
      </c>
      <c r="J301" s="47" t="str">
        <f>='ETPT Format DDG'!D301</f>
        <v/>
      </c>
      <c r="K301" s="47" t="s">
        <v>157</v>
      </c>
      <c r="L301" s="47" t="s">
        <v>1495</v>
      </c>
      <c r="M301" s="47"/>
      <c r="N301" s="47">
        <v>1</v>
      </c>
      <c r="O301" s="47">
        <v>1</v>
      </c>
      <c r="P301" s="47">
        <v>0</v>
      </c>
      <c r="Q301" s="47">
        <v>0</v>
      </c>
      <c r="R301" s="47">
        <v>0</v>
      </c>
      <c r="S301" s="47">
        <v>0</v>
      </c>
      <c r="T301" s="47">
        <v>0</v>
      </c>
      <c r="U301" s="47">
        <v>0</v>
      </c>
      <c r="V301" s="47">
        <v>0</v>
      </c>
      <c r="W301" s="47">
        <v>0</v>
      </c>
      <c r="X301" s="47">
        <v>0</v>
      </c>
      <c r="Y301" s="47">
        <v>0</v>
      </c>
      <c r="Z301" s="47">
        <v>0</v>
      </c>
      <c r="AA301" s="47">
        <v>0</v>
      </c>
      <c r="AB301" s="47">
        <v>0</v>
      </c>
      <c r="AC301" s="47">
        <v>0</v>
      </c>
      <c r="AD301" s="47">
        <v>0</v>
      </c>
      <c r="AE301" s="47">
        <v>0</v>
      </c>
      <c r="AF301" s="47">
        <v>0</v>
      </c>
      <c r="AG301" s="47">
        <v>0</v>
      </c>
      <c r="AH301" s="47">
        <v>0</v>
      </c>
      <c r="AI301" s="47">
        <v>0</v>
      </c>
      <c r="AJ301" s="47">
        <v>0</v>
      </c>
      <c r="AK301" s="47">
        <v>0</v>
      </c>
      <c r="AL301" s="47">
        <v>0</v>
      </c>
      <c r="AM301" s="47">
        <v>0</v>
      </c>
      <c r="AN301" s="47">
        <v>1</v>
      </c>
      <c r="AO301" s="47">
        <v>0</v>
      </c>
      <c r="AP301" s="47">
        <v>0</v>
      </c>
      <c r="AQ301" s="47">
        <v>0</v>
      </c>
      <c r="AR301" s="47">
        <v>0</v>
      </c>
      <c r="AS301" s="47">
        <v>0</v>
      </c>
      <c r="AT301" s="47">
        <v>0</v>
      </c>
      <c r="AU301" s="47">
        <v>0</v>
      </c>
      <c r="AV301" s="47">
        <v>0</v>
      </c>
      <c r="AW301" s="47">
        <v>0</v>
      </c>
      <c r="AX301" s="47">
        <v>0</v>
      </c>
      <c r="AY301" s="47">
        <v>0</v>
      </c>
      <c r="AZ301" s="47">
        <v>0</v>
      </c>
      <c r="BA301" s="47">
        <v>0</v>
      </c>
      <c r="BB301" s="47">
        <v>0</v>
      </c>
      <c r="BC301" s="47">
        <v>0</v>
      </c>
      <c r="BD301" s="47">
        <v>0</v>
      </c>
      <c r="BE301" s="47">
        <v>0</v>
      </c>
      <c r="BF301" s="47">
        <v>0</v>
      </c>
      <c r="BG301" s="47">
        <v>0</v>
      </c>
      <c r="BH301" s="47">
        <v>0</v>
      </c>
      <c r="BI301" s="47">
        <v>0</v>
      </c>
      <c r="BJ301" s="47">
        <v>0</v>
      </c>
      <c r="BK301" s="47">
        <v>0</v>
      </c>
      <c r="BL301" s="47">
        <v>0</v>
      </c>
      <c r="BM301" s="47">
        <v>0</v>
      </c>
      <c r="BN301" s="47">
        <v>0</v>
      </c>
      <c r="BO301" s="47">
        <v>0</v>
      </c>
      <c r="BP301" s="47">
        <v>0</v>
      </c>
      <c r="BQ301" s="47">
        <v>0</v>
      </c>
      <c r="BR301" s="47">
        <v>0</v>
      </c>
      <c r="BS301" s="47">
        <v>0</v>
      </c>
      <c r="BT301" s="47">
        <v>0</v>
      </c>
      <c r="BU301" s="47">
        <v>0</v>
      </c>
      <c r="BV301" s="47">
        <v>0</v>
      </c>
      <c r="BW301" s="47">
        <v>0</v>
      </c>
      <c r="BX301" s="47">
        <v>0</v>
      </c>
      <c r="BY301" s="47">
        <v>0</v>
      </c>
      <c r="BZ301" s="47">
        <v>0</v>
      </c>
      <c r="CA301" s="47">
        <v>0</v>
      </c>
      <c r="CB301" s="47">
        <v>0</v>
      </c>
      <c r="CC301" s="47">
        <v>0</v>
      </c>
      <c r="CD301" s="47">
        <v>0</v>
      </c>
      <c r="CE301" s="47">
        <v>0</v>
      </c>
      <c r="CF301" s="47">
        <v>0</v>
      </c>
      <c r="CG301" s="47">
        <v>0</v>
      </c>
      <c r="CH301" s="47">
        <v>0</v>
      </c>
      <c r="CI301" s="47">
        <v>0</v>
      </c>
      <c r="CJ301" s="47">
        <v>0</v>
      </c>
      <c r="CK301" s="47">
        <v>0</v>
      </c>
      <c r="CL301" s="47">
        <v>0</v>
      </c>
      <c r="CM301" s="47">
        <v>0</v>
      </c>
      <c r="CN301" s="47">
        <v>0</v>
      </c>
      <c r="CO301" s="47">
        <v>0</v>
      </c>
      <c r="CP301" s="47">
        <v>0</v>
      </c>
      <c r="CQ301" s="47">
        <v>0</v>
      </c>
      <c r="CR301" s="47">
        <v>0</v>
      </c>
      <c r="CS301" s="47">
        <v>0</v>
      </c>
      <c r="CT301" s="47">
        <v>0</v>
      </c>
      <c r="CU301" s="47">
        <v>0</v>
      </c>
      <c r="CV301" s="47">
        <v>0</v>
      </c>
      <c r="CW301" s="47">
        <v>0</v>
      </c>
      <c r="CX301" s="47">
        <v>0</v>
      </c>
      <c r="CY301" s="47">
        <v>0</v>
      </c>
      <c r="CZ301" s="47">
        <v>0</v>
      </c>
      <c r="DA301" s="47">
        <v>0</v>
      </c>
      <c r="DB301" s="47">
        <v>0</v>
      </c>
      <c r="DC301" s="47">
        <v>0</v>
      </c>
      <c r="DD301" s="47">
        <v>0</v>
      </c>
      <c r="DE301" s="47">
        <v>0</v>
      </c>
      <c r="DF301" s="47">
        <v>0</v>
      </c>
      <c r="DG301" s="47">
        <v>0</v>
      </c>
      <c r="DH301" s="47">
        <v>0</v>
      </c>
      <c r="DI301" s="47">
        <v>0</v>
      </c>
      <c r="DJ301" s="47">
        <v>0</v>
      </c>
      <c r="DK301" s="47">
        <v>0</v>
      </c>
      <c r="DL301" s="47">
        <v>0</v>
      </c>
      <c r="DM301" s="47">
        <v>0</v>
      </c>
      <c r="DN301" s="47">
        <v>0</v>
      </c>
      <c r="DO301" s="47">
        <v>0</v>
      </c>
      <c r="DP301" s="47">
        <v>0</v>
      </c>
      <c r="DQ301" s="47">
        <v>0</v>
      </c>
      <c r="DR301" s="47">
        <v>0</v>
      </c>
      <c r="DS301" s="47">
        <v>0</v>
      </c>
      <c r="DT301" s="47">
        <v>0</v>
      </c>
    </row>
    <row r="302" spans="1:126" x14ac:dyDescent="0.25">
      <c r="A302" s="47" t="s">
        <v>1496</v>
      </c>
      <c r="B302" s="47" t="s">
        <v>153</v>
      </c>
      <c r="C302" s="47" t="s">
        <v>1497</v>
      </c>
      <c r="D302" s="47" t="s">
        <v>1498</v>
      </c>
      <c r="E302" s="47" t="s">
        <v>1499</v>
      </c>
      <c r="F302" s="47" t="s">
        <v>698</v>
      </c>
      <c r="G302" s="47" t="s">
        <v>727</v>
      </c>
      <c r="H302" s="47" t="str">
        <f>=IFERROR(VLOOKUP(A302,'ETPT Format DDG'!A:J,10,FALSE),"")</f>
        <v>0</v>
      </c>
      <c r="I302" s="47" t="str">
        <f>='ETPT Format DDG'!M302</f>
        <v/>
      </c>
      <c r="J302" s="47" t="str">
        <f>='ETPT Format DDG'!D302</f>
        <v/>
      </c>
      <c r="K302" s="47" t="s">
        <v>157</v>
      </c>
      <c r="L302" s="47" t="s">
        <v>1500</v>
      </c>
      <c r="M302" s="47"/>
      <c r="N302" s="47">
        <v>1</v>
      </c>
      <c r="O302" s="47">
        <v>1</v>
      </c>
      <c r="P302" s="47">
        <v>0</v>
      </c>
      <c r="Q302" s="47">
        <v>0</v>
      </c>
      <c r="R302" s="47">
        <v>0</v>
      </c>
      <c r="S302" s="47">
        <v>0</v>
      </c>
      <c r="T302" s="47">
        <v>0</v>
      </c>
      <c r="U302" s="47">
        <v>0</v>
      </c>
      <c r="V302" s="47">
        <v>0</v>
      </c>
      <c r="W302" s="47">
        <v>0</v>
      </c>
      <c r="X302" s="47">
        <v>0</v>
      </c>
      <c r="Y302" s="47">
        <v>0</v>
      </c>
      <c r="Z302" s="47">
        <v>0</v>
      </c>
      <c r="AA302" s="47">
        <v>0</v>
      </c>
      <c r="AB302" s="47">
        <v>0</v>
      </c>
      <c r="AC302" s="47">
        <v>0</v>
      </c>
      <c r="AD302" s="47">
        <v>0</v>
      </c>
      <c r="AE302" s="47">
        <v>0</v>
      </c>
      <c r="AF302" s="47">
        <v>0</v>
      </c>
      <c r="AG302" s="47">
        <v>0</v>
      </c>
      <c r="AH302" s="47">
        <v>0</v>
      </c>
      <c r="AI302" s="47">
        <v>0</v>
      </c>
      <c r="AJ302" s="47">
        <v>0</v>
      </c>
      <c r="AK302" s="47">
        <v>0</v>
      </c>
      <c r="AL302" s="47">
        <v>0</v>
      </c>
      <c r="AM302" s="47">
        <v>0</v>
      </c>
      <c r="AN302" s="47">
        <v>0</v>
      </c>
      <c r="AO302" s="47">
        <v>0</v>
      </c>
      <c r="AP302" s="47">
        <v>0</v>
      </c>
      <c r="AQ302" s="47">
        <v>0</v>
      </c>
      <c r="AR302" s="47">
        <v>0</v>
      </c>
      <c r="AS302" s="47">
        <v>0</v>
      </c>
      <c r="AT302" s="47">
        <v>0</v>
      </c>
      <c r="AU302" s="47">
        <v>0</v>
      </c>
      <c r="AV302" s="47">
        <v>0</v>
      </c>
      <c r="AW302" s="47">
        <v>0</v>
      </c>
      <c r="AX302" s="47">
        <v>0</v>
      </c>
      <c r="AY302" s="47">
        <v>0</v>
      </c>
      <c r="AZ302" s="47">
        <v>0</v>
      </c>
      <c r="BA302" s="47">
        <v>0</v>
      </c>
      <c r="BB302" s="47">
        <v>0</v>
      </c>
      <c r="BC302" s="47">
        <v>0</v>
      </c>
      <c r="BD302" s="47">
        <v>0</v>
      </c>
      <c r="BE302" s="47">
        <v>0</v>
      </c>
      <c r="BF302" s="47">
        <v>0</v>
      </c>
      <c r="BG302" s="47">
        <v>0</v>
      </c>
      <c r="BH302" s="47">
        <v>0</v>
      </c>
      <c r="BI302" s="47">
        <v>0</v>
      </c>
      <c r="BJ302" s="47">
        <v>0</v>
      </c>
      <c r="BK302" s="47">
        <v>0</v>
      </c>
      <c r="BL302" s="47">
        <v>0</v>
      </c>
      <c r="BM302" s="47">
        <v>0</v>
      </c>
      <c r="BN302" s="47">
        <v>0</v>
      </c>
      <c r="BO302" s="47">
        <v>0</v>
      </c>
      <c r="BP302" s="47">
        <v>0</v>
      </c>
      <c r="BQ302" s="47">
        <v>0</v>
      </c>
      <c r="BR302" s="47">
        <v>0</v>
      </c>
      <c r="BS302" s="47">
        <v>0</v>
      </c>
      <c r="BT302" s="47">
        <v>0</v>
      </c>
      <c r="BU302" s="47">
        <v>0</v>
      </c>
      <c r="BV302" s="47">
        <v>0</v>
      </c>
      <c r="BW302" s="47">
        <v>0</v>
      </c>
      <c r="BX302" s="47">
        <v>0</v>
      </c>
      <c r="BY302" s="47">
        <v>0</v>
      </c>
      <c r="BZ302" s="47">
        <v>0</v>
      </c>
      <c r="CA302" s="47">
        <v>0</v>
      </c>
      <c r="CB302" s="47">
        <v>0</v>
      </c>
      <c r="CC302" s="47">
        <v>0</v>
      </c>
      <c r="CD302" s="47">
        <v>0</v>
      </c>
      <c r="CE302" s="47">
        <v>0</v>
      </c>
      <c r="CF302" s="47">
        <v>0</v>
      </c>
      <c r="CG302" s="47">
        <v>0</v>
      </c>
      <c r="CH302" s="47">
        <v>0</v>
      </c>
      <c r="CI302" s="47">
        <v>0</v>
      </c>
      <c r="CJ302" s="47">
        <v>0</v>
      </c>
      <c r="CK302" s="47">
        <v>0</v>
      </c>
      <c r="CL302" s="47">
        <v>0</v>
      </c>
      <c r="CM302" s="47">
        <v>0</v>
      </c>
      <c r="CN302" s="47">
        <v>0</v>
      </c>
      <c r="CO302" s="47">
        <v>0</v>
      </c>
      <c r="CP302" s="47">
        <v>0</v>
      </c>
      <c r="CQ302" s="47">
        <v>1</v>
      </c>
      <c r="CR302" s="47">
        <v>0</v>
      </c>
      <c r="CS302" s="47">
        <v>0</v>
      </c>
      <c r="CT302" s="47">
        <v>0</v>
      </c>
      <c r="CU302" s="47">
        <v>0</v>
      </c>
      <c r="CV302" s="47">
        <v>0</v>
      </c>
      <c r="CW302" s="47">
        <v>0</v>
      </c>
      <c r="CX302" s="47">
        <v>0</v>
      </c>
      <c r="CY302" s="47">
        <v>0</v>
      </c>
      <c r="CZ302" s="47">
        <v>0</v>
      </c>
      <c r="DA302" s="47">
        <v>0</v>
      </c>
      <c r="DB302" s="47">
        <v>0</v>
      </c>
      <c r="DC302" s="47">
        <v>0</v>
      </c>
      <c r="DD302" s="47">
        <v>0</v>
      </c>
      <c r="DE302" s="47">
        <v>0</v>
      </c>
      <c r="DF302" s="47">
        <v>0</v>
      </c>
      <c r="DG302" s="47">
        <v>0</v>
      </c>
      <c r="DH302" s="47">
        <v>0</v>
      </c>
      <c r="DI302" s="47">
        <v>0</v>
      </c>
      <c r="DJ302" s="47">
        <v>0</v>
      </c>
      <c r="DK302" s="47">
        <v>0</v>
      </c>
      <c r="DL302" s="47">
        <v>0</v>
      </c>
      <c r="DM302" s="47">
        <v>0</v>
      </c>
      <c r="DN302" s="47">
        <v>0</v>
      </c>
      <c r="DO302" s="47">
        <v>0</v>
      </c>
      <c r="DP302" s="47">
        <v>0</v>
      </c>
      <c r="DQ302" s="47">
        <v>0</v>
      </c>
      <c r="DR302" s="47">
        <v>0</v>
      </c>
      <c r="DS302" s="47">
        <v>0</v>
      </c>
      <c r="DT302" s="47">
        <v>0</v>
      </c>
    </row>
    <row r="303" spans="1:126" x14ac:dyDescent="0.25">
      <c r="A303" s="47" t="s">
        <v>1501</v>
      </c>
      <c r="B303" s="47" t="s">
        <v>153</v>
      </c>
      <c r="C303" s="47" t="s">
        <v>1502</v>
      </c>
      <c r="D303" s="47" t="s">
        <v>1503</v>
      </c>
      <c r="E303" s="47" t="s">
        <v>1504</v>
      </c>
      <c r="F303" s="47" t="s">
        <v>698</v>
      </c>
      <c r="G303" s="47" t="s">
        <v>727</v>
      </c>
      <c r="H303" s="47" t="str">
        <f>=IFERROR(VLOOKUP(A303,'ETPT Format DDG'!A:J,10,FALSE),"")</f>
        <v>0</v>
      </c>
      <c r="I303" s="47" t="str">
        <f>='ETPT Format DDG'!M303</f>
        <v/>
      </c>
      <c r="J303" s="47" t="str">
        <f>='ETPT Format DDG'!D303</f>
        <v/>
      </c>
      <c r="K303" s="47" t="s">
        <v>157</v>
      </c>
      <c r="L303" s="47" t="s">
        <v>1090</v>
      </c>
      <c r="M303" s="47"/>
      <c r="N303" s="47">
        <v>1</v>
      </c>
      <c r="O303" s="47">
        <v>1</v>
      </c>
      <c r="P303" s="47">
        <v>0</v>
      </c>
      <c r="Q303" s="47">
        <v>0</v>
      </c>
      <c r="R303" s="47">
        <v>0</v>
      </c>
      <c r="S303" s="47">
        <v>0</v>
      </c>
      <c r="T303" s="47">
        <v>0</v>
      </c>
      <c r="U303" s="47">
        <v>0</v>
      </c>
      <c r="V303" s="47">
        <v>0</v>
      </c>
      <c r="W303" s="47">
        <v>0</v>
      </c>
      <c r="X303" s="47">
        <v>0</v>
      </c>
      <c r="Y303" s="47">
        <v>0</v>
      </c>
      <c r="Z303" s="47">
        <v>0</v>
      </c>
      <c r="AA303" s="47">
        <v>0</v>
      </c>
      <c r="AB303" s="47">
        <v>0</v>
      </c>
      <c r="AC303" s="47">
        <v>0</v>
      </c>
      <c r="AD303" s="47">
        <v>0</v>
      </c>
      <c r="AE303" s="47">
        <v>0</v>
      </c>
      <c r="AF303" s="47">
        <v>0</v>
      </c>
      <c r="AG303" s="47">
        <v>0</v>
      </c>
      <c r="AH303" s="47">
        <v>0</v>
      </c>
      <c r="AI303" s="47">
        <v>0</v>
      </c>
      <c r="AJ303" s="47">
        <v>0</v>
      </c>
      <c r="AK303" s="47">
        <v>0</v>
      </c>
      <c r="AL303" s="47">
        <v>0</v>
      </c>
      <c r="AM303" s="47">
        <v>0</v>
      </c>
      <c r="AN303" s="47">
        <v>0</v>
      </c>
      <c r="AO303" s="47">
        <v>0</v>
      </c>
      <c r="AP303" s="47">
        <v>0</v>
      </c>
      <c r="AQ303" s="47">
        <v>0</v>
      </c>
      <c r="AR303" s="47">
        <v>0</v>
      </c>
      <c r="AS303" s="47">
        <v>0</v>
      </c>
      <c r="AT303" s="47">
        <v>0</v>
      </c>
      <c r="AU303" s="47">
        <v>0</v>
      </c>
      <c r="AV303" s="47">
        <v>0</v>
      </c>
      <c r="AW303" s="47">
        <v>0</v>
      </c>
      <c r="AX303" s="47">
        <v>0</v>
      </c>
      <c r="AY303" s="47">
        <v>0</v>
      </c>
      <c r="AZ303" s="47">
        <v>0</v>
      </c>
      <c r="BA303" s="47">
        <v>0</v>
      </c>
      <c r="BB303" s="47">
        <v>0</v>
      </c>
      <c r="BC303" s="47">
        <v>0</v>
      </c>
      <c r="BD303" s="47">
        <v>0</v>
      </c>
      <c r="BE303" s="47">
        <v>0</v>
      </c>
      <c r="BF303" s="47">
        <v>0</v>
      </c>
      <c r="BG303" s="47">
        <v>0</v>
      </c>
      <c r="BH303" s="47">
        <v>0</v>
      </c>
      <c r="BI303" s="47">
        <v>0</v>
      </c>
      <c r="BJ303" s="47">
        <v>0</v>
      </c>
      <c r="BK303" s="47">
        <v>0</v>
      </c>
      <c r="BL303" s="47">
        <v>0</v>
      </c>
      <c r="BM303" s="47">
        <v>0</v>
      </c>
      <c r="BN303" s="47">
        <v>0</v>
      </c>
      <c r="BO303" s="47">
        <v>0</v>
      </c>
      <c r="BP303" s="47">
        <v>0</v>
      </c>
      <c r="BQ303" s="47">
        <v>0</v>
      </c>
      <c r="BR303" s="47">
        <v>0</v>
      </c>
      <c r="BS303" s="47">
        <v>0</v>
      </c>
      <c r="BT303" s="47">
        <v>0</v>
      </c>
      <c r="BU303" s="47">
        <v>0</v>
      </c>
      <c r="BV303" s="47">
        <v>0</v>
      </c>
      <c r="BW303" s="47">
        <v>0</v>
      </c>
      <c r="BX303" s="47">
        <v>0</v>
      </c>
      <c r="BY303" s="47">
        <v>0</v>
      </c>
      <c r="BZ303" s="47">
        <v>0</v>
      </c>
      <c r="CA303" s="47">
        <v>0</v>
      </c>
      <c r="CB303" s="47">
        <v>0</v>
      </c>
      <c r="CC303" s="47">
        <v>0</v>
      </c>
      <c r="CD303" s="47">
        <v>0</v>
      </c>
      <c r="CE303" s="47">
        <v>0</v>
      </c>
      <c r="CF303" s="47">
        <v>1</v>
      </c>
      <c r="CG303" s="47">
        <v>0</v>
      </c>
      <c r="CH303" s="47">
        <v>0</v>
      </c>
      <c r="CI303" s="47">
        <v>0</v>
      </c>
      <c r="CJ303" s="47">
        <v>0</v>
      </c>
      <c r="CK303" s="47">
        <v>0</v>
      </c>
      <c r="CL303" s="47">
        <v>0</v>
      </c>
      <c r="CM303" s="47">
        <v>0</v>
      </c>
      <c r="CN303" s="47">
        <v>0</v>
      </c>
      <c r="CO303" s="47">
        <v>0</v>
      </c>
      <c r="CP303" s="47">
        <v>0</v>
      </c>
      <c r="CQ303" s="47">
        <v>0</v>
      </c>
      <c r="CR303" s="47">
        <v>0</v>
      </c>
      <c r="CS303" s="47">
        <v>0</v>
      </c>
      <c r="CT303" s="47">
        <v>0</v>
      </c>
      <c r="CU303" s="47">
        <v>0</v>
      </c>
      <c r="CV303" s="47">
        <v>0</v>
      </c>
      <c r="CW303" s="47">
        <v>0</v>
      </c>
      <c r="CX303" s="47">
        <v>0</v>
      </c>
      <c r="CY303" s="47">
        <v>0</v>
      </c>
      <c r="CZ303" s="47">
        <v>0</v>
      </c>
      <c r="DA303" s="47">
        <v>0</v>
      </c>
      <c r="DB303" s="47">
        <v>0</v>
      </c>
      <c r="DC303" s="47">
        <v>0</v>
      </c>
      <c r="DD303" s="47">
        <v>0</v>
      </c>
      <c r="DE303" s="47">
        <v>0</v>
      </c>
      <c r="DF303" s="47">
        <v>0</v>
      </c>
      <c r="DG303" s="47">
        <v>0</v>
      </c>
      <c r="DH303" s="47">
        <v>0</v>
      </c>
      <c r="DI303" s="47">
        <v>0</v>
      </c>
      <c r="DJ303" s="47">
        <v>0</v>
      </c>
      <c r="DK303" s="47">
        <v>0</v>
      </c>
      <c r="DL303" s="47">
        <v>0</v>
      </c>
      <c r="DM303" s="47">
        <v>0</v>
      </c>
      <c r="DN303" s="47">
        <v>0</v>
      </c>
      <c r="DO303" s="47">
        <v>0</v>
      </c>
      <c r="DP303" s="47">
        <v>0</v>
      </c>
      <c r="DQ303" s="47">
        <v>0</v>
      </c>
      <c r="DR303" s="47">
        <v>0</v>
      </c>
      <c r="DS303" s="47">
        <v>0</v>
      </c>
      <c r="DT303" s="47">
        <v>0</v>
      </c>
    </row>
    <row r="304" spans="1:126" x14ac:dyDescent="0.25">
      <c r="A304" s="47" t="s">
        <v>1505</v>
      </c>
      <c r="B304" s="47" t="s">
        <v>153</v>
      </c>
      <c r="C304" s="47" t="s">
        <v>1506</v>
      </c>
      <c r="D304" s="47" t="s">
        <v>1507</v>
      </c>
      <c r="E304" s="47" t="s">
        <v>1508</v>
      </c>
      <c r="F304" s="47" t="s">
        <v>698</v>
      </c>
      <c r="G304" s="47" t="s">
        <v>699</v>
      </c>
      <c r="H304" s="47" t="str">
        <f>=IFERROR(VLOOKUP(A304,'ETPT Format DDG'!A:J,10,FALSE),"")</f>
        <v>0</v>
      </c>
      <c r="I304" s="47" t="str">
        <f>='ETPT Format DDG'!M304</f>
        <v/>
      </c>
      <c r="J304" s="47" t="str">
        <f>='ETPT Format DDG'!D304</f>
        <v/>
      </c>
      <c r="K304" s="47" t="s">
        <v>157</v>
      </c>
      <c r="L304" s="47" t="s">
        <v>1085</v>
      </c>
      <c r="M304" s="47"/>
      <c r="N304" s="47">
        <v>1</v>
      </c>
      <c r="O304" s="47">
        <v>1</v>
      </c>
      <c r="P304" s="47">
        <v>0</v>
      </c>
      <c r="Q304" s="47">
        <v>0</v>
      </c>
      <c r="R304" s="47">
        <v>0</v>
      </c>
      <c r="S304" s="47">
        <v>0</v>
      </c>
      <c r="T304" s="47">
        <v>0</v>
      </c>
      <c r="U304" s="47">
        <v>0</v>
      </c>
      <c r="V304" s="47">
        <v>0</v>
      </c>
      <c r="W304" s="47">
        <v>0</v>
      </c>
      <c r="X304" s="47">
        <v>0</v>
      </c>
      <c r="Y304" s="47">
        <v>0</v>
      </c>
      <c r="Z304" s="47">
        <v>0</v>
      </c>
      <c r="AA304" s="47">
        <v>0</v>
      </c>
      <c r="AB304" s="47">
        <v>0</v>
      </c>
      <c r="AC304" s="47">
        <v>0</v>
      </c>
      <c r="AD304" s="47">
        <v>0</v>
      </c>
      <c r="AE304" s="47">
        <v>0</v>
      </c>
      <c r="AF304" s="47">
        <v>0</v>
      </c>
      <c r="AG304" s="47">
        <v>0</v>
      </c>
      <c r="AH304" s="47">
        <v>0</v>
      </c>
      <c r="AI304" s="47">
        <v>0</v>
      </c>
      <c r="AJ304" s="47">
        <v>0</v>
      </c>
      <c r="AK304" s="47">
        <v>0</v>
      </c>
      <c r="AL304" s="47">
        <v>0</v>
      </c>
      <c r="AM304" s="47">
        <v>0</v>
      </c>
      <c r="AN304" s="47">
        <v>0</v>
      </c>
      <c r="AO304" s="47">
        <v>0</v>
      </c>
      <c r="AP304" s="47">
        <v>0</v>
      </c>
      <c r="AQ304" s="47">
        <v>0</v>
      </c>
      <c r="AR304" s="47">
        <v>0</v>
      </c>
      <c r="AS304" s="47">
        <v>0</v>
      </c>
      <c r="AT304" s="47">
        <v>0</v>
      </c>
      <c r="AU304" s="47">
        <v>0</v>
      </c>
      <c r="AV304" s="47">
        <v>0</v>
      </c>
      <c r="AW304" s="47">
        <v>0</v>
      </c>
      <c r="AX304" s="47">
        <v>0</v>
      </c>
      <c r="AY304" s="47">
        <v>0</v>
      </c>
      <c r="AZ304" s="47">
        <v>0</v>
      </c>
      <c r="BA304" s="47">
        <v>0</v>
      </c>
      <c r="BB304" s="47">
        <v>0</v>
      </c>
      <c r="BC304" s="47">
        <v>0</v>
      </c>
      <c r="BD304" s="47">
        <v>0</v>
      </c>
      <c r="BE304" s="47">
        <v>0</v>
      </c>
      <c r="BF304" s="47">
        <v>0</v>
      </c>
      <c r="BG304" s="47">
        <v>0</v>
      </c>
      <c r="BH304" s="47">
        <v>0</v>
      </c>
      <c r="BI304" s="47">
        <v>0</v>
      </c>
      <c r="BJ304" s="47">
        <v>0</v>
      </c>
      <c r="BK304" s="47">
        <v>0</v>
      </c>
      <c r="BL304" s="47">
        <v>0</v>
      </c>
      <c r="BM304" s="47">
        <v>0</v>
      </c>
      <c r="BN304" s="47">
        <v>0</v>
      </c>
      <c r="BO304" s="47">
        <v>1</v>
      </c>
      <c r="BP304" s="47">
        <v>0</v>
      </c>
      <c r="BQ304" s="47">
        <v>0</v>
      </c>
      <c r="BR304" s="47">
        <v>0</v>
      </c>
      <c r="BS304" s="47">
        <v>0</v>
      </c>
      <c r="BT304" s="47">
        <v>0</v>
      </c>
      <c r="BU304" s="47">
        <v>0</v>
      </c>
      <c r="BV304" s="47">
        <v>0</v>
      </c>
      <c r="BW304" s="47">
        <v>0</v>
      </c>
      <c r="BX304" s="47">
        <v>0.5</v>
      </c>
      <c r="BY304" s="47">
        <v>0</v>
      </c>
      <c r="BZ304" s="47">
        <v>0</v>
      </c>
      <c r="CA304" s="47">
        <v>0.5</v>
      </c>
      <c r="CB304" s="47">
        <v>0</v>
      </c>
      <c r="CC304" s="47">
        <v>0</v>
      </c>
      <c r="CD304" s="47">
        <v>0</v>
      </c>
      <c r="CE304" s="47">
        <v>0</v>
      </c>
      <c r="CF304" s="47">
        <v>0</v>
      </c>
      <c r="CG304" s="47">
        <v>0</v>
      </c>
      <c r="CH304" s="47">
        <v>0</v>
      </c>
      <c r="CI304" s="47">
        <v>0</v>
      </c>
      <c r="CJ304" s="47">
        <v>0</v>
      </c>
      <c r="CK304" s="47">
        <v>0</v>
      </c>
      <c r="CL304" s="47">
        <v>0</v>
      </c>
      <c r="CM304" s="47">
        <v>0</v>
      </c>
      <c r="CN304" s="47">
        <v>0</v>
      </c>
      <c r="CO304" s="47">
        <v>0</v>
      </c>
      <c r="CP304" s="47">
        <v>0</v>
      </c>
      <c r="CQ304" s="47">
        <v>0</v>
      </c>
      <c r="CR304" s="47">
        <v>0</v>
      </c>
      <c r="CS304" s="47">
        <v>0</v>
      </c>
      <c r="CT304" s="47">
        <v>0</v>
      </c>
      <c r="CU304" s="47">
        <v>0</v>
      </c>
      <c r="CV304" s="47">
        <v>0</v>
      </c>
      <c r="CW304" s="47">
        <v>0</v>
      </c>
      <c r="CX304" s="47">
        <v>0</v>
      </c>
      <c r="CY304" s="47">
        <v>0</v>
      </c>
      <c r="CZ304" s="47">
        <v>0</v>
      </c>
      <c r="DA304" s="47">
        <v>0</v>
      </c>
      <c r="DB304" s="47">
        <v>0</v>
      </c>
      <c r="DC304" s="47">
        <v>0</v>
      </c>
      <c r="DD304" s="47">
        <v>0</v>
      </c>
      <c r="DE304" s="47">
        <v>0</v>
      </c>
      <c r="DF304" s="47">
        <v>0</v>
      </c>
      <c r="DG304" s="47">
        <v>0</v>
      </c>
      <c r="DH304" s="47">
        <v>0</v>
      </c>
      <c r="DI304" s="47">
        <v>0</v>
      </c>
      <c r="DJ304" s="47">
        <v>0</v>
      </c>
      <c r="DK304" s="47">
        <v>0</v>
      </c>
      <c r="DL304" s="47">
        <v>0</v>
      </c>
      <c r="DM304" s="47">
        <v>0</v>
      </c>
      <c r="DN304" s="47">
        <v>0</v>
      </c>
      <c r="DO304" s="47">
        <v>0</v>
      </c>
      <c r="DP304" s="47">
        <v>0</v>
      </c>
      <c r="DQ304" s="47">
        <v>0</v>
      </c>
      <c r="DR304" s="47">
        <v>0</v>
      </c>
      <c r="DS304" s="47">
        <v>0</v>
      </c>
      <c r="DT304" s="47">
        <v>0</v>
      </c>
    </row>
    <row r="305" spans="1:126" x14ac:dyDescent="0.25">
      <c r="A305" s="47" t="s">
        <v>1509</v>
      </c>
      <c r="B305" s="47" t="s">
        <v>153</v>
      </c>
      <c r="C305" s="47" t="s">
        <v>1510</v>
      </c>
      <c r="D305" s="47" t="s">
        <v>1511</v>
      </c>
      <c r="E305" s="47" t="s">
        <v>1512</v>
      </c>
      <c r="F305" s="47" t="s">
        <v>698</v>
      </c>
      <c r="G305" s="47" t="s">
        <v>727</v>
      </c>
      <c r="H305" s="47" t="str">
        <f>=IFERROR(VLOOKUP(A305,'ETPT Format DDG'!A:J,10,FALSE),"")</f>
        <v>0</v>
      </c>
      <c r="I305" s="47" t="str">
        <f>='ETPT Format DDG'!M305</f>
        <v/>
      </c>
      <c r="J305" s="47" t="str">
        <f>='ETPT Format DDG'!D305</f>
        <v/>
      </c>
      <c r="K305" s="47" t="s">
        <v>157</v>
      </c>
      <c r="L305" s="47" t="s">
        <v>1243</v>
      </c>
      <c r="M305" s="47"/>
      <c r="N305" s="47">
        <v>0.8</v>
      </c>
      <c r="O305" s="47">
        <v>0</v>
      </c>
      <c r="P305" s="47">
        <v>0</v>
      </c>
      <c r="Q305" s="47">
        <v>0</v>
      </c>
      <c r="R305" s="47">
        <v>0</v>
      </c>
      <c r="S305" s="47">
        <v>0</v>
      </c>
      <c r="T305" s="47">
        <v>0</v>
      </c>
      <c r="U305" s="47">
        <v>0</v>
      </c>
      <c r="V305" s="47">
        <v>0</v>
      </c>
      <c r="W305" s="47">
        <v>0</v>
      </c>
      <c r="X305" s="47">
        <v>0</v>
      </c>
      <c r="Y305" s="47">
        <v>0</v>
      </c>
      <c r="Z305" s="47">
        <v>0</v>
      </c>
      <c r="AA305" s="47">
        <v>0</v>
      </c>
      <c r="AB305" s="47">
        <v>0</v>
      </c>
      <c r="AC305" s="47">
        <v>0</v>
      </c>
      <c r="AD305" s="47">
        <v>0</v>
      </c>
      <c r="AE305" s="47">
        <v>0</v>
      </c>
      <c r="AF305" s="47">
        <v>0</v>
      </c>
      <c r="AG305" s="47">
        <v>0</v>
      </c>
      <c r="AH305" s="47">
        <v>0</v>
      </c>
      <c r="AI305" s="47">
        <v>0</v>
      </c>
      <c r="AJ305" s="47">
        <v>0</v>
      </c>
      <c r="AK305" s="47">
        <v>0</v>
      </c>
      <c r="AL305" s="47">
        <v>0</v>
      </c>
      <c r="AM305" s="47">
        <v>0</v>
      </c>
      <c r="AN305" s="47">
        <v>0</v>
      </c>
      <c r="AO305" s="47">
        <v>0</v>
      </c>
      <c r="AP305" s="47">
        <v>0</v>
      </c>
      <c r="AQ305" s="47">
        <v>0</v>
      </c>
      <c r="AR305" s="47">
        <v>0</v>
      </c>
      <c r="AS305" s="47">
        <v>0</v>
      </c>
      <c r="AT305" s="47">
        <v>0</v>
      </c>
      <c r="AU305" s="47">
        <v>0</v>
      </c>
      <c r="AV305" s="47">
        <v>0</v>
      </c>
      <c r="AW305" s="47">
        <v>0</v>
      </c>
      <c r="AX305" s="47">
        <v>0</v>
      </c>
      <c r="AY305" s="47">
        <v>0</v>
      </c>
      <c r="AZ305" s="47">
        <v>0</v>
      </c>
      <c r="BA305" s="47">
        <v>0</v>
      </c>
      <c r="BB305" s="47">
        <v>0</v>
      </c>
      <c r="BC305" s="47">
        <v>0</v>
      </c>
      <c r="BD305" s="47">
        <v>0</v>
      </c>
      <c r="BE305" s="47">
        <v>0</v>
      </c>
      <c r="BF305" s="47">
        <v>0</v>
      </c>
      <c r="BG305" s="47">
        <v>0</v>
      </c>
      <c r="BH305" s="47">
        <v>0</v>
      </c>
      <c r="BI305" s="47">
        <v>0</v>
      </c>
      <c r="BJ305" s="47">
        <v>0</v>
      </c>
      <c r="BK305" s="47">
        <v>0</v>
      </c>
      <c r="BL305" s="47">
        <v>0</v>
      </c>
      <c r="BM305" s="47">
        <v>0</v>
      </c>
      <c r="BN305" s="47">
        <v>0</v>
      </c>
      <c r="BO305" s="47">
        <v>0</v>
      </c>
      <c r="BP305" s="47">
        <v>0</v>
      </c>
      <c r="BQ305" s="47">
        <v>0</v>
      </c>
      <c r="BR305" s="47">
        <v>0</v>
      </c>
      <c r="BS305" s="47">
        <v>0</v>
      </c>
      <c r="BT305" s="47">
        <v>0</v>
      </c>
      <c r="BU305" s="47">
        <v>0</v>
      </c>
      <c r="BV305" s="47">
        <v>0</v>
      </c>
      <c r="BW305" s="47">
        <v>0</v>
      </c>
      <c r="BX305" s="47">
        <v>0</v>
      </c>
      <c r="BY305" s="47">
        <v>0</v>
      </c>
      <c r="BZ305" s="47">
        <v>0</v>
      </c>
      <c r="CA305" s="47">
        <v>0</v>
      </c>
      <c r="CB305" s="47">
        <v>0</v>
      </c>
      <c r="CC305" s="47">
        <v>0</v>
      </c>
      <c r="CD305" s="47">
        <v>0</v>
      </c>
      <c r="CE305" s="47">
        <v>0</v>
      </c>
      <c r="CF305" s="47">
        <v>0</v>
      </c>
      <c r="CG305" s="47">
        <v>0</v>
      </c>
      <c r="CH305" s="47">
        <v>0</v>
      </c>
      <c r="CI305" s="47">
        <v>0</v>
      </c>
      <c r="CJ305" s="47">
        <v>0</v>
      </c>
      <c r="CK305" s="47">
        <v>0</v>
      </c>
      <c r="CL305" s="47">
        <v>0</v>
      </c>
      <c r="CM305" s="47">
        <v>0</v>
      </c>
      <c r="CN305" s="47">
        <v>0</v>
      </c>
      <c r="CO305" s="47">
        <v>0</v>
      </c>
      <c r="CP305" s="47">
        <v>0</v>
      </c>
      <c r="CQ305" s="47">
        <v>0</v>
      </c>
      <c r="CR305" s="47">
        <v>0</v>
      </c>
      <c r="CS305" s="47">
        <v>0</v>
      </c>
      <c r="CT305" s="47">
        <v>0</v>
      </c>
      <c r="CU305" s="47">
        <v>0</v>
      </c>
      <c r="CV305" s="47">
        <v>0</v>
      </c>
      <c r="CW305" s="47">
        <v>0</v>
      </c>
      <c r="CX305" s="47">
        <v>0</v>
      </c>
      <c r="CY305" s="47">
        <v>0</v>
      </c>
      <c r="CZ305" s="47">
        <v>0</v>
      </c>
      <c r="DA305" s="47">
        <v>0</v>
      </c>
      <c r="DB305" s="47">
        <v>0</v>
      </c>
      <c r="DC305" s="47">
        <v>0</v>
      </c>
      <c r="DD305" s="47">
        <v>0</v>
      </c>
      <c r="DE305" s="47">
        <v>0</v>
      </c>
      <c r="DF305" s="47">
        <v>0</v>
      </c>
      <c r="DG305" s="47">
        <v>0</v>
      </c>
      <c r="DH305" s="47">
        <v>0</v>
      </c>
      <c r="DI305" s="47">
        <v>0</v>
      </c>
      <c r="DJ305" s="47">
        <v>0</v>
      </c>
      <c r="DK305" s="47">
        <v>0</v>
      </c>
      <c r="DL305" s="47">
        <v>0</v>
      </c>
      <c r="DM305" s="47">
        <v>0</v>
      </c>
      <c r="DN305" s="47">
        <v>0</v>
      </c>
      <c r="DO305" s="47">
        <v>0</v>
      </c>
      <c r="DP305" s="47">
        <v>0</v>
      </c>
      <c r="DQ305" s="47">
        <v>0</v>
      </c>
      <c r="DR305" s="47">
        <v>0</v>
      </c>
      <c r="DS305" s="47">
        <v>0</v>
      </c>
      <c r="DT305" s="47">
        <v>0</v>
      </c>
    </row>
    <row r="306" spans="1:126" x14ac:dyDescent="0.25">
      <c r="A306" s="47" t="s">
        <v>1513</v>
      </c>
      <c r="B306" s="47" t="s">
        <v>153</v>
      </c>
      <c r="C306" s="47" t="s">
        <v>1514</v>
      </c>
      <c r="D306" s="47" t="s">
        <v>1515</v>
      </c>
      <c r="E306" s="47" t="s">
        <v>1516</v>
      </c>
      <c r="F306" s="47" t="s">
        <v>698</v>
      </c>
      <c r="G306" s="47" t="s">
        <v>705</v>
      </c>
      <c r="H306" s="47" t="str">
        <f>=IFERROR(VLOOKUP(A306,'ETPT Format DDG'!A:J,10,FALSE),"")</f>
        <v>0</v>
      </c>
      <c r="I306" s="47" t="str">
        <f>='ETPT Format DDG'!M306</f>
        <v/>
      </c>
      <c r="J306" s="47" t="str">
        <f>='ETPT Format DDG'!D306</f>
        <v/>
      </c>
      <c r="K306" s="47" t="s">
        <v>157</v>
      </c>
      <c r="L306" s="47" t="s">
        <v>722</v>
      </c>
      <c r="M306" s="47"/>
      <c r="N306" s="47">
        <v>1</v>
      </c>
      <c r="O306" s="47">
        <v>0</v>
      </c>
      <c r="P306" s="47">
        <v>0</v>
      </c>
      <c r="Q306" s="47">
        <v>0</v>
      </c>
      <c r="R306" s="47">
        <v>0</v>
      </c>
      <c r="S306" s="47">
        <v>0</v>
      </c>
      <c r="T306" s="47">
        <v>0</v>
      </c>
      <c r="U306" s="47">
        <v>0</v>
      </c>
      <c r="V306" s="47">
        <v>0</v>
      </c>
      <c r="W306" s="47">
        <v>0</v>
      </c>
      <c r="X306" s="47">
        <v>0</v>
      </c>
      <c r="Y306" s="47">
        <v>0</v>
      </c>
      <c r="Z306" s="47">
        <v>0</v>
      </c>
      <c r="AA306" s="47">
        <v>0</v>
      </c>
      <c r="AB306" s="47">
        <v>0</v>
      </c>
      <c r="AC306" s="47">
        <v>0</v>
      </c>
      <c r="AD306" s="47">
        <v>0</v>
      </c>
      <c r="AE306" s="47">
        <v>0</v>
      </c>
      <c r="AF306" s="47">
        <v>0</v>
      </c>
      <c r="AG306" s="47">
        <v>0</v>
      </c>
      <c r="AH306" s="47">
        <v>0</v>
      </c>
      <c r="AI306" s="47">
        <v>0</v>
      </c>
      <c r="AJ306" s="47">
        <v>0</v>
      </c>
      <c r="AK306" s="47">
        <v>0</v>
      </c>
      <c r="AL306" s="47">
        <v>0</v>
      </c>
      <c r="AM306" s="47">
        <v>0</v>
      </c>
      <c r="AN306" s="47">
        <v>0</v>
      </c>
      <c r="AO306" s="47">
        <v>0</v>
      </c>
      <c r="AP306" s="47">
        <v>0</v>
      </c>
      <c r="AQ306" s="47">
        <v>0</v>
      </c>
      <c r="AR306" s="47">
        <v>0</v>
      </c>
      <c r="AS306" s="47">
        <v>0</v>
      </c>
      <c r="AT306" s="47">
        <v>0</v>
      </c>
      <c r="AU306" s="47">
        <v>0</v>
      </c>
      <c r="AV306" s="47">
        <v>0</v>
      </c>
      <c r="AW306" s="47">
        <v>0</v>
      </c>
      <c r="AX306" s="47">
        <v>0</v>
      </c>
      <c r="AY306" s="47">
        <v>0</v>
      </c>
      <c r="AZ306" s="47">
        <v>0</v>
      </c>
      <c r="BA306" s="47">
        <v>0</v>
      </c>
      <c r="BB306" s="47">
        <v>0</v>
      </c>
      <c r="BC306" s="47">
        <v>0</v>
      </c>
      <c r="BD306" s="47">
        <v>0</v>
      </c>
      <c r="BE306" s="47">
        <v>0</v>
      </c>
      <c r="BF306" s="47">
        <v>0</v>
      </c>
      <c r="BG306" s="47">
        <v>0</v>
      </c>
      <c r="BH306" s="47">
        <v>0</v>
      </c>
      <c r="BI306" s="47">
        <v>0</v>
      </c>
      <c r="BJ306" s="47">
        <v>0</v>
      </c>
      <c r="BK306" s="47">
        <v>0</v>
      </c>
      <c r="BL306" s="47">
        <v>0</v>
      </c>
      <c r="BM306" s="47">
        <v>0</v>
      </c>
      <c r="BN306" s="47">
        <v>0</v>
      </c>
      <c r="BO306" s="47">
        <v>0</v>
      </c>
      <c r="BP306" s="47">
        <v>0</v>
      </c>
      <c r="BQ306" s="47">
        <v>0</v>
      </c>
      <c r="BR306" s="47">
        <v>0</v>
      </c>
      <c r="BS306" s="47">
        <v>0</v>
      </c>
      <c r="BT306" s="47">
        <v>0</v>
      </c>
      <c r="BU306" s="47">
        <v>0</v>
      </c>
      <c r="BV306" s="47">
        <v>0</v>
      </c>
      <c r="BW306" s="47">
        <v>0</v>
      </c>
      <c r="BX306" s="47">
        <v>0</v>
      </c>
      <c r="BY306" s="47">
        <v>0</v>
      </c>
      <c r="BZ306" s="47">
        <v>0</v>
      </c>
      <c r="CA306" s="47">
        <v>0</v>
      </c>
      <c r="CB306" s="47">
        <v>0</v>
      </c>
      <c r="CC306" s="47">
        <v>0</v>
      </c>
      <c r="CD306" s="47">
        <v>0</v>
      </c>
      <c r="CE306" s="47">
        <v>0</v>
      </c>
      <c r="CF306" s="47">
        <v>0</v>
      </c>
      <c r="CG306" s="47">
        <v>0</v>
      </c>
      <c r="CH306" s="47">
        <v>0</v>
      </c>
      <c r="CI306" s="47">
        <v>0</v>
      </c>
      <c r="CJ306" s="47">
        <v>0</v>
      </c>
      <c r="CK306" s="47">
        <v>0</v>
      </c>
      <c r="CL306" s="47">
        <v>0</v>
      </c>
      <c r="CM306" s="47">
        <v>0</v>
      </c>
      <c r="CN306" s="47">
        <v>0</v>
      </c>
      <c r="CO306" s="47">
        <v>0</v>
      </c>
      <c r="CP306" s="47">
        <v>0</v>
      </c>
      <c r="CQ306" s="47">
        <v>0</v>
      </c>
      <c r="CR306" s="47">
        <v>0</v>
      </c>
      <c r="CS306" s="47">
        <v>0</v>
      </c>
      <c r="CT306" s="47">
        <v>0</v>
      </c>
      <c r="CU306" s="47">
        <v>0</v>
      </c>
      <c r="CV306" s="47">
        <v>0</v>
      </c>
      <c r="CW306" s="47">
        <v>0</v>
      </c>
      <c r="CX306" s="47">
        <v>0</v>
      </c>
      <c r="CY306" s="47">
        <v>0</v>
      </c>
      <c r="CZ306" s="47">
        <v>0</v>
      </c>
      <c r="DA306" s="47">
        <v>0</v>
      </c>
      <c r="DB306" s="47">
        <v>0</v>
      </c>
      <c r="DC306" s="47">
        <v>0</v>
      </c>
      <c r="DD306" s="47">
        <v>0</v>
      </c>
      <c r="DE306" s="47">
        <v>0</v>
      </c>
      <c r="DF306" s="47">
        <v>0</v>
      </c>
      <c r="DG306" s="47">
        <v>0</v>
      </c>
      <c r="DH306" s="47">
        <v>0</v>
      </c>
      <c r="DI306" s="47">
        <v>0</v>
      </c>
      <c r="DJ306" s="47">
        <v>0</v>
      </c>
      <c r="DK306" s="47">
        <v>0</v>
      </c>
      <c r="DL306" s="47">
        <v>0</v>
      </c>
      <c r="DM306" s="47">
        <v>0</v>
      </c>
      <c r="DN306" s="47">
        <v>0</v>
      </c>
      <c r="DO306" s="47">
        <v>0</v>
      </c>
      <c r="DP306" s="47">
        <v>0</v>
      </c>
      <c r="DQ306" s="47">
        <v>0</v>
      </c>
      <c r="DR306" s="47">
        <v>0</v>
      </c>
      <c r="DS306" s="47">
        <v>0</v>
      </c>
      <c r="DT306" s="47">
        <v>0</v>
      </c>
    </row>
    <row r="307" spans="1:126" x14ac:dyDescent="0.25">
      <c r="A307" s="47" t="s">
        <v>1517</v>
      </c>
      <c r="B307" s="47" t="s">
        <v>153</v>
      </c>
      <c r="C307" s="47" t="s">
        <v>1518</v>
      </c>
      <c r="D307" s="47" t="s">
        <v>1519</v>
      </c>
      <c r="E307" s="47" t="s">
        <v>1520</v>
      </c>
      <c r="F307" s="47" t="s">
        <v>698</v>
      </c>
      <c r="G307" s="47" t="s">
        <v>738</v>
      </c>
      <c r="H307" s="47" t="str">
        <f>=IFERROR(VLOOKUP(A307,'ETPT Format DDG'!A:J,10,FALSE),"")</f>
        <v>0</v>
      </c>
      <c r="I307" s="47" t="str">
        <f>='ETPT Format DDG'!M307</f>
        <v/>
      </c>
      <c r="J307" s="47" t="str">
        <f>='ETPT Format DDG'!D307</f>
        <v/>
      </c>
      <c r="K307" s="47" t="s">
        <v>157</v>
      </c>
      <c r="L307" s="47" t="s">
        <v>163</v>
      </c>
      <c r="M307" s="47"/>
      <c r="N307" s="47">
        <v>1</v>
      </c>
      <c r="O307" s="47">
        <v>1</v>
      </c>
      <c r="P307" s="47">
        <v>1</v>
      </c>
      <c r="Q307" s="47">
        <v>0</v>
      </c>
      <c r="R307" s="47">
        <v>0</v>
      </c>
      <c r="S307" s="47">
        <v>0</v>
      </c>
      <c r="T307" s="47">
        <v>0</v>
      </c>
      <c r="U307" s="47">
        <v>0</v>
      </c>
      <c r="V307" s="47">
        <v>0</v>
      </c>
      <c r="W307" s="47">
        <v>0</v>
      </c>
      <c r="X307" s="47">
        <v>0</v>
      </c>
      <c r="Y307" s="47">
        <v>0</v>
      </c>
      <c r="Z307" s="47">
        <v>0</v>
      </c>
      <c r="AA307" s="47">
        <v>0</v>
      </c>
      <c r="AB307" s="47">
        <v>0</v>
      </c>
      <c r="AC307" s="47">
        <v>0</v>
      </c>
      <c r="AD307" s="47">
        <v>0</v>
      </c>
      <c r="AE307" s="47">
        <v>0</v>
      </c>
      <c r="AF307" s="47">
        <v>0</v>
      </c>
      <c r="AG307" s="47">
        <v>0</v>
      </c>
      <c r="AH307" s="47">
        <v>0</v>
      </c>
      <c r="AI307" s="47">
        <v>0</v>
      </c>
      <c r="AJ307" s="47">
        <v>0</v>
      </c>
      <c r="AK307" s="47">
        <v>0</v>
      </c>
      <c r="AL307" s="47">
        <v>0</v>
      </c>
      <c r="AM307" s="47">
        <v>0</v>
      </c>
      <c r="AN307" s="47">
        <v>0</v>
      </c>
      <c r="AO307" s="47">
        <v>0</v>
      </c>
      <c r="AP307" s="47">
        <v>0</v>
      </c>
      <c r="AQ307" s="47">
        <v>0</v>
      </c>
      <c r="AR307" s="47">
        <v>0</v>
      </c>
      <c r="AS307" s="47">
        <v>0</v>
      </c>
      <c r="AT307" s="47">
        <v>0</v>
      </c>
      <c r="AU307" s="47">
        <v>0</v>
      </c>
      <c r="AV307" s="47">
        <v>0</v>
      </c>
      <c r="AW307" s="47">
        <v>0</v>
      </c>
      <c r="AX307" s="47">
        <v>0</v>
      </c>
      <c r="AY307" s="47">
        <v>0</v>
      </c>
      <c r="AZ307" s="47">
        <v>0</v>
      </c>
      <c r="BA307" s="47">
        <v>0</v>
      </c>
      <c r="BB307" s="47">
        <v>0</v>
      </c>
      <c r="BC307" s="47">
        <v>0</v>
      </c>
      <c r="BD307" s="47">
        <v>0</v>
      </c>
      <c r="BE307" s="47">
        <v>0</v>
      </c>
      <c r="BF307" s="47">
        <v>0</v>
      </c>
      <c r="BG307" s="47">
        <v>0</v>
      </c>
      <c r="BH307" s="47">
        <v>0</v>
      </c>
      <c r="BI307" s="47">
        <v>0</v>
      </c>
      <c r="BJ307" s="47">
        <v>0</v>
      </c>
      <c r="BK307" s="47">
        <v>0</v>
      </c>
      <c r="BL307" s="47">
        <v>0</v>
      </c>
      <c r="BM307" s="47">
        <v>0</v>
      </c>
      <c r="BN307" s="47">
        <v>0</v>
      </c>
      <c r="BO307" s="47">
        <v>0</v>
      </c>
      <c r="BP307" s="47">
        <v>0</v>
      </c>
      <c r="BQ307" s="47">
        <v>0</v>
      </c>
      <c r="BR307" s="47">
        <v>0</v>
      </c>
      <c r="BS307" s="47">
        <v>0</v>
      </c>
      <c r="BT307" s="47">
        <v>0</v>
      </c>
      <c r="BU307" s="47">
        <v>0</v>
      </c>
      <c r="BV307" s="47">
        <v>0</v>
      </c>
      <c r="BW307" s="47">
        <v>0</v>
      </c>
      <c r="BX307" s="47">
        <v>0</v>
      </c>
      <c r="BY307" s="47">
        <v>0</v>
      </c>
      <c r="BZ307" s="47">
        <v>0</v>
      </c>
      <c r="CA307" s="47">
        <v>0</v>
      </c>
      <c r="CB307" s="47">
        <v>0</v>
      </c>
      <c r="CC307" s="47">
        <v>0</v>
      </c>
      <c r="CD307" s="47">
        <v>0</v>
      </c>
      <c r="CE307" s="47">
        <v>0</v>
      </c>
      <c r="CF307" s="47">
        <v>0</v>
      </c>
      <c r="CG307" s="47">
        <v>0</v>
      </c>
      <c r="CH307" s="47">
        <v>0</v>
      </c>
      <c r="CI307" s="47">
        <v>0</v>
      </c>
      <c r="CJ307" s="47">
        <v>0</v>
      </c>
      <c r="CK307" s="47">
        <v>0</v>
      </c>
      <c r="CL307" s="47">
        <v>0</v>
      </c>
      <c r="CM307" s="47">
        <v>0</v>
      </c>
      <c r="CN307" s="47">
        <v>0</v>
      </c>
      <c r="CO307" s="47">
        <v>0</v>
      </c>
      <c r="CP307" s="47">
        <v>0</v>
      </c>
      <c r="CQ307" s="47">
        <v>0</v>
      </c>
      <c r="CR307" s="47">
        <v>0</v>
      </c>
      <c r="CS307" s="47">
        <v>0</v>
      </c>
      <c r="CT307" s="47">
        <v>0</v>
      </c>
      <c r="CU307" s="47">
        <v>0</v>
      </c>
      <c r="CV307" s="47">
        <v>0</v>
      </c>
      <c r="CW307" s="47">
        <v>0</v>
      </c>
      <c r="CX307" s="47">
        <v>0</v>
      </c>
      <c r="CY307" s="47">
        <v>0</v>
      </c>
      <c r="CZ307" s="47">
        <v>0</v>
      </c>
      <c r="DA307" s="47">
        <v>0</v>
      </c>
      <c r="DB307" s="47">
        <v>0</v>
      </c>
      <c r="DC307" s="47">
        <v>0</v>
      </c>
      <c r="DD307" s="47">
        <v>0</v>
      </c>
      <c r="DE307" s="47">
        <v>0</v>
      </c>
      <c r="DF307" s="47">
        <v>0</v>
      </c>
      <c r="DG307" s="47">
        <v>0</v>
      </c>
      <c r="DH307" s="47">
        <v>0</v>
      </c>
      <c r="DI307" s="47">
        <v>0</v>
      </c>
      <c r="DJ307" s="47">
        <v>0</v>
      </c>
      <c r="DK307" s="47">
        <v>0</v>
      </c>
      <c r="DL307" s="47">
        <v>0</v>
      </c>
      <c r="DM307" s="47">
        <v>0</v>
      </c>
      <c r="DN307" s="47">
        <v>0</v>
      </c>
      <c r="DO307" s="47">
        <v>0</v>
      </c>
      <c r="DP307" s="47">
        <v>0</v>
      </c>
      <c r="DQ307" s="47">
        <v>0</v>
      </c>
      <c r="DR307" s="47">
        <v>0</v>
      </c>
      <c r="DS307" s="47">
        <v>0</v>
      </c>
      <c r="DT307" s="47">
        <v>0</v>
      </c>
    </row>
    <row r="308" spans="1:126" x14ac:dyDescent="0.25">
      <c r="A308" s="47" t="s">
        <v>1521</v>
      </c>
      <c r="B308" s="47" t="s">
        <v>153</v>
      </c>
      <c r="C308" s="47" t="s">
        <v>1522</v>
      </c>
      <c r="D308" s="47" t="s">
        <v>1523</v>
      </c>
      <c r="E308" s="47" t="s">
        <v>1524</v>
      </c>
      <c r="F308" s="47" t="s">
        <v>698</v>
      </c>
      <c r="G308" s="47" t="s">
        <v>705</v>
      </c>
      <c r="H308" s="47" t="str">
        <f>=IFERROR(VLOOKUP(A308,'ETPT Format DDG'!A:J,10,FALSE),"")</f>
        <v>0</v>
      </c>
      <c r="I308" s="47" t="str">
        <f>='ETPT Format DDG'!M308</f>
        <v/>
      </c>
      <c r="J308" s="47" t="str">
        <f>='ETPT Format DDG'!D308</f>
        <v/>
      </c>
      <c r="K308" s="47" t="s">
        <v>157</v>
      </c>
      <c r="L308" s="47" t="s">
        <v>1525</v>
      </c>
      <c r="M308" s="47"/>
      <c r="N308" s="47">
        <v>1</v>
      </c>
      <c r="O308" s="47">
        <v>0</v>
      </c>
      <c r="P308" s="47">
        <v>0</v>
      </c>
      <c r="Q308" s="47">
        <v>0</v>
      </c>
      <c r="R308" s="47">
        <v>0</v>
      </c>
      <c r="S308" s="47">
        <v>0</v>
      </c>
      <c r="T308" s="47">
        <v>0</v>
      </c>
      <c r="U308" s="47">
        <v>0</v>
      </c>
      <c r="V308" s="47">
        <v>0</v>
      </c>
      <c r="W308" s="47">
        <v>0</v>
      </c>
      <c r="X308" s="47">
        <v>0</v>
      </c>
      <c r="Y308" s="47">
        <v>0</v>
      </c>
      <c r="Z308" s="47">
        <v>0</v>
      </c>
      <c r="AA308" s="47">
        <v>0</v>
      </c>
      <c r="AB308" s="47">
        <v>0</v>
      </c>
      <c r="AC308" s="47">
        <v>0</v>
      </c>
      <c r="AD308" s="47">
        <v>0</v>
      </c>
      <c r="AE308" s="47">
        <v>0</v>
      </c>
      <c r="AF308" s="47">
        <v>0</v>
      </c>
      <c r="AG308" s="47">
        <v>0</v>
      </c>
      <c r="AH308" s="47">
        <v>0</v>
      </c>
      <c r="AI308" s="47">
        <v>0</v>
      </c>
      <c r="AJ308" s="47">
        <v>0</v>
      </c>
      <c r="AK308" s="47">
        <v>0</v>
      </c>
      <c r="AL308" s="47">
        <v>0</v>
      </c>
      <c r="AM308" s="47">
        <v>0</v>
      </c>
      <c r="AN308" s="47">
        <v>0</v>
      </c>
      <c r="AO308" s="47">
        <v>0</v>
      </c>
      <c r="AP308" s="47">
        <v>0</v>
      </c>
      <c r="AQ308" s="47">
        <v>0</v>
      </c>
      <c r="AR308" s="47">
        <v>0</v>
      </c>
      <c r="AS308" s="47">
        <v>0</v>
      </c>
      <c r="AT308" s="47">
        <v>0</v>
      </c>
      <c r="AU308" s="47">
        <v>0</v>
      </c>
      <c r="AV308" s="47">
        <v>0</v>
      </c>
      <c r="AW308" s="47">
        <v>0</v>
      </c>
      <c r="AX308" s="47">
        <v>0</v>
      </c>
      <c r="AY308" s="47">
        <v>0</v>
      </c>
      <c r="AZ308" s="47">
        <v>0</v>
      </c>
      <c r="BA308" s="47">
        <v>0</v>
      </c>
      <c r="BB308" s="47">
        <v>0</v>
      </c>
      <c r="BC308" s="47">
        <v>0</v>
      </c>
      <c r="BD308" s="47">
        <v>0</v>
      </c>
      <c r="BE308" s="47">
        <v>0</v>
      </c>
      <c r="BF308" s="47">
        <v>0</v>
      </c>
      <c r="BG308" s="47">
        <v>0</v>
      </c>
      <c r="BH308" s="47">
        <v>0</v>
      </c>
      <c r="BI308" s="47">
        <v>0</v>
      </c>
      <c r="BJ308" s="47">
        <v>0</v>
      </c>
      <c r="BK308" s="47">
        <v>0</v>
      </c>
      <c r="BL308" s="47">
        <v>0</v>
      </c>
      <c r="BM308" s="47">
        <v>0</v>
      </c>
      <c r="BN308" s="47">
        <v>0</v>
      </c>
      <c r="BO308" s="47">
        <v>0</v>
      </c>
      <c r="BP308" s="47">
        <v>0</v>
      </c>
      <c r="BQ308" s="47">
        <v>0</v>
      </c>
      <c r="BR308" s="47">
        <v>0</v>
      </c>
      <c r="BS308" s="47">
        <v>0</v>
      </c>
      <c r="BT308" s="47">
        <v>0</v>
      </c>
      <c r="BU308" s="47">
        <v>0</v>
      </c>
      <c r="BV308" s="47">
        <v>0</v>
      </c>
      <c r="BW308" s="47">
        <v>0</v>
      </c>
      <c r="BX308" s="47">
        <v>0</v>
      </c>
      <c r="BY308" s="47">
        <v>0</v>
      </c>
      <c r="BZ308" s="47">
        <v>0</v>
      </c>
      <c r="CA308" s="47">
        <v>0</v>
      </c>
      <c r="CB308" s="47">
        <v>0</v>
      </c>
      <c r="CC308" s="47">
        <v>0</v>
      </c>
      <c r="CD308" s="47">
        <v>0</v>
      </c>
      <c r="CE308" s="47">
        <v>0</v>
      </c>
      <c r="CF308" s="47">
        <v>0</v>
      </c>
      <c r="CG308" s="47">
        <v>0</v>
      </c>
      <c r="CH308" s="47">
        <v>0</v>
      </c>
      <c r="CI308" s="47">
        <v>0</v>
      </c>
      <c r="CJ308" s="47">
        <v>0</v>
      </c>
      <c r="CK308" s="47">
        <v>0</v>
      </c>
      <c r="CL308" s="47">
        <v>0</v>
      </c>
      <c r="CM308" s="47">
        <v>0</v>
      </c>
      <c r="CN308" s="47">
        <v>0</v>
      </c>
      <c r="CO308" s="47">
        <v>0</v>
      </c>
      <c r="CP308" s="47">
        <v>0</v>
      </c>
      <c r="CQ308" s="47">
        <v>0</v>
      </c>
      <c r="CR308" s="47">
        <v>0</v>
      </c>
      <c r="CS308" s="47">
        <v>0</v>
      </c>
      <c r="CT308" s="47">
        <v>0</v>
      </c>
      <c r="CU308" s="47">
        <v>0</v>
      </c>
      <c r="CV308" s="47">
        <v>0</v>
      </c>
      <c r="CW308" s="47">
        <v>0</v>
      </c>
      <c r="CX308" s="47">
        <v>0</v>
      </c>
      <c r="CY308" s="47">
        <v>0</v>
      </c>
      <c r="CZ308" s="47">
        <v>0</v>
      </c>
      <c r="DA308" s="47">
        <v>0</v>
      </c>
      <c r="DB308" s="47">
        <v>0</v>
      </c>
      <c r="DC308" s="47">
        <v>0</v>
      </c>
      <c r="DD308" s="47">
        <v>0</v>
      </c>
      <c r="DE308" s="47">
        <v>0</v>
      </c>
      <c r="DF308" s="47">
        <v>0</v>
      </c>
      <c r="DG308" s="47">
        <v>0</v>
      </c>
      <c r="DH308" s="47">
        <v>0</v>
      </c>
      <c r="DI308" s="47">
        <v>0</v>
      </c>
      <c r="DJ308" s="47">
        <v>0</v>
      </c>
      <c r="DK308" s="47">
        <v>0</v>
      </c>
      <c r="DL308" s="47">
        <v>0</v>
      </c>
      <c r="DM308" s="47">
        <v>0</v>
      </c>
      <c r="DN308" s="47">
        <v>0</v>
      </c>
      <c r="DO308" s="47">
        <v>0</v>
      </c>
      <c r="DP308" s="47">
        <v>0</v>
      </c>
      <c r="DQ308" s="47">
        <v>0</v>
      </c>
      <c r="DR308" s="47">
        <v>0</v>
      </c>
      <c r="DS308" s="47">
        <v>0</v>
      </c>
      <c r="DT308" s="47">
        <v>0</v>
      </c>
    </row>
    <row r="309" spans="1:126" x14ac:dyDescent="0.25">
      <c r="A309" s="47" t="s">
        <v>1526</v>
      </c>
      <c r="B309" s="47" t="s">
        <v>153</v>
      </c>
      <c r="C309" s="47" t="s">
        <v>1527</v>
      </c>
      <c r="D309" s="47" t="s">
        <v>1528</v>
      </c>
      <c r="E309" s="47" t="s">
        <v>1529</v>
      </c>
      <c r="F309" s="47" t="s">
        <v>698</v>
      </c>
      <c r="G309" s="47" t="s">
        <v>705</v>
      </c>
      <c r="H309" s="47" t="str">
        <f>=IFERROR(VLOOKUP(A309,'ETPT Format DDG'!A:J,10,FALSE),"")</f>
        <v>0</v>
      </c>
      <c r="I309" s="47" t="str">
        <f>='ETPT Format DDG'!M309</f>
        <v/>
      </c>
      <c r="J309" s="47" t="str">
        <f>='ETPT Format DDG'!D309</f>
        <v/>
      </c>
      <c r="K309" s="47" t="s">
        <v>157</v>
      </c>
      <c r="L309" s="47" t="s">
        <v>722</v>
      </c>
      <c r="M309" s="47"/>
      <c r="N309" s="47">
        <v>1</v>
      </c>
      <c r="O309" s="47">
        <v>0</v>
      </c>
      <c r="P309" s="47">
        <v>0</v>
      </c>
      <c r="Q309" s="47">
        <v>0</v>
      </c>
      <c r="R309" s="47">
        <v>0</v>
      </c>
      <c r="S309" s="47">
        <v>0</v>
      </c>
      <c r="T309" s="47">
        <v>0</v>
      </c>
      <c r="U309" s="47">
        <v>0</v>
      </c>
      <c r="V309" s="47">
        <v>0</v>
      </c>
      <c r="W309" s="47">
        <v>0</v>
      </c>
      <c r="X309" s="47">
        <v>0</v>
      </c>
      <c r="Y309" s="47">
        <v>0</v>
      </c>
      <c r="Z309" s="47">
        <v>0</v>
      </c>
      <c r="AA309" s="47">
        <v>0</v>
      </c>
      <c r="AB309" s="47">
        <v>0</v>
      </c>
      <c r="AC309" s="47">
        <v>0</v>
      </c>
      <c r="AD309" s="47">
        <v>0</v>
      </c>
      <c r="AE309" s="47">
        <v>0</v>
      </c>
      <c r="AF309" s="47">
        <v>0</v>
      </c>
      <c r="AG309" s="47">
        <v>0</v>
      </c>
      <c r="AH309" s="47">
        <v>0</v>
      </c>
      <c r="AI309" s="47">
        <v>0</v>
      </c>
      <c r="AJ309" s="47">
        <v>0</v>
      </c>
      <c r="AK309" s="47">
        <v>0</v>
      </c>
      <c r="AL309" s="47">
        <v>0</v>
      </c>
      <c r="AM309" s="47">
        <v>0</v>
      </c>
      <c r="AN309" s="47">
        <v>0</v>
      </c>
      <c r="AO309" s="47">
        <v>0</v>
      </c>
      <c r="AP309" s="47">
        <v>0</v>
      </c>
      <c r="AQ309" s="47">
        <v>0</v>
      </c>
      <c r="AR309" s="47">
        <v>0</v>
      </c>
      <c r="AS309" s="47">
        <v>0</v>
      </c>
      <c r="AT309" s="47">
        <v>0</v>
      </c>
      <c r="AU309" s="47">
        <v>0</v>
      </c>
      <c r="AV309" s="47">
        <v>0</v>
      </c>
      <c r="AW309" s="47">
        <v>0</v>
      </c>
      <c r="AX309" s="47">
        <v>0</v>
      </c>
      <c r="AY309" s="47">
        <v>0</v>
      </c>
      <c r="AZ309" s="47">
        <v>0</v>
      </c>
      <c r="BA309" s="47">
        <v>0</v>
      </c>
      <c r="BB309" s="47">
        <v>0</v>
      </c>
      <c r="BC309" s="47">
        <v>0</v>
      </c>
      <c r="BD309" s="47">
        <v>0</v>
      </c>
      <c r="BE309" s="47">
        <v>0</v>
      </c>
      <c r="BF309" s="47">
        <v>0</v>
      </c>
      <c r="BG309" s="47">
        <v>0</v>
      </c>
      <c r="BH309" s="47">
        <v>0</v>
      </c>
      <c r="BI309" s="47">
        <v>0</v>
      </c>
      <c r="BJ309" s="47">
        <v>0</v>
      </c>
      <c r="BK309" s="47">
        <v>0</v>
      </c>
      <c r="BL309" s="47">
        <v>0</v>
      </c>
      <c r="BM309" s="47">
        <v>0</v>
      </c>
      <c r="BN309" s="47">
        <v>0</v>
      </c>
      <c r="BO309" s="47">
        <v>0</v>
      </c>
      <c r="BP309" s="47">
        <v>0</v>
      </c>
      <c r="BQ309" s="47">
        <v>0</v>
      </c>
      <c r="BR309" s="47">
        <v>0</v>
      </c>
      <c r="BS309" s="47">
        <v>0</v>
      </c>
      <c r="BT309" s="47">
        <v>0</v>
      </c>
      <c r="BU309" s="47">
        <v>0</v>
      </c>
      <c r="BV309" s="47">
        <v>0</v>
      </c>
      <c r="BW309" s="47">
        <v>0</v>
      </c>
      <c r="BX309" s="47">
        <v>0</v>
      </c>
      <c r="BY309" s="47">
        <v>0</v>
      </c>
      <c r="BZ309" s="47">
        <v>0</v>
      </c>
      <c r="CA309" s="47">
        <v>0</v>
      </c>
      <c r="CB309" s="47">
        <v>0</v>
      </c>
      <c r="CC309" s="47">
        <v>0</v>
      </c>
      <c r="CD309" s="47">
        <v>0</v>
      </c>
      <c r="CE309" s="47">
        <v>0</v>
      </c>
      <c r="CF309" s="47">
        <v>0</v>
      </c>
      <c r="CG309" s="47">
        <v>0</v>
      </c>
      <c r="CH309" s="47">
        <v>0</v>
      </c>
      <c r="CI309" s="47">
        <v>0</v>
      </c>
      <c r="CJ309" s="47">
        <v>0</v>
      </c>
      <c r="CK309" s="47">
        <v>0</v>
      </c>
      <c r="CL309" s="47">
        <v>0</v>
      </c>
      <c r="CM309" s="47">
        <v>0</v>
      </c>
      <c r="CN309" s="47">
        <v>0</v>
      </c>
      <c r="CO309" s="47">
        <v>0</v>
      </c>
      <c r="CP309" s="47">
        <v>0</v>
      </c>
      <c r="CQ309" s="47">
        <v>0</v>
      </c>
      <c r="CR309" s="47">
        <v>0</v>
      </c>
      <c r="CS309" s="47">
        <v>0</v>
      </c>
      <c r="CT309" s="47">
        <v>0</v>
      </c>
      <c r="CU309" s="47">
        <v>0</v>
      </c>
      <c r="CV309" s="47">
        <v>0</v>
      </c>
      <c r="CW309" s="47">
        <v>0</v>
      </c>
      <c r="CX309" s="47">
        <v>0</v>
      </c>
      <c r="CY309" s="47">
        <v>0</v>
      </c>
      <c r="CZ309" s="47">
        <v>0</v>
      </c>
      <c r="DA309" s="47">
        <v>0</v>
      </c>
      <c r="DB309" s="47">
        <v>0</v>
      </c>
      <c r="DC309" s="47">
        <v>0</v>
      </c>
      <c r="DD309" s="47">
        <v>0</v>
      </c>
      <c r="DE309" s="47">
        <v>0</v>
      </c>
      <c r="DF309" s="47">
        <v>0</v>
      </c>
      <c r="DG309" s="47">
        <v>0</v>
      </c>
      <c r="DH309" s="47">
        <v>0</v>
      </c>
      <c r="DI309" s="47">
        <v>0</v>
      </c>
      <c r="DJ309" s="47">
        <v>0</v>
      </c>
      <c r="DK309" s="47">
        <v>0</v>
      </c>
      <c r="DL309" s="47">
        <v>0</v>
      </c>
      <c r="DM309" s="47">
        <v>0</v>
      </c>
      <c r="DN309" s="47">
        <v>0</v>
      </c>
      <c r="DO309" s="47">
        <v>0</v>
      </c>
      <c r="DP309" s="47">
        <v>0</v>
      </c>
      <c r="DQ309" s="47">
        <v>0</v>
      </c>
      <c r="DR309" s="47">
        <v>0</v>
      </c>
      <c r="DS309" s="47">
        <v>0</v>
      </c>
      <c r="DT309" s="47">
        <v>0</v>
      </c>
    </row>
    <row r="310" spans="1:126" x14ac:dyDescent="0.25">
      <c r="A310" s="47" t="s">
        <v>1530</v>
      </c>
      <c r="B310" s="47" t="s">
        <v>153</v>
      </c>
      <c r="C310" s="47" t="s">
        <v>1531</v>
      </c>
      <c r="D310" s="47" t="s">
        <v>1532</v>
      </c>
      <c r="E310" s="47" t="s">
        <v>1533</v>
      </c>
      <c r="F310" s="47" t="s">
        <v>698</v>
      </c>
      <c r="G310" s="47" t="s">
        <v>705</v>
      </c>
      <c r="H310" s="47" t="str">
        <f>=IFERROR(VLOOKUP(A310,'ETPT Format DDG'!A:J,10,FALSE),"")</f>
        <v>0</v>
      </c>
      <c r="I310" s="47" t="str">
        <f>='ETPT Format DDG'!M310</f>
        <v/>
      </c>
      <c r="J310" s="47" t="str">
        <f>='ETPT Format DDG'!D310</f>
        <v/>
      </c>
      <c r="K310" s="47" t="s">
        <v>157</v>
      </c>
      <c r="L310" s="47" t="s">
        <v>722</v>
      </c>
      <c r="M310" s="47"/>
      <c r="N310" s="47">
        <v>1</v>
      </c>
      <c r="O310" s="47">
        <v>0</v>
      </c>
      <c r="P310" s="47">
        <v>0</v>
      </c>
      <c r="Q310" s="47">
        <v>0</v>
      </c>
      <c r="R310" s="47">
        <v>0</v>
      </c>
      <c r="S310" s="47">
        <v>0</v>
      </c>
      <c r="T310" s="47">
        <v>0</v>
      </c>
      <c r="U310" s="47">
        <v>0</v>
      </c>
      <c r="V310" s="47">
        <v>0</v>
      </c>
      <c r="W310" s="47">
        <v>0</v>
      </c>
      <c r="X310" s="47">
        <v>0</v>
      </c>
      <c r="Y310" s="47">
        <v>0</v>
      </c>
      <c r="Z310" s="47">
        <v>0</v>
      </c>
      <c r="AA310" s="47">
        <v>0</v>
      </c>
      <c r="AB310" s="47">
        <v>0</v>
      </c>
      <c r="AC310" s="47">
        <v>0</v>
      </c>
      <c r="AD310" s="47">
        <v>0</v>
      </c>
      <c r="AE310" s="47">
        <v>0</v>
      </c>
      <c r="AF310" s="47">
        <v>0</v>
      </c>
      <c r="AG310" s="47">
        <v>0</v>
      </c>
      <c r="AH310" s="47">
        <v>0</v>
      </c>
      <c r="AI310" s="47">
        <v>0</v>
      </c>
      <c r="AJ310" s="47">
        <v>0</v>
      </c>
      <c r="AK310" s="47">
        <v>0</v>
      </c>
      <c r="AL310" s="47">
        <v>0</v>
      </c>
      <c r="AM310" s="47">
        <v>0</v>
      </c>
      <c r="AN310" s="47">
        <v>0</v>
      </c>
      <c r="AO310" s="47">
        <v>0</v>
      </c>
      <c r="AP310" s="47">
        <v>0</v>
      </c>
      <c r="AQ310" s="47">
        <v>0</v>
      </c>
      <c r="AR310" s="47">
        <v>0</v>
      </c>
      <c r="AS310" s="47">
        <v>0</v>
      </c>
      <c r="AT310" s="47">
        <v>0</v>
      </c>
      <c r="AU310" s="47">
        <v>0</v>
      </c>
      <c r="AV310" s="47">
        <v>0</v>
      </c>
      <c r="AW310" s="47">
        <v>0</v>
      </c>
      <c r="AX310" s="47">
        <v>0</v>
      </c>
      <c r="AY310" s="47">
        <v>0</v>
      </c>
      <c r="AZ310" s="47">
        <v>0</v>
      </c>
      <c r="BA310" s="47">
        <v>0</v>
      </c>
      <c r="BB310" s="47">
        <v>0</v>
      </c>
      <c r="BC310" s="47">
        <v>0</v>
      </c>
      <c r="BD310" s="47">
        <v>0</v>
      </c>
      <c r="BE310" s="47">
        <v>0</v>
      </c>
      <c r="BF310" s="47">
        <v>0</v>
      </c>
      <c r="BG310" s="47">
        <v>0</v>
      </c>
      <c r="BH310" s="47">
        <v>0</v>
      </c>
      <c r="BI310" s="47">
        <v>0</v>
      </c>
      <c r="BJ310" s="47">
        <v>0</v>
      </c>
      <c r="BK310" s="47">
        <v>0</v>
      </c>
      <c r="BL310" s="47">
        <v>0</v>
      </c>
      <c r="BM310" s="47">
        <v>0</v>
      </c>
      <c r="BN310" s="47">
        <v>0</v>
      </c>
      <c r="BO310" s="47">
        <v>0</v>
      </c>
      <c r="BP310" s="47">
        <v>0</v>
      </c>
      <c r="BQ310" s="47">
        <v>0</v>
      </c>
      <c r="BR310" s="47">
        <v>0</v>
      </c>
      <c r="BS310" s="47">
        <v>0</v>
      </c>
      <c r="BT310" s="47">
        <v>0</v>
      </c>
      <c r="BU310" s="47">
        <v>0</v>
      </c>
      <c r="BV310" s="47">
        <v>0</v>
      </c>
      <c r="BW310" s="47">
        <v>0</v>
      </c>
      <c r="BX310" s="47">
        <v>0</v>
      </c>
      <c r="BY310" s="47">
        <v>0</v>
      </c>
      <c r="BZ310" s="47">
        <v>0</v>
      </c>
      <c r="CA310" s="47">
        <v>0</v>
      </c>
      <c r="CB310" s="47">
        <v>0</v>
      </c>
      <c r="CC310" s="47">
        <v>0</v>
      </c>
      <c r="CD310" s="47">
        <v>0</v>
      </c>
      <c r="CE310" s="47">
        <v>0</v>
      </c>
      <c r="CF310" s="47">
        <v>0</v>
      </c>
      <c r="CG310" s="47">
        <v>0</v>
      </c>
      <c r="CH310" s="47">
        <v>0</v>
      </c>
      <c r="CI310" s="47">
        <v>0</v>
      </c>
      <c r="CJ310" s="47">
        <v>0</v>
      </c>
      <c r="CK310" s="47">
        <v>0</v>
      </c>
      <c r="CL310" s="47">
        <v>0</v>
      </c>
      <c r="CM310" s="47">
        <v>0</v>
      </c>
      <c r="CN310" s="47">
        <v>0</v>
      </c>
      <c r="CO310" s="47">
        <v>0</v>
      </c>
      <c r="CP310" s="47">
        <v>0</v>
      </c>
      <c r="CQ310" s="47">
        <v>0</v>
      </c>
      <c r="CR310" s="47">
        <v>0</v>
      </c>
      <c r="CS310" s="47">
        <v>0</v>
      </c>
      <c r="CT310" s="47">
        <v>0</v>
      </c>
      <c r="CU310" s="47">
        <v>0</v>
      </c>
      <c r="CV310" s="47">
        <v>0</v>
      </c>
      <c r="CW310" s="47">
        <v>0</v>
      </c>
      <c r="CX310" s="47">
        <v>0</v>
      </c>
      <c r="CY310" s="47">
        <v>0</v>
      </c>
      <c r="CZ310" s="47">
        <v>0</v>
      </c>
      <c r="DA310" s="47">
        <v>0</v>
      </c>
      <c r="DB310" s="47">
        <v>0</v>
      </c>
      <c r="DC310" s="47">
        <v>0</v>
      </c>
      <c r="DD310" s="47">
        <v>0</v>
      </c>
      <c r="DE310" s="47">
        <v>0</v>
      </c>
      <c r="DF310" s="47">
        <v>0</v>
      </c>
      <c r="DG310" s="47">
        <v>0</v>
      </c>
      <c r="DH310" s="47">
        <v>0</v>
      </c>
      <c r="DI310" s="47">
        <v>0</v>
      </c>
      <c r="DJ310" s="47">
        <v>0</v>
      </c>
      <c r="DK310" s="47">
        <v>0</v>
      </c>
      <c r="DL310" s="47">
        <v>0</v>
      </c>
      <c r="DM310" s="47">
        <v>0</v>
      </c>
      <c r="DN310" s="47">
        <v>0</v>
      </c>
      <c r="DO310" s="47">
        <v>0</v>
      </c>
      <c r="DP310" s="47">
        <v>0</v>
      </c>
      <c r="DQ310" s="47">
        <v>0</v>
      </c>
      <c r="DR310" s="47">
        <v>0</v>
      </c>
      <c r="DS310" s="47">
        <v>0</v>
      </c>
      <c r="DT310" s="47">
        <v>0</v>
      </c>
    </row>
    <row r="311" spans="1:126" x14ac:dyDescent="0.25">
      <c r="A311" s="47" t="s">
        <v>1534</v>
      </c>
      <c r="B311" s="47" t="s">
        <v>153</v>
      </c>
      <c r="C311" s="47" t="s">
        <v>1535</v>
      </c>
      <c r="D311" s="47" t="s">
        <v>1536</v>
      </c>
      <c r="E311" s="47" t="s">
        <v>1537</v>
      </c>
      <c r="F311" s="47" t="s">
        <v>698</v>
      </c>
      <c r="G311" s="47" t="s">
        <v>727</v>
      </c>
      <c r="H311" s="47" t="str">
        <f>=IFERROR(VLOOKUP(A311,'ETPT Format DDG'!A:J,10,FALSE),"")</f>
        <v>0</v>
      </c>
      <c r="I311" s="47" t="str">
        <f>='ETPT Format DDG'!M311</f>
        <v/>
      </c>
      <c r="J311" s="47" t="str">
        <f>='ETPT Format DDG'!D311</f>
        <v/>
      </c>
      <c r="K311" s="47" t="s">
        <v>157</v>
      </c>
      <c r="L311" s="47" t="s">
        <v>593</v>
      </c>
      <c r="M311" s="47"/>
      <c r="N311" s="47">
        <v>1</v>
      </c>
      <c r="O311" s="47">
        <v>1</v>
      </c>
      <c r="P311" s="47">
        <v>0</v>
      </c>
      <c r="Q311" s="47">
        <v>0</v>
      </c>
      <c r="R311" s="47">
        <v>0</v>
      </c>
      <c r="S311" s="47">
        <v>0</v>
      </c>
      <c r="T311" s="47">
        <v>0</v>
      </c>
      <c r="U311" s="47">
        <v>0</v>
      </c>
      <c r="V311" s="47">
        <v>0</v>
      </c>
      <c r="W311" s="47">
        <v>0</v>
      </c>
      <c r="X311" s="47">
        <v>0</v>
      </c>
      <c r="Y311" s="47">
        <v>0</v>
      </c>
      <c r="Z311" s="47">
        <v>0</v>
      </c>
      <c r="AA311" s="47">
        <v>0</v>
      </c>
      <c r="AB311" s="47">
        <v>0</v>
      </c>
      <c r="AC311" s="47">
        <v>0</v>
      </c>
      <c r="AD311" s="47">
        <v>0</v>
      </c>
      <c r="AE311" s="47">
        <v>0</v>
      </c>
      <c r="AF311" s="47">
        <v>0</v>
      </c>
      <c r="AG311" s="47">
        <v>0</v>
      </c>
      <c r="AH311" s="47">
        <v>0</v>
      </c>
      <c r="AI311" s="47">
        <v>0</v>
      </c>
      <c r="AJ311" s="47">
        <v>0</v>
      </c>
      <c r="AK311" s="47">
        <v>0</v>
      </c>
      <c r="AL311" s="47">
        <v>0</v>
      </c>
      <c r="AM311" s="47">
        <v>0</v>
      </c>
      <c r="AN311" s="47">
        <v>1</v>
      </c>
      <c r="AO311" s="47">
        <v>0</v>
      </c>
      <c r="AP311" s="47">
        <v>0</v>
      </c>
      <c r="AQ311" s="47">
        <v>0</v>
      </c>
      <c r="AR311" s="47">
        <v>0</v>
      </c>
      <c r="AS311" s="47">
        <v>0</v>
      </c>
      <c r="AT311" s="47">
        <v>0</v>
      </c>
      <c r="AU311" s="47">
        <v>0</v>
      </c>
      <c r="AV311" s="47">
        <v>0</v>
      </c>
      <c r="AW311" s="47">
        <v>0</v>
      </c>
      <c r="AX311" s="47">
        <v>0</v>
      </c>
      <c r="AY311" s="47">
        <v>0</v>
      </c>
      <c r="AZ311" s="47">
        <v>0</v>
      </c>
      <c r="BA311" s="47">
        <v>0</v>
      </c>
      <c r="BB311" s="47">
        <v>0</v>
      </c>
      <c r="BC311" s="47">
        <v>0</v>
      </c>
      <c r="BD311" s="47">
        <v>0</v>
      </c>
      <c r="BE311" s="47">
        <v>0</v>
      </c>
      <c r="BF311" s="47">
        <v>0</v>
      </c>
      <c r="BG311" s="47">
        <v>0</v>
      </c>
      <c r="BH311" s="47">
        <v>0</v>
      </c>
      <c r="BI311" s="47">
        <v>0</v>
      </c>
      <c r="BJ311" s="47">
        <v>0</v>
      </c>
      <c r="BK311" s="47">
        <v>0</v>
      </c>
      <c r="BL311" s="47">
        <v>0</v>
      </c>
      <c r="BM311" s="47">
        <v>0</v>
      </c>
      <c r="BN311" s="47">
        <v>0</v>
      </c>
      <c r="BO311" s="47">
        <v>0</v>
      </c>
      <c r="BP311" s="47">
        <v>0</v>
      </c>
      <c r="BQ311" s="47">
        <v>0</v>
      </c>
      <c r="BR311" s="47">
        <v>0</v>
      </c>
      <c r="BS311" s="47">
        <v>0</v>
      </c>
      <c r="BT311" s="47">
        <v>0</v>
      </c>
      <c r="BU311" s="47">
        <v>0</v>
      </c>
      <c r="BV311" s="47">
        <v>0</v>
      </c>
      <c r="BW311" s="47">
        <v>0</v>
      </c>
      <c r="BX311" s="47">
        <v>0</v>
      </c>
      <c r="BY311" s="47">
        <v>0</v>
      </c>
      <c r="BZ311" s="47">
        <v>0</v>
      </c>
      <c r="CA311" s="47">
        <v>0</v>
      </c>
      <c r="CB311" s="47">
        <v>0</v>
      </c>
      <c r="CC311" s="47">
        <v>0</v>
      </c>
      <c r="CD311" s="47">
        <v>0</v>
      </c>
      <c r="CE311" s="47">
        <v>0</v>
      </c>
      <c r="CF311" s="47">
        <v>0</v>
      </c>
      <c r="CG311" s="47">
        <v>0</v>
      </c>
      <c r="CH311" s="47">
        <v>0</v>
      </c>
      <c r="CI311" s="47">
        <v>0</v>
      </c>
      <c r="CJ311" s="47">
        <v>0</v>
      </c>
      <c r="CK311" s="47">
        <v>0</v>
      </c>
      <c r="CL311" s="47">
        <v>0</v>
      </c>
      <c r="CM311" s="47">
        <v>0</v>
      </c>
      <c r="CN311" s="47">
        <v>0</v>
      </c>
      <c r="CO311" s="47">
        <v>0</v>
      </c>
      <c r="CP311" s="47">
        <v>0</v>
      </c>
      <c r="CQ311" s="47">
        <v>0</v>
      </c>
      <c r="CR311" s="47">
        <v>0</v>
      </c>
      <c r="CS311" s="47">
        <v>0</v>
      </c>
      <c r="CT311" s="47">
        <v>0</v>
      </c>
      <c r="CU311" s="47">
        <v>0</v>
      </c>
      <c r="CV311" s="47">
        <v>0</v>
      </c>
      <c r="CW311" s="47">
        <v>0</v>
      </c>
      <c r="CX311" s="47">
        <v>0</v>
      </c>
      <c r="CY311" s="47">
        <v>0</v>
      </c>
      <c r="CZ311" s="47">
        <v>0</v>
      </c>
      <c r="DA311" s="47">
        <v>0</v>
      </c>
      <c r="DB311" s="47">
        <v>0</v>
      </c>
      <c r="DC311" s="47">
        <v>0</v>
      </c>
      <c r="DD311" s="47">
        <v>0</v>
      </c>
      <c r="DE311" s="47">
        <v>0</v>
      </c>
      <c r="DF311" s="47">
        <v>0</v>
      </c>
      <c r="DG311" s="47">
        <v>0</v>
      </c>
      <c r="DH311" s="47">
        <v>0</v>
      </c>
      <c r="DI311" s="47">
        <v>0</v>
      </c>
      <c r="DJ311" s="47">
        <v>0</v>
      </c>
      <c r="DK311" s="47">
        <v>0</v>
      </c>
      <c r="DL311" s="47">
        <v>0</v>
      </c>
      <c r="DM311" s="47">
        <v>0</v>
      </c>
      <c r="DN311" s="47">
        <v>0</v>
      </c>
      <c r="DO311" s="47">
        <v>0</v>
      </c>
      <c r="DP311" s="47">
        <v>0</v>
      </c>
      <c r="DQ311" s="47">
        <v>0</v>
      </c>
      <c r="DR311" s="47">
        <v>0</v>
      </c>
      <c r="DS311" s="47">
        <v>0</v>
      </c>
      <c r="DT311" s="47">
        <v>0</v>
      </c>
    </row>
    <row r="312" spans="1:126" x14ac:dyDescent="0.25">
      <c r="A312" s="47" t="s">
        <v>1538</v>
      </c>
      <c r="B312" s="47" t="s">
        <v>153</v>
      </c>
      <c r="C312" s="47" t="s">
        <v>1539</v>
      </c>
      <c r="D312" s="47" t="s">
        <v>1540</v>
      </c>
      <c r="E312" s="47" t="s">
        <v>1541</v>
      </c>
      <c r="F312" s="47" t="s">
        <v>698</v>
      </c>
      <c r="G312" s="47" t="s">
        <v>699</v>
      </c>
      <c r="H312" s="47" t="str">
        <f>=IFERROR(VLOOKUP(A312,'ETPT Format DDG'!A:J,10,FALSE),"")</f>
        <v>0</v>
      </c>
      <c r="I312" s="47" t="str">
        <f>='ETPT Format DDG'!M312</f>
        <v/>
      </c>
      <c r="J312" s="47" t="str">
        <f>='ETPT Format DDG'!D312</f>
        <v/>
      </c>
      <c r="K312" s="47" t="s">
        <v>157</v>
      </c>
      <c r="L312" s="47" t="s">
        <v>1542</v>
      </c>
      <c r="M312" s="47"/>
      <c r="N312" s="47">
        <v>0.6</v>
      </c>
      <c r="O312" s="47">
        <v>0.6</v>
      </c>
      <c r="P312" s="47">
        <v>0</v>
      </c>
      <c r="Q312" s="47">
        <v>0</v>
      </c>
      <c r="R312" s="47">
        <v>0</v>
      </c>
      <c r="S312" s="47">
        <v>0</v>
      </c>
      <c r="T312" s="47">
        <v>0</v>
      </c>
      <c r="U312" s="47">
        <v>0</v>
      </c>
      <c r="V312" s="47">
        <v>0</v>
      </c>
      <c r="W312" s="47">
        <v>0</v>
      </c>
      <c r="X312" s="47">
        <v>0</v>
      </c>
      <c r="Y312" s="47">
        <v>0</v>
      </c>
      <c r="Z312" s="47">
        <v>0</v>
      </c>
      <c r="AA312" s="47">
        <v>0</v>
      </c>
      <c r="AB312" s="47">
        <v>0</v>
      </c>
      <c r="AC312" s="47">
        <v>0</v>
      </c>
      <c r="AD312" s="47">
        <v>0</v>
      </c>
      <c r="AE312" s="47">
        <v>0</v>
      </c>
      <c r="AF312" s="47">
        <v>0</v>
      </c>
      <c r="AG312" s="47">
        <v>0</v>
      </c>
      <c r="AH312" s="47">
        <v>0</v>
      </c>
      <c r="AI312" s="47">
        <v>0</v>
      </c>
      <c r="AJ312" s="47">
        <v>0</v>
      </c>
      <c r="AK312" s="47">
        <v>0</v>
      </c>
      <c r="AL312" s="47">
        <v>0</v>
      </c>
      <c r="AM312" s="47">
        <v>0</v>
      </c>
      <c r="AN312" s="47">
        <v>0</v>
      </c>
      <c r="AO312" s="47">
        <v>0</v>
      </c>
      <c r="AP312" s="47">
        <v>0</v>
      </c>
      <c r="AQ312" s="47">
        <v>0</v>
      </c>
      <c r="AR312" s="47">
        <v>0</v>
      </c>
      <c r="AS312" s="47">
        <v>0</v>
      </c>
      <c r="AT312" s="47">
        <v>0</v>
      </c>
      <c r="AU312" s="47">
        <v>0</v>
      </c>
      <c r="AV312" s="47">
        <v>0</v>
      </c>
      <c r="AW312" s="47">
        <v>0</v>
      </c>
      <c r="AX312" s="47">
        <v>0</v>
      </c>
      <c r="AY312" s="47">
        <v>0</v>
      </c>
      <c r="AZ312" s="47">
        <v>0</v>
      </c>
      <c r="BA312" s="47">
        <v>0</v>
      </c>
      <c r="BB312" s="47">
        <v>0</v>
      </c>
      <c r="BC312" s="47">
        <v>0</v>
      </c>
      <c r="BD312" s="47">
        <v>0</v>
      </c>
      <c r="BE312" s="47">
        <v>0</v>
      </c>
      <c r="BF312" s="47">
        <v>0</v>
      </c>
      <c r="BG312" s="47">
        <v>0</v>
      </c>
      <c r="BH312" s="47">
        <v>0</v>
      </c>
      <c r="BI312" s="47">
        <v>0</v>
      </c>
      <c r="BJ312" s="47">
        <v>0</v>
      </c>
      <c r="BK312" s="47">
        <v>0</v>
      </c>
      <c r="BL312" s="47">
        <v>0</v>
      </c>
      <c r="BM312" s="47">
        <v>0</v>
      </c>
      <c r="BN312" s="47">
        <v>0</v>
      </c>
      <c r="BO312" s="47">
        <v>0.6</v>
      </c>
      <c r="BP312" s="47">
        <v>0</v>
      </c>
      <c r="BQ312" s="47">
        <v>0</v>
      </c>
      <c r="BR312" s="47">
        <v>0</v>
      </c>
      <c r="BS312" s="47">
        <v>0</v>
      </c>
      <c r="BT312" s="47">
        <v>0</v>
      </c>
      <c r="BU312" s="47">
        <v>0.24</v>
      </c>
      <c r="BV312" s="47">
        <v>0.18</v>
      </c>
      <c r="BW312" s="47">
        <v>0</v>
      </c>
      <c r="BX312" s="47">
        <v>0</v>
      </c>
      <c r="BY312" s="47">
        <v>0</v>
      </c>
      <c r="BZ312" s="47">
        <v>0.18</v>
      </c>
      <c r="CA312" s="47">
        <v>0</v>
      </c>
      <c r="CB312" s="47">
        <v>0</v>
      </c>
      <c r="CC312" s="47">
        <v>0</v>
      </c>
      <c r="CD312" s="47">
        <v>0</v>
      </c>
      <c r="CE312" s="47">
        <v>0</v>
      </c>
      <c r="CF312" s="47">
        <v>0</v>
      </c>
      <c r="CG312" s="47">
        <v>0</v>
      </c>
      <c r="CH312" s="47">
        <v>0</v>
      </c>
      <c r="CI312" s="47">
        <v>0</v>
      </c>
      <c r="CJ312" s="47">
        <v>0</v>
      </c>
      <c r="CK312" s="47">
        <v>0</v>
      </c>
      <c r="CL312" s="47">
        <v>0</v>
      </c>
      <c r="CM312" s="47">
        <v>0</v>
      </c>
      <c r="CN312" s="47">
        <v>0</v>
      </c>
      <c r="CO312" s="47">
        <v>0</v>
      </c>
      <c r="CP312" s="47">
        <v>0</v>
      </c>
      <c r="CQ312" s="47">
        <v>0</v>
      </c>
      <c r="CR312" s="47">
        <v>0</v>
      </c>
      <c r="CS312" s="47">
        <v>0</v>
      </c>
      <c r="CT312" s="47">
        <v>0</v>
      </c>
      <c r="CU312" s="47">
        <v>0</v>
      </c>
      <c r="CV312" s="47">
        <v>0</v>
      </c>
      <c r="CW312" s="47">
        <v>0</v>
      </c>
      <c r="CX312" s="47">
        <v>0</v>
      </c>
      <c r="CY312" s="47">
        <v>0</v>
      </c>
      <c r="CZ312" s="47">
        <v>0</v>
      </c>
      <c r="DA312" s="47">
        <v>0</v>
      </c>
      <c r="DB312" s="47">
        <v>0</v>
      </c>
      <c r="DC312" s="47">
        <v>0</v>
      </c>
      <c r="DD312" s="47">
        <v>0</v>
      </c>
      <c r="DE312" s="47">
        <v>0</v>
      </c>
      <c r="DF312" s="47">
        <v>0</v>
      </c>
      <c r="DG312" s="47">
        <v>0</v>
      </c>
      <c r="DH312" s="47">
        <v>0</v>
      </c>
      <c r="DI312" s="47">
        <v>0</v>
      </c>
      <c r="DJ312" s="47">
        <v>0</v>
      </c>
      <c r="DK312" s="47">
        <v>0</v>
      </c>
      <c r="DL312" s="47">
        <v>0</v>
      </c>
      <c r="DM312" s="47">
        <v>0</v>
      </c>
      <c r="DN312" s="47">
        <v>0</v>
      </c>
      <c r="DO312" s="47">
        <v>0</v>
      </c>
      <c r="DP312" s="47">
        <v>0</v>
      </c>
      <c r="DQ312" s="47">
        <v>0</v>
      </c>
      <c r="DR312" s="47">
        <v>0</v>
      </c>
      <c r="DS312" s="47">
        <v>0</v>
      </c>
      <c r="DT312" s="47">
        <v>0</v>
      </c>
    </row>
    <row r="313" spans="1:126" x14ac:dyDescent="0.25">
      <c r="A313" s="47" t="s">
        <v>1543</v>
      </c>
      <c r="B313" s="47" t="s">
        <v>153</v>
      </c>
      <c r="C313" s="47" t="s">
        <v>1544</v>
      </c>
      <c r="D313" s="47" t="s">
        <v>1545</v>
      </c>
      <c r="E313" s="47" t="s">
        <v>1546</v>
      </c>
      <c r="F313" s="47" t="s">
        <v>698</v>
      </c>
      <c r="G313" s="47" t="s">
        <v>727</v>
      </c>
      <c r="H313" s="47" t="str">
        <f>=IFERROR(VLOOKUP(A313,'ETPT Format DDG'!A:J,10,FALSE),"")</f>
        <v>0</v>
      </c>
      <c r="I313" s="47" t="str">
        <f>='ETPT Format DDG'!M313</f>
        <v/>
      </c>
      <c r="J313" s="47" t="str">
        <f>='ETPT Format DDG'!D313</f>
        <v/>
      </c>
      <c r="K313" s="47" t="s">
        <v>157</v>
      </c>
      <c r="L313" s="47" t="s">
        <v>1547</v>
      </c>
      <c r="M313" s="47"/>
      <c r="N313" s="47">
        <v>1</v>
      </c>
      <c r="O313" s="47">
        <v>0</v>
      </c>
      <c r="P313" s="47">
        <v>0</v>
      </c>
      <c r="Q313" s="47">
        <v>0</v>
      </c>
      <c r="R313" s="47">
        <v>0</v>
      </c>
      <c r="S313" s="47">
        <v>0</v>
      </c>
      <c r="T313" s="47">
        <v>0</v>
      </c>
      <c r="U313" s="47">
        <v>0</v>
      </c>
      <c r="V313" s="47">
        <v>0</v>
      </c>
      <c r="W313" s="47">
        <v>0</v>
      </c>
      <c r="X313" s="47">
        <v>0</v>
      </c>
      <c r="Y313" s="47">
        <v>0</v>
      </c>
      <c r="Z313" s="47">
        <v>0</v>
      </c>
      <c r="AA313" s="47">
        <v>0</v>
      </c>
      <c r="AB313" s="47">
        <v>0</v>
      </c>
      <c r="AC313" s="47">
        <v>0</v>
      </c>
      <c r="AD313" s="47">
        <v>0</v>
      </c>
      <c r="AE313" s="47">
        <v>0</v>
      </c>
      <c r="AF313" s="47">
        <v>0</v>
      </c>
      <c r="AG313" s="47">
        <v>0</v>
      </c>
      <c r="AH313" s="47">
        <v>0</v>
      </c>
      <c r="AI313" s="47">
        <v>0</v>
      </c>
      <c r="AJ313" s="47">
        <v>0</v>
      </c>
      <c r="AK313" s="47">
        <v>0</v>
      </c>
      <c r="AL313" s="47">
        <v>0</v>
      </c>
      <c r="AM313" s="47">
        <v>0</v>
      </c>
      <c r="AN313" s="47">
        <v>0</v>
      </c>
      <c r="AO313" s="47">
        <v>0</v>
      </c>
      <c r="AP313" s="47">
        <v>0</v>
      </c>
      <c r="AQ313" s="47">
        <v>0</v>
      </c>
      <c r="AR313" s="47">
        <v>0</v>
      </c>
      <c r="AS313" s="47">
        <v>0</v>
      </c>
      <c r="AT313" s="47">
        <v>0</v>
      </c>
      <c r="AU313" s="47">
        <v>0</v>
      </c>
      <c r="AV313" s="47">
        <v>0</v>
      </c>
      <c r="AW313" s="47">
        <v>0</v>
      </c>
      <c r="AX313" s="47">
        <v>0</v>
      </c>
      <c r="AY313" s="47">
        <v>0</v>
      </c>
      <c r="AZ313" s="47">
        <v>0</v>
      </c>
      <c r="BA313" s="47">
        <v>0</v>
      </c>
      <c r="BB313" s="47">
        <v>0</v>
      </c>
      <c r="BC313" s="47">
        <v>0</v>
      </c>
      <c r="BD313" s="47">
        <v>0</v>
      </c>
      <c r="BE313" s="47">
        <v>0</v>
      </c>
      <c r="BF313" s="47">
        <v>0</v>
      </c>
      <c r="BG313" s="47">
        <v>0</v>
      </c>
      <c r="BH313" s="47">
        <v>0</v>
      </c>
      <c r="BI313" s="47">
        <v>0</v>
      </c>
      <c r="BJ313" s="47">
        <v>0</v>
      </c>
      <c r="BK313" s="47">
        <v>0</v>
      </c>
      <c r="BL313" s="47">
        <v>0</v>
      </c>
      <c r="BM313" s="47">
        <v>0</v>
      </c>
      <c r="BN313" s="47">
        <v>0</v>
      </c>
      <c r="BO313" s="47">
        <v>0</v>
      </c>
      <c r="BP313" s="47">
        <v>0</v>
      </c>
      <c r="BQ313" s="47">
        <v>0</v>
      </c>
      <c r="BR313" s="47">
        <v>0</v>
      </c>
      <c r="BS313" s="47">
        <v>0</v>
      </c>
      <c r="BT313" s="47">
        <v>0</v>
      </c>
      <c r="BU313" s="47">
        <v>0</v>
      </c>
      <c r="BV313" s="47">
        <v>0</v>
      </c>
      <c r="BW313" s="47">
        <v>0</v>
      </c>
      <c r="BX313" s="47">
        <v>0</v>
      </c>
      <c r="BY313" s="47">
        <v>0</v>
      </c>
      <c r="BZ313" s="47">
        <v>0</v>
      </c>
      <c r="CA313" s="47">
        <v>0</v>
      </c>
      <c r="CB313" s="47">
        <v>0</v>
      </c>
      <c r="CC313" s="47">
        <v>0</v>
      </c>
      <c r="CD313" s="47">
        <v>0</v>
      </c>
      <c r="CE313" s="47">
        <v>0</v>
      </c>
      <c r="CF313" s="47">
        <v>0</v>
      </c>
      <c r="CG313" s="47">
        <v>0</v>
      </c>
      <c r="CH313" s="47">
        <v>0</v>
      </c>
      <c r="CI313" s="47">
        <v>0</v>
      </c>
      <c r="CJ313" s="47">
        <v>0</v>
      </c>
      <c r="CK313" s="47">
        <v>0</v>
      </c>
      <c r="CL313" s="47">
        <v>0</v>
      </c>
      <c r="CM313" s="47">
        <v>0</v>
      </c>
      <c r="CN313" s="47">
        <v>0</v>
      </c>
      <c r="CO313" s="47">
        <v>0</v>
      </c>
      <c r="CP313" s="47">
        <v>0</v>
      </c>
      <c r="CQ313" s="47">
        <v>0</v>
      </c>
      <c r="CR313" s="47">
        <v>0</v>
      </c>
      <c r="CS313" s="47">
        <v>0</v>
      </c>
      <c r="CT313" s="47">
        <v>0</v>
      </c>
      <c r="CU313" s="47">
        <v>0</v>
      </c>
      <c r="CV313" s="47">
        <v>0</v>
      </c>
      <c r="CW313" s="47">
        <v>0</v>
      </c>
      <c r="CX313" s="47">
        <v>0</v>
      </c>
      <c r="CY313" s="47">
        <v>0</v>
      </c>
      <c r="CZ313" s="47">
        <v>0</v>
      </c>
      <c r="DA313" s="47">
        <v>0</v>
      </c>
      <c r="DB313" s="47">
        <v>0</v>
      </c>
      <c r="DC313" s="47">
        <v>0</v>
      </c>
      <c r="DD313" s="47">
        <v>0</v>
      </c>
      <c r="DE313" s="47">
        <v>0</v>
      </c>
      <c r="DF313" s="47">
        <v>0</v>
      </c>
      <c r="DG313" s="47">
        <v>0</v>
      </c>
      <c r="DH313" s="47">
        <v>0</v>
      </c>
      <c r="DI313" s="47">
        <v>0</v>
      </c>
      <c r="DJ313" s="47">
        <v>0</v>
      </c>
      <c r="DK313" s="47">
        <v>0</v>
      </c>
      <c r="DL313" s="47">
        <v>0</v>
      </c>
      <c r="DM313" s="47">
        <v>0</v>
      </c>
      <c r="DN313" s="47">
        <v>0</v>
      </c>
      <c r="DO313" s="47">
        <v>0</v>
      </c>
      <c r="DP313" s="47">
        <v>0</v>
      </c>
      <c r="DQ313" s="47">
        <v>0</v>
      </c>
      <c r="DR313" s="47">
        <v>0</v>
      </c>
      <c r="DS313" s="47">
        <v>0</v>
      </c>
      <c r="DT313" s="47">
        <v>0</v>
      </c>
    </row>
    <row r="314" spans="1:126" x14ac:dyDescent="0.25">
      <c r="A314" s="47" t="s">
        <v>1548</v>
      </c>
      <c r="B314" s="47" t="s">
        <v>153</v>
      </c>
      <c r="C314" s="47" t="s">
        <v>1549</v>
      </c>
      <c r="D314" s="47" t="s">
        <v>1550</v>
      </c>
      <c r="E314" s="47" t="s">
        <v>1551</v>
      </c>
      <c r="F314" s="47" t="s">
        <v>698</v>
      </c>
      <c r="G314" s="47" t="s">
        <v>705</v>
      </c>
      <c r="H314" s="47" t="str">
        <f>=IFERROR(VLOOKUP(A314,'ETPT Format DDG'!A:J,10,FALSE),"")</f>
        <v>0</v>
      </c>
      <c r="I314" s="47" t="str">
        <f>='ETPT Format DDG'!M314</f>
        <v/>
      </c>
      <c r="J314" s="47" t="str">
        <f>='ETPT Format DDG'!D314</f>
        <v/>
      </c>
      <c r="K314" s="47" t="s">
        <v>157</v>
      </c>
      <c r="L314" s="47" t="s">
        <v>1173</v>
      </c>
      <c r="M314" s="47"/>
      <c r="N314" s="47">
        <v>1</v>
      </c>
      <c r="O314" s="47">
        <v>0</v>
      </c>
      <c r="P314" s="47">
        <v>0</v>
      </c>
      <c r="Q314" s="47">
        <v>0</v>
      </c>
      <c r="R314" s="47">
        <v>0</v>
      </c>
      <c r="S314" s="47">
        <v>0</v>
      </c>
      <c r="T314" s="47">
        <v>0</v>
      </c>
      <c r="U314" s="47">
        <v>0</v>
      </c>
      <c r="V314" s="47">
        <v>0</v>
      </c>
      <c r="W314" s="47">
        <v>0</v>
      </c>
      <c r="X314" s="47">
        <v>0</v>
      </c>
      <c r="Y314" s="47">
        <v>0</v>
      </c>
      <c r="Z314" s="47">
        <v>0</v>
      </c>
      <c r="AA314" s="47">
        <v>0</v>
      </c>
      <c r="AB314" s="47">
        <v>0</v>
      </c>
      <c r="AC314" s="47">
        <v>0</v>
      </c>
      <c r="AD314" s="47">
        <v>0</v>
      </c>
      <c r="AE314" s="47">
        <v>0</v>
      </c>
      <c r="AF314" s="47">
        <v>0</v>
      </c>
      <c r="AG314" s="47">
        <v>0</v>
      </c>
      <c r="AH314" s="47">
        <v>0</v>
      </c>
      <c r="AI314" s="47">
        <v>0</v>
      </c>
      <c r="AJ314" s="47">
        <v>0</v>
      </c>
      <c r="AK314" s="47">
        <v>0</v>
      </c>
      <c r="AL314" s="47">
        <v>0</v>
      </c>
      <c r="AM314" s="47">
        <v>0</v>
      </c>
      <c r="AN314" s="47">
        <v>0</v>
      </c>
      <c r="AO314" s="47">
        <v>0</v>
      </c>
      <c r="AP314" s="47">
        <v>0</v>
      </c>
      <c r="AQ314" s="47">
        <v>0</v>
      </c>
      <c r="AR314" s="47">
        <v>0</v>
      </c>
      <c r="AS314" s="47">
        <v>0</v>
      </c>
      <c r="AT314" s="47">
        <v>0</v>
      </c>
      <c r="AU314" s="47">
        <v>0</v>
      </c>
      <c r="AV314" s="47">
        <v>0</v>
      </c>
      <c r="AW314" s="47">
        <v>0</v>
      </c>
      <c r="AX314" s="47">
        <v>0</v>
      </c>
      <c r="AY314" s="47">
        <v>0</v>
      </c>
      <c r="AZ314" s="47">
        <v>0</v>
      </c>
      <c r="BA314" s="47">
        <v>0</v>
      </c>
      <c r="BB314" s="47">
        <v>0</v>
      </c>
      <c r="BC314" s="47">
        <v>0</v>
      </c>
      <c r="BD314" s="47">
        <v>0</v>
      </c>
      <c r="BE314" s="47">
        <v>0</v>
      </c>
      <c r="BF314" s="47">
        <v>0</v>
      </c>
      <c r="BG314" s="47">
        <v>0</v>
      </c>
      <c r="BH314" s="47">
        <v>0</v>
      </c>
      <c r="BI314" s="47">
        <v>0</v>
      </c>
      <c r="BJ314" s="47">
        <v>0</v>
      </c>
      <c r="BK314" s="47">
        <v>0</v>
      </c>
      <c r="BL314" s="47">
        <v>0</v>
      </c>
      <c r="BM314" s="47">
        <v>0</v>
      </c>
      <c r="BN314" s="47">
        <v>0</v>
      </c>
      <c r="BO314" s="47">
        <v>0</v>
      </c>
      <c r="BP314" s="47">
        <v>0</v>
      </c>
      <c r="BQ314" s="47">
        <v>0</v>
      </c>
      <c r="BR314" s="47">
        <v>0</v>
      </c>
      <c r="BS314" s="47">
        <v>0</v>
      </c>
      <c r="BT314" s="47">
        <v>0</v>
      </c>
      <c r="BU314" s="47">
        <v>0</v>
      </c>
      <c r="BV314" s="47">
        <v>0</v>
      </c>
      <c r="BW314" s="47">
        <v>0</v>
      </c>
      <c r="BX314" s="47">
        <v>0</v>
      </c>
      <c r="BY314" s="47">
        <v>0</v>
      </c>
      <c r="BZ314" s="47">
        <v>0</v>
      </c>
      <c r="CA314" s="47">
        <v>0</v>
      </c>
      <c r="CB314" s="47">
        <v>0</v>
      </c>
      <c r="CC314" s="47">
        <v>0</v>
      </c>
      <c r="CD314" s="47">
        <v>0</v>
      </c>
      <c r="CE314" s="47">
        <v>0</v>
      </c>
      <c r="CF314" s="47">
        <v>0</v>
      </c>
      <c r="CG314" s="47">
        <v>0</v>
      </c>
      <c r="CH314" s="47">
        <v>0</v>
      </c>
      <c r="CI314" s="47">
        <v>0</v>
      </c>
      <c r="CJ314" s="47">
        <v>0</v>
      </c>
      <c r="CK314" s="47">
        <v>0</v>
      </c>
      <c r="CL314" s="47">
        <v>0</v>
      </c>
      <c r="CM314" s="47">
        <v>0</v>
      </c>
      <c r="CN314" s="47">
        <v>0</v>
      </c>
      <c r="CO314" s="47">
        <v>0</v>
      </c>
      <c r="CP314" s="47">
        <v>0</v>
      </c>
      <c r="CQ314" s="47">
        <v>0</v>
      </c>
      <c r="CR314" s="47">
        <v>0</v>
      </c>
      <c r="CS314" s="47">
        <v>0</v>
      </c>
      <c r="CT314" s="47">
        <v>0</v>
      </c>
      <c r="CU314" s="47">
        <v>0</v>
      </c>
      <c r="CV314" s="47">
        <v>0</v>
      </c>
      <c r="CW314" s="47">
        <v>0</v>
      </c>
      <c r="CX314" s="47">
        <v>0</v>
      </c>
      <c r="CY314" s="47">
        <v>0</v>
      </c>
      <c r="CZ314" s="47">
        <v>0</v>
      </c>
      <c r="DA314" s="47">
        <v>0</v>
      </c>
      <c r="DB314" s="47">
        <v>0</v>
      </c>
      <c r="DC314" s="47">
        <v>0</v>
      </c>
      <c r="DD314" s="47">
        <v>0</v>
      </c>
      <c r="DE314" s="47">
        <v>0</v>
      </c>
      <c r="DF314" s="47">
        <v>0</v>
      </c>
      <c r="DG314" s="47">
        <v>0</v>
      </c>
      <c r="DH314" s="47">
        <v>0</v>
      </c>
      <c r="DI314" s="47">
        <v>0</v>
      </c>
      <c r="DJ314" s="47">
        <v>0</v>
      </c>
      <c r="DK314" s="47">
        <v>0</v>
      </c>
      <c r="DL314" s="47">
        <v>0</v>
      </c>
      <c r="DM314" s="47">
        <v>0</v>
      </c>
      <c r="DN314" s="47">
        <v>0</v>
      </c>
      <c r="DO314" s="47">
        <v>0</v>
      </c>
      <c r="DP314" s="47">
        <v>0</v>
      </c>
      <c r="DQ314" s="47">
        <v>0</v>
      </c>
      <c r="DR314" s="47">
        <v>0</v>
      </c>
      <c r="DS314" s="47">
        <v>0</v>
      </c>
      <c r="DT314" s="47">
        <v>0</v>
      </c>
    </row>
    <row r="315" spans="1:126" x14ac:dyDescent="0.25">
      <c r="A315" s="47" t="s">
        <v>1552</v>
      </c>
      <c r="B315" s="47" t="s">
        <v>153</v>
      </c>
      <c r="C315" s="47" t="s">
        <v>1553</v>
      </c>
      <c r="D315" s="47" t="s">
        <v>1554</v>
      </c>
      <c r="E315" s="47" t="s">
        <v>1555</v>
      </c>
      <c r="F315" s="47" t="s">
        <v>698</v>
      </c>
      <c r="G315" s="47" t="s">
        <v>727</v>
      </c>
      <c r="H315" s="47" t="str">
        <f>=IFERROR(VLOOKUP(A315,'ETPT Format DDG'!A:J,10,FALSE),"")</f>
        <v>0</v>
      </c>
      <c r="I315" s="47" t="str">
        <f>='ETPT Format DDG'!M315</f>
        <v/>
      </c>
      <c r="J315" s="47" t="str">
        <f>='ETPT Format DDG'!D315</f>
        <v/>
      </c>
      <c r="K315" s="47" t="s">
        <v>157</v>
      </c>
      <c r="L315" s="47" t="s">
        <v>836</v>
      </c>
      <c r="M315" s="47"/>
      <c r="N315" s="47">
        <v>1</v>
      </c>
      <c r="O315" s="47">
        <v>1</v>
      </c>
      <c r="P315" s="47">
        <v>0</v>
      </c>
      <c r="Q315" s="47">
        <v>0</v>
      </c>
      <c r="R315" s="47">
        <v>0</v>
      </c>
      <c r="S315" s="47">
        <v>0</v>
      </c>
      <c r="T315" s="47">
        <v>0</v>
      </c>
      <c r="U315" s="47">
        <v>0</v>
      </c>
      <c r="V315" s="47">
        <v>0</v>
      </c>
      <c r="W315" s="47">
        <v>0</v>
      </c>
      <c r="X315" s="47">
        <v>0</v>
      </c>
      <c r="Y315" s="47">
        <v>0</v>
      </c>
      <c r="Z315" s="47">
        <v>0</v>
      </c>
      <c r="AA315" s="47">
        <v>0</v>
      </c>
      <c r="AB315" s="47">
        <v>0</v>
      </c>
      <c r="AC315" s="47">
        <v>0</v>
      </c>
      <c r="AD315" s="47">
        <v>0</v>
      </c>
      <c r="AE315" s="47">
        <v>0</v>
      </c>
      <c r="AF315" s="47">
        <v>0</v>
      </c>
      <c r="AG315" s="47">
        <v>0</v>
      </c>
      <c r="AH315" s="47">
        <v>0</v>
      </c>
      <c r="AI315" s="47">
        <v>0</v>
      </c>
      <c r="AJ315" s="47">
        <v>0</v>
      </c>
      <c r="AK315" s="47">
        <v>0</v>
      </c>
      <c r="AL315" s="47">
        <v>0</v>
      </c>
      <c r="AM315" s="47">
        <v>0</v>
      </c>
      <c r="AN315" s="47">
        <v>0</v>
      </c>
      <c r="AO315" s="47">
        <v>0</v>
      </c>
      <c r="AP315" s="47">
        <v>0</v>
      </c>
      <c r="AQ315" s="47">
        <v>0</v>
      </c>
      <c r="AR315" s="47">
        <v>0</v>
      </c>
      <c r="AS315" s="47">
        <v>0</v>
      </c>
      <c r="AT315" s="47">
        <v>0</v>
      </c>
      <c r="AU315" s="47">
        <v>0</v>
      </c>
      <c r="AV315" s="47">
        <v>0</v>
      </c>
      <c r="AW315" s="47">
        <v>0</v>
      </c>
      <c r="AX315" s="47">
        <v>0</v>
      </c>
      <c r="AY315" s="47">
        <v>0</v>
      </c>
      <c r="AZ315" s="47">
        <v>0</v>
      </c>
      <c r="BA315" s="47">
        <v>0</v>
      </c>
      <c r="BB315" s="47">
        <v>0</v>
      </c>
      <c r="BC315" s="47">
        <v>0</v>
      </c>
      <c r="BD315" s="47">
        <v>0</v>
      </c>
      <c r="BE315" s="47">
        <v>0</v>
      </c>
      <c r="BF315" s="47">
        <v>0</v>
      </c>
      <c r="BG315" s="47">
        <v>0</v>
      </c>
      <c r="BH315" s="47">
        <v>0</v>
      </c>
      <c r="BI315" s="47">
        <v>0</v>
      </c>
      <c r="BJ315" s="47">
        <v>0</v>
      </c>
      <c r="BK315" s="47">
        <v>0</v>
      </c>
      <c r="BL315" s="47">
        <v>0</v>
      </c>
      <c r="BM315" s="47">
        <v>0</v>
      </c>
      <c r="BN315" s="47">
        <v>0</v>
      </c>
      <c r="BO315" s="47">
        <v>1</v>
      </c>
      <c r="BP315" s="47">
        <v>0</v>
      </c>
      <c r="BQ315" s="47">
        <v>0</v>
      </c>
      <c r="BR315" s="47">
        <v>0</v>
      </c>
      <c r="BS315" s="47">
        <v>0</v>
      </c>
      <c r="BT315" s="47">
        <v>0</v>
      </c>
      <c r="BU315" s="47">
        <v>0</v>
      </c>
      <c r="BV315" s="47">
        <v>0</v>
      </c>
      <c r="BW315" s="47">
        <v>0</v>
      </c>
      <c r="BX315" s="47">
        <v>0</v>
      </c>
      <c r="BY315" s="47">
        <v>0</v>
      </c>
      <c r="BZ315" s="47">
        <v>0</v>
      </c>
      <c r="CA315" s="47">
        <v>0</v>
      </c>
      <c r="CB315" s="47">
        <v>0</v>
      </c>
      <c r="CC315" s="47">
        <v>0</v>
      </c>
      <c r="CD315" s="47">
        <v>0</v>
      </c>
      <c r="CE315" s="47">
        <v>0</v>
      </c>
      <c r="CF315" s="47">
        <v>0</v>
      </c>
      <c r="CG315" s="47">
        <v>0</v>
      </c>
      <c r="CH315" s="47">
        <v>0</v>
      </c>
      <c r="CI315" s="47">
        <v>0</v>
      </c>
      <c r="CJ315" s="47">
        <v>0</v>
      </c>
      <c r="CK315" s="47">
        <v>0</v>
      </c>
      <c r="CL315" s="47">
        <v>0</v>
      </c>
      <c r="CM315" s="47">
        <v>0</v>
      </c>
      <c r="CN315" s="47">
        <v>0</v>
      </c>
      <c r="CO315" s="47">
        <v>0</v>
      </c>
      <c r="CP315" s="47">
        <v>0</v>
      </c>
      <c r="CQ315" s="47">
        <v>0</v>
      </c>
      <c r="CR315" s="47">
        <v>0</v>
      </c>
      <c r="CS315" s="47">
        <v>0</v>
      </c>
      <c r="CT315" s="47">
        <v>0</v>
      </c>
      <c r="CU315" s="47">
        <v>0</v>
      </c>
      <c r="CV315" s="47">
        <v>0</v>
      </c>
      <c r="CW315" s="47">
        <v>0</v>
      </c>
      <c r="CX315" s="47">
        <v>0</v>
      </c>
      <c r="CY315" s="47">
        <v>0</v>
      </c>
      <c r="CZ315" s="47">
        <v>0</v>
      </c>
      <c r="DA315" s="47">
        <v>0</v>
      </c>
      <c r="DB315" s="47">
        <v>0</v>
      </c>
      <c r="DC315" s="47">
        <v>0</v>
      </c>
      <c r="DD315" s="47">
        <v>0</v>
      </c>
      <c r="DE315" s="47">
        <v>0</v>
      </c>
      <c r="DF315" s="47">
        <v>0</v>
      </c>
      <c r="DG315" s="47">
        <v>0</v>
      </c>
      <c r="DH315" s="47">
        <v>0</v>
      </c>
      <c r="DI315" s="47">
        <v>0</v>
      </c>
      <c r="DJ315" s="47">
        <v>0</v>
      </c>
      <c r="DK315" s="47">
        <v>0</v>
      </c>
      <c r="DL315" s="47">
        <v>0</v>
      </c>
      <c r="DM315" s="47">
        <v>0</v>
      </c>
      <c r="DN315" s="47">
        <v>0</v>
      </c>
      <c r="DO315" s="47">
        <v>0</v>
      </c>
      <c r="DP315" s="47">
        <v>0</v>
      </c>
      <c r="DQ315" s="47">
        <v>0</v>
      </c>
      <c r="DR315" s="47">
        <v>0</v>
      </c>
      <c r="DS315" s="47">
        <v>0</v>
      </c>
      <c r="DT315" s="47">
        <v>0</v>
      </c>
    </row>
    <row r="316" spans="1:126" x14ac:dyDescent="0.25">
      <c r="A316" s="47" t="s">
        <v>1556</v>
      </c>
      <c r="B316" s="47" t="s">
        <v>153</v>
      </c>
      <c r="C316" s="47" t="s">
        <v>1557</v>
      </c>
      <c r="D316" s="47" t="s">
        <v>1558</v>
      </c>
      <c r="E316" s="47" t="s">
        <v>1559</v>
      </c>
      <c r="F316" s="47" t="s">
        <v>698</v>
      </c>
      <c r="G316" s="47" t="s">
        <v>727</v>
      </c>
      <c r="H316" s="47" t="str">
        <f>=IFERROR(VLOOKUP(A316,'ETPT Format DDG'!A:J,10,FALSE),"")</f>
        <v>0</v>
      </c>
      <c r="I316" s="47" t="str">
        <f>='ETPT Format DDG'!M316</f>
        <v/>
      </c>
      <c r="J316" s="47" t="str">
        <f>='ETPT Format DDG'!D316</f>
        <v/>
      </c>
      <c r="K316" s="47" t="s">
        <v>157</v>
      </c>
      <c r="L316" s="47" t="s">
        <v>836</v>
      </c>
      <c r="M316" s="47"/>
      <c r="N316" s="47">
        <v>1</v>
      </c>
      <c r="O316" s="47">
        <v>1</v>
      </c>
      <c r="P316" s="47">
        <v>0</v>
      </c>
      <c r="Q316" s="47">
        <v>0</v>
      </c>
      <c r="R316" s="47">
        <v>0</v>
      </c>
      <c r="S316" s="47">
        <v>0</v>
      </c>
      <c r="T316" s="47">
        <v>0</v>
      </c>
      <c r="U316" s="47">
        <v>0</v>
      </c>
      <c r="V316" s="47">
        <v>0</v>
      </c>
      <c r="W316" s="47">
        <v>0</v>
      </c>
      <c r="X316" s="47">
        <v>0</v>
      </c>
      <c r="Y316" s="47">
        <v>0</v>
      </c>
      <c r="Z316" s="47">
        <v>0</v>
      </c>
      <c r="AA316" s="47">
        <v>0</v>
      </c>
      <c r="AB316" s="47">
        <v>0</v>
      </c>
      <c r="AC316" s="47">
        <v>0</v>
      </c>
      <c r="AD316" s="47">
        <v>0</v>
      </c>
      <c r="AE316" s="47">
        <v>0</v>
      </c>
      <c r="AF316" s="47">
        <v>0</v>
      </c>
      <c r="AG316" s="47">
        <v>0</v>
      </c>
      <c r="AH316" s="47">
        <v>0</v>
      </c>
      <c r="AI316" s="47">
        <v>0</v>
      </c>
      <c r="AJ316" s="47">
        <v>0</v>
      </c>
      <c r="AK316" s="47">
        <v>0</v>
      </c>
      <c r="AL316" s="47">
        <v>0</v>
      </c>
      <c r="AM316" s="47">
        <v>0</v>
      </c>
      <c r="AN316" s="47">
        <v>0</v>
      </c>
      <c r="AO316" s="47">
        <v>0</v>
      </c>
      <c r="AP316" s="47">
        <v>0</v>
      </c>
      <c r="AQ316" s="47">
        <v>0</v>
      </c>
      <c r="AR316" s="47">
        <v>0</v>
      </c>
      <c r="AS316" s="47">
        <v>0</v>
      </c>
      <c r="AT316" s="47">
        <v>0</v>
      </c>
      <c r="AU316" s="47">
        <v>0</v>
      </c>
      <c r="AV316" s="47">
        <v>0</v>
      </c>
      <c r="AW316" s="47">
        <v>0</v>
      </c>
      <c r="AX316" s="47">
        <v>0</v>
      </c>
      <c r="AY316" s="47">
        <v>0</v>
      </c>
      <c r="AZ316" s="47">
        <v>0</v>
      </c>
      <c r="BA316" s="47">
        <v>0</v>
      </c>
      <c r="BB316" s="47">
        <v>0</v>
      </c>
      <c r="BC316" s="47">
        <v>0</v>
      </c>
      <c r="BD316" s="47">
        <v>0</v>
      </c>
      <c r="BE316" s="47">
        <v>0</v>
      </c>
      <c r="BF316" s="47">
        <v>0</v>
      </c>
      <c r="BG316" s="47">
        <v>0</v>
      </c>
      <c r="BH316" s="47">
        <v>0</v>
      </c>
      <c r="BI316" s="47">
        <v>0</v>
      </c>
      <c r="BJ316" s="47">
        <v>0</v>
      </c>
      <c r="BK316" s="47">
        <v>0</v>
      </c>
      <c r="BL316" s="47">
        <v>0</v>
      </c>
      <c r="BM316" s="47">
        <v>0</v>
      </c>
      <c r="BN316" s="47">
        <v>0</v>
      </c>
      <c r="BO316" s="47">
        <v>0</v>
      </c>
      <c r="BP316" s="47">
        <v>0</v>
      </c>
      <c r="BQ316" s="47">
        <v>0</v>
      </c>
      <c r="BR316" s="47">
        <v>0</v>
      </c>
      <c r="BS316" s="47">
        <v>0</v>
      </c>
      <c r="BT316" s="47">
        <v>0</v>
      </c>
      <c r="BU316" s="47">
        <v>0</v>
      </c>
      <c r="BV316" s="47">
        <v>0</v>
      </c>
      <c r="BW316" s="47">
        <v>0</v>
      </c>
      <c r="BX316" s="47">
        <v>0</v>
      </c>
      <c r="BY316" s="47">
        <v>0</v>
      </c>
      <c r="BZ316" s="47">
        <v>0</v>
      </c>
      <c r="CA316" s="47">
        <v>0</v>
      </c>
      <c r="CB316" s="47">
        <v>0</v>
      </c>
      <c r="CC316" s="47">
        <v>0</v>
      </c>
      <c r="CD316" s="47">
        <v>0</v>
      </c>
      <c r="CE316" s="47">
        <v>0</v>
      </c>
      <c r="CF316" s="47">
        <v>0</v>
      </c>
      <c r="CG316" s="47">
        <v>0</v>
      </c>
      <c r="CH316" s="47">
        <v>0</v>
      </c>
      <c r="CI316" s="47">
        <v>0</v>
      </c>
      <c r="CJ316" s="47">
        <v>0</v>
      </c>
      <c r="CK316" s="47">
        <v>0</v>
      </c>
      <c r="CL316" s="47">
        <v>1</v>
      </c>
      <c r="CM316" s="47">
        <v>0</v>
      </c>
      <c r="CN316" s="47">
        <v>0</v>
      </c>
      <c r="CO316" s="47">
        <v>0</v>
      </c>
      <c r="CP316" s="47">
        <v>0</v>
      </c>
      <c r="CQ316" s="47">
        <v>0</v>
      </c>
      <c r="CR316" s="47">
        <v>0</v>
      </c>
      <c r="CS316" s="47">
        <v>0</v>
      </c>
      <c r="CT316" s="47">
        <v>0</v>
      </c>
      <c r="CU316" s="47">
        <v>0</v>
      </c>
      <c r="CV316" s="47">
        <v>0</v>
      </c>
      <c r="CW316" s="47">
        <v>0</v>
      </c>
      <c r="CX316" s="47">
        <v>0</v>
      </c>
      <c r="CY316" s="47">
        <v>0</v>
      </c>
      <c r="CZ316" s="47">
        <v>0</v>
      </c>
      <c r="DA316" s="47">
        <v>0</v>
      </c>
      <c r="DB316" s="47">
        <v>0</v>
      </c>
      <c r="DC316" s="47">
        <v>0</v>
      </c>
      <c r="DD316" s="47">
        <v>0</v>
      </c>
      <c r="DE316" s="47">
        <v>0</v>
      </c>
      <c r="DF316" s="47">
        <v>0</v>
      </c>
      <c r="DG316" s="47">
        <v>0</v>
      </c>
      <c r="DH316" s="47">
        <v>0</v>
      </c>
      <c r="DI316" s="47">
        <v>0</v>
      </c>
      <c r="DJ316" s="47">
        <v>0</v>
      </c>
      <c r="DK316" s="47">
        <v>0</v>
      </c>
      <c r="DL316" s="47">
        <v>0</v>
      </c>
      <c r="DM316" s="47">
        <v>0</v>
      </c>
      <c r="DN316" s="47">
        <v>0</v>
      </c>
      <c r="DO316" s="47">
        <v>0</v>
      </c>
      <c r="DP316" s="47">
        <v>0</v>
      </c>
      <c r="DQ316" s="47">
        <v>0</v>
      </c>
      <c r="DR316" s="47">
        <v>0</v>
      </c>
      <c r="DS316" s="47">
        <v>0</v>
      </c>
      <c r="DT316" s="47">
        <v>0</v>
      </c>
    </row>
    <row r="317" spans="1:126" x14ac:dyDescent="0.25">
      <c r="A317" s="47" t="s">
        <v>1560</v>
      </c>
      <c r="B317" s="47" t="s">
        <v>153</v>
      </c>
      <c r="C317" s="47" t="s">
        <v>1561</v>
      </c>
      <c r="D317" s="47" t="s">
        <v>1562</v>
      </c>
      <c r="E317" s="47" t="s">
        <v>1563</v>
      </c>
      <c r="F317" s="47" t="s">
        <v>698</v>
      </c>
      <c r="G317" s="47" t="s">
        <v>705</v>
      </c>
      <c r="H317" s="47" t="str">
        <f>=IFERROR(VLOOKUP(A317,'ETPT Format DDG'!A:J,10,FALSE),"")</f>
        <v>0</v>
      </c>
      <c r="I317" s="47" t="str">
        <f>='ETPT Format DDG'!M317</f>
        <v/>
      </c>
      <c r="J317" s="47" t="str">
        <f>='ETPT Format DDG'!D317</f>
        <v/>
      </c>
      <c r="K317" s="47" t="s">
        <v>157</v>
      </c>
      <c r="L317" s="47" t="s">
        <v>1564</v>
      </c>
      <c r="M317" s="47"/>
      <c r="N317" s="47">
        <v>1</v>
      </c>
      <c r="O317" s="47">
        <v>0</v>
      </c>
      <c r="P317" s="47">
        <v>0</v>
      </c>
      <c r="Q317" s="47">
        <v>0</v>
      </c>
      <c r="R317" s="47">
        <v>0</v>
      </c>
      <c r="S317" s="47">
        <v>0</v>
      </c>
      <c r="T317" s="47">
        <v>0</v>
      </c>
      <c r="U317" s="47">
        <v>0</v>
      </c>
      <c r="V317" s="47">
        <v>0</v>
      </c>
      <c r="W317" s="47">
        <v>0</v>
      </c>
      <c r="X317" s="47">
        <v>0</v>
      </c>
      <c r="Y317" s="47">
        <v>0</v>
      </c>
      <c r="Z317" s="47">
        <v>0</v>
      </c>
      <c r="AA317" s="47">
        <v>0</v>
      </c>
      <c r="AB317" s="47">
        <v>0</v>
      </c>
      <c r="AC317" s="47">
        <v>0</v>
      </c>
      <c r="AD317" s="47">
        <v>0</v>
      </c>
      <c r="AE317" s="47">
        <v>0</v>
      </c>
      <c r="AF317" s="47">
        <v>0</v>
      </c>
      <c r="AG317" s="47">
        <v>0</v>
      </c>
      <c r="AH317" s="47">
        <v>0</v>
      </c>
      <c r="AI317" s="47">
        <v>0</v>
      </c>
      <c r="AJ317" s="47">
        <v>0</v>
      </c>
      <c r="AK317" s="47">
        <v>0</v>
      </c>
      <c r="AL317" s="47">
        <v>0</v>
      </c>
      <c r="AM317" s="47">
        <v>0</v>
      </c>
      <c r="AN317" s="47">
        <v>0</v>
      </c>
      <c r="AO317" s="47">
        <v>0</v>
      </c>
      <c r="AP317" s="47">
        <v>0</v>
      </c>
      <c r="AQ317" s="47">
        <v>0</v>
      </c>
      <c r="AR317" s="47">
        <v>0</v>
      </c>
      <c r="AS317" s="47">
        <v>0</v>
      </c>
      <c r="AT317" s="47">
        <v>0</v>
      </c>
      <c r="AU317" s="47">
        <v>0</v>
      </c>
      <c r="AV317" s="47">
        <v>0</v>
      </c>
      <c r="AW317" s="47">
        <v>0</v>
      </c>
      <c r="AX317" s="47">
        <v>0</v>
      </c>
      <c r="AY317" s="47">
        <v>0</v>
      </c>
      <c r="AZ317" s="47">
        <v>0</v>
      </c>
      <c r="BA317" s="47">
        <v>0</v>
      </c>
      <c r="BB317" s="47">
        <v>0</v>
      </c>
      <c r="BC317" s="47">
        <v>0</v>
      </c>
      <c r="BD317" s="47">
        <v>0</v>
      </c>
      <c r="BE317" s="47">
        <v>0</v>
      </c>
      <c r="BF317" s="47">
        <v>0</v>
      </c>
      <c r="BG317" s="47">
        <v>0</v>
      </c>
      <c r="BH317" s="47">
        <v>0</v>
      </c>
      <c r="BI317" s="47">
        <v>0</v>
      </c>
      <c r="BJ317" s="47">
        <v>0</v>
      </c>
      <c r="BK317" s="47">
        <v>0</v>
      </c>
      <c r="BL317" s="47">
        <v>0</v>
      </c>
      <c r="BM317" s="47">
        <v>0</v>
      </c>
      <c r="BN317" s="47">
        <v>0</v>
      </c>
      <c r="BO317" s="47">
        <v>0</v>
      </c>
      <c r="BP317" s="47">
        <v>0</v>
      </c>
      <c r="BQ317" s="47">
        <v>0</v>
      </c>
      <c r="BR317" s="47">
        <v>0</v>
      </c>
      <c r="BS317" s="47">
        <v>0</v>
      </c>
      <c r="BT317" s="47">
        <v>0</v>
      </c>
      <c r="BU317" s="47">
        <v>0</v>
      </c>
      <c r="BV317" s="47">
        <v>0</v>
      </c>
      <c r="BW317" s="47">
        <v>0</v>
      </c>
      <c r="BX317" s="47">
        <v>0</v>
      </c>
      <c r="BY317" s="47">
        <v>0</v>
      </c>
      <c r="BZ317" s="47">
        <v>0</v>
      </c>
      <c r="CA317" s="47">
        <v>0</v>
      </c>
      <c r="CB317" s="47">
        <v>0</v>
      </c>
      <c r="CC317" s="47">
        <v>0</v>
      </c>
      <c r="CD317" s="47">
        <v>0</v>
      </c>
      <c r="CE317" s="47">
        <v>0</v>
      </c>
      <c r="CF317" s="47">
        <v>0</v>
      </c>
      <c r="CG317" s="47">
        <v>0</v>
      </c>
      <c r="CH317" s="47">
        <v>0</v>
      </c>
      <c r="CI317" s="47">
        <v>0</v>
      </c>
      <c r="CJ317" s="47">
        <v>0</v>
      </c>
      <c r="CK317" s="47">
        <v>0</v>
      </c>
      <c r="CL317" s="47">
        <v>0</v>
      </c>
      <c r="CM317" s="47">
        <v>0</v>
      </c>
      <c r="CN317" s="47">
        <v>0</v>
      </c>
      <c r="CO317" s="47">
        <v>0</v>
      </c>
      <c r="CP317" s="47">
        <v>0</v>
      </c>
      <c r="CQ317" s="47">
        <v>0</v>
      </c>
      <c r="CR317" s="47">
        <v>0</v>
      </c>
      <c r="CS317" s="47">
        <v>0</v>
      </c>
      <c r="CT317" s="47">
        <v>0</v>
      </c>
      <c r="CU317" s="47">
        <v>0</v>
      </c>
      <c r="CV317" s="47">
        <v>0</v>
      </c>
      <c r="CW317" s="47">
        <v>0</v>
      </c>
      <c r="CX317" s="47">
        <v>0</v>
      </c>
      <c r="CY317" s="47">
        <v>0</v>
      </c>
      <c r="CZ317" s="47">
        <v>0</v>
      </c>
      <c r="DA317" s="47">
        <v>0</v>
      </c>
      <c r="DB317" s="47">
        <v>0</v>
      </c>
      <c r="DC317" s="47">
        <v>0</v>
      </c>
      <c r="DD317" s="47">
        <v>0</v>
      </c>
      <c r="DE317" s="47">
        <v>0</v>
      </c>
      <c r="DF317" s="47">
        <v>0</v>
      </c>
      <c r="DG317" s="47">
        <v>0</v>
      </c>
      <c r="DH317" s="47">
        <v>0</v>
      </c>
      <c r="DI317" s="47">
        <v>0</v>
      </c>
      <c r="DJ317" s="47">
        <v>0</v>
      </c>
      <c r="DK317" s="47">
        <v>0</v>
      </c>
      <c r="DL317" s="47">
        <v>0</v>
      </c>
      <c r="DM317" s="47">
        <v>0</v>
      </c>
      <c r="DN317" s="47">
        <v>0</v>
      </c>
      <c r="DO317" s="47">
        <v>0</v>
      </c>
      <c r="DP317" s="47">
        <v>0</v>
      </c>
      <c r="DQ317" s="47">
        <v>0</v>
      </c>
      <c r="DR317" s="47">
        <v>0</v>
      </c>
      <c r="DS317" s="47">
        <v>0</v>
      </c>
      <c r="DT317" s="47">
        <v>0</v>
      </c>
    </row>
    <row r="318" spans="1:126" x14ac:dyDescent="0.25">
      <c r="A318" s="47" t="s">
        <v>1565</v>
      </c>
      <c r="B318" s="47" t="s">
        <v>153</v>
      </c>
      <c r="C318" s="47" t="s">
        <v>1566</v>
      </c>
      <c r="D318" s="47" t="s">
        <v>1567</v>
      </c>
      <c r="E318" s="47" t="s">
        <v>1568</v>
      </c>
      <c r="F318" s="47" t="s">
        <v>698</v>
      </c>
      <c r="G318" s="47" t="s">
        <v>727</v>
      </c>
      <c r="H318" s="47" t="str">
        <f>=IFERROR(VLOOKUP(A318,'ETPT Format DDG'!A:J,10,FALSE),"")</f>
        <v>0</v>
      </c>
      <c r="I318" s="47" t="str">
        <f>='ETPT Format DDG'!M318</f>
        <v/>
      </c>
      <c r="J318" s="47" t="str">
        <f>='ETPT Format DDG'!D318</f>
        <v/>
      </c>
      <c r="K318" s="47" t="s">
        <v>157</v>
      </c>
      <c r="L318" s="47" t="s">
        <v>763</v>
      </c>
      <c r="M318" s="47"/>
      <c r="N318" s="47">
        <v>1</v>
      </c>
      <c r="O318" s="47">
        <v>0</v>
      </c>
      <c r="P318" s="47">
        <v>0</v>
      </c>
      <c r="Q318" s="47">
        <v>0</v>
      </c>
      <c r="R318" s="47">
        <v>0</v>
      </c>
      <c r="S318" s="47">
        <v>0</v>
      </c>
      <c r="T318" s="47">
        <v>0</v>
      </c>
      <c r="U318" s="47">
        <v>0</v>
      </c>
      <c r="V318" s="47">
        <v>0</v>
      </c>
      <c r="W318" s="47">
        <v>0</v>
      </c>
      <c r="X318" s="47">
        <v>0</v>
      </c>
      <c r="Y318" s="47">
        <v>0</v>
      </c>
      <c r="Z318" s="47">
        <v>0</v>
      </c>
      <c r="AA318" s="47">
        <v>0</v>
      </c>
      <c r="AB318" s="47">
        <v>0</v>
      </c>
      <c r="AC318" s="47">
        <v>0</v>
      </c>
      <c r="AD318" s="47">
        <v>0</v>
      </c>
      <c r="AE318" s="47">
        <v>0</v>
      </c>
      <c r="AF318" s="47">
        <v>0</v>
      </c>
      <c r="AG318" s="47">
        <v>0</v>
      </c>
      <c r="AH318" s="47">
        <v>0</v>
      </c>
      <c r="AI318" s="47">
        <v>0</v>
      </c>
      <c r="AJ318" s="47">
        <v>0</v>
      </c>
      <c r="AK318" s="47">
        <v>0</v>
      </c>
      <c r="AL318" s="47">
        <v>0</v>
      </c>
      <c r="AM318" s="47">
        <v>0</v>
      </c>
      <c r="AN318" s="47">
        <v>0</v>
      </c>
      <c r="AO318" s="47">
        <v>0</v>
      </c>
      <c r="AP318" s="47">
        <v>0</v>
      </c>
      <c r="AQ318" s="47">
        <v>0</v>
      </c>
      <c r="AR318" s="47">
        <v>0</v>
      </c>
      <c r="AS318" s="47">
        <v>0</v>
      </c>
      <c r="AT318" s="47">
        <v>0</v>
      </c>
      <c r="AU318" s="47">
        <v>0</v>
      </c>
      <c r="AV318" s="47">
        <v>0</v>
      </c>
      <c r="AW318" s="47">
        <v>0</v>
      </c>
      <c r="AX318" s="47">
        <v>0</v>
      </c>
      <c r="AY318" s="47">
        <v>0</v>
      </c>
      <c r="AZ318" s="47">
        <v>0</v>
      </c>
      <c r="BA318" s="47">
        <v>0</v>
      </c>
      <c r="BB318" s="47">
        <v>0</v>
      </c>
      <c r="BC318" s="47">
        <v>0</v>
      </c>
      <c r="BD318" s="47">
        <v>0</v>
      </c>
      <c r="BE318" s="47">
        <v>0</v>
      </c>
      <c r="BF318" s="47">
        <v>0</v>
      </c>
      <c r="BG318" s="47">
        <v>0</v>
      </c>
      <c r="BH318" s="47">
        <v>0</v>
      </c>
      <c r="BI318" s="47">
        <v>0</v>
      </c>
      <c r="BJ318" s="47">
        <v>0</v>
      </c>
      <c r="BK318" s="47">
        <v>0</v>
      </c>
      <c r="BL318" s="47">
        <v>0</v>
      </c>
      <c r="BM318" s="47">
        <v>0</v>
      </c>
      <c r="BN318" s="47">
        <v>0</v>
      </c>
      <c r="BO318" s="47">
        <v>0</v>
      </c>
      <c r="BP318" s="47">
        <v>0</v>
      </c>
      <c r="BQ318" s="47">
        <v>0</v>
      </c>
      <c r="BR318" s="47">
        <v>0</v>
      </c>
      <c r="BS318" s="47">
        <v>0</v>
      </c>
      <c r="BT318" s="47">
        <v>0</v>
      </c>
      <c r="BU318" s="47">
        <v>0</v>
      </c>
      <c r="BV318" s="47">
        <v>0</v>
      </c>
      <c r="BW318" s="47">
        <v>0</v>
      </c>
      <c r="BX318" s="47">
        <v>0</v>
      </c>
      <c r="BY318" s="47">
        <v>0</v>
      </c>
      <c r="BZ318" s="47">
        <v>0</v>
      </c>
      <c r="CA318" s="47">
        <v>0</v>
      </c>
      <c r="CB318" s="47">
        <v>0</v>
      </c>
      <c r="CC318" s="47">
        <v>0</v>
      </c>
      <c r="CD318" s="47">
        <v>0</v>
      </c>
      <c r="CE318" s="47">
        <v>0</v>
      </c>
      <c r="CF318" s="47">
        <v>0</v>
      </c>
      <c r="CG318" s="47">
        <v>0</v>
      </c>
      <c r="CH318" s="47">
        <v>0</v>
      </c>
      <c r="CI318" s="47">
        <v>0</v>
      </c>
      <c r="CJ318" s="47">
        <v>0</v>
      </c>
      <c r="CK318" s="47">
        <v>0</v>
      </c>
      <c r="CL318" s="47">
        <v>0</v>
      </c>
      <c r="CM318" s="47">
        <v>0</v>
      </c>
      <c r="CN318" s="47">
        <v>0</v>
      </c>
      <c r="CO318" s="47">
        <v>0</v>
      </c>
      <c r="CP318" s="47">
        <v>0</v>
      </c>
      <c r="CQ318" s="47">
        <v>0</v>
      </c>
      <c r="CR318" s="47">
        <v>0</v>
      </c>
      <c r="CS318" s="47">
        <v>0</v>
      </c>
      <c r="CT318" s="47">
        <v>0</v>
      </c>
      <c r="CU318" s="47">
        <v>0</v>
      </c>
      <c r="CV318" s="47">
        <v>0</v>
      </c>
      <c r="CW318" s="47">
        <v>0</v>
      </c>
      <c r="CX318" s="47">
        <v>0</v>
      </c>
      <c r="CY318" s="47">
        <v>0</v>
      </c>
      <c r="CZ318" s="47">
        <v>0</v>
      </c>
      <c r="DA318" s="47">
        <v>0</v>
      </c>
      <c r="DB318" s="47">
        <v>0</v>
      </c>
      <c r="DC318" s="47">
        <v>0</v>
      </c>
      <c r="DD318" s="47">
        <v>0</v>
      </c>
      <c r="DE318" s="47">
        <v>0</v>
      </c>
      <c r="DF318" s="47">
        <v>0</v>
      </c>
      <c r="DG318" s="47">
        <v>0</v>
      </c>
      <c r="DH318" s="47">
        <v>0</v>
      </c>
      <c r="DI318" s="47">
        <v>0</v>
      </c>
      <c r="DJ318" s="47">
        <v>0</v>
      </c>
      <c r="DK318" s="47">
        <v>0</v>
      </c>
      <c r="DL318" s="47">
        <v>0</v>
      </c>
      <c r="DM318" s="47">
        <v>0</v>
      </c>
      <c r="DN318" s="47">
        <v>0</v>
      </c>
      <c r="DO318" s="47">
        <v>0</v>
      </c>
      <c r="DP318" s="47">
        <v>0</v>
      </c>
      <c r="DQ318" s="47">
        <v>0</v>
      </c>
      <c r="DR318" s="47">
        <v>0</v>
      </c>
      <c r="DS318" s="47">
        <v>0</v>
      </c>
      <c r="DT318" s="47">
        <v>0</v>
      </c>
    </row>
    <row r="319" spans="1:126" x14ac:dyDescent="0.25">
      <c r="A319" s="47" t="s">
        <v>1569</v>
      </c>
      <c r="B319" s="47" t="s">
        <v>153</v>
      </c>
      <c r="C319" s="47" t="s">
        <v>1570</v>
      </c>
      <c r="D319" s="47" t="s">
        <v>1571</v>
      </c>
      <c r="E319" s="47" t="s">
        <v>1572</v>
      </c>
      <c r="F319" s="47" t="s">
        <v>698</v>
      </c>
      <c r="G319" s="47" t="s">
        <v>727</v>
      </c>
      <c r="H319" s="47" t="str">
        <f>=IFERROR(VLOOKUP(A319,'ETPT Format DDG'!A:J,10,FALSE),"")</f>
        <v>0</v>
      </c>
      <c r="I319" s="47" t="str">
        <f>='ETPT Format DDG'!M319</f>
        <v/>
      </c>
      <c r="J319" s="47" t="str">
        <f>='ETPT Format DDG'!D319</f>
        <v/>
      </c>
      <c r="K319" s="47" t="s">
        <v>157</v>
      </c>
      <c r="L319" s="47" t="s">
        <v>1000</v>
      </c>
      <c r="M319" s="47"/>
      <c r="N319" s="47">
        <v>1</v>
      </c>
      <c r="O319" s="47">
        <v>0</v>
      </c>
      <c r="P319" s="47">
        <v>0</v>
      </c>
      <c r="Q319" s="47">
        <v>0</v>
      </c>
      <c r="R319" s="47">
        <v>0</v>
      </c>
      <c r="S319" s="47">
        <v>0</v>
      </c>
      <c r="T319" s="47">
        <v>0</v>
      </c>
      <c r="U319" s="47">
        <v>0</v>
      </c>
      <c r="V319" s="47">
        <v>0</v>
      </c>
      <c r="W319" s="47">
        <v>0</v>
      </c>
      <c r="X319" s="47">
        <v>0</v>
      </c>
      <c r="Y319" s="47">
        <v>0</v>
      </c>
      <c r="Z319" s="47">
        <v>0</v>
      </c>
      <c r="AA319" s="47">
        <v>0</v>
      </c>
      <c r="AB319" s="47">
        <v>0</v>
      </c>
      <c r="AC319" s="47">
        <v>0</v>
      </c>
      <c r="AD319" s="47">
        <v>0</v>
      </c>
      <c r="AE319" s="47">
        <v>0</v>
      </c>
      <c r="AF319" s="47">
        <v>0</v>
      </c>
      <c r="AG319" s="47">
        <v>0</v>
      </c>
      <c r="AH319" s="47">
        <v>0</v>
      </c>
      <c r="AI319" s="47">
        <v>0</v>
      </c>
      <c r="AJ319" s="47">
        <v>0</v>
      </c>
      <c r="AK319" s="47">
        <v>0</v>
      </c>
      <c r="AL319" s="47">
        <v>0</v>
      </c>
      <c r="AM319" s="47">
        <v>0</v>
      </c>
      <c r="AN319" s="47">
        <v>0</v>
      </c>
      <c r="AO319" s="47">
        <v>0</v>
      </c>
      <c r="AP319" s="47">
        <v>0</v>
      </c>
      <c r="AQ319" s="47">
        <v>0</v>
      </c>
      <c r="AR319" s="47">
        <v>0</v>
      </c>
      <c r="AS319" s="47">
        <v>0</v>
      </c>
      <c r="AT319" s="47">
        <v>0</v>
      </c>
      <c r="AU319" s="47">
        <v>0</v>
      </c>
      <c r="AV319" s="47">
        <v>0</v>
      </c>
      <c r="AW319" s="47">
        <v>0</v>
      </c>
      <c r="AX319" s="47">
        <v>0</v>
      </c>
      <c r="AY319" s="47">
        <v>0</v>
      </c>
      <c r="AZ319" s="47">
        <v>0</v>
      </c>
      <c r="BA319" s="47">
        <v>0</v>
      </c>
      <c r="BB319" s="47">
        <v>0</v>
      </c>
      <c r="BC319" s="47">
        <v>0</v>
      </c>
      <c r="BD319" s="47">
        <v>0</v>
      </c>
      <c r="BE319" s="47">
        <v>0</v>
      </c>
      <c r="BF319" s="47">
        <v>0</v>
      </c>
      <c r="BG319" s="47">
        <v>0</v>
      </c>
      <c r="BH319" s="47">
        <v>0</v>
      </c>
      <c r="BI319" s="47">
        <v>0</v>
      </c>
      <c r="BJ319" s="47">
        <v>0</v>
      </c>
      <c r="BK319" s="47">
        <v>0</v>
      </c>
      <c r="BL319" s="47">
        <v>0</v>
      </c>
      <c r="BM319" s="47">
        <v>0</v>
      </c>
      <c r="BN319" s="47">
        <v>0</v>
      </c>
      <c r="BO319" s="47">
        <v>0</v>
      </c>
      <c r="BP319" s="47">
        <v>0</v>
      </c>
      <c r="BQ319" s="47">
        <v>0</v>
      </c>
      <c r="BR319" s="47">
        <v>0</v>
      </c>
      <c r="BS319" s="47">
        <v>0</v>
      </c>
      <c r="BT319" s="47">
        <v>0</v>
      </c>
      <c r="BU319" s="47">
        <v>0</v>
      </c>
      <c r="BV319" s="47">
        <v>0</v>
      </c>
      <c r="BW319" s="47">
        <v>0</v>
      </c>
      <c r="BX319" s="47">
        <v>0</v>
      </c>
      <c r="BY319" s="47">
        <v>0</v>
      </c>
      <c r="BZ319" s="47">
        <v>0</v>
      </c>
      <c r="CA319" s="47">
        <v>0</v>
      </c>
      <c r="CB319" s="47">
        <v>0</v>
      </c>
      <c r="CC319" s="47">
        <v>0</v>
      </c>
      <c r="CD319" s="47">
        <v>0</v>
      </c>
      <c r="CE319" s="47">
        <v>0</v>
      </c>
      <c r="CF319" s="47">
        <v>0</v>
      </c>
      <c r="CG319" s="47">
        <v>0</v>
      </c>
      <c r="CH319" s="47">
        <v>0</v>
      </c>
      <c r="CI319" s="47">
        <v>0</v>
      </c>
      <c r="CJ319" s="47">
        <v>0</v>
      </c>
      <c r="CK319" s="47">
        <v>0</v>
      </c>
      <c r="CL319" s="47">
        <v>0</v>
      </c>
      <c r="CM319" s="47">
        <v>0</v>
      </c>
      <c r="CN319" s="47">
        <v>0</v>
      </c>
      <c r="CO319" s="47">
        <v>0</v>
      </c>
      <c r="CP319" s="47">
        <v>0</v>
      </c>
      <c r="CQ319" s="47">
        <v>0</v>
      </c>
      <c r="CR319" s="47">
        <v>0</v>
      </c>
      <c r="CS319" s="47">
        <v>0</v>
      </c>
      <c r="CT319" s="47">
        <v>0</v>
      </c>
      <c r="CU319" s="47">
        <v>0</v>
      </c>
      <c r="CV319" s="47">
        <v>0</v>
      </c>
      <c r="CW319" s="47">
        <v>0</v>
      </c>
      <c r="CX319" s="47">
        <v>0</v>
      </c>
      <c r="CY319" s="47">
        <v>0</v>
      </c>
      <c r="CZ319" s="47">
        <v>0</v>
      </c>
      <c r="DA319" s="47">
        <v>0</v>
      </c>
      <c r="DB319" s="47">
        <v>0</v>
      </c>
      <c r="DC319" s="47">
        <v>0</v>
      </c>
      <c r="DD319" s="47">
        <v>0</v>
      </c>
      <c r="DE319" s="47">
        <v>0</v>
      </c>
      <c r="DF319" s="47">
        <v>0</v>
      </c>
      <c r="DG319" s="47">
        <v>0</v>
      </c>
      <c r="DH319" s="47">
        <v>0</v>
      </c>
      <c r="DI319" s="47">
        <v>0</v>
      </c>
      <c r="DJ319" s="47">
        <v>0</v>
      </c>
      <c r="DK319" s="47">
        <v>0</v>
      </c>
      <c r="DL319" s="47">
        <v>0</v>
      </c>
      <c r="DM319" s="47">
        <v>0</v>
      </c>
      <c r="DN319" s="47">
        <v>0</v>
      </c>
      <c r="DO319" s="47">
        <v>0</v>
      </c>
      <c r="DP319" s="47">
        <v>0</v>
      </c>
      <c r="DQ319" s="47">
        <v>0</v>
      </c>
      <c r="DR319" s="47">
        <v>0</v>
      </c>
      <c r="DS319" s="47">
        <v>0</v>
      </c>
      <c r="DT319" s="47">
        <v>0</v>
      </c>
    </row>
    <row r="320" spans="1:126" x14ac:dyDescent="0.25">
      <c r="A320" s="47" t="s">
        <v>1573</v>
      </c>
      <c r="B320" s="47" t="s">
        <v>153</v>
      </c>
      <c r="C320" s="47" t="s">
        <v>1574</v>
      </c>
      <c r="D320" s="47" t="s">
        <v>1575</v>
      </c>
      <c r="E320" s="47" t="s">
        <v>1576</v>
      </c>
      <c r="F320" s="47" t="s">
        <v>698</v>
      </c>
      <c r="G320" s="47" t="s">
        <v>705</v>
      </c>
      <c r="H320" s="47" t="str">
        <f>=IFERROR(VLOOKUP(A320,'ETPT Format DDG'!A:J,10,FALSE),"")</f>
        <v>0</v>
      </c>
      <c r="I320" s="47" t="str">
        <f>='ETPT Format DDG'!M320</f>
        <v/>
      </c>
      <c r="J320" s="47" t="str">
        <f>='ETPT Format DDG'!D320</f>
        <v/>
      </c>
      <c r="K320" s="47" t="s">
        <v>157</v>
      </c>
      <c r="L320" s="47" t="s">
        <v>1577</v>
      </c>
      <c r="M320" s="47"/>
      <c r="N320" s="47">
        <v>0.8</v>
      </c>
      <c r="O320" s="47">
        <v>0</v>
      </c>
      <c r="P320" s="47">
        <v>0</v>
      </c>
      <c r="Q320" s="47">
        <v>0</v>
      </c>
      <c r="R320" s="47">
        <v>0</v>
      </c>
      <c r="S320" s="47">
        <v>0</v>
      </c>
      <c r="T320" s="47">
        <v>0</v>
      </c>
      <c r="U320" s="47">
        <v>0</v>
      </c>
      <c r="V320" s="47">
        <v>0</v>
      </c>
      <c r="W320" s="47">
        <v>0</v>
      </c>
      <c r="X320" s="47">
        <v>0</v>
      </c>
      <c r="Y320" s="47">
        <v>0</v>
      </c>
      <c r="Z320" s="47">
        <v>0</v>
      </c>
      <c r="AA320" s="47">
        <v>0</v>
      </c>
      <c r="AB320" s="47">
        <v>0</v>
      </c>
      <c r="AC320" s="47">
        <v>0</v>
      </c>
      <c r="AD320" s="47">
        <v>0</v>
      </c>
      <c r="AE320" s="47">
        <v>0</v>
      </c>
      <c r="AF320" s="47">
        <v>0</v>
      </c>
      <c r="AG320" s="47">
        <v>0</v>
      </c>
      <c r="AH320" s="47">
        <v>0</v>
      </c>
      <c r="AI320" s="47">
        <v>0</v>
      </c>
      <c r="AJ320" s="47">
        <v>0</v>
      </c>
      <c r="AK320" s="47">
        <v>0</v>
      </c>
      <c r="AL320" s="47">
        <v>0</v>
      </c>
      <c r="AM320" s="47">
        <v>0</v>
      </c>
      <c r="AN320" s="47">
        <v>0</v>
      </c>
      <c r="AO320" s="47">
        <v>0</v>
      </c>
      <c r="AP320" s="47">
        <v>0</v>
      </c>
      <c r="AQ320" s="47">
        <v>0</v>
      </c>
      <c r="AR320" s="47">
        <v>0</v>
      </c>
      <c r="AS320" s="47">
        <v>0</v>
      </c>
      <c r="AT320" s="47">
        <v>0</v>
      </c>
      <c r="AU320" s="47">
        <v>0</v>
      </c>
      <c r="AV320" s="47">
        <v>0</v>
      </c>
      <c r="AW320" s="47">
        <v>0</v>
      </c>
      <c r="AX320" s="47">
        <v>0</v>
      </c>
      <c r="AY320" s="47">
        <v>0</v>
      </c>
      <c r="AZ320" s="47">
        <v>0</v>
      </c>
      <c r="BA320" s="47">
        <v>0</v>
      </c>
      <c r="BB320" s="47">
        <v>0</v>
      </c>
      <c r="BC320" s="47">
        <v>0</v>
      </c>
      <c r="BD320" s="47">
        <v>0</v>
      </c>
      <c r="BE320" s="47">
        <v>0</v>
      </c>
      <c r="BF320" s="47">
        <v>0</v>
      </c>
      <c r="BG320" s="47">
        <v>0</v>
      </c>
      <c r="BH320" s="47">
        <v>0</v>
      </c>
      <c r="BI320" s="47">
        <v>0</v>
      </c>
      <c r="BJ320" s="47">
        <v>0</v>
      </c>
      <c r="BK320" s="47">
        <v>0</v>
      </c>
      <c r="BL320" s="47">
        <v>0</v>
      </c>
      <c r="BM320" s="47">
        <v>0</v>
      </c>
      <c r="BN320" s="47">
        <v>0</v>
      </c>
      <c r="BO320" s="47">
        <v>0</v>
      </c>
      <c r="BP320" s="47">
        <v>0</v>
      </c>
      <c r="BQ320" s="47">
        <v>0</v>
      </c>
      <c r="BR320" s="47">
        <v>0</v>
      </c>
      <c r="BS320" s="47">
        <v>0</v>
      </c>
      <c r="BT320" s="47">
        <v>0</v>
      </c>
      <c r="BU320" s="47">
        <v>0</v>
      </c>
      <c r="BV320" s="47">
        <v>0</v>
      </c>
      <c r="BW320" s="47">
        <v>0</v>
      </c>
      <c r="BX320" s="47">
        <v>0</v>
      </c>
      <c r="BY320" s="47">
        <v>0</v>
      </c>
      <c r="BZ320" s="47">
        <v>0</v>
      </c>
      <c r="CA320" s="47">
        <v>0</v>
      </c>
      <c r="CB320" s="47">
        <v>0</v>
      </c>
      <c r="CC320" s="47">
        <v>0</v>
      </c>
      <c r="CD320" s="47">
        <v>0</v>
      </c>
      <c r="CE320" s="47">
        <v>0</v>
      </c>
      <c r="CF320" s="47">
        <v>0</v>
      </c>
      <c r="CG320" s="47">
        <v>0</v>
      </c>
      <c r="CH320" s="47">
        <v>0</v>
      </c>
      <c r="CI320" s="47">
        <v>0</v>
      </c>
      <c r="CJ320" s="47">
        <v>0</v>
      </c>
      <c r="CK320" s="47">
        <v>0</v>
      </c>
      <c r="CL320" s="47">
        <v>0</v>
      </c>
      <c r="CM320" s="47">
        <v>0</v>
      </c>
      <c r="CN320" s="47">
        <v>0</v>
      </c>
      <c r="CO320" s="47">
        <v>0</v>
      </c>
      <c r="CP320" s="47">
        <v>0</v>
      </c>
      <c r="CQ320" s="47">
        <v>0</v>
      </c>
      <c r="CR320" s="47">
        <v>0</v>
      </c>
      <c r="CS320" s="47">
        <v>0</v>
      </c>
      <c r="CT320" s="47">
        <v>0</v>
      </c>
      <c r="CU320" s="47">
        <v>0</v>
      </c>
      <c r="CV320" s="47">
        <v>0</v>
      </c>
      <c r="CW320" s="47">
        <v>0</v>
      </c>
      <c r="CX320" s="47">
        <v>0</v>
      </c>
      <c r="CY320" s="47">
        <v>0</v>
      </c>
      <c r="CZ320" s="47">
        <v>0</v>
      </c>
      <c r="DA320" s="47">
        <v>0</v>
      </c>
      <c r="DB320" s="47">
        <v>0</v>
      </c>
      <c r="DC320" s="47">
        <v>0</v>
      </c>
      <c r="DD320" s="47">
        <v>0</v>
      </c>
      <c r="DE320" s="47">
        <v>0</v>
      </c>
      <c r="DF320" s="47">
        <v>0</v>
      </c>
      <c r="DG320" s="47">
        <v>0</v>
      </c>
      <c r="DH320" s="47">
        <v>0</v>
      </c>
      <c r="DI320" s="47">
        <v>0</v>
      </c>
      <c r="DJ320" s="47">
        <v>0</v>
      </c>
      <c r="DK320" s="47">
        <v>0</v>
      </c>
      <c r="DL320" s="47">
        <v>0</v>
      </c>
      <c r="DM320" s="47">
        <v>0</v>
      </c>
      <c r="DN320" s="47">
        <v>0</v>
      </c>
      <c r="DO320" s="47">
        <v>0</v>
      </c>
      <c r="DP320" s="47">
        <v>0</v>
      </c>
      <c r="DQ320" s="47">
        <v>0</v>
      </c>
      <c r="DR320" s="47">
        <v>0</v>
      </c>
      <c r="DS320" s="47">
        <v>0</v>
      </c>
      <c r="DT320" s="47">
        <v>0</v>
      </c>
    </row>
    <row r="321" spans="1:126" x14ac:dyDescent="0.25">
      <c r="A321" s="47" t="s">
        <v>1578</v>
      </c>
      <c r="B321" s="47" t="s">
        <v>153</v>
      </c>
      <c r="C321" s="47" t="s">
        <v>1579</v>
      </c>
      <c r="D321" s="47" t="s">
        <v>1580</v>
      </c>
      <c r="E321" s="47" t="s">
        <v>1581</v>
      </c>
      <c r="F321" s="47" t="s">
        <v>698</v>
      </c>
      <c r="G321" s="47" t="s">
        <v>727</v>
      </c>
      <c r="H321" s="47" t="str">
        <f>=IFERROR(VLOOKUP(A321,'ETPT Format DDG'!A:J,10,FALSE),"")</f>
        <v>0</v>
      </c>
      <c r="I321" s="47" t="str">
        <f>='ETPT Format DDG'!M321</f>
        <v/>
      </c>
      <c r="J321" s="47" t="str">
        <f>='ETPT Format DDG'!D321</f>
        <v/>
      </c>
      <c r="K321" s="47" t="s">
        <v>157</v>
      </c>
      <c r="L321" s="47" t="s">
        <v>739</v>
      </c>
      <c r="M321" s="47"/>
      <c r="N321" s="47">
        <v>1</v>
      </c>
      <c r="O321" s="47">
        <v>0</v>
      </c>
      <c r="P321" s="47">
        <v>0</v>
      </c>
      <c r="Q321" s="47">
        <v>0</v>
      </c>
      <c r="R321" s="47">
        <v>0</v>
      </c>
      <c r="S321" s="47">
        <v>0</v>
      </c>
      <c r="T321" s="47">
        <v>0</v>
      </c>
      <c r="U321" s="47">
        <v>0</v>
      </c>
      <c r="V321" s="47">
        <v>0</v>
      </c>
      <c r="W321" s="47">
        <v>0</v>
      </c>
      <c r="X321" s="47">
        <v>0</v>
      </c>
      <c r="Y321" s="47">
        <v>0</v>
      </c>
      <c r="Z321" s="47">
        <v>0</v>
      </c>
      <c r="AA321" s="47">
        <v>0</v>
      </c>
      <c r="AB321" s="47">
        <v>0</v>
      </c>
      <c r="AC321" s="47">
        <v>0</v>
      </c>
      <c r="AD321" s="47">
        <v>0</v>
      </c>
      <c r="AE321" s="47">
        <v>0</v>
      </c>
      <c r="AF321" s="47">
        <v>0</v>
      </c>
      <c r="AG321" s="47">
        <v>0</v>
      </c>
      <c r="AH321" s="47">
        <v>0</v>
      </c>
      <c r="AI321" s="47">
        <v>0</v>
      </c>
      <c r="AJ321" s="47">
        <v>0</v>
      </c>
      <c r="AK321" s="47">
        <v>0</v>
      </c>
      <c r="AL321" s="47">
        <v>0</v>
      </c>
      <c r="AM321" s="47">
        <v>0</v>
      </c>
      <c r="AN321" s="47">
        <v>0</v>
      </c>
      <c r="AO321" s="47">
        <v>0</v>
      </c>
      <c r="AP321" s="47">
        <v>0</v>
      </c>
      <c r="AQ321" s="47">
        <v>0</v>
      </c>
      <c r="AR321" s="47">
        <v>0</v>
      </c>
      <c r="AS321" s="47">
        <v>0</v>
      </c>
      <c r="AT321" s="47">
        <v>0</v>
      </c>
      <c r="AU321" s="47">
        <v>0</v>
      </c>
      <c r="AV321" s="47">
        <v>0</v>
      </c>
      <c r="AW321" s="47">
        <v>0</v>
      </c>
      <c r="AX321" s="47">
        <v>0</v>
      </c>
      <c r="AY321" s="47">
        <v>0</v>
      </c>
      <c r="AZ321" s="47">
        <v>0</v>
      </c>
      <c r="BA321" s="47">
        <v>0</v>
      </c>
      <c r="BB321" s="47">
        <v>0</v>
      </c>
      <c r="BC321" s="47">
        <v>0</v>
      </c>
      <c r="BD321" s="47">
        <v>0</v>
      </c>
      <c r="BE321" s="47">
        <v>0</v>
      </c>
      <c r="BF321" s="47">
        <v>0</v>
      </c>
      <c r="BG321" s="47">
        <v>0</v>
      </c>
      <c r="BH321" s="47">
        <v>0</v>
      </c>
      <c r="BI321" s="47">
        <v>0</v>
      </c>
      <c r="BJ321" s="47">
        <v>0</v>
      </c>
      <c r="BK321" s="47">
        <v>0</v>
      </c>
      <c r="BL321" s="47">
        <v>0</v>
      </c>
      <c r="BM321" s="47">
        <v>0</v>
      </c>
      <c r="BN321" s="47">
        <v>0</v>
      </c>
      <c r="BO321" s="47">
        <v>0</v>
      </c>
      <c r="BP321" s="47">
        <v>0</v>
      </c>
      <c r="BQ321" s="47">
        <v>0</v>
      </c>
      <c r="BR321" s="47">
        <v>0</v>
      </c>
      <c r="BS321" s="47">
        <v>0</v>
      </c>
      <c r="BT321" s="47">
        <v>0</v>
      </c>
      <c r="BU321" s="47">
        <v>0</v>
      </c>
      <c r="BV321" s="47">
        <v>0</v>
      </c>
      <c r="BW321" s="47">
        <v>0</v>
      </c>
      <c r="BX321" s="47">
        <v>0</v>
      </c>
      <c r="BY321" s="47">
        <v>0</v>
      </c>
      <c r="BZ321" s="47">
        <v>0</v>
      </c>
      <c r="CA321" s="47">
        <v>0</v>
      </c>
      <c r="CB321" s="47">
        <v>0</v>
      </c>
      <c r="CC321" s="47">
        <v>0</v>
      </c>
      <c r="CD321" s="47">
        <v>0</v>
      </c>
      <c r="CE321" s="47">
        <v>0</v>
      </c>
      <c r="CF321" s="47">
        <v>0</v>
      </c>
      <c r="CG321" s="47">
        <v>0</v>
      </c>
      <c r="CH321" s="47">
        <v>0</v>
      </c>
      <c r="CI321" s="47">
        <v>0</v>
      </c>
      <c r="CJ321" s="47">
        <v>0</v>
      </c>
      <c r="CK321" s="47">
        <v>0</v>
      </c>
      <c r="CL321" s="47">
        <v>0</v>
      </c>
      <c r="CM321" s="47">
        <v>0</v>
      </c>
      <c r="CN321" s="47">
        <v>0</v>
      </c>
      <c r="CO321" s="47">
        <v>0</v>
      </c>
      <c r="CP321" s="47">
        <v>0</v>
      </c>
      <c r="CQ321" s="47">
        <v>0</v>
      </c>
      <c r="CR321" s="47">
        <v>0</v>
      </c>
      <c r="CS321" s="47">
        <v>0</v>
      </c>
      <c r="CT321" s="47">
        <v>0</v>
      </c>
      <c r="CU321" s="47">
        <v>0</v>
      </c>
      <c r="CV321" s="47">
        <v>0</v>
      </c>
      <c r="CW321" s="47">
        <v>0</v>
      </c>
      <c r="CX321" s="47">
        <v>0</v>
      </c>
      <c r="CY321" s="47">
        <v>0</v>
      </c>
      <c r="CZ321" s="47">
        <v>0</v>
      </c>
      <c r="DA321" s="47">
        <v>0</v>
      </c>
      <c r="DB321" s="47">
        <v>0</v>
      </c>
      <c r="DC321" s="47">
        <v>0</v>
      </c>
      <c r="DD321" s="47">
        <v>0</v>
      </c>
      <c r="DE321" s="47">
        <v>0</v>
      </c>
      <c r="DF321" s="47">
        <v>0</v>
      </c>
      <c r="DG321" s="47">
        <v>0</v>
      </c>
      <c r="DH321" s="47">
        <v>0</v>
      </c>
      <c r="DI321" s="47">
        <v>0</v>
      </c>
      <c r="DJ321" s="47">
        <v>0</v>
      </c>
      <c r="DK321" s="47">
        <v>0</v>
      </c>
      <c r="DL321" s="47">
        <v>0</v>
      </c>
      <c r="DM321" s="47">
        <v>0</v>
      </c>
      <c r="DN321" s="47">
        <v>0</v>
      </c>
      <c r="DO321" s="47">
        <v>0</v>
      </c>
      <c r="DP321" s="47">
        <v>0</v>
      </c>
      <c r="DQ321" s="47">
        <v>0</v>
      </c>
      <c r="DR321" s="47">
        <v>0</v>
      </c>
      <c r="DS321" s="47">
        <v>0</v>
      </c>
      <c r="DT321" s="47">
        <v>0</v>
      </c>
    </row>
    <row r="322" spans="1:126" x14ac:dyDescent="0.25">
      <c r="A322" s="47" t="s">
        <v>1582</v>
      </c>
      <c r="B322" s="47" t="s">
        <v>153</v>
      </c>
      <c r="C322" s="47" t="s">
        <v>1583</v>
      </c>
      <c r="D322" s="47" t="s">
        <v>1584</v>
      </c>
      <c r="E322" s="47" t="s">
        <v>1585</v>
      </c>
      <c r="F322" s="47" t="s">
        <v>698</v>
      </c>
      <c r="G322" s="47" t="s">
        <v>705</v>
      </c>
      <c r="H322" s="47" t="str">
        <f>=IFERROR(VLOOKUP(A322,'ETPT Format DDG'!A:J,10,FALSE),"")</f>
        <v>0</v>
      </c>
      <c r="I322" s="47" t="str">
        <f>='ETPT Format DDG'!M322</f>
        <v/>
      </c>
      <c r="J322" s="47" t="str">
        <f>='ETPT Format DDG'!D322</f>
        <v/>
      </c>
      <c r="K322" s="47" t="s">
        <v>157</v>
      </c>
      <c r="L322" s="47" t="s">
        <v>1586</v>
      </c>
      <c r="M322" s="47"/>
      <c r="N322" s="47">
        <v>1</v>
      </c>
      <c r="O322" s="47">
        <v>0</v>
      </c>
      <c r="P322" s="47">
        <v>0</v>
      </c>
      <c r="Q322" s="47">
        <v>0</v>
      </c>
      <c r="R322" s="47">
        <v>0</v>
      </c>
      <c r="S322" s="47">
        <v>0</v>
      </c>
      <c r="T322" s="47">
        <v>0</v>
      </c>
      <c r="U322" s="47">
        <v>0</v>
      </c>
      <c r="V322" s="47">
        <v>0</v>
      </c>
      <c r="W322" s="47">
        <v>0</v>
      </c>
      <c r="X322" s="47">
        <v>0</v>
      </c>
      <c r="Y322" s="47">
        <v>0</v>
      </c>
      <c r="Z322" s="47">
        <v>0</v>
      </c>
      <c r="AA322" s="47">
        <v>0</v>
      </c>
      <c r="AB322" s="47">
        <v>0</v>
      </c>
      <c r="AC322" s="47">
        <v>0</v>
      </c>
      <c r="AD322" s="47">
        <v>0</v>
      </c>
      <c r="AE322" s="47">
        <v>0</v>
      </c>
      <c r="AF322" s="47">
        <v>0</v>
      </c>
      <c r="AG322" s="47">
        <v>0</v>
      </c>
      <c r="AH322" s="47">
        <v>0</v>
      </c>
      <c r="AI322" s="47">
        <v>0</v>
      </c>
      <c r="AJ322" s="47">
        <v>0</v>
      </c>
      <c r="AK322" s="47">
        <v>0</v>
      </c>
      <c r="AL322" s="47">
        <v>0</v>
      </c>
      <c r="AM322" s="47">
        <v>0</v>
      </c>
      <c r="AN322" s="47">
        <v>0</v>
      </c>
      <c r="AO322" s="47">
        <v>0</v>
      </c>
      <c r="AP322" s="47">
        <v>0</v>
      </c>
      <c r="AQ322" s="47">
        <v>0</v>
      </c>
      <c r="AR322" s="47">
        <v>0</v>
      </c>
      <c r="AS322" s="47">
        <v>0</v>
      </c>
      <c r="AT322" s="47">
        <v>0</v>
      </c>
      <c r="AU322" s="47">
        <v>0</v>
      </c>
      <c r="AV322" s="47">
        <v>0</v>
      </c>
      <c r="AW322" s="47">
        <v>0</v>
      </c>
      <c r="AX322" s="47">
        <v>0</v>
      </c>
      <c r="AY322" s="47">
        <v>0</v>
      </c>
      <c r="AZ322" s="47">
        <v>0</v>
      </c>
      <c r="BA322" s="47">
        <v>0</v>
      </c>
      <c r="BB322" s="47">
        <v>0</v>
      </c>
      <c r="BC322" s="47">
        <v>0</v>
      </c>
      <c r="BD322" s="47">
        <v>0</v>
      </c>
      <c r="BE322" s="47">
        <v>0</v>
      </c>
      <c r="BF322" s="47">
        <v>0</v>
      </c>
      <c r="BG322" s="47">
        <v>0</v>
      </c>
      <c r="BH322" s="47">
        <v>0</v>
      </c>
      <c r="BI322" s="47">
        <v>0</v>
      </c>
      <c r="BJ322" s="47">
        <v>0</v>
      </c>
      <c r="BK322" s="47">
        <v>0</v>
      </c>
      <c r="BL322" s="47">
        <v>0</v>
      </c>
      <c r="BM322" s="47">
        <v>0</v>
      </c>
      <c r="BN322" s="47">
        <v>0</v>
      </c>
      <c r="BO322" s="47">
        <v>0</v>
      </c>
      <c r="BP322" s="47">
        <v>0</v>
      </c>
      <c r="BQ322" s="47">
        <v>0</v>
      </c>
      <c r="BR322" s="47">
        <v>0</v>
      </c>
      <c r="BS322" s="47">
        <v>0</v>
      </c>
      <c r="BT322" s="47">
        <v>0</v>
      </c>
      <c r="BU322" s="47">
        <v>0</v>
      </c>
      <c r="BV322" s="47">
        <v>0</v>
      </c>
      <c r="BW322" s="47">
        <v>0</v>
      </c>
      <c r="BX322" s="47">
        <v>0</v>
      </c>
      <c r="BY322" s="47">
        <v>0</v>
      </c>
      <c r="BZ322" s="47">
        <v>0</v>
      </c>
      <c r="CA322" s="47">
        <v>0</v>
      </c>
      <c r="CB322" s="47">
        <v>0</v>
      </c>
      <c r="CC322" s="47">
        <v>0</v>
      </c>
      <c r="CD322" s="47">
        <v>0</v>
      </c>
      <c r="CE322" s="47">
        <v>0</v>
      </c>
      <c r="CF322" s="47">
        <v>0</v>
      </c>
      <c r="CG322" s="47">
        <v>0</v>
      </c>
      <c r="CH322" s="47">
        <v>0</v>
      </c>
      <c r="CI322" s="47">
        <v>0</v>
      </c>
      <c r="CJ322" s="47">
        <v>0</v>
      </c>
      <c r="CK322" s="47">
        <v>0</v>
      </c>
      <c r="CL322" s="47">
        <v>0</v>
      </c>
      <c r="CM322" s="47">
        <v>0</v>
      </c>
      <c r="CN322" s="47">
        <v>0</v>
      </c>
      <c r="CO322" s="47">
        <v>0</v>
      </c>
      <c r="CP322" s="47">
        <v>0</v>
      </c>
      <c r="CQ322" s="47">
        <v>0</v>
      </c>
      <c r="CR322" s="47">
        <v>0</v>
      </c>
      <c r="CS322" s="47">
        <v>0</v>
      </c>
      <c r="CT322" s="47">
        <v>0</v>
      </c>
      <c r="CU322" s="47">
        <v>0</v>
      </c>
      <c r="CV322" s="47">
        <v>0</v>
      </c>
      <c r="CW322" s="47">
        <v>0</v>
      </c>
      <c r="CX322" s="47">
        <v>0</v>
      </c>
      <c r="CY322" s="47">
        <v>0</v>
      </c>
      <c r="CZ322" s="47">
        <v>0</v>
      </c>
      <c r="DA322" s="47">
        <v>0</v>
      </c>
      <c r="DB322" s="47">
        <v>0</v>
      </c>
      <c r="DC322" s="47">
        <v>0</v>
      </c>
      <c r="DD322" s="47">
        <v>0</v>
      </c>
      <c r="DE322" s="47">
        <v>0</v>
      </c>
      <c r="DF322" s="47">
        <v>0</v>
      </c>
      <c r="DG322" s="47">
        <v>0</v>
      </c>
      <c r="DH322" s="47">
        <v>0</v>
      </c>
      <c r="DI322" s="47">
        <v>0</v>
      </c>
      <c r="DJ322" s="47">
        <v>0</v>
      </c>
      <c r="DK322" s="47">
        <v>0</v>
      </c>
      <c r="DL322" s="47">
        <v>0</v>
      </c>
      <c r="DM322" s="47">
        <v>0</v>
      </c>
      <c r="DN322" s="47">
        <v>0</v>
      </c>
      <c r="DO322" s="47">
        <v>0</v>
      </c>
      <c r="DP322" s="47">
        <v>0</v>
      </c>
      <c r="DQ322" s="47">
        <v>0</v>
      </c>
      <c r="DR322" s="47">
        <v>0</v>
      </c>
      <c r="DS322" s="47">
        <v>0</v>
      </c>
      <c r="DT322" s="47">
        <v>0</v>
      </c>
    </row>
    <row r="323" spans="1:126" x14ac:dyDescent="0.25">
      <c r="A323" s="47" t="s">
        <v>1587</v>
      </c>
      <c r="B323" s="47" t="s">
        <v>153</v>
      </c>
      <c r="C323" s="47" t="s">
        <v>1588</v>
      </c>
      <c r="D323" s="47" t="s">
        <v>1589</v>
      </c>
      <c r="E323" s="47" t="s">
        <v>1590</v>
      </c>
      <c r="F323" s="47" t="s">
        <v>698</v>
      </c>
      <c r="G323" s="47" t="s">
        <v>705</v>
      </c>
      <c r="H323" s="47" t="str">
        <f>=IFERROR(VLOOKUP(A323,'ETPT Format DDG'!A:J,10,FALSE),"")</f>
        <v>0</v>
      </c>
      <c r="I323" s="47" t="str">
        <f>='ETPT Format DDG'!M323</f>
        <v/>
      </c>
      <c r="J323" s="47" t="str">
        <f>='ETPT Format DDG'!D323</f>
        <v/>
      </c>
      <c r="K323" s="47" t="s">
        <v>157</v>
      </c>
      <c r="L323" s="47" t="s">
        <v>1071</v>
      </c>
      <c r="M323" s="47"/>
      <c r="N323" s="47">
        <v>1</v>
      </c>
      <c r="O323" s="47">
        <v>0</v>
      </c>
      <c r="P323" s="47">
        <v>0</v>
      </c>
      <c r="Q323" s="47">
        <v>0</v>
      </c>
      <c r="R323" s="47">
        <v>0</v>
      </c>
      <c r="S323" s="47">
        <v>0</v>
      </c>
      <c r="T323" s="47">
        <v>0</v>
      </c>
      <c r="U323" s="47">
        <v>0</v>
      </c>
      <c r="V323" s="47">
        <v>0</v>
      </c>
      <c r="W323" s="47">
        <v>0</v>
      </c>
      <c r="X323" s="47">
        <v>0</v>
      </c>
      <c r="Y323" s="47">
        <v>0</v>
      </c>
      <c r="Z323" s="47">
        <v>0</v>
      </c>
      <c r="AA323" s="47">
        <v>0</v>
      </c>
      <c r="AB323" s="47">
        <v>0</v>
      </c>
      <c r="AC323" s="47">
        <v>0</v>
      </c>
      <c r="AD323" s="47">
        <v>0</v>
      </c>
      <c r="AE323" s="47">
        <v>0</v>
      </c>
      <c r="AF323" s="47">
        <v>0</v>
      </c>
      <c r="AG323" s="47">
        <v>0</v>
      </c>
      <c r="AH323" s="47">
        <v>0</v>
      </c>
      <c r="AI323" s="47">
        <v>0</v>
      </c>
      <c r="AJ323" s="47">
        <v>0</v>
      </c>
      <c r="AK323" s="47">
        <v>0</v>
      </c>
      <c r="AL323" s="47">
        <v>0</v>
      </c>
      <c r="AM323" s="47">
        <v>0</v>
      </c>
      <c r="AN323" s="47">
        <v>0</v>
      </c>
      <c r="AO323" s="47">
        <v>0</v>
      </c>
      <c r="AP323" s="47">
        <v>0</v>
      </c>
      <c r="AQ323" s="47">
        <v>0</v>
      </c>
      <c r="AR323" s="47">
        <v>0</v>
      </c>
      <c r="AS323" s="47">
        <v>0</v>
      </c>
      <c r="AT323" s="47">
        <v>0</v>
      </c>
      <c r="AU323" s="47">
        <v>0</v>
      </c>
      <c r="AV323" s="47">
        <v>0</v>
      </c>
      <c r="AW323" s="47">
        <v>0</v>
      </c>
      <c r="AX323" s="47">
        <v>0</v>
      </c>
      <c r="AY323" s="47">
        <v>0</v>
      </c>
      <c r="AZ323" s="47">
        <v>0</v>
      </c>
      <c r="BA323" s="47">
        <v>0</v>
      </c>
      <c r="BB323" s="47">
        <v>0</v>
      </c>
      <c r="BC323" s="47">
        <v>0</v>
      </c>
      <c r="BD323" s="47">
        <v>0</v>
      </c>
      <c r="BE323" s="47">
        <v>0</v>
      </c>
      <c r="BF323" s="47">
        <v>0</v>
      </c>
      <c r="BG323" s="47">
        <v>0</v>
      </c>
      <c r="BH323" s="47">
        <v>0</v>
      </c>
      <c r="BI323" s="47">
        <v>0</v>
      </c>
      <c r="BJ323" s="47">
        <v>0</v>
      </c>
      <c r="BK323" s="47">
        <v>0</v>
      </c>
      <c r="BL323" s="47">
        <v>0</v>
      </c>
      <c r="BM323" s="47">
        <v>0</v>
      </c>
      <c r="BN323" s="47">
        <v>0</v>
      </c>
      <c r="BO323" s="47">
        <v>0</v>
      </c>
      <c r="BP323" s="47">
        <v>0</v>
      </c>
      <c r="BQ323" s="47">
        <v>0</v>
      </c>
      <c r="BR323" s="47">
        <v>0</v>
      </c>
      <c r="BS323" s="47">
        <v>0</v>
      </c>
      <c r="BT323" s="47">
        <v>0</v>
      </c>
      <c r="BU323" s="47">
        <v>0</v>
      </c>
      <c r="BV323" s="47">
        <v>0</v>
      </c>
      <c r="BW323" s="47">
        <v>0</v>
      </c>
      <c r="BX323" s="47">
        <v>0</v>
      </c>
      <c r="BY323" s="47">
        <v>0</v>
      </c>
      <c r="BZ323" s="47">
        <v>0</v>
      </c>
      <c r="CA323" s="47">
        <v>0</v>
      </c>
      <c r="CB323" s="47">
        <v>0</v>
      </c>
      <c r="CC323" s="47">
        <v>0</v>
      </c>
      <c r="CD323" s="47">
        <v>0</v>
      </c>
      <c r="CE323" s="47">
        <v>0</v>
      </c>
      <c r="CF323" s="47">
        <v>0</v>
      </c>
      <c r="CG323" s="47">
        <v>0</v>
      </c>
      <c r="CH323" s="47">
        <v>0</v>
      </c>
      <c r="CI323" s="47">
        <v>0</v>
      </c>
      <c r="CJ323" s="47">
        <v>0</v>
      </c>
      <c r="CK323" s="47">
        <v>0</v>
      </c>
      <c r="CL323" s="47">
        <v>0</v>
      </c>
      <c r="CM323" s="47">
        <v>0</v>
      </c>
      <c r="CN323" s="47">
        <v>0</v>
      </c>
      <c r="CO323" s="47">
        <v>0</v>
      </c>
      <c r="CP323" s="47">
        <v>0</v>
      </c>
      <c r="CQ323" s="47">
        <v>0</v>
      </c>
      <c r="CR323" s="47">
        <v>0</v>
      </c>
      <c r="CS323" s="47">
        <v>0</v>
      </c>
      <c r="CT323" s="47">
        <v>0</v>
      </c>
      <c r="CU323" s="47">
        <v>0</v>
      </c>
      <c r="CV323" s="47">
        <v>0</v>
      </c>
      <c r="CW323" s="47">
        <v>0</v>
      </c>
      <c r="CX323" s="47">
        <v>0</v>
      </c>
      <c r="CY323" s="47">
        <v>0</v>
      </c>
      <c r="CZ323" s="47">
        <v>0</v>
      </c>
      <c r="DA323" s="47">
        <v>0</v>
      </c>
      <c r="DB323" s="47">
        <v>0</v>
      </c>
      <c r="DC323" s="47">
        <v>0</v>
      </c>
      <c r="DD323" s="47">
        <v>0</v>
      </c>
      <c r="DE323" s="47">
        <v>0</v>
      </c>
      <c r="DF323" s="47">
        <v>0</v>
      </c>
      <c r="DG323" s="47">
        <v>0</v>
      </c>
      <c r="DH323" s="47">
        <v>0</v>
      </c>
      <c r="DI323" s="47">
        <v>0</v>
      </c>
      <c r="DJ323" s="47">
        <v>0</v>
      </c>
      <c r="DK323" s="47">
        <v>0</v>
      </c>
      <c r="DL323" s="47">
        <v>0</v>
      </c>
      <c r="DM323" s="47">
        <v>0</v>
      </c>
      <c r="DN323" s="47">
        <v>0</v>
      </c>
      <c r="DO323" s="47">
        <v>0</v>
      </c>
      <c r="DP323" s="47">
        <v>0</v>
      </c>
      <c r="DQ323" s="47">
        <v>0</v>
      </c>
      <c r="DR323" s="47">
        <v>0</v>
      </c>
      <c r="DS323" s="47">
        <v>0</v>
      </c>
      <c r="DT323" s="47">
        <v>0</v>
      </c>
    </row>
    <row r="324" spans="1:126" x14ac:dyDescent="0.25">
      <c r="A324" s="47" t="s">
        <v>1591</v>
      </c>
      <c r="B324" s="47" t="s">
        <v>153</v>
      </c>
      <c r="C324" s="47" t="s">
        <v>1592</v>
      </c>
      <c r="D324" s="47" t="s">
        <v>1593</v>
      </c>
      <c r="E324" s="47" t="s">
        <v>1594</v>
      </c>
      <c r="F324" s="47" t="s">
        <v>698</v>
      </c>
      <c r="G324" s="47" t="s">
        <v>727</v>
      </c>
      <c r="H324" s="47" t="str">
        <f>=IFERROR(VLOOKUP(A324,'ETPT Format DDG'!A:J,10,FALSE),"")</f>
        <v>0</v>
      </c>
      <c r="I324" s="47" t="str">
        <f>='ETPT Format DDG'!M324</f>
        <v/>
      </c>
      <c r="J324" s="47" t="str">
        <f>='ETPT Format DDG'!D324</f>
        <v/>
      </c>
      <c r="K324" s="47" t="s">
        <v>157</v>
      </c>
      <c r="L324" s="47" t="s">
        <v>1547</v>
      </c>
      <c r="M324" s="47"/>
      <c r="N324" s="47">
        <v>1</v>
      </c>
      <c r="O324" s="47">
        <v>0</v>
      </c>
      <c r="P324" s="47">
        <v>0</v>
      </c>
      <c r="Q324" s="47">
        <v>0</v>
      </c>
      <c r="R324" s="47">
        <v>0</v>
      </c>
      <c r="S324" s="47">
        <v>0</v>
      </c>
      <c r="T324" s="47">
        <v>0</v>
      </c>
      <c r="U324" s="47">
        <v>0</v>
      </c>
      <c r="V324" s="47">
        <v>0</v>
      </c>
      <c r="W324" s="47">
        <v>0</v>
      </c>
      <c r="X324" s="47">
        <v>0</v>
      </c>
      <c r="Y324" s="47">
        <v>0</v>
      </c>
      <c r="Z324" s="47">
        <v>0</v>
      </c>
      <c r="AA324" s="47">
        <v>0</v>
      </c>
      <c r="AB324" s="47">
        <v>0</v>
      </c>
      <c r="AC324" s="47">
        <v>0</v>
      </c>
      <c r="AD324" s="47">
        <v>0</v>
      </c>
      <c r="AE324" s="47">
        <v>0</v>
      </c>
      <c r="AF324" s="47">
        <v>0</v>
      </c>
      <c r="AG324" s="47">
        <v>0</v>
      </c>
      <c r="AH324" s="47">
        <v>0</v>
      </c>
      <c r="AI324" s="47">
        <v>0</v>
      </c>
      <c r="AJ324" s="47">
        <v>0</v>
      </c>
      <c r="AK324" s="47">
        <v>0</v>
      </c>
      <c r="AL324" s="47">
        <v>0</v>
      </c>
      <c r="AM324" s="47">
        <v>0</v>
      </c>
      <c r="AN324" s="47">
        <v>0</v>
      </c>
      <c r="AO324" s="47">
        <v>0</v>
      </c>
      <c r="AP324" s="47">
        <v>0</v>
      </c>
      <c r="AQ324" s="47">
        <v>0</v>
      </c>
      <c r="AR324" s="47">
        <v>0</v>
      </c>
      <c r="AS324" s="47">
        <v>0</v>
      </c>
      <c r="AT324" s="47">
        <v>0</v>
      </c>
      <c r="AU324" s="47">
        <v>0</v>
      </c>
      <c r="AV324" s="47">
        <v>0</v>
      </c>
      <c r="AW324" s="47">
        <v>0</v>
      </c>
      <c r="AX324" s="47">
        <v>0</v>
      </c>
      <c r="AY324" s="47">
        <v>0</v>
      </c>
      <c r="AZ324" s="47">
        <v>0</v>
      </c>
      <c r="BA324" s="47">
        <v>0</v>
      </c>
      <c r="BB324" s="47">
        <v>0</v>
      </c>
      <c r="BC324" s="47">
        <v>0</v>
      </c>
      <c r="BD324" s="47">
        <v>0</v>
      </c>
      <c r="BE324" s="47">
        <v>0</v>
      </c>
      <c r="BF324" s="47">
        <v>0</v>
      </c>
      <c r="BG324" s="47">
        <v>0</v>
      </c>
      <c r="BH324" s="47">
        <v>0</v>
      </c>
      <c r="BI324" s="47">
        <v>0</v>
      </c>
      <c r="BJ324" s="47">
        <v>0</v>
      </c>
      <c r="BK324" s="47">
        <v>0</v>
      </c>
      <c r="BL324" s="47">
        <v>0</v>
      </c>
      <c r="BM324" s="47">
        <v>0</v>
      </c>
      <c r="BN324" s="47">
        <v>0</v>
      </c>
      <c r="BO324" s="47">
        <v>0</v>
      </c>
      <c r="BP324" s="47">
        <v>0</v>
      </c>
      <c r="BQ324" s="47">
        <v>0</v>
      </c>
      <c r="BR324" s="47">
        <v>0</v>
      </c>
      <c r="BS324" s="47">
        <v>0</v>
      </c>
      <c r="BT324" s="47">
        <v>0</v>
      </c>
      <c r="BU324" s="47">
        <v>0</v>
      </c>
      <c r="BV324" s="47">
        <v>0</v>
      </c>
      <c r="BW324" s="47">
        <v>0</v>
      </c>
      <c r="BX324" s="47">
        <v>0</v>
      </c>
      <c r="BY324" s="47">
        <v>0</v>
      </c>
      <c r="BZ324" s="47">
        <v>0</v>
      </c>
      <c r="CA324" s="47">
        <v>0</v>
      </c>
      <c r="CB324" s="47">
        <v>0</v>
      </c>
      <c r="CC324" s="47">
        <v>0</v>
      </c>
      <c r="CD324" s="47">
        <v>0</v>
      </c>
      <c r="CE324" s="47">
        <v>0</v>
      </c>
      <c r="CF324" s="47">
        <v>0</v>
      </c>
      <c r="CG324" s="47">
        <v>0</v>
      </c>
      <c r="CH324" s="47">
        <v>0</v>
      </c>
      <c r="CI324" s="47">
        <v>0</v>
      </c>
      <c r="CJ324" s="47">
        <v>0</v>
      </c>
      <c r="CK324" s="47">
        <v>0</v>
      </c>
      <c r="CL324" s="47">
        <v>0</v>
      </c>
      <c r="CM324" s="47">
        <v>0</v>
      </c>
      <c r="CN324" s="47">
        <v>0</v>
      </c>
      <c r="CO324" s="47">
        <v>0</v>
      </c>
      <c r="CP324" s="47">
        <v>0</v>
      </c>
      <c r="CQ324" s="47">
        <v>0</v>
      </c>
      <c r="CR324" s="47">
        <v>0</v>
      </c>
      <c r="CS324" s="47">
        <v>0</v>
      </c>
      <c r="CT324" s="47">
        <v>0</v>
      </c>
      <c r="CU324" s="47">
        <v>0</v>
      </c>
      <c r="CV324" s="47">
        <v>0</v>
      </c>
      <c r="CW324" s="47">
        <v>0</v>
      </c>
      <c r="CX324" s="47">
        <v>0</v>
      </c>
      <c r="CY324" s="47">
        <v>0</v>
      </c>
      <c r="CZ324" s="47">
        <v>0</v>
      </c>
      <c r="DA324" s="47">
        <v>0</v>
      </c>
      <c r="DB324" s="47">
        <v>0</v>
      </c>
      <c r="DC324" s="47">
        <v>0</v>
      </c>
      <c r="DD324" s="47">
        <v>0</v>
      </c>
      <c r="DE324" s="47">
        <v>0</v>
      </c>
      <c r="DF324" s="47">
        <v>0</v>
      </c>
      <c r="DG324" s="47">
        <v>0</v>
      </c>
      <c r="DH324" s="47">
        <v>0</v>
      </c>
      <c r="DI324" s="47">
        <v>0</v>
      </c>
      <c r="DJ324" s="47">
        <v>0</v>
      </c>
      <c r="DK324" s="47">
        <v>0</v>
      </c>
      <c r="DL324" s="47">
        <v>0</v>
      </c>
      <c r="DM324" s="47">
        <v>0</v>
      </c>
      <c r="DN324" s="47">
        <v>0</v>
      </c>
      <c r="DO324" s="47">
        <v>0</v>
      </c>
      <c r="DP324" s="47">
        <v>0</v>
      </c>
      <c r="DQ324" s="47">
        <v>0</v>
      </c>
      <c r="DR324" s="47">
        <v>0</v>
      </c>
      <c r="DS324" s="47">
        <v>0</v>
      </c>
      <c r="DT324" s="47">
        <v>0</v>
      </c>
    </row>
    <row r="325" spans="1:126" x14ac:dyDescent="0.25">
      <c r="A325" s="47" t="s">
        <v>1595</v>
      </c>
      <c r="B325" s="47" t="s">
        <v>153</v>
      </c>
      <c r="C325" s="47" t="s">
        <v>1596</v>
      </c>
      <c r="D325" s="47" t="s">
        <v>1597</v>
      </c>
      <c r="E325" s="47" t="s">
        <v>1598</v>
      </c>
      <c r="F325" s="47" t="s">
        <v>698</v>
      </c>
      <c r="G325" s="47" t="s">
        <v>727</v>
      </c>
      <c r="H325" s="47" t="str">
        <f>=IFERROR(VLOOKUP(A325,'ETPT Format DDG'!A:J,10,FALSE),"")</f>
        <v>0</v>
      </c>
      <c r="I325" s="47" t="str">
        <f>='ETPT Format DDG'!M325</f>
        <v/>
      </c>
      <c r="J325" s="47" t="str">
        <f>='ETPT Format DDG'!D325</f>
        <v/>
      </c>
      <c r="K325" s="47" t="s">
        <v>157</v>
      </c>
      <c r="L325" s="47" t="s">
        <v>1309</v>
      </c>
      <c r="M325" s="47"/>
      <c r="N325" s="47">
        <v>1</v>
      </c>
      <c r="O325" s="47">
        <v>1</v>
      </c>
      <c r="P325" s="47">
        <v>0</v>
      </c>
      <c r="Q325" s="47">
        <v>0</v>
      </c>
      <c r="R325" s="47">
        <v>0</v>
      </c>
      <c r="S325" s="47">
        <v>0</v>
      </c>
      <c r="T325" s="47">
        <v>0</v>
      </c>
      <c r="U325" s="47">
        <v>0</v>
      </c>
      <c r="V325" s="47">
        <v>0</v>
      </c>
      <c r="W325" s="47">
        <v>0</v>
      </c>
      <c r="X325" s="47">
        <v>0</v>
      </c>
      <c r="Y325" s="47">
        <v>0</v>
      </c>
      <c r="Z325" s="47">
        <v>0</v>
      </c>
      <c r="AA325" s="47">
        <v>0</v>
      </c>
      <c r="AB325" s="47">
        <v>0</v>
      </c>
      <c r="AC325" s="47">
        <v>0</v>
      </c>
      <c r="AD325" s="47">
        <v>0</v>
      </c>
      <c r="AE325" s="47">
        <v>0</v>
      </c>
      <c r="AF325" s="47">
        <v>0</v>
      </c>
      <c r="AG325" s="47">
        <v>0</v>
      </c>
      <c r="AH325" s="47">
        <v>0</v>
      </c>
      <c r="AI325" s="47">
        <v>0</v>
      </c>
      <c r="AJ325" s="47">
        <v>0</v>
      </c>
      <c r="AK325" s="47">
        <v>0</v>
      </c>
      <c r="AL325" s="47">
        <v>0</v>
      </c>
      <c r="AM325" s="47">
        <v>0</v>
      </c>
      <c r="AN325" s="47">
        <v>1</v>
      </c>
      <c r="AO325" s="47">
        <v>0</v>
      </c>
      <c r="AP325" s="47">
        <v>0</v>
      </c>
      <c r="AQ325" s="47">
        <v>0</v>
      </c>
      <c r="AR325" s="47">
        <v>0</v>
      </c>
      <c r="AS325" s="47">
        <v>0</v>
      </c>
      <c r="AT325" s="47">
        <v>0</v>
      </c>
      <c r="AU325" s="47">
        <v>0</v>
      </c>
      <c r="AV325" s="47">
        <v>0</v>
      </c>
      <c r="AW325" s="47">
        <v>0</v>
      </c>
      <c r="AX325" s="47">
        <v>0</v>
      </c>
      <c r="AY325" s="47">
        <v>0</v>
      </c>
      <c r="AZ325" s="47">
        <v>0</v>
      </c>
      <c r="BA325" s="47">
        <v>0</v>
      </c>
      <c r="BB325" s="47">
        <v>0</v>
      </c>
      <c r="BC325" s="47">
        <v>0</v>
      </c>
      <c r="BD325" s="47">
        <v>0</v>
      </c>
      <c r="BE325" s="47">
        <v>0</v>
      </c>
      <c r="BF325" s="47">
        <v>0</v>
      </c>
      <c r="BG325" s="47">
        <v>0</v>
      </c>
      <c r="BH325" s="47">
        <v>0</v>
      </c>
      <c r="BI325" s="47">
        <v>0</v>
      </c>
      <c r="BJ325" s="47">
        <v>0</v>
      </c>
      <c r="BK325" s="47">
        <v>0</v>
      </c>
      <c r="BL325" s="47">
        <v>0</v>
      </c>
      <c r="BM325" s="47">
        <v>0</v>
      </c>
      <c r="BN325" s="47">
        <v>0</v>
      </c>
      <c r="BO325" s="47">
        <v>0</v>
      </c>
      <c r="BP325" s="47">
        <v>0</v>
      </c>
      <c r="BQ325" s="47">
        <v>0</v>
      </c>
      <c r="BR325" s="47">
        <v>0</v>
      </c>
      <c r="BS325" s="47">
        <v>0</v>
      </c>
      <c r="BT325" s="47">
        <v>0</v>
      </c>
      <c r="BU325" s="47">
        <v>0</v>
      </c>
      <c r="BV325" s="47">
        <v>0</v>
      </c>
      <c r="BW325" s="47">
        <v>0</v>
      </c>
      <c r="BX325" s="47">
        <v>0</v>
      </c>
      <c r="BY325" s="47">
        <v>0</v>
      </c>
      <c r="BZ325" s="47">
        <v>0</v>
      </c>
      <c r="CA325" s="47">
        <v>0</v>
      </c>
      <c r="CB325" s="47">
        <v>0</v>
      </c>
      <c r="CC325" s="47">
        <v>0</v>
      </c>
      <c r="CD325" s="47">
        <v>0</v>
      </c>
      <c r="CE325" s="47">
        <v>0</v>
      </c>
      <c r="CF325" s="47">
        <v>0</v>
      </c>
      <c r="CG325" s="47">
        <v>0</v>
      </c>
      <c r="CH325" s="47">
        <v>0</v>
      </c>
      <c r="CI325" s="47">
        <v>0</v>
      </c>
      <c r="CJ325" s="47">
        <v>0</v>
      </c>
      <c r="CK325" s="47">
        <v>0</v>
      </c>
      <c r="CL325" s="47">
        <v>0</v>
      </c>
      <c r="CM325" s="47">
        <v>0</v>
      </c>
      <c r="CN325" s="47">
        <v>0</v>
      </c>
      <c r="CO325" s="47">
        <v>0</v>
      </c>
      <c r="CP325" s="47">
        <v>0</v>
      </c>
      <c r="CQ325" s="47">
        <v>0</v>
      </c>
      <c r="CR325" s="47">
        <v>0</v>
      </c>
      <c r="CS325" s="47">
        <v>0</v>
      </c>
      <c r="CT325" s="47">
        <v>0</v>
      </c>
      <c r="CU325" s="47">
        <v>0</v>
      </c>
      <c r="CV325" s="47">
        <v>0</v>
      </c>
      <c r="CW325" s="47">
        <v>0</v>
      </c>
      <c r="CX325" s="47">
        <v>0</v>
      </c>
      <c r="CY325" s="47">
        <v>0</v>
      </c>
      <c r="CZ325" s="47">
        <v>0</v>
      </c>
      <c r="DA325" s="47">
        <v>0</v>
      </c>
      <c r="DB325" s="47">
        <v>0</v>
      </c>
      <c r="DC325" s="47">
        <v>0</v>
      </c>
      <c r="DD325" s="47">
        <v>0</v>
      </c>
      <c r="DE325" s="47">
        <v>0</v>
      </c>
      <c r="DF325" s="47">
        <v>0</v>
      </c>
      <c r="DG325" s="47">
        <v>0</v>
      </c>
      <c r="DH325" s="47">
        <v>0</v>
      </c>
      <c r="DI325" s="47">
        <v>0</v>
      </c>
      <c r="DJ325" s="47">
        <v>0</v>
      </c>
      <c r="DK325" s="47">
        <v>0</v>
      </c>
      <c r="DL325" s="47">
        <v>0</v>
      </c>
      <c r="DM325" s="47">
        <v>0</v>
      </c>
      <c r="DN325" s="47">
        <v>0</v>
      </c>
      <c r="DO325" s="47">
        <v>0</v>
      </c>
      <c r="DP325" s="47">
        <v>0</v>
      </c>
      <c r="DQ325" s="47">
        <v>0</v>
      </c>
      <c r="DR325" s="47">
        <v>0</v>
      </c>
      <c r="DS325" s="47">
        <v>0</v>
      </c>
      <c r="DT325" s="47">
        <v>0</v>
      </c>
    </row>
    <row r="326" spans="1:126" x14ac:dyDescent="0.25">
      <c r="A326" s="47" t="s">
        <v>1599</v>
      </c>
      <c r="B326" s="47" t="s">
        <v>153</v>
      </c>
      <c r="C326" s="47" t="s">
        <v>1600</v>
      </c>
      <c r="D326" s="47" t="s">
        <v>1601</v>
      </c>
      <c r="E326" s="47" t="s">
        <v>1602</v>
      </c>
      <c r="F326" s="47" t="s">
        <v>698</v>
      </c>
      <c r="G326" s="47" t="s">
        <v>705</v>
      </c>
      <c r="H326" s="47" t="str">
        <f>=IFERROR(VLOOKUP(A326,'ETPT Format DDG'!A:J,10,FALSE),"")</f>
        <v>0</v>
      </c>
      <c r="I326" s="47" t="str">
        <f>='ETPT Format DDG'!M326</f>
        <v/>
      </c>
      <c r="J326" s="47" t="str">
        <f>='ETPT Format DDG'!D326</f>
        <v/>
      </c>
      <c r="K326" s="47" t="s">
        <v>157</v>
      </c>
      <c r="L326" s="47" t="s">
        <v>1603</v>
      </c>
      <c r="M326" s="47"/>
      <c r="N326" s="47">
        <v>1</v>
      </c>
      <c r="O326" s="47">
        <v>0</v>
      </c>
      <c r="P326" s="47">
        <v>0</v>
      </c>
      <c r="Q326" s="47">
        <v>0</v>
      </c>
      <c r="R326" s="47">
        <v>0</v>
      </c>
      <c r="S326" s="47">
        <v>0</v>
      </c>
      <c r="T326" s="47">
        <v>0</v>
      </c>
      <c r="U326" s="47">
        <v>0</v>
      </c>
      <c r="V326" s="47">
        <v>0</v>
      </c>
      <c r="W326" s="47">
        <v>0</v>
      </c>
      <c r="X326" s="47">
        <v>0</v>
      </c>
      <c r="Y326" s="47">
        <v>0</v>
      </c>
      <c r="Z326" s="47">
        <v>0</v>
      </c>
      <c r="AA326" s="47">
        <v>0</v>
      </c>
      <c r="AB326" s="47">
        <v>0</v>
      </c>
      <c r="AC326" s="47">
        <v>0</v>
      </c>
      <c r="AD326" s="47">
        <v>0</v>
      </c>
      <c r="AE326" s="47">
        <v>0</v>
      </c>
      <c r="AF326" s="47">
        <v>0</v>
      </c>
      <c r="AG326" s="47">
        <v>0</v>
      </c>
      <c r="AH326" s="47">
        <v>0</v>
      </c>
      <c r="AI326" s="47">
        <v>0</v>
      </c>
      <c r="AJ326" s="47">
        <v>0</v>
      </c>
      <c r="AK326" s="47">
        <v>0</v>
      </c>
      <c r="AL326" s="47">
        <v>0</v>
      </c>
      <c r="AM326" s="47">
        <v>0</v>
      </c>
      <c r="AN326" s="47">
        <v>0</v>
      </c>
      <c r="AO326" s="47">
        <v>0</v>
      </c>
      <c r="AP326" s="47">
        <v>0</v>
      </c>
      <c r="AQ326" s="47">
        <v>0</v>
      </c>
      <c r="AR326" s="47">
        <v>0</v>
      </c>
      <c r="AS326" s="47">
        <v>0</v>
      </c>
      <c r="AT326" s="47">
        <v>0</v>
      </c>
      <c r="AU326" s="47">
        <v>0</v>
      </c>
      <c r="AV326" s="47">
        <v>0</v>
      </c>
      <c r="AW326" s="47">
        <v>0</v>
      </c>
      <c r="AX326" s="47">
        <v>0</v>
      </c>
      <c r="AY326" s="47">
        <v>0</v>
      </c>
      <c r="AZ326" s="47">
        <v>0</v>
      </c>
      <c r="BA326" s="47">
        <v>0</v>
      </c>
      <c r="BB326" s="47">
        <v>0</v>
      </c>
      <c r="BC326" s="47">
        <v>0</v>
      </c>
      <c r="BD326" s="47">
        <v>0</v>
      </c>
      <c r="BE326" s="47">
        <v>0</v>
      </c>
      <c r="BF326" s="47">
        <v>0</v>
      </c>
      <c r="BG326" s="47">
        <v>0</v>
      </c>
      <c r="BH326" s="47">
        <v>0</v>
      </c>
      <c r="BI326" s="47">
        <v>0</v>
      </c>
      <c r="BJ326" s="47">
        <v>0</v>
      </c>
      <c r="BK326" s="47">
        <v>0</v>
      </c>
      <c r="BL326" s="47">
        <v>0</v>
      </c>
      <c r="BM326" s="47">
        <v>0</v>
      </c>
      <c r="BN326" s="47">
        <v>0</v>
      </c>
      <c r="BO326" s="47">
        <v>0</v>
      </c>
      <c r="BP326" s="47">
        <v>0</v>
      </c>
      <c r="BQ326" s="47">
        <v>0</v>
      </c>
      <c r="BR326" s="47">
        <v>0</v>
      </c>
      <c r="BS326" s="47">
        <v>0</v>
      </c>
      <c r="BT326" s="47">
        <v>0</v>
      </c>
      <c r="BU326" s="47">
        <v>0</v>
      </c>
      <c r="BV326" s="47">
        <v>0</v>
      </c>
      <c r="BW326" s="47">
        <v>0</v>
      </c>
      <c r="BX326" s="47">
        <v>0</v>
      </c>
      <c r="BY326" s="47">
        <v>0</v>
      </c>
      <c r="BZ326" s="47">
        <v>0</v>
      </c>
      <c r="CA326" s="47">
        <v>0</v>
      </c>
      <c r="CB326" s="47">
        <v>0</v>
      </c>
      <c r="CC326" s="47">
        <v>0</v>
      </c>
      <c r="CD326" s="47">
        <v>0</v>
      </c>
      <c r="CE326" s="47">
        <v>0</v>
      </c>
      <c r="CF326" s="47">
        <v>0</v>
      </c>
      <c r="CG326" s="47">
        <v>0</v>
      </c>
      <c r="CH326" s="47">
        <v>0</v>
      </c>
      <c r="CI326" s="47">
        <v>0</v>
      </c>
      <c r="CJ326" s="47">
        <v>0</v>
      </c>
      <c r="CK326" s="47">
        <v>0</v>
      </c>
      <c r="CL326" s="47">
        <v>0</v>
      </c>
      <c r="CM326" s="47">
        <v>0</v>
      </c>
      <c r="CN326" s="47">
        <v>0</v>
      </c>
      <c r="CO326" s="47">
        <v>0</v>
      </c>
      <c r="CP326" s="47">
        <v>0</v>
      </c>
      <c r="CQ326" s="47">
        <v>0</v>
      </c>
      <c r="CR326" s="47">
        <v>0</v>
      </c>
      <c r="CS326" s="47">
        <v>0</v>
      </c>
      <c r="CT326" s="47">
        <v>0</v>
      </c>
      <c r="CU326" s="47">
        <v>0</v>
      </c>
      <c r="CV326" s="47">
        <v>0</v>
      </c>
      <c r="CW326" s="47">
        <v>0</v>
      </c>
      <c r="CX326" s="47">
        <v>0</v>
      </c>
      <c r="CY326" s="47">
        <v>0</v>
      </c>
      <c r="CZ326" s="47">
        <v>0</v>
      </c>
      <c r="DA326" s="47">
        <v>0</v>
      </c>
      <c r="DB326" s="47">
        <v>0</v>
      </c>
      <c r="DC326" s="47">
        <v>0</v>
      </c>
      <c r="DD326" s="47">
        <v>0</v>
      </c>
      <c r="DE326" s="47">
        <v>0</v>
      </c>
      <c r="DF326" s="47">
        <v>0</v>
      </c>
      <c r="DG326" s="47">
        <v>0</v>
      </c>
      <c r="DH326" s="47">
        <v>0</v>
      </c>
      <c r="DI326" s="47">
        <v>0</v>
      </c>
      <c r="DJ326" s="47">
        <v>0</v>
      </c>
      <c r="DK326" s="47">
        <v>0</v>
      </c>
      <c r="DL326" s="47">
        <v>0</v>
      </c>
      <c r="DM326" s="47">
        <v>0</v>
      </c>
      <c r="DN326" s="47">
        <v>0</v>
      </c>
      <c r="DO326" s="47">
        <v>0</v>
      </c>
      <c r="DP326" s="47">
        <v>0</v>
      </c>
      <c r="DQ326" s="47">
        <v>0</v>
      </c>
      <c r="DR326" s="47">
        <v>0</v>
      </c>
      <c r="DS326" s="47">
        <v>0</v>
      </c>
      <c r="DT326" s="47">
        <v>0</v>
      </c>
    </row>
    <row r="327" spans="1:126" x14ac:dyDescent="0.25">
      <c r="A327" s="47" t="s">
        <v>1604</v>
      </c>
      <c r="B327" s="47" t="s">
        <v>153</v>
      </c>
      <c r="C327" s="47" t="s">
        <v>1605</v>
      </c>
      <c r="D327" s="47" t="s">
        <v>1606</v>
      </c>
      <c r="E327" s="47" t="s">
        <v>1607</v>
      </c>
      <c r="F327" s="47" t="s">
        <v>698</v>
      </c>
      <c r="G327" s="47" t="s">
        <v>705</v>
      </c>
      <c r="H327" s="47" t="str">
        <f>=IFERROR(VLOOKUP(A327,'ETPT Format DDG'!A:J,10,FALSE),"")</f>
        <v>0</v>
      </c>
      <c r="I327" s="47" t="str">
        <f>='ETPT Format DDG'!M327</f>
        <v/>
      </c>
      <c r="J327" s="47" t="str">
        <f>='ETPT Format DDG'!D327</f>
        <v/>
      </c>
      <c r="K327" s="47" t="s">
        <v>157</v>
      </c>
      <c r="L327" s="47" t="s">
        <v>1608</v>
      </c>
      <c r="M327" s="47"/>
      <c r="N327" s="47">
        <v>1</v>
      </c>
      <c r="O327" s="47">
        <v>0</v>
      </c>
      <c r="P327" s="47">
        <v>0</v>
      </c>
      <c r="Q327" s="47">
        <v>0</v>
      </c>
      <c r="R327" s="47">
        <v>0</v>
      </c>
      <c r="S327" s="47">
        <v>0</v>
      </c>
      <c r="T327" s="47">
        <v>0</v>
      </c>
      <c r="U327" s="47">
        <v>0</v>
      </c>
      <c r="V327" s="47">
        <v>0</v>
      </c>
      <c r="W327" s="47">
        <v>0</v>
      </c>
      <c r="X327" s="47">
        <v>0</v>
      </c>
      <c r="Y327" s="47">
        <v>0</v>
      </c>
      <c r="Z327" s="47">
        <v>0</v>
      </c>
      <c r="AA327" s="47">
        <v>0</v>
      </c>
      <c r="AB327" s="47">
        <v>0</v>
      </c>
      <c r="AC327" s="47">
        <v>0</v>
      </c>
      <c r="AD327" s="47">
        <v>0</v>
      </c>
      <c r="AE327" s="47">
        <v>0</v>
      </c>
      <c r="AF327" s="47">
        <v>0</v>
      </c>
      <c r="AG327" s="47">
        <v>0</v>
      </c>
      <c r="AH327" s="47">
        <v>0</v>
      </c>
      <c r="AI327" s="47">
        <v>0</v>
      </c>
      <c r="AJ327" s="47">
        <v>0</v>
      </c>
      <c r="AK327" s="47">
        <v>0</v>
      </c>
      <c r="AL327" s="47">
        <v>0</v>
      </c>
      <c r="AM327" s="47">
        <v>0</v>
      </c>
      <c r="AN327" s="47">
        <v>0</v>
      </c>
      <c r="AO327" s="47">
        <v>0</v>
      </c>
      <c r="AP327" s="47">
        <v>0</v>
      </c>
      <c r="AQ327" s="47">
        <v>0</v>
      </c>
      <c r="AR327" s="47">
        <v>0</v>
      </c>
      <c r="AS327" s="47">
        <v>0</v>
      </c>
      <c r="AT327" s="47">
        <v>0</v>
      </c>
      <c r="AU327" s="47">
        <v>0</v>
      </c>
      <c r="AV327" s="47">
        <v>0</v>
      </c>
      <c r="AW327" s="47">
        <v>0</v>
      </c>
      <c r="AX327" s="47">
        <v>0</v>
      </c>
      <c r="AY327" s="47">
        <v>0</v>
      </c>
      <c r="AZ327" s="47">
        <v>0</v>
      </c>
      <c r="BA327" s="47">
        <v>0</v>
      </c>
      <c r="BB327" s="47">
        <v>0</v>
      </c>
      <c r="BC327" s="47">
        <v>0</v>
      </c>
      <c r="BD327" s="47">
        <v>0</v>
      </c>
      <c r="BE327" s="47">
        <v>0</v>
      </c>
      <c r="BF327" s="47">
        <v>0</v>
      </c>
      <c r="BG327" s="47">
        <v>0</v>
      </c>
      <c r="BH327" s="47">
        <v>0</v>
      </c>
      <c r="BI327" s="47">
        <v>0</v>
      </c>
      <c r="BJ327" s="47">
        <v>0</v>
      </c>
      <c r="BK327" s="47">
        <v>0</v>
      </c>
      <c r="BL327" s="47">
        <v>0</v>
      </c>
      <c r="BM327" s="47">
        <v>0</v>
      </c>
      <c r="BN327" s="47">
        <v>0</v>
      </c>
      <c r="BO327" s="47">
        <v>0</v>
      </c>
      <c r="BP327" s="47">
        <v>0</v>
      </c>
      <c r="BQ327" s="47">
        <v>0</v>
      </c>
      <c r="BR327" s="47">
        <v>0</v>
      </c>
      <c r="BS327" s="47">
        <v>0</v>
      </c>
      <c r="BT327" s="47">
        <v>0</v>
      </c>
      <c r="BU327" s="47">
        <v>0</v>
      </c>
      <c r="BV327" s="47">
        <v>0</v>
      </c>
      <c r="BW327" s="47">
        <v>0</v>
      </c>
      <c r="BX327" s="47">
        <v>0</v>
      </c>
      <c r="BY327" s="47">
        <v>0</v>
      </c>
      <c r="BZ327" s="47">
        <v>0</v>
      </c>
      <c r="CA327" s="47">
        <v>0</v>
      </c>
      <c r="CB327" s="47">
        <v>0</v>
      </c>
      <c r="CC327" s="47">
        <v>0</v>
      </c>
      <c r="CD327" s="47">
        <v>0</v>
      </c>
      <c r="CE327" s="47">
        <v>0</v>
      </c>
      <c r="CF327" s="47">
        <v>0</v>
      </c>
      <c r="CG327" s="47">
        <v>0</v>
      </c>
      <c r="CH327" s="47">
        <v>0</v>
      </c>
      <c r="CI327" s="47">
        <v>0</v>
      </c>
      <c r="CJ327" s="47">
        <v>0</v>
      </c>
      <c r="CK327" s="47">
        <v>0</v>
      </c>
      <c r="CL327" s="47">
        <v>0</v>
      </c>
      <c r="CM327" s="47">
        <v>0</v>
      </c>
      <c r="CN327" s="47">
        <v>0</v>
      </c>
      <c r="CO327" s="47">
        <v>0</v>
      </c>
      <c r="CP327" s="47">
        <v>0</v>
      </c>
      <c r="CQ327" s="47">
        <v>0</v>
      </c>
      <c r="CR327" s="47">
        <v>0</v>
      </c>
      <c r="CS327" s="47">
        <v>0</v>
      </c>
      <c r="CT327" s="47">
        <v>0</v>
      </c>
      <c r="CU327" s="47">
        <v>0</v>
      </c>
      <c r="CV327" s="47">
        <v>0</v>
      </c>
      <c r="CW327" s="47">
        <v>0</v>
      </c>
      <c r="CX327" s="47">
        <v>0</v>
      </c>
      <c r="CY327" s="47">
        <v>0</v>
      </c>
      <c r="CZ327" s="47">
        <v>0</v>
      </c>
      <c r="DA327" s="47">
        <v>0</v>
      </c>
      <c r="DB327" s="47">
        <v>0</v>
      </c>
      <c r="DC327" s="47">
        <v>0</v>
      </c>
      <c r="DD327" s="47">
        <v>0</v>
      </c>
      <c r="DE327" s="47">
        <v>0</v>
      </c>
      <c r="DF327" s="47">
        <v>0</v>
      </c>
      <c r="DG327" s="47">
        <v>0</v>
      </c>
      <c r="DH327" s="47">
        <v>0</v>
      </c>
      <c r="DI327" s="47">
        <v>0</v>
      </c>
      <c r="DJ327" s="47">
        <v>0</v>
      </c>
      <c r="DK327" s="47">
        <v>0</v>
      </c>
      <c r="DL327" s="47">
        <v>0</v>
      </c>
      <c r="DM327" s="47">
        <v>0</v>
      </c>
      <c r="DN327" s="47">
        <v>0</v>
      </c>
      <c r="DO327" s="47">
        <v>0</v>
      </c>
      <c r="DP327" s="47">
        <v>0</v>
      </c>
      <c r="DQ327" s="47">
        <v>0</v>
      </c>
      <c r="DR327" s="47">
        <v>0</v>
      </c>
      <c r="DS327" s="47">
        <v>0</v>
      </c>
      <c r="DT327" s="47">
        <v>0</v>
      </c>
    </row>
    <row r="328" spans="1:126" x14ac:dyDescent="0.25">
      <c r="A328" s="47" t="s">
        <v>1609</v>
      </c>
      <c r="B328" s="47" t="s">
        <v>153</v>
      </c>
      <c r="C328" s="47" t="s">
        <v>1610</v>
      </c>
      <c r="D328" s="47" t="s">
        <v>1611</v>
      </c>
      <c r="E328" s="47" t="s">
        <v>1612</v>
      </c>
      <c r="F328" s="47" t="s">
        <v>698</v>
      </c>
      <c r="G328" s="47" t="s">
        <v>727</v>
      </c>
      <c r="H328" s="47" t="str">
        <f>=IFERROR(VLOOKUP(A328,'ETPT Format DDG'!A:J,10,FALSE),"")</f>
        <v>0</v>
      </c>
      <c r="I328" s="47" t="str">
        <f>='ETPT Format DDG'!M328</f>
        <v/>
      </c>
      <c r="J328" s="47" t="str">
        <f>='ETPT Format DDG'!D328</f>
        <v/>
      </c>
      <c r="K328" s="47" t="s">
        <v>157</v>
      </c>
      <c r="L328" s="47" t="s">
        <v>1613</v>
      </c>
      <c r="M328" s="47"/>
      <c r="N328" s="47">
        <v>1</v>
      </c>
      <c r="O328" s="47">
        <v>1</v>
      </c>
      <c r="P328" s="47">
        <v>0</v>
      </c>
      <c r="Q328" s="47">
        <v>0</v>
      </c>
      <c r="R328" s="47">
        <v>0</v>
      </c>
      <c r="S328" s="47">
        <v>0</v>
      </c>
      <c r="T328" s="47">
        <v>0</v>
      </c>
      <c r="U328" s="47">
        <v>0</v>
      </c>
      <c r="V328" s="47">
        <v>0</v>
      </c>
      <c r="W328" s="47">
        <v>0</v>
      </c>
      <c r="X328" s="47">
        <v>0</v>
      </c>
      <c r="Y328" s="47">
        <v>0</v>
      </c>
      <c r="Z328" s="47">
        <v>0</v>
      </c>
      <c r="AA328" s="47">
        <v>0</v>
      </c>
      <c r="AB328" s="47">
        <v>0</v>
      </c>
      <c r="AC328" s="47">
        <v>0</v>
      </c>
      <c r="AD328" s="47">
        <v>0</v>
      </c>
      <c r="AE328" s="47">
        <v>0</v>
      </c>
      <c r="AF328" s="47">
        <v>0</v>
      </c>
      <c r="AG328" s="47">
        <v>0</v>
      </c>
      <c r="AH328" s="47">
        <v>0</v>
      </c>
      <c r="AI328" s="47">
        <v>0</v>
      </c>
      <c r="AJ328" s="47">
        <v>0</v>
      </c>
      <c r="AK328" s="47">
        <v>0</v>
      </c>
      <c r="AL328" s="47">
        <v>0</v>
      </c>
      <c r="AM328" s="47">
        <v>0</v>
      </c>
      <c r="AN328" s="47">
        <v>1</v>
      </c>
      <c r="AO328" s="47">
        <v>0</v>
      </c>
      <c r="AP328" s="47">
        <v>0</v>
      </c>
      <c r="AQ328" s="47">
        <v>0</v>
      </c>
      <c r="AR328" s="47">
        <v>0</v>
      </c>
      <c r="AS328" s="47">
        <v>0</v>
      </c>
      <c r="AT328" s="47">
        <v>0</v>
      </c>
      <c r="AU328" s="47">
        <v>0</v>
      </c>
      <c r="AV328" s="47">
        <v>0</v>
      </c>
      <c r="AW328" s="47">
        <v>0</v>
      </c>
      <c r="AX328" s="47">
        <v>0</v>
      </c>
      <c r="AY328" s="47">
        <v>0</v>
      </c>
      <c r="AZ328" s="47">
        <v>0</v>
      </c>
      <c r="BA328" s="47">
        <v>0</v>
      </c>
      <c r="BB328" s="47">
        <v>0</v>
      </c>
      <c r="BC328" s="47">
        <v>0</v>
      </c>
      <c r="BD328" s="47">
        <v>0</v>
      </c>
      <c r="BE328" s="47">
        <v>0</v>
      </c>
      <c r="BF328" s="47">
        <v>0</v>
      </c>
      <c r="BG328" s="47">
        <v>0</v>
      </c>
      <c r="BH328" s="47">
        <v>0</v>
      </c>
      <c r="BI328" s="47">
        <v>0</v>
      </c>
      <c r="BJ328" s="47">
        <v>0</v>
      </c>
      <c r="BK328" s="47">
        <v>0</v>
      </c>
      <c r="BL328" s="47">
        <v>0</v>
      </c>
      <c r="BM328" s="47">
        <v>0</v>
      </c>
      <c r="BN328" s="47">
        <v>0</v>
      </c>
      <c r="BO328" s="47">
        <v>0</v>
      </c>
      <c r="BP328" s="47">
        <v>0</v>
      </c>
      <c r="BQ328" s="47">
        <v>0</v>
      </c>
      <c r="BR328" s="47">
        <v>0</v>
      </c>
      <c r="BS328" s="47">
        <v>0</v>
      </c>
      <c r="BT328" s="47">
        <v>0</v>
      </c>
      <c r="BU328" s="47">
        <v>0</v>
      </c>
      <c r="BV328" s="47">
        <v>0</v>
      </c>
      <c r="BW328" s="47">
        <v>0</v>
      </c>
      <c r="BX328" s="47">
        <v>0</v>
      </c>
      <c r="BY328" s="47">
        <v>0</v>
      </c>
      <c r="BZ328" s="47">
        <v>0</v>
      </c>
      <c r="CA328" s="47">
        <v>0</v>
      </c>
      <c r="CB328" s="47">
        <v>0</v>
      </c>
      <c r="CC328" s="47">
        <v>0</v>
      </c>
      <c r="CD328" s="47">
        <v>0</v>
      </c>
      <c r="CE328" s="47">
        <v>0</v>
      </c>
      <c r="CF328" s="47">
        <v>0</v>
      </c>
      <c r="CG328" s="47">
        <v>0</v>
      </c>
      <c r="CH328" s="47">
        <v>0</v>
      </c>
      <c r="CI328" s="47">
        <v>0</v>
      </c>
      <c r="CJ328" s="47">
        <v>0</v>
      </c>
      <c r="CK328" s="47">
        <v>0</v>
      </c>
      <c r="CL328" s="47">
        <v>0</v>
      </c>
      <c r="CM328" s="47">
        <v>0</v>
      </c>
      <c r="CN328" s="47">
        <v>0</v>
      </c>
      <c r="CO328" s="47">
        <v>0</v>
      </c>
      <c r="CP328" s="47">
        <v>0</v>
      </c>
      <c r="CQ328" s="47">
        <v>0</v>
      </c>
      <c r="CR328" s="47">
        <v>0</v>
      </c>
      <c r="CS328" s="47">
        <v>0</v>
      </c>
      <c r="CT328" s="47">
        <v>0</v>
      </c>
      <c r="CU328" s="47">
        <v>0</v>
      </c>
      <c r="CV328" s="47">
        <v>0</v>
      </c>
      <c r="CW328" s="47">
        <v>0</v>
      </c>
      <c r="CX328" s="47">
        <v>0</v>
      </c>
      <c r="CY328" s="47">
        <v>0</v>
      </c>
      <c r="CZ328" s="47">
        <v>0</v>
      </c>
      <c r="DA328" s="47">
        <v>0</v>
      </c>
      <c r="DB328" s="47">
        <v>0</v>
      </c>
      <c r="DC328" s="47">
        <v>0</v>
      </c>
      <c r="DD328" s="47">
        <v>0</v>
      </c>
      <c r="DE328" s="47">
        <v>0</v>
      </c>
      <c r="DF328" s="47">
        <v>0</v>
      </c>
      <c r="DG328" s="47">
        <v>0</v>
      </c>
      <c r="DH328" s="47">
        <v>0</v>
      </c>
      <c r="DI328" s="47">
        <v>0</v>
      </c>
      <c r="DJ328" s="47">
        <v>0</v>
      </c>
      <c r="DK328" s="47">
        <v>0</v>
      </c>
      <c r="DL328" s="47">
        <v>0</v>
      </c>
      <c r="DM328" s="47">
        <v>0</v>
      </c>
      <c r="DN328" s="47">
        <v>0</v>
      </c>
      <c r="DO328" s="47">
        <v>0</v>
      </c>
      <c r="DP328" s="47">
        <v>0</v>
      </c>
      <c r="DQ328" s="47">
        <v>0</v>
      </c>
      <c r="DR328" s="47">
        <v>0</v>
      </c>
      <c r="DS328" s="47">
        <v>0</v>
      </c>
      <c r="DT328" s="47">
        <v>0</v>
      </c>
    </row>
    <row r="329" spans="1:126" x14ac:dyDescent="0.25">
      <c r="A329" s="47" t="s">
        <v>1614</v>
      </c>
      <c r="B329" s="47" t="s">
        <v>153</v>
      </c>
      <c r="C329" s="47" t="s">
        <v>1615</v>
      </c>
      <c r="D329" s="47" t="s">
        <v>1616</v>
      </c>
      <c r="E329" s="47" t="s">
        <v>1617</v>
      </c>
      <c r="F329" s="47" t="s">
        <v>698</v>
      </c>
      <c r="G329" s="47" t="s">
        <v>727</v>
      </c>
      <c r="H329" s="47" t="str">
        <f>=IFERROR(VLOOKUP(A329,'ETPT Format DDG'!A:J,10,FALSE),"")</f>
        <v>0</v>
      </c>
      <c r="I329" s="47" t="str">
        <f>='ETPT Format DDG'!M329</f>
        <v/>
      </c>
      <c r="J329" s="47" t="str">
        <f>='ETPT Format DDG'!D329</f>
        <v/>
      </c>
      <c r="K329" s="47" t="s">
        <v>157</v>
      </c>
      <c r="L329" s="47" t="s">
        <v>816</v>
      </c>
      <c r="M329" s="47"/>
      <c r="N329" s="47">
        <v>1</v>
      </c>
      <c r="O329" s="47">
        <v>0</v>
      </c>
      <c r="P329" s="47">
        <v>0</v>
      </c>
      <c r="Q329" s="47">
        <v>0</v>
      </c>
      <c r="R329" s="47">
        <v>0</v>
      </c>
      <c r="S329" s="47">
        <v>0</v>
      </c>
      <c r="T329" s="47">
        <v>0</v>
      </c>
      <c r="U329" s="47">
        <v>0</v>
      </c>
      <c r="V329" s="47">
        <v>0</v>
      </c>
      <c r="W329" s="47">
        <v>0</v>
      </c>
      <c r="X329" s="47">
        <v>0</v>
      </c>
      <c r="Y329" s="47">
        <v>0</v>
      </c>
      <c r="Z329" s="47">
        <v>0</v>
      </c>
      <c r="AA329" s="47">
        <v>0</v>
      </c>
      <c r="AB329" s="47">
        <v>0</v>
      </c>
      <c r="AC329" s="47">
        <v>0</v>
      </c>
      <c r="AD329" s="47">
        <v>0</v>
      </c>
      <c r="AE329" s="47">
        <v>0</v>
      </c>
      <c r="AF329" s="47">
        <v>0</v>
      </c>
      <c r="AG329" s="47">
        <v>0</v>
      </c>
      <c r="AH329" s="47">
        <v>0</v>
      </c>
      <c r="AI329" s="47">
        <v>0</v>
      </c>
      <c r="AJ329" s="47">
        <v>0</v>
      </c>
      <c r="AK329" s="47">
        <v>0</v>
      </c>
      <c r="AL329" s="47">
        <v>0</v>
      </c>
      <c r="AM329" s="47">
        <v>0</v>
      </c>
      <c r="AN329" s="47">
        <v>0</v>
      </c>
      <c r="AO329" s="47">
        <v>0</v>
      </c>
      <c r="AP329" s="47">
        <v>0</v>
      </c>
      <c r="AQ329" s="47">
        <v>0</v>
      </c>
      <c r="AR329" s="47">
        <v>0</v>
      </c>
      <c r="AS329" s="47">
        <v>0</v>
      </c>
      <c r="AT329" s="47">
        <v>0</v>
      </c>
      <c r="AU329" s="47">
        <v>0</v>
      </c>
      <c r="AV329" s="47">
        <v>0</v>
      </c>
      <c r="AW329" s="47">
        <v>0</v>
      </c>
      <c r="AX329" s="47">
        <v>0</v>
      </c>
      <c r="AY329" s="47">
        <v>0</v>
      </c>
      <c r="AZ329" s="47">
        <v>0</v>
      </c>
      <c r="BA329" s="47">
        <v>0</v>
      </c>
      <c r="BB329" s="47">
        <v>0</v>
      </c>
      <c r="BC329" s="47">
        <v>0</v>
      </c>
      <c r="BD329" s="47">
        <v>0</v>
      </c>
      <c r="BE329" s="47">
        <v>0</v>
      </c>
      <c r="BF329" s="47">
        <v>0</v>
      </c>
      <c r="BG329" s="47">
        <v>0</v>
      </c>
      <c r="BH329" s="47">
        <v>0</v>
      </c>
      <c r="BI329" s="47">
        <v>0</v>
      </c>
      <c r="BJ329" s="47">
        <v>0</v>
      </c>
      <c r="BK329" s="47">
        <v>0</v>
      </c>
      <c r="BL329" s="47">
        <v>0</v>
      </c>
      <c r="BM329" s="47">
        <v>0</v>
      </c>
      <c r="BN329" s="47">
        <v>0</v>
      </c>
      <c r="BO329" s="47">
        <v>0</v>
      </c>
      <c r="BP329" s="47">
        <v>0</v>
      </c>
      <c r="BQ329" s="47">
        <v>0</v>
      </c>
      <c r="BR329" s="47">
        <v>0</v>
      </c>
      <c r="BS329" s="47">
        <v>0</v>
      </c>
      <c r="BT329" s="47">
        <v>0</v>
      </c>
      <c r="BU329" s="47">
        <v>0</v>
      </c>
      <c r="BV329" s="47">
        <v>0</v>
      </c>
      <c r="BW329" s="47">
        <v>0</v>
      </c>
      <c r="BX329" s="47">
        <v>0</v>
      </c>
      <c r="BY329" s="47">
        <v>0</v>
      </c>
      <c r="BZ329" s="47">
        <v>0</v>
      </c>
      <c r="CA329" s="47">
        <v>0</v>
      </c>
      <c r="CB329" s="47">
        <v>0</v>
      </c>
      <c r="CC329" s="47">
        <v>0</v>
      </c>
      <c r="CD329" s="47">
        <v>0</v>
      </c>
      <c r="CE329" s="47">
        <v>0</v>
      </c>
      <c r="CF329" s="47">
        <v>0</v>
      </c>
      <c r="CG329" s="47">
        <v>0</v>
      </c>
      <c r="CH329" s="47">
        <v>0</v>
      </c>
      <c r="CI329" s="47">
        <v>0</v>
      </c>
      <c r="CJ329" s="47">
        <v>0</v>
      </c>
      <c r="CK329" s="47">
        <v>0</v>
      </c>
      <c r="CL329" s="47">
        <v>0</v>
      </c>
      <c r="CM329" s="47">
        <v>0</v>
      </c>
      <c r="CN329" s="47">
        <v>0</v>
      </c>
      <c r="CO329" s="47">
        <v>0</v>
      </c>
      <c r="CP329" s="47">
        <v>0</v>
      </c>
      <c r="CQ329" s="47">
        <v>0</v>
      </c>
      <c r="CR329" s="47">
        <v>0</v>
      </c>
      <c r="CS329" s="47">
        <v>0</v>
      </c>
      <c r="CT329" s="47">
        <v>0</v>
      </c>
      <c r="CU329" s="47">
        <v>0</v>
      </c>
      <c r="CV329" s="47">
        <v>0</v>
      </c>
      <c r="CW329" s="47">
        <v>0</v>
      </c>
      <c r="CX329" s="47">
        <v>0</v>
      </c>
      <c r="CY329" s="47">
        <v>0</v>
      </c>
      <c r="CZ329" s="47">
        <v>0</v>
      </c>
      <c r="DA329" s="47">
        <v>0</v>
      </c>
      <c r="DB329" s="47">
        <v>0</v>
      </c>
      <c r="DC329" s="47">
        <v>0</v>
      </c>
      <c r="DD329" s="47">
        <v>0</v>
      </c>
      <c r="DE329" s="47">
        <v>0</v>
      </c>
      <c r="DF329" s="47">
        <v>0</v>
      </c>
      <c r="DG329" s="47">
        <v>0</v>
      </c>
      <c r="DH329" s="47">
        <v>0</v>
      </c>
      <c r="DI329" s="47">
        <v>0</v>
      </c>
      <c r="DJ329" s="47">
        <v>0</v>
      </c>
      <c r="DK329" s="47">
        <v>0</v>
      </c>
      <c r="DL329" s="47">
        <v>0</v>
      </c>
      <c r="DM329" s="47">
        <v>0</v>
      </c>
      <c r="DN329" s="47">
        <v>0</v>
      </c>
      <c r="DO329" s="47">
        <v>0</v>
      </c>
      <c r="DP329" s="47">
        <v>0</v>
      </c>
      <c r="DQ329" s="47">
        <v>0</v>
      </c>
      <c r="DR329" s="47">
        <v>0</v>
      </c>
      <c r="DS329" s="47">
        <v>0</v>
      </c>
      <c r="DT329" s="47">
        <v>0</v>
      </c>
    </row>
    <row r="330" spans="1:126" x14ac:dyDescent="0.25">
      <c r="A330" s="47" t="s">
        <v>1618</v>
      </c>
      <c r="B330" s="47" t="s">
        <v>153</v>
      </c>
      <c r="C330" s="47" t="s">
        <v>1619</v>
      </c>
      <c r="D330" s="47" t="s">
        <v>1620</v>
      </c>
      <c r="E330" s="47" t="s">
        <v>1621</v>
      </c>
      <c r="F330" s="47" t="s">
        <v>698</v>
      </c>
      <c r="G330" s="47" t="s">
        <v>727</v>
      </c>
      <c r="H330" s="47" t="str">
        <f>=IFERROR(VLOOKUP(A330,'ETPT Format DDG'!A:J,10,FALSE),"")</f>
        <v>0</v>
      </c>
      <c r="I330" s="47" t="str">
        <f>='ETPT Format DDG'!M330</f>
        <v/>
      </c>
      <c r="J330" s="47" t="str">
        <f>='ETPT Format DDG'!D330</f>
        <v/>
      </c>
      <c r="K330" s="47" t="s">
        <v>157</v>
      </c>
      <c r="L330" s="47" t="s">
        <v>1039</v>
      </c>
      <c r="M330" s="47"/>
      <c r="N330" s="47">
        <v>1</v>
      </c>
      <c r="O330" s="47">
        <v>1</v>
      </c>
      <c r="P330" s="47">
        <v>0</v>
      </c>
      <c r="Q330" s="47">
        <v>0</v>
      </c>
      <c r="R330" s="47">
        <v>0</v>
      </c>
      <c r="S330" s="47">
        <v>0</v>
      </c>
      <c r="T330" s="47">
        <v>0</v>
      </c>
      <c r="U330" s="47">
        <v>0</v>
      </c>
      <c r="V330" s="47">
        <v>0</v>
      </c>
      <c r="W330" s="47">
        <v>0</v>
      </c>
      <c r="X330" s="47">
        <v>0</v>
      </c>
      <c r="Y330" s="47">
        <v>0</v>
      </c>
      <c r="Z330" s="47">
        <v>0</v>
      </c>
      <c r="AA330" s="47">
        <v>0</v>
      </c>
      <c r="AB330" s="47">
        <v>0</v>
      </c>
      <c r="AC330" s="47">
        <v>0</v>
      </c>
      <c r="AD330" s="47">
        <v>0</v>
      </c>
      <c r="AE330" s="47">
        <v>0</v>
      </c>
      <c r="AF330" s="47">
        <v>0</v>
      </c>
      <c r="AG330" s="47">
        <v>0</v>
      </c>
      <c r="AH330" s="47">
        <v>0</v>
      </c>
      <c r="AI330" s="47">
        <v>0</v>
      </c>
      <c r="AJ330" s="47">
        <v>0</v>
      </c>
      <c r="AK330" s="47">
        <v>0</v>
      </c>
      <c r="AL330" s="47">
        <v>0</v>
      </c>
      <c r="AM330" s="47">
        <v>0</v>
      </c>
      <c r="AN330" s="47">
        <v>0</v>
      </c>
      <c r="AO330" s="47">
        <v>0</v>
      </c>
      <c r="AP330" s="47">
        <v>0</v>
      </c>
      <c r="AQ330" s="47">
        <v>0</v>
      </c>
      <c r="AR330" s="47">
        <v>0</v>
      </c>
      <c r="AS330" s="47">
        <v>0</v>
      </c>
      <c r="AT330" s="47">
        <v>0</v>
      </c>
      <c r="AU330" s="47">
        <v>0</v>
      </c>
      <c r="AV330" s="47">
        <v>0</v>
      </c>
      <c r="AW330" s="47">
        <v>0</v>
      </c>
      <c r="AX330" s="47">
        <v>0</v>
      </c>
      <c r="AY330" s="47">
        <v>0</v>
      </c>
      <c r="AZ330" s="47">
        <v>0</v>
      </c>
      <c r="BA330" s="47">
        <v>0</v>
      </c>
      <c r="BB330" s="47">
        <v>0</v>
      </c>
      <c r="BC330" s="47">
        <v>0</v>
      </c>
      <c r="BD330" s="47">
        <v>0</v>
      </c>
      <c r="BE330" s="47">
        <v>0</v>
      </c>
      <c r="BF330" s="47">
        <v>0</v>
      </c>
      <c r="BG330" s="47">
        <v>0</v>
      </c>
      <c r="BH330" s="47">
        <v>0</v>
      </c>
      <c r="BI330" s="47">
        <v>0</v>
      </c>
      <c r="BJ330" s="47">
        <v>0</v>
      </c>
      <c r="BK330" s="47">
        <v>0</v>
      </c>
      <c r="BL330" s="47">
        <v>0</v>
      </c>
      <c r="BM330" s="47">
        <v>0</v>
      </c>
      <c r="BN330" s="47">
        <v>0</v>
      </c>
      <c r="BO330" s="47">
        <v>0</v>
      </c>
      <c r="BP330" s="47">
        <v>0</v>
      </c>
      <c r="BQ330" s="47">
        <v>0</v>
      </c>
      <c r="BR330" s="47">
        <v>0</v>
      </c>
      <c r="BS330" s="47">
        <v>0</v>
      </c>
      <c r="BT330" s="47">
        <v>0</v>
      </c>
      <c r="BU330" s="47">
        <v>0</v>
      </c>
      <c r="BV330" s="47">
        <v>0</v>
      </c>
      <c r="BW330" s="47">
        <v>0</v>
      </c>
      <c r="BX330" s="47">
        <v>0</v>
      </c>
      <c r="BY330" s="47">
        <v>0</v>
      </c>
      <c r="BZ330" s="47">
        <v>0</v>
      </c>
      <c r="CA330" s="47">
        <v>0</v>
      </c>
      <c r="CB330" s="47">
        <v>0</v>
      </c>
      <c r="CC330" s="47">
        <v>0</v>
      </c>
      <c r="CD330" s="47">
        <v>0</v>
      </c>
      <c r="CE330" s="47">
        <v>0</v>
      </c>
      <c r="CF330" s="47">
        <v>0</v>
      </c>
      <c r="CG330" s="47">
        <v>0</v>
      </c>
      <c r="CH330" s="47">
        <v>0</v>
      </c>
      <c r="CI330" s="47">
        <v>0</v>
      </c>
      <c r="CJ330" s="47">
        <v>0</v>
      </c>
      <c r="CK330" s="47">
        <v>0</v>
      </c>
      <c r="CL330" s="47">
        <v>0</v>
      </c>
      <c r="CM330" s="47">
        <v>0</v>
      </c>
      <c r="CN330" s="47">
        <v>0</v>
      </c>
      <c r="CO330" s="47">
        <v>0</v>
      </c>
      <c r="CP330" s="47">
        <v>0</v>
      </c>
      <c r="CQ330" s="47">
        <v>1</v>
      </c>
      <c r="CR330" s="47">
        <v>0</v>
      </c>
      <c r="CS330" s="47">
        <v>0</v>
      </c>
      <c r="CT330" s="47">
        <v>0</v>
      </c>
      <c r="CU330" s="47">
        <v>0</v>
      </c>
      <c r="CV330" s="47">
        <v>0</v>
      </c>
      <c r="CW330" s="47">
        <v>0</v>
      </c>
      <c r="CX330" s="47">
        <v>0</v>
      </c>
      <c r="CY330" s="47">
        <v>0</v>
      </c>
      <c r="CZ330" s="47">
        <v>0</v>
      </c>
      <c r="DA330" s="47">
        <v>0</v>
      </c>
      <c r="DB330" s="47">
        <v>0</v>
      </c>
      <c r="DC330" s="47">
        <v>0</v>
      </c>
      <c r="DD330" s="47">
        <v>0</v>
      </c>
      <c r="DE330" s="47">
        <v>0</v>
      </c>
      <c r="DF330" s="47">
        <v>0</v>
      </c>
      <c r="DG330" s="47">
        <v>0</v>
      </c>
      <c r="DH330" s="47">
        <v>0</v>
      </c>
      <c r="DI330" s="47">
        <v>0</v>
      </c>
      <c r="DJ330" s="47">
        <v>0</v>
      </c>
      <c r="DK330" s="47">
        <v>0</v>
      </c>
      <c r="DL330" s="47">
        <v>0</v>
      </c>
      <c r="DM330" s="47">
        <v>0</v>
      </c>
      <c r="DN330" s="47">
        <v>0</v>
      </c>
      <c r="DO330" s="47">
        <v>0</v>
      </c>
      <c r="DP330" s="47">
        <v>0</v>
      </c>
      <c r="DQ330" s="47">
        <v>0</v>
      </c>
      <c r="DR330" s="47">
        <v>0</v>
      </c>
      <c r="DS330" s="47">
        <v>0</v>
      </c>
      <c r="DT330" s="47">
        <v>0</v>
      </c>
    </row>
    <row r="331" spans="1:126" x14ac:dyDescent="0.25">
      <c r="A331" s="47" t="s">
        <v>1622</v>
      </c>
      <c r="B331" s="47" t="s">
        <v>153</v>
      </c>
      <c r="C331" s="47" t="s">
        <v>1623</v>
      </c>
      <c r="D331" s="47" t="s">
        <v>1624</v>
      </c>
      <c r="E331" s="47" t="s">
        <v>1625</v>
      </c>
      <c r="F331" s="47" t="s">
        <v>698</v>
      </c>
      <c r="G331" s="47" t="s">
        <v>705</v>
      </c>
      <c r="H331" s="47" t="str">
        <f>=IFERROR(VLOOKUP(A331,'ETPT Format DDG'!A:J,10,FALSE),"")</f>
        <v>0</v>
      </c>
      <c r="I331" s="47" t="str">
        <f>='ETPT Format DDG'!M331</f>
        <v/>
      </c>
      <c r="J331" s="47" t="str">
        <f>='ETPT Format DDG'!D331</f>
        <v/>
      </c>
      <c r="K331" s="47" t="s">
        <v>157</v>
      </c>
      <c r="L331" s="47" t="s">
        <v>593</v>
      </c>
      <c r="M331" s="47"/>
      <c r="N331" s="47">
        <v>1</v>
      </c>
      <c r="O331" s="47">
        <v>0</v>
      </c>
      <c r="P331" s="47">
        <v>0</v>
      </c>
      <c r="Q331" s="47">
        <v>0</v>
      </c>
      <c r="R331" s="47">
        <v>0</v>
      </c>
      <c r="S331" s="47">
        <v>0</v>
      </c>
      <c r="T331" s="47">
        <v>0</v>
      </c>
      <c r="U331" s="47">
        <v>0</v>
      </c>
      <c r="V331" s="47">
        <v>0</v>
      </c>
      <c r="W331" s="47">
        <v>0</v>
      </c>
      <c r="X331" s="47">
        <v>0</v>
      </c>
      <c r="Y331" s="47">
        <v>0</v>
      </c>
      <c r="Z331" s="47">
        <v>0</v>
      </c>
      <c r="AA331" s="47">
        <v>0</v>
      </c>
      <c r="AB331" s="47">
        <v>0</v>
      </c>
      <c r="AC331" s="47">
        <v>0</v>
      </c>
      <c r="AD331" s="47">
        <v>0</v>
      </c>
      <c r="AE331" s="47">
        <v>0</v>
      </c>
      <c r="AF331" s="47">
        <v>0</v>
      </c>
      <c r="AG331" s="47">
        <v>0</v>
      </c>
      <c r="AH331" s="47">
        <v>0</v>
      </c>
      <c r="AI331" s="47">
        <v>0</v>
      </c>
      <c r="AJ331" s="47">
        <v>0</v>
      </c>
      <c r="AK331" s="47">
        <v>0</v>
      </c>
      <c r="AL331" s="47">
        <v>0</v>
      </c>
      <c r="AM331" s="47">
        <v>0</v>
      </c>
      <c r="AN331" s="47">
        <v>0</v>
      </c>
      <c r="AO331" s="47">
        <v>0</v>
      </c>
      <c r="AP331" s="47">
        <v>0</v>
      </c>
      <c r="AQ331" s="47">
        <v>0</v>
      </c>
      <c r="AR331" s="47">
        <v>0</v>
      </c>
      <c r="AS331" s="47">
        <v>0</v>
      </c>
      <c r="AT331" s="47">
        <v>0</v>
      </c>
      <c r="AU331" s="47">
        <v>0</v>
      </c>
      <c r="AV331" s="47">
        <v>0</v>
      </c>
      <c r="AW331" s="47">
        <v>0</v>
      </c>
      <c r="AX331" s="47">
        <v>0</v>
      </c>
      <c r="AY331" s="47">
        <v>0</v>
      </c>
      <c r="AZ331" s="47">
        <v>0</v>
      </c>
      <c r="BA331" s="47">
        <v>0</v>
      </c>
      <c r="BB331" s="47">
        <v>0</v>
      </c>
      <c r="BC331" s="47">
        <v>0</v>
      </c>
      <c r="BD331" s="47">
        <v>0</v>
      </c>
      <c r="BE331" s="47">
        <v>0</v>
      </c>
      <c r="BF331" s="47">
        <v>0</v>
      </c>
      <c r="BG331" s="47">
        <v>0</v>
      </c>
      <c r="BH331" s="47">
        <v>0</v>
      </c>
      <c r="BI331" s="47">
        <v>0</v>
      </c>
      <c r="BJ331" s="47">
        <v>0</v>
      </c>
      <c r="BK331" s="47">
        <v>0</v>
      </c>
      <c r="BL331" s="47">
        <v>0</v>
      </c>
      <c r="BM331" s="47">
        <v>0</v>
      </c>
      <c r="BN331" s="47">
        <v>0</v>
      </c>
      <c r="BO331" s="47">
        <v>0</v>
      </c>
      <c r="BP331" s="47">
        <v>0</v>
      </c>
      <c r="BQ331" s="47">
        <v>0</v>
      </c>
      <c r="BR331" s="47">
        <v>0</v>
      </c>
      <c r="BS331" s="47">
        <v>0</v>
      </c>
      <c r="BT331" s="47">
        <v>0</v>
      </c>
      <c r="BU331" s="47">
        <v>0</v>
      </c>
      <c r="BV331" s="47">
        <v>0</v>
      </c>
      <c r="BW331" s="47">
        <v>0</v>
      </c>
      <c r="BX331" s="47">
        <v>0</v>
      </c>
      <c r="BY331" s="47">
        <v>0</v>
      </c>
      <c r="BZ331" s="47">
        <v>0</v>
      </c>
      <c r="CA331" s="47">
        <v>0</v>
      </c>
      <c r="CB331" s="47">
        <v>0</v>
      </c>
      <c r="CC331" s="47">
        <v>0</v>
      </c>
      <c r="CD331" s="47">
        <v>0</v>
      </c>
      <c r="CE331" s="47">
        <v>0</v>
      </c>
      <c r="CF331" s="47">
        <v>0</v>
      </c>
      <c r="CG331" s="47">
        <v>0</v>
      </c>
      <c r="CH331" s="47">
        <v>0</v>
      </c>
      <c r="CI331" s="47">
        <v>0</v>
      </c>
      <c r="CJ331" s="47">
        <v>0</v>
      </c>
      <c r="CK331" s="47">
        <v>0</v>
      </c>
      <c r="CL331" s="47">
        <v>0</v>
      </c>
      <c r="CM331" s="47">
        <v>0</v>
      </c>
      <c r="CN331" s="47">
        <v>0</v>
      </c>
      <c r="CO331" s="47">
        <v>0</v>
      </c>
      <c r="CP331" s="47">
        <v>0</v>
      </c>
      <c r="CQ331" s="47">
        <v>0</v>
      </c>
      <c r="CR331" s="47">
        <v>0</v>
      </c>
      <c r="CS331" s="47">
        <v>0</v>
      </c>
      <c r="CT331" s="47">
        <v>0</v>
      </c>
      <c r="CU331" s="47">
        <v>0</v>
      </c>
      <c r="CV331" s="47">
        <v>0</v>
      </c>
      <c r="CW331" s="47">
        <v>0</v>
      </c>
      <c r="CX331" s="47">
        <v>0</v>
      </c>
      <c r="CY331" s="47">
        <v>0</v>
      </c>
      <c r="CZ331" s="47">
        <v>0</v>
      </c>
      <c r="DA331" s="47">
        <v>0</v>
      </c>
      <c r="DB331" s="47">
        <v>0</v>
      </c>
      <c r="DC331" s="47">
        <v>0</v>
      </c>
      <c r="DD331" s="47">
        <v>0</v>
      </c>
      <c r="DE331" s="47">
        <v>0</v>
      </c>
      <c r="DF331" s="47">
        <v>0</v>
      </c>
      <c r="DG331" s="47">
        <v>0</v>
      </c>
      <c r="DH331" s="47">
        <v>0</v>
      </c>
      <c r="DI331" s="47">
        <v>0</v>
      </c>
      <c r="DJ331" s="47">
        <v>0</v>
      </c>
      <c r="DK331" s="47">
        <v>0</v>
      </c>
      <c r="DL331" s="47">
        <v>0</v>
      </c>
      <c r="DM331" s="47">
        <v>0</v>
      </c>
      <c r="DN331" s="47">
        <v>0</v>
      </c>
      <c r="DO331" s="47">
        <v>0</v>
      </c>
      <c r="DP331" s="47">
        <v>0</v>
      </c>
      <c r="DQ331" s="47">
        <v>0</v>
      </c>
      <c r="DR331" s="47">
        <v>0</v>
      </c>
      <c r="DS331" s="47">
        <v>0</v>
      </c>
      <c r="DT331" s="47">
        <v>0</v>
      </c>
    </row>
    <row r="332" spans="1:126" x14ac:dyDescent="0.25">
      <c r="A332" s="47" t="s">
        <v>1626</v>
      </c>
      <c r="B332" s="47" t="s">
        <v>153</v>
      </c>
      <c r="C332" s="47" t="s">
        <v>1627</v>
      </c>
      <c r="D332" s="47" t="s">
        <v>1628</v>
      </c>
      <c r="E332" s="47" t="s">
        <v>1629</v>
      </c>
      <c r="F332" s="47" t="s">
        <v>698</v>
      </c>
      <c r="G332" s="47" t="s">
        <v>727</v>
      </c>
      <c r="H332" s="47" t="str">
        <f>=IFERROR(VLOOKUP(A332,'ETPT Format DDG'!A:J,10,FALSE),"")</f>
        <v>0</v>
      </c>
      <c r="I332" s="47" t="str">
        <f>='ETPT Format DDG'!M332</f>
        <v/>
      </c>
      <c r="J332" s="47" t="str">
        <f>='ETPT Format DDG'!D332</f>
        <v/>
      </c>
      <c r="K332" s="47" t="s">
        <v>157</v>
      </c>
      <c r="L332" s="47" t="s">
        <v>728</v>
      </c>
      <c r="M332" s="47"/>
      <c r="N332" s="47">
        <v>1</v>
      </c>
      <c r="O332" s="47">
        <v>1</v>
      </c>
      <c r="P332" s="47">
        <v>0</v>
      </c>
      <c r="Q332" s="47">
        <v>0</v>
      </c>
      <c r="R332" s="47">
        <v>0</v>
      </c>
      <c r="S332" s="47">
        <v>0</v>
      </c>
      <c r="T332" s="47">
        <v>0</v>
      </c>
      <c r="U332" s="47">
        <v>0</v>
      </c>
      <c r="V332" s="47">
        <v>0</v>
      </c>
      <c r="W332" s="47">
        <v>0</v>
      </c>
      <c r="X332" s="47">
        <v>0</v>
      </c>
      <c r="Y332" s="47">
        <v>0</v>
      </c>
      <c r="Z332" s="47">
        <v>0</v>
      </c>
      <c r="AA332" s="47">
        <v>0</v>
      </c>
      <c r="AB332" s="47">
        <v>0</v>
      </c>
      <c r="AC332" s="47">
        <v>0</v>
      </c>
      <c r="AD332" s="47">
        <v>0</v>
      </c>
      <c r="AE332" s="47">
        <v>1</v>
      </c>
      <c r="AF332" s="47">
        <v>0</v>
      </c>
      <c r="AG332" s="47">
        <v>0</v>
      </c>
      <c r="AH332" s="47">
        <v>0</v>
      </c>
      <c r="AI332" s="47">
        <v>0</v>
      </c>
      <c r="AJ332" s="47">
        <v>0</v>
      </c>
      <c r="AK332" s="47">
        <v>0</v>
      </c>
      <c r="AL332" s="47">
        <v>0</v>
      </c>
      <c r="AM332" s="47">
        <v>0</v>
      </c>
      <c r="AN332" s="47">
        <v>0</v>
      </c>
      <c r="AO332" s="47">
        <v>0</v>
      </c>
      <c r="AP332" s="47">
        <v>0</v>
      </c>
      <c r="AQ332" s="47">
        <v>0</v>
      </c>
      <c r="AR332" s="47">
        <v>0</v>
      </c>
      <c r="AS332" s="47">
        <v>0</v>
      </c>
      <c r="AT332" s="47">
        <v>0</v>
      </c>
      <c r="AU332" s="47">
        <v>0</v>
      </c>
      <c r="AV332" s="47">
        <v>0</v>
      </c>
      <c r="AW332" s="47">
        <v>0</v>
      </c>
      <c r="AX332" s="47">
        <v>0</v>
      </c>
      <c r="AY332" s="47">
        <v>0</v>
      </c>
      <c r="AZ332" s="47">
        <v>0</v>
      </c>
      <c r="BA332" s="47">
        <v>0</v>
      </c>
      <c r="BB332" s="47">
        <v>0</v>
      </c>
      <c r="BC332" s="47">
        <v>0</v>
      </c>
      <c r="BD332" s="47">
        <v>0</v>
      </c>
      <c r="BE332" s="47">
        <v>0</v>
      </c>
      <c r="BF332" s="47">
        <v>0</v>
      </c>
      <c r="BG332" s="47">
        <v>0</v>
      </c>
      <c r="BH332" s="47">
        <v>0</v>
      </c>
      <c r="BI332" s="47">
        <v>0</v>
      </c>
      <c r="BJ332" s="47">
        <v>0</v>
      </c>
      <c r="BK332" s="47">
        <v>0</v>
      </c>
      <c r="BL332" s="47">
        <v>0</v>
      </c>
      <c r="BM332" s="47">
        <v>0</v>
      </c>
      <c r="BN332" s="47">
        <v>0</v>
      </c>
      <c r="BO332" s="47">
        <v>0</v>
      </c>
      <c r="BP332" s="47">
        <v>0</v>
      </c>
      <c r="BQ332" s="47">
        <v>0</v>
      </c>
      <c r="BR332" s="47">
        <v>0</v>
      </c>
      <c r="BS332" s="47">
        <v>0</v>
      </c>
      <c r="BT332" s="47">
        <v>0</v>
      </c>
      <c r="BU332" s="47">
        <v>0</v>
      </c>
      <c r="BV332" s="47">
        <v>0</v>
      </c>
      <c r="BW332" s="47">
        <v>0</v>
      </c>
      <c r="BX332" s="47">
        <v>0</v>
      </c>
      <c r="BY332" s="47">
        <v>0</v>
      </c>
      <c r="BZ332" s="47">
        <v>0</v>
      </c>
      <c r="CA332" s="47">
        <v>0</v>
      </c>
      <c r="CB332" s="47">
        <v>0</v>
      </c>
      <c r="CC332" s="47">
        <v>0</v>
      </c>
      <c r="CD332" s="47">
        <v>0</v>
      </c>
      <c r="CE332" s="47">
        <v>0</v>
      </c>
      <c r="CF332" s="47">
        <v>0</v>
      </c>
      <c r="CG332" s="47">
        <v>0</v>
      </c>
      <c r="CH332" s="47">
        <v>0</v>
      </c>
      <c r="CI332" s="47">
        <v>0</v>
      </c>
      <c r="CJ332" s="47">
        <v>0</v>
      </c>
      <c r="CK332" s="47">
        <v>0</v>
      </c>
      <c r="CL332" s="47">
        <v>0</v>
      </c>
      <c r="CM332" s="47">
        <v>0</v>
      </c>
      <c r="CN332" s="47">
        <v>0</v>
      </c>
      <c r="CO332" s="47">
        <v>0</v>
      </c>
      <c r="CP332" s="47">
        <v>0</v>
      </c>
      <c r="CQ332" s="47">
        <v>0</v>
      </c>
      <c r="CR332" s="47">
        <v>0</v>
      </c>
      <c r="CS332" s="47">
        <v>0</v>
      </c>
      <c r="CT332" s="47">
        <v>0</v>
      </c>
      <c r="CU332" s="47">
        <v>0</v>
      </c>
      <c r="CV332" s="47">
        <v>0</v>
      </c>
      <c r="CW332" s="47">
        <v>0</v>
      </c>
      <c r="CX332" s="47">
        <v>0</v>
      </c>
      <c r="CY332" s="47">
        <v>0</v>
      </c>
      <c r="CZ332" s="47">
        <v>0</v>
      </c>
      <c r="DA332" s="47">
        <v>0</v>
      </c>
      <c r="DB332" s="47">
        <v>0</v>
      </c>
      <c r="DC332" s="47">
        <v>0</v>
      </c>
      <c r="DD332" s="47">
        <v>0</v>
      </c>
      <c r="DE332" s="47">
        <v>0</v>
      </c>
      <c r="DF332" s="47">
        <v>0</v>
      </c>
      <c r="DG332" s="47">
        <v>0</v>
      </c>
      <c r="DH332" s="47">
        <v>0</v>
      </c>
      <c r="DI332" s="47">
        <v>0</v>
      </c>
      <c r="DJ332" s="47">
        <v>0</v>
      </c>
      <c r="DK332" s="47">
        <v>0</v>
      </c>
      <c r="DL332" s="47">
        <v>0</v>
      </c>
      <c r="DM332" s="47">
        <v>0</v>
      </c>
      <c r="DN332" s="47">
        <v>0</v>
      </c>
      <c r="DO332" s="47">
        <v>0</v>
      </c>
      <c r="DP332" s="47">
        <v>0</v>
      </c>
      <c r="DQ332" s="47">
        <v>0</v>
      </c>
      <c r="DR332" s="47">
        <v>0</v>
      </c>
      <c r="DS332" s="47">
        <v>0</v>
      </c>
      <c r="DT332" s="47">
        <v>0</v>
      </c>
    </row>
    <row r="333" spans="1:126" x14ac:dyDescent="0.25">
      <c r="A333" s="47" t="s">
        <v>1630</v>
      </c>
      <c r="B333" s="47" t="s">
        <v>153</v>
      </c>
      <c r="C333" s="47" t="s">
        <v>1631</v>
      </c>
      <c r="D333" s="47" t="s">
        <v>1632</v>
      </c>
      <c r="E333" s="47" t="s">
        <v>1633</v>
      </c>
      <c r="F333" s="47" t="s">
        <v>698</v>
      </c>
      <c r="G333" s="47" t="s">
        <v>705</v>
      </c>
      <c r="H333" s="47" t="str">
        <f>=IFERROR(VLOOKUP(A333,'ETPT Format DDG'!A:J,10,FALSE),"")</f>
        <v>0</v>
      </c>
      <c r="I333" s="47" t="str">
        <f>='ETPT Format DDG'!M333</f>
        <v/>
      </c>
      <c r="J333" s="47" t="str">
        <f>='ETPT Format DDG'!D333</f>
        <v/>
      </c>
      <c r="K333" s="47" t="s">
        <v>157</v>
      </c>
      <c r="L333" s="47" t="s">
        <v>791</v>
      </c>
      <c r="M333" s="47"/>
      <c r="N333" s="47">
        <v>1</v>
      </c>
      <c r="O333" s="47">
        <v>0</v>
      </c>
      <c r="P333" s="47">
        <v>0</v>
      </c>
      <c r="Q333" s="47">
        <v>0</v>
      </c>
      <c r="R333" s="47">
        <v>0</v>
      </c>
      <c r="S333" s="47">
        <v>0</v>
      </c>
      <c r="T333" s="47">
        <v>0</v>
      </c>
      <c r="U333" s="47">
        <v>0</v>
      </c>
      <c r="V333" s="47">
        <v>0</v>
      </c>
      <c r="W333" s="47">
        <v>0</v>
      </c>
      <c r="X333" s="47">
        <v>0</v>
      </c>
      <c r="Y333" s="47">
        <v>0</v>
      </c>
      <c r="Z333" s="47">
        <v>0</v>
      </c>
      <c r="AA333" s="47">
        <v>0</v>
      </c>
      <c r="AB333" s="47">
        <v>0</v>
      </c>
      <c r="AC333" s="47">
        <v>0</v>
      </c>
      <c r="AD333" s="47">
        <v>0</v>
      </c>
      <c r="AE333" s="47">
        <v>0</v>
      </c>
      <c r="AF333" s="47">
        <v>0</v>
      </c>
      <c r="AG333" s="47">
        <v>0</v>
      </c>
      <c r="AH333" s="47">
        <v>0</v>
      </c>
      <c r="AI333" s="47">
        <v>0</v>
      </c>
      <c r="AJ333" s="47">
        <v>0</v>
      </c>
      <c r="AK333" s="47">
        <v>0</v>
      </c>
      <c r="AL333" s="47">
        <v>0</v>
      </c>
      <c r="AM333" s="47">
        <v>0</v>
      </c>
      <c r="AN333" s="47">
        <v>0</v>
      </c>
      <c r="AO333" s="47">
        <v>0</v>
      </c>
      <c r="AP333" s="47">
        <v>0</v>
      </c>
      <c r="AQ333" s="47">
        <v>0</v>
      </c>
      <c r="AR333" s="47">
        <v>0</v>
      </c>
      <c r="AS333" s="47">
        <v>0</v>
      </c>
      <c r="AT333" s="47">
        <v>0</v>
      </c>
      <c r="AU333" s="47">
        <v>0</v>
      </c>
      <c r="AV333" s="47">
        <v>0</v>
      </c>
      <c r="AW333" s="47">
        <v>0</v>
      </c>
      <c r="AX333" s="47">
        <v>0</v>
      </c>
      <c r="AY333" s="47">
        <v>0</v>
      </c>
      <c r="AZ333" s="47">
        <v>0</v>
      </c>
      <c r="BA333" s="47">
        <v>0</v>
      </c>
      <c r="BB333" s="47">
        <v>0</v>
      </c>
      <c r="BC333" s="47">
        <v>0</v>
      </c>
      <c r="BD333" s="47">
        <v>0</v>
      </c>
      <c r="BE333" s="47">
        <v>0</v>
      </c>
      <c r="BF333" s="47">
        <v>0</v>
      </c>
      <c r="BG333" s="47">
        <v>0</v>
      </c>
      <c r="BH333" s="47">
        <v>0</v>
      </c>
      <c r="BI333" s="47">
        <v>0</v>
      </c>
      <c r="BJ333" s="47">
        <v>0</v>
      </c>
      <c r="BK333" s="47">
        <v>0</v>
      </c>
      <c r="BL333" s="47">
        <v>0</v>
      </c>
      <c r="BM333" s="47">
        <v>0</v>
      </c>
      <c r="BN333" s="47">
        <v>0</v>
      </c>
      <c r="BO333" s="47">
        <v>0</v>
      </c>
      <c r="BP333" s="47">
        <v>0</v>
      </c>
      <c r="BQ333" s="47">
        <v>0</v>
      </c>
      <c r="BR333" s="47">
        <v>0</v>
      </c>
      <c r="BS333" s="47">
        <v>0</v>
      </c>
      <c r="BT333" s="47">
        <v>0</v>
      </c>
      <c r="BU333" s="47">
        <v>0</v>
      </c>
      <c r="BV333" s="47">
        <v>0</v>
      </c>
      <c r="BW333" s="47">
        <v>0</v>
      </c>
      <c r="BX333" s="47">
        <v>0</v>
      </c>
      <c r="BY333" s="47">
        <v>0</v>
      </c>
      <c r="BZ333" s="47">
        <v>0</v>
      </c>
      <c r="CA333" s="47">
        <v>0</v>
      </c>
      <c r="CB333" s="47">
        <v>0</v>
      </c>
      <c r="CC333" s="47">
        <v>0</v>
      </c>
      <c r="CD333" s="47">
        <v>0</v>
      </c>
      <c r="CE333" s="47">
        <v>0</v>
      </c>
      <c r="CF333" s="47">
        <v>0</v>
      </c>
      <c r="CG333" s="47">
        <v>0</v>
      </c>
      <c r="CH333" s="47">
        <v>0</v>
      </c>
      <c r="CI333" s="47">
        <v>0</v>
      </c>
      <c r="CJ333" s="47">
        <v>0</v>
      </c>
      <c r="CK333" s="47">
        <v>0</v>
      </c>
      <c r="CL333" s="47">
        <v>0</v>
      </c>
      <c r="CM333" s="47">
        <v>0</v>
      </c>
      <c r="CN333" s="47">
        <v>0</v>
      </c>
      <c r="CO333" s="47">
        <v>0</v>
      </c>
      <c r="CP333" s="47">
        <v>0</v>
      </c>
      <c r="CQ333" s="47">
        <v>0</v>
      </c>
      <c r="CR333" s="47">
        <v>0</v>
      </c>
      <c r="CS333" s="47">
        <v>0</v>
      </c>
      <c r="CT333" s="47">
        <v>0</v>
      </c>
      <c r="CU333" s="47">
        <v>0</v>
      </c>
      <c r="CV333" s="47">
        <v>0</v>
      </c>
      <c r="CW333" s="47">
        <v>0</v>
      </c>
      <c r="CX333" s="47">
        <v>0</v>
      </c>
      <c r="CY333" s="47">
        <v>0</v>
      </c>
      <c r="CZ333" s="47">
        <v>0</v>
      </c>
      <c r="DA333" s="47">
        <v>0</v>
      </c>
      <c r="DB333" s="47">
        <v>0</v>
      </c>
      <c r="DC333" s="47">
        <v>0</v>
      </c>
      <c r="DD333" s="47">
        <v>0</v>
      </c>
      <c r="DE333" s="47">
        <v>0</v>
      </c>
      <c r="DF333" s="47">
        <v>0</v>
      </c>
      <c r="DG333" s="47">
        <v>0</v>
      </c>
      <c r="DH333" s="47">
        <v>0</v>
      </c>
      <c r="DI333" s="47">
        <v>0</v>
      </c>
      <c r="DJ333" s="47">
        <v>0</v>
      </c>
      <c r="DK333" s="47">
        <v>0</v>
      </c>
      <c r="DL333" s="47">
        <v>0</v>
      </c>
      <c r="DM333" s="47">
        <v>0</v>
      </c>
      <c r="DN333" s="47">
        <v>0</v>
      </c>
      <c r="DO333" s="47">
        <v>0</v>
      </c>
      <c r="DP333" s="47">
        <v>0</v>
      </c>
      <c r="DQ333" s="47">
        <v>0</v>
      </c>
      <c r="DR333" s="47">
        <v>0</v>
      </c>
      <c r="DS333" s="47">
        <v>0</v>
      </c>
      <c r="DT333" s="47">
        <v>0</v>
      </c>
    </row>
    <row r="334" spans="1:126" x14ac:dyDescent="0.25">
      <c r="A334" s="47" t="s">
        <v>1634</v>
      </c>
      <c r="B334" s="47" t="s">
        <v>153</v>
      </c>
      <c r="C334" s="47" t="s">
        <v>1635</v>
      </c>
      <c r="D334" s="47" t="s">
        <v>1636</v>
      </c>
      <c r="E334" s="47" t="s">
        <v>1637</v>
      </c>
      <c r="F334" s="47" t="s">
        <v>698</v>
      </c>
      <c r="G334" s="47" t="s">
        <v>727</v>
      </c>
      <c r="H334" s="47" t="str">
        <f>=IFERROR(VLOOKUP(A334,'ETPT Format DDG'!A:J,10,FALSE),"")</f>
        <v>0</v>
      </c>
      <c r="I334" s="47" t="str">
        <f>='ETPT Format DDG'!M334</f>
        <v/>
      </c>
      <c r="J334" s="47" t="str">
        <f>='ETPT Format DDG'!D334</f>
        <v/>
      </c>
      <c r="K334" s="47" t="s">
        <v>157</v>
      </c>
      <c r="L334" s="47" t="s">
        <v>1309</v>
      </c>
      <c r="M334" s="47"/>
      <c r="N334" s="47">
        <v>1</v>
      </c>
      <c r="O334" s="47">
        <v>1</v>
      </c>
      <c r="P334" s="47">
        <v>0</v>
      </c>
      <c r="Q334" s="47">
        <v>0</v>
      </c>
      <c r="R334" s="47">
        <v>0</v>
      </c>
      <c r="S334" s="47">
        <v>0</v>
      </c>
      <c r="T334" s="47">
        <v>0</v>
      </c>
      <c r="U334" s="47">
        <v>0</v>
      </c>
      <c r="V334" s="47">
        <v>0</v>
      </c>
      <c r="W334" s="47">
        <v>0</v>
      </c>
      <c r="X334" s="47">
        <v>0</v>
      </c>
      <c r="Y334" s="47">
        <v>0</v>
      </c>
      <c r="Z334" s="47">
        <v>0</v>
      </c>
      <c r="AA334" s="47">
        <v>0</v>
      </c>
      <c r="AB334" s="47">
        <v>0</v>
      </c>
      <c r="AC334" s="47">
        <v>0</v>
      </c>
      <c r="AD334" s="47">
        <v>0</v>
      </c>
      <c r="AE334" s="47">
        <v>0</v>
      </c>
      <c r="AF334" s="47">
        <v>0</v>
      </c>
      <c r="AG334" s="47">
        <v>0</v>
      </c>
      <c r="AH334" s="47">
        <v>0</v>
      </c>
      <c r="AI334" s="47">
        <v>0</v>
      </c>
      <c r="AJ334" s="47">
        <v>0</v>
      </c>
      <c r="AK334" s="47">
        <v>0</v>
      </c>
      <c r="AL334" s="47">
        <v>0</v>
      </c>
      <c r="AM334" s="47">
        <v>0</v>
      </c>
      <c r="AN334" s="47">
        <v>0</v>
      </c>
      <c r="AO334" s="47">
        <v>0</v>
      </c>
      <c r="AP334" s="47">
        <v>0</v>
      </c>
      <c r="AQ334" s="47">
        <v>0</v>
      </c>
      <c r="AR334" s="47">
        <v>0</v>
      </c>
      <c r="AS334" s="47">
        <v>0</v>
      </c>
      <c r="AT334" s="47">
        <v>0</v>
      </c>
      <c r="AU334" s="47">
        <v>0</v>
      </c>
      <c r="AV334" s="47">
        <v>0</v>
      </c>
      <c r="AW334" s="47">
        <v>0</v>
      </c>
      <c r="AX334" s="47">
        <v>0</v>
      </c>
      <c r="AY334" s="47">
        <v>0</v>
      </c>
      <c r="AZ334" s="47">
        <v>0</v>
      </c>
      <c r="BA334" s="47">
        <v>0</v>
      </c>
      <c r="BB334" s="47">
        <v>0</v>
      </c>
      <c r="BC334" s="47">
        <v>0</v>
      </c>
      <c r="BD334" s="47">
        <v>0</v>
      </c>
      <c r="BE334" s="47">
        <v>0</v>
      </c>
      <c r="BF334" s="47">
        <v>0</v>
      </c>
      <c r="BG334" s="47">
        <v>0</v>
      </c>
      <c r="BH334" s="47">
        <v>0</v>
      </c>
      <c r="BI334" s="47">
        <v>0</v>
      </c>
      <c r="BJ334" s="47">
        <v>0</v>
      </c>
      <c r="BK334" s="47">
        <v>0</v>
      </c>
      <c r="BL334" s="47">
        <v>1</v>
      </c>
      <c r="BM334" s="47">
        <v>0</v>
      </c>
      <c r="BN334" s="47">
        <v>0</v>
      </c>
      <c r="BO334" s="47">
        <v>0</v>
      </c>
      <c r="BP334" s="47">
        <v>0</v>
      </c>
      <c r="BQ334" s="47">
        <v>0</v>
      </c>
      <c r="BR334" s="47">
        <v>0</v>
      </c>
      <c r="BS334" s="47">
        <v>0</v>
      </c>
      <c r="BT334" s="47">
        <v>0</v>
      </c>
      <c r="BU334" s="47">
        <v>0</v>
      </c>
      <c r="BV334" s="47">
        <v>0</v>
      </c>
      <c r="BW334" s="47">
        <v>0</v>
      </c>
      <c r="BX334" s="47">
        <v>0</v>
      </c>
      <c r="BY334" s="47">
        <v>0</v>
      </c>
      <c r="BZ334" s="47">
        <v>0</v>
      </c>
      <c r="CA334" s="47">
        <v>0</v>
      </c>
      <c r="CB334" s="47">
        <v>0</v>
      </c>
      <c r="CC334" s="47">
        <v>0</v>
      </c>
      <c r="CD334" s="47">
        <v>0</v>
      </c>
      <c r="CE334" s="47">
        <v>0</v>
      </c>
      <c r="CF334" s="47">
        <v>0</v>
      </c>
      <c r="CG334" s="47">
        <v>0</v>
      </c>
      <c r="CH334" s="47">
        <v>0</v>
      </c>
      <c r="CI334" s="47">
        <v>0</v>
      </c>
      <c r="CJ334" s="47">
        <v>0</v>
      </c>
      <c r="CK334" s="47">
        <v>0</v>
      </c>
      <c r="CL334" s="47">
        <v>0</v>
      </c>
      <c r="CM334" s="47">
        <v>0</v>
      </c>
      <c r="CN334" s="47">
        <v>0</v>
      </c>
      <c r="CO334" s="47">
        <v>0</v>
      </c>
      <c r="CP334" s="47">
        <v>0</v>
      </c>
      <c r="CQ334" s="47">
        <v>0</v>
      </c>
      <c r="CR334" s="47">
        <v>0</v>
      </c>
      <c r="CS334" s="47">
        <v>0</v>
      </c>
      <c r="CT334" s="47">
        <v>0</v>
      </c>
      <c r="CU334" s="47">
        <v>0</v>
      </c>
      <c r="CV334" s="47">
        <v>0</v>
      </c>
      <c r="CW334" s="47">
        <v>0</v>
      </c>
      <c r="CX334" s="47">
        <v>0</v>
      </c>
      <c r="CY334" s="47">
        <v>0</v>
      </c>
      <c r="CZ334" s="47">
        <v>0</v>
      </c>
      <c r="DA334" s="47">
        <v>0</v>
      </c>
      <c r="DB334" s="47">
        <v>0</v>
      </c>
      <c r="DC334" s="47">
        <v>0</v>
      </c>
      <c r="DD334" s="47">
        <v>0</v>
      </c>
      <c r="DE334" s="47">
        <v>0</v>
      </c>
      <c r="DF334" s="47">
        <v>0</v>
      </c>
      <c r="DG334" s="47">
        <v>0</v>
      </c>
      <c r="DH334" s="47">
        <v>0</v>
      </c>
      <c r="DI334" s="47">
        <v>0</v>
      </c>
      <c r="DJ334" s="47">
        <v>0</v>
      </c>
      <c r="DK334" s="47">
        <v>0</v>
      </c>
      <c r="DL334" s="47">
        <v>0</v>
      </c>
      <c r="DM334" s="47">
        <v>0</v>
      </c>
      <c r="DN334" s="47">
        <v>0</v>
      </c>
      <c r="DO334" s="47">
        <v>0</v>
      </c>
      <c r="DP334" s="47">
        <v>0</v>
      </c>
      <c r="DQ334" s="47">
        <v>0</v>
      </c>
      <c r="DR334" s="47">
        <v>0</v>
      </c>
      <c r="DS334" s="47">
        <v>0</v>
      </c>
      <c r="DT334" s="47">
        <v>0</v>
      </c>
    </row>
    <row r="335" spans="1:126" x14ac:dyDescent="0.25">
      <c r="A335" s="47" t="s">
        <v>1638</v>
      </c>
      <c r="B335" s="47" t="s">
        <v>153</v>
      </c>
      <c r="C335" s="47" t="s">
        <v>1639</v>
      </c>
      <c r="D335" s="47" t="s">
        <v>1640</v>
      </c>
      <c r="E335" s="47" t="s">
        <v>1641</v>
      </c>
      <c r="F335" s="47" t="s">
        <v>698</v>
      </c>
      <c r="G335" s="47" t="s">
        <v>705</v>
      </c>
      <c r="H335" s="47" t="str">
        <f>=IFERROR(VLOOKUP(A335,'ETPT Format DDG'!A:J,10,FALSE),"")</f>
        <v>0</v>
      </c>
      <c r="I335" s="47" t="str">
        <f>='ETPT Format DDG'!M335</f>
        <v/>
      </c>
      <c r="J335" s="47" t="str">
        <f>='ETPT Format DDG'!D335</f>
        <v/>
      </c>
      <c r="K335" s="47" t="s">
        <v>157</v>
      </c>
      <c r="L335" s="47" t="s">
        <v>1642</v>
      </c>
      <c r="M335" s="47"/>
      <c r="N335" s="47">
        <v>0.8</v>
      </c>
      <c r="O335" s="47">
        <v>0</v>
      </c>
      <c r="P335" s="47">
        <v>0</v>
      </c>
      <c r="Q335" s="47">
        <v>0</v>
      </c>
      <c r="R335" s="47">
        <v>0</v>
      </c>
      <c r="S335" s="47">
        <v>0</v>
      </c>
      <c r="T335" s="47">
        <v>0</v>
      </c>
      <c r="U335" s="47">
        <v>0</v>
      </c>
      <c r="V335" s="47">
        <v>0</v>
      </c>
      <c r="W335" s="47">
        <v>0</v>
      </c>
      <c r="X335" s="47">
        <v>0</v>
      </c>
      <c r="Y335" s="47">
        <v>0</v>
      </c>
      <c r="Z335" s="47">
        <v>0</v>
      </c>
      <c r="AA335" s="47">
        <v>0</v>
      </c>
      <c r="AB335" s="47">
        <v>0</v>
      </c>
      <c r="AC335" s="47">
        <v>0</v>
      </c>
      <c r="AD335" s="47">
        <v>0</v>
      </c>
      <c r="AE335" s="47">
        <v>0</v>
      </c>
      <c r="AF335" s="47">
        <v>0</v>
      </c>
      <c r="AG335" s="47">
        <v>0</v>
      </c>
      <c r="AH335" s="47">
        <v>0</v>
      </c>
      <c r="AI335" s="47">
        <v>0</v>
      </c>
      <c r="AJ335" s="47">
        <v>0</v>
      </c>
      <c r="AK335" s="47">
        <v>0</v>
      </c>
      <c r="AL335" s="47">
        <v>0</v>
      </c>
      <c r="AM335" s="47">
        <v>0</v>
      </c>
      <c r="AN335" s="47">
        <v>0</v>
      </c>
      <c r="AO335" s="47">
        <v>0</v>
      </c>
      <c r="AP335" s="47">
        <v>0</v>
      </c>
      <c r="AQ335" s="47">
        <v>0</v>
      </c>
      <c r="AR335" s="47">
        <v>0</v>
      </c>
      <c r="AS335" s="47">
        <v>0</v>
      </c>
      <c r="AT335" s="47">
        <v>0</v>
      </c>
      <c r="AU335" s="47">
        <v>0</v>
      </c>
      <c r="AV335" s="47">
        <v>0</v>
      </c>
      <c r="AW335" s="47">
        <v>0</v>
      </c>
      <c r="AX335" s="47">
        <v>0</v>
      </c>
      <c r="AY335" s="47">
        <v>0</v>
      </c>
      <c r="AZ335" s="47">
        <v>0</v>
      </c>
      <c r="BA335" s="47">
        <v>0</v>
      </c>
      <c r="BB335" s="47">
        <v>0</v>
      </c>
      <c r="BC335" s="47">
        <v>0</v>
      </c>
      <c r="BD335" s="47">
        <v>0</v>
      </c>
      <c r="BE335" s="47">
        <v>0</v>
      </c>
      <c r="BF335" s="47">
        <v>0</v>
      </c>
      <c r="BG335" s="47">
        <v>0</v>
      </c>
      <c r="BH335" s="47">
        <v>0</v>
      </c>
      <c r="BI335" s="47">
        <v>0</v>
      </c>
      <c r="BJ335" s="47">
        <v>0</v>
      </c>
      <c r="BK335" s="47">
        <v>0</v>
      </c>
      <c r="BL335" s="47">
        <v>0</v>
      </c>
      <c r="BM335" s="47">
        <v>0</v>
      </c>
      <c r="BN335" s="47">
        <v>0</v>
      </c>
      <c r="BO335" s="47">
        <v>0</v>
      </c>
      <c r="BP335" s="47">
        <v>0</v>
      </c>
      <c r="BQ335" s="47">
        <v>0</v>
      </c>
      <c r="BR335" s="47">
        <v>0</v>
      </c>
      <c r="BS335" s="47">
        <v>0</v>
      </c>
      <c r="BT335" s="47">
        <v>0</v>
      </c>
      <c r="BU335" s="47">
        <v>0</v>
      </c>
      <c r="BV335" s="47">
        <v>0</v>
      </c>
      <c r="BW335" s="47">
        <v>0</v>
      </c>
      <c r="BX335" s="47">
        <v>0</v>
      </c>
      <c r="BY335" s="47">
        <v>0</v>
      </c>
      <c r="BZ335" s="47">
        <v>0</v>
      </c>
      <c r="CA335" s="47">
        <v>0</v>
      </c>
      <c r="CB335" s="47">
        <v>0</v>
      </c>
      <c r="CC335" s="47">
        <v>0</v>
      </c>
      <c r="CD335" s="47">
        <v>0</v>
      </c>
      <c r="CE335" s="47">
        <v>0</v>
      </c>
      <c r="CF335" s="47">
        <v>0</v>
      </c>
      <c r="CG335" s="47">
        <v>0</v>
      </c>
      <c r="CH335" s="47">
        <v>0</v>
      </c>
      <c r="CI335" s="47">
        <v>0</v>
      </c>
      <c r="CJ335" s="47">
        <v>0</v>
      </c>
      <c r="CK335" s="47">
        <v>0</v>
      </c>
      <c r="CL335" s="47">
        <v>0</v>
      </c>
      <c r="CM335" s="47">
        <v>0</v>
      </c>
      <c r="CN335" s="47">
        <v>0</v>
      </c>
      <c r="CO335" s="47">
        <v>0</v>
      </c>
      <c r="CP335" s="47">
        <v>0</v>
      </c>
      <c r="CQ335" s="47">
        <v>0</v>
      </c>
      <c r="CR335" s="47">
        <v>0</v>
      </c>
      <c r="CS335" s="47">
        <v>0</v>
      </c>
      <c r="CT335" s="47">
        <v>0</v>
      </c>
      <c r="CU335" s="47">
        <v>0</v>
      </c>
      <c r="CV335" s="47">
        <v>0</v>
      </c>
      <c r="CW335" s="47">
        <v>0</v>
      </c>
      <c r="CX335" s="47">
        <v>0</v>
      </c>
      <c r="CY335" s="47">
        <v>0</v>
      </c>
      <c r="CZ335" s="47">
        <v>0</v>
      </c>
      <c r="DA335" s="47">
        <v>0</v>
      </c>
      <c r="DB335" s="47">
        <v>0</v>
      </c>
      <c r="DC335" s="47">
        <v>0</v>
      </c>
      <c r="DD335" s="47">
        <v>0</v>
      </c>
      <c r="DE335" s="47">
        <v>0</v>
      </c>
      <c r="DF335" s="47">
        <v>0</v>
      </c>
      <c r="DG335" s="47">
        <v>0</v>
      </c>
      <c r="DH335" s="47">
        <v>0</v>
      </c>
      <c r="DI335" s="47">
        <v>0</v>
      </c>
      <c r="DJ335" s="47">
        <v>0</v>
      </c>
      <c r="DK335" s="47">
        <v>0</v>
      </c>
      <c r="DL335" s="47">
        <v>0</v>
      </c>
      <c r="DM335" s="47">
        <v>0</v>
      </c>
      <c r="DN335" s="47">
        <v>0</v>
      </c>
      <c r="DO335" s="47">
        <v>0</v>
      </c>
      <c r="DP335" s="47">
        <v>0</v>
      </c>
      <c r="DQ335" s="47">
        <v>0</v>
      </c>
      <c r="DR335" s="47">
        <v>0</v>
      </c>
      <c r="DS335" s="47">
        <v>0</v>
      </c>
      <c r="DT335" s="47">
        <v>0</v>
      </c>
    </row>
    <row r="336" spans="1:126" x14ac:dyDescent="0.25">
      <c r="A336" s="47" t="s">
        <v>1643</v>
      </c>
      <c r="B336" s="47" t="s">
        <v>153</v>
      </c>
      <c r="C336" s="47" t="s">
        <v>1644</v>
      </c>
      <c r="D336" s="47" t="s">
        <v>1645</v>
      </c>
      <c r="E336" s="47" t="s">
        <v>1646</v>
      </c>
      <c r="F336" s="47" t="s">
        <v>698</v>
      </c>
      <c r="G336" s="47" t="s">
        <v>705</v>
      </c>
      <c r="H336" s="47" t="str">
        <f>=IFERROR(VLOOKUP(A336,'ETPT Format DDG'!A:J,10,FALSE),"")</f>
        <v>0</v>
      </c>
      <c r="I336" s="47" t="str">
        <f>='ETPT Format DDG'!M336</f>
        <v/>
      </c>
      <c r="J336" s="47" t="str">
        <f>='ETPT Format DDG'!D336</f>
        <v/>
      </c>
      <c r="K336" s="47" t="s">
        <v>157</v>
      </c>
      <c r="L336" s="47" t="s">
        <v>753</v>
      </c>
      <c r="M336" s="47"/>
      <c r="N336" s="47">
        <v>0.8</v>
      </c>
      <c r="O336" s="47">
        <v>0</v>
      </c>
      <c r="P336" s="47">
        <v>0</v>
      </c>
      <c r="Q336" s="47">
        <v>0</v>
      </c>
      <c r="R336" s="47">
        <v>0</v>
      </c>
      <c r="S336" s="47">
        <v>0</v>
      </c>
      <c r="T336" s="47">
        <v>0</v>
      </c>
      <c r="U336" s="47">
        <v>0</v>
      </c>
      <c r="V336" s="47">
        <v>0</v>
      </c>
      <c r="W336" s="47">
        <v>0</v>
      </c>
      <c r="X336" s="47">
        <v>0</v>
      </c>
      <c r="Y336" s="47">
        <v>0</v>
      </c>
      <c r="Z336" s="47">
        <v>0</v>
      </c>
      <c r="AA336" s="47">
        <v>0</v>
      </c>
      <c r="AB336" s="47">
        <v>0</v>
      </c>
      <c r="AC336" s="47">
        <v>0</v>
      </c>
      <c r="AD336" s="47">
        <v>0</v>
      </c>
      <c r="AE336" s="47">
        <v>0</v>
      </c>
      <c r="AF336" s="47">
        <v>0</v>
      </c>
      <c r="AG336" s="47">
        <v>0</v>
      </c>
      <c r="AH336" s="47">
        <v>0</v>
      </c>
      <c r="AI336" s="47">
        <v>0</v>
      </c>
      <c r="AJ336" s="47">
        <v>0</v>
      </c>
      <c r="AK336" s="47">
        <v>0</v>
      </c>
      <c r="AL336" s="47">
        <v>0</v>
      </c>
      <c r="AM336" s="47">
        <v>0</v>
      </c>
      <c r="AN336" s="47">
        <v>0</v>
      </c>
      <c r="AO336" s="47">
        <v>0</v>
      </c>
      <c r="AP336" s="47">
        <v>0</v>
      </c>
      <c r="AQ336" s="47">
        <v>0</v>
      </c>
      <c r="AR336" s="47">
        <v>0</v>
      </c>
      <c r="AS336" s="47">
        <v>0</v>
      </c>
      <c r="AT336" s="47">
        <v>0</v>
      </c>
      <c r="AU336" s="47">
        <v>0</v>
      </c>
      <c r="AV336" s="47">
        <v>0</v>
      </c>
      <c r="AW336" s="47">
        <v>0</v>
      </c>
      <c r="AX336" s="47">
        <v>0</v>
      </c>
      <c r="AY336" s="47">
        <v>0</v>
      </c>
      <c r="AZ336" s="47">
        <v>0</v>
      </c>
      <c r="BA336" s="47">
        <v>0</v>
      </c>
      <c r="BB336" s="47">
        <v>0</v>
      </c>
      <c r="BC336" s="47">
        <v>0</v>
      </c>
      <c r="BD336" s="47">
        <v>0</v>
      </c>
      <c r="BE336" s="47">
        <v>0</v>
      </c>
      <c r="BF336" s="47">
        <v>0</v>
      </c>
      <c r="BG336" s="47">
        <v>0</v>
      </c>
      <c r="BH336" s="47">
        <v>0</v>
      </c>
      <c r="BI336" s="47">
        <v>0</v>
      </c>
      <c r="BJ336" s="47">
        <v>0</v>
      </c>
      <c r="BK336" s="47">
        <v>0</v>
      </c>
      <c r="BL336" s="47">
        <v>0</v>
      </c>
      <c r="BM336" s="47">
        <v>0</v>
      </c>
      <c r="BN336" s="47">
        <v>0</v>
      </c>
      <c r="BO336" s="47">
        <v>0</v>
      </c>
      <c r="BP336" s="47">
        <v>0</v>
      </c>
      <c r="BQ336" s="47">
        <v>0</v>
      </c>
      <c r="BR336" s="47">
        <v>0</v>
      </c>
      <c r="BS336" s="47">
        <v>0</v>
      </c>
      <c r="BT336" s="47">
        <v>0</v>
      </c>
      <c r="BU336" s="47">
        <v>0</v>
      </c>
      <c r="BV336" s="47">
        <v>0</v>
      </c>
      <c r="BW336" s="47">
        <v>0</v>
      </c>
      <c r="BX336" s="47">
        <v>0</v>
      </c>
      <c r="BY336" s="47">
        <v>0</v>
      </c>
      <c r="BZ336" s="47">
        <v>0</v>
      </c>
      <c r="CA336" s="47">
        <v>0</v>
      </c>
      <c r="CB336" s="47">
        <v>0</v>
      </c>
      <c r="CC336" s="47">
        <v>0</v>
      </c>
      <c r="CD336" s="47">
        <v>0</v>
      </c>
      <c r="CE336" s="47">
        <v>0</v>
      </c>
      <c r="CF336" s="47">
        <v>0</v>
      </c>
      <c r="CG336" s="47">
        <v>0</v>
      </c>
      <c r="CH336" s="47">
        <v>0</v>
      </c>
      <c r="CI336" s="47">
        <v>0</v>
      </c>
      <c r="CJ336" s="47">
        <v>0</v>
      </c>
      <c r="CK336" s="47">
        <v>0</v>
      </c>
      <c r="CL336" s="47">
        <v>0</v>
      </c>
      <c r="CM336" s="47">
        <v>0</v>
      </c>
      <c r="CN336" s="47">
        <v>0</v>
      </c>
      <c r="CO336" s="47">
        <v>0</v>
      </c>
      <c r="CP336" s="47">
        <v>0</v>
      </c>
      <c r="CQ336" s="47">
        <v>0</v>
      </c>
      <c r="CR336" s="47">
        <v>0</v>
      </c>
      <c r="CS336" s="47">
        <v>0</v>
      </c>
      <c r="CT336" s="47">
        <v>0</v>
      </c>
      <c r="CU336" s="47">
        <v>0</v>
      </c>
      <c r="CV336" s="47">
        <v>0</v>
      </c>
      <c r="CW336" s="47">
        <v>0</v>
      </c>
      <c r="CX336" s="47">
        <v>0</v>
      </c>
      <c r="CY336" s="47">
        <v>0</v>
      </c>
      <c r="CZ336" s="47">
        <v>0</v>
      </c>
      <c r="DA336" s="47">
        <v>0</v>
      </c>
      <c r="DB336" s="47">
        <v>0</v>
      </c>
      <c r="DC336" s="47">
        <v>0</v>
      </c>
      <c r="DD336" s="47">
        <v>0</v>
      </c>
      <c r="DE336" s="47">
        <v>0</v>
      </c>
      <c r="DF336" s="47">
        <v>0</v>
      </c>
      <c r="DG336" s="47">
        <v>0</v>
      </c>
      <c r="DH336" s="47">
        <v>0</v>
      </c>
      <c r="DI336" s="47">
        <v>0</v>
      </c>
      <c r="DJ336" s="47">
        <v>0</v>
      </c>
      <c r="DK336" s="47">
        <v>0</v>
      </c>
      <c r="DL336" s="47">
        <v>0</v>
      </c>
      <c r="DM336" s="47">
        <v>0</v>
      </c>
      <c r="DN336" s="47">
        <v>0</v>
      </c>
      <c r="DO336" s="47">
        <v>0</v>
      </c>
      <c r="DP336" s="47">
        <v>0</v>
      </c>
      <c r="DQ336" s="47">
        <v>0</v>
      </c>
      <c r="DR336" s="47">
        <v>0</v>
      </c>
      <c r="DS336" s="47">
        <v>0</v>
      </c>
      <c r="DT336" s="47">
        <v>0</v>
      </c>
    </row>
    <row r="337" spans="1:126" x14ac:dyDescent="0.25">
      <c r="A337" s="47" t="s">
        <v>1647</v>
      </c>
      <c r="B337" s="47" t="s">
        <v>153</v>
      </c>
      <c r="C337" s="47" t="s">
        <v>1648</v>
      </c>
      <c r="D337" s="47" t="s">
        <v>1649</v>
      </c>
      <c r="E337" s="47" t="s">
        <v>1650</v>
      </c>
      <c r="F337" s="47" t="s">
        <v>698</v>
      </c>
      <c r="G337" s="47" t="s">
        <v>727</v>
      </c>
      <c r="H337" s="47" t="str">
        <f>=IFERROR(VLOOKUP(A337,'ETPT Format DDG'!A:J,10,FALSE),"")</f>
        <v>0</v>
      </c>
      <c r="I337" s="47" t="str">
        <f>='ETPT Format DDG'!M337</f>
        <v/>
      </c>
      <c r="J337" s="47" t="str">
        <f>='ETPT Format DDG'!D337</f>
        <v/>
      </c>
      <c r="K337" s="47" t="s">
        <v>157</v>
      </c>
      <c r="L337" s="47" t="s">
        <v>1299</v>
      </c>
      <c r="M337" s="47"/>
      <c r="N337" s="47">
        <v>0.8</v>
      </c>
      <c r="O337" s="47">
        <v>0.8</v>
      </c>
      <c r="P337" s="47">
        <v>0</v>
      </c>
      <c r="Q337" s="47">
        <v>0</v>
      </c>
      <c r="R337" s="47">
        <v>0</v>
      </c>
      <c r="S337" s="47">
        <v>0</v>
      </c>
      <c r="T337" s="47">
        <v>0</v>
      </c>
      <c r="U337" s="47">
        <v>0</v>
      </c>
      <c r="V337" s="47">
        <v>0</v>
      </c>
      <c r="W337" s="47">
        <v>0</v>
      </c>
      <c r="X337" s="47">
        <v>0</v>
      </c>
      <c r="Y337" s="47">
        <v>0</v>
      </c>
      <c r="Z337" s="47">
        <v>0</v>
      </c>
      <c r="AA337" s="47">
        <v>0</v>
      </c>
      <c r="AB337" s="47">
        <v>0</v>
      </c>
      <c r="AC337" s="47">
        <v>0</v>
      </c>
      <c r="AD337" s="47">
        <v>0</v>
      </c>
      <c r="AE337" s="47">
        <v>0</v>
      </c>
      <c r="AF337" s="47">
        <v>0</v>
      </c>
      <c r="AG337" s="47">
        <v>0</v>
      </c>
      <c r="AH337" s="47">
        <v>0</v>
      </c>
      <c r="AI337" s="47">
        <v>0</v>
      </c>
      <c r="AJ337" s="47">
        <v>0</v>
      </c>
      <c r="AK337" s="47">
        <v>0</v>
      </c>
      <c r="AL337" s="47">
        <v>0</v>
      </c>
      <c r="AM337" s="47">
        <v>0</v>
      </c>
      <c r="AN337" s="47">
        <v>0.8</v>
      </c>
      <c r="AO337" s="47">
        <v>0</v>
      </c>
      <c r="AP337" s="47">
        <v>0</v>
      </c>
      <c r="AQ337" s="47">
        <v>0</v>
      </c>
      <c r="AR337" s="47">
        <v>0</v>
      </c>
      <c r="AS337" s="47">
        <v>0</v>
      </c>
      <c r="AT337" s="47">
        <v>0</v>
      </c>
      <c r="AU337" s="47">
        <v>0</v>
      </c>
      <c r="AV337" s="47">
        <v>0</v>
      </c>
      <c r="AW337" s="47">
        <v>0</v>
      </c>
      <c r="AX337" s="47">
        <v>0</v>
      </c>
      <c r="AY337" s="47">
        <v>0</v>
      </c>
      <c r="AZ337" s="47">
        <v>0</v>
      </c>
      <c r="BA337" s="47">
        <v>0</v>
      </c>
      <c r="BB337" s="47">
        <v>0</v>
      </c>
      <c r="BC337" s="47">
        <v>0</v>
      </c>
      <c r="BD337" s="47">
        <v>0</v>
      </c>
      <c r="BE337" s="47">
        <v>0</v>
      </c>
      <c r="BF337" s="47">
        <v>0</v>
      </c>
      <c r="BG337" s="47">
        <v>0</v>
      </c>
      <c r="BH337" s="47">
        <v>0</v>
      </c>
      <c r="BI337" s="47">
        <v>0</v>
      </c>
      <c r="BJ337" s="47">
        <v>0</v>
      </c>
      <c r="BK337" s="47">
        <v>0</v>
      </c>
      <c r="BL337" s="47">
        <v>0</v>
      </c>
      <c r="BM337" s="47">
        <v>0</v>
      </c>
      <c r="BN337" s="47">
        <v>0</v>
      </c>
      <c r="BO337" s="47">
        <v>0</v>
      </c>
      <c r="BP337" s="47">
        <v>0</v>
      </c>
      <c r="BQ337" s="47">
        <v>0</v>
      </c>
      <c r="BR337" s="47">
        <v>0</v>
      </c>
      <c r="BS337" s="47">
        <v>0</v>
      </c>
      <c r="BT337" s="47">
        <v>0</v>
      </c>
      <c r="BU337" s="47">
        <v>0</v>
      </c>
      <c r="BV337" s="47">
        <v>0</v>
      </c>
      <c r="BW337" s="47">
        <v>0</v>
      </c>
      <c r="BX337" s="47">
        <v>0</v>
      </c>
      <c r="BY337" s="47">
        <v>0</v>
      </c>
      <c r="BZ337" s="47">
        <v>0</v>
      </c>
      <c r="CA337" s="47">
        <v>0</v>
      </c>
      <c r="CB337" s="47">
        <v>0</v>
      </c>
      <c r="CC337" s="47">
        <v>0</v>
      </c>
      <c r="CD337" s="47">
        <v>0</v>
      </c>
      <c r="CE337" s="47">
        <v>0</v>
      </c>
      <c r="CF337" s="47">
        <v>0</v>
      </c>
      <c r="CG337" s="47">
        <v>0</v>
      </c>
      <c r="CH337" s="47">
        <v>0</v>
      </c>
      <c r="CI337" s="47">
        <v>0</v>
      </c>
      <c r="CJ337" s="47">
        <v>0</v>
      </c>
      <c r="CK337" s="47">
        <v>0</v>
      </c>
      <c r="CL337" s="47">
        <v>0</v>
      </c>
      <c r="CM337" s="47">
        <v>0</v>
      </c>
      <c r="CN337" s="47">
        <v>0</v>
      </c>
      <c r="CO337" s="47">
        <v>0</v>
      </c>
      <c r="CP337" s="47">
        <v>0</v>
      </c>
      <c r="CQ337" s="47">
        <v>0</v>
      </c>
      <c r="CR337" s="47">
        <v>0</v>
      </c>
      <c r="CS337" s="47">
        <v>0</v>
      </c>
      <c r="CT337" s="47">
        <v>0</v>
      </c>
      <c r="CU337" s="47">
        <v>0</v>
      </c>
      <c r="CV337" s="47">
        <v>0</v>
      </c>
      <c r="CW337" s="47">
        <v>0</v>
      </c>
      <c r="CX337" s="47">
        <v>0</v>
      </c>
      <c r="CY337" s="47">
        <v>0</v>
      </c>
      <c r="CZ337" s="47">
        <v>0</v>
      </c>
      <c r="DA337" s="47">
        <v>0</v>
      </c>
      <c r="DB337" s="47">
        <v>0</v>
      </c>
      <c r="DC337" s="47">
        <v>0</v>
      </c>
      <c r="DD337" s="47">
        <v>0</v>
      </c>
      <c r="DE337" s="47">
        <v>0</v>
      </c>
      <c r="DF337" s="47">
        <v>0</v>
      </c>
      <c r="DG337" s="47">
        <v>0</v>
      </c>
      <c r="DH337" s="47">
        <v>0</v>
      </c>
      <c r="DI337" s="47">
        <v>0</v>
      </c>
      <c r="DJ337" s="47">
        <v>0</v>
      </c>
      <c r="DK337" s="47">
        <v>0</v>
      </c>
      <c r="DL337" s="47">
        <v>0</v>
      </c>
      <c r="DM337" s="47">
        <v>0</v>
      </c>
      <c r="DN337" s="47">
        <v>0</v>
      </c>
      <c r="DO337" s="47">
        <v>0</v>
      </c>
      <c r="DP337" s="47">
        <v>0</v>
      </c>
      <c r="DQ337" s="47">
        <v>0</v>
      </c>
      <c r="DR337" s="47">
        <v>0</v>
      </c>
      <c r="DS337" s="47">
        <v>0</v>
      </c>
      <c r="DT337" s="47">
        <v>0</v>
      </c>
    </row>
    <row r="338" spans="1:126" x14ac:dyDescent="0.25">
      <c r="A338" s="47" t="s">
        <v>1651</v>
      </c>
      <c r="B338" s="47" t="s">
        <v>153</v>
      </c>
      <c r="C338" s="47" t="s">
        <v>1652</v>
      </c>
      <c r="D338" s="47" t="s">
        <v>1653</v>
      </c>
      <c r="E338" s="47" t="s">
        <v>1654</v>
      </c>
      <c r="F338" s="47" t="s">
        <v>698</v>
      </c>
      <c r="G338" s="47" t="s">
        <v>705</v>
      </c>
      <c r="H338" s="47" t="str">
        <f>=IFERROR(VLOOKUP(A338,'ETPT Format DDG'!A:J,10,FALSE),"")</f>
        <v>0</v>
      </c>
      <c r="I338" s="47" t="str">
        <f>='ETPT Format DDG'!M338</f>
        <v/>
      </c>
      <c r="J338" s="47" t="str">
        <f>='ETPT Format DDG'!D338</f>
        <v/>
      </c>
      <c r="K338" s="47" t="s">
        <v>157</v>
      </c>
      <c r="L338" s="47" t="s">
        <v>1655</v>
      </c>
      <c r="M338" s="47"/>
      <c r="N338" s="47">
        <v>0.8</v>
      </c>
      <c r="O338" s="47">
        <v>0</v>
      </c>
      <c r="P338" s="47">
        <v>0</v>
      </c>
      <c r="Q338" s="47">
        <v>0</v>
      </c>
      <c r="R338" s="47">
        <v>0</v>
      </c>
      <c r="S338" s="47">
        <v>0</v>
      </c>
      <c r="T338" s="47">
        <v>0</v>
      </c>
      <c r="U338" s="47">
        <v>0</v>
      </c>
      <c r="V338" s="47">
        <v>0</v>
      </c>
      <c r="W338" s="47">
        <v>0</v>
      </c>
      <c r="X338" s="47">
        <v>0</v>
      </c>
      <c r="Y338" s="47">
        <v>0</v>
      </c>
      <c r="Z338" s="47">
        <v>0</v>
      </c>
      <c r="AA338" s="47">
        <v>0</v>
      </c>
      <c r="AB338" s="47">
        <v>0</v>
      </c>
      <c r="AC338" s="47">
        <v>0</v>
      </c>
      <c r="AD338" s="47">
        <v>0</v>
      </c>
      <c r="AE338" s="47">
        <v>0</v>
      </c>
      <c r="AF338" s="47">
        <v>0</v>
      </c>
      <c r="AG338" s="47">
        <v>0</v>
      </c>
      <c r="AH338" s="47">
        <v>0</v>
      </c>
      <c r="AI338" s="47">
        <v>0</v>
      </c>
      <c r="AJ338" s="47">
        <v>0</v>
      </c>
      <c r="AK338" s="47">
        <v>0</v>
      </c>
      <c r="AL338" s="47">
        <v>0</v>
      </c>
      <c r="AM338" s="47">
        <v>0</v>
      </c>
      <c r="AN338" s="47">
        <v>0</v>
      </c>
      <c r="AO338" s="47">
        <v>0</v>
      </c>
      <c r="AP338" s="47">
        <v>0</v>
      </c>
      <c r="AQ338" s="47">
        <v>0</v>
      </c>
      <c r="AR338" s="47">
        <v>0</v>
      </c>
      <c r="AS338" s="47">
        <v>0</v>
      </c>
      <c r="AT338" s="47">
        <v>0</v>
      </c>
      <c r="AU338" s="47">
        <v>0</v>
      </c>
      <c r="AV338" s="47">
        <v>0</v>
      </c>
      <c r="AW338" s="47">
        <v>0</v>
      </c>
      <c r="AX338" s="47">
        <v>0</v>
      </c>
      <c r="AY338" s="47">
        <v>0</v>
      </c>
      <c r="AZ338" s="47">
        <v>0</v>
      </c>
      <c r="BA338" s="47">
        <v>0</v>
      </c>
      <c r="BB338" s="47">
        <v>0</v>
      </c>
      <c r="BC338" s="47">
        <v>0</v>
      </c>
      <c r="BD338" s="47">
        <v>0</v>
      </c>
      <c r="BE338" s="47">
        <v>0</v>
      </c>
      <c r="BF338" s="47">
        <v>0</v>
      </c>
      <c r="BG338" s="47">
        <v>0</v>
      </c>
      <c r="BH338" s="47">
        <v>0</v>
      </c>
      <c r="BI338" s="47">
        <v>0</v>
      </c>
      <c r="BJ338" s="47">
        <v>0</v>
      </c>
      <c r="BK338" s="47">
        <v>0</v>
      </c>
      <c r="BL338" s="47">
        <v>0</v>
      </c>
      <c r="BM338" s="47">
        <v>0</v>
      </c>
      <c r="BN338" s="47">
        <v>0</v>
      </c>
      <c r="BO338" s="47">
        <v>0</v>
      </c>
      <c r="BP338" s="47">
        <v>0</v>
      </c>
      <c r="BQ338" s="47">
        <v>0</v>
      </c>
      <c r="BR338" s="47">
        <v>0</v>
      </c>
      <c r="BS338" s="47">
        <v>0</v>
      </c>
      <c r="BT338" s="47">
        <v>0</v>
      </c>
      <c r="BU338" s="47">
        <v>0</v>
      </c>
      <c r="BV338" s="47">
        <v>0</v>
      </c>
      <c r="BW338" s="47">
        <v>0</v>
      </c>
      <c r="BX338" s="47">
        <v>0</v>
      </c>
      <c r="BY338" s="47">
        <v>0</v>
      </c>
      <c r="BZ338" s="47">
        <v>0</v>
      </c>
      <c r="CA338" s="47">
        <v>0</v>
      </c>
      <c r="CB338" s="47">
        <v>0</v>
      </c>
      <c r="CC338" s="47">
        <v>0</v>
      </c>
      <c r="CD338" s="47">
        <v>0</v>
      </c>
      <c r="CE338" s="47">
        <v>0</v>
      </c>
      <c r="CF338" s="47">
        <v>0</v>
      </c>
      <c r="CG338" s="47">
        <v>0</v>
      </c>
      <c r="CH338" s="47">
        <v>0</v>
      </c>
      <c r="CI338" s="47">
        <v>0</v>
      </c>
      <c r="CJ338" s="47">
        <v>0</v>
      </c>
      <c r="CK338" s="47">
        <v>0</v>
      </c>
      <c r="CL338" s="47">
        <v>0</v>
      </c>
      <c r="CM338" s="47">
        <v>0</v>
      </c>
      <c r="CN338" s="47">
        <v>0</v>
      </c>
      <c r="CO338" s="47">
        <v>0</v>
      </c>
      <c r="CP338" s="47">
        <v>0</v>
      </c>
      <c r="CQ338" s="47">
        <v>0</v>
      </c>
      <c r="CR338" s="47">
        <v>0</v>
      </c>
      <c r="CS338" s="47">
        <v>0</v>
      </c>
      <c r="CT338" s="47">
        <v>0</v>
      </c>
      <c r="CU338" s="47">
        <v>0</v>
      </c>
      <c r="CV338" s="47">
        <v>0</v>
      </c>
      <c r="CW338" s="47">
        <v>0</v>
      </c>
      <c r="CX338" s="47">
        <v>0</v>
      </c>
      <c r="CY338" s="47">
        <v>0</v>
      </c>
      <c r="CZ338" s="47">
        <v>0</v>
      </c>
      <c r="DA338" s="47">
        <v>0</v>
      </c>
      <c r="DB338" s="47">
        <v>0</v>
      </c>
      <c r="DC338" s="47">
        <v>0</v>
      </c>
      <c r="DD338" s="47">
        <v>0</v>
      </c>
      <c r="DE338" s="47">
        <v>0</v>
      </c>
      <c r="DF338" s="47">
        <v>0</v>
      </c>
      <c r="DG338" s="47">
        <v>0</v>
      </c>
      <c r="DH338" s="47">
        <v>0</v>
      </c>
      <c r="DI338" s="47">
        <v>0</v>
      </c>
      <c r="DJ338" s="47">
        <v>0</v>
      </c>
      <c r="DK338" s="47">
        <v>0</v>
      </c>
      <c r="DL338" s="47">
        <v>0</v>
      </c>
      <c r="DM338" s="47">
        <v>0</v>
      </c>
      <c r="DN338" s="47">
        <v>0</v>
      </c>
      <c r="DO338" s="47">
        <v>0</v>
      </c>
      <c r="DP338" s="47">
        <v>0</v>
      </c>
      <c r="DQ338" s="47">
        <v>0</v>
      </c>
      <c r="DR338" s="47">
        <v>0</v>
      </c>
      <c r="DS338" s="47">
        <v>0</v>
      </c>
      <c r="DT338" s="47">
        <v>0</v>
      </c>
    </row>
    <row r="339" spans="1:126" x14ac:dyDescent="0.25">
      <c r="A339" s="47" t="s">
        <v>1656</v>
      </c>
      <c r="B339" s="47" t="s">
        <v>153</v>
      </c>
      <c r="C339" s="47" t="s">
        <v>1657</v>
      </c>
      <c r="D339" s="47" t="s">
        <v>1658</v>
      </c>
      <c r="E339" s="47" t="s">
        <v>1659</v>
      </c>
      <c r="F339" s="47" t="s">
        <v>698</v>
      </c>
      <c r="G339" s="47" t="s">
        <v>727</v>
      </c>
      <c r="H339" s="47" t="str">
        <f>=IFERROR(VLOOKUP(A339,'ETPT Format DDG'!A:J,10,FALSE),"")</f>
        <v>0</v>
      </c>
      <c r="I339" s="47" t="str">
        <f>='ETPT Format DDG'!M339</f>
        <v/>
      </c>
      <c r="J339" s="47" t="str">
        <f>='ETPT Format DDG'!D339</f>
        <v/>
      </c>
      <c r="K339" s="47" t="s">
        <v>157</v>
      </c>
      <c r="L339" s="47" t="s">
        <v>1660</v>
      </c>
      <c r="M339" s="47"/>
      <c r="N339" s="47">
        <v>1</v>
      </c>
      <c r="O339" s="47">
        <v>0</v>
      </c>
      <c r="P339" s="47">
        <v>0</v>
      </c>
      <c r="Q339" s="47">
        <v>0</v>
      </c>
      <c r="R339" s="47">
        <v>0</v>
      </c>
      <c r="S339" s="47">
        <v>0</v>
      </c>
      <c r="T339" s="47">
        <v>0</v>
      </c>
      <c r="U339" s="47">
        <v>0</v>
      </c>
      <c r="V339" s="47">
        <v>0</v>
      </c>
      <c r="W339" s="47">
        <v>0</v>
      </c>
      <c r="X339" s="47">
        <v>0</v>
      </c>
      <c r="Y339" s="47">
        <v>0</v>
      </c>
      <c r="Z339" s="47">
        <v>0</v>
      </c>
      <c r="AA339" s="47">
        <v>0</v>
      </c>
      <c r="AB339" s="47">
        <v>0</v>
      </c>
      <c r="AC339" s="47">
        <v>0</v>
      </c>
      <c r="AD339" s="47">
        <v>0</v>
      </c>
      <c r="AE339" s="47">
        <v>0</v>
      </c>
      <c r="AF339" s="47">
        <v>0</v>
      </c>
      <c r="AG339" s="47">
        <v>0</v>
      </c>
      <c r="AH339" s="47">
        <v>0</v>
      </c>
      <c r="AI339" s="47">
        <v>0</v>
      </c>
      <c r="AJ339" s="47">
        <v>0</v>
      </c>
      <c r="AK339" s="47">
        <v>0</v>
      </c>
      <c r="AL339" s="47">
        <v>0</v>
      </c>
      <c r="AM339" s="47">
        <v>0</v>
      </c>
      <c r="AN339" s="47">
        <v>0</v>
      </c>
      <c r="AO339" s="47">
        <v>0</v>
      </c>
      <c r="AP339" s="47">
        <v>0</v>
      </c>
      <c r="AQ339" s="47">
        <v>0</v>
      </c>
      <c r="AR339" s="47">
        <v>0</v>
      </c>
      <c r="AS339" s="47">
        <v>0</v>
      </c>
      <c r="AT339" s="47">
        <v>0</v>
      </c>
      <c r="AU339" s="47">
        <v>0</v>
      </c>
      <c r="AV339" s="47">
        <v>0</v>
      </c>
      <c r="AW339" s="47">
        <v>0</v>
      </c>
      <c r="AX339" s="47">
        <v>0</v>
      </c>
      <c r="AY339" s="47">
        <v>0</v>
      </c>
      <c r="AZ339" s="47">
        <v>0</v>
      </c>
      <c r="BA339" s="47">
        <v>0</v>
      </c>
      <c r="BB339" s="47">
        <v>0</v>
      </c>
      <c r="BC339" s="47">
        <v>0</v>
      </c>
      <c r="BD339" s="47">
        <v>0</v>
      </c>
      <c r="BE339" s="47">
        <v>0</v>
      </c>
      <c r="BF339" s="47">
        <v>0</v>
      </c>
      <c r="BG339" s="47">
        <v>0</v>
      </c>
      <c r="BH339" s="47">
        <v>0</v>
      </c>
      <c r="BI339" s="47">
        <v>0</v>
      </c>
      <c r="BJ339" s="47">
        <v>0</v>
      </c>
      <c r="BK339" s="47">
        <v>0</v>
      </c>
      <c r="BL339" s="47">
        <v>0</v>
      </c>
      <c r="BM339" s="47">
        <v>0</v>
      </c>
      <c r="BN339" s="47">
        <v>0</v>
      </c>
      <c r="BO339" s="47">
        <v>0</v>
      </c>
      <c r="BP339" s="47">
        <v>0</v>
      </c>
      <c r="BQ339" s="47">
        <v>0</v>
      </c>
      <c r="BR339" s="47">
        <v>0</v>
      </c>
      <c r="BS339" s="47">
        <v>0</v>
      </c>
      <c r="BT339" s="47">
        <v>0</v>
      </c>
      <c r="BU339" s="47">
        <v>0</v>
      </c>
      <c r="BV339" s="47">
        <v>0</v>
      </c>
      <c r="BW339" s="47">
        <v>0</v>
      </c>
      <c r="BX339" s="47">
        <v>0</v>
      </c>
      <c r="BY339" s="47">
        <v>0</v>
      </c>
      <c r="BZ339" s="47">
        <v>0</v>
      </c>
      <c r="CA339" s="47">
        <v>0</v>
      </c>
      <c r="CB339" s="47">
        <v>0</v>
      </c>
      <c r="CC339" s="47">
        <v>0</v>
      </c>
      <c r="CD339" s="47">
        <v>0</v>
      </c>
      <c r="CE339" s="47">
        <v>0</v>
      </c>
      <c r="CF339" s="47">
        <v>0</v>
      </c>
      <c r="CG339" s="47">
        <v>0</v>
      </c>
      <c r="CH339" s="47">
        <v>0</v>
      </c>
      <c r="CI339" s="47">
        <v>0</v>
      </c>
      <c r="CJ339" s="47">
        <v>0</v>
      </c>
      <c r="CK339" s="47">
        <v>0</v>
      </c>
      <c r="CL339" s="47">
        <v>0</v>
      </c>
      <c r="CM339" s="47">
        <v>0</v>
      </c>
      <c r="CN339" s="47">
        <v>0</v>
      </c>
      <c r="CO339" s="47">
        <v>0</v>
      </c>
      <c r="CP339" s="47">
        <v>0</v>
      </c>
      <c r="CQ339" s="47">
        <v>0</v>
      </c>
      <c r="CR339" s="47">
        <v>0</v>
      </c>
      <c r="CS339" s="47">
        <v>0</v>
      </c>
      <c r="CT339" s="47">
        <v>0</v>
      </c>
      <c r="CU339" s="47">
        <v>0</v>
      </c>
      <c r="CV339" s="47">
        <v>0</v>
      </c>
      <c r="CW339" s="47">
        <v>0</v>
      </c>
      <c r="CX339" s="47">
        <v>0</v>
      </c>
      <c r="CY339" s="47">
        <v>0</v>
      </c>
      <c r="CZ339" s="47">
        <v>0</v>
      </c>
      <c r="DA339" s="47">
        <v>0</v>
      </c>
      <c r="DB339" s="47">
        <v>0</v>
      </c>
      <c r="DC339" s="47">
        <v>0</v>
      </c>
      <c r="DD339" s="47">
        <v>0</v>
      </c>
      <c r="DE339" s="47">
        <v>0</v>
      </c>
      <c r="DF339" s="47">
        <v>0</v>
      </c>
      <c r="DG339" s="47">
        <v>0</v>
      </c>
      <c r="DH339" s="47">
        <v>0</v>
      </c>
      <c r="DI339" s="47">
        <v>0</v>
      </c>
      <c r="DJ339" s="47">
        <v>0</v>
      </c>
      <c r="DK339" s="47">
        <v>0</v>
      </c>
      <c r="DL339" s="47">
        <v>0</v>
      </c>
      <c r="DM339" s="47">
        <v>0</v>
      </c>
      <c r="DN339" s="47">
        <v>0</v>
      </c>
      <c r="DO339" s="47">
        <v>0</v>
      </c>
      <c r="DP339" s="47">
        <v>0</v>
      </c>
      <c r="DQ339" s="47">
        <v>0</v>
      </c>
      <c r="DR339" s="47">
        <v>0</v>
      </c>
      <c r="DS339" s="47">
        <v>0</v>
      </c>
      <c r="DT339" s="47">
        <v>0</v>
      </c>
    </row>
    <row r="340" spans="1:126" x14ac:dyDescent="0.25">
      <c r="A340" s="47" t="s">
        <v>1661</v>
      </c>
      <c r="B340" s="47" t="s">
        <v>153</v>
      </c>
      <c r="C340" s="47" t="s">
        <v>1662</v>
      </c>
      <c r="D340" s="47" t="s">
        <v>1663</v>
      </c>
      <c r="E340" s="47" t="s">
        <v>1664</v>
      </c>
      <c r="F340" s="47" t="s">
        <v>698</v>
      </c>
      <c r="G340" s="47" t="s">
        <v>705</v>
      </c>
      <c r="H340" s="47" t="str">
        <f>=IFERROR(VLOOKUP(A340,'ETPT Format DDG'!A:J,10,FALSE),"")</f>
        <v>0</v>
      </c>
      <c r="I340" s="47" t="str">
        <f>='ETPT Format DDG'!M340</f>
        <v/>
      </c>
      <c r="J340" s="47" t="str">
        <f>='ETPT Format DDG'!D340</f>
        <v/>
      </c>
      <c r="K340" s="47" t="s">
        <v>157</v>
      </c>
      <c r="L340" s="47" t="s">
        <v>1071</v>
      </c>
      <c r="M340" s="47"/>
      <c r="N340" s="47">
        <v>1</v>
      </c>
      <c r="O340" s="47">
        <v>1</v>
      </c>
      <c r="P340" s="47">
        <v>0</v>
      </c>
      <c r="Q340" s="47">
        <v>0</v>
      </c>
      <c r="R340" s="47">
        <v>0</v>
      </c>
      <c r="S340" s="47">
        <v>0</v>
      </c>
      <c r="T340" s="47">
        <v>0</v>
      </c>
      <c r="U340" s="47">
        <v>0</v>
      </c>
      <c r="V340" s="47">
        <v>0</v>
      </c>
      <c r="W340" s="47">
        <v>0</v>
      </c>
      <c r="X340" s="47">
        <v>0</v>
      </c>
      <c r="Y340" s="47">
        <v>0</v>
      </c>
      <c r="Z340" s="47">
        <v>0</v>
      </c>
      <c r="AA340" s="47">
        <v>0</v>
      </c>
      <c r="AB340" s="47">
        <v>0</v>
      </c>
      <c r="AC340" s="47">
        <v>0</v>
      </c>
      <c r="AD340" s="47">
        <v>0</v>
      </c>
      <c r="AE340" s="47">
        <v>0</v>
      </c>
      <c r="AF340" s="47">
        <v>0</v>
      </c>
      <c r="AG340" s="47">
        <v>0</v>
      </c>
      <c r="AH340" s="47">
        <v>0</v>
      </c>
      <c r="AI340" s="47">
        <v>0</v>
      </c>
      <c r="AJ340" s="47">
        <v>0</v>
      </c>
      <c r="AK340" s="47">
        <v>0</v>
      </c>
      <c r="AL340" s="47">
        <v>0</v>
      </c>
      <c r="AM340" s="47">
        <v>0</v>
      </c>
      <c r="AN340" s="47">
        <v>0</v>
      </c>
      <c r="AO340" s="47">
        <v>0</v>
      </c>
      <c r="AP340" s="47">
        <v>0</v>
      </c>
      <c r="AQ340" s="47">
        <v>0</v>
      </c>
      <c r="AR340" s="47">
        <v>0</v>
      </c>
      <c r="AS340" s="47">
        <v>0</v>
      </c>
      <c r="AT340" s="47">
        <v>0</v>
      </c>
      <c r="AU340" s="47">
        <v>0</v>
      </c>
      <c r="AV340" s="47">
        <v>0</v>
      </c>
      <c r="AW340" s="47">
        <v>0</v>
      </c>
      <c r="AX340" s="47">
        <v>0</v>
      </c>
      <c r="AY340" s="47">
        <v>0</v>
      </c>
      <c r="AZ340" s="47">
        <v>0</v>
      </c>
      <c r="BA340" s="47">
        <v>0</v>
      </c>
      <c r="BB340" s="47">
        <v>0</v>
      </c>
      <c r="BC340" s="47">
        <v>0</v>
      </c>
      <c r="BD340" s="47">
        <v>0</v>
      </c>
      <c r="BE340" s="47">
        <v>0</v>
      </c>
      <c r="BF340" s="47">
        <v>0</v>
      </c>
      <c r="BG340" s="47">
        <v>0</v>
      </c>
      <c r="BH340" s="47">
        <v>0</v>
      </c>
      <c r="BI340" s="47">
        <v>0</v>
      </c>
      <c r="BJ340" s="47">
        <v>0</v>
      </c>
      <c r="BK340" s="47">
        <v>0</v>
      </c>
      <c r="BL340" s="47">
        <v>0</v>
      </c>
      <c r="BM340" s="47">
        <v>0</v>
      </c>
      <c r="BN340" s="47">
        <v>0</v>
      </c>
      <c r="BO340" s="47">
        <v>1</v>
      </c>
      <c r="BP340" s="47">
        <v>0</v>
      </c>
      <c r="BQ340" s="47">
        <v>0</v>
      </c>
      <c r="BR340" s="47">
        <v>0</v>
      </c>
      <c r="BS340" s="47">
        <v>0</v>
      </c>
      <c r="BT340" s="47">
        <v>0.3</v>
      </c>
      <c r="BU340" s="47">
        <v>0.3</v>
      </c>
      <c r="BV340" s="47">
        <v>0</v>
      </c>
      <c r="BW340" s="47">
        <v>0</v>
      </c>
      <c r="BX340" s="47">
        <v>0.4</v>
      </c>
      <c r="BY340" s="47">
        <v>0</v>
      </c>
      <c r="BZ340" s="47">
        <v>0</v>
      </c>
      <c r="CA340" s="47">
        <v>0</v>
      </c>
      <c r="CB340" s="47">
        <v>0</v>
      </c>
      <c r="CC340" s="47">
        <v>0</v>
      </c>
      <c r="CD340" s="47">
        <v>0</v>
      </c>
      <c r="CE340" s="47">
        <v>0</v>
      </c>
      <c r="CF340" s="47">
        <v>0</v>
      </c>
      <c r="CG340" s="47">
        <v>0</v>
      </c>
      <c r="CH340" s="47">
        <v>0</v>
      </c>
      <c r="CI340" s="47">
        <v>0</v>
      </c>
      <c r="CJ340" s="47">
        <v>0</v>
      </c>
      <c r="CK340" s="47">
        <v>0</v>
      </c>
      <c r="CL340" s="47">
        <v>0</v>
      </c>
      <c r="CM340" s="47">
        <v>0</v>
      </c>
      <c r="CN340" s="47">
        <v>0</v>
      </c>
      <c r="CO340" s="47">
        <v>0</v>
      </c>
      <c r="CP340" s="47">
        <v>0</v>
      </c>
      <c r="CQ340" s="47">
        <v>0</v>
      </c>
      <c r="CR340" s="47">
        <v>0</v>
      </c>
      <c r="CS340" s="47">
        <v>0</v>
      </c>
      <c r="CT340" s="47">
        <v>0</v>
      </c>
      <c r="CU340" s="47">
        <v>0</v>
      </c>
      <c r="CV340" s="47">
        <v>0</v>
      </c>
      <c r="CW340" s="47">
        <v>0</v>
      </c>
      <c r="CX340" s="47">
        <v>0</v>
      </c>
      <c r="CY340" s="47">
        <v>0</v>
      </c>
      <c r="CZ340" s="47">
        <v>0</v>
      </c>
      <c r="DA340" s="47">
        <v>0</v>
      </c>
      <c r="DB340" s="47">
        <v>0</v>
      </c>
      <c r="DC340" s="47">
        <v>0</v>
      </c>
      <c r="DD340" s="47">
        <v>0</v>
      </c>
      <c r="DE340" s="47">
        <v>0</v>
      </c>
      <c r="DF340" s="47">
        <v>0</v>
      </c>
      <c r="DG340" s="47">
        <v>0</v>
      </c>
      <c r="DH340" s="47">
        <v>0</v>
      </c>
      <c r="DI340" s="47">
        <v>0</v>
      </c>
      <c r="DJ340" s="47">
        <v>0</v>
      </c>
      <c r="DK340" s="47">
        <v>0</v>
      </c>
      <c r="DL340" s="47">
        <v>0</v>
      </c>
      <c r="DM340" s="47">
        <v>0</v>
      </c>
      <c r="DN340" s="47">
        <v>0</v>
      </c>
      <c r="DO340" s="47">
        <v>0</v>
      </c>
      <c r="DP340" s="47">
        <v>0</v>
      </c>
      <c r="DQ340" s="47">
        <v>0</v>
      </c>
      <c r="DR340" s="47">
        <v>0</v>
      </c>
      <c r="DS340" s="47">
        <v>0</v>
      </c>
      <c r="DT340" s="47">
        <v>0</v>
      </c>
    </row>
    <row r="341" spans="1:126" x14ac:dyDescent="0.25">
      <c r="A341" s="47" t="s">
        <v>1665</v>
      </c>
      <c r="B341" s="47" t="s">
        <v>153</v>
      </c>
      <c r="C341" s="47" t="s">
        <v>1666</v>
      </c>
      <c r="D341" s="47" t="s">
        <v>1667</v>
      </c>
      <c r="E341" s="47" t="s">
        <v>1668</v>
      </c>
      <c r="F341" s="47" t="s">
        <v>698</v>
      </c>
      <c r="G341" s="47" t="s">
        <v>705</v>
      </c>
      <c r="H341" s="47" t="str">
        <f>=IFERROR(VLOOKUP(A341,'ETPT Format DDG'!A:J,10,FALSE),"")</f>
        <v>0</v>
      </c>
      <c r="I341" s="47" t="str">
        <f>='ETPT Format DDG'!M341</f>
        <v/>
      </c>
      <c r="J341" s="47" t="str">
        <f>='ETPT Format DDG'!D341</f>
        <v/>
      </c>
      <c r="K341" s="47" t="s">
        <v>157</v>
      </c>
      <c r="L341" s="47" t="s">
        <v>916</v>
      </c>
      <c r="M341" s="47"/>
      <c r="N341" s="47">
        <v>0.8</v>
      </c>
      <c r="O341" s="47">
        <v>0</v>
      </c>
      <c r="P341" s="47">
        <v>0</v>
      </c>
      <c r="Q341" s="47">
        <v>0</v>
      </c>
      <c r="R341" s="47">
        <v>0</v>
      </c>
      <c r="S341" s="47">
        <v>0</v>
      </c>
      <c r="T341" s="47">
        <v>0</v>
      </c>
      <c r="U341" s="47">
        <v>0</v>
      </c>
      <c r="V341" s="47">
        <v>0</v>
      </c>
      <c r="W341" s="47">
        <v>0</v>
      </c>
      <c r="X341" s="47">
        <v>0</v>
      </c>
      <c r="Y341" s="47">
        <v>0</v>
      </c>
      <c r="Z341" s="47">
        <v>0</v>
      </c>
      <c r="AA341" s="47">
        <v>0</v>
      </c>
      <c r="AB341" s="47">
        <v>0</v>
      </c>
      <c r="AC341" s="47">
        <v>0</v>
      </c>
      <c r="AD341" s="47">
        <v>0</v>
      </c>
      <c r="AE341" s="47">
        <v>0</v>
      </c>
      <c r="AF341" s="47">
        <v>0</v>
      </c>
      <c r="AG341" s="47">
        <v>0</v>
      </c>
      <c r="AH341" s="47">
        <v>0</v>
      </c>
      <c r="AI341" s="47">
        <v>0</v>
      </c>
      <c r="AJ341" s="47">
        <v>0</v>
      </c>
      <c r="AK341" s="47">
        <v>0</v>
      </c>
      <c r="AL341" s="47">
        <v>0</v>
      </c>
      <c r="AM341" s="47">
        <v>0</v>
      </c>
      <c r="AN341" s="47">
        <v>0</v>
      </c>
      <c r="AO341" s="47">
        <v>0</v>
      </c>
      <c r="AP341" s="47">
        <v>0</v>
      </c>
      <c r="AQ341" s="47">
        <v>0</v>
      </c>
      <c r="AR341" s="47">
        <v>0</v>
      </c>
      <c r="AS341" s="47">
        <v>0</v>
      </c>
      <c r="AT341" s="47">
        <v>0</v>
      </c>
      <c r="AU341" s="47">
        <v>0</v>
      </c>
      <c r="AV341" s="47">
        <v>0</v>
      </c>
      <c r="AW341" s="47">
        <v>0</v>
      </c>
      <c r="AX341" s="47">
        <v>0</v>
      </c>
      <c r="AY341" s="47">
        <v>0</v>
      </c>
      <c r="AZ341" s="47">
        <v>0</v>
      </c>
      <c r="BA341" s="47">
        <v>0</v>
      </c>
      <c r="BB341" s="47">
        <v>0</v>
      </c>
      <c r="BC341" s="47">
        <v>0</v>
      </c>
      <c r="BD341" s="47">
        <v>0</v>
      </c>
      <c r="BE341" s="47">
        <v>0</v>
      </c>
      <c r="BF341" s="47">
        <v>0</v>
      </c>
      <c r="BG341" s="47">
        <v>0</v>
      </c>
      <c r="BH341" s="47">
        <v>0</v>
      </c>
      <c r="BI341" s="47">
        <v>0</v>
      </c>
      <c r="BJ341" s="47">
        <v>0</v>
      </c>
      <c r="BK341" s="47">
        <v>0</v>
      </c>
      <c r="BL341" s="47">
        <v>0</v>
      </c>
      <c r="BM341" s="47">
        <v>0</v>
      </c>
      <c r="BN341" s="47">
        <v>0</v>
      </c>
      <c r="BO341" s="47">
        <v>0</v>
      </c>
      <c r="BP341" s="47">
        <v>0</v>
      </c>
      <c r="BQ341" s="47">
        <v>0</v>
      </c>
      <c r="BR341" s="47">
        <v>0</v>
      </c>
      <c r="BS341" s="47">
        <v>0</v>
      </c>
      <c r="BT341" s="47">
        <v>0</v>
      </c>
      <c r="BU341" s="47">
        <v>0</v>
      </c>
      <c r="BV341" s="47">
        <v>0</v>
      </c>
      <c r="BW341" s="47">
        <v>0</v>
      </c>
      <c r="BX341" s="47">
        <v>0</v>
      </c>
      <c r="BY341" s="47">
        <v>0</v>
      </c>
      <c r="BZ341" s="47">
        <v>0</v>
      </c>
      <c r="CA341" s="47">
        <v>0</v>
      </c>
      <c r="CB341" s="47">
        <v>0</v>
      </c>
      <c r="CC341" s="47">
        <v>0</v>
      </c>
      <c r="CD341" s="47">
        <v>0</v>
      </c>
      <c r="CE341" s="47">
        <v>0</v>
      </c>
      <c r="CF341" s="47">
        <v>0</v>
      </c>
      <c r="CG341" s="47">
        <v>0</v>
      </c>
      <c r="CH341" s="47">
        <v>0</v>
      </c>
      <c r="CI341" s="47">
        <v>0</v>
      </c>
      <c r="CJ341" s="47">
        <v>0</v>
      </c>
      <c r="CK341" s="47">
        <v>0</v>
      </c>
      <c r="CL341" s="47">
        <v>0</v>
      </c>
      <c r="CM341" s="47">
        <v>0</v>
      </c>
      <c r="CN341" s="47">
        <v>0</v>
      </c>
      <c r="CO341" s="47">
        <v>0</v>
      </c>
      <c r="CP341" s="47">
        <v>0</v>
      </c>
      <c r="CQ341" s="47">
        <v>0</v>
      </c>
      <c r="CR341" s="47">
        <v>0</v>
      </c>
      <c r="CS341" s="47">
        <v>0</v>
      </c>
      <c r="CT341" s="47">
        <v>0</v>
      </c>
      <c r="CU341" s="47">
        <v>0</v>
      </c>
      <c r="CV341" s="47">
        <v>0</v>
      </c>
      <c r="CW341" s="47">
        <v>0</v>
      </c>
      <c r="CX341" s="47">
        <v>0</v>
      </c>
      <c r="CY341" s="47">
        <v>0</v>
      </c>
      <c r="CZ341" s="47">
        <v>0</v>
      </c>
      <c r="DA341" s="47">
        <v>0</v>
      </c>
      <c r="DB341" s="47">
        <v>0</v>
      </c>
      <c r="DC341" s="47">
        <v>0</v>
      </c>
      <c r="DD341" s="47">
        <v>0</v>
      </c>
      <c r="DE341" s="47">
        <v>0</v>
      </c>
      <c r="DF341" s="47">
        <v>0</v>
      </c>
      <c r="DG341" s="47">
        <v>0</v>
      </c>
      <c r="DH341" s="47">
        <v>0</v>
      </c>
      <c r="DI341" s="47">
        <v>0</v>
      </c>
      <c r="DJ341" s="47">
        <v>0</v>
      </c>
      <c r="DK341" s="47">
        <v>0</v>
      </c>
      <c r="DL341" s="47">
        <v>0</v>
      </c>
      <c r="DM341" s="47">
        <v>0</v>
      </c>
      <c r="DN341" s="47">
        <v>0</v>
      </c>
      <c r="DO341" s="47">
        <v>0</v>
      </c>
      <c r="DP341" s="47">
        <v>0</v>
      </c>
      <c r="DQ341" s="47">
        <v>0</v>
      </c>
      <c r="DR341" s="47">
        <v>0</v>
      </c>
      <c r="DS341" s="47">
        <v>0</v>
      </c>
      <c r="DT341" s="47">
        <v>0</v>
      </c>
    </row>
    <row r="342" spans="1:126" x14ac:dyDescent="0.25">
      <c r="A342" s="47" t="s">
        <v>1669</v>
      </c>
      <c r="B342" s="47" t="s">
        <v>153</v>
      </c>
      <c r="C342" s="47" t="s">
        <v>1670</v>
      </c>
      <c r="D342" s="47" t="s">
        <v>1671</v>
      </c>
      <c r="E342" s="47" t="s">
        <v>1672</v>
      </c>
      <c r="F342" s="47" t="s">
        <v>698</v>
      </c>
      <c r="G342" s="47" t="s">
        <v>705</v>
      </c>
      <c r="H342" s="47" t="str">
        <f>=IFERROR(VLOOKUP(A342,'ETPT Format DDG'!A:J,10,FALSE),"")</f>
        <v>0</v>
      </c>
      <c r="I342" s="47" t="str">
        <f>='ETPT Format DDG'!M342</f>
        <v/>
      </c>
      <c r="J342" s="47" t="str">
        <f>='ETPT Format DDG'!D342</f>
        <v/>
      </c>
      <c r="K342" s="47" t="s">
        <v>157</v>
      </c>
      <c r="L342" s="47" t="s">
        <v>1603</v>
      </c>
      <c r="M342" s="47"/>
      <c r="N342" s="47">
        <v>1</v>
      </c>
      <c r="O342" s="47">
        <v>0</v>
      </c>
      <c r="P342" s="47">
        <v>0</v>
      </c>
      <c r="Q342" s="47">
        <v>0</v>
      </c>
      <c r="R342" s="47">
        <v>0</v>
      </c>
      <c r="S342" s="47">
        <v>0</v>
      </c>
      <c r="T342" s="47">
        <v>0</v>
      </c>
      <c r="U342" s="47">
        <v>0</v>
      </c>
      <c r="V342" s="47">
        <v>0</v>
      </c>
      <c r="W342" s="47">
        <v>0</v>
      </c>
      <c r="X342" s="47">
        <v>0</v>
      </c>
      <c r="Y342" s="47">
        <v>0</v>
      </c>
      <c r="Z342" s="47">
        <v>0</v>
      </c>
      <c r="AA342" s="47">
        <v>0</v>
      </c>
      <c r="AB342" s="47">
        <v>0</v>
      </c>
      <c r="AC342" s="47">
        <v>0</v>
      </c>
      <c r="AD342" s="47">
        <v>0</v>
      </c>
      <c r="AE342" s="47">
        <v>0</v>
      </c>
      <c r="AF342" s="47">
        <v>0</v>
      </c>
      <c r="AG342" s="47">
        <v>0</v>
      </c>
      <c r="AH342" s="47">
        <v>0</v>
      </c>
      <c r="AI342" s="47">
        <v>0</v>
      </c>
      <c r="AJ342" s="47">
        <v>0</v>
      </c>
      <c r="AK342" s="47">
        <v>0</v>
      </c>
      <c r="AL342" s="47">
        <v>0</v>
      </c>
      <c r="AM342" s="47">
        <v>0</v>
      </c>
      <c r="AN342" s="47">
        <v>0</v>
      </c>
      <c r="AO342" s="47">
        <v>0</v>
      </c>
      <c r="AP342" s="47">
        <v>0</v>
      </c>
      <c r="AQ342" s="47">
        <v>0</v>
      </c>
      <c r="AR342" s="47">
        <v>0</v>
      </c>
      <c r="AS342" s="47">
        <v>0</v>
      </c>
      <c r="AT342" s="47">
        <v>0</v>
      </c>
      <c r="AU342" s="47">
        <v>0</v>
      </c>
      <c r="AV342" s="47">
        <v>0</v>
      </c>
      <c r="AW342" s="47">
        <v>0</v>
      </c>
      <c r="AX342" s="47">
        <v>0</v>
      </c>
      <c r="AY342" s="47">
        <v>0</v>
      </c>
      <c r="AZ342" s="47">
        <v>0</v>
      </c>
      <c r="BA342" s="47">
        <v>0</v>
      </c>
      <c r="BB342" s="47">
        <v>0</v>
      </c>
      <c r="BC342" s="47">
        <v>0</v>
      </c>
      <c r="BD342" s="47">
        <v>0</v>
      </c>
      <c r="BE342" s="47">
        <v>0</v>
      </c>
      <c r="BF342" s="47">
        <v>0</v>
      </c>
      <c r="BG342" s="47">
        <v>0</v>
      </c>
      <c r="BH342" s="47">
        <v>0</v>
      </c>
      <c r="BI342" s="47">
        <v>0</v>
      </c>
      <c r="BJ342" s="47">
        <v>0</v>
      </c>
      <c r="BK342" s="47">
        <v>0</v>
      </c>
      <c r="BL342" s="47">
        <v>0</v>
      </c>
      <c r="BM342" s="47">
        <v>0</v>
      </c>
      <c r="BN342" s="47">
        <v>0</v>
      </c>
      <c r="BO342" s="47">
        <v>0</v>
      </c>
      <c r="BP342" s="47">
        <v>0</v>
      </c>
      <c r="BQ342" s="47">
        <v>0</v>
      </c>
      <c r="BR342" s="47">
        <v>0</v>
      </c>
      <c r="BS342" s="47">
        <v>0</v>
      </c>
      <c r="BT342" s="47">
        <v>0</v>
      </c>
      <c r="BU342" s="47">
        <v>0</v>
      </c>
      <c r="BV342" s="47">
        <v>0</v>
      </c>
      <c r="BW342" s="47">
        <v>0</v>
      </c>
      <c r="BX342" s="47">
        <v>0</v>
      </c>
      <c r="BY342" s="47">
        <v>0</v>
      </c>
      <c r="BZ342" s="47">
        <v>0</v>
      </c>
      <c r="CA342" s="47">
        <v>0</v>
      </c>
      <c r="CB342" s="47">
        <v>0</v>
      </c>
      <c r="CC342" s="47">
        <v>0</v>
      </c>
      <c r="CD342" s="47">
        <v>0</v>
      </c>
      <c r="CE342" s="47">
        <v>0</v>
      </c>
      <c r="CF342" s="47">
        <v>0</v>
      </c>
      <c r="CG342" s="47">
        <v>0</v>
      </c>
      <c r="CH342" s="47">
        <v>0</v>
      </c>
      <c r="CI342" s="47">
        <v>0</v>
      </c>
      <c r="CJ342" s="47">
        <v>0</v>
      </c>
      <c r="CK342" s="47">
        <v>0</v>
      </c>
      <c r="CL342" s="47">
        <v>0</v>
      </c>
      <c r="CM342" s="47">
        <v>0</v>
      </c>
      <c r="CN342" s="47">
        <v>0</v>
      </c>
      <c r="CO342" s="47">
        <v>0</v>
      </c>
      <c r="CP342" s="47">
        <v>0</v>
      </c>
      <c r="CQ342" s="47">
        <v>0</v>
      </c>
      <c r="CR342" s="47">
        <v>0</v>
      </c>
      <c r="CS342" s="47">
        <v>0</v>
      </c>
      <c r="CT342" s="47">
        <v>0</v>
      </c>
      <c r="CU342" s="47">
        <v>0</v>
      </c>
      <c r="CV342" s="47">
        <v>0</v>
      </c>
      <c r="CW342" s="47">
        <v>0</v>
      </c>
      <c r="CX342" s="47">
        <v>0</v>
      </c>
      <c r="CY342" s="47">
        <v>0</v>
      </c>
      <c r="CZ342" s="47">
        <v>0</v>
      </c>
      <c r="DA342" s="47">
        <v>0</v>
      </c>
      <c r="DB342" s="47">
        <v>0</v>
      </c>
      <c r="DC342" s="47">
        <v>0</v>
      </c>
      <c r="DD342" s="47">
        <v>0</v>
      </c>
      <c r="DE342" s="47">
        <v>0</v>
      </c>
      <c r="DF342" s="47">
        <v>0</v>
      </c>
      <c r="DG342" s="47">
        <v>0</v>
      </c>
      <c r="DH342" s="47">
        <v>0</v>
      </c>
      <c r="DI342" s="47">
        <v>0</v>
      </c>
      <c r="DJ342" s="47">
        <v>0</v>
      </c>
      <c r="DK342" s="47">
        <v>0</v>
      </c>
      <c r="DL342" s="47">
        <v>0</v>
      </c>
      <c r="DM342" s="47">
        <v>0</v>
      </c>
      <c r="DN342" s="47">
        <v>0</v>
      </c>
      <c r="DO342" s="47">
        <v>0</v>
      </c>
      <c r="DP342" s="47">
        <v>0</v>
      </c>
      <c r="DQ342" s="47">
        <v>0</v>
      </c>
      <c r="DR342" s="47">
        <v>0</v>
      </c>
      <c r="DS342" s="47">
        <v>0</v>
      </c>
      <c r="DT342" s="47">
        <v>0</v>
      </c>
    </row>
    <row r="343" spans="1:126" x14ac:dyDescent="0.25">
      <c r="A343" s="47" t="s">
        <v>1673</v>
      </c>
      <c r="B343" s="47" t="s">
        <v>153</v>
      </c>
      <c r="C343" s="47" t="s">
        <v>1674</v>
      </c>
      <c r="D343" s="47" t="s">
        <v>1675</v>
      </c>
      <c r="E343" s="47" t="s">
        <v>1676</v>
      </c>
      <c r="F343" s="47" t="s">
        <v>698</v>
      </c>
      <c r="G343" s="47" t="s">
        <v>727</v>
      </c>
      <c r="H343" s="47" t="str">
        <f>=IFERROR(VLOOKUP(A343,'ETPT Format DDG'!A:J,10,FALSE),"")</f>
        <v>0</v>
      </c>
      <c r="I343" s="47" t="str">
        <f>='ETPT Format DDG'!M343</f>
        <v/>
      </c>
      <c r="J343" s="47" t="str">
        <f>='ETPT Format DDG'!D343</f>
        <v/>
      </c>
      <c r="K343" s="47" t="s">
        <v>157</v>
      </c>
      <c r="L343" s="47" t="s">
        <v>1113</v>
      </c>
      <c r="M343" s="47"/>
      <c r="N343" s="47">
        <v>1</v>
      </c>
      <c r="O343" s="47">
        <v>1</v>
      </c>
      <c r="P343" s="47">
        <v>0</v>
      </c>
      <c r="Q343" s="47">
        <v>0</v>
      </c>
      <c r="R343" s="47">
        <v>0</v>
      </c>
      <c r="S343" s="47">
        <v>0</v>
      </c>
      <c r="T343" s="47">
        <v>0</v>
      </c>
      <c r="U343" s="47">
        <v>0</v>
      </c>
      <c r="V343" s="47">
        <v>0</v>
      </c>
      <c r="W343" s="47">
        <v>0</v>
      </c>
      <c r="X343" s="47">
        <v>0</v>
      </c>
      <c r="Y343" s="47">
        <v>0</v>
      </c>
      <c r="Z343" s="47">
        <v>0</v>
      </c>
      <c r="AA343" s="47">
        <v>0</v>
      </c>
      <c r="AB343" s="47">
        <v>0</v>
      </c>
      <c r="AC343" s="47">
        <v>0</v>
      </c>
      <c r="AD343" s="47">
        <v>0</v>
      </c>
      <c r="AE343" s="47">
        <v>0</v>
      </c>
      <c r="AF343" s="47">
        <v>0</v>
      </c>
      <c r="AG343" s="47">
        <v>0</v>
      </c>
      <c r="AH343" s="47">
        <v>0</v>
      </c>
      <c r="AI343" s="47">
        <v>0</v>
      </c>
      <c r="AJ343" s="47">
        <v>0</v>
      </c>
      <c r="AK343" s="47">
        <v>0</v>
      </c>
      <c r="AL343" s="47">
        <v>0</v>
      </c>
      <c r="AM343" s="47">
        <v>0</v>
      </c>
      <c r="AN343" s="47">
        <v>0</v>
      </c>
      <c r="AO343" s="47">
        <v>0</v>
      </c>
      <c r="AP343" s="47">
        <v>0</v>
      </c>
      <c r="AQ343" s="47">
        <v>0</v>
      </c>
      <c r="AR343" s="47">
        <v>0</v>
      </c>
      <c r="AS343" s="47">
        <v>0</v>
      </c>
      <c r="AT343" s="47">
        <v>0</v>
      </c>
      <c r="AU343" s="47">
        <v>0</v>
      </c>
      <c r="AV343" s="47">
        <v>0</v>
      </c>
      <c r="AW343" s="47">
        <v>0</v>
      </c>
      <c r="AX343" s="47">
        <v>0</v>
      </c>
      <c r="AY343" s="47">
        <v>0</v>
      </c>
      <c r="AZ343" s="47">
        <v>0</v>
      </c>
      <c r="BA343" s="47">
        <v>0</v>
      </c>
      <c r="BB343" s="47">
        <v>0</v>
      </c>
      <c r="BC343" s="47">
        <v>0</v>
      </c>
      <c r="BD343" s="47">
        <v>0</v>
      </c>
      <c r="BE343" s="47">
        <v>0</v>
      </c>
      <c r="BF343" s="47">
        <v>0</v>
      </c>
      <c r="BG343" s="47">
        <v>0</v>
      </c>
      <c r="BH343" s="47">
        <v>1</v>
      </c>
      <c r="BI343" s="47">
        <v>0</v>
      </c>
      <c r="BJ343" s="47">
        <v>0</v>
      </c>
      <c r="BK343" s="47">
        <v>0</v>
      </c>
      <c r="BL343" s="47">
        <v>0</v>
      </c>
      <c r="BM343" s="47">
        <v>0</v>
      </c>
      <c r="BN343" s="47">
        <v>0</v>
      </c>
      <c r="BO343" s="47">
        <v>0</v>
      </c>
      <c r="BP343" s="47">
        <v>0</v>
      </c>
      <c r="BQ343" s="47">
        <v>0</v>
      </c>
      <c r="BR343" s="47">
        <v>0</v>
      </c>
      <c r="BS343" s="47">
        <v>0</v>
      </c>
      <c r="BT343" s="47">
        <v>0</v>
      </c>
      <c r="BU343" s="47">
        <v>0</v>
      </c>
      <c r="BV343" s="47">
        <v>0</v>
      </c>
      <c r="BW343" s="47">
        <v>0</v>
      </c>
      <c r="BX343" s="47">
        <v>0</v>
      </c>
      <c r="BY343" s="47">
        <v>0</v>
      </c>
      <c r="BZ343" s="47">
        <v>0</v>
      </c>
      <c r="CA343" s="47">
        <v>0</v>
      </c>
      <c r="CB343" s="47">
        <v>0</v>
      </c>
      <c r="CC343" s="47">
        <v>0</v>
      </c>
      <c r="CD343" s="47">
        <v>0</v>
      </c>
      <c r="CE343" s="47">
        <v>0</v>
      </c>
      <c r="CF343" s="47">
        <v>0</v>
      </c>
      <c r="CG343" s="47">
        <v>0</v>
      </c>
      <c r="CH343" s="47">
        <v>0</v>
      </c>
      <c r="CI343" s="47">
        <v>0</v>
      </c>
      <c r="CJ343" s="47">
        <v>0</v>
      </c>
      <c r="CK343" s="47">
        <v>0</v>
      </c>
      <c r="CL343" s="47">
        <v>0</v>
      </c>
      <c r="CM343" s="47">
        <v>0</v>
      </c>
      <c r="CN343" s="47">
        <v>0</v>
      </c>
      <c r="CO343" s="47">
        <v>0</v>
      </c>
      <c r="CP343" s="47">
        <v>0</v>
      </c>
      <c r="CQ343" s="47">
        <v>0</v>
      </c>
      <c r="CR343" s="47">
        <v>0</v>
      </c>
      <c r="CS343" s="47">
        <v>0</v>
      </c>
      <c r="CT343" s="47">
        <v>0</v>
      </c>
      <c r="CU343" s="47">
        <v>0</v>
      </c>
      <c r="CV343" s="47">
        <v>0</v>
      </c>
      <c r="CW343" s="47">
        <v>0</v>
      </c>
      <c r="CX343" s="47">
        <v>0</v>
      </c>
      <c r="CY343" s="47">
        <v>0</v>
      </c>
      <c r="CZ343" s="47">
        <v>0</v>
      </c>
      <c r="DA343" s="47">
        <v>0</v>
      </c>
      <c r="DB343" s="47">
        <v>0</v>
      </c>
      <c r="DC343" s="47">
        <v>0</v>
      </c>
      <c r="DD343" s="47">
        <v>0</v>
      </c>
      <c r="DE343" s="47">
        <v>0</v>
      </c>
      <c r="DF343" s="47">
        <v>0</v>
      </c>
      <c r="DG343" s="47">
        <v>0</v>
      </c>
      <c r="DH343" s="47">
        <v>0</v>
      </c>
      <c r="DI343" s="47">
        <v>0</v>
      </c>
      <c r="DJ343" s="47">
        <v>0</v>
      </c>
      <c r="DK343" s="47">
        <v>0</v>
      </c>
      <c r="DL343" s="47">
        <v>0</v>
      </c>
      <c r="DM343" s="47">
        <v>0</v>
      </c>
      <c r="DN343" s="47">
        <v>0</v>
      </c>
      <c r="DO343" s="47">
        <v>0</v>
      </c>
      <c r="DP343" s="47">
        <v>0</v>
      </c>
      <c r="DQ343" s="47">
        <v>0</v>
      </c>
      <c r="DR343" s="47">
        <v>0</v>
      </c>
      <c r="DS343" s="47">
        <v>0</v>
      </c>
      <c r="DT343" s="47">
        <v>0</v>
      </c>
    </row>
    <row r="344" spans="1:126" x14ac:dyDescent="0.25">
      <c r="A344" s="47" t="s">
        <v>1677</v>
      </c>
      <c r="B344" s="47" t="s">
        <v>153</v>
      </c>
      <c r="C344" s="47" t="s">
        <v>1678</v>
      </c>
      <c r="D344" s="47" t="s">
        <v>1679</v>
      </c>
      <c r="E344" s="47" t="s">
        <v>1680</v>
      </c>
      <c r="F344" s="47" t="s">
        <v>698</v>
      </c>
      <c r="G344" s="47" t="s">
        <v>727</v>
      </c>
      <c r="H344" s="47" t="str">
        <f>=IFERROR(VLOOKUP(A344,'ETPT Format DDG'!A:J,10,FALSE),"")</f>
        <v>0</v>
      </c>
      <c r="I344" s="47" t="str">
        <f>='ETPT Format DDG'!M344</f>
        <v/>
      </c>
      <c r="J344" s="47" t="str">
        <f>='ETPT Format DDG'!D344</f>
        <v/>
      </c>
      <c r="K344" s="47" t="s">
        <v>157</v>
      </c>
      <c r="L344" s="47" t="s">
        <v>739</v>
      </c>
      <c r="M344" s="47"/>
      <c r="N344" s="47">
        <v>1</v>
      </c>
      <c r="O344" s="47">
        <v>1</v>
      </c>
      <c r="P344" s="47">
        <v>0</v>
      </c>
      <c r="Q344" s="47">
        <v>0</v>
      </c>
      <c r="R344" s="47">
        <v>0</v>
      </c>
      <c r="S344" s="47">
        <v>0</v>
      </c>
      <c r="T344" s="47">
        <v>0</v>
      </c>
      <c r="U344" s="47">
        <v>0</v>
      </c>
      <c r="V344" s="47">
        <v>0</v>
      </c>
      <c r="W344" s="47">
        <v>0</v>
      </c>
      <c r="X344" s="47">
        <v>0</v>
      </c>
      <c r="Y344" s="47">
        <v>0</v>
      </c>
      <c r="Z344" s="47">
        <v>0</v>
      </c>
      <c r="AA344" s="47">
        <v>0</v>
      </c>
      <c r="AB344" s="47">
        <v>0</v>
      </c>
      <c r="AC344" s="47">
        <v>0</v>
      </c>
      <c r="AD344" s="47">
        <v>0</v>
      </c>
      <c r="AE344" s="47">
        <v>0</v>
      </c>
      <c r="AF344" s="47">
        <v>0</v>
      </c>
      <c r="AG344" s="47">
        <v>0</v>
      </c>
      <c r="AH344" s="47">
        <v>0</v>
      </c>
      <c r="AI344" s="47">
        <v>0</v>
      </c>
      <c r="AJ344" s="47">
        <v>0</v>
      </c>
      <c r="AK344" s="47">
        <v>0</v>
      </c>
      <c r="AL344" s="47">
        <v>0</v>
      </c>
      <c r="AM344" s="47">
        <v>0</v>
      </c>
      <c r="AN344" s="47">
        <v>1</v>
      </c>
      <c r="AO344" s="47">
        <v>0</v>
      </c>
      <c r="AP344" s="47">
        <v>0</v>
      </c>
      <c r="AQ344" s="47">
        <v>0</v>
      </c>
      <c r="AR344" s="47">
        <v>0</v>
      </c>
      <c r="AS344" s="47">
        <v>0</v>
      </c>
      <c r="AT344" s="47">
        <v>0</v>
      </c>
      <c r="AU344" s="47">
        <v>0</v>
      </c>
      <c r="AV344" s="47">
        <v>0</v>
      </c>
      <c r="AW344" s="47">
        <v>0</v>
      </c>
      <c r="AX344" s="47">
        <v>0</v>
      </c>
      <c r="AY344" s="47">
        <v>0</v>
      </c>
      <c r="AZ344" s="47">
        <v>0</v>
      </c>
      <c r="BA344" s="47">
        <v>0</v>
      </c>
      <c r="BB344" s="47">
        <v>0</v>
      </c>
      <c r="BC344" s="47">
        <v>0</v>
      </c>
      <c r="BD344" s="47">
        <v>0</v>
      </c>
      <c r="BE344" s="47">
        <v>0</v>
      </c>
      <c r="BF344" s="47">
        <v>0</v>
      </c>
      <c r="BG344" s="47">
        <v>0</v>
      </c>
      <c r="BH344" s="47">
        <v>0</v>
      </c>
      <c r="BI344" s="47">
        <v>0</v>
      </c>
      <c r="BJ344" s="47">
        <v>0</v>
      </c>
      <c r="BK344" s="47">
        <v>0</v>
      </c>
      <c r="BL344" s="47">
        <v>0</v>
      </c>
      <c r="BM344" s="47">
        <v>0</v>
      </c>
      <c r="BN344" s="47">
        <v>0</v>
      </c>
      <c r="BO344" s="47">
        <v>0</v>
      </c>
      <c r="BP344" s="47">
        <v>0</v>
      </c>
      <c r="BQ344" s="47">
        <v>0</v>
      </c>
      <c r="BR344" s="47">
        <v>0</v>
      </c>
      <c r="BS344" s="47">
        <v>0</v>
      </c>
      <c r="BT344" s="47">
        <v>0</v>
      </c>
      <c r="BU344" s="47">
        <v>0</v>
      </c>
      <c r="BV344" s="47">
        <v>0</v>
      </c>
      <c r="BW344" s="47">
        <v>0</v>
      </c>
      <c r="BX344" s="47">
        <v>0</v>
      </c>
      <c r="BY344" s="47">
        <v>0</v>
      </c>
      <c r="BZ344" s="47">
        <v>0</v>
      </c>
      <c r="CA344" s="47">
        <v>0</v>
      </c>
      <c r="CB344" s="47">
        <v>0</v>
      </c>
      <c r="CC344" s="47">
        <v>0</v>
      </c>
      <c r="CD344" s="47">
        <v>0</v>
      </c>
      <c r="CE344" s="47">
        <v>0</v>
      </c>
      <c r="CF344" s="47">
        <v>0</v>
      </c>
      <c r="CG344" s="47">
        <v>0</v>
      </c>
      <c r="CH344" s="47">
        <v>0</v>
      </c>
      <c r="CI344" s="47">
        <v>0</v>
      </c>
      <c r="CJ344" s="47">
        <v>0</v>
      </c>
      <c r="CK344" s="47">
        <v>0</v>
      </c>
      <c r="CL344" s="47">
        <v>0</v>
      </c>
      <c r="CM344" s="47">
        <v>0</v>
      </c>
      <c r="CN344" s="47">
        <v>0</v>
      </c>
      <c r="CO344" s="47">
        <v>0</v>
      </c>
      <c r="CP344" s="47">
        <v>0</v>
      </c>
      <c r="CQ344" s="47">
        <v>0</v>
      </c>
      <c r="CR344" s="47">
        <v>0</v>
      </c>
      <c r="CS344" s="47">
        <v>0</v>
      </c>
      <c r="CT344" s="47">
        <v>0</v>
      </c>
      <c r="CU344" s="47">
        <v>0</v>
      </c>
      <c r="CV344" s="47">
        <v>0</v>
      </c>
      <c r="CW344" s="47">
        <v>0</v>
      </c>
      <c r="CX344" s="47">
        <v>0</v>
      </c>
      <c r="CY344" s="47">
        <v>0</v>
      </c>
      <c r="CZ344" s="47">
        <v>0</v>
      </c>
      <c r="DA344" s="47">
        <v>0</v>
      </c>
      <c r="DB344" s="47">
        <v>0</v>
      </c>
      <c r="DC344" s="47">
        <v>0</v>
      </c>
      <c r="DD344" s="47">
        <v>0</v>
      </c>
      <c r="DE344" s="47">
        <v>0</v>
      </c>
      <c r="DF344" s="47">
        <v>0</v>
      </c>
      <c r="DG344" s="47">
        <v>0</v>
      </c>
      <c r="DH344" s="47">
        <v>0</v>
      </c>
      <c r="DI344" s="47">
        <v>0</v>
      </c>
      <c r="DJ344" s="47">
        <v>0</v>
      </c>
      <c r="DK344" s="47">
        <v>0</v>
      </c>
      <c r="DL344" s="47">
        <v>0</v>
      </c>
      <c r="DM344" s="47">
        <v>0</v>
      </c>
      <c r="DN344" s="47">
        <v>0</v>
      </c>
      <c r="DO344" s="47">
        <v>0</v>
      </c>
      <c r="DP344" s="47">
        <v>0</v>
      </c>
      <c r="DQ344" s="47">
        <v>0</v>
      </c>
      <c r="DR344" s="47">
        <v>0</v>
      </c>
      <c r="DS344" s="47">
        <v>0</v>
      </c>
      <c r="DT344" s="47">
        <v>0</v>
      </c>
    </row>
    <row r="345" spans="1:126" x14ac:dyDescent="0.25">
      <c r="A345" s="47" t="s">
        <v>1681</v>
      </c>
      <c r="B345" s="47" t="s">
        <v>153</v>
      </c>
      <c r="C345" s="47" t="s">
        <v>1682</v>
      </c>
      <c r="D345" s="47" t="s">
        <v>1683</v>
      </c>
      <c r="E345" s="47" t="s">
        <v>1684</v>
      </c>
      <c r="F345" s="47" t="s">
        <v>698</v>
      </c>
      <c r="G345" s="47" t="s">
        <v>727</v>
      </c>
      <c r="H345" s="47" t="str">
        <f>=IFERROR(VLOOKUP(A345,'ETPT Format DDG'!A:J,10,FALSE),"")</f>
        <v>0</v>
      </c>
      <c r="I345" s="47" t="str">
        <f>='ETPT Format DDG'!M345</f>
        <v/>
      </c>
      <c r="J345" s="47" t="str">
        <f>='ETPT Format DDG'!D345</f>
        <v/>
      </c>
      <c r="K345" s="47" t="s">
        <v>157</v>
      </c>
      <c r="L345" s="47" t="s">
        <v>1173</v>
      </c>
      <c r="M345" s="47"/>
      <c r="N345" s="47">
        <v>1</v>
      </c>
      <c r="O345" s="47">
        <v>1</v>
      </c>
      <c r="P345" s="47">
        <v>0</v>
      </c>
      <c r="Q345" s="47">
        <v>0</v>
      </c>
      <c r="R345" s="47">
        <v>0</v>
      </c>
      <c r="S345" s="47">
        <v>0</v>
      </c>
      <c r="T345" s="47">
        <v>0</v>
      </c>
      <c r="U345" s="47">
        <v>0</v>
      </c>
      <c r="V345" s="47">
        <v>0</v>
      </c>
      <c r="W345" s="47">
        <v>0</v>
      </c>
      <c r="X345" s="47">
        <v>0</v>
      </c>
      <c r="Y345" s="47">
        <v>0</v>
      </c>
      <c r="Z345" s="47">
        <v>0</v>
      </c>
      <c r="AA345" s="47">
        <v>0</v>
      </c>
      <c r="AB345" s="47">
        <v>0</v>
      </c>
      <c r="AC345" s="47">
        <v>0</v>
      </c>
      <c r="AD345" s="47">
        <v>0</v>
      </c>
      <c r="AE345" s="47">
        <v>0</v>
      </c>
      <c r="AF345" s="47">
        <v>0</v>
      </c>
      <c r="AG345" s="47">
        <v>0</v>
      </c>
      <c r="AH345" s="47">
        <v>0</v>
      </c>
      <c r="AI345" s="47">
        <v>0</v>
      </c>
      <c r="AJ345" s="47">
        <v>0</v>
      </c>
      <c r="AK345" s="47">
        <v>0</v>
      </c>
      <c r="AL345" s="47">
        <v>0</v>
      </c>
      <c r="AM345" s="47">
        <v>0</v>
      </c>
      <c r="AN345" s="47">
        <v>0</v>
      </c>
      <c r="AO345" s="47">
        <v>0</v>
      </c>
      <c r="AP345" s="47">
        <v>0</v>
      </c>
      <c r="AQ345" s="47">
        <v>0</v>
      </c>
      <c r="AR345" s="47">
        <v>0</v>
      </c>
      <c r="AS345" s="47">
        <v>0</v>
      </c>
      <c r="AT345" s="47">
        <v>0</v>
      </c>
      <c r="AU345" s="47">
        <v>0</v>
      </c>
      <c r="AV345" s="47">
        <v>0</v>
      </c>
      <c r="AW345" s="47">
        <v>0</v>
      </c>
      <c r="AX345" s="47">
        <v>0</v>
      </c>
      <c r="AY345" s="47">
        <v>0</v>
      </c>
      <c r="AZ345" s="47">
        <v>0</v>
      </c>
      <c r="BA345" s="47">
        <v>0</v>
      </c>
      <c r="BB345" s="47">
        <v>0</v>
      </c>
      <c r="BC345" s="47">
        <v>0</v>
      </c>
      <c r="BD345" s="47">
        <v>0</v>
      </c>
      <c r="BE345" s="47">
        <v>0</v>
      </c>
      <c r="BF345" s="47">
        <v>0</v>
      </c>
      <c r="BG345" s="47">
        <v>0</v>
      </c>
      <c r="BH345" s="47">
        <v>0</v>
      </c>
      <c r="BI345" s="47">
        <v>0</v>
      </c>
      <c r="BJ345" s="47">
        <v>0</v>
      </c>
      <c r="BK345" s="47">
        <v>0</v>
      </c>
      <c r="BL345" s="47">
        <v>0</v>
      </c>
      <c r="BM345" s="47">
        <v>0</v>
      </c>
      <c r="BN345" s="47">
        <v>0</v>
      </c>
      <c r="BO345" s="47">
        <v>1</v>
      </c>
      <c r="BP345" s="47">
        <v>0</v>
      </c>
      <c r="BQ345" s="47">
        <v>0</v>
      </c>
      <c r="BR345" s="47">
        <v>0</v>
      </c>
      <c r="BS345" s="47">
        <v>0</v>
      </c>
      <c r="BT345" s="47">
        <v>0</v>
      </c>
      <c r="BU345" s="47">
        <v>0</v>
      </c>
      <c r="BV345" s="47">
        <v>0</v>
      </c>
      <c r="BW345" s="47">
        <v>0</v>
      </c>
      <c r="BX345" s="47">
        <v>0</v>
      </c>
      <c r="BY345" s="47">
        <v>0</v>
      </c>
      <c r="BZ345" s="47">
        <v>0</v>
      </c>
      <c r="CA345" s="47">
        <v>0</v>
      </c>
      <c r="CB345" s="47">
        <v>0</v>
      </c>
      <c r="CC345" s="47">
        <v>0</v>
      </c>
      <c r="CD345" s="47">
        <v>0</v>
      </c>
      <c r="CE345" s="47">
        <v>0</v>
      </c>
      <c r="CF345" s="47">
        <v>0</v>
      </c>
      <c r="CG345" s="47">
        <v>0</v>
      </c>
      <c r="CH345" s="47">
        <v>0</v>
      </c>
      <c r="CI345" s="47">
        <v>0</v>
      </c>
      <c r="CJ345" s="47">
        <v>0</v>
      </c>
      <c r="CK345" s="47">
        <v>0</v>
      </c>
      <c r="CL345" s="47">
        <v>0</v>
      </c>
      <c r="CM345" s="47">
        <v>0</v>
      </c>
      <c r="CN345" s="47">
        <v>0</v>
      </c>
      <c r="CO345" s="47">
        <v>0</v>
      </c>
      <c r="CP345" s="47">
        <v>0</v>
      </c>
      <c r="CQ345" s="47">
        <v>0</v>
      </c>
      <c r="CR345" s="47">
        <v>0</v>
      </c>
      <c r="CS345" s="47">
        <v>0</v>
      </c>
      <c r="CT345" s="47">
        <v>0</v>
      </c>
      <c r="CU345" s="47">
        <v>0</v>
      </c>
      <c r="CV345" s="47">
        <v>0</v>
      </c>
      <c r="CW345" s="47">
        <v>0</v>
      </c>
      <c r="CX345" s="47">
        <v>0</v>
      </c>
      <c r="CY345" s="47">
        <v>0</v>
      </c>
      <c r="CZ345" s="47">
        <v>0</v>
      </c>
      <c r="DA345" s="47">
        <v>0</v>
      </c>
      <c r="DB345" s="47">
        <v>0</v>
      </c>
      <c r="DC345" s="47">
        <v>0</v>
      </c>
      <c r="DD345" s="47">
        <v>0</v>
      </c>
      <c r="DE345" s="47">
        <v>0</v>
      </c>
      <c r="DF345" s="47">
        <v>0</v>
      </c>
      <c r="DG345" s="47">
        <v>0</v>
      </c>
      <c r="DH345" s="47">
        <v>0</v>
      </c>
      <c r="DI345" s="47">
        <v>0</v>
      </c>
      <c r="DJ345" s="47">
        <v>0</v>
      </c>
      <c r="DK345" s="47">
        <v>0</v>
      </c>
      <c r="DL345" s="47">
        <v>0</v>
      </c>
      <c r="DM345" s="47">
        <v>0</v>
      </c>
      <c r="DN345" s="47">
        <v>0</v>
      </c>
      <c r="DO345" s="47">
        <v>0</v>
      </c>
      <c r="DP345" s="47">
        <v>0</v>
      </c>
      <c r="DQ345" s="47">
        <v>0</v>
      </c>
      <c r="DR345" s="47">
        <v>0</v>
      </c>
      <c r="DS345" s="47">
        <v>0</v>
      </c>
      <c r="DT345" s="47">
        <v>0</v>
      </c>
    </row>
    <row r="346" spans="1:126" x14ac:dyDescent="0.25">
      <c r="A346" s="47" t="s">
        <v>1685</v>
      </c>
      <c r="B346" s="47" t="s">
        <v>153</v>
      </c>
      <c r="C346" s="47" t="s">
        <v>1686</v>
      </c>
      <c r="D346" s="47" t="s">
        <v>1687</v>
      </c>
      <c r="E346" s="47" t="s">
        <v>1688</v>
      </c>
      <c r="F346" s="47" t="s">
        <v>698</v>
      </c>
      <c r="G346" s="47" t="s">
        <v>705</v>
      </c>
      <c r="H346" s="47" t="str">
        <f>=IFERROR(VLOOKUP(A346,'ETPT Format DDG'!A:J,10,FALSE),"")</f>
        <v>0</v>
      </c>
      <c r="I346" s="47" t="str">
        <f>='ETPT Format DDG'!M346</f>
        <v/>
      </c>
      <c r="J346" s="47" t="str">
        <f>='ETPT Format DDG'!D346</f>
        <v/>
      </c>
      <c r="K346" s="47" t="s">
        <v>157</v>
      </c>
      <c r="L346" s="47" t="s">
        <v>722</v>
      </c>
      <c r="M346" s="47"/>
      <c r="N346" s="47">
        <v>1</v>
      </c>
      <c r="O346" s="47">
        <v>0</v>
      </c>
      <c r="P346" s="47">
        <v>0</v>
      </c>
      <c r="Q346" s="47">
        <v>0</v>
      </c>
      <c r="R346" s="47">
        <v>0</v>
      </c>
      <c r="S346" s="47">
        <v>0</v>
      </c>
      <c r="T346" s="47">
        <v>0</v>
      </c>
      <c r="U346" s="47">
        <v>0</v>
      </c>
      <c r="V346" s="47">
        <v>0</v>
      </c>
      <c r="W346" s="47">
        <v>0</v>
      </c>
      <c r="X346" s="47">
        <v>0</v>
      </c>
      <c r="Y346" s="47">
        <v>0</v>
      </c>
      <c r="Z346" s="47">
        <v>0</v>
      </c>
      <c r="AA346" s="47">
        <v>0</v>
      </c>
      <c r="AB346" s="47">
        <v>0</v>
      </c>
      <c r="AC346" s="47">
        <v>0</v>
      </c>
      <c r="AD346" s="47">
        <v>0</v>
      </c>
      <c r="AE346" s="47">
        <v>0</v>
      </c>
      <c r="AF346" s="47">
        <v>0</v>
      </c>
      <c r="AG346" s="47">
        <v>0</v>
      </c>
      <c r="AH346" s="47">
        <v>0</v>
      </c>
      <c r="AI346" s="47">
        <v>0</v>
      </c>
      <c r="AJ346" s="47">
        <v>0</v>
      </c>
      <c r="AK346" s="47">
        <v>0</v>
      </c>
      <c r="AL346" s="47">
        <v>0</v>
      </c>
      <c r="AM346" s="47">
        <v>0</v>
      </c>
      <c r="AN346" s="47">
        <v>0</v>
      </c>
      <c r="AO346" s="47">
        <v>0</v>
      </c>
      <c r="AP346" s="47">
        <v>0</v>
      </c>
      <c r="AQ346" s="47">
        <v>0</v>
      </c>
      <c r="AR346" s="47">
        <v>0</v>
      </c>
      <c r="AS346" s="47">
        <v>0</v>
      </c>
      <c r="AT346" s="47">
        <v>0</v>
      </c>
      <c r="AU346" s="47">
        <v>0</v>
      </c>
      <c r="AV346" s="47">
        <v>0</v>
      </c>
      <c r="AW346" s="47">
        <v>0</v>
      </c>
      <c r="AX346" s="47">
        <v>0</v>
      </c>
      <c r="AY346" s="47">
        <v>0</v>
      </c>
      <c r="AZ346" s="47">
        <v>0</v>
      </c>
      <c r="BA346" s="47">
        <v>0</v>
      </c>
      <c r="BB346" s="47">
        <v>0</v>
      </c>
      <c r="BC346" s="47">
        <v>0</v>
      </c>
      <c r="BD346" s="47">
        <v>0</v>
      </c>
      <c r="BE346" s="47">
        <v>0</v>
      </c>
      <c r="BF346" s="47">
        <v>0</v>
      </c>
      <c r="BG346" s="47">
        <v>0</v>
      </c>
      <c r="BH346" s="47">
        <v>0</v>
      </c>
      <c r="BI346" s="47">
        <v>0</v>
      </c>
      <c r="BJ346" s="47">
        <v>0</v>
      </c>
      <c r="BK346" s="47">
        <v>0</v>
      </c>
      <c r="BL346" s="47">
        <v>0</v>
      </c>
      <c r="BM346" s="47">
        <v>0</v>
      </c>
      <c r="BN346" s="47">
        <v>0</v>
      </c>
      <c r="BO346" s="47">
        <v>0</v>
      </c>
      <c r="BP346" s="47">
        <v>0</v>
      </c>
      <c r="BQ346" s="47">
        <v>0</v>
      </c>
      <c r="BR346" s="47">
        <v>0</v>
      </c>
      <c r="BS346" s="47">
        <v>0</v>
      </c>
      <c r="BT346" s="47">
        <v>0</v>
      </c>
      <c r="BU346" s="47">
        <v>0</v>
      </c>
      <c r="BV346" s="47">
        <v>0</v>
      </c>
      <c r="BW346" s="47">
        <v>0</v>
      </c>
      <c r="BX346" s="47">
        <v>0</v>
      </c>
      <c r="BY346" s="47">
        <v>0</v>
      </c>
      <c r="BZ346" s="47">
        <v>0</v>
      </c>
      <c r="CA346" s="47">
        <v>0</v>
      </c>
      <c r="CB346" s="47">
        <v>0</v>
      </c>
      <c r="CC346" s="47">
        <v>0</v>
      </c>
      <c r="CD346" s="47">
        <v>0</v>
      </c>
      <c r="CE346" s="47">
        <v>0</v>
      </c>
      <c r="CF346" s="47">
        <v>0</v>
      </c>
      <c r="CG346" s="47">
        <v>0</v>
      </c>
      <c r="CH346" s="47">
        <v>0</v>
      </c>
      <c r="CI346" s="47">
        <v>0</v>
      </c>
      <c r="CJ346" s="47">
        <v>0</v>
      </c>
      <c r="CK346" s="47">
        <v>0</v>
      </c>
      <c r="CL346" s="47">
        <v>0</v>
      </c>
      <c r="CM346" s="47">
        <v>0</v>
      </c>
      <c r="CN346" s="47">
        <v>0</v>
      </c>
      <c r="CO346" s="47">
        <v>0</v>
      </c>
      <c r="CP346" s="47">
        <v>0</v>
      </c>
      <c r="CQ346" s="47">
        <v>0</v>
      </c>
      <c r="CR346" s="47">
        <v>0</v>
      </c>
      <c r="CS346" s="47">
        <v>0</v>
      </c>
      <c r="CT346" s="47">
        <v>0</v>
      </c>
      <c r="CU346" s="47">
        <v>0</v>
      </c>
      <c r="CV346" s="47">
        <v>0</v>
      </c>
      <c r="CW346" s="47">
        <v>0</v>
      </c>
      <c r="CX346" s="47">
        <v>0</v>
      </c>
      <c r="CY346" s="47">
        <v>0</v>
      </c>
      <c r="CZ346" s="47">
        <v>0</v>
      </c>
      <c r="DA346" s="47">
        <v>0</v>
      </c>
      <c r="DB346" s="47">
        <v>0</v>
      </c>
      <c r="DC346" s="47">
        <v>0</v>
      </c>
      <c r="DD346" s="47">
        <v>0</v>
      </c>
      <c r="DE346" s="47">
        <v>0</v>
      </c>
      <c r="DF346" s="47">
        <v>0</v>
      </c>
      <c r="DG346" s="47">
        <v>0</v>
      </c>
      <c r="DH346" s="47">
        <v>0</v>
      </c>
      <c r="DI346" s="47">
        <v>0</v>
      </c>
      <c r="DJ346" s="47">
        <v>0</v>
      </c>
      <c r="DK346" s="47">
        <v>0</v>
      </c>
      <c r="DL346" s="47">
        <v>0</v>
      </c>
      <c r="DM346" s="47">
        <v>0</v>
      </c>
      <c r="DN346" s="47">
        <v>0</v>
      </c>
      <c r="DO346" s="47">
        <v>0</v>
      </c>
      <c r="DP346" s="47">
        <v>0</v>
      </c>
      <c r="DQ346" s="47">
        <v>0</v>
      </c>
      <c r="DR346" s="47">
        <v>0</v>
      </c>
      <c r="DS346" s="47">
        <v>0</v>
      </c>
      <c r="DT346" s="47">
        <v>0</v>
      </c>
    </row>
    <row r="347" spans="1:126" x14ac:dyDescent="0.25">
      <c r="A347" s="47" t="s">
        <v>1689</v>
      </c>
      <c r="B347" s="47" t="s">
        <v>153</v>
      </c>
      <c r="C347" s="47" t="s">
        <v>1690</v>
      </c>
      <c r="D347" s="47" t="s">
        <v>1691</v>
      </c>
      <c r="E347" s="47" t="s">
        <v>1692</v>
      </c>
      <c r="F347" s="47" t="s">
        <v>698</v>
      </c>
      <c r="G347" s="47" t="s">
        <v>727</v>
      </c>
      <c r="H347" s="47" t="str">
        <f>=IFERROR(VLOOKUP(A347,'ETPT Format DDG'!A:J,10,FALSE),"")</f>
        <v>0</v>
      </c>
      <c r="I347" s="47" t="str">
        <f>='ETPT Format DDG'!M347</f>
        <v/>
      </c>
      <c r="J347" s="47" t="str">
        <f>='ETPT Format DDG'!D347</f>
        <v/>
      </c>
      <c r="K347" s="47" t="s">
        <v>157</v>
      </c>
      <c r="L347" s="47" t="s">
        <v>1693</v>
      </c>
      <c r="M347" s="47"/>
      <c r="N347" s="47">
        <v>1</v>
      </c>
      <c r="O347" s="47">
        <v>1</v>
      </c>
      <c r="P347" s="47">
        <v>0</v>
      </c>
      <c r="Q347" s="47">
        <v>0</v>
      </c>
      <c r="R347" s="47">
        <v>0</v>
      </c>
      <c r="S347" s="47">
        <v>0</v>
      </c>
      <c r="T347" s="47">
        <v>0</v>
      </c>
      <c r="U347" s="47">
        <v>0</v>
      </c>
      <c r="V347" s="47">
        <v>0</v>
      </c>
      <c r="W347" s="47">
        <v>0</v>
      </c>
      <c r="X347" s="47">
        <v>0</v>
      </c>
      <c r="Y347" s="47">
        <v>0</v>
      </c>
      <c r="Z347" s="47">
        <v>0</v>
      </c>
      <c r="AA347" s="47">
        <v>0</v>
      </c>
      <c r="AB347" s="47">
        <v>0</v>
      </c>
      <c r="AC347" s="47">
        <v>0</v>
      </c>
      <c r="AD347" s="47">
        <v>0</v>
      </c>
      <c r="AE347" s="47">
        <v>0</v>
      </c>
      <c r="AF347" s="47">
        <v>0</v>
      </c>
      <c r="AG347" s="47">
        <v>0</v>
      </c>
      <c r="AH347" s="47">
        <v>0</v>
      </c>
      <c r="AI347" s="47">
        <v>0</v>
      </c>
      <c r="AJ347" s="47">
        <v>0</v>
      </c>
      <c r="AK347" s="47">
        <v>0</v>
      </c>
      <c r="AL347" s="47">
        <v>0</v>
      </c>
      <c r="AM347" s="47">
        <v>0</v>
      </c>
      <c r="AN347" s="47">
        <v>0</v>
      </c>
      <c r="AO347" s="47">
        <v>0</v>
      </c>
      <c r="AP347" s="47">
        <v>0</v>
      </c>
      <c r="AQ347" s="47">
        <v>0</v>
      </c>
      <c r="AR347" s="47">
        <v>0</v>
      </c>
      <c r="AS347" s="47">
        <v>0</v>
      </c>
      <c r="AT347" s="47">
        <v>0</v>
      </c>
      <c r="AU347" s="47">
        <v>0</v>
      </c>
      <c r="AV347" s="47">
        <v>0</v>
      </c>
      <c r="AW347" s="47">
        <v>0</v>
      </c>
      <c r="AX347" s="47">
        <v>0</v>
      </c>
      <c r="AY347" s="47">
        <v>0</v>
      </c>
      <c r="AZ347" s="47">
        <v>0</v>
      </c>
      <c r="BA347" s="47">
        <v>0</v>
      </c>
      <c r="BB347" s="47">
        <v>0</v>
      </c>
      <c r="BC347" s="47">
        <v>0</v>
      </c>
      <c r="BD347" s="47">
        <v>0</v>
      </c>
      <c r="BE347" s="47">
        <v>0</v>
      </c>
      <c r="BF347" s="47">
        <v>0</v>
      </c>
      <c r="BG347" s="47">
        <v>0</v>
      </c>
      <c r="BH347" s="47">
        <v>0</v>
      </c>
      <c r="BI347" s="47">
        <v>0</v>
      </c>
      <c r="BJ347" s="47">
        <v>0</v>
      </c>
      <c r="BK347" s="47">
        <v>0</v>
      </c>
      <c r="BL347" s="47">
        <v>1</v>
      </c>
      <c r="BM347" s="47">
        <v>0.4</v>
      </c>
      <c r="BN347" s="47">
        <v>0.6</v>
      </c>
      <c r="BO347" s="47">
        <v>0</v>
      </c>
      <c r="BP347" s="47">
        <v>0</v>
      </c>
      <c r="BQ347" s="47">
        <v>0</v>
      </c>
      <c r="BR347" s="47">
        <v>0</v>
      </c>
      <c r="BS347" s="47">
        <v>0</v>
      </c>
      <c r="BT347" s="47">
        <v>0</v>
      </c>
      <c r="BU347" s="47">
        <v>0</v>
      </c>
      <c r="BV347" s="47">
        <v>0</v>
      </c>
      <c r="BW347" s="47">
        <v>0</v>
      </c>
      <c r="BX347" s="47">
        <v>0</v>
      </c>
      <c r="BY347" s="47">
        <v>0</v>
      </c>
      <c r="BZ347" s="47">
        <v>0</v>
      </c>
      <c r="CA347" s="47">
        <v>0</v>
      </c>
      <c r="CB347" s="47">
        <v>0</v>
      </c>
      <c r="CC347" s="47">
        <v>0</v>
      </c>
      <c r="CD347" s="47">
        <v>0</v>
      </c>
      <c r="CE347" s="47">
        <v>0</v>
      </c>
      <c r="CF347" s="47">
        <v>0</v>
      </c>
      <c r="CG347" s="47">
        <v>0</v>
      </c>
      <c r="CH347" s="47">
        <v>0</v>
      </c>
      <c r="CI347" s="47">
        <v>0</v>
      </c>
      <c r="CJ347" s="47">
        <v>0</v>
      </c>
      <c r="CK347" s="47">
        <v>0</v>
      </c>
      <c r="CL347" s="47">
        <v>0</v>
      </c>
      <c r="CM347" s="47">
        <v>0</v>
      </c>
      <c r="CN347" s="47">
        <v>0</v>
      </c>
      <c r="CO347" s="47">
        <v>0</v>
      </c>
      <c r="CP347" s="47">
        <v>0</v>
      </c>
      <c r="CQ347" s="47">
        <v>0</v>
      </c>
      <c r="CR347" s="47">
        <v>0</v>
      </c>
      <c r="CS347" s="47">
        <v>0</v>
      </c>
      <c r="CT347" s="47">
        <v>0</v>
      </c>
      <c r="CU347" s="47">
        <v>0</v>
      </c>
      <c r="CV347" s="47">
        <v>0</v>
      </c>
      <c r="CW347" s="47">
        <v>0</v>
      </c>
      <c r="CX347" s="47">
        <v>0</v>
      </c>
      <c r="CY347" s="47">
        <v>0</v>
      </c>
      <c r="CZ347" s="47">
        <v>0</v>
      </c>
      <c r="DA347" s="47">
        <v>0</v>
      </c>
      <c r="DB347" s="47">
        <v>0</v>
      </c>
      <c r="DC347" s="47">
        <v>0</v>
      </c>
      <c r="DD347" s="47">
        <v>0</v>
      </c>
      <c r="DE347" s="47">
        <v>0</v>
      </c>
      <c r="DF347" s="47">
        <v>0</v>
      </c>
      <c r="DG347" s="47">
        <v>0</v>
      </c>
      <c r="DH347" s="47">
        <v>0</v>
      </c>
      <c r="DI347" s="47">
        <v>0</v>
      </c>
      <c r="DJ347" s="47">
        <v>0</v>
      </c>
      <c r="DK347" s="47">
        <v>0</v>
      </c>
      <c r="DL347" s="47">
        <v>0</v>
      </c>
      <c r="DM347" s="47">
        <v>0</v>
      </c>
      <c r="DN347" s="47">
        <v>0</v>
      </c>
      <c r="DO347" s="47">
        <v>0</v>
      </c>
      <c r="DP347" s="47">
        <v>0</v>
      </c>
      <c r="DQ347" s="47">
        <v>0</v>
      </c>
      <c r="DR347" s="47">
        <v>0</v>
      </c>
      <c r="DS347" s="47">
        <v>0</v>
      </c>
      <c r="DT347" s="47">
        <v>0</v>
      </c>
    </row>
    <row r="348" spans="1:126" x14ac:dyDescent="0.25">
      <c r="A348" s="47" t="s">
        <v>1694</v>
      </c>
      <c r="B348" s="47" t="s">
        <v>153</v>
      </c>
      <c r="C348" s="47" t="s">
        <v>1695</v>
      </c>
      <c r="D348" s="47" t="s">
        <v>1696</v>
      </c>
      <c r="E348" s="47" t="s">
        <v>1697</v>
      </c>
      <c r="F348" s="47" t="s">
        <v>698</v>
      </c>
      <c r="G348" s="47" t="s">
        <v>727</v>
      </c>
      <c r="H348" s="47" t="str">
        <f>=IFERROR(VLOOKUP(A348,'ETPT Format DDG'!A:J,10,FALSE),"")</f>
        <v>0</v>
      </c>
      <c r="I348" s="47" t="str">
        <f>='ETPT Format DDG'!M348</f>
        <v/>
      </c>
      <c r="J348" s="47" t="str">
        <f>='ETPT Format DDG'!D348</f>
        <v/>
      </c>
      <c r="K348" s="47" t="s">
        <v>157</v>
      </c>
      <c r="L348" s="47" t="s">
        <v>1698</v>
      </c>
      <c r="M348" s="47"/>
      <c r="N348" s="47">
        <v>1</v>
      </c>
      <c r="O348" s="47">
        <v>1</v>
      </c>
      <c r="P348" s="47">
        <v>0</v>
      </c>
      <c r="Q348" s="47">
        <v>0</v>
      </c>
      <c r="R348" s="47">
        <v>0</v>
      </c>
      <c r="S348" s="47">
        <v>0</v>
      </c>
      <c r="T348" s="47">
        <v>0</v>
      </c>
      <c r="U348" s="47">
        <v>0</v>
      </c>
      <c r="V348" s="47">
        <v>0</v>
      </c>
      <c r="W348" s="47">
        <v>0</v>
      </c>
      <c r="X348" s="47">
        <v>0</v>
      </c>
      <c r="Y348" s="47">
        <v>0</v>
      </c>
      <c r="Z348" s="47">
        <v>0</v>
      </c>
      <c r="AA348" s="47">
        <v>0</v>
      </c>
      <c r="AB348" s="47">
        <v>0</v>
      </c>
      <c r="AC348" s="47">
        <v>0</v>
      </c>
      <c r="AD348" s="47">
        <v>0</v>
      </c>
      <c r="AE348" s="47">
        <v>1</v>
      </c>
      <c r="AF348" s="47">
        <v>0</v>
      </c>
      <c r="AG348" s="47">
        <v>0</v>
      </c>
      <c r="AH348" s="47">
        <v>0</v>
      </c>
      <c r="AI348" s="47">
        <v>0</v>
      </c>
      <c r="AJ348" s="47">
        <v>0</v>
      </c>
      <c r="AK348" s="47">
        <v>0</v>
      </c>
      <c r="AL348" s="47">
        <v>0</v>
      </c>
      <c r="AM348" s="47">
        <v>0</v>
      </c>
      <c r="AN348" s="47">
        <v>0</v>
      </c>
      <c r="AO348" s="47">
        <v>0</v>
      </c>
      <c r="AP348" s="47">
        <v>0</v>
      </c>
      <c r="AQ348" s="47">
        <v>0</v>
      </c>
      <c r="AR348" s="47">
        <v>0</v>
      </c>
      <c r="AS348" s="47">
        <v>0</v>
      </c>
      <c r="AT348" s="47">
        <v>0</v>
      </c>
      <c r="AU348" s="47">
        <v>0</v>
      </c>
      <c r="AV348" s="47">
        <v>0</v>
      </c>
      <c r="AW348" s="47">
        <v>0</v>
      </c>
      <c r="AX348" s="47">
        <v>0</v>
      </c>
      <c r="AY348" s="47">
        <v>0</v>
      </c>
      <c r="AZ348" s="47">
        <v>0</v>
      </c>
      <c r="BA348" s="47">
        <v>0</v>
      </c>
      <c r="BB348" s="47">
        <v>0</v>
      </c>
      <c r="BC348" s="47">
        <v>0</v>
      </c>
      <c r="BD348" s="47">
        <v>0</v>
      </c>
      <c r="BE348" s="47">
        <v>0</v>
      </c>
      <c r="BF348" s="47">
        <v>0</v>
      </c>
      <c r="BG348" s="47">
        <v>0</v>
      </c>
      <c r="BH348" s="47">
        <v>0</v>
      </c>
      <c r="BI348" s="47">
        <v>0</v>
      </c>
      <c r="BJ348" s="47">
        <v>0</v>
      </c>
      <c r="BK348" s="47">
        <v>0</v>
      </c>
      <c r="BL348" s="47">
        <v>0</v>
      </c>
      <c r="BM348" s="47">
        <v>0</v>
      </c>
      <c r="BN348" s="47">
        <v>0</v>
      </c>
      <c r="BO348" s="47">
        <v>0</v>
      </c>
      <c r="BP348" s="47">
        <v>0</v>
      </c>
      <c r="BQ348" s="47">
        <v>0</v>
      </c>
      <c r="BR348" s="47">
        <v>0</v>
      </c>
      <c r="BS348" s="47">
        <v>0</v>
      </c>
      <c r="BT348" s="47">
        <v>0</v>
      </c>
      <c r="BU348" s="47">
        <v>0</v>
      </c>
      <c r="BV348" s="47">
        <v>0</v>
      </c>
      <c r="BW348" s="47">
        <v>0</v>
      </c>
      <c r="BX348" s="47">
        <v>0</v>
      </c>
      <c r="BY348" s="47">
        <v>0</v>
      </c>
      <c r="BZ348" s="47">
        <v>0</v>
      </c>
      <c r="CA348" s="47">
        <v>0</v>
      </c>
      <c r="CB348" s="47">
        <v>0</v>
      </c>
      <c r="CC348" s="47">
        <v>0</v>
      </c>
      <c r="CD348" s="47">
        <v>0</v>
      </c>
      <c r="CE348" s="47">
        <v>0</v>
      </c>
      <c r="CF348" s="47">
        <v>0</v>
      </c>
      <c r="CG348" s="47">
        <v>0</v>
      </c>
      <c r="CH348" s="47">
        <v>0</v>
      </c>
      <c r="CI348" s="47">
        <v>0</v>
      </c>
      <c r="CJ348" s="47">
        <v>0</v>
      </c>
      <c r="CK348" s="47">
        <v>0</v>
      </c>
      <c r="CL348" s="47">
        <v>0</v>
      </c>
      <c r="CM348" s="47">
        <v>0</v>
      </c>
      <c r="CN348" s="47">
        <v>0</v>
      </c>
      <c r="CO348" s="47">
        <v>0</v>
      </c>
      <c r="CP348" s="47">
        <v>0</v>
      </c>
      <c r="CQ348" s="47">
        <v>0</v>
      </c>
      <c r="CR348" s="47">
        <v>0</v>
      </c>
      <c r="CS348" s="47">
        <v>0</v>
      </c>
      <c r="CT348" s="47">
        <v>0</v>
      </c>
      <c r="CU348" s="47">
        <v>0</v>
      </c>
      <c r="CV348" s="47">
        <v>0</v>
      </c>
      <c r="CW348" s="47">
        <v>0</v>
      </c>
      <c r="CX348" s="47">
        <v>0</v>
      </c>
      <c r="CY348" s="47">
        <v>0</v>
      </c>
      <c r="CZ348" s="47">
        <v>0</v>
      </c>
      <c r="DA348" s="47">
        <v>0</v>
      </c>
      <c r="DB348" s="47">
        <v>0</v>
      </c>
      <c r="DC348" s="47">
        <v>0</v>
      </c>
      <c r="DD348" s="47">
        <v>0</v>
      </c>
      <c r="DE348" s="47">
        <v>0</v>
      </c>
      <c r="DF348" s="47">
        <v>0</v>
      </c>
      <c r="DG348" s="47">
        <v>0</v>
      </c>
      <c r="DH348" s="47">
        <v>0</v>
      </c>
      <c r="DI348" s="47">
        <v>0</v>
      </c>
      <c r="DJ348" s="47">
        <v>0</v>
      </c>
      <c r="DK348" s="47">
        <v>0</v>
      </c>
      <c r="DL348" s="47">
        <v>0</v>
      </c>
      <c r="DM348" s="47">
        <v>0</v>
      </c>
      <c r="DN348" s="47">
        <v>0</v>
      </c>
      <c r="DO348" s="47">
        <v>0</v>
      </c>
      <c r="DP348" s="47">
        <v>0</v>
      </c>
      <c r="DQ348" s="47">
        <v>0</v>
      </c>
      <c r="DR348" s="47">
        <v>0</v>
      </c>
      <c r="DS348" s="47">
        <v>0</v>
      </c>
      <c r="DT348" s="47">
        <v>0</v>
      </c>
    </row>
    <row r="349" spans="1:126" x14ac:dyDescent="0.25">
      <c r="A349" s="47" t="s">
        <v>1699</v>
      </c>
      <c r="B349" s="47" t="s">
        <v>153</v>
      </c>
      <c r="C349" s="47" t="s">
        <v>1700</v>
      </c>
      <c r="D349" s="47" t="s">
        <v>1701</v>
      </c>
      <c r="E349" s="47" t="s">
        <v>1702</v>
      </c>
      <c r="F349" s="47" t="s">
        <v>698</v>
      </c>
      <c r="G349" s="47" t="s">
        <v>727</v>
      </c>
      <c r="H349" s="47" t="str">
        <f>=IFERROR(VLOOKUP(A349,'ETPT Format DDG'!A:J,10,FALSE),"")</f>
        <v>0</v>
      </c>
      <c r="I349" s="47" t="str">
        <f>='ETPT Format DDG'!M349</f>
        <v/>
      </c>
      <c r="J349" s="47" t="str">
        <f>='ETPT Format DDG'!D349</f>
        <v/>
      </c>
      <c r="K349" s="47" t="s">
        <v>157</v>
      </c>
      <c r="L349" s="47" t="s">
        <v>816</v>
      </c>
      <c r="M349" s="47"/>
      <c r="N349" s="47">
        <v>0.8</v>
      </c>
      <c r="O349" s="47">
        <v>0</v>
      </c>
      <c r="P349" s="47">
        <v>0</v>
      </c>
      <c r="Q349" s="47">
        <v>0</v>
      </c>
      <c r="R349" s="47">
        <v>0</v>
      </c>
      <c r="S349" s="47">
        <v>0</v>
      </c>
      <c r="T349" s="47">
        <v>0</v>
      </c>
      <c r="U349" s="47">
        <v>0</v>
      </c>
      <c r="V349" s="47">
        <v>0</v>
      </c>
      <c r="W349" s="47">
        <v>0</v>
      </c>
      <c r="X349" s="47">
        <v>0</v>
      </c>
      <c r="Y349" s="47">
        <v>0</v>
      </c>
      <c r="Z349" s="47">
        <v>0</v>
      </c>
      <c r="AA349" s="47">
        <v>0</v>
      </c>
      <c r="AB349" s="47">
        <v>0</v>
      </c>
      <c r="AC349" s="47">
        <v>0</v>
      </c>
      <c r="AD349" s="47">
        <v>0</v>
      </c>
      <c r="AE349" s="47">
        <v>0</v>
      </c>
      <c r="AF349" s="47">
        <v>0</v>
      </c>
      <c r="AG349" s="47">
        <v>0</v>
      </c>
      <c r="AH349" s="47">
        <v>0</v>
      </c>
      <c r="AI349" s="47">
        <v>0</v>
      </c>
      <c r="AJ349" s="47">
        <v>0</v>
      </c>
      <c r="AK349" s="47">
        <v>0</v>
      </c>
      <c r="AL349" s="47">
        <v>0</v>
      </c>
      <c r="AM349" s="47">
        <v>0</v>
      </c>
      <c r="AN349" s="47">
        <v>0</v>
      </c>
      <c r="AO349" s="47">
        <v>0</v>
      </c>
      <c r="AP349" s="47">
        <v>0</v>
      </c>
      <c r="AQ349" s="47">
        <v>0</v>
      </c>
      <c r="AR349" s="47">
        <v>0</v>
      </c>
      <c r="AS349" s="47">
        <v>0</v>
      </c>
      <c r="AT349" s="47">
        <v>0</v>
      </c>
      <c r="AU349" s="47">
        <v>0</v>
      </c>
      <c r="AV349" s="47">
        <v>0</v>
      </c>
      <c r="AW349" s="47">
        <v>0</v>
      </c>
      <c r="AX349" s="47">
        <v>0</v>
      </c>
      <c r="AY349" s="47">
        <v>0</v>
      </c>
      <c r="AZ349" s="47">
        <v>0</v>
      </c>
      <c r="BA349" s="47">
        <v>0</v>
      </c>
      <c r="BB349" s="47">
        <v>0</v>
      </c>
      <c r="BC349" s="47">
        <v>0</v>
      </c>
      <c r="BD349" s="47">
        <v>0</v>
      </c>
      <c r="BE349" s="47">
        <v>0</v>
      </c>
      <c r="BF349" s="47">
        <v>0</v>
      </c>
      <c r="BG349" s="47">
        <v>0</v>
      </c>
      <c r="BH349" s="47">
        <v>0</v>
      </c>
      <c r="BI349" s="47">
        <v>0</v>
      </c>
      <c r="BJ349" s="47">
        <v>0</v>
      </c>
      <c r="BK349" s="47">
        <v>0</v>
      </c>
      <c r="BL349" s="47">
        <v>0</v>
      </c>
      <c r="BM349" s="47">
        <v>0</v>
      </c>
      <c r="BN349" s="47">
        <v>0</v>
      </c>
      <c r="BO349" s="47">
        <v>0</v>
      </c>
      <c r="BP349" s="47">
        <v>0</v>
      </c>
      <c r="BQ349" s="47">
        <v>0</v>
      </c>
      <c r="BR349" s="47">
        <v>0</v>
      </c>
      <c r="BS349" s="47">
        <v>0</v>
      </c>
      <c r="BT349" s="47">
        <v>0</v>
      </c>
      <c r="BU349" s="47">
        <v>0</v>
      </c>
      <c r="BV349" s="47">
        <v>0</v>
      </c>
      <c r="BW349" s="47">
        <v>0</v>
      </c>
      <c r="BX349" s="47">
        <v>0</v>
      </c>
      <c r="BY349" s="47">
        <v>0</v>
      </c>
      <c r="BZ349" s="47">
        <v>0</v>
      </c>
      <c r="CA349" s="47">
        <v>0</v>
      </c>
      <c r="CB349" s="47">
        <v>0</v>
      </c>
      <c r="CC349" s="47">
        <v>0</v>
      </c>
      <c r="CD349" s="47">
        <v>0</v>
      </c>
      <c r="CE349" s="47">
        <v>0</v>
      </c>
      <c r="CF349" s="47">
        <v>0</v>
      </c>
      <c r="CG349" s="47">
        <v>0</v>
      </c>
      <c r="CH349" s="47">
        <v>0</v>
      </c>
      <c r="CI349" s="47">
        <v>0</v>
      </c>
      <c r="CJ349" s="47">
        <v>0</v>
      </c>
      <c r="CK349" s="47">
        <v>0</v>
      </c>
      <c r="CL349" s="47">
        <v>0</v>
      </c>
      <c r="CM349" s="47">
        <v>0</v>
      </c>
      <c r="CN349" s="47">
        <v>0</v>
      </c>
      <c r="CO349" s="47">
        <v>0</v>
      </c>
      <c r="CP349" s="47">
        <v>0</v>
      </c>
      <c r="CQ349" s="47">
        <v>0</v>
      </c>
      <c r="CR349" s="47">
        <v>0</v>
      </c>
      <c r="CS349" s="47">
        <v>0</v>
      </c>
      <c r="CT349" s="47">
        <v>0</v>
      </c>
      <c r="CU349" s="47">
        <v>0</v>
      </c>
      <c r="CV349" s="47">
        <v>0</v>
      </c>
      <c r="CW349" s="47">
        <v>0</v>
      </c>
      <c r="CX349" s="47">
        <v>0</v>
      </c>
      <c r="CY349" s="47">
        <v>0</v>
      </c>
      <c r="CZ349" s="47">
        <v>0</v>
      </c>
      <c r="DA349" s="47">
        <v>0</v>
      </c>
      <c r="DB349" s="47">
        <v>0</v>
      </c>
      <c r="DC349" s="47">
        <v>0</v>
      </c>
      <c r="DD349" s="47">
        <v>0</v>
      </c>
      <c r="DE349" s="47">
        <v>0</v>
      </c>
      <c r="DF349" s="47">
        <v>0</v>
      </c>
      <c r="DG349" s="47">
        <v>0</v>
      </c>
      <c r="DH349" s="47">
        <v>0</v>
      </c>
      <c r="DI349" s="47">
        <v>0</v>
      </c>
      <c r="DJ349" s="47">
        <v>0</v>
      </c>
      <c r="DK349" s="47">
        <v>0</v>
      </c>
      <c r="DL349" s="47">
        <v>0</v>
      </c>
      <c r="DM349" s="47">
        <v>0</v>
      </c>
      <c r="DN349" s="47">
        <v>0</v>
      </c>
      <c r="DO349" s="47">
        <v>0</v>
      </c>
      <c r="DP349" s="47">
        <v>0</v>
      </c>
      <c r="DQ349" s="47">
        <v>0</v>
      </c>
      <c r="DR349" s="47">
        <v>0</v>
      </c>
      <c r="DS349" s="47">
        <v>0</v>
      </c>
      <c r="DT349" s="47">
        <v>0</v>
      </c>
    </row>
    <row r="350" spans="1:126" x14ac:dyDescent="0.25">
      <c r="A350" s="47" t="s">
        <v>1703</v>
      </c>
      <c r="B350" s="47" t="s">
        <v>153</v>
      </c>
      <c r="C350" s="47" t="s">
        <v>1704</v>
      </c>
      <c r="D350" s="47" t="s">
        <v>1705</v>
      </c>
      <c r="E350" s="47" t="s">
        <v>1706</v>
      </c>
      <c r="F350" s="47" t="s">
        <v>698</v>
      </c>
      <c r="G350" s="47" t="s">
        <v>727</v>
      </c>
      <c r="H350" s="47" t="str">
        <f>=IFERROR(VLOOKUP(A350,'ETPT Format DDG'!A:J,10,FALSE),"")</f>
        <v>0</v>
      </c>
      <c r="I350" s="47" t="str">
        <f>='ETPT Format DDG'!M350</f>
        <v/>
      </c>
      <c r="J350" s="47" t="str">
        <f>='ETPT Format DDG'!D350</f>
        <v/>
      </c>
      <c r="K350" s="47" t="s">
        <v>157</v>
      </c>
      <c r="L350" s="47" t="s">
        <v>1368</v>
      </c>
      <c r="M350" s="47"/>
      <c r="N350" s="47">
        <v>0.9</v>
      </c>
      <c r="O350" s="47">
        <v>0</v>
      </c>
      <c r="P350" s="47">
        <v>0</v>
      </c>
      <c r="Q350" s="47">
        <v>0</v>
      </c>
      <c r="R350" s="47">
        <v>0</v>
      </c>
      <c r="S350" s="47">
        <v>0</v>
      </c>
      <c r="T350" s="47">
        <v>0</v>
      </c>
      <c r="U350" s="47">
        <v>0</v>
      </c>
      <c r="V350" s="47">
        <v>0</v>
      </c>
      <c r="W350" s="47">
        <v>0</v>
      </c>
      <c r="X350" s="47">
        <v>0</v>
      </c>
      <c r="Y350" s="47">
        <v>0</v>
      </c>
      <c r="Z350" s="47">
        <v>0</v>
      </c>
      <c r="AA350" s="47">
        <v>0</v>
      </c>
      <c r="AB350" s="47">
        <v>0</v>
      </c>
      <c r="AC350" s="47">
        <v>0</v>
      </c>
      <c r="AD350" s="47">
        <v>0</v>
      </c>
      <c r="AE350" s="47">
        <v>0</v>
      </c>
      <c r="AF350" s="47">
        <v>0</v>
      </c>
      <c r="AG350" s="47">
        <v>0</v>
      </c>
      <c r="AH350" s="47">
        <v>0</v>
      </c>
      <c r="AI350" s="47">
        <v>0</v>
      </c>
      <c r="AJ350" s="47">
        <v>0</v>
      </c>
      <c r="AK350" s="47">
        <v>0</v>
      </c>
      <c r="AL350" s="47">
        <v>0</v>
      </c>
      <c r="AM350" s="47">
        <v>0</v>
      </c>
      <c r="AN350" s="47">
        <v>0</v>
      </c>
      <c r="AO350" s="47">
        <v>0</v>
      </c>
      <c r="AP350" s="47">
        <v>0</v>
      </c>
      <c r="AQ350" s="47">
        <v>0</v>
      </c>
      <c r="AR350" s="47">
        <v>0</v>
      </c>
      <c r="AS350" s="47">
        <v>0</v>
      </c>
      <c r="AT350" s="47">
        <v>0</v>
      </c>
      <c r="AU350" s="47">
        <v>0</v>
      </c>
      <c r="AV350" s="47">
        <v>0</v>
      </c>
      <c r="AW350" s="47">
        <v>0</v>
      </c>
      <c r="AX350" s="47">
        <v>0</v>
      </c>
      <c r="AY350" s="47">
        <v>0</v>
      </c>
      <c r="AZ350" s="47">
        <v>0</v>
      </c>
      <c r="BA350" s="47">
        <v>0</v>
      </c>
      <c r="BB350" s="47">
        <v>0</v>
      </c>
      <c r="BC350" s="47">
        <v>0</v>
      </c>
      <c r="BD350" s="47">
        <v>0</v>
      </c>
      <c r="BE350" s="47">
        <v>0</v>
      </c>
      <c r="BF350" s="47">
        <v>0</v>
      </c>
      <c r="BG350" s="47">
        <v>0</v>
      </c>
      <c r="BH350" s="47">
        <v>0</v>
      </c>
      <c r="BI350" s="47">
        <v>0</v>
      </c>
      <c r="BJ350" s="47">
        <v>0</v>
      </c>
      <c r="BK350" s="47">
        <v>0</v>
      </c>
      <c r="BL350" s="47">
        <v>0</v>
      </c>
      <c r="BM350" s="47">
        <v>0</v>
      </c>
      <c r="BN350" s="47">
        <v>0</v>
      </c>
      <c r="BO350" s="47">
        <v>0</v>
      </c>
      <c r="BP350" s="47">
        <v>0</v>
      </c>
      <c r="BQ350" s="47">
        <v>0</v>
      </c>
      <c r="BR350" s="47">
        <v>0</v>
      </c>
      <c r="BS350" s="47">
        <v>0</v>
      </c>
      <c r="BT350" s="47">
        <v>0</v>
      </c>
      <c r="BU350" s="47">
        <v>0</v>
      </c>
      <c r="BV350" s="47">
        <v>0</v>
      </c>
      <c r="BW350" s="47">
        <v>0</v>
      </c>
      <c r="BX350" s="47">
        <v>0</v>
      </c>
      <c r="BY350" s="47">
        <v>0</v>
      </c>
      <c r="BZ350" s="47">
        <v>0</v>
      </c>
      <c r="CA350" s="47">
        <v>0</v>
      </c>
      <c r="CB350" s="47">
        <v>0</v>
      </c>
      <c r="CC350" s="47">
        <v>0</v>
      </c>
      <c r="CD350" s="47">
        <v>0</v>
      </c>
      <c r="CE350" s="47">
        <v>0</v>
      </c>
      <c r="CF350" s="47">
        <v>0</v>
      </c>
      <c r="CG350" s="47">
        <v>0</v>
      </c>
      <c r="CH350" s="47">
        <v>0</v>
      </c>
      <c r="CI350" s="47">
        <v>0</v>
      </c>
      <c r="CJ350" s="47">
        <v>0</v>
      </c>
      <c r="CK350" s="47">
        <v>0</v>
      </c>
      <c r="CL350" s="47">
        <v>0</v>
      </c>
      <c r="CM350" s="47">
        <v>0</v>
      </c>
      <c r="CN350" s="47">
        <v>0</v>
      </c>
      <c r="CO350" s="47">
        <v>0</v>
      </c>
      <c r="CP350" s="47">
        <v>0</v>
      </c>
      <c r="CQ350" s="47">
        <v>0</v>
      </c>
      <c r="CR350" s="47">
        <v>0</v>
      </c>
      <c r="CS350" s="47">
        <v>0</v>
      </c>
      <c r="CT350" s="47">
        <v>0</v>
      </c>
      <c r="CU350" s="47">
        <v>0</v>
      </c>
      <c r="CV350" s="47">
        <v>0</v>
      </c>
      <c r="CW350" s="47">
        <v>0</v>
      </c>
      <c r="CX350" s="47">
        <v>0</v>
      </c>
      <c r="CY350" s="47">
        <v>0</v>
      </c>
      <c r="CZ350" s="47">
        <v>0</v>
      </c>
      <c r="DA350" s="47">
        <v>0</v>
      </c>
      <c r="DB350" s="47">
        <v>0</v>
      </c>
      <c r="DC350" s="47">
        <v>0</v>
      </c>
      <c r="DD350" s="47">
        <v>0</v>
      </c>
      <c r="DE350" s="47">
        <v>0</v>
      </c>
      <c r="DF350" s="47">
        <v>0</v>
      </c>
      <c r="DG350" s="47">
        <v>0</v>
      </c>
      <c r="DH350" s="47">
        <v>0</v>
      </c>
      <c r="DI350" s="47">
        <v>0</v>
      </c>
      <c r="DJ350" s="47">
        <v>0</v>
      </c>
      <c r="DK350" s="47">
        <v>0</v>
      </c>
      <c r="DL350" s="47">
        <v>0</v>
      </c>
      <c r="DM350" s="47">
        <v>0</v>
      </c>
      <c r="DN350" s="47">
        <v>0</v>
      </c>
      <c r="DO350" s="47">
        <v>0</v>
      </c>
      <c r="DP350" s="47">
        <v>0</v>
      </c>
      <c r="DQ350" s="47">
        <v>0</v>
      </c>
      <c r="DR350" s="47">
        <v>0</v>
      </c>
      <c r="DS350" s="47">
        <v>0</v>
      </c>
      <c r="DT350" s="47">
        <v>0</v>
      </c>
    </row>
    <row r="351" spans="1:126" x14ac:dyDescent="0.25">
      <c r="A351" s="47" t="s">
        <v>1707</v>
      </c>
      <c r="B351" s="47" t="s">
        <v>153</v>
      </c>
      <c r="C351" s="47" t="s">
        <v>1708</v>
      </c>
      <c r="D351" s="47" t="s">
        <v>1709</v>
      </c>
      <c r="E351" s="47" t="s">
        <v>1710</v>
      </c>
      <c r="F351" s="47" t="s">
        <v>698</v>
      </c>
      <c r="G351" s="47" t="s">
        <v>705</v>
      </c>
      <c r="H351" s="47" t="str">
        <f>=IFERROR(VLOOKUP(A351,'ETPT Format DDG'!A:J,10,FALSE),"")</f>
        <v>0</v>
      </c>
      <c r="I351" s="47" t="str">
        <f>='ETPT Format DDG'!M351</f>
        <v/>
      </c>
      <c r="J351" s="47" t="str">
        <f>='ETPT Format DDG'!D351</f>
        <v/>
      </c>
      <c r="K351" s="47" t="s">
        <v>157</v>
      </c>
      <c r="L351" s="47" t="s">
        <v>722</v>
      </c>
      <c r="M351" s="47"/>
      <c r="N351" s="47">
        <v>1</v>
      </c>
      <c r="O351" s="47">
        <v>0</v>
      </c>
      <c r="P351" s="47">
        <v>0</v>
      </c>
      <c r="Q351" s="47">
        <v>0</v>
      </c>
      <c r="R351" s="47">
        <v>0</v>
      </c>
      <c r="S351" s="47">
        <v>0</v>
      </c>
      <c r="T351" s="47">
        <v>0</v>
      </c>
      <c r="U351" s="47">
        <v>0</v>
      </c>
      <c r="V351" s="47">
        <v>0</v>
      </c>
      <c r="W351" s="47">
        <v>0</v>
      </c>
      <c r="X351" s="47">
        <v>0</v>
      </c>
      <c r="Y351" s="47">
        <v>0</v>
      </c>
      <c r="Z351" s="47">
        <v>0</v>
      </c>
      <c r="AA351" s="47">
        <v>0</v>
      </c>
      <c r="AB351" s="47">
        <v>0</v>
      </c>
      <c r="AC351" s="47">
        <v>0</v>
      </c>
      <c r="AD351" s="47">
        <v>0</v>
      </c>
      <c r="AE351" s="47">
        <v>0</v>
      </c>
      <c r="AF351" s="47">
        <v>0</v>
      </c>
      <c r="AG351" s="47">
        <v>0</v>
      </c>
      <c r="AH351" s="47">
        <v>0</v>
      </c>
      <c r="AI351" s="47">
        <v>0</v>
      </c>
      <c r="AJ351" s="47">
        <v>0</v>
      </c>
      <c r="AK351" s="47">
        <v>0</v>
      </c>
      <c r="AL351" s="47">
        <v>0</v>
      </c>
      <c r="AM351" s="47">
        <v>0</v>
      </c>
      <c r="AN351" s="47">
        <v>0</v>
      </c>
      <c r="AO351" s="47">
        <v>0</v>
      </c>
      <c r="AP351" s="47">
        <v>0</v>
      </c>
      <c r="AQ351" s="47">
        <v>0</v>
      </c>
      <c r="AR351" s="47">
        <v>0</v>
      </c>
      <c r="AS351" s="47">
        <v>0</v>
      </c>
      <c r="AT351" s="47">
        <v>0</v>
      </c>
      <c r="AU351" s="47">
        <v>0</v>
      </c>
      <c r="AV351" s="47">
        <v>0</v>
      </c>
      <c r="AW351" s="47">
        <v>0</v>
      </c>
      <c r="AX351" s="47">
        <v>0</v>
      </c>
      <c r="AY351" s="47">
        <v>0</v>
      </c>
      <c r="AZ351" s="47">
        <v>0</v>
      </c>
      <c r="BA351" s="47">
        <v>0</v>
      </c>
      <c r="BB351" s="47">
        <v>0</v>
      </c>
      <c r="BC351" s="47">
        <v>0</v>
      </c>
      <c r="BD351" s="47">
        <v>0</v>
      </c>
      <c r="BE351" s="47">
        <v>0</v>
      </c>
      <c r="BF351" s="47">
        <v>0</v>
      </c>
      <c r="BG351" s="47">
        <v>0</v>
      </c>
      <c r="BH351" s="47">
        <v>0</v>
      </c>
      <c r="BI351" s="47">
        <v>0</v>
      </c>
      <c r="BJ351" s="47">
        <v>0</v>
      </c>
      <c r="BK351" s="47">
        <v>0</v>
      </c>
      <c r="BL351" s="47">
        <v>0</v>
      </c>
      <c r="BM351" s="47">
        <v>0</v>
      </c>
      <c r="BN351" s="47">
        <v>0</v>
      </c>
      <c r="BO351" s="47">
        <v>0</v>
      </c>
      <c r="BP351" s="47">
        <v>0</v>
      </c>
      <c r="BQ351" s="47">
        <v>0</v>
      </c>
      <c r="BR351" s="47">
        <v>0</v>
      </c>
      <c r="BS351" s="47">
        <v>0</v>
      </c>
      <c r="BT351" s="47">
        <v>0</v>
      </c>
      <c r="BU351" s="47">
        <v>0</v>
      </c>
      <c r="BV351" s="47">
        <v>0</v>
      </c>
      <c r="BW351" s="47">
        <v>0</v>
      </c>
      <c r="BX351" s="47">
        <v>0</v>
      </c>
      <c r="BY351" s="47">
        <v>0</v>
      </c>
      <c r="BZ351" s="47">
        <v>0</v>
      </c>
      <c r="CA351" s="47">
        <v>0</v>
      </c>
      <c r="CB351" s="47">
        <v>0</v>
      </c>
      <c r="CC351" s="47">
        <v>0</v>
      </c>
      <c r="CD351" s="47">
        <v>0</v>
      </c>
      <c r="CE351" s="47">
        <v>0</v>
      </c>
      <c r="CF351" s="47">
        <v>0</v>
      </c>
      <c r="CG351" s="47">
        <v>0</v>
      </c>
      <c r="CH351" s="47">
        <v>0</v>
      </c>
      <c r="CI351" s="47">
        <v>0</v>
      </c>
      <c r="CJ351" s="47">
        <v>0</v>
      </c>
      <c r="CK351" s="47">
        <v>0</v>
      </c>
      <c r="CL351" s="47">
        <v>0</v>
      </c>
      <c r="CM351" s="47">
        <v>0</v>
      </c>
      <c r="CN351" s="47">
        <v>0</v>
      </c>
      <c r="CO351" s="47">
        <v>0</v>
      </c>
      <c r="CP351" s="47">
        <v>0</v>
      </c>
      <c r="CQ351" s="47">
        <v>0</v>
      </c>
      <c r="CR351" s="47">
        <v>0</v>
      </c>
      <c r="CS351" s="47">
        <v>0</v>
      </c>
      <c r="CT351" s="47">
        <v>0</v>
      </c>
      <c r="CU351" s="47">
        <v>0</v>
      </c>
      <c r="CV351" s="47">
        <v>0</v>
      </c>
      <c r="CW351" s="47">
        <v>0</v>
      </c>
      <c r="CX351" s="47">
        <v>0</v>
      </c>
      <c r="CY351" s="47">
        <v>0</v>
      </c>
      <c r="CZ351" s="47">
        <v>0</v>
      </c>
      <c r="DA351" s="47">
        <v>0</v>
      </c>
      <c r="DB351" s="47">
        <v>0</v>
      </c>
      <c r="DC351" s="47">
        <v>0</v>
      </c>
      <c r="DD351" s="47">
        <v>0</v>
      </c>
      <c r="DE351" s="47">
        <v>0</v>
      </c>
      <c r="DF351" s="47">
        <v>0</v>
      </c>
      <c r="DG351" s="47">
        <v>0</v>
      </c>
      <c r="DH351" s="47">
        <v>0</v>
      </c>
      <c r="DI351" s="47">
        <v>0</v>
      </c>
      <c r="DJ351" s="47">
        <v>0</v>
      </c>
      <c r="DK351" s="47">
        <v>0</v>
      </c>
      <c r="DL351" s="47">
        <v>0</v>
      </c>
      <c r="DM351" s="47">
        <v>0</v>
      </c>
      <c r="DN351" s="47">
        <v>0</v>
      </c>
      <c r="DO351" s="47">
        <v>0</v>
      </c>
      <c r="DP351" s="47">
        <v>0</v>
      </c>
      <c r="DQ351" s="47">
        <v>0</v>
      </c>
      <c r="DR351" s="47">
        <v>0</v>
      </c>
      <c r="DS351" s="47">
        <v>0</v>
      </c>
      <c r="DT351" s="47">
        <v>0</v>
      </c>
    </row>
    <row r="352" spans="1:126" x14ac:dyDescent="0.25">
      <c r="A352" s="47" t="s">
        <v>1711</v>
      </c>
      <c r="B352" s="47" t="s">
        <v>153</v>
      </c>
      <c r="C352" s="47" t="s">
        <v>1712</v>
      </c>
      <c r="D352" s="47" t="s">
        <v>1713</v>
      </c>
      <c r="E352" s="47" t="s">
        <v>1714</v>
      </c>
      <c r="F352" s="47" t="s">
        <v>698</v>
      </c>
      <c r="G352" s="47" t="s">
        <v>705</v>
      </c>
      <c r="H352" s="47" t="str">
        <f>=IFERROR(VLOOKUP(A352,'ETPT Format DDG'!A:J,10,FALSE),"")</f>
        <v>0</v>
      </c>
      <c r="I352" s="47" t="str">
        <f>='ETPT Format DDG'!M352</f>
        <v/>
      </c>
      <c r="J352" s="47" t="str">
        <f>='ETPT Format DDG'!D352</f>
        <v/>
      </c>
      <c r="K352" s="47" t="s">
        <v>157</v>
      </c>
      <c r="L352" s="47" t="s">
        <v>700</v>
      </c>
      <c r="M352" s="47"/>
      <c r="N352" s="47">
        <v>1</v>
      </c>
      <c r="O352" s="47">
        <v>0</v>
      </c>
      <c r="P352" s="47">
        <v>0</v>
      </c>
      <c r="Q352" s="47">
        <v>0</v>
      </c>
      <c r="R352" s="47">
        <v>0</v>
      </c>
      <c r="S352" s="47">
        <v>0</v>
      </c>
      <c r="T352" s="47">
        <v>0</v>
      </c>
      <c r="U352" s="47">
        <v>0</v>
      </c>
      <c r="V352" s="47">
        <v>0</v>
      </c>
      <c r="W352" s="47">
        <v>0</v>
      </c>
      <c r="X352" s="47">
        <v>0</v>
      </c>
      <c r="Y352" s="47">
        <v>0</v>
      </c>
      <c r="Z352" s="47">
        <v>0</v>
      </c>
      <c r="AA352" s="47">
        <v>0</v>
      </c>
      <c r="AB352" s="47">
        <v>0</v>
      </c>
      <c r="AC352" s="47">
        <v>0</v>
      </c>
      <c r="AD352" s="47">
        <v>0</v>
      </c>
      <c r="AE352" s="47">
        <v>0</v>
      </c>
      <c r="AF352" s="47">
        <v>0</v>
      </c>
      <c r="AG352" s="47">
        <v>0</v>
      </c>
      <c r="AH352" s="47">
        <v>0</v>
      </c>
      <c r="AI352" s="47">
        <v>0</v>
      </c>
      <c r="AJ352" s="47">
        <v>0</v>
      </c>
      <c r="AK352" s="47">
        <v>0</v>
      </c>
      <c r="AL352" s="47">
        <v>0</v>
      </c>
      <c r="AM352" s="47">
        <v>0</v>
      </c>
      <c r="AN352" s="47">
        <v>0</v>
      </c>
      <c r="AO352" s="47">
        <v>0</v>
      </c>
      <c r="AP352" s="47">
        <v>0</v>
      </c>
      <c r="AQ352" s="47">
        <v>0</v>
      </c>
      <c r="AR352" s="47">
        <v>0</v>
      </c>
      <c r="AS352" s="47">
        <v>0</v>
      </c>
      <c r="AT352" s="47">
        <v>0</v>
      </c>
      <c r="AU352" s="47">
        <v>0</v>
      </c>
      <c r="AV352" s="47">
        <v>0</v>
      </c>
      <c r="AW352" s="47">
        <v>0</v>
      </c>
      <c r="AX352" s="47">
        <v>0</v>
      </c>
      <c r="AY352" s="47">
        <v>0</v>
      </c>
      <c r="AZ352" s="47">
        <v>0</v>
      </c>
      <c r="BA352" s="47">
        <v>0</v>
      </c>
      <c r="BB352" s="47">
        <v>0</v>
      </c>
      <c r="BC352" s="47">
        <v>0</v>
      </c>
      <c r="BD352" s="47">
        <v>0</v>
      </c>
      <c r="BE352" s="47">
        <v>0</v>
      </c>
      <c r="BF352" s="47">
        <v>0</v>
      </c>
      <c r="BG352" s="47">
        <v>0</v>
      </c>
      <c r="BH352" s="47">
        <v>0</v>
      </c>
      <c r="BI352" s="47">
        <v>0</v>
      </c>
      <c r="BJ352" s="47">
        <v>0</v>
      </c>
      <c r="BK352" s="47">
        <v>0</v>
      </c>
      <c r="BL352" s="47">
        <v>0</v>
      </c>
      <c r="BM352" s="47">
        <v>0</v>
      </c>
      <c r="BN352" s="47">
        <v>0</v>
      </c>
      <c r="BO352" s="47">
        <v>0</v>
      </c>
      <c r="BP352" s="47">
        <v>0</v>
      </c>
      <c r="BQ352" s="47">
        <v>0</v>
      </c>
      <c r="BR352" s="47">
        <v>0</v>
      </c>
      <c r="BS352" s="47">
        <v>0</v>
      </c>
      <c r="BT352" s="47">
        <v>0</v>
      </c>
      <c r="BU352" s="47">
        <v>0</v>
      </c>
      <c r="BV352" s="47">
        <v>0</v>
      </c>
      <c r="BW352" s="47">
        <v>0</v>
      </c>
      <c r="BX352" s="47">
        <v>0</v>
      </c>
      <c r="BY352" s="47">
        <v>0</v>
      </c>
      <c r="BZ352" s="47">
        <v>0</v>
      </c>
      <c r="CA352" s="47">
        <v>0</v>
      </c>
      <c r="CB352" s="47">
        <v>0</v>
      </c>
      <c r="CC352" s="47">
        <v>0</v>
      </c>
      <c r="CD352" s="47">
        <v>0</v>
      </c>
      <c r="CE352" s="47">
        <v>0</v>
      </c>
      <c r="CF352" s="47">
        <v>0</v>
      </c>
      <c r="CG352" s="47">
        <v>0</v>
      </c>
      <c r="CH352" s="47">
        <v>0</v>
      </c>
      <c r="CI352" s="47">
        <v>0</v>
      </c>
      <c r="CJ352" s="47">
        <v>0</v>
      </c>
      <c r="CK352" s="47">
        <v>0</v>
      </c>
      <c r="CL352" s="47">
        <v>0</v>
      </c>
      <c r="CM352" s="47">
        <v>0</v>
      </c>
      <c r="CN352" s="47">
        <v>0</v>
      </c>
      <c r="CO352" s="47">
        <v>0</v>
      </c>
      <c r="CP352" s="47">
        <v>0</v>
      </c>
      <c r="CQ352" s="47">
        <v>0</v>
      </c>
      <c r="CR352" s="47">
        <v>0</v>
      </c>
      <c r="CS352" s="47">
        <v>0</v>
      </c>
      <c r="CT352" s="47">
        <v>0</v>
      </c>
      <c r="CU352" s="47">
        <v>0</v>
      </c>
      <c r="CV352" s="47">
        <v>0</v>
      </c>
      <c r="CW352" s="47">
        <v>0</v>
      </c>
      <c r="CX352" s="47">
        <v>0</v>
      </c>
      <c r="CY352" s="47">
        <v>0</v>
      </c>
      <c r="CZ352" s="47">
        <v>0</v>
      </c>
      <c r="DA352" s="47">
        <v>0</v>
      </c>
      <c r="DB352" s="47">
        <v>0</v>
      </c>
      <c r="DC352" s="47">
        <v>0</v>
      </c>
      <c r="DD352" s="47">
        <v>0</v>
      </c>
      <c r="DE352" s="47">
        <v>0</v>
      </c>
      <c r="DF352" s="47">
        <v>0</v>
      </c>
      <c r="DG352" s="47">
        <v>0</v>
      </c>
      <c r="DH352" s="47">
        <v>0</v>
      </c>
      <c r="DI352" s="47">
        <v>0</v>
      </c>
      <c r="DJ352" s="47">
        <v>0</v>
      </c>
      <c r="DK352" s="47">
        <v>0</v>
      </c>
      <c r="DL352" s="47">
        <v>0</v>
      </c>
      <c r="DM352" s="47">
        <v>0</v>
      </c>
      <c r="DN352" s="47">
        <v>0</v>
      </c>
      <c r="DO352" s="47">
        <v>0</v>
      </c>
      <c r="DP352" s="47">
        <v>0</v>
      </c>
      <c r="DQ352" s="47">
        <v>0</v>
      </c>
      <c r="DR352" s="47">
        <v>0</v>
      </c>
      <c r="DS352" s="47">
        <v>0</v>
      </c>
      <c r="DT352" s="47">
        <v>0</v>
      </c>
    </row>
    <row r="353" spans="1:126" x14ac:dyDescent="0.25">
      <c r="A353" s="47" t="s">
        <v>1715</v>
      </c>
      <c r="B353" s="47" t="s">
        <v>153</v>
      </c>
      <c r="C353" s="47" t="s">
        <v>1716</v>
      </c>
      <c r="D353" s="47" t="s">
        <v>1717</v>
      </c>
      <c r="E353" s="47" t="s">
        <v>1718</v>
      </c>
      <c r="F353" s="47" t="s">
        <v>698</v>
      </c>
      <c r="G353" s="47" t="s">
        <v>727</v>
      </c>
      <c r="H353" s="47" t="str">
        <f>=IFERROR(VLOOKUP(A353,'ETPT Format DDG'!A:J,10,FALSE),"")</f>
        <v>0</v>
      </c>
      <c r="I353" s="47" t="str">
        <f>='ETPT Format DDG'!M353</f>
        <v/>
      </c>
      <c r="J353" s="47" t="str">
        <f>='ETPT Format DDG'!D353</f>
        <v/>
      </c>
      <c r="K353" s="47" t="s">
        <v>157</v>
      </c>
      <c r="L353" s="47" t="s">
        <v>1243</v>
      </c>
      <c r="M353" s="47"/>
      <c r="N353" s="47">
        <v>1</v>
      </c>
      <c r="O353" s="47">
        <v>0</v>
      </c>
      <c r="P353" s="47">
        <v>0</v>
      </c>
      <c r="Q353" s="47">
        <v>0</v>
      </c>
      <c r="R353" s="47">
        <v>0</v>
      </c>
      <c r="S353" s="47">
        <v>0</v>
      </c>
      <c r="T353" s="47">
        <v>0</v>
      </c>
      <c r="U353" s="47">
        <v>0</v>
      </c>
      <c r="V353" s="47">
        <v>0</v>
      </c>
      <c r="W353" s="47">
        <v>0</v>
      </c>
      <c r="X353" s="47">
        <v>0</v>
      </c>
      <c r="Y353" s="47">
        <v>0</v>
      </c>
      <c r="Z353" s="47">
        <v>0</v>
      </c>
      <c r="AA353" s="47">
        <v>0</v>
      </c>
      <c r="AB353" s="47">
        <v>0</v>
      </c>
      <c r="AC353" s="47">
        <v>0</v>
      </c>
      <c r="AD353" s="47">
        <v>0</v>
      </c>
      <c r="AE353" s="47">
        <v>0</v>
      </c>
      <c r="AF353" s="47">
        <v>0</v>
      </c>
      <c r="AG353" s="47">
        <v>0</v>
      </c>
      <c r="AH353" s="47">
        <v>0</v>
      </c>
      <c r="AI353" s="47">
        <v>0</v>
      </c>
      <c r="AJ353" s="47">
        <v>0</v>
      </c>
      <c r="AK353" s="47">
        <v>0</v>
      </c>
      <c r="AL353" s="47">
        <v>0</v>
      </c>
      <c r="AM353" s="47">
        <v>0</v>
      </c>
      <c r="AN353" s="47">
        <v>0</v>
      </c>
      <c r="AO353" s="47">
        <v>0</v>
      </c>
      <c r="AP353" s="47">
        <v>0</v>
      </c>
      <c r="AQ353" s="47">
        <v>0</v>
      </c>
      <c r="AR353" s="47">
        <v>0</v>
      </c>
      <c r="AS353" s="47">
        <v>0</v>
      </c>
      <c r="AT353" s="47">
        <v>0</v>
      </c>
      <c r="AU353" s="47">
        <v>0</v>
      </c>
      <c r="AV353" s="47">
        <v>0</v>
      </c>
      <c r="AW353" s="47">
        <v>0</v>
      </c>
      <c r="AX353" s="47">
        <v>0</v>
      </c>
      <c r="AY353" s="47">
        <v>0</v>
      </c>
      <c r="AZ353" s="47">
        <v>0</v>
      </c>
      <c r="BA353" s="47">
        <v>0</v>
      </c>
      <c r="BB353" s="47">
        <v>0</v>
      </c>
      <c r="BC353" s="47">
        <v>0</v>
      </c>
      <c r="BD353" s="47">
        <v>0</v>
      </c>
      <c r="BE353" s="47">
        <v>0</v>
      </c>
      <c r="BF353" s="47">
        <v>0</v>
      </c>
      <c r="BG353" s="47">
        <v>0</v>
      </c>
      <c r="BH353" s="47">
        <v>0</v>
      </c>
      <c r="BI353" s="47">
        <v>0</v>
      </c>
      <c r="BJ353" s="47">
        <v>0</v>
      </c>
      <c r="BK353" s="47">
        <v>0</v>
      </c>
      <c r="BL353" s="47">
        <v>0</v>
      </c>
      <c r="BM353" s="47">
        <v>0</v>
      </c>
      <c r="BN353" s="47">
        <v>0</v>
      </c>
      <c r="BO353" s="47">
        <v>0</v>
      </c>
      <c r="BP353" s="47">
        <v>0</v>
      </c>
      <c r="BQ353" s="47">
        <v>0</v>
      </c>
      <c r="BR353" s="47">
        <v>0</v>
      </c>
      <c r="BS353" s="47">
        <v>0</v>
      </c>
      <c r="BT353" s="47">
        <v>0</v>
      </c>
      <c r="BU353" s="47">
        <v>0</v>
      </c>
      <c r="BV353" s="47">
        <v>0</v>
      </c>
      <c r="BW353" s="47">
        <v>0</v>
      </c>
      <c r="BX353" s="47">
        <v>0</v>
      </c>
      <c r="BY353" s="47">
        <v>0</v>
      </c>
      <c r="BZ353" s="47">
        <v>0</v>
      </c>
      <c r="CA353" s="47">
        <v>0</v>
      </c>
      <c r="CB353" s="47">
        <v>0</v>
      </c>
      <c r="CC353" s="47">
        <v>0</v>
      </c>
      <c r="CD353" s="47">
        <v>0</v>
      </c>
      <c r="CE353" s="47">
        <v>0</v>
      </c>
      <c r="CF353" s="47">
        <v>0</v>
      </c>
      <c r="CG353" s="47">
        <v>0</v>
      </c>
      <c r="CH353" s="47">
        <v>0</v>
      </c>
      <c r="CI353" s="47">
        <v>0</v>
      </c>
      <c r="CJ353" s="47">
        <v>0</v>
      </c>
      <c r="CK353" s="47">
        <v>0</v>
      </c>
      <c r="CL353" s="47">
        <v>0</v>
      </c>
      <c r="CM353" s="47">
        <v>0</v>
      </c>
      <c r="CN353" s="47">
        <v>0</v>
      </c>
      <c r="CO353" s="47">
        <v>0</v>
      </c>
      <c r="CP353" s="47">
        <v>0</v>
      </c>
      <c r="CQ353" s="47">
        <v>0</v>
      </c>
      <c r="CR353" s="47">
        <v>0</v>
      </c>
      <c r="CS353" s="47">
        <v>0</v>
      </c>
      <c r="CT353" s="47">
        <v>0</v>
      </c>
      <c r="CU353" s="47">
        <v>0</v>
      </c>
      <c r="CV353" s="47">
        <v>0</v>
      </c>
      <c r="CW353" s="47">
        <v>0</v>
      </c>
      <c r="CX353" s="47">
        <v>0</v>
      </c>
      <c r="CY353" s="47">
        <v>0</v>
      </c>
      <c r="CZ353" s="47">
        <v>0</v>
      </c>
      <c r="DA353" s="47">
        <v>0</v>
      </c>
      <c r="DB353" s="47">
        <v>0</v>
      </c>
      <c r="DC353" s="47">
        <v>0</v>
      </c>
      <c r="DD353" s="47">
        <v>0</v>
      </c>
      <c r="DE353" s="47">
        <v>0</v>
      </c>
      <c r="DF353" s="47">
        <v>0</v>
      </c>
      <c r="DG353" s="47">
        <v>0</v>
      </c>
      <c r="DH353" s="47">
        <v>0</v>
      </c>
      <c r="DI353" s="47">
        <v>0</v>
      </c>
      <c r="DJ353" s="47">
        <v>0</v>
      </c>
      <c r="DK353" s="47">
        <v>0</v>
      </c>
      <c r="DL353" s="47">
        <v>0</v>
      </c>
      <c r="DM353" s="47">
        <v>0</v>
      </c>
      <c r="DN353" s="47">
        <v>0</v>
      </c>
      <c r="DO353" s="47">
        <v>0</v>
      </c>
      <c r="DP353" s="47">
        <v>0</v>
      </c>
      <c r="DQ353" s="47">
        <v>0</v>
      </c>
      <c r="DR353" s="47">
        <v>0</v>
      </c>
      <c r="DS353" s="47">
        <v>0</v>
      </c>
      <c r="DT353" s="47">
        <v>0</v>
      </c>
    </row>
    <row r="354" spans="1:126" x14ac:dyDescent="0.25">
      <c r="A354" s="47" t="s">
        <v>1719</v>
      </c>
      <c r="B354" s="47" t="s">
        <v>153</v>
      </c>
      <c r="C354" s="47" t="s">
        <v>1720</v>
      </c>
      <c r="D354" s="47" t="s">
        <v>1721</v>
      </c>
      <c r="E354" s="47" t="s">
        <v>1722</v>
      </c>
      <c r="F354" s="47" t="s">
        <v>698</v>
      </c>
      <c r="G354" s="47" t="s">
        <v>705</v>
      </c>
      <c r="H354" s="47" t="str">
        <f>=IFERROR(VLOOKUP(A354,'ETPT Format DDG'!A:J,10,FALSE),"")</f>
        <v>0</v>
      </c>
      <c r="I354" s="47" t="str">
        <f>='ETPT Format DDG'!M354</f>
        <v/>
      </c>
      <c r="J354" s="47" t="str">
        <f>='ETPT Format DDG'!D354</f>
        <v/>
      </c>
      <c r="K354" s="47" t="s">
        <v>157</v>
      </c>
      <c r="L354" s="47" t="s">
        <v>1456</v>
      </c>
      <c r="M354" s="47"/>
      <c r="N354" s="47">
        <v>0.8</v>
      </c>
      <c r="O354" s="47">
        <v>0</v>
      </c>
      <c r="P354" s="47">
        <v>0</v>
      </c>
      <c r="Q354" s="47">
        <v>0</v>
      </c>
      <c r="R354" s="47">
        <v>0</v>
      </c>
      <c r="S354" s="47">
        <v>0</v>
      </c>
      <c r="T354" s="47">
        <v>0</v>
      </c>
      <c r="U354" s="47">
        <v>0</v>
      </c>
      <c r="V354" s="47">
        <v>0</v>
      </c>
      <c r="W354" s="47">
        <v>0</v>
      </c>
      <c r="X354" s="47">
        <v>0</v>
      </c>
      <c r="Y354" s="47">
        <v>0</v>
      </c>
      <c r="Z354" s="47">
        <v>0</v>
      </c>
      <c r="AA354" s="47">
        <v>0</v>
      </c>
      <c r="AB354" s="47">
        <v>0</v>
      </c>
      <c r="AC354" s="47">
        <v>0</v>
      </c>
      <c r="AD354" s="47">
        <v>0</v>
      </c>
      <c r="AE354" s="47">
        <v>0</v>
      </c>
      <c r="AF354" s="47">
        <v>0</v>
      </c>
      <c r="AG354" s="47">
        <v>0</v>
      </c>
      <c r="AH354" s="47">
        <v>0</v>
      </c>
      <c r="AI354" s="47">
        <v>0</v>
      </c>
      <c r="AJ354" s="47">
        <v>0</v>
      </c>
      <c r="AK354" s="47">
        <v>0</v>
      </c>
      <c r="AL354" s="47">
        <v>0</v>
      </c>
      <c r="AM354" s="47">
        <v>0</v>
      </c>
      <c r="AN354" s="47">
        <v>0</v>
      </c>
      <c r="AO354" s="47">
        <v>0</v>
      </c>
      <c r="AP354" s="47">
        <v>0</v>
      </c>
      <c r="AQ354" s="47">
        <v>0</v>
      </c>
      <c r="AR354" s="47">
        <v>0</v>
      </c>
      <c r="AS354" s="47">
        <v>0</v>
      </c>
      <c r="AT354" s="47">
        <v>0</v>
      </c>
      <c r="AU354" s="47">
        <v>0</v>
      </c>
      <c r="AV354" s="47">
        <v>0</v>
      </c>
      <c r="AW354" s="47">
        <v>0</v>
      </c>
      <c r="AX354" s="47">
        <v>0</v>
      </c>
      <c r="AY354" s="47">
        <v>0</v>
      </c>
      <c r="AZ354" s="47">
        <v>0</v>
      </c>
      <c r="BA354" s="47">
        <v>0</v>
      </c>
      <c r="BB354" s="47">
        <v>0</v>
      </c>
      <c r="BC354" s="47">
        <v>0</v>
      </c>
      <c r="BD354" s="47">
        <v>0</v>
      </c>
      <c r="BE354" s="47">
        <v>0</v>
      </c>
      <c r="BF354" s="47">
        <v>0</v>
      </c>
      <c r="BG354" s="47">
        <v>0</v>
      </c>
      <c r="BH354" s="47">
        <v>0</v>
      </c>
      <c r="BI354" s="47">
        <v>0</v>
      </c>
      <c r="BJ354" s="47">
        <v>0</v>
      </c>
      <c r="BK354" s="47">
        <v>0</v>
      </c>
      <c r="BL354" s="47">
        <v>0</v>
      </c>
      <c r="BM354" s="47">
        <v>0</v>
      </c>
      <c r="BN354" s="47">
        <v>0</v>
      </c>
      <c r="BO354" s="47">
        <v>0</v>
      </c>
      <c r="BP354" s="47">
        <v>0</v>
      </c>
      <c r="BQ354" s="47">
        <v>0</v>
      </c>
      <c r="BR354" s="47">
        <v>0</v>
      </c>
      <c r="BS354" s="47">
        <v>0</v>
      </c>
      <c r="BT354" s="47">
        <v>0</v>
      </c>
      <c r="BU354" s="47">
        <v>0</v>
      </c>
      <c r="BV354" s="47">
        <v>0</v>
      </c>
      <c r="BW354" s="47">
        <v>0</v>
      </c>
      <c r="BX354" s="47">
        <v>0</v>
      </c>
      <c r="BY354" s="47">
        <v>0</v>
      </c>
      <c r="BZ354" s="47">
        <v>0</v>
      </c>
      <c r="CA354" s="47">
        <v>0</v>
      </c>
      <c r="CB354" s="47">
        <v>0</v>
      </c>
      <c r="CC354" s="47">
        <v>0</v>
      </c>
      <c r="CD354" s="47">
        <v>0</v>
      </c>
      <c r="CE354" s="47">
        <v>0</v>
      </c>
      <c r="CF354" s="47">
        <v>0</v>
      </c>
      <c r="CG354" s="47">
        <v>0</v>
      </c>
      <c r="CH354" s="47">
        <v>0</v>
      </c>
      <c r="CI354" s="47">
        <v>0</v>
      </c>
      <c r="CJ354" s="47">
        <v>0</v>
      </c>
      <c r="CK354" s="47">
        <v>0</v>
      </c>
      <c r="CL354" s="47">
        <v>0</v>
      </c>
      <c r="CM354" s="47">
        <v>0</v>
      </c>
      <c r="CN354" s="47">
        <v>0</v>
      </c>
      <c r="CO354" s="47">
        <v>0</v>
      </c>
      <c r="CP354" s="47">
        <v>0</v>
      </c>
      <c r="CQ354" s="47">
        <v>0</v>
      </c>
      <c r="CR354" s="47">
        <v>0</v>
      </c>
      <c r="CS354" s="47">
        <v>0</v>
      </c>
      <c r="CT354" s="47">
        <v>0</v>
      </c>
      <c r="CU354" s="47">
        <v>0</v>
      </c>
      <c r="CV354" s="47">
        <v>0</v>
      </c>
      <c r="CW354" s="47">
        <v>0</v>
      </c>
      <c r="CX354" s="47">
        <v>0</v>
      </c>
      <c r="CY354" s="47">
        <v>0</v>
      </c>
      <c r="CZ354" s="47">
        <v>0</v>
      </c>
      <c r="DA354" s="47">
        <v>0</v>
      </c>
      <c r="DB354" s="47">
        <v>0</v>
      </c>
      <c r="DC354" s="47">
        <v>0</v>
      </c>
      <c r="DD354" s="47">
        <v>0</v>
      </c>
      <c r="DE354" s="47">
        <v>0</v>
      </c>
      <c r="DF354" s="47">
        <v>0</v>
      </c>
      <c r="DG354" s="47">
        <v>0</v>
      </c>
      <c r="DH354" s="47">
        <v>0</v>
      </c>
      <c r="DI354" s="47">
        <v>0</v>
      </c>
      <c r="DJ354" s="47">
        <v>0</v>
      </c>
      <c r="DK354" s="47">
        <v>0</v>
      </c>
      <c r="DL354" s="47">
        <v>0</v>
      </c>
      <c r="DM354" s="47">
        <v>0</v>
      </c>
      <c r="DN354" s="47">
        <v>0</v>
      </c>
      <c r="DO354" s="47">
        <v>0</v>
      </c>
      <c r="DP354" s="47">
        <v>0</v>
      </c>
      <c r="DQ354" s="47">
        <v>0</v>
      </c>
      <c r="DR354" s="47">
        <v>0</v>
      </c>
      <c r="DS354" s="47">
        <v>0</v>
      </c>
      <c r="DT354" s="47">
        <v>0</v>
      </c>
    </row>
    <row r="355" spans="1:126" x14ac:dyDescent="0.25">
      <c r="A355" s="47" t="s">
        <v>1723</v>
      </c>
      <c r="B355" s="47" t="s">
        <v>153</v>
      </c>
      <c r="C355" s="47" t="s">
        <v>1724</v>
      </c>
      <c r="D355" s="47" t="s">
        <v>1725</v>
      </c>
      <c r="E355" s="47" t="s">
        <v>1726</v>
      </c>
      <c r="F355" s="47" t="s">
        <v>698</v>
      </c>
      <c r="G355" s="47" t="s">
        <v>727</v>
      </c>
      <c r="H355" s="47" t="str">
        <f>=IFERROR(VLOOKUP(A355,'ETPT Format DDG'!A:J,10,FALSE),"")</f>
        <v>0</v>
      </c>
      <c r="I355" s="47" t="str">
        <f>='ETPT Format DDG'!M355</f>
        <v/>
      </c>
      <c r="J355" s="47" t="str">
        <f>='ETPT Format DDG'!D355</f>
        <v/>
      </c>
      <c r="K355" s="47" t="s">
        <v>157</v>
      </c>
      <c r="L355" s="47" t="s">
        <v>722</v>
      </c>
      <c r="M355" s="47"/>
      <c r="N355" s="47">
        <v>1</v>
      </c>
      <c r="O355" s="47">
        <v>0</v>
      </c>
      <c r="P355" s="47">
        <v>0</v>
      </c>
      <c r="Q355" s="47">
        <v>0</v>
      </c>
      <c r="R355" s="47">
        <v>0</v>
      </c>
      <c r="S355" s="47">
        <v>0</v>
      </c>
      <c r="T355" s="47">
        <v>0</v>
      </c>
      <c r="U355" s="47">
        <v>0</v>
      </c>
      <c r="V355" s="47">
        <v>0</v>
      </c>
      <c r="W355" s="47">
        <v>0</v>
      </c>
      <c r="X355" s="47">
        <v>0</v>
      </c>
      <c r="Y355" s="47">
        <v>0</v>
      </c>
      <c r="Z355" s="47">
        <v>0</v>
      </c>
      <c r="AA355" s="47">
        <v>0</v>
      </c>
      <c r="AB355" s="47">
        <v>0</v>
      </c>
      <c r="AC355" s="47">
        <v>0</v>
      </c>
      <c r="AD355" s="47">
        <v>0</v>
      </c>
      <c r="AE355" s="47">
        <v>0</v>
      </c>
      <c r="AF355" s="47">
        <v>0</v>
      </c>
      <c r="AG355" s="47">
        <v>0</v>
      </c>
      <c r="AH355" s="47">
        <v>0</v>
      </c>
      <c r="AI355" s="47">
        <v>0</v>
      </c>
      <c r="AJ355" s="47">
        <v>0</v>
      </c>
      <c r="AK355" s="47">
        <v>0</v>
      </c>
      <c r="AL355" s="47">
        <v>0</v>
      </c>
      <c r="AM355" s="47">
        <v>0</v>
      </c>
      <c r="AN355" s="47">
        <v>0</v>
      </c>
      <c r="AO355" s="47">
        <v>0</v>
      </c>
      <c r="AP355" s="47">
        <v>0</v>
      </c>
      <c r="AQ355" s="47">
        <v>0</v>
      </c>
      <c r="AR355" s="47">
        <v>0</v>
      </c>
      <c r="AS355" s="47">
        <v>0</v>
      </c>
      <c r="AT355" s="47">
        <v>0</v>
      </c>
      <c r="AU355" s="47">
        <v>0</v>
      </c>
      <c r="AV355" s="47">
        <v>0</v>
      </c>
      <c r="AW355" s="47">
        <v>0</v>
      </c>
      <c r="AX355" s="47">
        <v>0</v>
      </c>
      <c r="AY355" s="47">
        <v>0</v>
      </c>
      <c r="AZ355" s="47">
        <v>0</v>
      </c>
      <c r="BA355" s="47">
        <v>0</v>
      </c>
      <c r="BB355" s="47">
        <v>0</v>
      </c>
      <c r="BC355" s="47">
        <v>0</v>
      </c>
      <c r="BD355" s="47">
        <v>0</v>
      </c>
      <c r="BE355" s="47">
        <v>0</v>
      </c>
      <c r="BF355" s="47">
        <v>0</v>
      </c>
      <c r="BG355" s="47">
        <v>0</v>
      </c>
      <c r="BH355" s="47">
        <v>0</v>
      </c>
      <c r="BI355" s="47">
        <v>0</v>
      </c>
      <c r="BJ355" s="47">
        <v>0</v>
      </c>
      <c r="BK355" s="47">
        <v>0</v>
      </c>
      <c r="BL355" s="47">
        <v>0</v>
      </c>
      <c r="BM355" s="47">
        <v>0</v>
      </c>
      <c r="BN355" s="47">
        <v>0</v>
      </c>
      <c r="BO355" s="47">
        <v>0</v>
      </c>
      <c r="BP355" s="47">
        <v>0</v>
      </c>
      <c r="BQ355" s="47">
        <v>0</v>
      </c>
      <c r="BR355" s="47">
        <v>0</v>
      </c>
      <c r="BS355" s="47">
        <v>0</v>
      </c>
      <c r="BT355" s="47">
        <v>0</v>
      </c>
      <c r="BU355" s="47">
        <v>0</v>
      </c>
      <c r="BV355" s="47">
        <v>0</v>
      </c>
      <c r="BW355" s="47">
        <v>0</v>
      </c>
      <c r="BX355" s="47">
        <v>0</v>
      </c>
      <c r="BY355" s="47">
        <v>0</v>
      </c>
      <c r="BZ355" s="47">
        <v>0</v>
      </c>
      <c r="CA355" s="47">
        <v>0</v>
      </c>
      <c r="CB355" s="47">
        <v>0</v>
      </c>
      <c r="CC355" s="47">
        <v>0</v>
      </c>
      <c r="CD355" s="47">
        <v>0</v>
      </c>
      <c r="CE355" s="47">
        <v>0</v>
      </c>
      <c r="CF355" s="47">
        <v>0</v>
      </c>
      <c r="CG355" s="47">
        <v>0</v>
      </c>
      <c r="CH355" s="47">
        <v>0</v>
      </c>
      <c r="CI355" s="47">
        <v>0</v>
      </c>
      <c r="CJ355" s="47">
        <v>0</v>
      </c>
      <c r="CK355" s="47">
        <v>0</v>
      </c>
      <c r="CL355" s="47">
        <v>0</v>
      </c>
      <c r="CM355" s="47">
        <v>0</v>
      </c>
      <c r="CN355" s="47">
        <v>0</v>
      </c>
      <c r="CO355" s="47">
        <v>0</v>
      </c>
      <c r="CP355" s="47">
        <v>0</v>
      </c>
      <c r="CQ355" s="47">
        <v>0</v>
      </c>
      <c r="CR355" s="47">
        <v>0</v>
      </c>
      <c r="CS355" s="47">
        <v>0</v>
      </c>
      <c r="CT355" s="47">
        <v>0</v>
      </c>
      <c r="CU355" s="47">
        <v>0</v>
      </c>
      <c r="CV355" s="47">
        <v>0</v>
      </c>
      <c r="CW355" s="47">
        <v>0</v>
      </c>
      <c r="CX355" s="47">
        <v>0</v>
      </c>
      <c r="CY355" s="47">
        <v>0</v>
      </c>
      <c r="CZ355" s="47">
        <v>0</v>
      </c>
      <c r="DA355" s="47">
        <v>0</v>
      </c>
      <c r="DB355" s="47">
        <v>0</v>
      </c>
      <c r="DC355" s="47">
        <v>0</v>
      </c>
      <c r="DD355" s="47">
        <v>0</v>
      </c>
      <c r="DE355" s="47">
        <v>0</v>
      </c>
      <c r="DF355" s="47">
        <v>0</v>
      </c>
      <c r="DG355" s="47">
        <v>0</v>
      </c>
      <c r="DH355" s="47">
        <v>0</v>
      </c>
      <c r="DI355" s="47">
        <v>0</v>
      </c>
      <c r="DJ355" s="47">
        <v>0</v>
      </c>
      <c r="DK355" s="47">
        <v>0</v>
      </c>
      <c r="DL355" s="47">
        <v>0</v>
      </c>
      <c r="DM355" s="47">
        <v>0</v>
      </c>
      <c r="DN355" s="47">
        <v>0</v>
      </c>
      <c r="DO355" s="47">
        <v>0</v>
      </c>
      <c r="DP355" s="47">
        <v>0</v>
      </c>
      <c r="DQ355" s="47">
        <v>0</v>
      </c>
      <c r="DR355" s="47">
        <v>0</v>
      </c>
      <c r="DS355" s="47">
        <v>0</v>
      </c>
      <c r="DT355" s="47">
        <v>0</v>
      </c>
    </row>
    <row r="356" spans="1:126" x14ac:dyDescent="0.25">
      <c r="A356" s="47" t="s">
        <v>1727</v>
      </c>
      <c r="B356" s="47" t="s">
        <v>153</v>
      </c>
      <c r="C356" s="47" t="s">
        <v>1728</v>
      </c>
      <c r="D356" s="47" t="s">
        <v>1729</v>
      </c>
      <c r="E356" s="47" t="s">
        <v>1730</v>
      </c>
      <c r="F356" s="47" t="s">
        <v>698</v>
      </c>
      <c r="G356" s="47" t="s">
        <v>1731</v>
      </c>
      <c r="H356" s="47" t="str">
        <f>=IFERROR(VLOOKUP(A356,'ETPT Format DDG'!A:J,10,FALSE),"")</f>
        <v>0</v>
      </c>
      <c r="I356" s="47" t="str">
        <f>='ETPT Format DDG'!M356</f>
        <v/>
      </c>
      <c r="J356" s="47" t="str">
        <f>='ETPT Format DDG'!D356</f>
        <v/>
      </c>
      <c r="K356" s="47" t="s">
        <v>157</v>
      </c>
      <c r="L356" s="47" t="s">
        <v>782</v>
      </c>
      <c r="M356" s="47"/>
      <c r="N356" s="47">
        <v>1</v>
      </c>
      <c r="O356" s="47">
        <v>0</v>
      </c>
      <c r="P356" s="47">
        <v>0</v>
      </c>
      <c r="Q356" s="47">
        <v>0</v>
      </c>
      <c r="R356" s="47">
        <v>0</v>
      </c>
      <c r="S356" s="47">
        <v>0</v>
      </c>
      <c r="T356" s="47">
        <v>0</v>
      </c>
      <c r="U356" s="47">
        <v>0</v>
      </c>
      <c r="V356" s="47">
        <v>0</v>
      </c>
      <c r="W356" s="47">
        <v>0</v>
      </c>
      <c r="X356" s="47">
        <v>0</v>
      </c>
      <c r="Y356" s="47">
        <v>0</v>
      </c>
      <c r="Z356" s="47">
        <v>0</v>
      </c>
      <c r="AA356" s="47">
        <v>0</v>
      </c>
      <c r="AB356" s="47">
        <v>0</v>
      </c>
      <c r="AC356" s="47">
        <v>0</v>
      </c>
      <c r="AD356" s="47">
        <v>0</v>
      </c>
      <c r="AE356" s="47">
        <v>0</v>
      </c>
      <c r="AF356" s="47">
        <v>0</v>
      </c>
      <c r="AG356" s="47">
        <v>0</v>
      </c>
      <c r="AH356" s="47">
        <v>0</v>
      </c>
      <c r="AI356" s="47">
        <v>0</v>
      </c>
      <c r="AJ356" s="47">
        <v>0</v>
      </c>
      <c r="AK356" s="47">
        <v>0</v>
      </c>
      <c r="AL356" s="47">
        <v>0</v>
      </c>
      <c r="AM356" s="47">
        <v>0</v>
      </c>
      <c r="AN356" s="47">
        <v>0</v>
      </c>
      <c r="AO356" s="47">
        <v>0</v>
      </c>
      <c r="AP356" s="47">
        <v>0</v>
      </c>
      <c r="AQ356" s="47">
        <v>0</v>
      </c>
      <c r="AR356" s="47">
        <v>0</v>
      </c>
      <c r="AS356" s="47">
        <v>0</v>
      </c>
      <c r="AT356" s="47">
        <v>0</v>
      </c>
      <c r="AU356" s="47">
        <v>0</v>
      </c>
      <c r="AV356" s="47">
        <v>0</v>
      </c>
      <c r="AW356" s="47">
        <v>0</v>
      </c>
      <c r="AX356" s="47">
        <v>0</v>
      </c>
      <c r="AY356" s="47">
        <v>0</v>
      </c>
      <c r="AZ356" s="47">
        <v>0</v>
      </c>
      <c r="BA356" s="47">
        <v>0</v>
      </c>
      <c r="BB356" s="47">
        <v>0</v>
      </c>
      <c r="BC356" s="47">
        <v>0</v>
      </c>
      <c r="BD356" s="47">
        <v>0</v>
      </c>
      <c r="BE356" s="47">
        <v>0</v>
      </c>
      <c r="BF356" s="47">
        <v>0</v>
      </c>
      <c r="BG356" s="47">
        <v>0</v>
      </c>
      <c r="BH356" s="47">
        <v>0</v>
      </c>
      <c r="BI356" s="47">
        <v>0</v>
      </c>
      <c r="BJ356" s="47">
        <v>0</v>
      </c>
      <c r="BK356" s="47">
        <v>0</v>
      </c>
      <c r="BL356" s="47">
        <v>0</v>
      </c>
      <c r="BM356" s="47">
        <v>0</v>
      </c>
      <c r="BN356" s="47">
        <v>0</v>
      </c>
      <c r="BO356" s="47">
        <v>0</v>
      </c>
      <c r="BP356" s="47">
        <v>0</v>
      </c>
      <c r="BQ356" s="47">
        <v>0</v>
      </c>
      <c r="BR356" s="47">
        <v>0</v>
      </c>
      <c r="BS356" s="47">
        <v>0</v>
      </c>
      <c r="BT356" s="47">
        <v>0</v>
      </c>
      <c r="BU356" s="47">
        <v>0</v>
      </c>
      <c r="BV356" s="47">
        <v>0</v>
      </c>
      <c r="BW356" s="47">
        <v>0</v>
      </c>
      <c r="BX356" s="47">
        <v>0</v>
      </c>
      <c r="BY356" s="47">
        <v>0</v>
      </c>
      <c r="BZ356" s="47">
        <v>0</v>
      </c>
      <c r="CA356" s="47">
        <v>0</v>
      </c>
      <c r="CB356" s="47">
        <v>0</v>
      </c>
      <c r="CC356" s="47">
        <v>0</v>
      </c>
      <c r="CD356" s="47">
        <v>0</v>
      </c>
      <c r="CE356" s="47">
        <v>0</v>
      </c>
      <c r="CF356" s="47">
        <v>0</v>
      </c>
      <c r="CG356" s="47">
        <v>0</v>
      </c>
      <c r="CH356" s="47">
        <v>0</v>
      </c>
      <c r="CI356" s="47">
        <v>0</v>
      </c>
      <c r="CJ356" s="47">
        <v>0</v>
      </c>
      <c r="CK356" s="47">
        <v>0</v>
      </c>
      <c r="CL356" s="47">
        <v>0</v>
      </c>
      <c r="CM356" s="47">
        <v>0</v>
      </c>
      <c r="CN356" s="47">
        <v>0</v>
      </c>
      <c r="CO356" s="47">
        <v>0</v>
      </c>
      <c r="CP356" s="47">
        <v>0</v>
      </c>
      <c r="CQ356" s="47">
        <v>0</v>
      </c>
      <c r="CR356" s="47">
        <v>0</v>
      </c>
      <c r="CS356" s="47">
        <v>0</v>
      </c>
      <c r="CT356" s="47">
        <v>0</v>
      </c>
      <c r="CU356" s="47">
        <v>0</v>
      </c>
      <c r="CV356" s="47">
        <v>0</v>
      </c>
      <c r="CW356" s="47">
        <v>0</v>
      </c>
      <c r="CX356" s="47">
        <v>0</v>
      </c>
      <c r="CY356" s="47">
        <v>0</v>
      </c>
      <c r="CZ356" s="47">
        <v>0</v>
      </c>
      <c r="DA356" s="47">
        <v>0</v>
      </c>
      <c r="DB356" s="47">
        <v>0</v>
      </c>
      <c r="DC356" s="47">
        <v>0</v>
      </c>
      <c r="DD356" s="47">
        <v>0</v>
      </c>
      <c r="DE356" s="47">
        <v>0</v>
      </c>
      <c r="DF356" s="47">
        <v>0</v>
      </c>
      <c r="DG356" s="47">
        <v>0</v>
      </c>
      <c r="DH356" s="47">
        <v>0</v>
      </c>
      <c r="DI356" s="47">
        <v>0</v>
      </c>
      <c r="DJ356" s="47">
        <v>0</v>
      </c>
      <c r="DK356" s="47">
        <v>0</v>
      </c>
      <c r="DL356" s="47">
        <v>0</v>
      </c>
      <c r="DM356" s="47">
        <v>0</v>
      </c>
      <c r="DN356" s="47">
        <v>0</v>
      </c>
      <c r="DO356" s="47">
        <v>0</v>
      </c>
      <c r="DP356" s="47">
        <v>0</v>
      </c>
      <c r="DQ356" s="47">
        <v>0</v>
      </c>
      <c r="DR356" s="47">
        <v>0</v>
      </c>
      <c r="DS356" s="47">
        <v>0</v>
      </c>
      <c r="DT356" s="47">
        <v>0</v>
      </c>
    </row>
    <row r="357" spans="1:126" x14ac:dyDescent="0.25">
      <c r="A357" s="47" t="s">
        <v>1732</v>
      </c>
      <c r="B357" s="47" t="s">
        <v>153</v>
      </c>
      <c r="C357" s="47" t="s">
        <v>1733</v>
      </c>
      <c r="D357" s="47" t="s">
        <v>1734</v>
      </c>
      <c r="E357" s="47" t="s">
        <v>1735</v>
      </c>
      <c r="F357" s="47" t="s">
        <v>698</v>
      </c>
      <c r="G357" s="47" t="s">
        <v>727</v>
      </c>
      <c r="H357" s="47" t="str">
        <f>=IFERROR(VLOOKUP(A357,'ETPT Format DDG'!A:J,10,FALSE),"")</f>
        <v>0</v>
      </c>
      <c r="I357" s="47" t="str">
        <f>='ETPT Format DDG'!M357</f>
        <v/>
      </c>
      <c r="J357" s="47" t="str">
        <f>='ETPT Format DDG'!D357</f>
        <v/>
      </c>
      <c r="K357" s="47" t="s">
        <v>157</v>
      </c>
      <c r="L357" s="47" t="s">
        <v>1736</v>
      </c>
      <c r="M357" s="47"/>
      <c r="N357" s="47">
        <v>1</v>
      </c>
      <c r="O357" s="47">
        <v>1</v>
      </c>
      <c r="P357" s="47">
        <v>0</v>
      </c>
      <c r="Q357" s="47">
        <v>0</v>
      </c>
      <c r="R357" s="47">
        <v>0</v>
      </c>
      <c r="S357" s="47">
        <v>0</v>
      </c>
      <c r="T357" s="47">
        <v>0</v>
      </c>
      <c r="U357" s="47">
        <v>0</v>
      </c>
      <c r="V357" s="47">
        <v>0</v>
      </c>
      <c r="W357" s="47">
        <v>0</v>
      </c>
      <c r="X357" s="47">
        <v>0</v>
      </c>
      <c r="Y357" s="47">
        <v>0</v>
      </c>
      <c r="Z357" s="47">
        <v>0</v>
      </c>
      <c r="AA357" s="47">
        <v>0</v>
      </c>
      <c r="AB357" s="47">
        <v>0</v>
      </c>
      <c r="AC357" s="47">
        <v>0</v>
      </c>
      <c r="AD357" s="47">
        <v>0</v>
      </c>
      <c r="AE357" s="47">
        <v>0</v>
      </c>
      <c r="AF357" s="47">
        <v>0</v>
      </c>
      <c r="AG357" s="47">
        <v>0</v>
      </c>
      <c r="AH357" s="47">
        <v>0</v>
      </c>
      <c r="AI357" s="47">
        <v>0</v>
      </c>
      <c r="AJ357" s="47">
        <v>0</v>
      </c>
      <c r="AK357" s="47">
        <v>0</v>
      </c>
      <c r="AL357" s="47">
        <v>0</v>
      </c>
      <c r="AM357" s="47">
        <v>0</v>
      </c>
      <c r="AN357" s="47">
        <v>0</v>
      </c>
      <c r="AO357" s="47">
        <v>0</v>
      </c>
      <c r="AP357" s="47">
        <v>0</v>
      </c>
      <c r="AQ357" s="47">
        <v>0</v>
      </c>
      <c r="AR357" s="47">
        <v>0</v>
      </c>
      <c r="AS357" s="47">
        <v>0</v>
      </c>
      <c r="AT357" s="47">
        <v>0</v>
      </c>
      <c r="AU357" s="47">
        <v>0</v>
      </c>
      <c r="AV357" s="47">
        <v>0</v>
      </c>
      <c r="AW357" s="47">
        <v>0</v>
      </c>
      <c r="AX357" s="47">
        <v>0</v>
      </c>
      <c r="AY357" s="47">
        <v>0</v>
      </c>
      <c r="AZ357" s="47">
        <v>0</v>
      </c>
      <c r="BA357" s="47">
        <v>0</v>
      </c>
      <c r="BB357" s="47">
        <v>0</v>
      </c>
      <c r="BC357" s="47">
        <v>0</v>
      </c>
      <c r="BD357" s="47">
        <v>0</v>
      </c>
      <c r="BE357" s="47">
        <v>0</v>
      </c>
      <c r="BF357" s="47">
        <v>0</v>
      </c>
      <c r="BG357" s="47">
        <v>0</v>
      </c>
      <c r="BH357" s="47">
        <v>0</v>
      </c>
      <c r="BI357" s="47">
        <v>0</v>
      </c>
      <c r="BJ357" s="47">
        <v>0</v>
      </c>
      <c r="BK357" s="47">
        <v>0</v>
      </c>
      <c r="BL357" s="47">
        <v>1</v>
      </c>
      <c r="BM357" s="47">
        <v>0</v>
      </c>
      <c r="BN357" s="47">
        <v>0</v>
      </c>
      <c r="BO357" s="47">
        <v>0</v>
      </c>
      <c r="BP357" s="47">
        <v>0</v>
      </c>
      <c r="BQ357" s="47">
        <v>0</v>
      </c>
      <c r="BR357" s="47">
        <v>0</v>
      </c>
      <c r="BS357" s="47">
        <v>0</v>
      </c>
      <c r="BT357" s="47">
        <v>0</v>
      </c>
      <c r="BU357" s="47">
        <v>0</v>
      </c>
      <c r="BV357" s="47">
        <v>0</v>
      </c>
      <c r="BW357" s="47">
        <v>0</v>
      </c>
      <c r="BX357" s="47">
        <v>0</v>
      </c>
      <c r="BY357" s="47">
        <v>0</v>
      </c>
      <c r="BZ357" s="47">
        <v>0</v>
      </c>
      <c r="CA357" s="47">
        <v>0</v>
      </c>
      <c r="CB357" s="47">
        <v>0</v>
      </c>
      <c r="CC357" s="47">
        <v>0</v>
      </c>
      <c r="CD357" s="47">
        <v>0</v>
      </c>
      <c r="CE357" s="47">
        <v>0</v>
      </c>
      <c r="CF357" s="47">
        <v>0</v>
      </c>
      <c r="CG357" s="47">
        <v>0</v>
      </c>
      <c r="CH357" s="47">
        <v>0</v>
      </c>
      <c r="CI357" s="47">
        <v>0</v>
      </c>
      <c r="CJ357" s="47">
        <v>0</v>
      </c>
      <c r="CK357" s="47">
        <v>0</v>
      </c>
      <c r="CL357" s="47">
        <v>0</v>
      </c>
      <c r="CM357" s="47">
        <v>0</v>
      </c>
      <c r="CN357" s="47">
        <v>0</v>
      </c>
      <c r="CO357" s="47">
        <v>0</v>
      </c>
      <c r="CP357" s="47">
        <v>0</v>
      </c>
      <c r="CQ357" s="47">
        <v>0</v>
      </c>
      <c r="CR357" s="47">
        <v>0</v>
      </c>
      <c r="CS357" s="47">
        <v>0</v>
      </c>
      <c r="CT357" s="47">
        <v>0</v>
      </c>
      <c r="CU357" s="47">
        <v>0</v>
      </c>
      <c r="CV357" s="47">
        <v>0</v>
      </c>
      <c r="CW357" s="47">
        <v>0</v>
      </c>
      <c r="CX357" s="47">
        <v>0</v>
      </c>
      <c r="CY357" s="47">
        <v>0</v>
      </c>
      <c r="CZ357" s="47">
        <v>0</v>
      </c>
      <c r="DA357" s="47">
        <v>0</v>
      </c>
      <c r="DB357" s="47">
        <v>0</v>
      </c>
      <c r="DC357" s="47">
        <v>0</v>
      </c>
      <c r="DD357" s="47">
        <v>0</v>
      </c>
      <c r="DE357" s="47">
        <v>0</v>
      </c>
      <c r="DF357" s="47">
        <v>0</v>
      </c>
      <c r="DG357" s="47">
        <v>0</v>
      </c>
      <c r="DH357" s="47">
        <v>0</v>
      </c>
      <c r="DI357" s="47">
        <v>0</v>
      </c>
      <c r="DJ357" s="47">
        <v>0</v>
      </c>
      <c r="DK357" s="47">
        <v>0</v>
      </c>
      <c r="DL357" s="47">
        <v>0</v>
      </c>
      <c r="DM357" s="47">
        <v>0</v>
      </c>
      <c r="DN357" s="47">
        <v>0</v>
      </c>
      <c r="DO357" s="47">
        <v>0</v>
      </c>
      <c r="DP357" s="47">
        <v>0</v>
      </c>
      <c r="DQ357" s="47">
        <v>0</v>
      </c>
      <c r="DR357" s="47">
        <v>0</v>
      </c>
      <c r="DS357" s="47">
        <v>0</v>
      </c>
      <c r="DT357" s="47">
        <v>0</v>
      </c>
    </row>
    <row r="358" spans="1:126" x14ac:dyDescent="0.25">
      <c r="A358" s="47" t="s">
        <v>1737</v>
      </c>
      <c r="B358" s="47" t="s">
        <v>153</v>
      </c>
      <c r="C358" s="47" t="s">
        <v>1738</v>
      </c>
      <c r="D358" s="47" t="s">
        <v>1739</v>
      </c>
      <c r="E358" s="47" t="s">
        <v>1740</v>
      </c>
      <c r="F358" s="47" t="s">
        <v>698</v>
      </c>
      <c r="G358" s="47" t="s">
        <v>727</v>
      </c>
      <c r="H358" s="47" t="str">
        <f>=IFERROR(VLOOKUP(A358,'ETPT Format DDG'!A:J,10,FALSE),"")</f>
        <v>0</v>
      </c>
      <c r="I358" s="47" t="str">
        <f>='ETPT Format DDG'!M358</f>
        <v/>
      </c>
      <c r="J358" s="47" t="str">
        <f>='ETPT Format DDG'!D358</f>
        <v/>
      </c>
      <c r="K358" s="47" t="s">
        <v>157</v>
      </c>
      <c r="L358" s="47" t="s">
        <v>1741</v>
      </c>
      <c r="M358" s="47"/>
      <c r="N358" s="47">
        <v>0.8</v>
      </c>
      <c r="O358" s="47">
        <v>0.8</v>
      </c>
      <c r="P358" s="47">
        <v>0</v>
      </c>
      <c r="Q358" s="47">
        <v>0</v>
      </c>
      <c r="R358" s="47">
        <v>0</v>
      </c>
      <c r="S358" s="47">
        <v>0</v>
      </c>
      <c r="T358" s="47">
        <v>0</v>
      </c>
      <c r="U358" s="47">
        <v>0</v>
      </c>
      <c r="V358" s="47">
        <v>0</v>
      </c>
      <c r="W358" s="47">
        <v>0</v>
      </c>
      <c r="X358" s="47">
        <v>0</v>
      </c>
      <c r="Y358" s="47">
        <v>0</v>
      </c>
      <c r="Z358" s="47">
        <v>0</v>
      </c>
      <c r="AA358" s="47">
        <v>0</v>
      </c>
      <c r="AB358" s="47">
        <v>0</v>
      </c>
      <c r="AC358" s="47">
        <v>0</v>
      </c>
      <c r="AD358" s="47">
        <v>0</v>
      </c>
      <c r="AE358" s="47">
        <v>0.64</v>
      </c>
      <c r="AF358" s="47">
        <v>0.64</v>
      </c>
      <c r="AG358" s="47">
        <v>0</v>
      </c>
      <c r="AH358" s="47">
        <v>0</v>
      </c>
      <c r="AI358" s="47">
        <v>0</v>
      </c>
      <c r="AJ358" s="47">
        <v>0</v>
      </c>
      <c r="AK358" s="47">
        <v>0</v>
      </c>
      <c r="AL358" s="47">
        <v>0</v>
      </c>
      <c r="AM358" s="47">
        <v>0</v>
      </c>
      <c r="AN358" s="47">
        <v>0</v>
      </c>
      <c r="AO358" s="47">
        <v>0</v>
      </c>
      <c r="AP358" s="47">
        <v>0</v>
      </c>
      <c r="AQ358" s="47">
        <v>0</v>
      </c>
      <c r="AR358" s="47">
        <v>0</v>
      </c>
      <c r="AS358" s="47">
        <v>0</v>
      </c>
      <c r="AT358" s="47">
        <v>0</v>
      </c>
      <c r="AU358" s="47">
        <v>0</v>
      </c>
      <c r="AV358" s="47">
        <v>0</v>
      </c>
      <c r="AW358" s="47">
        <v>0</v>
      </c>
      <c r="AX358" s="47">
        <v>0</v>
      </c>
      <c r="AY358" s="47">
        <v>0</v>
      </c>
      <c r="AZ358" s="47">
        <v>0</v>
      </c>
      <c r="BA358" s="47">
        <v>0</v>
      </c>
      <c r="BB358" s="47">
        <v>0</v>
      </c>
      <c r="BC358" s="47">
        <v>0</v>
      </c>
      <c r="BD358" s="47">
        <v>0</v>
      </c>
      <c r="BE358" s="47">
        <v>0</v>
      </c>
      <c r="BF358" s="47">
        <v>0</v>
      </c>
      <c r="BG358" s="47">
        <v>0</v>
      </c>
      <c r="BH358" s="47">
        <v>0</v>
      </c>
      <c r="BI358" s="47">
        <v>0</v>
      </c>
      <c r="BJ358" s="47">
        <v>0</v>
      </c>
      <c r="BK358" s="47">
        <v>0</v>
      </c>
      <c r="BL358" s="47">
        <v>0</v>
      </c>
      <c r="BM358" s="47">
        <v>0</v>
      </c>
      <c r="BN358" s="47">
        <v>0</v>
      </c>
      <c r="BO358" s="47">
        <v>0</v>
      </c>
      <c r="BP358" s="47">
        <v>0</v>
      </c>
      <c r="BQ358" s="47">
        <v>0</v>
      </c>
      <c r="BR358" s="47">
        <v>0</v>
      </c>
      <c r="BS358" s="47">
        <v>0</v>
      </c>
      <c r="BT358" s="47">
        <v>0</v>
      </c>
      <c r="BU358" s="47">
        <v>0</v>
      </c>
      <c r="BV358" s="47">
        <v>0</v>
      </c>
      <c r="BW358" s="47">
        <v>0</v>
      </c>
      <c r="BX358" s="47">
        <v>0</v>
      </c>
      <c r="BY358" s="47">
        <v>0</v>
      </c>
      <c r="BZ358" s="47">
        <v>0</v>
      </c>
      <c r="CA358" s="47">
        <v>0</v>
      </c>
      <c r="CB358" s="47">
        <v>0</v>
      </c>
      <c r="CC358" s="47">
        <v>0</v>
      </c>
      <c r="CD358" s="47">
        <v>0</v>
      </c>
      <c r="CE358" s="47">
        <v>0</v>
      </c>
      <c r="CF358" s="47">
        <v>0</v>
      </c>
      <c r="CG358" s="47">
        <v>0</v>
      </c>
      <c r="CH358" s="47">
        <v>0</v>
      </c>
      <c r="CI358" s="47">
        <v>0</v>
      </c>
      <c r="CJ358" s="47">
        <v>0</v>
      </c>
      <c r="CK358" s="47">
        <v>0</v>
      </c>
      <c r="CL358" s="47">
        <v>0</v>
      </c>
      <c r="CM358" s="47">
        <v>0</v>
      </c>
      <c r="CN358" s="47">
        <v>0</v>
      </c>
      <c r="CO358" s="47">
        <v>0</v>
      </c>
      <c r="CP358" s="47">
        <v>0</v>
      </c>
      <c r="CQ358" s="47">
        <v>0</v>
      </c>
      <c r="CR358" s="47">
        <v>0</v>
      </c>
      <c r="CS358" s="47">
        <v>0</v>
      </c>
      <c r="CT358" s="47">
        <v>0.16</v>
      </c>
      <c r="CU358" s="47">
        <v>0</v>
      </c>
      <c r="CV358" s="47">
        <v>0.04</v>
      </c>
      <c r="CW358" s="47">
        <v>0</v>
      </c>
      <c r="CX358" s="47">
        <v>0</v>
      </c>
      <c r="CY358" s="47">
        <v>0</v>
      </c>
      <c r="CZ358" s="47">
        <v>0.12</v>
      </c>
      <c r="DA358" s="47">
        <v>0</v>
      </c>
      <c r="DB358" s="47">
        <v>0</v>
      </c>
      <c r="DC358" s="47">
        <v>0</v>
      </c>
      <c r="DD358" s="47">
        <v>0</v>
      </c>
      <c r="DE358" s="47">
        <v>0</v>
      </c>
      <c r="DF358" s="47">
        <v>0</v>
      </c>
      <c r="DG358" s="47">
        <v>0</v>
      </c>
      <c r="DH358" s="47">
        <v>0</v>
      </c>
      <c r="DI358" s="47">
        <v>0</v>
      </c>
      <c r="DJ358" s="47">
        <v>0</v>
      </c>
      <c r="DK358" s="47">
        <v>0</v>
      </c>
      <c r="DL358" s="47">
        <v>0</v>
      </c>
      <c r="DM358" s="47">
        <v>0</v>
      </c>
      <c r="DN358" s="47">
        <v>0</v>
      </c>
      <c r="DO358" s="47">
        <v>0</v>
      </c>
      <c r="DP358" s="47">
        <v>0</v>
      </c>
      <c r="DQ358" s="47">
        <v>0</v>
      </c>
      <c r="DR358" s="47">
        <v>0</v>
      </c>
      <c r="DS358" s="47">
        <v>0</v>
      </c>
      <c r="DT358" s="47">
        <v>0</v>
      </c>
    </row>
    <row r="359" spans="1:126" x14ac:dyDescent="0.25">
      <c r="A359" s="47" t="s">
        <v>1742</v>
      </c>
      <c r="B359" s="47" t="s">
        <v>153</v>
      </c>
      <c r="C359" s="47" t="s">
        <v>1743</v>
      </c>
      <c r="D359" s="47" t="s">
        <v>1744</v>
      </c>
      <c r="E359" s="47" t="s">
        <v>1745</v>
      </c>
      <c r="F359" s="47" t="s">
        <v>698</v>
      </c>
      <c r="G359" s="47" t="s">
        <v>727</v>
      </c>
      <c r="H359" s="47" t="str">
        <f>=IFERROR(VLOOKUP(A359,'ETPT Format DDG'!A:J,10,FALSE),"")</f>
        <v>0</v>
      </c>
      <c r="I359" s="47" t="str">
        <f>='ETPT Format DDG'!M359</f>
        <v/>
      </c>
      <c r="J359" s="47" t="str">
        <f>='ETPT Format DDG'!D359</f>
        <v/>
      </c>
      <c r="K359" s="47" t="s">
        <v>157</v>
      </c>
      <c r="L359" s="47" t="s">
        <v>849</v>
      </c>
      <c r="M359" s="47"/>
      <c r="N359" s="47">
        <v>1</v>
      </c>
      <c r="O359" s="47">
        <v>1</v>
      </c>
      <c r="P359" s="47">
        <v>0</v>
      </c>
      <c r="Q359" s="47">
        <v>0</v>
      </c>
      <c r="R359" s="47">
        <v>0</v>
      </c>
      <c r="S359" s="47">
        <v>0</v>
      </c>
      <c r="T359" s="47">
        <v>0</v>
      </c>
      <c r="U359" s="47">
        <v>0</v>
      </c>
      <c r="V359" s="47">
        <v>0</v>
      </c>
      <c r="W359" s="47">
        <v>0</v>
      </c>
      <c r="X359" s="47">
        <v>0</v>
      </c>
      <c r="Y359" s="47">
        <v>0</v>
      </c>
      <c r="Z359" s="47">
        <v>0</v>
      </c>
      <c r="AA359" s="47">
        <v>0</v>
      </c>
      <c r="AB359" s="47">
        <v>0</v>
      </c>
      <c r="AC359" s="47">
        <v>0</v>
      </c>
      <c r="AD359" s="47">
        <v>0</v>
      </c>
      <c r="AE359" s="47">
        <v>0</v>
      </c>
      <c r="AF359" s="47">
        <v>0</v>
      </c>
      <c r="AG359" s="47">
        <v>0</v>
      </c>
      <c r="AH359" s="47">
        <v>0</v>
      </c>
      <c r="AI359" s="47">
        <v>0</v>
      </c>
      <c r="AJ359" s="47">
        <v>0</v>
      </c>
      <c r="AK359" s="47">
        <v>0</v>
      </c>
      <c r="AL359" s="47">
        <v>0</v>
      </c>
      <c r="AM359" s="47">
        <v>0</v>
      </c>
      <c r="AN359" s="47">
        <v>0</v>
      </c>
      <c r="AO359" s="47">
        <v>0</v>
      </c>
      <c r="AP359" s="47">
        <v>0</v>
      </c>
      <c r="AQ359" s="47">
        <v>0</v>
      </c>
      <c r="AR359" s="47">
        <v>0</v>
      </c>
      <c r="AS359" s="47">
        <v>0</v>
      </c>
      <c r="AT359" s="47">
        <v>0</v>
      </c>
      <c r="AU359" s="47">
        <v>0</v>
      </c>
      <c r="AV359" s="47">
        <v>0</v>
      </c>
      <c r="AW359" s="47">
        <v>0</v>
      </c>
      <c r="AX359" s="47">
        <v>0</v>
      </c>
      <c r="AY359" s="47">
        <v>0</v>
      </c>
      <c r="AZ359" s="47">
        <v>0</v>
      </c>
      <c r="BA359" s="47">
        <v>0</v>
      </c>
      <c r="BB359" s="47">
        <v>0</v>
      </c>
      <c r="BC359" s="47">
        <v>0</v>
      </c>
      <c r="BD359" s="47">
        <v>0</v>
      </c>
      <c r="BE359" s="47">
        <v>0</v>
      </c>
      <c r="BF359" s="47">
        <v>0</v>
      </c>
      <c r="BG359" s="47">
        <v>0</v>
      </c>
      <c r="BH359" s="47">
        <v>1</v>
      </c>
      <c r="BI359" s="47">
        <v>0</v>
      </c>
      <c r="BJ359" s="47">
        <v>0</v>
      </c>
      <c r="BK359" s="47">
        <v>0</v>
      </c>
      <c r="BL359" s="47">
        <v>0</v>
      </c>
      <c r="BM359" s="47">
        <v>0</v>
      </c>
      <c r="BN359" s="47">
        <v>0</v>
      </c>
      <c r="BO359" s="47">
        <v>0</v>
      </c>
      <c r="BP359" s="47">
        <v>0</v>
      </c>
      <c r="BQ359" s="47">
        <v>0</v>
      </c>
      <c r="BR359" s="47">
        <v>0</v>
      </c>
      <c r="BS359" s="47">
        <v>0</v>
      </c>
      <c r="BT359" s="47">
        <v>0</v>
      </c>
      <c r="BU359" s="47">
        <v>0</v>
      </c>
      <c r="BV359" s="47">
        <v>0</v>
      </c>
      <c r="BW359" s="47">
        <v>0</v>
      </c>
      <c r="BX359" s="47">
        <v>0</v>
      </c>
      <c r="BY359" s="47">
        <v>0</v>
      </c>
      <c r="BZ359" s="47">
        <v>0</v>
      </c>
      <c r="CA359" s="47">
        <v>0</v>
      </c>
      <c r="CB359" s="47">
        <v>0</v>
      </c>
      <c r="CC359" s="47">
        <v>0</v>
      </c>
      <c r="CD359" s="47">
        <v>0</v>
      </c>
      <c r="CE359" s="47">
        <v>0</v>
      </c>
      <c r="CF359" s="47">
        <v>0</v>
      </c>
      <c r="CG359" s="47">
        <v>0</v>
      </c>
      <c r="CH359" s="47">
        <v>0</v>
      </c>
      <c r="CI359" s="47">
        <v>0</v>
      </c>
      <c r="CJ359" s="47">
        <v>0</v>
      </c>
      <c r="CK359" s="47">
        <v>0</v>
      </c>
      <c r="CL359" s="47">
        <v>0</v>
      </c>
      <c r="CM359" s="47">
        <v>0</v>
      </c>
      <c r="CN359" s="47">
        <v>0</v>
      </c>
      <c r="CO359" s="47">
        <v>0</v>
      </c>
      <c r="CP359" s="47">
        <v>0</v>
      </c>
      <c r="CQ359" s="47">
        <v>0</v>
      </c>
      <c r="CR359" s="47">
        <v>0</v>
      </c>
      <c r="CS359" s="47">
        <v>0</v>
      </c>
      <c r="CT359" s="47">
        <v>0</v>
      </c>
      <c r="CU359" s="47">
        <v>0</v>
      </c>
      <c r="CV359" s="47">
        <v>0</v>
      </c>
      <c r="CW359" s="47">
        <v>0</v>
      </c>
      <c r="CX359" s="47">
        <v>0</v>
      </c>
      <c r="CY359" s="47">
        <v>0</v>
      </c>
      <c r="CZ359" s="47">
        <v>0</v>
      </c>
      <c r="DA359" s="47">
        <v>0</v>
      </c>
      <c r="DB359" s="47">
        <v>0</v>
      </c>
      <c r="DC359" s="47">
        <v>0</v>
      </c>
      <c r="DD359" s="47">
        <v>0</v>
      </c>
      <c r="DE359" s="47">
        <v>0</v>
      </c>
      <c r="DF359" s="47">
        <v>0</v>
      </c>
      <c r="DG359" s="47">
        <v>0</v>
      </c>
      <c r="DH359" s="47">
        <v>0</v>
      </c>
      <c r="DI359" s="47">
        <v>0</v>
      </c>
      <c r="DJ359" s="47">
        <v>0</v>
      </c>
      <c r="DK359" s="47">
        <v>0</v>
      </c>
      <c r="DL359" s="47">
        <v>0</v>
      </c>
      <c r="DM359" s="47">
        <v>0</v>
      </c>
      <c r="DN359" s="47">
        <v>0</v>
      </c>
      <c r="DO359" s="47">
        <v>0</v>
      </c>
      <c r="DP359" s="47">
        <v>0</v>
      </c>
      <c r="DQ359" s="47">
        <v>0</v>
      </c>
      <c r="DR359" s="47">
        <v>0</v>
      </c>
      <c r="DS359" s="47">
        <v>0</v>
      </c>
      <c r="DT359" s="47">
        <v>0</v>
      </c>
    </row>
    <row r="360" spans="1:126" x14ac:dyDescent="0.25">
      <c r="A360" s="47" t="s">
        <v>1746</v>
      </c>
      <c r="B360" s="47" t="s">
        <v>153</v>
      </c>
      <c r="C360" s="47" t="s">
        <v>1747</v>
      </c>
      <c r="D360" s="47" t="s">
        <v>1748</v>
      </c>
      <c r="E360" s="47" t="s">
        <v>1749</v>
      </c>
      <c r="F360" s="47" t="s">
        <v>698</v>
      </c>
      <c r="G360" s="47" t="s">
        <v>705</v>
      </c>
      <c r="H360" s="47" t="str">
        <f>=IFERROR(VLOOKUP(A360,'ETPT Format DDG'!A:J,10,FALSE),"")</f>
        <v>0</v>
      </c>
      <c r="I360" s="47" t="str">
        <f>='ETPT Format DDG'!M360</f>
        <v/>
      </c>
      <c r="J360" s="47" t="str">
        <f>='ETPT Format DDG'!D360</f>
        <v/>
      </c>
      <c r="K360" s="47" t="s">
        <v>157</v>
      </c>
      <c r="L360" s="47" t="s">
        <v>722</v>
      </c>
      <c r="M360" s="47"/>
      <c r="N360" s="47">
        <v>1</v>
      </c>
      <c r="O360" s="47">
        <v>0</v>
      </c>
      <c r="P360" s="47">
        <v>0</v>
      </c>
      <c r="Q360" s="47">
        <v>0</v>
      </c>
      <c r="R360" s="47">
        <v>0</v>
      </c>
      <c r="S360" s="47">
        <v>0</v>
      </c>
      <c r="T360" s="47">
        <v>0</v>
      </c>
      <c r="U360" s="47">
        <v>0</v>
      </c>
      <c r="V360" s="47">
        <v>0</v>
      </c>
      <c r="W360" s="47">
        <v>0</v>
      </c>
      <c r="X360" s="47">
        <v>0</v>
      </c>
      <c r="Y360" s="47">
        <v>0</v>
      </c>
      <c r="Z360" s="47">
        <v>0</v>
      </c>
      <c r="AA360" s="47">
        <v>0</v>
      </c>
      <c r="AB360" s="47">
        <v>0</v>
      </c>
      <c r="AC360" s="47">
        <v>0</v>
      </c>
      <c r="AD360" s="47">
        <v>0</v>
      </c>
      <c r="AE360" s="47">
        <v>0</v>
      </c>
      <c r="AF360" s="47">
        <v>0</v>
      </c>
      <c r="AG360" s="47">
        <v>0</v>
      </c>
      <c r="AH360" s="47">
        <v>0</v>
      </c>
      <c r="AI360" s="47">
        <v>0</v>
      </c>
      <c r="AJ360" s="47">
        <v>0</v>
      </c>
      <c r="AK360" s="47">
        <v>0</v>
      </c>
      <c r="AL360" s="47">
        <v>0</v>
      </c>
      <c r="AM360" s="47">
        <v>0</v>
      </c>
      <c r="AN360" s="47">
        <v>0</v>
      </c>
      <c r="AO360" s="47">
        <v>0</v>
      </c>
      <c r="AP360" s="47">
        <v>0</v>
      </c>
      <c r="AQ360" s="47">
        <v>0</v>
      </c>
      <c r="AR360" s="47">
        <v>0</v>
      </c>
      <c r="AS360" s="47">
        <v>0</v>
      </c>
      <c r="AT360" s="47">
        <v>0</v>
      </c>
      <c r="AU360" s="47">
        <v>0</v>
      </c>
      <c r="AV360" s="47">
        <v>0</v>
      </c>
      <c r="AW360" s="47">
        <v>0</v>
      </c>
      <c r="AX360" s="47">
        <v>0</v>
      </c>
      <c r="AY360" s="47">
        <v>0</v>
      </c>
      <c r="AZ360" s="47">
        <v>0</v>
      </c>
      <c r="BA360" s="47">
        <v>0</v>
      </c>
      <c r="BB360" s="47">
        <v>0</v>
      </c>
      <c r="BC360" s="47">
        <v>0</v>
      </c>
      <c r="BD360" s="47">
        <v>0</v>
      </c>
      <c r="BE360" s="47">
        <v>0</v>
      </c>
      <c r="BF360" s="47">
        <v>0</v>
      </c>
      <c r="BG360" s="47">
        <v>0</v>
      </c>
      <c r="BH360" s="47">
        <v>0</v>
      </c>
      <c r="BI360" s="47">
        <v>0</v>
      </c>
      <c r="BJ360" s="47">
        <v>0</v>
      </c>
      <c r="BK360" s="47">
        <v>0</v>
      </c>
      <c r="BL360" s="47">
        <v>0</v>
      </c>
      <c r="BM360" s="47">
        <v>0</v>
      </c>
      <c r="BN360" s="47">
        <v>0</v>
      </c>
      <c r="BO360" s="47">
        <v>0</v>
      </c>
      <c r="BP360" s="47">
        <v>0</v>
      </c>
      <c r="BQ360" s="47">
        <v>0</v>
      </c>
      <c r="BR360" s="47">
        <v>0</v>
      </c>
      <c r="BS360" s="47">
        <v>0</v>
      </c>
      <c r="BT360" s="47">
        <v>0</v>
      </c>
      <c r="BU360" s="47">
        <v>0</v>
      </c>
      <c r="BV360" s="47">
        <v>0</v>
      </c>
      <c r="BW360" s="47">
        <v>0</v>
      </c>
      <c r="BX360" s="47">
        <v>0</v>
      </c>
      <c r="BY360" s="47">
        <v>0</v>
      </c>
      <c r="BZ360" s="47">
        <v>0</v>
      </c>
      <c r="CA360" s="47">
        <v>0</v>
      </c>
      <c r="CB360" s="47">
        <v>0</v>
      </c>
      <c r="CC360" s="47">
        <v>0</v>
      </c>
      <c r="CD360" s="47">
        <v>0</v>
      </c>
      <c r="CE360" s="47">
        <v>0</v>
      </c>
      <c r="CF360" s="47">
        <v>0</v>
      </c>
      <c r="CG360" s="47">
        <v>0</v>
      </c>
      <c r="CH360" s="47">
        <v>0</v>
      </c>
      <c r="CI360" s="47">
        <v>0</v>
      </c>
      <c r="CJ360" s="47">
        <v>0</v>
      </c>
      <c r="CK360" s="47">
        <v>0</v>
      </c>
      <c r="CL360" s="47">
        <v>0</v>
      </c>
      <c r="CM360" s="47">
        <v>0</v>
      </c>
      <c r="CN360" s="47">
        <v>0</v>
      </c>
      <c r="CO360" s="47">
        <v>0</v>
      </c>
      <c r="CP360" s="47">
        <v>0</v>
      </c>
      <c r="CQ360" s="47">
        <v>0</v>
      </c>
      <c r="CR360" s="47">
        <v>0</v>
      </c>
      <c r="CS360" s="47">
        <v>0</v>
      </c>
      <c r="CT360" s="47">
        <v>0</v>
      </c>
      <c r="CU360" s="47">
        <v>0</v>
      </c>
      <c r="CV360" s="47">
        <v>0</v>
      </c>
      <c r="CW360" s="47">
        <v>0</v>
      </c>
      <c r="CX360" s="47">
        <v>0</v>
      </c>
      <c r="CY360" s="47">
        <v>0</v>
      </c>
      <c r="CZ360" s="47">
        <v>0</v>
      </c>
      <c r="DA360" s="47">
        <v>0</v>
      </c>
      <c r="DB360" s="47">
        <v>0</v>
      </c>
      <c r="DC360" s="47">
        <v>0</v>
      </c>
      <c r="DD360" s="47">
        <v>0</v>
      </c>
      <c r="DE360" s="47">
        <v>0</v>
      </c>
      <c r="DF360" s="47">
        <v>0</v>
      </c>
      <c r="DG360" s="47">
        <v>0</v>
      </c>
      <c r="DH360" s="47">
        <v>0</v>
      </c>
      <c r="DI360" s="47">
        <v>0</v>
      </c>
      <c r="DJ360" s="47">
        <v>0</v>
      </c>
      <c r="DK360" s="47">
        <v>0</v>
      </c>
      <c r="DL360" s="47">
        <v>0</v>
      </c>
      <c r="DM360" s="47">
        <v>0</v>
      </c>
      <c r="DN360" s="47">
        <v>0</v>
      </c>
      <c r="DO360" s="47">
        <v>0</v>
      </c>
      <c r="DP360" s="47">
        <v>0</v>
      </c>
      <c r="DQ360" s="47">
        <v>0</v>
      </c>
      <c r="DR360" s="47">
        <v>0</v>
      </c>
      <c r="DS360" s="47">
        <v>0</v>
      </c>
      <c r="DT360" s="47">
        <v>0</v>
      </c>
    </row>
    <row r="361" spans="1:126" x14ac:dyDescent="0.25">
      <c r="A361" s="47" t="s">
        <v>1750</v>
      </c>
      <c r="B361" s="47" t="s">
        <v>153</v>
      </c>
      <c r="C361" s="47" t="s">
        <v>1751</v>
      </c>
      <c r="D361" s="47" t="s">
        <v>1752</v>
      </c>
      <c r="E361" s="47" t="s">
        <v>1753</v>
      </c>
      <c r="F361" s="47" t="s">
        <v>698</v>
      </c>
      <c r="G361" s="47" t="s">
        <v>727</v>
      </c>
      <c r="H361" s="47" t="str">
        <f>=IFERROR(VLOOKUP(A361,'ETPT Format DDG'!A:J,10,FALSE),"")</f>
        <v>0</v>
      </c>
      <c r="I361" s="47" t="str">
        <f>='ETPT Format DDG'!M361</f>
        <v/>
      </c>
      <c r="J361" s="47" t="str">
        <f>='ETPT Format DDG'!D361</f>
        <v/>
      </c>
      <c r="K361" s="47" t="s">
        <v>157</v>
      </c>
      <c r="L361" s="47" t="s">
        <v>1309</v>
      </c>
      <c r="M361" s="47"/>
      <c r="N361" s="47">
        <v>1</v>
      </c>
      <c r="O361" s="47">
        <v>0</v>
      </c>
      <c r="P361" s="47">
        <v>0</v>
      </c>
      <c r="Q361" s="47">
        <v>0</v>
      </c>
      <c r="R361" s="47">
        <v>0</v>
      </c>
      <c r="S361" s="47">
        <v>0</v>
      </c>
      <c r="T361" s="47">
        <v>0</v>
      </c>
      <c r="U361" s="47">
        <v>0</v>
      </c>
      <c r="V361" s="47">
        <v>0</v>
      </c>
      <c r="W361" s="47">
        <v>0</v>
      </c>
      <c r="X361" s="47">
        <v>0</v>
      </c>
      <c r="Y361" s="47">
        <v>0</v>
      </c>
      <c r="Z361" s="47">
        <v>0</v>
      </c>
      <c r="AA361" s="47">
        <v>0</v>
      </c>
      <c r="AB361" s="47">
        <v>0</v>
      </c>
      <c r="AC361" s="47">
        <v>0</v>
      </c>
      <c r="AD361" s="47">
        <v>0</v>
      </c>
      <c r="AE361" s="47">
        <v>0</v>
      </c>
      <c r="AF361" s="47">
        <v>0</v>
      </c>
      <c r="AG361" s="47">
        <v>0</v>
      </c>
      <c r="AH361" s="47">
        <v>0</v>
      </c>
      <c r="AI361" s="47">
        <v>0</v>
      </c>
      <c r="AJ361" s="47">
        <v>0</v>
      </c>
      <c r="AK361" s="47">
        <v>0</v>
      </c>
      <c r="AL361" s="47">
        <v>0</v>
      </c>
      <c r="AM361" s="47">
        <v>0</v>
      </c>
      <c r="AN361" s="47">
        <v>0</v>
      </c>
      <c r="AO361" s="47">
        <v>0</v>
      </c>
      <c r="AP361" s="47">
        <v>0</v>
      </c>
      <c r="AQ361" s="47">
        <v>0</v>
      </c>
      <c r="AR361" s="47">
        <v>0</v>
      </c>
      <c r="AS361" s="47">
        <v>0</v>
      </c>
      <c r="AT361" s="47">
        <v>0</v>
      </c>
      <c r="AU361" s="47">
        <v>0</v>
      </c>
      <c r="AV361" s="47">
        <v>0</v>
      </c>
      <c r="AW361" s="47">
        <v>0</v>
      </c>
      <c r="AX361" s="47">
        <v>0</v>
      </c>
      <c r="AY361" s="47">
        <v>0</v>
      </c>
      <c r="AZ361" s="47">
        <v>0</v>
      </c>
      <c r="BA361" s="47">
        <v>0</v>
      </c>
      <c r="BB361" s="47">
        <v>0</v>
      </c>
      <c r="BC361" s="47">
        <v>0</v>
      </c>
      <c r="BD361" s="47">
        <v>0</v>
      </c>
      <c r="BE361" s="47">
        <v>0</v>
      </c>
      <c r="BF361" s="47">
        <v>0</v>
      </c>
      <c r="BG361" s="47">
        <v>0</v>
      </c>
      <c r="BH361" s="47">
        <v>0</v>
      </c>
      <c r="BI361" s="47">
        <v>0</v>
      </c>
      <c r="BJ361" s="47">
        <v>0</v>
      </c>
      <c r="BK361" s="47">
        <v>0</v>
      </c>
      <c r="BL361" s="47">
        <v>0</v>
      </c>
      <c r="BM361" s="47">
        <v>0</v>
      </c>
      <c r="BN361" s="47">
        <v>0</v>
      </c>
      <c r="BO361" s="47">
        <v>0</v>
      </c>
      <c r="BP361" s="47">
        <v>0</v>
      </c>
      <c r="BQ361" s="47">
        <v>0</v>
      </c>
      <c r="BR361" s="47">
        <v>0</v>
      </c>
      <c r="BS361" s="47">
        <v>0</v>
      </c>
      <c r="BT361" s="47">
        <v>0</v>
      </c>
      <c r="BU361" s="47">
        <v>0</v>
      </c>
      <c r="BV361" s="47">
        <v>0</v>
      </c>
      <c r="BW361" s="47">
        <v>0</v>
      </c>
      <c r="BX361" s="47">
        <v>0</v>
      </c>
      <c r="BY361" s="47">
        <v>0</v>
      </c>
      <c r="BZ361" s="47">
        <v>0</v>
      </c>
      <c r="CA361" s="47">
        <v>0</v>
      </c>
      <c r="CB361" s="47">
        <v>0</v>
      </c>
      <c r="CC361" s="47">
        <v>0</v>
      </c>
      <c r="CD361" s="47">
        <v>0</v>
      </c>
      <c r="CE361" s="47">
        <v>0</v>
      </c>
      <c r="CF361" s="47">
        <v>0</v>
      </c>
      <c r="CG361" s="47">
        <v>0</v>
      </c>
      <c r="CH361" s="47">
        <v>0</v>
      </c>
      <c r="CI361" s="47">
        <v>0</v>
      </c>
      <c r="CJ361" s="47">
        <v>0</v>
      </c>
      <c r="CK361" s="47">
        <v>0</v>
      </c>
      <c r="CL361" s="47">
        <v>0</v>
      </c>
      <c r="CM361" s="47">
        <v>0</v>
      </c>
      <c r="CN361" s="47">
        <v>0</v>
      </c>
      <c r="CO361" s="47">
        <v>0</v>
      </c>
      <c r="CP361" s="47">
        <v>0</v>
      </c>
      <c r="CQ361" s="47">
        <v>0</v>
      </c>
      <c r="CR361" s="47">
        <v>0</v>
      </c>
      <c r="CS361" s="47">
        <v>0</v>
      </c>
      <c r="CT361" s="47">
        <v>0</v>
      </c>
      <c r="CU361" s="47">
        <v>0</v>
      </c>
      <c r="CV361" s="47">
        <v>0</v>
      </c>
      <c r="CW361" s="47">
        <v>0</v>
      </c>
      <c r="CX361" s="47">
        <v>0</v>
      </c>
      <c r="CY361" s="47">
        <v>0</v>
      </c>
      <c r="CZ361" s="47">
        <v>0</v>
      </c>
      <c r="DA361" s="47">
        <v>0</v>
      </c>
      <c r="DB361" s="47">
        <v>0</v>
      </c>
      <c r="DC361" s="47">
        <v>0</v>
      </c>
      <c r="DD361" s="47">
        <v>0</v>
      </c>
      <c r="DE361" s="47">
        <v>0</v>
      </c>
      <c r="DF361" s="47">
        <v>0</v>
      </c>
      <c r="DG361" s="47">
        <v>0</v>
      </c>
      <c r="DH361" s="47">
        <v>0</v>
      </c>
      <c r="DI361" s="47">
        <v>0</v>
      </c>
      <c r="DJ361" s="47">
        <v>0</v>
      </c>
      <c r="DK361" s="47">
        <v>0</v>
      </c>
      <c r="DL361" s="47">
        <v>0</v>
      </c>
      <c r="DM361" s="47">
        <v>0</v>
      </c>
      <c r="DN361" s="47">
        <v>0</v>
      </c>
      <c r="DO361" s="47">
        <v>0</v>
      </c>
      <c r="DP361" s="47">
        <v>0</v>
      </c>
      <c r="DQ361" s="47">
        <v>0</v>
      </c>
      <c r="DR361" s="47">
        <v>0</v>
      </c>
      <c r="DS361" s="47">
        <v>0</v>
      </c>
      <c r="DT361" s="47">
        <v>0</v>
      </c>
    </row>
    <row r="362" spans="1:126" x14ac:dyDescent="0.25">
      <c r="A362" s="47" t="s">
        <v>1754</v>
      </c>
      <c r="B362" s="47" t="s">
        <v>153</v>
      </c>
      <c r="C362" s="47" t="s">
        <v>1755</v>
      </c>
      <c r="D362" s="47" t="s">
        <v>1756</v>
      </c>
      <c r="E362" s="47" t="s">
        <v>1757</v>
      </c>
      <c r="F362" s="47" t="s">
        <v>698</v>
      </c>
      <c r="G362" s="47" t="s">
        <v>705</v>
      </c>
      <c r="H362" s="47" t="str">
        <f>=IFERROR(VLOOKUP(A362,'ETPT Format DDG'!A:J,10,FALSE),"")</f>
        <v>0</v>
      </c>
      <c r="I362" s="47" t="str">
        <f>='ETPT Format DDG'!M362</f>
        <v/>
      </c>
      <c r="J362" s="47" t="str">
        <f>='ETPT Format DDG'!D362</f>
        <v/>
      </c>
      <c r="K362" s="47" t="s">
        <v>157</v>
      </c>
      <c r="L362" s="47" t="s">
        <v>1758</v>
      </c>
      <c r="M362" s="47"/>
      <c r="N362" s="47">
        <v>0.8</v>
      </c>
      <c r="O362" s="47">
        <v>0</v>
      </c>
      <c r="P362" s="47">
        <v>0</v>
      </c>
      <c r="Q362" s="47">
        <v>0</v>
      </c>
      <c r="R362" s="47">
        <v>0</v>
      </c>
      <c r="S362" s="47">
        <v>0</v>
      </c>
      <c r="T362" s="47">
        <v>0</v>
      </c>
      <c r="U362" s="47">
        <v>0</v>
      </c>
      <c r="V362" s="47">
        <v>0</v>
      </c>
      <c r="W362" s="47">
        <v>0</v>
      </c>
      <c r="X362" s="47">
        <v>0</v>
      </c>
      <c r="Y362" s="47">
        <v>0</v>
      </c>
      <c r="Z362" s="47">
        <v>0</v>
      </c>
      <c r="AA362" s="47">
        <v>0</v>
      </c>
      <c r="AB362" s="47">
        <v>0</v>
      </c>
      <c r="AC362" s="47">
        <v>0</v>
      </c>
      <c r="AD362" s="47">
        <v>0</v>
      </c>
      <c r="AE362" s="47">
        <v>0</v>
      </c>
      <c r="AF362" s="47">
        <v>0</v>
      </c>
      <c r="AG362" s="47">
        <v>0</v>
      </c>
      <c r="AH362" s="47">
        <v>0</v>
      </c>
      <c r="AI362" s="47">
        <v>0</v>
      </c>
      <c r="AJ362" s="47">
        <v>0</v>
      </c>
      <c r="AK362" s="47">
        <v>0</v>
      </c>
      <c r="AL362" s="47">
        <v>0</v>
      </c>
      <c r="AM362" s="47">
        <v>0</v>
      </c>
      <c r="AN362" s="47">
        <v>0</v>
      </c>
      <c r="AO362" s="47">
        <v>0</v>
      </c>
      <c r="AP362" s="47">
        <v>0</v>
      </c>
      <c r="AQ362" s="47">
        <v>0</v>
      </c>
      <c r="AR362" s="47">
        <v>0</v>
      </c>
      <c r="AS362" s="47">
        <v>0</v>
      </c>
      <c r="AT362" s="47">
        <v>0</v>
      </c>
      <c r="AU362" s="47">
        <v>0</v>
      </c>
      <c r="AV362" s="47">
        <v>0</v>
      </c>
      <c r="AW362" s="47">
        <v>0</v>
      </c>
      <c r="AX362" s="47">
        <v>0</v>
      </c>
      <c r="AY362" s="47">
        <v>0</v>
      </c>
      <c r="AZ362" s="47">
        <v>0</v>
      </c>
      <c r="BA362" s="47">
        <v>0</v>
      </c>
      <c r="BB362" s="47">
        <v>0</v>
      </c>
      <c r="BC362" s="47">
        <v>0</v>
      </c>
      <c r="BD362" s="47">
        <v>0</v>
      </c>
      <c r="BE362" s="47">
        <v>0</v>
      </c>
      <c r="BF362" s="47">
        <v>0</v>
      </c>
      <c r="BG362" s="47">
        <v>0</v>
      </c>
      <c r="BH362" s="47">
        <v>0</v>
      </c>
      <c r="BI362" s="47">
        <v>0</v>
      </c>
      <c r="BJ362" s="47">
        <v>0</v>
      </c>
      <c r="BK362" s="47">
        <v>0</v>
      </c>
      <c r="BL362" s="47">
        <v>0</v>
      </c>
      <c r="BM362" s="47">
        <v>0</v>
      </c>
      <c r="BN362" s="47">
        <v>0</v>
      </c>
      <c r="BO362" s="47">
        <v>0</v>
      </c>
      <c r="BP362" s="47">
        <v>0</v>
      </c>
      <c r="BQ362" s="47">
        <v>0</v>
      </c>
      <c r="BR362" s="47">
        <v>0</v>
      </c>
      <c r="BS362" s="47">
        <v>0</v>
      </c>
      <c r="BT362" s="47">
        <v>0</v>
      </c>
      <c r="BU362" s="47">
        <v>0</v>
      </c>
      <c r="BV362" s="47">
        <v>0</v>
      </c>
      <c r="BW362" s="47">
        <v>0</v>
      </c>
      <c r="BX362" s="47">
        <v>0</v>
      </c>
      <c r="BY362" s="47">
        <v>0</v>
      </c>
      <c r="BZ362" s="47">
        <v>0</v>
      </c>
      <c r="CA362" s="47">
        <v>0</v>
      </c>
      <c r="CB362" s="47">
        <v>0</v>
      </c>
      <c r="CC362" s="47">
        <v>0</v>
      </c>
      <c r="CD362" s="47">
        <v>0</v>
      </c>
      <c r="CE362" s="47">
        <v>0</v>
      </c>
      <c r="CF362" s="47">
        <v>0</v>
      </c>
      <c r="CG362" s="47">
        <v>0</v>
      </c>
      <c r="CH362" s="47">
        <v>0</v>
      </c>
      <c r="CI362" s="47">
        <v>0</v>
      </c>
      <c r="CJ362" s="47">
        <v>0</v>
      </c>
      <c r="CK362" s="47">
        <v>0</v>
      </c>
      <c r="CL362" s="47">
        <v>0</v>
      </c>
      <c r="CM362" s="47">
        <v>0</v>
      </c>
      <c r="CN362" s="47">
        <v>0</v>
      </c>
      <c r="CO362" s="47">
        <v>0</v>
      </c>
      <c r="CP362" s="47">
        <v>0</v>
      </c>
      <c r="CQ362" s="47">
        <v>0</v>
      </c>
      <c r="CR362" s="47">
        <v>0</v>
      </c>
      <c r="CS362" s="47">
        <v>0</v>
      </c>
      <c r="CT362" s="47">
        <v>0</v>
      </c>
      <c r="CU362" s="47">
        <v>0</v>
      </c>
      <c r="CV362" s="47">
        <v>0</v>
      </c>
      <c r="CW362" s="47">
        <v>0</v>
      </c>
      <c r="CX362" s="47">
        <v>0</v>
      </c>
      <c r="CY362" s="47">
        <v>0</v>
      </c>
      <c r="CZ362" s="47">
        <v>0</v>
      </c>
      <c r="DA362" s="47">
        <v>0</v>
      </c>
      <c r="DB362" s="47">
        <v>0</v>
      </c>
      <c r="DC362" s="47">
        <v>0</v>
      </c>
      <c r="DD362" s="47">
        <v>0</v>
      </c>
      <c r="DE362" s="47">
        <v>0</v>
      </c>
      <c r="DF362" s="47">
        <v>0</v>
      </c>
      <c r="DG362" s="47">
        <v>0</v>
      </c>
      <c r="DH362" s="47">
        <v>0</v>
      </c>
      <c r="DI362" s="47">
        <v>0</v>
      </c>
      <c r="DJ362" s="47">
        <v>0</v>
      </c>
      <c r="DK362" s="47">
        <v>0</v>
      </c>
      <c r="DL362" s="47">
        <v>0</v>
      </c>
      <c r="DM362" s="47">
        <v>0</v>
      </c>
      <c r="DN362" s="47">
        <v>0</v>
      </c>
      <c r="DO362" s="47">
        <v>0</v>
      </c>
      <c r="DP362" s="47">
        <v>0</v>
      </c>
      <c r="DQ362" s="47">
        <v>0</v>
      </c>
      <c r="DR362" s="47">
        <v>0</v>
      </c>
      <c r="DS362" s="47">
        <v>0</v>
      </c>
      <c r="DT362" s="47">
        <v>0</v>
      </c>
    </row>
    <row r="363" spans="1:126" x14ac:dyDescent="0.25">
      <c r="A363" s="47" t="s">
        <v>1759</v>
      </c>
      <c r="B363" s="47" t="s">
        <v>153</v>
      </c>
      <c r="C363" s="47" t="s">
        <v>1760</v>
      </c>
      <c r="D363" s="47" t="s">
        <v>1761</v>
      </c>
      <c r="E363" s="47" t="s">
        <v>1762</v>
      </c>
      <c r="F363" s="47" t="s">
        <v>698</v>
      </c>
      <c r="G363" s="47" t="s">
        <v>705</v>
      </c>
      <c r="H363" s="47" t="str">
        <f>=IFERROR(VLOOKUP(A363,'ETPT Format DDG'!A:J,10,FALSE),"")</f>
        <v>0</v>
      </c>
      <c r="I363" s="47" t="str">
        <f>='ETPT Format DDG'!M363</f>
        <v/>
      </c>
      <c r="J363" s="47" t="str">
        <f>='ETPT Format DDG'!D363</f>
        <v/>
      </c>
      <c r="K363" s="47" t="s">
        <v>157</v>
      </c>
      <c r="L363" s="47" t="s">
        <v>1085</v>
      </c>
      <c r="M363" s="47"/>
      <c r="N363" s="47">
        <v>1</v>
      </c>
      <c r="O363" s="47">
        <v>0</v>
      </c>
      <c r="P363" s="47">
        <v>0</v>
      </c>
      <c r="Q363" s="47">
        <v>0</v>
      </c>
      <c r="R363" s="47">
        <v>0</v>
      </c>
      <c r="S363" s="47">
        <v>0</v>
      </c>
      <c r="T363" s="47">
        <v>0</v>
      </c>
      <c r="U363" s="47">
        <v>0</v>
      </c>
      <c r="V363" s="47">
        <v>0</v>
      </c>
      <c r="W363" s="47">
        <v>0</v>
      </c>
      <c r="X363" s="47">
        <v>0</v>
      </c>
      <c r="Y363" s="47">
        <v>0</v>
      </c>
      <c r="Z363" s="47">
        <v>0</v>
      </c>
      <c r="AA363" s="47">
        <v>0</v>
      </c>
      <c r="AB363" s="47">
        <v>0</v>
      </c>
      <c r="AC363" s="47">
        <v>0</v>
      </c>
      <c r="AD363" s="47">
        <v>0</v>
      </c>
      <c r="AE363" s="47">
        <v>0</v>
      </c>
      <c r="AF363" s="47">
        <v>0</v>
      </c>
      <c r="AG363" s="47">
        <v>0</v>
      </c>
      <c r="AH363" s="47">
        <v>0</v>
      </c>
      <c r="AI363" s="47">
        <v>0</v>
      </c>
      <c r="AJ363" s="47">
        <v>0</v>
      </c>
      <c r="AK363" s="47">
        <v>0</v>
      </c>
      <c r="AL363" s="47">
        <v>0</v>
      </c>
      <c r="AM363" s="47">
        <v>0</v>
      </c>
      <c r="AN363" s="47">
        <v>0</v>
      </c>
      <c r="AO363" s="47">
        <v>0</v>
      </c>
      <c r="AP363" s="47">
        <v>0</v>
      </c>
      <c r="AQ363" s="47">
        <v>0</v>
      </c>
      <c r="AR363" s="47">
        <v>0</v>
      </c>
      <c r="AS363" s="47">
        <v>0</v>
      </c>
      <c r="AT363" s="47">
        <v>0</v>
      </c>
      <c r="AU363" s="47">
        <v>0</v>
      </c>
      <c r="AV363" s="47">
        <v>0</v>
      </c>
      <c r="AW363" s="47">
        <v>0</v>
      </c>
      <c r="AX363" s="47">
        <v>0</v>
      </c>
      <c r="AY363" s="47">
        <v>0</v>
      </c>
      <c r="AZ363" s="47">
        <v>0</v>
      </c>
      <c r="BA363" s="47">
        <v>0</v>
      </c>
      <c r="BB363" s="47">
        <v>0</v>
      </c>
      <c r="BC363" s="47">
        <v>0</v>
      </c>
      <c r="BD363" s="47">
        <v>0</v>
      </c>
      <c r="BE363" s="47">
        <v>0</v>
      </c>
      <c r="BF363" s="47">
        <v>0</v>
      </c>
      <c r="BG363" s="47">
        <v>0</v>
      </c>
      <c r="BH363" s="47">
        <v>0</v>
      </c>
      <c r="BI363" s="47">
        <v>0</v>
      </c>
      <c r="BJ363" s="47">
        <v>0</v>
      </c>
      <c r="BK363" s="47">
        <v>0</v>
      </c>
      <c r="BL363" s="47">
        <v>0</v>
      </c>
      <c r="BM363" s="47">
        <v>0</v>
      </c>
      <c r="BN363" s="47">
        <v>0</v>
      </c>
      <c r="BO363" s="47">
        <v>0</v>
      </c>
      <c r="BP363" s="47">
        <v>0</v>
      </c>
      <c r="BQ363" s="47">
        <v>0</v>
      </c>
      <c r="BR363" s="47">
        <v>0</v>
      </c>
      <c r="BS363" s="47">
        <v>0</v>
      </c>
      <c r="BT363" s="47">
        <v>0</v>
      </c>
      <c r="BU363" s="47">
        <v>0</v>
      </c>
      <c r="BV363" s="47">
        <v>0</v>
      </c>
      <c r="BW363" s="47">
        <v>0</v>
      </c>
      <c r="BX363" s="47">
        <v>0</v>
      </c>
      <c r="BY363" s="47">
        <v>0</v>
      </c>
      <c r="BZ363" s="47">
        <v>0</v>
      </c>
      <c r="CA363" s="47">
        <v>0</v>
      </c>
      <c r="CB363" s="47">
        <v>0</v>
      </c>
      <c r="CC363" s="47">
        <v>0</v>
      </c>
      <c r="CD363" s="47">
        <v>0</v>
      </c>
      <c r="CE363" s="47">
        <v>0</v>
      </c>
      <c r="CF363" s="47">
        <v>0</v>
      </c>
      <c r="CG363" s="47">
        <v>0</v>
      </c>
      <c r="CH363" s="47">
        <v>0</v>
      </c>
      <c r="CI363" s="47">
        <v>0</v>
      </c>
      <c r="CJ363" s="47">
        <v>0</v>
      </c>
      <c r="CK363" s="47">
        <v>0</v>
      </c>
      <c r="CL363" s="47">
        <v>0</v>
      </c>
      <c r="CM363" s="47">
        <v>0</v>
      </c>
      <c r="CN363" s="47">
        <v>0</v>
      </c>
      <c r="CO363" s="47">
        <v>0</v>
      </c>
      <c r="CP363" s="47">
        <v>0</v>
      </c>
      <c r="CQ363" s="47">
        <v>0</v>
      </c>
      <c r="CR363" s="47">
        <v>0</v>
      </c>
      <c r="CS363" s="47">
        <v>0</v>
      </c>
      <c r="CT363" s="47">
        <v>0</v>
      </c>
      <c r="CU363" s="47">
        <v>0</v>
      </c>
      <c r="CV363" s="47">
        <v>0</v>
      </c>
      <c r="CW363" s="47">
        <v>0</v>
      </c>
      <c r="CX363" s="47">
        <v>0</v>
      </c>
      <c r="CY363" s="47">
        <v>0</v>
      </c>
      <c r="CZ363" s="47">
        <v>0</v>
      </c>
      <c r="DA363" s="47">
        <v>0</v>
      </c>
      <c r="DB363" s="47">
        <v>0</v>
      </c>
      <c r="DC363" s="47">
        <v>0</v>
      </c>
      <c r="DD363" s="47">
        <v>0</v>
      </c>
      <c r="DE363" s="47">
        <v>0</v>
      </c>
      <c r="DF363" s="47">
        <v>0</v>
      </c>
      <c r="DG363" s="47">
        <v>0</v>
      </c>
      <c r="DH363" s="47">
        <v>0</v>
      </c>
      <c r="DI363" s="47">
        <v>0</v>
      </c>
      <c r="DJ363" s="47">
        <v>0</v>
      </c>
      <c r="DK363" s="47">
        <v>0</v>
      </c>
      <c r="DL363" s="47">
        <v>0</v>
      </c>
      <c r="DM363" s="47">
        <v>0</v>
      </c>
      <c r="DN363" s="47">
        <v>0</v>
      </c>
      <c r="DO363" s="47">
        <v>0</v>
      </c>
      <c r="DP363" s="47">
        <v>0</v>
      </c>
      <c r="DQ363" s="47">
        <v>0</v>
      </c>
      <c r="DR363" s="47">
        <v>0</v>
      </c>
      <c r="DS363" s="47">
        <v>0</v>
      </c>
      <c r="DT363" s="47">
        <v>0</v>
      </c>
    </row>
    <row r="364" spans="1:126" x14ac:dyDescent="0.25">
      <c r="A364" s="47" t="s">
        <v>1763</v>
      </c>
      <c r="B364" s="47" t="s">
        <v>153</v>
      </c>
      <c r="C364" s="47" t="s">
        <v>1764</v>
      </c>
      <c r="D364" s="47" t="s">
        <v>1765</v>
      </c>
      <c r="E364" s="47" t="s">
        <v>1766</v>
      </c>
      <c r="F364" s="47" t="s">
        <v>698</v>
      </c>
      <c r="G364" s="47" t="s">
        <v>727</v>
      </c>
      <c r="H364" s="47" t="str">
        <f>=IFERROR(VLOOKUP(A364,'ETPT Format DDG'!A:J,10,FALSE),"")</f>
        <v>0</v>
      </c>
      <c r="I364" s="47" t="str">
        <f>='ETPT Format DDG'!M364</f>
        <v/>
      </c>
      <c r="J364" s="47" t="str">
        <f>='ETPT Format DDG'!D364</f>
        <v/>
      </c>
      <c r="K364" s="47" t="s">
        <v>157</v>
      </c>
      <c r="L364" s="47" t="s">
        <v>1414</v>
      </c>
      <c r="M364" s="47"/>
      <c r="N364" s="47">
        <v>1</v>
      </c>
      <c r="O364" s="47">
        <v>1</v>
      </c>
      <c r="P364" s="47">
        <v>0</v>
      </c>
      <c r="Q364" s="47">
        <v>0</v>
      </c>
      <c r="R364" s="47">
        <v>0</v>
      </c>
      <c r="S364" s="47">
        <v>0</v>
      </c>
      <c r="T364" s="47">
        <v>0</v>
      </c>
      <c r="U364" s="47">
        <v>0</v>
      </c>
      <c r="V364" s="47">
        <v>0</v>
      </c>
      <c r="W364" s="47">
        <v>0</v>
      </c>
      <c r="X364" s="47">
        <v>0</v>
      </c>
      <c r="Y364" s="47">
        <v>0</v>
      </c>
      <c r="Z364" s="47">
        <v>0</v>
      </c>
      <c r="AA364" s="47">
        <v>0</v>
      </c>
      <c r="AB364" s="47">
        <v>0</v>
      </c>
      <c r="AC364" s="47">
        <v>0</v>
      </c>
      <c r="AD364" s="47">
        <v>0</v>
      </c>
      <c r="AE364" s="47">
        <v>0</v>
      </c>
      <c r="AF364" s="47">
        <v>0</v>
      </c>
      <c r="AG364" s="47">
        <v>0</v>
      </c>
      <c r="AH364" s="47">
        <v>0</v>
      </c>
      <c r="AI364" s="47">
        <v>0</v>
      </c>
      <c r="AJ364" s="47">
        <v>0</v>
      </c>
      <c r="AK364" s="47">
        <v>0</v>
      </c>
      <c r="AL364" s="47">
        <v>0</v>
      </c>
      <c r="AM364" s="47">
        <v>0</v>
      </c>
      <c r="AN364" s="47">
        <v>1</v>
      </c>
      <c r="AO364" s="47">
        <v>0</v>
      </c>
      <c r="AP364" s="47">
        <v>0</v>
      </c>
      <c r="AQ364" s="47">
        <v>0</v>
      </c>
      <c r="AR364" s="47">
        <v>0</v>
      </c>
      <c r="AS364" s="47">
        <v>0</v>
      </c>
      <c r="AT364" s="47">
        <v>0</v>
      </c>
      <c r="AU364" s="47">
        <v>0</v>
      </c>
      <c r="AV364" s="47">
        <v>0</v>
      </c>
      <c r="AW364" s="47">
        <v>0</v>
      </c>
      <c r="AX364" s="47">
        <v>0</v>
      </c>
      <c r="AY364" s="47">
        <v>0</v>
      </c>
      <c r="AZ364" s="47">
        <v>0</v>
      </c>
      <c r="BA364" s="47">
        <v>0</v>
      </c>
      <c r="BB364" s="47">
        <v>0</v>
      </c>
      <c r="BC364" s="47">
        <v>0</v>
      </c>
      <c r="BD364" s="47">
        <v>0</v>
      </c>
      <c r="BE364" s="47">
        <v>0</v>
      </c>
      <c r="BF364" s="47">
        <v>0</v>
      </c>
      <c r="BG364" s="47">
        <v>0</v>
      </c>
      <c r="BH364" s="47">
        <v>0</v>
      </c>
      <c r="BI364" s="47">
        <v>0</v>
      </c>
      <c r="BJ364" s="47">
        <v>0</v>
      </c>
      <c r="BK364" s="47">
        <v>0</v>
      </c>
      <c r="BL364" s="47">
        <v>0</v>
      </c>
      <c r="BM364" s="47">
        <v>0</v>
      </c>
      <c r="BN364" s="47">
        <v>0</v>
      </c>
      <c r="BO364" s="47">
        <v>0</v>
      </c>
      <c r="BP364" s="47">
        <v>0</v>
      </c>
      <c r="BQ364" s="47">
        <v>0</v>
      </c>
      <c r="BR364" s="47">
        <v>0</v>
      </c>
      <c r="BS364" s="47">
        <v>0</v>
      </c>
      <c r="BT364" s="47">
        <v>0</v>
      </c>
      <c r="BU364" s="47">
        <v>0</v>
      </c>
      <c r="BV364" s="47">
        <v>0</v>
      </c>
      <c r="BW364" s="47">
        <v>0</v>
      </c>
      <c r="BX364" s="47">
        <v>0</v>
      </c>
      <c r="BY364" s="47">
        <v>0</v>
      </c>
      <c r="BZ364" s="47">
        <v>0</v>
      </c>
      <c r="CA364" s="47">
        <v>0</v>
      </c>
      <c r="CB364" s="47">
        <v>0</v>
      </c>
      <c r="CC364" s="47">
        <v>0</v>
      </c>
      <c r="CD364" s="47">
        <v>0</v>
      </c>
      <c r="CE364" s="47">
        <v>0</v>
      </c>
      <c r="CF364" s="47">
        <v>0</v>
      </c>
      <c r="CG364" s="47">
        <v>0</v>
      </c>
      <c r="CH364" s="47">
        <v>0</v>
      </c>
      <c r="CI364" s="47">
        <v>0</v>
      </c>
      <c r="CJ364" s="47">
        <v>0</v>
      </c>
      <c r="CK364" s="47">
        <v>0</v>
      </c>
      <c r="CL364" s="47">
        <v>0</v>
      </c>
      <c r="CM364" s="47">
        <v>0</v>
      </c>
      <c r="CN364" s="47">
        <v>0</v>
      </c>
      <c r="CO364" s="47">
        <v>0</v>
      </c>
      <c r="CP364" s="47">
        <v>0</v>
      </c>
      <c r="CQ364" s="47">
        <v>0</v>
      </c>
      <c r="CR364" s="47">
        <v>0</v>
      </c>
      <c r="CS364" s="47">
        <v>0</v>
      </c>
      <c r="CT364" s="47">
        <v>0</v>
      </c>
      <c r="CU364" s="47">
        <v>0</v>
      </c>
      <c r="CV364" s="47">
        <v>0</v>
      </c>
      <c r="CW364" s="47">
        <v>0</v>
      </c>
      <c r="CX364" s="47">
        <v>0</v>
      </c>
      <c r="CY364" s="47">
        <v>0</v>
      </c>
      <c r="CZ364" s="47">
        <v>0</v>
      </c>
      <c r="DA364" s="47">
        <v>0</v>
      </c>
      <c r="DB364" s="47">
        <v>0</v>
      </c>
      <c r="DC364" s="47">
        <v>0</v>
      </c>
      <c r="DD364" s="47">
        <v>0</v>
      </c>
      <c r="DE364" s="47">
        <v>0</v>
      </c>
      <c r="DF364" s="47">
        <v>0</v>
      </c>
      <c r="DG364" s="47">
        <v>0</v>
      </c>
      <c r="DH364" s="47">
        <v>0</v>
      </c>
      <c r="DI364" s="47">
        <v>0</v>
      </c>
      <c r="DJ364" s="47">
        <v>0</v>
      </c>
      <c r="DK364" s="47">
        <v>0</v>
      </c>
      <c r="DL364" s="47">
        <v>0</v>
      </c>
      <c r="DM364" s="47">
        <v>0</v>
      </c>
      <c r="DN364" s="47">
        <v>0</v>
      </c>
      <c r="DO364" s="47">
        <v>0</v>
      </c>
      <c r="DP364" s="47">
        <v>0</v>
      </c>
      <c r="DQ364" s="47">
        <v>0</v>
      </c>
      <c r="DR364" s="47">
        <v>0</v>
      </c>
      <c r="DS364" s="47">
        <v>0</v>
      </c>
      <c r="DT364" s="47">
        <v>0</v>
      </c>
    </row>
    <row r="365" spans="1:126" x14ac:dyDescent="0.25">
      <c r="A365" s="47" t="s">
        <v>1767</v>
      </c>
      <c r="B365" s="47" t="s">
        <v>153</v>
      </c>
      <c r="C365" s="47" t="s">
        <v>1768</v>
      </c>
      <c r="D365" s="47" t="s">
        <v>1769</v>
      </c>
      <c r="E365" s="47" t="s">
        <v>1770</v>
      </c>
      <c r="F365" s="47" t="s">
        <v>698</v>
      </c>
      <c r="G365" s="47" t="s">
        <v>727</v>
      </c>
      <c r="H365" s="47" t="str">
        <f>=IFERROR(VLOOKUP(A365,'ETPT Format DDG'!A:J,10,FALSE),"")</f>
        <v>0</v>
      </c>
      <c r="I365" s="47" t="str">
        <f>='ETPT Format DDG'!M365</f>
        <v/>
      </c>
      <c r="J365" s="47" t="str">
        <f>='ETPT Format DDG'!D365</f>
        <v/>
      </c>
      <c r="K365" s="47" t="s">
        <v>157</v>
      </c>
      <c r="L365" s="47" t="s">
        <v>1771</v>
      </c>
      <c r="M365" s="47"/>
      <c r="N365" s="47">
        <v>0.5</v>
      </c>
      <c r="O365" s="47">
        <v>0.5</v>
      </c>
      <c r="P365" s="47">
        <v>0</v>
      </c>
      <c r="Q365" s="47">
        <v>0</v>
      </c>
      <c r="R365" s="47">
        <v>0</v>
      </c>
      <c r="S365" s="47">
        <v>0</v>
      </c>
      <c r="T365" s="47">
        <v>0</v>
      </c>
      <c r="U365" s="47">
        <v>0</v>
      </c>
      <c r="V365" s="47">
        <v>0</v>
      </c>
      <c r="W365" s="47">
        <v>0</v>
      </c>
      <c r="X365" s="47">
        <v>0</v>
      </c>
      <c r="Y365" s="47">
        <v>0</v>
      </c>
      <c r="Z365" s="47">
        <v>0</v>
      </c>
      <c r="AA365" s="47">
        <v>0</v>
      </c>
      <c r="AB365" s="47">
        <v>0</v>
      </c>
      <c r="AC365" s="47">
        <v>0</v>
      </c>
      <c r="AD365" s="47">
        <v>0</v>
      </c>
      <c r="AE365" s="47">
        <v>0</v>
      </c>
      <c r="AF365" s="47">
        <v>0</v>
      </c>
      <c r="AG365" s="47">
        <v>0</v>
      </c>
      <c r="AH365" s="47">
        <v>0</v>
      </c>
      <c r="AI365" s="47">
        <v>0</v>
      </c>
      <c r="AJ365" s="47">
        <v>0</v>
      </c>
      <c r="AK365" s="47">
        <v>0</v>
      </c>
      <c r="AL365" s="47">
        <v>0</v>
      </c>
      <c r="AM365" s="47">
        <v>0</v>
      </c>
      <c r="AN365" s="47">
        <v>0.5</v>
      </c>
      <c r="AO365" s="47">
        <v>0</v>
      </c>
      <c r="AP365" s="47">
        <v>0</v>
      </c>
      <c r="AQ365" s="47">
        <v>0</v>
      </c>
      <c r="AR365" s="47">
        <v>0</v>
      </c>
      <c r="AS365" s="47">
        <v>0</v>
      </c>
      <c r="AT365" s="47">
        <v>0</v>
      </c>
      <c r="AU365" s="47">
        <v>0</v>
      </c>
      <c r="AV365" s="47">
        <v>0</v>
      </c>
      <c r="AW365" s="47">
        <v>0</v>
      </c>
      <c r="AX365" s="47">
        <v>0</v>
      </c>
      <c r="AY365" s="47">
        <v>0</v>
      </c>
      <c r="AZ365" s="47">
        <v>0</v>
      </c>
      <c r="BA365" s="47">
        <v>0</v>
      </c>
      <c r="BB365" s="47">
        <v>0</v>
      </c>
      <c r="BC365" s="47">
        <v>0</v>
      </c>
      <c r="BD365" s="47">
        <v>0</v>
      </c>
      <c r="BE365" s="47">
        <v>0</v>
      </c>
      <c r="BF365" s="47">
        <v>0</v>
      </c>
      <c r="BG365" s="47">
        <v>0</v>
      </c>
      <c r="BH365" s="47">
        <v>0</v>
      </c>
      <c r="BI365" s="47">
        <v>0</v>
      </c>
      <c r="BJ365" s="47">
        <v>0</v>
      </c>
      <c r="BK365" s="47">
        <v>0</v>
      </c>
      <c r="BL365" s="47">
        <v>0</v>
      </c>
      <c r="BM365" s="47">
        <v>0</v>
      </c>
      <c r="BN365" s="47">
        <v>0</v>
      </c>
      <c r="BO365" s="47">
        <v>0</v>
      </c>
      <c r="BP365" s="47">
        <v>0</v>
      </c>
      <c r="BQ365" s="47">
        <v>0</v>
      </c>
      <c r="BR365" s="47">
        <v>0</v>
      </c>
      <c r="BS365" s="47">
        <v>0</v>
      </c>
      <c r="BT365" s="47">
        <v>0</v>
      </c>
      <c r="BU365" s="47">
        <v>0</v>
      </c>
      <c r="BV365" s="47">
        <v>0</v>
      </c>
      <c r="BW365" s="47">
        <v>0</v>
      </c>
      <c r="BX365" s="47">
        <v>0</v>
      </c>
      <c r="BY365" s="47">
        <v>0</v>
      </c>
      <c r="BZ365" s="47">
        <v>0</v>
      </c>
      <c r="CA365" s="47">
        <v>0</v>
      </c>
      <c r="CB365" s="47">
        <v>0</v>
      </c>
      <c r="CC365" s="47">
        <v>0</v>
      </c>
      <c r="CD365" s="47">
        <v>0</v>
      </c>
      <c r="CE365" s="47">
        <v>0</v>
      </c>
      <c r="CF365" s="47">
        <v>0</v>
      </c>
      <c r="CG365" s="47">
        <v>0</v>
      </c>
      <c r="CH365" s="47">
        <v>0</v>
      </c>
      <c r="CI365" s="47">
        <v>0</v>
      </c>
      <c r="CJ365" s="47">
        <v>0</v>
      </c>
      <c r="CK365" s="47">
        <v>0</v>
      </c>
      <c r="CL365" s="47">
        <v>0</v>
      </c>
      <c r="CM365" s="47">
        <v>0</v>
      </c>
      <c r="CN365" s="47">
        <v>0</v>
      </c>
      <c r="CO365" s="47">
        <v>0</v>
      </c>
      <c r="CP365" s="47">
        <v>0</v>
      </c>
      <c r="CQ365" s="47">
        <v>0</v>
      </c>
      <c r="CR365" s="47">
        <v>0</v>
      </c>
      <c r="CS365" s="47">
        <v>0</v>
      </c>
      <c r="CT365" s="47">
        <v>0</v>
      </c>
      <c r="CU365" s="47">
        <v>0</v>
      </c>
      <c r="CV365" s="47">
        <v>0</v>
      </c>
      <c r="CW365" s="47">
        <v>0</v>
      </c>
      <c r="CX365" s="47">
        <v>0</v>
      </c>
      <c r="CY365" s="47">
        <v>0</v>
      </c>
      <c r="CZ365" s="47">
        <v>0</v>
      </c>
      <c r="DA365" s="47">
        <v>0</v>
      </c>
      <c r="DB365" s="47">
        <v>0</v>
      </c>
      <c r="DC365" s="47">
        <v>0</v>
      </c>
      <c r="DD365" s="47">
        <v>0</v>
      </c>
      <c r="DE365" s="47">
        <v>0</v>
      </c>
      <c r="DF365" s="47">
        <v>0</v>
      </c>
      <c r="DG365" s="47">
        <v>0</v>
      </c>
      <c r="DH365" s="47">
        <v>0</v>
      </c>
      <c r="DI365" s="47">
        <v>0</v>
      </c>
      <c r="DJ365" s="47">
        <v>0</v>
      </c>
      <c r="DK365" s="47">
        <v>0</v>
      </c>
      <c r="DL365" s="47">
        <v>0</v>
      </c>
      <c r="DM365" s="47">
        <v>0</v>
      </c>
      <c r="DN365" s="47">
        <v>0</v>
      </c>
      <c r="DO365" s="47">
        <v>0</v>
      </c>
      <c r="DP365" s="47">
        <v>0</v>
      </c>
      <c r="DQ365" s="47">
        <v>0</v>
      </c>
      <c r="DR365" s="47">
        <v>0</v>
      </c>
      <c r="DS365" s="47">
        <v>0</v>
      </c>
      <c r="DT365" s="47">
        <v>0</v>
      </c>
    </row>
    <row r="366" spans="1:126" x14ac:dyDescent="0.25">
      <c r="A366" s="47" t="s">
        <v>1772</v>
      </c>
      <c r="B366" s="47" t="s">
        <v>153</v>
      </c>
      <c r="C366" s="47" t="s">
        <v>1773</v>
      </c>
      <c r="D366" s="47" t="s">
        <v>1774</v>
      </c>
      <c r="E366" s="47" t="s">
        <v>1775</v>
      </c>
      <c r="F366" s="47" t="s">
        <v>698</v>
      </c>
      <c r="G366" s="47" t="s">
        <v>705</v>
      </c>
      <c r="H366" s="47" t="str">
        <f>=IFERROR(VLOOKUP(A366,'ETPT Format DDG'!A:J,10,FALSE),"")</f>
        <v>0</v>
      </c>
      <c r="I366" s="47" t="str">
        <f>='ETPT Format DDG'!M366</f>
        <v/>
      </c>
      <c r="J366" s="47" t="str">
        <f>='ETPT Format DDG'!D366</f>
        <v/>
      </c>
      <c r="K366" s="47" t="s">
        <v>157</v>
      </c>
      <c r="L366" s="47" t="s">
        <v>717</v>
      </c>
      <c r="M366" s="47"/>
      <c r="N366" s="47">
        <v>1</v>
      </c>
      <c r="O366" s="47">
        <v>0</v>
      </c>
      <c r="P366" s="47">
        <v>0</v>
      </c>
      <c r="Q366" s="47">
        <v>0</v>
      </c>
      <c r="R366" s="47">
        <v>0</v>
      </c>
      <c r="S366" s="47">
        <v>0</v>
      </c>
      <c r="T366" s="47">
        <v>0</v>
      </c>
      <c r="U366" s="47">
        <v>0</v>
      </c>
      <c r="V366" s="47">
        <v>0</v>
      </c>
      <c r="W366" s="47">
        <v>0</v>
      </c>
      <c r="X366" s="47">
        <v>0</v>
      </c>
      <c r="Y366" s="47">
        <v>0</v>
      </c>
      <c r="Z366" s="47">
        <v>0</v>
      </c>
      <c r="AA366" s="47">
        <v>0</v>
      </c>
      <c r="AB366" s="47">
        <v>0</v>
      </c>
      <c r="AC366" s="47">
        <v>0</v>
      </c>
      <c r="AD366" s="47">
        <v>0</v>
      </c>
      <c r="AE366" s="47">
        <v>0</v>
      </c>
      <c r="AF366" s="47">
        <v>0</v>
      </c>
      <c r="AG366" s="47">
        <v>0</v>
      </c>
      <c r="AH366" s="47">
        <v>0</v>
      </c>
      <c r="AI366" s="47">
        <v>0</v>
      </c>
      <c r="AJ366" s="47">
        <v>0</v>
      </c>
      <c r="AK366" s="47">
        <v>0</v>
      </c>
      <c r="AL366" s="47">
        <v>0</v>
      </c>
      <c r="AM366" s="47">
        <v>0</v>
      </c>
      <c r="AN366" s="47">
        <v>0</v>
      </c>
      <c r="AO366" s="47">
        <v>0</v>
      </c>
      <c r="AP366" s="47">
        <v>0</v>
      </c>
      <c r="AQ366" s="47">
        <v>0</v>
      </c>
      <c r="AR366" s="47">
        <v>0</v>
      </c>
      <c r="AS366" s="47">
        <v>0</v>
      </c>
      <c r="AT366" s="47">
        <v>0</v>
      </c>
      <c r="AU366" s="47">
        <v>0</v>
      </c>
      <c r="AV366" s="47">
        <v>0</v>
      </c>
      <c r="AW366" s="47">
        <v>0</v>
      </c>
      <c r="AX366" s="47">
        <v>0</v>
      </c>
      <c r="AY366" s="47">
        <v>0</v>
      </c>
      <c r="AZ366" s="47">
        <v>0</v>
      </c>
      <c r="BA366" s="47">
        <v>0</v>
      </c>
      <c r="BB366" s="47">
        <v>0</v>
      </c>
      <c r="BC366" s="47">
        <v>0</v>
      </c>
      <c r="BD366" s="47">
        <v>0</v>
      </c>
      <c r="BE366" s="47">
        <v>0</v>
      </c>
      <c r="BF366" s="47">
        <v>0</v>
      </c>
      <c r="BG366" s="47">
        <v>0</v>
      </c>
      <c r="BH366" s="47">
        <v>0</v>
      </c>
      <c r="BI366" s="47">
        <v>0</v>
      </c>
      <c r="BJ366" s="47">
        <v>0</v>
      </c>
      <c r="BK366" s="47">
        <v>0</v>
      </c>
      <c r="BL366" s="47">
        <v>0</v>
      </c>
      <c r="BM366" s="47">
        <v>0</v>
      </c>
      <c r="BN366" s="47">
        <v>0</v>
      </c>
      <c r="BO366" s="47">
        <v>0</v>
      </c>
      <c r="BP366" s="47">
        <v>0</v>
      </c>
      <c r="BQ366" s="47">
        <v>0</v>
      </c>
      <c r="BR366" s="47">
        <v>0</v>
      </c>
      <c r="BS366" s="47">
        <v>0</v>
      </c>
      <c r="BT366" s="47">
        <v>0</v>
      </c>
      <c r="BU366" s="47">
        <v>0</v>
      </c>
      <c r="BV366" s="47">
        <v>0</v>
      </c>
      <c r="BW366" s="47">
        <v>0</v>
      </c>
      <c r="BX366" s="47">
        <v>0</v>
      </c>
      <c r="BY366" s="47">
        <v>0</v>
      </c>
      <c r="BZ366" s="47">
        <v>0</v>
      </c>
      <c r="CA366" s="47">
        <v>0</v>
      </c>
      <c r="CB366" s="47">
        <v>0</v>
      </c>
      <c r="CC366" s="47">
        <v>0</v>
      </c>
      <c r="CD366" s="47">
        <v>0</v>
      </c>
      <c r="CE366" s="47">
        <v>0</v>
      </c>
      <c r="CF366" s="47">
        <v>0</v>
      </c>
      <c r="CG366" s="47">
        <v>0</v>
      </c>
      <c r="CH366" s="47">
        <v>0</v>
      </c>
      <c r="CI366" s="47">
        <v>0</v>
      </c>
      <c r="CJ366" s="47">
        <v>0</v>
      </c>
      <c r="CK366" s="47">
        <v>0</v>
      </c>
      <c r="CL366" s="47">
        <v>0</v>
      </c>
      <c r="CM366" s="47">
        <v>0</v>
      </c>
      <c r="CN366" s="47">
        <v>0</v>
      </c>
      <c r="CO366" s="47">
        <v>0</v>
      </c>
      <c r="CP366" s="47">
        <v>0</v>
      </c>
      <c r="CQ366" s="47">
        <v>0</v>
      </c>
      <c r="CR366" s="47">
        <v>0</v>
      </c>
      <c r="CS366" s="47">
        <v>0</v>
      </c>
      <c r="CT366" s="47">
        <v>0</v>
      </c>
      <c r="CU366" s="47">
        <v>0</v>
      </c>
      <c r="CV366" s="47">
        <v>0</v>
      </c>
      <c r="CW366" s="47">
        <v>0</v>
      </c>
      <c r="CX366" s="47">
        <v>0</v>
      </c>
      <c r="CY366" s="47">
        <v>0</v>
      </c>
      <c r="CZ366" s="47">
        <v>0</v>
      </c>
      <c r="DA366" s="47">
        <v>0</v>
      </c>
      <c r="DB366" s="47">
        <v>0</v>
      </c>
      <c r="DC366" s="47">
        <v>0</v>
      </c>
      <c r="DD366" s="47">
        <v>0</v>
      </c>
      <c r="DE366" s="47">
        <v>0</v>
      </c>
      <c r="DF366" s="47">
        <v>0</v>
      </c>
      <c r="DG366" s="47">
        <v>0</v>
      </c>
      <c r="DH366" s="47">
        <v>0</v>
      </c>
      <c r="DI366" s="47">
        <v>0</v>
      </c>
      <c r="DJ366" s="47">
        <v>0</v>
      </c>
      <c r="DK366" s="47">
        <v>0</v>
      </c>
      <c r="DL366" s="47">
        <v>0</v>
      </c>
      <c r="DM366" s="47">
        <v>0</v>
      </c>
      <c r="DN366" s="47">
        <v>0</v>
      </c>
      <c r="DO366" s="47">
        <v>0</v>
      </c>
      <c r="DP366" s="47">
        <v>0</v>
      </c>
      <c r="DQ366" s="47">
        <v>0</v>
      </c>
      <c r="DR366" s="47">
        <v>0</v>
      </c>
      <c r="DS366" s="47">
        <v>0</v>
      </c>
      <c r="DT366" s="47">
        <v>0</v>
      </c>
    </row>
    <row r="367" spans="1:126" x14ac:dyDescent="0.25">
      <c r="A367" s="47" t="s">
        <v>1776</v>
      </c>
      <c r="B367" s="47" t="s">
        <v>153</v>
      </c>
      <c r="C367" s="47" t="s">
        <v>1777</v>
      </c>
      <c r="D367" s="47" t="s">
        <v>1778</v>
      </c>
      <c r="E367" s="47" t="s">
        <v>1779</v>
      </c>
      <c r="F367" s="47" t="s">
        <v>698</v>
      </c>
      <c r="G367" s="47" t="s">
        <v>727</v>
      </c>
      <c r="H367" s="47" t="str">
        <f>=IFERROR(VLOOKUP(A367,'ETPT Format DDG'!A:J,10,FALSE),"")</f>
        <v>0</v>
      </c>
      <c r="I367" s="47" t="str">
        <f>='ETPT Format DDG'!M367</f>
        <v/>
      </c>
      <c r="J367" s="47" t="str">
        <f>='ETPT Format DDG'!D367</f>
        <v/>
      </c>
      <c r="K367" s="47" t="s">
        <v>157</v>
      </c>
      <c r="L367" s="47" t="s">
        <v>929</v>
      </c>
      <c r="M367" s="47"/>
      <c r="N367" s="47">
        <v>1</v>
      </c>
      <c r="O367" s="47">
        <v>0</v>
      </c>
      <c r="P367" s="47">
        <v>0</v>
      </c>
      <c r="Q367" s="47">
        <v>0</v>
      </c>
      <c r="R367" s="47">
        <v>0</v>
      </c>
      <c r="S367" s="47">
        <v>0</v>
      </c>
      <c r="T367" s="47">
        <v>0</v>
      </c>
      <c r="U367" s="47">
        <v>0</v>
      </c>
      <c r="V367" s="47">
        <v>0</v>
      </c>
      <c r="W367" s="47">
        <v>0</v>
      </c>
      <c r="X367" s="47">
        <v>0</v>
      </c>
      <c r="Y367" s="47">
        <v>0</v>
      </c>
      <c r="Z367" s="47">
        <v>0</v>
      </c>
      <c r="AA367" s="47">
        <v>0</v>
      </c>
      <c r="AB367" s="47">
        <v>0</v>
      </c>
      <c r="AC367" s="47">
        <v>0</v>
      </c>
      <c r="AD367" s="47">
        <v>0</v>
      </c>
      <c r="AE367" s="47">
        <v>0</v>
      </c>
      <c r="AF367" s="47">
        <v>0</v>
      </c>
      <c r="AG367" s="47">
        <v>0</v>
      </c>
      <c r="AH367" s="47">
        <v>0</v>
      </c>
      <c r="AI367" s="47">
        <v>0</v>
      </c>
      <c r="AJ367" s="47">
        <v>0</v>
      </c>
      <c r="AK367" s="47">
        <v>0</v>
      </c>
      <c r="AL367" s="47">
        <v>0</v>
      </c>
      <c r="AM367" s="47">
        <v>0</v>
      </c>
      <c r="AN367" s="47">
        <v>0</v>
      </c>
      <c r="AO367" s="47">
        <v>0</v>
      </c>
      <c r="AP367" s="47">
        <v>0</v>
      </c>
      <c r="AQ367" s="47">
        <v>0</v>
      </c>
      <c r="AR367" s="47">
        <v>0</v>
      </c>
      <c r="AS367" s="47">
        <v>0</v>
      </c>
      <c r="AT367" s="47">
        <v>0</v>
      </c>
      <c r="AU367" s="47">
        <v>0</v>
      </c>
      <c r="AV367" s="47">
        <v>0</v>
      </c>
      <c r="AW367" s="47">
        <v>0</v>
      </c>
      <c r="AX367" s="47">
        <v>0</v>
      </c>
      <c r="AY367" s="47">
        <v>0</v>
      </c>
      <c r="AZ367" s="47">
        <v>0</v>
      </c>
      <c r="BA367" s="47">
        <v>0</v>
      </c>
      <c r="BB367" s="47">
        <v>0</v>
      </c>
      <c r="BC367" s="47">
        <v>0</v>
      </c>
      <c r="BD367" s="47">
        <v>0</v>
      </c>
      <c r="BE367" s="47">
        <v>0</v>
      </c>
      <c r="BF367" s="47">
        <v>0</v>
      </c>
      <c r="BG367" s="47">
        <v>0</v>
      </c>
      <c r="BH367" s="47">
        <v>0</v>
      </c>
      <c r="BI367" s="47">
        <v>0</v>
      </c>
      <c r="BJ367" s="47">
        <v>0</v>
      </c>
      <c r="BK367" s="47">
        <v>0</v>
      </c>
      <c r="BL367" s="47">
        <v>0</v>
      </c>
      <c r="BM367" s="47">
        <v>0</v>
      </c>
      <c r="BN367" s="47">
        <v>0</v>
      </c>
      <c r="BO367" s="47">
        <v>0</v>
      </c>
      <c r="BP367" s="47">
        <v>0</v>
      </c>
      <c r="BQ367" s="47">
        <v>0</v>
      </c>
      <c r="BR367" s="47">
        <v>0</v>
      </c>
      <c r="BS367" s="47">
        <v>0</v>
      </c>
      <c r="BT367" s="47">
        <v>0</v>
      </c>
      <c r="BU367" s="47">
        <v>0</v>
      </c>
      <c r="BV367" s="47">
        <v>0</v>
      </c>
      <c r="BW367" s="47">
        <v>0</v>
      </c>
      <c r="BX367" s="47">
        <v>0</v>
      </c>
      <c r="BY367" s="47">
        <v>0</v>
      </c>
      <c r="BZ367" s="47">
        <v>0</v>
      </c>
      <c r="CA367" s="47">
        <v>0</v>
      </c>
      <c r="CB367" s="47">
        <v>0</v>
      </c>
      <c r="CC367" s="47">
        <v>0</v>
      </c>
      <c r="CD367" s="47">
        <v>0</v>
      </c>
      <c r="CE367" s="47">
        <v>0</v>
      </c>
      <c r="CF367" s="47">
        <v>0</v>
      </c>
      <c r="CG367" s="47">
        <v>0</v>
      </c>
      <c r="CH367" s="47">
        <v>0</v>
      </c>
      <c r="CI367" s="47">
        <v>0</v>
      </c>
      <c r="CJ367" s="47">
        <v>0</v>
      </c>
      <c r="CK367" s="47">
        <v>0</v>
      </c>
      <c r="CL367" s="47">
        <v>0</v>
      </c>
      <c r="CM367" s="47">
        <v>0</v>
      </c>
      <c r="CN367" s="47">
        <v>0</v>
      </c>
      <c r="CO367" s="47">
        <v>0</v>
      </c>
      <c r="CP367" s="47">
        <v>0</v>
      </c>
      <c r="CQ367" s="47">
        <v>0</v>
      </c>
      <c r="CR367" s="47">
        <v>0</v>
      </c>
      <c r="CS367" s="47">
        <v>0</v>
      </c>
      <c r="CT367" s="47">
        <v>0</v>
      </c>
      <c r="CU367" s="47">
        <v>0</v>
      </c>
      <c r="CV367" s="47">
        <v>0</v>
      </c>
      <c r="CW367" s="47">
        <v>0</v>
      </c>
      <c r="CX367" s="47">
        <v>0</v>
      </c>
      <c r="CY367" s="47">
        <v>0</v>
      </c>
      <c r="CZ367" s="47">
        <v>0</v>
      </c>
      <c r="DA367" s="47">
        <v>0</v>
      </c>
      <c r="DB367" s="47">
        <v>0</v>
      </c>
      <c r="DC367" s="47">
        <v>0</v>
      </c>
      <c r="DD367" s="47">
        <v>0</v>
      </c>
      <c r="DE367" s="47">
        <v>0</v>
      </c>
      <c r="DF367" s="47">
        <v>0</v>
      </c>
      <c r="DG367" s="47">
        <v>0</v>
      </c>
      <c r="DH367" s="47">
        <v>0</v>
      </c>
      <c r="DI367" s="47">
        <v>0</v>
      </c>
      <c r="DJ367" s="47">
        <v>0</v>
      </c>
      <c r="DK367" s="47">
        <v>0</v>
      </c>
      <c r="DL367" s="47">
        <v>0</v>
      </c>
      <c r="DM367" s="47">
        <v>0</v>
      </c>
      <c r="DN367" s="47">
        <v>0</v>
      </c>
      <c r="DO367" s="47">
        <v>0</v>
      </c>
      <c r="DP367" s="47">
        <v>0</v>
      </c>
      <c r="DQ367" s="47">
        <v>0</v>
      </c>
      <c r="DR367" s="47">
        <v>0</v>
      </c>
      <c r="DS367" s="47">
        <v>0</v>
      </c>
      <c r="DT367" s="47">
        <v>0</v>
      </c>
    </row>
    <row r="368" spans="1:126" x14ac:dyDescent="0.25">
      <c r="A368" s="47" t="s">
        <v>1780</v>
      </c>
      <c r="B368" s="47" t="s">
        <v>153</v>
      </c>
      <c r="C368" s="47" t="s">
        <v>1781</v>
      </c>
      <c r="D368" s="47" t="s">
        <v>1782</v>
      </c>
      <c r="E368" s="47" t="s">
        <v>1783</v>
      </c>
      <c r="F368" s="47" t="s">
        <v>698</v>
      </c>
      <c r="G368" s="47" t="s">
        <v>738</v>
      </c>
      <c r="H368" s="47" t="str">
        <f>=IFERROR(VLOOKUP(A368,'ETPT Format DDG'!A:J,10,FALSE),"")</f>
        <v>0</v>
      </c>
      <c r="I368" s="47" t="str">
        <f>='ETPT Format DDG'!M368</f>
        <v/>
      </c>
      <c r="J368" s="47" t="str">
        <f>='ETPT Format DDG'!D368</f>
        <v/>
      </c>
      <c r="K368" s="47" t="s">
        <v>157</v>
      </c>
      <c r="L368" s="47" t="s">
        <v>175</v>
      </c>
      <c r="M368" s="47"/>
      <c r="N368" s="47">
        <v>1</v>
      </c>
      <c r="O368" s="47">
        <v>1</v>
      </c>
      <c r="P368" s="47">
        <v>1</v>
      </c>
      <c r="Q368" s="47">
        <v>0</v>
      </c>
      <c r="R368" s="47">
        <v>0</v>
      </c>
      <c r="S368" s="47">
        <v>0</v>
      </c>
      <c r="T368" s="47">
        <v>0</v>
      </c>
      <c r="U368" s="47">
        <v>0</v>
      </c>
      <c r="V368" s="47">
        <v>0</v>
      </c>
      <c r="W368" s="47">
        <v>0</v>
      </c>
      <c r="X368" s="47">
        <v>0</v>
      </c>
      <c r="Y368" s="47">
        <v>0</v>
      </c>
      <c r="Z368" s="47">
        <v>0</v>
      </c>
      <c r="AA368" s="47">
        <v>0</v>
      </c>
      <c r="AB368" s="47">
        <v>0</v>
      </c>
      <c r="AC368" s="47">
        <v>0</v>
      </c>
      <c r="AD368" s="47">
        <v>0</v>
      </c>
      <c r="AE368" s="47">
        <v>0</v>
      </c>
      <c r="AF368" s="47">
        <v>0</v>
      </c>
      <c r="AG368" s="47">
        <v>0</v>
      </c>
      <c r="AH368" s="47">
        <v>0</v>
      </c>
      <c r="AI368" s="47">
        <v>0</v>
      </c>
      <c r="AJ368" s="47">
        <v>0</v>
      </c>
      <c r="AK368" s="47">
        <v>0</v>
      </c>
      <c r="AL368" s="47">
        <v>0</v>
      </c>
      <c r="AM368" s="47">
        <v>0</v>
      </c>
      <c r="AN368" s="47">
        <v>0</v>
      </c>
      <c r="AO368" s="47">
        <v>0</v>
      </c>
      <c r="AP368" s="47">
        <v>0</v>
      </c>
      <c r="AQ368" s="47">
        <v>0</v>
      </c>
      <c r="AR368" s="47">
        <v>0</v>
      </c>
      <c r="AS368" s="47">
        <v>0</v>
      </c>
      <c r="AT368" s="47">
        <v>0</v>
      </c>
      <c r="AU368" s="47">
        <v>0</v>
      </c>
      <c r="AV368" s="47">
        <v>0</v>
      </c>
      <c r="AW368" s="47">
        <v>0</v>
      </c>
      <c r="AX368" s="47">
        <v>0</v>
      </c>
      <c r="AY368" s="47">
        <v>0</v>
      </c>
      <c r="AZ368" s="47">
        <v>0</v>
      </c>
      <c r="BA368" s="47">
        <v>0</v>
      </c>
      <c r="BB368" s="47">
        <v>0</v>
      </c>
      <c r="BC368" s="47">
        <v>0</v>
      </c>
      <c r="BD368" s="47">
        <v>0</v>
      </c>
      <c r="BE368" s="47">
        <v>0</v>
      </c>
      <c r="BF368" s="47">
        <v>0</v>
      </c>
      <c r="BG368" s="47">
        <v>0</v>
      </c>
      <c r="BH368" s="47">
        <v>0</v>
      </c>
      <c r="BI368" s="47">
        <v>0</v>
      </c>
      <c r="BJ368" s="47">
        <v>0</v>
      </c>
      <c r="BK368" s="47">
        <v>0</v>
      </c>
      <c r="BL368" s="47">
        <v>0</v>
      </c>
      <c r="BM368" s="47">
        <v>0</v>
      </c>
      <c r="BN368" s="47">
        <v>0</v>
      </c>
      <c r="BO368" s="47">
        <v>0</v>
      </c>
      <c r="BP368" s="47">
        <v>0</v>
      </c>
      <c r="BQ368" s="47">
        <v>0</v>
      </c>
      <c r="BR368" s="47">
        <v>0</v>
      </c>
      <c r="BS368" s="47">
        <v>0</v>
      </c>
      <c r="BT368" s="47">
        <v>0</v>
      </c>
      <c r="BU368" s="47">
        <v>0</v>
      </c>
      <c r="BV368" s="47">
        <v>0</v>
      </c>
      <c r="BW368" s="47">
        <v>0</v>
      </c>
      <c r="BX368" s="47">
        <v>0</v>
      </c>
      <c r="BY368" s="47">
        <v>0</v>
      </c>
      <c r="BZ368" s="47">
        <v>0</v>
      </c>
      <c r="CA368" s="47">
        <v>0</v>
      </c>
      <c r="CB368" s="47">
        <v>0</v>
      </c>
      <c r="CC368" s="47">
        <v>0</v>
      </c>
      <c r="CD368" s="47">
        <v>0</v>
      </c>
      <c r="CE368" s="47">
        <v>0</v>
      </c>
      <c r="CF368" s="47">
        <v>0</v>
      </c>
      <c r="CG368" s="47">
        <v>0</v>
      </c>
      <c r="CH368" s="47">
        <v>0</v>
      </c>
      <c r="CI368" s="47">
        <v>0</v>
      </c>
      <c r="CJ368" s="47">
        <v>0</v>
      </c>
      <c r="CK368" s="47">
        <v>0</v>
      </c>
      <c r="CL368" s="47">
        <v>0</v>
      </c>
      <c r="CM368" s="47">
        <v>0</v>
      </c>
      <c r="CN368" s="47">
        <v>0</v>
      </c>
      <c r="CO368" s="47">
        <v>0</v>
      </c>
      <c r="CP368" s="47">
        <v>0</v>
      </c>
      <c r="CQ368" s="47">
        <v>0</v>
      </c>
      <c r="CR368" s="47">
        <v>0</v>
      </c>
      <c r="CS368" s="47">
        <v>0</v>
      </c>
      <c r="CT368" s="47">
        <v>0</v>
      </c>
      <c r="CU368" s="47">
        <v>0</v>
      </c>
      <c r="CV368" s="47">
        <v>0</v>
      </c>
      <c r="CW368" s="47">
        <v>0</v>
      </c>
      <c r="CX368" s="47">
        <v>0</v>
      </c>
      <c r="CY368" s="47">
        <v>0</v>
      </c>
      <c r="CZ368" s="47">
        <v>0</v>
      </c>
      <c r="DA368" s="47">
        <v>0</v>
      </c>
      <c r="DB368" s="47">
        <v>0</v>
      </c>
      <c r="DC368" s="47">
        <v>0</v>
      </c>
      <c r="DD368" s="47">
        <v>0</v>
      </c>
      <c r="DE368" s="47">
        <v>0</v>
      </c>
      <c r="DF368" s="47">
        <v>0</v>
      </c>
      <c r="DG368" s="47">
        <v>0</v>
      </c>
      <c r="DH368" s="47">
        <v>0</v>
      </c>
      <c r="DI368" s="47">
        <v>0</v>
      </c>
      <c r="DJ368" s="47">
        <v>0</v>
      </c>
      <c r="DK368" s="47">
        <v>0</v>
      </c>
      <c r="DL368" s="47">
        <v>0</v>
      </c>
      <c r="DM368" s="47">
        <v>0</v>
      </c>
      <c r="DN368" s="47">
        <v>0</v>
      </c>
      <c r="DO368" s="47">
        <v>0</v>
      </c>
      <c r="DP368" s="47">
        <v>0</v>
      </c>
      <c r="DQ368" s="47">
        <v>0</v>
      </c>
      <c r="DR368" s="47">
        <v>0</v>
      </c>
      <c r="DS368" s="47">
        <v>0</v>
      </c>
      <c r="DT368" s="47">
        <v>0</v>
      </c>
    </row>
    <row r="369" spans="1:126" x14ac:dyDescent="0.25">
      <c r="A369" s="47" t="s">
        <v>1784</v>
      </c>
      <c r="B369" s="47" t="s">
        <v>153</v>
      </c>
      <c r="C369" s="47" t="s">
        <v>1785</v>
      </c>
      <c r="D369" s="47" t="s">
        <v>1786</v>
      </c>
      <c r="E369" s="47" t="s">
        <v>1787</v>
      </c>
      <c r="F369" s="47" t="s">
        <v>698</v>
      </c>
      <c r="G369" s="47" t="s">
        <v>705</v>
      </c>
      <c r="H369" s="47" t="str">
        <f>=IFERROR(VLOOKUP(A369,'ETPT Format DDG'!A:J,10,FALSE),"")</f>
        <v>0</v>
      </c>
      <c r="I369" s="47" t="str">
        <f>='ETPT Format DDG'!M369</f>
        <v/>
      </c>
      <c r="J369" s="47" t="str">
        <f>='ETPT Format DDG'!D369</f>
        <v/>
      </c>
      <c r="K369" s="47" t="s">
        <v>157</v>
      </c>
      <c r="L369" s="47" t="s">
        <v>717</v>
      </c>
      <c r="M369" s="47"/>
      <c r="N369" s="47">
        <v>1</v>
      </c>
      <c r="O369" s="47">
        <v>1</v>
      </c>
      <c r="P369" s="47">
        <v>0</v>
      </c>
      <c r="Q369" s="47">
        <v>0</v>
      </c>
      <c r="R369" s="47">
        <v>0</v>
      </c>
      <c r="S369" s="47">
        <v>0</v>
      </c>
      <c r="T369" s="47">
        <v>0</v>
      </c>
      <c r="U369" s="47">
        <v>0</v>
      </c>
      <c r="V369" s="47">
        <v>0</v>
      </c>
      <c r="W369" s="47">
        <v>0</v>
      </c>
      <c r="X369" s="47">
        <v>0</v>
      </c>
      <c r="Y369" s="47">
        <v>0</v>
      </c>
      <c r="Z369" s="47">
        <v>0</v>
      </c>
      <c r="AA369" s="47">
        <v>0</v>
      </c>
      <c r="AB369" s="47">
        <v>0</v>
      </c>
      <c r="AC369" s="47">
        <v>0</v>
      </c>
      <c r="AD369" s="47">
        <v>0</v>
      </c>
      <c r="AE369" s="47">
        <v>0</v>
      </c>
      <c r="AF369" s="47">
        <v>0</v>
      </c>
      <c r="AG369" s="47">
        <v>0</v>
      </c>
      <c r="AH369" s="47">
        <v>0</v>
      </c>
      <c r="AI369" s="47">
        <v>0</v>
      </c>
      <c r="AJ369" s="47">
        <v>0</v>
      </c>
      <c r="AK369" s="47">
        <v>0</v>
      </c>
      <c r="AL369" s="47">
        <v>0</v>
      </c>
      <c r="AM369" s="47">
        <v>0</v>
      </c>
      <c r="AN369" s="47">
        <v>0</v>
      </c>
      <c r="AO369" s="47">
        <v>0</v>
      </c>
      <c r="AP369" s="47">
        <v>0</v>
      </c>
      <c r="AQ369" s="47">
        <v>0</v>
      </c>
      <c r="AR369" s="47">
        <v>0</v>
      </c>
      <c r="AS369" s="47">
        <v>0</v>
      </c>
      <c r="AT369" s="47">
        <v>0</v>
      </c>
      <c r="AU369" s="47">
        <v>0</v>
      </c>
      <c r="AV369" s="47">
        <v>0</v>
      </c>
      <c r="AW369" s="47">
        <v>0</v>
      </c>
      <c r="AX369" s="47">
        <v>0</v>
      </c>
      <c r="AY369" s="47">
        <v>0</v>
      </c>
      <c r="AZ369" s="47">
        <v>0</v>
      </c>
      <c r="BA369" s="47">
        <v>0</v>
      </c>
      <c r="BB369" s="47">
        <v>0</v>
      </c>
      <c r="BC369" s="47">
        <v>0</v>
      </c>
      <c r="BD369" s="47">
        <v>0</v>
      </c>
      <c r="BE369" s="47">
        <v>0</v>
      </c>
      <c r="BF369" s="47">
        <v>0</v>
      </c>
      <c r="BG369" s="47">
        <v>0</v>
      </c>
      <c r="BH369" s="47">
        <v>0</v>
      </c>
      <c r="BI369" s="47">
        <v>0</v>
      </c>
      <c r="BJ369" s="47">
        <v>0</v>
      </c>
      <c r="BK369" s="47">
        <v>0</v>
      </c>
      <c r="BL369" s="47">
        <v>0</v>
      </c>
      <c r="BM369" s="47">
        <v>0</v>
      </c>
      <c r="BN369" s="47">
        <v>0</v>
      </c>
      <c r="BO369" s="47">
        <v>1</v>
      </c>
      <c r="BP369" s="47">
        <v>0</v>
      </c>
      <c r="BQ369" s="47">
        <v>0</v>
      </c>
      <c r="BR369" s="47">
        <v>0</v>
      </c>
      <c r="BS369" s="47">
        <v>0</v>
      </c>
      <c r="BT369" s="47">
        <v>0</v>
      </c>
      <c r="BU369" s="47">
        <v>0</v>
      </c>
      <c r="BV369" s="47">
        <v>0</v>
      </c>
      <c r="BW369" s="47">
        <v>0</v>
      </c>
      <c r="BX369" s="47">
        <v>0</v>
      </c>
      <c r="BY369" s="47">
        <v>0</v>
      </c>
      <c r="BZ369" s="47">
        <v>0</v>
      </c>
      <c r="CA369" s="47">
        <v>0</v>
      </c>
      <c r="CB369" s="47">
        <v>0</v>
      </c>
      <c r="CC369" s="47">
        <v>0</v>
      </c>
      <c r="CD369" s="47">
        <v>0</v>
      </c>
      <c r="CE369" s="47">
        <v>1</v>
      </c>
      <c r="CF369" s="47">
        <v>0</v>
      </c>
      <c r="CG369" s="47">
        <v>0</v>
      </c>
      <c r="CH369" s="47">
        <v>0</v>
      </c>
      <c r="CI369" s="47">
        <v>0</v>
      </c>
      <c r="CJ369" s="47">
        <v>0</v>
      </c>
      <c r="CK369" s="47">
        <v>0</v>
      </c>
      <c r="CL369" s="47">
        <v>0</v>
      </c>
      <c r="CM369" s="47">
        <v>0</v>
      </c>
      <c r="CN369" s="47">
        <v>0</v>
      </c>
      <c r="CO369" s="47">
        <v>0</v>
      </c>
      <c r="CP369" s="47">
        <v>0</v>
      </c>
      <c r="CQ369" s="47">
        <v>0</v>
      </c>
      <c r="CR369" s="47">
        <v>0</v>
      </c>
      <c r="CS369" s="47">
        <v>0</v>
      </c>
      <c r="CT369" s="47">
        <v>0</v>
      </c>
      <c r="CU369" s="47">
        <v>0</v>
      </c>
      <c r="CV369" s="47">
        <v>0</v>
      </c>
      <c r="CW369" s="47">
        <v>0</v>
      </c>
      <c r="CX369" s="47">
        <v>0</v>
      </c>
      <c r="CY369" s="47">
        <v>0</v>
      </c>
      <c r="CZ369" s="47">
        <v>0</v>
      </c>
      <c r="DA369" s="47">
        <v>0</v>
      </c>
      <c r="DB369" s="47">
        <v>0</v>
      </c>
      <c r="DC369" s="47">
        <v>0</v>
      </c>
      <c r="DD369" s="47">
        <v>0</v>
      </c>
      <c r="DE369" s="47">
        <v>0</v>
      </c>
      <c r="DF369" s="47">
        <v>0</v>
      </c>
      <c r="DG369" s="47">
        <v>0</v>
      </c>
      <c r="DH369" s="47">
        <v>0</v>
      </c>
      <c r="DI369" s="47">
        <v>0</v>
      </c>
      <c r="DJ369" s="47">
        <v>0</v>
      </c>
      <c r="DK369" s="47">
        <v>0</v>
      </c>
      <c r="DL369" s="47">
        <v>0</v>
      </c>
      <c r="DM369" s="47">
        <v>0</v>
      </c>
      <c r="DN369" s="47">
        <v>0</v>
      </c>
      <c r="DO369" s="47">
        <v>0</v>
      </c>
      <c r="DP369" s="47">
        <v>0</v>
      </c>
      <c r="DQ369" s="47">
        <v>0</v>
      </c>
      <c r="DR369" s="47">
        <v>0</v>
      </c>
      <c r="DS369" s="47">
        <v>0</v>
      </c>
      <c r="DT369" s="47">
        <v>0</v>
      </c>
    </row>
    <row r="370" spans="1:126" x14ac:dyDescent="0.25">
      <c r="A370" s="47" t="s">
        <v>1788</v>
      </c>
      <c r="B370" s="47" t="s">
        <v>153</v>
      </c>
      <c r="C370" s="47" t="s">
        <v>1789</v>
      </c>
      <c r="D370" s="47" t="s">
        <v>1790</v>
      </c>
      <c r="E370" s="47" t="s">
        <v>1791</v>
      </c>
      <c r="F370" s="47" t="s">
        <v>698</v>
      </c>
      <c r="G370" s="47" t="s">
        <v>727</v>
      </c>
      <c r="H370" s="47" t="str">
        <f>=IFERROR(VLOOKUP(A370,'ETPT Format DDG'!A:J,10,FALSE),"")</f>
        <v>0</v>
      </c>
      <c r="I370" s="47" t="str">
        <f>='ETPT Format DDG'!M370</f>
        <v/>
      </c>
      <c r="J370" s="47" t="str">
        <f>='ETPT Format DDG'!D370</f>
        <v/>
      </c>
      <c r="K370" s="47" t="s">
        <v>157</v>
      </c>
      <c r="L370" s="47" t="s">
        <v>168</v>
      </c>
      <c r="M370" s="47"/>
      <c r="N370" s="47">
        <v>1</v>
      </c>
      <c r="O370" s="47">
        <v>0</v>
      </c>
      <c r="P370" s="47">
        <v>0</v>
      </c>
      <c r="Q370" s="47">
        <v>0</v>
      </c>
      <c r="R370" s="47">
        <v>0</v>
      </c>
      <c r="S370" s="47">
        <v>0</v>
      </c>
      <c r="T370" s="47">
        <v>0</v>
      </c>
      <c r="U370" s="47">
        <v>0</v>
      </c>
      <c r="V370" s="47">
        <v>0</v>
      </c>
      <c r="W370" s="47">
        <v>0</v>
      </c>
      <c r="X370" s="47">
        <v>0</v>
      </c>
      <c r="Y370" s="47">
        <v>0</v>
      </c>
      <c r="Z370" s="47">
        <v>0</v>
      </c>
      <c r="AA370" s="47">
        <v>0</v>
      </c>
      <c r="AB370" s="47">
        <v>0</v>
      </c>
      <c r="AC370" s="47">
        <v>0</v>
      </c>
      <c r="AD370" s="47">
        <v>0</v>
      </c>
      <c r="AE370" s="47">
        <v>0</v>
      </c>
      <c r="AF370" s="47">
        <v>0</v>
      </c>
      <c r="AG370" s="47">
        <v>0</v>
      </c>
      <c r="AH370" s="47">
        <v>0</v>
      </c>
      <c r="AI370" s="47">
        <v>0</v>
      </c>
      <c r="AJ370" s="47">
        <v>0</v>
      </c>
      <c r="AK370" s="47">
        <v>0</v>
      </c>
      <c r="AL370" s="47">
        <v>0</v>
      </c>
      <c r="AM370" s="47">
        <v>0</v>
      </c>
      <c r="AN370" s="47">
        <v>0</v>
      </c>
      <c r="AO370" s="47">
        <v>0</v>
      </c>
      <c r="AP370" s="47">
        <v>0</v>
      </c>
      <c r="AQ370" s="47">
        <v>0</v>
      </c>
      <c r="AR370" s="47">
        <v>0</v>
      </c>
      <c r="AS370" s="47">
        <v>0</v>
      </c>
      <c r="AT370" s="47">
        <v>0</v>
      </c>
      <c r="AU370" s="47">
        <v>0</v>
      </c>
      <c r="AV370" s="47">
        <v>0</v>
      </c>
      <c r="AW370" s="47">
        <v>0</v>
      </c>
      <c r="AX370" s="47">
        <v>0</v>
      </c>
      <c r="AY370" s="47">
        <v>0</v>
      </c>
      <c r="AZ370" s="47">
        <v>0</v>
      </c>
      <c r="BA370" s="47">
        <v>0</v>
      </c>
      <c r="BB370" s="47">
        <v>0</v>
      </c>
      <c r="BC370" s="47">
        <v>0</v>
      </c>
      <c r="BD370" s="47">
        <v>0</v>
      </c>
      <c r="BE370" s="47">
        <v>0</v>
      </c>
      <c r="BF370" s="47">
        <v>0</v>
      </c>
      <c r="BG370" s="47">
        <v>0</v>
      </c>
      <c r="BH370" s="47">
        <v>0</v>
      </c>
      <c r="BI370" s="47">
        <v>0</v>
      </c>
      <c r="BJ370" s="47">
        <v>0</v>
      </c>
      <c r="BK370" s="47">
        <v>0</v>
      </c>
      <c r="BL370" s="47">
        <v>0</v>
      </c>
      <c r="BM370" s="47">
        <v>0</v>
      </c>
      <c r="BN370" s="47">
        <v>0</v>
      </c>
      <c r="BO370" s="47">
        <v>0</v>
      </c>
      <c r="BP370" s="47">
        <v>0</v>
      </c>
      <c r="BQ370" s="47">
        <v>0</v>
      </c>
      <c r="BR370" s="47">
        <v>0</v>
      </c>
      <c r="BS370" s="47">
        <v>0</v>
      </c>
      <c r="BT370" s="47">
        <v>0</v>
      </c>
      <c r="BU370" s="47">
        <v>0</v>
      </c>
      <c r="BV370" s="47">
        <v>0</v>
      </c>
      <c r="BW370" s="47">
        <v>0</v>
      </c>
      <c r="BX370" s="47">
        <v>0</v>
      </c>
      <c r="BY370" s="47">
        <v>0</v>
      </c>
      <c r="BZ370" s="47">
        <v>0</v>
      </c>
      <c r="CA370" s="47">
        <v>0</v>
      </c>
      <c r="CB370" s="47">
        <v>0</v>
      </c>
      <c r="CC370" s="47">
        <v>0</v>
      </c>
      <c r="CD370" s="47">
        <v>0</v>
      </c>
      <c r="CE370" s="47">
        <v>0</v>
      </c>
      <c r="CF370" s="47">
        <v>0</v>
      </c>
      <c r="CG370" s="47">
        <v>0</v>
      </c>
      <c r="CH370" s="47">
        <v>0</v>
      </c>
      <c r="CI370" s="47">
        <v>0</v>
      </c>
      <c r="CJ370" s="47">
        <v>0</v>
      </c>
      <c r="CK370" s="47">
        <v>0</v>
      </c>
      <c r="CL370" s="47">
        <v>0</v>
      </c>
      <c r="CM370" s="47">
        <v>0</v>
      </c>
      <c r="CN370" s="47">
        <v>0</v>
      </c>
      <c r="CO370" s="47">
        <v>0</v>
      </c>
      <c r="CP370" s="47">
        <v>0</v>
      </c>
      <c r="CQ370" s="47">
        <v>0</v>
      </c>
      <c r="CR370" s="47">
        <v>0</v>
      </c>
      <c r="CS370" s="47">
        <v>0</v>
      </c>
      <c r="CT370" s="47">
        <v>0</v>
      </c>
      <c r="CU370" s="47">
        <v>0</v>
      </c>
      <c r="CV370" s="47">
        <v>0</v>
      </c>
      <c r="CW370" s="47">
        <v>0</v>
      </c>
      <c r="CX370" s="47">
        <v>0</v>
      </c>
      <c r="CY370" s="47">
        <v>0</v>
      </c>
      <c r="CZ370" s="47">
        <v>0</v>
      </c>
      <c r="DA370" s="47">
        <v>0</v>
      </c>
      <c r="DB370" s="47">
        <v>0</v>
      </c>
      <c r="DC370" s="47">
        <v>0</v>
      </c>
      <c r="DD370" s="47">
        <v>0</v>
      </c>
      <c r="DE370" s="47">
        <v>0</v>
      </c>
      <c r="DF370" s="47">
        <v>0</v>
      </c>
      <c r="DG370" s="47">
        <v>0</v>
      </c>
      <c r="DH370" s="47">
        <v>0</v>
      </c>
      <c r="DI370" s="47">
        <v>0</v>
      </c>
      <c r="DJ370" s="47">
        <v>0</v>
      </c>
      <c r="DK370" s="47">
        <v>0</v>
      </c>
      <c r="DL370" s="47">
        <v>0</v>
      </c>
      <c r="DM370" s="47">
        <v>0</v>
      </c>
      <c r="DN370" s="47">
        <v>0</v>
      </c>
      <c r="DO370" s="47">
        <v>0</v>
      </c>
      <c r="DP370" s="47">
        <v>0</v>
      </c>
      <c r="DQ370" s="47">
        <v>0</v>
      </c>
      <c r="DR370" s="47">
        <v>0</v>
      </c>
      <c r="DS370" s="47">
        <v>0</v>
      </c>
      <c r="DT370" s="47">
        <v>0</v>
      </c>
    </row>
    <row r="371" spans="1:126" x14ac:dyDescent="0.25">
      <c r="A371" s="47" t="s">
        <v>1792</v>
      </c>
      <c r="B371" s="47" t="s">
        <v>153</v>
      </c>
      <c r="C371" s="47" t="s">
        <v>1793</v>
      </c>
      <c r="D371" s="47" t="s">
        <v>1794</v>
      </c>
      <c r="E371" s="47" t="s">
        <v>1795</v>
      </c>
      <c r="F371" s="47" t="s">
        <v>698</v>
      </c>
      <c r="G371" s="47" t="s">
        <v>705</v>
      </c>
      <c r="H371" s="47" t="str">
        <f>=IFERROR(VLOOKUP(A371,'ETPT Format DDG'!A:J,10,FALSE),"")</f>
        <v>0</v>
      </c>
      <c r="I371" s="47" t="str">
        <f>='ETPT Format DDG'!M371</f>
        <v/>
      </c>
      <c r="J371" s="47" t="str">
        <f>='ETPT Format DDG'!D371</f>
        <v/>
      </c>
      <c r="K371" s="47" t="s">
        <v>157</v>
      </c>
      <c r="L371" s="47" t="s">
        <v>1796</v>
      </c>
      <c r="M371" s="47"/>
      <c r="N371" s="47">
        <v>1</v>
      </c>
      <c r="O371" s="47">
        <v>0</v>
      </c>
      <c r="P371" s="47">
        <v>0</v>
      </c>
      <c r="Q371" s="47">
        <v>0</v>
      </c>
      <c r="R371" s="47">
        <v>0</v>
      </c>
      <c r="S371" s="47">
        <v>0</v>
      </c>
      <c r="T371" s="47">
        <v>0</v>
      </c>
      <c r="U371" s="47">
        <v>0</v>
      </c>
      <c r="V371" s="47">
        <v>0</v>
      </c>
      <c r="W371" s="47">
        <v>0</v>
      </c>
      <c r="X371" s="47">
        <v>0</v>
      </c>
      <c r="Y371" s="47">
        <v>0</v>
      </c>
      <c r="Z371" s="47">
        <v>0</v>
      </c>
      <c r="AA371" s="47">
        <v>0</v>
      </c>
      <c r="AB371" s="47">
        <v>0</v>
      </c>
      <c r="AC371" s="47">
        <v>0</v>
      </c>
      <c r="AD371" s="47">
        <v>0</v>
      </c>
      <c r="AE371" s="47">
        <v>0</v>
      </c>
      <c r="AF371" s="47">
        <v>0</v>
      </c>
      <c r="AG371" s="47">
        <v>0</v>
      </c>
      <c r="AH371" s="47">
        <v>0</v>
      </c>
      <c r="AI371" s="47">
        <v>0</v>
      </c>
      <c r="AJ371" s="47">
        <v>0</v>
      </c>
      <c r="AK371" s="47">
        <v>0</v>
      </c>
      <c r="AL371" s="47">
        <v>0</v>
      </c>
      <c r="AM371" s="47">
        <v>0</v>
      </c>
      <c r="AN371" s="47">
        <v>0</v>
      </c>
      <c r="AO371" s="47">
        <v>0</v>
      </c>
      <c r="AP371" s="47">
        <v>0</v>
      </c>
      <c r="AQ371" s="47">
        <v>0</v>
      </c>
      <c r="AR371" s="47">
        <v>0</v>
      </c>
      <c r="AS371" s="47">
        <v>0</v>
      </c>
      <c r="AT371" s="47">
        <v>0</v>
      </c>
      <c r="AU371" s="47">
        <v>0</v>
      </c>
      <c r="AV371" s="47">
        <v>0</v>
      </c>
      <c r="AW371" s="47">
        <v>0</v>
      </c>
      <c r="AX371" s="47">
        <v>0</v>
      </c>
      <c r="AY371" s="47">
        <v>0</v>
      </c>
      <c r="AZ371" s="47">
        <v>0</v>
      </c>
      <c r="BA371" s="47">
        <v>0</v>
      </c>
      <c r="BB371" s="47">
        <v>0</v>
      </c>
      <c r="BC371" s="47">
        <v>0</v>
      </c>
      <c r="BD371" s="47">
        <v>0</v>
      </c>
      <c r="BE371" s="47">
        <v>0</v>
      </c>
      <c r="BF371" s="47">
        <v>0</v>
      </c>
      <c r="BG371" s="47">
        <v>0</v>
      </c>
      <c r="BH371" s="47">
        <v>0</v>
      </c>
      <c r="BI371" s="47">
        <v>0</v>
      </c>
      <c r="BJ371" s="47">
        <v>0</v>
      </c>
      <c r="BK371" s="47">
        <v>0</v>
      </c>
      <c r="BL371" s="47">
        <v>0</v>
      </c>
      <c r="BM371" s="47">
        <v>0</v>
      </c>
      <c r="BN371" s="47">
        <v>0</v>
      </c>
      <c r="BO371" s="47">
        <v>0</v>
      </c>
      <c r="BP371" s="47">
        <v>0</v>
      </c>
      <c r="BQ371" s="47">
        <v>0</v>
      </c>
      <c r="BR371" s="47">
        <v>0</v>
      </c>
      <c r="BS371" s="47">
        <v>0</v>
      </c>
      <c r="BT371" s="47">
        <v>0</v>
      </c>
      <c r="BU371" s="47">
        <v>0</v>
      </c>
      <c r="BV371" s="47">
        <v>0</v>
      </c>
      <c r="BW371" s="47">
        <v>0</v>
      </c>
      <c r="BX371" s="47">
        <v>0</v>
      </c>
      <c r="BY371" s="47">
        <v>0</v>
      </c>
      <c r="BZ371" s="47">
        <v>0</v>
      </c>
      <c r="CA371" s="47">
        <v>0</v>
      </c>
      <c r="CB371" s="47">
        <v>0</v>
      </c>
      <c r="CC371" s="47">
        <v>0</v>
      </c>
      <c r="CD371" s="47">
        <v>0</v>
      </c>
      <c r="CE371" s="47">
        <v>0</v>
      </c>
      <c r="CF371" s="47">
        <v>0</v>
      </c>
      <c r="CG371" s="47">
        <v>0</v>
      </c>
      <c r="CH371" s="47">
        <v>0</v>
      </c>
      <c r="CI371" s="47">
        <v>0</v>
      </c>
      <c r="CJ371" s="47">
        <v>0</v>
      </c>
      <c r="CK371" s="47">
        <v>0</v>
      </c>
      <c r="CL371" s="47">
        <v>0</v>
      </c>
      <c r="CM371" s="47">
        <v>0</v>
      </c>
      <c r="CN371" s="47">
        <v>0</v>
      </c>
      <c r="CO371" s="47">
        <v>0</v>
      </c>
      <c r="CP371" s="47">
        <v>0</v>
      </c>
      <c r="CQ371" s="47">
        <v>0</v>
      </c>
      <c r="CR371" s="47">
        <v>0</v>
      </c>
      <c r="CS371" s="47">
        <v>0</v>
      </c>
      <c r="CT371" s="47">
        <v>0</v>
      </c>
      <c r="CU371" s="47">
        <v>0</v>
      </c>
      <c r="CV371" s="47">
        <v>0</v>
      </c>
      <c r="CW371" s="47">
        <v>0</v>
      </c>
      <c r="CX371" s="47">
        <v>0</v>
      </c>
      <c r="CY371" s="47">
        <v>0</v>
      </c>
      <c r="CZ371" s="47">
        <v>0</v>
      </c>
      <c r="DA371" s="47">
        <v>0</v>
      </c>
      <c r="DB371" s="47">
        <v>0</v>
      </c>
      <c r="DC371" s="47">
        <v>0</v>
      </c>
      <c r="DD371" s="47">
        <v>0</v>
      </c>
      <c r="DE371" s="47">
        <v>0</v>
      </c>
      <c r="DF371" s="47">
        <v>0</v>
      </c>
      <c r="DG371" s="47">
        <v>0</v>
      </c>
      <c r="DH371" s="47">
        <v>0</v>
      </c>
      <c r="DI371" s="47">
        <v>0</v>
      </c>
      <c r="DJ371" s="47">
        <v>0</v>
      </c>
      <c r="DK371" s="47">
        <v>0</v>
      </c>
      <c r="DL371" s="47">
        <v>0</v>
      </c>
      <c r="DM371" s="47">
        <v>0</v>
      </c>
      <c r="DN371" s="47">
        <v>0</v>
      </c>
      <c r="DO371" s="47">
        <v>0</v>
      </c>
      <c r="DP371" s="47">
        <v>0</v>
      </c>
      <c r="DQ371" s="47">
        <v>0</v>
      </c>
      <c r="DR371" s="47">
        <v>0</v>
      </c>
      <c r="DS371" s="47">
        <v>0</v>
      </c>
      <c r="DT371" s="47">
        <v>0</v>
      </c>
    </row>
    <row r="372" spans="1:126" x14ac:dyDescent="0.25">
      <c r="A372" s="47" t="s">
        <v>1797</v>
      </c>
      <c r="B372" s="47" t="s">
        <v>153</v>
      </c>
      <c r="C372" s="47" t="s">
        <v>1798</v>
      </c>
      <c r="D372" s="47" t="s">
        <v>1799</v>
      </c>
      <c r="E372" s="47" t="s">
        <v>1800</v>
      </c>
      <c r="F372" s="47" t="s">
        <v>698</v>
      </c>
      <c r="G372" s="47" t="s">
        <v>727</v>
      </c>
      <c r="H372" s="47" t="str">
        <f>=IFERROR(VLOOKUP(A372,'ETPT Format DDG'!A:J,10,FALSE),"")</f>
        <v>0</v>
      </c>
      <c r="I372" s="47" t="str">
        <f>='ETPT Format DDG'!M372</f>
        <v/>
      </c>
      <c r="J372" s="47" t="str">
        <f>='ETPT Format DDG'!D372</f>
        <v/>
      </c>
      <c r="K372" s="47" t="s">
        <v>157</v>
      </c>
      <c r="L372" s="47" t="s">
        <v>1801</v>
      </c>
      <c r="M372" s="47"/>
      <c r="N372" s="47">
        <v>0.8</v>
      </c>
      <c r="O372" s="47">
        <v>0.8</v>
      </c>
      <c r="P372" s="47">
        <v>0</v>
      </c>
      <c r="Q372" s="47">
        <v>0</v>
      </c>
      <c r="R372" s="47">
        <v>0</v>
      </c>
      <c r="S372" s="47">
        <v>0</v>
      </c>
      <c r="T372" s="47">
        <v>0</v>
      </c>
      <c r="U372" s="47">
        <v>0</v>
      </c>
      <c r="V372" s="47">
        <v>0</v>
      </c>
      <c r="W372" s="47">
        <v>0</v>
      </c>
      <c r="X372" s="47">
        <v>0</v>
      </c>
      <c r="Y372" s="47">
        <v>0</v>
      </c>
      <c r="Z372" s="47">
        <v>0</v>
      </c>
      <c r="AA372" s="47">
        <v>0</v>
      </c>
      <c r="AB372" s="47">
        <v>0</v>
      </c>
      <c r="AC372" s="47">
        <v>0</v>
      </c>
      <c r="AD372" s="47">
        <v>0</v>
      </c>
      <c r="AE372" s="47">
        <v>0</v>
      </c>
      <c r="AF372" s="47">
        <v>0</v>
      </c>
      <c r="AG372" s="47">
        <v>0</v>
      </c>
      <c r="AH372" s="47">
        <v>0</v>
      </c>
      <c r="AI372" s="47">
        <v>0</v>
      </c>
      <c r="AJ372" s="47">
        <v>0</v>
      </c>
      <c r="AK372" s="47">
        <v>0</v>
      </c>
      <c r="AL372" s="47">
        <v>0</v>
      </c>
      <c r="AM372" s="47">
        <v>0</v>
      </c>
      <c r="AN372" s="47">
        <v>0</v>
      </c>
      <c r="AO372" s="47">
        <v>0</v>
      </c>
      <c r="AP372" s="47">
        <v>0</v>
      </c>
      <c r="AQ372" s="47">
        <v>0</v>
      </c>
      <c r="AR372" s="47">
        <v>0</v>
      </c>
      <c r="AS372" s="47">
        <v>0</v>
      </c>
      <c r="AT372" s="47">
        <v>0</v>
      </c>
      <c r="AU372" s="47">
        <v>0</v>
      </c>
      <c r="AV372" s="47">
        <v>0</v>
      </c>
      <c r="AW372" s="47">
        <v>0</v>
      </c>
      <c r="AX372" s="47">
        <v>0</v>
      </c>
      <c r="AY372" s="47">
        <v>0</v>
      </c>
      <c r="AZ372" s="47">
        <v>0</v>
      </c>
      <c r="BA372" s="47">
        <v>0</v>
      </c>
      <c r="BB372" s="47">
        <v>0</v>
      </c>
      <c r="BC372" s="47">
        <v>0</v>
      </c>
      <c r="BD372" s="47">
        <v>0</v>
      </c>
      <c r="BE372" s="47">
        <v>0</v>
      </c>
      <c r="BF372" s="47">
        <v>0</v>
      </c>
      <c r="BG372" s="47">
        <v>0</v>
      </c>
      <c r="BH372" s="47">
        <v>0</v>
      </c>
      <c r="BI372" s="47">
        <v>0</v>
      </c>
      <c r="BJ372" s="47">
        <v>0</v>
      </c>
      <c r="BK372" s="47">
        <v>0</v>
      </c>
      <c r="BL372" s="47">
        <v>0</v>
      </c>
      <c r="BM372" s="47">
        <v>0</v>
      </c>
      <c r="BN372" s="47">
        <v>0</v>
      </c>
      <c r="BO372" s="47">
        <v>0</v>
      </c>
      <c r="BP372" s="47">
        <v>0</v>
      </c>
      <c r="BQ372" s="47">
        <v>0</v>
      </c>
      <c r="BR372" s="47">
        <v>0</v>
      </c>
      <c r="BS372" s="47">
        <v>0</v>
      </c>
      <c r="BT372" s="47">
        <v>0</v>
      </c>
      <c r="BU372" s="47">
        <v>0</v>
      </c>
      <c r="BV372" s="47">
        <v>0</v>
      </c>
      <c r="BW372" s="47">
        <v>0</v>
      </c>
      <c r="BX372" s="47">
        <v>0</v>
      </c>
      <c r="BY372" s="47">
        <v>0</v>
      </c>
      <c r="BZ372" s="47">
        <v>0</v>
      </c>
      <c r="CA372" s="47">
        <v>0</v>
      </c>
      <c r="CB372" s="47">
        <v>0</v>
      </c>
      <c r="CC372" s="47">
        <v>0</v>
      </c>
      <c r="CD372" s="47">
        <v>0</v>
      </c>
      <c r="CE372" s="47">
        <v>0</v>
      </c>
      <c r="CF372" s="47">
        <v>0</v>
      </c>
      <c r="CG372" s="47">
        <v>0</v>
      </c>
      <c r="CH372" s="47">
        <v>0</v>
      </c>
      <c r="CI372" s="47">
        <v>0</v>
      </c>
      <c r="CJ372" s="47">
        <v>0</v>
      </c>
      <c r="CK372" s="47">
        <v>0</v>
      </c>
      <c r="CL372" s="47">
        <v>0</v>
      </c>
      <c r="CM372" s="47">
        <v>0</v>
      </c>
      <c r="CN372" s="47">
        <v>0</v>
      </c>
      <c r="CO372" s="47">
        <v>0</v>
      </c>
      <c r="CP372" s="47">
        <v>0</v>
      </c>
      <c r="CQ372" s="47">
        <v>0</v>
      </c>
      <c r="CR372" s="47">
        <v>0</v>
      </c>
      <c r="CS372" s="47">
        <v>0</v>
      </c>
      <c r="CT372" s="47">
        <v>0.8</v>
      </c>
      <c r="CU372" s="47">
        <v>0</v>
      </c>
      <c r="CV372" s="47">
        <v>0</v>
      </c>
      <c r="CW372" s="47">
        <v>0</v>
      </c>
      <c r="CX372" s="47">
        <v>0</v>
      </c>
      <c r="CY372" s="47">
        <v>0</v>
      </c>
      <c r="CZ372" s="47">
        <v>0</v>
      </c>
      <c r="DA372" s="47">
        <v>0</v>
      </c>
      <c r="DB372" s="47">
        <v>0</v>
      </c>
      <c r="DC372" s="47">
        <v>0</v>
      </c>
      <c r="DD372" s="47">
        <v>0</v>
      </c>
      <c r="DE372" s="47">
        <v>0</v>
      </c>
      <c r="DF372" s="47">
        <v>0</v>
      </c>
      <c r="DG372" s="47">
        <v>0</v>
      </c>
      <c r="DH372" s="47">
        <v>0</v>
      </c>
      <c r="DI372" s="47">
        <v>0</v>
      </c>
      <c r="DJ372" s="47">
        <v>0</v>
      </c>
      <c r="DK372" s="47">
        <v>0</v>
      </c>
      <c r="DL372" s="47">
        <v>0</v>
      </c>
      <c r="DM372" s="47">
        <v>0</v>
      </c>
      <c r="DN372" s="47">
        <v>0</v>
      </c>
      <c r="DO372" s="47">
        <v>0</v>
      </c>
      <c r="DP372" s="47">
        <v>0</v>
      </c>
      <c r="DQ372" s="47">
        <v>0</v>
      </c>
      <c r="DR372" s="47">
        <v>0</v>
      </c>
      <c r="DS372" s="47">
        <v>0</v>
      </c>
      <c r="DT372" s="47">
        <v>0</v>
      </c>
    </row>
    <row r="373" spans="1:126" x14ac:dyDescent="0.25">
      <c r="A373" s="47" t="s">
        <v>1802</v>
      </c>
      <c r="B373" s="47" t="s">
        <v>153</v>
      </c>
      <c r="C373" s="47" t="s">
        <v>1803</v>
      </c>
      <c r="D373" s="47" t="s">
        <v>1804</v>
      </c>
      <c r="E373" s="47" t="s">
        <v>1805</v>
      </c>
      <c r="F373" s="47" t="s">
        <v>698</v>
      </c>
      <c r="G373" s="47" t="s">
        <v>705</v>
      </c>
      <c r="H373" s="47" t="str">
        <f>=IFERROR(VLOOKUP(A373,'ETPT Format DDG'!A:J,10,FALSE),"")</f>
        <v>0</v>
      </c>
      <c r="I373" s="47" t="str">
        <f>='ETPT Format DDG'!M373</f>
        <v/>
      </c>
      <c r="J373" s="47" t="str">
        <f>='ETPT Format DDG'!D373</f>
        <v/>
      </c>
      <c r="K373" s="47" t="s">
        <v>157</v>
      </c>
      <c r="L373" s="47" t="s">
        <v>836</v>
      </c>
      <c r="M373" s="47"/>
      <c r="N373" s="47">
        <v>0.8</v>
      </c>
      <c r="O373" s="47">
        <v>0</v>
      </c>
      <c r="P373" s="47">
        <v>0</v>
      </c>
      <c r="Q373" s="47">
        <v>0</v>
      </c>
      <c r="R373" s="47">
        <v>0</v>
      </c>
      <c r="S373" s="47">
        <v>0</v>
      </c>
      <c r="T373" s="47">
        <v>0</v>
      </c>
      <c r="U373" s="47">
        <v>0</v>
      </c>
      <c r="V373" s="47">
        <v>0</v>
      </c>
      <c r="W373" s="47">
        <v>0</v>
      </c>
      <c r="X373" s="47">
        <v>0</v>
      </c>
      <c r="Y373" s="47">
        <v>0</v>
      </c>
      <c r="Z373" s="47">
        <v>0</v>
      </c>
      <c r="AA373" s="47">
        <v>0</v>
      </c>
      <c r="AB373" s="47">
        <v>0</v>
      </c>
      <c r="AC373" s="47">
        <v>0</v>
      </c>
      <c r="AD373" s="47">
        <v>0</v>
      </c>
      <c r="AE373" s="47">
        <v>0</v>
      </c>
      <c r="AF373" s="47">
        <v>0</v>
      </c>
      <c r="AG373" s="47">
        <v>0</v>
      </c>
      <c r="AH373" s="47">
        <v>0</v>
      </c>
      <c r="AI373" s="47">
        <v>0</v>
      </c>
      <c r="AJ373" s="47">
        <v>0</v>
      </c>
      <c r="AK373" s="47">
        <v>0</v>
      </c>
      <c r="AL373" s="47">
        <v>0</v>
      </c>
      <c r="AM373" s="47">
        <v>0</v>
      </c>
      <c r="AN373" s="47">
        <v>0</v>
      </c>
      <c r="AO373" s="47">
        <v>0</v>
      </c>
      <c r="AP373" s="47">
        <v>0</v>
      </c>
      <c r="AQ373" s="47">
        <v>0</v>
      </c>
      <c r="AR373" s="47">
        <v>0</v>
      </c>
      <c r="AS373" s="47">
        <v>0</v>
      </c>
      <c r="AT373" s="47">
        <v>0</v>
      </c>
      <c r="AU373" s="47">
        <v>0</v>
      </c>
      <c r="AV373" s="47">
        <v>0</v>
      </c>
      <c r="AW373" s="47">
        <v>0</v>
      </c>
      <c r="AX373" s="47">
        <v>0</v>
      </c>
      <c r="AY373" s="47">
        <v>0</v>
      </c>
      <c r="AZ373" s="47">
        <v>0</v>
      </c>
      <c r="BA373" s="47">
        <v>0</v>
      </c>
      <c r="BB373" s="47">
        <v>0</v>
      </c>
      <c r="BC373" s="47">
        <v>0</v>
      </c>
      <c r="BD373" s="47">
        <v>0</v>
      </c>
      <c r="BE373" s="47">
        <v>0</v>
      </c>
      <c r="BF373" s="47">
        <v>0</v>
      </c>
      <c r="BG373" s="47">
        <v>0</v>
      </c>
      <c r="BH373" s="47">
        <v>0</v>
      </c>
      <c r="BI373" s="47">
        <v>0</v>
      </c>
      <c r="BJ373" s="47">
        <v>0</v>
      </c>
      <c r="BK373" s="47">
        <v>0</v>
      </c>
      <c r="BL373" s="47">
        <v>0</v>
      </c>
      <c r="BM373" s="47">
        <v>0</v>
      </c>
      <c r="BN373" s="47">
        <v>0</v>
      </c>
      <c r="BO373" s="47">
        <v>0</v>
      </c>
      <c r="BP373" s="47">
        <v>0</v>
      </c>
      <c r="BQ373" s="47">
        <v>0</v>
      </c>
      <c r="BR373" s="47">
        <v>0</v>
      </c>
      <c r="BS373" s="47">
        <v>0</v>
      </c>
      <c r="BT373" s="47">
        <v>0</v>
      </c>
      <c r="BU373" s="47">
        <v>0</v>
      </c>
      <c r="BV373" s="47">
        <v>0</v>
      </c>
      <c r="BW373" s="47">
        <v>0</v>
      </c>
      <c r="BX373" s="47">
        <v>0</v>
      </c>
      <c r="BY373" s="47">
        <v>0</v>
      </c>
      <c r="BZ373" s="47">
        <v>0</v>
      </c>
      <c r="CA373" s="47">
        <v>0</v>
      </c>
      <c r="CB373" s="47">
        <v>0</v>
      </c>
      <c r="CC373" s="47">
        <v>0</v>
      </c>
      <c r="CD373" s="47">
        <v>0</v>
      </c>
      <c r="CE373" s="47">
        <v>0</v>
      </c>
      <c r="CF373" s="47">
        <v>0</v>
      </c>
      <c r="CG373" s="47">
        <v>0</v>
      </c>
      <c r="CH373" s="47">
        <v>0</v>
      </c>
      <c r="CI373" s="47">
        <v>0</v>
      </c>
      <c r="CJ373" s="47">
        <v>0</v>
      </c>
      <c r="CK373" s="47">
        <v>0</v>
      </c>
      <c r="CL373" s="47">
        <v>0</v>
      </c>
      <c r="CM373" s="47">
        <v>0</v>
      </c>
      <c r="CN373" s="47">
        <v>0</v>
      </c>
      <c r="CO373" s="47">
        <v>0</v>
      </c>
      <c r="CP373" s="47">
        <v>0</v>
      </c>
      <c r="CQ373" s="47">
        <v>0</v>
      </c>
      <c r="CR373" s="47">
        <v>0</v>
      </c>
      <c r="CS373" s="47">
        <v>0</v>
      </c>
      <c r="CT373" s="47">
        <v>0</v>
      </c>
      <c r="CU373" s="47">
        <v>0</v>
      </c>
      <c r="CV373" s="47">
        <v>0</v>
      </c>
      <c r="CW373" s="47">
        <v>0</v>
      </c>
      <c r="CX373" s="47">
        <v>0</v>
      </c>
      <c r="CY373" s="47">
        <v>0</v>
      </c>
      <c r="CZ373" s="47">
        <v>0</v>
      </c>
      <c r="DA373" s="47">
        <v>0</v>
      </c>
      <c r="DB373" s="47">
        <v>0</v>
      </c>
      <c r="DC373" s="47">
        <v>0</v>
      </c>
      <c r="DD373" s="47">
        <v>0</v>
      </c>
      <c r="DE373" s="47">
        <v>0</v>
      </c>
      <c r="DF373" s="47">
        <v>0</v>
      </c>
      <c r="DG373" s="47">
        <v>0</v>
      </c>
      <c r="DH373" s="47">
        <v>0</v>
      </c>
      <c r="DI373" s="47">
        <v>0</v>
      </c>
      <c r="DJ373" s="47">
        <v>0</v>
      </c>
      <c r="DK373" s="47">
        <v>0</v>
      </c>
      <c r="DL373" s="47">
        <v>0</v>
      </c>
      <c r="DM373" s="47">
        <v>0</v>
      </c>
      <c r="DN373" s="47">
        <v>0</v>
      </c>
      <c r="DO373" s="47">
        <v>0</v>
      </c>
      <c r="DP373" s="47">
        <v>0</v>
      </c>
      <c r="DQ373" s="47">
        <v>0</v>
      </c>
      <c r="DR373" s="47">
        <v>0</v>
      </c>
      <c r="DS373" s="47">
        <v>0</v>
      </c>
      <c r="DT373" s="47">
        <v>0</v>
      </c>
    </row>
    <row r="374" spans="1:126" x14ac:dyDescent="0.25">
      <c r="A374" s="47" t="s">
        <v>1806</v>
      </c>
      <c r="B374" s="47" t="s">
        <v>153</v>
      </c>
      <c r="C374" s="47" t="s">
        <v>1807</v>
      </c>
      <c r="D374" s="47" t="s">
        <v>1808</v>
      </c>
      <c r="E374" s="47" t="s">
        <v>1809</v>
      </c>
      <c r="F374" s="47" t="s">
        <v>698</v>
      </c>
      <c r="G374" s="47" t="s">
        <v>727</v>
      </c>
      <c r="H374" s="47" t="str">
        <f>=IFERROR(VLOOKUP(A374,'ETPT Format DDG'!A:J,10,FALSE),"")</f>
        <v>0</v>
      </c>
      <c r="I374" s="47" t="str">
        <f>='ETPT Format DDG'!M374</f>
        <v/>
      </c>
      <c r="J374" s="47" t="str">
        <f>='ETPT Format DDG'!D374</f>
        <v/>
      </c>
      <c r="K374" s="47" t="s">
        <v>157</v>
      </c>
      <c r="L374" s="47" t="s">
        <v>1810</v>
      </c>
      <c r="M374" s="47"/>
      <c r="N374" s="47">
        <v>1</v>
      </c>
      <c r="O374" s="47">
        <v>1</v>
      </c>
      <c r="P374" s="47">
        <v>0</v>
      </c>
      <c r="Q374" s="47">
        <v>0</v>
      </c>
      <c r="R374" s="47">
        <v>0</v>
      </c>
      <c r="S374" s="47">
        <v>0</v>
      </c>
      <c r="T374" s="47">
        <v>0</v>
      </c>
      <c r="U374" s="47">
        <v>0</v>
      </c>
      <c r="V374" s="47">
        <v>0</v>
      </c>
      <c r="W374" s="47">
        <v>0</v>
      </c>
      <c r="X374" s="47">
        <v>0</v>
      </c>
      <c r="Y374" s="47">
        <v>0</v>
      </c>
      <c r="Z374" s="47">
        <v>0</v>
      </c>
      <c r="AA374" s="47">
        <v>0</v>
      </c>
      <c r="AB374" s="47">
        <v>0</v>
      </c>
      <c r="AC374" s="47">
        <v>0</v>
      </c>
      <c r="AD374" s="47">
        <v>0</v>
      </c>
      <c r="AE374" s="47">
        <v>1</v>
      </c>
      <c r="AF374" s="47">
        <v>0</v>
      </c>
      <c r="AG374" s="47">
        <v>0</v>
      </c>
      <c r="AH374" s="47">
        <v>0</v>
      </c>
      <c r="AI374" s="47">
        <v>0</v>
      </c>
      <c r="AJ374" s="47">
        <v>0</v>
      </c>
      <c r="AK374" s="47">
        <v>0</v>
      </c>
      <c r="AL374" s="47">
        <v>0</v>
      </c>
      <c r="AM374" s="47">
        <v>0</v>
      </c>
      <c r="AN374" s="47">
        <v>0</v>
      </c>
      <c r="AO374" s="47">
        <v>0</v>
      </c>
      <c r="AP374" s="47">
        <v>0</v>
      </c>
      <c r="AQ374" s="47">
        <v>0</v>
      </c>
      <c r="AR374" s="47">
        <v>0</v>
      </c>
      <c r="AS374" s="47">
        <v>0</v>
      </c>
      <c r="AT374" s="47">
        <v>0</v>
      </c>
      <c r="AU374" s="47">
        <v>0</v>
      </c>
      <c r="AV374" s="47">
        <v>0</v>
      </c>
      <c r="AW374" s="47">
        <v>0</v>
      </c>
      <c r="AX374" s="47">
        <v>0</v>
      </c>
      <c r="AY374" s="47">
        <v>0</v>
      </c>
      <c r="AZ374" s="47">
        <v>0</v>
      </c>
      <c r="BA374" s="47">
        <v>0</v>
      </c>
      <c r="BB374" s="47">
        <v>0</v>
      </c>
      <c r="BC374" s="47">
        <v>0</v>
      </c>
      <c r="BD374" s="47">
        <v>0</v>
      </c>
      <c r="BE374" s="47">
        <v>0</v>
      </c>
      <c r="BF374" s="47">
        <v>0</v>
      </c>
      <c r="BG374" s="47">
        <v>0</v>
      </c>
      <c r="BH374" s="47">
        <v>0</v>
      </c>
      <c r="BI374" s="47">
        <v>0</v>
      </c>
      <c r="BJ374" s="47">
        <v>0</v>
      </c>
      <c r="BK374" s="47">
        <v>0</v>
      </c>
      <c r="BL374" s="47">
        <v>0</v>
      </c>
      <c r="BM374" s="47">
        <v>0</v>
      </c>
      <c r="BN374" s="47">
        <v>0</v>
      </c>
      <c r="BO374" s="47">
        <v>0</v>
      </c>
      <c r="BP374" s="47">
        <v>0</v>
      </c>
      <c r="BQ374" s="47">
        <v>0</v>
      </c>
      <c r="BR374" s="47">
        <v>0</v>
      </c>
      <c r="BS374" s="47">
        <v>0</v>
      </c>
      <c r="BT374" s="47">
        <v>0</v>
      </c>
      <c r="BU374" s="47">
        <v>0</v>
      </c>
      <c r="BV374" s="47">
        <v>0</v>
      </c>
      <c r="BW374" s="47">
        <v>0</v>
      </c>
      <c r="BX374" s="47">
        <v>0</v>
      </c>
      <c r="BY374" s="47">
        <v>0</v>
      </c>
      <c r="BZ374" s="47">
        <v>0</v>
      </c>
      <c r="CA374" s="47">
        <v>0</v>
      </c>
      <c r="CB374" s="47">
        <v>0</v>
      </c>
      <c r="CC374" s="47">
        <v>0</v>
      </c>
      <c r="CD374" s="47">
        <v>0</v>
      </c>
      <c r="CE374" s="47">
        <v>0</v>
      </c>
      <c r="CF374" s="47">
        <v>0</v>
      </c>
      <c r="CG374" s="47">
        <v>0</v>
      </c>
      <c r="CH374" s="47">
        <v>0</v>
      </c>
      <c r="CI374" s="47">
        <v>0</v>
      </c>
      <c r="CJ374" s="47">
        <v>0</v>
      </c>
      <c r="CK374" s="47">
        <v>0</v>
      </c>
      <c r="CL374" s="47">
        <v>0</v>
      </c>
      <c r="CM374" s="47">
        <v>0</v>
      </c>
      <c r="CN374" s="47">
        <v>0</v>
      </c>
      <c r="CO374" s="47">
        <v>0</v>
      </c>
      <c r="CP374" s="47">
        <v>0</v>
      </c>
      <c r="CQ374" s="47">
        <v>0</v>
      </c>
      <c r="CR374" s="47">
        <v>0</v>
      </c>
      <c r="CS374" s="47">
        <v>0</v>
      </c>
      <c r="CT374" s="47">
        <v>0</v>
      </c>
      <c r="CU374" s="47">
        <v>0</v>
      </c>
      <c r="CV374" s="47">
        <v>0</v>
      </c>
      <c r="CW374" s="47">
        <v>0</v>
      </c>
      <c r="CX374" s="47">
        <v>0</v>
      </c>
      <c r="CY374" s="47">
        <v>0</v>
      </c>
      <c r="CZ374" s="47">
        <v>0</v>
      </c>
      <c r="DA374" s="47">
        <v>0</v>
      </c>
      <c r="DB374" s="47">
        <v>0</v>
      </c>
      <c r="DC374" s="47">
        <v>0</v>
      </c>
      <c r="DD374" s="47">
        <v>0</v>
      </c>
      <c r="DE374" s="47">
        <v>0</v>
      </c>
      <c r="DF374" s="47">
        <v>0</v>
      </c>
      <c r="DG374" s="47">
        <v>0</v>
      </c>
      <c r="DH374" s="47">
        <v>0</v>
      </c>
      <c r="DI374" s="47">
        <v>0</v>
      </c>
      <c r="DJ374" s="47">
        <v>0</v>
      </c>
      <c r="DK374" s="47">
        <v>0</v>
      </c>
      <c r="DL374" s="47">
        <v>0</v>
      </c>
      <c r="DM374" s="47">
        <v>0</v>
      </c>
      <c r="DN374" s="47">
        <v>0</v>
      </c>
      <c r="DO374" s="47">
        <v>0</v>
      </c>
      <c r="DP374" s="47">
        <v>0</v>
      </c>
      <c r="DQ374" s="47">
        <v>0</v>
      </c>
      <c r="DR374" s="47">
        <v>0</v>
      </c>
      <c r="DS374" s="47">
        <v>0</v>
      </c>
      <c r="DT374" s="47">
        <v>0</v>
      </c>
    </row>
    <row r="375" spans="1:126" x14ac:dyDescent="0.25">
      <c r="A375" s="47" t="s">
        <v>1811</v>
      </c>
      <c r="B375" s="47" t="s">
        <v>153</v>
      </c>
      <c r="C375" s="47" t="s">
        <v>1812</v>
      </c>
      <c r="D375" s="47" t="s">
        <v>1813</v>
      </c>
      <c r="E375" s="47" t="s">
        <v>1814</v>
      </c>
      <c r="F375" s="47" t="s">
        <v>698</v>
      </c>
      <c r="G375" s="47" t="s">
        <v>727</v>
      </c>
      <c r="H375" s="47" t="str">
        <f>=IFERROR(VLOOKUP(A375,'ETPT Format DDG'!A:J,10,FALSE),"")</f>
        <v>0</v>
      </c>
      <c r="I375" s="47" t="str">
        <f>='ETPT Format DDG'!M375</f>
        <v/>
      </c>
      <c r="J375" s="47" t="str">
        <f>='ETPT Format DDG'!D375</f>
        <v/>
      </c>
      <c r="K375" s="47" t="s">
        <v>157</v>
      </c>
      <c r="L375" s="47" t="s">
        <v>1815</v>
      </c>
      <c r="M375" s="47"/>
      <c r="N375" s="47">
        <v>1</v>
      </c>
      <c r="O375" s="47">
        <v>0</v>
      </c>
      <c r="P375" s="47">
        <v>0</v>
      </c>
      <c r="Q375" s="47">
        <v>0</v>
      </c>
      <c r="R375" s="47">
        <v>0</v>
      </c>
      <c r="S375" s="47">
        <v>0</v>
      </c>
      <c r="T375" s="47">
        <v>0</v>
      </c>
      <c r="U375" s="47">
        <v>0</v>
      </c>
      <c r="V375" s="47">
        <v>0</v>
      </c>
      <c r="W375" s="47">
        <v>0</v>
      </c>
      <c r="X375" s="47">
        <v>0</v>
      </c>
      <c r="Y375" s="47">
        <v>0</v>
      </c>
      <c r="Z375" s="47">
        <v>0</v>
      </c>
      <c r="AA375" s="47">
        <v>0</v>
      </c>
      <c r="AB375" s="47">
        <v>0</v>
      </c>
      <c r="AC375" s="47">
        <v>0</v>
      </c>
      <c r="AD375" s="47">
        <v>0</v>
      </c>
      <c r="AE375" s="47">
        <v>0</v>
      </c>
      <c r="AF375" s="47">
        <v>0</v>
      </c>
      <c r="AG375" s="47">
        <v>0</v>
      </c>
      <c r="AH375" s="47">
        <v>0</v>
      </c>
      <c r="AI375" s="47">
        <v>0</v>
      </c>
      <c r="AJ375" s="47">
        <v>0</v>
      </c>
      <c r="AK375" s="47">
        <v>0</v>
      </c>
      <c r="AL375" s="47">
        <v>0</v>
      </c>
      <c r="AM375" s="47">
        <v>0</v>
      </c>
      <c r="AN375" s="47">
        <v>0</v>
      </c>
      <c r="AO375" s="47">
        <v>0</v>
      </c>
      <c r="AP375" s="47">
        <v>0</v>
      </c>
      <c r="AQ375" s="47">
        <v>0</v>
      </c>
      <c r="AR375" s="47">
        <v>0</v>
      </c>
      <c r="AS375" s="47">
        <v>0</v>
      </c>
      <c r="AT375" s="47">
        <v>0</v>
      </c>
      <c r="AU375" s="47">
        <v>0</v>
      </c>
      <c r="AV375" s="47">
        <v>0</v>
      </c>
      <c r="AW375" s="47">
        <v>0</v>
      </c>
      <c r="AX375" s="47">
        <v>0</v>
      </c>
      <c r="AY375" s="47">
        <v>0</v>
      </c>
      <c r="AZ375" s="47">
        <v>0</v>
      </c>
      <c r="BA375" s="47">
        <v>0</v>
      </c>
      <c r="BB375" s="47">
        <v>0</v>
      </c>
      <c r="BC375" s="47">
        <v>0</v>
      </c>
      <c r="BD375" s="47">
        <v>0</v>
      </c>
      <c r="BE375" s="47">
        <v>0</v>
      </c>
      <c r="BF375" s="47">
        <v>0</v>
      </c>
      <c r="BG375" s="47">
        <v>0</v>
      </c>
      <c r="BH375" s="47">
        <v>0</v>
      </c>
      <c r="BI375" s="47">
        <v>0</v>
      </c>
      <c r="BJ375" s="47">
        <v>0</v>
      </c>
      <c r="BK375" s="47">
        <v>0</v>
      </c>
      <c r="BL375" s="47">
        <v>0</v>
      </c>
      <c r="BM375" s="47">
        <v>0</v>
      </c>
      <c r="BN375" s="47">
        <v>0</v>
      </c>
      <c r="BO375" s="47">
        <v>0</v>
      </c>
      <c r="BP375" s="47">
        <v>0</v>
      </c>
      <c r="BQ375" s="47">
        <v>0</v>
      </c>
      <c r="BR375" s="47">
        <v>0</v>
      </c>
      <c r="BS375" s="47">
        <v>0</v>
      </c>
      <c r="BT375" s="47">
        <v>0</v>
      </c>
      <c r="BU375" s="47">
        <v>0</v>
      </c>
      <c r="BV375" s="47">
        <v>0</v>
      </c>
      <c r="BW375" s="47">
        <v>0</v>
      </c>
      <c r="BX375" s="47">
        <v>0</v>
      </c>
      <c r="BY375" s="47">
        <v>0</v>
      </c>
      <c r="BZ375" s="47">
        <v>0</v>
      </c>
      <c r="CA375" s="47">
        <v>0</v>
      </c>
      <c r="CB375" s="47">
        <v>0</v>
      </c>
      <c r="CC375" s="47">
        <v>0</v>
      </c>
      <c r="CD375" s="47">
        <v>0</v>
      </c>
      <c r="CE375" s="47">
        <v>0</v>
      </c>
      <c r="CF375" s="47">
        <v>0</v>
      </c>
      <c r="CG375" s="47">
        <v>0</v>
      </c>
      <c r="CH375" s="47">
        <v>0</v>
      </c>
      <c r="CI375" s="47">
        <v>0</v>
      </c>
      <c r="CJ375" s="47">
        <v>0</v>
      </c>
      <c r="CK375" s="47">
        <v>0</v>
      </c>
      <c r="CL375" s="47">
        <v>0</v>
      </c>
      <c r="CM375" s="47">
        <v>0</v>
      </c>
      <c r="CN375" s="47">
        <v>0</v>
      </c>
      <c r="CO375" s="47">
        <v>0</v>
      </c>
      <c r="CP375" s="47">
        <v>0</v>
      </c>
      <c r="CQ375" s="47">
        <v>0</v>
      </c>
      <c r="CR375" s="47">
        <v>0</v>
      </c>
      <c r="CS375" s="47">
        <v>0</v>
      </c>
      <c r="CT375" s="47">
        <v>0</v>
      </c>
      <c r="CU375" s="47">
        <v>0</v>
      </c>
      <c r="CV375" s="47">
        <v>0</v>
      </c>
      <c r="CW375" s="47">
        <v>0</v>
      </c>
      <c r="CX375" s="47">
        <v>0</v>
      </c>
      <c r="CY375" s="47">
        <v>0</v>
      </c>
      <c r="CZ375" s="47">
        <v>0</v>
      </c>
      <c r="DA375" s="47">
        <v>0</v>
      </c>
      <c r="DB375" s="47">
        <v>0</v>
      </c>
      <c r="DC375" s="47">
        <v>0</v>
      </c>
      <c r="DD375" s="47">
        <v>0</v>
      </c>
      <c r="DE375" s="47">
        <v>0</v>
      </c>
      <c r="DF375" s="47">
        <v>0</v>
      </c>
      <c r="DG375" s="47">
        <v>0</v>
      </c>
      <c r="DH375" s="47">
        <v>0</v>
      </c>
      <c r="DI375" s="47">
        <v>0</v>
      </c>
      <c r="DJ375" s="47">
        <v>0</v>
      </c>
      <c r="DK375" s="47">
        <v>0</v>
      </c>
      <c r="DL375" s="47">
        <v>0</v>
      </c>
      <c r="DM375" s="47">
        <v>0</v>
      </c>
      <c r="DN375" s="47">
        <v>0</v>
      </c>
      <c r="DO375" s="47">
        <v>0</v>
      </c>
      <c r="DP375" s="47">
        <v>0</v>
      </c>
      <c r="DQ375" s="47">
        <v>0</v>
      </c>
      <c r="DR375" s="47">
        <v>0</v>
      </c>
      <c r="DS375" s="47">
        <v>0</v>
      </c>
      <c r="DT375" s="47">
        <v>0</v>
      </c>
    </row>
    <row r="376" spans="1:126" x14ac:dyDescent="0.25">
      <c r="A376" s="47" t="s">
        <v>1816</v>
      </c>
      <c r="B376" s="47" t="s">
        <v>153</v>
      </c>
      <c r="C376" s="47" t="s">
        <v>1817</v>
      </c>
      <c r="D376" s="47" t="s">
        <v>1818</v>
      </c>
      <c r="E376" s="47" t="s">
        <v>1819</v>
      </c>
      <c r="F376" s="47" t="s">
        <v>698</v>
      </c>
      <c r="G376" s="47" t="s">
        <v>727</v>
      </c>
      <c r="H376" s="47" t="str">
        <f>=IFERROR(VLOOKUP(A376,'ETPT Format DDG'!A:J,10,FALSE),"")</f>
        <v>0</v>
      </c>
      <c r="I376" s="47" t="str">
        <f>='ETPT Format DDG'!M376</f>
        <v/>
      </c>
      <c r="J376" s="47" t="str">
        <f>='ETPT Format DDG'!D376</f>
        <v/>
      </c>
      <c r="K376" s="47" t="s">
        <v>157</v>
      </c>
      <c r="L376" s="47" t="s">
        <v>728</v>
      </c>
      <c r="M376" s="47"/>
      <c r="N376" s="47">
        <v>0.8</v>
      </c>
      <c r="O376" s="47">
        <v>0</v>
      </c>
      <c r="P376" s="47">
        <v>0</v>
      </c>
      <c r="Q376" s="47">
        <v>0</v>
      </c>
      <c r="R376" s="47">
        <v>0</v>
      </c>
      <c r="S376" s="47">
        <v>0</v>
      </c>
      <c r="T376" s="47">
        <v>0</v>
      </c>
      <c r="U376" s="47">
        <v>0</v>
      </c>
      <c r="V376" s="47">
        <v>0</v>
      </c>
      <c r="W376" s="47">
        <v>0</v>
      </c>
      <c r="X376" s="47">
        <v>0</v>
      </c>
      <c r="Y376" s="47">
        <v>0</v>
      </c>
      <c r="Z376" s="47">
        <v>0</v>
      </c>
      <c r="AA376" s="47">
        <v>0</v>
      </c>
      <c r="AB376" s="47">
        <v>0</v>
      </c>
      <c r="AC376" s="47">
        <v>0</v>
      </c>
      <c r="AD376" s="47">
        <v>0</v>
      </c>
      <c r="AE376" s="47">
        <v>0</v>
      </c>
      <c r="AF376" s="47">
        <v>0</v>
      </c>
      <c r="AG376" s="47">
        <v>0</v>
      </c>
      <c r="AH376" s="47">
        <v>0</v>
      </c>
      <c r="AI376" s="47">
        <v>0</v>
      </c>
      <c r="AJ376" s="47">
        <v>0</v>
      </c>
      <c r="AK376" s="47">
        <v>0</v>
      </c>
      <c r="AL376" s="47">
        <v>0</v>
      </c>
      <c r="AM376" s="47">
        <v>0</v>
      </c>
      <c r="AN376" s="47">
        <v>0</v>
      </c>
      <c r="AO376" s="47">
        <v>0</v>
      </c>
      <c r="AP376" s="47">
        <v>0</v>
      </c>
      <c r="AQ376" s="47">
        <v>0</v>
      </c>
      <c r="AR376" s="47">
        <v>0</v>
      </c>
      <c r="AS376" s="47">
        <v>0</v>
      </c>
      <c r="AT376" s="47">
        <v>0</v>
      </c>
      <c r="AU376" s="47">
        <v>0</v>
      </c>
      <c r="AV376" s="47">
        <v>0</v>
      </c>
      <c r="AW376" s="47">
        <v>0</v>
      </c>
      <c r="AX376" s="47">
        <v>0</v>
      </c>
      <c r="AY376" s="47">
        <v>0</v>
      </c>
      <c r="AZ376" s="47">
        <v>0</v>
      </c>
      <c r="BA376" s="47">
        <v>0</v>
      </c>
      <c r="BB376" s="47">
        <v>0</v>
      </c>
      <c r="BC376" s="47">
        <v>0</v>
      </c>
      <c r="BD376" s="47">
        <v>0</v>
      </c>
      <c r="BE376" s="47">
        <v>0</v>
      </c>
      <c r="BF376" s="47">
        <v>0</v>
      </c>
      <c r="BG376" s="47">
        <v>0</v>
      </c>
      <c r="BH376" s="47">
        <v>0</v>
      </c>
      <c r="BI376" s="47">
        <v>0</v>
      </c>
      <c r="BJ376" s="47">
        <v>0</v>
      </c>
      <c r="BK376" s="47">
        <v>0</v>
      </c>
      <c r="BL376" s="47">
        <v>0</v>
      </c>
      <c r="BM376" s="47">
        <v>0</v>
      </c>
      <c r="BN376" s="47">
        <v>0</v>
      </c>
      <c r="BO376" s="47">
        <v>0</v>
      </c>
      <c r="BP376" s="47">
        <v>0</v>
      </c>
      <c r="BQ376" s="47">
        <v>0</v>
      </c>
      <c r="BR376" s="47">
        <v>0</v>
      </c>
      <c r="BS376" s="47">
        <v>0</v>
      </c>
      <c r="BT376" s="47">
        <v>0</v>
      </c>
      <c r="BU376" s="47">
        <v>0</v>
      </c>
      <c r="BV376" s="47">
        <v>0</v>
      </c>
      <c r="BW376" s="47">
        <v>0</v>
      </c>
      <c r="BX376" s="47">
        <v>0</v>
      </c>
      <c r="BY376" s="47">
        <v>0</v>
      </c>
      <c r="BZ376" s="47">
        <v>0</v>
      </c>
      <c r="CA376" s="47">
        <v>0</v>
      </c>
      <c r="CB376" s="47">
        <v>0</v>
      </c>
      <c r="CC376" s="47">
        <v>0</v>
      </c>
      <c r="CD376" s="47">
        <v>0</v>
      </c>
      <c r="CE376" s="47">
        <v>0</v>
      </c>
      <c r="CF376" s="47">
        <v>0</v>
      </c>
      <c r="CG376" s="47">
        <v>0</v>
      </c>
      <c r="CH376" s="47">
        <v>0</v>
      </c>
      <c r="CI376" s="47">
        <v>0</v>
      </c>
      <c r="CJ376" s="47">
        <v>0</v>
      </c>
      <c r="CK376" s="47">
        <v>0</v>
      </c>
      <c r="CL376" s="47">
        <v>0</v>
      </c>
      <c r="CM376" s="47">
        <v>0</v>
      </c>
      <c r="CN376" s="47">
        <v>0</v>
      </c>
      <c r="CO376" s="47">
        <v>0</v>
      </c>
      <c r="CP376" s="47">
        <v>0</v>
      </c>
      <c r="CQ376" s="47">
        <v>0</v>
      </c>
      <c r="CR376" s="47">
        <v>0</v>
      </c>
      <c r="CS376" s="47">
        <v>0</v>
      </c>
      <c r="CT376" s="47">
        <v>0</v>
      </c>
      <c r="CU376" s="47">
        <v>0</v>
      </c>
      <c r="CV376" s="47">
        <v>0</v>
      </c>
      <c r="CW376" s="47">
        <v>0</v>
      </c>
      <c r="CX376" s="47">
        <v>0</v>
      </c>
      <c r="CY376" s="47">
        <v>0</v>
      </c>
      <c r="CZ376" s="47">
        <v>0</v>
      </c>
      <c r="DA376" s="47">
        <v>0</v>
      </c>
      <c r="DB376" s="47">
        <v>0</v>
      </c>
      <c r="DC376" s="47">
        <v>0</v>
      </c>
      <c r="DD376" s="47">
        <v>0</v>
      </c>
      <c r="DE376" s="47">
        <v>0</v>
      </c>
      <c r="DF376" s="47">
        <v>0</v>
      </c>
      <c r="DG376" s="47">
        <v>0</v>
      </c>
      <c r="DH376" s="47">
        <v>0</v>
      </c>
      <c r="DI376" s="47">
        <v>0</v>
      </c>
      <c r="DJ376" s="47">
        <v>0</v>
      </c>
      <c r="DK376" s="47">
        <v>0</v>
      </c>
      <c r="DL376" s="47">
        <v>0</v>
      </c>
      <c r="DM376" s="47">
        <v>0</v>
      </c>
      <c r="DN376" s="47">
        <v>0</v>
      </c>
      <c r="DO376" s="47">
        <v>0</v>
      </c>
      <c r="DP376" s="47">
        <v>0</v>
      </c>
      <c r="DQ376" s="47">
        <v>0</v>
      </c>
      <c r="DR376" s="47">
        <v>0</v>
      </c>
      <c r="DS376" s="47">
        <v>0</v>
      </c>
      <c r="DT376" s="47">
        <v>0</v>
      </c>
    </row>
    <row r="377" spans="1:126" x14ac:dyDescent="0.25">
      <c r="A377" s="47" t="s">
        <v>1820</v>
      </c>
      <c r="B377" s="47" t="s">
        <v>153</v>
      </c>
      <c r="C377" s="47" t="s">
        <v>1821</v>
      </c>
      <c r="D377" s="47" t="s">
        <v>1822</v>
      </c>
      <c r="E377" s="47" t="s">
        <v>1823</v>
      </c>
      <c r="F377" s="47" t="s">
        <v>698</v>
      </c>
      <c r="G377" s="47" t="s">
        <v>705</v>
      </c>
      <c r="H377" s="47" t="str">
        <f>=IFERROR(VLOOKUP(A377,'ETPT Format DDG'!A:J,10,FALSE),"")</f>
        <v>0</v>
      </c>
      <c r="I377" s="47" t="str">
        <f>='ETPT Format DDG'!M377</f>
        <v/>
      </c>
      <c r="J377" s="47" t="str">
        <f>='ETPT Format DDG'!D377</f>
        <v/>
      </c>
      <c r="K377" s="47" t="s">
        <v>157</v>
      </c>
      <c r="L377" s="47" t="s">
        <v>1155</v>
      </c>
      <c r="M377" s="47"/>
      <c r="N377" s="47">
        <v>1</v>
      </c>
      <c r="O377" s="47">
        <v>0</v>
      </c>
      <c r="P377" s="47">
        <v>0</v>
      </c>
      <c r="Q377" s="47">
        <v>0</v>
      </c>
      <c r="R377" s="47">
        <v>0</v>
      </c>
      <c r="S377" s="47">
        <v>0</v>
      </c>
      <c r="T377" s="47">
        <v>0</v>
      </c>
      <c r="U377" s="47">
        <v>0</v>
      </c>
      <c r="V377" s="47">
        <v>0</v>
      </c>
      <c r="W377" s="47">
        <v>0</v>
      </c>
      <c r="X377" s="47">
        <v>0</v>
      </c>
      <c r="Y377" s="47">
        <v>0</v>
      </c>
      <c r="Z377" s="47">
        <v>0</v>
      </c>
      <c r="AA377" s="47">
        <v>0</v>
      </c>
      <c r="AB377" s="47">
        <v>0</v>
      </c>
      <c r="AC377" s="47">
        <v>0</v>
      </c>
      <c r="AD377" s="47">
        <v>0</v>
      </c>
      <c r="AE377" s="47">
        <v>0</v>
      </c>
      <c r="AF377" s="47">
        <v>0</v>
      </c>
      <c r="AG377" s="47">
        <v>0</v>
      </c>
      <c r="AH377" s="47">
        <v>0</v>
      </c>
      <c r="AI377" s="47">
        <v>0</v>
      </c>
      <c r="AJ377" s="47">
        <v>0</v>
      </c>
      <c r="AK377" s="47">
        <v>0</v>
      </c>
      <c r="AL377" s="47">
        <v>0</v>
      </c>
      <c r="AM377" s="47">
        <v>0</v>
      </c>
      <c r="AN377" s="47">
        <v>0</v>
      </c>
      <c r="AO377" s="47">
        <v>0</v>
      </c>
      <c r="AP377" s="47">
        <v>0</v>
      </c>
      <c r="AQ377" s="47">
        <v>0</v>
      </c>
      <c r="AR377" s="47">
        <v>0</v>
      </c>
      <c r="AS377" s="47">
        <v>0</v>
      </c>
      <c r="AT377" s="47">
        <v>0</v>
      </c>
      <c r="AU377" s="47">
        <v>0</v>
      </c>
      <c r="AV377" s="47">
        <v>0</v>
      </c>
      <c r="AW377" s="47">
        <v>0</v>
      </c>
      <c r="AX377" s="47">
        <v>0</v>
      </c>
      <c r="AY377" s="47">
        <v>0</v>
      </c>
      <c r="AZ377" s="47">
        <v>0</v>
      </c>
      <c r="BA377" s="47">
        <v>0</v>
      </c>
      <c r="BB377" s="47">
        <v>0</v>
      </c>
      <c r="BC377" s="47">
        <v>0</v>
      </c>
      <c r="BD377" s="47">
        <v>0</v>
      </c>
      <c r="BE377" s="47">
        <v>0</v>
      </c>
      <c r="BF377" s="47">
        <v>0</v>
      </c>
      <c r="BG377" s="47">
        <v>0</v>
      </c>
      <c r="BH377" s="47">
        <v>0</v>
      </c>
      <c r="BI377" s="47">
        <v>0</v>
      </c>
      <c r="BJ377" s="47">
        <v>0</v>
      </c>
      <c r="BK377" s="47">
        <v>0</v>
      </c>
      <c r="BL377" s="47">
        <v>0</v>
      </c>
      <c r="BM377" s="47">
        <v>0</v>
      </c>
      <c r="BN377" s="47">
        <v>0</v>
      </c>
      <c r="BO377" s="47">
        <v>0</v>
      </c>
      <c r="BP377" s="47">
        <v>0</v>
      </c>
      <c r="BQ377" s="47">
        <v>0</v>
      </c>
      <c r="BR377" s="47">
        <v>0</v>
      </c>
      <c r="BS377" s="47">
        <v>0</v>
      </c>
      <c r="BT377" s="47">
        <v>0</v>
      </c>
      <c r="BU377" s="47">
        <v>0</v>
      </c>
      <c r="BV377" s="47">
        <v>0</v>
      </c>
      <c r="BW377" s="47">
        <v>0</v>
      </c>
      <c r="BX377" s="47">
        <v>0</v>
      </c>
      <c r="BY377" s="47">
        <v>0</v>
      </c>
      <c r="BZ377" s="47">
        <v>0</v>
      </c>
      <c r="CA377" s="47">
        <v>0</v>
      </c>
      <c r="CB377" s="47">
        <v>0</v>
      </c>
      <c r="CC377" s="47">
        <v>0</v>
      </c>
      <c r="CD377" s="47">
        <v>0</v>
      </c>
      <c r="CE377" s="47">
        <v>0</v>
      </c>
      <c r="CF377" s="47">
        <v>0</v>
      </c>
      <c r="CG377" s="47">
        <v>0</v>
      </c>
      <c r="CH377" s="47">
        <v>0</v>
      </c>
      <c r="CI377" s="47">
        <v>0</v>
      </c>
      <c r="CJ377" s="47">
        <v>0</v>
      </c>
      <c r="CK377" s="47">
        <v>0</v>
      </c>
      <c r="CL377" s="47">
        <v>0</v>
      </c>
      <c r="CM377" s="47">
        <v>0</v>
      </c>
      <c r="CN377" s="47">
        <v>0</v>
      </c>
      <c r="CO377" s="47">
        <v>0</v>
      </c>
      <c r="CP377" s="47">
        <v>0</v>
      </c>
      <c r="CQ377" s="47">
        <v>0</v>
      </c>
      <c r="CR377" s="47">
        <v>0</v>
      </c>
      <c r="CS377" s="47">
        <v>0</v>
      </c>
      <c r="CT377" s="47">
        <v>0</v>
      </c>
      <c r="CU377" s="47">
        <v>0</v>
      </c>
      <c r="CV377" s="47">
        <v>0</v>
      </c>
      <c r="CW377" s="47">
        <v>0</v>
      </c>
      <c r="CX377" s="47">
        <v>0</v>
      </c>
      <c r="CY377" s="47">
        <v>0</v>
      </c>
      <c r="CZ377" s="47">
        <v>0</v>
      </c>
      <c r="DA377" s="47">
        <v>0</v>
      </c>
      <c r="DB377" s="47">
        <v>0</v>
      </c>
      <c r="DC377" s="47">
        <v>0</v>
      </c>
      <c r="DD377" s="47">
        <v>0</v>
      </c>
      <c r="DE377" s="47">
        <v>0</v>
      </c>
      <c r="DF377" s="47">
        <v>0</v>
      </c>
      <c r="DG377" s="47">
        <v>0</v>
      </c>
      <c r="DH377" s="47">
        <v>0</v>
      </c>
      <c r="DI377" s="47">
        <v>0</v>
      </c>
      <c r="DJ377" s="47">
        <v>0</v>
      </c>
      <c r="DK377" s="47">
        <v>0</v>
      </c>
      <c r="DL377" s="47">
        <v>0</v>
      </c>
      <c r="DM377" s="47">
        <v>0</v>
      </c>
      <c r="DN377" s="47">
        <v>0</v>
      </c>
      <c r="DO377" s="47">
        <v>0</v>
      </c>
      <c r="DP377" s="47">
        <v>0</v>
      </c>
      <c r="DQ377" s="47">
        <v>0</v>
      </c>
      <c r="DR377" s="47">
        <v>0</v>
      </c>
      <c r="DS377" s="47">
        <v>0</v>
      </c>
      <c r="DT377" s="47">
        <v>0</v>
      </c>
    </row>
    <row r="378" spans="1:126" x14ac:dyDescent="0.25">
      <c r="A378" s="47" t="s">
        <v>1824</v>
      </c>
      <c r="B378" s="47" t="s">
        <v>153</v>
      </c>
      <c r="C378" s="47" t="s">
        <v>1825</v>
      </c>
      <c r="D378" s="47" t="s">
        <v>1826</v>
      </c>
      <c r="E378" s="47" t="s">
        <v>1827</v>
      </c>
      <c r="F378" s="47" t="s">
        <v>698</v>
      </c>
      <c r="G378" s="47" t="s">
        <v>727</v>
      </c>
      <c r="H378" s="47" t="str">
        <f>=IFERROR(VLOOKUP(A378,'ETPT Format DDG'!A:J,10,FALSE),"")</f>
        <v>0</v>
      </c>
      <c r="I378" s="47" t="str">
        <f>='ETPT Format DDG'!M378</f>
        <v/>
      </c>
      <c r="J378" s="47" t="str">
        <f>='ETPT Format DDG'!D378</f>
        <v/>
      </c>
      <c r="K378" s="47" t="s">
        <v>157</v>
      </c>
      <c r="L378" s="47" t="s">
        <v>1390</v>
      </c>
      <c r="M378" s="47"/>
      <c r="N378" s="47">
        <v>1</v>
      </c>
      <c r="O378" s="47">
        <v>1</v>
      </c>
      <c r="P378" s="47">
        <v>0</v>
      </c>
      <c r="Q378" s="47">
        <v>0</v>
      </c>
      <c r="R378" s="47">
        <v>0</v>
      </c>
      <c r="S378" s="47">
        <v>0</v>
      </c>
      <c r="T378" s="47">
        <v>0</v>
      </c>
      <c r="U378" s="47">
        <v>0</v>
      </c>
      <c r="V378" s="47">
        <v>0</v>
      </c>
      <c r="W378" s="47">
        <v>0</v>
      </c>
      <c r="X378" s="47">
        <v>0</v>
      </c>
      <c r="Y378" s="47">
        <v>0</v>
      </c>
      <c r="Z378" s="47">
        <v>0</v>
      </c>
      <c r="AA378" s="47">
        <v>0</v>
      </c>
      <c r="AB378" s="47">
        <v>0</v>
      </c>
      <c r="AC378" s="47">
        <v>0</v>
      </c>
      <c r="AD378" s="47">
        <v>0</v>
      </c>
      <c r="AE378" s="47">
        <v>0</v>
      </c>
      <c r="AF378" s="47">
        <v>0</v>
      </c>
      <c r="AG378" s="47">
        <v>0</v>
      </c>
      <c r="AH378" s="47">
        <v>0</v>
      </c>
      <c r="AI378" s="47">
        <v>0</v>
      </c>
      <c r="AJ378" s="47">
        <v>0</v>
      </c>
      <c r="AK378" s="47">
        <v>0</v>
      </c>
      <c r="AL378" s="47">
        <v>0</v>
      </c>
      <c r="AM378" s="47">
        <v>0</v>
      </c>
      <c r="AN378" s="47">
        <v>0</v>
      </c>
      <c r="AO378" s="47">
        <v>0</v>
      </c>
      <c r="AP378" s="47">
        <v>0</v>
      </c>
      <c r="AQ378" s="47">
        <v>0</v>
      </c>
      <c r="AR378" s="47">
        <v>0</v>
      </c>
      <c r="AS378" s="47">
        <v>0</v>
      </c>
      <c r="AT378" s="47">
        <v>0</v>
      </c>
      <c r="AU378" s="47">
        <v>0</v>
      </c>
      <c r="AV378" s="47">
        <v>0</v>
      </c>
      <c r="AW378" s="47">
        <v>0</v>
      </c>
      <c r="AX378" s="47">
        <v>0</v>
      </c>
      <c r="AY378" s="47">
        <v>0</v>
      </c>
      <c r="AZ378" s="47">
        <v>0</v>
      </c>
      <c r="BA378" s="47">
        <v>0</v>
      </c>
      <c r="BB378" s="47">
        <v>0</v>
      </c>
      <c r="BC378" s="47">
        <v>0</v>
      </c>
      <c r="BD378" s="47">
        <v>0</v>
      </c>
      <c r="BE378" s="47">
        <v>0</v>
      </c>
      <c r="BF378" s="47">
        <v>0</v>
      </c>
      <c r="BG378" s="47">
        <v>0</v>
      </c>
      <c r="BH378" s="47">
        <v>1</v>
      </c>
      <c r="BI378" s="47">
        <v>0</v>
      </c>
      <c r="BJ378" s="47">
        <v>0</v>
      </c>
      <c r="BK378" s="47">
        <v>0</v>
      </c>
      <c r="BL378" s="47">
        <v>0</v>
      </c>
      <c r="BM378" s="47">
        <v>0</v>
      </c>
      <c r="BN378" s="47">
        <v>0</v>
      </c>
      <c r="BO378" s="47">
        <v>0</v>
      </c>
      <c r="BP378" s="47">
        <v>0</v>
      </c>
      <c r="BQ378" s="47">
        <v>0</v>
      </c>
      <c r="BR378" s="47">
        <v>0</v>
      </c>
      <c r="BS378" s="47">
        <v>0</v>
      </c>
      <c r="BT378" s="47">
        <v>0</v>
      </c>
      <c r="BU378" s="47">
        <v>0</v>
      </c>
      <c r="BV378" s="47">
        <v>0</v>
      </c>
      <c r="BW378" s="47">
        <v>0</v>
      </c>
      <c r="BX378" s="47">
        <v>0</v>
      </c>
      <c r="BY378" s="47">
        <v>0</v>
      </c>
      <c r="BZ378" s="47">
        <v>0</v>
      </c>
      <c r="CA378" s="47">
        <v>0</v>
      </c>
      <c r="CB378" s="47">
        <v>0</v>
      </c>
      <c r="CC378" s="47">
        <v>0</v>
      </c>
      <c r="CD378" s="47">
        <v>0</v>
      </c>
      <c r="CE378" s="47">
        <v>0</v>
      </c>
      <c r="CF378" s="47">
        <v>0</v>
      </c>
      <c r="CG378" s="47">
        <v>0</v>
      </c>
      <c r="CH378" s="47">
        <v>0</v>
      </c>
      <c r="CI378" s="47">
        <v>0</v>
      </c>
      <c r="CJ378" s="47">
        <v>0</v>
      </c>
      <c r="CK378" s="47">
        <v>0</v>
      </c>
      <c r="CL378" s="47">
        <v>0</v>
      </c>
      <c r="CM378" s="47">
        <v>0</v>
      </c>
      <c r="CN378" s="47">
        <v>0</v>
      </c>
      <c r="CO378" s="47">
        <v>0</v>
      </c>
      <c r="CP378" s="47">
        <v>0</v>
      </c>
      <c r="CQ378" s="47">
        <v>0</v>
      </c>
      <c r="CR378" s="47">
        <v>0</v>
      </c>
      <c r="CS378" s="47">
        <v>0</v>
      </c>
      <c r="CT378" s="47">
        <v>0</v>
      </c>
      <c r="CU378" s="47">
        <v>0</v>
      </c>
      <c r="CV378" s="47">
        <v>0</v>
      </c>
      <c r="CW378" s="47">
        <v>0</v>
      </c>
      <c r="CX378" s="47">
        <v>0</v>
      </c>
      <c r="CY378" s="47">
        <v>0</v>
      </c>
      <c r="CZ378" s="47">
        <v>0</v>
      </c>
      <c r="DA378" s="47">
        <v>0</v>
      </c>
      <c r="DB378" s="47">
        <v>0</v>
      </c>
      <c r="DC378" s="47">
        <v>0</v>
      </c>
      <c r="DD378" s="47">
        <v>0</v>
      </c>
      <c r="DE378" s="47">
        <v>0</v>
      </c>
      <c r="DF378" s="47">
        <v>0</v>
      </c>
      <c r="DG378" s="47">
        <v>0</v>
      </c>
      <c r="DH378" s="47">
        <v>0</v>
      </c>
      <c r="DI378" s="47">
        <v>0</v>
      </c>
      <c r="DJ378" s="47">
        <v>0</v>
      </c>
      <c r="DK378" s="47">
        <v>0</v>
      </c>
      <c r="DL378" s="47">
        <v>0</v>
      </c>
      <c r="DM378" s="47">
        <v>0</v>
      </c>
      <c r="DN378" s="47">
        <v>0</v>
      </c>
      <c r="DO378" s="47">
        <v>0</v>
      </c>
      <c r="DP378" s="47">
        <v>0</v>
      </c>
      <c r="DQ378" s="47">
        <v>0</v>
      </c>
      <c r="DR378" s="47">
        <v>0</v>
      </c>
      <c r="DS378" s="47">
        <v>0</v>
      </c>
      <c r="DT378" s="47">
        <v>0</v>
      </c>
    </row>
    <row r="379" spans="1:126" x14ac:dyDescent="0.25">
      <c r="A379" s="47" t="s">
        <v>1828</v>
      </c>
      <c r="B379" s="47" t="s">
        <v>153</v>
      </c>
      <c r="C379" s="47" t="s">
        <v>1829</v>
      </c>
      <c r="D379" s="47" t="s">
        <v>1830</v>
      </c>
      <c r="E379" s="47" t="s">
        <v>1831</v>
      </c>
      <c r="F379" s="47" t="s">
        <v>698</v>
      </c>
      <c r="G379" s="47" t="s">
        <v>1832</v>
      </c>
      <c r="H379" s="47" t="str">
        <f>=IFERROR(VLOOKUP(A379,'ETPT Format DDG'!A:J,10,FALSE),"")</f>
        <v>0</v>
      </c>
      <c r="I379" s="47" t="str">
        <f>='ETPT Format DDG'!M379</f>
        <v/>
      </c>
      <c r="J379" s="47" t="str">
        <f>='ETPT Format DDG'!D379</f>
        <v/>
      </c>
      <c r="K379" s="47" t="s">
        <v>157</v>
      </c>
      <c r="L379" s="47" t="s">
        <v>1833</v>
      </c>
      <c r="M379" s="47"/>
      <c r="N379" s="47">
        <v>1</v>
      </c>
      <c r="O379" s="47">
        <v>1</v>
      </c>
      <c r="P379" s="47">
        <v>0</v>
      </c>
      <c r="Q379" s="47">
        <v>0</v>
      </c>
      <c r="R379" s="47">
        <v>0</v>
      </c>
      <c r="S379" s="47">
        <v>0</v>
      </c>
      <c r="T379" s="47">
        <v>0</v>
      </c>
      <c r="U379" s="47">
        <v>0</v>
      </c>
      <c r="V379" s="47">
        <v>0</v>
      </c>
      <c r="W379" s="47">
        <v>0</v>
      </c>
      <c r="X379" s="47">
        <v>0</v>
      </c>
      <c r="Y379" s="47">
        <v>0</v>
      </c>
      <c r="Z379" s="47">
        <v>0</v>
      </c>
      <c r="AA379" s="47">
        <v>0</v>
      </c>
      <c r="AB379" s="47">
        <v>0</v>
      </c>
      <c r="AC379" s="47">
        <v>0</v>
      </c>
      <c r="AD379" s="47">
        <v>0</v>
      </c>
      <c r="AE379" s="47">
        <v>0</v>
      </c>
      <c r="AF379" s="47">
        <v>0</v>
      </c>
      <c r="AG379" s="47">
        <v>0</v>
      </c>
      <c r="AH379" s="47">
        <v>0</v>
      </c>
      <c r="AI379" s="47">
        <v>0</v>
      </c>
      <c r="AJ379" s="47">
        <v>0</v>
      </c>
      <c r="AK379" s="47">
        <v>0</v>
      </c>
      <c r="AL379" s="47">
        <v>0</v>
      </c>
      <c r="AM379" s="47">
        <v>0</v>
      </c>
      <c r="AN379" s="47">
        <v>0</v>
      </c>
      <c r="AO379" s="47">
        <v>0</v>
      </c>
      <c r="AP379" s="47">
        <v>0</v>
      </c>
      <c r="AQ379" s="47">
        <v>0</v>
      </c>
      <c r="AR379" s="47">
        <v>0</v>
      </c>
      <c r="AS379" s="47">
        <v>0</v>
      </c>
      <c r="AT379" s="47">
        <v>0</v>
      </c>
      <c r="AU379" s="47">
        <v>0</v>
      </c>
      <c r="AV379" s="47">
        <v>0</v>
      </c>
      <c r="AW379" s="47">
        <v>0</v>
      </c>
      <c r="AX379" s="47">
        <v>0</v>
      </c>
      <c r="AY379" s="47">
        <v>0</v>
      </c>
      <c r="AZ379" s="47">
        <v>0</v>
      </c>
      <c r="BA379" s="47">
        <v>0</v>
      </c>
      <c r="BB379" s="47">
        <v>0</v>
      </c>
      <c r="BC379" s="47">
        <v>0</v>
      </c>
      <c r="BD379" s="47">
        <v>0</v>
      </c>
      <c r="BE379" s="47">
        <v>0</v>
      </c>
      <c r="BF379" s="47">
        <v>0</v>
      </c>
      <c r="BG379" s="47">
        <v>0</v>
      </c>
      <c r="BH379" s="47">
        <v>0</v>
      </c>
      <c r="BI379" s="47">
        <v>0</v>
      </c>
      <c r="BJ379" s="47">
        <v>0</v>
      </c>
      <c r="BK379" s="47">
        <v>0</v>
      </c>
      <c r="BL379" s="47">
        <v>0</v>
      </c>
      <c r="BM379" s="47">
        <v>0</v>
      </c>
      <c r="BN379" s="47">
        <v>0</v>
      </c>
      <c r="BO379" s="47">
        <v>1</v>
      </c>
      <c r="BP379" s="47">
        <v>0</v>
      </c>
      <c r="BQ379" s="47">
        <v>0.2</v>
      </c>
      <c r="BR379" s="47">
        <v>0</v>
      </c>
      <c r="BS379" s="47">
        <v>0</v>
      </c>
      <c r="BT379" s="47">
        <v>0</v>
      </c>
      <c r="BU379" s="47">
        <v>0.8</v>
      </c>
      <c r="BV379" s="47">
        <v>0</v>
      </c>
      <c r="BW379" s="47">
        <v>0</v>
      </c>
      <c r="BX379" s="47">
        <v>0</v>
      </c>
      <c r="BY379" s="47">
        <v>0</v>
      </c>
      <c r="BZ379" s="47">
        <v>0</v>
      </c>
      <c r="CA379" s="47">
        <v>0</v>
      </c>
      <c r="CB379" s="47">
        <v>0</v>
      </c>
      <c r="CC379" s="47">
        <v>0</v>
      </c>
      <c r="CD379" s="47">
        <v>0</v>
      </c>
      <c r="CE379" s="47">
        <v>0</v>
      </c>
      <c r="CF379" s="47">
        <v>0</v>
      </c>
      <c r="CG379" s="47">
        <v>0</v>
      </c>
      <c r="CH379" s="47">
        <v>0</v>
      </c>
      <c r="CI379" s="47">
        <v>0</v>
      </c>
      <c r="CJ379" s="47">
        <v>0</v>
      </c>
      <c r="CK379" s="47">
        <v>0</v>
      </c>
      <c r="CL379" s="47">
        <v>0</v>
      </c>
      <c r="CM379" s="47">
        <v>0</v>
      </c>
      <c r="CN379" s="47">
        <v>0</v>
      </c>
      <c r="CO379" s="47">
        <v>0</v>
      </c>
      <c r="CP379" s="47">
        <v>0</v>
      </c>
      <c r="CQ379" s="47">
        <v>0</v>
      </c>
      <c r="CR379" s="47">
        <v>0</v>
      </c>
      <c r="CS379" s="47">
        <v>0</v>
      </c>
      <c r="CT379" s="47">
        <v>0</v>
      </c>
      <c r="CU379" s="47">
        <v>0</v>
      </c>
      <c r="CV379" s="47">
        <v>0</v>
      </c>
      <c r="CW379" s="47">
        <v>0</v>
      </c>
      <c r="CX379" s="47">
        <v>0</v>
      </c>
      <c r="CY379" s="47">
        <v>0</v>
      </c>
      <c r="CZ379" s="47">
        <v>0</v>
      </c>
      <c r="DA379" s="47">
        <v>0</v>
      </c>
      <c r="DB379" s="47">
        <v>0</v>
      </c>
      <c r="DC379" s="47">
        <v>0</v>
      </c>
      <c r="DD379" s="47">
        <v>0</v>
      </c>
      <c r="DE379" s="47">
        <v>0</v>
      </c>
      <c r="DF379" s="47">
        <v>0</v>
      </c>
      <c r="DG379" s="47">
        <v>0</v>
      </c>
      <c r="DH379" s="47">
        <v>0</v>
      </c>
      <c r="DI379" s="47">
        <v>0</v>
      </c>
      <c r="DJ379" s="47">
        <v>0</v>
      </c>
      <c r="DK379" s="47">
        <v>0</v>
      </c>
      <c r="DL379" s="47">
        <v>0</v>
      </c>
      <c r="DM379" s="47">
        <v>0</v>
      </c>
      <c r="DN379" s="47">
        <v>0</v>
      </c>
      <c r="DO379" s="47">
        <v>0</v>
      </c>
      <c r="DP379" s="47">
        <v>0</v>
      </c>
      <c r="DQ379" s="47">
        <v>0</v>
      </c>
      <c r="DR379" s="47">
        <v>0</v>
      </c>
      <c r="DS379" s="47">
        <v>0</v>
      </c>
      <c r="DT379" s="47">
        <v>0</v>
      </c>
    </row>
    <row r="380" spans="1:126" x14ac:dyDescent="0.25">
      <c r="A380" s="47" t="s">
        <v>1834</v>
      </c>
      <c r="B380" s="47" t="s">
        <v>153</v>
      </c>
      <c r="C380" s="47" t="s">
        <v>1835</v>
      </c>
      <c r="D380" s="47" t="s">
        <v>1836</v>
      </c>
      <c r="E380" s="47" t="s">
        <v>1837</v>
      </c>
      <c r="F380" s="47" t="s">
        <v>698</v>
      </c>
      <c r="G380" s="47" t="s">
        <v>705</v>
      </c>
      <c r="H380" s="47" t="str">
        <f>=IFERROR(VLOOKUP(A380,'ETPT Format DDG'!A:J,10,FALSE),"")</f>
        <v>0</v>
      </c>
      <c r="I380" s="47" t="str">
        <f>='ETPT Format DDG'!M380</f>
        <v/>
      </c>
      <c r="J380" s="47" t="str">
        <f>='ETPT Format DDG'!D380</f>
        <v/>
      </c>
      <c r="K380" s="47" t="s">
        <v>157</v>
      </c>
      <c r="L380" s="47" t="s">
        <v>1838</v>
      </c>
      <c r="M380" s="47"/>
      <c r="N380" s="47">
        <v>0.8</v>
      </c>
      <c r="O380" s="47">
        <v>0</v>
      </c>
      <c r="P380" s="47">
        <v>0</v>
      </c>
      <c r="Q380" s="47">
        <v>0</v>
      </c>
      <c r="R380" s="47">
        <v>0</v>
      </c>
      <c r="S380" s="47">
        <v>0</v>
      </c>
      <c r="T380" s="47">
        <v>0</v>
      </c>
      <c r="U380" s="47">
        <v>0</v>
      </c>
      <c r="V380" s="47">
        <v>0</v>
      </c>
      <c r="W380" s="47">
        <v>0</v>
      </c>
      <c r="X380" s="47">
        <v>0</v>
      </c>
      <c r="Y380" s="47">
        <v>0</v>
      </c>
      <c r="Z380" s="47">
        <v>0</v>
      </c>
      <c r="AA380" s="47">
        <v>0</v>
      </c>
      <c r="AB380" s="47">
        <v>0</v>
      </c>
      <c r="AC380" s="47">
        <v>0</v>
      </c>
      <c r="AD380" s="47">
        <v>0</v>
      </c>
      <c r="AE380" s="47">
        <v>0</v>
      </c>
      <c r="AF380" s="47">
        <v>0</v>
      </c>
      <c r="AG380" s="47">
        <v>0</v>
      </c>
      <c r="AH380" s="47">
        <v>0</v>
      </c>
      <c r="AI380" s="47">
        <v>0</v>
      </c>
      <c r="AJ380" s="47">
        <v>0</v>
      </c>
      <c r="AK380" s="47">
        <v>0</v>
      </c>
      <c r="AL380" s="47">
        <v>0</v>
      </c>
      <c r="AM380" s="47">
        <v>0</v>
      </c>
      <c r="AN380" s="47">
        <v>0</v>
      </c>
      <c r="AO380" s="47">
        <v>0</v>
      </c>
      <c r="AP380" s="47">
        <v>0</v>
      </c>
      <c r="AQ380" s="47">
        <v>0</v>
      </c>
      <c r="AR380" s="47">
        <v>0</v>
      </c>
      <c r="AS380" s="47">
        <v>0</v>
      </c>
      <c r="AT380" s="47">
        <v>0</v>
      </c>
      <c r="AU380" s="47">
        <v>0</v>
      </c>
      <c r="AV380" s="47">
        <v>0</v>
      </c>
      <c r="AW380" s="47">
        <v>0</v>
      </c>
      <c r="AX380" s="47">
        <v>0</v>
      </c>
      <c r="AY380" s="47">
        <v>0</v>
      </c>
      <c r="AZ380" s="47">
        <v>0</v>
      </c>
      <c r="BA380" s="47">
        <v>0</v>
      </c>
      <c r="BB380" s="47">
        <v>0</v>
      </c>
      <c r="BC380" s="47">
        <v>0</v>
      </c>
      <c r="BD380" s="47">
        <v>0</v>
      </c>
      <c r="BE380" s="47">
        <v>0</v>
      </c>
      <c r="BF380" s="47">
        <v>0</v>
      </c>
      <c r="BG380" s="47">
        <v>0</v>
      </c>
      <c r="BH380" s="47">
        <v>0</v>
      </c>
      <c r="BI380" s="47">
        <v>0</v>
      </c>
      <c r="BJ380" s="47">
        <v>0</v>
      </c>
      <c r="BK380" s="47">
        <v>0</v>
      </c>
      <c r="BL380" s="47">
        <v>0</v>
      </c>
      <c r="BM380" s="47">
        <v>0</v>
      </c>
      <c r="BN380" s="47">
        <v>0</v>
      </c>
      <c r="BO380" s="47">
        <v>0</v>
      </c>
      <c r="BP380" s="47">
        <v>0</v>
      </c>
      <c r="BQ380" s="47">
        <v>0</v>
      </c>
      <c r="BR380" s="47">
        <v>0</v>
      </c>
      <c r="BS380" s="47">
        <v>0</v>
      </c>
      <c r="BT380" s="47">
        <v>0</v>
      </c>
      <c r="BU380" s="47">
        <v>0</v>
      </c>
      <c r="BV380" s="47">
        <v>0</v>
      </c>
      <c r="BW380" s="47">
        <v>0</v>
      </c>
      <c r="BX380" s="47">
        <v>0</v>
      </c>
      <c r="BY380" s="47">
        <v>0</v>
      </c>
      <c r="BZ380" s="47">
        <v>0</v>
      </c>
      <c r="CA380" s="47">
        <v>0</v>
      </c>
      <c r="CB380" s="47">
        <v>0</v>
      </c>
      <c r="CC380" s="47">
        <v>0</v>
      </c>
      <c r="CD380" s="47">
        <v>0</v>
      </c>
      <c r="CE380" s="47">
        <v>0</v>
      </c>
      <c r="CF380" s="47">
        <v>0</v>
      </c>
      <c r="CG380" s="47">
        <v>0</v>
      </c>
      <c r="CH380" s="47">
        <v>0</v>
      </c>
      <c r="CI380" s="47">
        <v>0</v>
      </c>
      <c r="CJ380" s="47">
        <v>0</v>
      </c>
      <c r="CK380" s="47">
        <v>0</v>
      </c>
      <c r="CL380" s="47">
        <v>0</v>
      </c>
      <c r="CM380" s="47">
        <v>0</v>
      </c>
      <c r="CN380" s="47">
        <v>0</v>
      </c>
      <c r="CO380" s="47">
        <v>0</v>
      </c>
      <c r="CP380" s="47">
        <v>0</v>
      </c>
      <c r="CQ380" s="47">
        <v>0</v>
      </c>
      <c r="CR380" s="47">
        <v>0</v>
      </c>
      <c r="CS380" s="47">
        <v>0</v>
      </c>
      <c r="CT380" s="47">
        <v>0</v>
      </c>
      <c r="CU380" s="47">
        <v>0</v>
      </c>
      <c r="CV380" s="47">
        <v>0</v>
      </c>
      <c r="CW380" s="47">
        <v>0</v>
      </c>
      <c r="CX380" s="47">
        <v>0</v>
      </c>
      <c r="CY380" s="47">
        <v>0</v>
      </c>
      <c r="CZ380" s="47">
        <v>0</v>
      </c>
      <c r="DA380" s="47">
        <v>0</v>
      </c>
      <c r="DB380" s="47">
        <v>0</v>
      </c>
      <c r="DC380" s="47">
        <v>0</v>
      </c>
      <c r="DD380" s="47">
        <v>0</v>
      </c>
      <c r="DE380" s="47">
        <v>0</v>
      </c>
      <c r="DF380" s="47">
        <v>0</v>
      </c>
      <c r="DG380" s="47">
        <v>0</v>
      </c>
      <c r="DH380" s="47">
        <v>0</v>
      </c>
      <c r="DI380" s="47">
        <v>0</v>
      </c>
      <c r="DJ380" s="47">
        <v>0</v>
      </c>
      <c r="DK380" s="47">
        <v>0</v>
      </c>
      <c r="DL380" s="47">
        <v>0</v>
      </c>
      <c r="DM380" s="47">
        <v>0</v>
      </c>
      <c r="DN380" s="47">
        <v>0</v>
      </c>
      <c r="DO380" s="47">
        <v>0</v>
      </c>
      <c r="DP380" s="47">
        <v>0</v>
      </c>
      <c r="DQ380" s="47">
        <v>0</v>
      </c>
      <c r="DR380" s="47">
        <v>0</v>
      </c>
      <c r="DS380" s="47">
        <v>0</v>
      </c>
      <c r="DT380" s="47">
        <v>0</v>
      </c>
    </row>
    <row r="381" spans="1:126" x14ac:dyDescent="0.25">
      <c r="A381" s="47" t="s">
        <v>1839</v>
      </c>
      <c r="B381" s="47" t="s">
        <v>153</v>
      </c>
      <c r="C381" s="47" t="s">
        <v>1840</v>
      </c>
      <c r="D381" s="47" t="s">
        <v>1841</v>
      </c>
      <c r="E381" s="47" t="s">
        <v>1842</v>
      </c>
      <c r="F381" s="47" t="s">
        <v>698</v>
      </c>
      <c r="G381" s="47" t="s">
        <v>705</v>
      </c>
      <c r="H381" s="47" t="str">
        <f>=IFERROR(VLOOKUP(A381,'ETPT Format DDG'!A:J,10,FALSE),"")</f>
        <v>0</v>
      </c>
      <c r="I381" s="47" t="str">
        <f>='ETPT Format DDG'!M381</f>
        <v/>
      </c>
      <c r="J381" s="47" t="str">
        <f>='ETPT Format DDG'!D381</f>
        <v/>
      </c>
      <c r="K381" s="47" t="s">
        <v>157</v>
      </c>
      <c r="L381" s="47" t="s">
        <v>1843</v>
      </c>
      <c r="M381" s="47"/>
      <c r="N381" s="47">
        <v>0.9</v>
      </c>
      <c r="O381" s="47">
        <v>0</v>
      </c>
      <c r="P381" s="47">
        <v>0</v>
      </c>
      <c r="Q381" s="47">
        <v>0</v>
      </c>
      <c r="R381" s="47">
        <v>0</v>
      </c>
      <c r="S381" s="47">
        <v>0</v>
      </c>
      <c r="T381" s="47">
        <v>0</v>
      </c>
      <c r="U381" s="47">
        <v>0</v>
      </c>
      <c r="V381" s="47">
        <v>0</v>
      </c>
      <c r="W381" s="47">
        <v>0</v>
      </c>
      <c r="X381" s="47">
        <v>0</v>
      </c>
      <c r="Y381" s="47">
        <v>0</v>
      </c>
      <c r="Z381" s="47">
        <v>0</v>
      </c>
      <c r="AA381" s="47">
        <v>0</v>
      </c>
      <c r="AB381" s="47">
        <v>0</v>
      </c>
      <c r="AC381" s="47">
        <v>0</v>
      </c>
      <c r="AD381" s="47">
        <v>0</v>
      </c>
      <c r="AE381" s="47">
        <v>0</v>
      </c>
      <c r="AF381" s="47">
        <v>0</v>
      </c>
      <c r="AG381" s="47">
        <v>0</v>
      </c>
      <c r="AH381" s="47">
        <v>0</v>
      </c>
      <c r="AI381" s="47">
        <v>0</v>
      </c>
      <c r="AJ381" s="47">
        <v>0</v>
      </c>
      <c r="AK381" s="47">
        <v>0</v>
      </c>
      <c r="AL381" s="47">
        <v>0</v>
      </c>
      <c r="AM381" s="47">
        <v>0</v>
      </c>
      <c r="AN381" s="47">
        <v>0</v>
      </c>
      <c r="AO381" s="47">
        <v>0</v>
      </c>
      <c r="AP381" s="47">
        <v>0</v>
      </c>
      <c r="AQ381" s="47">
        <v>0</v>
      </c>
      <c r="AR381" s="47">
        <v>0</v>
      </c>
      <c r="AS381" s="47">
        <v>0</v>
      </c>
      <c r="AT381" s="47">
        <v>0</v>
      </c>
      <c r="AU381" s="47">
        <v>0</v>
      </c>
      <c r="AV381" s="47">
        <v>0</v>
      </c>
      <c r="AW381" s="47">
        <v>0</v>
      </c>
      <c r="AX381" s="47">
        <v>0</v>
      </c>
      <c r="AY381" s="47">
        <v>0</v>
      </c>
      <c r="AZ381" s="47">
        <v>0</v>
      </c>
      <c r="BA381" s="47">
        <v>0</v>
      </c>
      <c r="BB381" s="47">
        <v>0</v>
      </c>
      <c r="BC381" s="47">
        <v>0</v>
      </c>
      <c r="BD381" s="47">
        <v>0</v>
      </c>
      <c r="BE381" s="47">
        <v>0</v>
      </c>
      <c r="BF381" s="47">
        <v>0</v>
      </c>
      <c r="BG381" s="47">
        <v>0</v>
      </c>
      <c r="BH381" s="47">
        <v>0</v>
      </c>
      <c r="BI381" s="47">
        <v>0</v>
      </c>
      <c r="BJ381" s="47">
        <v>0</v>
      </c>
      <c r="BK381" s="47">
        <v>0</v>
      </c>
      <c r="BL381" s="47">
        <v>0</v>
      </c>
      <c r="BM381" s="47">
        <v>0</v>
      </c>
      <c r="BN381" s="47">
        <v>0</v>
      </c>
      <c r="BO381" s="47">
        <v>0</v>
      </c>
      <c r="BP381" s="47">
        <v>0</v>
      </c>
      <c r="BQ381" s="47">
        <v>0</v>
      </c>
      <c r="BR381" s="47">
        <v>0</v>
      </c>
      <c r="BS381" s="47">
        <v>0</v>
      </c>
      <c r="BT381" s="47">
        <v>0</v>
      </c>
      <c r="BU381" s="47">
        <v>0</v>
      </c>
      <c r="BV381" s="47">
        <v>0</v>
      </c>
      <c r="BW381" s="47">
        <v>0</v>
      </c>
      <c r="BX381" s="47">
        <v>0</v>
      </c>
      <c r="BY381" s="47">
        <v>0</v>
      </c>
      <c r="BZ381" s="47">
        <v>0</v>
      </c>
      <c r="CA381" s="47">
        <v>0</v>
      </c>
      <c r="CB381" s="47">
        <v>0</v>
      </c>
      <c r="CC381" s="47">
        <v>0</v>
      </c>
      <c r="CD381" s="47">
        <v>0</v>
      </c>
      <c r="CE381" s="47">
        <v>0</v>
      </c>
      <c r="CF381" s="47">
        <v>0</v>
      </c>
      <c r="CG381" s="47">
        <v>0</v>
      </c>
      <c r="CH381" s="47">
        <v>0</v>
      </c>
      <c r="CI381" s="47">
        <v>0</v>
      </c>
      <c r="CJ381" s="47">
        <v>0</v>
      </c>
      <c r="CK381" s="47">
        <v>0</v>
      </c>
      <c r="CL381" s="47">
        <v>0</v>
      </c>
      <c r="CM381" s="47">
        <v>0</v>
      </c>
      <c r="CN381" s="47">
        <v>0</v>
      </c>
      <c r="CO381" s="47">
        <v>0</v>
      </c>
      <c r="CP381" s="47">
        <v>0</v>
      </c>
      <c r="CQ381" s="47">
        <v>0</v>
      </c>
      <c r="CR381" s="47">
        <v>0</v>
      </c>
      <c r="CS381" s="47">
        <v>0</v>
      </c>
      <c r="CT381" s="47">
        <v>0</v>
      </c>
      <c r="CU381" s="47">
        <v>0</v>
      </c>
      <c r="CV381" s="47">
        <v>0</v>
      </c>
      <c r="CW381" s="47">
        <v>0</v>
      </c>
      <c r="CX381" s="47">
        <v>0</v>
      </c>
      <c r="CY381" s="47">
        <v>0</v>
      </c>
      <c r="CZ381" s="47">
        <v>0</v>
      </c>
      <c r="DA381" s="47">
        <v>0</v>
      </c>
      <c r="DB381" s="47">
        <v>0</v>
      </c>
      <c r="DC381" s="47">
        <v>0</v>
      </c>
      <c r="DD381" s="47">
        <v>0</v>
      </c>
      <c r="DE381" s="47">
        <v>0</v>
      </c>
      <c r="DF381" s="47">
        <v>0</v>
      </c>
      <c r="DG381" s="47">
        <v>0</v>
      </c>
      <c r="DH381" s="47">
        <v>0</v>
      </c>
      <c r="DI381" s="47">
        <v>0</v>
      </c>
      <c r="DJ381" s="47">
        <v>0</v>
      </c>
      <c r="DK381" s="47">
        <v>0</v>
      </c>
      <c r="DL381" s="47">
        <v>0</v>
      </c>
      <c r="DM381" s="47">
        <v>0</v>
      </c>
      <c r="DN381" s="47">
        <v>0</v>
      </c>
      <c r="DO381" s="47">
        <v>0</v>
      </c>
      <c r="DP381" s="47">
        <v>0</v>
      </c>
      <c r="DQ381" s="47">
        <v>0</v>
      </c>
      <c r="DR381" s="47">
        <v>0</v>
      </c>
      <c r="DS381" s="47">
        <v>0</v>
      </c>
      <c r="DT381" s="47">
        <v>0</v>
      </c>
    </row>
    <row r="382" spans="1:126" x14ac:dyDescent="0.25">
      <c r="A382" s="47" t="s">
        <v>1844</v>
      </c>
      <c r="B382" s="47" t="s">
        <v>153</v>
      </c>
      <c r="C382" s="47" t="s">
        <v>1845</v>
      </c>
      <c r="D382" s="47" t="s">
        <v>1846</v>
      </c>
      <c r="E382" s="47" t="s">
        <v>1847</v>
      </c>
      <c r="F382" s="47" t="s">
        <v>698</v>
      </c>
      <c r="G382" s="47" t="s">
        <v>738</v>
      </c>
      <c r="H382" s="47" t="str">
        <f>=IFERROR(VLOOKUP(A382,'ETPT Format DDG'!A:J,10,FALSE),"")</f>
        <v>0</v>
      </c>
      <c r="I382" s="47" t="str">
        <f>='ETPT Format DDG'!M382</f>
        <v/>
      </c>
      <c r="J382" s="47" t="str">
        <f>='ETPT Format DDG'!D382</f>
        <v/>
      </c>
      <c r="K382" s="47" t="s">
        <v>157</v>
      </c>
      <c r="L382" s="47" t="s">
        <v>753</v>
      </c>
      <c r="M382" s="47"/>
      <c r="N382" s="47">
        <v>1</v>
      </c>
      <c r="O382" s="47">
        <v>1</v>
      </c>
      <c r="P382" s="47">
        <v>1</v>
      </c>
      <c r="Q382" s="47">
        <v>0</v>
      </c>
      <c r="R382" s="47">
        <v>0</v>
      </c>
      <c r="S382" s="47">
        <v>0</v>
      </c>
      <c r="T382" s="47">
        <v>0</v>
      </c>
      <c r="U382" s="47">
        <v>0</v>
      </c>
      <c r="V382" s="47">
        <v>0</v>
      </c>
      <c r="W382" s="47">
        <v>0</v>
      </c>
      <c r="X382" s="47">
        <v>0</v>
      </c>
      <c r="Y382" s="47">
        <v>0</v>
      </c>
      <c r="Z382" s="47">
        <v>0</v>
      </c>
      <c r="AA382" s="47">
        <v>0</v>
      </c>
      <c r="AB382" s="47">
        <v>0</v>
      </c>
      <c r="AC382" s="47">
        <v>0</v>
      </c>
      <c r="AD382" s="47">
        <v>0</v>
      </c>
      <c r="AE382" s="47">
        <v>0</v>
      </c>
      <c r="AF382" s="47">
        <v>0</v>
      </c>
      <c r="AG382" s="47">
        <v>0</v>
      </c>
      <c r="AH382" s="47">
        <v>0</v>
      </c>
      <c r="AI382" s="47">
        <v>0</v>
      </c>
      <c r="AJ382" s="47">
        <v>0</v>
      </c>
      <c r="AK382" s="47">
        <v>0</v>
      </c>
      <c r="AL382" s="47">
        <v>0</v>
      </c>
      <c r="AM382" s="47">
        <v>0</v>
      </c>
      <c r="AN382" s="47">
        <v>0</v>
      </c>
      <c r="AO382" s="47">
        <v>0</v>
      </c>
      <c r="AP382" s="47">
        <v>0</v>
      </c>
      <c r="AQ382" s="47">
        <v>0</v>
      </c>
      <c r="AR382" s="47">
        <v>0</v>
      </c>
      <c r="AS382" s="47">
        <v>0</v>
      </c>
      <c r="AT382" s="47">
        <v>0</v>
      </c>
      <c r="AU382" s="47">
        <v>0</v>
      </c>
      <c r="AV382" s="47">
        <v>0</v>
      </c>
      <c r="AW382" s="47">
        <v>0</v>
      </c>
      <c r="AX382" s="47">
        <v>0</v>
      </c>
      <c r="AY382" s="47">
        <v>0</v>
      </c>
      <c r="AZ382" s="47">
        <v>0</v>
      </c>
      <c r="BA382" s="47">
        <v>0</v>
      </c>
      <c r="BB382" s="47">
        <v>0</v>
      </c>
      <c r="BC382" s="47">
        <v>0</v>
      </c>
      <c r="BD382" s="47">
        <v>0</v>
      </c>
      <c r="BE382" s="47">
        <v>0</v>
      </c>
      <c r="BF382" s="47">
        <v>0</v>
      </c>
      <c r="BG382" s="47">
        <v>0</v>
      </c>
      <c r="BH382" s="47">
        <v>0</v>
      </c>
      <c r="BI382" s="47">
        <v>0</v>
      </c>
      <c r="BJ382" s="47">
        <v>0</v>
      </c>
      <c r="BK382" s="47">
        <v>0</v>
      </c>
      <c r="BL382" s="47">
        <v>0</v>
      </c>
      <c r="BM382" s="47">
        <v>0</v>
      </c>
      <c r="BN382" s="47">
        <v>0</v>
      </c>
      <c r="BO382" s="47">
        <v>0</v>
      </c>
      <c r="BP382" s="47">
        <v>0</v>
      </c>
      <c r="BQ382" s="47">
        <v>0</v>
      </c>
      <c r="BR382" s="47">
        <v>0</v>
      </c>
      <c r="BS382" s="47">
        <v>0</v>
      </c>
      <c r="BT382" s="47">
        <v>0</v>
      </c>
      <c r="BU382" s="47">
        <v>0</v>
      </c>
      <c r="BV382" s="47">
        <v>0</v>
      </c>
      <c r="BW382" s="47">
        <v>0</v>
      </c>
      <c r="BX382" s="47">
        <v>0</v>
      </c>
      <c r="BY382" s="47">
        <v>0</v>
      </c>
      <c r="BZ382" s="47">
        <v>0</v>
      </c>
      <c r="CA382" s="47">
        <v>0</v>
      </c>
      <c r="CB382" s="47">
        <v>0</v>
      </c>
      <c r="CC382" s="47">
        <v>0</v>
      </c>
      <c r="CD382" s="47">
        <v>0</v>
      </c>
      <c r="CE382" s="47">
        <v>0</v>
      </c>
      <c r="CF382" s="47">
        <v>0</v>
      </c>
      <c r="CG382" s="47">
        <v>0</v>
      </c>
      <c r="CH382" s="47">
        <v>0</v>
      </c>
      <c r="CI382" s="47">
        <v>0</v>
      </c>
      <c r="CJ382" s="47">
        <v>0</v>
      </c>
      <c r="CK382" s="47">
        <v>0</v>
      </c>
      <c r="CL382" s="47">
        <v>0</v>
      </c>
      <c r="CM382" s="47">
        <v>0</v>
      </c>
      <c r="CN382" s="47">
        <v>0</v>
      </c>
      <c r="CO382" s="47">
        <v>0</v>
      </c>
      <c r="CP382" s="47">
        <v>0</v>
      </c>
      <c r="CQ382" s="47">
        <v>0</v>
      </c>
      <c r="CR382" s="47">
        <v>0</v>
      </c>
      <c r="CS382" s="47">
        <v>0</v>
      </c>
      <c r="CT382" s="47">
        <v>0</v>
      </c>
      <c r="CU382" s="47">
        <v>0</v>
      </c>
      <c r="CV382" s="47">
        <v>0</v>
      </c>
      <c r="CW382" s="47">
        <v>0</v>
      </c>
      <c r="CX382" s="47">
        <v>0</v>
      </c>
      <c r="CY382" s="47">
        <v>0</v>
      </c>
      <c r="CZ382" s="47">
        <v>0</v>
      </c>
      <c r="DA382" s="47">
        <v>0</v>
      </c>
      <c r="DB382" s="47">
        <v>0</v>
      </c>
      <c r="DC382" s="47">
        <v>0</v>
      </c>
      <c r="DD382" s="47">
        <v>0</v>
      </c>
      <c r="DE382" s="47">
        <v>0</v>
      </c>
      <c r="DF382" s="47">
        <v>0</v>
      </c>
      <c r="DG382" s="47">
        <v>0</v>
      </c>
      <c r="DH382" s="47">
        <v>0</v>
      </c>
      <c r="DI382" s="47">
        <v>0</v>
      </c>
      <c r="DJ382" s="47">
        <v>0</v>
      </c>
      <c r="DK382" s="47">
        <v>0</v>
      </c>
      <c r="DL382" s="47">
        <v>0</v>
      </c>
      <c r="DM382" s="47">
        <v>0</v>
      </c>
      <c r="DN382" s="47">
        <v>0</v>
      </c>
      <c r="DO382" s="47">
        <v>0</v>
      </c>
      <c r="DP382" s="47">
        <v>0</v>
      </c>
      <c r="DQ382" s="47">
        <v>0</v>
      </c>
      <c r="DR382" s="47">
        <v>0</v>
      </c>
      <c r="DS382" s="47">
        <v>0</v>
      </c>
      <c r="DT382" s="47">
        <v>0</v>
      </c>
    </row>
    <row r="383" spans="1:126" x14ac:dyDescent="0.25">
      <c r="A383" s="47" t="s">
        <v>1848</v>
      </c>
      <c r="B383" s="47" t="s">
        <v>153</v>
      </c>
      <c r="C383" s="47" t="s">
        <v>1849</v>
      </c>
      <c r="D383" s="47" t="s">
        <v>1850</v>
      </c>
      <c r="E383" s="47" t="s">
        <v>1851</v>
      </c>
      <c r="F383" s="47" t="s">
        <v>698</v>
      </c>
      <c r="G383" s="47" t="s">
        <v>727</v>
      </c>
      <c r="H383" s="47" t="str">
        <f>=IFERROR(VLOOKUP(A383,'ETPT Format DDG'!A:J,10,FALSE),"")</f>
        <v>0</v>
      </c>
      <c r="I383" s="47" t="str">
        <f>='ETPT Format DDG'!M383</f>
        <v/>
      </c>
      <c r="J383" s="47" t="str">
        <f>='ETPT Format DDG'!D383</f>
        <v/>
      </c>
      <c r="K383" s="47" t="s">
        <v>157</v>
      </c>
      <c r="L383" s="47" t="s">
        <v>753</v>
      </c>
      <c r="M383" s="47"/>
      <c r="N383" s="47">
        <v>1</v>
      </c>
      <c r="O383" s="47">
        <v>1</v>
      </c>
      <c r="P383" s="47">
        <v>0</v>
      </c>
      <c r="Q383" s="47">
        <v>0</v>
      </c>
      <c r="R383" s="47">
        <v>0</v>
      </c>
      <c r="S383" s="47">
        <v>0</v>
      </c>
      <c r="T383" s="47">
        <v>0</v>
      </c>
      <c r="U383" s="47">
        <v>0</v>
      </c>
      <c r="V383" s="47">
        <v>0</v>
      </c>
      <c r="W383" s="47">
        <v>0</v>
      </c>
      <c r="X383" s="47">
        <v>0</v>
      </c>
      <c r="Y383" s="47">
        <v>0</v>
      </c>
      <c r="Z383" s="47">
        <v>0</v>
      </c>
      <c r="AA383" s="47">
        <v>0</v>
      </c>
      <c r="AB383" s="47">
        <v>0</v>
      </c>
      <c r="AC383" s="47">
        <v>0</v>
      </c>
      <c r="AD383" s="47">
        <v>0</v>
      </c>
      <c r="AE383" s="47">
        <v>1</v>
      </c>
      <c r="AF383" s="47">
        <v>0</v>
      </c>
      <c r="AG383" s="47">
        <v>0</v>
      </c>
      <c r="AH383" s="47">
        <v>0</v>
      </c>
      <c r="AI383" s="47">
        <v>0</v>
      </c>
      <c r="AJ383" s="47">
        <v>0</v>
      </c>
      <c r="AK383" s="47">
        <v>0</v>
      </c>
      <c r="AL383" s="47">
        <v>0</v>
      </c>
      <c r="AM383" s="47">
        <v>0</v>
      </c>
      <c r="AN383" s="47">
        <v>0</v>
      </c>
      <c r="AO383" s="47">
        <v>0</v>
      </c>
      <c r="AP383" s="47">
        <v>0</v>
      </c>
      <c r="AQ383" s="47">
        <v>0</v>
      </c>
      <c r="AR383" s="47">
        <v>0</v>
      </c>
      <c r="AS383" s="47">
        <v>0</v>
      </c>
      <c r="AT383" s="47">
        <v>0</v>
      </c>
      <c r="AU383" s="47">
        <v>0</v>
      </c>
      <c r="AV383" s="47">
        <v>0</v>
      </c>
      <c r="AW383" s="47">
        <v>0</v>
      </c>
      <c r="AX383" s="47">
        <v>0</v>
      </c>
      <c r="AY383" s="47">
        <v>0</v>
      </c>
      <c r="AZ383" s="47">
        <v>0</v>
      </c>
      <c r="BA383" s="47">
        <v>0</v>
      </c>
      <c r="BB383" s="47">
        <v>0</v>
      </c>
      <c r="BC383" s="47">
        <v>0</v>
      </c>
      <c r="BD383" s="47">
        <v>0</v>
      </c>
      <c r="BE383" s="47">
        <v>0</v>
      </c>
      <c r="BF383" s="47">
        <v>0</v>
      </c>
      <c r="BG383" s="47">
        <v>0</v>
      </c>
      <c r="BH383" s="47">
        <v>0</v>
      </c>
      <c r="BI383" s="47">
        <v>0</v>
      </c>
      <c r="BJ383" s="47">
        <v>0</v>
      </c>
      <c r="BK383" s="47">
        <v>0</v>
      </c>
      <c r="BL383" s="47">
        <v>0</v>
      </c>
      <c r="BM383" s="47">
        <v>0</v>
      </c>
      <c r="BN383" s="47">
        <v>0</v>
      </c>
      <c r="BO383" s="47">
        <v>0</v>
      </c>
      <c r="BP383" s="47">
        <v>0</v>
      </c>
      <c r="BQ383" s="47">
        <v>0</v>
      </c>
      <c r="BR383" s="47">
        <v>0</v>
      </c>
      <c r="BS383" s="47">
        <v>0</v>
      </c>
      <c r="BT383" s="47">
        <v>0</v>
      </c>
      <c r="BU383" s="47">
        <v>0</v>
      </c>
      <c r="BV383" s="47">
        <v>0</v>
      </c>
      <c r="BW383" s="47">
        <v>0</v>
      </c>
      <c r="BX383" s="47">
        <v>0</v>
      </c>
      <c r="BY383" s="47">
        <v>0</v>
      </c>
      <c r="BZ383" s="47">
        <v>0</v>
      </c>
      <c r="CA383" s="47">
        <v>0</v>
      </c>
      <c r="CB383" s="47">
        <v>0</v>
      </c>
      <c r="CC383" s="47">
        <v>0</v>
      </c>
      <c r="CD383" s="47">
        <v>0</v>
      </c>
      <c r="CE383" s="47">
        <v>0</v>
      </c>
      <c r="CF383" s="47">
        <v>0</v>
      </c>
      <c r="CG383" s="47">
        <v>0</v>
      </c>
      <c r="CH383" s="47">
        <v>0</v>
      </c>
      <c r="CI383" s="47">
        <v>0</v>
      </c>
      <c r="CJ383" s="47">
        <v>0</v>
      </c>
      <c r="CK383" s="47">
        <v>0</v>
      </c>
      <c r="CL383" s="47">
        <v>0</v>
      </c>
      <c r="CM383" s="47">
        <v>0</v>
      </c>
      <c r="CN383" s="47">
        <v>0</v>
      </c>
      <c r="CO383" s="47">
        <v>0</v>
      </c>
      <c r="CP383" s="47">
        <v>0</v>
      </c>
      <c r="CQ383" s="47">
        <v>0</v>
      </c>
      <c r="CR383" s="47">
        <v>0</v>
      </c>
      <c r="CS383" s="47">
        <v>0</v>
      </c>
      <c r="CT383" s="47">
        <v>0</v>
      </c>
      <c r="CU383" s="47">
        <v>0</v>
      </c>
      <c r="CV383" s="47">
        <v>0</v>
      </c>
      <c r="CW383" s="47">
        <v>0</v>
      </c>
      <c r="CX383" s="47">
        <v>0</v>
      </c>
      <c r="CY383" s="47">
        <v>0</v>
      </c>
      <c r="CZ383" s="47">
        <v>0</v>
      </c>
      <c r="DA383" s="47">
        <v>0</v>
      </c>
      <c r="DB383" s="47">
        <v>0</v>
      </c>
      <c r="DC383" s="47">
        <v>0</v>
      </c>
      <c r="DD383" s="47">
        <v>0</v>
      </c>
      <c r="DE383" s="47">
        <v>0</v>
      </c>
      <c r="DF383" s="47">
        <v>0</v>
      </c>
      <c r="DG383" s="47">
        <v>0</v>
      </c>
      <c r="DH383" s="47">
        <v>0</v>
      </c>
      <c r="DI383" s="47">
        <v>0</v>
      </c>
      <c r="DJ383" s="47">
        <v>0</v>
      </c>
      <c r="DK383" s="47">
        <v>0</v>
      </c>
      <c r="DL383" s="47">
        <v>0</v>
      </c>
      <c r="DM383" s="47">
        <v>0</v>
      </c>
      <c r="DN383" s="47">
        <v>0</v>
      </c>
      <c r="DO383" s="47">
        <v>0</v>
      </c>
      <c r="DP383" s="47">
        <v>0</v>
      </c>
      <c r="DQ383" s="47">
        <v>0</v>
      </c>
      <c r="DR383" s="47">
        <v>0</v>
      </c>
      <c r="DS383" s="47">
        <v>0</v>
      </c>
      <c r="DT383" s="47">
        <v>0</v>
      </c>
    </row>
    <row r="384" spans="1:126" x14ac:dyDescent="0.25">
      <c r="A384" s="47" t="s">
        <v>1852</v>
      </c>
      <c r="B384" s="47" t="s">
        <v>153</v>
      </c>
      <c r="C384" s="47" t="s">
        <v>1853</v>
      </c>
      <c r="D384" s="47" t="s">
        <v>1854</v>
      </c>
      <c r="E384" s="47" t="s">
        <v>1855</v>
      </c>
      <c r="F384" s="47" t="s">
        <v>698</v>
      </c>
      <c r="G384" s="47" t="s">
        <v>705</v>
      </c>
      <c r="H384" s="47" t="str">
        <f>=IFERROR(VLOOKUP(A384,'ETPT Format DDG'!A:J,10,FALSE),"")</f>
        <v>0</v>
      </c>
      <c r="I384" s="47" t="str">
        <f>='ETPT Format DDG'!M384</f>
        <v/>
      </c>
      <c r="J384" s="47" t="str">
        <f>='ETPT Format DDG'!D384</f>
        <v/>
      </c>
      <c r="K384" s="47" t="s">
        <v>157</v>
      </c>
      <c r="L384" s="47" t="s">
        <v>1856</v>
      </c>
      <c r="M384" s="47"/>
      <c r="N384" s="47">
        <v>1</v>
      </c>
      <c r="O384" s="47">
        <v>0</v>
      </c>
      <c r="P384" s="47">
        <v>0</v>
      </c>
      <c r="Q384" s="47">
        <v>0</v>
      </c>
      <c r="R384" s="47">
        <v>0</v>
      </c>
      <c r="S384" s="47">
        <v>0</v>
      </c>
      <c r="T384" s="47">
        <v>0</v>
      </c>
      <c r="U384" s="47">
        <v>0</v>
      </c>
      <c r="V384" s="47">
        <v>0</v>
      </c>
      <c r="W384" s="47">
        <v>0</v>
      </c>
      <c r="X384" s="47">
        <v>0</v>
      </c>
      <c r="Y384" s="47">
        <v>0</v>
      </c>
      <c r="Z384" s="47">
        <v>0</v>
      </c>
      <c r="AA384" s="47">
        <v>0</v>
      </c>
      <c r="AB384" s="47">
        <v>0</v>
      </c>
      <c r="AC384" s="47">
        <v>0</v>
      </c>
      <c r="AD384" s="47">
        <v>0</v>
      </c>
      <c r="AE384" s="47">
        <v>0</v>
      </c>
      <c r="AF384" s="47">
        <v>0</v>
      </c>
      <c r="AG384" s="47">
        <v>0</v>
      </c>
      <c r="AH384" s="47">
        <v>0</v>
      </c>
      <c r="AI384" s="47">
        <v>0</v>
      </c>
      <c r="AJ384" s="47">
        <v>0</v>
      </c>
      <c r="AK384" s="47">
        <v>0</v>
      </c>
      <c r="AL384" s="47">
        <v>0</v>
      </c>
      <c r="AM384" s="47">
        <v>0</v>
      </c>
      <c r="AN384" s="47">
        <v>0</v>
      </c>
      <c r="AO384" s="47">
        <v>0</v>
      </c>
      <c r="AP384" s="47">
        <v>0</v>
      </c>
      <c r="AQ384" s="47">
        <v>0</v>
      </c>
      <c r="AR384" s="47">
        <v>0</v>
      </c>
      <c r="AS384" s="47">
        <v>0</v>
      </c>
      <c r="AT384" s="47">
        <v>0</v>
      </c>
      <c r="AU384" s="47">
        <v>0</v>
      </c>
      <c r="AV384" s="47">
        <v>0</v>
      </c>
      <c r="AW384" s="47">
        <v>0</v>
      </c>
      <c r="AX384" s="47">
        <v>0</v>
      </c>
      <c r="AY384" s="47">
        <v>0</v>
      </c>
      <c r="AZ384" s="47">
        <v>0</v>
      </c>
      <c r="BA384" s="47">
        <v>0</v>
      </c>
      <c r="BB384" s="47">
        <v>0</v>
      </c>
      <c r="BC384" s="47">
        <v>0</v>
      </c>
      <c r="BD384" s="47">
        <v>0</v>
      </c>
      <c r="BE384" s="47">
        <v>0</v>
      </c>
      <c r="BF384" s="47">
        <v>0</v>
      </c>
      <c r="BG384" s="47">
        <v>0</v>
      </c>
      <c r="BH384" s="47">
        <v>0</v>
      </c>
      <c r="BI384" s="47">
        <v>0</v>
      </c>
      <c r="BJ384" s="47">
        <v>0</v>
      </c>
      <c r="BK384" s="47">
        <v>0</v>
      </c>
      <c r="BL384" s="47">
        <v>0</v>
      </c>
      <c r="BM384" s="47">
        <v>0</v>
      </c>
      <c r="BN384" s="47">
        <v>0</v>
      </c>
      <c r="BO384" s="47">
        <v>0</v>
      </c>
      <c r="BP384" s="47">
        <v>0</v>
      </c>
      <c r="BQ384" s="47">
        <v>0</v>
      </c>
      <c r="BR384" s="47">
        <v>0</v>
      </c>
      <c r="BS384" s="47">
        <v>0</v>
      </c>
      <c r="BT384" s="47">
        <v>0</v>
      </c>
      <c r="BU384" s="47">
        <v>0</v>
      </c>
      <c r="BV384" s="47">
        <v>0</v>
      </c>
      <c r="BW384" s="47">
        <v>0</v>
      </c>
      <c r="BX384" s="47">
        <v>0</v>
      </c>
      <c r="BY384" s="47">
        <v>0</v>
      </c>
      <c r="BZ384" s="47">
        <v>0</v>
      </c>
      <c r="CA384" s="47">
        <v>0</v>
      </c>
      <c r="CB384" s="47">
        <v>0</v>
      </c>
      <c r="CC384" s="47">
        <v>0</v>
      </c>
      <c r="CD384" s="47">
        <v>0</v>
      </c>
      <c r="CE384" s="47">
        <v>0</v>
      </c>
      <c r="CF384" s="47">
        <v>0</v>
      </c>
      <c r="CG384" s="47">
        <v>0</v>
      </c>
      <c r="CH384" s="47">
        <v>0</v>
      </c>
      <c r="CI384" s="47">
        <v>0</v>
      </c>
      <c r="CJ384" s="47">
        <v>0</v>
      </c>
      <c r="CK384" s="47">
        <v>0</v>
      </c>
      <c r="CL384" s="47">
        <v>0</v>
      </c>
      <c r="CM384" s="47">
        <v>0</v>
      </c>
      <c r="CN384" s="47">
        <v>0</v>
      </c>
      <c r="CO384" s="47">
        <v>0</v>
      </c>
      <c r="CP384" s="47">
        <v>0</v>
      </c>
      <c r="CQ384" s="47">
        <v>0</v>
      </c>
      <c r="CR384" s="47">
        <v>0</v>
      </c>
      <c r="CS384" s="47">
        <v>0</v>
      </c>
      <c r="CT384" s="47">
        <v>0</v>
      </c>
      <c r="CU384" s="47">
        <v>0</v>
      </c>
      <c r="CV384" s="47">
        <v>0</v>
      </c>
      <c r="CW384" s="47">
        <v>0</v>
      </c>
      <c r="CX384" s="47">
        <v>0</v>
      </c>
      <c r="CY384" s="47">
        <v>0</v>
      </c>
      <c r="CZ384" s="47">
        <v>0</v>
      </c>
      <c r="DA384" s="47">
        <v>0</v>
      </c>
      <c r="DB384" s="47">
        <v>0</v>
      </c>
      <c r="DC384" s="47">
        <v>0</v>
      </c>
      <c r="DD384" s="47">
        <v>0</v>
      </c>
      <c r="DE384" s="47">
        <v>0</v>
      </c>
      <c r="DF384" s="47">
        <v>0</v>
      </c>
      <c r="DG384" s="47">
        <v>0</v>
      </c>
      <c r="DH384" s="47">
        <v>0</v>
      </c>
      <c r="DI384" s="47">
        <v>0</v>
      </c>
      <c r="DJ384" s="47">
        <v>0</v>
      </c>
      <c r="DK384" s="47">
        <v>0</v>
      </c>
      <c r="DL384" s="47">
        <v>0</v>
      </c>
      <c r="DM384" s="47">
        <v>0</v>
      </c>
      <c r="DN384" s="47">
        <v>0</v>
      </c>
      <c r="DO384" s="47">
        <v>0</v>
      </c>
      <c r="DP384" s="47">
        <v>0</v>
      </c>
      <c r="DQ384" s="47">
        <v>0</v>
      </c>
      <c r="DR384" s="47">
        <v>0</v>
      </c>
      <c r="DS384" s="47">
        <v>0</v>
      </c>
      <c r="DT384" s="47">
        <v>0</v>
      </c>
    </row>
    <row r="385" spans="1:126" x14ac:dyDescent="0.25">
      <c r="A385" s="47" t="s">
        <v>1857</v>
      </c>
      <c r="B385" s="47" t="s">
        <v>153</v>
      </c>
      <c r="C385" s="47" t="s">
        <v>1858</v>
      </c>
      <c r="D385" s="47" t="s">
        <v>1859</v>
      </c>
      <c r="E385" s="47" t="s">
        <v>1860</v>
      </c>
      <c r="F385" s="47" t="s">
        <v>698</v>
      </c>
      <c r="G385" s="47" t="s">
        <v>727</v>
      </c>
      <c r="H385" s="47" t="str">
        <f>=IFERROR(VLOOKUP(A385,'ETPT Format DDG'!A:J,10,FALSE),"")</f>
        <v>0</v>
      </c>
      <c r="I385" s="47" t="str">
        <f>='ETPT Format DDG'!M385</f>
        <v/>
      </c>
      <c r="J385" s="47" t="str">
        <f>='ETPT Format DDG'!D385</f>
        <v/>
      </c>
      <c r="K385" s="47" t="s">
        <v>157</v>
      </c>
      <c r="L385" s="47" t="s">
        <v>1861</v>
      </c>
      <c r="M385" s="47"/>
      <c r="N385" s="47">
        <v>0.9</v>
      </c>
      <c r="O385" s="47">
        <v>0</v>
      </c>
      <c r="P385" s="47">
        <v>0</v>
      </c>
      <c r="Q385" s="47">
        <v>0</v>
      </c>
      <c r="R385" s="47">
        <v>0</v>
      </c>
      <c r="S385" s="47">
        <v>0</v>
      </c>
      <c r="T385" s="47">
        <v>0</v>
      </c>
      <c r="U385" s="47">
        <v>0</v>
      </c>
      <c r="V385" s="47">
        <v>0</v>
      </c>
      <c r="W385" s="47">
        <v>0</v>
      </c>
      <c r="X385" s="47">
        <v>0</v>
      </c>
      <c r="Y385" s="47">
        <v>0</v>
      </c>
      <c r="Z385" s="47">
        <v>0</v>
      </c>
      <c r="AA385" s="47">
        <v>0</v>
      </c>
      <c r="AB385" s="47">
        <v>0</v>
      </c>
      <c r="AC385" s="47">
        <v>0</v>
      </c>
      <c r="AD385" s="47">
        <v>0</v>
      </c>
      <c r="AE385" s="47">
        <v>0</v>
      </c>
      <c r="AF385" s="47">
        <v>0</v>
      </c>
      <c r="AG385" s="47">
        <v>0</v>
      </c>
      <c r="AH385" s="47">
        <v>0</v>
      </c>
      <c r="AI385" s="47">
        <v>0</v>
      </c>
      <c r="AJ385" s="47">
        <v>0</v>
      </c>
      <c r="AK385" s="47">
        <v>0</v>
      </c>
      <c r="AL385" s="47">
        <v>0</v>
      </c>
      <c r="AM385" s="47">
        <v>0</v>
      </c>
      <c r="AN385" s="47">
        <v>0</v>
      </c>
      <c r="AO385" s="47">
        <v>0</v>
      </c>
      <c r="AP385" s="47">
        <v>0</v>
      </c>
      <c r="AQ385" s="47">
        <v>0</v>
      </c>
      <c r="AR385" s="47">
        <v>0</v>
      </c>
      <c r="AS385" s="47">
        <v>0</v>
      </c>
      <c r="AT385" s="47">
        <v>0</v>
      </c>
      <c r="AU385" s="47">
        <v>0</v>
      </c>
      <c r="AV385" s="47">
        <v>0</v>
      </c>
      <c r="AW385" s="47">
        <v>0</v>
      </c>
      <c r="AX385" s="47">
        <v>0</v>
      </c>
      <c r="AY385" s="47">
        <v>0</v>
      </c>
      <c r="AZ385" s="47">
        <v>0</v>
      </c>
      <c r="BA385" s="47">
        <v>0</v>
      </c>
      <c r="BB385" s="47">
        <v>0</v>
      </c>
      <c r="BC385" s="47">
        <v>0</v>
      </c>
      <c r="BD385" s="47">
        <v>0</v>
      </c>
      <c r="BE385" s="47">
        <v>0</v>
      </c>
      <c r="BF385" s="47">
        <v>0</v>
      </c>
      <c r="BG385" s="47">
        <v>0</v>
      </c>
      <c r="BH385" s="47">
        <v>0</v>
      </c>
      <c r="BI385" s="47">
        <v>0</v>
      </c>
      <c r="BJ385" s="47">
        <v>0</v>
      </c>
      <c r="BK385" s="47">
        <v>0</v>
      </c>
      <c r="BL385" s="47">
        <v>0</v>
      </c>
      <c r="BM385" s="47">
        <v>0</v>
      </c>
      <c r="BN385" s="47">
        <v>0</v>
      </c>
      <c r="BO385" s="47">
        <v>0</v>
      </c>
      <c r="BP385" s="47">
        <v>0</v>
      </c>
      <c r="BQ385" s="47">
        <v>0</v>
      </c>
      <c r="BR385" s="47">
        <v>0</v>
      </c>
      <c r="BS385" s="47">
        <v>0</v>
      </c>
      <c r="BT385" s="47">
        <v>0</v>
      </c>
      <c r="BU385" s="47">
        <v>0</v>
      </c>
      <c r="BV385" s="47">
        <v>0</v>
      </c>
      <c r="BW385" s="47">
        <v>0</v>
      </c>
      <c r="BX385" s="47">
        <v>0</v>
      </c>
      <c r="BY385" s="47">
        <v>0</v>
      </c>
      <c r="BZ385" s="47">
        <v>0</v>
      </c>
      <c r="CA385" s="47">
        <v>0</v>
      </c>
      <c r="CB385" s="47">
        <v>0</v>
      </c>
      <c r="CC385" s="47">
        <v>0</v>
      </c>
      <c r="CD385" s="47">
        <v>0</v>
      </c>
      <c r="CE385" s="47">
        <v>0</v>
      </c>
      <c r="CF385" s="47">
        <v>0</v>
      </c>
      <c r="CG385" s="47">
        <v>0</v>
      </c>
      <c r="CH385" s="47">
        <v>0</v>
      </c>
      <c r="CI385" s="47">
        <v>0</v>
      </c>
      <c r="CJ385" s="47">
        <v>0</v>
      </c>
      <c r="CK385" s="47">
        <v>0</v>
      </c>
      <c r="CL385" s="47">
        <v>0</v>
      </c>
      <c r="CM385" s="47">
        <v>0</v>
      </c>
      <c r="CN385" s="47">
        <v>0</v>
      </c>
      <c r="CO385" s="47">
        <v>0</v>
      </c>
      <c r="CP385" s="47">
        <v>0</v>
      </c>
      <c r="CQ385" s="47">
        <v>0</v>
      </c>
      <c r="CR385" s="47">
        <v>0</v>
      </c>
      <c r="CS385" s="47">
        <v>0</v>
      </c>
      <c r="CT385" s="47">
        <v>0</v>
      </c>
      <c r="CU385" s="47">
        <v>0</v>
      </c>
      <c r="CV385" s="47">
        <v>0</v>
      </c>
      <c r="CW385" s="47">
        <v>0</v>
      </c>
      <c r="CX385" s="47">
        <v>0</v>
      </c>
      <c r="CY385" s="47">
        <v>0</v>
      </c>
      <c r="CZ385" s="47">
        <v>0</v>
      </c>
      <c r="DA385" s="47">
        <v>0</v>
      </c>
      <c r="DB385" s="47">
        <v>0</v>
      </c>
      <c r="DC385" s="47">
        <v>0</v>
      </c>
      <c r="DD385" s="47">
        <v>0</v>
      </c>
      <c r="DE385" s="47">
        <v>0</v>
      </c>
      <c r="DF385" s="47">
        <v>0</v>
      </c>
      <c r="DG385" s="47">
        <v>0</v>
      </c>
      <c r="DH385" s="47">
        <v>0</v>
      </c>
      <c r="DI385" s="47">
        <v>0</v>
      </c>
      <c r="DJ385" s="47">
        <v>0</v>
      </c>
      <c r="DK385" s="47">
        <v>0</v>
      </c>
      <c r="DL385" s="47">
        <v>0</v>
      </c>
      <c r="DM385" s="47">
        <v>0</v>
      </c>
      <c r="DN385" s="47">
        <v>0</v>
      </c>
      <c r="DO385" s="47">
        <v>0</v>
      </c>
      <c r="DP385" s="47">
        <v>0</v>
      </c>
      <c r="DQ385" s="47">
        <v>0</v>
      </c>
      <c r="DR385" s="47">
        <v>0</v>
      </c>
      <c r="DS385" s="47">
        <v>0</v>
      </c>
      <c r="DT385" s="47">
        <v>0</v>
      </c>
    </row>
    <row r="386" spans="1:126" x14ac:dyDescent="0.25">
      <c r="A386" s="47" t="s">
        <v>1862</v>
      </c>
      <c r="B386" s="47" t="s">
        <v>153</v>
      </c>
      <c r="C386" s="47" t="s">
        <v>1863</v>
      </c>
      <c r="D386" s="47" t="s">
        <v>1864</v>
      </c>
      <c r="E386" s="47" t="s">
        <v>1865</v>
      </c>
      <c r="F386" s="47" t="s">
        <v>698</v>
      </c>
      <c r="G386" s="47" t="s">
        <v>727</v>
      </c>
      <c r="H386" s="47" t="str">
        <f>=IFERROR(VLOOKUP(A386,'ETPT Format DDG'!A:J,10,FALSE),"")</f>
        <v>0</v>
      </c>
      <c r="I386" s="47" t="str">
        <f>='ETPT Format DDG'!M386</f>
        <v/>
      </c>
      <c r="J386" s="47" t="str">
        <f>='ETPT Format DDG'!D386</f>
        <v/>
      </c>
      <c r="K386" s="47" t="s">
        <v>157</v>
      </c>
      <c r="L386" s="47" t="s">
        <v>175</v>
      </c>
      <c r="M386" s="47"/>
      <c r="N386" s="47">
        <v>1</v>
      </c>
      <c r="O386" s="47">
        <v>0</v>
      </c>
      <c r="P386" s="47">
        <v>0</v>
      </c>
      <c r="Q386" s="47">
        <v>0</v>
      </c>
      <c r="R386" s="47">
        <v>0</v>
      </c>
      <c r="S386" s="47">
        <v>0</v>
      </c>
      <c r="T386" s="47">
        <v>0</v>
      </c>
      <c r="U386" s="47">
        <v>0</v>
      </c>
      <c r="V386" s="47">
        <v>0</v>
      </c>
      <c r="W386" s="47">
        <v>0</v>
      </c>
      <c r="X386" s="47">
        <v>0</v>
      </c>
      <c r="Y386" s="47">
        <v>0</v>
      </c>
      <c r="Z386" s="47">
        <v>0</v>
      </c>
      <c r="AA386" s="47">
        <v>0</v>
      </c>
      <c r="AB386" s="47">
        <v>0</v>
      </c>
      <c r="AC386" s="47">
        <v>0</v>
      </c>
      <c r="AD386" s="47">
        <v>0</v>
      </c>
      <c r="AE386" s="47">
        <v>0</v>
      </c>
      <c r="AF386" s="47">
        <v>0</v>
      </c>
      <c r="AG386" s="47">
        <v>0</v>
      </c>
      <c r="AH386" s="47">
        <v>0</v>
      </c>
      <c r="AI386" s="47">
        <v>0</v>
      </c>
      <c r="AJ386" s="47">
        <v>0</v>
      </c>
      <c r="AK386" s="47">
        <v>0</v>
      </c>
      <c r="AL386" s="47">
        <v>0</v>
      </c>
      <c r="AM386" s="47">
        <v>0</v>
      </c>
      <c r="AN386" s="47">
        <v>0</v>
      </c>
      <c r="AO386" s="47">
        <v>0</v>
      </c>
      <c r="AP386" s="47">
        <v>0</v>
      </c>
      <c r="AQ386" s="47">
        <v>0</v>
      </c>
      <c r="AR386" s="47">
        <v>0</v>
      </c>
      <c r="AS386" s="47">
        <v>0</v>
      </c>
      <c r="AT386" s="47">
        <v>0</v>
      </c>
      <c r="AU386" s="47">
        <v>0</v>
      </c>
      <c r="AV386" s="47">
        <v>0</v>
      </c>
      <c r="AW386" s="47">
        <v>0</v>
      </c>
      <c r="AX386" s="47">
        <v>0</v>
      </c>
      <c r="AY386" s="47">
        <v>0</v>
      </c>
      <c r="AZ386" s="47">
        <v>0</v>
      </c>
      <c r="BA386" s="47">
        <v>0</v>
      </c>
      <c r="BB386" s="47">
        <v>0</v>
      </c>
      <c r="BC386" s="47">
        <v>0</v>
      </c>
      <c r="BD386" s="47">
        <v>0</v>
      </c>
      <c r="BE386" s="47">
        <v>0</v>
      </c>
      <c r="BF386" s="47">
        <v>0</v>
      </c>
      <c r="BG386" s="47">
        <v>0</v>
      </c>
      <c r="BH386" s="47">
        <v>0</v>
      </c>
      <c r="BI386" s="47">
        <v>0</v>
      </c>
      <c r="BJ386" s="47">
        <v>0</v>
      </c>
      <c r="BK386" s="47">
        <v>0</v>
      </c>
      <c r="BL386" s="47">
        <v>0</v>
      </c>
      <c r="BM386" s="47">
        <v>0</v>
      </c>
      <c r="BN386" s="47">
        <v>0</v>
      </c>
      <c r="BO386" s="47">
        <v>0</v>
      </c>
      <c r="BP386" s="47">
        <v>0</v>
      </c>
      <c r="BQ386" s="47">
        <v>0</v>
      </c>
      <c r="BR386" s="47">
        <v>0</v>
      </c>
      <c r="BS386" s="47">
        <v>0</v>
      </c>
      <c r="BT386" s="47">
        <v>0</v>
      </c>
      <c r="BU386" s="47">
        <v>0</v>
      </c>
      <c r="BV386" s="47">
        <v>0</v>
      </c>
      <c r="BW386" s="47">
        <v>0</v>
      </c>
      <c r="BX386" s="47">
        <v>0</v>
      </c>
      <c r="BY386" s="47">
        <v>0</v>
      </c>
      <c r="BZ386" s="47">
        <v>0</v>
      </c>
      <c r="CA386" s="47">
        <v>0</v>
      </c>
      <c r="CB386" s="47">
        <v>0</v>
      </c>
      <c r="CC386" s="47">
        <v>0</v>
      </c>
      <c r="CD386" s="47">
        <v>0</v>
      </c>
      <c r="CE386" s="47">
        <v>0</v>
      </c>
      <c r="CF386" s="47">
        <v>0</v>
      </c>
      <c r="CG386" s="47">
        <v>0</v>
      </c>
      <c r="CH386" s="47">
        <v>0</v>
      </c>
      <c r="CI386" s="47">
        <v>0</v>
      </c>
      <c r="CJ386" s="47">
        <v>0</v>
      </c>
      <c r="CK386" s="47">
        <v>0</v>
      </c>
      <c r="CL386" s="47">
        <v>0</v>
      </c>
      <c r="CM386" s="47">
        <v>0</v>
      </c>
      <c r="CN386" s="47">
        <v>0</v>
      </c>
      <c r="CO386" s="47">
        <v>0</v>
      </c>
      <c r="CP386" s="47">
        <v>0</v>
      </c>
      <c r="CQ386" s="47">
        <v>0</v>
      </c>
      <c r="CR386" s="47">
        <v>0</v>
      </c>
      <c r="CS386" s="47">
        <v>0</v>
      </c>
      <c r="CT386" s="47">
        <v>0</v>
      </c>
      <c r="CU386" s="47">
        <v>0</v>
      </c>
      <c r="CV386" s="47">
        <v>0</v>
      </c>
      <c r="CW386" s="47">
        <v>0</v>
      </c>
      <c r="CX386" s="47">
        <v>0</v>
      </c>
      <c r="CY386" s="47">
        <v>0</v>
      </c>
      <c r="CZ386" s="47">
        <v>0</v>
      </c>
      <c r="DA386" s="47">
        <v>0</v>
      </c>
      <c r="DB386" s="47">
        <v>0</v>
      </c>
      <c r="DC386" s="47">
        <v>0</v>
      </c>
      <c r="DD386" s="47">
        <v>0</v>
      </c>
      <c r="DE386" s="47">
        <v>0</v>
      </c>
      <c r="DF386" s="47">
        <v>0</v>
      </c>
      <c r="DG386" s="47">
        <v>0</v>
      </c>
      <c r="DH386" s="47">
        <v>0</v>
      </c>
      <c r="DI386" s="47">
        <v>0</v>
      </c>
      <c r="DJ386" s="47">
        <v>0</v>
      </c>
      <c r="DK386" s="47">
        <v>0</v>
      </c>
      <c r="DL386" s="47">
        <v>0</v>
      </c>
      <c r="DM386" s="47">
        <v>0</v>
      </c>
      <c r="DN386" s="47">
        <v>0</v>
      </c>
      <c r="DO386" s="47">
        <v>0</v>
      </c>
      <c r="DP386" s="47">
        <v>0</v>
      </c>
      <c r="DQ386" s="47">
        <v>0</v>
      </c>
      <c r="DR386" s="47">
        <v>0</v>
      </c>
      <c r="DS386" s="47">
        <v>0</v>
      </c>
      <c r="DT386" s="47">
        <v>0</v>
      </c>
    </row>
    <row r="387" spans="1:126" x14ac:dyDescent="0.25">
      <c r="A387" s="47" t="s">
        <v>1866</v>
      </c>
      <c r="B387" s="47" t="s">
        <v>153</v>
      </c>
      <c r="C387" s="47" t="s">
        <v>1867</v>
      </c>
      <c r="D387" s="47" t="s">
        <v>1868</v>
      </c>
      <c r="E387" s="47" t="s">
        <v>1869</v>
      </c>
      <c r="F387" s="47" t="s">
        <v>698</v>
      </c>
      <c r="G387" s="47" t="s">
        <v>705</v>
      </c>
      <c r="H387" s="47" t="str">
        <f>=IFERROR(VLOOKUP(A387,'ETPT Format DDG'!A:J,10,FALSE),"")</f>
        <v>0</v>
      </c>
      <c r="I387" s="47" t="str">
        <f>='ETPT Format DDG'!M387</f>
        <v/>
      </c>
      <c r="J387" s="47" t="str">
        <f>='ETPT Format DDG'!D387</f>
        <v/>
      </c>
      <c r="K387" s="47" t="s">
        <v>157</v>
      </c>
      <c r="L387" s="47" t="s">
        <v>722</v>
      </c>
      <c r="M387" s="47"/>
      <c r="N387" s="47">
        <v>1</v>
      </c>
      <c r="O387" s="47">
        <v>0</v>
      </c>
      <c r="P387" s="47">
        <v>0</v>
      </c>
      <c r="Q387" s="47">
        <v>0</v>
      </c>
      <c r="R387" s="47">
        <v>0</v>
      </c>
      <c r="S387" s="47">
        <v>0</v>
      </c>
      <c r="T387" s="47">
        <v>0</v>
      </c>
      <c r="U387" s="47">
        <v>0</v>
      </c>
      <c r="V387" s="47">
        <v>0</v>
      </c>
      <c r="W387" s="47">
        <v>0</v>
      </c>
      <c r="X387" s="47">
        <v>0</v>
      </c>
      <c r="Y387" s="47">
        <v>0</v>
      </c>
      <c r="Z387" s="47">
        <v>0</v>
      </c>
      <c r="AA387" s="47">
        <v>0</v>
      </c>
      <c r="AB387" s="47">
        <v>0</v>
      </c>
      <c r="AC387" s="47">
        <v>0</v>
      </c>
      <c r="AD387" s="47">
        <v>0</v>
      </c>
      <c r="AE387" s="47">
        <v>0</v>
      </c>
      <c r="AF387" s="47">
        <v>0</v>
      </c>
      <c r="AG387" s="47">
        <v>0</v>
      </c>
      <c r="AH387" s="47">
        <v>0</v>
      </c>
      <c r="AI387" s="47">
        <v>0</v>
      </c>
      <c r="AJ387" s="47">
        <v>0</v>
      </c>
      <c r="AK387" s="47">
        <v>0</v>
      </c>
      <c r="AL387" s="47">
        <v>0</v>
      </c>
      <c r="AM387" s="47">
        <v>0</v>
      </c>
      <c r="AN387" s="47">
        <v>0</v>
      </c>
      <c r="AO387" s="47">
        <v>0</v>
      </c>
      <c r="AP387" s="47">
        <v>0</v>
      </c>
      <c r="AQ387" s="47">
        <v>0</v>
      </c>
      <c r="AR387" s="47">
        <v>0</v>
      </c>
      <c r="AS387" s="47">
        <v>0</v>
      </c>
      <c r="AT387" s="47">
        <v>0</v>
      </c>
      <c r="AU387" s="47">
        <v>0</v>
      </c>
      <c r="AV387" s="47">
        <v>0</v>
      </c>
      <c r="AW387" s="47">
        <v>0</v>
      </c>
      <c r="AX387" s="47">
        <v>0</v>
      </c>
      <c r="AY387" s="47">
        <v>0</v>
      </c>
      <c r="AZ387" s="47">
        <v>0</v>
      </c>
      <c r="BA387" s="47">
        <v>0</v>
      </c>
      <c r="BB387" s="47">
        <v>0</v>
      </c>
      <c r="BC387" s="47">
        <v>0</v>
      </c>
      <c r="BD387" s="47">
        <v>0</v>
      </c>
      <c r="BE387" s="47">
        <v>0</v>
      </c>
      <c r="BF387" s="47">
        <v>0</v>
      </c>
      <c r="BG387" s="47">
        <v>0</v>
      </c>
      <c r="BH387" s="47">
        <v>0</v>
      </c>
      <c r="BI387" s="47">
        <v>0</v>
      </c>
      <c r="BJ387" s="47">
        <v>0</v>
      </c>
      <c r="BK387" s="47">
        <v>0</v>
      </c>
      <c r="BL387" s="47">
        <v>0</v>
      </c>
      <c r="BM387" s="47">
        <v>0</v>
      </c>
      <c r="BN387" s="47">
        <v>0</v>
      </c>
      <c r="BO387" s="47">
        <v>0</v>
      </c>
      <c r="BP387" s="47">
        <v>0</v>
      </c>
      <c r="BQ387" s="47">
        <v>0</v>
      </c>
      <c r="BR387" s="47">
        <v>0</v>
      </c>
      <c r="BS387" s="47">
        <v>0</v>
      </c>
      <c r="BT387" s="47">
        <v>0</v>
      </c>
      <c r="BU387" s="47">
        <v>0</v>
      </c>
      <c r="BV387" s="47">
        <v>0</v>
      </c>
      <c r="BW387" s="47">
        <v>0</v>
      </c>
      <c r="BX387" s="47">
        <v>0</v>
      </c>
      <c r="BY387" s="47">
        <v>0</v>
      </c>
      <c r="BZ387" s="47">
        <v>0</v>
      </c>
      <c r="CA387" s="47">
        <v>0</v>
      </c>
      <c r="CB387" s="47">
        <v>0</v>
      </c>
      <c r="CC387" s="47">
        <v>0</v>
      </c>
      <c r="CD387" s="47">
        <v>0</v>
      </c>
      <c r="CE387" s="47">
        <v>0</v>
      </c>
      <c r="CF387" s="47">
        <v>0</v>
      </c>
      <c r="CG387" s="47">
        <v>0</v>
      </c>
      <c r="CH387" s="47">
        <v>0</v>
      </c>
      <c r="CI387" s="47">
        <v>0</v>
      </c>
      <c r="CJ387" s="47">
        <v>0</v>
      </c>
      <c r="CK387" s="47">
        <v>0</v>
      </c>
      <c r="CL387" s="47">
        <v>0</v>
      </c>
      <c r="CM387" s="47">
        <v>0</v>
      </c>
      <c r="CN387" s="47">
        <v>0</v>
      </c>
      <c r="CO387" s="47">
        <v>0</v>
      </c>
      <c r="CP387" s="47">
        <v>0</v>
      </c>
      <c r="CQ387" s="47">
        <v>0</v>
      </c>
      <c r="CR387" s="47">
        <v>0</v>
      </c>
      <c r="CS387" s="47">
        <v>0</v>
      </c>
      <c r="CT387" s="47">
        <v>0</v>
      </c>
      <c r="CU387" s="47">
        <v>0</v>
      </c>
      <c r="CV387" s="47">
        <v>0</v>
      </c>
      <c r="CW387" s="47">
        <v>0</v>
      </c>
      <c r="CX387" s="47">
        <v>0</v>
      </c>
      <c r="CY387" s="47">
        <v>0</v>
      </c>
      <c r="CZ387" s="47">
        <v>0</v>
      </c>
      <c r="DA387" s="47">
        <v>0</v>
      </c>
      <c r="DB387" s="47">
        <v>0</v>
      </c>
      <c r="DC387" s="47">
        <v>0</v>
      </c>
      <c r="DD387" s="47">
        <v>0</v>
      </c>
      <c r="DE387" s="47">
        <v>0</v>
      </c>
      <c r="DF387" s="47">
        <v>0</v>
      </c>
      <c r="DG387" s="47">
        <v>0</v>
      </c>
      <c r="DH387" s="47">
        <v>0</v>
      </c>
      <c r="DI387" s="47">
        <v>0</v>
      </c>
      <c r="DJ387" s="47">
        <v>0</v>
      </c>
      <c r="DK387" s="47">
        <v>0</v>
      </c>
      <c r="DL387" s="47">
        <v>0</v>
      </c>
      <c r="DM387" s="47">
        <v>0</v>
      </c>
      <c r="DN387" s="47">
        <v>0</v>
      </c>
      <c r="DO387" s="47">
        <v>0</v>
      </c>
      <c r="DP387" s="47">
        <v>0</v>
      </c>
      <c r="DQ387" s="47">
        <v>0</v>
      </c>
      <c r="DR387" s="47">
        <v>0</v>
      </c>
      <c r="DS387" s="47">
        <v>0</v>
      </c>
      <c r="DT387" s="47">
        <v>0</v>
      </c>
    </row>
    <row r="388" spans="1:126" x14ac:dyDescent="0.25">
      <c r="A388" s="47" t="s">
        <v>1870</v>
      </c>
      <c r="B388" s="47" t="s">
        <v>153</v>
      </c>
      <c r="C388" s="47" t="s">
        <v>1871</v>
      </c>
      <c r="D388" s="47" t="s">
        <v>1872</v>
      </c>
      <c r="E388" s="47" t="s">
        <v>1873</v>
      </c>
      <c r="F388" s="47" t="s">
        <v>698</v>
      </c>
      <c r="G388" s="47" t="s">
        <v>727</v>
      </c>
      <c r="H388" s="47" t="str">
        <f>=IFERROR(VLOOKUP(A388,'ETPT Format DDG'!A:J,10,FALSE),"")</f>
        <v>0</v>
      </c>
      <c r="I388" s="47" t="str">
        <f>='ETPT Format DDG'!M388</f>
        <v/>
      </c>
      <c r="J388" s="47" t="str">
        <f>='ETPT Format DDG'!D388</f>
        <v/>
      </c>
      <c r="K388" s="47" t="s">
        <v>157</v>
      </c>
      <c r="L388" s="47" t="s">
        <v>1053</v>
      </c>
      <c r="M388" s="47"/>
      <c r="N388" s="47">
        <v>1</v>
      </c>
      <c r="O388" s="47">
        <v>1</v>
      </c>
      <c r="P388" s="47">
        <v>0</v>
      </c>
      <c r="Q388" s="47">
        <v>0</v>
      </c>
      <c r="R388" s="47">
        <v>0</v>
      </c>
      <c r="S388" s="47">
        <v>0</v>
      </c>
      <c r="T388" s="47">
        <v>0</v>
      </c>
      <c r="U388" s="47">
        <v>0</v>
      </c>
      <c r="V388" s="47">
        <v>0</v>
      </c>
      <c r="W388" s="47">
        <v>0</v>
      </c>
      <c r="X388" s="47">
        <v>0</v>
      </c>
      <c r="Y388" s="47">
        <v>0</v>
      </c>
      <c r="Z388" s="47">
        <v>0</v>
      </c>
      <c r="AA388" s="47">
        <v>0</v>
      </c>
      <c r="AB388" s="47">
        <v>0</v>
      </c>
      <c r="AC388" s="47">
        <v>0</v>
      </c>
      <c r="AD388" s="47">
        <v>0</v>
      </c>
      <c r="AE388" s="47">
        <v>0</v>
      </c>
      <c r="AF388" s="47">
        <v>0</v>
      </c>
      <c r="AG388" s="47">
        <v>0</v>
      </c>
      <c r="AH388" s="47">
        <v>0</v>
      </c>
      <c r="AI388" s="47">
        <v>0</v>
      </c>
      <c r="AJ388" s="47">
        <v>0</v>
      </c>
      <c r="AK388" s="47">
        <v>0</v>
      </c>
      <c r="AL388" s="47">
        <v>0</v>
      </c>
      <c r="AM388" s="47">
        <v>0</v>
      </c>
      <c r="AN388" s="47">
        <v>1</v>
      </c>
      <c r="AO388" s="47">
        <v>0</v>
      </c>
      <c r="AP388" s="47">
        <v>0</v>
      </c>
      <c r="AQ388" s="47">
        <v>0</v>
      </c>
      <c r="AR388" s="47">
        <v>0</v>
      </c>
      <c r="AS388" s="47">
        <v>0</v>
      </c>
      <c r="AT388" s="47">
        <v>0</v>
      </c>
      <c r="AU388" s="47">
        <v>0</v>
      </c>
      <c r="AV388" s="47">
        <v>0</v>
      </c>
      <c r="AW388" s="47">
        <v>0</v>
      </c>
      <c r="AX388" s="47">
        <v>0</v>
      </c>
      <c r="AY388" s="47">
        <v>0</v>
      </c>
      <c r="AZ388" s="47">
        <v>0</v>
      </c>
      <c r="BA388" s="47">
        <v>0</v>
      </c>
      <c r="BB388" s="47">
        <v>0</v>
      </c>
      <c r="BC388" s="47">
        <v>0</v>
      </c>
      <c r="BD388" s="47">
        <v>0</v>
      </c>
      <c r="BE388" s="47">
        <v>0</v>
      </c>
      <c r="BF388" s="47">
        <v>0</v>
      </c>
      <c r="BG388" s="47">
        <v>0</v>
      </c>
      <c r="BH388" s="47">
        <v>0</v>
      </c>
      <c r="BI388" s="47">
        <v>0</v>
      </c>
      <c r="BJ388" s="47">
        <v>0</v>
      </c>
      <c r="BK388" s="47">
        <v>0</v>
      </c>
      <c r="BL388" s="47">
        <v>0</v>
      </c>
      <c r="BM388" s="47">
        <v>0</v>
      </c>
      <c r="BN388" s="47">
        <v>0</v>
      </c>
      <c r="BO388" s="47">
        <v>0</v>
      </c>
      <c r="BP388" s="47">
        <v>0</v>
      </c>
      <c r="BQ388" s="47">
        <v>0</v>
      </c>
      <c r="BR388" s="47">
        <v>0</v>
      </c>
      <c r="BS388" s="47">
        <v>0</v>
      </c>
      <c r="BT388" s="47">
        <v>0</v>
      </c>
      <c r="BU388" s="47">
        <v>0</v>
      </c>
      <c r="BV388" s="47">
        <v>0</v>
      </c>
      <c r="BW388" s="47">
        <v>0</v>
      </c>
      <c r="BX388" s="47">
        <v>0</v>
      </c>
      <c r="BY388" s="47">
        <v>0</v>
      </c>
      <c r="BZ388" s="47">
        <v>0</v>
      </c>
      <c r="CA388" s="47">
        <v>0</v>
      </c>
      <c r="CB388" s="47">
        <v>0</v>
      </c>
      <c r="CC388" s="47">
        <v>0</v>
      </c>
      <c r="CD388" s="47">
        <v>0</v>
      </c>
      <c r="CE388" s="47">
        <v>0</v>
      </c>
      <c r="CF388" s="47">
        <v>0</v>
      </c>
      <c r="CG388" s="47">
        <v>0</v>
      </c>
      <c r="CH388" s="47">
        <v>0</v>
      </c>
      <c r="CI388" s="47">
        <v>0</v>
      </c>
      <c r="CJ388" s="47">
        <v>0</v>
      </c>
      <c r="CK388" s="47">
        <v>0</v>
      </c>
      <c r="CL388" s="47">
        <v>0</v>
      </c>
      <c r="CM388" s="47">
        <v>0</v>
      </c>
      <c r="CN388" s="47">
        <v>0</v>
      </c>
      <c r="CO388" s="47">
        <v>0</v>
      </c>
      <c r="CP388" s="47">
        <v>0</v>
      </c>
      <c r="CQ388" s="47">
        <v>0</v>
      </c>
      <c r="CR388" s="47">
        <v>0</v>
      </c>
      <c r="CS388" s="47">
        <v>0</v>
      </c>
      <c r="CT388" s="47">
        <v>0</v>
      </c>
      <c r="CU388" s="47">
        <v>0</v>
      </c>
      <c r="CV388" s="47">
        <v>0</v>
      </c>
      <c r="CW388" s="47">
        <v>0</v>
      </c>
      <c r="CX388" s="47">
        <v>0</v>
      </c>
      <c r="CY388" s="47">
        <v>0</v>
      </c>
      <c r="CZ388" s="47">
        <v>0</v>
      </c>
      <c r="DA388" s="47">
        <v>0</v>
      </c>
      <c r="DB388" s="47">
        <v>0</v>
      </c>
      <c r="DC388" s="47">
        <v>0</v>
      </c>
      <c r="DD388" s="47">
        <v>0</v>
      </c>
      <c r="DE388" s="47">
        <v>0</v>
      </c>
      <c r="DF388" s="47">
        <v>0</v>
      </c>
      <c r="DG388" s="47">
        <v>0</v>
      </c>
      <c r="DH388" s="47">
        <v>0</v>
      </c>
      <c r="DI388" s="47">
        <v>0</v>
      </c>
      <c r="DJ388" s="47">
        <v>0</v>
      </c>
      <c r="DK388" s="47">
        <v>0</v>
      </c>
      <c r="DL388" s="47">
        <v>0</v>
      </c>
      <c r="DM388" s="47">
        <v>0</v>
      </c>
      <c r="DN388" s="47">
        <v>0</v>
      </c>
      <c r="DO388" s="47">
        <v>0</v>
      </c>
      <c r="DP388" s="47">
        <v>0</v>
      </c>
      <c r="DQ388" s="47">
        <v>0</v>
      </c>
      <c r="DR388" s="47">
        <v>0</v>
      </c>
      <c r="DS388" s="47">
        <v>0</v>
      </c>
      <c r="DT388" s="47">
        <v>0</v>
      </c>
    </row>
    <row r="389" spans="1:126" x14ac:dyDescent="0.25">
      <c r="A389" s="47" t="s">
        <v>1874</v>
      </c>
      <c r="B389" s="47" t="s">
        <v>153</v>
      </c>
      <c r="C389" s="47" t="s">
        <v>1875</v>
      </c>
      <c r="D389" s="47" t="s">
        <v>1876</v>
      </c>
      <c r="E389" s="47" t="s">
        <v>1877</v>
      </c>
      <c r="F389" s="47" t="s">
        <v>698</v>
      </c>
      <c r="G389" s="47" t="s">
        <v>705</v>
      </c>
      <c r="H389" s="47" t="str">
        <f>=IFERROR(VLOOKUP(A389,'ETPT Format DDG'!A:J,10,FALSE),"")</f>
        <v>0</v>
      </c>
      <c r="I389" s="47" t="str">
        <f>='ETPT Format DDG'!M389</f>
        <v/>
      </c>
      <c r="J389" s="47" t="str">
        <f>='ETPT Format DDG'!D389</f>
        <v/>
      </c>
      <c r="K389" s="47" t="s">
        <v>157</v>
      </c>
      <c r="L389" s="47" t="s">
        <v>1878</v>
      </c>
      <c r="M389" s="47"/>
      <c r="N389" s="47">
        <v>1</v>
      </c>
      <c r="O389" s="47">
        <v>0</v>
      </c>
      <c r="P389" s="47">
        <v>0</v>
      </c>
      <c r="Q389" s="47">
        <v>0</v>
      </c>
      <c r="R389" s="47">
        <v>0</v>
      </c>
      <c r="S389" s="47">
        <v>0</v>
      </c>
      <c r="T389" s="47">
        <v>0</v>
      </c>
      <c r="U389" s="47">
        <v>0</v>
      </c>
      <c r="V389" s="47">
        <v>0</v>
      </c>
      <c r="W389" s="47">
        <v>0</v>
      </c>
      <c r="X389" s="47">
        <v>0</v>
      </c>
      <c r="Y389" s="47">
        <v>0</v>
      </c>
      <c r="Z389" s="47">
        <v>0</v>
      </c>
      <c r="AA389" s="47">
        <v>0</v>
      </c>
      <c r="AB389" s="47">
        <v>0</v>
      </c>
      <c r="AC389" s="47">
        <v>0</v>
      </c>
      <c r="AD389" s="47">
        <v>0</v>
      </c>
      <c r="AE389" s="47">
        <v>0</v>
      </c>
      <c r="AF389" s="47">
        <v>0</v>
      </c>
      <c r="AG389" s="47">
        <v>0</v>
      </c>
      <c r="AH389" s="47">
        <v>0</v>
      </c>
      <c r="AI389" s="47">
        <v>0</v>
      </c>
      <c r="AJ389" s="47">
        <v>0</v>
      </c>
      <c r="AK389" s="47">
        <v>0</v>
      </c>
      <c r="AL389" s="47">
        <v>0</v>
      </c>
      <c r="AM389" s="47">
        <v>0</v>
      </c>
      <c r="AN389" s="47">
        <v>0</v>
      </c>
      <c r="AO389" s="47">
        <v>0</v>
      </c>
      <c r="AP389" s="47">
        <v>0</v>
      </c>
      <c r="AQ389" s="47">
        <v>0</v>
      </c>
      <c r="AR389" s="47">
        <v>0</v>
      </c>
      <c r="AS389" s="47">
        <v>0</v>
      </c>
      <c r="AT389" s="47">
        <v>0</v>
      </c>
      <c r="AU389" s="47">
        <v>0</v>
      </c>
      <c r="AV389" s="47">
        <v>0</v>
      </c>
      <c r="AW389" s="47">
        <v>0</v>
      </c>
      <c r="AX389" s="47">
        <v>0</v>
      </c>
      <c r="AY389" s="47">
        <v>0</v>
      </c>
      <c r="AZ389" s="47">
        <v>0</v>
      </c>
      <c r="BA389" s="47">
        <v>0</v>
      </c>
      <c r="BB389" s="47">
        <v>0</v>
      </c>
      <c r="BC389" s="47">
        <v>0</v>
      </c>
      <c r="BD389" s="47">
        <v>0</v>
      </c>
      <c r="BE389" s="47">
        <v>0</v>
      </c>
      <c r="BF389" s="47">
        <v>0</v>
      </c>
      <c r="BG389" s="47">
        <v>0</v>
      </c>
      <c r="BH389" s="47">
        <v>0</v>
      </c>
      <c r="BI389" s="47">
        <v>0</v>
      </c>
      <c r="BJ389" s="47">
        <v>0</v>
      </c>
      <c r="BK389" s="47">
        <v>0</v>
      </c>
      <c r="BL389" s="47">
        <v>0</v>
      </c>
      <c r="BM389" s="47">
        <v>0</v>
      </c>
      <c r="BN389" s="47">
        <v>0</v>
      </c>
      <c r="BO389" s="47">
        <v>0</v>
      </c>
      <c r="BP389" s="47">
        <v>0</v>
      </c>
      <c r="BQ389" s="47">
        <v>0</v>
      </c>
      <c r="BR389" s="47">
        <v>0</v>
      </c>
      <c r="BS389" s="47">
        <v>0</v>
      </c>
      <c r="BT389" s="47">
        <v>0</v>
      </c>
      <c r="BU389" s="47">
        <v>0</v>
      </c>
      <c r="BV389" s="47">
        <v>0</v>
      </c>
      <c r="BW389" s="47">
        <v>0</v>
      </c>
      <c r="BX389" s="47">
        <v>0</v>
      </c>
      <c r="BY389" s="47">
        <v>0</v>
      </c>
      <c r="BZ389" s="47">
        <v>0</v>
      </c>
      <c r="CA389" s="47">
        <v>0</v>
      </c>
      <c r="CB389" s="47">
        <v>0</v>
      </c>
      <c r="CC389" s="47">
        <v>0</v>
      </c>
      <c r="CD389" s="47">
        <v>0</v>
      </c>
      <c r="CE389" s="47">
        <v>0</v>
      </c>
      <c r="CF389" s="47">
        <v>0</v>
      </c>
      <c r="CG389" s="47">
        <v>0</v>
      </c>
      <c r="CH389" s="47">
        <v>0</v>
      </c>
      <c r="CI389" s="47">
        <v>0</v>
      </c>
      <c r="CJ389" s="47">
        <v>0</v>
      </c>
      <c r="CK389" s="47">
        <v>0</v>
      </c>
      <c r="CL389" s="47">
        <v>0</v>
      </c>
      <c r="CM389" s="47">
        <v>0</v>
      </c>
      <c r="CN389" s="47">
        <v>0</v>
      </c>
      <c r="CO389" s="47">
        <v>0</v>
      </c>
      <c r="CP389" s="47">
        <v>0</v>
      </c>
      <c r="CQ389" s="47">
        <v>0</v>
      </c>
      <c r="CR389" s="47">
        <v>0</v>
      </c>
      <c r="CS389" s="47">
        <v>0</v>
      </c>
      <c r="CT389" s="47">
        <v>0</v>
      </c>
      <c r="CU389" s="47">
        <v>0</v>
      </c>
      <c r="CV389" s="47">
        <v>0</v>
      </c>
      <c r="CW389" s="47">
        <v>0</v>
      </c>
      <c r="CX389" s="47">
        <v>0</v>
      </c>
      <c r="CY389" s="47">
        <v>0</v>
      </c>
      <c r="CZ389" s="47">
        <v>0</v>
      </c>
      <c r="DA389" s="47">
        <v>0</v>
      </c>
      <c r="DB389" s="47">
        <v>0</v>
      </c>
      <c r="DC389" s="47">
        <v>0</v>
      </c>
      <c r="DD389" s="47">
        <v>0</v>
      </c>
      <c r="DE389" s="47">
        <v>0</v>
      </c>
      <c r="DF389" s="47">
        <v>0</v>
      </c>
      <c r="DG389" s="47">
        <v>0</v>
      </c>
      <c r="DH389" s="47">
        <v>0</v>
      </c>
      <c r="DI389" s="47">
        <v>0</v>
      </c>
      <c r="DJ389" s="47">
        <v>0</v>
      </c>
      <c r="DK389" s="47">
        <v>0</v>
      </c>
      <c r="DL389" s="47">
        <v>0</v>
      </c>
      <c r="DM389" s="47">
        <v>0</v>
      </c>
      <c r="DN389" s="47">
        <v>0</v>
      </c>
      <c r="DO389" s="47">
        <v>0</v>
      </c>
      <c r="DP389" s="47">
        <v>0</v>
      </c>
      <c r="DQ389" s="47">
        <v>0</v>
      </c>
      <c r="DR389" s="47">
        <v>0</v>
      </c>
      <c r="DS389" s="47">
        <v>0</v>
      </c>
      <c r="DT389" s="47">
        <v>0</v>
      </c>
    </row>
    <row r="390" spans="1:126" x14ac:dyDescent="0.25">
      <c r="A390" s="47" t="s">
        <v>1879</v>
      </c>
      <c r="B390" s="47" t="s">
        <v>153</v>
      </c>
      <c r="C390" s="47" t="s">
        <v>1880</v>
      </c>
      <c r="D390" s="47" t="s">
        <v>1881</v>
      </c>
      <c r="E390" s="47" t="s">
        <v>1882</v>
      </c>
      <c r="F390" s="47" t="s">
        <v>698</v>
      </c>
      <c r="G390" s="47" t="s">
        <v>705</v>
      </c>
      <c r="H390" s="47" t="str">
        <f>=IFERROR(VLOOKUP(A390,'ETPT Format DDG'!A:J,10,FALSE),"")</f>
        <v>0</v>
      </c>
      <c r="I390" s="47" t="str">
        <f>='ETPT Format DDG'!M390</f>
        <v/>
      </c>
      <c r="J390" s="47" t="str">
        <f>='ETPT Format DDG'!D390</f>
        <v/>
      </c>
      <c r="K390" s="47" t="s">
        <v>157</v>
      </c>
      <c r="L390" s="47" t="s">
        <v>1883</v>
      </c>
      <c r="M390" s="47"/>
      <c r="N390" s="47">
        <v>0.8</v>
      </c>
      <c r="O390" s="47">
        <v>0</v>
      </c>
      <c r="P390" s="47">
        <v>0</v>
      </c>
      <c r="Q390" s="47">
        <v>0</v>
      </c>
      <c r="R390" s="47">
        <v>0</v>
      </c>
      <c r="S390" s="47">
        <v>0</v>
      </c>
      <c r="T390" s="47">
        <v>0</v>
      </c>
      <c r="U390" s="47">
        <v>0</v>
      </c>
      <c r="V390" s="47">
        <v>0</v>
      </c>
      <c r="W390" s="47">
        <v>0</v>
      </c>
      <c r="X390" s="47">
        <v>0</v>
      </c>
      <c r="Y390" s="47">
        <v>0</v>
      </c>
      <c r="Z390" s="47">
        <v>0</v>
      </c>
      <c r="AA390" s="47">
        <v>0</v>
      </c>
      <c r="AB390" s="47">
        <v>0</v>
      </c>
      <c r="AC390" s="47">
        <v>0</v>
      </c>
      <c r="AD390" s="47">
        <v>0</v>
      </c>
      <c r="AE390" s="47">
        <v>0</v>
      </c>
      <c r="AF390" s="47">
        <v>0</v>
      </c>
      <c r="AG390" s="47">
        <v>0</v>
      </c>
      <c r="AH390" s="47">
        <v>0</v>
      </c>
      <c r="AI390" s="47">
        <v>0</v>
      </c>
      <c r="AJ390" s="47">
        <v>0</v>
      </c>
      <c r="AK390" s="47">
        <v>0</v>
      </c>
      <c r="AL390" s="47">
        <v>0</v>
      </c>
      <c r="AM390" s="47">
        <v>0</v>
      </c>
      <c r="AN390" s="47">
        <v>0</v>
      </c>
      <c r="AO390" s="47">
        <v>0</v>
      </c>
      <c r="AP390" s="47">
        <v>0</v>
      </c>
      <c r="AQ390" s="47">
        <v>0</v>
      </c>
      <c r="AR390" s="47">
        <v>0</v>
      </c>
      <c r="AS390" s="47">
        <v>0</v>
      </c>
      <c r="AT390" s="47">
        <v>0</v>
      </c>
      <c r="AU390" s="47">
        <v>0</v>
      </c>
      <c r="AV390" s="47">
        <v>0</v>
      </c>
      <c r="AW390" s="47">
        <v>0</v>
      </c>
      <c r="AX390" s="47">
        <v>0</v>
      </c>
      <c r="AY390" s="47">
        <v>0</v>
      </c>
      <c r="AZ390" s="47">
        <v>0</v>
      </c>
      <c r="BA390" s="47">
        <v>0</v>
      </c>
      <c r="BB390" s="47">
        <v>0</v>
      </c>
      <c r="BC390" s="47">
        <v>0</v>
      </c>
      <c r="BD390" s="47">
        <v>0</v>
      </c>
      <c r="BE390" s="47">
        <v>0</v>
      </c>
      <c r="BF390" s="47">
        <v>0</v>
      </c>
      <c r="BG390" s="47">
        <v>0</v>
      </c>
      <c r="BH390" s="47">
        <v>0</v>
      </c>
      <c r="BI390" s="47">
        <v>0</v>
      </c>
      <c r="BJ390" s="47">
        <v>0</v>
      </c>
      <c r="BK390" s="47">
        <v>0</v>
      </c>
      <c r="BL390" s="47">
        <v>0</v>
      </c>
      <c r="BM390" s="47">
        <v>0</v>
      </c>
      <c r="BN390" s="47">
        <v>0</v>
      </c>
      <c r="BO390" s="47">
        <v>0</v>
      </c>
      <c r="BP390" s="47">
        <v>0</v>
      </c>
      <c r="BQ390" s="47">
        <v>0</v>
      </c>
      <c r="BR390" s="47">
        <v>0</v>
      </c>
      <c r="BS390" s="47">
        <v>0</v>
      </c>
      <c r="BT390" s="47">
        <v>0</v>
      </c>
      <c r="BU390" s="47">
        <v>0</v>
      </c>
      <c r="BV390" s="47">
        <v>0</v>
      </c>
      <c r="BW390" s="47">
        <v>0</v>
      </c>
      <c r="BX390" s="47">
        <v>0</v>
      </c>
      <c r="BY390" s="47">
        <v>0</v>
      </c>
      <c r="BZ390" s="47">
        <v>0</v>
      </c>
      <c r="CA390" s="47">
        <v>0</v>
      </c>
      <c r="CB390" s="47">
        <v>0</v>
      </c>
      <c r="CC390" s="47">
        <v>0</v>
      </c>
      <c r="CD390" s="47">
        <v>0</v>
      </c>
      <c r="CE390" s="47">
        <v>0</v>
      </c>
      <c r="CF390" s="47">
        <v>0</v>
      </c>
      <c r="CG390" s="47">
        <v>0</v>
      </c>
      <c r="CH390" s="47">
        <v>0</v>
      </c>
      <c r="CI390" s="47">
        <v>0</v>
      </c>
      <c r="CJ390" s="47">
        <v>0</v>
      </c>
      <c r="CK390" s="47">
        <v>0</v>
      </c>
      <c r="CL390" s="47">
        <v>0</v>
      </c>
      <c r="CM390" s="47">
        <v>0</v>
      </c>
      <c r="CN390" s="47">
        <v>0</v>
      </c>
      <c r="CO390" s="47">
        <v>0</v>
      </c>
      <c r="CP390" s="47">
        <v>0</v>
      </c>
      <c r="CQ390" s="47">
        <v>0</v>
      </c>
      <c r="CR390" s="47">
        <v>0</v>
      </c>
      <c r="CS390" s="47">
        <v>0</v>
      </c>
      <c r="CT390" s="47">
        <v>0</v>
      </c>
      <c r="CU390" s="47">
        <v>0</v>
      </c>
      <c r="CV390" s="47">
        <v>0</v>
      </c>
      <c r="CW390" s="47">
        <v>0</v>
      </c>
      <c r="CX390" s="47">
        <v>0</v>
      </c>
      <c r="CY390" s="47">
        <v>0</v>
      </c>
      <c r="CZ390" s="47">
        <v>0</v>
      </c>
      <c r="DA390" s="47">
        <v>0</v>
      </c>
      <c r="DB390" s="47">
        <v>0</v>
      </c>
      <c r="DC390" s="47">
        <v>0</v>
      </c>
      <c r="DD390" s="47">
        <v>0</v>
      </c>
      <c r="DE390" s="47">
        <v>0</v>
      </c>
      <c r="DF390" s="47">
        <v>0</v>
      </c>
      <c r="DG390" s="47">
        <v>0</v>
      </c>
      <c r="DH390" s="47">
        <v>0</v>
      </c>
      <c r="DI390" s="47">
        <v>0</v>
      </c>
      <c r="DJ390" s="47">
        <v>0</v>
      </c>
      <c r="DK390" s="47">
        <v>0</v>
      </c>
      <c r="DL390" s="47">
        <v>0</v>
      </c>
      <c r="DM390" s="47">
        <v>0</v>
      </c>
      <c r="DN390" s="47">
        <v>0</v>
      </c>
      <c r="DO390" s="47">
        <v>0</v>
      </c>
      <c r="DP390" s="47">
        <v>0</v>
      </c>
      <c r="DQ390" s="47">
        <v>0</v>
      </c>
      <c r="DR390" s="47">
        <v>0</v>
      </c>
      <c r="DS390" s="47">
        <v>0</v>
      </c>
      <c r="DT390" s="47">
        <v>0</v>
      </c>
    </row>
    <row r="391" spans="1:126" x14ac:dyDescent="0.25">
      <c r="A391" s="47" t="s">
        <v>1884</v>
      </c>
      <c r="B391" s="47" t="s">
        <v>153</v>
      </c>
      <c r="C391" s="47" t="s">
        <v>1885</v>
      </c>
      <c r="D391" s="47" t="s">
        <v>1886</v>
      </c>
      <c r="E391" s="47" t="s">
        <v>1887</v>
      </c>
      <c r="F391" s="47" t="s">
        <v>698</v>
      </c>
      <c r="G391" s="47" t="s">
        <v>705</v>
      </c>
      <c r="H391" s="47" t="str">
        <f>=IFERROR(VLOOKUP(A391,'ETPT Format DDG'!A:J,10,FALSE),"")</f>
        <v>0</v>
      </c>
      <c r="I391" s="47" t="str">
        <f>='ETPT Format DDG'!M391</f>
        <v/>
      </c>
      <c r="J391" s="47" t="str">
        <f>='ETPT Format DDG'!D391</f>
        <v/>
      </c>
      <c r="K391" s="47" t="s">
        <v>157</v>
      </c>
      <c r="L391" s="47" t="s">
        <v>1888</v>
      </c>
      <c r="M391" s="47"/>
      <c r="N391" s="47">
        <v>1</v>
      </c>
      <c r="O391" s="47">
        <v>0</v>
      </c>
      <c r="P391" s="47">
        <v>0</v>
      </c>
      <c r="Q391" s="47">
        <v>0</v>
      </c>
      <c r="R391" s="47">
        <v>0</v>
      </c>
      <c r="S391" s="47">
        <v>0</v>
      </c>
      <c r="T391" s="47">
        <v>0</v>
      </c>
      <c r="U391" s="47">
        <v>0</v>
      </c>
      <c r="V391" s="47">
        <v>0</v>
      </c>
      <c r="W391" s="47">
        <v>0</v>
      </c>
      <c r="X391" s="47">
        <v>0</v>
      </c>
      <c r="Y391" s="47">
        <v>0</v>
      </c>
      <c r="Z391" s="47">
        <v>0</v>
      </c>
      <c r="AA391" s="47">
        <v>0</v>
      </c>
      <c r="AB391" s="47">
        <v>0</v>
      </c>
      <c r="AC391" s="47">
        <v>0</v>
      </c>
      <c r="AD391" s="47">
        <v>0</v>
      </c>
      <c r="AE391" s="47">
        <v>0</v>
      </c>
      <c r="AF391" s="47">
        <v>0</v>
      </c>
      <c r="AG391" s="47">
        <v>0</v>
      </c>
      <c r="AH391" s="47">
        <v>0</v>
      </c>
      <c r="AI391" s="47">
        <v>0</v>
      </c>
      <c r="AJ391" s="47">
        <v>0</v>
      </c>
      <c r="AK391" s="47">
        <v>0</v>
      </c>
      <c r="AL391" s="47">
        <v>0</v>
      </c>
      <c r="AM391" s="47">
        <v>0</v>
      </c>
      <c r="AN391" s="47">
        <v>0</v>
      </c>
      <c r="AO391" s="47">
        <v>0</v>
      </c>
      <c r="AP391" s="47">
        <v>0</v>
      </c>
      <c r="AQ391" s="47">
        <v>0</v>
      </c>
      <c r="AR391" s="47">
        <v>0</v>
      </c>
      <c r="AS391" s="47">
        <v>0</v>
      </c>
      <c r="AT391" s="47">
        <v>0</v>
      </c>
      <c r="AU391" s="47">
        <v>0</v>
      </c>
      <c r="AV391" s="47">
        <v>0</v>
      </c>
      <c r="AW391" s="47">
        <v>0</v>
      </c>
      <c r="AX391" s="47">
        <v>0</v>
      </c>
      <c r="AY391" s="47">
        <v>0</v>
      </c>
      <c r="AZ391" s="47">
        <v>0</v>
      </c>
      <c r="BA391" s="47">
        <v>0</v>
      </c>
      <c r="BB391" s="47">
        <v>0</v>
      </c>
      <c r="BC391" s="47">
        <v>0</v>
      </c>
      <c r="BD391" s="47">
        <v>0</v>
      </c>
      <c r="BE391" s="47">
        <v>0</v>
      </c>
      <c r="BF391" s="47">
        <v>0</v>
      </c>
      <c r="BG391" s="47">
        <v>0</v>
      </c>
      <c r="BH391" s="47">
        <v>0</v>
      </c>
      <c r="BI391" s="47">
        <v>0</v>
      </c>
      <c r="BJ391" s="47">
        <v>0</v>
      </c>
      <c r="BK391" s="47">
        <v>0</v>
      </c>
      <c r="BL391" s="47">
        <v>0</v>
      </c>
      <c r="BM391" s="47">
        <v>0</v>
      </c>
      <c r="BN391" s="47">
        <v>0</v>
      </c>
      <c r="BO391" s="47">
        <v>0</v>
      </c>
      <c r="BP391" s="47">
        <v>0</v>
      </c>
      <c r="BQ391" s="47">
        <v>0</v>
      </c>
      <c r="BR391" s="47">
        <v>0</v>
      </c>
      <c r="BS391" s="47">
        <v>0</v>
      </c>
      <c r="BT391" s="47">
        <v>0</v>
      </c>
      <c r="BU391" s="47">
        <v>0</v>
      </c>
      <c r="BV391" s="47">
        <v>0</v>
      </c>
      <c r="BW391" s="47">
        <v>0</v>
      </c>
      <c r="BX391" s="47">
        <v>0</v>
      </c>
      <c r="BY391" s="47">
        <v>0</v>
      </c>
      <c r="BZ391" s="47">
        <v>0</v>
      </c>
      <c r="CA391" s="47">
        <v>0</v>
      </c>
      <c r="CB391" s="47">
        <v>0</v>
      </c>
      <c r="CC391" s="47">
        <v>0</v>
      </c>
      <c r="CD391" s="47">
        <v>0</v>
      </c>
      <c r="CE391" s="47">
        <v>0</v>
      </c>
      <c r="CF391" s="47">
        <v>0</v>
      </c>
      <c r="CG391" s="47">
        <v>0</v>
      </c>
      <c r="CH391" s="47">
        <v>0</v>
      </c>
      <c r="CI391" s="47">
        <v>0</v>
      </c>
      <c r="CJ391" s="47">
        <v>0</v>
      </c>
      <c r="CK391" s="47">
        <v>0</v>
      </c>
      <c r="CL391" s="47">
        <v>0</v>
      </c>
      <c r="CM391" s="47">
        <v>0</v>
      </c>
      <c r="CN391" s="47">
        <v>0</v>
      </c>
      <c r="CO391" s="47">
        <v>0</v>
      </c>
      <c r="CP391" s="47">
        <v>0</v>
      </c>
      <c r="CQ391" s="47">
        <v>0</v>
      </c>
      <c r="CR391" s="47">
        <v>0</v>
      </c>
      <c r="CS391" s="47">
        <v>0</v>
      </c>
      <c r="CT391" s="47">
        <v>0</v>
      </c>
      <c r="CU391" s="47">
        <v>0</v>
      </c>
      <c r="CV391" s="47">
        <v>0</v>
      </c>
      <c r="CW391" s="47">
        <v>0</v>
      </c>
      <c r="CX391" s="47">
        <v>0</v>
      </c>
      <c r="CY391" s="47">
        <v>0</v>
      </c>
      <c r="CZ391" s="47">
        <v>0</v>
      </c>
      <c r="DA391" s="47">
        <v>0</v>
      </c>
      <c r="DB391" s="47">
        <v>0</v>
      </c>
      <c r="DC391" s="47">
        <v>0</v>
      </c>
      <c r="DD391" s="47">
        <v>0</v>
      </c>
      <c r="DE391" s="47">
        <v>0</v>
      </c>
      <c r="DF391" s="47">
        <v>0</v>
      </c>
      <c r="DG391" s="47">
        <v>0</v>
      </c>
      <c r="DH391" s="47">
        <v>0</v>
      </c>
      <c r="DI391" s="47">
        <v>0</v>
      </c>
      <c r="DJ391" s="47">
        <v>0</v>
      </c>
      <c r="DK391" s="47">
        <v>0</v>
      </c>
      <c r="DL391" s="47">
        <v>0</v>
      </c>
      <c r="DM391" s="47">
        <v>0</v>
      </c>
      <c r="DN391" s="47">
        <v>0</v>
      </c>
      <c r="DO391" s="47">
        <v>0</v>
      </c>
      <c r="DP391" s="47">
        <v>0</v>
      </c>
      <c r="DQ391" s="47">
        <v>0</v>
      </c>
      <c r="DR391" s="47">
        <v>0</v>
      </c>
      <c r="DS391" s="47">
        <v>0</v>
      </c>
      <c r="DT391" s="47">
        <v>0</v>
      </c>
    </row>
    <row r="392" spans="1:126" x14ac:dyDescent="0.25">
      <c r="A392" s="47" t="s">
        <v>1889</v>
      </c>
      <c r="B392" s="47" t="s">
        <v>153</v>
      </c>
      <c r="C392" s="47" t="s">
        <v>1890</v>
      </c>
      <c r="D392" s="47" t="s">
        <v>1891</v>
      </c>
      <c r="E392" s="47" t="s">
        <v>1892</v>
      </c>
      <c r="F392" s="47" t="s">
        <v>698</v>
      </c>
      <c r="G392" s="47" t="s">
        <v>705</v>
      </c>
      <c r="H392" s="47" t="str">
        <f>=IFERROR(VLOOKUP(A392,'ETPT Format DDG'!A:J,10,FALSE),"")</f>
        <v>0</v>
      </c>
      <c r="I392" s="47" t="str">
        <f>='ETPT Format DDG'!M392</f>
        <v/>
      </c>
      <c r="J392" s="47" t="str">
        <f>='ETPT Format DDG'!D392</f>
        <v/>
      </c>
      <c r="K392" s="47" t="s">
        <v>157</v>
      </c>
      <c r="L392" s="47" t="s">
        <v>1893</v>
      </c>
      <c r="M392" s="47"/>
      <c r="N392" s="47">
        <v>1</v>
      </c>
      <c r="O392" s="47">
        <v>0</v>
      </c>
      <c r="P392" s="47">
        <v>0</v>
      </c>
      <c r="Q392" s="47">
        <v>0</v>
      </c>
      <c r="R392" s="47">
        <v>0</v>
      </c>
      <c r="S392" s="47">
        <v>0</v>
      </c>
      <c r="T392" s="47">
        <v>0</v>
      </c>
      <c r="U392" s="47">
        <v>0</v>
      </c>
      <c r="V392" s="47">
        <v>0</v>
      </c>
      <c r="W392" s="47">
        <v>0</v>
      </c>
      <c r="X392" s="47">
        <v>0</v>
      </c>
      <c r="Y392" s="47">
        <v>0</v>
      </c>
      <c r="Z392" s="47">
        <v>0</v>
      </c>
      <c r="AA392" s="47">
        <v>0</v>
      </c>
      <c r="AB392" s="47">
        <v>0</v>
      </c>
      <c r="AC392" s="47">
        <v>0</v>
      </c>
      <c r="AD392" s="47">
        <v>0</v>
      </c>
      <c r="AE392" s="47">
        <v>0</v>
      </c>
      <c r="AF392" s="47">
        <v>0</v>
      </c>
      <c r="AG392" s="47">
        <v>0</v>
      </c>
      <c r="AH392" s="47">
        <v>0</v>
      </c>
      <c r="AI392" s="47">
        <v>0</v>
      </c>
      <c r="AJ392" s="47">
        <v>0</v>
      </c>
      <c r="AK392" s="47">
        <v>0</v>
      </c>
      <c r="AL392" s="47">
        <v>0</v>
      </c>
      <c r="AM392" s="47">
        <v>0</v>
      </c>
      <c r="AN392" s="47">
        <v>0</v>
      </c>
      <c r="AO392" s="47">
        <v>0</v>
      </c>
      <c r="AP392" s="47">
        <v>0</v>
      </c>
      <c r="AQ392" s="47">
        <v>0</v>
      </c>
      <c r="AR392" s="47">
        <v>0</v>
      </c>
      <c r="AS392" s="47">
        <v>0</v>
      </c>
      <c r="AT392" s="47">
        <v>0</v>
      </c>
      <c r="AU392" s="47">
        <v>0</v>
      </c>
      <c r="AV392" s="47">
        <v>0</v>
      </c>
      <c r="AW392" s="47">
        <v>0</v>
      </c>
      <c r="AX392" s="47">
        <v>0</v>
      </c>
      <c r="AY392" s="47">
        <v>0</v>
      </c>
      <c r="AZ392" s="47">
        <v>0</v>
      </c>
      <c r="BA392" s="47">
        <v>0</v>
      </c>
      <c r="BB392" s="47">
        <v>0</v>
      </c>
      <c r="BC392" s="47">
        <v>0</v>
      </c>
      <c r="BD392" s="47">
        <v>0</v>
      </c>
      <c r="BE392" s="47">
        <v>0</v>
      </c>
      <c r="BF392" s="47">
        <v>0</v>
      </c>
      <c r="BG392" s="47">
        <v>0</v>
      </c>
      <c r="BH392" s="47">
        <v>0</v>
      </c>
      <c r="BI392" s="47">
        <v>0</v>
      </c>
      <c r="BJ392" s="47">
        <v>0</v>
      </c>
      <c r="BK392" s="47">
        <v>0</v>
      </c>
      <c r="BL392" s="47">
        <v>0</v>
      </c>
      <c r="BM392" s="47">
        <v>0</v>
      </c>
      <c r="BN392" s="47">
        <v>0</v>
      </c>
      <c r="BO392" s="47">
        <v>0</v>
      </c>
      <c r="BP392" s="47">
        <v>0</v>
      </c>
      <c r="BQ392" s="47">
        <v>0</v>
      </c>
      <c r="BR392" s="47">
        <v>0</v>
      </c>
      <c r="BS392" s="47">
        <v>0</v>
      </c>
      <c r="BT392" s="47">
        <v>0</v>
      </c>
      <c r="BU392" s="47">
        <v>0</v>
      </c>
      <c r="BV392" s="47">
        <v>0</v>
      </c>
      <c r="BW392" s="47">
        <v>0</v>
      </c>
      <c r="BX392" s="47">
        <v>0</v>
      </c>
      <c r="BY392" s="47">
        <v>0</v>
      </c>
      <c r="BZ392" s="47">
        <v>0</v>
      </c>
      <c r="CA392" s="47">
        <v>0</v>
      </c>
      <c r="CB392" s="47">
        <v>0</v>
      </c>
      <c r="CC392" s="47">
        <v>0</v>
      </c>
      <c r="CD392" s="47">
        <v>0</v>
      </c>
      <c r="CE392" s="47">
        <v>0</v>
      </c>
      <c r="CF392" s="47">
        <v>0</v>
      </c>
      <c r="CG392" s="47">
        <v>0</v>
      </c>
      <c r="CH392" s="47">
        <v>0</v>
      </c>
      <c r="CI392" s="47">
        <v>0</v>
      </c>
      <c r="CJ392" s="47">
        <v>0</v>
      </c>
      <c r="CK392" s="47">
        <v>0</v>
      </c>
      <c r="CL392" s="47">
        <v>0</v>
      </c>
      <c r="CM392" s="47">
        <v>0</v>
      </c>
      <c r="CN392" s="47">
        <v>0</v>
      </c>
      <c r="CO392" s="47">
        <v>0</v>
      </c>
      <c r="CP392" s="47">
        <v>0</v>
      </c>
      <c r="CQ392" s="47">
        <v>0</v>
      </c>
      <c r="CR392" s="47">
        <v>0</v>
      </c>
      <c r="CS392" s="47">
        <v>0</v>
      </c>
      <c r="CT392" s="47">
        <v>0</v>
      </c>
      <c r="CU392" s="47">
        <v>0</v>
      </c>
      <c r="CV392" s="47">
        <v>0</v>
      </c>
      <c r="CW392" s="47">
        <v>0</v>
      </c>
      <c r="CX392" s="47">
        <v>0</v>
      </c>
      <c r="CY392" s="47">
        <v>0</v>
      </c>
      <c r="CZ392" s="47">
        <v>0</v>
      </c>
      <c r="DA392" s="47">
        <v>0</v>
      </c>
      <c r="DB392" s="47">
        <v>0</v>
      </c>
      <c r="DC392" s="47">
        <v>0</v>
      </c>
      <c r="DD392" s="47">
        <v>0</v>
      </c>
      <c r="DE392" s="47">
        <v>0</v>
      </c>
      <c r="DF392" s="47">
        <v>0</v>
      </c>
      <c r="DG392" s="47">
        <v>0</v>
      </c>
      <c r="DH392" s="47">
        <v>0</v>
      </c>
      <c r="DI392" s="47">
        <v>0</v>
      </c>
      <c r="DJ392" s="47">
        <v>0</v>
      </c>
      <c r="DK392" s="47">
        <v>0</v>
      </c>
      <c r="DL392" s="47">
        <v>0</v>
      </c>
      <c r="DM392" s="47">
        <v>0</v>
      </c>
      <c r="DN392" s="47">
        <v>0</v>
      </c>
      <c r="DO392" s="47">
        <v>0</v>
      </c>
      <c r="DP392" s="47">
        <v>0</v>
      </c>
      <c r="DQ392" s="47">
        <v>0</v>
      </c>
      <c r="DR392" s="47">
        <v>0</v>
      </c>
      <c r="DS392" s="47">
        <v>0</v>
      </c>
      <c r="DT392" s="47">
        <v>0</v>
      </c>
    </row>
    <row r="393" spans="1:126" x14ac:dyDescent="0.25">
      <c r="A393" s="47" t="s">
        <v>1894</v>
      </c>
      <c r="B393" s="47" t="s">
        <v>153</v>
      </c>
      <c r="C393" s="47" t="s">
        <v>1895</v>
      </c>
      <c r="D393" s="47" t="s">
        <v>1896</v>
      </c>
      <c r="E393" s="47" t="s">
        <v>1897</v>
      </c>
      <c r="F393" s="47" t="s">
        <v>698</v>
      </c>
      <c r="G393" s="47" t="s">
        <v>1832</v>
      </c>
      <c r="H393" s="47" t="str">
        <f>=IFERROR(VLOOKUP(A393,'ETPT Format DDG'!A:J,10,FALSE),"")</f>
        <v>0</v>
      </c>
      <c r="I393" s="47" t="str">
        <f>='ETPT Format DDG'!M393</f>
        <v/>
      </c>
      <c r="J393" s="47" t="str">
        <f>='ETPT Format DDG'!D393</f>
        <v/>
      </c>
      <c r="K393" s="47" t="s">
        <v>157</v>
      </c>
      <c r="L393" s="47" t="s">
        <v>1898</v>
      </c>
      <c r="M393" s="47"/>
      <c r="N393" s="47">
        <v>0.6</v>
      </c>
      <c r="O393" s="47">
        <v>0.6</v>
      </c>
      <c r="P393" s="47">
        <v>0</v>
      </c>
      <c r="Q393" s="47">
        <v>0</v>
      </c>
      <c r="R393" s="47">
        <v>0</v>
      </c>
      <c r="S393" s="47">
        <v>0</v>
      </c>
      <c r="T393" s="47">
        <v>0</v>
      </c>
      <c r="U393" s="47">
        <v>0</v>
      </c>
      <c r="V393" s="47">
        <v>0</v>
      </c>
      <c r="W393" s="47">
        <v>0</v>
      </c>
      <c r="X393" s="47">
        <v>0</v>
      </c>
      <c r="Y393" s="47">
        <v>0</v>
      </c>
      <c r="Z393" s="47">
        <v>0</v>
      </c>
      <c r="AA393" s="47">
        <v>0</v>
      </c>
      <c r="AB393" s="47">
        <v>0</v>
      </c>
      <c r="AC393" s="47">
        <v>0</v>
      </c>
      <c r="AD393" s="47">
        <v>0</v>
      </c>
      <c r="AE393" s="47">
        <v>0.6</v>
      </c>
      <c r="AF393" s="47">
        <v>0.6</v>
      </c>
      <c r="AG393" s="47">
        <v>0</v>
      </c>
      <c r="AH393" s="47">
        <v>0</v>
      </c>
      <c r="AI393" s="47">
        <v>0</v>
      </c>
      <c r="AJ393" s="47">
        <v>0</v>
      </c>
      <c r="AK393" s="47">
        <v>0</v>
      </c>
      <c r="AL393" s="47">
        <v>0</v>
      </c>
      <c r="AM393" s="47">
        <v>0</v>
      </c>
      <c r="AN393" s="47">
        <v>0</v>
      </c>
      <c r="AO393" s="47">
        <v>0</v>
      </c>
      <c r="AP393" s="47">
        <v>0</v>
      </c>
      <c r="AQ393" s="47">
        <v>0</v>
      </c>
      <c r="AR393" s="47">
        <v>0</v>
      </c>
      <c r="AS393" s="47">
        <v>0</v>
      </c>
      <c r="AT393" s="47">
        <v>0</v>
      </c>
      <c r="AU393" s="47">
        <v>0</v>
      </c>
      <c r="AV393" s="47">
        <v>0</v>
      </c>
      <c r="AW393" s="47">
        <v>0</v>
      </c>
      <c r="AX393" s="47">
        <v>0</v>
      </c>
      <c r="AY393" s="47">
        <v>0</v>
      </c>
      <c r="AZ393" s="47">
        <v>0</v>
      </c>
      <c r="BA393" s="47">
        <v>0</v>
      </c>
      <c r="BB393" s="47">
        <v>0</v>
      </c>
      <c r="BC393" s="47">
        <v>0</v>
      </c>
      <c r="BD393" s="47">
        <v>0</v>
      </c>
      <c r="BE393" s="47">
        <v>0</v>
      </c>
      <c r="BF393" s="47">
        <v>0</v>
      </c>
      <c r="BG393" s="47">
        <v>0</v>
      </c>
      <c r="BH393" s="47">
        <v>0</v>
      </c>
      <c r="BI393" s="47">
        <v>0</v>
      </c>
      <c r="BJ393" s="47">
        <v>0</v>
      </c>
      <c r="BK393" s="47">
        <v>0</v>
      </c>
      <c r="BL393" s="47">
        <v>0</v>
      </c>
      <c r="BM393" s="47">
        <v>0</v>
      </c>
      <c r="BN393" s="47">
        <v>0</v>
      </c>
      <c r="BO393" s="47">
        <v>0</v>
      </c>
      <c r="BP393" s="47">
        <v>0</v>
      </c>
      <c r="BQ393" s="47">
        <v>0</v>
      </c>
      <c r="BR393" s="47">
        <v>0</v>
      </c>
      <c r="BS393" s="47">
        <v>0</v>
      </c>
      <c r="BT393" s="47">
        <v>0</v>
      </c>
      <c r="BU393" s="47">
        <v>0</v>
      </c>
      <c r="BV393" s="47">
        <v>0</v>
      </c>
      <c r="BW393" s="47">
        <v>0</v>
      </c>
      <c r="BX393" s="47">
        <v>0</v>
      </c>
      <c r="BY393" s="47">
        <v>0</v>
      </c>
      <c r="BZ393" s="47">
        <v>0</v>
      </c>
      <c r="CA393" s="47">
        <v>0</v>
      </c>
      <c r="CB393" s="47">
        <v>0</v>
      </c>
      <c r="CC393" s="47">
        <v>0</v>
      </c>
      <c r="CD393" s="47">
        <v>0</v>
      </c>
      <c r="CE393" s="47">
        <v>0</v>
      </c>
      <c r="CF393" s="47">
        <v>0</v>
      </c>
      <c r="CG393" s="47">
        <v>0</v>
      </c>
      <c r="CH393" s="47">
        <v>0</v>
      </c>
      <c r="CI393" s="47">
        <v>0</v>
      </c>
      <c r="CJ393" s="47">
        <v>0</v>
      </c>
      <c r="CK393" s="47">
        <v>0</v>
      </c>
      <c r="CL393" s="47">
        <v>0</v>
      </c>
      <c r="CM393" s="47">
        <v>0</v>
      </c>
      <c r="CN393" s="47">
        <v>0</v>
      </c>
      <c r="CO393" s="47">
        <v>0</v>
      </c>
      <c r="CP393" s="47">
        <v>0</v>
      </c>
      <c r="CQ393" s="47">
        <v>0</v>
      </c>
      <c r="CR393" s="47">
        <v>0</v>
      </c>
      <c r="CS393" s="47">
        <v>0</v>
      </c>
      <c r="CT393" s="47">
        <v>0</v>
      </c>
      <c r="CU393" s="47">
        <v>0</v>
      </c>
      <c r="CV393" s="47">
        <v>0</v>
      </c>
      <c r="CW393" s="47">
        <v>0</v>
      </c>
      <c r="CX393" s="47">
        <v>0</v>
      </c>
      <c r="CY393" s="47">
        <v>0</v>
      </c>
      <c r="CZ393" s="47">
        <v>0</v>
      </c>
      <c r="DA393" s="47">
        <v>0</v>
      </c>
      <c r="DB393" s="47">
        <v>0</v>
      </c>
      <c r="DC393" s="47">
        <v>0</v>
      </c>
      <c r="DD393" s="47">
        <v>0</v>
      </c>
      <c r="DE393" s="47">
        <v>0</v>
      </c>
      <c r="DF393" s="47">
        <v>0</v>
      </c>
      <c r="DG393" s="47">
        <v>0</v>
      </c>
      <c r="DH393" s="47">
        <v>0</v>
      </c>
      <c r="DI393" s="47">
        <v>0</v>
      </c>
      <c r="DJ393" s="47">
        <v>0</v>
      </c>
      <c r="DK393" s="47">
        <v>0</v>
      </c>
      <c r="DL393" s="47">
        <v>0</v>
      </c>
      <c r="DM393" s="47">
        <v>0</v>
      </c>
      <c r="DN393" s="47">
        <v>0</v>
      </c>
      <c r="DO393" s="47">
        <v>0</v>
      </c>
      <c r="DP393" s="47">
        <v>0</v>
      </c>
      <c r="DQ393" s="47">
        <v>0</v>
      </c>
      <c r="DR393" s="47">
        <v>0</v>
      </c>
      <c r="DS393" s="47">
        <v>0</v>
      </c>
      <c r="DT393" s="47">
        <v>0</v>
      </c>
    </row>
    <row r="394" spans="1:126" x14ac:dyDescent="0.25">
      <c r="A394" s="47" t="s">
        <v>1899</v>
      </c>
      <c r="B394" s="47" t="s">
        <v>153</v>
      </c>
      <c r="C394" s="47" t="s">
        <v>1900</v>
      </c>
      <c r="D394" s="47" t="s">
        <v>1901</v>
      </c>
      <c r="E394" s="47" t="s">
        <v>1902</v>
      </c>
      <c r="F394" s="47" t="s">
        <v>698</v>
      </c>
      <c r="G394" s="47" t="s">
        <v>821</v>
      </c>
      <c r="H394" s="47" t="str">
        <f>=IFERROR(VLOOKUP(A394,'ETPT Format DDG'!A:J,10,FALSE),"")</f>
        <v>0</v>
      </c>
      <c r="I394" s="47" t="str">
        <f>='ETPT Format DDG'!M394</f>
        <v/>
      </c>
      <c r="J394" s="47" t="str">
        <f>='ETPT Format DDG'!D394</f>
        <v/>
      </c>
      <c r="K394" s="47" t="s">
        <v>157</v>
      </c>
      <c r="L394" s="47" t="s">
        <v>836</v>
      </c>
      <c r="M394" s="47"/>
      <c r="N394" s="47">
        <v>0.8</v>
      </c>
      <c r="O394" s="47">
        <v>0.8</v>
      </c>
      <c r="P394" s="47">
        <v>0.8</v>
      </c>
      <c r="Q394" s="47">
        <v>0</v>
      </c>
      <c r="R394" s="47">
        <v>0</v>
      </c>
      <c r="S394" s="47">
        <v>0</v>
      </c>
      <c r="T394" s="47">
        <v>0</v>
      </c>
      <c r="U394" s="47">
        <v>0</v>
      </c>
      <c r="V394" s="47">
        <v>0</v>
      </c>
      <c r="W394" s="47">
        <v>0</v>
      </c>
      <c r="X394" s="47">
        <v>0</v>
      </c>
      <c r="Y394" s="47">
        <v>0</v>
      </c>
      <c r="Z394" s="47">
        <v>0</v>
      </c>
      <c r="AA394" s="47">
        <v>0</v>
      </c>
      <c r="AB394" s="47">
        <v>0</v>
      </c>
      <c r="AC394" s="47">
        <v>0</v>
      </c>
      <c r="AD394" s="47">
        <v>0</v>
      </c>
      <c r="AE394" s="47">
        <v>0</v>
      </c>
      <c r="AF394" s="47">
        <v>0</v>
      </c>
      <c r="AG394" s="47">
        <v>0</v>
      </c>
      <c r="AH394" s="47">
        <v>0</v>
      </c>
      <c r="AI394" s="47">
        <v>0</v>
      </c>
      <c r="AJ394" s="47">
        <v>0</v>
      </c>
      <c r="AK394" s="47">
        <v>0</v>
      </c>
      <c r="AL394" s="47">
        <v>0</v>
      </c>
      <c r="AM394" s="47">
        <v>0</v>
      </c>
      <c r="AN394" s="47">
        <v>0</v>
      </c>
      <c r="AO394" s="47">
        <v>0</v>
      </c>
      <c r="AP394" s="47">
        <v>0</v>
      </c>
      <c r="AQ394" s="47">
        <v>0</v>
      </c>
      <c r="AR394" s="47">
        <v>0</v>
      </c>
      <c r="AS394" s="47">
        <v>0</v>
      </c>
      <c r="AT394" s="47">
        <v>0</v>
      </c>
      <c r="AU394" s="47">
        <v>0</v>
      </c>
      <c r="AV394" s="47">
        <v>0</v>
      </c>
      <c r="AW394" s="47">
        <v>0</v>
      </c>
      <c r="AX394" s="47">
        <v>0</v>
      </c>
      <c r="AY394" s="47">
        <v>0</v>
      </c>
      <c r="AZ394" s="47">
        <v>0</v>
      </c>
      <c r="BA394" s="47">
        <v>0</v>
      </c>
      <c r="BB394" s="47">
        <v>0</v>
      </c>
      <c r="BC394" s="47">
        <v>0</v>
      </c>
      <c r="BD394" s="47">
        <v>0</v>
      </c>
      <c r="BE394" s="47">
        <v>0</v>
      </c>
      <c r="BF394" s="47">
        <v>0</v>
      </c>
      <c r="BG394" s="47">
        <v>0</v>
      </c>
      <c r="BH394" s="47">
        <v>0</v>
      </c>
      <c r="BI394" s="47">
        <v>0</v>
      </c>
      <c r="BJ394" s="47">
        <v>0</v>
      </c>
      <c r="BK394" s="47">
        <v>0</v>
      </c>
      <c r="BL394" s="47">
        <v>0</v>
      </c>
      <c r="BM394" s="47">
        <v>0</v>
      </c>
      <c r="BN394" s="47">
        <v>0</v>
      </c>
      <c r="BO394" s="47">
        <v>0</v>
      </c>
      <c r="BP394" s="47">
        <v>0</v>
      </c>
      <c r="BQ394" s="47">
        <v>0</v>
      </c>
      <c r="BR394" s="47">
        <v>0</v>
      </c>
      <c r="BS394" s="47">
        <v>0</v>
      </c>
      <c r="BT394" s="47">
        <v>0</v>
      </c>
      <c r="BU394" s="47">
        <v>0</v>
      </c>
      <c r="BV394" s="47">
        <v>0</v>
      </c>
      <c r="BW394" s="47">
        <v>0</v>
      </c>
      <c r="BX394" s="47">
        <v>0</v>
      </c>
      <c r="BY394" s="47">
        <v>0</v>
      </c>
      <c r="BZ394" s="47">
        <v>0</v>
      </c>
      <c r="CA394" s="47">
        <v>0</v>
      </c>
      <c r="CB394" s="47">
        <v>0</v>
      </c>
      <c r="CC394" s="47">
        <v>0</v>
      </c>
      <c r="CD394" s="47">
        <v>0</v>
      </c>
      <c r="CE394" s="47">
        <v>0</v>
      </c>
      <c r="CF394" s="47">
        <v>0</v>
      </c>
      <c r="CG394" s="47">
        <v>0</v>
      </c>
      <c r="CH394" s="47">
        <v>0</v>
      </c>
      <c r="CI394" s="47">
        <v>0</v>
      </c>
      <c r="CJ394" s="47">
        <v>0</v>
      </c>
      <c r="CK394" s="47">
        <v>0</v>
      </c>
      <c r="CL394" s="47">
        <v>0</v>
      </c>
      <c r="CM394" s="47">
        <v>0</v>
      </c>
      <c r="CN394" s="47">
        <v>0</v>
      </c>
      <c r="CO394" s="47">
        <v>0</v>
      </c>
      <c r="CP394" s="47">
        <v>0</v>
      </c>
      <c r="CQ394" s="47">
        <v>0</v>
      </c>
      <c r="CR394" s="47">
        <v>0</v>
      </c>
      <c r="CS394" s="47">
        <v>0</v>
      </c>
      <c r="CT394" s="47">
        <v>0</v>
      </c>
      <c r="CU394" s="47">
        <v>0</v>
      </c>
      <c r="CV394" s="47">
        <v>0</v>
      </c>
      <c r="CW394" s="47">
        <v>0</v>
      </c>
      <c r="CX394" s="47">
        <v>0</v>
      </c>
      <c r="CY394" s="47">
        <v>0</v>
      </c>
      <c r="CZ394" s="47">
        <v>0</v>
      </c>
      <c r="DA394" s="47">
        <v>0</v>
      </c>
      <c r="DB394" s="47">
        <v>0</v>
      </c>
      <c r="DC394" s="47">
        <v>0</v>
      </c>
      <c r="DD394" s="47">
        <v>0</v>
      </c>
      <c r="DE394" s="47">
        <v>0</v>
      </c>
      <c r="DF394" s="47">
        <v>0</v>
      </c>
      <c r="DG394" s="47">
        <v>0</v>
      </c>
      <c r="DH394" s="47">
        <v>0</v>
      </c>
      <c r="DI394" s="47">
        <v>0</v>
      </c>
      <c r="DJ394" s="47">
        <v>0</v>
      </c>
      <c r="DK394" s="47">
        <v>0</v>
      </c>
      <c r="DL394" s="47">
        <v>0</v>
      </c>
      <c r="DM394" s="47">
        <v>0</v>
      </c>
      <c r="DN394" s="47">
        <v>0</v>
      </c>
      <c r="DO394" s="47">
        <v>0</v>
      </c>
      <c r="DP394" s="47">
        <v>0</v>
      </c>
      <c r="DQ394" s="47">
        <v>0</v>
      </c>
      <c r="DR394" s="47">
        <v>0</v>
      </c>
      <c r="DS394" s="47">
        <v>0</v>
      </c>
      <c r="DT394" s="47">
        <v>0</v>
      </c>
    </row>
    <row r="395" spans="1:126" x14ac:dyDescent="0.25">
      <c r="A395" s="47" t="s">
        <v>1903</v>
      </c>
      <c r="B395" s="47" t="s">
        <v>153</v>
      </c>
      <c r="C395" s="47" t="s">
        <v>1904</v>
      </c>
      <c r="D395" s="47" t="s">
        <v>1905</v>
      </c>
      <c r="E395" s="47" t="s">
        <v>1906</v>
      </c>
      <c r="F395" s="47" t="s">
        <v>698</v>
      </c>
      <c r="G395" s="47" t="s">
        <v>727</v>
      </c>
      <c r="H395" s="47" t="str">
        <f>=IFERROR(VLOOKUP(A395,'ETPT Format DDG'!A:J,10,FALSE),"")</f>
        <v>0</v>
      </c>
      <c r="I395" s="47" t="str">
        <f>='ETPT Format DDG'!M395</f>
        <v/>
      </c>
      <c r="J395" s="47" t="str">
        <f>='ETPT Format DDG'!D395</f>
        <v/>
      </c>
      <c r="K395" s="47" t="s">
        <v>157</v>
      </c>
      <c r="L395" s="47" t="s">
        <v>916</v>
      </c>
      <c r="M395" s="47"/>
      <c r="N395" s="47">
        <v>0.8</v>
      </c>
      <c r="O395" s="47">
        <v>0.8</v>
      </c>
      <c r="P395" s="47">
        <v>0</v>
      </c>
      <c r="Q395" s="47">
        <v>0</v>
      </c>
      <c r="R395" s="47">
        <v>0</v>
      </c>
      <c r="S395" s="47">
        <v>0</v>
      </c>
      <c r="T395" s="47">
        <v>0</v>
      </c>
      <c r="U395" s="47">
        <v>0</v>
      </c>
      <c r="V395" s="47">
        <v>0</v>
      </c>
      <c r="W395" s="47">
        <v>0</v>
      </c>
      <c r="X395" s="47">
        <v>0</v>
      </c>
      <c r="Y395" s="47">
        <v>0</v>
      </c>
      <c r="Z395" s="47">
        <v>0</v>
      </c>
      <c r="AA395" s="47">
        <v>0</v>
      </c>
      <c r="AB395" s="47">
        <v>0</v>
      </c>
      <c r="AC395" s="47">
        <v>0</v>
      </c>
      <c r="AD395" s="47">
        <v>0</v>
      </c>
      <c r="AE395" s="47">
        <v>0</v>
      </c>
      <c r="AF395" s="47">
        <v>0</v>
      </c>
      <c r="AG395" s="47">
        <v>0</v>
      </c>
      <c r="AH395" s="47">
        <v>0</v>
      </c>
      <c r="AI395" s="47">
        <v>0</v>
      </c>
      <c r="AJ395" s="47">
        <v>0</v>
      </c>
      <c r="AK395" s="47">
        <v>0</v>
      </c>
      <c r="AL395" s="47">
        <v>0</v>
      </c>
      <c r="AM395" s="47">
        <v>0</v>
      </c>
      <c r="AN395" s="47">
        <v>0</v>
      </c>
      <c r="AO395" s="47">
        <v>0</v>
      </c>
      <c r="AP395" s="47">
        <v>0</v>
      </c>
      <c r="AQ395" s="47">
        <v>0</v>
      </c>
      <c r="AR395" s="47">
        <v>0</v>
      </c>
      <c r="AS395" s="47">
        <v>0</v>
      </c>
      <c r="AT395" s="47">
        <v>0</v>
      </c>
      <c r="AU395" s="47">
        <v>0</v>
      </c>
      <c r="AV395" s="47">
        <v>0</v>
      </c>
      <c r="AW395" s="47">
        <v>0</v>
      </c>
      <c r="AX395" s="47">
        <v>0</v>
      </c>
      <c r="AY395" s="47">
        <v>0</v>
      </c>
      <c r="AZ395" s="47">
        <v>0</v>
      </c>
      <c r="BA395" s="47">
        <v>0</v>
      </c>
      <c r="BB395" s="47">
        <v>0</v>
      </c>
      <c r="BC395" s="47">
        <v>0</v>
      </c>
      <c r="BD395" s="47">
        <v>0</v>
      </c>
      <c r="BE395" s="47">
        <v>0</v>
      </c>
      <c r="BF395" s="47">
        <v>0</v>
      </c>
      <c r="BG395" s="47">
        <v>0</v>
      </c>
      <c r="BH395" s="47">
        <v>0</v>
      </c>
      <c r="BI395" s="47">
        <v>0</v>
      </c>
      <c r="BJ395" s="47">
        <v>0</v>
      </c>
      <c r="BK395" s="47">
        <v>0</v>
      </c>
      <c r="BL395" s="47">
        <v>0</v>
      </c>
      <c r="BM395" s="47">
        <v>0</v>
      </c>
      <c r="BN395" s="47">
        <v>0</v>
      </c>
      <c r="BO395" s="47">
        <v>0</v>
      </c>
      <c r="BP395" s="47">
        <v>0</v>
      </c>
      <c r="BQ395" s="47">
        <v>0</v>
      </c>
      <c r="BR395" s="47">
        <v>0</v>
      </c>
      <c r="BS395" s="47">
        <v>0</v>
      </c>
      <c r="BT395" s="47">
        <v>0</v>
      </c>
      <c r="BU395" s="47">
        <v>0</v>
      </c>
      <c r="BV395" s="47">
        <v>0</v>
      </c>
      <c r="BW395" s="47">
        <v>0</v>
      </c>
      <c r="BX395" s="47">
        <v>0</v>
      </c>
      <c r="BY395" s="47">
        <v>0</v>
      </c>
      <c r="BZ395" s="47">
        <v>0</v>
      </c>
      <c r="CA395" s="47">
        <v>0</v>
      </c>
      <c r="CB395" s="47">
        <v>0</v>
      </c>
      <c r="CC395" s="47">
        <v>0</v>
      </c>
      <c r="CD395" s="47">
        <v>0</v>
      </c>
      <c r="CE395" s="47">
        <v>0</v>
      </c>
      <c r="CF395" s="47">
        <v>0.8</v>
      </c>
      <c r="CG395" s="47">
        <v>0</v>
      </c>
      <c r="CH395" s="47">
        <v>0</v>
      </c>
      <c r="CI395" s="47">
        <v>0</v>
      </c>
      <c r="CJ395" s="47">
        <v>0</v>
      </c>
      <c r="CK395" s="47">
        <v>0</v>
      </c>
      <c r="CL395" s="47">
        <v>0</v>
      </c>
      <c r="CM395" s="47">
        <v>0</v>
      </c>
      <c r="CN395" s="47">
        <v>0</v>
      </c>
      <c r="CO395" s="47">
        <v>0</v>
      </c>
      <c r="CP395" s="47">
        <v>0</v>
      </c>
      <c r="CQ395" s="47">
        <v>0</v>
      </c>
      <c r="CR395" s="47">
        <v>0</v>
      </c>
      <c r="CS395" s="47">
        <v>0</v>
      </c>
      <c r="CT395" s="47">
        <v>0</v>
      </c>
      <c r="CU395" s="47">
        <v>0</v>
      </c>
      <c r="CV395" s="47">
        <v>0</v>
      </c>
      <c r="CW395" s="47">
        <v>0</v>
      </c>
      <c r="CX395" s="47">
        <v>0</v>
      </c>
      <c r="CY395" s="47">
        <v>0</v>
      </c>
      <c r="CZ395" s="47">
        <v>0</v>
      </c>
      <c r="DA395" s="47">
        <v>0</v>
      </c>
      <c r="DB395" s="47">
        <v>0</v>
      </c>
      <c r="DC395" s="47">
        <v>0</v>
      </c>
      <c r="DD395" s="47">
        <v>0</v>
      </c>
      <c r="DE395" s="47">
        <v>0</v>
      </c>
      <c r="DF395" s="47">
        <v>0</v>
      </c>
      <c r="DG395" s="47">
        <v>0</v>
      </c>
      <c r="DH395" s="47">
        <v>0</v>
      </c>
      <c r="DI395" s="47">
        <v>0</v>
      </c>
      <c r="DJ395" s="47">
        <v>0</v>
      </c>
      <c r="DK395" s="47">
        <v>0</v>
      </c>
      <c r="DL395" s="47">
        <v>0</v>
      </c>
      <c r="DM395" s="47">
        <v>0</v>
      </c>
      <c r="DN395" s="47">
        <v>0</v>
      </c>
      <c r="DO395" s="47">
        <v>0</v>
      </c>
      <c r="DP395" s="47">
        <v>0</v>
      </c>
      <c r="DQ395" s="47">
        <v>0</v>
      </c>
      <c r="DR395" s="47">
        <v>0</v>
      </c>
      <c r="DS395" s="47">
        <v>0</v>
      </c>
      <c r="DT395" s="47">
        <v>0</v>
      </c>
    </row>
    <row r="396" spans="1:126" x14ac:dyDescent="0.25">
      <c r="A396" s="47" t="s">
        <v>1907</v>
      </c>
      <c r="B396" s="47" t="s">
        <v>153</v>
      </c>
      <c r="C396" s="47" t="s">
        <v>1908</v>
      </c>
      <c r="D396" s="47" t="s">
        <v>1909</v>
      </c>
      <c r="E396" s="47" t="s">
        <v>1910</v>
      </c>
      <c r="F396" s="47" t="s">
        <v>698</v>
      </c>
      <c r="G396" s="47" t="s">
        <v>705</v>
      </c>
      <c r="H396" s="47" t="str">
        <f>=IFERROR(VLOOKUP(A396,'ETPT Format DDG'!A:J,10,FALSE),"")</f>
        <v>0</v>
      </c>
      <c r="I396" s="47" t="str">
        <f>='ETPT Format DDG'!M396</f>
        <v/>
      </c>
      <c r="J396" s="47" t="str">
        <f>='ETPT Format DDG'!D396</f>
        <v/>
      </c>
      <c r="K396" s="47" t="s">
        <v>157</v>
      </c>
      <c r="L396" s="47" t="s">
        <v>722</v>
      </c>
      <c r="M396" s="47"/>
      <c r="N396" s="47">
        <v>1</v>
      </c>
      <c r="O396" s="47">
        <v>1</v>
      </c>
      <c r="P396" s="47">
        <v>0</v>
      </c>
      <c r="Q396" s="47">
        <v>0</v>
      </c>
      <c r="R396" s="47">
        <v>0</v>
      </c>
      <c r="S396" s="47">
        <v>0</v>
      </c>
      <c r="T396" s="47">
        <v>0</v>
      </c>
      <c r="U396" s="47">
        <v>0</v>
      </c>
      <c r="V396" s="47">
        <v>0</v>
      </c>
      <c r="W396" s="47">
        <v>0</v>
      </c>
      <c r="X396" s="47">
        <v>0</v>
      </c>
      <c r="Y396" s="47">
        <v>0</v>
      </c>
      <c r="Z396" s="47">
        <v>0</v>
      </c>
      <c r="AA396" s="47">
        <v>0</v>
      </c>
      <c r="AB396" s="47">
        <v>0</v>
      </c>
      <c r="AC396" s="47">
        <v>0</v>
      </c>
      <c r="AD396" s="47">
        <v>0</v>
      </c>
      <c r="AE396" s="47">
        <v>0</v>
      </c>
      <c r="AF396" s="47">
        <v>0</v>
      </c>
      <c r="AG396" s="47">
        <v>0</v>
      </c>
      <c r="AH396" s="47">
        <v>0</v>
      </c>
      <c r="AI396" s="47">
        <v>0</v>
      </c>
      <c r="AJ396" s="47">
        <v>0</v>
      </c>
      <c r="AK396" s="47">
        <v>0</v>
      </c>
      <c r="AL396" s="47">
        <v>0</v>
      </c>
      <c r="AM396" s="47">
        <v>0</v>
      </c>
      <c r="AN396" s="47">
        <v>0</v>
      </c>
      <c r="AO396" s="47">
        <v>0</v>
      </c>
      <c r="AP396" s="47">
        <v>0</v>
      </c>
      <c r="AQ396" s="47">
        <v>0</v>
      </c>
      <c r="AR396" s="47">
        <v>0</v>
      </c>
      <c r="AS396" s="47">
        <v>0</v>
      </c>
      <c r="AT396" s="47">
        <v>0</v>
      </c>
      <c r="AU396" s="47">
        <v>0</v>
      </c>
      <c r="AV396" s="47">
        <v>0</v>
      </c>
      <c r="AW396" s="47">
        <v>0</v>
      </c>
      <c r="AX396" s="47">
        <v>0</v>
      </c>
      <c r="AY396" s="47">
        <v>0</v>
      </c>
      <c r="AZ396" s="47">
        <v>0</v>
      </c>
      <c r="BA396" s="47">
        <v>0</v>
      </c>
      <c r="BB396" s="47">
        <v>0</v>
      </c>
      <c r="BC396" s="47">
        <v>0</v>
      </c>
      <c r="BD396" s="47">
        <v>0</v>
      </c>
      <c r="BE396" s="47">
        <v>0</v>
      </c>
      <c r="BF396" s="47">
        <v>0</v>
      </c>
      <c r="BG396" s="47">
        <v>0</v>
      </c>
      <c r="BH396" s="47">
        <v>0</v>
      </c>
      <c r="BI396" s="47">
        <v>0</v>
      </c>
      <c r="BJ396" s="47">
        <v>0</v>
      </c>
      <c r="BK396" s="47">
        <v>0</v>
      </c>
      <c r="BL396" s="47">
        <v>0</v>
      </c>
      <c r="BM396" s="47">
        <v>0</v>
      </c>
      <c r="BN396" s="47">
        <v>0</v>
      </c>
      <c r="BO396" s="47">
        <v>1</v>
      </c>
      <c r="BP396" s="47">
        <v>0</v>
      </c>
      <c r="BQ396" s="47">
        <v>0</v>
      </c>
      <c r="BR396" s="47">
        <v>0</v>
      </c>
      <c r="BS396" s="47">
        <v>0.2</v>
      </c>
      <c r="BT396" s="47">
        <v>0</v>
      </c>
      <c r="BU396" s="47">
        <v>0</v>
      </c>
      <c r="BV396" s="47">
        <v>0</v>
      </c>
      <c r="BW396" s="47">
        <v>0.4</v>
      </c>
      <c r="BX396" s="47">
        <v>0</v>
      </c>
      <c r="BY396" s="47">
        <v>0.4</v>
      </c>
      <c r="BZ396" s="47">
        <v>0</v>
      </c>
      <c r="CA396" s="47">
        <v>0</v>
      </c>
      <c r="CB396" s="47">
        <v>0</v>
      </c>
      <c r="CC396" s="47">
        <v>0</v>
      </c>
      <c r="CD396" s="47">
        <v>0</v>
      </c>
      <c r="CE396" s="47">
        <v>0</v>
      </c>
      <c r="CF396" s="47">
        <v>0</v>
      </c>
      <c r="CG396" s="47">
        <v>0</v>
      </c>
      <c r="CH396" s="47">
        <v>0</v>
      </c>
      <c r="CI396" s="47">
        <v>0</v>
      </c>
      <c r="CJ396" s="47">
        <v>0</v>
      </c>
      <c r="CK396" s="47">
        <v>0</v>
      </c>
      <c r="CL396" s="47">
        <v>0</v>
      </c>
      <c r="CM396" s="47">
        <v>0</v>
      </c>
      <c r="CN396" s="47">
        <v>0</v>
      </c>
      <c r="CO396" s="47">
        <v>0</v>
      </c>
      <c r="CP396" s="47">
        <v>0</v>
      </c>
      <c r="CQ396" s="47">
        <v>0</v>
      </c>
      <c r="CR396" s="47">
        <v>0</v>
      </c>
      <c r="CS396" s="47">
        <v>0</v>
      </c>
      <c r="CT396" s="47">
        <v>0</v>
      </c>
      <c r="CU396" s="47">
        <v>0</v>
      </c>
      <c r="CV396" s="47">
        <v>0</v>
      </c>
      <c r="CW396" s="47">
        <v>0</v>
      </c>
      <c r="CX396" s="47">
        <v>0</v>
      </c>
      <c r="CY396" s="47">
        <v>0</v>
      </c>
      <c r="CZ396" s="47">
        <v>0</v>
      </c>
      <c r="DA396" s="47">
        <v>0</v>
      </c>
      <c r="DB396" s="47">
        <v>0</v>
      </c>
      <c r="DC396" s="47">
        <v>0</v>
      </c>
      <c r="DD396" s="47">
        <v>0</v>
      </c>
      <c r="DE396" s="47">
        <v>0</v>
      </c>
      <c r="DF396" s="47">
        <v>0</v>
      </c>
      <c r="DG396" s="47">
        <v>0</v>
      </c>
      <c r="DH396" s="47">
        <v>0</v>
      </c>
      <c r="DI396" s="47">
        <v>0</v>
      </c>
      <c r="DJ396" s="47">
        <v>0</v>
      </c>
      <c r="DK396" s="47">
        <v>0</v>
      </c>
      <c r="DL396" s="47">
        <v>0</v>
      </c>
      <c r="DM396" s="47">
        <v>0</v>
      </c>
      <c r="DN396" s="47">
        <v>0</v>
      </c>
      <c r="DO396" s="47">
        <v>0</v>
      </c>
      <c r="DP396" s="47">
        <v>0</v>
      </c>
      <c r="DQ396" s="47">
        <v>0</v>
      </c>
      <c r="DR396" s="47">
        <v>0</v>
      </c>
      <c r="DS396" s="47">
        <v>0</v>
      </c>
      <c r="DT396" s="47">
        <v>0</v>
      </c>
    </row>
    <row r="397" spans="1:126" x14ac:dyDescent="0.25">
      <c r="A397" s="47" t="s">
        <v>1911</v>
      </c>
      <c r="B397" s="47" t="s">
        <v>153</v>
      </c>
      <c r="C397" s="47" t="s">
        <v>1912</v>
      </c>
      <c r="D397" s="47" t="s">
        <v>1913</v>
      </c>
      <c r="E397" s="47" t="s">
        <v>1914</v>
      </c>
      <c r="F397" s="47" t="s">
        <v>698</v>
      </c>
      <c r="G397" s="47" t="s">
        <v>727</v>
      </c>
      <c r="H397" s="47" t="str">
        <f>=IFERROR(VLOOKUP(A397,'ETPT Format DDG'!A:J,10,FALSE),"")</f>
        <v>0</v>
      </c>
      <c r="I397" s="47" t="str">
        <f>='ETPT Format DDG'!M397</f>
        <v/>
      </c>
      <c r="J397" s="47" t="str">
        <f>='ETPT Format DDG'!D397</f>
        <v/>
      </c>
      <c r="K397" s="47" t="s">
        <v>157</v>
      </c>
      <c r="L397" s="47" t="s">
        <v>1428</v>
      </c>
      <c r="M397" s="47"/>
      <c r="N397" s="47">
        <v>0.8</v>
      </c>
      <c r="O397" s="47">
        <v>0</v>
      </c>
      <c r="P397" s="47">
        <v>0</v>
      </c>
      <c r="Q397" s="47">
        <v>0</v>
      </c>
      <c r="R397" s="47">
        <v>0</v>
      </c>
      <c r="S397" s="47">
        <v>0</v>
      </c>
      <c r="T397" s="47">
        <v>0</v>
      </c>
      <c r="U397" s="47">
        <v>0</v>
      </c>
      <c r="V397" s="47">
        <v>0</v>
      </c>
      <c r="W397" s="47">
        <v>0</v>
      </c>
      <c r="X397" s="47">
        <v>0</v>
      </c>
      <c r="Y397" s="47">
        <v>0</v>
      </c>
      <c r="Z397" s="47">
        <v>0</v>
      </c>
      <c r="AA397" s="47">
        <v>0</v>
      </c>
      <c r="AB397" s="47">
        <v>0</v>
      </c>
      <c r="AC397" s="47">
        <v>0</v>
      </c>
      <c r="AD397" s="47">
        <v>0</v>
      </c>
      <c r="AE397" s="47">
        <v>0</v>
      </c>
      <c r="AF397" s="47">
        <v>0</v>
      </c>
      <c r="AG397" s="47">
        <v>0</v>
      </c>
      <c r="AH397" s="47">
        <v>0</v>
      </c>
      <c r="AI397" s="47">
        <v>0</v>
      </c>
      <c r="AJ397" s="47">
        <v>0</v>
      </c>
      <c r="AK397" s="47">
        <v>0</v>
      </c>
      <c r="AL397" s="47">
        <v>0</v>
      </c>
      <c r="AM397" s="47">
        <v>0</v>
      </c>
      <c r="AN397" s="47">
        <v>0</v>
      </c>
      <c r="AO397" s="47">
        <v>0</v>
      </c>
      <c r="AP397" s="47">
        <v>0</v>
      </c>
      <c r="AQ397" s="47">
        <v>0</v>
      </c>
      <c r="AR397" s="47">
        <v>0</v>
      </c>
      <c r="AS397" s="47">
        <v>0</v>
      </c>
      <c r="AT397" s="47">
        <v>0</v>
      </c>
      <c r="AU397" s="47">
        <v>0</v>
      </c>
      <c r="AV397" s="47">
        <v>0</v>
      </c>
      <c r="AW397" s="47">
        <v>0</v>
      </c>
      <c r="AX397" s="47">
        <v>0</v>
      </c>
      <c r="AY397" s="47">
        <v>0</v>
      </c>
      <c r="AZ397" s="47">
        <v>0</v>
      </c>
      <c r="BA397" s="47">
        <v>0</v>
      </c>
      <c r="BB397" s="47">
        <v>0</v>
      </c>
      <c r="BC397" s="47">
        <v>0</v>
      </c>
      <c r="BD397" s="47">
        <v>0</v>
      </c>
      <c r="BE397" s="47">
        <v>0</v>
      </c>
      <c r="BF397" s="47">
        <v>0</v>
      </c>
      <c r="BG397" s="47">
        <v>0</v>
      </c>
      <c r="BH397" s="47">
        <v>0</v>
      </c>
      <c r="BI397" s="47">
        <v>0</v>
      </c>
      <c r="BJ397" s="47">
        <v>0</v>
      </c>
      <c r="BK397" s="47">
        <v>0</v>
      </c>
      <c r="BL397" s="47">
        <v>0</v>
      </c>
      <c r="BM397" s="47">
        <v>0</v>
      </c>
      <c r="BN397" s="47">
        <v>0</v>
      </c>
      <c r="BO397" s="47">
        <v>0</v>
      </c>
      <c r="BP397" s="47">
        <v>0</v>
      </c>
      <c r="BQ397" s="47">
        <v>0</v>
      </c>
      <c r="BR397" s="47">
        <v>0</v>
      </c>
      <c r="BS397" s="47">
        <v>0</v>
      </c>
      <c r="BT397" s="47">
        <v>0</v>
      </c>
      <c r="BU397" s="47">
        <v>0</v>
      </c>
      <c r="BV397" s="47">
        <v>0</v>
      </c>
      <c r="BW397" s="47">
        <v>0</v>
      </c>
      <c r="BX397" s="47">
        <v>0</v>
      </c>
      <c r="BY397" s="47">
        <v>0</v>
      </c>
      <c r="BZ397" s="47">
        <v>0</v>
      </c>
      <c r="CA397" s="47">
        <v>0</v>
      </c>
      <c r="CB397" s="47">
        <v>0</v>
      </c>
      <c r="CC397" s="47">
        <v>0</v>
      </c>
      <c r="CD397" s="47">
        <v>0</v>
      </c>
      <c r="CE397" s="47">
        <v>0</v>
      </c>
      <c r="CF397" s="47">
        <v>0</v>
      </c>
      <c r="CG397" s="47">
        <v>0</v>
      </c>
      <c r="CH397" s="47">
        <v>0</v>
      </c>
      <c r="CI397" s="47">
        <v>0</v>
      </c>
      <c r="CJ397" s="47">
        <v>0</v>
      </c>
      <c r="CK397" s="47">
        <v>0</v>
      </c>
      <c r="CL397" s="47">
        <v>0</v>
      </c>
      <c r="CM397" s="47">
        <v>0</v>
      </c>
      <c r="CN397" s="47">
        <v>0</v>
      </c>
      <c r="CO397" s="47">
        <v>0</v>
      </c>
      <c r="CP397" s="47">
        <v>0</v>
      </c>
      <c r="CQ397" s="47">
        <v>0</v>
      </c>
      <c r="CR397" s="47">
        <v>0</v>
      </c>
      <c r="CS397" s="47">
        <v>0</v>
      </c>
      <c r="CT397" s="47">
        <v>0</v>
      </c>
      <c r="CU397" s="47">
        <v>0</v>
      </c>
      <c r="CV397" s="47">
        <v>0</v>
      </c>
      <c r="CW397" s="47">
        <v>0</v>
      </c>
      <c r="CX397" s="47">
        <v>0</v>
      </c>
      <c r="CY397" s="47">
        <v>0</v>
      </c>
      <c r="CZ397" s="47">
        <v>0</v>
      </c>
      <c r="DA397" s="47">
        <v>0</v>
      </c>
      <c r="DB397" s="47">
        <v>0</v>
      </c>
      <c r="DC397" s="47">
        <v>0</v>
      </c>
      <c r="DD397" s="47">
        <v>0</v>
      </c>
      <c r="DE397" s="47">
        <v>0</v>
      </c>
      <c r="DF397" s="47">
        <v>0</v>
      </c>
      <c r="DG397" s="47">
        <v>0</v>
      </c>
      <c r="DH397" s="47">
        <v>0</v>
      </c>
      <c r="DI397" s="47">
        <v>0</v>
      </c>
      <c r="DJ397" s="47">
        <v>0</v>
      </c>
      <c r="DK397" s="47">
        <v>0</v>
      </c>
      <c r="DL397" s="47">
        <v>0</v>
      </c>
      <c r="DM397" s="47">
        <v>0</v>
      </c>
      <c r="DN397" s="47">
        <v>0</v>
      </c>
      <c r="DO397" s="47">
        <v>0</v>
      </c>
      <c r="DP397" s="47">
        <v>0</v>
      </c>
      <c r="DQ397" s="47">
        <v>0</v>
      </c>
      <c r="DR397" s="47">
        <v>0</v>
      </c>
      <c r="DS397" s="47">
        <v>0</v>
      </c>
      <c r="DT397" s="47">
        <v>0</v>
      </c>
    </row>
    <row r="398" spans="1:126" x14ac:dyDescent="0.25">
      <c r="A398" s="47" t="s">
        <v>1915</v>
      </c>
      <c r="B398" s="47" t="s">
        <v>153</v>
      </c>
      <c r="C398" s="47" t="s">
        <v>1916</v>
      </c>
      <c r="D398" s="47" t="s">
        <v>1917</v>
      </c>
      <c r="E398" s="47" t="s">
        <v>1918</v>
      </c>
      <c r="F398" s="47" t="s">
        <v>698</v>
      </c>
      <c r="G398" s="47" t="s">
        <v>727</v>
      </c>
      <c r="H398" s="47" t="str">
        <f>=IFERROR(VLOOKUP(A398,'ETPT Format DDG'!A:J,10,FALSE),"")</f>
        <v>0</v>
      </c>
      <c r="I398" s="47" t="str">
        <f>='ETPT Format DDG'!M398</f>
        <v/>
      </c>
      <c r="J398" s="47" t="str">
        <f>='ETPT Format DDG'!D398</f>
        <v/>
      </c>
      <c r="K398" s="47" t="s">
        <v>157</v>
      </c>
      <c r="L398" s="47" t="s">
        <v>1414</v>
      </c>
      <c r="M398" s="47"/>
      <c r="N398" s="47">
        <v>0.8</v>
      </c>
      <c r="O398" s="47">
        <v>0</v>
      </c>
      <c r="P398" s="47">
        <v>0</v>
      </c>
      <c r="Q398" s="47">
        <v>0</v>
      </c>
      <c r="R398" s="47">
        <v>0</v>
      </c>
      <c r="S398" s="47">
        <v>0</v>
      </c>
      <c r="T398" s="47">
        <v>0</v>
      </c>
      <c r="U398" s="47">
        <v>0</v>
      </c>
      <c r="V398" s="47">
        <v>0</v>
      </c>
      <c r="W398" s="47">
        <v>0</v>
      </c>
      <c r="X398" s="47">
        <v>0</v>
      </c>
      <c r="Y398" s="47">
        <v>0</v>
      </c>
      <c r="Z398" s="47">
        <v>0</v>
      </c>
      <c r="AA398" s="47">
        <v>0</v>
      </c>
      <c r="AB398" s="47">
        <v>0</v>
      </c>
      <c r="AC398" s="47">
        <v>0</v>
      </c>
      <c r="AD398" s="47">
        <v>0</v>
      </c>
      <c r="AE398" s="47">
        <v>0</v>
      </c>
      <c r="AF398" s="47">
        <v>0</v>
      </c>
      <c r="AG398" s="47">
        <v>0</v>
      </c>
      <c r="AH398" s="47">
        <v>0</v>
      </c>
      <c r="AI398" s="47">
        <v>0</v>
      </c>
      <c r="AJ398" s="47">
        <v>0</v>
      </c>
      <c r="AK398" s="47">
        <v>0</v>
      </c>
      <c r="AL398" s="47">
        <v>0</v>
      </c>
      <c r="AM398" s="47">
        <v>0</v>
      </c>
      <c r="AN398" s="47">
        <v>0</v>
      </c>
      <c r="AO398" s="47">
        <v>0</v>
      </c>
      <c r="AP398" s="47">
        <v>0</v>
      </c>
      <c r="AQ398" s="47">
        <v>0</v>
      </c>
      <c r="AR398" s="47">
        <v>0</v>
      </c>
      <c r="AS398" s="47">
        <v>0</v>
      </c>
      <c r="AT398" s="47">
        <v>0</v>
      </c>
      <c r="AU398" s="47">
        <v>0</v>
      </c>
      <c r="AV398" s="47">
        <v>0</v>
      </c>
      <c r="AW398" s="47">
        <v>0</v>
      </c>
      <c r="AX398" s="47">
        <v>0</v>
      </c>
      <c r="AY398" s="47">
        <v>0</v>
      </c>
      <c r="AZ398" s="47">
        <v>0</v>
      </c>
      <c r="BA398" s="47">
        <v>0</v>
      </c>
      <c r="BB398" s="47">
        <v>0</v>
      </c>
      <c r="BC398" s="47">
        <v>0</v>
      </c>
      <c r="BD398" s="47">
        <v>0</v>
      </c>
      <c r="BE398" s="47">
        <v>0</v>
      </c>
      <c r="BF398" s="47">
        <v>0</v>
      </c>
      <c r="BG398" s="47">
        <v>0</v>
      </c>
      <c r="BH398" s="47">
        <v>0</v>
      </c>
      <c r="BI398" s="47">
        <v>0</v>
      </c>
      <c r="BJ398" s="47">
        <v>0</v>
      </c>
      <c r="BK398" s="47">
        <v>0</v>
      </c>
      <c r="BL398" s="47">
        <v>0</v>
      </c>
      <c r="BM398" s="47">
        <v>0</v>
      </c>
      <c r="BN398" s="47">
        <v>0</v>
      </c>
      <c r="BO398" s="47">
        <v>0</v>
      </c>
      <c r="BP398" s="47">
        <v>0</v>
      </c>
      <c r="BQ398" s="47">
        <v>0</v>
      </c>
      <c r="BR398" s="47">
        <v>0</v>
      </c>
      <c r="BS398" s="47">
        <v>0</v>
      </c>
      <c r="BT398" s="47">
        <v>0</v>
      </c>
      <c r="BU398" s="47">
        <v>0</v>
      </c>
      <c r="BV398" s="47">
        <v>0</v>
      </c>
      <c r="BW398" s="47">
        <v>0</v>
      </c>
      <c r="BX398" s="47">
        <v>0</v>
      </c>
      <c r="BY398" s="47">
        <v>0</v>
      </c>
      <c r="BZ398" s="47">
        <v>0</v>
      </c>
      <c r="CA398" s="47">
        <v>0</v>
      </c>
      <c r="CB398" s="47">
        <v>0</v>
      </c>
      <c r="CC398" s="47">
        <v>0</v>
      </c>
      <c r="CD398" s="47">
        <v>0</v>
      </c>
      <c r="CE398" s="47">
        <v>0</v>
      </c>
      <c r="CF398" s="47">
        <v>0</v>
      </c>
      <c r="CG398" s="47">
        <v>0</v>
      </c>
      <c r="CH398" s="47">
        <v>0</v>
      </c>
      <c r="CI398" s="47">
        <v>0</v>
      </c>
      <c r="CJ398" s="47">
        <v>0</v>
      </c>
      <c r="CK398" s="47">
        <v>0</v>
      </c>
      <c r="CL398" s="47">
        <v>0</v>
      </c>
      <c r="CM398" s="47">
        <v>0</v>
      </c>
      <c r="CN398" s="47">
        <v>0</v>
      </c>
      <c r="CO398" s="47">
        <v>0</v>
      </c>
      <c r="CP398" s="47">
        <v>0</v>
      </c>
      <c r="CQ398" s="47">
        <v>0</v>
      </c>
      <c r="CR398" s="47">
        <v>0</v>
      </c>
      <c r="CS398" s="47">
        <v>0</v>
      </c>
      <c r="CT398" s="47">
        <v>0</v>
      </c>
      <c r="CU398" s="47">
        <v>0</v>
      </c>
      <c r="CV398" s="47">
        <v>0</v>
      </c>
      <c r="CW398" s="47">
        <v>0</v>
      </c>
      <c r="CX398" s="47">
        <v>0</v>
      </c>
      <c r="CY398" s="47">
        <v>0</v>
      </c>
      <c r="CZ398" s="47">
        <v>0</v>
      </c>
      <c r="DA398" s="47">
        <v>0</v>
      </c>
      <c r="DB398" s="47">
        <v>0</v>
      </c>
      <c r="DC398" s="47">
        <v>0</v>
      </c>
      <c r="DD398" s="47">
        <v>0</v>
      </c>
      <c r="DE398" s="47">
        <v>0</v>
      </c>
      <c r="DF398" s="47">
        <v>0</v>
      </c>
      <c r="DG398" s="47">
        <v>0</v>
      </c>
      <c r="DH398" s="47">
        <v>0</v>
      </c>
      <c r="DI398" s="47">
        <v>0</v>
      </c>
      <c r="DJ398" s="47">
        <v>0</v>
      </c>
      <c r="DK398" s="47">
        <v>0</v>
      </c>
      <c r="DL398" s="47">
        <v>0</v>
      </c>
      <c r="DM398" s="47">
        <v>0</v>
      </c>
      <c r="DN398" s="47">
        <v>0</v>
      </c>
      <c r="DO398" s="47">
        <v>0</v>
      </c>
      <c r="DP398" s="47">
        <v>0</v>
      </c>
      <c r="DQ398" s="47">
        <v>0</v>
      </c>
      <c r="DR398" s="47">
        <v>0</v>
      </c>
      <c r="DS398" s="47">
        <v>0</v>
      </c>
      <c r="DT398" s="47">
        <v>0</v>
      </c>
    </row>
    <row r="399" spans="1:126" x14ac:dyDescent="0.25">
      <c r="A399" s="47" t="s">
        <v>1919</v>
      </c>
      <c r="B399" s="47" t="s">
        <v>153</v>
      </c>
      <c r="C399" s="47" t="s">
        <v>1920</v>
      </c>
      <c r="D399" s="47" t="s">
        <v>1921</v>
      </c>
      <c r="E399" s="47" t="s">
        <v>1922</v>
      </c>
      <c r="F399" s="47" t="s">
        <v>698</v>
      </c>
      <c r="G399" s="47" t="s">
        <v>705</v>
      </c>
      <c r="H399" s="47" t="str">
        <f>=IFERROR(VLOOKUP(A399,'ETPT Format DDG'!A:J,10,FALSE),"")</f>
        <v>0</v>
      </c>
      <c r="I399" s="47" t="str">
        <f>='ETPT Format DDG'!M399</f>
        <v/>
      </c>
      <c r="J399" s="47" t="str">
        <f>='ETPT Format DDG'!D399</f>
        <v/>
      </c>
      <c r="K399" s="47" t="s">
        <v>157</v>
      </c>
      <c r="L399" s="47" t="s">
        <v>836</v>
      </c>
      <c r="M399" s="47"/>
      <c r="N399" s="47">
        <v>1</v>
      </c>
      <c r="O399" s="47">
        <v>0</v>
      </c>
      <c r="P399" s="47">
        <v>0</v>
      </c>
      <c r="Q399" s="47">
        <v>0</v>
      </c>
      <c r="R399" s="47">
        <v>0</v>
      </c>
      <c r="S399" s="47">
        <v>0</v>
      </c>
      <c r="T399" s="47">
        <v>0</v>
      </c>
      <c r="U399" s="47">
        <v>0</v>
      </c>
      <c r="V399" s="47">
        <v>0</v>
      </c>
      <c r="W399" s="47">
        <v>0</v>
      </c>
      <c r="X399" s="47">
        <v>0</v>
      </c>
      <c r="Y399" s="47">
        <v>0</v>
      </c>
      <c r="Z399" s="47">
        <v>0</v>
      </c>
      <c r="AA399" s="47">
        <v>0</v>
      </c>
      <c r="AB399" s="47">
        <v>0</v>
      </c>
      <c r="AC399" s="47">
        <v>0</v>
      </c>
      <c r="AD399" s="47">
        <v>0</v>
      </c>
      <c r="AE399" s="47">
        <v>0</v>
      </c>
      <c r="AF399" s="47">
        <v>0</v>
      </c>
      <c r="AG399" s="47">
        <v>0</v>
      </c>
      <c r="AH399" s="47">
        <v>0</v>
      </c>
      <c r="AI399" s="47">
        <v>0</v>
      </c>
      <c r="AJ399" s="47">
        <v>0</v>
      </c>
      <c r="AK399" s="47">
        <v>0</v>
      </c>
      <c r="AL399" s="47">
        <v>0</v>
      </c>
      <c r="AM399" s="47">
        <v>0</v>
      </c>
      <c r="AN399" s="47">
        <v>0</v>
      </c>
      <c r="AO399" s="47">
        <v>0</v>
      </c>
      <c r="AP399" s="47">
        <v>0</v>
      </c>
      <c r="AQ399" s="47">
        <v>0</v>
      </c>
      <c r="AR399" s="47">
        <v>0</v>
      </c>
      <c r="AS399" s="47">
        <v>0</v>
      </c>
      <c r="AT399" s="47">
        <v>0</v>
      </c>
      <c r="AU399" s="47">
        <v>0</v>
      </c>
      <c r="AV399" s="47">
        <v>0</v>
      </c>
      <c r="AW399" s="47">
        <v>0</v>
      </c>
      <c r="AX399" s="47">
        <v>0</v>
      </c>
      <c r="AY399" s="47">
        <v>0</v>
      </c>
      <c r="AZ399" s="47">
        <v>0</v>
      </c>
      <c r="BA399" s="47">
        <v>0</v>
      </c>
      <c r="BB399" s="47">
        <v>0</v>
      </c>
      <c r="BC399" s="47">
        <v>0</v>
      </c>
      <c r="BD399" s="47">
        <v>0</v>
      </c>
      <c r="BE399" s="47">
        <v>0</v>
      </c>
      <c r="BF399" s="47">
        <v>0</v>
      </c>
      <c r="BG399" s="47">
        <v>0</v>
      </c>
      <c r="BH399" s="47">
        <v>0</v>
      </c>
      <c r="BI399" s="47">
        <v>0</v>
      </c>
      <c r="BJ399" s="47">
        <v>0</v>
      </c>
      <c r="BK399" s="47">
        <v>0</v>
      </c>
      <c r="BL399" s="47">
        <v>0</v>
      </c>
      <c r="BM399" s="47">
        <v>0</v>
      </c>
      <c r="BN399" s="47">
        <v>0</v>
      </c>
      <c r="BO399" s="47">
        <v>0</v>
      </c>
      <c r="BP399" s="47">
        <v>0</v>
      </c>
      <c r="BQ399" s="47">
        <v>0</v>
      </c>
      <c r="BR399" s="47">
        <v>0</v>
      </c>
      <c r="BS399" s="47">
        <v>0</v>
      </c>
      <c r="BT399" s="47">
        <v>0</v>
      </c>
      <c r="BU399" s="47">
        <v>0</v>
      </c>
      <c r="BV399" s="47">
        <v>0</v>
      </c>
      <c r="BW399" s="47">
        <v>0</v>
      </c>
      <c r="BX399" s="47">
        <v>0</v>
      </c>
      <c r="BY399" s="47">
        <v>0</v>
      </c>
      <c r="BZ399" s="47">
        <v>0</v>
      </c>
      <c r="CA399" s="47">
        <v>0</v>
      </c>
      <c r="CB399" s="47">
        <v>0</v>
      </c>
      <c r="CC399" s="47">
        <v>0</v>
      </c>
      <c r="CD399" s="47">
        <v>0</v>
      </c>
      <c r="CE399" s="47">
        <v>0</v>
      </c>
      <c r="CF399" s="47">
        <v>0</v>
      </c>
      <c r="CG399" s="47">
        <v>0</v>
      </c>
      <c r="CH399" s="47">
        <v>0</v>
      </c>
      <c r="CI399" s="47">
        <v>0</v>
      </c>
      <c r="CJ399" s="47">
        <v>0</v>
      </c>
      <c r="CK399" s="47">
        <v>0</v>
      </c>
      <c r="CL399" s="47">
        <v>0</v>
      </c>
      <c r="CM399" s="47">
        <v>0</v>
      </c>
      <c r="CN399" s="47">
        <v>0</v>
      </c>
      <c r="CO399" s="47">
        <v>0</v>
      </c>
      <c r="CP399" s="47">
        <v>0</v>
      </c>
      <c r="CQ399" s="47">
        <v>0</v>
      </c>
      <c r="CR399" s="47">
        <v>0</v>
      </c>
      <c r="CS399" s="47">
        <v>0</v>
      </c>
      <c r="CT399" s="47">
        <v>0</v>
      </c>
      <c r="CU399" s="47">
        <v>0</v>
      </c>
      <c r="CV399" s="47">
        <v>0</v>
      </c>
      <c r="CW399" s="47">
        <v>0</v>
      </c>
      <c r="CX399" s="47">
        <v>0</v>
      </c>
      <c r="CY399" s="47">
        <v>0</v>
      </c>
      <c r="CZ399" s="47">
        <v>0</v>
      </c>
      <c r="DA399" s="47">
        <v>0</v>
      </c>
      <c r="DB399" s="47">
        <v>0</v>
      </c>
      <c r="DC399" s="47">
        <v>0</v>
      </c>
      <c r="DD399" s="47">
        <v>0</v>
      </c>
      <c r="DE399" s="47">
        <v>0</v>
      </c>
      <c r="DF399" s="47">
        <v>0</v>
      </c>
      <c r="DG399" s="47">
        <v>0</v>
      </c>
      <c r="DH399" s="47">
        <v>0</v>
      </c>
      <c r="DI399" s="47">
        <v>0</v>
      </c>
      <c r="DJ399" s="47">
        <v>0</v>
      </c>
      <c r="DK399" s="47">
        <v>0</v>
      </c>
      <c r="DL399" s="47">
        <v>0</v>
      </c>
      <c r="DM399" s="47">
        <v>0</v>
      </c>
      <c r="DN399" s="47">
        <v>0</v>
      </c>
      <c r="DO399" s="47">
        <v>0</v>
      </c>
      <c r="DP399" s="47">
        <v>0</v>
      </c>
      <c r="DQ399" s="47">
        <v>0</v>
      </c>
      <c r="DR399" s="47">
        <v>0</v>
      </c>
      <c r="DS399" s="47">
        <v>0</v>
      </c>
      <c r="DT399" s="47">
        <v>0</v>
      </c>
    </row>
    <row r="400" spans="1:126" x14ac:dyDescent="0.25">
      <c r="A400" s="47" t="s">
        <v>1923</v>
      </c>
      <c r="B400" s="47" t="s">
        <v>153</v>
      </c>
      <c r="C400" s="47" t="s">
        <v>1924</v>
      </c>
      <c r="D400" s="47" t="s">
        <v>1925</v>
      </c>
      <c r="E400" s="47" t="s">
        <v>1926</v>
      </c>
      <c r="F400" s="47" t="s">
        <v>698</v>
      </c>
      <c r="G400" s="47" t="s">
        <v>705</v>
      </c>
      <c r="H400" s="47" t="str">
        <f>=IFERROR(VLOOKUP(A400,'ETPT Format DDG'!A:J,10,FALSE),"")</f>
        <v>0</v>
      </c>
      <c r="I400" s="47" t="str">
        <f>='ETPT Format DDG'!M400</f>
        <v/>
      </c>
      <c r="J400" s="47" t="str">
        <f>='ETPT Format DDG'!D400</f>
        <v/>
      </c>
      <c r="K400" s="47" t="s">
        <v>157</v>
      </c>
      <c r="L400" s="47" t="s">
        <v>974</v>
      </c>
      <c r="M400" s="47"/>
      <c r="N400" s="47">
        <v>1</v>
      </c>
      <c r="O400" s="47">
        <v>0</v>
      </c>
      <c r="P400" s="47">
        <v>0</v>
      </c>
      <c r="Q400" s="47">
        <v>0</v>
      </c>
      <c r="R400" s="47">
        <v>0</v>
      </c>
      <c r="S400" s="47">
        <v>0</v>
      </c>
      <c r="T400" s="47">
        <v>0</v>
      </c>
      <c r="U400" s="47">
        <v>0</v>
      </c>
      <c r="V400" s="47">
        <v>0</v>
      </c>
      <c r="W400" s="47">
        <v>0</v>
      </c>
      <c r="X400" s="47">
        <v>0</v>
      </c>
      <c r="Y400" s="47">
        <v>0</v>
      </c>
      <c r="Z400" s="47">
        <v>0</v>
      </c>
      <c r="AA400" s="47">
        <v>0</v>
      </c>
      <c r="AB400" s="47">
        <v>0</v>
      </c>
      <c r="AC400" s="47">
        <v>0</v>
      </c>
      <c r="AD400" s="47">
        <v>0</v>
      </c>
      <c r="AE400" s="47">
        <v>0</v>
      </c>
      <c r="AF400" s="47">
        <v>0</v>
      </c>
      <c r="AG400" s="47">
        <v>0</v>
      </c>
      <c r="AH400" s="47">
        <v>0</v>
      </c>
      <c r="AI400" s="47">
        <v>0</v>
      </c>
      <c r="AJ400" s="47">
        <v>0</v>
      </c>
      <c r="AK400" s="47">
        <v>0</v>
      </c>
      <c r="AL400" s="47">
        <v>0</v>
      </c>
      <c r="AM400" s="47">
        <v>0</v>
      </c>
      <c r="AN400" s="47">
        <v>0</v>
      </c>
      <c r="AO400" s="47">
        <v>0</v>
      </c>
      <c r="AP400" s="47">
        <v>0</v>
      </c>
      <c r="AQ400" s="47">
        <v>0</v>
      </c>
      <c r="AR400" s="47">
        <v>0</v>
      </c>
      <c r="AS400" s="47">
        <v>0</v>
      </c>
      <c r="AT400" s="47">
        <v>0</v>
      </c>
      <c r="AU400" s="47">
        <v>0</v>
      </c>
      <c r="AV400" s="47">
        <v>0</v>
      </c>
      <c r="AW400" s="47">
        <v>0</v>
      </c>
      <c r="AX400" s="47">
        <v>0</v>
      </c>
      <c r="AY400" s="47">
        <v>0</v>
      </c>
      <c r="AZ400" s="47">
        <v>0</v>
      </c>
      <c r="BA400" s="47">
        <v>0</v>
      </c>
      <c r="BB400" s="47">
        <v>0</v>
      </c>
      <c r="BC400" s="47">
        <v>0</v>
      </c>
      <c r="BD400" s="47">
        <v>0</v>
      </c>
      <c r="BE400" s="47">
        <v>0</v>
      </c>
      <c r="BF400" s="47">
        <v>0</v>
      </c>
      <c r="BG400" s="47">
        <v>0</v>
      </c>
      <c r="BH400" s="47">
        <v>0</v>
      </c>
      <c r="BI400" s="47">
        <v>0</v>
      </c>
      <c r="BJ400" s="47">
        <v>0</v>
      </c>
      <c r="BK400" s="47">
        <v>0</v>
      </c>
      <c r="BL400" s="47">
        <v>0</v>
      </c>
      <c r="BM400" s="47">
        <v>0</v>
      </c>
      <c r="BN400" s="47">
        <v>0</v>
      </c>
      <c r="BO400" s="47">
        <v>0</v>
      </c>
      <c r="BP400" s="47">
        <v>0</v>
      </c>
      <c r="BQ400" s="47">
        <v>0</v>
      </c>
      <c r="BR400" s="47">
        <v>0</v>
      </c>
      <c r="BS400" s="47">
        <v>0</v>
      </c>
      <c r="BT400" s="47">
        <v>0</v>
      </c>
      <c r="BU400" s="47">
        <v>0</v>
      </c>
      <c r="BV400" s="47">
        <v>0</v>
      </c>
      <c r="BW400" s="47">
        <v>0</v>
      </c>
      <c r="BX400" s="47">
        <v>0</v>
      </c>
      <c r="BY400" s="47">
        <v>0</v>
      </c>
      <c r="BZ400" s="47">
        <v>0</v>
      </c>
      <c r="CA400" s="47">
        <v>0</v>
      </c>
      <c r="CB400" s="47">
        <v>0</v>
      </c>
      <c r="CC400" s="47">
        <v>0</v>
      </c>
      <c r="CD400" s="47">
        <v>0</v>
      </c>
      <c r="CE400" s="47">
        <v>0</v>
      </c>
      <c r="CF400" s="47">
        <v>0</v>
      </c>
      <c r="CG400" s="47">
        <v>0</v>
      </c>
      <c r="CH400" s="47">
        <v>0</v>
      </c>
      <c r="CI400" s="47">
        <v>0</v>
      </c>
      <c r="CJ400" s="47">
        <v>0</v>
      </c>
      <c r="CK400" s="47">
        <v>0</v>
      </c>
      <c r="CL400" s="47">
        <v>0</v>
      </c>
      <c r="CM400" s="47">
        <v>0</v>
      </c>
      <c r="CN400" s="47">
        <v>0</v>
      </c>
      <c r="CO400" s="47">
        <v>0</v>
      </c>
      <c r="CP400" s="47">
        <v>0</v>
      </c>
      <c r="CQ400" s="47">
        <v>0</v>
      </c>
      <c r="CR400" s="47">
        <v>0</v>
      </c>
      <c r="CS400" s="47">
        <v>0</v>
      </c>
      <c r="CT400" s="47">
        <v>0</v>
      </c>
      <c r="CU400" s="47">
        <v>0</v>
      </c>
      <c r="CV400" s="47">
        <v>0</v>
      </c>
      <c r="CW400" s="47">
        <v>0</v>
      </c>
      <c r="CX400" s="47">
        <v>0</v>
      </c>
      <c r="CY400" s="47">
        <v>0</v>
      </c>
      <c r="CZ400" s="47">
        <v>0</v>
      </c>
      <c r="DA400" s="47">
        <v>0</v>
      </c>
      <c r="DB400" s="47">
        <v>0</v>
      </c>
      <c r="DC400" s="47">
        <v>0</v>
      </c>
      <c r="DD400" s="47">
        <v>0</v>
      </c>
      <c r="DE400" s="47">
        <v>0</v>
      </c>
      <c r="DF400" s="47">
        <v>0</v>
      </c>
      <c r="DG400" s="47">
        <v>0</v>
      </c>
      <c r="DH400" s="47">
        <v>0</v>
      </c>
      <c r="DI400" s="47">
        <v>0</v>
      </c>
      <c r="DJ400" s="47">
        <v>0</v>
      </c>
      <c r="DK400" s="47">
        <v>0</v>
      </c>
      <c r="DL400" s="47">
        <v>0</v>
      </c>
      <c r="DM400" s="47">
        <v>0</v>
      </c>
      <c r="DN400" s="47">
        <v>0</v>
      </c>
      <c r="DO400" s="47">
        <v>0</v>
      </c>
      <c r="DP400" s="47">
        <v>0</v>
      </c>
      <c r="DQ400" s="47">
        <v>0</v>
      </c>
      <c r="DR400" s="47">
        <v>0</v>
      </c>
      <c r="DS400" s="47">
        <v>0</v>
      </c>
      <c r="DT400" s="47">
        <v>0</v>
      </c>
    </row>
    <row r="401" spans="1:126" x14ac:dyDescent="0.25">
      <c r="A401" s="47" t="s">
        <v>1927</v>
      </c>
      <c r="B401" s="47" t="s">
        <v>153</v>
      </c>
      <c r="C401" s="47" t="s">
        <v>1928</v>
      </c>
      <c r="D401" s="47" t="s">
        <v>1929</v>
      </c>
      <c r="E401" s="47" t="s">
        <v>1930</v>
      </c>
      <c r="F401" s="47" t="s">
        <v>698</v>
      </c>
      <c r="G401" s="47" t="s">
        <v>705</v>
      </c>
      <c r="H401" s="47" t="str">
        <f>=IFERROR(VLOOKUP(A401,'ETPT Format DDG'!A:J,10,FALSE),"")</f>
        <v>0</v>
      </c>
      <c r="I401" s="47" t="str">
        <f>='ETPT Format DDG'!M401</f>
        <v/>
      </c>
      <c r="J401" s="47" t="str">
        <f>='ETPT Format DDG'!D401</f>
        <v/>
      </c>
      <c r="K401" s="47" t="s">
        <v>157</v>
      </c>
      <c r="L401" s="47" t="s">
        <v>722</v>
      </c>
      <c r="M401" s="47"/>
      <c r="N401" s="47">
        <v>1</v>
      </c>
      <c r="O401" s="47">
        <v>0</v>
      </c>
      <c r="P401" s="47">
        <v>0</v>
      </c>
      <c r="Q401" s="47">
        <v>0</v>
      </c>
      <c r="R401" s="47">
        <v>0</v>
      </c>
      <c r="S401" s="47">
        <v>0</v>
      </c>
      <c r="T401" s="47">
        <v>0</v>
      </c>
      <c r="U401" s="47">
        <v>0</v>
      </c>
      <c r="V401" s="47">
        <v>0</v>
      </c>
      <c r="W401" s="47">
        <v>0</v>
      </c>
      <c r="X401" s="47">
        <v>0</v>
      </c>
      <c r="Y401" s="47">
        <v>0</v>
      </c>
      <c r="Z401" s="47">
        <v>0</v>
      </c>
      <c r="AA401" s="47">
        <v>0</v>
      </c>
      <c r="AB401" s="47">
        <v>0</v>
      </c>
      <c r="AC401" s="47">
        <v>0</v>
      </c>
      <c r="AD401" s="47">
        <v>0</v>
      </c>
      <c r="AE401" s="47">
        <v>0</v>
      </c>
      <c r="AF401" s="47">
        <v>0</v>
      </c>
      <c r="AG401" s="47">
        <v>0</v>
      </c>
      <c r="AH401" s="47">
        <v>0</v>
      </c>
      <c r="AI401" s="47">
        <v>0</v>
      </c>
      <c r="AJ401" s="47">
        <v>0</v>
      </c>
      <c r="AK401" s="47">
        <v>0</v>
      </c>
      <c r="AL401" s="47">
        <v>0</v>
      </c>
      <c r="AM401" s="47">
        <v>0</v>
      </c>
      <c r="AN401" s="47">
        <v>0</v>
      </c>
      <c r="AO401" s="47">
        <v>0</v>
      </c>
      <c r="AP401" s="47">
        <v>0</v>
      </c>
      <c r="AQ401" s="47">
        <v>0</v>
      </c>
      <c r="AR401" s="47">
        <v>0</v>
      </c>
      <c r="AS401" s="47">
        <v>0</v>
      </c>
      <c r="AT401" s="47">
        <v>0</v>
      </c>
      <c r="AU401" s="47">
        <v>0</v>
      </c>
      <c r="AV401" s="47">
        <v>0</v>
      </c>
      <c r="AW401" s="47">
        <v>0</v>
      </c>
      <c r="AX401" s="47">
        <v>0</v>
      </c>
      <c r="AY401" s="47">
        <v>0</v>
      </c>
      <c r="AZ401" s="47">
        <v>0</v>
      </c>
      <c r="BA401" s="47">
        <v>0</v>
      </c>
      <c r="BB401" s="47">
        <v>0</v>
      </c>
      <c r="BC401" s="47">
        <v>0</v>
      </c>
      <c r="BD401" s="47">
        <v>0</v>
      </c>
      <c r="BE401" s="47">
        <v>0</v>
      </c>
      <c r="BF401" s="47">
        <v>0</v>
      </c>
      <c r="BG401" s="47">
        <v>0</v>
      </c>
      <c r="BH401" s="47">
        <v>0</v>
      </c>
      <c r="BI401" s="47">
        <v>0</v>
      </c>
      <c r="BJ401" s="47">
        <v>0</v>
      </c>
      <c r="BK401" s="47">
        <v>0</v>
      </c>
      <c r="BL401" s="47">
        <v>0</v>
      </c>
      <c r="BM401" s="47">
        <v>0</v>
      </c>
      <c r="BN401" s="47">
        <v>0</v>
      </c>
      <c r="BO401" s="47">
        <v>0</v>
      </c>
      <c r="BP401" s="47">
        <v>0</v>
      </c>
      <c r="BQ401" s="47">
        <v>0</v>
      </c>
      <c r="BR401" s="47">
        <v>0</v>
      </c>
      <c r="BS401" s="47">
        <v>0</v>
      </c>
      <c r="BT401" s="47">
        <v>0</v>
      </c>
      <c r="BU401" s="47">
        <v>0</v>
      </c>
      <c r="BV401" s="47">
        <v>0</v>
      </c>
      <c r="BW401" s="47">
        <v>0</v>
      </c>
      <c r="BX401" s="47">
        <v>0</v>
      </c>
      <c r="BY401" s="47">
        <v>0</v>
      </c>
      <c r="BZ401" s="47">
        <v>0</v>
      </c>
      <c r="CA401" s="47">
        <v>0</v>
      </c>
      <c r="CB401" s="47">
        <v>0</v>
      </c>
      <c r="CC401" s="47">
        <v>0</v>
      </c>
      <c r="CD401" s="47">
        <v>0</v>
      </c>
      <c r="CE401" s="47">
        <v>0</v>
      </c>
      <c r="CF401" s="47">
        <v>0</v>
      </c>
      <c r="CG401" s="47">
        <v>0</v>
      </c>
      <c r="CH401" s="47">
        <v>0</v>
      </c>
      <c r="CI401" s="47">
        <v>0</v>
      </c>
      <c r="CJ401" s="47">
        <v>0</v>
      </c>
      <c r="CK401" s="47">
        <v>0</v>
      </c>
      <c r="CL401" s="47">
        <v>0</v>
      </c>
      <c r="CM401" s="47">
        <v>0</v>
      </c>
      <c r="CN401" s="47">
        <v>0</v>
      </c>
      <c r="CO401" s="47">
        <v>0</v>
      </c>
      <c r="CP401" s="47">
        <v>0</v>
      </c>
      <c r="CQ401" s="47">
        <v>0</v>
      </c>
      <c r="CR401" s="47">
        <v>0</v>
      </c>
      <c r="CS401" s="47">
        <v>0</v>
      </c>
      <c r="CT401" s="47">
        <v>0</v>
      </c>
      <c r="CU401" s="47">
        <v>0</v>
      </c>
      <c r="CV401" s="47">
        <v>0</v>
      </c>
      <c r="CW401" s="47">
        <v>0</v>
      </c>
      <c r="CX401" s="47">
        <v>0</v>
      </c>
      <c r="CY401" s="47">
        <v>0</v>
      </c>
      <c r="CZ401" s="47">
        <v>0</v>
      </c>
      <c r="DA401" s="47">
        <v>0</v>
      </c>
      <c r="DB401" s="47">
        <v>0</v>
      </c>
      <c r="DC401" s="47">
        <v>0</v>
      </c>
      <c r="DD401" s="47">
        <v>0</v>
      </c>
      <c r="DE401" s="47">
        <v>0</v>
      </c>
      <c r="DF401" s="47">
        <v>0</v>
      </c>
      <c r="DG401" s="47">
        <v>0</v>
      </c>
      <c r="DH401" s="47">
        <v>0</v>
      </c>
      <c r="DI401" s="47">
        <v>0</v>
      </c>
      <c r="DJ401" s="47">
        <v>0</v>
      </c>
      <c r="DK401" s="47">
        <v>0</v>
      </c>
      <c r="DL401" s="47">
        <v>0</v>
      </c>
      <c r="DM401" s="47">
        <v>0</v>
      </c>
      <c r="DN401" s="47">
        <v>0</v>
      </c>
      <c r="DO401" s="47">
        <v>0</v>
      </c>
      <c r="DP401" s="47">
        <v>0</v>
      </c>
      <c r="DQ401" s="47">
        <v>0</v>
      </c>
      <c r="DR401" s="47">
        <v>0</v>
      </c>
      <c r="DS401" s="47">
        <v>0</v>
      </c>
      <c r="DT401" s="47">
        <v>0</v>
      </c>
    </row>
    <row r="402" spans="1:126" x14ac:dyDescent="0.25">
      <c r="A402" s="47" t="s">
        <v>1931</v>
      </c>
      <c r="B402" s="47" t="s">
        <v>153</v>
      </c>
      <c r="C402" s="47" t="s">
        <v>1932</v>
      </c>
      <c r="D402" s="47" t="s">
        <v>1933</v>
      </c>
      <c r="E402" s="47" t="s">
        <v>1934</v>
      </c>
      <c r="F402" s="47" t="s">
        <v>698</v>
      </c>
      <c r="G402" s="47" t="s">
        <v>727</v>
      </c>
      <c r="H402" s="47" t="str">
        <f>=IFERROR(VLOOKUP(A402,'ETPT Format DDG'!A:J,10,FALSE),"")</f>
        <v>0</v>
      </c>
      <c r="I402" s="47" t="str">
        <f>='ETPT Format DDG'!M402</f>
        <v/>
      </c>
      <c r="J402" s="47" t="str">
        <f>='ETPT Format DDG'!D402</f>
        <v/>
      </c>
      <c r="K402" s="47" t="s">
        <v>157</v>
      </c>
      <c r="L402" s="47" t="s">
        <v>763</v>
      </c>
      <c r="M402" s="47"/>
      <c r="N402" s="47">
        <v>1</v>
      </c>
      <c r="O402" s="47">
        <v>0</v>
      </c>
      <c r="P402" s="47">
        <v>0</v>
      </c>
      <c r="Q402" s="47">
        <v>0</v>
      </c>
      <c r="R402" s="47">
        <v>0</v>
      </c>
      <c r="S402" s="47">
        <v>0</v>
      </c>
      <c r="T402" s="47">
        <v>0</v>
      </c>
      <c r="U402" s="47">
        <v>0</v>
      </c>
      <c r="V402" s="47">
        <v>0</v>
      </c>
      <c r="W402" s="47">
        <v>0</v>
      </c>
      <c r="X402" s="47">
        <v>0</v>
      </c>
      <c r="Y402" s="47">
        <v>0</v>
      </c>
      <c r="Z402" s="47">
        <v>0</v>
      </c>
      <c r="AA402" s="47">
        <v>0</v>
      </c>
      <c r="AB402" s="47">
        <v>0</v>
      </c>
      <c r="AC402" s="47">
        <v>0</v>
      </c>
      <c r="AD402" s="47">
        <v>0</v>
      </c>
      <c r="AE402" s="47">
        <v>0</v>
      </c>
      <c r="AF402" s="47">
        <v>0</v>
      </c>
      <c r="AG402" s="47">
        <v>0</v>
      </c>
      <c r="AH402" s="47">
        <v>0</v>
      </c>
      <c r="AI402" s="47">
        <v>0</v>
      </c>
      <c r="AJ402" s="47">
        <v>0</v>
      </c>
      <c r="AK402" s="47">
        <v>0</v>
      </c>
      <c r="AL402" s="47">
        <v>0</v>
      </c>
      <c r="AM402" s="47">
        <v>0</v>
      </c>
      <c r="AN402" s="47">
        <v>0</v>
      </c>
      <c r="AO402" s="47">
        <v>0</v>
      </c>
      <c r="AP402" s="47">
        <v>0</v>
      </c>
      <c r="AQ402" s="47">
        <v>0</v>
      </c>
      <c r="AR402" s="47">
        <v>0</v>
      </c>
      <c r="AS402" s="47">
        <v>0</v>
      </c>
      <c r="AT402" s="47">
        <v>0</v>
      </c>
      <c r="AU402" s="47">
        <v>0</v>
      </c>
      <c r="AV402" s="47">
        <v>0</v>
      </c>
      <c r="AW402" s="47">
        <v>0</v>
      </c>
      <c r="AX402" s="47">
        <v>0</v>
      </c>
      <c r="AY402" s="47">
        <v>0</v>
      </c>
      <c r="AZ402" s="47">
        <v>0</v>
      </c>
      <c r="BA402" s="47">
        <v>0</v>
      </c>
      <c r="BB402" s="47">
        <v>0</v>
      </c>
      <c r="BC402" s="47">
        <v>0</v>
      </c>
      <c r="BD402" s="47">
        <v>0</v>
      </c>
      <c r="BE402" s="47">
        <v>0</v>
      </c>
      <c r="BF402" s="47">
        <v>0</v>
      </c>
      <c r="BG402" s="47">
        <v>0</v>
      </c>
      <c r="BH402" s="47">
        <v>0</v>
      </c>
      <c r="BI402" s="47">
        <v>0</v>
      </c>
      <c r="BJ402" s="47">
        <v>0</v>
      </c>
      <c r="BK402" s="47">
        <v>0</v>
      </c>
      <c r="BL402" s="47">
        <v>0</v>
      </c>
      <c r="BM402" s="47">
        <v>0</v>
      </c>
      <c r="BN402" s="47">
        <v>0</v>
      </c>
      <c r="BO402" s="47">
        <v>0</v>
      </c>
      <c r="BP402" s="47">
        <v>0</v>
      </c>
      <c r="BQ402" s="47">
        <v>0</v>
      </c>
      <c r="BR402" s="47">
        <v>0</v>
      </c>
      <c r="BS402" s="47">
        <v>0</v>
      </c>
      <c r="BT402" s="47">
        <v>0</v>
      </c>
      <c r="BU402" s="47">
        <v>0</v>
      </c>
      <c r="BV402" s="47">
        <v>0</v>
      </c>
      <c r="BW402" s="47">
        <v>0</v>
      </c>
      <c r="BX402" s="47">
        <v>0</v>
      </c>
      <c r="BY402" s="47">
        <v>0</v>
      </c>
      <c r="BZ402" s="47">
        <v>0</v>
      </c>
      <c r="CA402" s="47">
        <v>0</v>
      </c>
      <c r="CB402" s="47">
        <v>0</v>
      </c>
      <c r="CC402" s="47">
        <v>0</v>
      </c>
      <c r="CD402" s="47">
        <v>0</v>
      </c>
      <c r="CE402" s="47">
        <v>0</v>
      </c>
      <c r="CF402" s="47">
        <v>0</v>
      </c>
      <c r="CG402" s="47">
        <v>0</v>
      </c>
      <c r="CH402" s="47">
        <v>0</v>
      </c>
      <c r="CI402" s="47">
        <v>0</v>
      </c>
      <c r="CJ402" s="47">
        <v>0</v>
      </c>
      <c r="CK402" s="47">
        <v>0</v>
      </c>
      <c r="CL402" s="47">
        <v>0</v>
      </c>
      <c r="CM402" s="47">
        <v>0</v>
      </c>
      <c r="CN402" s="47">
        <v>0</v>
      </c>
      <c r="CO402" s="47">
        <v>0</v>
      </c>
      <c r="CP402" s="47">
        <v>0</v>
      </c>
      <c r="CQ402" s="47">
        <v>0</v>
      </c>
      <c r="CR402" s="47">
        <v>0</v>
      </c>
      <c r="CS402" s="47">
        <v>0</v>
      </c>
      <c r="CT402" s="47">
        <v>0</v>
      </c>
      <c r="CU402" s="47">
        <v>0</v>
      </c>
      <c r="CV402" s="47">
        <v>0</v>
      </c>
      <c r="CW402" s="47">
        <v>0</v>
      </c>
      <c r="CX402" s="47">
        <v>0</v>
      </c>
      <c r="CY402" s="47">
        <v>0</v>
      </c>
      <c r="CZ402" s="47">
        <v>0</v>
      </c>
      <c r="DA402" s="47">
        <v>0</v>
      </c>
      <c r="DB402" s="47">
        <v>0</v>
      </c>
      <c r="DC402" s="47">
        <v>0</v>
      </c>
      <c r="DD402" s="47">
        <v>0</v>
      </c>
      <c r="DE402" s="47">
        <v>0</v>
      </c>
      <c r="DF402" s="47">
        <v>0</v>
      </c>
      <c r="DG402" s="47">
        <v>0</v>
      </c>
      <c r="DH402" s="47">
        <v>0</v>
      </c>
      <c r="DI402" s="47">
        <v>0</v>
      </c>
      <c r="DJ402" s="47">
        <v>0</v>
      </c>
      <c r="DK402" s="47">
        <v>0</v>
      </c>
      <c r="DL402" s="47">
        <v>0</v>
      </c>
      <c r="DM402" s="47">
        <v>0</v>
      </c>
      <c r="DN402" s="47">
        <v>0</v>
      </c>
      <c r="DO402" s="47">
        <v>0</v>
      </c>
      <c r="DP402" s="47">
        <v>0</v>
      </c>
      <c r="DQ402" s="47">
        <v>0</v>
      </c>
      <c r="DR402" s="47">
        <v>0</v>
      </c>
      <c r="DS402" s="47">
        <v>0</v>
      </c>
      <c r="DT402" s="47">
        <v>0</v>
      </c>
    </row>
    <row r="403" spans="1:126" x14ac:dyDescent="0.25">
      <c r="A403" s="47" t="s">
        <v>1935</v>
      </c>
      <c r="B403" s="47" t="s">
        <v>153</v>
      </c>
      <c r="C403" s="47" t="s">
        <v>1936</v>
      </c>
      <c r="D403" s="47" t="s">
        <v>1937</v>
      </c>
      <c r="E403" s="47" t="s">
        <v>1938</v>
      </c>
      <c r="F403" s="47" t="s">
        <v>698</v>
      </c>
      <c r="G403" s="47" t="s">
        <v>727</v>
      </c>
      <c r="H403" s="47" t="str">
        <f>=IFERROR(VLOOKUP(A403,'ETPT Format DDG'!A:J,10,FALSE),"")</f>
        <v>0</v>
      </c>
      <c r="I403" s="47" t="str">
        <f>='ETPT Format DDG'!M403</f>
        <v/>
      </c>
      <c r="J403" s="47" t="str">
        <f>='ETPT Format DDG'!D403</f>
        <v/>
      </c>
      <c r="K403" s="47" t="s">
        <v>157</v>
      </c>
      <c r="L403" s="47" t="s">
        <v>1414</v>
      </c>
      <c r="M403" s="47"/>
      <c r="N403" s="47">
        <v>1</v>
      </c>
      <c r="O403" s="47">
        <v>1</v>
      </c>
      <c r="P403" s="47">
        <v>0</v>
      </c>
      <c r="Q403" s="47">
        <v>0</v>
      </c>
      <c r="R403" s="47">
        <v>0</v>
      </c>
      <c r="S403" s="47">
        <v>0</v>
      </c>
      <c r="T403" s="47">
        <v>0</v>
      </c>
      <c r="U403" s="47">
        <v>0</v>
      </c>
      <c r="V403" s="47">
        <v>0</v>
      </c>
      <c r="W403" s="47">
        <v>0</v>
      </c>
      <c r="X403" s="47">
        <v>0</v>
      </c>
      <c r="Y403" s="47">
        <v>0</v>
      </c>
      <c r="Z403" s="47">
        <v>0</v>
      </c>
      <c r="AA403" s="47">
        <v>0</v>
      </c>
      <c r="AB403" s="47">
        <v>0</v>
      </c>
      <c r="AC403" s="47">
        <v>0</v>
      </c>
      <c r="AD403" s="47">
        <v>0</v>
      </c>
      <c r="AE403" s="47">
        <v>0</v>
      </c>
      <c r="AF403" s="47">
        <v>0</v>
      </c>
      <c r="AG403" s="47">
        <v>0</v>
      </c>
      <c r="AH403" s="47">
        <v>0</v>
      </c>
      <c r="AI403" s="47">
        <v>0</v>
      </c>
      <c r="AJ403" s="47">
        <v>0</v>
      </c>
      <c r="AK403" s="47">
        <v>0</v>
      </c>
      <c r="AL403" s="47">
        <v>0</v>
      </c>
      <c r="AM403" s="47">
        <v>0</v>
      </c>
      <c r="AN403" s="47">
        <v>0</v>
      </c>
      <c r="AO403" s="47">
        <v>0</v>
      </c>
      <c r="AP403" s="47">
        <v>0</v>
      </c>
      <c r="AQ403" s="47">
        <v>0</v>
      </c>
      <c r="AR403" s="47">
        <v>0</v>
      </c>
      <c r="AS403" s="47">
        <v>0</v>
      </c>
      <c r="AT403" s="47">
        <v>0</v>
      </c>
      <c r="AU403" s="47">
        <v>0</v>
      </c>
      <c r="AV403" s="47">
        <v>0</v>
      </c>
      <c r="AW403" s="47">
        <v>0</v>
      </c>
      <c r="AX403" s="47">
        <v>0</v>
      </c>
      <c r="AY403" s="47">
        <v>0</v>
      </c>
      <c r="AZ403" s="47">
        <v>0</v>
      </c>
      <c r="BA403" s="47">
        <v>0</v>
      </c>
      <c r="BB403" s="47">
        <v>0</v>
      </c>
      <c r="BC403" s="47">
        <v>0</v>
      </c>
      <c r="BD403" s="47">
        <v>0</v>
      </c>
      <c r="BE403" s="47">
        <v>0</v>
      </c>
      <c r="BF403" s="47">
        <v>0</v>
      </c>
      <c r="BG403" s="47">
        <v>0</v>
      </c>
      <c r="BH403" s="47">
        <v>0</v>
      </c>
      <c r="BI403" s="47">
        <v>0</v>
      </c>
      <c r="BJ403" s="47">
        <v>0</v>
      </c>
      <c r="BK403" s="47">
        <v>0</v>
      </c>
      <c r="BL403" s="47">
        <v>0</v>
      </c>
      <c r="BM403" s="47">
        <v>0</v>
      </c>
      <c r="BN403" s="47">
        <v>0</v>
      </c>
      <c r="BO403" s="47">
        <v>0</v>
      </c>
      <c r="BP403" s="47">
        <v>0</v>
      </c>
      <c r="BQ403" s="47">
        <v>0</v>
      </c>
      <c r="BR403" s="47">
        <v>0</v>
      </c>
      <c r="BS403" s="47">
        <v>0</v>
      </c>
      <c r="BT403" s="47">
        <v>0</v>
      </c>
      <c r="BU403" s="47">
        <v>0</v>
      </c>
      <c r="BV403" s="47">
        <v>0</v>
      </c>
      <c r="BW403" s="47">
        <v>0</v>
      </c>
      <c r="BX403" s="47">
        <v>0</v>
      </c>
      <c r="BY403" s="47">
        <v>0</v>
      </c>
      <c r="BZ403" s="47">
        <v>0</v>
      </c>
      <c r="CA403" s="47">
        <v>0</v>
      </c>
      <c r="CB403" s="47">
        <v>0</v>
      </c>
      <c r="CC403" s="47">
        <v>0</v>
      </c>
      <c r="CD403" s="47">
        <v>0</v>
      </c>
      <c r="CE403" s="47">
        <v>0</v>
      </c>
      <c r="CF403" s="47">
        <v>0</v>
      </c>
      <c r="CG403" s="47">
        <v>0</v>
      </c>
      <c r="CH403" s="47">
        <v>0</v>
      </c>
      <c r="CI403" s="47">
        <v>0</v>
      </c>
      <c r="CJ403" s="47">
        <v>0</v>
      </c>
      <c r="CK403" s="47">
        <v>0</v>
      </c>
      <c r="CL403" s="47">
        <v>1</v>
      </c>
      <c r="CM403" s="47">
        <v>0</v>
      </c>
      <c r="CN403" s="47">
        <v>0</v>
      </c>
      <c r="CO403" s="47">
        <v>0</v>
      </c>
      <c r="CP403" s="47">
        <v>0</v>
      </c>
      <c r="CQ403" s="47">
        <v>0</v>
      </c>
      <c r="CR403" s="47">
        <v>0</v>
      </c>
      <c r="CS403" s="47">
        <v>0</v>
      </c>
      <c r="CT403" s="47">
        <v>0</v>
      </c>
      <c r="CU403" s="47">
        <v>0</v>
      </c>
      <c r="CV403" s="47">
        <v>0</v>
      </c>
      <c r="CW403" s="47">
        <v>0</v>
      </c>
      <c r="CX403" s="47">
        <v>0</v>
      </c>
      <c r="CY403" s="47">
        <v>0</v>
      </c>
      <c r="CZ403" s="47">
        <v>0</v>
      </c>
      <c r="DA403" s="47">
        <v>0</v>
      </c>
      <c r="DB403" s="47">
        <v>0</v>
      </c>
      <c r="DC403" s="47">
        <v>0</v>
      </c>
      <c r="DD403" s="47">
        <v>0</v>
      </c>
      <c r="DE403" s="47">
        <v>0</v>
      </c>
      <c r="DF403" s="47">
        <v>0</v>
      </c>
      <c r="DG403" s="47">
        <v>0</v>
      </c>
      <c r="DH403" s="47">
        <v>0</v>
      </c>
      <c r="DI403" s="47">
        <v>0</v>
      </c>
      <c r="DJ403" s="47">
        <v>0</v>
      </c>
      <c r="DK403" s="47">
        <v>0</v>
      </c>
      <c r="DL403" s="47">
        <v>0</v>
      </c>
      <c r="DM403" s="47">
        <v>0</v>
      </c>
      <c r="DN403" s="47">
        <v>0</v>
      </c>
      <c r="DO403" s="47">
        <v>0</v>
      </c>
      <c r="DP403" s="47">
        <v>0</v>
      </c>
      <c r="DQ403" s="47">
        <v>0</v>
      </c>
      <c r="DR403" s="47">
        <v>0</v>
      </c>
      <c r="DS403" s="47">
        <v>0</v>
      </c>
      <c r="DT403" s="47">
        <v>0</v>
      </c>
    </row>
    <row r="404" spans="1:126" x14ac:dyDescent="0.25">
      <c r="A404" s="47" t="s">
        <v>1939</v>
      </c>
      <c r="B404" s="47" t="s">
        <v>153</v>
      </c>
      <c r="C404" s="47" t="s">
        <v>1940</v>
      </c>
      <c r="D404" s="47" t="s">
        <v>1941</v>
      </c>
      <c r="E404" s="47" t="s">
        <v>1942</v>
      </c>
      <c r="F404" s="47" t="s">
        <v>698</v>
      </c>
      <c r="G404" s="47" t="s">
        <v>705</v>
      </c>
      <c r="H404" s="47" t="str">
        <f>=IFERROR(VLOOKUP(A404,'ETPT Format DDG'!A:J,10,FALSE),"")</f>
        <v>0</v>
      </c>
      <c r="I404" s="47" t="str">
        <f>='ETPT Format DDG'!M404</f>
        <v/>
      </c>
      <c r="J404" s="47" t="str">
        <f>='ETPT Format DDG'!D404</f>
        <v/>
      </c>
      <c r="K404" s="47" t="s">
        <v>157</v>
      </c>
      <c r="L404" s="47" t="s">
        <v>1309</v>
      </c>
      <c r="M404" s="47"/>
      <c r="N404" s="47">
        <v>1</v>
      </c>
      <c r="O404" s="47">
        <v>0</v>
      </c>
      <c r="P404" s="47">
        <v>0</v>
      </c>
      <c r="Q404" s="47">
        <v>0</v>
      </c>
      <c r="R404" s="47">
        <v>0</v>
      </c>
      <c r="S404" s="47">
        <v>0</v>
      </c>
      <c r="T404" s="47">
        <v>0</v>
      </c>
      <c r="U404" s="47">
        <v>0</v>
      </c>
      <c r="V404" s="47">
        <v>0</v>
      </c>
      <c r="W404" s="47">
        <v>0</v>
      </c>
      <c r="X404" s="47">
        <v>0</v>
      </c>
      <c r="Y404" s="47">
        <v>0</v>
      </c>
      <c r="Z404" s="47">
        <v>0</v>
      </c>
      <c r="AA404" s="47">
        <v>0</v>
      </c>
      <c r="AB404" s="47">
        <v>0</v>
      </c>
      <c r="AC404" s="47">
        <v>0</v>
      </c>
      <c r="AD404" s="47">
        <v>0</v>
      </c>
      <c r="AE404" s="47">
        <v>0</v>
      </c>
      <c r="AF404" s="47">
        <v>0</v>
      </c>
      <c r="AG404" s="47">
        <v>0</v>
      </c>
      <c r="AH404" s="47">
        <v>0</v>
      </c>
      <c r="AI404" s="47">
        <v>0</v>
      </c>
      <c r="AJ404" s="47">
        <v>0</v>
      </c>
      <c r="AK404" s="47">
        <v>0</v>
      </c>
      <c r="AL404" s="47">
        <v>0</v>
      </c>
      <c r="AM404" s="47">
        <v>0</v>
      </c>
      <c r="AN404" s="47">
        <v>0</v>
      </c>
      <c r="AO404" s="47">
        <v>0</v>
      </c>
      <c r="AP404" s="47">
        <v>0</v>
      </c>
      <c r="AQ404" s="47">
        <v>0</v>
      </c>
      <c r="AR404" s="47">
        <v>0</v>
      </c>
      <c r="AS404" s="47">
        <v>0</v>
      </c>
      <c r="AT404" s="47">
        <v>0</v>
      </c>
      <c r="AU404" s="47">
        <v>0</v>
      </c>
      <c r="AV404" s="47">
        <v>0</v>
      </c>
      <c r="AW404" s="47">
        <v>0</v>
      </c>
      <c r="AX404" s="47">
        <v>0</v>
      </c>
      <c r="AY404" s="47">
        <v>0</v>
      </c>
      <c r="AZ404" s="47">
        <v>0</v>
      </c>
      <c r="BA404" s="47">
        <v>0</v>
      </c>
      <c r="BB404" s="47">
        <v>0</v>
      </c>
      <c r="BC404" s="47">
        <v>0</v>
      </c>
      <c r="BD404" s="47">
        <v>0</v>
      </c>
      <c r="BE404" s="47">
        <v>0</v>
      </c>
      <c r="BF404" s="47">
        <v>0</v>
      </c>
      <c r="BG404" s="47">
        <v>0</v>
      </c>
      <c r="BH404" s="47">
        <v>0</v>
      </c>
      <c r="BI404" s="47">
        <v>0</v>
      </c>
      <c r="BJ404" s="47">
        <v>0</v>
      </c>
      <c r="BK404" s="47">
        <v>0</v>
      </c>
      <c r="BL404" s="47">
        <v>0</v>
      </c>
      <c r="BM404" s="47">
        <v>0</v>
      </c>
      <c r="BN404" s="47">
        <v>0</v>
      </c>
      <c r="BO404" s="47">
        <v>0</v>
      </c>
      <c r="BP404" s="47">
        <v>0</v>
      </c>
      <c r="BQ404" s="47">
        <v>0</v>
      </c>
      <c r="BR404" s="47">
        <v>0</v>
      </c>
      <c r="BS404" s="47">
        <v>0</v>
      </c>
      <c r="BT404" s="47">
        <v>0</v>
      </c>
      <c r="BU404" s="47">
        <v>0</v>
      </c>
      <c r="BV404" s="47">
        <v>0</v>
      </c>
      <c r="BW404" s="47">
        <v>0</v>
      </c>
      <c r="BX404" s="47">
        <v>0</v>
      </c>
      <c r="BY404" s="47">
        <v>0</v>
      </c>
      <c r="BZ404" s="47">
        <v>0</v>
      </c>
      <c r="CA404" s="47">
        <v>0</v>
      </c>
      <c r="CB404" s="47">
        <v>0</v>
      </c>
      <c r="CC404" s="47">
        <v>0</v>
      </c>
      <c r="CD404" s="47">
        <v>0</v>
      </c>
      <c r="CE404" s="47">
        <v>0</v>
      </c>
      <c r="CF404" s="47">
        <v>0</v>
      </c>
      <c r="CG404" s="47">
        <v>0</v>
      </c>
      <c r="CH404" s="47">
        <v>0</v>
      </c>
      <c r="CI404" s="47">
        <v>0</v>
      </c>
      <c r="CJ404" s="47">
        <v>0</v>
      </c>
      <c r="CK404" s="47">
        <v>0</v>
      </c>
      <c r="CL404" s="47">
        <v>0</v>
      </c>
      <c r="CM404" s="47">
        <v>0</v>
      </c>
      <c r="CN404" s="47">
        <v>0</v>
      </c>
      <c r="CO404" s="47">
        <v>0</v>
      </c>
      <c r="CP404" s="47">
        <v>0</v>
      </c>
      <c r="CQ404" s="47">
        <v>0</v>
      </c>
      <c r="CR404" s="47">
        <v>0</v>
      </c>
      <c r="CS404" s="47">
        <v>0</v>
      </c>
      <c r="CT404" s="47">
        <v>0</v>
      </c>
      <c r="CU404" s="47">
        <v>0</v>
      </c>
      <c r="CV404" s="47">
        <v>0</v>
      </c>
      <c r="CW404" s="47">
        <v>0</v>
      </c>
      <c r="CX404" s="47">
        <v>0</v>
      </c>
      <c r="CY404" s="47">
        <v>0</v>
      </c>
      <c r="CZ404" s="47">
        <v>0</v>
      </c>
      <c r="DA404" s="47">
        <v>0</v>
      </c>
      <c r="DB404" s="47">
        <v>0</v>
      </c>
      <c r="DC404" s="47">
        <v>0</v>
      </c>
      <c r="DD404" s="47">
        <v>0</v>
      </c>
      <c r="DE404" s="47">
        <v>0</v>
      </c>
      <c r="DF404" s="47">
        <v>0</v>
      </c>
      <c r="DG404" s="47">
        <v>0</v>
      </c>
      <c r="DH404" s="47">
        <v>0</v>
      </c>
      <c r="DI404" s="47">
        <v>0</v>
      </c>
      <c r="DJ404" s="47">
        <v>0</v>
      </c>
      <c r="DK404" s="47">
        <v>0</v>
      </c>
      <c r="DL404" s="47">
        <v>0</v>
      </c>
      <c r="DM404" s="47">
        <v>0</v>
      </c>
      <c r="DN404" s="47">
        <v>0</v>
      </c>
      <c r="DO404" s="47">
        <v>0</v>
      </c>
      <c r="DP404" s="47">
        <v>0</v>
      </c>
      <c r="DQ404" s="47">
        <v>0</v>
      </c>
      <c r="DR404" s="47">
        <v>0</v>
      </c>
      <c r="DS404" s="47">
        <v>0</v>
      </c>
      <c r="DT404" s="47">
        <v>0</v>
      </c>
    </row>
    <row r="405" spans="1:126" x14ac:dyDescent="0.25">
      <c r="A405" s="47" t="s">
        <v>1943</v>
      </c>
      <c r="B405" s="47" t="s">
        <v>153</v>
      </c>
      <c r="C405" s="47" t="s">
        <v>1944</v>
      </c>
      <c r="D405" s="47" t="s">
        <v>1945</v>
      </c>
      <c r="E405" s="47" t="s">
        <v>1946</v>
      </c>
      <c r="F405" s="47" t="s">
        <v>698</v>
      </c>
      <c r="G405" s="47" t="s">
        <v>727</v>
      </c>
      <c r="H405" s="47" t="str">
        <f>=IFERROR(VLOOKUP(A405,'ETPT Format DDG'!A:J,10,FALSE),"")</f>
        <v>0</v>
      </c>
      <c r="I405" s="47" t="str">
        <f>='ETPT Format DDG'!M405</f>
        <v/>
      </c>
      <c r="J405" s="47" t="str">
        <f>='ETPT Format DDG'!D405</f>
        <v/>
      </c>
      <c r="K405" s="47" t="s">
        <v>157</v>
      </c>
      <c r="L405" s="47" t="s">
        <v>1947</v>
      </c>
      <c r="M405" s="47"/>
      <c r="N405" s="47">
        <v>1</v>
      </c>
      <c r="O405" s="47">
        <v>0</v>
      </c>
      <c r="P405" s="47">
        <v>0</v>
      </c>
      <c r="Q405" s="47">
        <v>0</v>
      </c>
      <c r="R405" s="47">
        <v>0</v>
      </c>
      <c r="S405" s="47">
        <v>0</v>
      </c>
      <c r="T405" s="47">
        <v>0</v>
      </c>
      <c r="U405" s="47">
        <v>0</v>
      </c>
      <c r="V405" s="47">
        <v>0</v>
      </c>
      <c r="W405" s="47">
        <v>0</v>
      </c>
      <c r="X405" s="47">
        <v>0</v>
      </c>
      <c r="Y405" s="47">
        <v>0</v>
      </c>
      <c r="Z405" s="47">
        <v>0</v>
      </c>
      <c r="AA405" s="47">
        <v>0</v>
      </c>
      <c r="AB405" s="47">
        <v>0</v>
      </c>
      <c r="AC405" s="47">
        <v>0</v>
      </c>
      <c r="AD405" s="47">
        <v>0</v>
      </c>
      <c r="AE405" s="47">
        <v>0</v>
      </c>
      <c r="AF405" s="47">
        <v>0</v>
      </c>
      <c r="AG405" s="47">
        <v>0</v>
      </c>
      <c r="AH405" s="47">
        <v>0</v>
      </c>
      <c r="AI405" s="47">
        <v>0</v>
      </c>
      <c r="AJ405" s="47">
        <v>0</v>
      </c>
      <c r="AK405" s="47">
        <v>0</v>
      </c>
      <c r="AL405" s="47">
        <v>0</v>
      </c>
      <c r="AM405" s="47">
        <v>0</v>
      </c>
      <c r="AN405" s="47">
        <v>0</v>
      </c>
      <c r="AO405" s="47">
        <v>0</v>
      </c>
      <c r="AP405" s="47">
        <v>0</v>
      </c>
      <c r="AQ405" s="47">
        <v>0</v>
      </c>
      <c r="AR405" s="47">
        <v>0</v>
      </c>
      <c r="AS405" s="47">
        <v>0</v>
      </c>
      <c r="AT405" s="47">
        <v>0</v>
      </c>
      <c r="AU405" s="47">
        <v>0</v>
      </c>
      <c r="AV405" s="47">
        <v>0</v>
      </c>
      <c r="AW405" s="47">
        <v>0</v>
      </c>
      <c r="AX405" s="47">
        <v>0</v>
      </c>
      <c r="AY405" s="47">
        <v>0</v>
      </c>
      <c r="AZ405" s="47">
        <v>0</v>
      </c>
      <c r="BA405" s="47">
        <v>0</v>
      </c>
      <c r="BB405" s="47">
        <v>0</v>
      </c>
      <c r="BC405" s="47">
        <v>0</v>
      </c>
      <c r="BD405" s="47">
        <v>0</v>
      </c>
      <c r="BE405" s="47">
        <v>0</v>
      </c>
      <c r="BF405" s="47">
        <v>0</v>
      </c>
      <c r="BG405" s="47">
        <v>0</v>
      </c>
      <c r="BH405" s="47">
        <v>0</v>
      </c>
      <c r="BI405" s="47">
        <v>0</v>
      </c>
      <c r="BJ405" s="47">
        <v>0</v>
      </c>
      <c r="BK405" s="47">
        <v>0</v>
      </c>
      <c r="BL405" s="47">
        <v>0</v>
      </c>
      <c r="BM405" s="47">
        <v>0</v>
      </c>
      <c r="BN405" s="47">
        <v>0</v>
      </c>
      <c r="BO405" s="47">
        <v>0</v>
      </c>
      <c r="BP405" s="47">
        <v>0</v>
      </c>
      <c r="BQ405" s="47">
        <v>0</v>
      </c>
      <c r="BR405" s="47">
        <v>0</v>
      </c>
      <c r="BS405" s="47">
        <v>0</v>
      </c>
      <c r="BT405" s="47">
        <v>0</v>
      </c>
      <c r="BU405" s="47">
        <v>0</v>
      </c>
      <c r="BV405" s="47">
        <v>0</v>
      </c>
      <c r="BW405" s="47">
        <v>0</v>
      </c>
      <c r="BX405" s="47">
        <v>0</v>
      </c>
      <c r="BY405" s="47">
        <v>0</v>
      </c>
      <c r="BZ405" s="47">
        <v>0</v>
      </c>
      <c r="CA405" s="47">
        <v>0</v>
      </c>
      <c r="CB405" s="47">
        <v>0</v>
      </c>
      <c r="CC405" s="47">
        <v>0</v>
      </c>
      <c r="CD405" s="47">
        <v>0</v>
      </c>
      <c r="CE405" s="47">
        <v>0</v>
      </c>
      <c r="CF405" s="47">
        <v>0</v>
      </c>
      <c r="CG405" s="47">
        <v>0</v>
      </c>
      <c r="CH405" s="47">
        <v>0</v>
      </c>
      <c r="CI405" s="47">
        <v>0</v>
      </c>
      <c r="CJ405" s="47">
        <v>0</v>
      </c>
      <c r="CK405" s="47">
        <v>0</v>
      </c>
      <c r="CL405" s="47">
        <v>0</v>
      </c>
      <c r="CM405" s="47">
        <v>0</v>
      </c>
      <c r="CN405" s="47">
        <v>0</v>
      </c>
      <c r="CO405" s="47">
        <v>0</v>
      </c>
      <c r="CP405" s="47">
        <v>0</v>
      </c>
      <c r="CQ405" s="47">
        <v>0</v>
      </c>
      <c r="CR405" s="47">
        <v>0</v>
      </c>
      <c r="CS405" s="47">
        <v>0</v>
      </c>
      <c r="CT405" s="47">
        <v>0</v>
      </c>
      <c r="CU405" s="47">
        <v>0</v>
      </c>
      <c r="CV405" s="47">
        <v>0</v>
      </c>
      <c r="CW405" s="47">
        <v>0</v>
      </c>
      <c r="CX405" s="47">
        <v>0</v>
      </c>
      <c r="CY405" s="47">
        <v>0</v>
      </c>
      <c r="CZ405" s="47">
        <v>0</v>
      </c>
      <c r="DA405" s="47">
        <v>0</v>
      </c>
      <c r="DB405" s="47">
        <v>0</v>
      </c>
      <c r="DC405" s="47">
        <v>0</v>
      </c>
      <c r="DD405" s="47">
        <v>0</v>
      </c>
      <c r="DE405" s="47">
        <v>0</v>
      </c>
      <c r="DF405" s="47">
        <v>0</v>
      </c>
      <c r="DG405" s="47">
        <v>0</v>
      </c>
      <c r="DH405" s="47">
        <v>0</v>
      </c>
      <c r="DI405" s="47">
        <v>0</v>
      </c>
      <c r="DJ405" s="47">
        <v>0</v>
      </c>
      <c r="DK405" s="47">
        <v>0</v>
      </c>
      <c r="DL405" s="47">
        <v>0</v>
      </c>
      <c r="DM405" s="47">
        <v>0</v>
      </c>
      <c r="DN405" s="47">
        <v>0</v>
      </c>
      <c r="DO405" s="47">
        <v>0</v>
      </c>
      <c r="DP405" s="47">
        <v>0</v>
      </c>
      <c r="DQ405" s="47">
        <v>0</v>
      </c>
      <c r="DR405" s="47">
        <v>0</v>
      </c>
      <c r="DS405" s="47">
        <v>0</v>
      </c>
      <c r="DT405" s="47">
        <v>0</v>
      </c>
    </row>
    <row r="406" spans="1:126" x14ac:dyDescent="0.25">
      <c r="A406" s="47" t="s">
        <v>1948</v>
      </c>
      <c r="B406" s="47" t="s">
        <v>153</v>
      </c>
      <c r="C406" s="47" t="s">
        <v>1949</v>
      </c>
      <c r="D406" s="47" t="s">
        <v>1950</v>
      </c>
      <c r="E406" s="47" t="s">
        <v>1951</v>
      </c>
      <c r="F406" s="47" t="s">
        <v>698</v>
      </c>
      <c r="G406" s="47" t="s">
        <v>727</v>
      </c>
      <c r="H406" s="47" t="str">
        <f>=IFERROR(VLOOKUP(A406,'ETPT Format DDG'!A:J,10,FALSE),"")</f>
        <v>0</v>
      </c>
      <c r="I406" s="47" t="str">
        <f>='ETPT Format DDG'!M406</f>
        <v/>
      </c>
      <c r="J406" s="47" t="str">
        <f>='ETPT Format DDG'!D406</f>
        <v/>
      </c>
      <c r="K406" s="47" t="s">
        <v>157</v>
      </c>
      <c r="L406" s="47" t="s">
        <v>1952</v>
      </c>
      <c r="M406" s="47"/>
      <c r="N406" s="47">
        <v>0.8</v>
      </c>
      <c r="O406" s="47">
        <v>0.8</v>
      </c>
      <c r="P406" s="47">
        <v>0</v>
      </c>
      <c r="Q406" s="47">
        <v>0</v>
      </c>
      <c r="R406" s="47">
        <v>0</v>
      </c>
      <c r="S406" s="47">
        <v>0</v>
      </c>
      <c r="T406" s="47">
        <v>0</v>
      </c>
      <c r="U406" s="47">
        <v>0</v>
      </c>
      <c r="V406" s="47">
        <v>0</v>
      </c>
      <c r="W406" s="47">
        <v>0</v>
      </c>
      <c r="X406" s="47">
        <v>0</v>
      </c>
      <c r="Y406" s="47">
        <v>0</v>
      </c>
      <c r="Z406" s="47">
        <v>0</v>
      </c>
      <c r="AA406" s="47">
        <v>0</v>
      </c>
      <c r="AB406" s="47">
        <v>0</v>
      </c>
      <c r="AC406" s="47">
        <v>0</v>
      </c>
      <c r="AD406" s="47">
        <v>0</v>
      </c>
      <c r="AE406" s="47">
        <v>0.8</v>
      </c>
      <c r="AF406" s="47">
        <v>0</v>
      </c>
      <c r="AG406" s="47">
        <v>0</v>
      </c>
      <c r="AH406" s="47">
        <v>0</v>
      </c>
      <c r="AI406" s="47">
        <v>0</v>
      </c>
      <c r="AJ406" s="47">
        <v>0</v>
      </c>
      <c r="AK406" s="47">
        <v>0</v>
      </c>
      <c r="AL406" s="47">
        <v>0</v>
      </c>
      <c r="AM406" s="47">
        <v>0</v>
      </c>
      <c r="AN406" s="47">
        <v>0</v>
      </c>
      <c r="AO406" s="47">
        <v>0</v>
      </c>
      <c r="AP406" s="47">
        <v>0</v>
      </c>
      <c r="AQ406" s="47">
        <v>0</v>
      </c>
      <c r="AR406" s="47">
        <v>0</v>
      </c>
      <c r="AS406" s="47">
        <v>0</v>
      </c>
      <c r="AT406" s="47">
        <v>0</v>
      </c>
      <c r="AU406" s="47">
        <v>0</v>
      </c>
      <c r="AV406" s="47">
        <v>0</v>
      </c>
      <c r="AW406" s="47">
        <v>0</v>
      </c>
      <c r="AX406" s="47">
        <v>0</v>
      </c>
      <c r="AY406" s="47">
        <v>0</v>
      </c>
      <c r="AZ406" s="47">
        <v>0</v>
      </c>
      <c r="BA406" s="47">
        <v>0</v>
      </c>
      <c r="BB406" s="47">
        <v>0</v>
      </c>
      <c r="BC406" s="47">
        <v>0</v>
      </c>
      <c r="BD406" s="47">
        <v>0</v>
      </c>
      <c r="BE406" s="47">
        <v>0</v>
      </c>
      <c r="BF406" s="47">
        <v>0</v>
      </c>
      <c r="BG406" s="47">
        <v>0</v>
      </c>
      <c r="BH406" s="47">
        <v>0</v>
      </c>
      <c r="BI406" s="47">
        <v>0</v>
      </c>
      <c r="BJ406" s="47">
        <v>0</v>
      </c>
      <c r="BK406" s="47">
        <v>0</v>
      </c>
      <c r="BL406" s="47">
        <v>0</v>
      </c>
      <c r="BM406" s="47">
        <v>0</v>
      </c>
      <c r="BN406" s="47">
        <v>0</v>
      </c>
      <c r="BO406" s="47">
        <v>0</v>
      </c>
      <c r="BP406" s="47">
        <v>0</v>
      </c>
      <c r="BQ406" s="47">
        <v>0</v>
      </c>
      <c r="BR406" s="47">
        <v>0</v>
      </c>
      <c r="BS406" s="47">
        <v>0</v>
      </c>
      <c r="BT406" s="47">
        <v>0</v>
      </c>
      <c r="BU406" s="47">
        <v>0</v>
      </c>
      <c r="BV406" s="47">
        <v>0</v>
      </c>
      <c r="BW406" s="47">
        <v>0</v>
      </c>
      <c r="BX406" s="47">
        <v>0</v>
      </c>
      <c r="BY406" s="47">
        <v>0</v>
      </c>
      <c r="BZ406" s="47">
        <v>0</v>
      </c>
      <c r="CA406" s="47">
        <v>0</v>
      </c>
      <c r="CB406" s="47">
        <v>0</v>
      </c>
      <c r="CC406" s="47">
        <v>0</v>
      </c>
      <c r="CD406" s="47">
        <v>0</v>
      </c>
      <c r="CE406" s="47">
        <v>0</v>
      </c>
      <c r="CF406" s="47">
        <v>0</v>
      </c>
      <c r="CG406" s="47">
        <v>0</v>
      </c>
      <c r="CH406" s="47">
        <v>0</v>
      </c>
      <c r="CI406" s="47">
        <v>0</v>
      </c>
      <c r="CJ406" s="47">
        <v>0</v>
      </c>
      <c r="CK406" s="47">
        <v>0</v>
      </c>
      <c r="CL406" s="47">
        <v>0</v>
      </c>
      <c r="CM406" s="47">
        <v>0</v>
      </c>
      <c r="CN406" s="47">
        <v>0</v>
      </c>
      <c r="CO406" s="47">
        <v>0</v>
      </c>
      <c r="CP406" s="47">
        <v>0</v>
      </c>
      <c r="CQ406" s="47">
        <v>0</v>
      </c>
      <c r="CR406" s="47">
        <v>0</v>
      </c>
      <c r="CS406" s="47">
        <v>0</v>
      </c>
      <c r="CT406" s="47">
        <v>0</v>
      </c>
      <c r="CU406" s="47">
        <v>0</v>
      </c>
      <c r="CV406" s="47">
        <v>0</v>
      </c>
      <c r="CW406" s="47">
        <v>0</v>
      </c>
      <c r="CX406" s="47">
        <v>0</v>
      </c>
      <c r="CY406" s="47">
        <v>0</v>
      </c>
      <c r="CZ406" s="47">
        <v>0</v>
      </c>
      <c r="DA406" s="47">
        <v>0</v>
      </c>
      <c r="DB406" s="47">
        <v>0</v>
      </c>
      <c r="DC406" s="47">
        <v>0</v>
      </c>
      <c r="DD406" s="47">
        <v>0</v>
      </c>
      <c r="DE406" s="47">
        <v>0</v>
      </c>
      <c r="DF406" s="47">
        <v>0</v>
      </c>
      <c r="DG406" s="47">
        <v>0</v>
      </c>
      <c r="DH406" s="47">
        <v>0</v>
      </c>
      <c r="DI406" s="47">
        <v>0</v>
      </c>
      <c r="DJ406" s="47">
        <v>0</v>
      </c>
      <c r="DK406" s="47">
        <v>0</v>
      </c>
      <c r="DL406" s="47">
        <v>0</v>
      </c>
      <c r="DM406" s="47">
        <v>0</v>
      </c>
      <c r="DN406" s="47">
        <v>0</v>
      </c>
      <c r="DO406" s="47">
        <v>0</v>
      </c>
      <c r="DP406" s="47">
        <v>0</v>
      </c>
      <c r="DQ406" s="47">
        <v>0</v>
      </c>
      <c r="DR406" s="47">
        <v>0</v>
      </c>
      <c r="DS406" s="47">
        <v>0</v>
      </c>
      <c r="DT406" s="47">
        <v>0</v>
      </c>
    </row>
    <row r="407" spans="1:126" x14ac:dyDescent="0.25">
      <c r="A407" s="47" t="s">
        <v>1953</v>
      </c>
      <c r="B407" s="47" t="s">
        <v>153</v>
      </c>
      <c r="C407" s="47" t="s">
        <v>1954</v>
      </c>
      <c r="D407" s="47" t="s">
        <v>1955</v>
      </c>
      <c r="E407" s="47" t="s">
        <v>1956</v>
      </c>
      <c r="F407" s="47" t="s">
        <v>698</v>
      </c>
      <c r="G407" s="47" t="s">
        <v>705</v>
      </c>
      <c r="H407" s="47" t="str">
        <f>=IFERROR(VLOOKUP(A407,'ETPT Format DDG'!A:J,10,FALSE),"")</f>
        <v>0</v>
      </c>
      <c r="I407" s="47" t="str">
        <f>='ETPT Format DDG'!M407</f>
        <v/>
      </c>
      <c r="J407" s="47" t="str">
        <f>='ETPT Format DDG'!D407</f>
        <v/>
      </c>
      <c r="K407" s="47" t="s">
        <v>157</v>
      </c>
      <c r="L407" s="47" t="s">
        <v>871</v>
      </c>
      <c r="M407" s="47"/>
      <c r="N407" s="47">
        <v>1</v>
      </c>
      <c r="O407" s="47">
        <v>0</v>
      </c>
      <c r="P407" s="47">
        <v>0</v>
      </c>
      <c r="Q407" s="47">
        <v>0</v>
      </c>
      <c r="R407" s="47">
        <v>0</v>
      </c>
      <c r="S407" s="47">
        <v>0</v>
      </c>
      <c r="T407" s="47">
        <v>0</v>
      </c>
      <c r="U407" s="47">
        <v>0</v>
      </c>
      <c r="V407" s="47">
        <v>0</v>
      </c>
      <c r="W407" s="47">
        <v>0</v>
      </c>
      <c r="X407" s="47">
        <v>0</v>
      </c>
      <c r="Y407" s="47">
        <v>0</v>
      </c>
      <c r="Z407" s="47">
        <v>0</v>
      </c>
      <c r="AA407" s="47">
        <v>0</v>
      </c>
      <c r="AB407" s="47">
        <v>0</v>
      </c>
      <c r="AC407" s="47">
        <v>0</v>
      </c>
      <c r="AD407" s="47">
        <v>0</v>
      </c>
      <c r="AE407" s="47">
        <v>0</v>
      </c>
      <c r="AF407" s="47">
        <v>0</v>
      </c>
      <c r="AG407" s="47">
        <v>0</v>
      </c>
      <c r="AH407" s="47">
        <v>0</v>
      </c>
      <c r="AI407" s="47">
        <v>0</v>
      </c>
      <c r="AJ407" s="47">
        <v>0</v>
      </c>
      <c r="AK407" s="47">
        <v>0</v>
      </c>
      <c r="AL407" s="47">
        <v>0</v>
      </c>
      <c r="AM407" s="47">
        <v>0</v>
      </c>
      <c r="AN407" s="47">
        <v>0</v>
      </c>
      <c r="AO407" s="47">
        <v>0</v>
      </c>
      <c r="AP407" s="47">
        <v>0</v>
      </c>
      <c r="AQ407" s="47">
        <v>0</v>
      </c>
      <c r="AR407" s="47">
        <v>0</v>
      </c>
      <c r="AS407" s="47">
        <v>0</v>
      </c>
      <c r="AT407" s="47">
        <v>0</v>
      </c>
      <c r="AU407" s="47">
        <v>0</v>
      </c>
      <c r="AV407" s="47">
        <v>0</v>
      </c>
      <c r="AW407" s="47">
        <v>0</v>
      </c>
      <c r="AX407" s="47">
        <v>0</v>
      </c>
      <c r="AY407" s="47">
        <v>0</v>
      </c>
      <c r="AZ407" s="47">
        <v>0</v>
      </c>
      <c r="BA407" s="47">
        <v>0</v>
      </c>
      <c r="BB407" s="47">
        <v>0</v>
      </c>
      <c r="BC407" s="47">
        <v>0</v>
      </c>
      <c r="BD407" s="47">
        <v>0</v>
      </c>
      <c r="BE407" s="47">
        <v>0</v>
      </c>
      <c r="BF407" s="47">
        <v>0</v>
      </c>
      <c r="BG407" s="47">
        <v>0</v>
      </c>
      <c r="BH407" s="47">
        <v>0</v>
      </c>
      <c r="BI407" s="47">
        <v>0</v>
      </c>
      <c r="BJ407" s="47">
        <v>0</v>
      </c>
      <c r="BK407" s="47">
        <v>0</v>
      </c>
      <c r="BL407" s="47">
        <v>0</v>
      </c>
      <c r="BM407" s="47">
        <v>0</v>
      </c>
      <c r="BN407" s="47">
        <v>0</v>
      </c>
      <c r="BO407" s="47">
        <v>0</v>
      </c>
      <c r="BP407" s="47">
        <v>0</v>
      </c>
      <c r="BQ407" s="47">
        <v>0</v>
      </c>
      <c r="BR407" s="47">
        <v>0</v>
      </c>
      <c r="BS407" s="47">
        <v>0</v>
      </c>
      <c r="BT407" s="47">
        <v>0</v>
      </c>
      <c r="BU407" s="47">
        <v>0</v>
      </c>
      <c r="BV407" s="47">
        <v>0</v>
      </c>
      <c r="BW407" s="47">
        <v>0</v>
      </c>
      <c r="BX407" s="47">
        <v>0</v>
      </c>
      <c r="BY407" s="47">
        <v>0</v>
      </c>
      <c r="BZ407" s="47">
        <v>0</v>
      </c>
      <c r="CA407" s="47">
        <v>0</v>
      </c>
      <c r="CB407" s="47">
        <v>0</v>
      </c>
      <c r="CC407" s="47">
        <v>0</v>
      </c>
      <c r="CD407" s="47">
        <v>0</v>
      </c>
      <c r="CE407" s="47">
        <v>0</v>
      </c>
      <c r="CF407" s="47">
        <v>0</v>
      </c>
      <c r="CG407" s="47">
        <v>0</v>
      </c>
      <c r="CH407" s="47">
        <v>0</v>
      </c>
      <c r="CI407" s="47">
        <v>0</v>
      </c>
      <c r="CJ407" s="47">
        <v>0</v>
      </c>
      <c r="CK407" s="47">
        <v>0</v>
      </c>
      <c r="CL407" s="47">
        <v>0</v>
      </c>
      <c r="CM407" s="47">
        <v>0</v>
      </c>
      <c r="CN407" s="47">
        <v>0</v>
      </c>
      <c r="CO407" s="47">
        <v>0</v>
      </c>
      <c r="CP407" s="47">
        <v>0</v>
      </c>
      <c r="CQ407" s="47">
        <v>0</v>
      </c>
      <c r="CR407" s="47">
        <v>0</v>
      </c>
      <c r="CS407" s="47">
        <v>0</v>
      </c>
      <c r="CT407" s="47">
        <v>0</v>
      </c>
      <c r="CU407" s="47">
        <v>0</v>
      </c>
      <c r="CV407" s="47">
        <v>0</v>
      </c>
      <c r="CW407" s="47">
        <v>0</v>
      </c>
      <c r="CX407" s="47">
        <v>0</v>
      </c>
      <c r="CY407" s="47">
        <v>0</v>
      </c>
      <c r="CZ407" s="47">
        <v>0</v>
      </c>
      <c r="DA407" s="47">
        <v>0</v>
      </c>
      <c r="DB407" s="47">
        <v>0</v>
      </c>
      <c r="DC407" s="47">
        <v>0</v>
      </c>
      <c r="DD407" s="47">
        <v>0</v>
      </c>
      <c r="DE407" s="47">
        <v>0</v>
      </c>
      <c r="DF407" s="47">
        <v>0</v>
      </c>
      <c r="DG407" s="47">
        <v>0</v>
      </c>
      <c r="DH407" s="47">
        <v>0</v>
      </c>
      <c r="DI407" s="47">
        <v>0</v>
      </c>
      <c r="DJ407" s="47">
        <v>0</v>
      </c>
      <c r="DK407" s="47">
        <v>0</v>
      </c>
      <c r="DL407" s="47">
        <v>0</v>
      </c>
      <c r="DM407" s="47">
        <v>0</v>
      </c>
      <c r="DN407" s="47">
        <v>0</v>
      </c>
      <c r="DO407" s="47">
        <v>0</v>
      </c>
      <c r="DP407" s="47">
        <v>0</v>
      </c>
      <c r="DQ407" s="47">
        <v>0</v>
      </c>
      <c r="DR407" s="47">
        <v>0</v>
      </c>
      <c r="DS407" s="47">
        <v>0</v>
      </c>
      <c r="DT407" s="47">
        <v>0</v>
      </c>
    </row>
    <row r="408" spans="1:126" x14ac:dyDescent="0.25">
      <c r="A408" s="47" t="s">
        <v>1957</v>
      </c>
      <c r="B408" s="47" t="s">
        <v>153</v>
      </c>
      <c r="C408" s="47" t="s">
        <v>1958</v>
      </c>
      <c r="D408" s="47" t="s">
        <v>1959</v>
      </c>
      <c r="E408" s="47" t="s">
        <v>1960</v>
      </c>
      <c r="F408" s="47" t="s">
        <v>698</v>
      </c>
      <c r="G408" s="47" t="s">
        <v>727</v>
      </c>
      <c r="H408" s="47" t="str">
        <f>=IFERROR(VLOOKUP(A408,'ETPT Format DDG'!A:J,10,FALSE),"")</f>
        <v>0</v>
      </c>
      <c r="I408" s="47" t="str">
        <f>='ETPT Format DDG'!M408</f>
        <v/>
      </c>
      <c r="J408" s="47" t="str">
        <f>='ETPT Format DDG'!D408</f>
        <v/>
      </c>
      <c r="K408" s="47" t="s">
        <v>157</v>
      </c>
      <c r="L408" s="47" t="s">
        <v>806</v>
      </c>
      <c r="M408" s="47"/>
      <c r="N408" s="47">
        <v>1</v>
      </c>
      <c r="O408" s="47">
        <v>0</v>
      </c>
      <c r="P408" s="47">
        <v>0</v>
      </c>
      <c r="Q408" s="47">
        <v>0</v>
      </c>
      <c r="R408" s="47">
        <v>0</v>
      </c>
      <c r="S408" s="47">
        <v>0</v>
      </c>
      <c r="T408" s="47">
        <v>0</v>
      </c>
      <c r="U408" s="47">
        <v>0</v>
      </c>
      <c r="V408" s="47">
        <v>0</v>
      </c>
      <c r="W408" s="47">
        <v>0</v>
      </c>
      <c r="X408" s="47">
        <v>0</v>
      </c>
      <c r="Y408" s="47">
        <v>0</v>
      </c>
      <c r="Z408" s="47">
        <v>0</v>
      </c>
      <c r="AA408" s="47">
        <v>0</v>
      </c>
      <c r="AB408" s="47">
        <v>0</v>
      </c>
      <c r="AC408" s="47">
        <v>0</v>
      </c>
      <c r="AD408" s="47">
        <v>0</v>
      </c>
      <c r="AE408" s="47">
        <v>0</v>
      </c>
      <c r="AF408" s="47">
        <v>0</v>
      </c>
      <c r="AG408" s="47">
        <v>0</v>
      </c>
      <c r="AH408" s="47">
        <v>0</v>
      </c>
      <c r="AI408" s="47">
        <v>0</v>
      </c>
      <c r="AJ408" s="47">
        <v>0</v>
      </c>
      <c r="AK408" s="47">
        <v>0</v>
      </c>
      <c r="AL408" s="47">
        <v>0</v>
      </c>
      <c r="AM408" s="47">
        <v>0</v>
      </c>
      <c r="AN408" s="47">
        <v>0</v>
      </c>
      <c r="AO408" s="47">
        <v>0</v>
      </c>
      <c r="AP408" s="47">
        <v>0</v>
      </c>
      <c r="AQ408" s="47">
        <v>0</v>
      </c>
      <c r="AR408" s="47">
        <v>0</v>
      </c>
      <c r="AS408" s="47">
        <v>0</v>
      </c>
      <c r="AT408" s="47">
        <v>0</v>
      </c>
      <c r="AU408" s="47">
        <v>0</v>
      </c>
      <c r="AV408" s="47">
        <v>0</v>
      </c>
      <c r="AW408" s="47">
        <v>0</v>
      </c>
      <c r="AX408" s="47">
        <v>0</v>
      </c>
      <c r="AY408" s="47">
        <v>0</v>
      </c>
      <c r="AZ408" s="47">
        <v>0</v>
      </c>
      <c r="BA408" s="47">
        <v>0</v>
      </c>
      <c r="BB408" s="47">
        <v>0</v>
      </c>
      <c r="BC408" s="47">
        <v>0</v>
      </c>
      <c r="BD408" s="47">
        <v>0</v>
      </c>
      <c r="BE408" s="47">
        <v>0</v>
      </c>
      <c r="BF408" s="47">
        <v>0</v>
      </c>
      <c r="BG408" s="47">
        <v>0</v>
      </c>
      <c r="BH408" s="47">
        <v>0</v>
      </c>
      <c r="BI408" s="47">
        <v>0</v>
      </c>
      <c r="BJ408" s="47">
        <v>0</v>
      </c>
      <c r="BK408" s="47">
        <v>0</v>
      </c>
      <c r="BL408" s="47">
        <v>0</v>
      </c>
      <c r="BM408" s="47">
        <v>0</v>
      </c>
      <c r="BN408" s="47">
        <v>0</v>
      </c>
      <c r="BO408" s="47">
        <v>0</v>
      </c>
      <c r="BP408" s="47">
        <v>0</v>
      </c>
      <c r="BQ408" s="47">
        <v>0</v>
      </c>
      <c r="BR408" s="47">
        <v>0</v>
      </c>
      <c r="BS408" s="47">
        <v>0</v>
      </c>
      <c r="BT408" s="47">
        <v>0</v>
      </c>
      <c r="BU408" s="47">
        <v>0</v>
      </c>
      <c r="BV408" s="47">
        <v>0</v>
      </c>
      <c r="BW408" s="47">
        <v>0</v>
      </c>
      <c r="BX408" s="47">
        <v>0</v>
      </c>
      <c r="BY408" s="47">
        <v>0</v>
      </c>
      <c r="BZ408" s="47">
        <v>0</v>
      </c>
      <c r="CA408" s="47">
        <v>0</v>
      </c>
      <c r="CB408" s="47">
        <v>0</v>
      </c>
      <c r="CC408" s="47">
        <v>0</v>
      </c>
      <c r="CD408" s="47">
        <v>0</v>
      </c>
      <c r="CE408" s="47">
        <v>0</v>
      </c>
      <c r="CF408" s="47">
        <v>0</v>
      </c>
      <c r="CG408" s="47">
        <v>0</v>
      </c>
      <c r="CH408" s="47">
        <v>0</v>
      </c>
      <c r="CI408" s="47">
        <v>0</v>
      </c>
      <c r="CJ408" s="47">
        <v>0</v>
      </c>
      <c r="CK408" s="47">
        <v>0</v>
      </c>
      <c r="CL408" s="47">
        <v>0</v>
      </c>
      <c r="CM408" s="47">
        <v>0</v>
      </c>
      <c r="CN408" s="47">
        <v>0</v>
      </c>
      <c r="CO408" s="47">
        <v>0</v>
      </c>
      <c r="CP408" s="47">
        <v>0</v>
      </c>
      <c r="CQ408" s="47">
        <v>0</v>
      </c>
      <c r="CR408" s="47">
        <v>0</v>
      </c>
      <c r="CS408" s="47">
        <v>0</v>
      </c>
      <c r="CT408" s="47">
        <v>0</v>
      </c>
      <c r="CU408" s="47">
        <v>0</v>
      </c>
      <c r="CV408" s="47">
        <v>0</v>
      </c>
      <c r="CW408" s="47">
        <v>0</v>
      </c>
      <c r="CX408" s="47">
        <v>0</v>
      </c>
      <c r="CY408" s="47">
        <v>0</v>
      </c>
      <c r="CZ408" s="47">
        <v>0</v>
      </c>
      <c r="DA408" s="47">
        <v>0</v>
      </c>
      <c r="DB408" s="47">
        <v>0</v>
      </c>
      <c r="DC408" s="47">
        <v>0</v>
      </c>
      <c r="DD408" s="47">
        <v>0</v>
      </c>
      <c r="DE408" s="47">
        <v>0</v>
      </c>
      <c r="DF408" s="47">
        <v>0</v>
      </c>
      <c r="DG408" s="47">
        <v>0</v>
      </c>
      <c r="DH408" s="47">
        <v>0</v>
      </c>
      <c r="DI408" s="47">
        <v>0</v>
      </c>
      <c r="DJ408" s="47">
        <v>0</v>
      </c>
      <c r="DK408" s="47">
        <v>0</v>
      </c>
      <c r="DL408" s="47">
        <v>0</v>
      </c>
      <c r="DM408" s="47">
        <v>0</v>
      </c>
      <c r="DN408" s="47">
        <v>0</v>
      </c>
      <c r="DO408" s="47">
        <v>0</v>
      </c>
      <c r="DP408" s="47">
        <v>0</v>
      </c>
      <c r="DQ408" s="47">
        <v>0</v>
      </c>
      <c r="DR408" s="47">
        <v>0</v>
      </c>
      <c r="DS408" s="47">
        <v>0</v>
      </c>
      <c r="DT408" s="47">
        <v>0</v>
      </c>
    </row>
    <row r="409" spans="1:126" x14ac:dyDescent="0.25">
      <c r="A409" s="47" t="s">
        <v>1961</v>
      </c>
      <c r="B409" s="47" t="s">
        <v>153</v>
      </c>
      <c r="C409" s="47" t="s">
        <v>1962</v>
      </c>
      <c r="D409" s="47" t="s">
        <v>1963</v>
      </c>
      <c r="E409" s="47" t="s">
        <v>1964</v>
      </c>
      <c r="F409" s="47" t="s">
        <v>698</v>
      </c>
      <c r="G409" s="47" t="s">
        <v>1965</v>
      </c>
      <c r="H409" s="47" t="str">
        <f>=IFERROR(VLOOKUP(A409,'ETPT Format DDG'!A:J,10,FALSE),"")</f>
        <v>0</v>
      </c>
      <c r="I409" s="47" t="str">
        <f>='ETPT Format DDG'!M409</f>
        <v/>
      </c>
      <c r="J409" s="47" t="str">
        <f>='ETPT Format DDG'!D409</f>
        <v/>
      </c>
      <c r="K409" s="47" t="s">
        <v>157</v>
      </c>
      <c r="L409" s="47" t="s">
        <v>712</v>
      </c>
      <c r="M409" s="47"/>
      <c r="N409" s="47">
        <v>0.8</v>
      </c>
      <c r="O409" s="47">
        <v>0.8</v>
      </c>
      <c r="P409" s="47">
        <v>0</v>
      </c>
      <c r="Q409" s="47">
        <v>0</v>
      </c>
      <c r="R409" s="47">
        <v>0</v>
      </c>
      <c r="S409" s="47">
        <v>0</v>
      </c>
      <c r="T409" s="47">
        <v>0</v>
      </c>
      <c r="U409" s="47">
        <v>0</v>
      </c>
      <c r="V409" s="47">
        <v>0</v>
      </c>
      <c r="W409" s="47">
        <v>0</v>
      </c>
      <c r="X409" s="47">
        <v>0</v>
      </c>
      <c r="Y409" s="47">
        <v>0</v>
      </c>
      <c r="Z409" s="47">
        <v>0</v>
      </c>
      <c r="AA409" s="47">
        <v>0</v>
      </c>
      <c r="AB409" s="47">
        <v>0</v>
      </c>
      <c r="AC409" s="47">
        <v>0</v>
      </c>
      <c r="AD409" s="47">
        <v>0</v>
      </c>
      <c r="AE409" s="47">
        <v>0</v>
      </c>
      <c r="AF409" s="47">
        <v>0</v>
      </c>
      <c r="AG409" s="47">
        <v>0</v>
      </c>
      <c r="AH409" s="47">
        <v>0</v>
      </c>
      <c r="AI409" s="47">
        <v>0</v>
      </c>
      <c r="AJ409" s="47">
        <v>0</v>
      </c>
      <c r="AK409" s="47">
        <v>0</v>
      </c>
      <c r="AL409" s="47">
        <v>0</v>
      </c>
      <c r="AM409" s="47">
        <v>0</v>
      </c>
      <c r="AN409" s="47">
        <v>0</v>
      </c>
      <c r="AO409" s="47">
        <v>0</v>
      </c>
      <c r="AP409" s="47">
        <v>0</v>
      </c>
      <c r="AQ409" s="47">
        <v>0</v>
      </c>
      <c r="AR409" s="47">
        <v>0</v>
      </c>
      <c r="AS409" s="47">
        <v>0</v>
      </c>
      <c r="AT409" s="47">
        <v>0</v>
      </c>
      <c r="AU409" s="47">
        <v>0</v>
      </c>
      <c r="AV409" s="47">
        <v>0</v>
      </c>
      <c r="AW409" s="47">
        <v>0</v>
      </c>
      <c r="AX409" s="47">
        <v>0</v>
      </c>
      <c r="AY409" s="47">
        <v>0</v>
      </c>
      <c r="AZ409" s="47">
        <v>0</v>
      </c>
      <c r="BA409" s="47">
        <v>0</v>
      </c>
      <c r="BB409" s="47">
        <v>0</v>
      </c>
      <c r="BC409" s="47">
        <v>0</v>
      </c>
      <c r="BD409" s="47">
        <v>0</v>
      </c>
      <c r="BE409" s="47">
        <v>0</v>
      </c>
      <c r="BF409" s="47">
        <v>0</v>
      </c>
      <c r="BG409" s="47">
        <v>0</v>
      </c>
      <c r="BH409" s="47">
        <v>0</v>
      </c>
      <c r="BI409" s="47">
        <v>0</v>
      </c>
      <c r="BJ409" s="47">
        <v>0</v>
      </c>
      <c r="BK409" s="47">
        <v>0</v>
      </c>
      <c r="BL409" s="47">
        <v>0</v>
      </c>
      <c r="BM409" s="47">
        <v>0</v>
      </c>
      <c r="BN409" s="47">
        <v>0</v>
      </c>
      <c r="BO409" s="47">
        <v>0</v>
      </c>
      <c r="BP409" s="47">
        <v>0</v>
      </c>
      <c r="BQ409" s="47">
        <v>0</v>
      </c>
      <c r="BR409" s="47">
        <v>0</v>
      </c>
      <c r="BS409" s="47">
        <v>0</v>
      </c>
      <c r="BT409" s="47">
        <v>0</v>
      </c>
      <c r="BU409" s="47">
        <v>0</v>
      </c>
      <c r="BV409" s="47">
        <v>0</v>
      </c>
      <c r="BW409" s="47">
        <v>0</v>
      </c>
      <c r="BX409" s="47">
        <v>0</v>
      </c>
      <c r="BY409" s="47">
        <v>0</v>
      </c>
      <c r="BZ409" s="47">
        <v>0</v>
      </c>
      <c r="CA409" s="47">
        <v>0</v>
      </c>
      <c r="CB409" s="47">
        <v>0</v>
      </c>
      <c r="CC409" s="47">
        <v>0</v>
      </c>
      <c r="CD409" s="47">
        <v>0</v>
      </c>
      <c r="CE409" s="47">
        <v>0</v>
      </c>
      <c r="CF409" s="47">
        <v>0</v>
      </c>
      <c r="CG409" s="47">
        <v>0</v>
      </c>
      <c r="CH409" s="47">
        <v>0</v>
      </c>
      <c r="CI409" s="47">
        <v>0</v>
      </c>
      <c r="CJ409" s="47">
        <v>0</v>
      </c>
      <c r="CK409" s="47">
        <v>0</v>
      </c>
      <c r="CL409" s="47">
        <v>0</v>
      </c>
      <c r="CM409" s="47">
        <v>0</v>
      </c>
      <c r="CN409" s="47">
        <v>0</v>
      </c>
      <c r="CO409" s="47">
        <v>0</v>
      </c>
      <c r="CP409" s="47">
        <v>0</v>
      </c>
      <c r="CQ409" s="47">
        <v>0.8</v>
      </c>
      <c r="CR409" s="47">
        <v>0.8</v>
      </c>
      <c r="CS409" s="47">
        <v>0</v>
      </c>
      <c r="CT409" s="47">
        <v>0</v>
      </c>
      <c r="CU409" s="47">
        <v>0</v>
      </c>
      <c r="CV409" s="47">
        <v>0</v>
      </c>
      <c r="CW409" s="47">
        <v>0</v>
      </c>
      <c r="CX409" s="47">
        <v>0</v>
      </c>
      <c r="CY409" s="47">
        <v>0</v>
      </c>
      <c r="CZ409" s="47">
        <v>0</v>
      </c>
      <c r="DA409" s="47">
        <v>0</v>
      </c>
      <c r="DB409" s="47">
        <v>0</v>
      </c>
      <c r="DC409" s="47">
        <v>0</v>
      </c>
      <c r="DD409" s="47">
        <v>0</v>
      </c>
      <c r="DE409" s="47">
        <v>0</v>
      </c>
      <c r="DF409" s="47">
        <v>0</v>
      </c>
      <c r="DG409" s="47">
        <v>0</v>
      </c>
      <c r="DH409" s="47">
        <v>0</v>
      </c>
      <c r="DI409" s="47">
        <v>0</v>
      </c>
      <c r="DJ409" s="47">
        <v>0</v>
      </c>
      <c r="DK409" s="47">
        <v>0</v>
      </c>
      <c r="DL409" s="47">
        <v>0</v>
      </c>
      <c r="DM409" s="47">
        <v>0</v>
      </c>
      <c r="DN409" s="47">
        <v>0</v>
      </c>
      <c r="DO409" s="47">
        <v>0</v>
      </c>
      <c r="DP409" s="47">
        <v>0</v>
      </c>
      <c r="DQ409" s="47">
        <v>0</v>
      </c>
      <c r="DR409" s="47">
        <v>0</v>
      </c>
      <c r="DS409" s="47">
        <v>0</v>
      </c>
      <c r="DT409" s="47">
        <v>0</v>
      </c>
    </row>
    <row r="410" spans="1:126" x14ac:dyDescent="0.25">
      <c r="A410" s="47" t="s">
        <v>1966</v>
      </c>
      <c r="B410" s="47" t="s">
        <v>153</v>
      </c>
      <c r="C410" s="47" t="s">
        <v>1967</v>
      </c>
      <c r="D410" s="47" t="s">
        <v>1968</v>
      </c>
      <c r="E410" s="47" t="s">
        <v>1969</v>
      </c>
      <c r="F410" s="47" t="s">
        <v>698</v>
      </c>
      <c r="G410" s="47" t="s">
        <v>727</v>
      </c>
      <c r="H410" s="47" t="str">
        <f>=IFERROR(VLOOKUP(A410,'ETPT Format DDG'!A:J,10,FALSE),"")</f>
        <v>0</v>
      </c>
      <c r="I410" s="47" t="str">
        <f>='ETPT Format DDG'!M410</f>
        <v/>
      </c>
      <c r="J410" s="47" t="str">
        <f>='ETPT Format DDG'!D410</f>
        <v/>
      </c>
      <c r="K410" s="47" t="s">
        <v>157</v>
      </c>
      <c r="L410" s="47" t="s">
        <v>1390</v>
      </c>
      <c r="M410" s="47"/>
      <c r="N410" s="47">
        <v>1</v>
      </c>
      <c r="O410" s="47">
        <v>1</v>
      </c>
      <c r="P410" s="47">
        <v>0</v>
      </c>
      <c r="Q410" s="47">
        <v>0</v>
      </c>
      <c r="R410" s="47">
        <v>0</v>
      </c>
      <c r="S410" s="47">
        <v>0</v>
      </c>
      <c r="T410" s="47">
        <v>0</v>
      </c>
      <c r="U410" s="47">
        <v>0</v>
      </c>
      <c r="V410" s="47">
        <v>0</v>
      </c>
      <c r="W410" s="47">
        <v>0</v>
      </c>
      <c r="X410" s="47">
        <v>0</v>
      </c>
      <c r="Y410" s="47">
        <v>0</v>
      </c>
      <c r="Z410" s="47">
        <v>0</v>
      </c>
      <c r="AA410" s="47">
        <v>0</v>
      </c>
      <c r="AB410" s="47">
        <v>0</v>
      </c>
      <c r="AC410" s="47">
        <v>0</v>
      </c>
      <c r="AD410" s="47">
        <v>0</v>
      </c>
      <c r="AE410" s="47">
        <v>0</v>
      </c>
      <c r="AF410" s="47">
        <v>0</v>
      </c>
      <c r="AG410" s="47">
        <v>0</v>
      </c>
      <c r="AH410" s="47">
        <v>0</v>
      </c>
      <c r="AI410" s="47">
        <v>0</v>
      </c>
      <c r="AJ410" s="47">
        <v>0</v>
      </c>
      <c r="AK410" s="47">
        <v>0</v>
      </c>
      <c r="AL410" s="47">
        <v>0</v>
      </c>
      <c r="AM410" s="47">
        <v>0</v>
      </c>
      <c r="AN410" s="47">
        <v>0</v>
      </c>
      <c r="AO410" s="47">
        <v>0</v>
      </c>
      <c r="AP410" s="47">
        <v>0</v>
      </c>
      <c r="AQ410" s="47">
        <v>0</v>
      </c>
      <c r="AR410" s="47">
        <v>0</v>
      </c>
      <c r="AS410" s="47">
        <v>0</v>
      </c>
      <c r="AT410" s="47">
        <v>0</v>
      </c>
      <c r="AU410" s="47">
        <v>0</v>
      </c>
      <c r="AV410" s="47">
        <v>0</v>
      </c>
      <c r="AW410" s="47">
        <v>0</v>
      </c>
      <c r="AX410" s="47">
        <v>0</v>
      </c>
      <c r="AY410" s="47">
        <v>0</v>
      </c>
      <c r="AZ410" s="47">
        <v>0</v>
      </c>
      <c r="BA410" s="47">
        <v>0</v>
      </c>
      <c r="BB410" s="47">
        <v>0</v>
      </c>
      <c r="BC410" s="47">
        <v>0</v>
      </c>
      <c r="BD410" s="47">
        <v>0</v>
      </c>
      <c r="BE410" s="47">
        <v>0</v>
      </c>
      <c r="BF410" s="47">
        <v>0</v>
      </c>
      <c r="BG410" s="47">
        <v>0</v>
      </c>
      <c r="BH410" s="47">
        <v>0</v>
      </c>
      <c r="BI410" s="47">
        <v>0</v>
      </c>
      <c r="BJ410" s="47">
        <v>0</v>
      </c>
      <c r="BK410" s="47">
        <v>0</v>
      </c>
      <c r="BL410" s="47">
        <v>1</v>
      </c>
      <c r="BM410" s="47">
        <v>0</v>
      </c>
      <c r="BN410" s="47">
        <v>0</v>
      </c>
      <c r="BO410" s="47">
        <v>0</v>
      </c>
      <c r="BP410" s="47">
        <v>0</v>
      </c>
      <c r="BQ410" s="47">
        <v>0</v>
      </c>
      <c r="BR410" s="47">
        <v>0</v>
      </c>
      <c r="BS410" s="47">
        <v>0</v>
      </c>
      <c r="BT410" s="47">
        <v>0</v>
      </c>
      <c r="BU410" s="47">
        <v>0</v>
      </c>
      <c r="BV410" s="47">
        <v>0</v>
      </c>
      <c r="BW410" s="47">
        <v>0</v>
      </c>
      <c r="BX410" s="47">
        <v>0</v>
      </c>
      <c r="BY410" s="47">
        <v>0</v>
      </c>
      <c r="BZ410" s="47">
        <v>0</v>
      </c>
      <c r="CA410" s="47">
        <v>0</v>
      </c>
      <c r="CB410" s="47">
        <v>0</v>
      </c>
      <c r="CC410" s="47">
        <v>0</v>
      </c>
      <c r="CD410" s="47">
        <v>0</v>
      </c>
      <c r="CE410" s="47">
        <v>0</v>
      </c>
      <c r="CF410" s="47">
        <v>0</v>
      </c>
      <c r="CG410" s="47">
        <v>0</v>
      </c>
      <c r="CH410" s="47">
        <v>0</v>
      </c>
      <c r="CI410" s="47">
        <v>0</v>
      </c>
      <c r="CJ410" s="47">
        <v>0</v>
      </c>
      <c r="CK410" s="47">
        <v>0</v>
      </c>
      <c r="CL410" s="47">
        <v>0</v>
      </c>
      <c r="CM410" s="47">
        <v>0</v>
      </c>
      <c r="CN410" s="47">
        <v>0</v>
      </c>
      <c r="CO410" s="47">
        <v>0</v>
      </c>
      <c r="CP410" s="47">
        <v>0</v>
      </c>
      <c r="CQ410" s="47">
        <v>0</v>
      </c>
      <c r="CR410" s="47">
        <v>0</v>
      </c>
      <c r="CS410" s="47">
        <v>0</v>
      </c>
      <c r="CT410" s="47">
        <v>0</v>
      </c>
      <c r="CU410" s="47">
        <v>0</v>
      </c>
      <c r="CV410" s="47">
        <v>0</v>
      </c>
      <c r="CW410" s="47">
        <v>0</v>
      </c>
      <c r="CX410" s="47">
        <v>0</v>
      </c>
      <c r="CY410" s="47">
        <v>0</v>
      </c>
      <c r="CZ410" s="47">
        <v>0</v>
      </c>
      <c r="DA410" s="47">
        <v>0</v>
      </c>
      <c r="DB410" s="47">
        <v>0</v>
      </c>
      <c r="DC410" s="47">
        <v>0</v>
      </c>
      <c r="DD410" s="47">
        <v>0</v>
      </c>
      <c r="DE410" s="47">
        <v>0</v>
      </c>
      <c r="DF410" s="47">
        <v>0</v>
      </c>
      <c r="DG410" s="47">
        <v>0</v>
      </c>
      <c r="DH410" s="47">
        <v>0</v>
      </c>
      <c r="DI410" s="47">
        <v>0</v>
      </c>
      <c r="DJ410" s="47">
        <v>0</v>
      </c>
      <c r="DK410" s="47">
        <v>0</v>
      </c>
      <c r="DL410" s="47">
        <v>0</v>
      </c>
      <c r="DM410" s="47">
        <v>0</v>
      </c>
      <c r="DN410" s="47">
        <v>0</v>
      </c>
      <c r="DO410" s="47">
        <v>0</v>
      </c>
      <c r="DP410" s="47">
        <v>0</v>
      </c>
      <c r="DQ410" s="47">
        <v>0</v>
      </c>
      <c r="DR410" s="47">
        <v>0</v>
      </c>
      <c r="DS410" s="47">
        <v>0</v>
      </c>
      <c r="DT410" s="47">
        <v>0</v>
      </c>
    </row>
    <row r="411" spans="1:126" x14ac:dyDescent="0.25">
      <c r="A411" s="47" t="s">
        <v>1970</v>
      </c>
      <c r="B411" s="47" t="s">
        <v>153</v>
      </c>
      <c r="C411" s="47" t="s">
        <v>1971</v>
      </c>
      <c r="D411" s="47" t="s">
        <v>1972</v>
      </c>
      <c r="E411" s="47" t="s">
        <v>1973</v>
      </c>
      <c r="F411" s="47" t="s">
        <v>698</v>
      </c>
      <c r="G411" s="47" t="s">
        <v>727</v>
      </c>
      <c r="H411" s="47" t="str">
        <f>=IFERROR(VLOOKUP(A411,'ETPT Format DDG'!A:J,10,FALSE),"")</f>
        <v>0</v>
      </c>
      <c r="I411" s="47" t="str">
        <f>='ETPT Format DDG'!M411</f>
        <v/>
      </c>
      <c r="J411" s="47" t="str">
        <f>='ETPT Format DDG'!D411</f>
        <v/>
      </c>
      <c r="K411" s="47" t="s">
        <v>157</v>
      </c>
      <c r="L411" s="47" t="s">
        <v>1409</v>
      </c>
      <c r="M411" s="47"/>
      <c r="N411" s="47">
        <v>0.9</v>
      </c>
      <c r="O411" s="47">
        <v>0.9</v>
      </c>
      <c r="P411" s="47">
        <v>0</v>
      </c>
      <c r="Q411" s="47">
        <v>0</v>
      </c>
      <c r="R411" s="47">
        <v>0</v>
      </c>
      <c r="S411" s="47">
        <v>0</v>
      </c>
      <c r="T411" s="47">
        <v>0</v>
      </c>
      <c r="U411" s="47">
        <v>0</v>
      </c>
      <c r="V411" s="47">
        <v>0</v>
      </c>
      <c r="W411" s="47">
        <v>0</v>
      </c>
      <c r="X411" s="47">
        <v>0</v>
      </c>
      <c r="Y411" s="47">
        <v>0</v>
      </c>
      <c r="Z411" s="47">
        <v>0</v>
      </c>
      <c r="AA411" s="47">
        <v>0</v>
      </c>
      <c r="AB411" s="47">
        <v>0</v>
      </c>
      <c r="AC411" s="47">
        <v>0</v>
      </c>
      <c r="AD411" s="47">
        <v>0</v>
      </c>
      <c r="AE411" s="47">
        <v>0.9</v>
      </c>
      <c r="AF411" s="47">
        <v>0</v>
      </c>
      <c r="AG411" s="47">
        <v>0</v>
      </c>
      <c r="AH411" s="47">
        <v>0</v>
      </c>
      <c r="AI411" s="47">
        <v>0</v>
      </c>
      <c r="AJ411" s="47">
        <v>0</v>
      </c>
      <c r="AK411" s="47">
        <v>0</v>
      </c>
      <c r="AL411" s="47">
        <v>0</v>
      </c>
      <c r="AM411" s="47">
        <v>0</v>
      </c>
      <c r="AN411" s="47">
        <v>0</v>
      </c>
      <c r="AO411" s="47">
        <v>0</v>
      </c>
      <c r="AP411" s="47">
        <v>0</v>
      </c>
      <c r="AQ411" s="47">
        <v>0</v>
      </c>
      <c r="AR411" s="47">
        <v>0</v>
      </c>
      <c r="AS411" s="47">
        <v>0</v>
      </c>
      <c r="AT411" s="47">
        <v>0</v>
      </c>
      <c r="AU411" s="47">
        <v>0</v>
      </c>
      <c r="AV411" s="47">
        <v>0</v>
      </c>
      <c r="AW411" s="47">
        <v>0</v>
      </c>
      <c r="AX411" s="47">
        <v>0</v>
      </c>
      <c r="AY411" s="47">
        <v>0</v>
      </c>
      <c r="AZ411" s="47">
        <v>0</v>
      </c>
      <c r="BA411" s="47">
        <v>0</v>
      </c>
      <c r="BB411" s="47">
        <v>0</v>
      </c>
      <c r="BC411" s="47">
        <v>0</v>
      </c>
      <c r="BD411" s="47">
        <v>0</v>
      </c>
      <c r="BE411" s="47">
        <v>0</v>
      </c>
      <c r="BF411" s="47">
        <v>0</v>
      </c>
      <c r="BG411" s="47">
        <v>0</v>
      </c>
      <c r="BH411" s="47">
        <v>0</v>
      </c>
      <c r="BI411" s="47">
        <v>0</v>
      </c>
      <c r="BJ411" s="47">
        <v>0</v>
      </c>
      <c r="BK411" s="47">
        <v>0</v>
      </c>
      <c r="BL411" s="47">
        <v>0</v>
      </c>
      <c r="BM411" s="47">
        <v>0</v>
      </c>
      <c r="BN411" s="47">
        <v>0</v>
      </c>
      <c r="BO411" s="47">
        <v>0</v>
      </c>
      <c r="BP411" s="47">
        <v>0</v>
      </c>
      <c r="BQ411" s="47">
        <v>0</v>
      </c>
      <c r="BR411" s="47">
        <v>0</v>
      </c>
      <c r="BS411" s="47">
        <v>0</v>
      </c>
      <c r="BT411" s="47">
        <v>0</v>
      </c>
      <c r="BU411" s="47">
        <v>0</v>
      </c>
      <c r="BV411" s="47">
        <v>0</v>
      </c>
      <c r="BW411" s="47">
        <v>0</v>
      </c>
      <c r="BX411" s="47">
        <v>0</v>
      </c>
      <c r="BY411" s="47">
        <v>0</v>
      </c>
      <c r="BZ411" s="47">
        <v>0</v>
      </c>
      <c r="CA411" s="47">
        <v>0</v>
      </c>
      <c r="CB411" s="47">
        <v>0</v>
      </c>
      <c r="CC411" s="47">
        <v>0</v>
      </c>
      <c r="CD411" s="47">
        <v>0</v>
      </c>
      <c r="CE411" s="47">
        <v>0</v>
      </c>
      <c r="CF411" s="47">
        <v>0</v>
      </c>
      <c r="CG411" s="47">
        <v>0</v>
      </c>
      <c r="CH411" s="47">
        <v>0</v>
      </c>
      <c r="CI411" s="47">
        <v>0</v>
      </c>
      <c r="CJ411" s="47">
        <v>0</v>
      </c>
      <c r="CK411" s="47">
        <v>0</v>
      </c>
      <c r="CL411" s="47">
        <v>0</v>
      </c>
      <c r="CM411" s="47">
        <v>0</v>
      </c>
      <c r="CN411" s="47">
        <v>0</v>
      </c>
      <c r="CO411" s="47">
        <v>0</v>
      </c>
      <c r="CP411" s="47">
        <v>0</v>
      </c>
      <c r="CQ411" s="47">
        <v>0</v>
      </c>
      <c r="CR411" s="47">
        <v>0</v>
      </c>
      <c r="CS411" s="47">
        <v>0</v>
      </c>
      <c r="CT411" s="47">
        <v>0</v>
      </c>
      <c r="CU411" s="47">
        <v>0</v>
      </c>
      <c r="CV411" s="47">
        <v>0</v>
      </c>
      <c r="CW411" s="47">
        <v>0</v>
      </c>
      <c r="CX411" s="47">
        <v>0</v>
      </c>
      <c r="CY411" s="47">
        <v>0</v>
      </c>
      <c r="CZ411" s="47">
        <v>0</v>
      </c>
      <c r="DA411" s="47">
        <v>0</v>
      </c>
      <c r="DB411" s="47">
        <v>0</v>
      </c>
      <c r="DC411" s="47">
        <v>0</v>
      </c>
      <c r="DD411" s="47">
        <v>0</v>
      </c>
      <c r="DE411" s="47">
        <v>0</v>
      </c>
      <c r="DF411" s="47">
        <v>0</v>
      </c>
      <c r="DG411" s="47">
        <v>0</v>
      </c>
      <c r="DH411" s="47">
        <v>0</v>
      </c>
      <c r="DI411" s="47">
        <v>0</v>
      </c>
      <c r="DJ411" s="47">
        <v>0</v>
      </c>
      <c r="DK411" s="47">
        <v>0</v>
      </c>
      <c r="DL411" s="47">
        <v>0</v>
      </c>
      <c r="DM411" s="47">
        <v>0</v>
      </c>
      <c r="DN411" s="47">
        <v>0</v>
      </c>
      <c r="DO411" s="47">
        <v>0</v>
      </c>
      <c r="DP411" s="47">
        <v>0</v>
      </c>
      <c r="DQ411" s="47">
        <v>0</v>
      </c>
      <c r="DR411" s="47">
        <v>0</v>
      </c>
      <c r="DS411" s="47">
        <v>0</v>
      </c>
      <c r="DT411" s="47">
        <v>0</v>
      </c>
    </row>
    <row r="412" spans="1:126" x14ac:dyDescent="0.25">
      <c r="A412" s="47" t="s">
        <v>1974</v>
      </c>
      <c r="B412" s="47" t="s">
        <v>153</v>
      </c>
      <c r="C412" s="47" t="s">
        <v>1975</v>
      </c>
      <c r="D412" s="47" t="s">
        <v>1976</v>
      </c>
      <c r="E412" s="47" t="s">
        <v>1977</v>
      </c>
      <c r="F412" s="47" t="s">
        <v>698</v>
      </c>
      <c r="G412" s="47" t="s">
        <v>727</v>
      </c>
      <c r="H412" s="47" t="str">
        <f>=IFERROR(VLOOKUP(A412,'ETPT Format DDG'!A:J,10,FALSE),"")</f>
        <v>0</v>
      </c>
      <c r="I412" s="47" t="str">
        <f>='ETPT Format DDG'!M412</f>
        <v/>
      </c>
      <c r="J412" s="47" t="str">
        <f>='ETPT Format DDG'!D412</f>
        <v/>
      </c>
      <c r="K412" s="47" t="s">
        <v>157</v>
      </c>
      <c r="L412" s="47" t="s">
        <v>942</v>
      </c>
      <c r="M412" s="47"/>
      <c r="N412" s="47">
        <v>1</v>
      </c>
      <c r="O412" s="47">
        <v>0</v>
      </c>
      <c r="P412" s="47">
        <v>0</v>
      </c>
      <c r="Q412" s="47">
        <v>0</v>
      </c>
      <c r="R412" s="47">
        <v>0</v>
      </c>
      <c r="S412" s="47">
        <v>0</v>
      </c>
      <c r="T412" s="47">
        <v>0</v>
      </c>
      <c r="U412" s="47">
        <v>0</v>
      </c>
      <c r="V412" s="47">
        <v>0</v>
      </c>
      <c r="W412" s="47">
        <v>0</v>
      </c>
      <c r="X412" s="47">
        <v>0</v>
      </c>
      <c r="Y412" s="47">
        <v>0</v>
      </c>
      <c r="Z412" s="47">
        <v>0</v>
      </c>
      <c r="AA412" s="47">
        <v>0</v>
      </c>
      <c r="AB412" s="47">
        <v>0</v>
      </c>
      <c r="AC412" s="47">
        <v>0</v>
      </c>
      <c r="AD412" s="47">
        <v>0</v>
      </c>
      <c r="AE412" s="47">
        <v>0</v>
      </c>
      <c r="AF412" s="47">
        <v>0</v>
      </c>
      <c r="AG412" s="47">
        <v>0</v>
      </c>
      <c r="AH412" s="47">
        <v>0</v>
      </c>
      <c r="AI412" s="47">
        <v>0</v>
      </c>
      <c r="AJ412" s="47">
        <v>0</v>
      </c>
      <c r="AK412" s="47">
        <v>0</v>
      </c>
      <c r="AL412" s="47">
        <v>0</v>
      </c>
      <c r="AM412" s="47">
        <v>0</v>
      </c>
      <c r="AN412" s="47">
        <v>0</v>
      </c>
      <c r="AO412" s="47">
        <v>0</v>
      </c>
      <c r="AP412" s="47">
        <v>0</v>
      </c>
      <c r="AQ412" s="47">
        <v>0</v>
      </c>
      <c r="AR412" s="47">
        <v>0</v>
      </c>
      <c r="AS412" s="47">
        <v>0</v>
      </c>
      <c r="AT412" s="47">
        <v>0</v>
      </c>
      <c r="AU412" s="47">
        <v>0</v>
      </c>
      <c r="AV412" s="47">
        <v>0</v>
      </c>
      <c r="AW412" s="47">
        <v>0</v>
      </c>
      <c r="AX412" s="47">
        <v>0</v>
      </c>
      <c r="AY412" s="47">
        <v>0</v>
      </c>
      <c r="AZ412" s="47">
        <v>0</v>
      </c>
      <c r="BA412" s="47">
        <v>0</v>
      </c>
      <c r="BB412" s="47">
        <v>0</v>
      </c>
      <c r="BC412" s="47">
        <v>0</v>
      </c>
      <c r="BD412" s="47">
        <v>0</v>
      </c>
      <c r="BE412" s="47">
        <v>0</v>
      </c>
      <c r="BF412" s="47">
        <v>0</v>
      </c>
      <c r="BG412" s="47">
        <v>0</v>
      </c>
      <c r="BH412" s="47">
        <v>0</v>
      </c>
      <c r="BI412" s="47">
        <v>0</v>
      </c>
      <c r="BJ412" s="47">
        <v>0</v>
      </c>
      <c r="BK412" s="47">
        <v>0</v>
      </c>
      <c r="BL412" s="47">
        <v>0</v>
      </c>
      <c r="BM412" s="47">
        <v>0</v>
      </c>
      <c r="BN412" s="47">
        <v>0</v>
      </c>
      <c r="BO412" s="47">
        <v>0</v>
      </c>
      <c r="BP412" s="47">
        <v>0</v>
      </c>
      <c r="BQ412" s="47">
        <v>0</v>
      </c>
      <c r="BR412" s="47">
        <v>0</v>
      </c>
      <c r="BS412" s="47">
        <v>0</v>
      </c>
      <c r="BT412" s="47">
        <v>0</v>
      </c>
      <c r="BU412" s="47">
        <v>0</v>
      </c>
      <c r="BV412" s="47">
        <v>0</v>
      </c>
      <c r="BW412" s="47">
        <v>0</v>
      </c>
      <c r="BX412" s="47">
        <v>0</v>
      </c>
      <c r="BY412" s="47">
        <v>0</v>
      </c>
      <c r="BZ412" s="47">
        <v>0</v>
      </c>
      <c r="CA412" s="47">
        <v>0</v>
      </c>
      <c r="CB412" s="47">
        <v>0</v>
      </c>
      <c r="CC412" s="47">
        <v>0</v>
      </c>
      <c r="CD412" s="47">
        <v>0</v>
      </c>
      <c r="CE412" s="47">
        <v>0</v>
      </c>
      <c r="CF412" s="47">
        <v>0</v>
      </c>
      <c r="CG412" s="47">
        <v>0</v>
      </c>
      <c r="CH412" s="47">
        <v>0</v>
      </c>
      <c r="CI412" s="47">
        <v>0</v>
      </c>
      <c r="CJ412" s="47">
        <v>0</v>
      </c>
      <c r="CK412" s="47">
        <v>0</v>
      </c>
      <c r="CL412" s="47">
        <v>0</v>
      </c>
      <c r="CM412" s="47">
        <v>0</v>
      </c>
      <c r="CN412" s="47">
        <v>0</v>
      </c>
      <c r="CO412" s="47">
        <v>0</v>
      </c>
      <c r="CP412" s="47">
        <v>0</v>
      </c>
      <c r="CQ412" s="47">
        <v>0</v>
      </c>
      <c r="CR412" s="47">
        <v>0</v>
      </c>
      <c r="CS412" s="47">
        <v>0</v>
      </c>
      <c r="CT412" s="47">
        <v>0</v>
      </c>
      <c r="CU412" s="47">
        <v>0</v>
      </c>
      <c r="CV412" s="47">
        <v>0</v>
      </c>
      <c r="CW412" s="47">
        <v>0</v>
      </c>
      <c r="CX412" s="47">
        <v>0</v>
      </c>
      <c r="CY412" s="47">
        <v>0</v>
      </c>
      <c r="CZ412" s="47">
        <v>0</v>
      </c>
      <c r="DA412" s="47">
        <v>0</v>
      </c>
      <c r="DB412" s="47">
        <v>0</v>
      </c>
      <c r="DC412" s="47">
        <v>0</v>
      </c>
      <c r="DD412" s="47">
        <v>0</v>
      </c>
      <c r="DE412" s="47">
        <v>0</v>
      </c>
      <c r="DF412" s="47">
        <v>0</v>
      </c>
      <c r="DG412" s="47">
        <v>0</v>
      </c>
      <c r="DH412" s="47">
        <v>0</v>
      </c>
      <c r="DI412" s="47">
        <v>0</v>
      </c>
      <c r="DJ412" s="47">
        <v>0</v>
      </c>
      <c r="DK412" s="47">
        <v>0</v>
      </c>
      <c r="DL412" s="47">
        <v>0</v>
      </c>
      <c r="DM412" s="47">
        <v>0</v>
      </c>
      <c r="DN412" s="47">
        <v>0</v>
      </c>
      <c r="DO412" s="47">
        <v>0</v>
      </c>
      <c r="DP412" s="47">
        <v>0</v>
      </c>
      <c r="DQ412" s="47">
        <v>0</v>
      </c>
      <c r="DR412" s="47">
        <v>0</v>
      </c>
      <c r="DS412" s="47">
        <v>0</v>
      </c>
      <c r="DT412" s="47">
        <v>0</v>
      </c>
    </row>
    <row r="413" spans="1:126" x14ac:dyDescent="0.25">
      <c r="A413" s="47" t="s">
        <v>1978</v>
      </c>
      <c r="B413" s="47" t="s">
        <v>153</v>
      </c>
      <c r="C413" s="47" t="s">
        <v>1979</v>
      </c>
      <c r="D413" s="47" t="s">
        <v>1980</v>
      </c>
      <c r="E413" s="47" t="s">
        <v>1981</v>
      </c>
      <c r="F413" s="47" t="s">
        <v>698</v>
      </c>
      <c r="G413" s="47" t="s">
        <v>738</v>
      </c>
      <c r="H413" s="47" t="str">
        <f>=IFERROR(VLOOKUP(A413,'ETPT Format DDG'!A:J,10,FALSE),"")</f>
        <v>0</v>
      </c>
      <c r="I413" s="47" t="str">
        <f>='ETPT Format DDG'!M413</f>
        <v/>
      </c>
      <c r="J413" s="47" t="str">
        <f>='ETPT Format DDG'!D413</f>
        <v/>
      </c>
      <c r="K413" s="47" t="s">
        <v>157</v>
      </c>
      <c r="L413" s="47" t="s">
        <v>1039</v>
      </c>
      <c r="M413" s="47"/>
      <c r="N413" s="47">
        <v>1</v>
      </c>
      <c r="O413" s="47">
        <v>0</v>
      </c>
      <c r="P413" s="47">
        <v>0</v>
      </c>
      <c r="Q413" s="47">
        <v>0</v>
      </c>
      <c r="R413" s="47">
        <v>0</v>
      </c>
      <c r="S413" s="47">
        <v>0</v>
      </c>
      <c r="T413" s="47">
        <v>0</v>
      </c>
      <c r="U413" s="47">
        <v>0</v>
      </c>
      <c r="V413" s="47">
        <v>0</v>
      </c>
      <c r="W413" s="47">
        <v>0</v>
      </c>
      <c r="X413" s="47">
        <v>0</v>
      </c>
      <c r="Y413" s="47">
        <v>0</v>
      </c>
      <c r="Z413" s="47">
        <v>0</v>
      </c>
      <c r="AA413" s="47">
        <v>0</v>
      </c>
      <c r="AB413" s="47">
        <v>0</v>
      </c>
      <c r="AC413" s="47">
        <v>0</v>
      </c>
      <c r="AD413" s="47">
        <v>0</v>
      </c>
      <c r="AE413" s="47">
        <v>0</v>
      </c>
      <c r="AF413" s="47">
        <v>0</v>
      </c>
      <c r="AG413" s="47">
        <v>0</v>
      </c>
      <c r="AH413" s="47">
        <v>0</v>
      </c>
      <c r="AI413" s="47">
        <v>0</v>
      </c>
      <c r="AJ413" s="47">
        <v>0</v>
      </c>
      <c r="AK413" s="47">
        <v>0</v>
      </c>
      <c r="AL413" s="47">
        <v>0</v>
      </c>
      <c r="AM413" s="47">
        <v>0</v>
      </c>
      <c r="AN413" s="47">
        <v>0</v>
      </c>
      <c r="AO413" s="47">
        <v>0</v>
      </c>
      <c r="AP413" s="47">
        <v>0</v>
      </c>
      <c r="AQ413" s="47">
        <v>0</v>
      </c>
      <c r="AR413" s="47">
        <v>0</v>
      </c>
      <c r="AS413" s="47">
        <v>0</v>
      </c>
      <c r="AT413" s="47">
        <v>0</v>
      </c>
      <c r="AU413" s="47">
        <v>0</v>
      </c>
      <c r="AV413" s="47">
        <v>0</v>
      </c>
      <c r="AW413" s="47">
        <v>0</v>
      </c>
      <c r="AX413" s="47">
        <v>0</v>
      </c>
      <c r="AY413" s="47">
        <v>0</v>
      </c>
      <c r="AZ413" s="47">
        <v>0</v>
      </c>
      <c r="BA413" s="47">
        <v>0</v>
      </c>
      <c r="BB413" s="47">
        <v>0</v>
      </c>
      <c r="BC413" s="47">
        <v>0</v>
      </c>
      <c r="BD413" s="47">
        <v>0</v>
      </c>
      <c r="BE413" s="47">
        <v>0</v>
      </c>
      <c r="BF413" s="47">
        <v>0</v>
      </c>
      <c r="BG413" s="47">
        <v>0</v>
      </c>
      <c r="BH413" s="47">
        <v>0</v>
      </c>
      <c r="BI413" s="47">
        <v>0</v>
      </c>
      <c r="BJ413" s="47">
        <v>0</v>
      </c>
      <c r="BK413" s="47">
        <v>0</v>
      </c>
      <c r="BL413" s="47">
        <v>0</v>
      </c>
      <c r="BM413" s="47">
        <v>0</v>
      </c>
      <c r="BN413" s="47">
        <v>0</v>
      </c>
      <c r="BO413" s="47">
        <v>0</v>
      </c>
      <c r="BP413" s="47">
        <v>0</v>
      </c>
      <c r="BQ413" s="47">
        <v>0</v>
      </c>
      <c r="BR413" s="47">
        <v>0</v>
      </c>
      <c r="BS413" s="47">
        <v>0</v>
      </c>
      <c r="BT413" s="47">
        <v>0</v>
      </c>
      <c r="BU413" s="47">
        <v>0</v>
      </c>
      <c r="BV413" s="47">
        <v>0</v>
      </c>
      <c r="BW413" s="47">
        <v>0</v>
      </c>
      <c r="BX413" s="47">
        <v>0</v>
      </c>
      <c r="BY413" s="47">
        <v>0</v>
      </c>
      <c r="BZ413" s="47">
        <v>0</v>
      </c>
      <c r="CA413" s="47">
        <v>0</v>
      </c>
      <c r="CB413" s="47">
        <v>0</v>
      </c>
      <c r="CC413" s="47">
        <v>0</v>
      </c>
      <c r="CD413" s="47">
        <v>0</v>
      </c>
      <c r="CE413" s="47">
        <v>0</v>
      </c>
      <c r="CF413" s="47">
        <v>0</v>
      </c>
      <c r="CG413" s="47">
        <v>0</v>
      </c>
      <c r="CH413" s="47">
        <v>0</v>
      </c>
      <c r="CI413" s="47">
        <v>0</v>
      </c>
      <c r="CJ413" s="47">
        <v>0</v>
      </c>
      <c r="CK413" s="47">
        <v>0</v>
      </c>
      <c r="CL413" s="47">
        <v>0</v>
      </c>
      <c r="CM413" s="47">
        <v>0</v>
      </c>
      <c r="CN413" s="47">
        <v>0</v>
      </c>
      <c r="CO413" s="47">
        <v>0</v>
      </c>
      <c r="CP413" s="47">
        <v>0</v>
      </c>
      <c r="CQ413" s="47">
        <v>0</v>
      </c>
      <c r="CR413" s="47">
        <v>0</v>
      </c>
      <c r="CS413" s="47">
        <v>0</v>
      </c>
      <c r="CT413" s="47">
        <v>0</v>
      </c>
      <c r="CU413" s="47">
        <v>0</v>
      </c>
      <c r="CV413" s="47">
        <v>0</v>
      </c>
      <c r="CW413" s="47">
        <v>0</v>
      </c>
      <c r="CX413" s="47">
        <v>0</v>
      </c>
      <c r="CY413" s="47">
        <v>0</v>
      </c>
      <c r="CZ413" s="47">
        <v>0</v>
      </c>
      <c r="DA413" s="47">
        <v>0</v>
      </c>
      <c r="DB413" s="47">
        <v>0</v>
      </c>
      <c r="DC413" s="47">
        <v>0</v>
      </c>
      <c r="DD413" s="47">
        <v>0</v>
      </c>
      <c r="DE413" s="47">
        <v>0</v>
      </c>
      <c r="DF413" s="47">
        <v>0</v>
      </c>
      <c r="DG413" s="47">
        <v>0</v>
      </c>
      <c r="DH413" s="47">
        <v>0</v>
      </c>
      <c r="DI413" s="47">
        <v>0</v>
      </c>
      <c r="DJ413" s="47">
        <v>0</v>
      </c>
      <c r="DK413" s="47">
        <v>0</v>
      </c>
      <c r="DL413" s="47">
        <v>0</v>
      </c>
      <c r="DM413" s="47">
        <v>0</v>
      </c>
      <c r="DN413" s="47">
        <v>0</v>
      </c>
      <c r="DO413" s="47">
        <v>0</v>
      </c>
      <c r="DP413" s="47">
        <v>0</v>
      </c>
      <c r="DQ413" s="47">
        <v>0</v>
      </c>
      <c r="DR413" s="47">
        <v>0</v>
      </c>
      <c r="DS413" s="47">
        <v>0</v>
      </c>
      <c r="DT413" s="47">
        <v>0</v>
      </c>
    </row>
    <row r="414" spans="1:126" x14ac:dyDescent="0.25">
      <c r="A414" s="47" t="s">
        <v>1982</v>
      </c>
      <c r="B414" s="47" t="s">
        <v>153</v>
      </c>
      <c r="C414" s="47" t="s">
        <v>1983</v>
      </c>
      <c r="D414" s="47" t="s">
        <v>1984</v>
      </c>
      <c r="E414" s="47" t="s">
        <v>1985</v>
      </c>
      <c r="F414" s="47" t="s">
        <v>698</v>
      </c>
      <c r="G414" s="47" t="s">
        <v>727</v>
      </c>
      <c r="H414" s="47" t="str">
        <f>=IFERROR(VLOOKUP(A414,'ETPT Format DDG'!A:J,10,FALSE),"")</f>
        <v>0</v>
      </c>
      <c r="I414" s="47" t="str">
        <f>='ETPT Format DDG'!M414</f>
        <v/>
      </c>
      <c r="J414" s="47" t="str">
        <f>='ETPT Format DDG'!D414</f>
        <v/>
      </c>
      <c r="K414" s="47" t="s">
        <v>157</v>
      </c>
      <c r="L414" s="47" t="s">
        <v>1000</v>
      </c>
      <c r="M414" s="47"/>
      <c r="N414" s="47">
        <v>1</v>
      </c>
      <c r="O414" s="47">
        <v>1</v>
      </c>
      <c r="P414" s="47">
        <v>0</v>
      </c>
      <c r="Q414" s="47">
        <v>0</v>
      </c>
      <c r="R414" s="47">
        <v>0</v>
      </c>
      <c r="S414" s="47">
        <v>0</v>
      </c>
      <c r="T414" s="47">
        <v>0</v>
      </c>
      <c r="U414" s="47">
        <v>0</v>
      </c>
      <c r="V414" s="47">
        <v>0</v>
      </c>
      <c r="W414" s="47">
        <v>0</v>
      </c>
      <c r="X414" s="47">
        <v>0</v>
      </c>
      <c r="Y414" s="47">
        <v>0</v>
      </c>
      <c r="Z414" s="47">
        <v>0</v>
      </c>
      <c r="AA414" s="47">
        <v>0</v>
      </c>
      <c r="AB414" s="47">
        <v>0</v>
      </c>
      <c r="AC414" s="47">
        <v>0</v>
      </c>
      <c r="AD414" s="47">
        <v>0</v>
      </c>
      <c r="AE414" s="47">
        <v>0</v>
      </c>
      <c r="AF414" s="47">
        <v>0</v>
      </c>
      <c r="AG414" s="47">
        <v>0</v>
      </c>
      <c r="AH414" s="47">
        <v>0</v>
      </c>
      <c r="AI414" s="47">
        <v>0</v>
      </c>
      <c r="AJ414" s="47">
        <v>0</v>
      </c>
      <c r="AK414" s="47">
        <v>0</v>
      </c>
      <c r="AL414" s="47">
        <v>0</v>
      </c>
      <c r="AM414" s="47">
        <v>0</v>
      </c>
      <c r="AN414" s="47">
        <v>0</v>
      </c>
      <c r="AO414" s="47">
        <v>0</v>
      </c>
      <c r="AP414" s="47">
        <v>0</v>
      </c>
      <c r="AQ414" s="47">
        <v>0</v>
      </c>
      <c r="AR414" s="47">
        <v>0</v>
      </c>
      <c r="AS414" s="47">
        <v>0</v>
      </c>
      <c r="AT414" s="47">
        <v>0</v>
      </c>
      <c r="AU414" s="47">
        <v>0</v>
      </c>
      <c r="AV414" s="47">
        <v>0</v>
      </c>
      <c r="AW414" s="47">
        <v>0</v>
      </c>
      <c r="AX414" s="47">
        <v>0</v>
      </c>
      <c r="AY414" s="47">
        <v>0</v>
      </c>
      <c r="AZ414" s="47">
        <v>0</v>
      </c>
      <c r="BA414" s="47">
        <v>0</v>
      </c>
      <c r="BB414" s="47">
        <v>0</v>
      </c>
      <c r="BC414" s="47">
        <v>0</v>
      </c>
      <c r="BD414" s="47">
        <v>0</v>
      </c>
      <c r="BE414" s="47">
        <v>0</v>
      </c>
      <c r="BF414" s="47">
        <v>0</v>
      </c>
      <c r="BG414" s="47">
        <v>0</v>
      </c>
      <c r="BH414" s="47">
        <v>0</v>
      </c>
      <c r="BI414" s="47">
        <v>0</v>
      </c>
      <c r="BJ414" s="47">
        <v>0</v>
      </c>
      <c r="BK414" s="47">
        <v>0</v>
      </c>
      <c r="BL414" s="47">
        <v>0</v>
      </c>
      <c r="BM414" s="47">
        <v>0</v>
      </c>
      <c r="BN414" s="47">
        <v>0</v>
      </c>
      <c r="BO414" s="47">
        <v>0</v>
      </c>
      <c r="BP414" s="47">
        <v>0</v>
      </c>
      <c r="BQ414" s="47">
        <v>0</v>
      </c>
      <c r="BR414" s="47">
        <v>0</v>
      </c>
      <c r="BS414" s="47">
        <v>0</v>
      </c>
      <c r="BT414" s="47">
        <v>0</v>
      </c>
      <c r="BU414" s="47">
        <v>0</v>
      </c>
      <c r="BV414" s="47">
        <v>0</v>
      </c>
      <c r="BW414" s="47">
        <v>0</v>
      </c>
      <c r="BX414" s="47">
        <v>0</v>
      </c>
      <c r="BY414" s="47">
        <v>0</v>
      </c>
      <c r="BZ414" s="47">
        <v>0</v>
      </c>
      <c r="CA414" s="47">
        <v>0</v>
      </c>
      <c r="CB414" s="47">
        <v>0</v>
      </c>
      <c r="CC414" s="47">
        <v>0</v>
      </c>
      <c r="CD414" s="47">
        <v>0</v>
      </c>
      <c r="CE414" s="47">
        <v>0</v>
      </c>
      <c r="CF414" s="47">
        <v>1</v>
      </c>
      <c r="CG414" s="47">
        <v>0</v>
      </c>
      <c r="CH414" s="47">
        <v>0</v>
      </c>
      <c r="CI414" s="47">
        <v>0</v>
      </c>
      <c r="CJ414" s="47">
        <v>0</v>
      </c>
      <c r="CK414" s="47">
        <v>0</v>
      </c>
      <c r="CL414" s="47">
        <v>0</v>
      </c>
      <c r="CM414" s="47">
        <v>0</v>
      </c>
      <c r="CN414" s="47">
        <v>0</v>
      </c>
      <c r="CO414" s="47">
        <v>0</v>
      </c>
      <c r="CP414" s="47">
        <v>0</v>
      </c>
      <c r="CQ414" s="47">
        <v>0</v>
      </c>
      <c r="CR414" s="47">
        <v>0</v>
      </c>
      <c r="CS414" s="47">
        <v>0</v>
      </c>
      <c r="CT414" s="47">
        <v>0</v>
      </c>
      <c r="CU414" s="47">
        <v>0</v>
      </c>
      <c r="CV414" s="47">
        <v>0</v>
      </c>
      <c r="CW414" s="47">
        <v>0</v>
      </c>
      <c r="CX414" s="47">
        <v>0</v>
      </c>
      <c r="CY414" s="47">
        <v>0</v>
      </c>
      <c r="CZ414" s="47">
        <v>0</v>
      </c>
      <c r="DA414" s="47">
        <v>0</v>
      </c>
      <c r="DB414" s="47">
        <v>0</v>
      </c>
      <c r="DC414" s="47">
        <v>0</v>
      </c>
      <c r="DD414" s="47">
        <v>0</v>
      </c>
      <c r="DE414" s="47">
        <v>0</v>
      </c>
      <c r="DF414" s="47">
        <v>0</v>
      </c>
      <c r="DG414" s="47">
        <v>0</v>
      </c>
      <c r="DH414" s="47">
        <v>0</v>
      </c>
      <c r="DI414" s="47">
        <v>0</v>
      </c>
      <c r="DJ414" s="47">
        <v>0</v>
      </c>
      <c r="DK414" s="47">
        <v>0</v>
      </c>
      <c r="DL414" s="47">
        <v>0</v>
      </c>
      <c r="DM414" s="47">
        <v>0</v>
      </c>
      <c r="DN414" s="47">
        <v>0</v>
      </c>
      <c r="DO414" s="47">
        <v>0</v>
      </c>
      <c r="DP414" s="47">
        <v>0</v>
      </c>
      <c r="DQ414" s="47">
        <v>0</v>
      </c>
      <c r="DR414" s="47">
        <v>0</v>
      </c>
      <c r="DS414" s="47">
        <v>0</v>
      </c>
      <c r="DT414" s="47">
        <v>0</v>
      </c>
    </row>
    <row r="415" spans="1:126" x14ac:dyDescent="0.25">
      <c r="A415" s="47" t="s">
        <v>1986</v>
      </c>
      <c r="B415" s="47" t="s">
        <v>153</v>
      </c>
      <c r="C415" s="47" t="s">
        <v>1987</v>
      </c>
      <c r="D415" s="47" t="s">
        <v>1988</v>
      </c>
      <c r="E415" s="47" t="s">
        <v>1989</v>
      </c>
      <c r="F415" s="47" t="s">
        <v>698</v>
      </c>
      <c r="G415" s="47" t="s">
        <v>705</v>
      </c>
      <c r="H415" s="47" t="str">
        <f>=IFERROR(VLOOKUP(A415,'ETPT Format DDG'!A:J,10,FALSE),"")</f>
        <v>0</v>
      </c>
      <c r="I415" s="47" t="str">
        <f>='ETPT Format DDG'!M415</f>
        <v/>
      </c>
      <c r="J415" s="47" t="str">
        <f>='ETPT Format DDG'!D415</f>
        <v/>
      </c>
      <c r="K415" s="47" t="s">
        <v>157</v>
      </c>
      <c r="L415" s="47" t="s">
        <v>712</v>
      </c>
      <c r="M415" s="47"/>
      <c r="N415" s="47">
        <v>1</v>
      </c>
      <c r="O415" s="47">
        <v>0</v>
      </c>
      <c r="P415" s="47">
        <v>0</v>
      </c>
      <c r="Q415" s="47">
        <v>0</v>
      </c>
      <c r="R415" s="47">
        <v>0</v>
      </c>
      <c r="S415" s="47">
        <v>0</v>
      </c>
      <c r="T415" s="47">
        <v>0</v>
      </c>
      <c r="U415" s="47">
        <v>0</v>
      </c>
      <c r="V415" s="47">
        <v>0</v>
      </c>
      <c r="W415" s="47">
        <v>0</v>
      </c>
      <c r="X415" s="47">
        <v>0</v>
      </c>
      <c r="Y415" s="47">
        <v>0</v>
      </c>
      <c r="Z415" s="47">
        <v>0</v>
      </c>
      <c r="AA415" s="47">
        <v>0</v>
      </c>
      <c r="AB415" s="47">
        <v>0</v>
      </c>
      <c r="AC415" s="47">
        <v>0</v>
      </c>
      <c r="AD415" s="47">
        <v>0</v>
      </c>
      <c r="AE415" s="47">
        <v>0</v>
      </c>
      <c r="AF415" s="47">
        <v>0</v>
      </c>
      <c r="AG415" s="47">
        <v>0</v>
      </c>
      <c r="AH415" s="47">
        <v>0</v>
      </c>
      <c r="AI415" s="47">
        <v>0</v>
      </c>
      <c r="AJ415" s="47">
        <v>0</v>
      </c>
      <c r="AK415" s="47">
        <v>0</v>
      </c>
      <c r="AL415" s="47">
        <v>0</v>
      </c>
      <c r="AM415" s="47">
        <v>0</v>
      </c>
      <c r="AN415" s="47">
        <v>0</v>
      </c>
      <c r="AO415" s="47">
        <v>0</v>
      </c>
      <c r="AP415" s="47">
        <v>0</v>
      </c>
      <c r="AQ415" s="47">
        <v>0</v>
      </c>
      <c r="AR415" s="47">
        <v>0</v>
      </c>
      <c r="AS415" s="47">
        <v>0</v>
      </c>
      <c r="AT415" s="47">
        <v>0</v>
      </c>
      <c r="AU415" s="47">
        <v>0</v>
      </c>
      <c r="AV415" s="47">
        <v>0</v>
      </c>
      <c r="AW415" s="47">
        <v>0</v>
      </c>
      <c r="AX415" s="47">
        <v>0</v>
      </c>
      <c r="AY415" s="47">
        <v>0</v>
      </c>
      <c r="AZ415" s="47">
        <v>0</v>
      </c>
      <c r="BA415" s="47">
        <v>0</v>
      </c>
      <c r="BB415" s="47">
        <v>0</v>
      </c>
      <c r="BC415" s="47">
        <v>0</v>
      </c>
      <c r="BD415" s="47">
        <v>0</v>
      </c>
      <c r="BE415" s="47">
        <v>0</v>
      </c>
      <c r="BF415" s="47">
        <v>0</v>
      </c>
      <c r="BG415" s="47">
        <v>0</v>
      </c>
      <c r="BH415" s="47">
        <v>0</v>
      </c>
      <c r="BI415" s="47">
        <v>0</v>
      </c>
      <c r="BJ415" s="47">
        <v>0</v>
      </c>
      <c r="BK415" s="47">
        <v>0</v>
      </c>
      <c r="BL415" s="47">
        <v>0</v>
      </c>
      <c r="BM415" s="47">
        <v>0</v>
      </c>
      <c r="BN415" s="47">
        <v>0</v>
      </c>
      <c r="BO415" s="47">
        <v>0</v>
      </c>
      <c r="BP415" s="47">
        <v>0</v>
      </c>
      <c r="BQ415" s="47">
        <v>0</v>
      </c>
      <c r="BR415" s="47">
        <v>0</v>
      </c>
      <c r="BS415" s="47">
        <v>0</v>
      </c>
      <c r="BT415" s="47">
        <v>0</v>
      </c>
      <c r="BU415" s="47">
        <v>0</v>
      </c>
      <c r="BV415" s="47">
        <v>0</v>
      </c>
      <c r="BW415" s="47">
        <v>0</v>
      </c>
      <c r="BX415" s="47">
        <v>0</v>
      </c>
      <c r="BY415" s="47">
        <v>0</v>
      </c>
      <c r="BZ415" s="47">
        <v>0</v>
      </c>
      <c r="CA415" s="47">
        <v>0</v>
      </c>
      <c r="CB415" s="47">
        <v>0</v>
      </c>
      <c r="CC415" s="47">
        <v>0</v>
      </c>
      <c r="CD415" s="47">
        <v>0</v>
      </c>
      <c r="CE415" s="47">
        <v>0</v>
      </c>
      <c r="CF415" s="47">
        <v>0</v>
      </c>
      <c r="CG415" s="47">
        <v>0</v>
      </c>
      <c r="CH415" s="47">
        <v>0</v>
      </c>
      <c r="CI415" s="47">
        <v>0</v>
      </c>
      <c r="CJ415" s="47">
        <v>0</v>
      </c>
      <c r="CK415" s="47">
        <v>0</v>
      </c>
      <c r="CL415" s="47">
        <v>0</v>
      </c>
      <c r="CM415" s="47">
        <v>0</v>
      </c>
      <c r="CN415" s="47">
        <v>0</v>
      </c>
      <c r="CO415" s="47">
        <v>0</v>
      </c>
      <c r="CP415" s="47">
        <v>0</v>
      </c>
      <c r="CQ415" s="47">
        <v>0</v>
      </c>
      <c r="CR415" s="47">
        <v>0</v>
      </c>
      <c r="CS415" s="47">
        <v>0</v>
      </c>
      <c r="CT415" s="47">
        <v>0</v>
      </c>
      <c r="CU415" s="47">
        <v>0</v>
      </c>
      <c r="CV415" s="47">
        <v>0</v>
      </c>
      <c r="CW415" s="47">
        <v>0</v>
      </c>
      <c r="CX415" s="47">
        <v>0</v>
      </c>
      <c r="CY415" s="47">
        <v>0</v>
      </c>
      <c r="CZ415" s="47">
        <v>0</v>
      </c>
      <c r="DA415" s="47">
        <v>0</v>
      </c>
      <c r="DB415" s="47">
        <v>0</v>
      </c>
      <c r="DC415" s="47">
        <v>0</v>
      </c>
      <c r="DD415" s="47">
        <v>0</v>
      </c>
      <c r="DE415" s="47">
        <v>0</v>
      </c>
      <c r="DF415" s="47">
        <v>0</v>
      </c>
      <c r="DG415" s="47">
        <v>0</v>
      </c>
      <c r="DH415" s="47">
        <v>0</v>
      </c>
      <c r="DI415" s="47">
        <v>0</v>
      </c>
      <c r="DJ415" s="47">
        <v>0</v>
      </c>
      <c r="DK415" s="47">
        <v>0</v>
      </c>
      <c r="DL415" s="47">
        <v>0</v>
      </c>
      <c r="DM415" s="47">
        <v>0</v>
      </c>
      <c r="DN415" s="47">
        <v>0</v>
      </c>
      <c r="DO415" s="47">
        <v>0</v>
      </c>
      <c r="DP415" s="47">
        <v>0</v>
      </c>
      <c r="DQ415" s="47">
        <v>0</v>
      </c>
      <c r="DR415" s="47">
        <v>0</v>
      </c>
      <c r="DS415" s="47">
        <v>0</v>
      </c>
      <c r="DT415" s="47">
        <v>0</v>
      </c>
    </row>
    <row r="416" spans="1:126" x14ac:dyDescent="0.25">
      <c r="A416" s="47" t="s">
        <v>1990</v>
      </c>
      <c r="B416" s="47" t="s">
        <v>153</v>
      </c>
      <c r="C416" s="47" t="s">
        <v>1991</v>
      </c>
      <c r="D416" s="47" t="s">
        <v>1992</v>
      </c>
      <c r="E416" s="47" t="s">
        <v>1993</v>
      </c>
      <c r="F416" s="47" t="s">
        <v>698</v>
      </c>
      <c r="G416" s="47" t="s">
        <v>738</v>
      </c>
      <c r="H416" s="47" t="str">
        <f>=IFERROR(VLOOKUP(A416,'ETPT Format DDG'!A:J,10,FALSE),"")</f>
        <v>0</v>
      </c>
      <c r="I416" s="47" t="str">
        <f>='ETPT Format DDG'!M416</f>
        <v/>
      </c>
      <c r="J416" s="47" t="str">
        <f>='ETPT Format DDG'!D416</f>
        <v/>
      </c>
      <c r="K416" s="47" t="s">
        <v>157</v>
      </c>
      <c r="L416" s="47" t="s">
        <v>1309</v>
      </c>
      <c r="M416" s="47"/>
      <c r="N416" s="47">
        <v>1</v>
      </c>
      <c r="O416" s="47">
        <v>0</v>
      </c>
      <c r="P416" s="47">
        <v>0</v>
      </c>
      <c r="Q416" s="47">
        <v>0</v>
      </c>
      <c r="R416" s="47">
        <v>0</v>
      </c>
      <c r="S416" s="47">
        <v>0</v>
      </c>
      <c r="T416" s="47">
        <v>0</v>
      </c>
      <c r="U416" s="47">
        <v>0</v>
      </c>
      <c r="V416" s="47">
        <v>0</v>
      </c>
      <c r="W416" s="47">
        <v>0</v>
      </c>
      <c r="X416" s="47">
        <v>0</v>
      </c>
      <c r="Y416" s="47">
        <v>0</v>
      </c>
      <c r="Z416" s="47">
        <v>0</v>
      </c>
      <c r="AA416" s="47">
        <v>0</v>
      </c>
      <c r="AB416" s="47">
        <v>0</v>
      </c>
      <c r="AC416" s="47">
        <v>0</v>
      </c>
      <c r="AD416" s="47">
        <v>0</v>
      </c>
      <c r="AE416" s="47">
        <v>0</v>
      </c>
      <c r="AF416" s="47">
        <v>0</v>
      </c>
      <c r="AG416" s="47">
        <v>0</v>
      </c>
      <c r="AH416" s="47">
        <v>0</v>
      </c>
      <c r="AI416" s="47">
        <v>0</v>
      </c>
      <c r="AJ416" s="47">
        <v>0</v>
      </c>
      <c r="AK416" s="47">
        <v>0</v>
      </c>
      <c r="AL416" s="47">
        <v>0</v>
      </c>
      <c r="AM416" s="47">
        <v>0</v>
      </c>
      <c r="AN416" s="47">
        <v>0</v>
      </c>
      <c r="AO416" s="47">
        <v>0</v>
      </c>
      <c r="AP416" s="47">
        <v>0</v>
      </c>
      <c r="AQ416" s="47">
        <v>0</v>
      </c>
      <c r="AR416" s="47">
        <v>0</v>
      </c>
      <c r="AS416" s="47">
        <v>0</v>
      </c>
      <c r="AT416" s="47">
        <v>0</v>
      </c>
      <c r="AU416" s="47">
        <v>0</v>
      </c>
      <c r="AV416" s="47">
        <v>0</v>
      </c>
      <c r="AW416" s="47">
        <v>0</v>
      </c>
      <c r="AX416" s="47">
        <v>0</v>
      </c>
      <c r="AY416" s="47">
        <v>0</v>
      </c>
      <c r="AZ416" s="47">
        <v>0</v>
      </c>
      <c r="BA416" s="47">
        <v>0</v>
      </c>
      <c r="BB416" s="47">
        <v>0</v>
      </c>
      <c r="BC416" s="47">
        <v>0</v>
      </c>
      <c r="BD416" s="47">
        <v>0</v>
      </c>
      <c r="BE416" s="47">
        <v>0</v>
      </c>
      <c r="BF416" s="47">
        <v>0</v>
      </c>
      <c r="BG416" s="47">
        <v>0</v>
      </c>
      <c r="BH416" s="47">
        <v>0</v>
      </c>
      <c r="BI416" s="47">
        <v>0</v>
      </c>
      <c r="BJ416" s="47">
        <v>0</v>
      </c>
      <c r="BK416" s="47">
        <v>0</v>
      </c>
      <c r="BL416" s="47">
        <v>0</v>
      </c>
      <c r="BM416" s="47">
        <v>0</v>
      </c>
      <c r="BN416" s="47">
        <v>0</v>
      </c>
      <c r="BO416" s="47">
        <v>0</v>
      </c>
      <c r="BP416" s="47">
        <v>0</v>
      </c>
      <c r="BQ416" s="47">
        <v>0</v>
      </c>
      <c r="BR416" s="47">
        <v>0</v>
      </c>
      <c r="BS416" s="47">
        <v>0</v>
      </c>
      <c r="BT416" s="47">
        <v>0</v>
      </c>
      <c r="BU416" s="47">
        <v>0</v>
      </c>
      <c r="BV416" s="47">
        <v>0</v>
      </c>
      <c r="BW416" s="47">
        <v>0</v>
      </c>
      <c r="BX416" s="47">
        <v>0</v>
      </c>
      <c r="BY416" s="47">
        <v>0</v>
      </c>
      <c r="BZ416" s="47">
        <v>0</v>
      </c>
      <c r="CA416" s="47">
        <v>0</v>
      </c>
      <c r="CB416" s="47">
        <v>0</v>
      </c>
      <c r="CC416" s="47">
        <v>0</v>
      </c>
      <c r="CD416" s="47">
        <v>0</v>
      </c>
      <c r="CE416" s="47">
        <v>0</v>
      </c>
      <c r="CF416" s="47">
        <v>0</v>
      </c>
      <c r="CG416" s="47">
        <v>0</v>
      </c>
      <c r="CH416" s="47">
        <v>0</v>
      </c>
      <c r="CI416" s="47">
        <v>0</v>
      </c>
      <c r="CJ416" s="47">
        <v>0</v>
      </c>
      <c r="CK416" s="47">
        <v>0</v>
      </c>
      <c r="CL416" s="47">
        <v>0</v>
      </c>
      <c r="CM416" s="47">
        <v>0</v>
      </c>
      <c r="CN416" s="47">
        <v>0</v>
      </c>
      <c r="CO416" s="47">
        <v>0</v>
      </c>
      <c r="CP416" s="47">
        <v>0</v>
      </c>
      <c r="CQ416" s="47">
        <v>0</v>
      </c>
      <c r="CR416" s="47">
        <v>0</v>
      </c>
      <c r="CS416" s="47">
        <v>0</v>
      </c>
      <c r="CT416" s="47">
        <v>0</v>
      </c>
      <c r="CU416" s="47">
        <v>0</v>
      </c>
      <c r="CV416" s="47">
        <v>0</v>
      </c>
      <c r="CW416" s="47">
        <v>0</v>
      </c>
      <c r="CX416" s="47">
        <v>0</v>
      </c>
      <c r="CY416" s="47">
        <v>0</v>
      </c>
      <c r="CZ416" s="47">
        <v>0</v>
      </c>
      <c r="DA416" s="47">
        <v>0</v>
      </c>
      <c r="DB416" s="47">
        <v>0</v>
      </c>
      <c r="DC416" s="47">
        <v>0</v>
      </c>
      <c r="DD416" s="47">
        <v>0</v>
      </c>
      <c r="DE416" s="47">
        <v>0</v>
      </c>
      <c r="DF416" s="47">
        <v>0</v>
      </c>
      <c r="DG416" s="47">
        <v>0</v>
      </c>
      <c r="DH416" s="47">
        <v>0</v>
      </c>
      <c r="DI416" s="47">
        <v>0</v>
      </c>
      <c r="DJ416" s="47">
        <v>0</v>
      </c>
      <c r="DK416" s="47">
        <v>0</v>
      </c>
      <c r="DL416" s="47">
        <v>0</v>
      </c>
      <c r="DM416" s="47">
        <v>0</v>
      </c>
      <c r="DN416" s="47">
        <v>0</v>
      </c>
      <c r="DO416" s="47">
        <v>0</v>
      </c>
      <c r="DP416" s="47">
        <v>0</v>
      </c>
      <c r="DQ416" s="47">
        <v>0</v>
      </c>
      <c r="DR416" s="47">
        <v>0</v>
      </c>
      <c r="DS416" s="47">
        <v>0</v>
      </c>
      <c r="DT416" s="47">
        <v>0</v>
      </c>
    </row>
    <row r="417" spans="1:126" x14ac:dyDescent="0.25">
      <c r="A417" s="47" t="s">
        <v>1994</v>
      </c>
      <c r="B417" s="47" t="s">
        <v>153</v>
      </c>
      <c r="C417" s="47" t="s">
        <v>1995</v>
      </c>
      <c r="D417" s="47" t="s">
        <v>1996</v>
      </c>
      <c r="E417" s="47" t="s">
        <v>1997</v>
      </c>
      <c r="F417" s="47" t="s">
        <v>698</v>
      </c>
      <c r="G417" s="47" t="s">
        <v>727</v>
      </c>
      <c r="H417" s="47" t="str">
        <f>=IFERROR(VLOOKUP(A417,'ETPT Format DDG'!A:J,10,FALSE),"")</f>
        <v>0</v>
      </c>
      <c r="I417" s="47" t="str">
        <f>='ETPT Format DDG'!M417</f>
        <v/>
      </c>
      <c r="J417" s="47" t="str">
        <f>='ETPT Format DDG'!D417</f>
        <v/>
      </c>
      <c r="K417" s="47" t="s">
        <v>157</v>
      </c>
      <c r="L417" s="47" t="s">
        <v>593</v>
      </c>
      <c r="M417" s="47"/>
      <c r="N417" s="47">
        <v>1</v>
      </c>
      <c r="O417" s="47">
        <v>0</v>
      </c>
      <c r="P417" s="47">
        <v>0</v>
      </c>
      <c r="Q417" s="47">
        <v>0</v>
      </c>
      <c r="R417" s="47">
        <v>0</v>
      </c>
      <c r="S417" s="47">
        <v>0</v>
      </c>
      <c r="T417" s="47">
        <v>0</v>
      </c>
      <c r="U417" s="47">
        <v>0</v>
      </c>
      <c r="V417" s="47">
        <v>0</v>
      </c>
      <c r="W417" s="47">
        <v>0</v>
      </c>
      <c r="X417" s="47">
        <v>0</v>
      </c>
      <c r="Y417" s="47">
        <v>0</v>
      </c>
      <c r="Z417" s="47">
        <v>0</v>
      </c>
      <c r="AA417" s="47">
        <v>0</v>
      </c>
      <c r="AB417" s="47">
        <v>0</v>
      </c>
      <c r="AC417" s="47">
        <v>0</v>
      </c>
      <c r="AD417" s="47">
        <v>0</v>
      </c>
      <c r="AE417" s="47">
        <v>0</v>
      </c>
      <c r="AF417" s="47">
        <v>0</v>
      </c>
      <c r="AG417" s="47">
        <v>0</v>
      </c>
      <c r="AH417" s="47">
        <v>0</v>
      </c>
      <c r="AI417" s="47">
        <v>0</v>
      </c>
      <c r="AJ417" s="47">
        <v>0</v>
      </c>
      <c r="AK417" s="47">
        <v>0</v>
      </c>
      <c r="AL417" s="47">
        <v>0</v>
      </c>
      <c r="AM417" s="47">
        <v>0</v>
      </c>
      <c r="AN417" s="47">
        <v>0</v>
      </c>
      <c r="AO417" s="47">
        <v>0</v>
      </c>
      <c r="AP417" s="47">
        <v>0</v>
      </c>
      <c r="AQ417" s="47">
        <v>0</v>
      </c>
      <c r="AR417" s="47">
        <v>0</v>
      </c>
      <c r="AS417" s="47">
        <v>0</v>
      </c>
      <c r="AT417" s="47">
        <v>0</v>
      </c>
      <c r="AU417" s="47">
        <v>0</v>
      </c>
      <c r="AV417" s="47">
        <v>0</v>
      </c>
      <c r="AW417" s="47">
        <v>0</v>
      </c>
      <c r="AX417" s="47">
        <v>0</v>
      </c>
      <c r="AY417" s="47">
        <v>0</v>
      </c>
      <c r="AZ417" s="47">
        <v>0</v>
      </c>
      <c r="BA417" s="47">
        <v>0</v>
      </c>
      <c r="BB417" s="47">
        <v>0</v>
      </c>
      <c r="BC417" s="47">
        <v>0</v>
      </c>
      <c r="BD417" s="47">
        <v>0</v>
      </c>
      <c r="BE417" s="47">
        <v>0</v>
      </c>
      <c r="BF417" s="47">
        <v>0</v>
      </c>
      <c r="BG417" s="47">
        <v>0</v>
      </c>
      <c r="BH417" s="47">
        <v>0</v>
      </c>
      <c r="BI417" s="47">
        <v>0</v>
      </c>
      <c r="BJ417" s="47">
        <v>0</v>
      </c>
      <c r="BK417" s="47">
        <v>0</v>
      </c>
      <c r="BL417" s="47">
        <v>0</v>
      </c>
      <c r="BM417" s="47">
        <v>0</v>
      </c>
      <c r="BN417" s="47">
        <v>0</v>
      </c>
      <c r="BO417" s="47">
        <v>0</v>
      </c>
      <c r="BP417" s="47">
        <v>0</v>
      </c>
      <c r="BQ417" s="47">
        <v>0</v>
      </c>
      <c r="BR417" s="47">
        <v>0</v>
      </c>
      <c r="BS417" s="47">
        <v>0</v>
      </c>
      <c r="BT417" s="47">
        <v>0</v>
      </c>
      <c r="BU417" s="47">
        <v>0</v>
      </c>
      <c r="BV417" s="47">
        <v>0</v>
      </c>
      <c r="BW417" s="47">
        <v>0</v>
      </c>
      <c r="BX417" s="47">
        <v>0</v>
      </c>
      <c r="BY417" s="47">
        <v>0</v>
      </c>
      <c r="BZ417" s="47">
        <v>0</v>
      </c>
      <c r="CA417" s="47">
        <v>0</v>
      </c>
      <c r="CB417" s="47">
        <v>0</v>
      </c>
      <c r="CC417" s="47">
        <v>0</v>
      </c>
      <c r="CD417" s="47">
        <v>0</v>
      </c>
      <c r="CE417" s="47">
        <v>0</v>
      </c>
      <c r="CF417" s="47">
        <v>0</v>
      </c>
      <c r="CG417" s="47">
        <v>0</v>
      </c>
      <c r="CH417" s="47">
        <v>0</v>
      </c>
      <c r="CI417" s="47">
        <v>0</v>
      </c>
      <c r="CJ417" s="47">
        <v>0</v>
      </c>
      <c r="CK417" s="47">
        <v>0</v>
      </c>
      <c r="CL417" s="47">
        <v>0</v>
      </c>
      <c r="CM417" s="47">
        <v>0</v>
      </c>
      <c r="CN417" s="47">
        <v>0</v>
      </c>
      <c r="CO417" s="47">
        <v>0</v>
      </c>
      <c r="CP417" s="47">
        <v>0</v>
      </c>
      <c r="CQ417" s="47">
        <v>0</v>
      </c>
      <c r="CR417" s="47">
        <v>0</v>
      </c>
      <c r="CS417" s="47">
        <v>0</v>
      </c>
      <c r="CT417" s="47">
        <v>0</v>
      </c>
      <c r="CU417" s="47">
        <v>0</v>
      </c>
      <c r="CV417" s="47">
        <v>0</v>
      </c>
      <c r="CW417" s="47">
        <v>0</v>
      </c>
      <c r="CX417" s="47">
        <v>0</v>
      </c>
      <c r="CY417" s="47">
        <v>0</v>
      </c>
      <c r="CZ417" s="47">
        <v>0</v>
      </c>
      <c r="DA417" s="47">
        <v>0</v>
      </c>
      <c r="DB417" s="47">
        <v>0</v>
      </c>
      <c r="DC417" s="47">
        <v>0</v>
      </c>
      <c r="DD417" s="47">
        <v>0</v>
      </c>
      <c r="DE417" s="47">
        <v>0</v>
      </c>
      <c r="DF417" s="47">
        <v>0</v>
      </c>
      <c r="DG417" s="47">
        <v>0</v>
      </c>
      <c r="DH417" s="47">
        <v>0</v>
      </c>
      <c r="DI417" s="47">
        <v>0</v>
      </c>
      <c r="DJ417" s="47">
        <v>0</v>
      </c>
      <c r="DK417" s="47">
        <v>0</v>
      </c>
      <c r="DL417" s="47">
        <v>0</v>
      </c>
      <c r="DM417" s="47">
        <v>0</v>
      </c>
      <c r="DN417" s="47">
        <v>0</v>
      </c>
      <c r="DO417" s="47">
        <v>0</v>
      </c>
      <c r="DP417" s="47">
        <v>0</v>
      </c>
      <c r="DQ417" s="47">
        <v>0</v>
      </c>
      <c r="DR417" s="47">
        <v>0</v>
      </c>
      <c r="DS417" s="47">
        <v>0</v>
      </c>
      <c r="DT417" s="47">
        <v>0</v>
      </c>
    </row>
    <row r="418" spans="1:126" x14ac:dyDescent="0.25">
      <c r="A418" s="47" t="s">
        <v>1998</v>
      </c>
      <c r="B418" s="47" t="s">
        <v>153</v>
      </c>
      <c r="C418" s="47" t="s">
        <v>1999</v>
      </c>
      <c r="D418" s="47" t="s">
        <v>2000</v>
      </c>
      <c r="E418" s="47" t="s">
        <v>2001</v>
      </c>
      <c r="F418" s="47" t="s">
        <v>698</v>
      </c>
      <c r="G418" s="47" t="s">
        <v>727</v>
      </c>
      <c r="H418" s="47" t="str">
        <f>=IFERROR(VLOOKUP(A418,'ETPT Format DDG'!A:J,10,FALSE),"")</f>
        <v>0</v>
      </c>
      <c r="I418" s="47" t="str">
        <f>='ETPT Format DDG'!M418</f>
        <v/>
      </c>
      <c r="J418" s="47" t="str">
        <f>='ETPT Format DDG'!D418</f>
        <v/>
      </c>
      <c r="K418" s="47" t="s">
        <v>157</v>
      </c>
      <c r="L418" s="47" t="s">
        <v>806</v>
      </c>
      <c r="M418" s="47"/>
      <c r="N418" s="47">
        <v>1</v>
      </c>
      <c r="O418" s="47">
        <v>1</v>
      </c>
      <c r="P418" s="47">
        <v>0</v>
      </c>
      <c r="Q418" s="47">
        <v>0</v>
      </c>
      <c r="R418" s="47">
        <v>0</v>
      </c>
      <c r="S418" s="47">
        <v>0</v>
      </c>
      <c r="T418" s="47">
        <v>0</v>
      </c>
      <c r="U418" s="47">
        <v>0</v>
      </c>
      <c r="V418" s="47">
        <v>0</v>
      </c>
      <c r="W418" s="47">
        <v>0</v>
      </c>
      <c r="X418" s="47">
        <v>0</v>
      </c>
      <c r="Y418" s="47">
        <v>0</v>
      </c>
      <c r="Z418" s="47">
        <v>0</v>
      </c>
      <c r="AA418" s="47">
        <v>0</v>
      </c>
      <c r="AB418" s="47">
        <v>0</v>
      </c>
      <c r="AC418" s="47">
        <v>0</v>
      </c>
      <c r="AD418" s="47">
        <v>0</v>
      </c>
      <c r="AE418" s="47">
        <v>0</v>
      </c>
      <c r="AF418" s="47">
        <v>0</v>
      </c>
      <c r="AG418" s="47">
        <v>0</v>
      </c>
      <c r="AH418" s="47">
        <v>0</v>
      </c>
      <c r="AI418" s="47">
        <v>0</v>
      </c>
      <c r="AJ418" s="47">
        <v>0</v>
      </c>
      <c r="AK418" s="47">
        <v>0</v>
      </c>
      <c r="AL418" s="47">
        <v>0</v>
      </c>
      <c r="AM418" s="47">
        <v>0</v>
      </c>
      <c r="AN418" s="47">
        <v>0</v>
      </c>
      <c r="AO418" s="47">
        <v>0</v>
      </c>
      <c r="AP418" s="47">
        <v>0</v>
      </c>
      <c r="AQ418" s="47">
        <v>0</v>
      </c>
      <c r="AR418" s="47">
        <v>0</v>
      </c>
      <c r="AS418" s="47">
        <v>0</v>
      </c>
      <c r="AT418" s="47">
        <v>0</v>
      </c>
      <c r="AU418" s="47">
        <v>0</v>
      </c>
      <c r="AV418" s="47">
        <v>0</v>
      </c>
      <c r="AW418" s="47">
        <v>0</v>
      </c>
      <c r="AX418" s="47">
        <v>0</v>
      </c>
      <c r="AY418" s="47">
        <v>0</v>
      </c>
      <c r="AZ418" s="47">
        <v>0</v>
      </c>
      <c r="BA418" s="47">
        <v>0</v>
      </c>
      <c r="BB418" s="47">
        <v>0</v>
      </c>
      <c r="BC418" s="47">
        <v>0</v>
      </c>
      <c r="BD418" s="47">
        <v>0</v>
      </c>
      <c r="BE418" s="47">
        <v>0</v>
      </c>
      <c r="BF418" s="47">
        <v>0</v>
      </c>
      <c r="BG418" s="47">
        <v>0</v>
      </c>
      <c r="BH418" s="47">
        <v>1</v>
      </c>
      <c r="BI418" s="47">
        <v>0</v>
      </c>
      <c r="BJ418" s="47">
        <v>0</v>
      </c>
      <c r="BK418" s="47">
        <v>0</v>
      </c>
      <c r="BL418" s="47">
        <v>0</v>
      </c>
      <c r="BM418" s="47">
        <v>0</v>
      </c>
      <c r="BN418" s="47">
        <v>0</v>
      </c>
      <c r="BO418" s="47">
        <v>0</v>
      </c>
      <c r="BP418" s="47">
        <v>0</v>
      </c>
      <c r="BQ418" s="47">
        <v>0</v>
      </c>
      <c r="BR418" s="47">
        <v>0</v>
      </c>
      <c r="BS418" s="47">
        <v>0</v>
      </c>
      <c r="BT418" s="47">
        <v>0</v>
      </c>
      <c r="BU418" s="47">
        <v>0</v>
      </c>
      <c r="BV418" s="47">
        <v>0</v>
      </c>
      <c r="BW418" s="47">
        <v>0</v>
      </c>
      <c r="BX418" s="47">
        <v>0</v>
      </c>
      <c r="BY418" s="47">
        <v>0</v>
      </c>
      <c r="BZ418" s="47">
        <v>0</v>
      </c>
      <c r="CA418" s="47">
        <v>0</v>
      </c>
      <c r="CB418" s="47">
        <v>0</v>
      </c>
      <c r="CC418" s="47">
        <v>0</v>
      </c>
      <c r="CD418" s="47">
        <v>0</v>
      </c>
      <c r="CE418" s="47">
        <v>0</v>
      </c>
      <c r="CF418" s="47">
        <v>0</v>
      </c>
      <c r="CG418" s="47">
        <v>0</v>
      </c>
      <c r="CH418" s="47">
        <v>0</v>
      </c>
      <c r="CI418" s="47">
        <v>0</v>
      </c>
      <c r="CJ418" s="47">
        <v>0</v>
      </c>
      <c r="CK418" s="47">
        <v>0</v>
      </c>
      <c r="CL418" s="47">
        <v>0</v>
      </c>
      <c r="CM418" s="47">
        <v>0</v>
      </c>
      <c r="CN418" s="47">
        <v>0</v>
      </c>
      <c r="CO418" s="47">
        <v>0</v>
      </c>
      <c r="CP418" s="47">
        <v>0</v>
      </c>
      <c r="CQ418" s="47">
        <v>0</v>
      </c>
      <c r="CR418" s="47">
        <v>0</v>
      </c>
      <c r="CS418" s="47">
        <v>0</v>
      </c>
      <c r="CT418" s="47">
        <v>0</v>
      </c>
      <c r="CU418" s="47">
        <v>0</v>
      </c>
      <c r="CV418" s="47">
        <v>0</v>
      </c>
      <c r="CW418" s="47">
        <v>0</v>
      </c>
      <c r="CX418" s="47">
        <v>0</v>
      </c>
      <c r="CY418" s="47">
        <v>0</v>
      </c>
      <c r="CZ418" s="47">
        <v>0</v>
      </c>
      <c r="DA418" s="47">
        <v>0</v>
      </c>
      <c r="DB418" s="47">
        <v>0</v>
      </c>
      <c r="DC418" s="47">
        <v>0</v>
      </c>
      <c r="DD418" s="47">
        <v>0</v>
      </c>
      <c r="DE418" s="47">
        <v>0</v>
      </c>
      <c r="DF418" s="47">
        <v>0</v>
      </c>
      <c r="DG418" s="47">
        <v>0</v>
      </c>
      <c r="DH418" s="47">
        <v>0</v>
      </c>
      <c r="DI418" s="47">
        <v>0</v>
      </c>
      <c r="DJ418" s="47">
        <v>0</v>
      </c>
      <c r="DK418" s="47">
        <v>0</v>
      </c>
      <c r="DL418" s="47">
        <v>0</v>
      </c>
      <c r="DM418" s="47">
        <v>0</v>
      </c>
      <c r="DN418" s="47">
        <v>0</v>
      </c>
      <c r="DO418" s="47">
        <v>0</v>
      </c>
      <c r="DP418" s="47">
        <v>0</v>
      </c>
      <c r="DQ418" s="47">
        <v>0</v>
      </c>
      <c r="DR418" s="47">
        <v>0</v>
      </c>
      <c r="DS418" s="47">
        <v>0</v>
      </c>
      <c r="DT418" s="47">
        <v>0</v>
      </c>
    </row>
    <row r="419" spans="1:126" x14ac:dyDescent="0.25">
      <c r="A419" s="47" t="s">
        <v>2002</v>
      </c>
      <c r="B419" s="47" t="s">
        <v>153</v>
      </c>
      <c r="C419" s="47" t="s">
        <v>2003</v>
      </c>
      <c r="D419" s="47" t="s">
        <v>2004</v>
      </c>
      <c r="E419" s="47" t="s">
        <v>2005</v>
      </c>
      <c r="F419" s="47" t="s">
        <v>698</v>
      </c>
      <c r="G419" s="47" t="s">
        <v>727</v>
      </c>
      <c r="H419" s="47" t="str">
        <f>=IFERROR(VLOOKUP(A419,'ETPT Format DDG'!A:J,10,FALSE),"")</f>
        <v>0</v>
      </c>
      <c r="I419" s="47" t="str">
        <f>='ETPT Format DDG'!M419</f>
        <v/>
      </c>
      <c r="J419" s="47" t="str">
        <f>='ETPT Format DDG'!D419</f>
        <v/>
      </c>
      <c r="K419" s="47" t="s">
        <v>157</v>
      </c>
      <c r="L419" s="47" t="s">
        <v>1368</v>
      </c>
      <c r="M419" s="47"/>
      <c r="N419" s="47">
        <v>1</v>
      </c>
      <c r="O419" s="47">
        <v>0</v>
      </c>
      <c r="P419" s="47">
        <v>0</v>
      </c>
      <c r="Q419" s="47">
        <v>0</v>
      </c>
      <c r="R419" s="47">
        <v>0</v>
      </c>
      <c r="S419" s="47">
        <v>0</v>
      </c>
      <c r="T419" s="47">
        <v>0</v>
      </c>
      <c r="U419" s="47">
        <v>0</v>
      </c>
      <c r="V419" s="47">
        <v>0</v>
      </c>
      <c r="W419" s="47">
        <v>0</v>
      </c>
      <c r="X419" s="47">
        <v>0</v>
      </c>
      <c r="Y419" s="47">
        <v>0</v>
      </c>
      <c r="Z419" s="47">
        <v>0</v>
      </c>
      <c r="AA419" s="47">
        <v>0</v>
      </c>
      <c r="AB419" s="47">
        <v>0</v>
      </c>
      <c r="AC419" s="47">
        <v>0</v>
      </c>
      <c r="AD419" s="47">
        <v>0</v>
      </c>
      <c r="AE419" s="47">
        <v>0</v>
      </c>
      <c r="AF419" s="47">
        <v>0</v>
      </c>
      <c r="AG419" s="47">
        <v>0</v>
      </c>
      <c r="AH419" s="47">
        <v>0</v>
      </c>
      <c r="AI419" s="47">
        <v>0</v>
      </c>
      <c r="AJ419" s="47">
        <v>0</v>
      </c>
      <c r="AK419" s="47">
        <v>0</v>
      </c>
      <c r="AL419" s="47">
        <v>0</v>
      </c>
      <c r="AM419" s="47">
        <v>0</v>
      </c>
      <c r="AN419" s="47">
        <v>0</v>
      </c>
      <c r="AO419" s="47">
        <v>0</v>
      </c>
      <c r="AP419" s="47">
        <v>0</v>
      </c>
      <c r="AQ419" s="47">
        <v>0</v>
      </c>
      <c r="AR419" s="47">
        <v>0</v>
      </c>
      <c r="AS419" s="47">
        <v>0</v>
      </c>
      <c r="AT419" s="47">
        <v>0</v>
      </c>
      <c r="AU419" s="47">
        <v>0</v>
      </c>
      <c r="AV419" s="47">
        <v>0</v>
      </c>
      <c r="AW419" s="47">
        <v>0</v>
      </c>
      <c r="AX419" s="47">
        <v>0</v>
      </c>
      <c r="AY419" s="47">
        <v>0</v>
      </c>
      <c r="AZ419" s="47">
        <v>0</v>
      </c>
      <c r="BA419" s="47">
        <v>0</v>
      </c>
      <c r="BB419" s="47">
        <v>0</v>
      </c>
      <c r="BC419" s="47">
        <v>0</v>
      </c>
      <c r="BD419" s="47">
        <v>0</v>
      </c>
      <c r="BE419" s="47">
        <v>0</v>
      </c>
      <c r="BF419" s="47">
        <v>0</v>
      </c>
      <c r="BG419" s="47">
        <v>0</v>
      </c>
      <c r="BH419" s="47">
        <v>0</v>
      </c>
      <c r="BI419" s="47">
        <v>0</v>
      </c>
      <c r="BJ419" s="47">
        <v>0</v>
      </c>
      <c r="BK419" s="47">
        <v>0</v>
      </c>
      <c r="BL419" s="47">
        <v>0</v>
      </c>
      <c r="BM419" s="47">
        <v>0</v>
      </c>
      <c r="BN419" s="47">
        <v>0</v>
      </c>
      <c r="BO419" s="47">
        <v>0</v>
      </c>
      <c r="BP419" s="47">
        <v>0</v>
      </c>
      <c r="BQ419" s="47">
        <v>0</v>
      </c>
      <c r="BR419" s="47">
        <v>0</v>
      </c>
      <c r="BS419" s="47">
        <v>0</v>
      </c>
      <c r="BT419" s="47">
        <v>0</v>
      </c>
      <c r="BU419" s="47">
        <v>0</v>
      </c>
      <c r="BV419" s="47">
        <v>0</v>
      </c>
      <c r="BW419" s="47">
        <v>0</v>
      </c>
      <c r="BX419" s="47">
        <v>0</v>
      </c>
      <c r="BY419" s="47">
        <v>0</v>
      </c>
      <c r="BZ419" s="47">
        <v>0</v>
      </c>
      <c r="CA419" s="47">
        <v>0</v>
      </c>
      <c r="CB419" s="47">
        <v>0</v>
      </c>
      <c r="CC419" s="47">
        <v>0</v>
      </c>
      <c r="CD419" s="47">
        <v>0</v>
      </c>
      <c r="CE419" s="47">
        <v>0</v>
      </c>
      <c r="CF419" s="47">
        <v>0</v>
      </c>
      <c r="CG419" s="47">
        <v>0</v>
      </c>
      <c r="CH419" s="47">
        <v>0</v>
      </c>
      <c r="CI419" s="47">
        <v>0</v>
      </c>
      <c r="CJ419" s="47">
        <v>0</v>
      </c>
      <c r="CK419" s="47">
        <v>0</v>
      </c>
      <c r="CL419" s="47">
        <v>0</v>
      </c>
      <c r="CM419" s="47">
        <v>0</v>
      </c>
      <c r="CN419" s="47">
        <v>0</v>
      </c>
      <c r="CO419" s="47">
        <v>0</v>
      </c>
      <c r="CP419" s="47">
        <v>0</v>
      </c>
      <c r="CQ419" s="47">
        <v>0</v>
      </c>
      <c r="CR419" s="47">
        <v>0</v>
      </c>
      <c r="CS419" s="47">
        <v>0</v>
      </c>
      <c r="CT419" s="47">
        <v>0</v>
      </c>
      <c r="CU419" s="47">
        <v>0</v>
      </c>
      <c r="CV419" s="47">
        <v>0</v>
      </c>
      <c r="CW419" s="47">
        <v>0</v>
      </c>
      <c r="CX419" s="47">
        <v>0</v>
      </c>
      <c r="CY419" s="47">
        <v>0</v>
      </c>
      <c r="CZ419" s="47">
        <v>0</v>
      </c>
      <c r="DA419" s="47">
        <v>0</v>
      </c>
      <c r="DB419" s="47">
        <v>0</v>
      </c>
      <c r="DC419" s="47">
        <v>0</v>
      </c>
      <c r="DD419" s="47">
        <v>0</v>
      </c>
      <c r="DE419" s="47">
        <v>0</v>
      </c>
      <c r="DF419" s="47">
        <v>0</v>
      </c>
      <c r="DG419" s="47">
        <v>0</v>
      </c>
      <c r="DH419" s="47">
        <v>0</v>
      </c>
      <c r="DI419" s="47">
        <v>0</v>
      </c>
      <c r="DJ419" s="47">
        <v>0</v>
      </c>
      <c r="DK419" s="47">
        <v>0</v>
      </c>
      <c r="DL419" s="47">
        <v>0</v>
      </c>
      <c r="DM419" s="47">
        <v>0</v>
      </c>
      <c r="DN419" s="47">
        <v>0</v>
      </c>
      <c r="DO419" s="47">
        <v>0</v>
      </c>
      <c r="DP419" s="47">
        <v>0</v>
      </c>
      <c r="DQ419" s="47">
        <v>0</v>
      </c>
      <c r="DR419" s="47">
        <v>0</v>
      </c>
      <c r="DS419" s="47">
        <v>0</v>
      </c>
      <c r="DT419" s="47">
        <v>0</v>
      </c>
    </row>
    <row r="420" spans="1:126" x14ac:dyDescent="0.25">
      <c r="A420" s="47" t="s">
        <v>2006</v>
      </c>
      <c r="B420" s="47" t="s">
        <v>153</v>
      </c>
      <c r="C420" s="47" t="s">
        <v>2007</v>
      </c>
      <c r="D420" s="47" t="s">
        <v>2008</v>
      </c>
      <c r="E420" s="47" t="s">
        <v>2009</v>
      </c>
      <c r="F420" s="47" t="s">
        <v>698</v>
      </c>
      <c r="G420" s="47" t="s">
        <v>705</v>
      </c>
      <c r="H420" s="47" t="str">
        <f>=IFERROR(VLOOKUP(A420,'ETPT Format DDG'!A:J,10,FALSE),"")</f>
        <v>0</v>
      </c>
      <c r="I420" s="47" t="str">
        <f>='ETPT Format DDG'!M420</f>
        <v/>
      </c>
      <c r="J420" s="47" t="str">
        <f>='ETPT Format DDG'!D420</f>
        <v/>
      </c>
      <c r="K420" s="47" t="s">
        <v>157</v>
      </c>
      <c r="L420" s="47" t="s">
        <v>2010</v>
      </c>
      <c r="M420" s="47"/>
      <c r="N420" s="47">
        <v>0.5</v>
      </c>
      <c r="O420" s="47">
        <v>0</v>
      </c>
      <c r="P420" s="47">
        <v>0</v>
      </c>
      <c r="Q420" s="47">
        <v>0</v>
      </c>
      <c r="R420" s="47">
        <v>0</v>
      </c>
      <c r="S420" s="47">
        <v>0</v>
      </c>
      <c r="T420" s="47">
        <v>0</v>
      </c>
      <c r="U420" s="47">
        <v>0</v>
      </c>
      <c r="V420" s="47">
        <v>0</v>
      </c>
      <c r="W420" s="47">
        <v>0</v>
      </c>
      <c r="X420" s="47">
        <v>0</v>
      </c>
      <c r="Y420" s="47">
        <v>0</v>
      </c>
      <c r="Z420" s="47">
        <v>0</v>
      </c>
      <c r="AA420" s="47">
        <v>0</v>
      </c>
      <c r="AB420" s="47">
        <v>0</v>
      </c>
      <c r="AC420" s="47">
        <v>0</v>
      </c>
      <c r="AD420" s="47">
        <v>0</v>
      </c>
      <c r="AE420" s="47">
        <v>0</v>
      </c>
      <c r="AF420" s="47">
        <v>0</v>
      </c>
      <c r="AG420" s="47">
        <v>0</v>
      </c>
      <c r="AH420" s="47">
        <v>0</v>
      </c>
      <c r="AI420" s="47">
        <v>0</v>
      </c>
      <c r="AJ420" s="47">
        <v>0</v>
      </c>
      <c r="AK420" s="47">
        <v>0</v>
      </c>
      <c r="AL420" s="47">
        <v>0</v>
      </c>
      <c r="AM420" s="47">
        <v>0</v>
      </c>
      <c r="AN420" s="47">
        <v>0</v>
      </c>
      <c r="AO420" s="47">
        <v>0</v>
      </c>
      <c r="AP420" s="47">
        <v>0</v>
      </c>
      <c r="AQ420" s="47">
        <v>0</v>
      </c>
      <c r="AR420" s="47">
        <v>0</v>
      </c>
      <c r="AS420" s="47">
        <v>0</v>
      </c>
      <c r="AT420" s="47">
        <v>0</v>
      </c>
      <c r="AU420" s="47">
        <v>0</v>
      </c>
      <c r="AV420" s="47">
        <v>0</v>
      </c>
      <c r="AW420" s="47">
        <v>0</v>
      </c>
      <c r="AX420" s="47">
        <v>0</v>
      </c>
      <c r="AY420" s="47">
        <v>0</v>
      </c>
      <c r="AZ420" s="47">
        <v>0</v>
      </c>
      <c r="BA420" s="47">
        <v>0</v>
      </c>
      <c r="BB420" s="47">
        <v>0</v>
      </c>
      <c r="BC420" s="47">
        <v>0</v>
      </c>
      <c r="BD420" s="47">
        <v>0</v>
      </c>
      <c r="BE420" s="47">
        <v>0</v>
      </c>
      <c r="BF420" s="47">
        <v>0</v>
      </c>
      <c r="BG420" s="47">
        <v>0</v>
      </c>
      <c r="BH420" s="47">
        <v>0</v>
      </c>
      <c r="BI420" s="47">
        <v>0</v>
      </c>
      <c r="BJ420" s="47">
        <v>0</v>
      </c>
      <c r="BK420" s="47">
        <v>0</v>
      </c>
      <c r="BL420" s="47">
        <v>0</v>
      </c>
      <c r="BM420" s="47">
        <v>0</v>
      </c>
      <c r="BN420" s="47">
        <v>0</v>
      </c>
      <c r="BO420" s="47">
        <v>0</v>
      </c>
      <c r="BP420" s="47">
        <v>0</v>
      </c>
      <c r="BQ420" s="47">
        <v>0</v>
      </c>
      <c r="BR420" s="47">
        <v>0</v>
      </c>
      <c r="BS420" s="47">
        <v>0</v>
      </c>
      <c r="BT420" s="47">
        <v>0</v>
      </c>
      <c r="BU420" s="47">
        <v>0</v>
      </c>
      <c r="BV420" s="47">
        <v>0</v>
      </c>
      <c r="BW420" s="47">
        <v>0</v>
      </c>
      <c r="BX420" s="47">
        <v>0</v>
      </c>
      <c r="BY420" s="47">
        <v>0</v>
      </c>
      <c r="BZ420" s="47">
        <v>0</v>
      </c>
      <c r="CA420" s="47">
        <v>0</v>
      </c>
      <c r="CB420" s="47">
        <v>0</v>
      </c>
      <c r="CC420" s="47">
        <v>0</v>
      </c>
      <c r="CD420" s="47">
        <v>0</v>
      </c>
      <c r="CE420" s="47">
        <v>0</v>
      </c>
      <c r="CF420" s="47">
        <v>0</v>
      </c>
      <c r="CG420" s="47">
        <v>0</v>
      </c>
      <c r="CH420" s="47">
        <v>0</v>
      </c>
      <c r="CI420" s="47">
        <v>0</v>
      </c>
      <c r="CJ420" s="47">
        <v>0</v>
      </c>
      <c r="CK420" s="47">
        <v>0</v>
      </c>
      <c r="CL420" s="47">
        <v>0</v>
      </c>
      <c r="CM420" s="47">
        <v>0</v>
      </c>
      <c r="CN420" s="47">
        <v>0</v>
      </c>
      <c r="CO420" s="47">
        <v>0</v>
      </c>
      <c r="CP420" s="47">
        <v>0</v>
      </c>
      <c r="CQ420" s="47">
        <v>0</v>
      </c>
      <c r="CR420" s="47">
        <v>0</v>
      </c>
      <c r="CS420" s="47">
        <v>0</v>
      </c>
      <c r="CT420" s="47">
        <v>0</v>
      </c>
      <c r="CU420" s="47">
        <v>0</v>
      </c>
      <c r="CV420" s="47">
        <v>0</v>
      </c>
      <c r="CW420" s="47">
        <v>0</v>
      </c>
      <c r="CX420" s="47">
        <v>0</v>
      </c>
      <c r="CY420" s="47">
        <v>0</v>
      </c>
      <c r="CZ420" s="47">
        <v>0</v>
      </c>
      <c r="DA420" s="47">
        <v>0</v>
      </c>
      <c r="DB420" s="47">
        <v>0</v>
      </c>
      <c r="DC420" s="47">
        <v>0</v>
      </c>
      <c r="DD420" s="47">
        <v>0</v>
      </c>
      <c r="DE420" s="47">
        <v>0</v>
      </c>
      <c r="DF420" s="47">
        <v>0</v>
      </c>
      <c r="DG420" s="47">
        <v>0</v>
      </c>
      <c r="DH420" s="47">
        <v>0</v>
      </c>
      <c r="DI420" s="47">
        <v>0</v>
      </c>
      <c r="DJ420" s="47">
        <v>0</v>
      </c>
      <c r="DK420" s="47">
        <v>0</v>
      </c>
      <c r="DL420" s="47">
        <v>0</v>
      </c>
      <c r="DM420" s="47">
        <v>0</v>
      </c>
      <c r="DN420" s="47">
        <v>0</v>
      </c>
      <c r="DO420" s="47">
        <v>0</v>
      </c>
      <c r="DP420" s="47">
        <v>0</v>
      </c>
      <c r="DQ420" s="47">
        <v>0</v>
      </c>
      <c r="DR420" s="47">
        <v>0</v>
      </c>
      <c r="DS420" s="47">
        <v>0</v>
      </c>
      <c r="DT420" s="47">
        <v>0</v>
      </c>
    </row>
    <row r="421" spans="1:126" x14ac:dyDescent="0.25">
      <c r="A421" s="47" t="s">
        <v>2011</v>
      </c>
      <c r="B421" s="47" t="s">
        <v>153</v>
      </c>
      <c r="C421" s="47" t="s">
        <v>2012</v>
      </c>
      <c r="D421" s="47" t="s">
        <v>2013</v>
      </c>
      <c r="E421" s="47" t="s">
        <v>2014</v>
      </c>
      <c r="F421" s="47" t="s">
        <v>698</v>
      </c>
      <c r="G421" s="47" t="s">
        <v>727</v>
      </c>
      <c r="H421" s="47" t="str">
        <f>=IFERROR(VLOOKUP(A421,'ETPT Format DDG'!A:J,10,FALSE),"")</f>
        <v>0</v>
      </c>
      <c r="I421" s="47" t="str">
        <f>='ETPT Format DDG'!M421</f>
        <v/>
      </c>
      <c r="J421" s="47" t="str">
        <f>='ETPT Format DDG'!D421</f>
        <v/>
      </c>
      <c r="K421" s="47" t="s">
        <v>157</v>
      </c>
      <c r="L421" s="47" t="s">
        <v>1113</v>
      </c>
      <c r="M421" s="47"/>
      <c r="N421" s="47">
        <v>0.8</v>
      </c>
      <c r="O421" s="47">
        <v>0.8</v>
      </c>
      <c r="P421" s="47">
        <v>0</v>
      </c>
      <c r="Q421" s="47">
        <v>0</v>
      </c>
      <c r="R421" s="47">
        <v>0</v>
      </c>
      <c r="S421" s="47">
        <v>0</v>
      </c>
      <c r="T421" s="47">
        <v>0</v>
      </c>
      <c r="U421" s="47">
        <v>0</v>
      </c>
      <c r="V421" s="47">
        <v>0</v>
      </c>
      <c r="W421" s="47">
        <v>0</v>
      </c>
      <c r="X421" s="47">
        <v>0</v>
      </c>
      <c r="Y421" s="47">
        <v>0</v>
      </c>
      <c r="Z421" s="47">
        <v>0</v>
      </c>
      <c r="AA421" s="47">
        <v>0</v>
      </c>
      <c r="AB421" s="47">
        <v>0</v>
      </c>
      <c r="AC421" s="47">
        <v>0</v>
      </c>
      <c r="AD421" s="47">
        <v>0</v>
      </c>
      <c r="AE421" s="47">
        <v>0.8</v>
      </c>
      <c r="AF421" s="47">
        <v>0</v>
      </c>
      <c r="AG421" s="47">
        <v>0</v>
      </c>
      <c r="AH421" s="47">
        <v>0</v>
      </c>
      <c r="AI421" s="47">
        <v>0</v>
      </c>
      <c r="AJ421" s="47">
        <v>0</v>
      </c>
      <c r="AK421" s="47">
        <v>0</v>
      </c>
      <c r="AL421" s="47">
        <v>0</v>
      </c>
      <c r="AM421" s="47">
        <v>0</v>
      </c>
      <c r="AN421" s="47">
        <v>0</v>
      </c>
      <c r="AO421" s="47">
        <v>0</v>
      </c>
      <c r="AP421" s="47">
        <v>0</v>
      </c>
      <c r="AQ421" s="47">
        <v>0</v>
      </c>
      <c r="AR421" s="47">
        <v>0</v>
      </c>
      <c r="AS421" s="47">
        <v>0</v>
      </c>
      <c r="AT421" s="47">
        <v>0</v>
      </c>
      <c r="AU421" s="47">
        <v>0</v>
      </c>
      <c r="AV421" s="47">
        <v>0</v>
      </c>
      <c r="AW421" s="47">
        <v>0</v>
      </c>
      <c r="AX421" s="47">
        <v>0</v>
      </c>
      <c r="AY421" s="47">
        <v>0</v>
      </c>
      <c r="AZ421" s="47">
        <v>0</v>
      </c>
      <c r="BA421" s="47">
        <v>0</v>
      </c>
      <c r="BB421" s="47">
        <v>0</v>
      </c>
      <c r="BC421" s="47">
        <v>0</v>
      </c>
      <c r="BD421" s="47">
        <v>0</v>
      </c>
      <c r="BE421" s="47">
        <v>0</v>
      </c>
      <c r="BF421" s="47">
        <v>0</v>
      </c>
      <c r="BG421" s="47">
        <v>0</v>
      </c>
      <c r="BH421" s="47">
        <v>0</v>
      </c>
      <c r="BI421" s="47">
        <v>0</v>
      </c>
      <c r="BJ421" s="47">
        <v>0</v>
      </c>
      <c r="BK421" s="47">
        <v>0</v>
      </c>
      <c r="BL421" s="47">
        <v>0</v>
      </c>
      <c r="BM421" s="47">
        <v>0</v>
      </c>
      <c r="BN421" s="47">
        <v>0</v>
      </c>
      <c r="BO421" s="47">
        <v>0</v>
      </c>
      <c r="BP421" s="47">
        <v>0</v>
      </c>
      <c r="BQ421" s="47">
        <v>0</v>
      </c>
      <c r="BR421" s="47">
        <v>0</v>
      </c>
      <c r="BS421" s="47">
        <v>0</v>
      </c>
      <c r="BT421" s="47">
        <v>0</v>
      </c>
      <c r="BU421" s="47">
        <v>0</v>
      </c>
      <c r="BV421" s="47">
        <v>0</v>
      </c>
      <c r="BW421" s="47">
        <v>0</v>
      </c>
      <c r="BX421" s="47">
        <v>0</v>
      </c>
      <c r="BY421" s="47">
        <v>0</v>
      </c>
      <c r="BZ421" s="47">
        <v>0</v>
      </c>
      <c r="CA421" s="47">
        <v>0</v>
      </c>
      <c r="CB421" s="47">
        <v>0</v>
      </c>
      <c r="CC421" s="47">
        <v>0</v>
      </c>
      <c r="CD421" s="47">
        <v>0</v>
      </c>
      <c r="CE421" s="47">
        <v>0</v>
      </c>
      <c r="CF421" s="47">
        <v>0</v>
      </c>
      <c r="CG421" s="47">
        <v>0</v>
      </c>
      <c r="CH421" s="47">
        <v>0</v>
      </c>
      <c r="CI421" s="47">
        <v>0</v>
      </c>
      <c r="CJ421" s="47">
        <v>0</v>
      </c>
      <c r="CK421" s="47">
        <v>0</v>
      </c>
      <c r="CL421" s="47">
        <v>0</v>
      </c>
      <c r="CM421" s="47">
        <v>0</v>
      </c>
      <c r="CN421" s="47">
        <v>0</v>
      </c>
      <c r="CO421" s="47">
        <v>0</v>
      </c>
      <c r="CP421" s="47">
        <v>0</v>
      </c>
      <c r="CQ421" s="47">
        <v>0</v>
      </c>
      <c r="CR421" s="47">
        <v>0</v>
      </c>
      <c r="CS421" s="47">
        <v>0</v>
      </c>
      <c r="CT421" s="47">
        <v>0</v>
      </c>
      <c r="CU421" s="47">
        <v>0</v>
      </c>
      <c r="CV421" s="47">
        <v>0</v>
      </c>
      <c r="CW421" s="47">
        <v>0</v>
      </c>
      <c r="CX421" s="47">
        <v>0</v>
      </c>
      <c r="CY421" s="47">
        <v>0</v>
      </c>
      <c r="CZ421" s="47">
        <v>0</v>
      </c>
      <c r="DA421" s="47">
        <v>0</v>
      </c>
      <c r="DB421" s="47">
        <v>0</v>
      </c>
      <c r="DC421" s="47">
        <v>0</v>
      </c>
      <c r="DD421" s="47">
        <v>0</v>
      </c>
      <c r="DE421" s="47">
        <v>0</v>
      </c>
      <c r="DF421" s="47">
        <v>0</v>
      </c>
      <c r="DG421" s="47">
        <v>0</v>
      </c>
      <c r="DH421" s="47">
        <v>0</v>
      </c>
      <c r="DI421" s="47">
        <v>0</v>
      </c>
      <c r="DJ421" s="47">
        <v>0</v>
      </c>
      <c r="DK421" s="47">
        <v>0</v>
      </c>
      <c r="DL421" s="47">
        <v>0</v>
      </c>
      <c r="DM421" s="47">
        <v>0</v>
      </c>
      <c r="DN421" s="47">
        <v>0</v>
      </c>
      <c r="DO421" s="47">
        <v>0</v>
      </c>
      <c r="DP421" s="47">
        <v>0</v>
      </c>
      <c r="DQ421" s="47">
        <v>0</v>
      </c>
      <c r="DR421" s="47">
        <v>0</v>
      </c>
      <c r="DS421" s="47">
        <v>0</v>
      </c>
      <c r="DT421" s="47">
        <v>0</v>
      </c>
    </row>
    <row r="422" spans="1:126" x14ac:dyDescent="0.25">
      <c r="A422" s="47" t="s">
        <v>2015</v>
      </c>
      <c r="B422" s="47" t="s">
        <v>153</v>
      </c>
      <c r="C422" s="47" t="s">
        <v>2016</v>
      </c>
      <c r="D422" s="47" t="s">
        <v>2017</v>
      </c>
      <c r="E422" s="47" t="s">
        <v>2018</v>
      </c>
      <c r="F422" s="47" t="s">
        <v>698</v>
      </c>
      <c r="G422" s="47" t="s">
        <v>727</v>
      </c>
      <c r="H422" s="47" t="str">
        <f>=IFERROR(VLOOKUP(A422,'ETPT Format DDG'!A:J,10,FALSE),"")</f>
        <v>0</v>
      </c>
      <c r="I422" s="47" t="str">
        <f>='ETPT Format DDG'!M422</f>
        <v/>
      </c>
      <c r="J422" s="47" t="str">
        <f>='ETPT Format DDG'!D422</f>
        <v/>
      </c>
      <c r="K422" s="47" t="s">
        <v>157</v>
      </c>
      <c r="L422" s="47" t="s">
        <v>1243</v>
      </c>
      <c r="M422" s="47"/>
      <c r="N422" s="47">
        <v>1</v>
      </c>
      <c r="O422" s="47">
        <v>0</v>
      </c>
      <c r="P422" s="47">
        <v>0</v>
      </c>
      <c r="Q422" s="47">
        <v>0</v>
      </c>
      <c r="R422" s="47">
        <v>0</v>
      </c>
      <c r="S422" s="47">
        <v>0</v>
      </c>
      <c r="T422" s="47">
        <v>0</v>
      </c>
      <c r="U422" s="47">
        <v>0</v>
      </c>
      <c r="V422" s="47">
        <v>0</v>
      </c>
      <c r="W422" s="47">
        <v>0</v>
      </c>
      <c r="X422" s="47">
        <v>0</v>
      </c>
      <c r="Y422" s="47">
        <v>0</v>
      </c>
      <c r="Z422" s="47">
        <v>0</v>
      </c>
      <c r="AA422" s="47">
        <v>0</v>
      </c>
      <c r="AB422" s="47">
        <v>0</v>
      </c>
      <c r="AC422" s="47">
        <v>0</v>
      </c>
      <c r="AD422" s="47">
        <v>0</v>
      </c>
      <c r="AE422" s="47">
        <v>0</v>
      </c>
      <c r="AF422" s="47">
        <v>0</v>
      </c>
      <c r="AG422" s="47">
        <v>0</v>
      </c>
      <c r="AH422" s="47">
        <v>0</v>
      </c>
      <c r="AI422" s="47">
        <v>0</v>
      </c>
      <c r="AJ422" s="47">
        <v>0</v>
      </c>
      <c r="AK422" s="47">
        <v>0</v>
      </c>
      <c r="AL422" s="47">
        <v>0</v>
      </c>
      <c r="AM422" s="47">
        <v>0</v>
      </c>
      <c r="AN422" s="47">
        <v>0</v>
      </c>
      <c r="AO422" s="47">
        <v>0</v>
      </c>
      <c r="AP422" s="47">
        <v>0</v>
      </c>
      <c r="AQ422" s="47">
        <v>0</v>
      </c>
      <c r="AR422" s="47">
        <v>0</v>
      </c>
      <c r="AS422" s="47">
        <v>0</v>
      </c>
      <c r="AT422" s="47">
        <v>0</v>
      </c>
      <c r="AU422" s="47">
        <v>0</v>
      </c>
      <c r="AV422" s="47">
        <v>0</v>
      </c>
      <c r="AW422" s="47">
        <v>0</v>
      </c>
      <c r="AX422" s="47">
        <v>0</v>
      </c>
      <c r="AY422" s="47">
        <v>0</v>
      </c>
      <c r="AZ422" s="47">
        <v>0</v>
      </c>
      <c r="BA422" s="47">
        <v>0</v>
      </c>
      <c r="BB422" s="47">
        <v>0</v>
      </c>
      <c r="BC422" s="47">
        <v>0</v>
      </c>
      <c r="BD422" s="47">
        <v>0</v>
      </c>
      <c r="BE422" s="47">
        <v>0</v>
      </c>
      <c r="BF422" s="47">
        <v>0</v>
      </c>
      <c r="BG422" s="47">
        <v>0</v>
      </c>
      <c r="BH422" s="47">
        <v>0</v>
      </c>
      <c r="BI422" s="47">
        <v>0</v>
      </c>
      <c r="BJ422" s="47">
        <v>0</v>
      </c>
      <c r="BK422" s="47">
        <v>0</v>
      </c>
      <c r="BL422" s="47">
        <v>0</v>
      </c>
      <c r="BM422" s="47">
        <v>0</v>
      </c>
      <c r="BN422" s="47">
        <v>0</v>
      </c>
      <c r="BO422" s="47">
        <v>0</v>
      </c>
      <c r="BP422" s="47">
        <v>0</v>
      </c>
      <c r="BQ422" s="47">
        <v>0</v>
      </c>
      <c r="BR422" s="47">
        <v>0</v>
      </c>
      <c r="BS422" s="47">
        <v>0</v>
      </c>
      <c r="BT422" s="47">
        <v>0</v>
      </c>
      <c r="BU422" s="47">
        <v>0</v>
      </c>
      <c r="BV422" s="47">
        <v>0</v>
      </c>
      <c r="BW422" s="47">
        <v>0</v>
      </c>
      <c r="BX422" s="47">
        <v>0</v>
      </c>
      <c r="BY422" s="47">
        <v>0</v>
      </c>
      <c r="BZ422" s="47">
        <v>0</v>
      </c>
      <c r="CA422" s="47">
        <v>0</v>
      </c>
      <c r="CB422" s="47">
        <v>0</v>
      </c>
      <c r="CC422" s="47">
        <v>0</v>
      </c>
      <c r="CD422" s="47">
        <v>0</v>
      </c>
      <c r="CE422" s="47">
        <v>0</v>
      </c>
      <c r="CF422" s="47">
        <v>0</v>
      </c>
      <c r="CG422" s="47">
        <v>0</v>
      </c>
      <c r="CH422" s="47">
        <v>0</v>
      </c>
      <c r="CI422" s="47">
        <v>0</v>
      </c>
      <c r="CJ422" s="47">
        <v>0</v>
      </c>
      <c r="CK422" s="47">
        <v>0</v>
      </c>
      <c r="CL422" s="47">
        <v>0</v>
      </c>
      <c r="CM422" s="47">
        <v>0</v>
      </c>
      <c r="CN422" s="47">
        <v>0</v>
      </c>
      <c r="CO422" s="47">
        <v>0</v>
      </c>
      <c r="CP422" s="47">
        <v>0</v>
      </c>
      <c r="CQ422" s="47">
        <v>0</v>
      </c>
      <c r="CR422" s="47">
        <v>0</v>
      </c>
      <c r="CS422" s="47">
        <v>0</v>
      </c>
      <c r="CT422" s="47">
        <v>0</v>
      </c>
      <c r="CU422" s="47">
        <v>0</v>
      </c>
      <c r="CV422" s="47">
        <v>0</v>
      </c>
      <c r="CW422" s="47">
        <v>0</v>
      </c>
      <c r="CX422" s="47">
        <v>0</v>
      </c>
      <c r="CY422" s="47">
        <v>0</v>
      </c>
      <c r="CZ422" s="47">
        <v>0</v>
      </c>
      <c r="DA422" s="47">
        <v>0</v>
      </c>
      <c r="DB422" s="47">
        <v>0</v>
      </c>
      <c r="DC422" s="47">
        <v>0</v>
      </c>
      <c r="DD422" s="47">
        <v>0</v>
      </c>
      <c r="DE422" s="47">
        <v>0</v>
      </c>
      <c r="DF422" s="47">
        <v>0</v>
      </c>
      <c r="DG422" s="47">
        <v>0</v>
      </c>
      <c r="DH422" s="47">
        <v>0</v>
      </c>
      <c r="DI422" s="47">
        <v>0</v>
      </c>
      <c r="DJ422" s="47">
        <v>0</v>
      </c>
      <c r="DK422" s="47">
        <v>0</v>
      </c>
      <c r="DL422" s="47">
        <v>0</v>
      </c>
      <c r="DM422" s="47">
        <v>0</v>
      </c>
      <c r="DN422" s="47">
        <v>0</v>
      </c>
      <c r="DO422" s="47">
        <v>0</v>
      </c>
      <c r="DP422" s="47">
        <v>0</v>
      </c>
      <c r="DQ422" s="47">
        <v>0</v>
      </c>
      <c r="DR422" s="47">
        <v>0</v>
      </c>
      <c r="DS422" s="47">
        <v>0</v>
      </c>
      <c r="DT422" s="47">
        <v>0</v>
      </c>
    </row>
    <row r="423" spans="1:126" x14ac:dyDescent="0.25">
      <c r="A423" s="47" t="s">
        <v>2019</v>
      </c>
      <c r="B423" s="47" t="s">
        <v>153</v>
      </c>
      <c r="C423" s="47" t="s">
        <v>2020</v>
      </c>
      <c r="D423" s="47" t="s">
        <v>2021</v>
      </c>
      <c r="E423" s="47" t="s">
        <v>2022</v>
      </c>
      <c r="F423" s="47" t="s">
        <v>698</v>
      </c>
      <c r="G423" s="47" t="s">
        <v>727</v>
      </c>
      <c r="H423" s="47" t="str">
        <f>=IFERROR(VLOOKUP(A423,'ETPT Format DDG'!A:J,10,FALSE),"")</f>
        <v>0</v>
      </c>
      <c r="I423" s="47" t="str">
        <f>='ETPT Format DDG'!M423</f>
        <v/>
      </c>
      <c r="J423" s="47" t="str">
        <f>='ETPT Format DDG'!D423</f>
        <v/>
      </c>
      <c r="K423" s="47" t="s">
        <v>157</v>
      </c>
      <c r="L423" s="47" t="s">
        <v>1698</v>
      </c>
      <c r="M423" s="47"/>
      <c r="N423" s="47">
        <v>1</v>
      </c>
      <c r="O423" s="47">
        <v>1</v>
      </c>
      <c r="P423" s="47">
        <v>0</v>
      </c>
      <c r="Q423" s="47">
        <v>0</v>
      </c>
      <c r="R423" s="47">
        <v>0</v>
      </c>
      <c r="S423" s="47">
        <v>0</v>
      </c>
      <c r="T423" s="47">
        <v>0</v>
      </c>
      <c r="U423" s="47">
        <v>0</v>
      </c>
      <c r="V423" s="47">
        <v>0</v>
      </c>
      <c r="W423" s="47">
        <v>0</v>
      </c>
      <c r="X423" s="47">
        <v>0</v>
      </c>
      <c r="Y423" s="47">
        <v>0</v>
      </c>
      <c r="Z423" s="47">
        <v>0</v>
      </c>
      <c r="AA423" s="47">
        <v>0</v>
      </c>
      <c r="AB423" s="47">
        <v>0</v>
      </c>
      <c r="AC423" s="47">
        <v>0</v>
      </c>
      <c r="AD423" s="47">
        <v>0</v>
      </c>
      <c r="AE423" s="47">
        <v>1</v>
      </c>
      <c r="AF423" s="47">
        <v>0</v>
      </c>
      <c r="AG423" s="47">
        <v>0</v>
      </c>
      <c r="AH423" s="47">
        <v>0</v>
      </c>
      <c r="AI423" s="47">
        <v>0</v>
      </c>
      <c r="AJ423" s="47">
        <v>0</v>
      </c>
      <c r="AK423" s="47">
        <v>0</v>
      </c>
      <c r="AL423" s="47">
        <v>0</v>
      </c>
      <c r="AM423" s="47">
        <v>0</v>
      </c>
      <c r="AN423" s="47">
        <v>0</v>
      </c>
      <c r="AO423" s="47">
        <v>0</v>
      </c>
      <c r="AP423" s="47">
        <v>0</v>
      </c>
      <c r="AQ423" s="47">
        <v>0</v>
      </c>
      <c r="AR423" s="47">
        <v>0</v>
      </c>
      <c r="AS423" s="47">
        <v>0</v>
      </c>
      <c r="AT423" s="47">
        <v>0</v>
      </c>
      <c r="AU423" s="47">
        <v>0</v>
      </c>
      <c r="AV423" s="47">
        <v>0</v>
      </c>
      <c r="AW423" s="47">
        <v>0</v>
      </c>
      <c r="AX423" s="47">
        <v>0</v>
      </c>
      <c r="AY423" s="47">
        <v>0</v>
      </c>
      <c r="AZ423" s="47">
        <v>0</v>
      </c>
      <c r="BA423" s="47">
        <v>0</v>
      </c>
      <c r="BB423" s="47">
        <v>0</v>
      </c>
      <c r="BC423" s="47">
        <v>0</v>
      </c>
      <c r="BD423" s="47">
        <v>0</v>
      </c>
      <c r="BE423" s="47">
        <v>0</v>
      </c>
      <c r="BF423" s="47">
        <v>0</v>
      </c>
      <c r="BG423" s="47">
        <v>0</v>
      </c>
      <c r="BH423" s="47">
        <v>0</v>
      </c>
      <c r="BI423" s="47">
        <v>0</v>
      </c>
      <c r="BJ423" s="47">
        <v>0</v>
      </c>
      <c r="BK423" s="47">
        <v>0</v>
      </c>
      <c r="BL423" s="47">
        <v>0</v>
      </c>
      <c r="BM423" s="47">
        <v>0</v>
      </c>
      <c r="BN423" s="47">
        <v>0</v>
      </c>
      <c r="BO423" s="47">
        <v>0</v>
      </c>
      <c r="BP423" s="47">
        <v>0</v>
      </c>
      <c r="BQ423" s="47">
        <v>0</v>
      </c>
      <c r="BR423" s="47">
        <v>0</v>
      </c>
      <c r="BS423" s="47">
        <v>0</v>
      </c>
      <c r="BT423" s="47">
        <v>0</v>
      </c>
      <c r="BU423" s="47">
        <v>0</v>
      </c>
      <c r="BV423" s="47">
        <v>0</v>
      </c>
      <c r="BW423" s="47">
        <v>0</v>
      </c>
      <c r="BX423" s="47">
        <v>0</v>
      </c>
      <c r="BY423" s="47">
        <v>0</v>
      </c>
      <c r="BZ423" s="47">
        <v>0</v>
      </c>
      <c r="CA423" s="47">
        <v>0</v>
      </c>
      <c r="CB423" s="47">
        <v>0</v>
      </c>
      <c r="CC423" s="47">
        <v>0</v>
      </c>
      <c r="CD423" s="47">
        <v>0</v>
      </c>
      <c r="CE423" s="47">
        <v>0</v>
      </c>
      <c r="CF423" s="47">
        <v>0</v>
      </c>
      <c r="CG423" s="47">
        <v>0</v>
      </c>
      <c r="CH423" s="47">
        <v>0</v>
      </c>
      <c r="CI423" s="47">
        <v>0</v>
      </c>
      <c r="CJ423" s="47">
        <v>0</v>
      </c>
      <c r="CK423" s="47">
        <v>0</v>
      </c>
      <c r="CL423" s="47">
        <v>0</v>
      </c>
      <c r="CM423" s="47">
        <v>0</v>
      </c>
      <c r="CN423" s="47">
        <v>0</v>
      </c>
      <c r="CO423" s="47">
        <v>0</v>
      </c>
      <c r="CP423" s="47">
        <v>0</v>
      </c>
      <c r="CQ423" s="47">
        <v>0</v>
      </c>
      <c r="CR423" s="47">
        <v>0</v>
      </c>
      <c r="CS423" s="47">
        <v>0</v>
      </c>
      <c r="CT423" s="47">
        <v>0</v>
      </c>
      <c r="CU423" s="47">
        <v>0</v>
      </c>
      <c r="CV423" s="47">
        <v>0</v>
      </c>
      <c r="CW423" s="47">
        <v>0</v>
      </c>
      <c r="CX423" s="47">
        <v>0</v>
      </c>
      <c r="CY423" s="47">
        <v>0</v>
      </c>
      <c r="CZ423" s="47">
        <v>0</v>
      </c>
      <c r="DA423" s="47">
        <v>0</v>
      </c>
      <c r="DB423" s="47">
        <v>0</v>
      </c>
      <c r="DC423" s="47">
        <v>0</v>
      </c>
      <c r="DD423" s="47">
        <v>0</v>
      </c>
      <c r="DE423" s="47">
        <v>0</v>
      </c>
      <c r="DF423" s="47">
        <v>0</v>
      </c>
      <c r="DG423" s="47">
        <v>0</v>
      </c>
      <c r="DH423" s="47">
        <v>0</v>
      </c>
      <c r="DI423" s="47">
        <v>0</v>
      </c>
      <c r="DJ423" s="47">
        <v>0</v>
      </c>
      <c r="DK423" s="47">
        <v>0</v>
      </c>
      <c r="DL423" s="47">
        <v>0</v>
      </c>
      <c r="DM423" s="47">
        <v>0</v>
      </c>
      <c r="DN423" s="47">
        <v>0</v>
      </c>
      <c r="DO423" s="47">
        <v>0</v>
      </c>
      <c r="DP423" s="47">
        <v>0</v>
      </c>
      <c r="DQ423" s="47">
        <v>0</v>
      </c>
      <c r="DR423" s="47">
        <v>0</v>
      </c>
      <c r="DS423" s="47">
        <v>0</v>
      </c>
      <c r="DT423" s="47">
        <v>0</v>
      </c>
    </row>
    <row r="424" spans="1:126" x14ac:dyDescent="0.25">
      <c r="A424" s="47" t="s">
        <v>2023</v>
      </c>
      <c r="B424" s="47" t="s">
        <v>153</v>
      </c>
      <c r="C424" s="47" t="s">
        <v>2024</v>
      </c>
      <c r="D424" s="47" t="s">
        <v>2025</v>
      </c>
      <c r="E424" s="47" t="s">
        <v>2026</v>
      </c>
      <c r="F424" s="47" t="s">
        <v>698</v>
      </c>
      <c r="G424" s="47" t="s">
        <v>705</v>
      </c>
      <c r="H424" s="47" t="str">
        <f>=IFERROR(VLOOKUP(A424,'ETPT Format DDG'!A:J,10,FALSE),"")</f>
        <v>0</v>
      </c>
      <c r="I424" s="47" t="str">
        <f>='ETPT Format DDG'!M424</f>
        <v/>
      </c>
      <c r="J424" s="47" t="str">
        <f>='ETPT Format DDG'!D424</f>
        <v/>
      </c>
      <c r="K424" s="47" t="s">
        <v>157</v>
      </c>
      <c r="L424" s="47" t="s">
        <v>2027</v>
      </c>
      <c r="M424" s="47"/>
      <c r="N424" s="47">
        <v>1</v>
      </c>
      <c r="O424" s="47">
        <v>0</v>
      </c>
      <c r="P424" s="47">
        <v>0</v>
      </c>
      <c r="Q424" s="47">
        <v>0</v>
      </c>
      <c r="R424" s="47">
        <v>0</v>
      </c>
      <c r="S424" s="47">
        <v>0</v>
      </c>
      <c r="T424" s="47">
        <v>0</v>
      </c>
      <c r="U424" s="47">
        <v>0</v>
      </c>
      <c r="V424" s="47">
        <v>0</v>
      </c>
      <c r="W424" s="47">
        <v>0</v>
      </c>
      <c r="X424" s="47">
        <v>0</v>
      </c>
      <c r="Y424" s="47">
        <v>0</v>
      </c>
      <c r="Z424" s="47">
        <v>0</v>
      </c>
      <c r="AA424" s="47">
        <v>0</v>
      </c>
      <c r="AB424" s="47">
        <v>0</v>
      </c>
      <c r="AC424" s="47">
        <v>0</v>
      </c>
      <c r="AD424" s="47">
        <v>0</v>
      </c>
      <c r="AE424" s="47">
        <v>0</v>
      </c>
      <c r="AF424" s="47">
        <v>0</v>
      </c>
      <c r="AG424" s="47">
        <v>0</v>
      </c>
      <c r="AH424" s="47">
        <v>0</v>
      </c>
      <c r="AI424" s="47">
        <v>0</v>
      </c>
      <c r="AJ424" s="47">
        <v>0</v>
      </c>
      <c r="AK424" s="47">
        <v>0</v>
      </c>
      <c r="AL424" s="47">
        <v>0</v>
      </c>
      <c r="AM424" s="47">
        <v>0</v>
      </c>
      <c r="AN424" s="47">
        <v>0</v>
      </c>
      <c r="AO424" s="47">
        <v>0</v>
      </c>
      <c r="AP424" s="47">
        <v>0</v>
      </c>
      <c r="AQ424" s="47">
        <v>0</v>
      </c>
      <c r="AR424" s="47">
        <v>0</v>
      </c>
      <c r="AS424" s="47">
        <v>0</v>
      </c>
      <c r="AT424" s="47">
        <v>0</v>
      </c>
      <c r="AU424" s="47">
        <v>0</v>
      </c>
      <c r="AV424" s="47">
        <v>0</v>
      </c>
      <c r="AW424" s="47">
        <v>0</v>
      </c>
      <c r="AX424" s="47">
        <v>0</v>
      </c>
      <c r="AY424" s="47">
        <v>0</v>
      </c>
      <c r="AZ424" s="47">
        <v>0</v>
      </c>
      <c r="BA424" s="47">
        <v>0</v>
      </c>
      <c r="BB424" s="47">
        <v>0</v>
      </c>
      <c r="BC424" s="47">
        <v>0</v>
      </c>
      <c r="BD424" s="47">
        <v>0</v>
      </c>
      <c r="BE424" s="47">
        <v>0</v>
      </c>
      <c r="BF424" s="47">
        <v>0</v>
      </c>
      <c r="BG424" s="47">
        <v>0</v>
      </c>
      <c r="BH424" s="47">
        <v>0</v>
      </c>
      <c r="BI424" s="47">
        <v>0</v>
      </c>
      <c r="BJ424" s="47">
        <v>0</v>
      </c>
      <c r="BK424" s="47">
        <v>0</v>
      </c>
      <c r="BL424" s="47">
        <v>0</v>
      </c>
      <c r="BM424" s="47">
        <v>0</v>
      </c>
      <c r="BN424" s="47">
        <v>0</v>
      </c>
      <c r="BO424" s="47">
        <v>0</v>
      </c>
      <c r="BP424" s="47">
        <v>0</v>
      </c>
      <c r="BQ424" s="47">
        <v>0</v>
      </c>
      <c r="BR424" s="47">
        <v>0</v>
      </c>
      <c r="BS424" s="47">
        <v>0</v>
      </c>
      <c r="BT424" s="47">
        <v>0</v>
      </c>
      <c r="BU424" s="47">
        <v>0</v>
      </c>
      <c r="BV424" s="47">
        <v>0</v>
      </c>
      <c r="BW424" s="47">
        <v>0</v>
      </c>
      <c r="BX424" s="47">
        <v>0</v>
      </c>
      <c r="BY424" s="47">
        <v>0</v>
      </c>
      <c r="BZ424" s="47">
        <v>0</v>
      </c>
      <c r="CA424" s="47">
        <v>0</v>
      </c>
      <c r="CB424" s="47">
        <v>0</v>
      </c>
      <c r="CC424" s="47">
        <v>0</v>
      </c>
      <c r="CD424" s="47">
        <v>0</v>
      </c>
      <c r="CE424" s="47">
        <v>0</v>
      </c>
      <c r="CF424" s="47">
        <v>0</v>
      </c>
      <c r="CG424" s="47">
        <v>0</v>
      </c>
      <c r="CH424" s="47">
        <v>0</v>
      </c>
      <c r="CI424" s="47">
        <v>0</v>
      </c>
      <c r="CJ424" s="47">
        <v>0</v>
      </c>
      <c r="CK424" s="47">
        <v>0</v>
      </c>
      <c r="CL424" s="47">
        <v>0</v>
      </c>
      <c r="CM424" s="47">
        <v>0</v>
      </c>
      <c r="CN424" s="47">
        <v>0</v>
      </c>
      <c r="CO424" s="47">
        <v>0</v>
      </c>
      <c r="CP424" s="47">
        <v>0</v>
      </c>
      <c r="CQ424" s="47">
        <v>0</v>
      </c>
      <c r="CR424" s="47">
        <v>0</v>
      </c>
      <c r="CS424" s="47">
        <v>0</v>
      </c>
      <c r="CT424" s="47">
        <v>0</v>
      </c>
      <c r="CU424" s="47">
        <v>0</v>
      </c>
      <c r="CV424" s="47">
        <v>0</v>
      </c>
      <c r="CW424" s="47">
        <v>0</v>
      </c>
      <c r="CX424" s="47">
        <v>0</v>
      </c>
      <c r="CY424" s="47">
        <v>0</v>
      </c>
      <c r="CZ424" s="47">
        <v>0</v>
      </c>
      <c r="DA424" s="47">
        <v>0</v>
      </c>
      <c r="DB424" s="47">
        <v>0</v>
      </c>
      <c r="DC424" s="47">
        <v>0</v>
      </c>
      <c r="DD424" s="47">
        <v>0</v>
      </c>
      <c r="DE424" s="47">
        <v>0</v>
      </c>
      <c r="DF424" s="47">
        <v>0</v>
      </c>
      <c r="DG424" s="47">
        <v>0</v>
      </c>
      <c r="DH424" s="47">
        <v>0</v>
      </c>
      <c r="DI424" s="47">
        <v>0</v>
      </c>
      <c r="DJ424" s="47">
        <v>0</v>
      </c>
      <c r="DK424" s="47">
        <v>0</v>
      </c>
      <c r="DL424" s="47">
        <v>0</v>
      </c>
      <c r="DM424" s="47">
        <v>0</v>
      </c>
      <c r="DN424" s="47">
        <v>0</v>
      </c>
      <c r="DO424" s="47">
        <v>0</v>
      </c>
      <c r="DP424" s="47">
        <v>0</v>
      </c>
      <c r="DQ424" s="47">
        <v>0</v>
      </c>
      <c r="DR424" s="47">
        <v>0</v>
      </c>
      <c r="DS424" s="47">
        <v>0</v>
      </c>
      <c r="DT424" s="47">
        <v>0</v>
      </c>
    </row>
    <row r="425" spans="1:126" x14ac:dyDescent="0.25">
      <c r="A425" s="47" t="s">
        <v>2028</v>
      </c>
      <c r="B425" s="47" t="s">
        <v>153</v>
      </c>
      <c r="C425" s="47" t="s">
        <v>2029</v>
      </c>
      <c r="D425" s="47" t="s">
        <v>2030</v>
      </c>
      <c r="E425" s="47" t="s">
        <v>2031</v>
      </c>
      <c r="F425" s="47" t="s">
        <v>698</v>
      </c>
      <c r="G425" s="47" t="s">
        <v>705</v>
      </c>
      <c r="H425" s="47" t="str">
        <f>=IFERROR(VLOOKUP(A425,'ETPT Format DDG'!A:J,10,FALSE),"")</f>
        <v>0</v>
      </c>
      <c r="I425" s="47" t="str">
        <f>='ETPT Format DDG'!M425</f>
        <v/>
      </c>
      <c r="J425" s="47" t="str">
        <f>='ETPT Format DDG'!D425</f>
        <v/>
      </c>
      <c r="K425" s="47" t="s">
        <v>157</v>
      </c>
      <c r="L425" s="47" t="s">
        <v>2032</v>
      </c>
      <c r="M425" s="47"/>
      <c r="N425" s="47">
        <v>1</v>
      </c>
      <c r="O425" s="47">
        <v>0</v>
      </c>
      <c r="P425" s="47">
        <v>0</v>
      </c>
      <c r="Q425" s="47">
        <v>0</v>
      </c>
      <c r="R425" s="47">
        <v>0</v>
      </c>
      <c r="S425" s="47">
        <v>0</v>
      </c>
      <c r="T425" s="47">
        <v>0</v>
      </c>
      <c r="U425" s="47">
        <v>0</v>
      </c>
      <c r="V425" s="47">
        <v>0</v>
      </c>
      <c r="W425" s="47">
        <v>0</v>
      </c>
      <c r="X425" s="47">
        <v>0</v>
      </c>
      <c r="Y425" s="47">
        <v>0</v>
      </c>
      <c r="Z425" s="47">
        <v>0</v>
      </c>
      <c r="AA425" s="47">
        <v>0</v>
      </c>
      <c r="AB425" s="47">
        <v>0</v>
      </c>
      <c r="AC425" s="47">
        <v>0</v>
      </c>
      <c r="AD425" s="47">
        <v>0</v>
      </c>
      <c r="AE425" s="47">
        <v>0</v>
      </c>
      <c r="AF425" s="47">
        <v>0</v>
      </c>
      <c r="AG425" s="47">
        <v>0</v>
      </c>
      <c r="AH425" s="47">
        <v>0</v>
      </c>
      <c r="AI425" s="47">
        <v>0</v>
      </c>
      <c r="AJ425" s="47">
        <v>0</v>
      </c>
      <c r="AK425" s="47">
        <v>0</v>
      </c>
      <c r="AL425" s="47">
        <v>0</v>
      </c>
      <c r="AM425" s="47">
        <v>0</v>
      </c>
      <c r="AN425" s="47">
        <v>0</v>
      </c>
      <c r="AO425" s="47">
        <v>0</v>
      </c>
      <c r="AP425" s="47">
        <v>0</v>
      </c>
      <c r="AQ425" s="47">
        <v>0</v>
      </c>
      <c r="AR425" s="47">
        <v>0</v>
      </c>
      <c r="AS425" s="47">
        <v>0</v>
      </c>
      <c r="AT425" s="47">
        <v>0</v>
      </c>
      <c r="AU425" s="47">
        <v>0</v>
      </c>
      <c r="AV425" s="47">
        <v>0</v>
      </c>
      <c r="AW425" s="47">
        <v>0</v>
      </c>
      <c r="AX425" s="47">
        <v>0</v>
      </c>
      <c r="AY425" s="47">
        <v>0</v>
      </c>
      <c r="AZ425" s="47">
        <v>0</v>
      </c>
      <c r="BA425" s="47">
        <v>0</v>
      </c>
      <c r="BB425" s="47">
        <v>0</v>
      </c>
      <c r="BC425" s="47">
        <v>0</v>
      </c>
      <c r="BD425" s="47">
        <v>0</v>
      </c>
      <c r="BE425" s="47">
        <v>0</v>
      </c>
      <c r="BF425" s="47">
        <v>0</v>
      </c>
      <c r="BG425" s="47">
        <v>0</v>
      </c>
      <c r="BH425" s="47">
        <v>0</v>
      </c>
      <c r="BI425" s="47">
        <v>0</v>
      </c>
      <c r="BJ425" s="47">
        <v>0</v>
      </c>
      <c r="BK425" s="47">
        <v>0</v>
      </c>
      <c r="BL425" s="47">
        <v>0</v>
      </c>
      <c r="BM425" s="47">
        <v>0</v>
      </c>
      <c r="BN425" s="47">
        <v>0</v>
      </c>
      <c r="BO425" s="47">
        <v>0</v>
      </c>
      <c r="BP425" s="47">
        <v>0</v>
      </c>
      <c r="BQ425" s="47">
        <v>0</v>
      </c>
      <c r="BR425" s="47">
        <v>0</v>
      </c>
      <c r="BS425" s="47">
        <v>0</v>
      </c>
      <c r="BT425" s="47">
        <v>0</v>
      </c>
      <c r="BU425" s="47">
        <v>0</v>
      </c>
      <c r="BV425" s="47">
        <v>0</v>
      </c>
      <c r="BW425" s="47">
        <v>0</v>
      </c>
      <c r="BX425" s="47">
        <v>0</v>
      </c>
      <c r="BY425" s="47">
        <v>0</v>
      </c>
      <c r="BZ425" s="47">
        <v>0</v>
      </c>
      <c r="CA425" s="47">
        <v>0</v>
      </c>
      <c r="CB425" s="47">
        <v>0</v>
      </c>
      <c r="CC425" s="47">
        <v>0</v>
      </c>
      <c r="CD425" s="47">
        <v>0</v>
      </c>
      <c r="CE425" s="47">
        <v>0</v>
      </c>
      <c r="CF425" s="47">
        <v>0</v>
      </c>
      <c r="CG425" s="47">
        <v>0</v>
      </c>
      <c r="CH425" s="47">
        <v>0</v>
      </c>
      <c r="CI425" s="47">
        <v>0</v>
      </c>
      <c r="CJ425" s="47">
        <v>0</v>
      </c>
      <c r="CK425" s="47">
        <v>0</v>
      </c>
      <c r="CL425" s="47">
        <v>0</v>
      </c>
      <c r="CM425" s="47">
        <v>0</v>
      </c>
      <c r="CN425" s="47">
        <v>0</v>
      </c>
      <c r="CO425" s="47">
        <v>0</v>
      </c>
      <c r="CP425" s="47">
        <v>0</v>
      </c>
      <c r="CQ425" s="47">
        <v>0</v>
      </c>
      <c r="CR425" s="47">
        <v>0</v>
      </c>
      <c r="CS425" s="47">
        <v>0</v>
      </c>
      <c r="CT425" s="47">
        <v>0</v>
      </c>
      <c r="CU425" s="47">
        <v>0</v>
      </c>
      <c r="CV425" s="47">
        <v>0</v>
      </c>
      <c r="CW425" s="47">
        <v>0</v>
      </c>
      <c r="CX425" s="47">
        <v>0</v>
      </c>
      <c r="CY425" s="47">
        <v>0</v>
      </c>
      <c r="CZ425" s="47">
        <v>0</v>
      </c>
      <c r="DA425" s="47">
        <v>0</v>
      </c>
      <c r="DB425" s="47">
        <v>0</v>
      </c>
      <c r="DC425" s="47">
        <v>0</v>
      </c>
      <c r="DD425" s="47">
        <v>0</v>
      </c>
      <c r="DE425" s="47">
        <v>0</v>
      </c>
      <c r="DF425" s="47">
        <v>0</v>
      </c>
      <c r="DG425" s="47">
        <v>0</v>
      </c>
      <c r="DH425" s="47">
        <v>0</v>
      </c>
      <c r="DI425" s="47">
        <v>0</v>
      </c>
      <c r="DJ425" s="47">
        <v>0</v>
      </c>
      <c r="DK425" s="47">
        <v>0</v>
      </c>
      <c r="DL425" s="47">
        <v>0</v>
      </c>
      <c r="DM425" s="47">
        <v>0</v>
      </c>
      <c r="DN425" s="47">
        <v>0</v>
      </c>
      <c r="DO425" s="47">
        <v>0</v>
      </c>
      <c r="DP425" s="47">
        <v>0</v>
      </c>
      <c r="DQ425" s="47">
        <v>0</v>
      </c>
      <c r="DR425" s="47">
        <v>0</v>
      </c>
      <c r="DS425" s="47">
        <v>0</v>
      </c>
      <c r="DT425" s="47">
        <v>0</v>
      </c>
    </row>
    <row r="426" spans="1:126" x14ac:dyDescent="0.25">
      <c r="A426" s="47" t="s">
        <v>2033</v>
      </c>
      <c r="B426" s="47" t="s">
        <v>153</v>
      </c>
      <c r="C426" s="47" t="s">
        <v>2034</v>
      </c>
      <c r="D426" s="47" t="s">
        <v>2035</v>
      </c>
      <c r="E426" s="47" t="s">
        <v>2036</v>
      </c>
      <c r="F426" s="47" t="s">
        <v>698</v>
      </c>
      <c r="G426" s="47" t="s">
        <v>727</v>
      </c>
      <c r="H426" s="47" t="str">
        <f>=IFERROR(VLOOKUP(A426,'ETPT Format DDG'!A:J,10,FALSE),"")</f>
        <v>0</v>
      </c>
      <c r="I426" s="47" t="str">
        <f>='ETPT Format DDG'!M426</f>
        <v/>
      </c>
      <c r="J426" s="47" t="str">
        <f>='ETPT Format DDG'!D426</f>
        <v/>
      </c>
      <c r="K426" s="47" t="s">
        <v>157</v>
      </c>
      <c r="L426" s="47" t="s">
        <v>593</v>
      </c>
      <c r="M426" s="47"/>
      <c r="N426" s="47">
        <v>0.8</v>
      </c>
      <c r="O426" s="47">
        <v>0.8</v>
      </c>
      <c r="P426" s="47">
        <v>0</v>
      </c>
      <c r="Q426" s="47">
        <v>0</v>
      </c>
      <c r="R426" s="47">
        <v>0</v>
      </c>
      <c r="S426" s="47">
        <v>0</v>
      </c>
      <c r="T426" s="47">
        <v>0</v>
      </c>
      <c r="U426" s="47">
        <v>0</v>
      </c>
      <c r="V426" s="47">
        <v>0</v>
      </c>
      <c r="W426" s="47">
        <v>0</v>
      </c>
      <c r="X426" s="47">
        <v>0</v>
      </c>
      <c r="Y426" s="47">
        <v>0</v>
      </c>
      <c r="Z426" s="47">
        <v>0</v>
      </c>
      <c r="AA426" s="47">
        <v>0</v>
      </c>
      <c r="AB426" s="47">
        <v>0</v>
      </c>
      <c r="AC426" s="47">
        <v>0</v>
      </c>
      <c r="AD426" s="47">
        <v>0</v>
      </c>
      <c r="AE426" s="47">
        <v>0</v>
      </c>
      <c r="AF426" s="47">
        <v>0</v>
      </c>
      <c r="AG426" s="47">
        <v>0</v>
      </c>
      <c r="AH426" s="47">
        <v>0</v>
      </c>
      <c r="AI426" s="47">
        <v>0</v>
      </c>
      <c r="AJ426" s="47">
        <v>0</v>
      </c>
      <c r="AK426" s="47">
        <v>0</v>
      </c>
      <c r="AL426" s="47">
        <v>0</v>
      </c>
      <c r="AM426" s="47">
        <v>0</v>
      </c>
      <c r="AN426" s="47">
        <v>0</v>
      </c>
      <c r="AO426" s="47">
        <v>0</v>
      </c>
      <c r="AP426" s="47">
        <v>0</v>
      </c>
      <c r="AQ426" s="47">
        <v>0</v>
      </c>
      <c r="AR426" s="47">
        <v>0</v>
      </c>
      <c r="AS426" s="47">
        <v>0</v>
      </c>
      <c r="AT426" s="47">
        <v>0</v>
      </c>
      <c r="AU426" s="47">
        <v>0</v>
      </c>
      <c r="AV426" s="47">
        <v>0</v>
      </c>
      <c r="AW426" s="47">
        <v>0</v>
      </c>
      <c r="AX426" s="47">
        <v>0</v>
      </c>
      <c r="AY426" s="47">
        <v>0</v>
      </c>
      <c r="AZ426" s="47">
        <v>0</v>
      </c>
      <c r="BA426" s="47">
        <v>0</v>
      </c>
      <c r="BB426" s="47">
        <v>0</v>
      </c>
      <c r="BC426" s="47">
        <v>0</v>
      </c>
      <c r="BD426" s="47">
        <v>0</v>
      </c>
      <c r="BE426" s="47">
        <v>0</v>
      </c>
      <c r="BF426" s="47">
        <v>0</v>
      </c>
      <c r="BG426" s="47">
        <v>0</v>
      </c>
      <c r="BH426" s="47">
        <v>0</v>
      </c>
      <c r="BI426" s="47">
        <v>0</v>
      </c>
      <c r="BJ426" s="47">
        <v>0</v>
      </c>
      <c r="BK426" s="47">
        <v>0</v>
      </c>
      <c r="BL426" s="47">
        <v>0</v>
      </c>
      <c r="BM426" s="47">
        <v>0</v>
      </c>
      <c r="BN426" s="47">
        <v>0</v>
      </c>
      <c r="BO426" s="47">
        <v>0.8</v>
      </c>
      <c r="BP426" s="47">
        <v>0</v>
      </c>
      <c r="BQ426" s="47">
        <v>0</v>
      </c>
      <c r="BR426" s="47">
        <v>0</v>
      </c>
      <c r="BS426" s="47">
        <v>0</v>
      </c>
      <c r="BT426" s="47">
        <v>0</v>
      </c>
      <c r="BU426" s="47">
        <v>0</v>
      </c>
      <c r="BV426" s="47">
        <v>0</v>
      </c>
      <c r="BW426" s="47">
        <v>0</v>
      </c>
      <c r="BX426" s="47">
        <v>0</v>
      </c>
      <c r="BY426" s="47">
        <v>0</v>
      </c>
      <c r="BZ426" s="47">
        <v>0</v>
      </c>
      <c r="CA426" s="47">
        <v>0</v>
      </c>
      <c r="CB426" s="47">
        <v>0</v>
      </c>
      <c r="CC426" s="47">
        <v>0</v>
      </c>
      <c r="CD426" s="47">
        <v>0</v>
      </c>
      <c r="CE426" s="47">
        <v>0</v>
      </c>
      <c r="CF426" s="47">
        <v>0</v>
      </c>
      <c r="CG426" s="47">
        <v>0</v>
      </c>
      <c r="CH426" s="47">
        <v>0</v>
      </c>
      <c r="CI426" s="47">
        <v>0</v>
      </c>
      <c r="CJ426" s="47">
        <v>0</v>
      </c>
      <c r="CK426" s="47">
        <v>0</v>
      </c>
      <c r="CL426" s="47">
        <v>0</v>
      </c>
      <c r="CM426" s="47">
        <v>0</v>
      </c>
      <c r="CN426" s="47">
        <v>0</v>
      </c>
      <c r="CO426" s="47">
        <v>0</v>
      </c>
      <c r="CP426" s="47">
        <v>0</v>
      </c>
      <c r="CQ426" s="47">
        <v>0</v>
      </c>
      <c r="CR426" s="47">
        <v>0</v>
      </c>
      <c r="CS426" s="47">
        <v>0</v>
      </c>
      <c r="CT426" s="47">
        <v>0</v>
      </c>
      <c r="CU426" s="47">
        <v>0</v>
      </c>
      <c r="CV426" s="47">
        <v>0</v>
      </c>
      <c r="CW426" s="47">
        <v>0</v>
      </c>
      <c r="CX426" s="47">
        <v>0</v>
      </c>
      <c r="CY426" s="47">
        <v>0</v>
      </c>
      <c r="CZ426" s="47">
        <v>0</v>
      </c>
      <c r="DA426" s="47">
        <v>0</v>
      </c>
      <c r="DB426" s="47">
        <v>0</v>
      </c>
      <c r="DC426" s="47">
        <v>0</v>
      </c>
      <c r="DD426" s="47">
        <v>0</v>
      </c>
      <c r="DE426" s="47">
        <v>0</v>
      </c>
      <c r="DF426" s="47">
        <v>0</v>
      </c>
      <c r="DG426" s="47">
        <v>0</v>
      </c>
      <c r="DH426" s="47">
        <v>0</v>
      </c>
      <c r="DI426" s="47">
        <v>0</v>
      </c>
      <c r="DJ426" s="47">
        <v>0</v>
      </c>
      <c r="DK426" s="47">
        <v>0</v>
      </c>
      <c r="DL426" s="47">
        <v>0</v>
      </c>
      <c r="DM426" s="47">
        <v>0</v>
      </c>
      <c r="DN426" s="47">
        <v>0</v>
      </c>
      <c r="DO426" s="47">
        <v>0</v>
      </c>
      <c r="DP426" s="47">
        <v>0</v>
      </c>
      <c r="DQ426" s="47">
        <v>0</v>
      </c>
      <c r="DR426" s="47">
        <v>0</v>
      </c>
      <c r="DS426" s="47">
        <v>0</v>
      </c>
      <c r="DT426" s="47">
        <v>0</v>
      </c>
    </row>
    <row r="427" spans="1:126" x14ac:dyDescent="0.25">
      <c r="A427" s="47" t="s">
        <v>2037</v>
      </c>
      <c r="B427" s="47" t="s">
        <v>153</v>
      </c>
      <c r="C427" s="47" t="s">
        <v>2038</v>
      </c>
      <c r="D427" s="47" t="s">
        <v>2039</v>
      </c>
      <c r="E427" s="47" t="s">
        <v>2040</v>
      </c>
      <c r="F427" s="47" t="s">
        <v>698</v>
      </c>
      <c r="G427" s="47" t="s">
        <v>705</v>
      </c>
      <c r="H427" s="47" t="str">
        <f>=IFERROR(VLOOKUP(A427,'ETPT Format DDG'!A:J,10,FALSE),"")</f>
        <v>0</v>
      </c>
      <c r="I427" s="47" t="str">
        <f>='ETPT Format DDG'!M427</f>
        <v/>
      </c>
      <c r="J427" s="47" t="str">
        <f>='ETPT Format DDG'!D427</f>
        <v/>
      </c>
      <c r="K427" s="47" t="s">
        <v>157</v>
      </c>
      <c r="L427" s="47" t="s">
        <v>168</v>
      </c>
      <c r="M427" s="47"/>
      <c r="N427" s="47">
        <v>0.8</v>
      </c>
      <c r="O427" s="47">
        <v>0</v>
      </c>
      <c r="P427" s="47">
        <v>0</v>
      </c>
      <c r="Q427" s="47">
        <v>0</v>
      </c>
      <c r="R427" s="47">
        <v>0</v>
      </c>
      <c r="S427" s="47">
        <v>0</v>
      </c>
      <c r="T427" s="47">
        <v>0</v>
      </c>
      <c r="U427" s="47">
        <v>0</v>
      </c>
      <c r="V427" s="47">
        <v>0</v>
      </c>
      <c r="W427" s="47">
        <v>0</v>
      </c>
      <c r="X427" s="47">
        <v>0</v>
      </c>
      <c r="Y427" s="47">
        <v>0</v>
      </c>
      <c r="Z427" s="47">
        <v>0</v>
      </c>
      <c r="AA427" s="47">
        <v>0</v>
      </c>
      <c r="AB427" s="47">
        <v>0</v>
      </c>
      <c r="AC427" s="47">
        <v>0</v>
      </c>
      <c r="AD427" s="47">
        <v>0</v>
      </c>
      <c r="AE427" s="47">
        <v>0</v>
      </c>
      <c r="AF427" s="47">
        <v>0</v>
      </c>
      <c r="AG427" s="47">
        <v>0</v>
      </c>
      <c r="AH427" s="47">
        <v>0</v>
      </c>
      <c r="AI427" s="47">
        <v>0</v>
      </c>
      <c r="AJ427" s="47">
        <v>0</v>
      </c>
      <c r="AK427" s="47">
        <v>0</v>
      </c>
      <c r="AL427" s="47">
        <v>0</v>
      </c>
      <c r="AM427" s="47">
        <v>0</v>
      </c>
      <c r="AN427" s="47">
        <v>0</v>
      </c>
      <c r="AO427" s="47">
        <v>0</v>
      </c>
      <c r="AP427" s="47">
        <v>0</v>
      </c>
      <c r="AQ427" s="47">
        <v>0</v>
      </c>
      <c r="AR427" s="47">
        <v>0</v>
      </c>
      <c r="AS427" s="47">
        <v>0</v>
      </c>
      <c r="AT427" s="47">
        <v>0</v>
      </c>
      <c r="AU427" s="47">
        <v>0</v>
      </c>
      <c r="AV427" s="47">
        <v>0</v>
      </c>
      <c r="AW427" s="47">
        <v>0</v>
      </c>
      <c r="AX427" s="47">
        <v>0</v>
      </c>
      <c r="AY427" s="47">
        <v>0</v>
      </c>
      <c r="AZ427" s="47">
        <v>0</v>
      </c>
      <c r="BA427" s="47">
        <v>0</v>
      </c>
      <c r="BB427" s="47">
        <v>0</v>
      </c>
      <c r="BC427" s="47">
        <v>0</v>
      </c>
      <c r="BD427" s="47">
        <v>0</v>
      </c>
      <c r="BE427" s="47">
        <v>0</v>
      </c>
      <c r="BF427" s="47">
        <v>0</v>
      </c>
      <c r="BG427" s="47">
        <v>0</v>
      </c>
      <c r="BH427" s="47">
        <v>0</v>
      </c>
      <c r="BI427" s="47">
        <v>0</v>
      </c>
      <c r="BJ427" s="47">
        <v>0</v>
      </c>
      <c r="BK427" s="47">
        <v>0</v>
      </c>
      <c r="BL427" s="47">
        <v>0</v>
      </c>
      <c r="BM427" s="47">
        <v>0</v>
      </c>
      <c r="BN427" s="47">
        <v>0</v>
      </c>
      <c r="BO427" s="47">
        <v>0</v>
      </c>
      <c r="BP427" s="47">
        <v>0</v>
      </c>
      <c r="BQ427" s="47">
        <v>0</v>
      </c>
      <c r="BR427" s="47">
        <v>0</v>
      </c>
      <c r="BS427" s="47">
        <v>0</v>
      </c>
      <c r="BT427" s="47">
        <v>0</v>
      </c>
      <c r="BU427" s="47">
        <v>0</v>
      </c>
      <c r="BV427" s="47">
        <v>0</v>
      </c>
      <c r="BW427" s="47">
        <v>0</v>
      </c>
      <c r="BX427" s="47">
        <v>0</v>
      </c>
      <c r="BY427" s="47">
        <v>0</v>
      </c>
      <c r="BZ427" s="47">
        <v>0</v>
      </c>
      <c r="CA427" s="47">
        <v>0</v>
      </c>
      <c r="CB427" s="47">
        <v>0</v>
      </c>
      <c r="CC427" s="47">
        <v>0</v>
      </c>
      <c r="CD427" s="47">
        <v>0</v>
      </c>
      <c r="CE427" s="47">
        <v>0</v>
      </c>
      <c r="CF427" s="47">
        <v>0</v>
      </c>
      <c r="CG427" s="47">
        <v>0</v>
      </c>
      <c r="CH427" s="47">
        <v>0</v>
      </c>
      <c r="CI427" s="47">
        <v>0</v>
      </c>
      <c r="CJ427" s="47">
        <v>0</v>
      </c>
      <c r="CK427" s="47">
        <v>0</v>
      </c>
      <c r="CL427" s="47">
        <v>0</v>
      </c>
      <c r="CM427" s="47">
        <v>0</v>
      </c>
      <c r="CN427" s="47">
        <v>0</v>
      </c>
      <c r="CO427" s="47">
        <v>0</v>
      </c>
      <c r="CP427" s="47">
        <v>0</v>
      </c>
      <c r="CQ427" s="47">
        <v>0</v>
      </c>
      <c r="CR427" s="47">
        <v>0</v>
      </c>
      <c r="CS427" s="47">
        <v>0</v>
      </c>
      <c r="CT427" s="47">
        <v>0</v>
      </c>
      <c r="CU427" s="47">
        <v>0</v>
      </c>
      <c r="CV427" s="47">
        <v>0</v>
      </c>
      <c r="CW427" s="47">
        <v>0</v>
      </c>
      <c r="CX427" s="47">
        <v>0</v>
      </c>
      <c r="CY427" s="47">
        <v>0</v>
      </c>
      <c r="CZ427" s="47">
        <v>0</v>
      </c>
      <c r="DA427" s="47">
        <v>0</v>
      </c>
      <c r="DB427" s="47">
        <v>0</v>
      </c>
      <c r="DC427" s="47">
        <v>0</v>
      </c>
      <c r="DD427" s="47">
        <v>0</v>
      </c>
      <c r="DE427" s="47">
        <v>0</v>
      </c>
      <c r="DF427" s="47">
        <v>0</v>
      </c>
      <c r="DG427" s="47">
        <v>0</v>
      </c>
      <c r="DH427" s="47">
        <v>0</v>
      </c>
      <c r="DI427" s="47">
        <v>0</v>
      </c>
      <c r="DJ427" s="47">
        <v>0</v>
      </c>
      <c r="DK427" s="47">
        <v>0</v>
      </c>
      <c r="DL427" s="47">
        <v>0</v>
      </c>
      <c r="DM427" s="47">
        <v>0</v>
      </c>
      <c r="DN427" s="47">
        <v>0</v>
      </c>
      <c r="DO427" s="47">
        <v>0</v>
      </c>
      <c r="DP427" s="47">
        <v>0</v>
      </c>
      <c r="DQ427" s="47">
        <v>0</v>
      </c>
      <c r="DR427" s="47">
        <v>0</v>
      </c>
      <c r="DS427" s="47">
        <v>0</v>
      </c>
      <c r="DT427" s="47">
        <v>0</v>
      </c>
    </row>
    <row r="428" spans="1:126" x14ac:dyDescent="0.25">
      <c r="A428" s="47" t="s">
        <v>2041</v>
      </c>
      <c r="B428" s="47" t="s">
        <v>153</v>
      </c>
      <c r="C428" s="47" t="s">
        <v>2042</v>
      </c>
      <c r="D428" s="47" t="s">
        <v>2043</v>
      </c>
      <c r="E428" s="47" t="s">
        <v>2044</v>
      </c>
      <c r="F428" s="47" t="s">
        <v>698</v>
      </c>
      <c r="G428" s="47" t="s">
        <v>705</v>
      </c>
      <c r="H428" s="47" t="str">
        <f>=IFERROR(VLOOKUP(A428,'ETPT Format DDG'!A:J,10,FALSE),"")</f>
        <v>0</v>
      </c>
      <c r="I428" s="47" t="str">
        <f>='ETPT Format DDG'!M428</f>
        <v/>
      </c>
      <c r="J428" s="47" t="str">
        <f>='ETPT Format DDG'!D428</f>
        <v/>
      </c>
      <c r="K428" s="47" t="s">
        <v>157</v>
      </c>
      <c r="L428" s="47" t="s">
        <v>753</v>
      </c>
      <c r="M428" s="47"/>
      <c r="N428" s="47">
        <v>0.8</v>
      </c>
      <c r="O428" s="47">
        <v>0</v>
      </c>
      <c r="P428" s="47">
        <v>0</v>
      </c>
      <c r="Q428" s="47">
        <v>0</v>
      </c>
      <c r="R428" s="47">
        <v>0</v>
      </c>
      <c r="S428" s="47">
        <v>0</v>
      </c>
      <c r="T428" s="47">
        <v>0</v>
      </c>
      <c r="U428" s="47">
        <v>0</v>
      </c>
      <c r="V428" s="47">
        <v>0</v>
      </c>
      <c r="W428" s="47">
        <v>0</v>
      </c>
      <c r="X428" s="47">
        <v>0</v>
      </c>
      <c r="Y428" s="47">
        <v>0</v>
      </c>
      <c r="Z428" s="47">
        <v>0</v>
      </c>
      <c r="AA428" s="47">
        <v>0</v>
      </c>
      <c r="AB428" s="47">
        <v>0</v>
      </c>
      <c r="AC428" s="47">
        <v>0</v>
      </c>
      <c r="AD428" s="47">
        <v>0</v>
      </c>
      <c r="AE428" s="47">
        <v>0</v>
      </c>
      <c r="AF428" s="47">
        <v>0</v>
      </c>
      <c r="AG428" s="47">
        <v>0</v>
      </c>
      <c r="AH428" s="47">
        <v>0</v>
      </c>
      <c r="AI428" s="47">
        <v>0</v>
      </c>
      <c r="AJ428" s="47">
        <v>0</v>
      </c>
      <c r="AK428" s="47">
        <v>0</v>
      </c>
      <c r="AL428" s="47">
        <v>0</v>
      </c>
      <c r="AM428" s="47">
        <v>0</v>
      </c>
      <c r="AN428" s="47">
        <v>0</v>
      </c>
      <c r="AO428" s="47">
        <v>0</v>
      </c>
      <c r="AP428" s="47">
        <v>0</v>
      </c>
      <c r="AQ428" s="47">
        <v>0</v>
      </c>
      <c r="AR428" s="47">
        <v>0</v>
      </c>
      <c r="AS428" s="47">
        <v>0</v>
      </c>
      <c r="AT428" s="47">
        <v>0</v>
      </c>
      <c r="AU428" s="47">
        <v>0</v>
      </c>
      <c r="AV428" s="47">
        <v>0</v>
      </c>
      <c r="AW428" s="47">
        <v>0</v>
      </c>
      <c r="AX428" s="47">
        <v>0</v>
      </c>
      <c r="AY428" s="47">
        <v>0</v>
      </c>
      <c r="AZ428" s="47">
        <v>0</v>
      </c>
      <c r="BA428" s="47">
        <v>0</v>
      </c>
      <c r="BB428" s="47">
        <v>0</v>
      </c>
      <c r="BC428" s="47">
        <v>0</v>
      </c>
      <c r="BD428" s="47">
        <v>0</v>
      </c>
      <c r="BE428" s="47">
        <v>0</v>
      </c>
      <c r="BF428" s="47">
        <v>0</v>
      </c>
      <c r="BG428" s="47">
        <v>0</v>
      </c>
      <c r="BH428" s="47">
        <v>0</v>
      </c>
      <c r="BI428" s="47">
        <v>0</v>
      </c>
      <c r="BJ428" s="47">
        <v>0</v>
      </c>
      <c r="BK428" s="47">
        <v>0</v>
      </c>
      <c r="BL428" s="47">
        <v>0</v>
      </c>
      <c r="BM428" s="47">
        <v>0</v>
      </c>
      <c r="BN428" s="47">
        <v>0</v>
      </c>
      <c r="BO428" s="47">
        <v>0</v>
      </c>
      <c r="BP428" s="47">
        <v>0</v>
      </c>
      <c r="BQ428" s="47">
        <v>0</v>
      </c>
      <c r="BR428" s="47">
        <v>0</v>
      </c>
      <c r="BS428" s="47">
        <v>0</v>
      </c>
      <c r="BT428" s="47">
        <v>0</v>
      </c>
      <c r="BU428" s="47">
        <v>0</v>
      </c>
      <c r="BV428" s="47">
        <v>0</v>
      </c>
      <c r="BW428" s="47">
        <v>0</v>
      </c>
      <c r="BX428" s="47">
        <v>0</v>
      </c>
      <c r="BY428" s="47">
        <v>0</v>
      </c>
      <c r="BZ428" s="47">
        <v>0</v>
      </c>
      <c r="CA428" s="47">
        <v>0</v>
      </c>
      <c r="CB428" s="47">
        <v>0</v>
      </c>
      <c r="CC428" s="47">
        <v>0</v>
      </c>
      <c r="CD428" s="47">
        <v>0</v>
      </c>
      <c r="CE428" s="47">
        <v>0</v>
      </c>
      <c r="CF428" s="47">
        <v>0</v>
      </c>
      <c r="CG428" s="47">
        <v>0</v>
      </c>
      <c r="CH428" s="47">
        <v>0</v>
      </c>
      <c r="CI428" s="47">
        <v>0</v>
      </c>
      <c r="CJ428" s="47">
        <v>0</v>
      </c>
      <c r="CK428" s="47">
        <v>0</v>
      </c>
      <c r="CL428" s="47">
        <v>0</v>
      </c>
      <c r="CM428" s="47">
        <v>0</v>
      </c>
      <c r="CN428" s="47">
        <v>0</v>
      </c>
      <c r="CO428" s="47">
        <v>0</v>
      </c>
      <c r="CP428" s="47">
        <v>0</v>
      </c>
      <c r="CQ428" s="47">
        <v>0</v>
      </c>
      <c r="CR428" s="47">
        <v>0</v>
      </c>
      <c r="CS428" s="47">
        <v>0</v>
      </c>
      <c r="CT428" s="47">
        <v>0</v>
      </c>
      <c r="CU428" s="47">
        <v>0</v>
      </c>
      <c r="CV428" s="47">
        <v>0</v>
      </c>
      <c r="CW428" s="47">
        <v>0</v>
      </c>
      <c r="CX428" s="47">
        <v>0</v>
      </c>
      <c r="CY428" s="47">
        <v>0</v>
      </c>
      <c r="CZ428" s="47">
        <v>0</v>
      </c>
      <c r="DA428" s="47">
        <v>0</v>
      </c>
      <c r="DB428" s="47">
        <v>0</v>
      </c>
      <c r="DC428" s="47">
        <v>0</v>
      </c>
      <c r="DD428" s="47">
        <v>0</v>
      </c>
      <c r="DE428" s="47">
        <v>0</v>
      </c>
      <c r="DF428" s="47">
        <v>0</v>
      </c>
      <c r="DG428" s="47">
        <v>0</v>
      </c>
      <c r="DH428" s="47">
        <v>0</v>
      </c>
      <c r="DI428" s="47">
        <v>0</v>
      </c>
      <c r="DJ428" s="47">
        <v>0</v>
      </c>
      <c r="DK428" s="47">
        <v>0</v>
      </c>
      <c r="DL428" s="47">
        <v>0</v>
      </c>
      <c r="DM428" s="47">
        <v>0</v>
      </c>
      <c r="DN428" s="47">
        <v>0</v>
      </c>
      <c r="DO428" s="47">
        <v>0</v>
      </c>
      <c r="DP428" s="47">
        <v>0</v>
      </c>
      <c r="DQ428" s="47">
        <v>0</v>
      </c>
      <c r="DR428" s="47">
        <v>0</v>
      </c>
      <c r="DS428" s="47">
        <v>0</v>
      </c>
      <c r="DT428" s="47">
        <v>0</v>
      </c>
    </row>
    <row r="429" spans="1:126" x14ac:dyDescent="0.25">
      <c r="A429" s="47" t="s">
        <v>2045</v>
      </c>
      <c r="B429" s="47" t="s">
        <v>153</v>
      </c>
      <c r="C429" s="47" t="s">
        <v>2046</v>
      </c>
      <c r="D429" s="47" t="s">
        <v>2047</v>
      </c>
      <c r="E429" s="47" t="s">
        <v>2048</v>
      </c>
      <c r="F429" s="47" t="s">
        <v>698</v>
      </c>
      <c r="G429" s="47" t="s">
        <v>2049</v>
      </c>
      <c r="H429" s="47" t="str">
        <f>=IFERROR(VLOOKUP(A429,'ETPT Format DDG'!A:J,10,FALSE),"")</f>
        <v>0</v>
      </c>
      <c r="I429" s="47" t="str">
        <f>='ETPT Format DDG'!M429</f>
        <v/>
      </c>
      <c r="J429" s="47" t="str">
        <f>='ETPT Format DDG'!D429</f>
        <v/>
      </c>
      <c r="K429" s="47" t="s">
        <v>157</v>
      </c>
      <c r="L429" s="47" t="s">
        <v>2050</v>
      </c>
      <c r="M429" s="47"/>
      <c r="N429" s="47">
        <v>1</v>
      </c>
      <c r="O429" s="47">
        <v>1</v>
      </c>
      <c r="P429" s="47">
        <v>1</v>
      </c>
      <c r="Q429" s="47">
        <v>1</v>
      </c>
      <c r="R429" s="47">
        <v>0</v>
      </c>
      <c r="S429" s="47">
        <v>0</v>
      </c>
      <c r="T429" s="47">
        <v>0</v>
      </c>
      <c r="U429" s="47">
        <v>0</v>
      </c>
      <c r="V429" s="47">
        <v>0</v>
      </c>
      <c r="W429" s="47">
        <v>0</v>
      </c>
      <c r="X429" s="47">
        <v>0</v>
      </c>
      <c r="Y429" s="47">
        <v>0</v>
      </c>
      <c r="Z429" s="47">
        <v>0</v>
      </c>
      <c r="AA429" s="47">
        <v>0</v>
      </c>
      <c r="AB429" s="47">
        <v>0</v>
      </c>
      <c r="AC429" s="47">
        <v>0</v>
      </c>
      <c r="AD429" s="47">
        <v>0</v>
      </c>
      <c r="AE429" s="47">
        <v>0</v>
      </c>
      <c r="AF429" s="47">
        <v>0</v>
      </c>
      <c r="AG429" s="47">
        <v>0</v>
      </c>
      <c r="AH429" s="47">
        <v>0</v>
      </c>
      <c r="AI429" s="47">
        <v>0</v>
      </c>
      <c r="AJ429" s="47">
        <v>0</v>
      </c>
      <c r="AK429" s="47">
        <v>0</v>
      </c>
      <c r="AL429" s="47">
        <v>0</v>
      </c>
      <c r="AM429" s="47">
        <v>0</v>
      </c>
      <c r="AN429" s="47">
        <v>0</v>
      </c>
      <c r="AO429" s="47">
        <v>0</v>
      </c>
      <c r="AP429" s="47">
        <v>0</v>
      </c>
      <c r="AQ429" s="47">
        <v>0</v>
      </c>
      <c r="AR429" s="47">
        <v>0</v>
      </c>
      <c r="AS429" s="47">
        <v>0</v>
      </c>
      <c r="AT429" s="47">
        <v>0</v>
      </c>
      <c r="AU429" s="47">
        <v>0</v>
      </c>
      <c r="AV429" s="47">
        <v>0</v>
      </c>
      <c r="AW429" s="47">
        <v>0</v>
      </c>
      <c r="AX429" s="47">
        <v>0</v>
      </c>
      <c r="AY429" s="47">
        <v>0</v>
      </c>
      <c r="AZ429" s="47">
        <v>0</v>
      </c>
      <c r="BA429" s="47">
        <v>0</v>
      </c>
      <c r="BB429" s="47">
        <v>0</v>
      </c>
      <c r="BC429" s="47">
        <v>0</v>
      </c>
      <c r="BD429" s="47">
        <v>0</v>
      </c>
      <c r="BE429" s="47">
        <v>0</v>
      </c>
      <c r="BF429" s="47">
        <v>0</v>
      </c>
      <c r="BG429" s="47">
        <v>0</v>
      </c>
      <c r="BH429" s="47">
        <v>0</v>
      </c>
      <c r="BI429" s="47">
        <v>0</v>
      </c>
      <c r="BJ429" s="47">
        <v>0</v>
      </c>
      <c r="BK429" s="47">
        <v>0</v>
      </c>
      <c r="BL429" s="47">
        <v>0</v>
      </c>
      <c r="BM429" s="47">
        <v>0</v>
      </c>
      <c r="BN429" s="47">
        <v>0</v>
      </c>
      <c r="BO429" s="47">
        <v>0</v>
      </c>
      <c r="BP429" s="47">
        <v>0</v>
      </c>
      <c r="BQ429" s="47">
        <v>0</v>
      </c>
      <c r="BR429" s="47">
        <v>0</v>
      </c>
      <c r="BS429" s="47">
        <v>0</v>
      </c>
      <c r="BT429" s="47">
        <v>0</v>
      </c>
      <c r="BU429" s="47">
        <v>0</v>
      </c>
      <c r="BV429" s="47">
        <v>0</v>
      </c>
      <c r="BW429" s="47">
        <v>0</v>
      </c>
      <c r="BX429" s="47">
        <v>0</v>
      </c>
      <c r="BY429" s="47">
        <v>0</v>
      </c>
      <c r="BZ429" s="47">
        <v>0</v>
      </c>
      <c r="CA429" s="47">
        <v>0</v>
      </c>
      <c r="CB429" s="47">
        <v>0</v>
      </c>
      <c r="CC429" s="47">
        <v>0</v>
      </c>
      <c r="CD429" s="47">
        <v>0</v>
      </c>
      <c r="CE429" s="47">
        <v>0</v>
      </c>
      <c r="CF429" s="47">
        <v>0</v>
      </c>
      <c r="CG429" s="47">
        <v>0</v>
      </c>
      <c r="CH429" s="47">
        <v>0</v>
      </c>
      <c r="CI429" s="47">
        <v>0</v>
      </c>
      <c r="CJ429" s="47">
        <v>0</v>
      </c>
      <c r="CK429" s="47">
        <v>0</v>
      </c>
      <c r="CL429" s="47">
        <v>0</v>
      </c>
      <c r="CM429" s="47">
        <v>0</v>
      </c>
      <c r="CN429" s="47">
        <v>0</v>
      </c>
      <c r="CO429" s="47">
        <v>0</v>
      </c>
      <c r="CP429" s="47">
        <v>0</v>
      </c>
      <c r="CQ429" s="47">
        <v>0</v>
      </c>
      <c r="CR429" s="47">
        <v>0</v>
      </c>
      <c r="CS429" s="47">
        <v>0</v>
      </c>
      <c r="CT429" s="47">
        <v>0</v>
      </c>
      <c r="CU429" s="47">
        <v>0</v>
      </c>
      <c r="CV429" s="47">
        <v>0</v>
      </c>
      <c r="CW429" s="47">
        <v>0</v>
      </c>
      <c r="CX429" s="47">
        <v>0</v>
      </c>
      <c r="CY429" s="47">
        <v>0</v>
      </c>
      <c r="CZ429" s="47">
        <v>0</v>
      </c>
      <c r="DA429" s="47">
        <v>0</v>
      </c>
      <c r="DB429" s="47">
        <v>0</v>
      </c>
      <c r="DC429" s="47">
        <v>0</v>
      </c>
      <c r="DD429" s="47">
        <v>0</v>
      </c>
      <c r="DE429" s="47">
        <v>0</v>
      </c>
      <c r="DF429" s="47">
        <v>0</v>
      </c>
      <c r="DG429" s="47">
        <v>0</v>
      </c>
      <c r="DH429" s="47">
        <v>0</v>
      </c>
      <c r="DI429" s="47">
        <v>0</v>
      </c>
      <c r="DJ429" s="47">
        <v>0</v>
      </c>
      <c r="DK429" s="47">
        <v>0</v>
      </c>
      <c r="DL429" s="47">
        <v>0</v>
      </c>
      <c r="DM429" s="47">
        <v>0</v>
      </c>
      <c r="DN429" s="47">
        <v>0</v>
      </c>
      <c r="DO429" s="47">
        <v>0</v>
      </c>
      <c r="DP429" s="47">
        <v>0</v>
      </c>
      <c r="DQ429" s="47">
        <v>0</v>
      </c>
      <c r="DR429" s="47">
        <v>0</v>
      </c>
      <c r="DS429" s="47">
        <v>0</v>
      </c>
      <c r="DT429" s="47">
        <v>0</v>
      </c>
    </row>
    <row r="430" spans="1:126" x14ac:dyDescent="0.25">
      <c r="A430" s="47" t="s">
        <v>2051</v>
      </c>
      <c r="B430" s="47" t="s">
        <v>153</v>
      </c>
      <c r="C430" s="47" t="s">
        <v>2052</v>
      </c>
      <c r="D430" s="47" t="s">
        <v>2053</v>
      </c>
      <c r="E430" s="47" t="s">
        <v>2054</v>
      </c>
      <c r="F430" s="47" t="s">
        <v>698</v>
      </c>
      <c r="G430" s="47" t="s">
        <v>699</v>
      </c>
      <c r="H430" s="47" t="str">
        <f>=IFERROR(VLOOKUP(A430,'ETPT Format DDG'!A:J,10,FALSE),"")</f>
        <v>0</v>
      </c>
      <c r="I430" s="47" t="str">
        <f>='ETPT Format DDG'!M430</f>
        <v/>
      </c>
      <c r="J430" s="47" t="str">
        <f>='ETPT Format DDG'!D430</f>
        <v/>
      </c>
      <c r="K430" s="47" t="s">
        <v>157</v>
      </c>
      <c r="L430" s="47" t="s">
        <v>593</v>
      </c>
      <c r="M430" s="47"/>
      <c r="N430" s="47">
        <v>1</v>
      </c>
      <c r="O430" s="47">
        <v>1</v>
      </c>
      <c r="P430" s="47">
        <v>0</v>
      </c>
      <c r="Q430" s="47">
        <v>0</v>
      </c>
      <c r="R430" s="47">
        <v>0</v>
      </c>
      <c r="S430" s="47">
        <v>0</v>
      </c>
      <c r="T430" s="47">
        <v>0</v>
      </c>
      <c r="U430" s="47">
        <v>0</v>
      </c>
      <c r="V430" s="47">
        <v>0</v>
      </c>
      <c r="W430" s="47">
        <v>0</v>
      </c>
      <c r="X430" s="47">
        <v>0</v>
      </c>
      <c r="Y430" s="47">
        <v>0</v>
      </c>
      <c r="Z430" s="47">
        <v>0</v>
      </c>
      <c r="AA430" s="47">
        <v>0</v>
      </c>
      <c r="AB430" s="47">
        <v>0</v>
      </c>
      <c r="AC430" s="47">
        <v>0</v>
      </c>
      <c r="AD430" s="47">
        <v>0</v>
      </c>
      <c r="AE430" s="47">
        <v>0</v>
      </c>
      <c r="AF430" s="47">
        <v>0</v>
      </c>
      <c r="AG430" s="47">
        <v>0</v>
      </c>
      <c r="AH430" s="47">
        <v>0</v>
      </c>
      <c r="AI430" s="47">
        <v>0</v>
      </c>
      <c r="AJ430" s="47">
        <v>0</v>
      </c>
      <c r="AK430" s="47">
        <v>0</v>
      </c>
      <c r="AL430" s="47">
        <v>0</v>
      </c>
      <c r="AM430" s="47">
        <v>0</v>
      </c>
      <c r="AN430" s="47">
        <v>0</v>
      </c>
      <c r="AO430" s="47">
        <v>0</v>
      </c>
      <c r="AP430" s="47">
        <v>0</v>
      </c>
      <c r="AQ430" s="47">
        <v>0</v>
      </c>
      <c r="AR430" s="47">
        <v>0</v>
      </c>
      <c r="AS430" s="47">
        <v>0</v>
      </c>
      <c r="AT430" s="47">
        <v>0</v>
      </c>
      <c r="AU430" s="47">
        <v>0</v>
      </c>
      <c r="AV430" s="47">
        <v>0</v>
      </c>
      <c r="AW430" s="47">
        <v>0</v>
      </c>
      <c r="AX430" s="47">
        <v>0</v>
      </c>
      <c r="AY430" s="47">
        <v>0</v>
      </c>
      <c r="AZ430" s="47">
        <v>0</v>
      </c>
      <c r="BA430" s="47">
        <v>0</v>
      </c>
      <c r="BB430" s="47">
        <v>0</v>
      </c>
      <c r="BC430" s="47">
        <v>0</v>
      </c>
      <c r="BD430" s="47">
        <v>0</v>
      </c>
      <c r="BE430" s="47">
        <v>0</v>
      </c>
      <c r="BF430" s="47">
        <v>0</v>
      </c>
      <c r="BG430" s="47">
        <v>0</v>
      </c>
      <c r="BH430" s="47">
        <v>0</v>
      </c>
      <c r="BI430" s="47">
        <v>0</v>
      </c>
      <c r="BJ430" s="47">
        <v>0</v>
      </c>
      <c r="BK430" s="47">
        <v>0</v>
      </c>
      <c r="BL430" s="47">
        <v>0</v>
      </c>
      <c r="BM430" s="47">
        <v>0</v>
      </c>
      <c r="BN430" s="47">
        <v>0</v>
      </c>
      <c r="BO430" s="47">
        <v>1</v>
      </c>
      <c r="BP430" s="47">
        <v>0</v>
      </c>
      <c r="BQ430" s="47">
        <v>0</v>
      </c>
      <c r="BR430" s="47">
        <v>0</v>
      </c>
      <c r="BS430" s="47">
        <v>0</v>
      </c>
      <c r="BT430" s="47">
        <v>0</v>
      </c>
      <c r="BU430" s="47">
        <v>0</v>
      </c>
      <c r="BV430" s="47">
        <v>0</v>
      </c>
      <c r="BW430" s="47">
        <v>0</v>
      </c>
      <c r="BX430" s="47">
        <v>0.4</v>
      </c>
      <c r="BY430" s="47">
        <v>0</v>
      </c>
      <c r="BZ430" s="47">
        <v>0.6</v>
      </c>
      <c r="CA430" s="47">
        <v>0</v>
      </c>
      <c r="CB430" s="47">
        <v>0</v>
      </c>
      <c r="CC430" s="47">
        <v>0</v>
      </c>
      <c r="CD430" s="47">
        <v>0</v>
      </c>
      <c r="CE430" s="47">
        <v>0</v>
      </c>
      <c r="CF430" s="47">
        <v>0</v>
      </c>
      <c r="CG430" s="47">
        <v>0</v>
      </c>
      <c r="CH430" s="47">
        <v>0</v>
      </c>
      <c r="CI430" s="47">
        <v>0</v>
      </c>
      <c r="CJ430" s="47">
        <v>0</v>
      </c>
      <c r="CK430" s="47">
        <v>0</v>
      </c>
      <c r="CL430" s="47">
        <v>0</v>
      </c>
      <c r="CM430" s="47">
        <v>0</v>
      </c>
      <c r="CN430" s="47">
        <v>0</v>
      </c>
      <c r="CO430" s="47">
        <v>0</v>
      </c>
      <c r="CP430" s="47">
        <v>0</v>
      </c>
      <c r="CQ430" s="47">
        <v>0</v>
      </c>
      <c r="CR430" s="47">
        <v>0</v>
      </c>
      <c r="CS430" s="47">
        <v>0</v>
      </c>
      <c r="CT430" s="47">
        <v>0</v>
      </c>
      <c r="CU430" s="47">
        <v>0</v>
      </c>
      <c r="CV430" s="47">
        <v>0</v>
      </c>
      <c r="CW430" s="47">
        <v>0</v>
      </c>
      <c r="CX430" s="47">
        <v>0</v>
      </c>
      <c r="CY430" s="47">
        <v>0</v>
      </c>
      <c r="CZ430" s="47">
        <v>0</v>
      </c>
      <c r="DA430" s="47">
        <v>0</v>
      </c>
      <c r="DB430" s="47">
        <v>0</v>
      </c>
      <c r="DC430" s="47">
        <v>0</v>
      </c>
      <c r="DD430" s="47">
        <v>0</v>
      </c>
      <c r="DE430" s="47">
        <v>0</v>
      </c>
      <c r="DF430" s="47">
        <v>0</v>
      </c>
      <c r="DG430" s="47">
        <v>0</v>
      </c>
      <c r="DH430" s="47">
        <v>0</v>
      </c>
      <c r="DI430" s="47">
        <v>0</v>
      </c>
      <c r="DJ430" s="47">
        <v>0</v>
      </c>
      <c r="DK430" s="47">
        <v>0</v>
      </c>
      <c r="DL430" s="47">
        <v>0</v>
      </c>
      <c r="DM430" s="47">
        <v>0</v>
      </c>
      <c r="DN430" s="47">
        <v>0</v>
      </c>
      <c r="DO430" s="47">
        <v>0</v>
      </c>
      <c r="DP430" s="47">
        <v>0</v>
      </c>
      <c r="DQ430" s="47">
        <v>0</v>
      </c>
      <c r="DR430" s="47">
        <v>0</v>
      </c>
      <c r="DS430" s="47">
        <v>0</v>
      </c>
      <c r="DT430" s="47">
        <v>0</v>
      </c>
    </row>
    <row r="431" spans="1:126" x14ac:dyDescent="0.25">
      <c r="A431" s="47" t="s">
        <v>2055</v>
      </c>
      <c r="B431" s="47" t="s">
        <v>153</v>
      </c>
      <c r="C431" s="47" t="s">
        <v>2056</v>
      </c>
      <c r="D431" s="47" t="s">
        <v>2057</v>
      </c>
      <c r="E431" s="47" t="s">
        <v>2058</v>
      </c>
      <c r="F431" s="47" t="s">
        <v>698</v>
      </c>
      <c r="G431" s="47" t="s">
        <v>727</v>
      </c>
      <c r="H431" s="47" t="str">
        <f>=IFERROR(VLOOKUP(A431,'ETPT Format DDG'!A:J,10,FALSE),"")</f>
        <v>0</v>
      </c>
      <c r="I431" s="47" t="str">
        <f>='ETPT Format DDG'!M431</f>
        <v/>
      </c>
      <c r="J431" s="47" t="str">
        <f>='ETPT Format DDG'!D431</f>
        <v/>
      </c>
      <c r="K431" s="47" t="s">
        <v>157</v>
      </c>
      <c r="L431" s="47" t="s">
        <v>1053</v>
      </c>
      <c r="M431" s="47"/>
      <c r="N431" s="47">
        <v>1</v>
      </c>
      <c r="O431" s="47">
        <v>0</v>
      </c>
      <c r="P431" s="47">
        <v>0</v>
      </c>
      <c r="Q431" s="47">
        <v>0</v>
      </c>
      <c r="R431" s="47">
        <v>0</v>
      </c>
      <c r="S431" s="47">
        <v>0</v>
      </c>
      <c r="T431" s="47">
        <v>0</v>
      </c>
      <c r="U431" s="47">
        <v>0</v>
      </c>
      <c r="V431" s="47">
        <v>0</v>
      </c>
      <c r="W431" s="47">
        <v>0</v>
      </c>
      <c r="X431" s="47">
        <v>0</v>
      </c>
      <c r="Y431" s="47">
        <v>0</v>
      </c>
      <c r="Z431" s="47">
        <v>0</v>
      </c>
      <c r="AA431" s="47">
        <v>0</v>
      </c>
      <c r="AB431" s="47">
        <v>0</v>
      </c>
      <c r="AC431" s="47">
        <v>0</v>
      </c>
      <c r="AD431" s="47">
        <v>0</v>
      </c>
      <c r="AE431" s="47">
        <v>0</v>
      </c>
      <c r="AF431" s="47">
        <v>0</v>
      </c>
      <c r="AG431" s="47">
        <v>0</v>
      </c>
      <c r="AH431" s="47">
        <v>0</v>
      </c>
      <c r="AI431" s="47">
        <v>0</v>
      </c>
      <c r="AJ431" s="47">
        <v>0</v>
      </c>
      <c r="AK431" s="47">
        <v>0</v>
      </c>
      <c r="AL431" s="47">
        <v>0</v>
      </c>
      <c r="AM431" s="47">
        <v>0</v>
      </c>
      <c r="AN431" s="47">
        <v>0</v>
      </c>
      <c r="AO431" s="47">
        <v>0</v>
      </c>
      <c r="AP431" s="47">
        <v>0</v>
      </c>
      <c r="AQ431" s="47">
        <v>0</v>
      </c>
      <c r="AR431" s="47">
        <v>0</v>
      </c>
      <c r="AS431" s="47">
        <v>0</v>
      </c>
      <c r="AT431" s="47">
        <v>0</v>
      </c>
      <c r="AU431" s="47">
        <v>0</v>
      </c>
      <c r="AV431" s="47">
        <v>0</v>
      </c>
      <c r="AW431" s="47">
        <v>0</v>
      </c>
      <c r="AX431" s="47">
        <v>0</v>
      </c>
      <c r="AY431" s="47">
        <v>0</v>
      </c>
      <c r="AZ431" s="47">
        <v>0</v>
      </c>
      <c r="BA431" s="47">
        <v>0</v>
      </c>
      <c r="BB431" s="47">
        <v>0</v>
      </c>
      <c r="BC431" s="47">
        <v>0</v>
      </c>
      <c r="BD431" s="47">
        <v>0</v>
      </c>
      <c r="BE431" s="47">
        <v>0</v>
      </c>
      <c r="BF431" s="47">
        <v>0</v>
      </c>
      <c r="BG431" s="47">
        <v>0</v>
      </c>
      <c r="BH431" s="47">
        <v>0</v>
      </c>
      <c r="BI431" s="47">
        <v>0</v>
      </c>
      <c r="BJ431" s="47">
        <v>0</v>
      </c>
      <c r="BK431" s="47">
        <v>0</v>
      </c>
      <c r="BL431" s="47">
        <v>0</v>
      </c>
      <c r="BM431" s="47">
        <v>0</v>
      </c>
      <c r="BN431" s="47">
        <v>0</v>
      </c>
      <c r="BO431" s="47">
        <v>0</v>
      </c>
      <c r="BP431" s="47">
        <v>0</v>
      </c>
      <c r="BQ431" s="47">
        <v>0</v>
      </c>
      <c r="BR431" s="47">
        <v>0</v>
      </c>
      <c r="BS431" s="47">
        <v>0</v>
      </c>
      <c r="BT431" s="47">
        <v>0</v>
      </c>
      <c r="BU431" s="47">
        <v>0</v>
      </c>
      <c r="BV431" s="47">
        <v>0</v>
      </c>
      <c r="BW431" s="47">
        <v>0</v>
      </c>
      <c r="BX431" s="47">
        <v>0</v>
      </c>
      <c r="BY431" s="47">
        <v>0</v>
      </c>
      <c r="BZ431" s="47">
        <v>0</v>
      </c>
      <c r="CA431" s="47">
        <v>0</v>
      </c>
      <c r="CB431" s="47">
        <v>0</v>
      </c>
      <c r="CC431" s="47">
        <v>0</v>
      </c>
      <c r="CD431" s="47">
        <v>0</v>
      </c>
      <c r="CE431" s="47">
        <v>0</v>
      </c>
      <c r="CF431" s="47">
        <v>0</v>
      </c>
      <c r="CG431" s="47">
        <v>0</v>
      </c>
      <c r="CH431" s="47">
        <v>0</v>
      </c>
      <c r="CI431" s="47">
        <v>0</v>
      </c>
      <c r="CJ431" s="47">
        <v>0</v>
      </c>
      <c r="CK431" s="47">
        <v>0</v>
      </c>
      <c r="CL431" s="47">
        <v>0</v>
      </c>
      <c r="CM431" s="47">
        <v>0</v>
      </c>
      <c r="CN431" s="47">
        <v>0</v>
      </c>
      <c r="CO431" s="47">
        <v>0</v>
      </c>
      <c r="CP431" s="47">
        <v>0</v>
      </c>
      <c r="CQ431" s="47">
        <v>0</v>
      </c>
      <c r="CR431" s="47">
        <v>0</v>
      </c>
      <c r="CS431" s="47">
        <v>0</v>
      </c>
      <c r="CT431" s="47">
        <v>0</v>
      </c>
      <c r="CU431" s="47">
        <v>0</v>
      </c>
      <c r="CV431" s="47">
        <v>0</v>
      </c>
      <c r="CW431" s="47">
        <v>0</v>
      </c>
      <c r="CX431" s="47">
        <v>0</v>
      </c>
      <c r="CY431" s="47">
        <v>0</v>
      </c>
      <c r="CZ431" s="47">
        <v>0</v>
      </c>
      <c r="DA431" s="47">
        <v>0</v>
      </c>
      <c r="DB431" s="47">
        <v>0</v>
      </c>
      <c r="DC431" s="47">
        <v>0</v>
      </c>
      <c r="DD431" s="47">
        <v>0</v>
      </c>
      <c r="DE431" s="47">
        <v>0</v>
      </c>
      <c r="DF431" s="47">
        <v>0</v>
      </c>
      <c r="DG431" s="47">
        <v>0</v>
      </c>
      <c r="DH431" s="47">
        <v>0</v>
      </c>
      <c r="DI431" s="47">
        <v>0</v>
      </c>
      <c r="DJ431" s="47">
        <v>0</v>
      </c>
      <c r="DK431" s="47">
        <v>0</v>
      </c>
      <c r="DL431" s="47">
        <v>0</v>
      </c>
      <c r="DM431" s="47">
        <v>0</v>
      </c>
      <c r="DN431" s="47">
        <v>0</v>
      </c>
      <c r="DO431" s="47">
        <v>0</v>
      </c>
      <c r="DP431" s="47">
        <v>0</v>
      </c>
      <c r="DQ431" s="47">
        <v>0</v>
      </c>
      <c r="DR431" s="47">
        <v>0</v>
      </c>
      <c r="DS431" s="47">
        <v>0</v>
      </c>
      <c r="DT431" s="47">
        <v>0</v>
      </c>
    </row>
    <row r="432" spans="1:126" x14ac:dyDescent="0.25">
      <c r="A432" s="47" t="s">
        <v>2059</v>
      </c>
      <c r="B432" s="47" t="s">
        <v>153</v>
      </c>
      <c r="C432" s="47" t="s">
        <v>2060</v>
      </c>
      <c r="D432" s="47" t="s">
        <v>2061</v>
      </c>
      <c r="E432" s="47" t="s">
        <v>2062</v>
      </c>
      <c r="F432" s="47" t="s">
        <v>698</v>
      </c>
      <c r="G432" s="47" t="s">
        <v>738</v>
      </c>
      <c r="H432" s="47" t="str">
        <f>=IFERROR(VLOOKUP(A432,'ETPT Format DDG'!A:J,10,FALSE),"")</f>
        <v>0</v>
      </c>
      <c r="I432" s="47" t="str">
        <f>='ETPT Format DDG'!M432</f>
        <v/>
      </c>
      <c r="J432" s="47" t="str">
        <f>='ETPT Format DDG'!D432</f>
        <v/>
      </c>
      <c r="K432" s="47" t="s">
        <v>157</v>
      </c>
      <c r="L432" s="47" t="s">
        <v>2063</v>
      </c>
      <c r="M432" s="47"/>
      <c r="N432" s="47">
        <v>1</v>
      </c>
      <c r="O432" s="47">
        <v>1</v>
      </c>
      <c r="P432" s="47">
        <v>1</v>
      </c>
      <c r="Q432" s="47">
        <v>0</v>
      </c>
      <c r="R432" s="47">
        <v>0</v>
      </c>
      <c r="S432" s="47">
        <v>0</v>
      </c>
      <c r="T432" s="47">
        <v>0</v>
      </c>
      <c r="U432" s="47">
        <v>0</v>
      </c>
      <c r="V432" s="47">
        <v>0</v>
      </c>
      <c r="W432" s="47">
        <v>0</v>
      </c>
      <c r="X432" s="47">
        <v>0</v>
      </c>
      <c r="Y432" s="47">
        <v>0</v>
      </c>
      <c r="Z432" s="47">
        <v>0</v>
      </c>
      <c r="AA432" s="47">
        <v>0</v>
      </c>
      <c r="AB432" s="47">
        <v>0</v>
      </c>
      <c r="AC432" s="47">
        <v>0</v>
      </c>
      <c r="AD432" s="47">
        <v>0</v>
      </c>
      <c r="AE432" s="47">
        <v>0</v>
      </c>
      <c r="AF432" s="47">
        <v>0</v>
      </c>
      <c r="AG432" s="47">
        <v>0</v>
      </c>
      <c r="AH432" s="47">
        <v>0</v>
      </c>
      <c r="AI432" s="47">
        <v>0</v>
      </c>
      <c r="AJ432" s="47">
        <v>0</v>
      </c>
      <c r="AK432" s="47">
        <v>0</v>
      </c>
      <c r="AL432" s="47">
        <v>0</v>
      </c>
      <c r="AM432" s="47">
        <v>0</v>
      </c>
      <c r="AN432" s="47">
        <v>0</v>
      </c>
      <c r="AO432" s="47">
        <v>0</v>
      </c>
      <c r="AP432" s="47">
        <v>0</v>
      </c>
      <c r="AQ432" s="47">
        <v>0</v>
      </c>
      <c r="AR432" s="47">
        <v>0</v>
      </c>
      <c r="AS432" s="47">
        <v>0</v>
      </c>
      <c r="AT432" s="47">
        <v>0</v>
      </c>
      <c r="AU432" s="47">
        <v>0</v>
      </c>
      <c r="AV432" s="47">
        <v>0</v>
      </c>
      <c r="AW432" s="47">
        <v>0</v>
      </c>
      <c r="AX432" s="47">
        <v>0</v>
      </c>
      <c r="AY432" s="47">
        <v>0</v>
      </c>
      <c r="AZ432" s="47">
        <v>0</v>
      </c>
      <c r="BA432" s="47">
        <v>0</v>
      </c>
      <c r="BB432" s="47">
        <v>0</v>
      </c>
      <c r="BC432" s="47">
        <v>0</v>
      </c>
      <c r="BD432" s="47">
        <v>0</v>
      </c>
      <c r="BE432" s="47">
        <v>0</v>
      </c>
      <c r="BF432" s="47">
        <v>0</v>
      </c>
      <c r="BG432" s="47">
        <v>0</v>
      </c>
      <c r="BH432" s="47">
        <v>0</v>
      </c>
      <c r="BI432" s="47">
        <v>0</v>
      </c>
      <c r="BJ432" s="47">
        <v>0</v>
      </c>
      <c r="BK432" s="47">
        <v>0</v>
      </c>
      <c r="BL432" s="47">
        <v>0</v>
      </c>
      <c r="BM432" s="47">
        <v>0</v>
      </c>
      <c r="BN432" s="47">
        <v>0</v>
      </c>
      <c r="BO432" s="47">
        <v>0</v>
      </c>
      <c r="BP432" s="47">
        <v>0</v>
      </c>
      <c r="BQ432" s="47">
        <v>0</v>
      </c>
      <c r="BR432" s="47">
        <v>0</v>
      </c>
      <c r="BS432" s="47">
        <v>0</v>
      </c>
      <c r="BT432" s="47">
        <v>0</v>
      </c>
      <c r="BU432" s="47">
        <v>0</v>
      </c>
      <c r="BV432" s="47">
        <v>0</v>
      </c>
      <c r="BW432" s="47">
        <v>0</v>
      </c>
      <c r="BX432" s="47">
        <v>0</v>
      </c>
      <c r="BY432" s="47">
        <v>0</v>
      </c>
      <c r="BZ432" s="47">
        <v>0</v>
      </c>
      <c r="CA432" s="47">
        <v>0</v>
      </c>
      <c r="CB432" s="47">
        <v>0</v>
      </c>
      <c r="CC432" s="47">
        <v>0</v>
      </c>
      <c r="CD432" s="47">
        <v>0</v>
      </c>
      <c r="CE432" s="47">
        <v>0</v>
      </c>
      <c r="CF432" s="47">
        <v>0</v>
      </c>
      <c r="CG432" s="47">
        <v>0</v>
      </c>
      <c r="CH432" s="47">
        <v>0</v>
      </c>
      <c r="CI432" s="47">
        <v>0</v>
      </c>
      <c r="CJ432" s="47">
        <v>0</v>
      </c>
      <c r="CK432" s="47">
        <v>0</v>
      </c>
      <c r="CL432" s="47">
        <v>0</v>
      </c>
      <c r="CM432" s="47">
        <v>0</v>
      </c>
      <c r="CN432" s="47">
        <v>0</v>
      </c>
      <c r="CO432" s="47">
        <v>0</v>
      </c>
      <c r="CP432" s="47">
        <v>0</v>
      </c>
      <c r="CQ432" s="47">
        <v>0</v>
      </c>
      <c r="CR432" s="47">
        <v>0</v>
      </c>
      <c r="CS432" s="47">
        <v>0</v>
      </c>
      <c r="CT432" s="47">
        <v>0</v>
      </c>
      <c r="CU432" s="47">
        <v>0</v>
      </c>
      <c r="CV432" s="47">
        <v>0</v>
      </c>
      <c r="CW432" s="47">
        <v>0</v>
      </c>
      <c r="CX432" s="47">
        <v>0</v>
      </c>
      <c r="CY432" s="47">
        <v>0</v>
      </c>
      <c r="CZ432" s="47">
        <v>0</v>
      </c>
      <c r="DA432" s="47">
        <v>0</v>
      </c>
      <c r="DB432" s="47">
        <v>0</v>
      </c>
      <c r="DC432" s="47">
        <v>0</v>
      </c>
      <c r="DD432" s="47">
        <v>0</v>
      </c>
      <c r="DE432" s="47">
        <v>0</v>
      </c>
      <c r="DF432" s="47">
        <v>0</v>
      </c>
      <c r="DG432" s="47">
        <v>0</v>
      </c>
      <c r="DH432" s="47">
        <v>0</v>
      </c>
      <c r="DI432" s="47">
        <v>0</v>
      </c>
      <c r="DJ432" s="47">
        <v>0</v>
      </c>
      <c r="DK432" s="47">
        <v>0</v>
      </c>
      <c r="DL432" s="47">
        <v>0</v>
      </c>
      <c r="DM432" s="47">
        <v>0</v>
      </c>
      <c r="DN432" s="47">
        <v>0</v>
      </c>
      <c r="DO432" s="47">
        <v>0</v>
      </c>
      <c r="DP432" s="47">
        <v>0</v>
      </c>
      <c r="DQ432" s="47">
        <v>0</v>
      </c>
      <c r="DR432" s="47">
        <v>0</v>
      </c>
      <c r="DS432" s="47">
        <v>0</v>
      </c>
      <c r="DT432" s="47">
        <v>0</v>
      </c>
    </row>
    <row r="433" spans="1:126" x14ac:dyDescent="0.25">
      <c r="A433" s="47" t="s">
        <v>2064</v>
      </c>
      <c r="B433" s="47" t="s">
        <v>153</v>
      </c>
      <c r="C433" s="47" t="s">
        <v>2065</v>
      </c>
      <c r="D433" s="47" t="s">
        <v>2066</v>
      </c>
      <c r="E433" s="47" t="s">
        <v>2067</v>
      </c>
      <c r="F433" s="47" t="s">
        <v>698</v>
      </c>
      <c r="G433" s="47" t="s">
        <v>705</v>
      </c>
      <c r="H433" s="47" t="str">
        <f>=IFERROR(VLOOKUP(A433,'ETPT Format DDG'!A:J,10,FALSE),"")</f>
        <v>0</v>
      </c>
      <c r="I433" s="47" t="str">
        <f>='ETPT Format DDG'!M433</f>
        <v/>
      </c>
      <c r="J433" s="47" t="str">
        <f>='ETPT Format DDG'!D433</f>
        <v/>
      </c>
      <c r="K433" s="47" t="s">
        <v>157</v>
      </c>
      <c r="L433" s="47" t="s">
        <v>1586</v>
      </c>
      <c r="M433" s="47"/>
      <c r="N433" s="47">
        <v>1</v>
      </c>
      <c r="O433" s="47">
        <v>0</v>
      </c>
      <c r="P433" s="47">
        <v>0</v>
      </c>
      <c r="Q433" s="47">
        <v>0</v>
      </c>
      <c r="R433" s="47">
        <v>0</v>
      </c>
      <c r="S433" s="47">
        <v>0</v>
      </c>
      <c r="T433" s="47">
        <v>0</v>
      </c>
      <c r="U433" s="47">
        <v>0</v>
      </c>
      <c r="V433" s="47">
        <v>0</v>
      </c>
      <c r="W433" s="47">
        <v>0</v>
      </c>
      <c r="X433" s="47">
        <v>0</v>
      </c>
      <c r="Y433" s="47">
        <v>0</v>
      </c>
      <c r="Z433" s="47">
        <v>0</v>
      </c>
      <c r="AA433" s="47">
        <v>0</v>
      </c>
      <c r="AB433" s="47">
        <v>0</v>
      </c>
      <c r="AC433" s="47">
        <v>0</v>
      </c>
      <c r="AD433" s="47">
        <v>0</v>
      </c>
      <c r="AE433" s="47">
        <v>0</v>
      </c>
      <c r="AF433" s="47">
        <v>0</v>
      </c>
      <c r="AG433" s="47">
        <v>0</v>
      </c>
      <c r="AH433" s="47">
        <v>0</v>
      </c>
      <c r="AI433" s="47">
        <v>0</v>
      </c>
      <c r="AJ433" s="47">
        <v>0</v>
      </c>
      <c r="AK433" s="47">
        <v>0</v>
      </c>
      <c r="AL433" s="47">
        <v>0</v>
      </c>
      <c r="AM433" s="47">
        <v>0</v>
      </c>
      <c r="AN433" s="47">
        <v>0</v>
      </c>
      <c r="AO433" s="47">
        <v>0</v>
      </c>
      <c r="AP433" s="47">
        <v>0</v>
      </c>
      <c r="AQ433" s="47">
        <v>0</v>
      </c>
      <c r="AR433" s="47">
        <v>0</v>
      </c>
      <c r="AS433" s="47">
        <v>0</v>
      </c>
      <c r="AT433" s="47">
        <v>0</v>
      </c>
      <c r="AU433" s="47">
        <v>0</v>
      </c>
      <c r="AV433" s="47">
        <v>0</v>
      </c>
      <c r="AW433" s="47">
        <v>0</v>
      </c>
      <c r="AX433" s="47">
        <v>0</v>
      </c>
      <c r="AY433" s="47">
        <v>0</v>
      </c>
      <c r="AZ433" s="47">
        <v>0</v>
      </c>
      <c r="BA433" s="47">
        <v>0</v>
      </c>
      <c r="BB433" s="47">
        <v>0</v>
      </c>
      <c r="BC433" s="47">
        <v>0</v>
      </c>
      <c r="BD433" s="47">
        <v>0</v>
      </c>
      <c r="BE433" s="47">
        <v>0</v>
      </c>
      <c r="BF433" s="47">
        <v>0</v>
      </c>
      <c r="BG433" s="47">
        <v>0</v>
      </c>
      <c r="BH433" s="47">
        <v>0</v>
      </c>
      <c r="BI433" s="47">
        <v>0</v>
      </c>
      <c r="BJ433" s="47">
        <v>0</v>
      </c>
      <c r="BK433" s="47">
        <v>0</v>
      </c>
      <c r="BL433" s="47">
        <v>0</v>
      </c>
      <c r="BM433" s="47">
        <v>0</v>
      </c>
      <c r="BN433" s="47">
        <v>0</v>
      </c>
      <c r="BO433" s="47">
        <v>0</v>
      </c>
      <c r="BP433" s="47">
        <v>0</v>
      </c>
      <c r="BQ433" s="47">
        <v>0</v>
      </c>
      <c r="BR433" s="47">
        <v>0</v>
      </c>
      <c r="BS433" s="47">
        <v>0</v>
      </c>
      <c r="BT433" s="47">
        <v>0</v>
      </c>
      <c r="BU433" s="47">
        <v>0</v>
      </c>
      <c r="BV433" s="47">
        <v>0</v>
      </c>
      <c r="BW433" s="47">
        <v>0</v>
      </c>
      <c r="BX433" s="47">
        <v>0</v>
      </c>
      <c r="BY433" s="47">
        <v>0</v>
      </c>
      <c r="BZ433" s="47">
        <v>0</v>
      </c>
      <c r="CA433" s="47">
        <v>0</v>
      </c>
      <c r="CB433" s="47">
        <v>0</v>
      </c>
      <c r="CC433" s="47">
        <v>0</v>
      </c>
      <c r="CD433" s="47">
        <v>0</v>
      </c>
      <c r="CE433" s="47">
        <v>0</v>
      </c>
      <c r="CF433" s="47">
        <v>0</v>
      </c>
      <c r="CG433" s="47">
        <v>0</v>
      </c>
      <c r="CH433" s="47">
        <v>0</v>
      </c>
      <c r="CI433" s="47">
        <v>0</v>
      </c>
      <c r="CJ433" s="47">
        <v>0</v>
      </c>
      <c r="CK433" s="47">
        <v>0</v>
      </c>
      <c r="CL433" s="47">
        <v>0</v>
      </c>
      <c r="CM433" s="47">
        <v>0</v>
      </c>
      <c r="CN433" s="47">
        <v>0</v>
      </c>
      <c r="CO433" s="47">
        <v>0</v>
      </c>
      <c r="CP433" s="47">
        <v>0</v>
      </c>
      <c r="CQ433" s="47">
        <v>0</v>
      </c>
      <c r="CR433" s="47">
        <v>0</v>
      </c>
      <c r="CS433" s="47">
        <v>0</v>
      </c>
      <c r="CT433" s="47">
        <v>0</v>
      </c>
      <c r="CU433" s="47">
        <v>0</v>
      </c>
      <c r="CV433" s="47">
        <v>0</v>
      </c>
      <c r="CW433" s="47">
        <v>0</v>
      </c>
      <c r="CX433" s="47">
        <v>0</v>
      </c>
      <c r="CY433" s="47">
        <v>0</v>
      </c>
      <c r="CZ433" s="47">
        <v>0</v>
      </c>
      <c r="DA433" s="47">
        <v>0</v>
      </c>
      <c r="DB433" s="47">
        <v>0</v>
      </c>
      <c r="DC433" s="47">
        <v>0</v>
      </c>
      <c r="DD433" s="47">
        <v>0</v>
      </c>
      <c r="DE433" s="47">
        <v>0</v>
      </c>
      <c r="DF433" s="47">
        <v>0</v>
      </c>
      <c r="DG433" s="47">
        <v>0</v>
      </c>
      <c r="DH433" s="47">
        <v>0</v>
      </c>
      <c r="DI433" s="47">
        <v>0</v>
      </c>
      <c r="DJ433" s="47">
        <v>0</v>
      </c>
      <c r="DK433" s="47">
        <v>0</v>
      </c>
      <c r="DL433" s="47">
        <v>0</v>
      </c>
      <c r="DM433" s="47">
        <v>0</v>
      </c>
      <c r="DN433" s="47">
        <v>0</v>
      </c>
      <c r="DO433" s="47">
        <v>0</v>
      </c>
      <c r="DP433" s="47">
        <v>0</v>
      </c>
      <c r="DQ433" s="47">
        <v>0</v>
      </c>
      <c r="DR433" s="47">
        <v>0</v>
      </c>
      <c r="DS433" s="47">
        <v>0</v>
      </c>
      <c r="DT433" s="47">
        <v>0</v>
      </c>
    </row>
    <row r="434" spans="1:126" x14ac:dyDescent="0.25">
      <c r="A434" s="47" t="s">
        <v>2068</v>
      </c>
      <c r="B434" s="47" t="s">
        <v>153</v>
      </c>
      <c r="C434" s="47" t="s">
        <v>2069</v>
      </c>
      <c r="D434" s="47" t="s">
        <v>2070</v>
      </c>
      <c r="E434" s="47" t="s">
        <v>2071</v>
      </c>
      <c r="F434" s="47" t="s">
        <v>698</v>
      </c>
      <c r="G434" s="47" t="s">
        <v>727</v>
      </c>
      <c r="H434" s="47" t="str">
        <f>=IFERROR(VLOOKUP(A434,'ETPT Format DDG'!A:J,10,FALSE),"")</f>
        <v>0</v>
      </c>
      <c r="I434" s="47" t="str">
        <f>='ETPT Format DDG'!M434</f>
        <v/>
      </c>
      <c r="J434" s="47" t="str">
        <f>='ETPT Format DDG'!D434</f>
        <v/>
      </c>
      <c r="K434" s="47" t="s">
        <v>157</v>
      </c>
      <c r="L434" s="47" t="s">
        <v>902</v>
      </c>
      <c r="M434" s="47"/>
      <c r="N434" s="47">
        <v>1</v>
      </c>
      <c r="O434" s="47">
        <v>0</v>
      </c>
      <c r="P434" s="47">
        <v>0</v>
      </c>
      <c r="Q434" s="47">
        <v>0</v>
      </c>
      <c r="R434" s="47">
        <v>0</v>
      </c>
      <c r="S434" s="47">
        <v>0</v>
      </c>
      <c r="T434" s="47">
        <v>0</v>
      </c>
      <c r="U434" s="47">
        <v>0</v>
      </c>
      <c r="V434" s="47">
        <v>0</v>
      </c>
      <c r="W434" s="47">
        <v>0</v>
      </c>
      <c r="X434" s="47">
        <v>0</v>
      </c>
      <c r="Y434" s="47">
        <v>0</v>
      </c>
      <c r="Z434" s="47">
        <v>0</v>
      </c>
      <c r="AA434" s="47">
        <v>0</v>
      </c>
      <c r="AB434" s="47">
        <v>0</v>
      </c>
      <c r="AC434" s="47">
        <v>0</v>
      </c>
      <c r="AD434" s="47">
        <v>0</v>
      </c>
      <c r="AE434" s="47">
        <v>0</v>
      </c>
      <c r="AF434" s="47">
        <v>0</v>
      </c>
      <c r="AG434" s="47">
        <v>0</v>
      </c>
      <c r="AH434" s="47">
        <v>0</v>
      </c>
      <c r="AI434" s="47">
        <v>0</v>
      </c>
      <c r="AJ434" s="47">
        <v>0</v>
      </c>
      <c r="AK434" s="47">
        <v>0</v>
      </c>
      <c r="AL434" s="47">
        <v>0</v>
      </c>
      <c r="AM434" s="47">
        <v>0</v>
      </c>
      <c r="AN434" s="47">
        <v>0</v>
      </c>
      <c r="AO434" s="47">
        <v>0</v>
      </c>
      <c r="AP434" s="47">
        <v>0</v>
      </c>
      <c r="AQ434" s="47">
        <v>0</v>
      </c>
      <c r="AR434" s="47">
        <v>0</v>
      </c>
      <c r="AS434" s="47">
        <v>0</v>
      </c>
      <c r="AT434" s="47">
        <v>0</v>
      </c>
      <c r="AU434" s="47">
        <v>0</v>
      </c>
      <c r="AV434" s="47">
        <v>0</v>
      </c>
      <c r="AW434" s="47">
        <v>0</v>
      </c>
      <c r="AX434" s="47">
        <v>0</v>
      </c>
      <c r="AY434" s="47">
        <v>0</v>
      </c>
      <c r="AZ434" s="47">
        <v>0</v>
      </c>
      <c r="BA434" s="47">
        <v>0</v>
      </c>
      <c r="BB434" s="47">
        <v>0</v>
      </c>
      <c r="BC434" s="47">
        <v>0</v>
      </c>
      <c r="BD434" s="47">
        <v>0</v>
      </c>
      <c r="BE434" s="47">
        <v>0</v>
      </c>
      <c r="BF434" s="47">
        <v>0</v>
      </c>
      <c r="BG434" s="47">
        <v>0</v>
      </c>
      <c r="BH434" s="47">
        <v>0</v>
      </c>
      <c r="BI434" s="47">
        <v>0</v>
      </c>
      <c r="BJ434" s="47">
        <v>0</v>
      </c>
      <c r="BK434" s="47">
        <v>0</v>
      </c>
      <c r="BL434" s="47">
        <v>0</v>
      </c>
      <c r="BM434" s="47">
        <v>0</v>
      </c>
      <c r="BN434" s="47">
        <v>0</v>
      </c>
      <c r="BO434" s="47">
        <v>0</v>
      </c>
      <c r="BP434" s="47">
        <v>0</v>
      </c>
      <c r="BQ434" s="47">
        <v>0</v>
      </c>
      <c r="BR434" s="47">
        <v>0</v>
      </c>
      <c r="BS434" s="47">
        <v>0</v>
      </c>
      <c r="BT434" s="47">
        <v>0</v>
      </c>
      <c r="BU434" s="47">
        <v>0</v>
      </c>
      <c r="BV434" s="47">
        <v>0</v>
      </c>
      <c r="BW434" s="47">
        <v>0</v>
      </c>
      <c r="BX434" s="47">
        <v>0</v>
      </c>
      <c r="BY434" s="47">
        <v>0</v>
      </c>
      <c r="BZ434" s="47">
        <v>0</v>
      </c>
      <c r="CA434" s="47">
        <v>0</v>
      </c>
      <c r="CB434" s="47">
        <v>0</v>
      </c>
      <c r="CC434" s="47">
        <v>0</v>
      </c>
      <c r="CD434" s="47">
        <v>0</v>
      </c>
      <c r="CE434" s="47">
        <v>0</v>
      </c>
      <c r="CF434" s="47">
        <v>0</v>
      </c>
      <c r="CG434" s="47">
        <v>0</v>
      </c>
      <c r="CH434" s="47">
        <v>0</v>
      </c>
      <c r="CI434" s="47">
        <v>0</v>
      </c>
      <c r="CJ434" s="47">
        <v>0</v>
      </c>
      <c r="CK434" s="47">
        <v>0</v>
      </c>
      <c r="CL434" s="47">
        <v>0</v>
      </c>
      <c r="CM434" s="47">
        <v>0</v>
      </c>
      <c r="CN434" s="47">
        <v>0</v>
      </c>
      <c r="CO434" s="47">
        <v>0</v>
      </c>
      <c r="CP434" s="47">
        <v>0</v>
      </c>
      <c r="CQ434" s="47">
        <v>0</v>
      </c>
      <c r="CR434" s="47">
        <v>0</v>
      </c>
      <c r="CS434" s="47">
        <v>0</v>
      </c>
      <c r="CT434" s="47">
        <v>0</v>
      </c>
      <c r="CU434" s="47">
        <v>0</v>
      </c>
      <c r="CV434" s="47">
        <v>0</v>
      </c>
      <c r="CW434" s="47">
        <v>0</v>
      </c>
      <c r="CX434" s="47">
        <v>0</v>
      </c>
      <c r="CY434" s="47">
        <v>0</v>
      </c>
      <c r="CZ434" s="47">
        <v>0</v>
      </c>
      <c r="DA434" s="47">
        <v>0</v>
      </c>
      <c r="DB434" s="47">
        <v>0</v>
      </c>
      <c r="DC434" s="47">
        <v>0</v>
      </c>
      <c r="DD434" s="47">
        <v>0</v>
      </c>
      <c r="DE434" s="47">
        <v>0</v>
      </c>
      <c r="DF434" s="47">
        <v>0</v>
      </c>
      <c r="DG434" s="47">
        <v>0</v>
      </c>
      <c r="DH434" s="47">
        <v>0</v>
      </c>
      <c r="DI434" s="47">
        <v>0</v>
      </c>
      <c r="DJ434" s="47">
        <v>0</v>
      </c>
      <c r="DK434" s="47">
        <v>0</v>
      </c>
      <c r="DL434" s="47">
        <v>0</v>
      </c>
      <c r="DM434" s="47">
        <v>0</v>
      </c>
      <c r="DN434" s="47">
        <v>0</v>
      </c>
      <c r="DO434" s="47">
        <v>0</v>
      </c>
      <c r="DP434" s="47">
        <v>0</v>
      </c>
      <c r="DQ434" s="47">
        <v>0</v>
      </c>
      <c r="DR434" s="47">
        <v>0</v>
      </c>
      <c r="DS434" s="47">
        <v>0</v>
      </c>
      <c r="DT434" s="47">
        <v>0</v>
      </c>
    </row>
    <row r="435" spans="1:126" x14ac:dyDescent="0.25">
      <c r="A435" s="47" t="s">
        <v>2072</v>
      </c>
      <c r="B435" s="47" t="s">
        <v>153</v>
      </c>
      <c r="C435" s="47" t="s">
        <v>2073</v>
      </c>
      <c r="D435" s="47" t="s">
        <v>2074</v>
      </c>
      <c r="E435" s="47" t="s">
        <v>2075</v>
      </c>
      <c r="F435" s="47" t="s">
        <v>698</v>
      </c>
      <c r="G435" s="47" t="s">
        <v>727</v>
      </c>
      <c r="H435" s="47" t="str">
        <f>=IFERROR(VLOOKUP(A435,'ETPT Format DDG'!A:J,10,FALSE),"")</f>
        <v>0</v>
      </c>
      <c r="I435" s="47" t="str">
        <f>='ETPT Format DDG'!M435</f>
        <v/>
      </c>
      <c r="J435" s="47" t="str">
        <f>='ETPT Format DDG'!D435</f>
        <v/>
      </c>
      <c r="K435" s="47" t="s">
        <v>157</v>
      </c>
      <c r="L435" s="47" t="s">
        <v>175</v>
      </c>
      <c r="M435" s="47"/>
      <c r="N435" s="47">
        <v>1</v>
      </c>
      <c r="O435" s="47">
        <v>1</v>
      </c>
      <c r="P435" s="47">
        <v>0</v>
      </c>
      <c r="Q435" s="47">
        <v>0</v>
      </c>
      <c r="R435" s="47">
        <v>0</v>
      </c>
      <c r="S435" s="47">
        <v>0</v>
      </c>
      <c r="T435" s="47">
        <v>0</v>
      </c>
      <c r="U435" s="47">
        <v>0</v>
      </c>
      <c r="V435" s="47">
        <v>0</v>
      </c>
      <c r="W435" s="47">
        <v>0</v>
      </c>
      <c r="X435" s="47">
        <v>0</v>
      </c>
      <c r="Y435" s="47">
        <v>0</v>
      </c>
      <c r="Z435" s="47">
        <v>0</v>
      </c>
      <c r="AA435" s="47">
        <v>0</v>
      </c>
      <c r="AB435" s="47">
        <v>0</v>
      </c>
      <c r="AC435" s="47">
        <v>0</v>
      </c>
      <c r="AD435" s="47">
        <v>0</v>
      </c>
      <c r="AE435" s="47">
        <v>0</v>
      </c>
      <c r="AF435" s="47">
        <v>0</v>
      </c>
      <c r="AG435" s="47">
        <v>0</v>
      </c>
      <c r="AH435" s="47">
        <v>0</v>
      </c>
      <c r="AI435" s="47">
        <v>0</v>
      </c>
      <c r="AJ435" s="47">
        <v>0</v>
      </c>
      <c r="AK435" s="47">
        <v>0</v>
      </c>
      <c r="AL435" s="47">
        <v>0</v>
      </c>
      <c r="AM435" s="47">
        <v>0</v>
      </c>
      <c r="AN435" s="47">
        <v>0</v>
      </c>
      <c r="AO435" s="47">
        <v>0</v>
      </c>
      <c r="AP435" s="47">
        <v>0</v>
      </c>
      <c r="AQ435" s="47">
        <v>0</v>
      </c>
      <c r="AR435" s="47">
        <v>0</v>
      </c>
      <c r="AS435" s="47">
        <v>0</v>
      </c>
      <c r="AT435" s="47">
        <v>0</v>
      </c>
      <c r="AU435" s="47">
        <v>0</v>
      </c>
      <c r="AV435" s="47">
        <v>0</v>
      </c>
      <c r="AW435" s="47">
        <v>0</v>
      </c>
      <c r="AX435" s="47">
        <v>0</v>
      </c>
      <c r="AY435" s="47">
        <v>0</v>
      </c>
      <c r="AZ435" s="47">
        <v>0</v>
      </c>
      <c r="BA435" s="47">
        <v>0</v>
      </c>
      <c r="BB435" s="47">
        <v>0</v>
      </c>
      <c r="BC435" s="47">
        <v>0</v>
      </c>
      <c r="BD435" s="47">
        <v>0</v>
      </c>
      <c r="BE435" s="47">
        <v>0</v>
      </c>
      <c r="BF435" s="47">
        <v>0</v>
      </c>
      <c r="BG435" s="47">
        <v>0</v>
      </c>
      <c r="BH435" s="47">
        <v>0</v>
      </c>
      <c r="BI435" s="47">
        <v>0</v>
      </c>
      <c r="BJ435" s="47">
        <v>0</v>
      </c>
      <c r="BK435" s="47">
        <v>0</v>
      </c>
      <c r="BL435" s="47">
        <v>0</v>
      </c>
      <c r="BM435" s="47">
        <v>0</v>
      </c>
      <c r="BN435" s="47">
        <v>0</v>
      </c>
      <c r="BO435" s="47">
        <v>0</v>
      </c>
      <c r="BP435" s="47">
        <v>0</v>
      </c>
      <c r="BQ435" s="47">
        <v>0</v>
      </c>
      <c r="BR435" s="47">
        <v>0</v>
      </c>
      <c r="BS435" s="47">
        <v>0</v>
      </c>
      <c r="BT435" s="47">
        <v>0</v>
      </c>
      <c r="BU435" s="47">
        <v>0</v>
      </c>
      <c r="BV435" s="47">
        <v>0</v>
      </c>
      <c r="BW435" s="47">
        <v>0</v>
      </c>
      <c r="BX435" s="47">
        <v>0</v>
      </c>
      <c r="BY435" s="47">
        <v>0</v>
      </c>
      <c r="BZ435" s="47">
        <v>0</v>
      </c>
      <c r="CA435" s="47">
        <v>0</v>
      </c>
      <c r="CB435" s="47">
        <v>0</v>
      </c>
      <c r="CC435" s="47">
        <v>0</v>
      </c>
      <c r="CD435" s="47">
        <v>0</v>
      </c>
      <c r="CE435" s="47">
        <v>0</v>
      </c>
      <c r="CF435" s="47">
        <v>0</v>
      </c>
      <c r="CG435" s="47">
        <v>0</v>
      </c>
      <c r="CH435" s="47">
        <v>0</v>
      </c>
      <c r="CI435" s="47">
        <v>0</v>
      </c>
      <c r="CJ435" s="47">
        <v>0</v>
      </c>
      <c r="CK435" s="47">
        <v>0</v>
      </c>
      <c r="CL435" s="47">
        <v>0</v>
      </c>
      <c r="CM435" s="47">
        <v>0</v>
      </c>
      <c r="CN435" s="47">
        <v>0</v>
      </c>
      <c r="CO435" s="47">
        <v>0</v>
      </c>
      <c r="CP435" s="47">
        <v>0</v>
      </c>
      <c r="CQ435" s="47">
        <v>1</v>
      </c>
      <c r="CR435" s="47">
        <v>0</v>
      </c>
      <c r="CS435" s="47">
        <v>0</v>
      </c>
      <c r="CT435" s="47">
        <v>0</v>
      </c>
      <c r="CU435" s="47">
        <v>0</v>
      </c>
      <c r="CV435" s="47">
        <v>0</v>
      </c>
      <c r="CW435" s="47">
        <v>0</v>
      </c>
      <c r="CX435" s="47">
        <v>0</v>
      </c>
      <c r="CY435" s="47">
        <v>0</v>
      </c>
      <c r="CZ435" s="47">
        <v>0</v>
      </c>
      <c r="DA435" s="47">
        <v>0</v>
      </c>
      <c r="DB435" s="47">
        <v>0</v>
      </c>
      <c r="DC435" s="47">
        <v>0</v>
      </c>
      <c r="DD435" s="47">
        <v>0</v>
      </c>
      <c r="DE435" s="47">
        <v>0</v>
      </c>
      <c r="DF435" s="47">
        <v>0</v>
      </c>
      <c r="DG435" s="47">
        <v>0</v>
      </c>
      <c r="DH435" s="47">
        <v>0</v>
      </c>
      <c r="DI435" s="47">
        <v>0</v>
      </c>
      <c r="DJ435" s="47">
        <v>0</v>
      </c>
      <c r="DK435" s="47">
        <v>0</v>
      </c>
      <c r="DL435" s="47">
        <v>0</v>
      </c>
      <c r="DM435" s="47">
        <v>0</v>
      </c>
      <c r="DN435" s="47">
        <v>0</v>
      </c>
      <c r="DO435" s="47">
        <v>0</v>
      </c>
      <c r="DP435" s="47">
        <v>0</v>
      </c>
      <c r="DQ435" s="47">
        <v>0</v>
      </c>
      <c r="DR435" s="47">
        <v>0</v>
      </c>
      <c r="DS435" s="47">
        <v>0</v>
      </c>
      <c r="DT435" s="47">
        <v>0</v>
      </c>
    </row>
    <row r="436" spans="1:126" x14ac:dyDescent="0.25">
      <c r="A436" s="47" t="s">
        <v>2076</v>
      </c>
      <c r="B436" s="47" t="s">
        <v>153</v>
      </c>
      <c r="C436" s="47" t="s">
        <v>2077</v>
      </c>
      <c r="D436" s="47" t="s">
        <v>2078</v>
      </c>
      <c r="E436" s="47" t="s">
        <v>2079</v>
      </c>
      <c r="F436" s="47" t="s">
        <v>698</v>
      </c>
      <c r="G436" s="47" t="s">
        <v>727</v>
      </c>
      <c r="H436" s="47" t="str">
        <f>=IFERROR(VLOOKUP(A436,'ETPT Format DDG'!A:J,10,FALSE),"")</f>
        <v>0</v>
      </c>
      <c r="I436" s="47" t="str">
        <f>='ETPT Format DDG'!M436</f>
        <v/>
      </c>
      <c r="J436" s="47" t="str">
        <f>='ETPT Format DDG'!D436</f>
        <v/>
      </c>
      <c r="K436" s="47" t="s">
        <v>157</v>
      </c>
      <c r="L436" s="47" t="s">
        <v>1698</v>
      </c>
      <c r="M436" s="47"/>
      <c r="N436" s="47">
        <v>1</v>
      </c>
      <c r="O436" s="47">
        <v>0</v>
      </c>
      <c r="P436" s="47">
        <v>0</v>
      </c>
      <c r="Q436" s="47">
        <v>0</v>
      </c>
      <c r="R436" s="47">
        <v>0</v>
      </c>
      <c r="S436" s="47">
        <v>0</v>
      </c>
      <c r="T436" s="47">
        <v>0</v>
      </c>
      <c r="U436" s="47">
        <v>0</v>
      </c>
      <c r="V436" s="47">
        <v>0</v>
      </c>
      <c r="W436" s="47">
        <v>0</v>
      </c>
      <c r="X436" s="47">
        <v>0</v>
      </c>
      <c r="Y436" s="47">
        <v>0</v>
      </c>
      <c r="Z436" s="47">
        <v>0</v>
      </c>
      <c r="AA436" s="47">
        <v>0</v>
      </c>
      <c r="AB436" s="47">
        <v>0</v>
      </c>
      <c r="AC436" s="47">
        <v>0</v>
      </c>
      <c r="AD436" s="47">
        <v>0</v>
      </c>
      <c r="AE436" s="47">
        <v>0</v>
      </c>
      <c r="AF436" s="47">
        <v>0</v>
      </c>
      <c r="AG436" s="47">
        <v>0</v>
      </c>
      <c r="AH436" s="47">
        <v>0</v>
      </c>
      <c r="AI436" s="47">
        <v>0</v>
      </c>
      <c r="AJ436" s="47">
        <v>0</v>
      </c>
      <c r="AK436" s="47">
        <v>0</v>
      </c>
      <c r="AL436" s="47">
        <v>0</v>
      </c>
      <c r="AM436" s="47">
        <v>0</v>
      </c>
      <c r="AN436" s="47">
        <v>0</v>
      </c>
      <c r="AO436" s="47">
        <v>0</v>
      </c>
      <c r="AP436" s="47">
        <v>0</v>
      </c>
      <c r="AQ436" s="47">
        <v>0</v>
      </c>
      <c r="AR436" s="47">
        <v>0</v>
      </c>
      <c r="AS436" s="47">
        <v>0</v>
      </c>
      <c r="AT436" s="47">
        <v>0</v>
      </c>
      <c r="AU436" s="47">
        <v>0</v>
      </c>
      <c r="AV436" s="47">
        <v>0</v>
      </c>
      <c r="AW436" s="47">
        <v>0</v>
      </c>
      <c r="AX436" s="47">
        <v>0</v>
      </c>
      <c r="AY436" s="47">
        <v>0</v>
      </c>
      <c r="AZ436" s="47">
        <v>0</v>
      </c>
      <c r="BA436" s="47">
        <v>0</v>
      </c>
      <c r="BB436" s="47">
        <v>0</v>
      </c>
      <c r="BC436" s="47">
        <v>0</v>
      </c>
      <c r="BD436" s="47">
        <v>0</v>
      </c>
      <c r="BE436" s="47">
        <v>0</v>
      </c>
      <c r="BF436" s="47">
        <v>0</v>
      </c>
      <c r="BG436" s="47">
        <v>0</v>
      </c>
      <c r="BH436" s="47">
        <v>0</v>
      </c>
      <c r="BI436" s="47">
        <v>0</v>
      </c>
      <c r="BJ436" s="47">
        <v>0</v>
      </c>
      <c r="BK436" s="47">
        <v>0</v>
      </c>
      <c r="BL436" s="47">
        <v>0</v>
      </c>
      <c r="BM436" s="47">
        <v>0</v>
      </c>
      <c r="BN436" s="47">
        <v>0</v>
      </c>
      <c r="BO436" s="47">
        <v>0</v>
      </c>
      <c r="BP436" s="47">
        <v>0</v>
      </c>
      <c r="BQ436" s="47">
        <v>0</v>
      </c>
      <c r="BR436" s="47">
        <v>0</v>
      </c>
      <c r="BS436" s="47">
        <v>0</v>
      </c>
      <c r="BT436" s="47">
        <v>0</v>
      </c>
      <c r="BU436" s="47">
        <v>0</v>
      </c>
      <c r="BV436" s="47">
        <v>0</v>
      </c>
      <c r="BW436" s="47">
        <v>0</v>
      </c>
      <c r="BX436" s="47">
        <v>0</v>
      </c>
      <c r="BY436" s="47">
        <v>0</v>
      </c>
      <c r="BZ436" s="47">
        <v>0</v>
      </c>
      <c r="CA436" s="47">
        <v>0</v>
      </c>
      <c r="CB436" s="47">
        <v>0</v>
      </c>
      <c r="CC436" s="47">
        <v>0</v>
      </c>
      <c r="CD436" s="47">
        <v>0</v>
      </c>
      <c r="CE436" s="47">
        <v>0</v>
      </c>
      <c r="CF436" s="47">
        <v>0</v>
      </c>
      <c r="CG436" s="47">
        <v>0</v>
      </c>
      <c r="CH436" s="47">
        <v>0</v>
      </c>
      <c r="CI436" s="47">
        <v>0</v>
      </c>
      <c r="CJ436" s="47">
        <v>0</v>
      </c>
      <c r="CK436" s="47">
        <v>0</v>
      </c>
      <c r="CL436" s="47">
        <v>0</v>
      </c>
      <c r="CM436" s="47">
        <v>0</v>
      </c>
      <c r="CN436" s="47">
        <v>0</v>
      </c>
      <c r="CO436" s="47">
        <v>0</v>
      </c>
      <c r="CP436" s="47">
        <v>0</v>
      </c>
      <c r="CQ436" s="47">
        <v>0</v>
      </c>
      <c r="CR436" s="47">
        <v>0</v>
      </c>
      <c r="CS436" s="47">
        <v>0</v>
      </c>
      <c r="CT436" s="47">
        <v>0</v>
      </c>
      <c r="CU436" s="47">
        <v>0</v>
      </c>
      <c r="CV436" s="47">
        <v>0</v>
      </c>
      <c r="CW436" s="47">
        <v>0</v>
      </c>
      <c r="CX436" s="47">
        <v>0</v>
      </c>
      <c r="CY436" s="47">
        <v>0</v>
      </c>
      <c r="CZ436" s="47">
        <v>0</v>
      </c>
      <c r="DA436" s="47">
        <v>0</v>
      </c>
      <c r="DB436" s="47">
        <v>0</v>
      </c>
      <c r="DC436" s="47">
        <v>0</v>
      </c>
      <c r="DD436" s="47">
        <v>0</v>
      </c>
      <c r="DE436" s="47">
        <v>0</v>
      </c>
      <c r="DF436" s="47">
        <v>0</v>
      </c>
      <c r="DG436" s="47">
        <v>0</v>
      </c>
      <c r="DH436" s="47">
        <v>0</v>
      </c>
      <c r="DI436" s="47">
        <v>0</v>
      </c>
      <c r="DJ436" s="47">
        <v>0</v>
      </c>
      <c r="DK436" s="47">
        <v>0</v>
      </c>
      <c r="DL436" s="47">
        <v>0</v>
      </c>
      <c r="DM436" s="47">
        <v>0</v>
      </c>
      <c r="DN436" s="47">
        <v>0</v>
      </c>
      <c r="DO436" s="47">
        <v>0</v>
      </c>
      <c r="DP436" s="47">
        <v>0</v>
      </c>
      <c r="DQ436" s="47">
        <v>0</v>
      </c>
      <c r="DR436" s="47">
        <v>0</v>
      </c>
      <c r="DS436" s="47">
        <v>0</v>
      </c>
      <c r="DT436" s="47">
        <v>0</v>
      </c>
    </row>
    <row r="437" spans="1:126" x14ac:dyDescent="0.25">
      <c r="A437" s="47" t="s">
        <v>2080</v>
      </c>
      <c r="B437" s="47" t="s">
        <v>153</v>
      </c>
      <c r="C437" s="47" t="s">
        <v>2081</v>
      </c>
      <c r="D437" s="47" t="s">
        <v>2082</v>
      </c>
      <c r="E437" s="47" t="s">
        <v>2083</v>
      </c>
      <c r="F437" s="47" t="s">
        <v>698</v>
      </c>
      <c r="G437" s="47" t="s">
        <v>727</v>
      </c>
      <c r="H437" s="47" t="str">
        <f>=IFERROR(VLOOKUP(A437,'ETPT Format DDG'!A:J,10,FALSE),"")</f>
        <v>0</v>
      </c>
      <c r="I437" s="47" t="str">
        <f>='ETPT Format DDG'!M437</f>
        <v/>
      </c>
      <c r="J437" s="47" t="str">
        <f>='ETPT Format DDG'!D437</f>
        <v/>
      </c>
      <c r="K437" s="47" t="s">
        <v>157</v>
      </c>
      <c r="L437" s="47" t="s">
        <v>593</v>
      </c>
      <c r="M437" s="47"/>
      <c r="N437" s="47">
        <v>1</v>
      </c>
      <c r="O437" s="47">
        <v>0</v>
      </c>
      <c r="P437" s="47">
        <v>0</v>
      </c>
      <c r="Q437" s="47">
        <v>0</v>
      </c>
      <c r="R437" s="47">
        <v>0</v>
      </c>
      <c r="S437" s="47">
        <v>0</v>
      </c>
      <c r="T437" s="47">
        <v>0</v>
      </c>
      <c r="U437" s="47">
        <v>0</v>
      </c>
      <c r="V437" s="47">
        <v>0</v>
      </c>
      <c r="W437" s="47">
        <v>0</v>
      </c>
      <c r="X437" s="47">
        <v>0</v>
      </c>
      <c r="Y437" s="47">
        <v>0</v>
      </c>
      <c r="Z437" s="47">
        <v>0</v>
      </c>
      <c r="AA437" s="47">
        <v>0</v>
      </c>
      <c r="AB437" s="47">
        <v>0</v>
      </c>
      <c r="AC437" s="47">
        <v>0</v>
      </c>
      <c r="AD437" s="47">
        <v>0</v>
      </c>
      <c r="AE437" s="47">
        <v>0</v>
      </c>
      <c r="AF437" s="47">
        <v>0</v>
      </c>
      <c r="AG437" s="47">
        <v>0</v>
      </c>
      <c r="AH437" s="47">
        <v>0</v>
      </c>
      <c r="AI437" s="47">
        <v>0</v>
      </c>
      <c r="AJ437" s="47">
        <v>0</v>
      </c>
      <c r="AK437" s="47">
        <v>0</v>
      </c>
      <c r="AL437" s="47">
        <v>0</v>
      </c>
      <c r="AM437" s="47">
        <v>0</v>
      </c>
      <c r="AN437" s="47">
        <v>0</v>
      </c>
      <c r="AO437" s="47">
        <v>0</v>
      </c>
      <c r="AP437" s="47">
        <v>0</v>
      </c>
      <c r="AQ437" s="47">
        <v>0</v>
      </c>
      <c r="AR437" s="47">
        <v>0</v>
      </c>
      <c r="AS437" s="47">
        <v>0</v>
      </c>
      <c r="AT437" s="47">
        <v>0</v>
      </c>
      <c r="AU437" s="47">
        <v>0</v>
      </c>
      <c r="AV437" s="47">
        <v>0</v>
      </c>
      <c r="AW437" s="47">
        <v>0</v>
      </c>
      <c r="AX437" s="47">
        <v>0</v>
      </c>
      <c r="AY437" s="47">
        <v>0</v>
      </c>
      <c r="AZ437" s="47">
        <v>0</v>
      </c>
      <c r="BA437" s="47">
        <v>0</v>
      </c>
      <c r="BB437" s="47">
        <v>0</v>
      </c>
      <c r="BC437" s="47">
        <v>0</v>
      </c>
      <c r="BD437" s="47">
        <v>0</v>
      </c>
      <c r="BE437" s="47">
        <v>0</v>
      </c>
      <c r="BF437" s="47">
        <v>0</v>
      </c>
      <c r="BG437" s="47">
        <v>0</v>
      </c>
      <c r="BH437" s="47">
        <v>0</v>
      </c>
      <c r="BI437" s="47">
        <v>0</v>
      </c>
      <c r="BJ437" s="47">
        <v>0</v>
      </c>
      <c r="BK437" s="47">
        <v>0</v>
      </c>
      <c r="BL437" s="47">
        <v>0</v>
      </c>
      <c r="BM437" s="47">
        <v>0</v>
      </c>
      <c r="BN437" s="47">
        <v>0</v>
      </c>
      <c r="BO437" s="47">
        <v>0</v>
      </c>
      <c r="BP437" s="47">
        <v>0</v>
      </c>
      <c r="BQ437" s="47">
        <v>0</v>
      </c>
      <c r="BR437" s="47">
        <v>0</v>
      </c>
      <c r="BS437" s="47">
        <v>0</v>
      </c>
      <c r="BT437" s="47">
        <v>0</v>
      </c>
      <c r="BU437" s="47">
        <v>0</v>
      </c>
      <c r="BV437" s="47">
        <v>0</v>
      </c>
      <c r="BW437" s="47">
        <v>0</v>
      </c>
      <c r="BX437" s="47">
        <v>0</v>
      </c>
      <c r="BY437" s="47">
        <v>0</v>
      </c>
      <c r="BZ437" s="47">
        <v>0</v>
      </c>
      <c r="CA437" s="47">
        <v>0</v>
      </c>
      <c r="CB437" s="47">
        <v>0</v>
      </c>
      <c r="CC437" s="47">
        <v>0</v>
      </c>
      <c r="CD437" s="47">
        <v>0</v>
      </c>
      <c r="CE437" s="47">
        <v>0</v>
      </c>
      <c r="CF437" s="47">
        <v>0</v>
      </c>
      <c r="CG437" s="47">
        <v>0</v>
      </c>
      <c r="CH437" s="47">
        <v>0</v>
      </c>
      <c r="CI437" s="47">
        <v>0</v>
      </c>
      <c r="CJ437" s="47">
        <v>0</v>
      </c>
      <c r="CK437" s="47">
        <v>0</v>
      </c>
      <c r="CL437" s="47">
        <v>0</v>
      </c>
      <c r="CM437" s="47">
        <v>0</v>
      </c>
      <c r="CN437" s="47">
        <v>0</v>
      </c>
      <c r="CO437" s="47">
        <v>0</v>
      </c>
      <c r="CP437" s="47">
        <v>0</v>
      </c>
      <c r="CQ437" s="47">
        <v>0</v>
      </c>
      <c r="CR437" s="47">
        <v>0</v>
      </c>
      <c r="CS437" s="47">
        <v>0</v>
      </c>
      <c r="CT437" s="47">
        <v>0</v>
      </c>
      <c r="CU437" s="47">
        <v>0</v>
      </c>
      <c r="CV437" s="47">
        <v>0</v>
      </c>
      <c r="CW437" s="47">
        <v>0</v>
      </c>
      <c r="CX437" s="47">
        <v>0</v>
      </c>
      <c r="CY437" s="47">
        <v>0</v>
      </c>
      <c r="CZ437" s="47">
        <v>0</v>
      </c>
      <c r="DA437" s="47">
        <v>0</v>
      </c>
      <c r="DB437" s="47">
        <v>0</v>
      </c>
      <c r="DC437" s="47">
        <v>0</v>
      </c>
      <c r="DD437" s="47">
        <v>0</v>
      </c>
      <c r="DE437" s="47">
        <v>0</v>
      </c>
      <c r="DF437" s="47">
        <v>0</v>
      </c>
      <c r="DG437" s="47">
        <v>0</v>
      </c>
      <c r="DH437" s="47">
        <v>0</v>
      </c>
      <c r="DI437" s="47">
        <v>0</v>
      </c>
      <c r="DJ437" s="47">
        <v>0</v>
      </c>
      <c r="DK437" s="47">
        <v>0</v>
      </c>
      <c r="DL437" s="47">
        <v>0</v>
      </c>
      <c r="DM437" s="47">
        <v>0</v>
      </c>
      <c r="DN437" s="47">
        <v>0</v>
      </c>
      <c r="DO437" s="47">
        <v>0</v>
      </c>
      <c r="DP437" s="47">
        <v>0</v>
      </c>
      <c r="DQ437" s="47">
        <v>0</v>
      </c>
      <c r="DR437" s="47">
        <v>0</v>
      </c>
      <c r="DS437" s="47">
        <v>0</v>
      </c>
      <c r="DT437" s="47">
        <v>0</v>
      </c>
    </row>
    <row r="438" spans="1:126" x14ac:dyDescent="0.25">
      <c r="A438" s="47" t="s">
        <v>2084</v>
      </c>
      <c r="B438" s="47" t="s">
        <v>153</v>
      </c>
      <c r="C438" s="47" t="s">
        <v>2085</v>
      </c>
      <c r="D438" s="47" t="s">
        <v>2086</v>
      </c>
      <c r="E438" s="47" t="s">
        <v>2087</v>
      </c>
      <c r="F438" s="47" t="s">
        <v>698</v>
      </c>
      <c r="G438" s="47" t="s">
        <v>727</v>
      </c>
      <c r="H438" s="47" t="str">
        <f>=IFERROR(VLOOKUP(A438,'ETPT Format DDG'!A:J,10,FALSE),"")</f>
        <v>0</v>
      </c>
      <c r="I438" s="47" t="str">
        <f>='ETPT Format DDG'!M438</f>
        <v/>
      </c>
      <c r="J438" s="47" t="str">
        <f>='ETPT Format DDG'!D438</f>
        <v/>
      </c>
      <c r="K438" s="47" t="s">
        <v>157</v>
      </c>
      <c r="L438" s="47" t="s">
        <v>700</v>
      </c>
      <c r="M438" s="47"/>
      <c r="N438" s="47">
        <v>1</v>
      </c>
      <c r="O438" s="47">
        <v>0</v>
      </c>
      <c r="P438" s="47">
        <v>0</v>
      </c>
      <c r="Q438" s="47">
        <v>0</v>
      </c>
      <c r="R438" s="47">
        <v>0</v>
      </c>
      <c r="S438" s="47">
        <v>0</v>
      </c>
      <c r="T438" s="47">
        <v>0</v>
      </c>
      <c r="U438" s="47">
        <v>0</v>
      </c>
      <c r="V438" s="47">
        <v>0</v>
      </c>
      <c r="W438" s="47">
        <v>0</v>
      </c>
      <c r="X438" s="47">
        <v>0</v>
      </c>
      <c r="Y438" s="47">
        <v>0</v>
      </c>
      <c r="Z438" s="47">
        <v>0</v>
      </c>
      <c r="AA438" s="47">
        <v>0</v>
      </c>
      <c r="AB438" s="47">
        <v>0</v>
      </c>
      <c r="AC438" s="47">
        <v>0</v>
      </c>
      <c r="AD438" s="47">
        <v>0</v>
      </c>
      <c r="AE438" s="47">
        <v>0</v>
      </c>
      <c r="AF438" s="47">
        <v>0</v>
      </c>
      <c r="AG438" s="47">
        <v>0</v>
      </c>
      <c r="AH438" s="47">
        <v>0</v>
      </c>
      <c r="AI438" s="47">
        <v>0</v>
      </c>
      <c r="AJ438" s="47">
        <v>0</v>
      </c>
      <c r="AK438" s="47">
        <v>0</v>
      </c>
      <c r="AL438" s="47">
        <v>0</v>
      </c>
      <c r="AM438" s="47">
        <v>0</v>
      </c>
      <c r="AN438" s="47">
        <v>0</v>
      </c>
      <c r="AO438" s="47">
        <v>0</v>
      </c>
      <c r="AP438" s="47">
        <v>0</v>
      </c>
      <c r="AQ438" s="47">
        <v>0</v>
      </c>
      <c r="AR438" s="47">
        <v>0</v>
      </c>
      <c r="AS438" s="47">
        <v>0</v>
      </c>
      <c r="AT438" s="47">
        <v>0</v>
      </c>
      <c r="AU438" s="47">
        <v>0</v>
      </c>
      <c r="AV438" s="47">
        <v>0</v>
      </c>
      <c r="AW438" s="47">
        <v>0</v>
      </c>
      <c r="AX438" s="47">
        <v>0</v>
      </c>
      <c r="AY438" s="47">
        <v>0</v>
      </c>
      <c r="AZ438" s="47">
        <v>0</v>
      </c>
      <c r="BA438" s="47">
        <v>0</v>
      </c>
      <c r="BB438" s="47">
        <v>0</v>
      </c>
      <c r="BC438" s="47">
        <v>0</v>
      </c>
      <c r="BD438" s="47">
        <v>0</v>
      </c>
      <c r="BE438" s="47">
        <v>0</v>
      </c>
      <c r="BF438" s="47">
        <v>0</v>
      </c>
      <c r="BG438" s="47">
        <v>0</v>
      </c>
      <c r="BH438" s="47">
        <v>0</v>
      </c>
      <c r="BI438" s="47">
        <v>0</v>
      </c>
      <c r="BJ438" s="47">
        <v>0</v>
      </c>
      <c r="BK438" s="47">
        <v>0</v>
      </c>
      <c r="BL438" s="47">
        <v>0</v>
      </c>
      <c r="BM438" s="47">
        <v>0</v>
      </c>
      <c r="BN438" s="47">
        <v>0</v>
      </c>
      <c r="BO438" s="47">
        <v>0</v>
      </c>
      <c r="BP438" s="47">
        <v>0</v>
      </c>
      <c r="BQ438" s="47">
        <v>0</v>
      </c>
      <c r="BR438" s="47">
        <v>0</v>
      </c>
      <c r="BS438" s="47">
        <v>0</v>
      </c>
      <c r="BT438" s="47">
        <v>0</v>
      </c>
      <c r="BU438" s="47">
        <v>0</v>
      </c>
      <c r="BV438" s="47">
        <v>0</v>
      </c>
      <c r="BW438" s="47">
        <v>0</v>
      </c>
      <c r="BX438" s="47">
        <v>0</v>
      </c>
      <c r="BY438" s="47">
        <v>0</v>
      </c>
      <c r="BZ438" s="47">
        <v>0</v>
      </c>
      <c r="CA438" s="47">
        <v>0</v>
      </c>
      <c r="CB438" s="47">
        <v>0</v>
      </c>
      <c r="CC438" s="47">
        <v>0</v>
      </c>
      <c r="CD438" s="47">
        <v>0</v>
      </c>
      <c r="CE438" s="47">
        <v>0</v>
      </c>
      <c r="CF438" s="47">
        <v>0</v>
      </c>
      <c r="CG438" s="47">
        <v>0</v>
      </c>
      <c r="CH438" s="47">
        <v>0</v>
      </c>
      <c r="CI438" s="47">
        <v>0</v>
      </c>
      <c r="CJ438" s="47">
        <v>0</v>
      </c>
      <c r="CK438" s="47">
        <v>0</v>
      </c>
      <c r="CL438" s="47">
        <v>0</v>
      </c>
      <c r="CM438" s="47">
        <v>0</v>
      </c>
      <c r="CN438" s="47">
        <v>0</v>
      </c>
      <c r="CO438" s="47">
        <v>0</v>
      </c>
      <c r="CP438" s="47">
        <v>0</v>
      </c>
      <c r="CQ438" s="47">
        <v>0</v>
      </c>
      <c r="CR438" s="47">
        <v>0</v>
      </c>
      <c r="CS438" s="47">
        <v>0</v>
      </c>
      <c r="CT438" s="47">
        <v>0</v>
      </c>
      <c r="CU438" s="47">
        <v>0</v>
      </c>
      <c r="CV438" s="47">
        <v>0</v>
      </c>
      <c r="CW438" s="47">
        <v>0</v>
      </c>
      <c r="CX438" s="47">
        <v>0</v>
      </c>
      <c r="CY438" s="47">
        <v>0</v>
      </c>
      <c r="CZ438" s="47">
        <v>0</v>
      </c>
      <c r="DA438" s="47">
        <v>0</v>
      </c>
      <c r="DB438" s="47">
        <v>0</v>
      </c>
      <c r="DC438" s="47">
        <v>0</v>
      </c>
      <c r="DD438" s="47">
        <v>0</v>
      </c>
      <c r="DE438" s="47">
        <v>0</v>
      </c>
      <c r="DF438" s="47">
        <v>0</v>
      </c>
      <c r="DG438" s="47">
        <v>0</v>
      </c>
      <c r="DH438" s="47">
        <v>0</v>
      </c>
      <c r="DI438" s="47">
        <v>0</v>
      </c>
      <c r="DJ438" s="47">
        <v>0</v>
      </c>
      <c r="DK438" s="47">
        <v>0</v>
      </c>
      <c r="DL438" s="47">
        <v>0</v>
      </c>
      <c r="DM438" s="47">
        <v>0</v>
      </c>
      <c r="DN438" s="47">
        <v>0</v>
      </c>
      <c r="DO438" s="47">
        <v>0</v>
      </c>
      <c r="DP438" s="47">
        <v>0</v>
      </c>
      <c r="DQ438" s="47">
        <v>0</v>
      </c>
      <c r="DR438" s="47">
        <v>0</v>
      </c>
      <c r="DS438" s="47">
        <v>0</v>
      </c>
      <c r="DT438" s="47">
        <v>0</v>
      </c>
    </row>
    <row r="439" spans="1:126" x14ac:dyDescent="0.25">
      <c r="A439" s="47" t="s">
        <v>2088</v>
      </c>
      <c r="B439" s="47" t="s">
        <v>153</v>
      </c>
      <c r="C439" s="47" t="s">
        <v>2089</v>
      </c>
      <c r="D439" s="47" t="s">
        <v>2090</v>
      </c>
      <c r="E439" s="47" t="s">
        <v>2091</v>
      </c>
      <c r="F439" s="47" t="s">
        <v>698</v>
      </c>
      <c r="G439" s="47" t="s">
        <v>705</v>
      </c>
      <c r="H439" s="47" t="str">
        <f>=IFERROR(VLOOKUP(A439,'ETPT Format DDG'!A:J,10,FALSE),"")</f>
        <v>0</v>
      </c>
      <c r="I439" s="47" t="str">
        <f>='ETPT Format DDG'!M439</f>
        <v/>
      </c>
      <c r="J439" s="47" t="str">
        <f>='ETPT Format DDG'!D439</f>
        <v/>
      </c>
      <c r="K439" s="47" t="s">
        <v>157</v>
      </c>
      <c r="L439" s="47" t="s">
        <v>753</v>
      </c>
      <c r="M439" s="47"/>
      <c r="N439" s="47">
        <v>1</v>
      </c>
      <c r="O439" s="47">
        <v>0</v>
      </c>
      <c r="P439" s="47">
        <v>0</v>
      </c>
      <c r="Q439" s="47">
        <v>0</v>
      </c>
      <c r="R439" s="47">
        <v>0</v>
      </c>
      <c r="S439" s="47">
        <v>0</v>
      </c>
      <c r="T439" s="47">
        <v>0</v>
      </c>
      <c r="U439" s="47">
        <v>0</v>
      </c>
      <c r="V439" s="47">
        <v>0</v>
      </c>
      <c r="W439" s="47">
        <v>0</v>
      </c>
      <c r="X439" s="47">
        <v>0</v>
      </c>
      <c r="Y439" s="47">
        <v>0</v>
      </c>
      <c r="Z439" s="47">
        <v>0</v>
      </c>
      <c r="AA439" s="47">
        <v>0</v>
      </c>
      <c r="AB439" s="47">
        <v>0</v>
      </c>
      <c r="AC439" s="47">
        <v>0</v>
      </c>
      <c r="AD439" s="47">
        <v>0</v>
      </c>
      <c r="AE439" s="47">
        <v>0</v>
      </c>
      <c r="AF439" s="47">
        <v>0</v>
      </c>
      <c r="AG439" s="47">
        <v>0</v>
      </c>
      <c r="AH439" s="47">
        <v>0</v>
      </c>
      <c r="AI439" s="47">
        <v>0</v>
      </c>
      <c r="AJ439" s="47">
        <v>0</v>
      </c>
      <c r="AK439" s="47">
        <v>0</v>
      </c>
      <c r="AL439" s="47">
        <v>0</v>
      </c>
      <c r="AM439" s="47">
        <v>0</v>
      </c>
      <c r="AN439" s="47">
        <v>0</v>
      </c>
      <c r="AO439" s="47">
        <v>0</v>
      </c>
      <c r="AP439" s="47">
        <v>0</v>
      </c>
      <c r="AQ439" s="47">
        <v>0</v>
      </c>
      <c r="AR439" s="47">
        <v>0</v>
      </c>
      <c r="AS439" s="47">
        <v>0</v>
      </c>
      <c r="AT439" s="47">
        <v>0</v>
      </c>
      <c r="AU439" s="47">
        <v>0</v>
      </c>
      <c r="AV439" s="47">
        <v>0</v>
      </c>
      <c r="AW439" s="47">
        <v>0</v>
      </c>
      <c r="AX439" s="47">
        <v>0</v>
      </c>
      <c r="AY439" s="47">
        <v>0</v>
      </c>
      <c r="AZ439" s="47">
        <v>0</v>
      </c>
      <c r="BA439" s="47">
        <v>0</v>
      </c>
      <c r="BB439" s="47">
        <v>0</v>
      </c>
      <c r="BC439" s="47">
        <v>0</v>
      </c>
      <c r="BD439" s="47">
        <v>0</v>
      </c>
      <c r="BE439" s="47">
        <v>0</v>
      </c>
      <c r="BF439" s="47">
        <v>0</v>
      </c>
      <c r="BG439" s="47">
        <v>0</v>
      </c>
      <c r="BH439" s="47">
        <v>0</v>
      </c>
      <c r="BI439" s="47">
        <v>0</v>
      </c>
      <c r="BJ439" s="47">
        <v>0</v>
      </c>
      <c r="BK439" s="47">
        <v>0</v>
      </c>
      <c r="BL439" s="47">
        <v>0</v>
      </c>
      <c r="BM439" s="47">
        <v>0</v>
      </c>
      <c r="BN439" s="47">
        <v>0</v>
      </c>
      <c r="BO439" s="47">
        <v>0</v>
      </c>
      <c r="BP439" s="47">
        <v>0</v>
      </c>
      <c r="BQ439" s="47">
        <v>0</v>
      </c>
      <c r="BR439" s="47">
        <v>0</v>
      </c>
      <c r="BS439" s="47">
        <v>0</v>
      </c>
      <c r="BT439" s="47">
        <v>0</v>
      </c>
      <c r="BU439" s="47">
        <v>0</v>
      </c>
      <c r="BV439" s="47">
        <v>0</v>
      </c>
      <c r="BW439" s="47">
        <v>0</v>
      </c>
      <c r="BX439" s="47">
        <v>0</v>
      </c>
      <c r="BY439" s="47">
        <v>0</v>
      </c>
      <c r="BZ439" s="47">
        <v>0</v>
      </c>
      <c r="CA439" s="47">
        <v>0</v>
      </c>
      <c r="CB439" s="47">
        <v>0</v>
      </c>
      <c r="CC439" s="47">
        <v>0</v>
      </c>
      <c r="CD439" s="47">
        <v>0</v>
      </c>
      <c r="CE439" s="47">
        <v>0</v>
      </c>
      <c r="CF439" s="47">
        <v>0</v>
      </c>
      <c r="CG439" s="47">
        <v>0</v>
      </c>
      <c r="CH439" s="47">
        <v>0</v>
      </c>
      <c r="CI439" s="47">
        <v>0</v>
      </c>
      <c r="CJ439" s="47">
        <v>0</v>
      </c>
      <c r="CK439" s="47">
        <v>0</v>
      </c>
      <c r="CL439" s="47">
        <v>0</v>
      </c>
      <c r="CM439" s="47">
        <v>0</v>
      </c>
      <c r="CN439" s="47">
        <v>0</v>
      </c>
      <c r="CO439" s="47">
        <v>0</v>
      </c>
      <c r="CP439" s="47">
        <v>0</v>
      </c>
      <c r="CQ439" s="47">
        <v>0</v>
      </c>
      <c r="CR439" s="47">
        <v>0</v>
      </c>
      <c r="CS439" s="47">
        <v>0</v>
      </c>
      <c r="CT439" s="47">
        <v>0</v>
      </c>
      <c r="CU439" s="47">
        <v>0</v>
      </c>
      <c r="CV439" s="47">
        <v>0</v>
      </c>
      <c r="CW439" s="47">
        <v>0</v>
      </c>
      <c r="CX439" s="47">
        <v>0</v>
      </c>
      <c r="CY439" s="47">
        <v>0</v>
      </c>
      <c r="CZ439" s="47">
        <v>0</v>
      </c>
      <c r="DA439" s="47">
        <v>0</v>
      </c>
      <c r="DB439" s="47">
        <v>0</v>
      </c>
      <c r="DC439" s="47">
        <v>0</v>
      </c>
      <c r="DD439" s="47">
        <v>0</v>
      </c>
      <c r="DE439" s="47">
        <v>0</v>
      </c>
      <c r="DF439" s="47">
        <v>0</v>
      </c>
      <c r="DG439" s="47">
        <v>0</v>
      </c>
      <c r="DH439" s="47">
        <v>0</v>
      </c>
      <c r="DI439" s="47">
        <v>0</v>
      </c>
      <c r="DJ439" s="47">
        <v>0</v>
      </c>
      <c r="DK439" s="47">
        <v>0</v>
      </c>
      <c r="DL439" s="47">
        <v>0</v>
      </c>
      <c r="DM439" s="47">
        <v>0</v>
      </c>
      <c r="DN439" s="47">
        <v>0</v>
      </c>
      <c r="DO439" s="47">
        <v>0</v>
      </c>
      <c r="DP439" s="47">
        <v>0</v>
      </c>
      <c r="DQ439" s="47">
        <v>0</v>
      </c>
      <c r="DR439" s="47">
        <v>0</v>
      </c>
      <c r="DS439" s="47">
        <v>0</v>
      </c>
      <c r="DT439" s="47">
        <v>0</v>
      </c>
    </row>
    <row r="440" spans="1:126" x14ac:dyDescent="0.25">
      <c r="A440" s="47" t="s">
        <v>2092</v>
      </c>
      <c r="B440" s="47" t="s">
        <v>153</v>
      </c>
      <c r="C440" s="47" t="s">
        <v>2093</v>
      </c>
      <c r="D440" s="47" t="s">
        <v>2094</v>
      </c>
      <c r="E440" s="47" t="s">
        <v>2095</v>
      </c>
      <c r="F440" s="47" t="s">
        <v>698</v>
      </c>
      <c r="G440" s="47" t="s">
        <v>738</v>
      </c>
      <c r="H440" s="47" t="str">
        <f>=IFERROR(VLOOKUP(A440,'ETPT Format DDG'!A:J,10,FALSE),"")</f>
        <v>0</v>
      </c>
      <c r="I440" s="47" t="str">
        <f>='ETPT Format DDG'!M440</f>
        <v/>
      </c>
      <c r="J440" s="47" t="str">
        <f>='ETPT Format DDG'!D440</f>
        <v/>
      </c>
      <c r="K440" s="47" t="s">
        <v>157</v>
      </c>
      <c r="L440" s="47" t="s">
        <v>2096</v>
      </c>
      <c r="M440" s="47" t="s">
        <v>2097</v>
      </c>
      <c r="N440" s="47">
        <v>1</v>
      </c>
      <c r="O440" s="47">
        <v>1</v>
      </c>
      <c r="P440" s="47">
        <v>1</v>
      </c>
      <c r="Q440" s="47">
        <v>0</v>
      </c>
      <c r="R440" s="47">
        <v>0</v>
      </c>
      <c r="S440" s="47">
        <v>0</v>
      </c>
      <c r="T440" s="47">
        <v>0</v>
      </c>
      <c r="U440" s="47">
        <v>0</v>
      </c>
      <c r="V440" s="47">
        <v>0</v>
      </c>
      <c r="W440" s="47">
        <v>0</v>
      </c>
      <c r="X440" s="47">
        <v>0</v>
      </c>
      <c r="Y440" s="47">
        <v>0</v>
      </c>
      <c r="Z440" s="47">
        <v>0</v>
      </c>
      <c r="AA440" s="47">
        <v>0</v>
      </c>
      <c r="AB440" s="47">
        <v>0</v>
      </c>
      <c r="AC440" s="47">
        <v>0</v>
      </c>
      <c r="AD440" s="47">
        <v>0</v>
      </c>
      <c r="AE440" s="47">
        <v>0</v>
      </c>
      <c r="AF440" s="47">
        <v>0</v>
      </c>
      <c r="AG440" s="47">
        <v>0</v>
      </c>
      <c r="AH440" s="47">
        <v>0</v>
      </c>
      <c r="AI440" s="47">
        <v>0</v>
      </c>
      <c r="AJ440" s="47">
        <v>0</v>
      </c>
      <c r="AK440" s="47">
        <v>0</v>
      </c>
      <c r="AL440" s="47">
        <v>0</v>
      </c>
      <c r="AM440" s="47">
        <v>0</v>
      </c>
      <c r="AN440" s="47">
        <v>0</v>
      </c>
      <c r="AO440" s="47">
        <v>0</v>
      </c>
      <c r="AP440" s="47">
        <v>0</v>
      </c>
      <c r="AQ440" s="47">
        <v>0</v>
      </c>
      <c r="AR440" s="47">
        <v>0</v>
      </c>
      <c r="AS440" s="47">
        <v>0</v>
      </c>
      <c r="AT440" s="47">
        <v>0</v>
      </c>
      <c r="AU440" s="47">
        <v>0</v>
      </c>
      <c r="AV440" s="47">
        <v>0</v>
      </c>
      <c r="AW440" s="47">
        <v>0</v>
      </c>
      <c r="AX440" s="47">
        <v>0</v>
      </c>
      <c r="AY440" s="47">
        <v>0</v>
      </c>
      <c r="AZ440" s="47">
        <v>0</v>
      </c>
      <c r="BA440" s="47">
        <v>0</v>
      </c>
      <c r="BB440" s="47">
        <v>0</v>
      </c>
      <c r="BC440" s="47">
        <v>0</v>
      </c>
      <c r="BD440" s="47">
        <v>0</v>
      </c>
      <c r="BE440" s="47">
        <v>0</v>
      </c>
      <c r="BF440" s="47">
        <v>0</v>
      </c>
      <c r="BG440" s="47">
        <v>0</v>
      </c>
      <c r="BH440" s="47">
        <v>0</v>
      </c>
      <c r="BI440" s="47">
        <v>0</v>
      </c>
      <c r="BJ440" s="47">
        <v>0</v>
      </c>
      <c r="BK440" s="47">
        <v>0</v>
      </c>
      <c r="BL440" s="47">
        <v>0</v>
      </c>
      <c r="BM440" s="47">
        <v>0</v>
      </c>
      <c r="BN440" s="47">
        <v>0</v>
      </c>
      <c r="BO440" s="47">
        <v>0</v>
      </c>
      <c r="BP440" s="47">
        <v>0</v>
      </c>
      <c r="BQ440" s="47">
        <v>0</v>
      </c>
      <c r="BR440" s="47">
        <v>0</v>
      </c>
      <c r="BS440" s="47">
        <v>0</v>
      </c>
      <c r="BT440" s="47">
        <v>0</v>
      </c>
      <c r="BU440" s="47">
        <v>0</v>
      </c>
      <c r="BV440" s="47">
        <v>0</v>
      </c>
      <c r="BW440" s="47">
        <v>0</v>
      </c>
      <c r="BX440" s="47">
        <v>0</v>
      </c>
      <c r="BY440" s="47">
        <v>0</v>
      </c>
      <c r="BZ440" s="47">
        <v>0</v>
      </c>
      <c r="CA440" s="47">
        <v>0</v>
      </c>
      <c r="CB440" s="47">
        <v>0</v>
      </c>
      <c r="CC440" s="47">
        <v>0</v>
      </c>
      <c r="CD440" s="47">
        <v>0</v>
      </c>
      <c r="CE440" s="47">
        <v>0</v>
      </c>
      <c r="CF440" s="47">
        <v>0</v>
      </c>
      <c r="CG440" s="47">
        <v>0</v>
      </c>
      <c r="CH440" s="47">
        <v>0</v>
      </c>
      <c r="CI440" s="47">
        <v>0</v>
      </c>
      <c r="CJ440" s="47">
        <v>0</v>
      </c>
      <c r="CK440" s="47">
        <v>0</v>
      </c>
      <c r="CL440" s="47">
        <v>0</v>
      </c>
      <c r="CM440" s="47">
        <v>0</v>
      </c>
      <c r="CN440" s="47">
        <v>0</v>
      </c>
      <c r="CO440" s="47">
        <v>0</v>
      </c>
      <c r="CP440" s="47">
        <v>0</v>
      </c>
      <c r="CQ440" s="47">
        <v>0</v>
      </c>
      <c r="CR440" s="47">
        <v>0</v>
      </c>
      <c r="CS440" s="47">
        <v>0</v>
      </c>
      <c r="CT440" s="47">
        <v>0</v>
      </c>
      <c r="CU440" s="47">
        <v>0</v>
      </c>
      <c r="CV440" s="47">
        <v>0</v>
      </c>
      <c r="CW440" s="47">
        <v>0</v>
      </c>
      <c r="CX440" s="47">
        <v>0</v>
      </c>
      <c r="CY440" s="47">
        <v>0</v>
      </c>
      <c r="CZ440" s="47">
        <v>0</v>
      </c>
      <c r="DA440" s="47">
        <v>0</v>
      </c>
      <c r="DB440" s="47">
        <v>0</v>
      </c>
      <c r="DC440" s="47">
        <v>0</v>
      </c>
      <c r="DD440" s="47">
        <v>0</v>
      </c>
      <c r="DE440" s="47">
        <v>0</v>
      </c>
      <c r="DF440" s="47">
        <v>0</v>
      </c>
      <c r="DG440" s="47">
        <v>0</v>
      </c>
      <c r="DH440" s="47">
        <v>0</v>
      </c>
      <c r="DI440" s="47">
        <v>0</v>
      </c>
      <c r="DJ440" s="47">
        <v>0</v>
      </c>
      <c r="DK440" s="47">
        <v>0</v>
      </c>
      <c r="DL440" s="47">
        <v>0</v>
      </c>
      <c r="DM440" s="47">
        <v>0</v>
      </c>
      <c r="DN440" s="47">
        <v>0</v>
      </c>
      <c r="DO440" s="47">
        <v>0</v>
      </c>
      <c r="DP440" s="47">
        <v>0</v>
      </c>
      <c r="DQ440" s="47">
        <v>0</v>
      </c>
      <c r="DR440" s="47">
        <v>0</v>
      </c>
      <c r="DS440" s="47">
        <v>0</v>
      </c>
      <c r="DT440" s="47">
        <v>0</v>
      </c>
    </row>
    <row r="441" spans="1:126" x14ac:dyDescent="0.25">
      <c r="A441" s="47" t="s">
        <v>2098</v>
      </c>
      <c r="B441" s="47" t="s">
        <v>153</v>
      </c>
      <c r="C441" s="47" t="s">
        <v>2099</v>
      </c>
      <c r="D441" s="47" t="s">
        <v>2100</v>
      </c>
      <c r="E441" s="47" t="s">
        <v>2101</v>
      </c>
      <c r="F441" s="47" t="s">
        <v>698</v>
      </c>
      <c r="G441" s="47" t="s">
        <v>705</v>
      </c>
      <c r="H441" s="47" t="str">
        <f>=IFERROR(VLOOKUP(A441,'ETPT Format DDG'!A:J,10,FALSE),"")</f>
        <v>0</v>
      </c>
      <c r="I441" s="47" t="str">
        <f>='ETPT Format DDG'!M441</f>
        <v/>
      </c>
      <c r="J441" s="47" t="str">
        <f>='ETPT Format DDG'!D441</f>
        <v/>
      </c>
      <c r="K441" s="47" t="s">
        <v>157</v>
      </c>
      <c r="L441" s="47" t="s">
        <v>1053</v>
      </c>
      <c r="M441" s="47"/>
      <c r="N441" s="47">
        <v>0.8</v>
      </c>
      <c r="O441" s="47">
        <v>0</v>
      </c>
      <c r="P441" s="47">
        <v>0</v>
      </c>
      <c r="Q441" s="47">
        <v>0</v>
      </c>
      <c r="R441" s="47">
        <v>0</v>
      </c>
      <c r="S441" s="47">
        <v>0</v>
      </c>
      <c r="T441" s="47">
        <v>0</v>
      </c>
      <c r="U441" s="47">
        <v>0</v>
      </c>
      <c r="V441" s="47">
        <v>0</v>
      </c>
      <c r="W441" s="47">
        <v>0</v>
      </c>
      <c r="X441" s="47">
        <v>0</v>
      </c>
      <c r="Y441" s="47">
        <v>0</v>
      </c>
      <c r="Z441" s="47">
        <v>0</v>
      </c>
      <c r="AA441" s="47">
        <v>0</v>
      </c>
      <c r="AB441" s="47">
        <v>0</v>
      </c>
      <c r="AC441" s="47">
        <v>0</v>
      </c>
      <c r="AD441" s="47">
        <v>0</v>
      </c>
      <c r="AE441" s="47">
        <v>0</v>
      </c>
      <c r="AF441" s="47">
        <v>0</v>
      </c>
      <c r="AG441" s="47">
        <v>0</v>
      </c>
      <c r="AH441" s="47">
        <v>0</v>
      </c>
      <c r="AI441" s="47">
        <v>0</v>
      </c>
      <c r="AJ441" s="47">
        <v>0</v>
      </c>
      <c r="AK441" s="47">
        <v>0</v>
      </c>
      <c r="AL441" s="47">
        <v>0</v>
      </c>
      <c r="AM441" s="47">
        <v>0</v>
      </c>
      <c r="AN441" s="47">
        <v>0</v>
      </c>
      <c r="AO441" s="47">
        <v>0</v>
      </c>
      <c r="AP441" s="47">
        <v>0</v>
      </c>
      <c r="AQ441" s="47">
        <v>0</v>
      </c>
      <c r="AR441" s="47">
        <v>0</v>
      </c>
      <c r="AS441" s="47">
        <v>0</v>
      </c>
      <c r="AT441" s="47">
        <v>0</v>
      </c>
      <c r="AU441" s="47">
        <v>0</v>
      </c>
      <c r="AV441" s="47">
        <v>0</v>
      </c>
      <c r="AW441" s="47">
        <v>0</v>
      </c>
      <c r="AX441" s="47">
        <v>0</v>
      </c>
      <c r="AY441" s="47">
        <v>0</v>
      </c>
      <c r="AZ441" s="47">
        <v>0</v>
      </c>
      <c r="BA441" s="47">
        <v>0</v>
      </c>
      <c r="BB441" s="47">
        <v>0</v>
      </c>
      <c r="BC441" s="47">
        <v>0</v>
      </c>
      <c r="BD441" s="47">
        <v>0</v>
      </c>
      <c r="BE441" s="47">
        <v>0</v>
      </c>
      <c r="BF441" s="47">
        <v>0</v>
      </c>
      <c r="BG441" s="47">
        <v>0</v>
      </c>
      <c r="BH441" s="47">
        <v>0</v>
      </c>
      <c r="BI441" s="47">
        <v>0</v>
      </c>
      <c r="BJ441" s="47">
        <v>0</v>
      </c>
      <c r="BK441" s="47">
        <v>0</v>
      </c>
      <c r="BL441" s="47">
        <v>0</v>
      </c>
      <c r="BM441" s="47">
        <v>0</v>
      </c>
      <c r="BN441" s="47">
        <v>0</v>
      </c>
      <c r="BO441" s="47">
        <v>0</v>
      </c>
      <c r="BP441" s="47">
        <v>0</v>
      </c>
      <c r="BQ441" s="47">
        <v>0</v>
      </c>
      <c r="BR441" s="47">
        <v>0</v>
      </c>
      <c r="BS441" s="47">
        <v>0</v>
      </c>
      <c r="BT441" s="47">
        <v>0</v>
      </c>
      <c r="BU441" s="47">
        <v>0</v>
      </c>
      <c r="BV441" s="47">
        <v>0</v>
      </c>
      <c r="BW441" s="47">
        <v>0</v>
      </c>
      <c r="BX441" s="47">
        <v>0</v>
      </c>
      <c r="BY441" s="47">
        <v>0</v>
      </c>
      <c r="BZ441" s="47">
        <v>0</v>
      </c>
      <c r="CA441" s="47">
        <v>0</v>
      </c>
      <c r="CB441" s="47">
        <v>0</v>
      </c>
      <c r="CC441" s="47">
        <v>0</v>
      </c>
      <c r="CD441" s="47">
        <v>0</v>
      </c>
      <c r="CE441" s="47">
        <v>0</v>
      </c>
      <c r="CF441" s="47">
        <v>0</v>
      </c>
      <c r="CG441" s="47">
        <v>0</v>
      </c>
      <c r="CH441" s="47">
        <v>0</v>
      </c>
      <c r="CI441" s="47">
        <v>0</v>
      </c>
      <c r="CJ441" s="47">
        <v>0</v>
      </c>
      <c r="CK441" s="47">
        <v>0</v>
      </c>
      <c r="CL441" s="47">
        <v>0</v>
      </c>
      <c r="CM441" s="47">
        <v>0</v>
      </c>
      <c r="CN441" s="47">
        <v>0</v>
      </c>
      <c r="CO441" s="47">
        <v>0</v>
      </c>
      <c r="CP441" s="47">
        <v>0</v>
      </c>
      <c r="CQ441" s="47">
        <v>0</v>
      </c>
      <c r="CR441" s="47">
        <v>0</v>
      </c>
      <c r="CS441" s="47">
        <v>0</v>
      </c>
      <c r="CT441" s="47">
        <v>0</v>
      </c>
      <c r="CU441" s="47">
        <v>0</v>
      </c>
      <c r="CV441" s="47">
        <v>0</v>
      </c>
      <c r="CW441" s="47">
        <v>0</v>
      </c>
      <c r="CX441" s="47">
        <v>0</v>
      </c>
      <c r="CY441" s="47">
        <v>0</v>
      </c>
      <c r="CZ441" s="47">
        <v>0</v>
      </c>
      <c r="DA441" s="47">
        <v>0</v>
      </c>
      <c r="DB441" s="47">
        <v>0</v>
      </c>
      <c r="DC441" s="47">
        <v>0</v>
      </c>
      <c r="DD441" s="47">
        <v>0</v>
      </c>
      <c r="DE441" s="47">
        <v>0</v>
      </c>
      <c r="DF441" s="47">
        <v>0</v>
      </c>
      <c r="DG441" s="47">
        <v>0</v>
      </c>
      <c r="DH441" s="47">
        <v>0</v>
      </c>
      <c r="DI441" s="47">
        <v>0</v>
      </c>
      <c r="DJ441" s="47">
        <v>0</v>
      </c>
      <c r="DK441" s="47">
        <v>0</v>
      </c>
      <c r="DL441" s="47">
        <v>0</v>
      </c>
      <c r="DM441" s="47">
        <v>0</v>
      </c>
      <c r="DN441" s="47">
        <v>0</v>
      </c>
      <c r="DO441" s="47">
        <v>0</v>
      </c>
      <c r="DP441" s="47">
        <v>0</v>
      </c>
      <c r="DQ441" s="47">
        <v>0</v>
      </c>
      <c r="DR441" s="47">
        <v>0</v>
      </c>
      <c r="DS441" s="47">
        <v>0</v>
      </c>
      <c r="DT441" s="47">
        <v>0</v>
      </c>
    </row>
    <row r="442" spans="1:126" x14ac:dyDescent="0.25">
      <c r="A442" s="47" t="s">
        <v>2102</v>
      </c>
      <c r="B442" s="47" t="s">
        <v>153</v>
      </c>
      <c r="C442" s="47" t="s">
        <v>2103</v>
      </c>
      <c r="D442" s="47" t="s">
        <v>2104</v>
      </c>
      <c r="E442" s="47" t="s">
        <v>2105</v>
      </c>
      <c r="F442" s="47" t="s">
        <v>698</v>
      </c>
      <c r="G442" s="47" t="s">
        <v>727</v>
      </c>
      <c r="H442" s="47" t="str">
        <f>=IFERROR(VLOOKUP(A442,'ETPT Format DDG'!A:J,10,FALSE),"")</f>
        <v>0</v>
      </c>
      <c r="I442" s="47" t="str">
        <f>='ETPT Format DDG'!M442</f>
        <v/>
      </c>
      <c r="J442" s="47" t="str">
        <f>='ETPT Format DDG'!D442</f>
        <v/>
      </c>
      <c r="K442" s="47" t="s">
        <v>157</v>
      </c>
      <c r="L442" s="47" t="s">
        <v>1053</v>
      </c>
      <c r="M442" s="47"/>
      <c r="N442" s="47">
        <v>0.8</v>
      </c>
      <c r="O442" s="47">
        <v>0.8</v>
      </c>
      <c r="P442" s="47">
        <v>0</v>
      </c>
      <c r="Q442" s="47">
        <v>0</v>
      </c>
      <c r="R442" s="47">
        <v>0</v>
      </c>
      <c r="S442" s="47">
        <v>0</v>
      </c>
      <c r="T442" s="47">
        <v>0</v>
      </c>
      <c r="U442" s="47">
        <v>0</v>
      </c>
      <c r="V442" s="47">
        <v>0</v>
      </c>
      <c r="W442" s="47">
        <v>0</v>
      </c>
      <c r="X442" s="47">
        <v>0</v>
      </c>
      <c r="Y442" s="47">
        <v>0</v>
      </c>
      <c r="Z442" s="47">
        <v>0</v>
      </c>
      <c r="AA442" s="47">
        <v>0</v>
      </c>
      <c r="AB442" s="47">
        <v>0</v>
      </c>
      <c r="AC442" s="47">
        <v>0</v>
      </c>
      <c r="AD442" s="47">
        <v>0</v>
      </c>
      <c r="AE442" s="47">
        <v>0</v>
      </c>
      <c r="AF442" s="47">
        <v>0</v>
      </c>
      <c r="AG442" s="47">
        <v>0</v>
      </c>
      <c r="AH442" s="47">
        <v>0</v>
      </c>
      <c r="AI442" s="47">
        <v>0</v>
      </c>
      <c r="AJ442" s="47">
        <v>0</v>
      </c>
      <c r="AK442" s="47">
        <v>0</v>
      </c>
      <c r="AL442" s="47">
        <v>0</v>
      </c>
      <c r="AM442" s="47">
        <v>0</v>
      </c>
      <c r="AN442" s="47">
        <v>0</v>
      </c>
      <c r="AO442" s="47">
        <v>0</v>
      </c>
      <c r="AP442" s="47">
        <v>0</v>
      </c>
      <c r="AQ442" s="47">
        <v>0</v>
      </c>
      <c r="AR442" s="47">
        <v>0</v>
      </c>
      <c r="AS442" s="47">
        <v>0</v>
      </c>
      <c r="AT442" s="47">
        <v>0</v>
      </c>
      <c r="AU442" s="47">
        <v>0</v>
      </c>
      <c r="AV442" s="47">
        <v>0</v>
      </c>
      <c r="AW442" s="47">
        <v>0</v>
      </c>
      <c r="AX442" s="47">
        <v>0</v>
      </c>
      <c r="AY442" s="47">
        <v>0</v>
      </c>
      <c r="AZ442" s="47">
        <v>0</v>
      </c>
      <c r="BA442" s="47">
        <v>0</v>
      </c>
      <c r="BB442" s="47">
        <v>0</v>
      </c>
      <c r="BC442" s="47">
        <v>0</v>
      </c>
      <c r="BD442" s="47">
        <v>0</v>
      </c>
      <c r="BE442" s="47">
        <v>0</v>
      </c>
      <c r="BF442" s="47">
        <v>0</v>
      </c>
      <c r="BG442" s="47">
        <v>0</v>
      </c>
      <c r="BH442" s="47">
        <v>0</v>
      </c>
      <c r="BI442" s="47">
        <v>0</v>
      </c>
      <c r="BJ442" s="47">
        <v>0</v>
      </c>
      <c r="BK442" s="47">
        <v>0</v>
      </c>
      <c r="BL442" s="47">
        <v>0</v>
      </c>
      <c r="BM442" s="47">
        <v>0</v>
      </c>
      <c r="BN442" s="47">
        <v>0</v>
      </c>
      <c r="BO442" s="47">
        <v>0</v>
      </c>
      <c r="BP442" s="47">
        <v>0</v>
      </c>
      <c r="BQ442" s="47">
        <v>0</v>
      </c>
      <c r="BR442" s="47">
        <v>0</v>
      </c>
      <c r="BS442" s="47">
        <v>0</v>
      </c>
      <c r="BT442" s="47">
        <v>0</v>
      </c>
      <c r="BU442" s="47">
        <v>0</v>
      </c>
      <c r="BV442" s="47">
        <v>0</v>
      </c>
      <c r="BW442" s="47">
        <v>0</v>
      </c>
      <c r="BX442" s="47">
        <v>0</v>
      </c>
      <c r="BY442" s="47">
        <v>0</v>
      </c>
      <c r="BZ442" s="47">
        <v>0</v>
      </c>
      <c r="CA442" s="47">
        <v>0</v>
      </c>
      <c r="CB442" s="47">
        <v>0</v>
      </c>
      <c r="CC442" s="47">
        <v>0</v>
      </c>
      <c r="CD442" s="47">
        <v>0</v>
      </c>
      <c r="CE442" s="47">
        <v>0</v>
      </c>
      <c r="CF442" s="47">
        <v>0</v>
      </c>
      <c r="CG442" s="47">
        <v>0</v>
      </c>
      <c r="CH442" s="47">
        <v>0</v>
      </c>
      <c r="CI442" s="47">
        <v>0</v>
      </c>
      <c r="CJ442" s="47">
        <v>0</v>
      </c>
      <c r="CK442" s="47">
        <v>0</v>
      </c>
      <c r="CL442" s="47">
        <v>0</v>
      </c>
      <c r="CM442" s="47">
        <v>0</v>
      </c>
      <c r="CN442" s="47">
        <v>0</v>
      </c>
      <c r="CO442" s="47">
        <v>0</v>
      </c>
      <c r="CP442" s="47">
        <v>0</v>
      </c>
      <c r="CQ442" s="47">
        <v>0</v>
      </c>
      <c r="CR442" s="47">
        <v>0</v>
      </c>
      <c r="CS442" s="47">
        <v>0</v>
      </c>
      <c r="CT442" s="47">
        <v>0.8</v>
      </c>
      <c r="CU442" s="47">
        <v>0</v>
      </c>
      <c r="CV442" s="47">
        <v>0</v>
      </c>
      <c r="CW442" s="47">
        <v>0</v>
      </c>
      <c r="CX442" s="47">
        <v>0</v>
      </c>
      <c r="CY442" s="47">
        <v>0</v>
      </c>
      <c r="CZ442" s="47">
        <v>0</v>
      </c>
      <c r="DA442" s="47">
        <v>0</v>
      </c>
      <c r="DB442" s="47">
        <v>0</v>
      </c>
      <c r="DC442" s="47">
        <v>0</v>
      </c>
      <c r="DD442" s="47">
        <v>0</v>
      </c>
      <c r="DE442" s="47">
        <v>0</v>
      </c>
      <c r="DF442" s="47">
        <v>0</v>
      </c>
      <c r="DG442" s="47">
        <v>0</v>
      </c>
      <c r="DH442" s="47">
        <v>0</v>
      </c>
      <c r="DI442" s="47">
        <v>0</v>
      </c>
      <c r="DJ442" s="47">
        <v>0</v>
      </c>
      <c r="DK442" s="47">
        <v>0</v>
      </c>
      <c r="DL442" s="47">
        <v>0</v>
      </c>
      <c r="DM442" s="47">
        <v>0</v>
      </c>
      <c r="DN442" s="47">
        <v>0</v>
      </c>
      <c r="DO442" s="47">
        <v>0</v>
      </c>
      <c r="DP442" s="47">
        <v>0</v>
      </c>
      <c r="DQ442" s="47">
        <v>0</v>
      </c>
      <c r="DR442" s="47">
        <v>0</v>
      </c>
      <c r="DS442" s="47">
        <v>0</v>
      </c>
      <c r="DT442" s="47">
        <v>0</v>
      </c>
    </row>
    <row r="443" spans="1:126" x14ac:dyDescent="0.25">
      <c r="A443" s="47" t="s">
        <v>2106</v>
      </c>
      <c r="B443" s="47" t="s">
        <v>153</v>
      </c>
      <c r="C443" s="47" t="s">
        <v>2107</v>
      </c>
      <c r="D443" s="47" t="s">
        <v>2108</v>
      </c>
      <c r="E443" s="47" t="s">
        <v>2109</v>
      </c>
      <c r="F443" s="47" t="s">
        <v>698</v>
      </c>
      <c r="G443" s="47" t="s">
        <v>727</v>
      </c>
      <c r="H443" s="47" t="str">
        <f>=IFERROR(VLOOKUP(A443,'ETPT Format DDG'!A:J,10,FALSE),"")</f>
        <v>0</v>
      </c>
      <c r="I443" s="47" t="str">
        <f>='ETPT Format DDG'!M443</f>
        <v/>
      </c>
      <c r="J443" s="47" t="str">
        <f>='ETPT Format DDG'!D443</f>
        <v/>
      </c>
      <c r="K443" s="47" t="s">
        <v>157</v>
      </c>
      <c r="L443" s="47" t="s">
        <v>2110</v>
      </c>
      <c r="M443" s="47"/>
      <c r="N443" s="47">
        <v>1</v>
      </c>
      <c r="O443" s="47">
        <v>1</v>
      </c>
      <c r="P443" s="47">
        <v>0</v>
      </c>
      <c r="Q443" s="47">
        <v>0</v>
      </c>
      <c r="R443" s="47">
        <v>0</v>
      </c>
      <c r="S443" s="47">
        <v>0</v>
      </c>
      <c r="T443" s="47">
        <v>0</v>
      </c>
      <c r="U443" s="47">
        <v>0</v>
      </c>
      <c r="V443" s="47">
        <v>0</v>
      </c>
      <c r="W443" s="47">
        <v>0</v>
      </c>
      <c r="X443" s="47">
        <v>0</v>
      </c>
      <c r="Y443" s="47">
        <v>0</v>
      </c>
      <c r="Z443" s="47">
        <v>0</v>
      </c>
      <c r="AA443" s="47">
        <v>0</v>
      </c>
      <c r="AB443" s="47">
        <v>0</v>
      </c>
      <c r="AC443" s="47">
        <v>0</v>
      </c>
      <c r="AD443" s="47">
        <v>0</v>
      </c>
      <c r="AE443" s="47">
        <v>0</v>
      </c>
      <c r="AF443" s="47">
        <v>0</v>
      </c>
      <c r="AG443" s="47">
        <v>0</v>
      </c>
      <c r="AH443" s="47">
        <v>0</v>
      </c>
      <c r="AI443" s="47">
        <v>0</v>
      </c>
      <c r="AJ443" s="47">
        <v>0</v>
      </c>
      <c r="AK443" s="47">
        <v>0</v>
      </c>
      <c r="AL443" s="47">
        <v>0</v>
      </c>
      <c r="AM443" s="47">
        <v>0</v>
      </c>
      <c r="AN443" s="47">
        <v>0</v>
      </c>
      <c r="AO443" s="47">
        <v>0</v>
      </c>
      <c r="AP443" s="47">
        <v>0</v>
      </c>
      <c r="AQ443" s="47">
        <v>0</v>
      </c>
      <c r="AR443" s="47">
        <v>0</v>
      </c>
      <c r="AS443" s="47">
        <v>0</v>
      </c>
      <c r="AT443" s="47">
        <v>0</v>
      </c>
      <c r="AU443" s="47">
        <v>0</v>
      </c>
      <c r="AV443" s="47">
        <v>0</v>
      </c>
      <c r="AW443" s="47">
        <v>0</v>
      </c>
      <c r="AX443" s="47">
        <v>0</v>
      </c>
      <c r="AY443" s="47">
        <v>0</v>
      </c>
      <c r="AZ443" s="47">
        <v>0</v>
      </c>
      <c r="BA443" s="47">
        <v>0</v>
      </c>
      <c r="BB443" s="47">
        <v>0</v>
      </c>
      <c r="BC443" s="47">
        <v>0</v>
      </c>
      <c r="BD443" s="47">
        <v>0</v>
      </c>
      <c r="BE443" s="47">
        <v>0</v>
      </c>
      <c r="BF443" s="47">
        <v>0</v>
      </c>
      <c r="BG443" s="47">
        <v>0</v>
      </c>
      <c r="BH443" s="47">
        <v>0</v>
      </c>
      <c r="BI443" s="47">
        <v>0</v>
      </c>
      <c r="BJ443" s="47">
        <v>0</v>
      </c>
      <c r="BK443" s="47">
        <v>0</v>
      </c>
      <c r="BL443" s="47">
        <v>1</v>
      </c>
      <c r="BM443" s="47">
        <v>0</v>
      </c>
      <c r="BN443" s="47">
        <v>0</v>
      </c>
      <c r="BO443" s="47">
        <v>0</v>
      </c>
      <c r="BP443" s="47">
        <v>0</v>
      </c>
      <c r="BQ443" s="47">
        <v>0</v>
      </c>
      <c r="BR443" s="47">
        <v>0</v>
      </c>
      <c r="BS443" s="47">
        <v>0</v>
      </c>
      <c r="BT443" s="47">
        <v>0</v>
      </c>
      <c r="BU443" s="47">
        <v>0</v>
      </c>
      <c r="BV443" s="47">
        <v>0</v>
      </c>
      <c r="BW443" s="47">
        <v>0</v>
      </c>
      <c r="BX443" s="47">
        <v>0</v>
      </c>
      <c r="BY443" s="47">
        <v>0</v>
      </c>
      <c r="BZ443" s="47">
        <v>0</v>
      </c>
      <c r="CA443" s="47">
        <v>0</v>
      </c>
      <c r="CB443" s="47">
        <v>0</v>
      </c>
      <c r="CC443" s="47">
        <v>0</v>
      </c>
      <c r="CD443" s="47">
        <v>0</v>
      </c>
      <c r="CE443" s="47">
        <v>0</v>
      </c>
      <c r="CF443" s="47">
        <v>0</v>
      </c>
      <c r="CG443" s="47">
        <v>0</v>
      </c>
      <c r="CH443" s="47">
        <v>0</v>
      </c>
      <c r="CI443" s="47">
        <v>0</v>
      </c>
      <c r="CJ443" s="47">
        <v>0</v>
      </c>
      <c r="CK443" s="47">
        <v>0</v>
      </c>
      <c r="CL443" s="47">
        <v>0</v>
      </c>
      <c r="CM443" s="47">
        <v>0</v>
      </c>
      <c r="CN443" s="47">
        <v>0</v>
      </c>
      <c r="CO443" s="47">
        <v>0</v>
      </c>
      <c r="CP443" s="47">
        <v>0</v>
      </c>
      <c r="CQ443" s="47">
        <v>0</v>
      </c>
      <c r="CR443" s="47">
        <v>0</v>
      </c>
      <c r="CS443" s="47">
        <v>0</v>
      </c>
      <c r="CT443" s="47">
        <v>0</v>
      </c>
      <c r="CU443" s="47">
        <v>0</v>
      </c>
      <c r="CV443" s="47">
        <v>0</v>
      </c>
      <c r="CW443" s="47">
        <v>0</v>
      </c>
      <c r="CX443" s="47">
        <v>0</v>
      </c>
      <c r="CY443" s="47">
        <v>0</v>
      </c>
      <c r="CZ443" s="47">
        <v>0</v>
      </c>
      <c r="DA443" s="47">
        <v>0</v>
      </c>
      <c r="DB443" s="47">
        <v>0</v>
      </c>
      <c r="DC443" s="47">
        <v>0</v>
      </c>
      <c r="DD443" s="47">
        <v>0</v>
      </c>
      <c r="DE443" s="47">
        <v>0</v>
      </c>
      <c r="DF443" s="47">
        <v>0</v>
      </c>
      <c r="DG443" s="47">
        <v>0</v>
      </c>
      <c r="DH443" s="47">
        <v>0</v>
      </c>
      <c r="DI443" s="47">
        <v>0</v>
      </c>
      <c r="DJ443" s="47">
        <v>0</v>
      </c>
      <c r="DK443" s="47">
        <v>0</v>
      </c>
      <c r="DL443" s="47">
        <v>0</v>
      </c>
      <c r="DM443" s="47">
        <v>0</v>
      </c>
      <c r="DN443" s="47">
        <v>0</v>
      </c>
      <c r="DO443" s="47">
        <v>0</v>
      </c>
      <c r="DP443" s="47">
        <v>0</v>
      </c>
      <c r="DQ443" s="47">
        <v>0</v>
      </c>
      <c r="DR443" s="47">
        <v>0</v>
      </c>
      <c r="DS443" s="47">
        <v>0</v>
      </c>
      <c r="DT443" s="47">
        <v>0</v>
      </c>
    </row>
    <row r="444" spans="1:126" x14ac:dyDescent="0.25">
      <c r="A444" s="47" t="s">
        <v>2111</v>
      </c>
      <c r="B444" s="47" t="s">
        <v>153</v>
      </c>
      <c r="C444" s="47" t="s">
        <v>2112</v>
      </c>
      <c r="D444" s="47" t="s">
        <v>2113</v>
      </c>
      <c r="E444" s="47" t="s">
        <v>2114</v>
      </c>
      <c r="F444" s="47" t="s">
        <v>698</v>
      </c>
      <c r="G444" s="47" t="s">
        <v>727</v>
      </c>
      <c r="H444" s="47" t="str">
        <f>=IFERROR(VLOOKUP(A444,'ETPT Format DDG'!A:J,10,FALSE),"")</f>
        <v>0</v>
      </c>
      <c r="I444" s="47" t="str">
        <f>='ETPT Format DDG'!M444</f>
        <v/>
      </c>
      <c r="J444" s="47" t="str">
        <f>='ETPT Format DDG'!D444</f>
        <v/>
      </c>
      <c r="K444" s="47" t="s">
        <v>157</v>
      </c>
      <c r="L444" s="47" t="s">
        <v>728</v>
      </c>
      <c r="M444" s="47"/>
      <c r="N444" s="47">
        <v>0.8</v>
      </c>
      <c r="O444" s="47">
        <v>0.8</v>
      </c>
      <c r="P444" s="47">
        <v>0</v>
      </c>
      <c r="Q444" s="47">
        <v>0</v>
      </c>
      <c r="R444" s="47">
        <v>0</v>
      </c>
      <c r="S444" s="47">
        <v>0</v>
      </c>
      <c r="T444" s="47">
        <v>0</v>
      </c>
      <c r="U444" s="47">
        <v>0</v>
      </c>
      <c r="V444" s="47">
        <v>0</v>
      </c>
      <c r="W444" s="47">
        <v>0</v>
      </c>
      <c r="X444" s="47">
        <v>0</v>
      </c>
      <c r="Y444" s="47">
        <v>0</v>
      </c>
      <c r="Z444" s="47">
        <v>0</v>
      </c>
      <c r="AA444" s="47">
        <v>0</v>
      </c>
      <c r="AB444" s="47">
        <v>0</v>
      </c>
      <c r="AC444" s="47">
        <v>0</v>
      </c>
      <c r="AD444" s="47">
        <v>0</v>
      </c>
      <c r="AE444" s="47">
        <v>0</v>
      </c>
      <c r="AF444" s="47">
        <v>0</v>
      </c>
      <c r="AG444" s="47">
        <v>0</v>
      </c>
      <c r="AH444" s="47">
        <v>0</v>
      </c>
      <c r="AI444" s="47">
        <v>0</v>
      </c>
      <c r="AJ444" s="47">
        <v>0</v>
      </c>
      <c r="AK444" s="47">
        <v>0</v>
      </c>
      <c r="AL444" s="47">
        <v>0</v>
      </c>
      <c r="AM444" s="47">
        <v>0</v>
      </c>
      <c r="AN444" s="47">
        <v>0.8</v>
      </c>
      <c r="AO444" s="47">
        <v>0</v>
      </c>
      <c r="AP444" s="47">
        <v>0</v>
      </c>
      <c r="AQ444" s="47">
        <v>0</v>
      </c>
      <c r="AR444" s="47">
        <v>0</v>
      </c>
      <c r="AS444" s="47">
        <v>0</v>
      </c>
      <c r="AT444" s="47">
        <v>0</v>
      </c>
      <c r="AU444" s="47">
        <v>0</v>
      </c>
      <c r="AV444" s="47">
        <v>0</v>
      </c>
      <c r="AW444" s="47">
        <v>0</v>
      </c>
      <c r="AX444" s="47">
        <v>0</v>
      </c>
      <c r="AY444" s="47">
        <v>0</v>
      </c>
      <c r="AZ444" s="47">
        <v>0</v>
      </c>
      <c r="BA444" s="47">
        <v>0</v>
      </c>
      <c r="BB444" s="47">
        <v>0</v>
      </c>
      <c r="BC444" s="47">
        <v>0</v>
      </c>
      <c r="BD444" s="47">
        <v>0</v>
      </c>
      <c r="BE444" s="47">
        <v>0</v>
      </c>
      <c r="BF444" s="47">
        <v>0</v>
      </c>
      <c r="BG444" s="47">
        <v>0</v>
      </c>
      <c r="BH444" s="47">
        <v>0</v>
      </c>
      <c r="BI444" s="47">
        <v>0</v>
      </c>
      <c r="BJ444" s="47">
        <v>0</v>
      </c>
      <c r="BK444" s="47">
        <v>0</v>
      </c>
      <c r="BL444" s="47">
        <v>0</v>
      </c>
      <c r="BM444" s="47">
        <v>0</v>
      </c>
      <c r="BN444" s="47">
        <v>0</v>
      </c>
      <c r="BO444" s="47">
        <v>0</v>
      </c>
      <c r="BP444" s="47">
        <v>0</v>
      </c>
      <c r="BQ444" s="47">
        <v>0</v>
      </c>
      <c r="BR444" s="47">
        <v>0</v>
      </c>
      <c r="BS444" s="47">
        <v>0</v>
      </c>
      <c r="BT444" s="47">
        <v>0</v>
      </c>
      <c r="BU444" s="47">
        <v>0</v>
      </c>
      <c r="BV444" s="47">
        <v>0</v>
      </c>
      <c r="BW444" s="47">
        <v>0</v>
      </c>
      <c r="BX444" s="47">
        <v>0</v>
      </c>
      <c r="BY444" s="47">
        <v>0</v>
      </c>
      <c r="BZ444" s="47">
        <v>0</v>
      </c>
      <c r="CA444" s="47">
        <v>0</v>
      </c>
      <c r="CB444" s="47">
        <v>0</v>
      </c>
      <c r="CC444" s="47">
        <v>0</v>
      </c>
      <c r="CD444" s="47">
        <v>0</v>
      </c>
      <c r="CE444" s="47">
        <v>0</v>
      </c>
      <c r="CF444" s="47">
        <v>0</v>
      </c>
      <c r="CG444" s="47">
        <v>0</v>
      </c>
      <c r="CH444" s="47">
        <v>0</v>
      </c>
      <c r="CI444" s="47">
        <v>0</v>
      </c>
      <c r="CJ444" s="47">
        <v>0</v>
      </c>
      <c r="CK444" s="47">
        <v>0</v>
      </c>
      <c r="CL444" s="47">
        <v>0</v>
      </c>
      <c r="CM444" s="47">
        <v>0</v>
      </c>
      <c r="CN444" s="47">
        <v>0</v>
      </c>
      <c r="CO444" s="47">
        <v>0</v>
      </c>
      <c r="CP444" s="47">
        <v>0</v>
      </c>
      <c r="CQ444" s="47">
        <v>0</v>
      </c>
      <c r="CR444" s="47">
        <v>0</v>
      </c>
      <c r="CS444" s="47">
        <v>0</v>
      </c>
      <c r="CT444" s="47">
        <v>0</v>
      </c>
      <c r="CU444" s="47">
        <v>0</v>
      </c>
      <c r="CV444" s="47">
        <v>0</v>
      </c>
      <c r="CW444" s="47">
        <v>0</v>
      </c>
      <c r="CX444" s="47">
        <v>0</v>
      </c>
      <c r="CY444" s="47">
        <v>0</v>
      </c>
      <c r="CZ444" s="47">
        <v>0</v>
      </c>
      <c r="DA444" s="47">
        <v>0</v>
      </c>
      <c r="DB444" s="47">
        <v>0</v>
      </c>
      <c r="DC444" s="47">
        <v>0</v>
      </c>
      <c r="DD444" s="47">
        <v>0</v>
      </c>
      <c r="DE444" s="47">
        <v>0</v>
      </c>
      <c r="DF444" s="47">
        <v>0</v>
      </c>
      <c r="DG444" s="47">
        <v>0</v>
      </c>
      <c r="DH444" s="47">
        <v>0</v>
      </c>
      <c r="DI444" s="47">
        <v>0</v>
      </c>
      <c r="DJ444" s="47">
        <v>0</v>
      </c>
      <c r="DK444" s="47">
        <v>0</v>
      </c>
      <c r="DL444" s="47">
        <v>0</v>
      </c>
      <c r="DM444" s="47">
        <v>0</v>
      </c>
      <c r="DN444" s="47">
        <v>0</v>
      </c>
      <c r="DO444" s="47">
        <v>0</v>
      </c>
      <c r="DP444" s="47">
        <v>0</v>
      </c>
      <c r="DQ444" s="47">
        <v>0</v>
      </c>
      <c r="DR444" s="47">
        <v>0</v>
      </c>
      <c r="DS444" s="47">
        <v>0</v>
      </c>
      <c r="DT444" s="47">
        <v>0</v>
      </c>
    </row>
    <row r="445" spans="1:126" x14ac:dyDescent="0.25">
      <c r="A445" s="47" t="s">
        <v>2115</v>
      </c>
      <c r="B445" s="47" t="s">
        <v>153</v>
      </c>
      <c r="C445" s="47" t="s">
        <v>2116</v>
      </c>
      <c r="D445" s="47" t="s">
        <v>2117</v>
      </c>
      <c r="E445" s="47" t="s">
        <v>2118</v>
      </c>
      <c r="F445" s="47" t="s">
        <v>698</v>
      </c>
      <c r="G445" s="47" t="s">
        <v>727</v>
      </c>
      <c r="H445" s="47" t="str">
        <f>=IFERROR(VLOOKUP(A445,'ETPT Format DDG'!A:J,10,FALSE),"")</f>
        <v>0</v>
      </c>
      <c r="I445" s="47" t="str">
        <f>='ETPT Format DDG'!M445</f>
        <v/>
      </c>
      <c r="J445" s="47" t="str">
        <f>='ETPT Format DDG'!D445</f>
        <v/>
      </c>
      <c r="K445" s="47" t="s">
        <v>157</v>
      </c>
      <c r="L445" s="47" t="s">
        <v>2119</v>
      </c>
      <c r="M445" s="47"/>
      <c r="N445" s="47">
        <v>1</v>
      </c>
      <c r="O445" s="47">
        <v>1</v>
      </c>
      <c r="P445" s="47">
        <v>0</v>
      </c>
      <c r="Q445" s="47">
        <v>0</v>
      </c>
      <c r="R445" s="47">
        <v>0</v>
      </c>
      <c r="S445" s="47">
        <v>0</v>
      </c>
      <c r="T445" s="47">
        <v>0</v>
      </c>
      <c r="U445" s="47">
        <v>0</v>
      </c>
      <c r="V445" s="47">
        <v>0</v>
      </c>
      <c r="W445" s="47">
        <v>0</v>
      </c>
      <c r="X445" s="47">
        <v>0</v>
      </c>
      <c r="Y445" s="47">
        <v>0</v>
      </c>
      <c r="Z445" s="47">
        <v>0</v>
      </c>
      <c r="AA445" s="47">
        <v>0</v>
      </c>
      <c r="AB445" s="47">
        <v>0</v>
      </c>
      <c r="AC445" s="47">
        <v>0</v>
      </c>
      <c r="AD445" s="47">
        <v>0</v>
      </c>
      <c r="AE445" s="47">
        <v>0</v>
      </c>
      <c r="AF445" s="47">
        <v>0</v>
      </c>
      <c r="AG445" s="47">
        <v>0</v>
      </c>
      <c r="AH445" s="47">
        <v>0</v>
      </c>
      <c r="AI445" s="47">
        <v>0</v>
      </c>
      <c r="AJ445" s="47">
        <v>0</v>
      </c>
      <c r="AK445" s="47">
        <v>0</v>
      </c>
      <c r="AL445" s="47">
        <v>0</v>
      </c>
      <c r="AM445" s="47">
        <v>0</v>
      </c>
      <c r="AN445" s="47">
        <v>1</v>
      </c>
      <c r="AO445" s="47">
        <v>0</v>
      </c>
      <c r="AP445" s="47">
        <v>0</v>
      </c>
      <c r="AQ445" s="47">
        <v>0</v>
      </c>
      <c r="AR445" s="47">
        <v>0</v>
      </c>
      <c r="AS445" s="47">
        <v>0</v>
      </c>
      <c r="AT445" s="47">
        <v>0</v>
      </c>
      <c r="AU445" s="47">
        <v>0</v>
      </c>
      <c r="AV445" s="47">
        <v>0</v>
      </c>
      <c r="AW445" s="47">
        <v>0</v>
      </c>
      <c r="AX445" s="47">
        <v>0</v>
      </c>
      <c r="AY445" s="47">
        <v>0</v>
      </c>
      <c r="AZ445" s="47">
        <v>0</v>
      </c>
      <c r="BA445" s="47">
        <v>0</v>
      </c>
      <c r="BB445" s="47">
        <v>0</v>
      </c>
      <c r="BC445" s="47">
        <v>0</v>
      </c>
      <c r="BD445" s="47">
        <v>0</v>
      </c>
      <c r="BE445" s="47">
        <v>0</v>
      </c>
      <c r="BF445" s="47">
        <v>0</v>
      </c>
      <c r="BG445" s="47">
        <v>0</v>
      </c>
      <c r="BH445" s="47">
        <v>0</v>
      </c>
      <c r="BI445" s="47">
        <v>0</v>
      </c>
      <c r="BJ445" s="47">
        <v>0</v>
      </c>
      <c r="BK445" s="47">
        <v>0</v>
      </c>
      <c r="BL445" s="47">
        <v>0</v>
      </c>
      <c r="BM445" s="47">
        <v>0</v>
      </c>
      <c r="BN445" s="47">
        <v>0</v>
      </c>
      <c r="BO445" s="47">
        <v>0</v>
      </c>
      <c r="BP445" s="47">
        <v>0</v>
      </c>
      <c r="BQ445" s="47">
        <v>0</v>
      </c>
      <c r="BR445" s="47">
        <v>0</v>
      </c>
      <c r="BS445" s="47">
        <v>0</v>
      </c>
      <c r="BT445" s="47">
        <v>0</v>
      </c>
      <c r="BU445" s="47">
        <v>0</v>
      </c>
      <c r="BV445" s="47">
        <v>0</v>
      </c>
      <c r="BW445" s="47">
        <v>0</v>
      </c>
      <c r="BX445" s="47">
        <v>0</v>
      </c>
      <c r="BY445" s="47">
        <v>0</v>
      </c>
      <c r="BZ445" s="47">
        <v>0</v>
      </c>
      <c r="CA445" s="47">
        <v>0</v>
      </c>
      <c r="CB445" s="47">
        <v>0</v>
      </c>
      <c r="CC445" s="47">
        <v>0</v>
      </c>
      <c r="CD445" s="47">
        <v>0</v>
      </c>
      <c r="CE445" s="47">
        <v>0</v>
      </c>
      <c r="CF445" s="47">
        <v>0</v>
      </c>
      <c r="CG445" s="47">
        <v>0</v>
      </c>
      <c r="CH445" s="47">
        <v>0</v>
      </c>
      <c r="CI445" s="47">
        <v>0</v>
      </c>
      <c r="CJ445" s="47">
        <v>0</v>
      </c>
      <c r="CK445" s="47">
        <v>0</v>
      </c>
      <c r="CL445" s="47">
        <v>0</v>
      </c>
      <c r="CM445" s="47">
        <v>0</v>
      </c>
      <c r="CN445" s="47">
        <v>0</v>
      </c>
      <c r="CO445" s="47">
        <v>0</v>
      </c>
      <c r="CP445" s="47">
        <v>0</v>
      </c>
      <c r="CQ445" s="47">
        <v>0</v>
      </c>
      <c r="CR445" s="47">
        <v>0</v>
      </c>
      <c r="CS445" s="47">
        <v>0</v>
      </c>
      <c r="CT445" s="47">
        <v>0</v>
      </c>
      <c r="CU445" s="47">
        <v>0</v>
      </c>
      <c r="CV445" s="47">
        <v>0</v>
      </c>
      <c r="CW445" s="47">
        <v>0</v>
      </c>
      <c r="CX445" s="47">
        <v>0</v>
      </c>
      <c r="CY445" s="47">
        <v>0</v>
      </c>
      <c r="CZ445" s="47">
        <v>0</v>
      </c>
      <c r="DA445" s="47">
        <v>0</v>
      </c>
      <c r="DB445" s="47">
        <v>0</v>
      </c>
      <c r="DC445" s="47">
        <v>0</v>
      </c>
      <c r="DD445" s="47">
        <v>0</v>
      </c>
      <c r="DE445" s="47">
        <v>0</v>
      </c>
      <c r="DF445" s="47">
        <v>0</v>
      </c>
      <c r="DG445" s="47">
        <v>0</v>
      </c>
      <c r="DH445" s="47">
        <v>0</v>
      </c>
      <c r="DI445" s="47">
        <v>0</v>
      </c>
      <c r="DJ445" s="47">
        <v>0</v>
      </c>
      <c r="DK445" s="47">
        <v>0</v>
      </c>
      <c r="DL445" s="47">
        <v>0</v>
      </c>
      <c r="DM445" s="47">
        <v>0</v>
      </c>
      <c r="DN445" s="47">
        <v>0</v>
      </c>
      <c r="DO445" s="47">
        <v>0</v>
      </c>
      <c r="DP445" s="47">
        <v>0</v>
      </c>
      <c r="DQ445" s="47">
        <v>0</v>
      </c>
      <c r="DR445" s="47">
        <v>0</v>
      </c>
      <c r="DS445" s="47">
        <v>0</v>
      </c>
      <c r="DT445" s="47">
        <v>0</v>
      </c>
    </row>
    <row r="446" spans="1:126" x14ac:dyDescent="0.25">
      <c r="A446" s="47" t="s">
        <v>2120</v>
      </c>
      <c r="B446" s="47" t="s">
        <v>153</v>
      </c>
      <c r="C446" s="47" t="s">
        <v>2121</v>
      </c>
      <c r="D446" s="47" t="s">
        <v>2122</v>
      </c>
      <c r="E446" s="47" t="s">
        <v>2123</v>
      </c>
      <c r="F446" s="47" t="s">
        <v>698</v>
      </c>
      <c r="G446" s="47" t="s">
        <v>705</v>
      </c>
      <c r="H446" s="47" t="str">
        <f>=IFERROR(VLOOKUP(A446,'ETPT Format DDG'!A:J,10,FALSE),"")</f>
        <v>0</v>
      </c>
      <c r="I446" s="47" t="str">
        <f>='ETPT Format DDG'!M446</f>
        <v/>
      </c>
      <c r="J446" s="47" t="str">
        <f>='ETPT Format DDG'!D446</f>
        <v/>
      </c>
      <c r="K446" s="47" t="s">
        <v>157</v>
      </c>
      <c r="L446" s="47" t="s">
        <v>700</v>
      </c>
      <c r="M446" s="47"/>
      <c r="N446" s="47">
        <v>0.8</v>
      </c>
      <c r="O446" s="47">
        <v>0</v>
      </c>
      <c r="P446" s="47">
        <v>0</v>
      </c>
      <c r="Q446" s="47">
        <v>0</v>
      </c>
      <c r="R446" s="47">
        <v>0</v>
      </c>
      <c r="S446" s="47">
        <v>0</v>
      </c>
      <c r="T446" s="47">
        <v>0</v>
      </c>
      <c r="U446" s="47">
        <v>0</v>
      </c>
      <c r="V446" s="47">
        <v>0</v>
      </c>
      <c r="W446" s="47">
        <v>0</v>
      </c>
      <c r="X446" s="47">
        <v>0</v>
      </c>
      <c r="Y446" s="47">
        <v>0</v>
      </c>
      <c r="Z446" s="47">
        <v>0</v>
      </c>
      <c r="AA446" s="47">
        <v>0</v>
      </c>
      <c r="AB446" s="47">
        <v>0</v>
      </c>
      <c r="AC446" s="47">
        <v>0</v>
      </c>
      <c r="AD446" s="47">
        <v>0</v>
      </c>
      <c r="AE446" s="47">
        <v>0</v>
      </c>
      <c r="AF446" s="47">
        <v>0</v>
      </c>
      <c r="AG446" s="47">
        <v>0</v>
      </c>
      <c r="AH446" s="47">
        <v>0</v>
      </c>
      <c r="AI446" s="47">
        <v>0</v>
      </c>
      <c r="AJ446" s="47">
        <v>0</v>
      </c>
      <c r="AK446" s="47">
        <v>0</v>
      </c>
      <c r="AL446" s="47">
        <v>0</v>
      </c>
      <c r="AM446" s="47">
        <v>0</v>
      </c>
      <c r="AN446" s="47">
        <v>0</v>
      </c>
      <c r="AO446" s="47">
        <v>0</v>
      </c>
      <c r="AP446" s="47">
        <v>0</v>
      </c>
      <c r="AQ446" s="47">
        <v>0</v>
      </c>
      <c r="AR446" s="47">
        <v>0</v>
      </c>
      <c r="AS446" s="47">
        <v>0</v>
      </c>
      <c r="AT446" s="47">
        <v>0</v>
      </c>
      <c r="AU446" s="47">
        <v>0</v>
      </c>
      <c r="AV446" s="47">
        <v>0</v>
      </c>
      <c r="AW446" s="47">
        <v>0</v>
      </c>
      <c r="AX446" s="47">
        <v>0</v>
      </c>
      <c r="AY446" s="47">
        <v>0</v>
      </c>
      <c r="AZ446" s="47">
        <v>0</v>
      </c>
      <c r="BA446" s="47">
        <v>0</v>
      </c>
      <c r="BB446" s="47">
        <v>0</v>
      </c>
      <c r="BC446" s="47">
        <v>0</v>
      </c>
      <c r="BD446" s="47">
        <v>0</v>
      </c>
      <c r="BE446" s="47">
        <v>0</v>
      </c>
      <c r="BF446" s="47">
        <v>0</v>
      </c>
      <c r="BG446" s="47">
        <v>0</v>
      </c>
      <c r="BH446" s="47">
        <v>0</v>
      </c>
      <c r="BI446" s="47">
        <v>0</v>
      </c>
      <c r="BJ446" s="47">
        <v>0</v>
      </c>
      <c r="BK446" s="47">
        <v>0</v>
      </c>
      <c r="BL446" s="47">
        <v>0</v>
      </c>
      <c r="BM446" s="47">
        <v>0</v>
      </c>
      <c r="BN446" s="47">
        <v>0</v>
      </c>
      <c r="BO446" s="47">
        <v>0</v>
      </c>
      <c r="BP446" s="47">
        <v>0</v>
      </c>
      <c r="BQ446" s="47">
        <v>0</v>
      </c>
      <c r="BR446" s="47">
        <v>0</v>
      </c>
      <c r="BS446" s="47">
        <v>0</v>
      </c>
      <c r="BT446" s="47">
        <v>0</v>
      </c>
      <c r="BU446" s="47">
        <v>0</v>
      </c>
      <c r="BV446" s="47">
        <v>0</v>
      </c>
      <c r="BW446" s="47">
        <v>0</v>
      </c>
      <c r="BX446" s="47">
        <v>0</v>
      </c>
      <c r="BY446" s="47">
        <v>0</v>
      </c>
      <c r="BZ446" s="47">
        <v>0</v>
      </c>
      <c r="CA446" s="47">
        <v>0</v>
      </c>
      <c r="CB446" s="47">
        <v>0</v>
      </c>
      <c r="CC446" s="47">
        <v>0</v>
      </c>
      <c r="CD446" s="47">
        <v>0</v>
      </c>
      <c r="CE446" s="47">
        <v>0</v>
      </c>
      <c r="CF446" s="47">
        <v>0</v>
      </c>
      <c r="CG446" s="47">
        <v>0</v>
      </c>
      <c r="CH446" s="47">
        <v>0</v>
      </c>
      <c r="CI446" s="47">
        <v>0</v>
      </c>
      <c r="CJ446" s="47">
        <v>0</v>
      </c>
      <c r="CK446" s="47">
        <v>0</v>
      </c>
      <c r="CL446" s="47">
        <v>0</v>
      </c>
      <c r="CM446" s="47">
        <v>0</v>
      </c>
      <c r="CN446" s="47">
        <v>0</v>
      </c>
      <c r="CO446" s="47">
        <v>0</v>
      </c>
      <c r="CP446" s="47">
        <v>0</v>
      </c>
      <c r="CQ446" s="47">
        <v>0</v>
      </c>
      <c r="CR446" s="47">
        <v>0</v>
      </c>
      <c r="CS446" s="47">
        <v>0</v>
      </c>
      <c r="CT446" s="47">
        <v>0</v>
      </c>
      <c r="CU446" s="47">
        <v>0</v>
      </c>
      <c r="CV446" s="47">
        <v>0</v>
      </c>
      <c r="CW446" s="47">
        <v>0</v>
      </c>
      <c r="CX446" s="47">
        <v>0</v>
      </c>
      <c r="CY446" s="47">
        <v>0</v>
      </c>
      <c r="CZ446" s="47">
        <v>0</v>
      </c>
      <c r="DA446" s="47">
        <v>0</v>
      </c>
      <c r="DB446" s="47">
        <v>0</v>
      </c>
      <c r="DC446" s="47">
        <v>0</v>
      </c>
      <c r="DD446" s="47">
        <v>0</v>
      </c>
      <c r="DE446" s="47">
        <v>0</v>
      </c>
      <c r="DF446" s="47">
        <v>0</v>
      </c>
      <c r="DG446" s="47">
        <v>0</v>
      </c>
      <c r="DH446" s="47">
        <v>0</v>
      </c>
      <c r="DI446" s="47">
        <v>0</v>
      </c>
      <c r="DJ446" s="47">
        <v>0</v>
      </c>
      <c r="DK446" s="47">
        <v>0</v>
      </c>
      <c r="DL446" s="47">
        <v>0</v>
      </c>
      <c r="DM446" s="47">
        <v>0</v>
      </c>
      <c r="DN446" s="47">
        <v>0</v>
      </c>
      <c r="DO446" s="47">
        <v>0</v>
      </c>
      <c r="DP446" s="47">
        <v>0</v>
      </c>
      <c r="DQ446" s="47">
        <v>0</v>
      </c>
      <c r="DR446" s="47">
        <v>0</v>
      </c>
      <c r="DS446" s="47">
        <v>0</v>
      </c>
      <c r="DT446" s="47">
        <v>0</v>
      </c>
    </row>
    <row r="447" spans="1:126" x14ac:dyDescent="0.25">
      <c r="A447" s="47" t="s">
        <v>2124</v>
      </c>
      <c r="B447" s="47" t="s">
        <v>153</v>
      </c>
      <c r="C447" s="47" t="s">
        <v>2125</v>
      </c>
      <c r="D447" s="47" t="s">
        <v>2126</v>
      </c>
      <c r="E447" s="47" t="s">
        <v>2127</v>
      </c>
      <c r="F447" s="47" t="s">
        <v>698</v>
      </c>
      <c r="G447" s="47" t="s">
        <v>705</v>
      </c>
      <c r="H447" s="47" t="str">
        <f>=IFERROR(VLOOKUP(A447,'ETPT Format DDG'!A:J,10,FALSE),"")</f>
        <v>0</v>
      </c>
      <c r="I447" s="47" t="str">
        <f>='ETPT Format DDG'!M447</f>
        <v/>
      </c>
      <c r="J447" s="47" t="str">
        <f>='ETPT Format DDG'!D447</f>
        <v/>
      </c>
      <c r="K447" s="47" t="s">
        <v>157</v>
      </c>
      <c r="L447" s="47" t="s">
        <v>2128</v>
      </c>
      <c r="M447" s="47"/>
      <c r="N447" s="47">
        <v>1</v>
      </c>
      <c r="O447" s="47">
        <v>0</v>
      </c>
      <c r="P447" s="47">
        <v>0</v>
      </c>
      <c r="Q447" s="47">
        <v>0</v>
      </c>
      <c r="R447" s="47">
        <v>0</v>
      </c>
      <c r="S447" s="47">
        <v>0</v>
      </c>
      <c r="T447" s="47">
        <v>0</v>
      </c>
      <c r="U447" s="47">
        <v>0</v>
      </c>
      <c r="V447" s="47">
        <v>0</v>
      </c>
      <c r="W447" s="47">
        <v>0</v>
      </c>
      <c r="X447" s="47">
        <v>0</v>
      </c>
      <c r="Y447" s="47">
        <v>0</v>
      </c>
      <c r="Z447" s="47">
        <v>0</v>
      </c>
      <c r="AA447" s="47">
        <v>0</v>
      </c>
      <c r="AB447" s="47">
        <v>0</v>
      </c>
      <c r="AC447" s="47">
        <v>0</v>
      </c>
      <c r="AD447" s="47">
        <v>0</v>
      </c>
      <c r="AE447" s="47">
        <v>0</v>
      </c>
      <c r="AF447" s="47">
        <v>0</v>
      </c>
      <c r="AG447" s="47">
        <v>0</v>
      </c>
      <c r="AH447" s="47">
        <v>0</v>
      </c>
      <c r="AI447" s="47">
        <v>0</v>
      </c>
      <c r="AJ447" s="47">
        <v>0</v>
      </c>
      <c r="AK447" s="47">
        <v>0</v>
      </c>
      <c r="AL447" s="47">
        <v>0</v>
      </c>
      <c r="AM447" s="47">
        <v>0</v>
      </c>
      <c r="AN447" s="47">
        <v>0</v>
      </c>
      <c r="AO447" s="47">
        <v>0</v>
      </c>
      <c r="AP447" s="47">
        <v>0</v>
      </c>
      <c r="AQ447" s="47">
        <v>0</v>
      </c>
      <c r="AR447" s="47">
        <v>0</v>
      </c>
      <c r="AS447" s="47">
        <v>0</v>
      </c>
      <c r="AT447" s="47">
        <v>0</v>
      </c>
      <c r="AU447" s="47">
        <v>0</v>
      </c>
      <c r="AV447" s="47">
        <v>0</v>
      </c>
      <c r="AW447" s="47">
        <v>0</v>
      </c>
      <c r="AX447" s="47">
        <v>0</v>
      </c>
      <c r="AY447" s="47">
        <v>0</v>
      </c>
      <c r="AZ447" s="47">
        <v>0</v>
      </c>
      <c r="BA447" s="47">
        <v>0</v>
      </c>
      <c r="BB447" s="47">
        <v>0</v>
      </c>
      <c r="BC447" s="47">
        <v>0</v>
      </c>
      <c r="BD447" s="47">
        <v>0</v>
      </c>
      <c r="BE447" s="47">
        <v>0</v>
      </c>
      <c r="BF447" s="47">
        <v>0</v>
      </c>
      <c r="BG447" s="47">
        <v>0</v>
      </c>
      <c r="BH447" s="47">
        <v>0</v>
      </c>
      <c r="BI447" s="47">
        <v>0</v>
      </c>
      <c r="BJ447" s="47">
        <v>0</v>
      </c>
      <c r="BK447" s="47">
        <v>0</v>
      </c>
      <c r="BL447" s="47">
        <v>0</v>
      </c>
      <c r="BM447" s="47">
        <v>0</v>
      </c>
      <c r="BN447" s="47">
        <v>0</v>
      </c>
      <c r="BO447" s="47">
        <v>0</v>
      </c>
      <c r="BP447" s="47">
        <v>0</v>
      </c>
      <c r="BQ447" s="47">
        <v>0</v>
      </c>
      <c r="BR447" s="47">
        <v>0</v>
      </c>
      <c r="BS447" s="47">
        <v>0</v>
      </c>
      <c r="BT447" s="47">
        <v>0</v>
      </c>
      <c r="BU447" s="47">
        <v>0</v>
      </c>
      <c r="BV447" s="47">
        <v>0</v>
      </c>
      <c r="BW447" s="47">
        <v>0</v>
      </c>
      <c r="BX447" s="47">
        <v>0</v>
      </c>
      <c r="BY447" s="47">
        <v>0</v>
      </c>
      <c r="BZ447" s="47">
        <v>0</v>
      </c>
      <c r="CA447" s="47">
        <v>0</v>
      </c>
      <c r="CB447" s="47">
        <v>0</v>
      </c>
      <c r="CC447" s="47">
        <v>0</v>
      </c>
      <c r="CD447" s="47">
        <v>0</v>
      </c>
      <c r="CE447" s="47">
        <v>0</v>
      </c>
      <c r="CF447" s="47">
        <v>0</v>
      </c>
      <c r="CG447" s="47">
        <v>0</v>
      </c>
      <c r="CH447" s="47">
        <v>0</v>
      </c>
      <c r="CI447" s="47">
        <v>0</v>
      </c>
      <c r="CJ447" s="47">
        <v>0</v>
      </c>
      <c r="CK447" s="47">
        <v>0</v>
      </c>
      <c r="CL447" s="47">
        <v>0</v>
      </c>
      <c r="CM447" s="47">
        <v>0</v>
      </c>
      <c r="CN447" s="47">
        <v>0</v>
      </c>
      <c r="CO447" s="47">
        <v>0</v>
      </c>
      <c r="CP447" s="47">
        <v>0</v>
      </c>
      <c r="CQ447" s="47">
        <v>0</v>
      </c>
      <c r="CR447" s="47">
        <v>0</v>
      </c>
      <c r="CS447" s="47">
        <v>0</v>
      </c>
      <c r="CT447" s="47">
        <v>0</v>
      </c>
      <c r="CU447" s="47">
        <v>0</v>
      </c>
      <c r="CV447" s="47">
        <v>0</v>
      </c>
      <c r="CW447" s="47">
        <v>0</v>
      </c>
      <c r="CX447" s="47">
        <v>0</v>
      </c>
      <c r="CY447" s="47">
        <v>0</v>
      </c>
      <c r="CZ447" s="47">
        <v>0</v>
      </c>
      <c r="DA447" s="47">
        <v>0</v>
      </c>
      <c r="DB447" s="47">
        <v>0</v>
      </c>
      <c r="DC447" s="47">
        <v>0</v>
      </c>
      <c r="DD447" s="47">
        <v>0</v>
      </c>
      <c r="DE447" s="47">
        <v>0</v>
      </c>
      <c r="DF447" s="47">
        <v>0</v>
      </c>
      <c r="DG447" s="47">
        <v>0</v>
      </c>
      <c r="DH447" s="47">
        <v>0</v>
      </c>
      <c r="DI447" s="47">
        <v>0</v>
      </c>
      <c r="DJ447" s="47">
        <v>0</v>
      </c>
      <c r="DK447" s="47">
        <v>0</v>
      </c>
      <c r="DL447" s="47">
        <v>0</v>
      </c>
      <c r="DM447" s="47">
        <v>0</v>
      </c>
      <c r="DN447" s="47">
        <v>0</v>
      </c>
      <c r="DO447" s="47">
        <v>0</v>
      </c>
      <c r="DP447" s="47">
        <v>0</v>
      </c>
      <c r="DQ447" s="47">
        <v>0</v>
      </c>
      <c r="DR447" s="47">
        <v>0</v>
      </c>
      <c r="DS447" s="47">
        <v>0</v>
      </c>
      <c r="DT447" s="47">
        <v>0</v>
      </c>
    </row>
    <row r="448" spans="1:126" x14ac:dyDescent="0.25">
      <c r="A448" s="47" t="s">
        <v>2129</v>
      </c>
      <c r="B448" s="47" t="s">
        <v>153</v>
      </c>
      <c r="C448" s="47" t="s">
        <v>2130</v>
      </c>
      <c r="D448" s="47" t="s">
        <v>2131</v>
      </c>
      <c r="E448" s="47" t="s">
        <v>2132</v>
      </c>
      <c r="F448" s="47" t="s">
        <v>698</v>
      </c>
      <c r="G448" s="47" t="s">
        <v>727</v>
      </c>
      <c r="H448" s="47" t="str">
        <f>=IFERROR(VLOOKUP(A448,'ETPT Format DDG'!A:J,10,FALSE),"")</f>
        <v>0</v>
      </c>
      <c r="I448" s="47" t="str">
        <f>='ETPT Format DDG'!M448</f>
        <v/>
      </c>
      <c r="J448" s="47" t="str">
        <f>='ETPT Format DDG'!D448</f>
        <v/>
      </c>
      <c r="K448" s="47" t="s">
        <v>157</v>
      </c>
      <c r="L448" s="47" t="s">
        <v>836</v>
      </c>
      <c r="M448" s="47"/>
      <c r="N448" s="47">
        <v>0.8</v>
      </c>
      <c r="O448" s="47">
        <v>0.8</v>
      </c>
      <c r="P448" s="47">
        <v>0</v>
      </c>
      <c r="Q448" s="47">
        <v>0</v>
      </c>
      <c r="R448" s="47">
        <v>0</v>
      </c>
      <c r="S448" s="47">
        <v>0</v>
      </c>
      <c r="T448" s="47">
        <v>0</v>
      </c>
      <c r="U448" s="47">
        <v>0</v>
      </c>
      <c r="V448" s="47">
        <v>0</v>
      </c>
      <c r="W448" s="47">
        <v>0</v>
      </c>
      <c r="X448" s="47">
        <v>0</v>
      </c>
      <c r="Y448" s="47">
        <v>0</v>
      </c>
      <c r="Z448" s="47">
        <v>0</v>
      </c>
      <c r="AA448" s="47">
        <v>0</v>
      </c>
      <c r="AB448" s="47">
        <v>0</v>
      </c>
      <c r="AC448" s="47">
        <v>0</v>
      </c>
      <c r="AD448" s="47">
        <v>0</v>
      </c>
      <c r="AE448" s="47">
        <v>0</v>
      </c>
      <c r="AF448" s="47">
        <v>0</v>
      </c>
      <c r="AG448" s="47">
        <v>0</v>
      </c>
      <c r="AH448" s="47">
        <v>0</v>
      </c>
      <c r="AI448" s="47">
        <v>0</v>
      </c>
      <c r="AJ448" s="47">
        <v>0</v>
      </c>
      <c r="AK448" s="47">
        <v>0</v>
      </c>
      <c r="AL448" s="47">
        <v>0</v>
      </c>
      <c r="AM448" s="47">
        <v>0</v>
      </c>
      <c r="AN448" s="47">
        <v>0</v>
      </c>
      <c r="AO448" s="47">
        <v>0</v>
      </c>
      <c r="AP448" s="47">
        <v>0</v>
      </c>
      <c r="AQ448" s="47">
        <v>0</v>
      </c>
      <c r="AR448" s="47">
        <v>0</v>
      </c>
      <c r="AS448" s="47">
        <v>0</v>
      </c>
      <c r="AT448" s="47">
        <v>0</v>
      </c>
      <c r="AU448" s="47">
        <v>0</v>
      </c>
      <c r="AV448" s="47">
        <v>0</v>
      </c>
      <c r="AW448" s="47">
        <v>0</v>
      </c>
      <c r="AX448" s="47">
        <v>0</v>
      </c>
      <c r="AY448" s="47">
        <v>0</v>
      </c>
      <c r="AZ448" s="47">
        <v>0</v>
      </c>
      <c r="BA448" s="47">
        <v>0</v>
      </c>
      <c r="BB448" s="47">
        <v>0</v>
      </c>
      <c r="BC448" s="47">
        <v>0</v>
      </c>
      <c r="BD448" s="47">
        <v>0</v>
      </c>
      <c r="BE448" s="47">
        <v>0</v>
      </c>
      <c r="BF448" s="47">
        <v>0</v>
      </c>
      <c r="BG448" s="47">
        <v>0</v>
      </c>
      <c r="BH448" s="47">
        <v>0</v>
      </c>
      <c r="BI448" s="47">
        <v>0</v>
      </c>
      <c r="BJ448" s="47">
        <v>0</v>
      </c>
      <c r="BK448" s="47">
        <v>0</v>
      </c>
      <c r="BL448" s="47">
        <v>0.8</v>
      </c>
      <c r="BM448" s="47">
        <v>0</v>
      </c>
      <c r="BN448" s="47">
        <v>0</v>
      </c>
      <c r="BO448" s="47">
        <v>0</v>
      </c>
      <c r="BP448" s="47">
        <v>0</v>
      </c>
      <c r="BQ448" s="47">
        <v>0</v>
      </c>
      <c r="BR448" s="47">
        <v>0</v>
      </c>
      <c r="BS448" s="47">
        <v>0</v>
      </c>
      <c r="BT448" s="47">
        <v>0</v>
      </c>
      <c r="BU448" s="47">
        <v>0</v>
      </c>
      <c r="BV448" s="47">
        <v>0</v>
      </c>
      <c r="BW448" s="47">
        <v>0</v>
      </c>
      <c r="BX448" s="47">
        <v>0</v>
      </c>
      <c r="BY448" s="47">
        <v>0</v>
      </c>
      <c r="BZ448" s="47">
        <v>0</v>
      </c>
      <c r="CA448" s="47">
        <v>0</v>
      </c>
      <c r="CB448" s="47">
        <v>0</v>
      </c>
      <c r="CC448" s="47">
        <v>0</v>
      </c>
      <c r="CD448" s="47">
        <v>0</v>
      </c>
      <c r="CE448" s="47">
        <v>0</v>
      </c>
      <c r="CF448" s="47">
        <v>0</v>
      </c>
      <c r="CG448" s="47">
        <v>0</v>
      </c>
      <c r="CH448" s="47">
        <v>0</v>
      </c>
      <c r="CI448" s="47">
        <v>0</v>
      </c>
      <c r="CJ448" s="47">
        <v>0</v>
      </c>
      <c r="CK448" s="47">
        <v>0</v>
      </c>
      <c r="CL448" s="47">
        <v>0</v>
      </c>
      <c r="CM448" s="47">
        <v>0</v>
      </c>
      <c r="CN448" s="47">
        <v>0</v>
      </c>
      <c r="CO448" s="47">
        <v>0</v>
      </c>
      <c r="CP448" s="47">
        <v>0</v>
      </c>
      <c r="CQ448" s="47">
        <v>0</v>
      </c>
      <c r="CR448" s="47">
        <v>0</v>
      </c>
      <c r="CS448" s="47">
        <v>0</v>
      </c>
      <c r="CT448" s="47">
        <v>0</v>
      </c>
      <c r="CU448" s="47">
        <v>0</v>
      </c>
      <c r="CV448" s="47">
        <v>0</v>
      </c>
      <c r="CW448" s="47">
        <v>0</v>
      </c>
      <c r="CX448" s="47">
        <v>0</v>
      </c>
      <c r="CY448" s="47">
        <v>0</v>
      </c>
      <c r="CZ448" s="47">
        <v>0</v>
      </c>
      <c r="DA448" s="47">
        <v>0</v>
      </c>
      <c r="DB448" s="47">
        <v>0</v>
      </c>
      <c r="DC448" s="47">
        <v>0</v>
      </c>
      <c r="DD448" s="47">
        <v>0</v>
      </c>
      <c r="DE448" s="47">
        <v>0</v>
      </c>
      <c r="DF448" s="47">
        <v>0</v>
      </c>
      <c r="DG448" s="47">
        <v>0</v>
      </c>
      <c r="DH448" s="47">
        <v>0</v>
      </c>
      <c r="DI448" s="47">
        <v>0</v>
      </c>
      <c r="DJ448" s="47">
        <v>0</v>
      </c>
      <c r="DK448" s="47">
        <v>0</v>
      </c>
      <c r="DL448" s="47">
        <v>0</v>
      </c>
      <c r="DM448" s="47">
        <v>0</v>
      </c>
      <c r="DN448" s="47">
        <v>0</v>
      </c>
      <c r="DO448" s="47">
        <v>0</v>
      </c>
      <c r="DP448" s="47">
        <v>0</v>
      </c>
      <c r="DQ448" s="47">
        <v>0</v>
      </c>
      <c r="DR448" s="47">
        <v>0</v>
      </c>
      <c r="DS448" s="47">
        <v>0</v>
      </c>
      <c r="DT448" s="47">
        <v>0</v>
      </c>
    </row>
    <row r="449" spans="1:126" x14ac:dyDescent="0.25">
      <c r="A449" s="47" t="s">
        <v>2133</v>
      </c>
      <c r="B449" s="47" t="s">
        <v>153</v>
      </c>
      <c r="C449" s="47" t="s">
        <v>2134</v>
      </c>
      <c r="D449" s="47" t="s">
        <v>2135</v>
      </c>
      <c r="E449" s="47" t="s">
        <v>2136</v>
      </c>
      <c r="F449" s="47" t="s">
        <v>698</v>
      </c>
      <c r="G449" s="47" t="s">
        <v>1832</v>
      </c>
      <c r="H449" s="47" t="str">
        <f>=IFERROR(VLOOKUP(A449,'ETPT Format DDG'!A:J,10,FALSE),"")</f>
        <v>0</v>
      </c>
      <c r="I449" s="47" t="str">
        <f>='ETPT Format DDG'!M449</f>
        <v/>
      </c>
      <c r="J449" s="47" t="str">
        <f>='ETPT Format DDG'!D449</f>
        <v/>
      </c>
      <c r="K449" s="47" t="s">
        <v>157</v>
      </c>
      <c r="L449" s="47" t="s">
        <v>2137</v>
      </c>
      <c r="M449" s="47"/>
      <c r="N449" s="47">
        <v>1</v>
      </c>
      <c r="O449" s="47">
        <v>1</v>
      </c>
      <c r="P449" s="47">
        <v>0</v>
      </c>
      <c r="Q449" s="47">
        <v>0</v>
      </c>
      <c r="R449" s="47">
        <v>0</v>
      </c>
      <c r="S449" s="47">
        <v>0</v>
      </c>
      <c r="T449" s="47">
        <v>0</v>
      </c>
      <c r="U449" s="47">
        <v>0</v>
      </c>
      <c r="V449" s="47">
        <v>0</v>
      </c>
      <c r="W449" s="47">
        <v>0</v>
      </c>
      <c r="X449" s="47">
        <v>0</v>
      </c>
      <c r="Y449" s="47">
        <v>0</v>
      </c>
      <c r="Z449" s="47">
        <v>0</v>
      </c>
      <c r="AA449" s="47">
        <v>0</v>
      </c>
      <c r="AB449" s="47">
        <v>0</v>
      </c>
      <c r="AC449" s="47">
        <v>0</v>
      </c>
      <c r="AD449" s="47">
        <v>0</v>
      </c>
      <c r="AE449" s="47">
        <v>1</v>
      </c>
      <c r="AF449" s="47">
        <v>0</v>
      </c>
      <c r="AG449" s="47">
        <v>0</v>
      </c>
      <c r="AH449" s="47">
        <v>0</v>
      </c>
      <c r="AI449" s="47">
        <v>0</v>
      </c>
      <c r="AJ449" s="47">
        <v>0</v>
      </c>
      <c r="AK449" s="47">
        <v>0</v>
      </c>
      <c r="AL449" s="47">
        <v>0</v>
      </c>
      <c r="AM449" s="47">
        <v>0</v>
      </c>
      <c r="AN449" s="47">
        <v>0</v>
      </c>
      <c r="AO449" s="47">
        <v>0</v>
      </c>
      <c r="AP449" s="47">
        <v>0</v>
      </c>
      <c r="AQ449" s="47">
        <v>0</v>
      </c>
      <c r="AR449" s="47">
        <v>0</v>
      </c>
      <c r="AS449" s="47">
        <v>0</v>
      </c>
      <c r="AT449" s="47">
        <v>0</v>
      </c>
      <c r="AU449" s="47">
        <v>0</v>
      </c>
      <c r="AV449" s="47">
        <v>0</v>
      </c>
      <c r="AW449" s="47">
        <v>0</v>
      </c>
      <c r="AX449" s="47">
        <v>0</v>
      </c>
      <c r="AY449" s="47">
        <v>0</v>
      </c>
      <c r="AZ449" s="47">
        <v>0</v>
      </c>
      <c r="BA449" s="47">
        <v>0</v>
      </c>
      <c r="BB449" s="47">
        <v>0</v>
      </c>
      <c r="BC449" s="47">
        <v>0</v>
      </c>
      <c r="BD449" s="47">
        <v>0</v>
      </c>
      <c r="BE449" s="47">
        <v>0</v>
      </c>
      <c r="BF449" s="47">
        <v>0</v>
      </c>
      <c r="BG449" s="47">
        <v>0</v>
      </c>
      <c r="BH449" s="47">
        <v>0</v>
      </c>
      <c r="BI449" s="47">
        <v>0</v>
      </c>
      <c r="BJ449" s="47">
        <v>0</v>
      </c>
      <c r="BK449" s="47">
        <v>0</v>
      </c>
      <c r="BL449" s="47">
        <v>0</v>
      </c>
      <c r="BM449" s="47">
        <v>0</v>
      </c>
      <c r="BN449" s="47">
        <v>0</v>
      </c>
      <c r="BO449" s="47">
        <v>0</v>
      </c>
      <c r="BP449" s="47">
        <v>0</v>
      </c>
      <c r="BQ449" s="47">
        <v>0</v>
      </c>
      <c r="BR449" s="47">
        <v>0</v>
      </c>
      <c r="BS449" s="47">
        <v>0</v>
      </c>
      <c r="BT449" s="47">
        <v>0</v>
      </c>
      <c r="BU449" s="47">
        <v>0</v>
      </c>
      <c r="BV449" s="47">
        <v>0</v>
      </c>
      <c r="BW449" s="47">
        <v>0</v>
      </c>
      <c r="BX449" s="47">
        <v>0</v>
      </c>
      <c r="BY449" s="47">
        <v>0</v>
      </c>
      <c r="BZ449" s="47">
        <v>0</v>
      </c>
      <c r="CA449" s="47">
        <v>0</v>
      </c>
      <c r="CB449" s="47">
        <v>0</v>
      </c>
      <c r="CC449" s="47">
        <v>0</v>
      </c>
      <c r="CD449" s="47">
        <v>0</v>
      </c>
      <c r="CE449" s="47">
        <v>0</v>
      </c>
      <c r="CF449" s="47">
        <v>0</v>
      </c>
      <c r="CG449" s="47">
        <v>0</v>
      </c>
      <c r="CH449" s="47">
        <v>0</v>
      </c>
      <c r="CI449" s="47">
        <v>0</v>
      </c>
      <c r="CJ449" s="47">
        <v>0</v>
      </c>
      <c r="CK449" s="47">
        <v>0</v>
      </c>
      <c r="CL449" s="47">
        <v>0</v>
      </c>
      <c r="CM449" s="47">
        <v>0</v>
      </c>
      <c r="CN449" s="47">
        <v>0</v>
      </c>
      <c r="CO449" s="47">
        <v>0</v>
      </c>
      <c r="CP449" s="47">
        <v>0</v>
      </c>
      <c r="CQ449" s="47">
        <v>0</v>
      </c>
      <c r="CR449" s="47">
        <v>0</v>
      </c>
      <c r="CS449" s="47">
        <v>0</v>
      </c>
      <c r="CT449" s="47">
        <v>0</v>
      </c>
      <c r="CU449" s="47">
        <v>0</v>
      </c>
      <c r="CV449" s="47">
        <v>0</v>
      </c>
      <c r="CW449" s="47">
        <v>0</v>
      </c>
      <c r="CX449" s="47">
        <v>0</v>
      </c>
      <c r="CY449" s="47">
        <v>0</v>
      </c>
      <c r="CZ449" s="47">
        <v>0</v>
      </c>
      <c r="DA449" s="47">
        <v>0</v>
      </c>
      <c r="DB449" s="47">
        <v>0</v>
      </c>
      <c r="DC449" s="47">
        <v>0</v>
      </c>
      <c r="DD449" s="47">
        <v>0</v>
      </c>
      <c r="DE449" s="47">
        <v>0</v>
      </c>
      <c r="DF449" s="47">
        <v>0</v>
      </c>
      <c r="DG449" s="47">
        <v>0</v>
      </c>
      <c r="DH449" s="47">
        <v>0</v>
      </c>
      <c r="DI449" s="47">
        <v>0</v>
      </c>
      <c r="DJ449" s="47">
        <v>0</v>
      </c>
      <c r="DK449" s="47">
        <v>0</v>
      </c>
      <c r="DL449" s="47">
        <v>0</v>
      </c>
      <c r="DM449" s="47">
        <v>0</v>
      </c>
      <c r="DN449" s="47">
        <v>0</v>
      </c>
      <c r="DO449" s="47">
        <v>0</v>
      </c>
      <c r="DP449" s="47">
        <v>0</v>
      </c>
      <c r="DQ449" s="47">
        <v>0</v>
      </c>
      <c r="DR449" s="47">
        <v>0</v>
      </c>
      <c r="DS449" s="47">
        <v>0</v>
      </c>
      <c r="DT449" s="47">
        <v>0</v>
      </c>
    </row>
    <row r="450" spans="1:126" x14ac:dyDescent="0.25">
      <c r="A450" s="47" t="s">
        <v>2138</v>
      </c>
      <c r="B450" s="47" t="s">
        <v>153</v>
      </c>
      <c r="C450" s="47" t="s">
        <v>2139</v>
      </c>
      <c r="D450" s="47" t="s">
        <v>2140</v>
      </c>
      <c r="E450" s="47" t="s">
        <v>2141</v>
      </c>
      <c r="F450" s="47" t="s">
        <v>698</v>
      </c>
      <c r="G450" s="47" t="s">
        <v>727</v>
      </c>
      <c r="H450" s="47" t="str">
        <f>=IFERROR(VLOOKUP(A450,'ETPT Format DDG'!A:J,10,FALSE),"")</f>
        <v>0</v>
      </c>
      <c r="I450" s="47" t="str">
        <f>='ETPT Format DDG'!M450</f>
        <v/>
      </c>
      <c r="J450" s="47" t="str">
        <f>='ETPT Format DDG'!D450</f>
        <v/>
      </c>
      <c r="K450" s="47" t="s">
        <v>157</v>
      </c>
      <c r="L450" s="47" t="s">
        <v>2142</v>
      </c>
      <c r="M450" s="47"/>
      <c r="N450" s="47">
        <v>1</v>
      </c>
      <c r="O450" s="47">
        <v>0</v>
      </c>
      <c r="P450" s="47">
        <v>0</v>
      </c>
      <c r="Q450" s="47">
        <v>0</v>
      </c>
      <c r="R450" s="47">
        <v>0</v>
      </c>
      <c r="S450" s="47">
        <v>0</v>
      </c>
      <c r="T450" s="47">
        <v>0</v>
      </c>
      <c r="U450" s="47">
        <v>0</v>
      </c>
      <c r="V450" s="47">
        <v>0</v>
      </c>
      <c r="W450" s="47">
        <v>0</v>
      </c>
      <c r="X450" s="47">
        <v>0</v>
      </c>
      <c r="Y450" s="47">
        <v>0</v>
      </c>
      <c r="Z450" s="47">
        <v>0</v>
      </c>
      <c r="AA450" s="47">
        <v>0</v>
      </c>
      <c r="AB450" s="47">
        <v>0</v>
      </c>
      <c r="AC450" s="47">
        <v>0</v>
      </c>
      <c r="AD450" s="47">
        <v>0</v>
      </c>
      <c r="AE450" s="47">
        <v>0</v>
      </c>
      <c r="AF450" s="47">
        <v>0</v>
      </c>
      <c r="AG450" s="47">
        <v>0</v>
      </c>
      <c r="AH450" s="47">
        <v>0</v>
      </c>
      <c r="AI450" s="47">
        <v>0</v>
      </c>
      <c r="AJ450" s="47">
        <v>0</v>
      </c>
      <c r="AK450" s="47">
        <v>0</v>
      </c>
      <c r="AL450" s="47">
        <v>0</v>
      </c>
      <c r="AM450" s="47">
        <v>0</v>
      </c>
      <c r="AN450" s="47">
        <v>0</v>
      </c>
      <c r="AO450" s="47">
        <v>0</v>
      </c>
      <c r="AP450" s="47">
        <v>0</v>
      </c>
      <c r="AQ450" s="47">
        <v>0</v>
      </c>
      <c r="AR450" s="47">
        <v>0</v>
      </c>
      <c r="AS450" s="47">
        <v>0</v>
      </c>
      <c r="AT450" s="47">
        <v>0</v>
      </c>
      <c r="AU450" s="47">
        <v>0</v>
      </c>
      <c r="AV450" s="47">
        <v>0</v>
      </c>
      <c r="AW450" s="47">
        <v>0</v>
      </c>
      <c r="AX450" s="47">
        <v>0</v>
      </c>
      <c r="AY450" s="47">
        <v>0</v>
      </c>
      <c r="AZ450" s="47">
        <v>0</v>
      </c>
      <c r="BA450" s="47">
        <v>0</v>
      </c>
      <c r="BB450" s="47">
        <v>0</v>
      </c>
      <c r="BC450" s="47">
        <v>0</v>
      </c>
      <c r="BD450" s="47">
        <v>0</v>
      </c>
      <c r="BE450" s="47">
        <v>0</v>
      </c>
      <c r="BF450" s="47">
        <v>0</v>
      </c>
      <c r="BG450" s="47">
        <v>0</v>
      </c>
      <c r="BH450" s="47">
        <v>0</v>
      </c>
      <c r="BI450" s="47">
        <v>0</v>
      </c>
      <c r="BJ450" s="47">
        <v>0</v>
      </c>
      <c r="BK450" s="47">
        <v>0</v>
      </c>
      <c r="BL450" s="47">
        <v>0</v>
      </c>
      <c r="BM450" s="47">
        <v>0</v>
      </c>
      <c r="BN450" s="47">
        <v>0</v>
      </c>
      <c r="BO450" s="47">
        <v>0</v>
      </c>
      <c r="BP450" s="47">
        <v>0</v>
      </c>
      <c r="BQ450" s="47">
        <v>0</v>
      </c>
      <c r="BR450" s="47">
        <v>0</v>
      </c>
      <c r="BS450" s="47">
        <v>0</v>
      </c>
      <c r="BT450" s="47">
        <v>0</v>
      </c>
      <c r="BU450" s="47">
        <v>0</v>
      </c>
      <c r="BV450" s="47">
        <v>0</v>
      </c>
      <c r="BW450" s="47">
        <v>0</v>
      </c>
      <c r="BX450" s="47">
        <v>0</v>
      </c>
      <c r="BY450" s="47">
        <v>0</v>
      </c>
      <c r="BZ450" s="47">
        <v>0</v>
      </c>
      <c r="CA450" s="47">
        <v>0</v>
      </c>
      <c r="CB450" s="47">
        <v>0</v>
      </c>
      <c r="CC450" s="47">
        <v>0</v>
      </c>
      <c r="CD450" s="47">
        <v>0</v>
      </c>
      <c r="CE450" s="47">
        <v>0</v>
      </c>
      <c r="CF450" s="47">
        <v>0</v>
      </c>
      <c r="CG450" s="47">
        <v>0</v>
      </c>
      <c r="CH450" s="47">
        <v>0</v>
      </c>
      <c r="CI450" s="47">
        <v>0</v>
      </c>
      <c r="CJ450" s="47">
        <v>0</v>
      </c>
      <c r="CK450" s="47">
        <v>0</v>
      </c>
      <c r="CL450" s="47">
        <v>0</v>
      </c>
      <c r="CM450" s="47">
        <v>0</v>
      </c>
      <c r="CN450" s="47">
        <v>0</v>
      </c>
      <c r="CO450" s="47">
        <v>0</v>
      </c>
      <c r="CP450" s="47">
        <v>0</v>
      </c>
      <c r="CQ450" s="47">
        <v>0</v>
      </c>
      <c r="CR450" s="47">
        <v>0</v>
      </c>
      <c r="CS450" s="47">
        <v>0</v>
      </c>
      <c r="CT450" s="47">
        <v>0</v>
      </c>
      <c r="CU450" s="47">
        <v>0</v>
      </c>
      <c r="CV450" s="47">
        <v>0</v>
      </c>
      <c r="CW450" s="47">
        <v>0</v>
      </c>
      <c r="CX450" s="47">
        <v>0</v>
      </c>
      <c r="CY450" s="47">
        <v>0</v>
      </c>
      <c r="CZ450" s="47">
        <v>0</v>
      </c>
      <c r="DA450" s="47">
        <v>0</v>
      </c>
      <c r="DB450" s="47">
        <v>0</v>
      </c>
      <c r="DC450" s="47">
        <v>0</v>
      </c>
      <c r="DD450" s="47">
        <v>0</v>
      </c>
      <c r="DE450" s="47">
        <v>0</v>
      </c>
      <c r="DF450" s="47">
        <v>0</v>
      </c>
      <c r="DG450" s="47">
        <v>0</v>
      </c>
      <c r="DH450" s="47">
        <v>0</v>
      </c>
      <c r="DI450" s="47">
        <v>0</v>
      </c>
      <c r="DJ450" s="47">
        <v>0</v>
      </c>
      <c r="DK450" s="47">
        <v>0</v>
      </c>
      <c r="DL450" s="47">
        <v>0</v>
      </c>
      <c r="DM450" s="47">
        <v>0</v>
      </c>
      <c r="DN450" s="47">
        <v>0</v>
      </c>
      <c r="DO450" s="47">
        <v>0</v>
      </c>
      <c r="DP450" s="47">
        <v>0</v>
      </c>
      <c r="DQ450" s="47">
        <v>0</v>
      </c>
      <c r="DR450" s="47">
        <v>0</v>
      </c>
      <c r="DS450" s="47">
        <v>0</v>
      </c>
      <c r="DT450" s="47">
        <v>0</v>
      </c>
    </row>
    <row r="451" spans="1:126" x14ac:dyDescent="0.25">
      <c r="A451" s="47" t="s">
        <v>2143</v>
      </c>
      <c r="B451" s="47" t="s">
        <v>153</v>
      </c>
      <c r="C451" s="47" t="s">
        <v>2144</v>
      </c>
      <c r="D451" s="47" t="s">
        <v>2145</v>
      </c>
      <c r="E451" s="47" t="s">
        <v>2146</v>
      </c>
      <c r="F451" s="47" t="s">
        <v>698</v>
      </c>
      <c r="G451" s="47" t="s">
        <v>2147</v>
      </c>
      <c r="H451" s="47" t="str">
        <f>=IFERROR(VLOOKUP(A451,'ETPT Format DDG'!A:J,10,FALSE),"")</f>
        <v>0</v>
      </c>
      <c r="I451" s="47" t="str">
        <f>='ETPT Format DDG'!M451</f>
        <v/>
      </c>
      <c r="J451" s="47" t="str">
        <f>='ETPT Format DDG'!D451</f>
        <v/>
      </c>
      <c r="K451" s="47" t="s">
        <v>157</v>
      </c>
      <c r="L451" s="47" t="s">
        <v>2148</v>
      </c>
      <c r="M451" s="47"/>
      <c r="N451" s="47">
        <v>1</v>
      </c>
      <c r="O451" s="47">
        <v>1</v>
      </c>
      <c r="P451" s="47">
        <v>0</v>
      </c>
      <c r="Q451" s="47">
        <v>0</v>
      </c>
      <c r="R451" s="47">
        <v>0</v>
      </c>
      <c r="S451" s="47">
        <v>0</v>
      </c>
      <c r="T451" s="47">
        <v>0</v>
      </c>
      <c r="U451" s="47">
        <v>0</v>
      </c>
      <c r="V451" s="47">
        <v>0</v>
      </c>
      <c r="W451" s="47">
        <v>0</v>
      </c>
      <c r="X451" s="47">
        <v>0</v>
      </c>
      <c r="Y451" s="47">
        <v>0</v>
      </c>
      <c r="Z451" s="47">
        <v>0</v>
      </c>
      <c r="AA451" s="47">
        <v>0</v>
      </c>
      <c r="AB451" s="47">
        <v>0</v>
      </c>
      <c r="AC451" s="47">
        <v>0</v>
      </c>
      <c r="AD451" s="47">
        <v>0</v>
      </c>
      <c r="AE451" s="47">
        <v>1</v>
      </c>
      <c r="AF451" s="47">
        <v>0</v>
      </c>
      <c r="AG451" s="47">
        <v>1</v>
      </c>
      <c r="AH451" s="47">
        <v>0</v>
      </c>
      <c r="AI451" s="47">
        <v>0</v>
      </c>
      <c r="AJ451" s="47">
        <v>0</v>
      </c>
      <c r="AK451" s="47">
        <v>0</v>
      </c>
      <c r="AL451" s="47">
        <v>0</v>
      </c>
      <c r="AM451" s="47">
        <v>0</v>
      </c>
      <c r="AN451" s="47">
        <v>0</v>
      </c>
      <c r="AO451" s="47">
        <v>0</v>
      </c>
      <c r="AP451" s="47">
        <v>0</v>
      </c>
      <c r="AQ451" s="47">
        <v>0</v>
      </c>
      <c r="AR451" s="47">
        <v>0</v>
      </c>
      <c r="AS451" s="47">
        <v>0</v>
      </c>
      <c r="AT451" s="47">
        <v>0</v>
      </c>
      <c r="AU451" s="47">
        <v>0</v>
      </c>
      <c r="AV451" s="47">
        <v>0</v>
      </c>
      <c r="AW451" s="47">
        <v>0</v>
      </c>
      <c r="AX451" s="47">
        <v>0</v>
      </c>
      <c r="AY451" s="47">
        <v>0</v>
      </c>
      <c r="AZ451" s="47">
        <v>0</v>
      </c>
      <c r="BA451" s="47">
        <v>0</v>
      </c>
      <c r="BB451" s="47">
        <v>0</v>
      </c>
      <c r="BC451" s="47">
        <v>0</v>
      </c>
      <c r="BD451" s="47">
        <v>0</v>
      </c>
      <c r="BE451" s="47">
        <v>0</v>
      </c>
      <c r="BF451" s="47">
        <v>0</v>
      </c>
      <c r="BG451" s="47">
        <v>0</v>
      </c>
      <c r="BH451" s="47">
        <v>0</v>
      </c>
      <c r="BI451" s="47">
        <v>0</v>
      </c>
      <c r="BJ451" s="47">
        <v>0</v>
      </c>
      <c r="BK451" s="47">
        <v>0</v>
      </c>
      <c r="BL451" s="47">
        <v>0</v>
      </c>
      <c r="BM451" s="47">
        <v>0</v>
      </c>
      <c r="BN451" s="47">
        <v>0</v>
      </c>
      <c r="BO451" s="47">
        <v>0</v>
      </c>
      <c r="BP451" s="47">
        <v>0</v>
      </c>
      <c r="BQ451" s="47">
        <v>0</v>
      </c>
      <c r="BR451" s="47">
        <v>0</v>
      </c>
      <c r="BS451" s="47">
        <v>0</v>
      </c>
      <c r="BT451" s="47">
        <v>0</v>
      </c>
      <c r="BU451" s="47">
        <v>0</v>
      </c>
      <c r="BV451" s="47">
        <v>0</v>
      </c>
      <c r="BW451" s="47">
        <v>0</v>
      </c>
      <c r="BX451" s="47">
        <v>0</v>
      </c>
      <c r="BY451" s="47">
        <v>0</v>
      </c>
      <c r="BZ451" s="47">
        <v>0</v>
      </c>
      <c r="CA451" s="47">
        <v>0</v>
      </c>
      <c r="CB451" s="47">
        <v>0</v>
      </c>
      <c r="CC451" s="47">
        <v>0</v>
      </c>
      <c r="CD451" s="47">
        <v>0</v>
      </c>
      <c r="CE451" s="47">
        <v>0</v>
      </c>
      <c r="CF451" s="47">
        <v>0</v>
      </c>
      <c r="CG451" s="47">
        <v>0</v>
      </c>
      <c r="CH451" s="47">
        <v>0</v>
      </c>
      <c r="CI451" s="47">
        <v>0</v>
      </c>
      <c r="CJ451" s="47">
        <v>0</v>
      </c>
      <c r="CK451" s="47">
        <v>0</v>
      </c>
      <c r="CL451" s="47">
        <v>0</v>
      </c>
      <c r="CM451" s="47">
        <v>0</v>
      </c>
      <c r="CN451" s="47">
        <v>0</v>
      </c>
      <c r="CO451" s="47">
        <v>0</v>
      </c>
      <c r="CP451" s="47">
        <v>0</v>
      </c>
      <c r="CQ451" s="47">
        <v>0</v>
      </c>
      <c r="CR451" s="47">
        <v>0</v>
      </c>
      <c r="CS451" s="47">
        <v>0</v>
      </c>
      <c r="CT451" s="47">
        <v>0</v>
      </c>
      <c r="CU451" s="47">
        <v>0</v>
      </c>
      <c r="CV451" s="47">
        <v>0</v>
      </c>
      <c r="CW451" s="47">
        <v>0</v>
      </c>
      <c r="CX451" s="47">
        <v>0</v>
      </c>
      <c r="CY451" s="47">
        <v>0</v>
      </c>
      <c r="CZ451" s="47">
        <v>0</v>
      </c>
      <c r="DA451" s="47">
        <v>0</v>
      </c>
      <c r="DB451" s="47">
        <v>0</v>
      </c>
      <c r="DC451" s="47">
        <v>0</v>
      </c>
      <c r="DD451" s="47">
        <v>0</v>
      </c>
      <c r="DE451" s="47">
        <v>0</v>
      </c>
      <c r="DF451" s="47">
        <v>0</v>
      </c>
      <c r="DG451" s="47">
        <v>0</v>
      </c>
      <c r="DH451" s="47">
        <v>0</v>
      </c>
      <c r="DI451" s="47">
        <v>0</v>
      </c>
      <c r="DJ451" s="47">
        <v>0</v>
      </c>
      <c r="DK451" s="47">
        <v>0</v>
      </c>
      <c r="DL451" s="47">
        <v>0</v>
      </c>
      <c r="DM451" s="47">
        <v>0</v>
      </c>
      <c r="DN451" s="47">
        <v>0</v>
      </c>
      <c r="DO451" s="47">
        <v>0</v>
      </c>
      <c r="DP451" s="47">
        <v>0</v>
      </c>
      <c r="DQ451" s="47">
        <v>0</v>
      </c>
      <c r="DR451" s="47">
        <v>0</v>
      </c>
      <c r="DS451" s="47">
        <v>0</v>
      </c>
      <c r="DT451" s="47">
        <v>0</v>
      </c>
    </row>
    <row r="452" spans="1:126" x14ac:dyDescent="0.25">
      <c r="A452" s="47" t="s">
        <v>2149</v>
      </c>
      <c r="B452" s="47" t="s">
        <v>153</v>
      </c>
      <c r="C452" s="47" t="s">
        <v>2150</v>
      </c>
      <c r="D452" s="47" t="s">
        <v>2151</v>
      </c>
      <c r="E452" s="47" t="s">
        <v>2152</v>
      </c>
      <c r="F452" s="47" t="s">
        <v>698</v>
      </c>
      <c r="G452" s="47" t="s">
        <v>727</v>
      </c>
      <c r="H452" s="47" t="str">
        <f>=IFERROR(VLOOKUP(A452,'ETPT Format DDG'!A:J,10,FALSE),"")</f>
        <v>0</v>
      </c>
      <c r="I452" s="47" t="str">
        <f>='ETPT Format DDG'!M452</f>
        <v/>
      </c>
      <c r="J452" s="47" t="str">
        <f>='ETPT Format DDG'!D452</f>
        <v/>
      </c>
      <c r="K452" s="47" t="s">
        <v>157</v>
      </c>
      <c r="L452" s="47" t="s">
        <v>728</v>
      </c>
      <c r="M452" s="47"/>
      <c r="N452" s="47">
        <v>0.8</v>
      </c>
      <c r="O452" s="47">
        <v>0</v>
      </c>
      <c r="P452" s="47">
        <v>0</v>
      </c>
      <c r="Q452" s="47">
        <v>0</v>
      </c>
      <c r="R452" s="47">
        <v>0</v>
      </c>
      <c r="S452" s="47">
        <v>0</v>
      </c>
      <c r="T452" s="47">
        <v>0</v>
      </c>
      <c r="U452" s="47">
        <v>0</v>
      </c>
      <c r="V452" s="47">
        <v>0</v>
      </c>
      <c r="W452" s="47">
        <v>0</v>
      </c>
      <c r="X452" s="47">
        <v>0</v>
      </c>
      <c r="Y452" s="47">
        <v>0</v>
      </c>
      <c r="Z452" s="47">
        <v>0</v>
      </c>
      <c r="AA452" s="47">
        <v>0</v>
      </c>
      <c r="AB452" s="47">
        <v>0</v>
      </c>
      <c r="AC452" s="47">
        <v>0</v>
      </c>
      <c r="AD452" s="47">
        <v>0</v>
      </c>
      <c r="AE452" s="47">
        <v>0</v>
      </c>
      <c r="AF452" s="47">
        <v>0</v>
      </c>
      <c r="AG452" s="47">
        <v>0</v>
      </c>
      <c r="AH452" s="47">
        <v>0</v>
      </c>
      <c r="AI452" s="47">
        <v>0</v>
      </c>
      <c r="AJ452" s="47">
        <v>0</v>
      </c>
      <c r="AK452" s="47">
        <v>0</v>
      </c>
      <c r="AL452" s="47">
        <v>0</v>
      </c>
      <c r="AM452" s="47">
        <v>0</v>
      </c>
      <c r="AN452" s="47">
        <v>0</v>
      </c>
      <c r="AO452" s="47">
        <v>0</v>
      </c>
      <c r="AP452" s="47">
        <v>0</v>
      </c>
      <c r="AQ452" s="47">
        <v>0</v>
      </c>
      <c r="AR452" s="47">
        <v>0</v>
      </c>
      <c r="AS452" s="47">
        <v>0</v>
      </c>
      <c r="AT452" s="47">
        <v>0</v>
      </c>
      <c r="AU452" s="47">
        <v>0</v>
      </c>
      <c r="AV452" s="47">
        <v>0</v>
      </c>
      <c r="AW452" s="47">
        <v>0</v>
      </c>
      <c r="AX452" s="47">
        <v>0</v>
      </c>
      <c r="AY452" s="47">
        <v>0</v>
      </c>
      <c r="AZ452" s="47">
        <v>0</v>
      </c>
      <c r="BA452" s="47">
        <v>0</v>
      </c>
      <c r="BB452" s="47">
        <v>0</v>
      </c>
      <c r="BC452" s="47">
        <v>0</v>
      </c>
      <c r="BD452" s="47">
        <v>0</v>
      </c>
      <c r="BE452" s="47">
        <v>0</v>
      </c>
      <c r="BF452" s="47">
        <v>0</v>
      </c>
      <c r="BG452" s="47">
        <v>0</v>
      </c>
      <c r="BH452" s="47">
        <v>0</v>
      </c>
      <c r="BI452" s="47">
        <v>0</v>
      </c>
      <c r="BJ452" s="47">
        <v>0</v>
      </c>
      <c r="BK452" s="47">
        <v>0</v>
      </c>
      <c r="BL452" s="47">
        <v>0</v>
      </c>
      <c r="BM452" s="47">
        <v>0</v>
      </c>
      <c r="BN452" s="47">
        <v>0</v>
      </c>
      <c r="BO452" s="47">
        <v>0</v>
      </c>
      <c r="BP452" s="47">
        <v>0</v>
      </c>
      <c r="BQ452" s="47">
        <v>0</v>
      </c>
      <c r="BR452" s="47">
        <v>0</v>
      </c>
      <c r="BS452" s="47">
        <v>0</v>
      </c>
      <c r="BT452" s="47">
        <v>0</v>
      </c>
      <c r="BU452" s="47">
        <v>0</v>
      </c>
      <c r="BV452" s="47">
        <v>0</v>
      </c>
      <c r="BW452" s="47">
        <v>0</v>
      </c>
      <c r="BX452" s="47">
        <v>0</v>
      </c>
      <c r="BY452" s="47">
        <v>0</v>
      </c>
      <c r="BZ452" s="47">
        <v>0</v>
      </c>
      <c r="CA452" s="47">
        <v>0</v>
      </c>
      <c r="CB452" s="47">
        <v>0</v>
      </c>
      <c r="CC452" s="47">
        <v>0</v>
      </c>
      <c r="CD452" s="47">
        <v>0</v>
      </c>
      <c r="CE452" s="47">
        <v>0</v>
      </c>
      <c r="CF452" s="47">
        <v>0</v>
      </c>
      <c r="CG452" s="47">
        <v>0</v>
      </c>
      <c r="CH452" s="47">
        <v>0</v>
      </c>
      <c r="CI452" s="47">
        <v>0</v>
      </c>
      <c r="CJ452" s="47">
        <v>0</v>
      </c>
      <c r="CK452" s="47">
        <v>0</v>
      </c>
      <c r="CL452" s="47">
        <v>0</v>
      </c>
      <c r="CM452" s="47">
        <v>0</v>
      </c>
      <c r="CN452" s="47">
        <v>0</v>
      </c>
      <c r="CO452" s="47">
        <v>0</v>
      </c>
      <c r="CP452" s="47">
        <v>0</v>
      </c>
      <c r="CQ452" s="47">
        <v>0</v>
      </c>
      <c r="CR452" s="47">
        <v>0</v>
      </c>
      <c r="CS452" s="47">
        <v>0</v>
      </c>
      <c r="CT452" s="47">
        <v>0</v>
      </c>
      <c r="CU452" s="47">
        <v>0</v>
      </c>
      <c r="CV452" s="47">
        <v>0</v>
      </c>
      <c r="CW452" s="47">
        <v>0</v>
      </c>
      <c r="CX452" s="47">
        <v>0</v>
      </c>
      <c r="CY452" s="47">
        <v>0</v>
      </c>
      <c r="CZ452" s="47">
        <v>0</v>
      </c>
      <c r="DA452" s="47">
        <v>0</v>
      </c>
      <c r="DB452" s="47">
        <v>0</v>
      </c>
      <c r="DC452" s="47">
        <v>0</v>
      </c>
      <c r="DD452" s="47">
        <v>0</v>
      </c>
      <c r="DE452" s="47">
        <v>0</v>
      </c>
      <c r="DF452" s="47">
        <v>0</v>
      </c>
      <c r="DG452" s="47">
        <v>0</v>
      </c>
      <c r="DH452" s="47">
        <v>0</v>
      </c>
      <c r="DI452" s="47">
        <v>0</v>
      </c>
      <c r="DJ452" s="47">
        <v>0</v>
      </c>
      <c r="DK452" s="47">
        <v>0</v>
      </c>
      <c r="DL452" s="47">
        <v>0</v>
      </c>
      <c r="DM452" s="47">
        <v>0</v>
      </c>
      <c r="DN452" s="47">
        <v>0</v>
      </c>
      <c r="DO452" s="47">
        <v>0</v>
      </c>
      <c r="DP452" s="47">
        <v>0</v>
      </c>
      <c r="DQ452" s="47">
        <v>0</v>
      </c>
      <c r="DR452" s="47">
        <v>0</v>
      </c>
      <c r="DS452" s="47">
        <v>0</v>
      </c>
      <c r="DT452" s="47">
        <v>0</v>
      </c>
    </row>
    <row r="453" spans="1:126" x14ac:dyDescent="0.25">
      <c r="A453" s="47" t="s">
        <v>2153</v>
      </c>
      <c r="B453" s="47" t="s">
        <v>153</v>
      </c>
      <c r="C453" s="47" t="s">
        <v>2154</v>
      </c>
      <c r="D453" s="47" t="s">
        <v>2155</v>
      </c>
      <c r="E453" s="47" t="s">
        <v>2156</v>
      </c>
      <c r="F453" s="47" t="s">
        <v>698</v>
      </c>
      <c r="G453" s="47" t="s">
        <v>727</v>
      </c>
      <c r="H453" s="47" t="str">
        <f>=IFERROR(VLOOKUP(A453,'ETPT Format DDG'!A:J,10,FALSE),"")</f>
        <v>0</v>
      </c>
      <c r="I453" s="47" t="str">
        <f>='ETPT Format DDG'!M453</f>
        <v/>
      </c>
      <c r="J453" s="47" t="str">
        <f>='ETPT Format DDG'!D453</f>
        <v/>
      </c>
      <c r="K453" s="47" t="s">
        <v>157</v>
      </c>
      <c r="L453" s="47" t="s">
        <v>1173</v>
      </c>
      <c r="M453" s="47"/>
      <c r="N453" s="47">
        <v>1</v>
      </c>
      <c r="O453" s="47">
        <v>0</v>
      </c>
      <c r="P453" s="47">
        <v>0</v>
      </c>
      <c r="Q453" s="47">
        <v>0</v>
      </c>
      <c r="R453" s="47">
        <v>0</v>
      </c>
      <c r="S453" s="47">
        <v>0</v>
      </c>
      <c r="T453" s="47">
        <v>0</v>
      </c>
      <c r="U453" s="47">
        <v>0</v>
      </c>
      <c r="V453" s="47">
        <v>0</v>
      </c>
      <c r="W453" s="47">
        <v>0</v>
      </c>
      <c r="X453" s="47">
        <v>0</v>
      </c>
      <c r="Y453" s="47">
        <v>0</v>
      </c>
      <c r="Z453" s="47">
        <v>0</v>
      </c>
      <c r="AA453" s="47">
        <v>0</v>
      </c>
      <c r="AB453" s="47">
        <v>0</v>
      </c>
      <c r="AC453" s="47">
        <v>0</v>
      </c>
      <c r="AD453" s="47">
        <v>0</v>
      </c>
      <c r="AE453" s="47">
        <v>0</v>
      </c>
      <c r="AF453" s="47">
        <v>0</v>
      </c>
      <c r="AG453" s="47">
        <v>0</v>
      </c>
      <c r="AH453" s="47">
        <v>0</v>
      </c>
      <c r="AI453" s="47">
        <v>0</v>
      </c>
      <c r="AJ453" s="47">
        <v>0</v>
      </c>
      <c r="AK453" s="47">
        <v>0</v>
      </c>
      <c r="AL453" s="47">
        <v>0</v>
      </c>
      <c r="AM453" s="47">
        <v>0</v>
      </c>
      <c r="AN453" s="47">
        <v>0</v>
      </c>
      <c r="AO453" s="47">
        <v>0</v>
      </c>
      <c r="AP453" s="47">
        <v>0</v>
      </c>
      <c r="AQ453" s="47">
        <v>0</v>
      </c>
      <c r="AR453" s="47">
        <v>0</v>
      </c>
      <c r="AS453" s="47">
        <v>0</v>
      </c>
      <c r="AT453" s="47">
        <v>0</v>
      </c>
      <c r="AU453" s="47">
        <v>0</v>
      </c>
      <c r="AV453" s="47">
        <v>0</v>
      </c>
      <c r="AW453" s="47">
        <v>0</v>
      </c>
      <c r="AX453" s="47">
        <v>0</v>
      </c>
      <c r="AY453" s="47">
        <v>0</v>
      </c>
      <c r="AZ453" s="47">
        <v>0</v>
      </c>
      <c r="BA453" s="47">
        <v>0</v>
      </c>
      <c r="BB453" s="47">
        <v>0</v>
      </c>
      <c r="BC453" s="47">
        <v>0</v>
      </c>
      <c r="BD453" s="47">
        <v>0</v>
      </c>
      <c r="BE453" s="47">
        <v>0</v>
      </c>
      <c r="BF453" s="47">
        <v>0</v>
      </c>
      <c r="BG453" s="47">
        <v>0</v>
      </c>
      <c r="BH453" s="47">
        <v>0</v>
      </c>
      <c r="BI453" s="47">
        <v>0</v>
      </c>
      <c r="BJ453" s="47">
        <v>0</v>
      </c>
      <c r="BK453" s="47">
        <v>0</v>
      </c>
      <c r="BL453" s="47">
        <v>0</v>
      </c>
      <c r="BM453" s="47">
        <v>0</v>
      </c>
      <c r="BN453" s="47">
        <v>0</v>
      </c>
      <c r="BO453" s="47">
        <v>0</v>
      </c>
      <c r="BP453" s="47">
        <v>0</v>
      </c>
      <c r="BQ453" s="47">
        <v>0</v>
      </c>
      <c r="BR453" s="47">
        <v>0</v>
      </c>
      <c r="BS453" s="47">
        <v>0</v>
      </c>
      <c r="BT453" s="47">
        <v>0</v>
      </c>
      <c r="BU453" s="47">
        <v>0</v>
      </c>
      <c r="BV453" s="47">
        <v>0</v>
      </c>
      <c r="BW453" s="47">
        <v>0</v>
      </c>
      <c r="BX453" s="47">
        <v>0</v>
      </c>
      <c r="BY453" s="47">
        <v>0</v>
      </c>
      <c r="BZ453" s="47">
        <v>0</v>
      </c>
      <c r="CA453" s="47">
        <v>0</v>
      </c>
      <c r="CB453" s="47">
        <v>0</v>
      </c>
      <c r="CC453" s="47">
        <v>0</v>
      </c>
      <c r="CD453" s="47">
        <v>0</v>
      </c>
      <c r="CE453" s="47">
        <v>0</v>
      </c>
      <c r="CF453" s="47">
        <v>0</v>
      </c>
      <c r="CG453" s="47">
        <v>0</v>
      </c>
      <c r="CH453" s="47">
        <v>0</v>
      </c>
      <c r="CI453" s="47">
        <v>0</v>
      </c>
      <c r="CJ453" s="47">
        <v>0</v>
      </c>
      <c r="CK453" s="47">
        <v>0</v>
      </c>
      <c r="CL453" s="47">
        <v>0</v>
      </c>
      <c r="CM453" s="47">
        <v>0</v>
      </c>
      <c r="CN453" s="47">
        <v>0</v>
      </c>
      <c r="CO453" s="47">
        <v>0</v>
      </c>
      <c r="CP453" s="47">
        <v>0</v>
      </c>
      <c r="CQ453" s="47">
        <v>0</v>
      </c>
      <c r="CR453" s="47">
        <v>0</v>
      </c>
      <c r="CS453" s="47">
        <v>0</v>
      </c>
      <c r="CT453" s="47">
        <v>0</v>
      </c>
      <c r="CU453" s="47">
        <v>0</v>
      </c>
      <c r="CV453" s="47">
        <v>0</v>
      </c>
      <c r="CW453" s="47">
        <v>0</v>
      </c>
      <c r="CX453" s="47">
        <v>0</v>
      </c>
      <c r="CY453" s="47">
        <v>0</v>
      </c>
      <c r="CZ453" s="47">
        <v>0</v>
      </c>
      <c r="DA453" s="47">
        <v>0</v>
      </c>
      <c r="DB453" s="47">
        <v>0</v>
      </c>
      <c r="DC453" s="47">
        <v>0</v>
      </c>
      <c r="DD453" s="47">
        <v>0</v>
      </c>
      <c r="DE453" s="47">
        <v>0</v>
      </c>
      <c r="DF453" s="47">
        <v>0</v>
      </c>
      <c r="DG453" s="47">
        <v>0</v>
      </c>
      <c r="DH453" s="47">
        <v>0</v>
      </c>
      <c r="DI453" s="47">
        <v>0</v>
      </c>
      <c r="DJ453" s="47">
        <v>0</v>
      </c>
      <c r="DK453" s="47">
        <v>0</v>
      </c>
      <c r="DL453" s="47">
        <v>0</v>
      </c>
      <c r="DM453" s="47">
        <v>0</v>
      </c>
      <c r="DN453" s="47">
        <v>0</v>
      </c>
      <c r="DO453" s="47">
        <v>0</v>
      </c>
      <c r="DP453" s="47">
        <v>0</v>
      </c>
      <c r="DQ453" s="47">
        <v>0</v>
      </c>
      <c r="DR453" s="47">
        <v>0</v>
      </c>
      <c r="DS453" s="47">
        <v>0</v>
      </c>
      <c r="DT453" s="47">
        <v>0</v>
      </c>
    </row>
    <row r="454" spans="1:126" x14ac:dyDescent="0.25">
      <c r="A454" s="47" t="s">
        <v>2157</v>
      </c>
      <c r="B454" s="47" t="s">
        <v>153</v>
      </c>
      <c r="C454" s="47" t="s">
        <v>2158</v>
      </c>
      <c r="D454" s="47" t="s">
        <v>2159</v>
      </c>
      <c r="E454" s="47" t="s">
        <v>2160</v>
      </c>
      <c r="F454" s="47" t="s">
        <v>698</v>
      </c>
      <c r="G454" s="47" t="s">
        <v>705</v>
      </c>
      <c r="H454" s="47" t="str">
        <f>=IFERROR(VLOOKUP(A454,'ETPT Format DDG'!A:J,10,FALSE),"")</f>
        <v>0</v>
      </c>
      <c r="I454" s="47" t="str">
        <f>='ETPT Format DDG'!M454</f>
        <v/>
      </c>
      <c r="J454" s="47" t="str">
        <f>='ETPT Format DDG'!D454</f>
        <v/>
      </c>
      <c r="K454" s="47" t="s">
        <v>157</v>
      </c>
      <c r="L454" s="47" t="s">
        <v>1893</v>
      </c>
      <c r="M454" s="47"/>
      <c r="N454" s="47">
        <v>1</v>
      </c>
      <c r="O454" s="47">
        <v>0</v>
      </c>
      <c r="P454" s="47">
        <v>0</v>
      </c>
      <c r="Q454" s="47">
        <v>0</v>
      </c>
      <c r="R454" s="47">
        <v>0</v>
      </c>
      <c r="S454" s="47">
        <v>0</v>
      </c>
      <c r="T454" s="47">
        <v>0</v>
      </c>
      <c r="U454" s="47">
        <v>0</v>
      </c>
      <c r="V454" s="47">
        <v>0</v>
      </c>
      <c r="W454" s="47">
        <v>0</v>
      </c>
      <c r="X454" s="47">
        <v>0</v>
      </c>
      <c r="Y454" s="47">
        <v>0</v>
      </c>
      <c r="Z454" s="47">
        <v>0</v>
      </c>
      <c r="AA454" s="47">
        <v>0</v>
      </c>
      <c r="AB454" s="47">
        <v>0</v>
      </c>
      <c r="AC454" s="47">
        <v>0</v>
      </c>
      <c r="AD454" s="47">
        <v>0</v>
      </c>
      <c r="AE454" s="47">
        <v>0</v>
      </c>
      <c r="AF454" s="47">
        <v>0</v>
      </c>
      <c r="AG454" s="47">
        <v>0</v>
      </c>
      <c r="AH454" s="47">
        <v>0</v>
      </c>
      <c r="AI454" s="47">
        <v>0</v>
      </c>
      <c r="AJ454" s="47">
        <v>0</v>
      </c>
      <c r="AK454" s="47">
        <v>0</v>
      </c>
      <c r="AL454" s="47">
        <v>0</v>
      </c>
      <c r="AM454" s="47">
        <v>0</v>
      </c>
      <c r="AN454" s="47">
        <v>0</v>
      </c>
      <c r="AO454" s="47">
        <v>0</v>
      </c>
      <c r="AP454" s="47">
        <v>0</v>
      </c>
      <c r="AQ454" s="47">
        <v>0</v>
      </c>
      <c r="AR454" s="47">
        <v>0</v>
      </c>
      <c r="AS454" s="47">
        <v>0</v>
      </c>
      <c r="AT454" s="47">
        <v>0</v>
      </c>
      <c r="AU454" s="47">
        <v>0</v>
      </c>
      <c r="AV454" s="47">
        <v>0</v>
      </c>
      <c r="AW454" s="47">
        <v>0</v>
      </c>
      <c r="AX454" s="47">
        <v>0</v>
      </c>
      <c r="AY454" s="47">
        <v>0</v>
      </c>
      <c r="AZ454" s="47">
        <v>0</v>
      </c>
      <c r="BA454" s="47">
        <v>0</v>
      </c>
      <c r="BB454" s="47">
        <v>0</v>
      </c>
      <c r="BC454" s="47">
        <v>0</v>
      </c>
      <c r="BD454" s="47">
        <v>0</v>
      </c>
      <c r="BE454" s="47">
        <v>0</v>
      </c>
      <c r="BF454" s="47">
        <v>0</v>
      </c>
      <c r="BG454" s="47">
        <v>0</v>
      </c>
      <c r="BH454" s="47">
        <v>0</v>
      </c>
      <c r="BI454" s="47">
        <v>0</v>
      </c>
      <c r="BJ454" s="47">
        <v>0</v>
      </c>
      <c r="BK454" s="47">
        <v>0</v>
      </c>
      <c r="BL454" s="47">
        <v>0</v>
      </c>
      <c r="BM454" s="47">
        <v>0</v>
      </c>
      <c r="BN454" s="47">
        <v>0</v>
      </c>
      <c r="BO454" s="47">
        <v>0</v>
      </c>
      <c r="BP454" s="47">
        <v>0</v>
      </c>
      <c r="BQ454" s="47">
        <v>0</v>
      </c>
      <c r="BR454" s="47">
        <v>0</v>
      </c>
      <c r="BS454" s="47">
        <v>0</v>
      </c>
      <c r="BT454" s="47">
        <v>0</v>
      </c>
      <c r="BU454" s="47">
        <v>0</v>
      </c>
      <c r="BV454" s="47">
        <v>0</v>
      </c>
      <c r="BW454" s="47">
        <v>0</v>
      </c>
      <c r="BX454" s="47">
        <v>0</v>
      </c>
      <c r="BY454" s="47">
        <v>0</v>
      </c>
      <c r="BZ454" s="47">
        <v>0</v>
      </c>
      <c r="CA454" s="47">
        <v>0</v>
      </c>
      <c r="CB454" s="47">
        <v>0</v>
      </c>
      <c r="CC454" s="47">
        <v>0</v>
      </c>
      <c r="CD454" s="47">
        <v>0</v>
      </c>
      <c r="CE454" s="47">
        <v>0</v>
      </c>
      <c r="CF454" s="47">
        <v>0</v>
      </c>
      <c r="CG454" s="47">
        <v>0</v>
      </c>
      <c r="CH454" s="47">
        <v>0</v>
      </c>
      <c r="CI454" s="47">
        <v>0</v>
      </c>
      <c r="CJ454" s="47">
        <v>0</v>
      </c>
      <c r="CK454" s="47">
        <v>0</v>
      </c>
      <c r="CL454" s="47">
        <v>0</v>
      </c>
      <c r="CM454" s="47">
        <v>0</v>
      </c>
      <c r="CN454" s="47">
        <v>0</v>
      </c>
      <c r="CO454" s="47">
        <v>0</v>
      </c>
      <c r="CP454" s="47">
        <v>0</v>
      </c>
      <c r="CQ454" s="47">
        <v>0</v>
      </c>
      <c r="CR454" s="47">
        <v>0</v>
      </c>
      <c r="CS454" s="47">
        <v>0</v>
      </c>
      <c r="CT454" s="47">
        <v>0</v>
      </c>
      <c r="CU454" s="47">
        <v>0</v>
      </c>
      <c r="CV454" s="47">
        <v>0</v>
      </c>
      <c r="CW454" s="47">
        <v>0</v>
      </c>
      <c r="CX454" s="47">
        <v>0</v>
      </c>
      <c r="CY454" s="47">
        <v>0</v>
      </c>
      <c r="CZ454" s="47">
        <v>0</v>
      </c>
      <c r="DA454" s="47">
        <v>0</v>
      </c>
      <c r="DB454" s="47">
        <v>0</v>
      </c>
      <c r="DC454" s="47">
        <v>0</v>
      </c>
      <c r="DD454" s="47">
        <v>0</v>
      </c>
      <c r="DE454" s="47">
        <v>0</v>
      </c>
      <c r="DF454" s="47">
        <v>0</v>
      </c>
      <c r="DG454" s="47">
        <v>0</v>
      </c>
      <c r="DH454" s="47">
        <v>0</v>
      </c>
      <c r="DI454" s="47">
        <v>0</v>
      </c>
      <c r="DJ454" s="47">
        <v>0</v>
      </c>
      <c r="DK454" s="47">
        <v>0</v>
      </c>
      <c r="DL454" s="47">
        <v>0</v>
      </c>
      <c r="DM454" s="47">
        <v>0</v>
      </c>
      <c r="DN454" s="47">
        <v>0</v>
      </c>
      <c r="DO454" s="47">
        <v>0</v>
      </c>
      <c r="DP454" s="47">
        <v>0</v>
      </c>
      <c r="DQ454" s="47">
        <v>0</v>
      </c>
      <c r="DR454" s="47">
        <v>0</v>
      </c>
      <c r="DS454" s="47">
        <v>0</v>
      </c>
      <c r="DT454" s="47">
        <v>0</v>
      </c>
    </row>
    <row r="455" spans="1:126" x14ac:dyDescent="0.25">
      <c r="A455" s="47" t="s">
        <v>2161</v>
      </c>
      <c r="B455" s="47" t="s">
        <v>153</v>
      </c>
      <c r="C455" s="47" t="s">
        <v>2162</v>
      </c>
      <c r="D455" s="47" t="s">
        <v>2163</v>
      </c>
      <c r="E455" s="47" t="s">
        <v>2164</v>
      </c>
      <c r="F455" s="47" t="s">
        <v>698</v>
      </c>
      <c r="G455" s="47" t="s">
        <v>727</v>
      </c>
      <c r="H455" s="47" t="str">
        <f>=IFERROR(VLOOKUP(A455,'ETPT Format DDG'!A:J,10,FALSE),"")</f>
        <v>0</v>
      </c>
      <c r="I455" s="47" t="str">
        <f>='ETPT Format DDG'!M455</f>
        <v/>
      </c>
      <c r="J455" s="47" t="str">
        <f>='ETPT Format DDG'!D455</f>
        <v/>
      </c>
      <c r="K455" s="47" t="s">
        <v>157</v>
      </c>
      <c r="L455" s="47" t="s">
        <v>263</v>
      </c>
      <c r="M455" s="47"/>
      <c r="N455" s="47">
        <v>1</v>
      </c>
      <c r="O455" s="47">
        <v>0</v>
      </c>
      <c r="P455" s="47">
        <v>0</v>
      </c>
      <c r="Q455" s="47">
        <v>0</v>
      </c>
      <c r="R455" s="47">
        <v>0</v>
      </c>
      <c r="S455" s="47">
        <v>0</v>
      </c>
      <c r="T455" s="47">
        <v>0</v>
      </c>
      <c r="U455" s="47">
        <v>0</v>
      </c>
      <c r="V455" s="47">
        <v>0</v>
      </c>
      <c r="W455" s="47">
        <v>0</v>
      </c>
      <c r="X455" s="47">
        <v>0</v>
      </c>
      <c r="Y455" s="47">
        <v>0</v>
      </c>
      <c r="Z455" s="47">
        <v>0</v>
      </c>
      <c r="AA455" s="47">
        <v>0</v>
      </c>
      <c r="AB455" s="47">
        <v>0</v>
      </c>
      <c r="AC455" s="47">
        <v>0</v>
      </c>
      <c r="AD455" s="47">
        <v>0</v>
      </c>
      <c r="AE455" s="47">
        <v>0</v>
      </c>
      <c r="AF455" s="47">
        <v>0</v>
      </c>
      <c r="AG455" s="47">
        <v>0</v>
      </c>
      <c r="AH455" s="47">
        <v>0</v>
      </c>
      <c r="AI455" s="47">
        <v>0</v>
      </c>
      <c r="AJ455" s="47">
        <v>0</v>
      </c>
      <c r="AK455" s="47">
        <v>0</v>
      </c>
      <c r="AL455" s="47">
        <v>0</v>
      </c>
      <c r="AM455" s="47">
        <v>0</v>
      </c>
      <c r="AN455" s="47">
        <v>0</v>
      </c>
      <c r="AO455" s="47">
        <v>0</v>
      </c>
      <c r="AP455" s="47">
        <v>0</v>
      </c>
      <c r="AQ455" s="47">
        <v>0</v>
      </c>
      <c r="AR455" s="47">
        <v>0</v>
      </c>
      <c r="AS455" s="47">
        <v>0</v>
      </c>
      <c r="AT455" s="47">
        <v>0</v>
      </c>
      <c r="AU455" s="47">
        <v>0</v>
      </c>
      <c r="AV455" s="47">
        <v>0</v>
      </c>
      <c r="AW455" s="47">
        <v>0</v>
      </c>
      <c r="AX455" s="47">
        <v>0</v>
      </c>
      <c r="AY455" s="47">
        <v>0</v>
      </c>
      <c r="AZ455" s="47">
        <v>0</v>
      </c>
      <c r="BA455" s="47">
        <v>0</v>
      </c>
      <c r="BB455" s="47">
        <v>0</v>
      </c>
      <c r="BC455" s="47">
        <v>0</v>
      </c>
      <c r="BD455" s="47">
        <v>0</v>
      </c>
      <c r="BE455" s="47">
        <v>0</v>
      </c>
      <c r="BF455" s="47">
        <v>0</v>
      </c>
      <c r="BG455" s="47">
        <v>0</v>
      </c>
      <c r="BH455" s="47">
        <v>0</v>
      </c>
      <c r="BI455" s="47">
        <v>0</v>
      </c>
      <c r="BJ455" s="47">
        <v>0</v>
      </c>
      <c r="BK455" s="47">
        <v>0</v>
      </c>
      <c r="BL455" s="47">
        <v>0</v>
      </c>
      <c r="BM455" s="47">
        <v>0</v>
      </c>
      <c r="BN455" s="47">
        <v>0</v>
      </c>
      <c r="BO455" s="47">
        <v>0</v>
      </c>
      <c r="BP455" s="47">
        <v>0</v>
      </c>
      <c r="BQ455" s="47">
        <v>0</v>
      </c>
      <c r="BR455" s="47">
        <v>0</v>
      </c>
      <c r="BS455" s="47">
        <v>0</v>
      </c>
      <c r="BT455" s="47">
        <v>0</v>
      </c>
      <c r="BU455" s="47">
        <v>0</v>
      </c>
      <c r="BV455" s="47">
        <v>0</v>
      </c>
      <c r="BW455" s="47">
        <v>0</v>
      </c>
      <c r="BX455" s="47">
        <v>0</v>
      </c>
      <c r="BY455" s="47">
        <v>0</v>
      </c>
      <c r="BZ455" s="47">
        <v>0</v>
      </c>
      <c r="CA455" s="47">
        <v>0</v>
      </c>
      <c r="CB455" s="47">
        <v>0</v>
      </c>
      <c r="CC455" s="47">
        <v>0</v>
      </c>
      <c r="CD455" s="47">
        <v>0</v>
      </c>
      <c r="CE455" s="47">
        <v>0</v>
      </c>
      <c r="CF455" s="47">
        <v>0</v>
      </c>
      <c r="CG455" s="47">
        <v>0</v>
      </c>
      <c r="CH455" s="47">
        <v>0</v>
      </c>
      <c r="CI455" s="47">
        <v>0</v>
      </c>
      <c r="CJ455" s="47">
        <v>0</v>
      </c>
      <c r="CK455" s="47">
        <v>0</v>
      </c>
      <c r="CL455" s="47">
        <v>0</v>
      </c>
      <c r="CM455" s="47">
        <v>0</v>
      </c>
      <c r="CN455" s="47">
        <v>0</v>
      </c>
      <c r="CO455" s="47">
        <v>0</v>
      </c>
      <c r="CP455" s="47">
        <v>0</v>
      </c>
      <c r="CQ455" s="47">
        <v>0</v>
      </c>
      <c r="CR455" s="47">
        <v>0</v>
      </c>
      <c r="CS455" s="47">
        <v>0</v>
      </c>
      <c r="CT455" s="47">
        <v>0</v>
      </c>
      <c r="CU455" s="47">
        <v>0</v>
      </c>
      <c r="CV455" s="47">
        <v>0</v>
      </c>
      <c r="CW455" s="47">
        <v>0</v>
      </c>
      <c r="CX455" s="47">
        <v>0</v>
      </c>
      <c r="CY455" s="47">
        <v>0</v>
      </c>
      <c r="CZ455" s="47">
        <v>0</v>
      </c>
      <c r="DA455" s="47">
        <v>0</v>
      </c>
      <c r="DB455" s="47">
        <v>0</v>
      </c>
      <c r="DC455" s="47">
        <v>0</v>
      </c>
      <c r="DD455" s="47">
        <v>0</v>
      </c>
      <c r="DE455" s="47">
        <v>0</v>
      </c>
      <c r="DF455" s="47">
        <v>0</v>
      </c>
      <c r="DG455" s="47">
        <v>0</v>
      </c>
      <c r="DH455" s="47">
        <v>0</v>
      </c>
      <c r="DI455" s="47">
        <v>0</v>
      </c>
      <c r="DJ455" s="47">
        <v>0</v>
      </c>
      <c r="DK455" s="47">
        <v>0</v>
      </c>
      <c r="DL455" s="47">
        <v>0</v>
      </c>
      <c r="DM455" s="47">
        <v>0</v>
      </c>
      <c r="DN455" s="47">
        <v>0</v>
      </c>
      <c r="DO455" s="47">
        <v>0</v>
      </c>
      <c r="DP455" s="47">
        <v>0</v>
      </c>
      <c r="DQ455" s="47">
        <v>0</v>
      </c>
      <c r="DR455" s="47">
        <v>0</v>
      </c>
      <c r="DS455" s="47">
        <v>0</v>
      </c>
      <c r="DT455" s="47">
        <v>0</v>
      </c>
    </row>
    <row r="456" spans="1:126" x14ac:dyDescent="0.25">
      <c r="A456" s="47" t="s">
        <v>2165</v>
      </c>
      <c r="B456" s="47" t="s">
        <v>153</v>
      </c>
      <c r="C456" s="47" t="s">
        <v>2166</v>
      </c>
      <c r="D456" s="47" t="s">
        <v>2167</v>
      </c>
      <c r="E456" s="47" t="s">
        <v>2168</v>
      </c>
      <c r="F456" s="47" t="s">
        <v>698</v>
      </c>
      <c r="G456" s="47" t="s">
        <v>727</v>
      </c>
      <c r="H456" s="47" t="str">
        <f>=IFERROR(VLOOKUP(A456,'ETPT Format DDG'!A:J,10,FALSE),"")</f>
        <v>0</v>
      </c>
      <c r="I456" s="47" t="str">
        <f>='ETPT Format DDG'!M456</f>
        <v/>
      </c>
      <c r="J456" s="47" t="str">
        <f>='ETPT Format DDG'!D456</f>
        <v/>
      </c>
      <c r="K456" s="47" t="s">
        <v>157</v>
      </c>
      <c r="L456" s="47" t="s">
        <v>1437</v>
      </c>
      <c r="M456" s="47"/>
      <c r="N456" s="47">
        <v>1</v>
      </c>
      <c r="O456" s="47">
        <v>0</v>
      </c>
      <c r="P456" s="47">
        <v>0</v>
      </c>
      <c r="Q456" s="47">
        <v>0</v>
      </c>
      <c r="R456" s="47">
        <v>0</v>
      </c>
      <c r="S456" s="47">
        <v>0</v>
      </c>
      <c r="T456" s="47">
        <v>0</v>
      </c>
      <c r="U456" s="47">
        <v>0</v>
      </c>
      <c r="V456" s="47">
        <v>0</v>
      </c>
      <c r="W456" s="47">
        <v>0</v>
      </c>
      <c r="X456" s="47">
        <v>0</v>
      </c>
      <c r="Y456" s="47">
        <v>0</v>
      </c>
      <c r="Z456" s="47">
        <v>0</v>
      </c>
      <c r="AA456" s="47">
        <v>0</v>
      </c>
      <c r="AB456" s="47">
        <v>0</v>
      </c>
      <c r="AC456" s="47">
        <v>0</v>
      </c>
      <c r="AD456" s="47">
        <v>0</v>
      </c>
      <c r="AE456" s="47">
        <v>0</v>
      </c>
      <c r="AF456" s="47">
        <v>0</v>
      </c>
      <c r="AG456" s="47">
        <v>0</v>
      </c>
      <c r="AH456" s="47">
        <v>0</v>
      </c>
      <c r="AI456" s="47">
        <v>0</v>
      </c>
      <c r="AJ456" s="47">
        <v>0</v>
      </c>
      <c r="AK456" s="47">
        <v>0</v>
      </c>
      <c r="AL456" s="47">
        <v>0</v>
      </c>
      <c r="AM456" s="47">
        <v>0</v>
      </c>
      <c r="AN456" s="47">
        <v>0</v>
      </c>
      <c r="AO456" s="47">
        <v>0</v>
      </c>
      <c r="AP456" s="47">
        <v>0</v>
      </c>
      <c r="AQ456" s="47">
        <v>0</v>
      </c>
      <c r="AR456" s="47">
        <v>0</v>
      </c>
      <c r="AS456" s="47">
        <v>0</v>
      </c>
      <c r="AT456" s="47">
        <v>0</v>
      </c>
      <c r="AU456" s="47">
        <v>0</v>
      </c>
      <c r="AV456" s="47">
        <v>0</v>
      </c>
      <c r="AW456" s="47">
        <v>0</v>
      </c>
      <c r="AX456" s="47">
        <v>0</v>
      </c>
      <c r="AY456" s="47">
        <v>0</v>
      </c>
      <c r="AZ456" s="47">
        <v>0</v>
      </c>
      <c r="BA456" s="47">
        <v>0</v>
      </c>
      <c r="BB456" s="47">
        <v>0</v>
      </c>
      <c r="BC456" s="47">
        <v>0</v>
      </c>
      <c r="BD456" s="47">
        <v>0</v>
      </c>
      <c r="BE456" s="47">
        <v>0</v>
      </c>
      <c r="BF456" s="47">
        <v>0</v>
      </c>
      <c r="BG456" s="47">
        <v>0</v>
      </c>
      <c r="BH456" s="47">
        <v>0</v>
      </c>
      <c r="BI456" s="47">
        <v>0</v>
      </c>
      <c r="BJ456" s="47">
        <v>0</v>
      </c>
      <c r="BK456" s="47">
        <v>0</v>
      </c>
      <c r="BL456" s="47">
        <v>0</v>
      </c>
      <c r="BM456" s="47">
        <v>0</v>
      </c>
      <c r="BN456" s="47">
        <v>0</v>
      </c>
      <c r="BO456" s="47">
        <v>0</v>
      </c>
      <c r="BP456" s="47">
        <v>0</v>
      </c>
      <c r="BQ456" s="47">
        <v>0</v>
      </c>
      <c r="BR456" s="47">
        <v>0</v>
      </c>
      <c r="BS456" s="47">
        <v>0</v>
      </c>
      <c r="BT456" s="47">
        <v>0</v>
      </c>
      <c r="BU456" s="47">
        <v>0</v>
      </c>
      <c r="BV456" s="47">
        <v>0</v>
      </c>
      <c r="BW456" s="47">
        <v>0</v>
      </c>
      <c r="BX456" s="47">
        <v>0</v>
      </c>
      <c r="BY456" s="47">
        <v>0</v>
      </c>
      <c r="BZ456" s="47">
        <v>0</v>
      </c>
      <c r="CA456" s="47">
        <v>0</v>
      </c>
      <c r="CB456" s="47">
        <v>0</v>
      </c>
      <c r="CC456" s="47">
        <v>0</v>
      </c>
      <c r="CD456" s="47">
        <v>0</v>
      </c>
      <c r="CE456" s="47">
        <v>0</v>
      </c>
      <c r="CF456" s="47">
        <v>0</v>
      </c>
      <c r="CG456" s="47">
        <v>0</v>
      </c>
      <c r="CH456" s="47">
        <v>0</v>
      </c>
      <c r="CI456" s="47">
        <v>0</v>
      </c>
      <c r="CJ456" s="47">
        <v>0</v>
      </c>
      <c r="CK456" s="47">
        <v>0</v>
      </c>
      <c r="CL456" s="47">
        <v>0</v>
      </c>
      <c r="CM456" s="47">
        <v>0</v>
      </c>
      <c r="CN456" s="47">
        <v>0</v>
      </c>
      <c r="CO456" s="47">
        <v>0</v>
      </c>
      <c r="CP456" s="47">
        <v>0</v>
      </c>
      <c r="CQ456" s="47">
        <v>0</v>
      </c>
      <c r="CR456" s="47">
        <v>0</v>
      </c>
      <c r="CS456" s="47">
        <v>0</v>
      </c>
      <c r="CT456" s="47">
        <v>0</v>
      </c>
      <c r="CU456" s="47">
        <v>0</v>
      </c>
      <c r="CV456" s="47">
        <v>0</v>
      </c>
      <c r="CW456" s="47">
        <v>0</v>
      </c>
      <c r="CX456" s="47">
        <v>0</v>
      </c>
      <c r="CY456" s="47">
        <v>0</v>
      </c>
      <c r="CZ456" s="47">
        <v>0</v>
      </c>
      <c r="DA456" s="47">
        <v>0</v>
      </c>
      <c r="DB456" s="47">
        <v>0</v>
      </c>
      <c r="DC456" s="47">
        <v>0</v>
      </c>
      <c r="DD456" s="47">
        <v>0</v>
      </c>
      <c r="DE456" s="47">
        <v>0</v>
      </c>
      <c r="DF456" s="47">
        <v>0</v>
      </c>
      <c r="DG456" s="47">
        <v>0</v>
      </c>
      <c r="DH456" s="47">
        <v>0</v>
      </c>
      <c r="DI456" s="47">
        <v>0</v>
      </c>
      <c r="DJ456" s="47">
        <v>0</v>
      </c>
      <c r="DK456" s="47">
        <v>0</v>
      </c>
      <c r="DL456" s="47">
        <v>0</v>
      </c>
      <c r="DM456" s="47">
        <v>0</v>
      </c>
      <c r="DN456" s="47">
        <v>0</v>
      </c>
      <c r="DO456" s="47">
        <v>0</v>
      </c>
      <c r="DP456" s="47">
        <v>0</v>
      </c>
      <c r="DQ456" s="47">
        <v>0</v>
      </c>
      <c r="DR456" s="47">
        <v>0</v>
      </c>
      <c r="DS456" s="47">
        <v>0</v>
      </c>
      <c r="DT456" s="47">
        <v>0</v>
      </c>
    </row>
    <row r="457" spans="1:126" x14ac:dyDescent="0.25">
      <c r="A457" s="47" t="s">
        <v>2169</v>
      </c>
      <c r="B457" s="47" t="s">
        <v>153</v>
      </c>
      <c r="C457" s="47" t="s">
        <v>2170</v>
      </c>
      <c r="D457" s="47" t="s">
        <v>2171</v>
      </c>
      <c r="E457" s="47" t="s">
        <v>2172</v>
      </c>
      <c r="F457" s="47" t="s">
        <v>698</v>
      </c>
      <c r="G457" s="47" t="s">
        <v>727</v>
      </c>
      <c r="H457" s="47" t="str">
        <f>=IFERROR(VLOOKUP(A457,'ETPT Format DDG'!A:J,10,FALSE),"")</f>
        <v>0</v>
      </c>
      <c r="I457" s="47" t="str">
        <f>='ETPT Format DDG'!M457</f>
        <v/>
      </c>
      <c r="J457" s="47" t="str">
        <f>='ETPT Format DDG'!D457</f>
        <v/>
      </c>
      <c r="K457" s="47" t="s">
        <v>157</v>
      </c>
      <c r="L457" s="47" t="s">
        <v>2063</v>
      </c>
      <c r="M457" s="47"/>
      <c r="N457" s="47">
        <v>1</v>
      </c>
      <c r="O457" s="47">
        <v>0</v>
      </c>
      <c r="P457" s="47">
        <v>0</v>
      </c>
      <c r="Q457" s="47">
        <v>0</v>
      </c>
      <c r="R457" s="47">
        <v>0</v>
      </c>
      <c r="S457" s="47">
        <v>0</v>
      </c>
      <c r="T457" s="47">
        <v>0</v>
      </c>
      <c r="U457" s="47">
        <v>0</v>
      </c>
      <c r="V457" s="47">
        <v>0</v>
      </c>
      <c r="W457" s="47">
        <v>0</v>
      </c>
      <c r="X457" s="47">
        <v>0</v>
      </c>
      <c r="Y457" s="47">
        <v>0</v>
      </c>
      <c r="Z457" s="47">
        <v>0</v>
      </c>
      <c r="AA457" s="47">
        <v>0</v>
      </c>
      <c r="AB457" s="47">
        <v>0</v>
      </c>
      <c r="AC457" s="47">
        <v>0</v>
      </c>
      <c r="AD457" s="47">
        <v>0</v>
      </c>
      <c r="AE457" s="47">
        <v>0</v>
      </c>
      <c r="AF457" s="47">
        <v>0</v>
      </c>
      <c r="AG457" s="47">
        <v>0</v>
      </c>
      <c r="AH457" s="47">
        <v>0</v>
      </c>
      <c r="AI457" s="47">
        <v>0</v>
      </c>
      <c r="AJ457" s="47">
        <v>0</v>
      </c>
      <c r="AK457" s="47">
        <v>0</v>
      </c>
      <c r="AL457" s="47">
        <v>0</v>
      </c>
      <c r="AM457" s="47">
        <v>0</v>
      </c>
      <c r="AN457" s="47">
        <v>0</v>
      </c>
      <c r="AO457" s="47">
        <v>0</v>
      </c>
      <c r="AP457" s="47">
        <v>0</v>
      </c>
      <c r="AQ457" s="47">
        <v>0</v>
      </c>
      <c r="AR457" s="47">
        <v>0</v>
      </c>
      <c r="AS457" s="47">
        <v>0</v>
      </c>
      <c r="AT457" s="47">
        <v>0</v>
      </c>
      <c r="AU457" s="47">
        <v>0</v>
      </c>
      <c r="AV457" s="47">
        <v>0</v>
      </c>
      <c r="AW457" s="47">
        <v>0</v>
      </c>
      <c r="AX457" s="47">
        <v>0</v>
      </c>
      <c r="AY457" s="47">
        <v>0</v>
      </c>
      <c r="AZ457" s="47">
        <v>0</v>
      </c>
      <c r="BA457" s="47">
        <v>0</v>
      </c>
      <c r="BB457" s="47">
        <v>0</v>
      </c>
      <c r="BC457" s="47">
        <v>0</v>
      </c>
      <c r="BD457" s="47">
        <v>0</v>
      </c>
      <c r="BE457" s="47">
        <v>0</v>
      </c>
      <c r="BF457" s="47">
        <v>0</v>
      </c>
      <c r="BG457" s="47">
        <v>0</v>
      </c>
      <c r="BH457" s="47">
        <v>0</v>
      </c>
      <c r="BI457" s="47">
        <v>0</v>
      </c>
      <c r="BJ457" s="47">
        <v>0</v>
      </c>
      <c r="BK457" s="47">
        <v>0</v>
      </c>
      <c r="BL457" s="47">
        <v>0</v>
      </c>
      <c r="BM457" s="47">
        <v>0</v>
      </c>
      <c r="BN457" s="47">
        <v>0</v>
      </c>
      <c r="BO457" s="47">
        <v>0</v>
      </c>
      <c r="BP457" s="47">
        <v>0</v>
      </c>
      <c r="BQ457" s="47">
        <v>0</v>
      </c>
      <c r="BR457" s="47">
        <v>0</v>
      </c>
      <c r="BS457" s="47">
        <v>0</v>
      </c>
      <c r="BT457" s="47">
        <v>0</v>
      </c>
      <c r="BU457" s="47">
        <v>0</v>
      </c>
      <c r="BV457" s="47">
        <v>0</v>
      </c>
      <c r="BW457" s="47">
        <v>0</v>
      </c>
      <c r="BX457" s="47">
        <v>0</v>
      </c>
      <c r="BY457" s="47">
        <v>0</v>
      </c>
      <c r="BZ457" s="47">
        <v>0</v>
      </c>
      <c r="CA457" s="47">
        <v>0</v>
      </c>
      <c r="CB457" s="47">
        <v>0</v>
      </c>
      <c r="CC457" s="47">
        <v>0</v>
      </c>
      <c r="CD457" s="47">
        <v>0</v>
      </c>
      <c r="CE457" s="47">
        <v>0</v>
      </c>
      <c r="CF457" s="47">
        <v>0</v>
      </c>
      <c r="CG457" s="47">
        <v>0</v>
      </c>
      <c r="CH457" s="47">
        <v>0</v>
      </c>
      <c r="CI457" s="47">
        <v>0</v>
      </c>
      <c r="CJ457" s="47">
        <v>0</v>
      </c>
      <c r="CK457" s="47">
        <v>0</v>
      </c>
      <c r="CL457" s="47">
        <v>0</v>
      </c>
      <c r="CM457" s="47">
        <v>0</v>
      </c>
      <c r="CN457" s="47">
        <v>0</v>
      </c>
      <c r="CO457" s="47">
        <v>0</v>
      </c>
      <c r="CP457" s="47">
        <v>0</v>
      </c>
      <c r="CQ457" s="47">
        <v>0</v>
      </c>
      <c r="CR457" s="47">
        <v>0</v>
      </c>
      <c r="CS457" s="47">
        <v>0</v>
      </c>
      <c r="CT457" s="47">
        <v>0</v>
      </c>
      <c r="CU457" s="47">
        <v>0</v>
      </c>
      <c r="CV457" s="47">
        <v>0</v>
      </c>
      <c r="CW457" s="47">
        <v>0</v>
      </c>
      <c r="CX457" s="47">
        <v>0</v>
      </c>
      <c r="CY457" s="47">
        <v>0</v>
      </c>
      <c r="CZ457" s="47">
        <v>0</v>
      </c>
      <c r="DA457" s="47">
        <v>0</v>
      </c>
      <c r="DB457" s="47">
        <v>0</v>
      </c>
      <c r="DC457" s="47">
        <v>0</v>
      </c>
      <c r="DD457" s="47">
        <v>0</v>
      </c>
      <c r="DE457" s="47">
        <v>0</v>
      </c>
      <c r="DF457" s="47">
        <v>0</v>
      </c>
      <c r="DG457" s="47">
        <v>0</v>
      </c>
      <c r="DH457" s="47">
        <v>0</v>
      </c>
      <c r="DI457" s="47">
        <v>0</v>
      </c>
      <c r="DJ457" s="47">
        <v>0</v>
      </c>
      <c r="DK457" s="47">
        <v>0</v>
      </c>
      <c r="DL457" s="47">
        <v>0</v>
      </c>
      <c r="DM457" s="47">
        <v>0</v>
      </c>
      <c r="DN457" s="47">
        <v>0</v>
      </c>
      <c r="DO457" s="47">
        <v>0</v>
      </c>
      <c r="DP457" s="47">
        <v>0</v>
      </c>
      <c r="DQ457" s="47">
        <v>0</v>
      </c>
      <c r="DR457" s="47">
        <v>0</v>
      </c>
      <c r="DS457" s="47">
        <v>0</v>
      </c>
      <c r="DT457" s="47">
        <v>0</v>
      </c>
    </row>
    <row r="458" spans="1:126" x14ac:dyDescent="0.25">
      <c r="A458" s="47" t="s">
        <v>2173</v>
      </c>
      <c r="B458" s="47" t="s">
        <v>153</v>
      </c>
      <c r="C458" s="47" t="s">
        <v>2174</v>
      </c>
      <c r="D458" s="47" t="s">
        <v>2175</v>
      </c>
      <c r="E458" s="47" t="s">
        <v>2176</v>
      </c>
      <c r="F458" s="47" t="s">
        <v>698</v>
      </c>
      <c r="G458" s="47" t="s">
        <v>2177</v>
      </c>
      <c r="H458" s="47" t="str">
        <f>=IFERROR(VLOOKUP(A458,'ETPT Format DDG'!A:J,10,FALSE),"")</f>
        <v>0</v>
      </c>
      <c r="I458" s="47" t="str">
        <f>='ETPT Format DDG'!M458</f>
        <v/>
      </c>
      <c r="J458" s="47" t="str">
        <f>='ETPT Format DDG'!D458</f>
        <v/>
      </c>
      <c r="K458" s="47" t="s">
        <v>157</v>
      </c>
      <c r="L458" s="47" t="s">
        <v>593</v>
      </c>
      <c r="M458" s="47"/>
      <c r="N458" s="47">
        <v>1</v>
      </c>
      <c r="O458" s="47">
        <v>1</v>
      </c>
      <c r="P458" s="47">
        <v>0</v>
      </c>
      <c r="Q458" s="47">
        <v>0</v>
      </c>
      <c r="R458" s="47">
        <v>0</v>
      </c>
      <c r="S458" s="47">
        <v>0</v>
      </c>
      <c r="T458" s="47">
        <v>0</v>
      </c>
      <c r="U458" s="47">
        <v>0</v>
      </c>
      <c r="V458" s="47">
        <v>0</v>
      </c>
      <c r="W458" s="47">
        <v>0</v>
      </c>
      <c r="X458" s="47">
        <v>0</v>
      </c>
      <c r="Y458" s="47">
        <v>0</v>
      </c>
      <c r="Z458" s="47">
        <v>0</v>
      </c>
      <c r="AA458" s="47">
        <v>0</v>
      </c>
      <c r="AB458" s="47">
        <v>0</v>
      </c>
      <c r="AC458" s="47">
        <v>0</v>
      </c>
      <c r="AD458" s="47">
        <v>0</v>
      </c>
      <c r="AE458" s="47">
        <v>0</v>
      </c>
      <c r="AF458" s="47">
        <v>0</v>
      </c>
      <c r="AG458" s="47">
        <v>0</v>
      </c>
      <c r="AH458" s="47">
        <v>0</v>
      </c>
      <c r="AI458" s="47">
        <v>0</v>
      </c>
      <c r="AJ458" s="47">
        <v>0</v>
      </c>
      <c r="AK458" s="47">
        <v>0</v>
      </c>
      <c r="AL458" s="47">
        <v>0</v>
      </c>
      <c r="AM458" s="47">
        <v>0</v>
      </c>
      <c r="AN458" s="47">
        <v>0</v>
      </c>
      <c r="AO458" s="47">
        <v>0</v>
      </c>
      <c r="AP458" s="47">
        <v>0</v>
      </c>
      <c r="AQ458" s="47">
        <v>0</v>
      </c>
      <c r="AR458" s="47">
        <v>0</v>
      </c>
      <c r="AS458" s="47">
        <v>0</v>
      </c>
      <c r="AT458" s="47">
        <v>0</v>
      </c>
      <c r="AU458" s="47">
        <v>0</v>
      </c>
      <c r="AV458" s="47">
        <v>0</v>
      </c>
      <c r="AW458" s="47">
        <v>0</v>
      </c>
      <c r="AX458" s="47">
        <v>0</v>
      </c>
      <c r="AY458" s="47">
        <v>0</v>
      </c>
      <c r="AZ458" s="47">
        <v>0</v>
      </c>
      <c r="BA458" s="47">
        <v>0</v>
      </c>
      <c r="BB458" s="47">
        <v>0</v>
      </c>
      <c r="BC458" s="47">
        <v>0</v>
      </c>
      <c r="BD458" s="47">
        <v>0</v>
      </c>
      <c r="BE458" s="47">
        <v>0</v>
      </c>
      <c r="BF458" s="47">
        <v>0</v>
      </c>
      <c r="BG458" s="47">
        <v>0</v>
      </c>
      <c r="BH458" s="47">
        <v>0</v>
      </c>
      <c r="BI458" s="47">
        <v>0</v>
      </c>
      <c r="BJ458" s="47">
        <v>0</v>
      </c>
      <c r="BK458" s="47">
        <v>0</v>
      </c>
      <c r="BL458" s="47">
        <v>0</v>
      </c>
      <c r="BM458" s="47">
        <v>0</v>
      </c>
      <c r="BN458" s="47">
        <v>0</v>
      </c>
      <c r="BO458" s="47">
        <v>1</v>
      </c>
      <c r="BP458" s="47">
        <v>0</v>
      </c>
      <c r="BQ458" s="47">
        <v>0</v>
      </c>
      <c r="BR458" s="47">
        <v>0</v>
      </c>
      <c r="BS458" s="47">
        <v>0</v>
      </c>
      <c r="BT458" s="47">
        <v>0</v>
      </c>
      <c r="BU458" s="47">
        <v>0</v>
      </c>
      <c r="BV458" s="47">
        <v>0</v>
      </c>
      <c r="BW458" s="47">
        <v>0</v>
      </c>
      <c r="BX458" s="47">
        <v>1</v>
      </c>
      <c r="BY458" s="47">
        <v>0</v>
      </c>
      <c r="BZ458" s="47">
        <v>0</v>
      </c>
      <c r="CA458" s="47">
        <v>0</v>
      </c>
      <c r="CB458" s="47">
        <v>0</v>
      </c>
      <c r="CC458" s="47">
        <v>0</v>
      </c>
      <c r="CD458" s="47">
        <v>0</v>
      </c>
      <c r="CE458" s="47">
        <v>0</v>
      </c>
      <c r="CF458" s="47">
        <v>0</v>
      </c>
      <c r="CG458" s="47">
        <v>0</v>
      </c>
      <c r="CH458" s="47">
        <v>0</v>
      </c>
      <c r="CI458" s="47">
        <v>0</v>
      </c>
      <c r="CJ458" s="47">
        <v>0</v>
      </c>
      <c r="CK458" s="47">
        <v>0</v>
      </c>
      <c r="CL458" s="47">
        <v>0</v>
      </c>
      <c r="CM458" s="47">
        <v>0</v>
      </c>
      <c r="CN458" s="47">
        <v>0</v>
      </c>
      <c r="CO458" s="47">
        <v>0</v>
      </c>
      <c r="CP458" s="47">
        <v>0</v>
      </c>
      <c r="CQ458" s="47">
        <v>0</v>
      </c>
      <c r="CR458" s="47">
        <v>0</v>
      </c>
      <c r="CS458" s="47">
        <v>0</v>
      </c>
      <c r="CT458" s="47">
        <v>0</v>
      </c>
      <c r="CU458" s="47">
        <v>0</v>
      </c>
      <c r="CV458" s="47">
        <v>0</v>
      </c>
      <c r="CW458" s="47">
        <v>0</v>
      </c>
      <c r="CX458" s="47">
        <v>0</v>
      </c>
      <c r="CY458" s="47">
        <v>0</v>
      </c>
      <c r="CZ458" s="47">
        <v>0</v>
      </c>
      <c r="DA458" s="47">
        <v>0</v>
      </c>
      <c r="DB458" s="47">
        <v>0</v>
      </c>
      <c r="DC458" s="47">
        <v>0</v>
      </c>
      <c r="DD458" s="47">
        <v>0</v>
      </c>
      <c r="DE458" s="47">
        <v>0</v>
      </c>
      <c r="DF458" s="47">
        <v>0</v>
      </c>
      <c r="DG458" s="47">
        <v>0</v>
      </c>
      <c r="DH458" s="47">
        <v>0</v>
      </c>
      <c r="DI458" s="47">
        <v>0</v>
      </c>
      <c r="DJ458" s="47">
        <v>0</v>
      </c>
      <c r="DK458" s="47">
        <v>0</v>
      </c>
      <c r="DL458" s="47">
        <v>0</v>
      </c>
      <c r="DM458" s="47">
        <v>0</v>
      </c>
      <c r="DN458" s="47">
        <v>0</v>
      </c>
      <c r="DO458" s="47">
        <v>0</v>
      </c>
      <c r="DP458" s="47">
        <v>0</v>
      </c>
      <c r="DQ458" s="47">
        <v>0</v>
      </c>
      <c r="DR458" s="47">
        <v>0</v>
      </c>
      <c r="DS458" s="47">
        <v>0</v>
      </c>
      <c r="DT458" s="47">
        <v>0</v>
      </c>
    </row>
    <row r="459" spans="1:126" x14ac:dyDescent="0.25">
      <c r="A459" s="47" t="s">
        <v>2178</v>
      </c>
      <c r="B459" s="47" t="s">
        <v>153</v>
      </c>
      <c r="C459" s="47" t="s">
        <v>2179</v>
      </c>
      <c r="D459" s="47" t="s">
        <v>2180</v>
      </c>
      <c r="E459" s="47" t="s">
        <v>2181</v>
      </c>
      <c r="F459" s="47" t="s">
        <v>698</v>
      </c>
      <c r="G459" s="47" t="s">
        <v>738</v>
      </c>
      <c r="H459" s="47" t="str">
        <f>=IFERROR(VLOOKUP(A459,'ETPT Format DDG'!A:J,10,FALSE),"")</f>
        <v>0</v>
      </c>
      <c r="I459" s="47" t="str">
        <f>='ETPT Format DDG'!M459</f>
        <v/>
      </c>
      <c r="J459" s="47" t="str">
        <f>='ETPT Format DDG'!D459</f>
        <v/>
      </c>
      <c r="K459" s="47" t="s">
        <v>157</v>
      </c>
      <c r="L459" s="47" t="s">
        <v>593</v>
      </c>
      <c r="M459" s="47"/>
      <c r="N459" s="47">
        <v>1</v>
      </c>
      <c r="O459" s="47">
        <v>1</v>
      </c>
      <c r="P459" s="47">
        <v>0</v>
      </c>
      <c r="Q459" s="47">
        <v>0</v>
      </c>
      <c r="R459" s="47">
        <v>0</v>
      </c>
      <c r="S459" s="47">
        <v>0</v>
      </c>
      <c r="T459" s="47">
        <v>0</v>
      </c>
      <c r="U459" s="47">
        <v>0</v>
      </c>
      <c r="V459" s="47">
        <v>0</v>
      </c>
      <c r="W459" s="47">
        <v>0</v>
      </c>
      <c r="X459" s="47">
        <v>0</v>
      </c>
      <c r="Y459" s="47">
        <v>0</v>
      </c>
      <c r="Z459" s="47">
        <v>0</v>
      </c>
      <c r="AA459" s="47">
        <v>0</v>
      </c>
      <c r="AB459" s="47">
        <v>0</v>
      </c>
      <c r="AC459" s="47">
        <v>0</v>
      </c>
      <c r="AD459" s="47">
        <v>0</v>
      </c>
      <c r="AE459" s="47">
        <v>0</v>
      </c>
      <c r="AF459" s="47">
        <v>0</v>
      </c>
      <c r="AG459" s="47">
        <v>0</v>
      </c>
      <c r="AH459" s="47">
        <v>0</v>
      </c>
      <c r="AI459" s="47">
        <v>0</v>
      </c>
      <c r="AJ459" s="47">
        <v>0</v>
      </c>
      <c r="AK459" s="47">
        <v>0</v>
      </c>
      <c r="AL459" s="47">
        <v>0</v>
      </c>
      <c r="AM459" s="47">
        <v>0</v>
      </c>
      <c r="AN459" s="47">
        <v>0</v>
      </c>
      <c r="AO459" s="47">
        <v>0</v>
      </c>
      <c r="AP459" s="47">
        <v>0</v>
      </c>
      <c r="AQ459" s="47">
        <v>0</v>
      </c>
      <c r="AR459" s="47">
        <v>0</v>
      </c>
      <c r="AS459" s="47">
        <v>0</v>
      </c>
      <c r="AT459" s="47">
        <v>0</v>
      </c>
      <c r="AU459" s="47">
        <v>0</v>
      </c>
      <c r="AV459" s="47">
        <v>0</v>
      </c>
      <c r="AW459" s="47">
        <v>0</v>
      </c>
      <c r="AX459" s="47">
        <v>0</v>
      </c>
      <c r="AY459" s="47">
        <v>0</v>
      </c>
      <c r="AZ459" s="47">
        <v>0</v>
      </c>
      <c r="BA459" s="47">
        <v>0</v>
      </c>
      <c r="BB459" s="47">
        <v>0</v>
      </c>
      <c r="BC459" s="47">
        <v>0</v>
      </c>
      <c r="BD459" s="47">
        <v>0</v>
      </c>
      <c r="BE459" s="47">
        <v>0</v>
      </c>
      <c r="BF459" s="47">
        <v>0</v>
      </c>
      <c r="BG459" s="47">
        <v>0</v>
      </c>
      <c r="BH459" s="47">
        <v>0</v>
      </c>
      <c r="BI459" s="47">
        <v>0</v>
      </c>
      <c r="BJ459" s="47">
        <v>0</v>
      </c>
      <c r="BK459" s="47">
        <v>0</v>
      </c>
      <c r="BL459" s="47">
        <v>0</v>
      </c>
      <c r="BM459" s="47">
        <v>0</v>
      </c>
      <c r="BN459" s="47">
        <v>0</v>
      </c>
      <c r="BO459" s="47">
        <v>0</v>
      </c>
      <c r="BP459" s="47">
        <v>0</v>
      </c>
      <c r="BQ459" s="47">
        <v>0</v>
      </c>
      <c r="BR459" s="47">
        <v>0</v>
      </c>
      <c r="BS459" s="47">
        <v>0</v>
      </c>
      <c r="BT459" s="47">
        <v>0</v>
      </c>
      <c r="BU459" s="47">
        <v>0</v>
      </c>
      <c r="BV459" s="47">
        <v>0</v>
      </c>
      <c r="BW459" s="47">
        <v>0</v>
      </c>
      <c r="BX459" s="47">
        <v>0</v>
      </c>
      <c r="BY459" s="47">
        <v>0</v>
      </c>
      <c r="BZ459" s="47">
        <v>0</v>
      </c>
      <c r="CA459" s="47">
        <v>0</v>
      </c>
      <c r="CB459" s="47">
        <v>0</v>
      </c>
      <c r="CC459" s="47">
        <v>0</v>
      </c>
      <c r="CD459" s="47">
        <v>0</v>
      </c>
      <c r="CE459" s="47">
        <v>0</v>
      </c>
      <c r="CF459" s="47">
        <v>0</v>
      </c>
      <c r="CG459" s="47">
        <v>0</v>
      </c>
      <c r="CH459" s="47">
        <v>0</v>
      </c>
      <c r="CI459" s="47">
        <v>0</v>
      </c>
      <c r="CJ459" s="47">
        <v>0</v>
      </c>
      <c r="CK459" s="47">
        <v>0</v>
      </c>
      <c r="CL459" s="47">
        <v>0</v>
      </c>
      <c r="CM459" s="47">
        <v>0</v>
      </c>
      <c r="CN459" s="47">
        <v>0</v>
      </c>
      <c r="CO459" s="47">
        <v>0</v>
      </c>
      <c r="CP459" s="47">
        <v>0</v>
      </c>
      <c r="CQ459" s="47">
        <v>0</v>
      </c>
      <c r="CR459" s="47">
        <v>0</v>
      </c>
      <c r="CS459" s="47">
        <v>0</v>
      </c>
      <c r="CT459" s="47">
        <v>1</v>
      </c>
      <c r="CU459" s="47">
        <v>1</v>
      </c>
      <c r="CV459" s="47">
        <v>0</v>
      </c>
      <c r="CW459" s="47">
        <v>0</v>
      </c>
      <c r="CX459" s="47">
        <v>0</v>
      </c>
      <c r="CY459" s="47">
        <v>0</v>
      </c>
      <c r="CZ459" s="47">
        <v>0</v>
      </c>
      <c r="DA459" s="47">
        <v>0</v>
      </c>
      <c r="DB459" s="47">
        <v>0</v>
      </c>
      <c r="DC459" s="47">
        <v>0</v>
      </c>
      <c r="DD459" s="47">
        <v>0</v>
      </c>
      <c r="DE459" s="47">
        <v>0</v>
      </c>
      <c r="DF459" s="47">
        <v>0</v>
      </c>
      <c r="DG459" s="47">
        <v>0</v>
      </c>
      <c r="DH459" s="47">
        <v>0</v>
      </c>
      <c r="DI459" s="47">
        <v>0</v>
      </c>
      <c r="DJ459" s="47">
        <v>0</v>
      </c>
      <c r="DK459" s="47">
        <v>0</v>
      </c>
      <c r="DL459" s="47">
        <v>0</v>
      </c>
      <c r="DM459" s="47">
        <v>0</v>
      </c>
      <c r="DN459" s="47">
        <v>0</v>
      </c>
      <c r="DO459" s="47">
        <v>0</v>
      </c>
      <c r="DP459" s="47">
        <v>0</v>
      </c>
      <c r="DQ459" s="47">
        <v>0</v>
      </c>
      <c r="DR459" s="47">
        <v>0</v>
      </c>
      <c r="DS459" s="47">
        <v>0</v>
      </c>
      <c r="DT459" s="47">
        <v>0</v>
      </c>
    </row>
    <row r="460" spans="1:126" x14ac:dyDescent="0.25">
      <c r="A460" s="47" t="s">
        <v>2182</v>
      </c>
      <c r="B460" s="47" t="s">
        <v>153</v>
      </c>
      <c r="C460" s="47" t="s">
        <v>2183</v>
      </c>
      <c r="D460" s="47" t="s">
        <v>2184</v>
      </c>
      <c r="E460" s="47" t="s">
        <v>2185</v>
      </c>
      <c r="F460" s="47" t="s">
        <v>698</v>
      </c>
      <c r="G460" s="47" t="s">
        <v>727</v>
      </c>
      <c r="H460" s="47" t="str">
        <f>=IFERROR(VLOOKUP(A460,'ETPT Format DDG'!A:J,10,FALSE),"")</f>
        <v>0</v>
      </c>
      <c r="I460" s="47" t="str">
        <f>='ETPT Format DDG'!M460</f>
        <v/>
      </c>
      <c r="J460" s="47" t="str">
        <f>='ETPT Format DDG'!D460</f>
        <v/>
      </c>
      <c r="K460" s="47" t="s">
        <v>157</v>
      </c>
      <c r="L460" s="47" t="s">
        <v>739</v>
      </c>
      <c r="M460" s="47"/>
      <c r="N460" s="47">
        <v>1</v>
      </c>
      <c r="O460" s="47">
        <v>0</v>
      </c>
      <c r="P460" s="47">
        <v>0</v>
      </c>
      <c r="Q460" s="47">
        <v>0</v>
      </c>
      <c r="R460" s="47">
        <v>0</v>
      </c>
      <c r="S460" s="47">
        <v>0</v>
      </c>
      <c r="T460" s="47">
        <v>0</v>
      </c>
      <c r="U460" s="47">
        <v>0</v>
      </c>
      <c r="V460" s="47">
        <v>0</v>
      </c>
      <c r="W460" s="47">
        <v>0</v>
      </c>
      <c r="X460" s="47">
        <v>0</v>
      </c>
      <c r="Y460" s="47">
        <v>0</v>
      </c>
      <c r="Z460" s="47">
        <v>0</v>
      </c>
      <c r="AA460" s="47">
        <v>0</v>
      </c>
      <c r="AB460" s="47">
        <v>0</v>
      </c>
      <c r="AC460" s="47">
        <v>0</v>
      </c>
      <c r="AD460" s="47">
        <v>0</v>
      </c>
      <c r="AE460" s="47">
        <v>0</v>
      </c>
      <c r="AF460" s="47">
        <v>0</v>
      </c>
      <c r="AG460" s="47">
        <v>0</v>
      </c>
      <c r="AH460" s="47">
        <v>0</v>
      </c>
      <c r="AI460" s="47">
        <v>0</v>
      </c>
      <c r="AJ460" s="47">
        <v>0</v>
      </c>
      <c r="AK460" s="47">
        <v>0</v>
      </c>
      <c r="AL460" s="47">
        <v>0</v>
      </c>
      <c r="AM460" s="47">
        <v>0</v>
      </c>
      <c r="AN460" s="47">
        <v>0</v>
      </c>
      <c r="AO460" s="47">
        <v>0</v>
      </c>
      <c r="AP460" s="47">
        <v>0</v>
      </c>
      <c r="AQ460" s="47">
        <v>0</v>
      </c>
      <c r="AR460" s="47">
        <v>0</v>
      </c>
      <c r="AS460" s="47">
        <v>0</v>
      </c>
      <c r="AT460" s="47">
        <v>0</v>
      </c>
      <c r="AU460" s="47">
        <v>0</v>
      </c>
      <c r="AV460" s="47">
        <v>0</v>
      </c>
      <c r="AW460" s="47">
        <v>0</v>
      </c>
      <c r="AX460" s="47">
        <v>0</v>
      </c>
      <c r="AY460" s="47">
        <v>0</v>
      </c>
      <c r="AZ460" s="47">
        <v>0</v>
      </c>
      <c r="BA460" s="47">
        <v>0</v>
      </c>
      <c r="BB460" s="47">
        <v>0</v>
      </c>
      <c r="BC460" s="47">
        <v>0</v>
      </c>
      <c r="BD460" s="47">
        <v>0</v>
      </c>
      <c r="BE460" s="47">
        <v>0</v>
      </c>
      <c r="BF460" s="47">
        <v>0</v>
      </c>
      <c r="BG460" s="47">
        <v>0</v>
      </c>
      <c r="BH460" s="47">
        <v>0</v>
      </c>
      <c r="BI460" s="47">
        <v>0</v>
      </c>
      <c r="BJ460" s="47">
        <v>0</v>
      </c>
      <c r="BK460" s="47">
        <v>0</v>
      </c>
      <c r="BL460" s="47">
        <v>0</v>
      </c>
      <c r="BM460" s="47">
        <v>0</v>
      </c>
      <c r="BN460" s="47">
        <v>0</v>
      </c>
      <c r="BO460" s="47">
        <v>0</v>
      </c>
      <c r="BP460" s="47">
        <v>0</v>
      </c>
      <c r="BQ460" s="47">
        <v>0</v>
      </c>
      <c r="BR460" s="47">
        <v>0</v>
      </c>
      <c r="BS460" s="47">
        <v>0</v>
      </c>
      <c r="BT460" s="47">
        <v>0</v>
      </c>
      <c r="BU460" s="47">
        <v>0</v>
      </c>
      <c r="BV460" s="47">
        <v>0</v>
      </c>
      <c r="BW460" s="47">
        <v>0</v>
      </c>
      <c r="BX460" s="47">
        <v>0</v>
      </c>
      <c r="BY460" s="47">
        <v>0</v>
      </c>
      <c r="BZ460" s="47">
        <v>0</v>
      </c>
      <c r="CA460" s="47">
        <v>0</v>
      </c>
      <c r="CB460" s="47">
        <v>0</v>
      </c>
      <c r="CC460" s="47">
        <v>0</v>
      </c>
      <c r="CD460" s="47">
        <v>0</v>
      </c>
      <c r="CE460" s="47">
        <v>0</v>
      </c>
      <c r="CF460" s="47">
        <v>0</v>
      </c>
      <c r="CG460" s="47">
        <v>0</v>
      </c>
      <c r="CH460" s="47">
        <v>0</v>
      </c>
      <c r="CI460" s="47">
        <v>0</v>
      </c>
      <c r="CJ460" s="47">
        <v>0</v>
      </c>
      <c r="CK460" s="47">
        <v>0</v>
      </c>
      <c r="CL460" s="47">
        <v>0</v>
      </c>
      <c r="CM460" s="47">
        <v>0</v>
      </c>
      <c r="CN460" s="47">
        <v>0</v>
      </c>
      <c r="CO460" s="47">
        <v>0</v>
      </c>
      <c r="CP460" s="47">
        <v>0</v>
      </c>
      <c r="CQ460" s="47">
        <v>0</v>
      </c>
      <c r="CR460" s="47">
        <v>0</v>
      </c>
      <c r="CS460" s="47">
        <v>0</v>
      </c>
      <c r="CT460" s="47">
        <v>0</v>
      </c>
      <c r="CU460" s="47">
        <v>0</v>
      </c>
      <c r="CV460" s="47">
        <v>0</v>
      </c>
      <c r="CW460" s="47">
        <v>0</v>
      </c>
      <c r="CX460" s="47">
        <v>0</v>
      </c>
      <c r="CY460" s="47">
        <v>0</v>
      </c>
      <c r="CZ460" s="47">
        <v>0</v>
      </c>
      <c r="DA460" s="47">
        <v>0</v>
      </c>
      <c r="DB460" s="47">
        <v>0</v>
      </c>
      <c r="DC460" s="47">
        <v>0</v>
      </c>
      <c r="DD460" s="47">
        <v>0</v>
      </c>
      <c r="DE460" s="47">
        <v>0</v>
      </c>
      <c r="DF460" s="47">
        <v>0</v>
      </c>
      <c r="DG460" s="47">
        <v>0</v>
      </c>
      <c r="DH460" s="47">
        <v>0</v>
      </c>
      <c r="DI460" s="47">
        <v>0</v>
      </c>
      <c r="DJ460" s="47">
        <v>0</v>
      </c>
      <c r="DK460" s="47">
        <v>0</v>
      </c>
      <c r="DL460" s="47">
        <v>0</v>
      </c>
      <c r="DM460" s="47">
        <v>0</v>
      </c>
      <c r="DN460" s="47">
        <v>0</v>
      </c>
      <c r="DO460" s="47">
        <v>0</v>
      </c>
      <c r="DP460" s="47">
        <v>0</v>
      </c>
      <c r="DQ460" s="47">
        <v>0</v>
      </c>
      <c r="DR460" s="47">
        <v>0</v>
      </c>
      <c r="DS460" s="47">
        <v>0</v>
      </c>
      <c r="DT460" s="47">
        <v>0</v>
      </c>
    </row>
    <row r="461" spans="1:126" x14ac:dyDescent="0.25">
      <c r="A461" s="47" t="s">
        <v>2186</v>
      </c>
      <c r="B461" s="47" t="s">
        <v>153</v>
      </c>
      <c r="C461" s="47" t="s">
        <v>2187</v>
      </c>
      <c r="D461" s="47" t="s">
        <v>2188</v>
      </c>
      <c r="E461" s="47" t="s">
        <v>2189</v>
      </c>
      <c r="F461" s="47" t="s">
        <v>698</v>
      </c>
      <c r="G461" s="47" t="s">
        <v>705</v>
      </c>
      <c r="H461" s="47" t="str">
        <f>=IFERROR(VLOOKUP(A461,'ETPT Format DDG'!A:J,10,FALSE),"")</f>
        <v>0</v>
      </c>
      <c r="I461" s="47" t="str">
        <f>='ETPT Format DDG'!M461</f>
        <v/>
      </c>
      <c r="J461" s="47" t="str">
        <f>='ETPT Format DDG'!D461</f>
        <v/>
      </c>
      <c r="K461" s="47" t="s">
        <v>157</v>
      </c>
      <c r="L461" s="47" t="s">
        <v>777</v>
      </c>
      <c r="M461" s="47"/>
      <c r="N461" s="47">
        <v>1</v>
      </c>
      <c r="O461" s="47">
        <v>0</v>
      </c>
      <c r="P461" s="47">
        <v>0</v>
      </c>
      <c r="Q461" s="47">
        <v>0</v>
      </c>
      <c r="R461" s="47">
        <v>0</v>
      </c>
      <c r="S461" s="47">
        <v>0</v>
      </c>
      <c r="T461" s="47">
        <v>0</v>
      </c>
      <c r="U461" s="47">
        <v>0</v>
      </c>
      <c r="V461" s="47">
        <v>0</v>
      </c>
      <c r="W461" s="47">
        <v>0</v>
      </c>
      <c r="X461" s="47">
        <v>0</v>
      </c>
      <c r="Y461" s="47">
        <v>0</v>
      </c>
      <c r="Z461" s="47">
        <v>0</v>
      </c>
      <c r="AA461" s="47">
        <v>0</v>
      </c>
      <c r="AB461" s="47">
        <v>0</v>
      </c>
      <c r="AC461" s="47">
        <v>0</v>
      </c>
      <c r="AD461" s="47">
        <v>0</v>
      </c>
      <c r="AE461" s="47">
        <v>0</v>
      </c>
      <c r="AF461" s="47">
        <v>0</v>
      </c>
      <c r="AG461" s="47">
        <v>0</v>
      </c>
      <c r="AH461" s="47">
        <v>0</v>
      </c>
      <c r="AI461" s="47">
        <v>0</v>
      </c>
      <c r="AJ461" s="47">
        <v>0</v>
      </c>
      <c r="AK461" s="47">
        <v>0</v>
      </c>
      <c r="AL461" s="47">
        <v>0</v>
      </c>
      <c r="AM461" s="47">
        <v>0</v>
      </c>
      <c r="AN461" s="47">
        <v>0</v>
      </c>
      <c r="AO461" s="47">
        <v>0</v>
      </c>
      <c r="AP461" s="47">
        <v>0</v>
      </c>
      <c r="AQ461" s="47">
        <v>0</v>
      </c>
      <c r="AR461" s="47">
        <v>0</v>
      </c>
      <c r="AS461" s="47">
        <v>0</v>
      </c>
      <c r="AT461" s="47">
        <v>0</v>
      </c>
      <c r="AU461" s="47">
        <v>0</v>
      </c>
      <c r="AV461" s="47">
        <v>0</v>
      </c>
      <c r="AW461" s="47">
        <v>0</v>
      </c>
      <c r="AX461" s="47">
        <v>0</v>
      </c>
      <c r="AY461" s="47">
        <v>0</v>
      </c>
      <c r="AZ461" s="47">
        <v>0</v>
      </c>
      <c r="BA461" s="47">
        <v>0</v>
      </c>
      <c r="BB461" s="47">
        <v>0</v>
      </c>
      <c r="BC461" s="47">
        <v>0</v>
      </c>
      <c r="BD461" s="47">
        <v>0</v>
      </c>
      <c r="BE461" s="47">
        <v>0</v>
      </c>
      <c r="BF461" s="47">
        <v>0</v>
      </c>
      <c r="BG461" s="47">
        <v>0</v>
      </c>
      <c r="BH461" s="47">
        <v>0</v>
      </c>
      <c r="BI461" s="47">
        <v>0</v>
      </c>
      <c r="BJ461" s="47">
        <v>0</v>
      </c>
      <c r="BK461" s="47">
        <v>0</v>
      </c>
      <c r="BL461" s="47">
        <v>0</v>
      </c>
      <c r="BM461" s="47">
        <v>0</v>
      </c>
      <c r="BN461" s="47">
        <v>0</v>
      </c>
      <c r="BO461" s="47">
        <v>0</v>
      </c>
      <c r="BP461" s="47">
        <v>0</v>
      </c>
      <c r="BQ461" s="47">
        <v>0</v>
      </c>
      <c r="BR461" s="47">
        <v>0</v>
      </c>
      <c r="BS461" s="47">
        <v>0</v>
      </c>
      <c r="BT461" s="47">
        <v>0</v>
      </c>
      <c r="BU461" s="47">
        <v>0</v>
      </c>
      <c r="BV461" s="47">
        <v>0</v>
      </c>
      <c r="BW461" s="47">
        <v>0</v>
      </c>
      <c r="BX461" s="47">
        <v>0</v>
      </c>
      <c r="BY461" s="47">
        <v>0</v>
      </c>
      <c r="BZ461" s="47">
        <v>0</v>
      </c>
      <c r="CA461" s="47">
        <v>0</v>
      </c>
      <c r="CB461" s="47">
        <v>0</v>
      </c>
      <c r="CC461" s="47">
        <v>0</v>
      </c>
      <c r="CD461" s="47">
        <v>0</v>
      </c>
      <c r="CE461" s="47">
        <v>0</v>
      </c>
      <c r="CF461" s="47">
        <v>0</v>
      </c>
      <c r="CG461" s="47">
        <v>0</v>
      </c>
      <c r="CH461" s="47">
        <v>0</v>
      </c>
      <c r="CI461" s="47">
        <v>0</v>
      </c>
      <c r="CJ461" s="47">
        <v>0</v>
      </c>
      <c r="CK461" s="47">
        <v>0</v>
      </c>
      <c r="CL461" s="47">
        <v>0</v>
      </c>
      <c r="CM461" s="47">
        <v>0</v>
      </c>
      <c r="CN461" s="47">
        <v>0</v>
      </c>
      <c r="CO461" s="47">
        <v>0</v>
      </c>
      <c r="CP461" s="47">
        <v>0</v>
      </c>
      <c r="CQ461" s="47">
        <v>0</v>
      </c>
      <c r="CR461" s="47">
        <v>0</v>
      </c>
      <c r="CS461" s="47">
        <v>0</v>
      </c>
      <c r="CT461" s="47">
        <v>0</v>
      </c>
      <c r="CU461" s="47">
        <v>0</v>
      </c>
      <c r="CV461" s="47">
        <v>0</v>
      </c>
      <c r="CW461" s="47">
        <v>0</v>
      </c>
      <c r="CX461" s="47">
        <v>0</v>
      </c>
      <c r="CY461" s="47">
        <v>0</v>
      </c>
      <c r="CZ461" s="47">
        <v>0</v>
      </c>
      <c r="DA461" s="47">
        <v>0</v>
      </c>
      <c r="DB461" s="47">
        <v>0</v>
      </c>
      <c r="DC461" s="47">
        <v>0</v>
      </c>
      <c r="DD461" s="47">
        <v>0</v>
      </c>
      <c r="DE461" s="47">
        <v>0</v>
      </c>
      <c r="DF461" s="47">
        <v>0</v>
      </c>
      <c r="DG461" s="47">
        <v>0</v>
      </c>
      <c r="DH461" s="47">
        <v>0</v>
      </c>
      <c r="DI461" s="47">
        <v>0</v>
      </c>
      <c r="DJ461" s="47">
        <v>0</v>
      </c>
      <c r="DK461" s="47">
        <v>0</v>
      </c>
      <c r="DL461" s="47">
        <v>0</v>
      </c>
      <c r="DM461" s="47">
        <v>0</v>
      </c>
      <c r="DN461" s="47">
        <v>0</v>
      </c>
      <c r="DO461" s="47">
        <v>0</v>
      </c>
      <c r="DP461" s="47">
        <v>0</v>
      </c>
      <c r="DQ461" s="47">
        <v>0</v>
      </c>
      <c r="DR461" s="47">
        <v>0</v>
      </c>
      <c r="DS461" s="47">
        <v>0</v>
      </c>
      <c r="DT461" s="47">
        <v>0</v>
      </c>
    </row>
    <row r="462" spans="1:126" x14ac:dyDescent="0.25">
      <c r="A462" s="47" t="s">
        <v>2190</v>
      </c>
      <c r="B462" s="47" t="s">
        <v>153</v>
      </c>
      <c r="C462" s="47" t="s">
        <v>2191</v>
      </c>
      <c r="D462" s="47" t="s">
        <v>2192</v>
      </c>
      <c r="E462" s="47" t="s">
        <v>2193</v>
      </c>
      <c r="F462" s="47" t="s">
        <v>698</v>
      </c>
      <c r="G462" s="47" t="s">
        <v>699</v>
      </c>
      <c r="H462" s="47" t="str">
        <f>=IFERROR(VLOOKUP(A462,'ETPT Format DDG'!A:J,10,FALSE),"")</f>
        <v>0</v>
      </c>
      <c r="I462" s="47" t="str">
        <f>='ETPT Format DDG'!M462</f>
        <v/>
      </c>
      <c r="J462" s="47" t="str">
        <f>='ETPT Format DDG'!D462</f>
        <v/>
      </c>
      <c r="K462" s="47" t="s">
        <v>157</v>
      </c>
      <c r="L462" s="47" t="s">
        <v>791</v>
      </c>
      <c r="M462" s="47"/>
      <c r="N462" s="47">
        <v>1</v>
      </c>
      <c r="O462" s="47">
        <v>1</v>
      </c>
      <c r="P462" s="47">
        <v>0</v>
      </c>
      <c r="Q462" s="47">
        <v>0</v>
      </c>
      <c r="R462" s="47">
        <v>0</v>
      </c>
      <c r="S462" s="47">
        <v>0</v>
      </c>
      <c r="T462" s="47">
        <v>0</v>
      </c>
      <c r="U462" s="47">
        <v>0</v>
      </c>
      <c r="V462" s="47">
        <v>0</v>
      </c>
      <c r="W462" s="47">
        <v>0</v>
      </c>
      <c r="X462" s="47">
        <v>0</v>
      </c>
      <c r="Y462" s="47">
        <v>0</v>
      </c>
      <c r="Z462" s="47">
        <v>0</v>
      </c>
      <c r="AA462" s="47">
        <v>0</v>
      </c>
      <c r="AB462" s="47">
        <v>0</v>
      </c>
      <c r="AC462" s="47">
        <v>0</v>
      </c>
      <c r="AD462" s="47">
        <v>0</v>
      </c>
      <c r="AE462" s="47">
        <v>0</v>
      </c>
      <c r="AF462" s="47">
        <v>0</v>
      </c>
      <c r="AG462" s="47">
        <v>0</v>
      </c>
      <c r="AH462" s="47">
        <v>0</v>
      </c>
      <c r="AI462" s="47">
        <v>0</v>
      </c>
      <c r="AJ462" s="47">
        <v>0</v>
      </c>
      <c r="AK462" s="47">
        <v>0</v>
      </c>
      <c r="AL462" s="47">
        <v>0</v>
      </c>
      <c r="AM462" s="47">
        <v>0</v>
      </c>
      <c r="AN462" s="47">
        <v>0</v>
      </c>
      <c r="AO462" s="47">
        <v>0</v>
      </c>
      <c r="AP462" s="47">
        <v>0</v>
      </c>
      <c r="AQ462" s="47">
        <v>0</v>
      </c>
      <c r="AR462" s="47">
        <v>0</v>
      </c>
      <c r="AS462" s="47">
        <v>0</v>
      </c>
      <c r="AT462" s="47">
        <v>0</v>
      </c>
      <c r="AU462" s="47">
        <v>0</v>
      </c>
      <c r="AV462" s="47">
        <v>0</v>
      </c>
      <c r="AW462" s="47">
        <v>0</v>
      </c>
      <c r="AX462" s="47">
        <v>0</v>
      </c>
      <c r="AY462" s="47">
        <v>0</v>
      </c>
      <c r="AZ462" s="47">
        <v>0</v>
      </c>
      <c r="BA462" s="47">
        <v>0</v>
      </c>
      <c r="BB462" s="47">
        <v>0</v>
      </c>
      <c r="BC462" s="47">
        <v>0</v>
      </c>
      <c r="BD462" s="47">
        <v>0</v>
      </c>
      <c r="BE462" s="47">
        <v>0</v>
      </c>
      <c r="BF462" s="47">
        <v>0</v>
      </c>
      <c r="BG462" s="47">
        <v>0</v>
      </c>
      <c r="BH462" s="47">
        <v>0</v>
      </c>
      <c r="BI462" s="47">
        <v>0</v>
      </c>
      <c r="BJ462" s="47">
        <v>0</v>
      </c>
      <c r="BK462" s="47">
        <v>0</v>
      </c>
      <c r="BL462" s="47">
        <v>0</v>
      </c>
      <c r="BM462" s="47">
        <v>0</v>
      </c>
      <c r="BN462" s="47">
        <v>0</v>
      </c>
      <c r="BO462" s="47">
        <v>1</v>
      </c>
      <c r="BP462" s="47">
        <v>0</v>
      </c>
      <c r="BQ462" s="47">
        <v>0</v>
      </c>
      <c r="BR462" s="47">
        <v>0</v>
      </c>
      <c r="BS462" s="47">
        <v>0</v>
      </c>
      <c r="BT462" s="47">
        <v>0</v>
      </c>
      <c r="BU462" s="47">
        <v>0.3</v>
      </c>
      <c r="BV462" s="47">
        <v>0.7</v>
      </c>
      <c r="BW462" s="47">
        <v>0</v>
      </c>
      <c r="BX462" s="47">
        <v>0</v>
      </c>
      <c r="BY462" s="47">
        <v>0</v>
      </c>
      <c r="BZ462" s="47">
        <v>0</v>
      </c>
      <c r="CA462" s="47">
        <v>0</v>
      </c>
      <c r="CB462" s="47">
        <v>0</v>
      </c>
      <c r="CC462" s="47">
        <v>0</v>
      </c>
      <c r="CD462" s="47">
        <v>0</v>
      </c>
      <c r="CE462" s="47">
        <v>0</v>
      </c>
      <c r="CF462" s="47">
        <v>0</v>
      </c>
      <c r="CG462" s="47">
        <v>0</v>
      </c>
      <c r="CH462" s="47">
        <v>0</v>
      </c>
      <c r="CI462" s="47">
        <v>0</v>
      </c>
      <c r="CJ462" s="47">
        <v>0</v>
      </c>
      <c r="CK462" s="47">
        <v>0</v>
      </c>
      <c r="CL462" s="47">
        <v>0</v>
      </c>
      <c r="CM462" s="47">
        <v>0</v>
      </c>
      <c r="CN462" s="47">
        <v>0</v>
      </c>
      <c r="CO462" s="47">
        <v>0</v>
      </c>
      <c r="CP462" s="47">
        <v>0</v>
      </c>
      <c r="CQ462" s="47">
        <v>0</v>
      </c>
      <c r="CR462" s="47">
        <v>0</v>
      </c>
      <c r="CS462" s="47">
        <v>0</v>
      </c>
      <c r="CT462" s="47">
        <v>0</v>
      </c>
      <c r="CU462" s="47">
        <v>0</v>
      </c>
      <c r="CV462" s="47">
        <v>0</v>
      </c>
      <c r="CW462" s="47">
        <v>0</v>
      </c>
      <c r="CX462" s="47">
        <v>0</v>
      </c>
      <c r="CY462" s="47">
        <v>0</v>
      </c>
      <c r="CZ462" s="47">
        <v>0</v>
      </c>
      <c r="DA462" s="47">
        <v>0</v>
      </c>
      <c r="DB462" s="47">
        <v>0</v>
      </c>
      <c r="DC462" s="47">
        <v>0</v>
      </c>
      <c r="DD462" s="47">
        <v>0</v>
      </c>
      <c r="DE462" s="47">
        <v>0</v>
      </c>
      <c r="DF462" s="47">
        <v>0</v>
      </c>
      <c r="DG462" s="47">
        <v>0</v>
      </c>
      <c r="DH462" s="47">
        <v>0</v>
      </c>
      <c r="DI462" s="47">
        <v>0</v>
      </c>
      <c r="DJ462" s="47">
        <v>0</v>
      </c>
      <c r="DK462" s="47">
        <v>0</v>
      </c>
      <c r="DL462" s="47">
        <v>0</v>
      </c>
      <c r="DM462" s="47">
        <v>0</v>
      </c>
      <c r="DN462" s="47">
        <v>0</v>
      </c>
      <c r="DO462" s="47">
        <v>0</v>
      </c>
      <c r="DP462" s="47">
        <v>0</v>
      </c>
      <c r="DQ462" s="47">
        <v>0</v>
      </c>
      <c r="DR462" s="47">
        <v>0</v>
      </c>
      <c r="DS462" s="47">
        <v>0</v>
      </c>
      <c r="DT462" s="47">
        <v>0</v>
      </c>
    </row>
    <row r="463" spans="1:126" x14ac:dyDescent="0.25">
      <c r="A463" s="47" t="s">
        <v>2194</v>
      </c>
      <c r="B463" s="47" t="s">
        <v>153</v>
      </c>
      <c r="C463" s="47" t="s">
        <v>2195</v>
      </c>
      <c r="D463" s="47" t="s">
        <v>2196</v>
      </c>
      <c r="E463" s="47" t="s">
        <v>2197</v>
      </c>
      <c r="F463" s="47" t="s">
        <v>698</v>
      </c>
      <c r="G463" s="47" t="s">
        <v>705</v>
      </c>
      <c r="H463" s="47" t="str">
        <f>=IFERROR(VLOOKUP(A463,'ETPT Format DDG'!A:J,10,FALSE),"")</f>
        <v>0</v>
      </c>
      <c r="I463" s="47" t="str">
        <f>='ETPT Format DDG'!M463</f>
        <v/>
      </c>
      <c r="J463" s="47" t="str">
        <f>='ETPT Format DDG'!D463</f>
        <v/>
      </c>
      <c r="K463" s="47" t="s">
        <v>157</v>
      </c>
      <c r="L463" s="47" t="s">
        <v>2198</v>
      </c>
      <c r="M463" s="47"/>
      <c r="N463" s="47">
        <v>1</v>
      </c>
      <c r="O463" s="47">
        <v>0</v>
      </c>
      <c r="P463" s="47">
        <v>0</v>
      </c>
      <c r="Q463" s="47">
        <v>0</v>
      </c>
      <c r="R463" s="47">
        <v>0</v>
      </c>
      <c r="S463" s="47">
        <v>0</v>
      </c>
      <c r="T463" s="47">
        <v>0</v>
      </c>
      <c r="U463" s="47">
        <v>0</v>
      </c>
      <c r="V463" s="47">
        <v>0</v>
      </c>
      <c r="W463" s="47">
        <v>0</v>
      </c>
      <c r="X463" s="47">
        <v>0</v>
      </c>
      <c r="Y463" s="47">
        <v>0</v>
      </c>
      <c r="Z463" s="47">
        <v>0</v>
      </c>
      <c r="AA463" s="47">
        <v>0</v>
      </c>
      <c r="AB463" s="47">
        <v>0</v>
      </c>
      <c r="AC463" s="47">
        <v>0</v>
      </c>
      <c r="AD463" s="47">
        <v>0</v>
      </c>
      <c r="AE463" s="47">
        <v>0</v>
      </c>
      <c r="AF463" s="47">
        <v>0</v>
      </c>
      <c r="AG463" s="47">
        <v>0</v>
      </c>
      <c r="AH463" s="47">
        <v>0</v>
      </c>
      <c r="AI463" s="47">
        <v>0</v>
      </c>
      <c r="AJ463" s="47">
        <v>0</v>
      </c>
      <c r="AK463" s="47">
        <v>0</v>
      </c>
      <c r="AL463" s="47">
        <v>0</v>
      </c>
      <c r="AM463" s="47">
        <v>0</v>
      </c>
      <c r="AN463" s="47">
        <v>0</v>
      </c>
      <c r="AO463" s="47">
        <v>0</v>
      </c>
      <c r="AP463" s="47">
        <v>0</v>
      </c>
      <c r="AQ463" s="47">
        <v>0</v>
      </c>
      <c r="AR463" s="47">
        <v>0</v>
      </c>
      <c r="AS463" s="47">
        <v>0</v>
      </c>
      <c r="AT463" s="47">
        <v>0</v>
      </c>
      <c r="AU463" s="47">
        <v>0</v>
      </c>
      <c r="AV463" s="47">
        <v>0</v>
      </c>
      <c r="AW463" s="47">
        <v>0</v>
      </c>
      <c r="AX463" s="47">
        <v>0</v>
      </c>
      <c r="AY463" s="47">
        <v>0</v>
      </c>
      <c r="AZ463" s="47">
        <v>0</v>
      </c>
      <c r="BA463" s="47">
        <v>0</v>
      </c>
      <c r="BB463" s="47">
        <v>0</v>
      </c>
      <c r="BC463" s="47">
        <v>0</v>
      </c>
      <c r="BD463" s="47">
        <v>0</v>
      </c>
      <c r="BE463" s="47">
        <v>0</v>
      </c>
      <c r="BF463" s="47">
        <v>0</v>
      </c>
      <c r="BG463" s="47">
        <v>0</v>
      </c>
      <c r="BH463" s="47">
        <v>0</v>
      </c>
      <c r="BI463" s="47">
        <v>0</v>
      </c>
      <c r="BJ463" s="47">
        <v>0</v>
      </c>
      <c r="BK463" s="47">
        <v>0</v>
      </c>
      <c r="BL463" s="47">
        <v>0</v>
      </c>
      <c r="BM463" s="47">
        <v>0</v>
      </c>
      <c r="BN463" s="47">
        <v>0</v>
      </c>
      <c r="BO463" s="47">
        <v>0</v>
      </c>
      <c r="BP463" s="47">
        <v>0</v>
      </c>
      <c r="BQ463" s="47">
        <v>0</v>
      </c>
      <c r="BR463" s="47">
        <v>0</v>
      </c>
      <c r="BS463" s="47">
        <v>0</v>
      </c>
      <c r="BT463" s="47">
        <v>0</v>
      </c>
      <c r="BU463" s="47">
        <v>0</v>
      </c>
      <c r="BV463" s="47">
        <v>0</v>
      </c>
      <c r="BW463" s="47">
        <v>0</v>
      </c>
      <c r="BX463" s="47">
        <v>0</v>
      </c>
      <c r="BY463" s="47">
        <v>0</v>
      </c>
      <c r="BZ463" s="47">
        <v>0</v>
      </c>
      <c r="CA463" s="47">
        <v>0</v>
      </c>
      <c r="CB463" s="47">
        <v>0</v>
      </c>
      <c r="CC463" s="47">
        <v>0</v>
      </c>
      <c r="CD463" s="47">
        <v>0</v>
      </c>
      <c r="CE463" s="47">
        <v>0</v>
      </c>
      <c r="CF463" s="47">
        <v>0</v>
      </c>
      <c r="CG463" s="47">
        <v>0</v>
      </c>
      <c r="CH463" s="47">
        <v>0</v>
      </c>
      <c r="CI463" s="47">
        <v>0</v>
      </c>
      <c r="CJ463" s="47">
        <v>0</v>
      </c>
      <c r="CK463" s="47">
        <v>0</v>
      </c>
      <c r="CL463" s="47">
        <v>0</v>
      </c>
      <c r="CM463" s="47">
        <v>0</v>
      </c>
      <c r="CN463" s="47">
        <v>0</v>
      </c>
      <c r="CO463" s="47">
        <v>0</v>
      </c>
      <c r="CP463" s="47">
        <v>0</v>
      </c>
      <c r="CQ463" s="47">
        <v>0</v>
      </c>
      <c r="CR463" s="47">
        <v>0</v>
      </c>
      <c r="CS463" s="47">
        <v>0</v>
      </c>
      <c r="CT463" s="47">
        <v>0</v>
      </c>
      <c r="CU463" s="47">
        <v>0</v>
      </c>
      <c r="CV463" s="47">
        <v>0</v>
      </c>
      <c r="CW463" s="47">
        <v>0</v>
      </c>
      <c r="CX463" s="47">
        <v>0</v>
      </c>
      <c r="CY463" s="47">
        <v>0</v>
      </c>
      <c r="CZ463" s="47">
        <v>0</v>
      </c>
      <c r="DA463" s="47">
        <v>0</v>
      </c>
      <c r="DB463" s="47">
        <v>0</v>
      </c>
      <c r="DC463" s="47">
        <v>0</v>
      </c>
      <c r="DD463" s="47">
        <v>0</v>
      </c>
      <c r="DE463" s="47">
        <v>0</v>
      </c>
      <c r="DF463" s="47">
        <v>0</v>
      </c>
      <c r="DG463" s="47">
        <v>0</v>
      </c>
      <c r="DH463" s="47">
        <v>0</v>
      </c>
      <c r="DI463" s="47">
        <v>0</v>
      </c>
      <c r="DJ463" s="47">
        <v>0</v>
      </c>
      <c r="DK463" s="47">
        <v>0</v>
      </c>
      <c r="DL463" s="47">
        <v>0</v>
      </c>
      <c r="DM463" s="47">
        <v>0</v>
      </c>
      <c r="DN463" s="47">
        <v>0</v>
      </c>
      <c r="DO463" s="47">
        <v>0</v>
      </c>
      <c r="DP463" s="47">
        <v>0</v>
      </c>
      <c r="DQ463" s="47">
        <v>0</v>
      </c>
      <c r="DR463" s="47">
        <v>0</v>
      </c>
      <c r="DS463" s="47">
        <v>0</v>
      </c>
      <c r="DT463" s="47">
        <v>0</v>
      </c>
    </row>
    <row r="464" spans="1:126" x14ac:dyDescent="0.25">
      <c r="A464" s="47" t="s">
        <v>2199</v>
      </c>
      <c r="B464" s="47" t="s">
        <v>153</v>
      </c>
      <c r="C464" s="47" t="s">
        <v>2200</v>
      </c>
      <c r="D464" s="47" t="s">
        <v>2201</v>
      </c>
      <c r="E464" s="47" t="s">
        <v>2202</v>
      </c>
      <c r="F464" s="47" t="s">
        <v>698</v>
      </c>
      <c r="G464" s="47" t="s">
        <v>727</v>
      </c>
      <c r="H464" s="47" t="str">
        <f>=IFERROR(VLOOKUP(A464,'ETPT Format DDG'!A:J,10,FALSE),"")</f>
        <v>0</v>
      </c>
      <c r="I464" s="47" t="str">
        <f>='ETPT Format DDG'!M464</f>
        <v/>
      </c>
      <c r="J464" s="47" t="str">
        <f>='ETPT Format DDG'!D464</f>
        <v/>
      </c>
      <c r="K464" s="47" t="s">
        <v>157</v>
      </c>
      <c r="L464" s="47" t="s">
        <v>1118</v>
      </c>
      <c r="M464" s="47"/>
      <c r="N464" s="47">
        <v>1</v>
      </c>
      <c r="O464" s="47">
        <v>0</v>
      </c>
      <c r="P464" s="47">
        <v>0</v>
      </c>
      <c r="Q464" s="47">
        <v>0</v>
      </c>
      <c r="R464" s="47">
        <v>0</v>
      </c>
      <c r="S464" s="47">
        <v>0</v>
      </c>
      <c r="T464" s="47">
        <v>0</v>
      </c>
      <c r="U464" s="47">
        <v>0</v>
      </c>
      <c r="V464" s="47">
        <v>0</v>
      </c>
      <c r="W464" s="47">
        <v>0</v>
      </c>
      <c r="X464" s="47">
        <v>0</v>
      </c>
      <c r="Y464" s="47">
        <v>0</v>
      </c>
      <c r="Z464" s="47">
        <v>0</v>
      </c>
      <c r="AA464" s="47">
        <v>0</v>
      </c>
      <c r="AB464" s="47">
        <v>0</v>
      </c>
      <c r="AC464" s="47">
        <v>0</v>
      </c>
      <c r="AD464" s="47">
        <v>0</v>
      </c>
      <c r="AE464" s="47">
        <v>0</v>
      </c>
      <c r="AF464" s="47">
        <v>0</v>
      </c>
      <c r="AG464" s="47">
        <v>0</v>
      </c>
      <c r="AH464" s="47">
        <v>0</v>
      </c>
      <c r="AI464" s="47">
        <v>0</v>
      </c>
      <c r="AJ464" s="47">
        <v>0</v>
      </c>
      <c r="AK464" s="47">
        <v>0</v>
      </c>
      <c r="AL464" s="47">
        <v>0</v>
      </c>
      <c r="AM464" s="47">
        <v>0</v>
      </c>
      <c r="AN464" s="47">
        <v>0</v>
      </c>
      <c r="AO464" s="47">
        <v>0</v>
      </c>
      <c r="AP464" s="47">
        <v>0</v>
      </c>
      <c r="AQ464" s="47">
        <v>0</v>
      </c>
      <c r="AR464" s="47">
        <v>0</v>
      </c>
      <c r="AS464" s="47">
        <v>0</v>
      </c>
      <c r="AT464" s="47">
        <v>0</v>
      </c>
      <c r="AU464" s="47">
        <v>0</v>
      </c>
      <c r="AV464" s="47">
        <v>0</v>
      </c>
      <c r="AW464" s="47">
        <v>0</v>
      </c>
      <c r="AX464" s="47">
        <v>0</v>
      </c>
      <c r="AY464" s="47">
        <v>0</v>
      </c>
      <c r="AZ464" s="47">
        <v>0</v>
      </c>
      <c r="BA464" s="47">
        <v>0</v>
      </c>
      <c r="BB464" s="47">
        <v>0</v>
      </c>
      <c r="BC464" s="47">
        <v>0</v>
      </c>
      <c r="BD464" s="47">
        <v>0</v>
      </c>
      <c r="BE464" s="47">
        <v>0</v>
      </c>
      <c r="BF464" s="47">
        <v>0</v>
      </c>
      <c r="BG464" s="47">
        <v>0</v>
      </c>
      <c r="BH464" s="47">
        <v>0</v>
      </c>
      <c r="BI464" s="47">
        <v>0</v>
      </c>
      <c r="BJ464" s="47">
        <v>0</v>
      </c>
      <c r="BK464" s="47">
        <v>0</v>
      </c>
      <c r="BL464" s="47">
        <v>0</v>
      </c>
      <c r="BM464" s="47">
        <v>0</v>
      </c>
      <c r="BN464" s="47">
        <v>0</v>
      </c>
      <c r="BO464" s="47">
        <v>0</v>
      </c>
      <c r="BP464" s="47">
        <v>0</v>
      </c>
      <c r="BQ464" s="47">
        <v>0</v>
      </c>
      <c r="BR464" s="47">
        <v>0</v>
      </c>
      <c r="BS464" s="47">
        <v>0</v>
      </c>
      <c r="BT464" s="47">
        <v>0</v>
      </c>
      <c r="BU464" s="47">
        <v>0</v>
      </c>
      <c r="BV464" s="47">
        <v>0</v>
      </c>
      <c r="BW464" s="47">
        <v>0</v>
      </c>
      <c r="BX464" s="47">
        <v>0</v>
      </c>
      <c r="BY464" s="47">
        <v>0</v>
      </c>
      <c r="BZ464" s="47">
        <v>0</v>
      </c>
      <c r="CA464" s="47">
        <v>0</v>
      </c>
      <c r="CB464" s="47">
        <v>0</v>
      </c>
      <c r="CC464" s="47">
        <v>0</v>
      </c>
      <c r="CD464" s="47">
        <v>0</v>
      </c>
      <c r="CE464" s="47">
        <v>0</v>
      </c>
      <c r="CF464" s="47">
        <v>0</v>
      </c>
      <c r="CG464" s="47">
        <v>0</v>
      </c>
      <c r="CH464" s="47">
        <v>0</v>
      </c>
      <c r="CI464" s="47">
        <v>0</v>
      </c>
      <c r="CJ464" s="47">
        <v>0</v>
      </c>
      <c r="CK464" s="47">
        <v>0</v>
      </c>
      <c r="CL464" s="47">
        <v>0</v>
      </c>
      <c r="CM464" s="47">
        <v>0</v>
      </c>
      <c r="CN464" s="47">
        <v>0</v>
      </c>
      <c r="CO464" s="47">
        <v>0</v>
      </c>
      <c r="CP464" s="47">
        <v>0</v>
      </c>
      <c r="CQ464" s="47">
        <v>0</v>
      </c>
      <c r="CR464" s="47">
        <v>0</v>
      </c>
      <c r="CS464" s="47">
        <v>0</v>
      </c>
      <c r="CT464" s="47">
        <v>0</v>
      </c>
      <c r="CU464" s="47">
        <v>0</v>
      </c>
      <c r="CV464" s="47">
        <v>0</v>
      </c>
      <c r="CW464" s="47">
        <v>0</v>
      </c>
      <c r="CX464" s="47">
        <v>0</v>
      </c>
      <c r="CY464" s="47">
        <v>0</v>
      </c>
      <c r="CZ464" s="47">
        <v>0</v>
      </c>
      <c r="DA464" s="47">
        <v>0</v>
      </c>
      <c r="DB464" s="47">
        <v>0</v>
      </c>
      <c r="DC464" s="47">
        <v>0</v>
      </c>
      <c r="DD464" s="47">
        <v>0</v>
      </c>
      <c r="DE464" s="47">
        <v>0</v>
      </c>
      <c r="DF464" s="47">
        <v>0</v>
      </c>
      <c r="DG464" s="47">
        <v>0</v>
      </c>
      <c r="DH464" s="47">
        <v>0</v>
      </c>
      <c r="DI464" s="47">
        <v>0</v>
      </c>
      <c r="DJ464" s="47">
        <v>0</v>
      </c>
      <c r="DK464" s="47">
        <v>0</v>
      </c>
      <c r="DL464" s="47">
        <v>0</v>
      </c>
      <c r="DM464" s="47">
        <v>0</v>
      </c>
      <c r="DN464" s="47">
        <v>0</v>
      </c>
      <c r="DO464" s="47">
        <v>0</v>
      </c>
      <c r="DP464" s="47">
        <v>0</v>
      </c>
      <c r="DQ464" s="47">
        <v>0</v>
      </c>
      <c r="DR464" s="47">
        <v>0</v>
      </c>
      <c r="DS464" s="47">
        <v>0</v>
      </c>
      <c r="DT464" s="47">
        <v>0</v>
      </c>
    </row>
    <row r="465" spans="1:126" x14ac:dyDescent="0.25">
      <c r="A465" s="47" t="s">
        <v>2203</v>
      </c>
      <c r="B465" s="47" t="s">
        <v>153</v>
      </c>
      <c r="C465" s="47" t="s">
        <v>2204</v>
      </c>
      <c r="D465" s="47" t="s">
        <v>2205</v>
      </c>
      <c r="E465" s="47" t="s">
        <v>2206</v>
      </c>
      <c r="F465" s="47" t="s">
        <v>698</v>
      </c>
      <c r="G465" s="47" t="s">
        <v>705</v>
      </c>
      <c r="H465" s="47" t="str">
        <f>=IFERROR(VLOOKUP(A465,'ETPT Format DDG'!A:J,10,FALSE),"")</f>
        <v>0</v>
      </c>
      <c r="I465" s="47" t="str">
        <f>='ETPT Format DDG'!M465</f>
        <v/>
      </c>
      <c r="J465" s="47" t="str">
        <f>='ETPT Format DDG'!D465</f>
        <v/>
      </c>
      <c r="K465" s="47" t="s">
        <v>157</v>
      </c>
      <c r="L465" s="47" t="s">
        <v>1155</v>
      </c>
      <c r="M465" s="47"/>
      <c r="N465" s="47">
        <v>1</v>
      </c>
      <c r="O465" s="47">
        <v>0</v>
      </c>
      <c r="P465" s="47">
        <v>0</v>
      </c>
      <c r="Q465" s="47">
        <v>0</v>
      </c>
      <c r="R465" s="47">
        <v>0</v>
      </c>
      <c r="S465" s="47">
        <v>0</v>
      </c>
      <c r="T465" s="47">
        <v>0</v>
      </c>
      <c r="U465" s="47">
        <v>0</v>
      </c>
      <c r="V465" s="47">
        <v>0</v>
      </c>
      <c r="W465" s="47">
        <v>0</v>
      </c>
      <c r="X465" s="47">
        <v>0</v>
      </c>
      <c r="Y465" s="47">
        <v>0</v>
      </c>
      <c r="Z465" s="47">
        <v>0</v>
      </c>
      <c r="AA465" s="47">
        <v>0</v>
      </c>
      <c r="AB465" s="47">
        <v>0</v>
      </c>
      <c r="AC465" s="47">
        <v>0</v>
      </c>
      <c r="AD465" s="47">
        <v>0</v>
      </c>
      <c r="AE465" s="47">
        <v>0</v>
      </c>
      <c r="AF465" s="47">
        <v>0</v>
      </c>
      <c r="AG465" s="47">
        <v>0</v>
      </c>
      <c r="AH465" s="47">
        <v>0</v>
      </c>
      <c r="AI465" s="47">
        <v>0</v>
      </c>
      <c r="AJ465" s="47">
        <v>0</v>
      </c>
      <c r="AK465" s="47">
        <v>0</v>
      </c>
      <c r="AL465" s="47">
        <v>0</v>
      </c>
      <c r="AM465" s="47">
        <v>0</v>
      </c>
      <c r="AN465" s="47">
        <v>0</v>
      </c>
      <c r="AO465" s="47">
        <v>0</v>
      </c>
      <c r="AP465" s="47">
        <v>0</v>
      </c>
      <c r="AQ465" s="47">
        <v>0</v>
      </c>
      <c r="AR465" s="47">
        <v>0</v>
      </c>
      <c r="AS465" s="47">
        <v>0</v>
      </c>
      <c r="AT465" s="47">
        <v>0</v>
      </c>
      <c r="AU465" s="47">
        <v>0</v>
      </c>
      <c r="AV465" s="47">
        <v>0</v>
      </c>
      <c r="AW465" s="47">
        <v>0</v>
      </c>
      <c r="AX465" s="47">
        <v>0</v>
      </c>
      <c r="AY465" s="47">
        <v>0</v>
      </c>
      <c r="AZ465" s="47">
        <v>0</v>
      </c>
      <c r="BA465" s="47">
        <v>0</v>
      </c>
      <c r="BB465" s="47">
        <v>0</v>
      </c>
      <c r="BC465" s="47">
        <v>0</v>
      </c>
      <c r="BD465" s="47">
        <v>0</v>
      </c>
      <c r="BE465" s="47">
        <v>0</v>
      </c>
      <c r="BF465" s="47">
        <v>0</v>
      </c>
      <c r="BG465" s="47">
        <v>0</v>
      </c>
      <c r="BH465" s="47">
        <v>0</v>
      </c>
      <c r="BI465" s="47">
        <v>0</v>
      </c>
      <c r="BJ465" s="47">
        <v>0</v>
      </c>
      <c r="BK465" s="47">
        <v>0</v>
      </c>
      <c r="BL465" s="47">
        <v>0</v>
      </c>
      <c r="BM465" s="47">
        <v>0</v>
      </c>
      <c r="BN465" s="47">
        <v>0</v>
      </c>
      <c r="BO465" s="47">
        <v>0</v>
      </c>
      <c r="BP465" s="47">
        <v>0</v>
      </c>
      <c r="BQ465" s="47">
        <v>0</v>
      </c>
      <c r="BR465" s="47">
        <v>0</v>
      </c>
      <c r="BS465" s="47">
        <v>0</v>
      </c>
      <c r="BT465" s="47">
        <v>0</v>
      </c>
      <c r="BU465" s="47">
        <v>0</v>
      </c>
      <c r="BV465" s="47">
        <v>0</v>
      </c>
      <c r="BW465" s="47">
        <v>0</v>
      </c>
      <c r="BX465" s="47">
        <v>0</v>
      </c>
      <c r="BY465" s="47">
        <v>0</v>
      </c>
      <c r="BZ465" s="47">
        <v>0</v>
      </c>
      <c r="CA465" s="47">
        <v>0</v>
      </c>
      <c r="CB465" s="47">
        <v>0</v>
      </c>
      <c r="CC465" s="47">
        <v>0</v>
      </c>
      <c r="CD465" s="47">
        <v>0</v>
      </c>
      <c r="CE465" s="47">
        <v>0</v>
      </c>
      <c r="CF465" s="47">
        <v>0</v>
      </c>
      <c r="CG465" s="47">
        <v>0</v>
      </c>
      <c r="CH465" s="47">
        <v>0</v>
      </c>
      <c r="CI465" s="47">
        <v>0</v>
      </c>
      <c r="CJ465" s="47">
        <v>0</v>
      </c>
      <c r="CK465" s="47">
        <v>0</v>
      </c>
      <c r="CL465" s="47">
        <v>0</v>
      </c>
      <c r="CM465" s="47">
        <v>0</v>
      </c>
      <c r="CN465" s="47">
        <v>0</v>
      </c>
      <c r="CO465" s="47">
        <v>0</v>
      </c>
      <c r="CP465" s="47">
        <v>0</v>
      </c>
      <c r="CQ465" s="47">
        <v>0</v>
      </c>
      <c r="CR465" s="47">
        <v>0</v>
      </c>
      <c r="CS465" s="47">
        <v>0</v>
      </c>
      <c r="CT465" s="47">
        <v>0</v>
      </c>
      <c r="CU465" s="47">
        <v>0</v>
      </c>
      <c r="CV465" s="47">
        <v>0</v>
      </c>
      <c r="CW465" s="47">
        <v>0</v>
      </c>
      <c r="CX465" s="47">
        <v>0</v>
      </c>
      <c r="CY465" s="47">
        <v>0</v>
      </c>
      <c r="CZ465" s="47">
        <v>0</v>
      </c>
      <c r="DA465" s="47">
        <v>0</v>
      </c>
      <c r="DB465" s="47">
        <v>0</v>
      </c>
      <c r="DC465" s="47">
        <v>0</v>
      </c>
      <c r="DD465" s="47">
        <v>0</v>
      </c>
      <c r="DE465" s="47">
        <v>0</v>
      </c>
      <c r="DF465" s="47">
        <v>0</v>
      </c>
      <c r="DG465" s="47">
        <v>0</v>
      </c>
      <c r="DH465" s="47">
        <v>0</v>
      </c>
      <c r="DI465" s="47">
        <v>0</v>
      </c>
      <c r="DJ465" s="47">
        <v>0</v>
      </c>
      <c r="DK465" s="47">
        <v>0</v>
      </c>
      <c r="DL465" s="47">
        <v>0</v>
      </c>
      <c r="DM465" s="47">
        <v>0</v>
      </c>
      <c r="DN465" s="47">
        <v>0</v>
      </c>
      <c r="DO465" s="47">
        <v>0</v>
      </c>
      <c r="DP465" s="47">
        <v>0</v>
      </c>
      <c r="DQ465" s="47">
        <v>0</v>
      </c>
      <c r="DR465" s="47">
        <v>0</v>
      </c>
      <c r="DS465" s="47">
        <v>0</v>
      </c>
      <c r="DT465" s="47">
        <v>0</v>
      </c>
    </row>
    <row r="466" spans="1:126" x14ac:dyDescent="0.25">
      <c r="A466" s="47" t="s">
        <v>2207</v>
      </c>
      <c r="B466" s="47" t="s">
        <v>153</v>
      </c>
      <c r="C466" s="47" t="s">
        <v>2208</v>
      </c>
      <c r="D466" s="47" t="s">
        <v>2209</v>
      </c>
      <c r="E466" s="47" t="s">
        <v>2210</v>
      </c>
      <c r="F466" s="47" t="s">
        <v>698</v>
      </c>
      <c r="G466" s="47" t="s">
        <v>727</v>
      </c>
      <c r="H466" s="47" t="str">
        <f>=IFERROR(VLOOKUP(A466,'ETPT Format DDG'!A:J,10,FALSE),"")</f>
        <v>0</v>
      </c>
      <c r="I466" s="47" t="str">
        <f>='ETPT Format DDG'!M466</f>
        <v/>
      </c>
      <c r="J466" s="47" t="str">
        <f>='ETPT Format DDG'!D466</f>
        <v/>
      </c>
      <c r="K466" s="47" t="s">
        <v>157</v>
      </c>
      <c r="L466" s="47" t="s">
        <v>1368</v>
      </c>
      <c r="M466" s="47"/>
      <c r="N466" s="47">
        <v>0.8</v>
      </c>
      <c r="O466" s="47">
        <v>0.8</v>
      </c>
      <c r="P466" s="47">
        <v>0</v>
      </c>
      <c r="Q466" s="47">
        <v>0</v>
      </c>
      <c r="R466" s="47">
        <v>0</v>
      </c>
      <c r="S466" s="47">
        <v>0</v>
      </c>
      <c r="T466" s="47">
        <v>0</v>
      </c>
      <c r="U466" s="47">
        <v>0</v>
      </c>
      <c r="V466" s="47">
        <v>0</v>
      </c>
      <c r="W466" s="47">
        <v>0</v>
      </c>
      <c r="X466" s="47">
        <v>0</v>
      </c>
      <c r="Y466" s="47">
        <v>0</v>
      </c>
      <c r="Z466" s="47">
        <v>0</v>
      </c>
      <c r="AA466" s="47">
        <v>0</v>
      </c>
      <c r="AB466" s="47">
        <v>0</v>
      </c>
      <c r="AC466" s="47">
        <v>0</v>
      </c>
      <c r="AD466" s="47">
        <v>0</v>
      </c>
      <c r="AE466" s="47">
        <v>0</v>
      </c>
      <c r="AF466" s="47">
        <v>0</v>
      </c>
      <c r="AG466" s="47">
        <v>0</v>
      </c>
      <c r="AH466" s="47">
        <v>0</v>
      </c>
      <c r="AI466" s="47">
        <v>0</v>
      </c>
      <c r="AJ466" s="47">
        <v>0</v>
      </c>
      <c r="AK466" s="47">
        <v>0</v>
      </c>
      <c r="AL466" s="47">
        <v>0</v>
      </c>
      <c r="AM466" s="47">
        <v>0</v>
      </c>
      <c r="AN466" s="47">
        <v>0</v>
      </c>
      <c r="AO466" s="47">
        <v>0</v>
      </c>
      <c r="AP466" s="47">
        <v>0</v>
      </c>
      <c r="AQ466" s="47">
        <v>0</v>
      </c>
      <c r="AR466" s="47">
        <v>0</v>
      </c>
      <c r="AS466" s="47">
        <v>0</v>
      </c>
      <c r="AT466" s="47">
        <v>0</v>
      </c>
      <c r="AU466" s="47">
        <v>0</v>
      </c>
      <c r="AV466" s="47">
        <v>0</v>
      </c>
      <c r="AW466" s="47">
        <v>0</v>
      </c>
      <c r="AX466" s="47">
        <v>0</v>
      </c>
      <c r="AY466" s="47">
        <v>0</v>
      </c>
      <c r="AZ466" s="47">
        <v>0</v>
      </c>
      <c r="BA466" s="47">
        <v>0</v>
      </c>
      <c r="BB466" s="47">
        <v>0</v>
      </c>
      <c r="BC466" s="47">
        <v>0</v>
      </c>
      <c r="BD466" s="47">
        <v>0</v>
      </c>
      <c r="BE466" s="47">
        <v>0</v>
      </c>
      <c r="BF466" s="47">
        <v>0</v>
      </c>
      <c r="BG466" s="47">
        <v>0</v>
      </c>
      <c r="BH466" s="47">
        <v>0</v>
      </c>
      <c r="BI466" s="47">
        <v>0</v>
      </c>
      <c r="BJ466" s="47">
        <v>0</v>
      </c>
      <c r="BK466" s="47">
        <v>0</v>
      </c>
      <c r="BL466" s="47">
        <v>0</v>
      </c>
      <c r="BM466" s="47">
        <v>0</v>
      </c>
      <c r="BN466" s="47">
        <v>0</v>
      </c>
      <c r="BO466" s="47">
        <v>0</v>
      </c>
      <c r="BP466" s="47">
        <v>0</v>
      </c>
      <c r="BQ466" s="47">
        <v>0</v>
      </c>
      <c r="BR466" s="47">
        <v>0</v>
      </c>
      <c r="BS466" s="47">
        <v>0</v>
      </c>
      <c r="BT466" s="47">
        <v>0</v>
      </c>
      <c r="BU466" s="47">
        <v>0</v>
      </c>
      <c r="BV466" s="47">
        <v>0</v>
      </c>
      <c r="BW466" s="47">
        <v>0</v>
      </c>
      <c r="BX466" s="47">
        <v>0</v>
      </c>
      <c r="BY466" s="47">
        <v>0</v>
      </c>
      <c r="BZ466" s="47">
        <v>0</v>
      </c>
      <c r="CA466" s="47">
        <v>0</v>
      </c>
      <c r="CB466" s="47">
        <v>0</v>
      </c>
      <c r="CC466" s="47">
        <v>0</v>
      </c>
      <c r="CD466" s="47">
        <v>0</v>
      </c>
      <c r="CE466" s="47">
        <v>0</v>
      </c>
      <c r="CF466" s="47">
        <v>0</v>
      </c>
      <c r="CG466" s="47">
        <v>0</v>
      </c>
      <c r="CH466" s="47">
        <v>0</v>
      </c>
      <c r="CI466" s="47">
        <v>0</v>
      </c>
      <c r="CJ466" s="47">
        <v>0</v>
      </c>
      <c r="CK466" s="47">
        <v>0</v>
      </c>
      <c r="CL466" s="47">
        <v>0</v>
      </c>
      <c r="CM466" s="47">
        <v>0</v>
      </c>
      <c r="CN466" s="47">
        <v>0</v>
      </c>
      <c r="CO466" s="47">
        <v>0</v>
      </c>
      <c r="CP466" s="47">
        <v>0</v>
      </c>
      <c r="CQ466" s="47">
        <v>0</v>
      </c>
      <c r="CR466" s="47">
        <v>0</v>
      </c>
      <c r="CS466" s="47">
        <v>0</v>
      </c>
      <c r="CT466" s="47">
        <v>0.8</v>
      </c>
      <c r="CU466" s="47">
        <v>0</v>
      </c>
      <c r="CV466" s="47">
        <v>0</v>
      </c>
      <c r="CW466" s="47">
        <v>0</v>
      </c>
      <c r="CX466" s="47">
        <v>0</v>
      </c>
      <c r="CY466" s="47">
        <v>0</v>
      </c>
      <c r="CZ466" s="47">
        <v>0</v>
      </c>
      <c r="DA466" s="47">
        <v>0</v>
      </c>
      <c r="DB466" s="47">
        <v>0</v>
      </c>
      <c r="DC466" s="47">
        <v>0</v>
      </c>
      <c r="DD466" s="47">
        <v>0</v>
      </c>
      <c r="DE466" s="47">
        <v>0</v>
      </c>
      <c r="DF466" s="47">
        <v>0</v>
      </c>
      <c r="DG466" s="47">
        <v>0</v>
      </c>
      <c r="DH466" s="47">
        <v>0</v>
      </c>
      <c r="DI466" s="47">
        <v>0</v>
      </c>
      <c r="DJ466" s="47">
        <v>0</v>
      </c>
      <c r="DK466" s="47">
        <v>0</v>
      </c>
      <c r="DL466" s="47">
        <v>0</v>
      </c>
      <c r="DM466" s="47">
        <v>0</v>
      </c>
      <c r="DN466" s="47">
        <v>0</v>
      </c>
      <c r="DO466" s="47">
        <v>0</v>
      </c>
      <c r="DP466" s="47">
        <v>0</v>
      </c>
      <c r="DQ466" s="47">
        <v>0</v>
      </c>
      <c r="DR466" s="47">
        <v>0</v>
      </c>
      <c r="DS466" s="47">
        <v>0</v>
      </c>
      <c r="DT466" s="47">
        <v>0</v>
      </c>
    </row>
    <row r="467" spans="1:126" x14ac:dyDescent="0.25">
      <c r="A467" s="47" t="s">
        <v>2211</v>
      </c>
      <c r="B467" s="47" t="s">
        <v>153</v>
      </c>
      <c r="C467" s="47" t="s">
        <v>2212</v>
      </c>
      <c r="D467" s="47" t="s">
        <v>2213</v>
      </c>
      <c r="E467" s="47" t="s">
        <v>2214</v>
      </c>
      <c r="F467" s="47" t="s">
        <v>698</v>
      </c>
      <c r="G467" s="47" t="s">
        <v>727</v>
      </c>
      <c r="H467" s="47" t="str">
        <f>=IFERROR(VLOOKUP(A467,'ETPT Format DDG'!A:J,10,FALSE),"")</f>
        <v>0</v>
      </c>
      <c r="I467" s="47" t="str">
        <f>='ETPT Format DDG'!M467</f>
        <v/>
      </c>
      <c r="J467" s="47" t="str">
        <f>='ETPT Format DDG'!D467</f>
        <v/>
      </c>
      <c r="K467" s="47" t="s">
        <v>157</v>
      </c>
      <c r="L467" s="47" t="s">
        <v>175</v>
      </c>
      <c r="M467" s="47"/>
      <c r="N467" s="47">
        <v>1</v>
      </c>
      <c r="O467" s="47">
        <v>1</v>
      </c>
      <c r="P467" s="47">
        <v>0</v>
      </c>
      <c r="Q467" s="47">
        <v>0</v>
      </c>
      <c r="R467" s="47">
        <v>0</v>
      </c>
      <c r="S467" s="47">
        <v>0</v>
      </c>
      <c r="T467" s="47">
        <v>0</v>
      </c>
      <c r="U467" s="47">
        <v>0</v>
      </c>
      <c r="V467" s="47">
        <v>0</v>
      </c>
      <c r="W467" s="47">
        <v>0</v>
      </c>
      <c r="X467" s="47">
        <v>0</v>
      </c>
      <c r="Y467" s="47">
        <v>0</v>
      </c>
      <c r="Z467" s="47">
        <v>0</v>
      </c>
      <c r="AA467" s="47">
        <v>0</v>
      </c>
      <c r="AB467" s="47">
        <v>0</v>
      </c>
      <c r="AC467" s="47">
        <v>0</v>
      </c>
      <c r="AD467" s="47">
        <v>0</v>
      </c>
      <c r="AE467" s="47">
        <v>0</v>
      </c>
      <c r="AF467" s="47">
        <v>0</v>
      </c>
      <c r="AG467" s="47">
        <v>0</v>
      </c>
      <c r="AH467" s="47">
        <v>0</v>
      </c>
      <c r="AI467" s="47">
        <v>0</v>
      </c>
      <c r="AJ467" s="47">
        <v>0</v>
      </c>
      <c r="AK467" s="47">
        <v>0</v>
      </c>
      <c r="AL467" s="47">
        <v>0</v>
      </c>
      <c r="AM467" s="47">
        <v>0</v>
      </c>
      <c r="AN467" s="47">
        <v>1</v>
      </c>
      <c r="AO467" s="47">
        <v>0</v>
      </c>
      <c r="AP467" s="47">
        <v>0</v>
      </c>
      <c r="AQ467" s="47">
        <v>0</v>
      </c>
      <c r="AR467" s="47">
        <v>0</v>
      </c>
      <c r="AS467" s="47">
        <v>0</v>
      </c>
      <c r="AT467" s="47">
        <v>0</v>
      </c>
      <c r="AU467" s="47">
        <v>0</v>
      </c>
      <c r="AV467" s="47">
        <v>0</v>
      </c>
      <c r="AW467" s="47">
        <v>0</v>
      </c>
      <c r="AX467" s="47">
        <v>0</v>
      </c>
      <c r="AY467" s="47">
        <v>0</v>
      </c>
      <c r="AZ467" s="47">
        <v>0</v>
      </c>
      <c r="BA467" s="47">
        <v>0</v>
      </c>
      <c r="BB467" s="47">
        <v>0</v>
      </c>
      <c r="BC467" s="47">
        <v>0</v>
      </c>
      <c r="BD467" s="47">
        <v>0</v>
      </c>
      <c r="BE467" s="47">
        <v>0</v>
      </c>
      <c r="BF467" s="47">
        <v>0</v>
      </c>
      <c r="BG467" s="47">
        <v>0</v>
      </c>
      <c r="BH467" s="47">
        <v>0</v>
      </c>
      <c r="BI467" s="47">
        <v>0</v>
      </c>
      <c r="BJ467" s="47">
        <v>0</v>
      </c>
      <c r="BK467" s="47">
        <v>0</v>
      </c>
      <c r="BL467" s="47">
        <v>0</v>
      </c>
      <c r="BM467" s="47">
        <v>0</v>
      </c>
      <c r="BN467" s="47">
        <v>0</v>
      </c>
      <c r="BO467" s="47">
        <v>0</v>
      </c>
      <c r="BP467" s="47">
        <v>0</v>
      </c>
      <c r="BQ467" s="47">
        <v>0</v>
      </c>
      <c r="BR467" s="47">
        <v>0</v>
      </c>
      <c r="BS467" s="47">
        <v>0</v>
      </c>
      <c r="BT467" s="47">
        <v>0</v>
      </c>
      <c r="BU467" s="47">
        <v>0</v>
      </c>
      <c r="BV467" s="47">
        <v>0</v>
      </c>
      <c r="BW467" s="47">
        <v>0</v>
      </c>
      <c r="BX467" s="47">
        <v>0</v>
      </c>
      <c r="BY467" s="47">
        <v>0</v>
      </c>
      <c r="BZ467" s="47">
        <v>0</v>
      </c>
      <c r="CA467" s="47">
        <v>0</v>
      </c>
      <c r="CB467" s="47">
        <v>0</v>
      </c>
      <c r="CC467" s="47">
        <v>0</v>
      </c>
      <c r="CD467" s="47">
        <v>0</v>
      </c>
      <c r="CE467" s="47">
        <v>0</v>
      </c>
      <c r="CF467" s="47">
        <v>0</v>
      </c>
      <c r="CG467" s="47">
        <v>0</v>
      </c>
      <c r="CH467" s="47">
        <v>0</v>
      </c>
      <c r="CI467" s="47">
        <v>0</v>
      </c>
      <c r="CJ467" s="47">
        <v>0</v>
      </c>
      <c r="CK467" s="47">
        <v>0</v>
      </c>
      <c r="CL467" s="47">
        <v>0</v>
      </c>
      <c r="CM467" s="47">
        <v>0</v>
      </c>
      <c r="CN467" s="47">
        <v>0</v>
      </c>
      <c r="CO467" s="47">
        <v>0</v>
      </c>
      <c r="CP467" s="47">
        <v>0</v>
      </c>
      <c r="CQ467" s="47">
        <v>0</v>
      </c>
      <c r="CR467" s="47">
        <v>0</v>
      </c>
      <c r="CS467" s="47">
        <v>0</v>
      </c>
      <c r="CT467" s="47">
        <v>0</v>
      </c>
      <c r="CU467" s="47">
        <v>0</v>
      </c>
      <c r="CV467" s="47">
        <v>0</v>
      </c>
      <c r="CW467" s="47">
        <v>0</v>
      </c>
      <c r="CX467" s="47">
        <v>0</v>
      </c>
      <c r="CY467" s="47">
        <v>0</v>
      </c>
      <c r="CZ467" s="47">
        <v>0</v>
      </c>
      <c r="DA467" s="47">
        <v>0</v>
      </c>
      <c r="DB467" s="47">
        <v>0</v>
      </c>
      <c r="DC467" s="47">
        <v>0</v>
      </c>
      <c r="DD467" s="47">
        <v>0</v>
      </c>
      <c r="DE467" s="47">
        <v>0</v>
      </c>
      <c r="DF467" s="47">
        <v>0</v>
      </c>
      <c r="DG467" s="47">
        <v>0</v>
      </c>
      <c r="DH467" s="47">
        <v>0</v>
      </c>
      <c r="DI467" s="47">
        <v>0</v>
      </c>
      <c r="DJ467" s="47">
        <v>0</v>
      </c>
      <c r="DK467" s="47">
        <v>0</v>
      </c>
      <c r="DL467" s="47">
        <v>0</v>
      </c>
      <c r="DM467" s="47">
        <v>0</v>
      </c>
      <c r="DN467" s="47">
        <v>0</v>
      </c>
      <c r="DO467" s="47">
        <v>0</v>
      </c>
      <c r="DP467" s="47">
        <v>0</v>
      </c>
      <c r="DQ467" s="47">
        <v>0</v>
      </c>
      <c r="DR467" s="47">
        <v>0</v>
      </c>
      <c r="DS467" s="47">
        <v>0</v>
      </c>
      <c r="DT467" s="47">
        <v>0</v>
      </c>
    </row>
    <row r="468" spans="1:126" x14ac:dyDescent="0.25">
      <c r="A468" s="47" t="s">
        <v>2215</v>
      </c>
      <c r="B468" s="47" t="s">
        <v>153</v>
      </c>
      <c r="C468" s="47" t="s">
        <v>2216</v>
      </c>
      <c r="D468" s="47" t="s">
        <v>2217</v>
      </c>
      <c r="E468" s="47" t="s">
        <v>2218</v>
      </c>
      <c r="F468" s="47" t="s">
        <v>698</v>
      </c>
      <c r="G468" s="47" t="s">
        <v>727</v>
      </c>
      <c r="H468" s="47" t="str">
        <f>=IFERROR(VLOOKUP(A468,'ETPT Format DDG'!A:J,10,FALSE),"")</f>
        <v>0</v>
      </c>
      <c r="I468" s="47" t="str">
        <f>='ETPT Format DDG'!M468</f>
        <v/>
      </c>
      <c r="J468" s="47" t="str">
        <f>='ETPT Format DDG'!D468</f>
        <v/>
      </c>
      <c r="K468" s="47" t="s">
        <v>157</v>
      </c>
      <c r="L468" s="47" t="s">
        <v>593</v>
      </c>
      <c r="M468" s="47"/>
      <c r="N468" s="47">
        <v>1</v>
      </c>
      <c r="O468" s="47">
        <v>1</v>
      </c>
      <c r="P468" s="47">
        <v>0</v>
      </c>
      <c r="Q468" s="47">
        <v>0</v>
      </c>
      <c r="R468" s="47">
        <v>0</v>
      </c>
      <c r="S468" s="47">
        <v>0</v>
      </c>
      <c r="T468" s="47">
        <v>0</v>
      </c>
      <c r="U468" s="47">
        <v>0</v>
      </c>
      <c r="V468" s="47">
        <v>0</v>
      </c>
      <c r="W468" s="47">
        <v>0</v>
      </c>
      <c r="X468" s="47">
        <v>0</v>
      </c>
      <c r="Y468" s="47">
        <v>0</v>
      </c>
      <c r="Z468" s="47">
        <v>0</v>
      </c>
      <c r="AA468" s="47">
        <v>0</v>
      </c>
      <c r="AB468" s="47">
        <v>0</v>
      </c>
      <c r="AC468" s="47">
        <v>0</v>
      </c>
      <c r="AD468" s="47">
        <v>0</v>
      </c>
      <c r="AE468" s="47">
        <v>0</v>
      </c>
      <c r="AF468" s="47">
        <v>0</v>
      </c>
      <c r="AG468" s="47">
        <v>0</v>
      </c>
      <c r="AH468" s="47">
        <v>0</v>
      </c>
      <c r="AI468" s="47">
        <v>0</v>
      </c>
      <c r="AJ468" s="47">
        <v>0</v>
      </c>
      <c r="AK468" s="47">
        <v>0</v>
      </c>
      <c r="AL468" s="47">
        <v>0</v>
      </c>
      <c r="AM468" s="47">
        <v>0</v>
      </c>
      <c r="AN468" s="47">
        <v>0</v>
      </c>
      <c r="AO468" s="47">
        <v>0</v>
      </c>
      <c r="AP468" s="47">
        <v>0</v>
      </c>
      <c r="AQ468" s="47">
        <v>0</v>
      </c>
      <c r="AR468" s="47">
        <v>0</v>
      </c>
      <c r="AS468" s="47">
        <v>0</v>
      </c>
      <c r="AT468" s="47">
        <v>0</v>
      </c>
      <c r="AU468" s="47">
        <v>0</v>
      </c>
      <c r="AV468" s="47">
        <v>0</v>
      </c>
      <c r="AW468" s="47">
        <v>0</v>
      </c>
      <c r="AX468" s="47">
        <v>0</v>
      </c>
      <c r="AY468" s="47">
        <v>0</v>
      </c>
      <c r="AZ468" s="47">
        <v>0</v>
      </c>
      <c r="BA468" s="47">
        <v>0</v>
      </c>
      <c r="BB468" s="47">
        <v>0</v>
      </c>
      <c r="BC468" s="47">
        <v>0</v>
      </c>
      <c r="BD468" s="47">
        <v>0</v>
      </c>
      <c r="BE468" s="47">
        <v>0</v>
      </c>
      <c r="BF468" s="47">
        <v>0</v>
      </c>
      <c r="BG468" s="47">
        <v>0</v>
      </c>
      <c r="BH468" s="47">
        <v>0</v>
      </c>
      <c r="BI468" s="47">
        <v>0</v>
      </c>
      <c r="BJ468" s="47">
        <v>0</v>
      </c>
      <c r="BK468" s="47">
        <v>0</v>
      </c>
      <c r="BL468" s="47">
        <v>0</v>
      </c>
      <c r="BM468" s="47">
        <v>0</v>
      </c>
      <c r="BN468" s="47">
        <v>0</v>
      </c>
      <c r="BO468" s="47">
        <v>1</v>
      </c>
      <c r="BP468" s="47">
        <v>0</v>
      </c>
      <c r="BQ468" s="47">
        <v>0</v>
      </c>
      <c r="BR468" s="47">
        <v>0</v>
      </c>
      <c r="BS468" s="47">
        <v>0</v>
      </c>
      <c r="BT468" s="47">
        <v>0</v>
      </c>
      <c r="BU468" s="47">
        <v>0</v>
      </c>
      <c r="BV468" s="47">
        <v>0</v>
      </c>
      <c r="BW468" s="47">
        <v>0</v>
      </c>
      <c r="BX468" s="47">
        <v>0</v>
      </c>
      <c r="BY468" s="47">
        <v>0</v>
      </c>
      <c r="BZ468" s="47">
        <v>0</v>
      </c>
      <c r="CA468" s="47">
        <v>0</v>
      </c>
      <c r="CB468" s="47">
        <v>0</v>
      </c>
      <c r="CC468" s="47">
        <v>0</v>
      </c>
      <c r="CD468" s="47">
        <v>0</v>
      </c>
      <c r="CE468" s="47">
        <v>0</v>
      </c>
      <c r="CF468" s="47">
        <v>0</v>
      </c>
      <c r="CG468" s="47">
        <v>0</v>
      </c>
      <c r="CH468" s="47">
        <v>0</v>
      </c>
      <c r="CI468" s="47">
        <v>0</v>
      </c>
      <c r="CJ468" s="47">
        <v>0</v>
      </c>
      <c r="CK468" s="47">
        <v>0</v>
      </c>
      <c r="CL468" s="47">
        <v>0</v>
      </c>
      <c r="CM468" s="47">
        <v>0</v>
      </c>
      <c r="CN468" s="47">
        <v>0</v>
      </c>
      <c r="CO468" s="47">
        <v>0</v>
      </c>
      <c r="CP468" s="47">
        <v>0</v>
      </c>
      <c r="CQ468" s="47">
        <v>0</v>
      </c>
      <c r="CR468" s="47">
        <v>0</v>
      </c>
      <c r="CS468" s="47">
        <v>0</v>
      </c>
      <c r="CT468" s="47">
        <v>0</v>
      </c>
      <c r="CU468" s="47">
        <v>0</v>
      </c>
      <c r="CV468" s="47">
        <v>0</v>
      </c>
      <c r="CW468" s="47">
        <v>0</v>
      </c>
      <c r="CX468" s="47">
        <v>0</v>
      </c>
      <c r="CY468" s="47">
        <v>0</v>
      </c>
      <c r="CZ468" s="47">
        <v>0</v>
      </c>
      <c r="DA468" s="47">
        <v>0</v>
      </c>
      <c r="DB468" s="47">
        <v>0</v>
      </c>
      <c r="DC468" s="47">
        <v>0</v>
      </c>
      <c r="DD468" s="47">
        <v>0</v>
      </c>
      <c r="DE468" s="47">
        <v>0</v>
      </c>
      <c r="DF468" s="47">
        <v>0</v>
      </c>
      <c r="DG468" s="47">
        <v>0</v>
      </c>
      <c r="DH468" s="47">
        <v>0</v>
      </c>
      <c r="DI468" s="47">
        <v>0</v>
      </c>
      <c r="DJ468" s="47">
        <v>0</v>
      </c>
      <c r="DK468" s="47">
        <v>0</v>
      </c>
      <c r="DL468" s="47">
        <v>0</v>
      </c>
      <c r="DM468" s="47">
        <v>0</v>
      </c>
      <c r="DN468" s="47">
        <v>0</v>
      </c>
      <c r="DO468" s="47">
        <v>0</v>
      </c>
      <c r="DP468" s="47">
        <v>0</v>
      </c>
      <c r="DQ468" s="47">
        <v>0</v>
      </c>
      <c r="DR468" s="47">
        <v>0</v>
      </c>
      <c r="DS468" s="47">
        <v>0</v>
      </c>
      <c r="DT468" s="47">
        <v>0</v>
      </c>
    </row>
    <row r="469" spans="1:126" x14ac:dyDescent="0.25">
      <c r="A469" s="47" t="s">
        <v>2219</v>
      </c>
      <c r="B469" s="47" t="s">
        <v>153</v>
      </c>
      <c r="C469" s="47" t="s">
        <v>2220</v>
      </c>
      <c r="D469" s="47" t="s">
        <v>2221</v>
      </c>
      <c r="E469" s="47" t="s">
        <v>2222</v>
      </c>
      <c r="F469" s="47" t="s">
        <v>698</v>
      </c>
      <c r="G469" s="47" t="s">
        <v>727</v>
      </c>
      <c r="H469" s="47" t="str">
        <f>=IFERROR(VLOOKUP(A469,'ETPT Format DDG'!A:J,10,FALSE),"")</f>
        <v>0</v>
      </c>
      <c r="I469" s="47" t="str">
        <f>='ETPT Format DDG'!M469</f>
        <v/>
      </c>
      <c r="J469" s="47" t="str">
        <f>='ETPT Format DDG'!D469</f>
        <v/>
      </c>
      <c r="K469" s="47" t="s">
        <v>157</v>
      </c>
      <c r="L469" s="47" t="s">
        <v>1000</v>
      </c>
      <c r="M469" s="47"/>
      <c r="N469" s="47">
        <v>0.8</v>
      </c>
      <c r="O469" s="47">
        <v>0.8</v>
      </c>
      <c r="P469" s="47">
        <v>0</v>
      </c>
      <c r="Q469" s="47">
        <v>0</v>
      </c>
      <c r="R469" s="47">
        <v>0</v>
      </c>
      <c r="S469" s="47">
        <v>0</v>
      </c>
      <c r="T469" s="47">
        <v>0</v>
      </c>
      <c r="U469" s="47">
        <v>0</v>
      </c>
      <c r="V469" s="47">
        <v>0</v>
      </c>
      <c r="W469" s="47">
        <v>0</v>
      </c>
      <c r="X469" s="47">
        <v>0</v>
      </c>
      <c r="Y469" s="47">
        <v>0</v>
      </c>
      <c r="Z469" s="47">
        <v>0</v>
      </c>
      <c r="AA469" s="47">
        <v>0</v>
      </c>
      <c r="AB469" s="47">
        <v>0</v>
      </c>
      <c r="AC469" s="47">
        <v>0</v>
      </c>
      <c r="AD469" s="47">
        <v>0</v>
      </c>
      <c r="AE469" s="47">
        <v>0.8</v>
      </c>
      <c r="AF469" s="47">
        <v>0</v>
      </c>
      <c r="AG469" s="47">
        <v>0</v>
      </c>
      <c r="AH469" s="47">
        <v>0</v>
      </c>
      <c r="AI469" s="47">
        <v>0</v>
      </c>
      <c r="AJ469" s="47">
        <v>0</v>
      </c>
      <c r="AK469" s="47">
        <v>0</v>
      </c>
      <c r="AL469" s="47">
        <v>0</v>
      </c>
      <c r="AM469" s="47">
        <v>0</v>
      </c>
      <c r="AN469" s="47">
        <v>0</v>
      </c>
      <c r="AO469" s="47">
        <v>0</v>
      </c>
      <c r="AP469" s="47">
        <v>0</v>
      </c>
      <c r="AQ469" s="47">
        <v>0</v>
      </c>
      <c r="AR469" s="47">
        <v>0</v>
      </c>
      <c r="AS469" s="47">
        <v>0</v>
      </c>
      <c r="AT469" s="47">
        <v>0</v>
      </c>
      <c r="AU469" s="47">
        <v>0</v>
      </c>
      <c r="AV469" s="47">
        <v>0</v>
      </c>
      <c r="AW469" s="47">
        <v>0</v>
      </c>
      <c r="AX469" s="47">
        <v>0</v>
      </c>
      <c r="AY469" s="47">
        <v>0</v>
      </c>
      <c r="AZ469" s="47">
        <v>0</v>
      </c>
      <c r="BA469" s="47">
        <v>0</v>
      </c>
      <c r="BB469" s="47">
        <v>0</v>
      </c>
      <c r="BC469" s="47">
        <v>0</v>
      </c>
      <c r="BD469" s="47">
        <v>0</v>
      </c>
      <c r="BE469" s="47">
        <v>0</v>
      </c>
      <c r="BF469" s="47">
        <v>0</v>
      </c>
      <c r="BG469" s="47">
        <v>0</v>
      </c>
      <c r="BH469" s="47">
        <v>0</v>
      </c>
      <c r="BI469" s="47">
        <v>0</v>
      </c>
      <c r="BJ469" s="47">
        <v>0</v>
      </c>
      <c r="BK469" s="47">
        <v>0</v>
      </c>
      <c r="BL469" s="47">
        <v>0</v>
      </c>
      <c r="BM469" s="47">
        <v>0</v>
      </c>
      <c r="BN469" s="47">
        <v>0</v>
      </c>
      <c r="BO469" s="47">
        <v>0</v>
      </c>
      <c r="BP469" s="47">
        <v>0</v>
      </c>
      <c r="BQ469" s="47">
        <v>0</v>
      </c>
      <c r="BR469" s="47">
        <v>0</v>
      </c>
      <c r="BS469" s="47">
        <v>0</v>
      </c>
      <c r="BT469" s="47">
        <v>0</v>
      </c>
      <c r="BU469" s="47">
        <v>0</v>
      </c>
      <c r="BV469" s="47">
        <v>0</v>
      </c>
      <c r="BW469" s="47">
        <v>0</v>
      </c>
      <c r="BX469" s="47">
        <v>0</v>
      </c>
      <c r="BY469" s="47">
        <v>0</v>
      </c>
      <c r="BZ469" s="47">
        <v>0</v>
      </c>
      <c r="CA469" s="47">
        <v>0</v>
      </c>
      <c r="CB469" s="47">
        <v>0</v>
      </c>
      <c r="CC469" s="47">
        <v>0</v>
      </c>
      <c r="CD469" s="47">
        <v>0</v>
      </c>
      <c r="CE469" s="47">
        <v>0</v>
      </c>
      <c r="CF469" s="47">
        <v>0</v>
      </c>
      <c r="CG469" s="47">
        <v>0</v>
      </c>
      <c r="CH469" s="47">
        <v>0</v>
      </c>
      <c r="CI469" s="47">
        <v>0</v>
      </c>
      <c r="CJ469" s="47">
        <v>0</v>
      </c>
      <c r="CK469" s="47">
        <v>0</v>
      </c>
      <c r="CL469" s="47">
        <v>0</v>
      </c>
      <c r="CM469" s="47">
        <v>0</v>
      </c>
      <c r="CN469" s="47">
        <v>0</v>
      </c>
      <c r="CO469" s="47">
        <v>0</v>
      </c>
      <c r="CP469" s="47">
        <v>0</v>
      </c>
      <c r="CQ469" s="47">
        <v>0</v>
      </c>
      <c r="CR469" s="47">
        <v>0</v>
      </c>
      <c r="CS469" s="47">
        <v>0</v>
      </c>
      <c r="CT469" s="47">
        <v>0</v>
      </c>
      <c r="CU469" s="47">
        <v>0</v>
      </c>
      <c r="CV469" s="47">
        <v>0</v>
      </c>
      <c r="CW469" s="47">
        <v>0</v>
      </c>
      <c r="CX469" s="47">
        <v>0</v>
      </c>
      <c r="CY469" s="47">
        <v>0</v>
      </c>
      <c r="CZ469" s="47">
        <v>0</v>
      </c>
      <c r="DA469" s="47">
        <v>0</v>
      </c>
      <c r="DB469" s="47">
        <v>0</v>
      </c>
      <c r="DC469" s="47">
        <v>0</v>
      </c>
      <c r="DD469" s="47">
        <v>0</v>
      </c>
      <c r="DE469" s="47">
        <v>0</v>
      </c>
      <c r="DF469" s="47">
        <v>0</v>
      </c>
      <c r="DG469" s="47">
        <v>0</v>
      </c>
      <c r="DH469" s="47">
        <v>0</v>
      </c>
      <c r="DI469" s="47">
        <v>0</v>
      </c>
      <c r="DJ469" s="47">
        <v>0</v>
      </c>
      <c r="DK469" s="47">
        <v>0</v>
      </c>
      <c r="DL469" s="47">
        <v>0</v>
      </c>
      <c r="DM469" s="47">
        <v>0</v>
      </c>
      <c r="DN469" s="47">
        <v>0</v>
      </c>
      <c r="DO469" s="47">
        <v>0</v>
      </c>
      <c r="DP469" s="47">
        <v>0</v>
      </c>
      <c r="DQ469" s="47">
        <v>0</v>
      </c>
      <c r="DR469" s="47">
        <v>0</v>
      </c>
      <c r="DS469" s="47">
        <v>0</v>
      </c>
      <c r="DT469" s="47">
        <v>0</v>
      </c>
    </row>
    <row r="470" spans="1:126" x14ac:dyDescent="0.25">
      <c r="A470" s="47" t="s">
        <v>2223</v>
      </c>
      <c r="B470" s="47" t="s">
        <v>153</v>
      </c>
      <c r="C470" s="47" t="s">
        <v>2224</v>
      </c>
      <c r="D470" s="47" t="s">
        <v>2225</v>
      </c>
      <c r="E470" s="47" t="s">
        <v>2226</v>
      </c>
      <c r="F470" s="47" t="s">
        <v>698</v>
      </c>
      <c r="G470" s="47" t="s">
        <v>727</v>
      </c>
      <c r="H470" s="47" t="str">
        <f>=IFERROR(VLOOKUP(A470,'ETPT Format DDG'!A:J,10,FALSE),"")</f>
        <v>0</v>
      </c>
      <c r="I470" s="47" t="str">
        <f>='ETPT Format DDG'!M470</f>
        <v/>
      </c>
      <c r="J470" s="47" t="str">
        <f>='ETPT Format DDG'!D470</f>
        <v/>
      </c>
      <c r="K470" s="47" t="s">
        <v>157</v>
      </c>
      <c r="L470" s="47" t="s">
        <v>1304</v>
      </c>
      <c r="M470" s="47"/>
      <c r="N470" s="47">
        <v>1</v>
      </c>
      <c r="O470" s="47">
        <v>0</v>
      </c>
      <c r="P470" s="47">
        <v>0</v>
      </c>
      <c r="Q470" s="47">
        <v>0</v>
      </c>
      <c r="R470" s="47">
        <v>0</v>
      </c>
      <c r="S470" s="47">
        <v>0</v>
      </c>
      <c r="T470" s="47">
        <v>0</v>
      </c>
      <c r="U470" s="47">
        <v>0</v>
      </c>
      <c r="V470" s="47">
        <v>0</v>
      </c>
      <c r="W470" s="47">
        <v>0</v>
      </c>
      <c r="X470" s="47">
        <v>0</v>
      </c>
      <c r="Y470" s="47">
        <v>0</v>
      </c>
      <c r="Z470" s="47">
        <v>0</v>
      </c>
      <c r="AA470" s="47">
        <v>0</v>
      </c>
      <c r="AB470" s="47">
        <v>0</v>
      </c>
      <c r="AC470" s="47">
        <v>0</v>
      </c>
      <c r="AD470" s="47">
        <v>0</v>
      </c>
      <c r="AE470" s="47">
        <v>0</v>
      </c>
      <c r="AF470" s="47">
        <v>0</v>
      </c>
      <c r="AG470" s="47">
        <v>0</v>
      </c>
      <c r="AH470" s="47">
        <v>0</v>
      </c>
      <c r="AI470" s="47">
        <v>0</v>
      </c>
      <c r="AJ470" s="47">
        <v>0</v>
      </c>
      <c r="AK470" s="47">
        <v>0</v>
      </c>
      <c r="AL470" s="47">
        <v>0</v>
      </c>
      <c r="AM470" s="47">
        <v>0</v>
      </c>
      <c r="AN470" s="47">
        <v>0</v>
      </c>
      <c r="AO470" s="47">
        <v>0</v>
      </c>
      <c r="AP470" s="47">
        <v>0</v>
      </c>
      <c r="AQ470" s="47">
        <v>0</v>
      </c>
      <c r="AR470" s="47">
        <v>0</v>
      </c>
      <c r="AS470" s="47">
        <v>0</v>
      </c>
      <c r="AT470" s="47">
        <v>0</v>
      </c>
      <c r="AU470" s="47">
        <v>0</v>
      </c>
      <c r="AV470" s="47">
        <v>0</v>
      </c>
      <c r="AW470" s="47">
        <v>0</v>
      </c>
      <c r="AX470" s="47">
        <v>0</v>
      </c>
      <c r="AY470" s="47">
        <v>0</v>
      </c>
      <c r="AZ470" s="47">
        <v>0</v>
      </c>
      <c r="BA470" s="47">
        <v>0</v>
      </c>
      <c r="BB470" s="47">
        <v>0</v>
      </c>
      <c r="BC470" s="47">
        <v>0</v>
      </c>
      <c r="BD470" s="47">
        <v>0</v>
      </c>
      <c r="BE470" s="47">
        <v>0</v>
      </c>
      <c r="BF470" s="47">
        <v>0</v>
      </c>
      <c r="BG470" s="47">
        <v>0</v>
      </c>
      <c r="BH470" s="47">
        <v>0</v>
      </c>
      <c r="BI470" s="47">
        <v>0</v>
      </c>
      <c r="BJ470" s="47">
        <v>0</v>
      </c>
      <c r="BK470" s="47">
        <v>0</v>
      </c>
      <c r="BL470" s="47">
        <v>0</v>
      </c>
      <c r="BM470" s="47">
        <v>0</v>
      </c>
      <c r="BN470" s="47">
        <v>0</v>
      </c>
      <c r="BO470" s="47">
        <v>0</v>
      </c>
      <c r="BP470" s="47">
        <v>0</v>
      </c>
      <c r="BQ470" s="47">
        <v>0</v>
      </c>
      <c r="BR470" s="47">
        <v>0</v>
      </c>
      <c r="BS470" s="47">
        <v>0</v>
      </c>
      <c r="BT470" s="47">
        <v>0</v>
      </c>
      <c r="BU470" s="47">
        <v>0</v>
      </c>
      <c r="BV470" s="47">
        <v>0</v>
      </c>
      <c r="BW470" s="47">
        <v>0</v>
      </c>
      <c r="BX470" s="47">
        <v>0</v>
      </c>
      <c r="BY470" s="47">
        <v>0</v>
      </c>
      <c r="BZ470" s="47">
        <v>0</v>
      </c>
      <c r="CA470" s="47">
        <v>0</v>
      </c>
      <c r="CB470" s="47">
        <v>0</v>
      </c>
      <c r="CC470" s="47">
        <v>0</v>
      </c>
      <c r="CD470" s="47">
        <v>0</v>
      </c>
      <c r="CE470" s="47">
        <v>0</v>
      </c>
      <c r="CF470" s="47">
        <v>0</v>
      </c>
      <c r="CG470" s="47">
        <v>0</v>
      </c>
      <c r="CH470" s="47">
        <v>0</v>
      </c>
      <c r="CI470" s="47">
        <v>0</v>
      </c>
      <c r="CJ470" s="47">
        <v>0</v>
      </c>
      <c r="CK470" s="47">
        <v>0</v>
      </c>
      <c r="CL470" s="47">
        <v>0</v>
      </c>
      <c r="CM470" s="47">
        <v>0</v>
      </c>
      <c r="CN470" s="47">
        <v>0</v>
      </c>
      <c r="CO470" s="47">
        <v>0</v>
      </c>
      <c r="CP470" s="47">
        <v>0</v>
      </c>
      <c r="CQ470" s="47">
        <v>0</v>
      </c>
      <c r="CR470" s="47">
        <v>0</v>
      </c>
      <c r="CS470" s="47">
        <v>0</v>
      </c>
      <c r="CT470" s="47">
        <v>0</v>
      </c>
      <c r="CU470" s="47">
        <v>0</v>
      </c>
      <c r="CV470" s="47">
        <v>0</v>
      </c>
      <c r="CW470" s="47">
        <v>0</v>
      </c>
      <c r="CX470" s="47">
        <v>0</v>
      </c>
      <c r="CY470" s="47">
        <v>0</v>
      </c>
      <c r="CZ470" s="47">
        <v>0</v>
      </c>
      <c r="DA470" s="47">
        <v>0</v>
      </c>
      <c r="DB470" s="47">
        <v>0</v>
      </c>
      <c r="DC470" s="47">
        <v>0</v>
      </c>
      <c r="DD470" s="47">
        <v>0</v>
      </c>
      <c r="DE470" s="47">
        <v>0</v>
      </c>
      <c r="DF470" s="47">
        <v>0</v>
      </c>
      <c r="DG470" s="47">
        <v>0</v>
      </c>
      <c r="DH470" s="47">
        <v>0</v>
      </c>
      <c r="DI470" s="47">
        <v>0</v>
      </c>
      <c r="DJ470" s="47">
        <v>0</v>
      </c>
      <c r="DK470" s="47">
        <v>0</v>
      </c>
      <c r="DL470" s="47">
        <v>0</v>
      </c>
      <c r="DM470" s="47">
        <v>0</v>
      </c>
      <c r="DN470" s="47">
        <v>0</v>
      </c>
      <c r="DO470" s="47">
        <v>0</v>
      </c>
      <c r="DP470" s="47">
        <v>0</v>
      </c>
      <c r="DQ470" s="47">
        <v>0</v>
      </c>
      <c r="DR470" s="47">
        <v>0</v>
      </c>
      <c r="DS470" s="47">
        <v>0</v>
      </c>
      <c r="DT470" s="47">
        <v>0</v>
      </c>
    </row>
    <row r="471" spans="1:126" x14ac:dyDescent="0.25">
      <c r="A471" s="47" t="s">
        <v>2227</v>
      </c>
      <c r="B471" s="47" t="s">
        <v>153</v>
      </c>
      <c r="C471" s="47" t="s">
        <v>2228</v>
      </c>
      <c r="D471" s="47" t="s">
        <v>2229</v>
      </c>
      <c r="E471" s="47" t="s">
        <v>2230</v>
      </c>
      <c r="F471" s="47" t="s">
        <v>698</v>
      </c>
      <c r="G471" s="47" t="s">
        <v>711</v>
      </c>
      <c r="H471" s="47" t="str">
        <f>=IFERROR(VLOOKUP(A471,'ETPT Format DDG'!A:J,10,FALSE),"")</f>
        <v>0</v>
      </c>
      <c r="I471" s="47" t="str">
        <f>='ETPT Format DDG'!M471</f>
        <v/>
      </c>
      <c r="J471" s="47" t="str">
        <f>='ETPT Format DDG'!D471</f>
        <v/>
      </c>
      <c r="K471" s="47" t="s">
        <v>157</v>
      </c>
      <c r="L471" s="47" t="s">
        <v>2231</v>
      </c>
      <c r="M471" s="47"/>
      <c r="N471" s="47">
        <v>0.8</v>
      </c>
      <c r="O471" s="47">
        <v>0.8</v>
      </c>
      <c r="P471" s="47">
        <v>0</v>
      </c>
      <c r="Q471" s="47">
        <v>0</v>
      </c>
      <c r="R471" s="47">
        <v>0</v>
      </c>
      <c r="S471" s="47">
        <v>0</v>
      </c>
      <c r="T471" s="47">
        <v>0</v>
      </c>
      <c r="U471" s="47">
        <v>0</v>
      </c>
      <c r="V471" s="47">
        <v>0</v>
      </c>
      <c r="W471" s="47">
        <v>0</v>
      </c>
      <c r="X471" s="47">
        <v>0</v>
      </c>
      <c r="Y471" s="47">
        <v>0</v>
      </c>
      <c r="Z471" s="47">
        <v>0</v>
      </c>
      <c r="AA471" s="47">
        <v>0</v>
      </c>
      <c r="AB471" s="47">
        <v>0</v>
      </c>
      <c r="AC471" s="47">
        <v>0</v>
      </c>
      <c r="AD471" s="47">
        <v>0</v>
      </c>
      <c r="AE471" s="47">
        <v>0.8</v>
      </c>
      <c r="AF471" s="47">
        <v>0.8</v>
      </c>
      <c r="AG471" s="47">
        <v>0</v>
      </c>
      <c r="AH471" s="47">
        <v>0</v>
      </c>
      <c r="AI471" s="47">
        <v>0</v>
      </c>
      <c r="AJ471" s="47">
        <v>0</v>
      </c>
      <c r="AK471" s="47">
        <v>0</v>
      </c>
      <c r="AL471" s="47">
        <v>0</v>
      </c>
      <c r="AM471" s="47">
        <v>0</v>
      </c>
      <c r="AN471" s="47">
        <v>0</v>
      </c>
      <c r="AO471" s="47">
        <v>0</v>
      </c>
      <c r="AP471" s="47">
        <v>0</v>
      </c>
      <c r="AQ471" s="47">
        <v>0</v>
      </c>
      <c r="AR471" s="47">
        <v>0</v>
      </c>
      <c r="AS471" s="47">
        <v>0</v>
      </c>
      <c r="AT471" s="47">
        <v>0</v>
      </c>
      <c r="AU471" s="47">
        <v>0</v>
      </c>
      <c r="AV471" s="47">
        <v>0</v>
      </c>
      <c r="AW471" s="47">
        <v>0</v>
      </c>
      <c r="AX471" s="47">
        <v>0</v>
      </c>
      <c r="AY471" s="47">
        <v>0</v>
      </c>
      <c r="AZ471" s="47">
        <v>0</v>
      </c>
      <c r="BA471" s="47">
        <v>0</v>
      </c>
      <c r="BB471" s="47">
        <v>0</v>
      </c>
      <c r="BC471" s="47">
        <v>0</v>
      </c>
      <c r="BD471" s="47">
        <v>0</v>
      </c>
      <c r="BE471" s="47">
        <v>0</v>
      </c>
      <c r="BF471" s="47">
        <v>0</v>
      </c>
      <c r="BG471" s="47">
        <v>0</v>
      </c>
      <c r="BH471" s="47">
        <v>0</v>
      </c>
      <c r="BI471" s="47">
        <v>0</v>
      </c>
      <c r="BJ471" s="47">
        <v>0</v>
      </c>
      <c r="BK471" s="47">
        <v>0</v>
      </c>
      <c r="BL471" s="47">
        <v>0</v>
      </c>
      <c r="BM471" s="47">
        <v>0</v>
      </c>
      <c r="BN471" s="47">
        <v>0</v>
      </c>
      <c r="BO471" s="47">
        <v>0</v>
      </c>
      <c r="BP471" s="47">
        <v>0</v>
      </c>
      <c r="BQ471" s="47">
        <v>0</v>
      </c>
      <c r="BR471" s="47">
        <v>0</v>
      </c>
      <c r="BS471" s="47">
        <v>0</v>
      </c>
      <c r="BT471" s="47">
        <v>0</v>
      </c>
      <c r="BU471" s="47">
        <v>0</v>
      </c>
      <c r="BV471" s="47">
        <v>0</v>
      </c>
      <c r="BW471" s="47">
        <v>0</v>
      </c>
      <c r="BX471" s="47">
        <v>0</v>
      </c>
      <c r="BY471" s="47">
        <v>0</v>
      </c>
      <c r="BZ471" s="47">
        <v>0</v>
      </c>
      <c r="CA471" s="47">
        <v>0</v>
      </c>
      <c r="CB471" s="47">
        <v>0</v>
      </c>
      <c r="CC471" s="47">
        <v>0</v>
      </c>
      <c r="CD471" s="47">
        <v>0</v>
      </c>
      <c r="CE471" s="47">
        <v>0</v>
      </c>
      <c r="CF471" s="47">
        <v>0</v>
      </c>
      <c r="CG471" s="47">
        <v>0</v>
      </c>
      <c r="CH471" s="47">
        <v>0</v>
      </c>
      <c r="CI471" s="47">
        <v>0</v>
      </c>
      <c r="CJ471" s="47">
        <v>0</v>
      </c>
      <c r="CK471" s="47">
        <v>0</v>
      </c>
      <c r="CL471" s="47">
        <v>0</v>
      </c>
      <c r="CM471" s="47">
        <v>0</v>
      </c>
      <c r="CN471" s="47">
        <v>0</v>
      </c>
      <c r="CO471" s="47">
        <v>0</v>
      </c>
      <c r="CP471" s="47">
        <v>0</v>
      </c>
      <c r="CQ471" s="47">
        <v>0</v>
      </c>
      <c r="CR471" s="47">
        <v>0</v>
      </c>
      <c r="CS471" s="47">
        <v>0</v>
      </c>
      <c r="CT471" s="47">
        <v>0</v>
      </c>
      <c r="CU471" s="47">
        <v>0</v>
      </c>
      <c r="CV471" s="47">
        <v>0</v>
      </c>
      <c r="CW471" s="47">
        <v>0</v>
      </c>
      <c r="CX471" s="47">
        <v>0</v>
      </c>
      <c r="CY471" s="47">
        <v>0</v>
      </c>
      <c r="CZ471" s="47">
        <v>0</v>
      </c>
      <c r="DA471" s="47">
        <v>0</v>
      </c>
      <c r="DB471" s="47">
        <v>0</v>
      </c>
      <c r="DC471" s="47">
        <v>0</v>
      </c>
      <c r="DD471" s="47">
        <v>0</v>
      </c>
      <c r="DE471" s="47">
        <v>0</v>
      </c>
      <c r="DF471" s="47">
        <v>0</v>
      </c>
      <c r="DG471" s="47">
        <v>0</v>
      </c>
      <c r="DH471" s="47">
        <v>0</v>
      </c>
      <c r="DI471" s="47">
        <v>0</v>
      </c>
      <c r="DJ471" s="47">
        <v>0</v>
      </c>
      <c r="DK471" s="47">
        <v>0</v>
      </c>
      <c r="DL471" s="47">
        <v>0</v>
      </c>
      <c r="DM471" s="47">
        <v>0</v>
      </c>
      <c r="DN471" s="47">
        <v>0</v>
      </c>
      <c r="DO471" s="47">
        <v>0</v>
      </c>
      <c r="DP471" s="47">
        <v>0</v>
      </c>
      <c r="DQ471" s="47">
        <v>0</v>
      </c>
      <c r="DR471" s="47">
        <v>0</v>
      </c>
      <c r="DS471" s="47">
        <v>0</v>
      </c>
      <c r="DT471" s="47">
        <v>0</v>
      </c>
    </row>
    <row r="472" spans="1:126" x14ac:dyDescent="0.25">
      <c r="A472" s="47" t="s">
        <v>2232</v>
      </c>
      <c r="B472" s="47" t="s">
        <v>153</v>
      </c>
      <c r="C472" s="47" t="s">
        <v>2233</v>
      </c>
      <c r="D472" s="47" t="s">
        <v>2234</v>
      </c>
      <c r="E472" s="47" t="s">
        <v>2235</v>
      </c>
      <c r="F472" s="47" t="s">
        <v>698</v>
      </c>
      <c r="G472" s="47" t="s">
        <v>705</v>
      </c>
      <c r="H472" s="47" t="str">
        <f>=IFERROR(VLOOKUP(A472,'ETPT Format DDG'!A:J,10,FALSE),"")</f>
        <v>0</v>
      </c>
      <c r="I472" s="47" t="str">
        <f>='ETPT Format DDG'!M472</f>
        <v/>
      </c>
      <c r="J472" s="47" t="str">
        <f>='ETPT Format DDG'!D472</f>
        <v/>
      </c>
      <c r="K472" s="47" t="s">
        <v>157</v>
      </c>
      <c r="L472" s="47" t="s">
        <v>593</v>
      </c>
      <c r="M472" s="47"/>
      <c r="N472" s="47">
        <v>1</v>
      </c>
      <c r="O472" s="47">
        <v>0</v>
      </c>
      <c r="P472" s="47">
        <v>0</v>
      </c>
      <c r="Q472" s="47">
        <v>0</v>
      </c>
      <c r="R472" s="47">
        <v>0</v>
      </c>
      <c r="S472" s="47">
        <v>0</v>
      </c>
      <c r="T472" s="47">
        <v>0</v>
      </c>
      <c r="U472" s="47">
        <v>0</v>
      </c>
      <c r="V472" s="47">
        <v>0</v>
      </c>
      <c r="W472" s="47">
        <v>0</v>
      </c>
      <c r="X472" s="47">
        <v>0</v>
      </c>
      <c r="Y472" s="47">
        <v>0</v>
      </c>
      <c r="Z472" s="47">
        <v>0</v>
      </c>
      <c r="AA472" s="47">
        <v>0</v>
      </c>
      <c r="AB472" s="47">
        <v>0</v>
      </c>
      <c r="AC472" s="47">
        <v>0</v>
      </c>
      <c r="AD472" s="47">
        <v>0</v>
      </c>
      <c r="AE472" s="47">
        <v>0</v>
      </c>
      <c r="AF472" s="47">
        <v>0</v>
      </c>
      <c r="AG472" s="47">
        <v>0</v>
      </c>
      <c r="AH472" s="47">
        <v>0</v>
      </c>
      <c r="AI472" s="47">
        <v>0</v>
      </c>
      <c r="AJ472" s="47">
        <v>0</v>
      </c>
      <c r="AK472" s="47">
        <v>0</v>
      </c>
      <c r="AL472" s="47">
        <v>0</v>
      </c>
      <c r="AM472" s="47">
        <v>0</v>
      </c>
      <c r="AN472" s="47">
        <v>0</v>
      </c>
      <c r="AO472" s="47">
        <v>0</v>
      </c>
      <c r="AP472" s="47">
        <v>0</v>
      </c>
      <c r="AQ472" s="47">
        <v>0</v>
      </c>
      <c r="AR472" s="47">
        <v>0</v>
      </c>
      <c r="AS472" s="47">
        <v>0</v>
      </c>
      <c r="AT472" s="47">
        <v>0</v>
      </c>
      <c r="AU472" s="47">
        <v>0</v>
      </c>
      <c r="AV472" s="47">
        <v>0</v>
      </c>
      <c r="AW472" s="47">
        <v>0</v>
      </c>
      <c r="AX472" s="47">
        <v>0</v>
      </c>
      <c r="AY472" s="47">
        <v>0</v>
      </c>
      <c r="AZ472" s="47">
        <v>0</v>
      </c>
      <c r="BA472" s="47">
        <v>0</v>
      </c>
      <c r="BB472" s="47">
        <v>0</v>
      </c>
      <c r="BC472" s="47">
        <v>0</v>
      </c>
      <c r="BD472" s="47">
        <v>0</v>
      </c>
      <c r="BE472" s="47">
        <v>0</v>
      </c>
      <c r="BF472" s="47">
        <v>0</v>
      </c>
      <c r="BG472" s="47">
        <v>0</v>
      </c>
      <c r="BH472" s="47">
        <v>0</v>
      </c>
      <c r="BI472" s="47">
        <v>0</v>
      </c>
      <c r="BJ472" s="47">
        <v>0</v>
      </c>
      <c r="BK472" s="47">
        <v>0</v>
      </c>
      <c r="BL472" s="47">
        <v>0</v>
      </c>
      <c r="BM472" s="47">
        <v>0</v>
      </c>
      <c r="BN472" s="47">
        <v>0</v>
      </c>
      <c r="BO472" s="47">
        <v>0</v>
      </c>
      <c r="BP472" s="47">
        <v>0</v>
      </c>
      <c r="BQ472" s="47">
        <v>0</v>
      </c>
      <c r="BR472" s="47">
        <v>0</v>
      </c>
      <c r="BS472" s="47">
        <v>0</v>
      </c>
      <c r="BT472" s="47">
        <v>0</v>
      </c>
      <c r="BU472" s="47">
        <v>0</v>
      </c>
      <c r="BV472" s="47">
        <v>0</v>
      </c>
      <c r="BW472" s="47">
        <v>0</v>
      </c>
      <c r="BX472" s="47">
        <v>0</v>
      </c>
      <c r="BY472" s="47">
        <v>0</v>
      </c>
      <c r="BZ472" s="47">
        <v>0</v>
      </c>
      <c r="CA472" s="47">
        <v>0</v>
      </c>
      <c r="CB472" s="47">
        <v>0</v>
      </c>
      <c r="CC472" s="47">
        <v>0</v>
      </c>
      <c r="CD472" s="47">
        <v>0</v>
      </c>
      <c r="CE472" s="47">
        <v>0</v>
      </c>
      <c r="CF472" s="47">
        <v>0</v>
      </c>
      <c r="CG472" s="47">
        <v>0</v>
      </c>
      <c r="CH472" s="47">
        <v>0</v>
      </c>
      <c r="CI472" s="47">
        <v>0</v>
      </c>
      <c r="CJ472" s="47">
        <v>0</v>
      </c>
      <c r="CK472" s="47">
        <v>0</v>
      </c>
      <c r="CL472" s="47">
        <v>0</v>
      </c>
      <c r="CM472" s="47">
        <v>0</v>
      </c>
      <c r="CN472" s="47">
        <v>0</v>
      </c>
      <c r="CO472" s="47">
        <v>0</v>
      </c>
      <c r="CP472" s="47">
        <v>0</v>
      </c>
      <c r="CQ472" s="47">
        <v>0</v>
      </c>
      <c r="CR472" s="47">
        <v>0</v>
      </c>
      <c r="CS472" s="47">
        <v>0</v>
      </c>
      <c r="CT472" s="47">
        <v>0</v>
      </c>
      <c r="CU472" s="47">
        <v>0</v>
      </c>
      <c r="CV472" s="47">
        <v>0</v>
      </c>
      <c r="CW472" s="47">
        <v>0</v>
      </c>
      <c r="CX472" s="47">
        <v>0</v>
      </c>
      <c r="CY472" s="47">
        <v>0</v>
      </c>
      <c r="CZ472" s="47">
        <v>0</v>
      </c>
      <c r="DA472" s="47">
        <v>0</v>
      </c>
      <c r="DB472" s="47">
        <v>0</v>
      </c>
      <c r="DC472" s="47">
        <v>0</v>
      </c>
      <c r="DD472" s="47">
        <v>0</v>
      </c>
      <c r="DE472" s="47">
        <v>0</v>
      </c>
      <c r="DF472" s="47">
        <v>0</v>
      </c>
      <c r="DG472" s="47">
        <v>0</v>
      </c>
      <c r="DH472" s="47">
        <v>0</v>
      </c>
      <c r="DI472" s="47">
        <v>0</v>
      </c>
      <c r="DJ472" s="47">
        <v>0</v>
      </c>
      <c r="DK472" s="47">
        <v>0</v>
      </c>
      <c r="DL472" s="47">
        <v>0</v>
      </c>
      <c r="DM472" s="47">
        <v>0</v>
      </c>
      <c r="DN472" s="47">
        <v>0</v>
      </c>
      <c r="DO472" s="47">
        <v>0</v>
      </c>
      <c r="DP472" s="47">
        <v>0</v>
      </c>
      <c r="DQ472" s="47">
        <v>0</v>
      </c>
      <c r="DR472" s="47">
        <v>0</v>
      </c>
      <c r="DS472" s="47">
        <v>0</v>
      </c>
      <c r="DT472" s="47">
        <v>0</v>
      </c>
    </row>
    <row r="473" spans="1:126" x14ac:dyDescent="0.25">
      <c r="A473" s="47" t="s">
        <v>2236</v>
      </c>
      <c r="B473" s="47" t="s">
        <v>153</v>
      </c>
      <c r="C473" s="47" t="s">
        <v>2237</v>
      </c>
      <c r="D473" s="47" t="s">
        <v>2238</v>
      </c>
      <c r="E473" s="47" t="s">
        <v>2239</v>
      </c>
      <c r="F473" s="47" t="s">
        <v>698</v>
      </c>
      <c r="G473" s="47" t="s">
        <v>705</v>
      </c>
      <c r="H473" s="47" t="str">
        <f>=IFERROR(VLOOKUP(A473,'ETPT Format DDG'!A:J,10,FALSE),"")</f>
        <v>0</v>
      </c>
      <c r="I473" s="47" t="str">
        <f>='ETPT Format DDG'!M473</f>
        <v/>
      </c>
      <c r="J473" s="47" t="str">
        <f>='ETPT Format DDG'!D473</f>
        <v/>
      </c>
      <c r="K473" s="47" t="s">
        <v>157</v>
      </c>
      <c r="L473" s="47" t="s">
        <v>2240</v>
      </c>
      <c r="M473" s="47"/>
      <c r="N473" s="47">
        <v>0.8</v>
      </c>
      <c r="O473" s="47">
        <v>0</v>
      </c>
      <c r="P473" s="47">
        <v>0</v>
      </c>
      <c r="Q473" s="47">
        <v>0</v>
      </c>
      <c r="R473" s="47">
        <v>0</v>
      </c>
      <c r="S473" s="47">
        <v>0</v>
      </c>
      <c r="T473" s="47">
        <v>0</v>
      </c>
      <c r="U473" s="47">
        <v>0</v>
      </c>
      <c r="V473" s="47">
        <v>0</v>
      </c>
      <c r="W473" s="47">
        <v>0</v>
      </c>
      <c r="X473" s="47">
        <v>0</v>
      </c>
      <c r="Y473" s="47">
        <v>0</v>
      </c>
      <c r="Z473" s="47">
        <v>0</v>
      </c>
      <c r="AA473" s="47">
        <v>0</v>
      </c>
      <c r="AB473" s="47">
        <v>0</v>
      </c>
      <c r="AC473" s="47">
        <v>0</v>
      </c>
      <c r="AD473" s="47">
        <v>0</v>
      </c>
      <c r="AE473" s="47">
        <v>0</v>
      </c>
      <c r="AF473" s="47">
        <v>0</v>
      </c>
      <c r="AG473" s="47">
        <v>0</v>
      </c>
      <c r="AH473" s="47">
        <v>0</v>
      </c>
      <c r="AI473" s="47">
        <v>0</v>
      </c>
      <c r="AJ473" s="47">
        <v>0</v>
      </c>
      <c r="AK473" s="47">
        <v>0</v>
      </c>
      <c r="AL473" s="47">
        <v>0</v>
      </c>
      <c r="AM473" s="47">
        <v>0</v>
      </c>
      <c r="AN473" s="47">
        <v>0</v>
      </c>
      <c r="AO473" s="47">
        <v>0</v>
      </c>
      <c r="AP473" s="47">
        <v>0</v>
      </c>
      <c r="AQ473" s="47">
        <v>0</v>
      </c>
      <c r="AR473" s="47">
        <v>0</v>
      </c>
      <c r="AS473" s="47">
        <v>0</v>
      </c>
      <c r="AT473" s="47">
        <v>0</v>
      </c>
      <c r="AU473" s="47">
        <v>0</v>
      </c>
      <c r="AV473" s="47">
        <v>0</v>
      </c>
      <c r="AW473" s="47">
        <v>0</v>
      </c>
      <c r="AX473" s="47">
        <v>0</v>
      </c>
      <c r="AY473" s="47">
        <v>0</v>
      </c>
      <c r="AZ473" s="47">
        <v>0</v>
      </c>
      <c r="BA473" s="47">
        <v>0</v>
      </c>
      <c r="BB473" s="47">
        <v>0</v>
      </c>
      <c r="BC473" s="47">
        <v>0</v>
      </c>
      <c r="BD473" s="47">
        <v>0</v>
      </c>
      <c r="BE473" s="47">
        <v>0</v>
      </c>
      <c r="BF473" s="47">
        <v>0</v>
      </c>
      <c r="BG473" s="47">
        <v>0</v>
      </c>
      <c r="BH473" s="47">
        <v>0</v>
      </c>
      <c r="BI473" s="47">
        <v>0</v>
      </c>
      <c r="BJ473" s="47">
        <v>0</v>
      </c>
      <c r="BK473" s="47">
        <v>0</v>
      </c>
      <c r="BL473" s="47">
        <v>0</v>
      </c>
      <c r="BM473" s="47">
        <v>0</v>
      </c>
      <c r="BN473" s="47">
        <v>0</v>
      </c>
      <c r="BO473" s="47">
        <v>0</v>
      </c>
      <c r="BP473" s="47">
        <v>0</v>
      </c>
      <c r="BQ473" s="47">
        <v>0</v>
      </c>
      <c r="BR473" s="47">
        <v>0</v>
      </c>
      <c r="BS473" s="47">
        <v>0</v>
      </c>
      <c r="BT473" s="47">
        <v>0</v>
      </c>
      <c r="BU473" s="47">
        <v>0</v>
      </c>
      <c r="BV473" s="47">
        <v>0</v>
      </c>
      <c r="BW473" s="47">
        <v>0</v>
      </c>
      <c r="BX473" s="47">
        <v>0</v>
      </c>
      <c r="BY473" s="47">
        <v>0</v>
      </c>
      <c r="BZ473" s="47">
        <v>0</v>
      </c>
      <c r="CA473" s="47">
        <v>0</v>
      </c>
      <c r="CB473" s="47">
        <v>0</v>
      </c>
      <c r="CC473" s="47">
        <v>0</v>
      </c>
      <c r="CD473" s="47">
        <v>0</v>
      </c>
      <c r="CE473" s="47">
        <v>0</v>
      </c>
      <c r="CF473" s="47">
        <v>0</v>
      </c>
      <c r="CG473" s="47">
        <v>0</v>
      </c>
      <c r="CH473" s="47">
        <v>0</v>
      </c>
      <c r="CI473" s="47">
        <v>0</v>
      </c>
      <c r="CJ473" s="47">
        <v>0</v>
      </c>
      <c r="CK473" s="47">
        <v>0</v>
      </c>
      <c r="CL473" s="47">
        <v>0</v>
      </c>
      <c r="CM473" s="47">
        <v>0</v>
      </c>
      <c r="CN473" s="47">
        <v>0</v>
      </c>
      <c r="CO473" s="47">
        <v>0</v>
      </c>
      <c r="CP473" s="47">
        <v>0</v>
      </c>
      <c r="CQ473" s="47">
        <v>0</v>
      </c>
      <c r="CR473" s="47">
        <v>0</v>
      </c>
      <c r="CS473" s="47">
        <v>0</v>
      </c>
      <c r="CT473" s="47">
        <v>0</v>
      </c>
      <c r="CU473" s="47">
        <v>0</v>
      </c>
      <c r="CV473" s="47">
        <v>0</v>
      </c>
      <c r="CW473" s="47">
        <v>0</v>
      </c>
      <c r="CX473" s="47">
        <v>0</v>
      </c>
      <c r="CY473" s="47">
        <v>0</v>
      </c>
      <c r="CZ473" s="47">
        <v>0</v>
      </c>
      <c r="DA473" s="47">
        <v>0</v>
      </c>
      <c r="DB473" s="47">
        <v>0</v>
      </c>
      <c r="DC473" s="47">
        <v>0</v>
      </c>
      <c r="DD473" s="47">
        <v>0</v>
      </c>
      <c r="DE473" s="47">
        <v>0</v>
      </c>
      <c r="DF473" s="47">
        <v>0</v>
      </c>
      <c r="DG473" s="47">
        <v>0</v>
      </c>
      <c r="DH473" s="47">
        <v>0</v>
      </c>
      <c r="DI473" s="47">
        <v>0</v>
      </c>
      <c r="DJ473" s="47">
        <v>0</v>
      </c>
      <c r="DK473" s="47">
        <v>0</v>
      </c>
      <c r="DL473" s="47">
        <v>0</v>
      </c>
      <c r="DM473" s="47">
        <v>0</v>
      </c>
      <c r="DN473" s="47">
        <v>0</v>
      </c>
      <c r="DO473" s="47">
        <v>0</v>
      </c>
      <c r="DP473" s="47">
        <v>0</v>
      </c>
      <c r="DQ473" s="47">
        <v>0</v>
      </c>
      <c r="DR473" s="47">
        <v>0</v>
      </c>
      <c r="DS473" s="47">
        <v>0</v>
      </c>
      <c r="DT473" s="47">
        <v>0</v>
      </c>
    </row>
    <row r="474" spans="1:126" x14ac:dyDescent="0.25">
      <c r="A474" s="47" t="s">
        <v>2241</v>
      </c>
      <c r="B474" s="47" t="s">
        <v>153</v>
      </c>
      <c r="C474" s="47" t="s">
        <v>2242</v>
      </c>
      <c r="D474" s="47" t="s">
        <v>2243</v>
      </c>
      <c r="E474" s="47" t="s">
        <v>2244</v>
      </c>
      <c r="F474" s="47" t="s">
        <v>698</v>
      </c>
      <c r="G474" s="47" t="s">
        <v>727</v>
      </c>
      <c r="H474" s="47" t="str">
        <f>=IFERROR(VLOOKUP(A474,'ETPT Format DDG'!A:J,10,FALSE),"")</f>
        <v>0</v>
      </c>
      <c r="I474" s="47" t="str">
        <f>='ETPT Format DDG'!M474</f>
        <v/>
      </c>
      <c r="J474" s="47" t="str">
        <f>='ETPT Format DDG'!D474</f>
        <v/>
      </c>
      <c r="K474" s="47" t="s">
        <v>157</v>
      </c>
      <c r="L474" s="47" t="s">
        <v>1414</v>
      </c>
      <c r="M474" s="47"/>
      <c r="N474" s="47">
        <v>1</v>
      </c>
      <c r="O474" s="47">
        <v>1</v>
      </c>
      <c r="P474" s="47">
        <v>0</v>
      </c>
      <c r="Q474" s="47">
        <v>0</v>
      </c>
      <c r="R474" s="47">
        <v>0</v>
      </c>
      <c r="S474" s="47">
        <v>0</v>
      </c>
      <c r="T474" s="47">
        <v>0</v>
      </c>
      <c r="U474" s="47">
        <v>0</v>
      </c>
      <c r="V474" s="47">
        <v>0</v>
      </c>
      <c r="W474" s="47">
        <v>0</v>
      </c>
      <c r="X474" s="47">
        <v>0</v>
      </c>
      <c r="Y474" s="47">
        <v>0</v>
      </c>
      <c r="Z474" s="47">
        <v>0</v>
      </c>
      <c r="AA474" s="47">
        <v>0</v>
      </c>
      <c r="AB474" s="47">
        <v>0</v>
      </c>
      <c r="AC474" s="47">
        <v>0</v>
      </c>
      <c r="AD474" s="47">
        <v>0</v>
      </c>
      <c r="AE474" s="47">
        <v>0</v>
      </c>
      <c r="AF474" s="47">
        <v>0</v>
      </c>
      <c r="AG474" s="47">
        <v>0</v>
      </c>
      <c r="AH474" s="47">
        <v>0</v>
      </c>
      <c r="AI474" s="47">
        <v>0</v>
      </c>
      <c r="AJ474" s="47">
        <v>0</v>
      </c>
      <c r="AK474" s="47">
        <v>0</v>
      </c>
      <c r="AL474" s="47">
        <v>0</v>
      </c>
      <c r="AM474" s="47">
        <v>0</v>
      </c>
      <c r="AN474" s="47">
        <v>0</v>
      </c>
      <c r="AO474" s="47">
        <v>0</v>
      </c>
      <c r="AP474" s="47">
        <v>0</v>
      </c>
      <c r="AQ474" s="47">
        <v>0</v>
      </c>
      <c r="AR474" s="47">
        <v>0</v>
      </c>
      <c r="AS474" s="47">
        <v>0</v>
      </c>
      <c r="AT474" s="47">
        <v>0</v>
      </c>
      <c r="AU474" s="47">
        <v>0</v>
      </c>
      <c r="AV474" s="47">
        <v>0</v>
      </c>
      <c r="AW474" s="47">
        <v>0</v>
      </c>
      <c r="AX474" s="47">
        <v>0</v>
      </c>
      <c r="AY474" s="47">
        <v>0</v>
      </c>
      <c r="AZ474" s="47">
        <v>0</v>
      </c>
      <c r="BA474" s="47">
        <v>0</v>
      </c>
      <c r="BB474" s="47">
        <v>0</v>
      </c>
      <c r="BC474" s="47">
        <v>0</v>
      </c>
      <c r="BD474" s="47">
        <v>0</v>
      </c>
      <c r="BE474" s="47">
        <v>0</v>
      </c>
      <c r="BF474" s="47">
        <v>0</v>
      </c>
      <c r="BG474" s="47">
        <v>0</v>
      </c>
      <c r="BH474" s="47">
        <v>0</v>
      </c>
      <c r="BI474" s="47">
        <v>0</v>
      </c>
      <c r="BJ474" s="47">
        <v>0</v>
      </c>
      <c r="BK474" s="47">
        <v>0</v>
      </c>
      <c r="BL474" s="47">
        <v>0</v>
      </c>
      <c r="BM474" s="47">
        <v>0</v>
      </c>
      <c r="BN474" s="47">
        <v>0</v>
      </c>
      <c r="BO474" s="47">
        <v>1</v>
      </c>
      <c r="BP474" s="47">
        <v>0</v>
      </c>
      <c r="BQ474" s="47">
        <v>0</v>
      </c>
      <c r="BR474" s="47">
        <v>0</v>
      </c>
      <c r="BS474" s="47">
        <v>0</v>
      </c>
      <c r="BT474" s="47">
        <v>0</v>
      </c>
      <c r="BU474" s="47">
        <v>0</v>
      </c>
      <c r="BV474" s="47">
        <v>0</v>
      </c>
      <c r="BW474" s="47">
        <v>0</v>
      </c>
      <c r="BX474" s="47">
        <v>0</v>
      </c>
      <c r="BY474" s="47">
        <v>0</v>
      </c>
      <c r="BZ474" s="47">
        <v>0</v>
      </c>
      <c r="CA474" s="47">
        <v>0</v>
      </c>
      <c r="CB474" s="47">
        <v>0</v>
      </c>
      <c r="CC474" s="47">
        <v>0</v>
      </c>
      <c r="CD474" s="47">
        <v>0</v>
      </c>
      <c r="CE474" s="47">
        <v>0</v>
      </c>
      <c r="CF474" s="47">
        <v>0</v>
      </c>
      <c r="CG474" s="47">
        <v>0</v>
      </c>
      <c r="CH474" s="47">
        <v>0</v>
      </c>
      <c r="CI474" s="47">
        <v>0</v>
      </c>
      <c r="CJ474" s="47">
        <v>0</v>
      </c>
      <c r="CK474" s="47">
        <v>0</v>
      </c>
      <c r="CL474" s="47">
        <v>0</v>
      </c>
      <c r="CM474" s="47">
        <v>0</v>
      </c>
      <c r="CN474" s="47">
        <v>0</v>
      </c>
      <c r="CO474" s="47">
        <v>0</v>
      </c>
      <c r="CP474" s="47">
        <v>0</v>
      </c>
      <c r="CQ474" s="47">
        <v>0</v>
      </c>
      <c r="CR474" s="47">
        <v>0</v>
      </c>
      <c r="CS474" s="47">
        <v>0</v>
      </c>
      <c r="CT474" s="47">
        <v>0</v>
      </c>
      <c r="CU474" s="47">
        <v>0</v>
      </c>
      <c r="CV474" s="47">
        <v>0</v>
      </c>
      <c r="CW474" s="47">
        <v>0</v>
      </c>
      <c r="CX474" s="47">
        <v>0</v>
      </c>
      <c r="CY474" s="47">
        <v>0</v>
      </c>
      <c r="CZ474" s="47">
        <v>0</v>
      </c>
      <c r="DA474" s="47">
        <v>0</v>
      </c>
      <c r="DB474" s="47">
        <v>0</v>
      </c>
      <c r="DC474" s="47">
        <v>0</v>
      </c>
      <c r="DD474" s="47">
        <v>0</v>
      </c>
      <c r="DE474" s="47">
        <v>0</v>
      </c>
      <c r="DF474" s="47">
        <v>0</v>
      </c>
      <c r="DG474" s="47">
        <v>0</v>
      </c>
      <c r="DH474" s="47">
        <v>0</v>
      </c>
      <c r="DI474" s="47">
        <v>0</v>
      </c>
      <c r="DJ474" s="47">
        <v>0</v>
      </c>
      <c r="DK474" s="47">
        <v>0</v>
      </c>
      <c r="DL474" s="47">
        <v>0</v>
      </c>
      <c r="DM474" s="47">
        <v>0</v>
      </c>
      <c r="DN474" s="47">
        <v>0</v>
      </c>
      <c r="DO474" s="47">
        <v>0</v>
      </c>
      <c r="DP474" s="47">
        <v>0</v>
      </c>
      <c r="DQ474" s="47">
        <v>0</v>
      </c>
      <c r="DR474" s="47">
        <v>0</v>
      </c>
      <c r="DS474" s="47">
        <v>0</v>
      </c>
      <c r="DT474" s="47">
        <v>0</v>
      </c>
    </row>
    <row r="475" spans="1:126" x14ac:dyDescent="0.25">
      <c r="A475" s="47" t="s">
        <v>2245</v>
      </c>
      <c r="B475" s="47" t="s">
        <v>153</v>
      </c>
      <c r="C475" s="47" t="s">
        <v>2246</v>
      </c>
      <c r="D475" s="47" t="s">
        <v>2247</v>
      </c>
      <c r="E475" s="47" t="s">
        <v>2248</v>
      </c>
      <c r="F475" s="47" t="s">
        <v>698</v>
      </c>
      <c r="G475" s="47" t="s">
        <v>705</v>
      </c>
      <c r="H475" s="47" t="str">
        <f>=IFERROR(VLOOKUP(A475,'ETPT Format DDG'!A:J,10,FALSE),"")</f>
        <v>0</v>
      </c>
      <c r="I475" s="47" t="str">
        <f>='ETPT Format DDG'!M475</f>
        <v/>
      </c>
      <c r="J475" s="47" t="str">
        <f>='ETPT Format DDG'!D475</f>
        <v/>
      </c>
      <c r="K475" s="47" t="s">
        <v>157</v>
      </c>
      <c r="L475" s="47" t="s">
        <v>1039</v>
      </c>
      <c r="M475" s="47"/>
      <c r="N475" s="47">
        <v>1</v>
      </c>
      <c r="O475" s="47">
        <v>0</v>
      </c>
      <c r="P475" s="47">
        <v>0</v>
      </c>
      <c r="Q475" s="47">
        <v>0</v>
      </c>
      <c r="R475" s="47">
        <v>0</v>
      </c>
      <c r="S475" s="47">
        <v>0</v>
      </c>
      <c r="T475" s="47">
        <v>0</v>
      </c>
      <c r="U475" s="47">
        <v>0</v>
      </c>
      <c r="V475" s="47">
        <v>0</v>
      </c>
      <c r="W475" s="47">
        <v>0</v>
      </c>
      <c r="X475" s="47">
        <v>0</v>
      </c>
      <c r="Y475" s="47">
        <v>0</v>
      </c>
      <c r="Z475" s="47">
        <v>0</v>
      </c>
      <c r="AA475" s="47">
        <v>0</v>
      </c>
      <c r="AB475" s="47">
        <v>0</v>
      </c>
      <c r="AC475" s="47">
        <v>0</v>
      </c>
      <c r="AD475" s="47">
        <v>0</v>
      </c>
      <c r="AE475" s="47">
        <v>0</v>
      </c>
      <c r="AF475" s="47">
        <v>0</v>
      </c>
      <c r="AG475" s="47">
        <v>0</v>
      </c>
      <c r="AH475" s="47">
        <v>0</v>
      </c>
      <c r="AI475" s="47">
        <v>0</v>
      </c>
      <c r="AJ475" s="47">
        <v>0</v>
      </c>
      <c r="AK475" s="47">
        <v>0</v>
      </c>
      <c r="AL475" s="47">
        <v>0</v>
      </c>
      <c r="AM475" s="47">
        <v>0</v>
      </c>
      <c r="AN475" s="47">
        <v>0</v>
      </c>
      <c r="AO475" s="47">
        <v>0</v>
      </c>
      <c r="AP475" s="47">
        <v>0</v>
      </c>
      <c r="AQ475" s="47">
        <v>0</v>
      </c>
      <c r="AR475" s="47">
        <v>0</v>
      </c>
      <c r="AS475" s="47">
        <v>0</v>
      </c>
      <c r="AT475" s="47">
        <v>0</v>
      </c>
      <c r="AU475" s="47">
        <v>0</v>
      </c>
      <c r="AV475" s="47">
        <v>0</v>
      </c>
      <c r="AW475" s="47">
        <v>0</v>
      </c>
      <c r="AX475" s="47">
        <v>0</v>
      </c>
      <c r="AY475" s="47">
        <v>0</v>
      </c>
      <c r="AZ475" s="47">
        <v>0</v>
      </c>
      <c r="BA475" s="47">
        <v>0</v>
      </c>
      <c r="BB475" s="47">
        <v>0</v>
      </c>
      <c r="BC475" s="47">
        <v>0</v>
      </c>
      <c r="BD475" s="47">
        <v>0</v>
      </c>
      <c r="BE475" s="47">
        <v>0</v>
      </c>
      <c r="BF475" s="47">
        <v>0</v>
      </c>
      <c r="BG475" s="47">
        <v>0</v>
      </c>
      <c r="BH475" s="47">
        <v>0</v>
      </c>
      <c r="BI475" s="47">
        <v>0</v>
      </c>
      <c r="BJ475" s="47">
        <v>0</v>
      </c>
      <c r="BK475" s="47">
        <v>0</v>
      </c>
      <c r="BL475" s="47">
        <v>0</v>
      </c>
      <c r="BM475" s="47">
        <v>0</v>
      </c>
      <c r="BN475" s="47">
        <v>0</v>
      </c>
      <c r="BO475" s="47">
        <v>0</v>
      </c>
      <c r="BP475" s="47">
        <v>0</v>
      </c>
      <c r="BQ475" s="47">
        <v>0</v>
      </c>
      <c r="BR475" s="47">
        <v>0</v>
      </c>
      <c r="BS475" s="47">
        <v>0</v>
      </c>
      <c r="BT475" s="47">
        <v>0</v>
      </c>
      <c r="BU475" s="47">
        <v>0</v>
      </c>
      <c r="BV475" s="47">
        <v>0</v>
      </c>
      <c r="BW475" s="47">
        <v>0</v>
      </c>
      <c r="BX475" s="47">
        <v>0</v>
      </c>
      <c r="BY475" s="47">
        <v>0</v>
      </c>
      <c r="BZ475" s="47">
        <v>0</v>
      </c>
      <c r="CA475" s="47">
        <v>0</v>
      </c>
      <c r="CB475" s="47">
        <v>0</v>
      </c>
      <c r="CC475" s="47">
        <v>0</v>
      </c>
      <c r="CD475" s="47">
        <v>0</v>
      </c>
      <c r="CE475" s="47">
        <v>0</v>
      </c>
      <c r="CF475" s="47">
        <v>0</v>
      </c>
      <c r="CG475" s="47">
        <v>0</v>
      </c>
      <c r="CH475" s="47">
        <v>0</v>
      </c>
      <c r="CI475" s="47">
        <v>0</v>
      </c>
      <c r="CJ475" s="47">
        <v>0</v>
      </c>
      <c r="CK475" s="47">
        <v>0</v>
      </c>
      <c r="CL475" s="47">
        <v>0</v>
      </c>
      <c r="CM475" s="47">
        <v>0</v>
      </c>
      <c r="CN475" s="47">
        <v>0</v>
      </c>
      <c r="CO475" s="47">
        <v>0</v>
      </c>
      <c r="CP475" s="47">
        <v>0</v>
      </c>
      <c r="CQ475" s="47">
        <v>0</v>
      </c>
      <c r="CR475" s="47">
        <v>0</v>
      </c>
      <c r="CS475" s="47">
        <v>0</v>
      </c>
      <c r="CT475" s="47">
        <v>0</v>
      </c>
      <c r="CU475" s="47">
        <v>0</v>
      </c>
      <c r="CV475" s="47">
        <v>0</v>
      </c>
      <c r="CW475" s="47">
        <v>0</v>
      </c>
      <c r="CX475" s="47">
        <v>0</v>
      </c>
      <c r="CY475" s="47">
        <v>0</v>
      </c>
      <c r="CZ475" s="47">
        <v>0</v>
      </c>
      <c r="DA475" s="47">
        <v>0</v>
      </c>
      <c r="DB475" s="47">
        <v>0</v>
      </c>
      <c r="DC475" s="47">
        <v>0</v>
      </c>
      <c r="DD475" s="47">
        <v>0</v>
      </c>
      <c r="DE475" s="47">
        <v>0</v>
      </c>
      <c r="DF475" s="47">
        <v>0</v>
      </c>
      <c r="DG475" s="47">
        <v>0</v>
      </c>
      <c r="DH475" s="47">
        <v>0</v>
      </c>
      <c r="DI475" s="47">
        <v>0</v>
      </c>
      <c r="DJ475" s="47">
        <v>0</v>
      </c>
      <c r="DK475" s="47">
        <v>0</v>
      </c>
      <c r="DL475" s="47">
        <v>0</v>
      </c>
      <c r="DM475" s="47">
        <v>0</v>
      </c>
      <c r="DN475" s="47">
        <v>0</v>
      </c>
      <c r="DO475" s="47">
        <v>0</v>
      </c>
      <c r="DP475" s="47">
        <v>0</v>
      </c>
      <c r="DQ475" s="47">
        <v>0</v>
      </c>
      <c r="DR475" s="47">
        <v>0</v>
      </c>
      <c r="DS475" s="47">
        <v>0</v>
      </c>
      <c r="DT475" s="47">
        <v>0</v>
      </c>
    </row>
    <row r="476" spans="1:126" x14ac:dyDescent="0.25">
      <c r="A476" s="47" t="s">
        <v>2249</v>
      </c>
      <c r="B476" s="47" t="s">
        <v>153</v>
      </c>
      <c r="C476" s="47" t="s">
        <v>2250</v>
      </c>
      <c r="D476" s="47" t="s">
        <v>2251</v>
      </c>
      <c r="E476" s="47" t="s">
        <v>2252</v>
      </c>
      <c r="F476" s="47" t="s">
        <v>698</v>
      </c>
      <c r="G476" s="47" t="s">
        <v>705</v>
      </c>
      <c r="H476" s="47" t="str">
        <f>=IFERROR(VLOOKUP(A476,'ETPT Format DDG'!A:J,10,FALSE),"")</f>
        <v>0</v>
      </c>
      <c r="I476" s="47" t="str">
        <f>='ETPT Format DDG'!M476</f>
        <v/>
      </c>
      <c r="J476" s="47" t="str">
        <f>='ETPT Format DDG'!D476</f>
        <v/>
      </c>
      <c r="K476" s="47" t="s">
        <v>157</v>
      </c>
      <c r="L476" s="47" t="s">
        <v>2253</v>
      </c>
      <c r="M476" s="47"/>
      <c r="N476" s="47">
        <v>0.9</v>
      </c>
      <c r="O476" s="47">
        <v>0</v>
      </c>
      <c r="P476" s="47">
        <v>0</v>
      </c>
      <c r="Q476" s="47">
        <v>0</v>
      </c>
      <c r="R476" s="47">
        <v>0</v>
      </c>
      <c r="S476" s="47">
        <v>0</v>
      </c>
      <c r="T476" s="47">
        <v>0</v>
      </c>
      <c r="U476" s="47">
        <v>0</v>
      </c>
      <c r="V476" s="47">
        <v>0</v>
      </c>
      <c r="W476" s="47">
        <v>0</v>
      </c>
      <c r="X476" s="47">
        <v>0</v>
      </c>
      <c r="Y476" s="47">
        <v>0</v>
      </c>
      <c r="Z476" s="47">
        <v>0</v>
      </c>
      <c r="AA476" s="47">
        <v>0</v>
      </c>
      <c r="AB476" s="47">
        <v>0</v>
      </c>
      <c r="AC476" s="47">
        <v>0</v>
      </c>
      <c r="AD476" s="47">
        <v>0</v>
      </c>
      <c r="AE476" s="47">
        <v>0</v>
      </c>
      <c r="AF476" s="47">
        <v>0</v>
      </c>
      <c r="AG476" s="47">
        <v>0</v>
      </c>
      <c r="AH476" s="47">
        <v>0</v>
      </c>
      <c r="AI476" s="47">
        <v>0</v>
      </c>
      <c r="AJ476" s="47">
        <v>0</v>
      </c>
      <c r="AK476" s="47">
        <v>0</v>
      </c>
      <c r="AL476" s="47">
        <v>0</v>
      </c>
      <c r="AM476" s="47">
        <v>0</v>
      </c>
      <c r="AN476" s="47">
        <v>0</v>
      </c>
      <c r="AO476" s="47">
        <v>0</v>
      </c>
      <c r="AP476" s="47">
        <v>0</v>
      </c>
      <c r="AQ476" s="47">
        <v>0</v>
      </c>
      <c r="AR476" s="47">
        <v>0</v>
      </c>
      <c r="AS476" s="47">
        <v>0</v>
      </c>
      <c r="AT476" s="47">
        <v>0</v>
      </c>
      <c r="AU476" s="47">
        <v>0</v>
      </c>
      <c r="AV476" s="47">
        <v>0</v>
      </c>
      <c r="AW476" s="47">
        <v>0</v>
      </c>
      <c r="AX476" s="47">
        <v>0</v>
      </c>
      <c r="AY476" s="47">
        <v>0</v>
      </c>
      <c r="AZ476" s="47">
        <v>0</v>
      </c>
      <c r="BA476" s="47">
        <v>0</v>
      </c>
      <c r="BB476" s="47">
        <v>0</v>
      </c>
      <c r="BC476" s="47">
        <v>0</v>
      </c>
      <c r="BD476" s="47">
        <v>0</v>
      </c>
      <c r="BE476" s="47">
        <v>0</v>
      </c>
      <c r="BF476" s="47">
        <v>0</v>
      </c>
      <c r="BG476" s="47">
        <v>0</v>
      </c>
      <c r="BH476" s="47">
        <v>0</v>
      </c>
      <c r="BI476" s="47">
        <v>0</v>
      </c>
      <c r="BJ476" s="47">
        <v>0</v>
      </c>
      <c r="BK476" s="47">
        <v>0</v>
      </c>
      <c r="BL476" s="47">
        <v>0</v>
      </c>
      <c r="BM476" s="47">
        <v>0</v>
      </c>
      <c r="BN476" s="47">
        <v>0</v>
      </c>
      <c r="BO476" s="47">
        <v>0</v>
      </c>
      <c r="BP476" s="47">
        <v>0</v>
      </c>
      <c r="BQ476" s="47">
        <v>0</v>
      </c>
      <c r="BR476" s="47">
        <v>0</v>
      </c>
      <c r="BS476" s="47">
        <v>0</v>
      </c>
      <c r="BT476" s="47">
        <v>0</v>
      </c>
      <c r="BU476" s="47">
        <v>0</v>
      </c>
      <c r="BV476" s="47">
        <v>0</v>
      </c>
      <c r="BW476" s="47">
        <v>0</v>
      </c>
      <c r="BX476" s="47">
        <v>0</v>
      </c>
      <c r="BY476" s="47">
        <v>0</v>
      </c>
      <c r="BZ476" s="47">
        <v>0</v>
      </c>
      <c r="CA476" s="47">
        <v>0</v>
      </c>
      <c r="CB476" s="47">
        <v>0</v>
      </c>
      <c r="CC476" s="47">
        <v>0</v>
      </c>
      <c r="CD476" s="47">
        <v>0</v>
      </c>
      <c r="CE476" s="47">
        <v>0</v>
      </c>
      <c r="CF476" s="47">
        <v>0</v>
      </c>
      <c r="CG476" s="47">
        <v>0</v>
      </c>
      <c r="CH476" s="47">
        <v>0</v>
      </c>
      <c r="CI476" s="47">
        <v>0</v>
      </c>
      <c r="CJ476" s="47">
        <v>0</v>
      </c>
      <c r="CK476" s="47">
        <v>0</v>
      </c>
      <c r="CL476" s="47">
        <v>0</v>
      </c>
      <c r="CM476" s="47">
        <v>0</v>
      </c>
      <c r="CN476" s="47">
        <v>0</v>
      </c>
      <c r="CO476" s="47">
        <v>0</v>
      </c>
      <c r="CP476" s="47">
        <v>0</v>
      </c>
      <c r="CQ476" s="47">
        <v>0</v>
      </c>
      <c r="CR476" s="47">
        <v>0</v>
      </c>
      <c r="CS476" s="47">
        <v>0</v>
      </c>
      <c r="CT476" s="47">
        <v>0</v>
      </c>
      <c r="CU476" s="47">
        <v>0</v>
      </c>
      <c r="CV476" s="47">
        <v>0</v>
      </c>
      <c r="CW476" s="47">
        <v>0</v>
      </c>
      <c r="CX476" s="47">
        <v>0</v>
      </c>
      <c r="CY476" s="47">
        <v>0</v>
      </c>
      <c r="CZ476" s="47">
        <v>0</v>
      </c>
      <c r="DA476" s="47">
        <v>0</v>
      </c>
      <c r="DB476" s="47">
        <v>0</v>
      </c>
      <c r="DC476" s="47">
        <v>0</v>
      </c>
      <c r="DD476" s="47">
        <v>0</v>
      </c>
      <c r="DE476" s="47">
        <v>0</v>
      </c>
      <c r="DF476" s="47">
        <v>0</v>
      </c>
      <c r="DG476" s="47">
        <v>0</v>
      </c>
      <c r="DH476" s="47">
        <v>0</v>
      </c>
      <c r="DI476" s="47">
        <v>0</v>
      </c>
      <c r="DJ476" s="47">
        <v>0</v>
      </c>
      <c r="DK476" s="47">
        <v>0</v>
      </c>
      <c r="DL476" s="47">
        <v>0</v>
      </c>
      <c r="DM476" s="47">
        <v>0</v>
      </c>
      <c r="DN476" s="47">
        <v>0</v>
      </c>
      <c r="DO476" s="47">
        <v>0</v>
      </c>
      <c r="DP476" s="47">
        <v>0</v>
      </c>
      <c r="DQ476" s="47">
        <v>0</v>
      </c>
      <c r="DR476" s="47">
        <v>0</v>
      </c>
      <c r="DS476" s="47">
        <v>0</v>
      </c>
      <c r="DT476" s="47">
        <v>0</v>
      </c>
    </row>
    <row r="477" spans="1:126" x14ac:dyDescent="0.25">
      <c r="A477" s="47" t="s">
        <v>2254</v>
      </c>
      <c r="B477" s="47" t="s">
        <v>153</v>
      </c>
      <c r="C477" s="47" t="s">
        <v>2255</v>
      </c>
      <c r="D477" s="47" t="s">
        <v>2256</v>
      </c>
      <c r="E477" s="47" t="s">
        <v>2257</v>
      </c>
      <c r="F477" s="47" t="s">
        <v>698</v>
      </c>
      <c r="G477" s="47" t="s">
        <v>727</v>
      </c>
      <c r="H477" s="47" t="str">
        <f>=IFERROR(VLOOKUP(A477,'ETPT Format DDG'!A:J,10,FALSE),"")</f>
        <v>0</v>
      </c>
      <c r="I477" s="47" t="str">
        <f>='ETPT Format DDG'!M477</f>
        <v/>
      </c>
      <c r="J477" s="47" t="str">
        <f>='ETPT Format DDG'!D477</f>
        <v/>
      </c>
      <c r="K477" s="47" t="s">
        <v>157</v>
      </c>
      <c r="L477" s="47" t="s">
        <v>942</v>
      </c>
      <c r="M477" s="47"/>
      <c r="N477" s="47">
        <v>0.8</v>
      </c>
      <c r="O477" s="47">
        <v>0</v>
      </c>
      <c r="P477" s="47">
        <v>0</v>
      </c>
      <c r="Q477" s="47">
        <v>0</v>
      </c>
      <c r="R477" s="47">
        <v>0</v>
      </c>
      <c r="S477" s="47">
        <v>0</v>
      </c>
      <c r="T477" s="47">
        <v>0</v>
      </c>
      <c r="U477" s="47">
        <v>0</v>
      </c>
      <c r="V477" s="47">
        <v>0</v>
      </c>
      <c r="W477" s="47">
        <v>0</v>
      </c>
      <c r="X477" s="47">
        <v>0</v>
      </c>
      <c r="Y477" s="47">
        <v>0</v>
      </c>
      <c r="Z477" s="47">
        <v>0</v>
      </c>
      <c r="AA477" s="47">
        <v>0</v>
      </c>
      <c r="AB477" s="47">
        <v>0</v>
      </c>
      <c r="AC477" s="47">
        <v>0</v>
      </c>
      <c r="AD477" s="47">
        <v>0</v>
      </c>
      <c r="AE477" s="47">
        <v>0</v>
      </c>
      <c r="AF477" s="47">
        <v>0</v>
      </c>
      <c r="AG477" s="47">
        <v>0</v>
      </c>
      <c r="AH477" s="47">
        <v>0</v>
      </c>
      <c r="AI477" s="47">
        <v>0</v>
      </c>
      <c r="AJ477" s="47">
        <v>0</v>
      </c>
      <c r="AK477" s="47">
        <v>0</v>
      </c>
      <c r="AL477" s="47">
        <v>0</v>
      </c>
      <c r="AM477" s="47">
        <v>0</v>
      </c>
      <c r="AN477" s="47">
        <v>0</v>
      </c>
      <c r="AO477" s="47">
        <v>0</v>
      </c>
      <c r="AP477" s="47">
        <v>0</v>
      </c>
      <c r="AQ477" s="47">
        <v>0</v>
      </c>
      <c r="AR477" s="47">
        <v>0</v>
      </c>
      <c r="AS477" s="47">
        <v>0</v>
      </c>
      <c r="AT477" s="47">
        <v>0</v>
      </c>
      <c r="AU477" s="47">
        <v>0</v>
      </c>
      <c r="AV477" s="47">
        <v>0</v>
      </c>
      <c r="AW477" s="47">
        <v>0</v>
      </c>
      <c r="AX477" s="47">
        <v>0</v>
      </c>
      <c r="AY477" s="47">
        <v>0</v>
      </c>
      <c r="AZ477" s="47">
        <v>0</v>
      </c>
      <c r="BA477" s="47">
        <v>0</v>
      </c>
      <c r="BB477" s="47">
        <v>0</v>
      </c>
      <c r="BC477" s="47">
        <v>0</v>
      </c>
      <c r="BD477" s="47">
        <v>0</v>
      </c>
      <c r="BE477" s="47">
        <v>0</v>
      </c>
      <c r="BF477" s="47">
        <v>0</v>
      </c>
      <c r="BG477" s="47">
        <v>0</v>
      </c>
      <c r="BH477" s="47">
        <v>0</v>
      </c>
      <c r="BI477" s="47">
        <v>0</v>
      </c>
      <c r="BJ477" s="47">
        <v>0</v>
      </c>
      <c r="BK477" s="47">
        <v>0</v>
      </c>
      <c r="BL477" s="47">
        <v>0</v>
      </c>
      <c r="BM477" s="47">
        <v>0</v>
      </c>
      <c r="BN477" s="47">
        <v>0</v>
      </c>
      <c r="BO477" s="47">
        <v>0</v>
      </c>
      <c r="BP477" s="47">
        <v>0</v>
      </c>
      <c r="BQ477" s="47">
        <v>0</v>
      </c>
      <c r="BR477" s="47">
        <v>0</v>
      </c>
      <c r="BS477" s="47">
        <v>0</v>
      </c>
      <c r="BT477" s="47">
        <v>0</v>
      </c>
      <c r="BU477" s="47">
        <v>0</v>
      </c>
      <c r="BV477" s="47">
        <v>0</v>
      </c>
      <c r="BW477" s="47">
        <v>0</v>
      </c>
      <c r="BX477" s="47">
        <v>0</v>
      </c>
      <c r="BY477" s="47">
        <v>0</v>
      </c>
      <c r="BZ477" s="47">
        <v>0</v>
      </c>
      <c r="CA477" s="47">
        <v>0</v>
      </c>
      <c r="CB477" s="47">
        <v>0</v>
      </c>
      <c r="CC477" s="47">
        <v>0</v>
      </c>
      <c r="CD477" s="47">
        <v>0</v>
      </c>
      <c r="CE477" s="47">
        <v>0</v>
      </c>
      <c r="CF477" s="47">
        <v>0</v>
      </c>
      <c r="CG477" s="47">
        <v>0</v>
      </c>
      <c r="CH477" s="47">
        <v>0</v>
      </c>
      <c r="CI477" s="47">
        <v>0</v>
      </c>
      <c r="CJ477" s="47">
        <v>0</v>
      </c>
      <c r="CK477" s="47">
        <v>0</v>
      </c>
      <c r="CL477" s="47">
        <v>0</v>
      </c>
      <c r="CM477" s="47">
        <v>0</v>
      </c>
      <c r="CN477" s="47">
        <v>0</v>
      </c>
      <c r="CO477" s="47">
        <v>0</v>
      </c>
      <c r="CP477" s="47">
        <v>0</v>
      </c>
      <c r="CQ477" s="47">
        <v>0</v>
      </c>
      <c r="CR477" s="47">
        <v>0</v>
      </c>
      <c r="CS477" s="47">
        <v>0</v>
      </c>
      <c r="CT477" s="47">
        <v>0</v>
      </c>
      <c r="CU477" s="47">
        <v>0</v>
      </c>
      <c r="CV477" s="47">
        <v>0</v>
      </c>
      <c r="CW477" s="47">
        <v>0</v>
      </c>
      <c r="CX477" s="47">
        <v>0</v>
      </c>
      <c r="CY477" s="47">
        <v>0</v>
      </c>
      <c r="CZ477" s="47">
        <v>0</v>
      </c>
      <c r="DA477" s="47">
        <v>0</v>
      </c>
      <c r="DB477" s="47">
        <v>0</v>
      </c>
      <c r="DC477" s="47">
        <v>0</v>
      </c>
      <c r="DD477" s="47">
        <v>0</v>
      </c>
      <c r="DE477" s="47">
        <v>0</v>
      </c>
      <c r="DF477" s="47">
        <v>0</v>
      </c>
      <c r="DG477" s="47">
        <v>0</v>
      </c>
      <c r="DH477" s="47">
        <v>0</v>
      </c>
      <c r="DI477" s="47">
        <v>0</v>
      </c>
      <c r="DJ477" s="47">
        <v>0</v>
      </c>
      <c r="DK477" s="47">
        <v>0</v>
      </c>
      <c r="DL477" s="47">
        <v>0</v>
      </c>
      <c r="DM477" s="47">
        <v>0</v>
      </c>
      <c r="DN477" s="47">
        <v>0</v>
      </c>
      <c r="DO477" s="47">
        <v>0</v>
      </c>
      <c r="DP477" s="47">
        <v>0</v>
      </c>
      <c r="DQ477" s="47">
        <v>0</v>
      </c>
      <c r="DR477" s="47">
        <v>0</v>
      </c>
      <c r="DS477" s="47">
        <v>0</v>
      </c>
      <c r="DT477" s="47">
        <v>0</v>
      </c>
    </row>
    <row r="478" spans="1:126" x14ac:dyDescent="0.25">
      <c r="A478" s="47" t="s">
        <v>2258</v>
      </c>
      <c r="B478" s="47" t="s">
        <v>153</v>
      </c>
      <c r="C478" s="47" t="s">
        <v>2259</v>
      </c>
      <c r="D478" s="47" t="s">
        <v>2260</v>
      </c>
      <c r="E478" s="47" t="s">
        <v>2261</v>
      </c>
      <c r="F478" s="47" t="s">
        <v>698</v>
      </c>
      <c r="G478" s="47" t="s">
        <v>727</v>
      </c>
      <c r="H478" s="47" t="str">
        <f>=IFERROR(VLOOKUP(A478,'ETPT Format DDG'!A:J,10,FALSE),"")</f>
        <v>0</v>
      </c>
      <c r="I478" s="47" t="str">
        <f>='ETPT Format DDG'!M478</f>
        <v/>
      </c>
      <c r="J478" s="47" t="str">
        <f>='ETPT Format DDG'!D478</f>
        <v/>
      </c>
      <c r="K478" s="47" t="s">
        <v>157</v>
      </c>
      <c r="L478" s="47" t="s">
        <v>763</v>
      </c>
      <c r="M478" s="47"/>
      <c r="N478" s="47">
        <v>0.8</v>
      </c>
      <c r="O478" s="47">
        <v>0.8</v>
      </c>
      <c r="P478" s="47">
        <v>0</v>
      </c>
      <c r="Q478" s="47">
        <v>0</v>
      </c>
      <c r="R478" s="47">
        <v>0</v>
      </c>
      <c r="S478" s="47">
        <v>0</v>
      </c>
      <c r="T478" s="47">
        <v>0</v>
      </c>
      <c r="U478" s="47">
        <v>0</v>
      </c>
      <c r="V478" s="47">
        <v>0</v>
      </c>
      <c r="W478" s="47">
        <v>0</v>
      </c>
      <c r="X478" s="47">
        <v>0</v>
      </c>
      <c r="Y478" s="47">
        <v>0</v>
      </c>
      <c r="Z478" s="47">
        <v>0</v>
      </c>
      <c r="AA478" s="47">
        <v>0</v>
      </c>
      <c r="AB478" s="47">
        <v>0</v>
      </c>
      <c r="AC478" s="47">
        <v>0</v>
      </c>
      <c r="AD478" s="47">
        <v>0</v>
      </c>
      <c r="AE478" s="47">
        <v>0</v>
      </c>
      <c r="AF478" s="47">
        <v>0</v>
      </c>
      <c r="AG478" s="47">
        <v>0</v>
      </c>
      <c r="AH478" s="47">
        <v>0</v>
      </c>
      <c r="AI478" s="47">
        <v>0</v>
      </c>
      <c r="AJ478" s="47">
        <v>0</v>
      </c>
      <c r="AK478" s="47">
        <v>0</v>
      </c>
      <c r="AL478" s="47">
        <v>0</v>
      </c>
      <c r="AM478" s="47">
        <v>0</v>
      </c>
      <c r="AN478" s="47">
        <v>0</v>
      </c>
      <c r="AO478" s="47">
        <v>0</v>
      </c>
      <c r="AP478" s="47">
        <v>0</v>
      </c>
      <c r="AQ478" s="47">
        <v>0</v>
      </c>
      <c r="AR478" s="47">
        <v>0</v>
      </c>
      <c r="AS478" s="47">
        <v>0</v>
      </c>
      <c r="AT478" s="47">
        <v>0</v>
      </c>
      <c r="AU478" s="47">
        <v>0</v>
      </c>
      <c r="AV478" s="47">
        <v>0</v>
      </c>
      <c r="AW478" s="47">
        <v>0</v>
      </c>
      <c r="AX478" s="47">
        <v>0</v>
      </c>
      <c r="AY478" s="47">
        <v>0</v>
      </c>
      <c r="AZ478" s="47">
        <v>0</v>
      </c>
      <c r="BA478" s="47">
        <v>0</v>
      </c>
      <c r="BB478" s="47">
        <v>0</v>
      </c>
      <c r="BC478" s="47">
        <v>0</v>
      </c>
      <c r="BD478" s="47">
        <v>0</v>
      </c>
      <c r="BE478" s="47">
        <v>0</v>
      </c>
      <c r="BF478" s="47">
        <v>0</v>
      </c>
      <c r="BG478" s="47">
        <v>0</v>
      </c>
      <c r="BH478" s="47">
        <v>0.8</v>
      </c>
      <c r="BI478" s="47">
        <v>0</v>
      </c>
      <c r="BJ478" s="47">
        <v>0</v>
      </c>
      <c r="BK478" s="47">
        <v>0</v>
      </c>
      <c r="BL478" s="47">
        <v>0</v>
      </c>
      <c r="BM478" s="47">
        <v>0</v>
      </c>
      <c r="BN478" s="47">
        <v>0</v>
      </c>
      <c r="BO478" s="47">
        <v>0</v>
      </c>
      <c r="BP478" s="47">
        <v>0</v>
      </c>
      <c r="BQ478" s="47">
        <v>0</v>
      </c>
      <c r="BR478" s="47">
        <v>0</v>
      </c>
      <c r="BS478" s="47">
        <v>0</v>
      </c>
      <c r="BT478" s="47">
        <v>0</v>
      </c>
      <c r="BU478" s="47">
        <v>0</v>
      </c>
      <c r="BV478" s="47">
        <v>0</v>
      </c>
      <c r="BW478" s="47">
        <v>0</v>
      </c>
      <c r="BX478" s="47">
        <v>0</v>
      </c>
      <c r="BY478" s="47">
        <v>0</v>
      </c>
      <c r="BZ478" s="47">
        <v>0</v>
      </c>
      <c r="CA478" s="47">
        <v>0</v>
      </c>
      <c r="CB478" s="47">
        <v>0</v>
      </c>
      <c r="CC478" s="47">
        <v>0</v>
      </c>
      <c r="CD478" s="47">
        <v>0</v>
      </c>
      <c r="CE478" s="47">
        <v>0</v>
      </c>
      <c r="CF478" s="47">
        <v>0</v>
      </c>
      <c r="CG478" s="47">
        <v>0</v>
      </c>
      <c r="CH478" s="47">
        <v>0</v>
      </c>
      <c r="CI478" s="47">
        <v>0</v>
      </c>
      <c r="CJ478" s="47">
        <v>0</v>
      </c>
      <c r="CK478" s="47">
        <v>0</v>
      </c>
      <c r="CL478" s="47">
        <v>0</v>
      </c>
      <c r="CM478" s="47">
        <v>0</v>
      </c>
      <c r="CN478" s="47">
        <v>0</v>
      </c>
      <c r="CO478" s="47">
        <v>0</v>
      </c>
      <c r="CP478" s="47">
        <v>0</v>
      </c>
      <c r="CQ478" s="47">
        <v>0</v>
      </c>
      <c r="CR478" s="47">
        <v>0</v>
      </c>
      <c r="CS478" s="47">
        <v>0</v>
      </c>
      <c r="CT478" s="47">
        <v>0</v>
      </c>
      <c r="CU478" s="47">
        <v>0</v>
      </c>
      <c r="CV478" s="47">
        <v>0</v>
      </c>
      <c r="CW478" s="47">
        <v>0</v>
      </c>
      <c r="CX478" s="47">
        <v>0</v>
      </c>
      <c r="CY478" s="47">
        <v>0</v>
      </c>
      <c r="CZ478" s="47">
        <v>0</v>
      </c>
      <c r="DA478" s="47">
        <v>0</v>
      </c>
      <c r="DB478" s="47">
        <v>0</v>
      </c>
      <c r="DC478" s="47">
        <v>0</v>
      </c>
      <c r="DD478" s="47">
        <v>0</v>
      </c>
      <c r="DE478" s="47">
        <v>0</v>
      </c>
      <c r="DF478" s="47">
        <v>0</v>
      </c>
      <c r="DG478" s="47">
        <v>0</v>
      </c>
      <c r="DH478" s="47">
        <v>0</v>
      </c>
      <c r="DI478" s="47">
        <v>0</v>
      </c>
      <c r="DJ478" s="47">
        <v>0</v>
      </c>
      <c r="DK478" s="47">
        <v>0</v>
      </c>
      <c r="DL478" s="47">
        <v>0</v>
      </c>
      <c r="DM478" s="47">
        <v>0</v>
      </c>
      <c r="DN478" s="47">
        <v>0</v>
      </c>
      <c r="DO478" s="47">
        <v>0</v>
      </c>
      <c r="DP478" s="47">
        <v>0</v>
      </c>
      <c r="DQ478" s="47">
        <v>0</v>
      </c>
      <c r="DR478" s="47">
        <v>0</v>
      </c>
      <c r="DS478" s="47">
        <v>0</v>
      </c>
      <c r="DT478" s="47">
        <v>0</v>
      </c>
    </row>
    <row r="479" spans="1:126" x14ac:dyDescent="0.25">
      <c r="A479" s="47" t="s">
        <v>2262</v>
      </c>
      <c r="B479" s="47" t="s">
        <v>153</v>
      </c>
      <c r="C479" s="47" t="s">
        <v>2263</v>
      </c>
      <c r="D479" s="47" t="s">
        <v>2264</v>
      </c>
      <c r="E479" s="47" t="s">
        <v>2265</v>
      </c>
      <c r="F479" s="47" t="s">
        <v>698</v>
      </c>
      <c r="G479" s="47" t="s">
        <v>705</v>
      </c>
      <c r="H479" s="47" t="str">
        <f>=IFERROR(VLOOKUP(A479,'ETPT Format DDG'!A:J,10,FALSE),"")</f>
        <v>0</v>
      </c>
      <c r="I479" s="47" t="str">
        <f>='ETPT Format DDG'!M479</f>
        <v/>
      </c>
      <c r="J479" s="47" t="str">
        <f>='ETPT Format DDG'!D479</f>
        <v/>
      </c>
      <c r="K479" s="47" t="s">
        <v>157</v>
      </c>
      <c r="L479" s="47" t="s">
        <v>1118</v>
      </c>
      <c r="M479" s="47"/>
      <c r="N479" s="47">
        <v>0.8</v>
      </c>
      <c r="O479" s="47">
        <v>0</v>
      </c>
      <c r="P479" s="47">
        <v>0</v>
      </c>
      <c r="Q479" s="47">
        <v>0</v>
      </c>
      <c r="R479" s="47">
        <v>0</v>
      </c>
      <c r="S479" s="47">
        <v>0</v>
      </c>
      <c r="T479" s="47">
        <v>0</v>
      </c>
      <c r="U479" s="47">
        <v>0</v>
      </c>
      <c r="V479" s="47">
        <v>0</v>
      </c>
      <c r="W479" s="47">
        <v>0</v>
      </c>
      <c r="X479" s="47">
        <v>0</v>
      </c>
      <c r="Y479" s="47">
        <v>0</v>
      </c>
      <c r="Z479" s="47">
        <v>0</v>
      </c>
      <c r="AA479" s="47">
        <v>0</v>
      </c>
      <c r="AB479" s="47">
        <v>0</v>
      </c>
      <c r="AC479" s="47">
        <v>0</v>
      </c>
      <c r="AD479" s="47">
        <v>0</v>
      </c>
      <c r="AE479" s="47">
        <v>0</v>
      </c>
      <c r="AF479" s="47">
        <v>0</v>
      </c>
      <c r="AG479" s="47">
        <v>0</v>
      </c>
      <c r="AH479" s="47">
        <v>0</v>
      </c>
      <c r="AI479" s="47">
        <v>0</v>
      </c>
      <c r="AJ479" s="47">
        <v>0</v>
      </c>
      <c r="AK479" s="47">
        <v>0</v>
      </c>
      <c r="AL479" s="47">
        <v>0</v>
      </c>
      <c r="AM479" s="47">
        <v>0</v>
      </c>
      <c r="AN479" s="47">
        <v>0</v>
      </c>
      <c r="AO479" s="47">
        <v>0</v>
      </c>
      <c r="AP479" s="47">
        <v>0</v>
      </c>
      <c r="AQ479" s="47">
        <v>0</v>
      </c>
      <c r="AR479" s="47">
        <v>0</v>
      </c>
      <c r="AS479" s="47">
        <v>0</v>
      </c>
      <c r="AT479" s="47">
        <v>0</v>
      </c>
      <c r="AU479" s="47">
        <v>0</v>
      </c>
      <c r="AV479" s="47">
        <v>0</v>
      </c>
      <c r="AW479" s="47">
        <v>0</v>
      </c>
      <c r="AX479" s="47">
        <v>0</v>
      </c>
      <c r="AY479" s="47">
        <v>0</v>
      </c>
      <c r="AZ479" s="47">
        <v>0</v>
      </c>
      <c r="BA479" s="47">
        <v>0</v>
      </c>
      <c r="BB479" s="47">
        <v>0</v>
      </c>
      <c r="BC479" s="47">
        <v>0</v>
      </c>
      <c r="BD479" s="47">
        <v>0</v>
      </c>
      <c r="BE479" s="47">
        <v>0</v>
      </c>
      <c r="BF479" s="47">
        <v>0</v>
      </c>
      <c r="BG479" s="47">
        <v>0</v>
      </c>
      <c r="BH479" s="47">
        <v>0</v>
      </c>
      <c r="BI479" s="47">
        <v>0</v>
      </c>
      <c r="BJ479" s="47">
        <v>0</v>
      </c>
      <c r="BK479" s="47">
        <v>0</v>
      </c>
      <c r="BL479" s="47">
        <v>0</v>
      </c>
      <c r="BM479" s="47">
        <v>0</v>
      </c>
      <c r="BN479" s="47">
        <v>0</v>
      </c>
      <c r="BO479" s="47">
        <v>0</v>
      </c>
      <c r="BP479" s="47">
        <v>0</v>
      </c>
      <c r="BQ479" s="47">
        <v>0</v>
      </c>
      <c r="BR479" s="47">
        <v>0</v>
      </c>
      <c r="BS479" s="47">
        <v>0</v>
      </c>
      <c r="BT479" s="47">
        <v>0</v>
      </c>
      <c r="BU479" s="47">
        <v>0</v>
      </c>
      <c r="BV479" s="47">
        <v>0</v>
      </c>
      <c r="BW479" s="47">
        <v>0</v>
      </c>
      <c r="BX479" s="47">
        <v>0</v>
      </c>
      <c r="BY479" s="47">
        <v>0</v>
      </c>
      <c r="BZ479" s="47">
        <v>0</v>
      </c>
      <c r="CA479" s="47">
        <v>0</v>
      </c>
      <c r="CB479" s="47">
        <v>0</v>
      </c>
      <c r="CC479" s="47">
        <v>0</v>
      </c>
      <c r="CD479" s="47">
        <v>0</v>
      </c>
      <c r="CE479" s="47">
        <v>0</v>
      </c>
      <c r="CF479" s="47">
        <v>0</v>
      </c>
      <c r="CG479" s="47">
        <v>0</v>
      </c>
      <c r="CH479" s="47">
        <v>0</v>
      </c>
      <c r="CI479" s="47">
        <v>0</v>
      </c>
      <c r="CJ479" s="47">
        <v>0</v>
      </c>
      <c r="CK479" s="47">
        <v>0</v>
      </c>
      <c r="CL479" s="47">
        <v>0</v>
      </c>
      <c r="CM479" s="47">
        <v>0</v>
      </c>
      <c r="CN479" s="47">
        <v>0</v>
      </c>
      <c r="CO479" s="47">
        <v>0</v>
      </c>
      <c r="CP479" s="47">
        <v>0</v>
      </c>
      <c r="CQ479" s="47">
        <v>0</v>
      </c>
      <c r="CR479" s="47">
        <v>0</v>
      </c>
      <c r="CS479" s="47">
        <v>0</v>
      </c>
      <c r="CT479" s="47">
        <v>0</v>
      </c>
      <c r="CU479" s="47">
        <v>0</v>
      </c>
      <c r="CV479" s="47">
        <v>0</v>
      </c>
      <c r="CW479" s="47">
        <v>0</v>
      </c>
      <c r="CX479" s="47">
        <v>0</v>
      </c>
      <c r="CY479" s="47">
        <v>0</v>
      </c>
      <c r="CZ479" s="47">
        <v>0</v>
      </c>
      <c r="DA479" s="47">
        <v>0</v>
      </c>
      <c r="DB479" s="47">
        <v>0</v>
      </c>
      <c r="DC479" s="47">
        <v>0</v>
      </c>
      <c r="DD479" s="47">
        <v>0</v>
      </c>
      <c r="DE479" s="47">
        <v>0</v>
      </c>
      <c r="DF479" s="47">
        <v>0</v>
      </c>
      <c r="DG479" s="47">
        <v>0</v>
      </c>
      <c r="DH479" s="47">
        <v>0</v>
      </c>
      <c r="DI479" s="47">
        <v>0</v>
      </c>
      <c r="DJ479" s="47">
        <v>0</v>
      </c>
      <c r="DK479" s="47">
        <v>0</v>
      </c>
      <c r="DL479" s="47">
        <v>0</v>
      </c>
      <c r="DM479" s="47">
        <v>0</v>
      </c>
      <c r="DN479" s="47">
        <v>0</v>
      </c>
      <c r="DO479" s="47">
        <v>0</v>
      </c>
      <c r="DP479" s="47">
        <v>0</v>
      </c>
      <c r="DQ479" s="47">
        <v>0</v>
      </c>
      <c r="DR479" s="47">
        <v>0</v>
      </c>
      <c r="DS479" s="47">
        <v>0</v>
      </c>
      <c r="DT479" s="47">
        <v>0</v>
      </c>
    </row>
    <row r="480" spans="1:126" x14ac:dyDescent="0.25">
      <c r="A480" s="47" t="s">
        <v>2266</v>
      </c>
      <c r="B480" s="47" t="s">
        <v>153</v>
      </c>
      <c r="C480" s="47" t="s">
        <v>2267</v>
      </c>
      <c r="D480" s="47" t="s">
        <v>2268</v>
      </c>
      <c r="E480" s="47" t="s">
        <v>2269</v>
      </c>
      <c r="F480" s="47" t="s">
        <v>698</v>
      </c>
      <c r="G480" s="47" t="s">
        <v>738</v>
      </c>
      <c r="H480" s="47" t="str">
        <f>=IFERROR(VLOOKUP(A480,'ETPT Format DDG'!A:J,10,FALSE),"")</f>
        <v>0</v>
      </c>
      <c r="I480" s="47" t="str">
        <f>='ETPT Format DDG'!M480</f>
        <v/>
      </c>
      <c r="J480" s="47" t="str">
        <f>='ETPT Format DDG'!D480</f>
        <v/>
      </c>
      <c r="K480" s="47" t="s">
        <v>157</v>
      </c>
      <c r="L480" s="47" t="s">
        <v>700</v>
      </c>
      <c r="M480" s="47"/>
      <c r="N480" s="47">
        <v>1</v>
      </c>
      <c r="O480" s="47">
        <v>0</v>
      </c>
      <c r="P480" s="47">
        <v>0</v>
      </c>
      <c r="Q480" s="47">
        <v>0</v>
      </c>
      <c r="R480" s="47">
        <v>0</v>
      </c>
      <c r="S480" s="47">
        <v>0</v>
      </c>
      <c r="T480" s="47">
        <v>0</v>
      </c>
      <c r="U480" s="47">
        <v>0</v>
      </c>
      <c r="V480" s="47">
        <v>0</v>
      </c>
      <c r="W480" s="47">
        <v>0</v>
      </c>
      <c r="X480" s="47">
        <v>0</v>
      </c>
      <c r="Y480" s="47">
        <v>0</v>
      </c>
      <c r="Z480" s="47">
        <v>0</v>
      </c>
      <c r="AA480" s="47">
        <v>0</v>
      </c>
      <c r="AB480" s="47">
        <v>0</v>
      </c>
      <c r="AC480" s="47">
        <v>0</v>
      </c>
      <c r="AD480" s="47">
        <v>0</v>
      </c>
      <c r="AE480" s="47">
        <v>0</v>
      </c>
      <c r="AF480" s="47">
        <v>0</v>
      </c>
      <c r="AG480" s="47">
        <v>0</v>
      </c>
      <c r="AH480" s="47">
        <v>0</v>
      </c>
      <c r="AI480" s="47">
        <v>0</v>
      </c>
      <c r="AJ480" s="47">
        <v>0</v>
      </c>
      <c r="AK480" s="47">
        <v>0</v>
      </c>
      <c r="AL480" s="47">
        <v>0</v>
      </c>
      <c r="AM480" s="47">
        <v>0</v>
      </c>
      <c r="AN480" s="47">
        <v>0</v>
      </c>
      <c r="AO480" s="47">
        <v>0</v>
      </c>
      <c r="AP480" s="47">
        <v>0</v>
      </c>
      <c r="AQ480" s="47">
        <v>0</v>
      </c>
      <c r="AR480" s="47">
        <v>0</v>
      </c>
      <c r="AS480" s="47">
        <v>0</v>
      </c>
      <c r="AT480" s="47">
        <v>0</v>
      </c>
      <c r="AU480" s="47">
        <v>0</v>
      </c>
      <c r="AV480" s="47">
        <v>0</v>
      </c>
      <c r="AW480" s="47">
        <v>0</v>
      </c>
      <c r="AX480" s="47">
        <v>0</v>
      </c>
      <c r="AY480" s="47">
        <v>0</v>
      </c>
      <c r="AZ480" s="47">
        <v>0</v>
      </c>
      <c r="BA480" s="47">
        <v>0</v>
      </c>
      <c r="BB480" s="47">
        <v>0</v>
      </c>
      <c r="BC480" s="47">
        <v>0</v>
      </c>
      <c r="BD480" s="47">
        <v>0</v>
      </c>
      <c r="BE480" s="47">
        <v>0</v>
      </c>
      <c r="BF480" s="47">
        <v>0</v>
      </c>
      <c r="BG480" s="47">
        <v>0</v>
      </c>
      <c r="BH480" s="47">
        <v>0</v>
      </c>
      <c r="BI480" s="47">
        <v>0</v>
      </c>
      <c r="BJ480" s="47">
        <v>0</v>
      </c>
      <c r="BK480" s="47">
        <v>0</v>
      </c>
      <c r="BL480" s="47">
        <v>0</v>
      </c>
      <c r="BM480" s="47">
        <v>0</v>
      </c>
      <c r="BN480" s="47">
        <v>0</v>
      </c>
      <c r="BO480" s="47">
        <v>0</v>
      </c>
      <c r="BP480" s="47">
        <v>0</v>
      </c>
      <c r="BQ480" s="47">
        <v>0</v>
      </c>
      <c r="BR480" s="47">
        <v>0</v>
      </c>
      <c r="BS480" s="47">
        <v>0</v>
      </c>
      <c r="BT480" s="47">
        <v>0</v>
      </c>
      <c r="BU480" s="47">
        <v>0</v>
      </c>
      <c r="BV480" s="47">
        <v>0</v>
      </c>
      <c r="BW480" s="47">
        <v>0</v>
      </c>
      <c r="BX480" s="47">
        <v>0</v>
      </c>
      <c r="BY480" s="47">
        <v>0</v>
      </c>
      <c r="BZ480" s="47">
        <v>0</v>
      </c>
      <c r="CA480" s="47">
        <v>0</v>
      </c>
      <c r="CB480" s="47">
        <v>0</v>
      </c>
      <c r="CC480" s="47">
        <v>0</v>
      </c>
      <c r="CD480" s="47">
        <v>0</v>
      </c>
      <c r="CE480" s="47">
        <v>0</v>
      </c>
      <c r="CF480" s="47">
        <v>0</v>
      </c>
      <c r="CG480" s="47">
        <v>0</v>
      </c>
      <c r="CH480" s="47">
        <v>0</v>
      </c>
      <c r="CI480" s="47">
        <v>0</v>
      </c>
      <c r="CJ480" s="47">
        <v>0</v>
      </c>
      <c r="CK480" s="47">
        <v>0</v>
      </c>
      <c r="CL480" s="47">
        <v>0</v>
      </c>
      <c r="CM480" s="47">
        <v>0</v>
      </c>
      <c r="CN480" s="47">
        <v>0</v>
      </c>
      <c r="CO480" s="47">
        <v>0</v>
      </c>
      <c r="CP480" s="47">
        <v>0</v>
      </c>
      <c r="CQ480" s="47">
        <v>0</v>
      </c>
      <c r="CR480" s="47">
        <v>0</v>
      </c>
      <c r="CS480" s="47">
        <v>0</v>
      </c>
      <c r="CT480" s="47">
        <v>0</v>
      </c>
      <c r="CU480" s="47">
        <v>0</v>
      </c>
      <c r="CV480" s="47">
        <v>0</v>
      </c>
      <c r="CW480" s="47">
        <v>0</v>
      </c>
      <c r="CX480" s="47">
        <v>0</v>
      </c>
      <c r="CY480" s="47">
        <v>0</v>
      </c>
      <c r="CZ480" s="47">
        <v>0</v>
      </c>
      <c r="DA480" s="47">
        <v>0</v>
      </c>
      <c r="DB480" s="47">
        <v>0</v>
      </c>
      <c r="DC480" s="47">
        <v>0</v>
      </c>
      <c r="DD480" s="47">
        <v>0</v>
      </c>
      <c r="DE480" s="47">
        <v>0</v>
      </c>
      <c r="DF480" s="47">
        <v>0</v>
      </c>
      <c r="DG480" s="47">
        <v>0</v>
      </c>
      <c r="DH480" s="47">
        <v>0</v>
      </c>
      <c r="DI480" s="47">
        <v>0</v>
      </c>
      <c r="DJ480" s="47">
        <v>0</v>
      </c>
      <c r="DK480" s="47">
        <v>0</v>
      </c>
      <c r="DL480" s="47">
        <v>0</v>
      </c>
      <c r="DM480" s="47">
        <v>0</v>
      </c>
      <c r="DN480" s="47">
        <v>0</v>
      </c>
      <c r="DO480" s="47">
        <v>0</v>
      </c>
      <c r="DP480" s="47">
        <v>0</v>
      </c>
      <c r="DQ480" s="47">
        <v>0</v>
      </c>
      <c r="DR480" s="47">
        <v>0</v>
      </c>
      <c r="DS480" s="47">
        <v>0</v>
      </c>
      <c r="DT480" s="47">
        <v>0</v>
      </c>
    </row>
    <row r="481" spans="1:126" x14ac:dyDescent="0.25">
      <c r="A481" s="47" t="s">
        <v>2270</v>
      </c>
      <c r="B481" s="47" t="s">
        <v>153</v>
      </c>
      <c r="C481" s="47" t="s">
        <v>2271</v>
      </c>
      <c r="D481" s="47" t="s">
        <v>2272</v>
      </c>
      <c r="E481" s="47" t="s">
        <v>2273</v>
      </c>
      <c r="F481" s="47" t="s">
        <v>698</v>
      </c>
      <c r="G481" s="47" t="s">
        <v>705</v>
      </c>
      <c r="H481" s="47" t="str">
        <f>=IFERROR(VLOOKUP(A481,'ETPT Format DDG'!A:J,10,FALSE),"")</f>
        <v>0</v>
      </c>
      <c r="I481" s="47" t="str">
        <f>='ETPT Format DDG'!M481</f>
        <v/>
      </c>
      <c r="J481" s="47" t="str">
        <f>='ETPT Format DDG'!D481</f>
        <v/>
      </c>
      <c r="K481" s="47" t="s">
        <v>157</v>
      </c>
      <c r="L481" s="47" t="s">
        <v>2274</v>
      </c>
      <c r="M481" s="47"/>
      <c r="N481" s="47">
        <v>1</v>
      </c>
      <c r="O481" s="47">
        <v>0</v>
      </c>
      <c r="P481" s="47">
        <v>0</v>
      </c>
      <c r="Q481" s="47">
        <v>0</v>
      </c>
      <c r="R481" s="47">
        <v>0</v>
      </c>
      <c r="S481" s="47">
        <v>0</v>
      </c>
      <c r="T481" s="47">
        <v>0</v>
      </c>
      <c r="U481" s="47">
        <v>0</v>
      </c>
      <c r="V481" s="47">
        <v>0</v>
      </c>
      <c r="W481" s="47">
        <v>0</v>
      </c>
      <c r="X481" s="47">
        <v>0</v>
      </c>
      <c r="Y481" s="47">
        <v>0</v>
      </c>
      <c r="Z481" s="47">
        <v>0</v>
      </c>
      <c r="AA481" s="47">
        <v>0</v>
      </c>
      <c r="AB481" s="47">
        <v>0</v>
      </c>
      <c r="AC481" s="47">
        <v>0</v>
      </c>
      <c r="AD481" s="47">
        <v>0</v>
      </c>
      <c r="AE481" s="47">
        <v>0</v>
      </c>
      <c r="AF481" s="47">
        <v>0</v>
      </c>
      <c r="AG481" s="47">
        <v>0</v>
      </c>
      <c r="AH481" s="47">
        <v>0</v>
      </c>
      <c r="AI481" s="47">
        <v>0</v>
      </c>
      <c r="AJ481" s="47">
        <v>0</v>
      </c>
      <c r="AK481" s="47">
        <v>0</v>
      </c>
      <c r="AL481" s="47">
        <v>0</v>
      </c>
      <c r="AM481" s="47">
        <v>0</v>
      </c>
      <c r="AN481" s="47">
        <v>0</v>
      </c>
      <c r="AO481" s="47">
        <v>0</v>
      </c>
      <c r="AP481" s="47">
        <v>0</v>
      </c>
      <c r="AQ481" s="47">
        <v>0</v>
      </c>
      <c r="AR481" s="47">
        <v>0</v>
      </c>
      <c r="AS481" s="47">
        <v>0</v>
      </c>
      <c r="AT481" s="47">
        <v>0</v>
      </c>
      <c r="AU481" s="47">
        <v>0</v>
      </c>
      <c r="AV481" s="47">
        <v>0</v>
      </c>
      <c r="AW481" s="47">
        <v>0</v>
      </c>
      <c r="AX481" s="47">
        <v>0</v>
      </c>
      <c r="AY481" s="47">
        <v>0</v>
      </c>
      <c r="AZ481" s="47">
        <v>0</v>
      </c>
      <c r="BA481" s="47">
        <v>0</v>
      </c>
      <c r="BB481" s="47">
        <v>0</v>
      </c>
      <c r="BC481" s="47">
        <v>0</v>
      </c>
      <c r="BD481" s="47">
        <v>0</v>
      </c>
      <c r="BE481" s="47">
        <v>0</v>
      </c>
      <c r="BF481" s="47">
        <v>0</v>
      </c>
      <c r="BG481" s="47">
        <v>0</v>
      </c>
      <c r="BH481" s="47">
        <v>0</v>
      </c>
      <c r="BI481" s="47">
        <v>0</v>
      </c>
      <c r="BJ481" s="47">
        <v>0</v>
      </c>
      <c r="BK481" s="47">
        <v>0</v>
      </c>
      <c r="BL481" s="47">
        <v>0</v>
      </c>
      <c r="BM481" s="47">
        <v>0</v>
      </c>
      <c r="BN481" s="47">
        <v>0</v>
      </c>
      <c r="BO481" s="47">
        <v>0</v>
      </c>
      <c r="BP481" s="47">
        <v>0</v>
      </c>
      <c r="BQ481" s="47">
        <v>0</v>
      </c>
      <c r="BR481" s="47">
        <v>0</v>
      </c>
      <c r="BS481" s="47">
        <v>0</v>
      </c>
      <c r="BT481" s="47">
        <v>0</v>
      </c>
      <c r="BU481" s="47">
        <v>0</v>
      </c>
      <c r="BV481" s="47">
        <v>0</v>
      </c>
      <c r="BW481" s="47">
        <v>0</v>
      </c>
      <c r="BX481" s="47">
        <v>0</v>
      </c>
      <c r="BY481" s="47">
        <v>0</v>
      </c>
      <c r="BZ481" s="47">
        <v>0</v>
      </c>
      <c r="CA481" s="47">
        <v>0</v>
      </c>
      <c r="CB481" s="47">
        <v>0</v>
      </c>
      <c r="CC481" s="47">
        <v>0</v>
      </c>
      <c r="CD481" s="47">
        <v>0</v>
      </c>
      <c r="CE481" s="47">
        <v>0</v>
      </c>
      <c r="CF481" s="47">
        <v>0</v>
      </c>
      <c r="CG481" s="47">
        <v>0</v>
      </c>
      <c r="CH481" s="47">
        <v>0</v>
      </c>
      <c r="CI481" s="47">
        <v>0</v>
      </c>
      <c r="CJ481" s="47">
        <v>0</v>
      </c>
      <c r="CK481" s="47">
        <v>0</v>
      </c>
      <c r="CL481" s="47">
        <v>0</v>
      </c>
      <c r="CM481" s="47">
        <v>0</v>
      </c>
      <c r="CN481" s="47">
        <v>0</v>
      </c>
      <c r="CO481" s="47">
        <v>0</v>
      </c>
      <c r="CP481" s="47">
        <v>0</v>
      </c>
      <c r="CQ481" s="47">
        <v>0</v>
      </c>
      <c r="CR481" s="47">
        <v>0</v>
      </c>
      <c r="CS481" s="47">
        <v>0</v>
      </c>
      <c r="CT481" s="47">
        <v>0</v>
      </c>
      <c r="CU481" s="47">
        <v>0</v>
      </c>
      <c r="CV481" s="47">
        <v>0</v>
      </c>
      <c r="CW481" s="47">
        <v>0</v>
      </c>
      <c r="CX481" s="47">
        <v>0</v>
      </c>
      <c r="CY481" s="47">
        <v>0</v>
      </c>
      <c r="CZ481" s="47">
        <v>0</v>
      </c>
      <c r="DA481" s="47">
        <v>0</v>
      </c>
      <c r="DB481" s="47">
        <v>0</v>
      </c>
      <c r="DC481" s="47">
        <v>0</v>
      </c>
      <c r="DD481" s="47">
        <v>0</v>
      </c>
      <c r="DE481" s="47">
        <v>0</v>
      </c>
      <c r="DF481" s="47">
        <v>0</v>
      </c>
      <c r="DG481" s="47">
        <v>0</v>
      </c>
      <c r="DH481" s="47">
        <v>0</v>
      </c>
      <c r="DI481" s="47">
        <v>0</v>
      </c>
      <c r="DJ481" s="47">
        <v>0</v>
      </c>
      <c r="DK481" s="47">
        <v>0</v>
      </c>
      <c r="DL481" s="47">
        <v>0</v>
      </c>
      <c r="DM481" s="47">
        <v>0</v>
      </c>
      <c r="DN481" s="47">
        <v>0</v>
      </c>
      <c r="DO481" s="47">
        <v>0</v>
      </c>
      <c r="DP481" s="47">
        <v>0</v>
      </c>
      <c r="DQ481" s="47">
        <v>0</v>
      </c>
      <c r="DR481" s="47">
        <v>0</v>
      </c>
      <c r="DS481" s="47">
        <v>0</v>
      </c>
      <c r="DT481" s="47">
        <v>0</v>
      </c>
    </row>
    <row r="482" spans="1:126" x14ac:dyDescent="0.25">
      <c r="A482" s="47" t="s">
        <v>2275</v>
      </c>
      <c r="B482" s="47" t="s">
        <v>153</v>
      </c>
      <c r="C482" s="47" t="s">
        <v>2276</v>
      </c>
      <c r="D482" s="47" t="s">
        <v>2277</v>
      </c>
      <c r="E482" s="47" t="s">
        <v>2278</v>
      </c>
      <c r="F482" s="47" t="s">
        <v>698</v>
      </c>
      <c r="G482" s="47" t="s">
        <v>727</v>
      </c>
      <c r="H482" s="47" t="str">
        <f>=IFERROR(VLOOKUP(A482,'ETPT Format DDG'!A:J,10,FALSE),"")</f>
        <v>0</v>
      </c>
      <c r="I482" s="47" t="str">
        <f>='ETPT Format DDG'!M482</f>
        <v/>
      </c>
      <c r="J482" s="47" t="str">
        <f>='ETPT Format DDG'!D482</f>
        <v/>
      </c>
      <c r="K482" s="47" t="s">
        <v>157</v>
      </c>
      <c r="L482" s="47" t="s">
        <v>175</v>
      </c>
      <c r="M482" s="47"/>
      <c r="N482" s="47">
        <v>1</v>
      </c>
      <c r="O482" s="47">
        <v>1</v>
      </c>
      <c r="P482" s="47">
        <v>0</v>
      </c>
      <c r="Q482" s="47">
        <v>0</v>
      </c>
      <c r="R482" s="47">
        <v>0</v>
      </c>
      <c r="S482" s="47">
        <v>0</v>
      </c>
      <c r="T482" s="47">
        <v>0</v>
      </c>
      <c r="U482" s="47">
        <v>0</v>
      </c>
      <c r="V482" s="47">
        <v>0</v>
      </c>
      <c r="W482" s="47">
        <v>0</v>
      </c>
      <c r="X482" s="47">
        <v>0</v>
      </c>
      <c r="Y482" s="47">
        <v>0</v>
      </c>
      <c r="Z482" s="47">
        <v>0</v>
      </c>
      <c r="AA482" s="47">
        <v>0</v>
      </c>
      <c r="AB482" s="47">
        <v>0</v>
      </c>
      <c r="AC482" s="47">
        <v>0</v>
      </c>
      <c r="AD482" s="47">
        <v>0</v>
      </c>
      <c r="AE482" s="47">
        <v>1</v>
      </c>
      <c r="AF482" s="47">
        <v>0</v>
      </c>
      <c r="AG482" s="47">
        <v>0</v>
      </c>
      <c r="AH482" s="47">
        <v>0</v>
      </c>
      <c r="AI482" s="47">
        <v>0</v>
      </c>
      <c r="AJ482" s="47">
        <v>0</v>
      </c>
      <c r="AK482" s="47">
        <v>0</v>
      </c>
      <c r="AL482" s="47">
        <v>0</v>
      </c>
      <c r="AM482" s="47">
        <v>0</v>
      </c>
      <c r="AN482" s="47">
        <v>0</v>
      </c>
      <c r="AO482" s="47">
        <v>0</v>
      </c>
      <c r="AP482" s="47">
        <v>0</v>
      </c>
      <c r="AQ482" s="47">
        <v>0</v>
      </c>
      <c r="AR482" s="47">
        <v>0</v>
      </c>
      <c r="AS482" s="47">
        <v>0</v>
      </c>
      <c r="AT482" s="47">
        <v>0</v>
      </c>
      <c r="AU482" s="47">
        <v>0</v>
      </c>
      <c r="AV482" s="47">
        <v>0</v>
      </c>
      <c r="AW482" s="47">
        <v>0</v>
      </c>
      <c r="AX482" s="47">
        <v>0</v>
      </c>
      <c r="AY482" s="47">
        <v>0</v>
      </c>
      <c r="AZ482" s="47">
        <v>0</v>
      </c>
      <c r="BA482" s="47">
        <v>0</v>
      </c>
      <c r="BB482" s="47">
        <v>0</v>
      </c>
      <c r="BC482" s="47">
        <v>0</v>
      </c>
      <c r="BD482" s="47">
        <v>0</v>
      </c>
      <c r="BE482" s="47">
        <v>0</v>
      </c>
      <c r="BF482" s="47">
        <v>0</v>
      </c>
      <c r="BG482" s="47">
        <v>0</v>
      </c>
      <c r="BH482" s="47">
        <v>0</v>
      </c>
      <c r="BI482" s="47">
        <v>0</v>
      </c>
      <c r="BJ482" s="47">
        <v>0</v>
      </c>
      <c r="BK482" s="47">
        <v>0</v>
      </c>
      <c r="BL482" s="47">
        <v>0</v>
      </c>
      <c r="BM482" s="47">
        <v>0</v>
      </c>
      <c r="BN482" s="47">
        <v>0</v>
      </c>
      <c r="BO482" s="47">
        <v>0</v>
      </c>
      <c r="BP482" s="47">
        <v>0</v>
      </c>
      <c r="BQ482" s="47">
        <v>0</v>
      </c>
      <c r="BR482" s="47">
        <v>0</v>
      </c>
      <c r="BS482" s="47">
        <v>0</v>
      </c>
      <c r="BT482" s="47">
        <v>0</v>
      </c>
      <c r="BU482" s="47">
        <v>0</v>
      </c>
      <c r="BV482" s="47">
        <v>0</v>
      </c>
      <c r="BW482" s="47">
        <v>0</v>
      </c>
      <c r="BX482" s="47">
        <v>0</v>
      </c>
      <c r="BY482" s="47">
        <v>0</v>
      </c>
      <c r="BZ482" s="47">
        <v>0</v>
      </c>
      <c r="CA482" s="47">
        <v>0</v>
      </c>
      <c r="CB482" s="47">
        <v>0</v>
      </c>
      <c r="CC482" s="47">
        <v>0</v>
      </c>
      <c r="CD482" s="47">
        <v>0</v>
      </c>
      <c r="CE482" s="47">
        <v>0</v>
      </c>
      <c r="CF482" s="47">
        <v>0</v>
      </c>
      <c r="CG482" s="47">
        <v>0</v>
      </c>
      <c r="CH482" s="47">
        <v>0</v>
      </c>
      <c r="CI482" s="47">
        <v>0</v>
      </c>
      <c r="CJ482" s="47">
        <v>0</v>
      </c>
      <c r="CK482" s="47">
        <v>0</v>
      </c>
      <c r="CL482" s="47">
        <v>0</v>
      </c>
      <c r="CM482" s="47">
        <v>0</v>
      </c>
      <c r="CN482" s="47">
        <v>0</v>
      </c>
      <c r="CO482" s="47">
        <v>0</v>
      </c>
      <c r="CP482" s="47">
        <v>0</v>
      </c>
      <c r="CQ482" s="47">
        <v>0</v>
      </c>
      <c r="CR482" s="47">
        <v>0</v>
      </c>
      <c r="CS482" s="47">
        <v>0</v>
      </c>
      <c r="CT482" s="47">
        <v>0</v>
      </c>
      <c r="CU482" s="47">
        <v>0</v>
      </c>
      <c r="CV482" s="47">
        <v>0</v>
      </c>
      <c r="CW482" s="47">
        <v>0</v>
      </c>
      <c r="CX482" s="47">
        <v>0</v>
      </c>
      <c r="CY482" s="47">
        <v>0</v>
      </c>
      <c r="CZ482" s="47">
        <v>0</v>
      </c>
      <c r="DA482" s="47">
        <v>0</v>
      </c>
      <c r="DB482" s="47">
        <v>0</v>
      </c>
      <c r="DC482" s="47">
        <v>0</v>
      </c>
      <c r="DD482" s="47">
        <v>0</v>
      </c>
      <c r="DE482" s="47">
        <v>0</v>
      </c>
      <c r="DF482" s="47">
        <v>0</v>
      </c>
      <c r="DG482" s="47">
        <v>0</v>
      </c>
      <c r="DH482" s="47">
        <v>0</v>
      </c>
      <c r="DI482" s="47">
        <v>0</v>
      </c>
      <c r="DJ482" s="47">
        <v>0</v>
      </c>
      <c r="DK482" s="47">
        <v>0</v>
      </c>
      <c r="DL482" s="47">
        <v>0</v>
      </c>
      <c r="DM482" s="47">
        <v>0</v>
      </c>
      <c r="DN482" s="47">
        <v>0</v>
      </c>
      <c r="DO482" s="47">
        <v>0</v>
      </c>
      <c r="DP482" s="47">
        <v>0</v>
      </c>
      <c r="DQ482" s="47">
        <v>0</v>
      </c>
      <c r="DR482" s="47">
        <v>0</v>
      </c>
      <c r="DS482" s="47">
        <v>0</v>
      </c>
      <c r="DT482" s="47">
        <v>0</v>
      </c>
    </row>
    <row r="483" spans="1:126" x14ac:dyDescent="0.25">
      <c r="A483" s="47" t="s">
        <v>2279</v>
      </c>
      <c r="B483" s="47" t="s">
        <v>153</v>
      </c>
      <c r="C483" s="47" t="s">
        <v>2280</v>
      </c>
      <c r="D483" s="47" t="s">
        <v>2281</v>
      </c>
      <c r="E483" s="47" t="s">
        <v>2282</v>
      </c>
      <c r="F483" s="47" t="s">
        <v>698</v>
      </c>
      <c r="G483" s="47" t="s">
        <v>727</v>
      </c>
      <c r="H483" s="47" t="str">
        <f>=IFERROR(VLOOKUP(A483,'ETPT Format DDG'!A:J,10,FALSE),"")</f>
        <v>0</v>
      </c>
      <c r="I483" s="47" t="str">
        <f>='ETPT Format DDG'!M483</f>
        <v/>
      </c>
      <c r="J483" s="47" t="str">
        <f>='ETPT Format DDG'!D483</f>
        <v/>
      </c>
      <c r="K483" s="47" t="s">
        <v>157</v>
      </c>
      <c r="L483" s="47" t="s">
        <v>2283</v>
      </c>
      <c r="M483" s="47"/>
      <c r="N483" s="47">
        <v>1</v>
      </c>
      <c r="O483" s="47">
        <v>1</v>
      </c>
      <c r="P483" s="47">
        <v>0</v>
      </c>
      <c r="Q483" s="47">
        <v>0</v>
      </c>
      <c r="R483" s="47">
        <v>0</v>
      </c>
      <c r="S483" s="47">
        <v>0</v>
      </c>
      <c r="T483" s="47">
        <v>0</v>
      </c>
      <c r="U483" s="47">
        <v>0</v>
      </c>
      <c r="V483" s="47">
        <v>0</v>
      </c>
      <c r="W483" s="47">
        <v>0</v>
      </c>
      <c r="X483" s="47">
        <v>0</v>
      </c>
      <c r="Y483" s="47">
        <v>0</v>
      </c>
      <c r="Z483" s="47">
        <v>0</v>
      </c>
      <c r="AA483" s="47">
        <v>0</v>
      </c>
      <c r="AB483" s="47">
        <v>0</v>
      </c>
      <c r="AC483" s="47">
        <v>0</v>
      </c>
      <c r="AD483" s="47">
        <v>0</v>
      </c>
      <c r="AE483" s="47">
        <v>0</v>
      </c>
      <c r="AF483" s="47">
        <v>0</v>
      </c>
      <c r="AG483" s="47">
        <v>0</v>
      </c>
      <c r="AH483" s="47">
        <v>0</v>
      </c>
      <c r="AI483" s="47">
        <v>0</v>
      </c>
      <c r="AJ483" s="47">
        <v>0</v>
      </c>
      <c r="AK483" s="47">
        <v>0</v>
      </c>
      <c r="AL483" s="47">
        <v>0</v>
      </c>
      <c r="AM483" s="47">
        <v>0</v>
      </c>
      <c r="AN483" s="47">
        <v>0</v>
      </c>
      <c r="AO483" s="47">
        <v>0</v>
      </c>
      <c r="AP483" s="47">
        <v>0</v>
      </c>
      <c r="AQ483" s="47">
        <v>0</v>
      </c>
      <c r="AR483" s="47">
        <v>0</v>
      </c>
      <c r="AS483" s="47">
        <v>0</v>
      </c>
      <c r="AT483" s="47">
        <v>0</v>
      </c>
      <c r="AU483" s="47">
        <v>0</v>
      </c>
      <c r="AV483" s="47">
        <v>0</v>
      </c>
      <c r="AW483" s="47">
        <v>0</v>
      </c>
      <c r="AX483" s="47">
        <v>0</v>
      </c>
      <c r="AY483" s="47">
        <v>0</v>
      </c>
      <c r="AZ483" s="47">
        <v>0</v>
      </c>
      <c r="BA483" s="47">
        <v>0</v>
      </c>
      <c r="BB483" s="47">
        <v>0</v>
      </c>
      <c r="BC483" s="47">
        <v>0</v>
      </c>
      <c r="BD483" s="47">
        <v>0</v>
      </c>
      <c r="BE483" s="47">
        <v>0</v>
      </c>
      <c r="BF483" s="47">
        <v>0</v>
      </c>
      <c r="BG483" s="47">
        <v>0</v>
      </c>
      <c r="BH483" s="47">
        <v>0</v>
      </c>
      <c r="BI483" s="47">
        <v>0</v>
      </c>
      <c r="BJ483" s="47">
        <v>0</v>
      </c>
      <c r="BK483" s="47">
        <v>0</v>
      </c>
      <c r="BL483" s="47">
        <v>0</v>
      </c>
      <c r="BM483" s="47">
        <v>0</v>
      </c>
      <c r="BN483" s="47">
        <v>0</v>
      </c>
      <c r="BO483" s="47">
        <v>0</v>
      </c>
      <c r="BP483" s="47">
        <v>0</v>
      </c>
      <c r="BQ483" s="47">
        <v>0</v>
      </c>
      <c r="BR483" s="47">
        <v>0</v>
      </c>
      <c r="BS483" s="47">
        <v>0</v>
      </c>
      <c r="BT483" s="47">
        <v>0</v>
      </c>
      <c r="BU483" s="47">
        <v>0</v>
      </c>
      <c r="BV483" s="47">
        <v>0</v>
      </c>
      <c r="BW483" s="47">
        <v>0</v>
      </c>
      <c r="BX483" s="47">
        <v>0</v>
      </c>
      <c r="BY483" s="47">
        <v>0</v>
      </c>
      <c r="BZ483" s="47">
        <v>0</v>
      </c>
      <c r="CA483" s="47">
        <v>0</v>
      </c>
      <c r="CB483" s="47">
        <v>0</v>
      </c>
      <c r="CC483" s="47">
        <v>0</v>
      </c>
      <c r="CD483" s="47">
        <v>0</v>
      </c>
      <c r="CE483" s="47">
        <v>0</v>
      </c>
      <c r="CF483" s="47">
        <v>0</v>
      </c>
      <c r="CG483" s="47">
        <v>0</v>
      </c>
      <c r="CH483" s="47">
        <v>0</v>
      </c>
      <c r="CI483" s="47">
        <v>0</v>
      </c>
      <c r="CJ483" s="47">
        <v>0</v>
      </c>
      <c r="CK483" s="47">
        <v>0</v>
      </c>
      <c r="CL483" s="47">
        <v>0</v>
      </c>
      <c r="CM483" s="47">
        <v>0</v>
      </c>
      <c r="CN483" s="47">
        <v>0</v>
      </c>
      <c r="CO483" s="47">
        <v>0</v>
      </c>
      <c r="CP483" s="47">
        <v>0</v>
      </c>
      <c r="CQ483" s="47">
        <v>1</v>
      </c>
      <c r="CR483" s="47">
        <v>0</v>
      </c>
      <c r="CS483" s="47">
        <v>0</v>
      </c>
      <c r="CT483" s="47">
        <v>0</v>
      </c>
      <c r="CU483" s="47">
        <v>0</v>
      </c>
      <c r="CV483" s="47">
        <v>0</v>
      </c>
      <c r="CW483" s="47">
        <v>0</v>
      </c>
      <c r="CX483" s="47">
        <v>0</v>
      </c>
      <c r="CY483" s="47">
        <v>0</v>
      </c>
      <c r="CZ483" s="47">
        <v>0</v>
      </c>
      <c r="DA483" s="47">
        <v>0</v>
      </c>
      <c r="DB483" s="47">
        <v>0</v>
      </c>
      <c r="DC483" s="47">
        <v>0</v>
      </c>
      <c r="DD483" s="47">
        <v>0</v>
      </c>
      <c r="DE483" s="47">
        <v>0</v>
      </c>
      <c r="DF483" s="47">
        <v>0</v>
      </c>
      <c r="DG483" s="47">
        <v>0</v>
      </c>
      <c r="DH483" s="47">
        <v>0</v>
      </c>
      <c r="DI483" s="47">
        <v>0</v>
      </c>
      <c r="DJ483" s="47">
        <v>0</v>
      </c>
      <c r="DK483" s="47">
        <v>0</v>
      </c>
      <c r="DL483" s="47">
        <v>0</v>
      </c>
      <c r="DM483" s="47">
        <v>0</v>
      </c>
      <c r="DN483" s="47">
        <v>0</v>
      </c>
      <c r="DO483" s="47">
        <v>0</v>
      </c>
      <c r="DP483" s="47">
        <v>0</v>
      </c>
      <c r="DQ483" s="47">
        <v>0</v>
      </c>
      <c r="DR483" s="47">
        <v>0</v>
      </c>
      <c r="DS483" s="47">
        <v>0</v>
      </c>
      <c r="DT483" s="47">
        <v>0</v>
      </c>
    </row>
    <row r="484" spans="1:126" x14ac:dyDescent="0.25">
      <c r="A484" s="47" t="s">
        <v>2284</v>
      </c>
      <c r="B484" s="47" t="s">
        <v>153</v>
      </c>
      <c r="C484" s="47" t="s">
        <v>2285</v>
      </c>
      <c r="D484" s="47" t="s">
        <v>2286</v>
      </c>
      <c r="E484" s="47" t="s">
        <v>2287</v>
      </c>
      <c r="F484" s="47" t="s">
        <v>698</v>
      </c>
      <c r="G484" s="47" t="s">
        <v>705</v>
      </c>
      <c r="H484" s="47" t="str">
        <f>=IFERROR(VLOOKUP(A484,'ETPT Format DDG'!A:J,10,FALSE),"")</f>
        <v>0</v>
      </c>
      <c r="I484" s="47" t="str">
        <f>='ETPT Format DDG'!M484</f>
        <v/>
      </c>
      <c r="J484" s="47" t="str">
        <f>='ETPT Format DDG'!D484</f>
        <v/>
      </c>
      <c r="K484" s="47" t="s">
        <v>157</v>
      </c>
      <c r="L484" s="47" t="s">
        <v>168</v>
      </c>
      <c r="M484" s="47"/>
      <c r="N484" s="47">
        <v>0.8</v>
      </c>
      <c r="O484" s="47">
        <v>0</v>
      </c>
      <c r="P484" s="47">
        <v>0</v>
      </c>
      <c r="Q484" s="47">
        <v>0</v>
      </c>
      <c r="R484" s="47">
        <v>0</v>
      </c>
      <c r="S484" s="47">
        <v>0</v>
      </c>
      <c r="T484" s="47">
        <v>0</v>
      </c>
      <c r="U484" s="47">
        <v>0</v>
      </c>
      <c r="V484" s="47">
        <v>0</v>
      </c>
      <c r="W484" s="47">
        <v>0</v>
      </c>
      <c r="X484" s="47">
        <v>0</v>
      </c>
      <c r="Y484" s="47">
        <v>0</v>
      </c>
      <c r="Z484" s="47">
        <v>0</v>
      </c>
      <c r="AA484" s="47">
        <v>0</v>
      </c>
      <c r="AB484" s="47">
        <v>0</v>
      </c>
      <c r="AC484" s="47">
        <v>0</v>
      </c>
      <c r="AD484" s="47">
        <v>0</v>
      </c>
      <c r="AE484" s="47">
        <v>0</v>
      </c>
      <c r="AF484" s="47">
        <v>0</v>
      </c>
      <c r="AG484" s="47">
        <v>0</v>
      </c>
      <c r="AH484" s="47">
        <v>0</v>
      </c>
      <c r="AI484" s="47">
        <v>0</v>
      </c>
      <c r="AJ484" s="47">
        <v>0</v>
      </c>
      <c r="AK484" s="47">
        <v>0</v>
      </c>
      <c r="AL484" s="47">
        <v>0</v>
      </c>
      <c r="AM484" s="47">
        <v>0</v>
      </c>
      <c r="AN484" s="47">
        <v>0</v>
      </c>
      <c r="AO484" s="47">
        <v>0</v>
      </c>
      <c r="AP484" s="47">
        <v>0</v>
      </c>
      <c r="AQ484" s="47">
        <v>0</v>
      </c>
      <c r="AR484" s="47">
        <v>0</v>
      </c>
      <c r="AS484" s="47">
        <v>0</v>
      </c>
      <c r="AT484" s="47">
        <v>0</v>
      </c>
      <c r="AU484" s="47">
        <v>0</v>
      </c>
      <c r="AV484" s="47">
        <v>0</v>
      </c>
      <c r="AW484" s="47">
        <v>0</v>
      </c>
      <c r="AX484" s="47">
        <v>0</v>
      </c>
      <c r="AY484" s="47">
        <v>0</v>
      </c>
      <c r="AZ484" s="47">
        <v>0</v>
      </c>
      <c r="BA484" s="47">
        <v>0</v>
      </c>
      <c r="BB484" s="47">
        <v>0</v>
      </c>
      <c r="BC484" s="47">
        <v>0</v>
      </c>
      <c r="BD484" s="47">
        <v>0</v>
      </c>
      <c r="BE484" s="47">
        <v>0</v>
      </c>
      <c r="BF484" s="47">
        <v>0</v>
      </c>
      <c r="BG484" s="47">
        <v>0</v>
      </c>
      <c r="BH484" s="47">
        <v>0</v>
      </c>
      <c r="BI484" s="47">
        <v>0</v>
      </c>
      <c r="BJ484" s="47">
        <v>0</v>
      </c>
      <c r="BK484" s="47">
        <v>0</v>
      </c>
      <c r="BL484" s="47">
        <v>0</v>
      </c>
      <c r="BM484" s="47">
        <v>0</v>
      </c>
      <c r="BN484" s="47">
        <v>0</v>
      </c>
      <c r="BO484" s="47">
        <v>0</v>
      </c>
      <c r="BP484" s="47">
        <v>0</v>
      </c>
      <c r="BQ484" s="47">
        <v>0</v>
      </c>
      <c r="BR484" s="47">
        <v>0</v>
      </c>
      <c r="BS484" s="47">
        <v>0</v>
      </c>
      <c r="BT484" s="47">
        <v>0</v>
      </c>
      <c r="BU484" s="47">
        <v>0</v>
      </c>
      <c r="BV484" s="47">
        <v>0</v>
      </c>
      <c r="BW484" s="47">
        <v>0</v>
      </c>
      <c r="BX484" s="47">
        <v>0</v>
      </c>
      <c r="BY484" s="47">
        <v>0</v>
      </c>
      <c r="BZ484" s="47">
        <v>0</v>
      </c>
      <c r="CA484" s="47">
        <v>0</v>
      </c>
      <c r="CB484" s="47">
        <v>0</v>
      </c>
      <c r="CC484" s="47">
        <v>0</v>
      </c>
      <c r="CD484" s="47">
        <v>0</v>
      </c>
      <c r="CE484" s="47">
        <v>0</v>
      </c>
      <c r="CF484" s="47">
        <v>0</v>
      </c>
      <c r="CG484" s="47">
        <v>0</v>
      </c>
      <c r="CH484" s="47">
        <v>0</v>
      </c>
      <c r="CI484" s="47">
        <v>0</v>
      </c>
      <c r="CJ484" s="47">
        <v>0</v>
      </c>
      <c r="CK484" s="47">
        <v>0</v>
      </c>
      <c r="CL484" s="47">
        <v>0</v>
      </c>
      <c r="CM484" s="47">
        <v>0</v>
      </c>
      <c r="CN484" s="47">
        <v>0</v>
      </c>
      <c r="CO484" s="47">
        <v>0</v>
      </c>
      <c r="CP484" s="47">
        <v>0</v>
      </c>
      <c r="CQ484" s="47">
        <v>0</v>
      </c>
      <c r="CR484" s="47">
        <v>0</v>
      </c>
      <c r="CS484" s="47">
        <v>0</v>
      </c>
      <c r="CT484" s="47">
        <v>0</v>
      </c>
      <c r="CU484" s="47">
        <v>0</v>
      </c>
      <c r="CV484" s="47">
        <v>0</v>
      </c>
      <c r="CW484" s="47">
        <v>0</v>
      </c>
      <c r="CX484" s="47">
        <v>0</v>
      </c>
      <c r="CY484" s="47">
        <v>0</v>
      </c>
      <c r="CZ484" s="47">
        <v>0</v>
      </c>
      <c r="DA484" s="47">
        <v>0</v>
      </c>
      <c r="DB484" s="47">
        <v>0</v>
      </c>
      <c r="DC484" s="47">
        <v>0</v>
      </c>
      <c r="DD484" s="47">
        <v>0</v>
      </c>
      <c r="DE484" s="47">
        <v>0</v>
      </c>
      <c r="DF484" s="47">
        <v>0</v>
      </c>
      <c r="DG484" s="47">
        <v>0</v>
      </c>
      <c r="DH484" s="47">
        <v>0</v>
      </c>
      <c r="DI484" s="47">
        <v>0</v>
      </c>
      <c r="DJ484" s="47">
        <v>0</v>
      </c>
      <c r="DK484" s="47">
        <v>0</v>
      </c>
      <c r="DL484" s="47">
        <v>0</v>
      </c>
      <c r="DM484" s="47">
        <v>0</v>
      </c>
      <c r="DN484" s="47">
        <v>0</v>
      </c>
      <c r="DO484" s="47">
        <v>0</v>
      </c>
      <c r="DP484" s="47">
        <v>0</v>
      </c>
      <c r="DQ484" s="47">
        <v>0</v>
      </c>
      <c r="DR484" s="47">
        <v>0</v>
      </c>
      <c r="DS484" s="47">
        <v>0</v>
      </c>
      <c r="DT484" s="47">
        <v>0</v>
      </c>
    </row>
    <row r="485" spans="1:126" x14ac:dyDescent="0.25">
      <c r="A485" s="47" t="s">
        <v>2288</v>
      </c>
      <c r="B485" s="47" t="s">
        <v>153</v>
      </c>
      <c r="C485" s="47" t="s">
        <v>2289</v>
      </c>
      <c r="D485" s="47" t="s">
        <v>2290</v>
      </c>
      <c r="E485" s="47" t="s">
        <v>2291</v>
      </c>
      <c r="F485" s="47" t="s">
        <v>698</v>
      </c>
      <c r="G485" s="47" t="s">
        <v>727</v>
      </c>
      <c r="H485" s="47" t="str">
        <f>=IFERROR(VLOOKUP(A485,'ETPT Format DDG'!A:J,10,FALSE),"")</f>
        <v>0</v>
      </c>
      <c r="I485" s="47" t="str">
        <f>='ETPT Format DDG'!M485</f>
        <v/>
      </c>
      <c r="J485" s="47" t="str">
        <f>='ETPT Format DDG'!D485</f>
        <v/>
      </c>
      <c r="K485" s="47" t="s">
        <v>157</v>
      </c>
      <c r="L485" s="47" t="s">
        <v>2137</v>
      </c>
      <c r="M485" s="47"/>
      <c r="N485" s="47">
        <v>1</v>
      </c>
      <c r="O485" s="47">
        <v>0</v>
      </c>
      <c r="P485" s="47">
        <v>0</v>
      </c>
      <c r="Q485" s="47">
        <v>0</v>
      </c>
      <c r="R485" s="47">
        <v>0</v>
      </c>
      <c r="S485" s="47">
        <v>0</v>
      </c>
      <c r="T485" s="47">
        <v>0</v>
      </c>
      <c r="U485" s="47">
        <v>0</v>
      </c>
      <c r="V485" s="47">
        <v>0</v>
      </c>
      <c r="W485" s="47">
        <v>0</v>
      </c>
      <c r="X485" s="47">
        <v>0</v>
      </c>
      <c r="Y485" s="47">
        <v>0</v>
      </c>
      <c r="Z485" s="47">
        <v>0</v>
      </c>
      <c r="AA485" s="47">
        <v>0</v>
      </c>
      <c r="AB485" s="47">
        <v>0</v>
      </c>
      <c r="AC485" s="47">
        <v>0</v>
      </c>
      <c r="AD485" s="47">
        <v>0</v>
      </c>
      <c r="AE485" s="47">
        <v>0</v>
      </c>
      <c r="AF485" s="47">
        <v>0</v>
      </c>
      <c r="AG485" s="47">
        <v>0</v>
      </c>
      <c r="AH485" s="47">
        <v>0</v>
      </c>
      <c r="AI485" s="47">
        <v>0</v>
      </c>
      <c r="AJ485" s="47">
        <v>0</v>
      </c>
      <c r="AK485" s="47">
        <v>0</v>
      </c>
      <c r="AL485" s="47">
        <v>0</v>
      </c>
      <c r="AM485" s="47">
        <v>0</v>
      </c>
      <c r="AN485" s="47">
        <v>0</v>
      </c>
      <c r="AO485" s="47">
        <v>0</v>
      </c>
      <c r="AP485" s="47">
        <v>0</v>
      </c>
      <c r="AQ485" s="47">
        <v>0</v>
      </c>
      <c r="AR485" s="47">
        <v>0</v>
      </c>
      <c r="AS485" s="47">
        <v>0</v>
      </c>
      <c r="AT485" s="47">
        <v>0</v>
      </c>
      <c r="AU485" s="47">
        <v>0</v>
      </c>
      <c r="AV485" s="47">
        <v>0</v>
      </c>
      <c r="AW485" s="47">
        <v>0</v>
      </c>
      <c r="AX485" s="47">
        <v>0</v>
      </c>
      <c r="AY485" s="47">
        <v>0</v>
      </c>
      <c r="AZ485" s="47">
        <v>0</v>
      </c>
      <c r="BA485" s="47">
        <v>0</v>
      </c>
      <c r="BB485" s="47">
        <v>0</v>
      </c>
      <c r="BC485" s="47">
        <v>0</v>
      </c>
      <c r="BD485" s="47">
        <v>0</v>
      </c>
      <c r="BE485" s="47">
        <v>0</v>
      </c>
      <c r="BF485" s="47">
        <v>0</v>
      </c>
      <c r="BG485" s="47">
        <v>0</v>
      </c>
      <c r="BH485" s="47">
        <v>0</v>
      </c>
      <c r="BI485" s="47">
        <v>0</v>
      </c>
      <c r="BJ485" s="47">
        <v>0</v>
      </c>
      <c r="BK485" s="47">
        <v>0</v>
      </c>
      <c r="BL485" s="47">
        <v>0</v>
      </c>
      <c r="BM485" s="47">
        <v>0</v>
      </c>
      <c r="BN485" s="47">
        <v>0</v>
      </c>
      <c r="BO485" s="47">
        <v>0</v>
      </c>
      <c r="BP485" s="47">
        <v>0</v>
      </c>
      <c r="BQ485" s="47">
        <v>0</v>
      </c>
      <c r="BR485" s="47">
        <v>0</v>
      </c>
      <c r="BS485" s="47">
        <v>0</v>
      </c>
      <c r="BT485" s="47">
        <v>0</v>
      </c>
      <c r="BU485" s="47">
        <v>0</v>
      </c>
      <c r="BV485" s="47">
        <v>0</v>
      </c>
      <c r="BW485" s="47">
        <v>0</v>
      </c>
      <c r="BX485" s="47">
        <v>0</v>
      </c>
      <c r="BY485" s="47">
        <v>0</v>
      </c>
      <c r="BZ485" s="47">
        <v>0</v>
      </c>
      <c r="CA485" s="47">
        <v>0</v>
      </c>
      <c r="CB485" s="47">
        <v>0</v>
      </c>
      <c r="CC485" s="47">
        <v>0</v>
      </c>
      <c r="CD485" s="47">
        <v>0</v>
      </c>
      <c r="CE485" s="47">
        <v>0</v>
      </c>
      <c r="CF485" s="47">
        <v>0</v>
      </c>
      <c r="CG485" s="47">
        <v>0</v>
      </c>
      <c r="CH485" s="47">
        <v>0</v>
      </c>
      <c r="CI485" s="47">
        <v>0</v>
      </c>
      <c r="CJ485" s="47">
        <v>0</v>
      </c>
      <c r="CK485" s="47">
        <v>0</v>
      </c>
      <c r="CL485" s="47">
        <v>0</v>
      </c>
      <c r="CM485" s="47">
        <v>0</v>
      </c>
      <c r="CN485" s="47">
        <v>0</v>
      </c>
      <c r="CO485" s="47">
        <v>0</v>
      </c>
      <c r="CP485" s="47">
        <v>0</v>
      </c>
      <c r="CQ485" s="47">
        <v>0</v>
      </c>
      <c r="CR485" s="47">
        <v>0</v>
      </c>
      <c r="CS485" s="47">
        <v>0</v>
      </c>
      <c r="CT485" s="47">
        <v>0</v>
      </c>
      <c r="CU485" s="47">
        <v>0</v>
      </c>
      <c r="CV485" s="47">
        <v>0</v>
      </c>
      <c r="CW485" s="47">
        <v>0</v>
      </c>
      <c r="CX485" s="47">
        <v>0</v>
      </c>
      <c r="CY485" s="47">
        <v>0</v>
      </c>
      <c r="CZ485" s="47">
        <v>0</v>
      </c>
      <c r="DA485" s="47">
        <v>0</v>
      </c>
      <c r="DB485" s="47">
        <v>0</v>
      </c>
      <c r="DC485" s="47">
        <v>0</v>
      </c>
      <c r="DD485" s="47">
        <v>0</v>
      </c>
      <c r="DE485" s="47">
        <v>0</v>
      </c>
      <c r="DF485" s="47">
        <v>0</v>
      </c>
      <c r="DG485" s="47">
        <v>0</v>
      </c>
      <c r="DH485" s="47">
        <v>0</v>
      </c>
      <c r="DI485" s="47">
        <v>0</v>
      </c>
      <c r="DJ485" s="47">
        <v>0</v>
      </c>
      <c r="DK485" s="47">
        <v>0</v>
      </c>
      <c r="DL485" s="47">
        <v>0</v>
      </c>
      <c r="DM485" s="47">
        <v>0</v>
      </c>
      <c r="DN485" s="47">
        <v>0</v>
      </c>
      <c r="DO485" s="47">
        <v>0</v>
      </c>
      <c r="DP485" s="47">
        <v>0</v>
      </c>
      <c r="DQ485" s="47">
        <v>0</v>
      </c>
      <c r="DR485" s="47">
        <v>0</v>
      </c>
      <c r="DS485" s="47">
        <v>0</v>
      </c>
      <c r="DT485" s="47">
        <v>0</v>
      </c>
    </row>
    <row r="486" spans="1:126" x14ac:dyDescent="0.25">
      <c r="A486" s="47" t="s">
        <v>2292</v>
      </c>
      <c r="B486" s="47" t="s">
        <v>153</v>
      </c>
      <c r="C486" s="47" t="s">
        <v>2293</v>
      </c>
      <c r="D486" s="47" t="s">
        <v>2294</v>
      </c>
      <c r="E486" s="47" t="s">
        <v>2295</v>
      </c>
      <c r="F486" s="47" t="s">
        <v>698</v>
      </c>
      <c r="G486" s="47" t="s">
        <v>727</v>
      </c>
      <c r="H486" s="47" t="str">
        <f>=IFERROR(VLOOKUP(A486,'ETPT Format DDG'!A:J,10,FALSE),"")</f>
        <v>0</v>
      </c>
      <c r="I486" s="47" t="str">
        <f>='ETPT Format DDG'!M486</f>
        <v/>
      </c>
      <c r="J486" s="47" t="str">
        <f>='ETPT Format DDG'!D486</f>
        <v/>
      </c>
      <c r="K486" s="47" t="s">
        <v>157</v>
      </c>
      <c r="L486" s="47" t="s">
        <v>1173</v>
      </c>
      <c r="M486" s="47"/>
      <c r="N486" s="47">
        <v>0.8</v>
      </c>
      <c r="O486" s="47">
        <v>0</v>
      </c>
      <c r="P486" s="47">
        <v>0</v>
      </c>
      <c r="Q486" s="47">
        <v>0</v>
      </c>
      <c r="R486" s="47">
        <v>0</v>
      </c>
      <c r="S486" s="47">
        <v>0</v>
      </c>
      <c r="T486" s="47">
        <v>0</v>
      </c>
      <c r="U486" s="47">
        <v>0</v>
      </c>
      <c r="V486" s="47">
        <v>0</v>
      </c>
      <c r="W486" s="47">
        <v>0</v>
      </c>
      <c r="X486" s="47">
        <v>0</v>
      </c>
      <c r="Y486" s="47">
        <v>0</v>
      </c>
      <c r="Z486" s="47">
        <v>0</v>
      </c>
      <c r="AA486" s="47">
        <v>0</v>
      </c>
      <c r="AB486" s="47">
        <v>0</v>
      </c>
      <c r="AC486" s="47">
        <v>0</v>
      </c>
      <c r="AD486" s="47">
        <v>0</v>
      </c>
      <c r="AE486" s="47">
        <v>0</v>
      </c>
      <c r="AF486" s="47">
        <v>0</v>
      </c>
      <c r="AG486" s="47">
        <v>0</v>
      </c>
      <c r="AH486" s="47">
        <v>0</v>
      </c>
      <c r="AI486" s="47">
        <v>0</v>
      </c>
      <c r="AJ486" s="47">
        <v>0</v>
      </c>
      <c r="AK486" s="47">
        <v>0</v>
      </c>
      <c r="AL486" s="47">
        <v>0</v>
      </c>
      <c r="AM486" s="47">
        <v>0</v>
      </c>
      <c r="AN486" s="47">
        <v>0</v>
      </c>
      <c r="AO486" s="47">
        <v>0</v>
      </c>
      <c r="AP486" s="47">
        <v>0</v>
      </c>
      <c r="AQ486" s="47">
        <v>0</v>
      </c>
      <c r="AR486" s="47">
        <v>0</v>
      </c>
      <c r="AS486" s="47">
        <v>0</v>
      </c>
      <c r="AT486" s="47">
        <v>0</v>
      </c>
      <c r="AU486" s="47">
        <v>0</v>
      </c>
      <c r="AV486" s="47">
        <v>0</v>
      </c>
      <c r="AW486" s="47">
        <v>0</v>
      </c>
      <c r="AX486" s="47">
        <v>0</v>
      </c>
      <c r="AY486" s="47">
        <v>0</v>
      </c>
      <c r="AZ486" s="47">
        <v>0</v>
      </c>
      <c r="BA486" s="47">
        <v>0</v>
      </c>
      <c r="BB486" s="47">
        <v>0</v>
      </c>
      <c r="BC486" s="47">
        <v>0</v>
      </c>
      <c r="BD486" s="47">
        <v>0</v>
      </c>
      <c r="BE486" s="47">
        <v>0</v>
      </c>
      <c r="BF486" s="47">
        <v>0</v>
      </c>
      <c r="BG486" s="47">
        <v>0</v>
      </c>
      <c r="BH486" s="47">
        <v>0</v>
      </c>
      <c r="BI486" s="47">
        <v>0</v>
      </c>
      <c r="BJ486" s="47">
        <v>0</v>
      </c>
      <c r="BK486" s="47">
        <v>0</v>
      </c>
      <c r="BL486" s="47">
        <v>0</v>
      </c>
      <c r="BM486" s="47">
        <v>0</v>
      </c>
      <c r="BN486" s="47">
        <v>0</v>
      </c>
      <c r="BO486" s="47">
        <v>0</v>
      </c>
      <c r="BP486" s="47">
        <v>0</v>
      </c>
      <c r="BQ486" s="47">
        <v>0</v>
      </c>
      <c r="BR486" s="47">
        <v>0</v>
      </c>
      <c r="BS486" s="47">
        <v>0</v>
      </c>
      <c r="BT486" s="47">
        <v>0</v>
      </c>
      <c r="BU486" s="47">
        <v>0</v>
      </c>
      <c r="BV486" s="47">
        <v>0</v>
      </c>
      <c r="BW486" s="47">
        <v>0</v>
      </c>
      <c r="BX486" s="47">
        <v>0</v>
      </c>
      <c r="BY486" s="47">
        <v>0</v>
      </c>
      <c r="BZ486" s="47">
        <v>0</v>
      </c>
      <c r="CA486" s="47">
        <v>0</v>
      </c>
      <c r="CB486" s="47">
        <v>0</v>
      </c>
      <c r="CC486" s="47">
        <v>0</v>
      </c>
      <c r="CD486" s="47">
        <v>0</v>
      </c>
      <c r="CE486" s="47">
        <v>0</v>
      </c>
      <c r="CF486" s="47">
        <v>0</v>
      </c>
      <c r="CG486" s="47">
        <v>0</v>
      </c>
      <c r="CH486" s="47">
        <v>0</v>
      </c>
      <c r="CI486" s="47">
        <v>0</v>
      </c>
      <c r="CJ486" s="47">
        <v>0</v>
      </c>
      <c r="CK486" s="47">
        <v>0</v>
      </c>
      <c r="CL486" s="47">
        <v>0</v>
      </c>
      <c r="CM486" s="47">
        <v>0</v>
      </c>
      <c r="CN486" s="47">
        <v>0</v>
      </c>
      <c r="CO486" s="47">
        <v>0</v>
      </c>
      <c r="CP486" s="47">
        <v>0</v>
      </c>
      <c r="CQ486" s="47">
        <v>0</v>
      </c>
      <c r="CR486" s="47">
        <v>0</v>
      </c>
      <c r="CS486" s="47">
        <v>0</v>
      </c>
      <c r="CT486" s="47">
        <v>0</v>
      </c>
      <c r="CU486" s="47">
        <v>0</v>
      </c>
      <c r="CV486" s="47">
        <v>0</v>
      </c>
      <c r="CW486" s="47">
        <v>0</v>
      </c>
      <c r="CX486" s="47">
        <v>0</v>
      </c>
      <c r="CY486" s="47">
        <v>0</v>
      </c>
      <c r="CZ486" s="47">
        <v>0</v>
      </c>
      <c r="DA486" s="47">
        <v>0</v>
      </c>
      <c r="DB486" s="47">
        <v>0</v>
      </c>
      <c r="DC486" s="47">
        <v>0</v>
      </c>
      <c r="DD486" s="47">
        <v>0</v>
      </c>
      <c r="DE486" s="47">
        <v>0</v>
      </c>
      <c r="DF486" s="47">
        <v>0</v>
      </c>
      <c r="DG486" s="47">
        <v>0</v>
      </c>
      <c r="DH486" s="47">
        <v>0</v>
      </c>
      <c r="DI486" s="47">
        <v>0</v>
      </c>
      <c r="DJ486" s="47">
        <v>0</v>
      </c>
      <c r="DK486" s="47">
        <v>0</v>
      </c>
      <c r="DL486" s="47">
        <v>0</v>
      </c>
      <c r="DM486" s="47">
        <v>0</v>
      </c>
      <c r="DN486" s="47">
        <v>0</v>
      </c>
      <c r="DO486" s="47">
        <v>0</v>
      </c>
      <c r="DP486" s="47">
        <v>0</v>
      </c>
      <c r="DQ486" s="47">
        <v>0</v>
      </c>
      <c r="DR486" s="47">
        <v>0</v>
      </c>
      <c r="DS486" s="47">
        <v>0</v>
      </c>
      <c r="DT486" s="47">
        <v>0</v>
      </c>
    </row>
    <row r="487" spans="1:126" x14ac:dyDescent="0.25">
      <c r="A487" s="47" t="s">
        <v>2296</v>
      </c>
      <c r="B487" s="47" t="s">
        <v>153</v>
      </c>
      <c r="C487" s="47" t="s">
        <v>2297</v>
      </c>
      <c r="D487" s="47" t="s">
        <v>2298</v>
      </c>
      <c r="E487" s="47" t="s">
        <v>2299</v>
      </c>
      <c r="F487" s="47" t="s">
        <v>698</v>
      </c>
      <c r="G487" s="47" t="s">
        <v>727</v>
      </c>
      <c r="H487" s="47" t="str">
        <f>=IFERROR(VLOOKUP(A487,'ETPT Format DDG'!A:J,10,FALSE),"")</f>
        <v>0</v>
      </c>
      <c r="I487" s="47" t="str">
        <f>='ETPT Format DDG'!M487</f>
        <v/>
      </c>
      <c r="J487" s="47" t="str">
        <f>='ETPT Format DDG'!D487</f>
        <v/>
      </c>
      <c r="K487" s="47" t="s">
        <v>157</v>
      </c>
      <c r="L487" s="47" t="s">
        <v>816</v>
      </c>
      <c r="M487" s="47"/>
      <c r="N487" s="47">
        <v>0.8</v>
      </c>
      <c r="O487" s="47">
        <v>0</v>
      </c>
      <c r="P487" s="47">
        <v>0</v>
      </c>
      <c r="Q487" s="47">
        <v>0</v>
      </c>
      <c r="R487" s="47">
        <v>0</v>
      </c>
      <c r="S487" s="47">
        <v>0</v>
      </c>
      <c r="T487" s="47">
        <v>0</v>
      </c>
      <c r="U487" s="47">
        <v>0</v>
      </c>
      <c r="V487" s="47">
        <v>0</v>
      </c>
      <c r="W487" s="47">
        <v>0</v>
      </c>
      <c r="X487" s="47">
        <v>0</v>
      </c>
      <c r="Y487" s="47">
        <v>0</v>
      </c>
      <c r="Z487" s="47">
        <v>0</v>
      </c>
      <c r="AA487" s="47">
        <v>0</v>
      </c>
      <c r="AB487" s="47">
        <v>0</v>
      </c>
      <c r="AC487" s="47">
        <v>0</v>
      </c>
      <c r="AD487" s="47">
        <v>0</v>
      </c>
      <c r="AE487" s="47">
        <v>0</v>
      </c>
      <c r="AF487" s="47">
        <v>0</v>
      </c>
      <c r="AG487" s="47">
        <v>0</v>
      </c>
      <c r="AH487" s="47">
        <v>0</v>
      </c>
      <c r="AI487" s="47">
        <v>0</v>
      </c>
      <c r="AJ487" s="47">
        <v>0</v>
      </c>
      <c r="AK487" s="47">
        <v>0</v>
      </c>
      <c r="AL487" s="47">
        <v>0</v>
      </c>
      <c r="AM487" s="47">
        <v>0</v>
      </c>
      <c r="AN487" s="47">
        <v>0</v>
      </c>
      <c r="AO487" s="47">
        <v>0</v>
      </c>
      <c r="AP487" s="47">
        <v>0</v>
      </c>
      <c r="AQ487" s="47">
        <v>0</v>
      </c>
      <c r="AR487" s="47">
        <v>0</v>
      </c>
      <c r="AS487" s="47">
        <v>0</v>
      </c>
      <c r="AT487" s="47">
        <v>0</v>
      </c>
      <c r="AU487" s="47">
        <v>0</v>
      </c>
      <c r="AV487" s="47">
        <v>0</v>
      </c>
      <c r="AW487" s="47">
        <v>0</v>
      </c>
      <c r="AX487" s="47">
        <v>0</v>
      </c>
      <c r="AY487" s="47">
        <v>0</v>
      </c>
      <c r="AZ487" s="47">
        <v>0</v>
      </c>
      <c r="BA487" s="47">
        <v>0</v>
      </c>
      <c r="BB487" s="47">
        <v>0</v>
      </c>
      <c r="BC487" s="47">
        <v>0</v>
      </c>
      <c r="BD487" s="47">
        <v>0</v>
      </c>
      <c r="BE487" s="47">
        <v>0</v>
      </c>
      <c r="BF487" s="47">
        <v>0</v>
      </c>
      <c r="BG487" s="47">
        <v>0</v>
      </c>
      <c r="BH487" s="47">
        <v>0</v>
      </c>
      <c r="BI487" s="47">
        <v>0</v>
      </c>
      <c r="BJ487" s="47">
        <v>0</v>
      </c>
      <c r="BK487" s="47">
        <v>0</v>
      </c>
      <c r="BL487" s="47">
        <v>0</v>
      </c>
      <c r="BM487" s="47">
        <v>0</v>
      </c>
      <c r="BN487" s="47">
        <v>0</v>
      </c>
      <c r="BO487" s="47">
        <v>0</v>
      </c>
      <c r="BP487" s="47">
        <v>0</v>
      </c>
      <c r="BQ487" s="47">
        <v>0</v>
      </c>
      <c r="BR487" s="47">
        <v>0</v>
      </c>
      <c r="BS487" s="47">
        <v>0</v>
      </c>
      <c r="BT487" s="47">
        <v>0</v>
      </c>
      <c r="BU487" s="47">
        <v>0</v>
      </c>
      <c r="BV487" s="47">
        <v>0</v>
      </c>
      <c r="BW487" s="47">
        <v>0</v>
      </c>
      <c r="BX487" s="47">
        <v>0</v>
      </c>
      <c r="BY487" s="47">
        <v>0</v>
      </c>
      <c r="BZ487" s="47">
        <v>0</v>
      </c>
      <c r="CA487" s="47">
        <v>0</v>
      </c>
      <c r="CB487" s="47">
        <v>0</v>
      </c>
      <c r="CC487" s="47">
        <v>0</v>
      </c>
      <c r="CD487" s="47">
        <v>0</v>
      </c>
      <c r="CE487" s="47">
        <v>0</v>
      </c>
      <c r="CF487" s="47">
        <v>0</v>
      </c>
      <c r="CG487" s="47">
        <v>0</v>
      </c>
      <c r="CH487" s="47">
        <v>0</v>
      </c>
      <c r="CI487" s="47">
        <v>0</v>
      </c>
      <c r="CJ487" s="47">
        <v>0</v>
      </c>
      <c r="CK487" s="47">
        <v>0</v>
      </c>
      <c r="CL487" s="47">
        <v>0</v>
      </c>
      <c r="CM487" s="47">
        <v>0</v>
      </c>
      <c r="CN487" s="47">
        <v>0</v>
      </c>
      <c r="CO487" s="47">
        <v>0</v>
      </c>
      <c r="CP487" s="47">
        <v>0</v>
      </c>
      <c r="CQ487" s="47">
        <v>0</v>
      </c>
      <c r="CR487" s="47">
        <v>0</v>
      </c>
      <c r="CS487" s="47">
        <v>0</v>
      </c>
      <c r="CT487" s="47">
        <v>0</v>
      </c>
      <c r="CU487" s="47">
        <v>0</v>
      </c>
      <c r="CV487" s="47">
        <v>0</v>
      </c>
      <c r="CW487" s="47">
        <v>0</v>
      </c>
      <c r="CX487" s="47">
        <v>0</v>
      </c>
      <c r="CY487" s="47">
        <v>0</v>
      </c>
      <c r="CZ487" s="47">
        <v>0</v>
      </c>
      <c r="DA487" s="47">
        <v>0</v>
      </c>
      <c r="DB487" s="47">
        <v>0</v>
      </c>
      <c r="DC487" s="47">
        <v>0</v>
      </c>
      <c r="DD487" s="47">
        <v>0</v>
      </c>
      <c r="DE487" s="47">
        <v>0</v>
      </c>
      <c r="DF487" s="47">
        <v>0</v>
      </c>
      <c r="DG487" s="47">
        <v>0</v>
      </c>
      <c r="DH487" s="47">
        <v>0</v>
      </c>
      <c r="DI487" s="47">
        <v>0</v>
      </c>
      <c r="DJ487" s="47">
        <v>0</v>
      </c>
      <c r="DK487" s="47">
        <v>0</v>
      </c>
      <c r="DL487" s="47">
        <v>0</v>
      </c>
      <c r="DM487" s="47">
        <v>0</v>
      </c>
      <c r="DN487" s="47">
        <v>0</v>
      </c>
      <c r="DO487" s="47">
        <v>0</v>
      </c>
      <c r="DP487" s="47">
        <v>0</v>
      </c>
      <c r="DQ487" s="47">
        <v>0</v>
      </c>
      <c r="DR487" s="47">
        <v>0</v>
      </c>
      <c r="DS487" s="47">
        <v>0</v>
      </c>
      <c r="DT487" s="47">
        <v>0</v>
      </c>
    </row>
    <row r="488" spans="1:126" x14ac:dyDescent="0.25">
      <c r="A488" s="47" t="s">
        <v>2300</v>
      </c>
      <c r="B488" s="47" t="s">
        <v>153</v>
      </c>
      <c r="C488" s="47" t="s">
        <v>2301</v>
      </c>
      <c r="D488" s="47" t="s">
        <v>2302</v>
      </c>
      <c r="E488" s="47" t="s">
        <v>2303</v>
      </c>
      <c r="F488" s="47" t="s">
        <v>698</v>
      </c>
      <c r="G488" s="47" t="s">
        <v>727</v>
      </c>
      <c r="H488" s="47" t="str">
        <f>=IFERROR(VLOOKUP(A488,'ETPT Format DDG'!A:J,10,FALSE),"")</f>
        <v>0</v>
      </c>
      <c r="I488" s="47" t="str">
        <f>='ETPT Format DDG'!M488</f>
        <v/>
      </c>
      <c r="J488" s="47" t="str">
        <f>='ETPT Format DDG'!D488</f>
        <v/>
      </c>
      <c r="K488" s="47" t="s">
        <v>157</v>
      </c>
      <c r="L488" s="47" t="s">
        <v>2304</v>
      </c>
      <c r="M488" s="47"/>
      <c r="N488" s="47">
        <v>1</v>
      </c>
      <c r="O488" s="47">
        <v>0</v>
      </c>
      <c r="P488" s="47">
        <v>0</v>
      </c>
      <c r="Q488" s="47">
        <v>0</v>
      </c>
      <c r="R488" s="47">
        <v>0</v>
      </c>
      <c r="S488" s="47">
        <v>0</v>
      </c>
      <c r="T488" s="47">
        <v>0</v>
      </c>
      <c r="U488" s="47">
        <v>0</v>
      </c>
      <c r="V488" s="47">
        <v>0</v>
      </c>
      <c r="W488" s="47">
        <v>0</v>
      </c>
      <c r="X488" s="47">
        <v>0</v>
      </c>
      <c r="Y488" s="47">
        <v>0</v>
      </c>
      <c r="Z488" s="47">
        <v>0</v>
      </c>
      <c r="AA488" s="47">
        <v>0</v>
      </c>
      <c r="AB488" s="47">
        <v>0</v>
      </c>
      <c r="AC488" s="47">
        <v>0</v>
      </c>
      <c r="AD488" s="47">
        <v>0</v>
      </c>
      <c r="AE488" s="47">
        <v>0</v>
      </c>
      <c r="AF488" s="47">
        <v>0</v>
      </c>
      <c r="AG488" s="47">
        <v>0</v>
      </c>
      <c r="AH488" s="47">
        <v>0</v>
      </c>
      <c r="AI488" s="47">
        <v>0</v>
      </c>
      <c r="AJ488" s="47">
        <v>0</v>
      </c>
      <c r="AK488" s="47">
        <v>0</v>
      </c>
      <c r="AL488" s="47">
        <v>0</v>
      </c>
      <c r="AM488" s="47">
        <v>0</v>
      </c>
      <c r="AN488" s="47">
        <v>0</v>
      </c>
      <c r="AO488" s="47">
        <v>0</v>
      </c>
      <c r="AP488" s="47">
        <v>0</v>
      </c>
      <c r="AQ488" s="47">
        <v>0</v>
      </c>
      <c r="AR488" s="47">
        <v>0</v>
      </c>
      <c r="AS488" s="47">
        <v>0</v>
      </c>
      <c r="AT488" s="47">
        <v>0</v>
      </c>
      <c r="AU488" s="47">
        <v>0</v>
      </c>
      <c r="AV488" s="47">
        <v>0</v>
      </c>
      <c r="AW488" s="47">
        <v>0</v>
      </c>
      <c r="AX488" s="47">
        <v>0</v>
      </c>
      <c r="AY488" s="47">
        <v>0</v>
      </c>
      <c r="AZ488" s="47">
        <v>0</v>
      </c>
      <c r="BA488" s="47">
        <v>0</v>
      </c>
      <c r="BB488" s="47">
        <v>0</v>
      </c>
      <c r="BC488" s="47">
        <v>0</v>
      </c>
      <c r="BD488" s="47">
        <v>0</v>
      </c>
      <c r="BE488" s="47">
        <v>0</v>
      </c>
      <c r="BF488" s="47">
        <v>0</v>
      </c>
      <c r="BG488" s="47">
        <v>0</v>
      </c>
      <c r="BH488" s="47">
        <v>0</v>
      </c>
      <c r="BI488" s="47">
        <v>0</v>
      </c>
      <c r="BJ488" s="47">
        <v>0</v>
      </c>
      <c r="BK488" s="47">
        <v>0</v>
      </c>
      <c r="BL488" s="47">
        <v>0</v>
      </c>
      <c r="BM488" s="47">
        <v>0</v>
      </c>
      <c r="BN488" s="47">
        <v>0</v>
      </c>
      <c r="BO488" s="47">
        <v>0</v>
      </c>
      <c r="BP488" s="47">
        <v>0</v>
      </c>
      <c r="BQ488" s="47">
        <v>0</v>
      </c>
      <c r="BR488" s="47">
        <v>0</v>
      </c>
      <c r="BS488" s="47">
        <v>0</v>
      </c>
      <c r="BT488" s="47">
        <v>0</v>
      </c>
      <c r="BU488" s="47">
        <v>0</v>
      </c>
      <c r="BV488" s="47">
        <v>0</v>
      </c>
      <c r="BW488" s="47">
        <v>0</v>
      </c>
      <c r="BX488" s="47">
        <v>0</v>
      </c>
      <c r="BY488" s="47">
        <v>0</v>
      </c>
      <c r="BZ488" s="47">
        <v>0</v>
      </c>
      <c r="CA488" s="47">
        <v>0</v>
      </c>
      <c r="CB488" s="47">
        <v>0</v>
      </c>
      <c r="CC488" s="47">
        <v>0</v>
      </c>
      <c r="CD488" s="47">
        <v>0</v>
      </c>
      <c r="CE488" s="47">
        <v>0</v>
      </c>
      <c r="CF488" s="47">
        <v>0</v>
      </c>
      <c r="CG488" s="47">
        <v>0</v>
      </c>
      <c r="CH488" s="47">
        <v>0</v>
      </c>
      <c r="CI488" s="47">
        <v>0</v>
      </c>
      <c r="CJ488" s="47">
        <v>0</v>
      </c>
      <c r="CK488" s="47">
        <v>0</v>
      </c>
      <c r="CL488" s="47">
        <v>0</v>
      </c>
      <c r="CM488" s="47">
        <v>0</v>
      </c>
      <c r="CN488" s="47">
        <v>0</v>
      </c>
      <c r="CO488" s="47">
        <v>0</v>
      </c>
      <c r="CP488" s="47">
        <v>0</v>
      </c>
      <c r="CQ488" s="47">
        <v>0</v>
      </c>
      <c r="CR488" s="47">
        <v>0</v>
      </c>
      <c r="CS488" s="47">
        <v>0</v>
      </c>
      <c r="CT488" s="47">
        <v>0</v>
      </c>
      <c r="CU488" s="47">
        <v>0</v>
      </c>
      <c r="CV488" s="47">
        <v>0</v>
      </c>
      <c r="CW488" s="47">
        <v>0</v>
      </c>
      <c r="CX488" s="47">
        <v>0</v>
      </c>
      <c r="CY488" s="47">
        <v>0</v>
      </c>
      <c r="CZ488" s="47">
        <v>0</v>
      </c>
      <c r="DA488" s="47">
        <v>0</v>
      </c>
      <c r="DB488" s="47">
        <v>0</v>
      </c>
      <c r="DC488" s="47">
        <v>0</v>
      </c>
      <c r="DD488" s="47">
        <v>0</v>
      </c>
      <c r="DE488" s="47">
        <v>0</v>
      </c>
      <c r="DF488" s="47">
        <v>0</v>
      </c>
      <c r="DG488" s="47">
        <v>0</v>
      </c>
      <c r="DH488" s="47">
        <v>0</v>
      </c>
      <c r="DI488" s="47">
        <v>0</v>
      </c>
      <c r="DJ488" s="47">
        <v>0</v>
      </c>
      <c r="DK488" s="47">
        <v>0</v>
      </c>
      <c r="DL488" s="47">
        <v>0</v>
      </c>
      <c r="DM488" s="47">
        <v>0</v>
      </c>
      <c r="DN488" s="47">
        <v>0</v>
      </c>
      <c r="DO488" s="47">
        <v>0</v>
      </c>
      <c r="DP488" s="47">
        <v>0</v>
      </c>
      <c r="DQ488" s="47">
        <v>0</v>
      </c>
      <c r="DR488" s="47">
        <v>0</v>
      </c>
      <c r="DS488" s="47">
        <v>0</v>
      </c>
      <c r="DT488" s="47">
        <v>0</v>
      </c>
    </row>
    <row r="489" spans="1:126" x14ac:dyDescent="0.25">
      <c r="A489" s="47" t="s">
        <v>2305</v>
      </c>
      <c r="B489" s="47" t="s">
        <v>153</v>
      </c>
      <c r="C489" s="47" t="s">
        <v>2306</v>
      </c>
      <c r="D489" s="47" t="s">
        <v>2307</v>
      </c>
      <c r="E489" s="47" t="s">
        <v>2308</v>
      </c>
      <c r="F489" s="47" t="s">
        <v>698</v>
      </c>
      <c r="G489" s="47" t="s">
        <v>705</v>
      </c>
      <c r="H489" s="47" t="str">
        <f>=IFERROR(VLOOKUP(A489,'ETPT Format DDG'!A:J,10,FALSE),"")</f>
        <v>0</v>
      </c>
      <c r="I489" s="47" t="str">
        <f>='ETPT Format DDG'!M489</f>
        <v/>
      </c>
      <c r="J489" s="47" t="str">
        <f>='ETPT Format DDG'!D489</f>
        <v/>
      </c>
      <c r="K489" s="47" t="s">
        <v>157</v>
      </c>
      <c r="L489" s="47" t="s">
        <v>722</v>
      </c>
      <c r="M489" s="47"/>
      <c r="N489" s="47">
        <v>1</v>
      </c>
      <c r="O489" s="47">
        <v>0</v>
      </c>
      <c r="P489" s="47">
        <v>0</v>
      </c>
      <c r="Q489" s="47">
        <v>0</v>
      </c>
      <c r="R489" s="47">
        <v>0</v>
      </c>
      <c r="S489" s="47">
        <v>0</v>
      </c>
      <c r="T489" s="47">
        <v>0</v>
      </c>
      <c r="U489" s="47">
        <v>0</v>
      </c>
      <c r="V489" s="47">
        <v>0</v>
      </c>
      <c r="W489" s="47">
        <v>0</v>
      </c>
      <c r="X489" s="47">
        <v>0</v>
      </c>
      <c r="Y489" s="47">
        <v>0</v>
      </c>
      <c r="Z489" s="47">
        <v>0</v>
      </c>
      <c r="AA489" s="47">
        <v>0</v>
      </c>
      <c r="AB489" s="47">
        <v>0</v>
      </c>
      <c r="AC489" s="47">
        <v>0</v>
      </c>
      <c r="AD489" s="47">
        <v>0</v>
      </c>
      <c r="AE489" s="47">
        <v>0</v>
      </c>
      <c r="AF489" s="47">
        <v>0</v>
      </c>
      <c r="AG489" s="47">
        <v>0</v>
      </c>
      <c r="AH489" s="47">
        <v>0</v>
      </c>
      <c r="AI489" s="47">
        <v>0</v>
      </c>
      <c r="AJ489" s="47">
        <v>0</v>
      </c>
      <c r="AK489" s="47">
        <v>0</v>
      </c>
      <c r="AL489" s="47">
        <v>0</v>
      </c>
      <c r="AM489" s="47">
        <v>0</v>
      </c>
      <c r="AN489" s="47">
        <v>0</v>
      </c>
      <c r="AO489" s="47">
        <v>0</v>
      </c>
      <c r="AP489" s="47">
        <v>0</v>
      </c>
      <c r="AQ489" s="47">
        <v>0</v>
      </c>
      <c r="AR489" s="47">
        <v>0</v>
      </c>
      <c r="AS489" s="47">
        <v>0</v>
      </c>
      <c r="AT489" s="47">
        <v>0</v>
      </c>
      <c r="AU489" s="47">
        <v>0</v>
      </c>
      <c r="AV489" s="47">
        <v>0</v>
      </c>
      <c r="AW489" s="47">
        <v>0</v>
      </c>
      <c r="AX489" s="47">
        <v>0</v>
      </c>
      <c r="AY489" s="47">
        <v>0</v>
      </c>
      <c r="AZ489" s="47">
        <v>0</v>
      </c>
      <c r="BA489" s="47">
        <v>0</v>
      </c>
      <c r="BB489" s="47">
        <v>0</v>
      </c>
      <c r="BC489" s="47">
        <v>0</v>
      </c>
      <c r="BD489" s="47">
        <v>0</v>
      </c>
      <c r="BE489" s="47">
        <v>0</v>
      </c>
      <c r="BF489" s="47">
        <v>0</v>
      </c>
      <c r="BG489" s="47">
        <v>0</v>
      </c>
      <c r="BH489" s="47">
        <v>0</v>
      </c>
      <c r="BI489" s="47">
        <v>0</v>
      </c>
      <c r="BJ489" s="47">
        <v>0</v>
      </c>
      <c r="BK489" s="47">
        <v>0</v>
      </c>
      <c r="BL489" s="47">
        <v>0</v>
      </c>
      <c r="BM489" s="47">
        <v>0</v>
      </c>
      <c r="BN489" s="47">
        <v>0</v>
      </c>
      <c r="BO489" s="47">
        <v>0</v>
      </c>
      <c r="BP489" s="47">
        <v>0</v>
      </c>
      <c r="BQ489" s="47">
        <v>0</v>
      </c>
      <c r="BR489" s="47">
        <v>0</v>
      </c>
      <c r="BS489" s="47">
        <v>0</v>
      </c>
      <c r="BT489" s="47">
        <v>0</v>
      </c>
      <c r="BU489" s="47">
        <v>0</v>
      </c>
      <c r="BV489" s="47">
        <v>0</v>
      </c>
      <c r="BW489" s="47">
        <v>0</v>
      </c>
      <c r="BX489" s="47">
        <v>0</v>
      </c>
      <c r="BY489" s="47">
        <v>0</v>
      </c>
      <c r="BZ489" s="47">
        <v>0</v>
      </c>
      <c r="CA489" s="47">
        <v>0</v>
      </c>
      <c r="CB489" s="47">
        <v>0</v>
      </c>
      <c r="CC489" s="47">
        <v>0</v>
      </c>
      <c r="CD489" s="47">
        <v>0</v>
      </c>
      <c r="CE489" s="47">
        <v>0</v>
      </c>
      <c r="CF489" s="47">
        <v>0</v>
      </c>
      <c r="CG489" s="47">
        <v>0</v>
      </c>
      <c r="CH489" s="47">
        <v>0</v>
      </c>
      <c r="CI489" s="47">
        <v>0</v>
      </c>
      <c r="CJ489" s="47">
        <v>0</v>
      </c>
      <c r="CK489" s="47">
        <v>0</v>
      </c>
      <c r="CL489" s="47">
        <v>0</v>
      </c>
      <c r="CM489" s="47">
        <v>0</v>
      </c>
      <c r="CN489" s="47">
        <v>0</v>
      </c>
      <c r="CO489" s="47">
        <v>0</v>
      </c>
      <c r="CP489" s="47">
        <v>0</v>
      </c>
      <c r="CQ489" s="47">
        <v>0</v>
      </c>
      <c r="CR489" s="47">
        <v>0</v>
      </c>
      <c r="CS489" s="47">
        <v>0</v>
      </c>
      <c r="CT489" s="47">
        <v>0</v>
      </c>
      <c r="CU489" s="47">
        <v>0</v>
      </c>
      <c r="CV489" s="47">
        <v>0</v>
      </c>
      <c r="CW489" s="47">
        <v>0</v>
      </c>
      <c r="CX489" s="47">
        <v>0</v>
      </c>
      <c r="CY489" s="47">
        <v>0</v>
      </c>
      <c r="CZ489" s="47">
        <v>0</v>
      </c>
      <c r="DA489" s="47">
        <v>0</v>
      </c>
      <c r="DB489" s="47">
        <v>0</v>
      </c>
      <c r="DC489" s="47">
        <v>0</v>
      </c>
      <c r="DD489" s="47">
        <v>0</v>
      </c>
      <c r="DE489" s="47">
        <v>0</v>
      </c>
      <c r="DF489" s="47">
        <v>0</v>
      </c>
      <c r="DG489" s="47">
        <v>0</v>
      </c>
      <c r="DH489" s="47">
        <v>0</v>
      </c>
      <c r="DI489" s="47">
        <v>0</v>
      </c>
      <c r="DJ489" s="47">
        <v>0</v>
      </c>
      <c r="DK489" s="47">
        <v>0</v>
      </c>
      <c r="DL489" s="47">
        <v>0</v>
      </c>
      <c r="DM489" s="47">
        <v>0</v>
      </c>
      <c r="DN489" s="47">
        <v>0</v>
      </c>
      <c r="DO489" s="47">
        <v>0</v>
      </c>
      <c r="DP489" s="47">
        <v>0</v>
      </c>
      <c r="DQ489" s="47">
        <v>0</v>
      </c>
      <c r="DR489" s="47">
        <v>0</v>
      </c>
      <c r="DS489" s="47">
        <v>0</v>
      </c>
      <c r="DT489" s="47">
        <v>0</v>
      </c>
    </row>
    <row r="490" spans="1:126" x14ac:dyDescent="0.25">
      <c r="A490" s="47" t="s">
        <v>2309</v>
      </c>
      <c r="B490" s="47" t="s">
        <v>153</v>
      </c>
      <c r="C490" s="47" t="s">
        <v>2310</v>
      </c>
      <c r="D490" s="47" t="s">
        <v>2311</v>
      </c>
      <c r="E490" s="47" t="s">
        <v>2312</v>
      </c>
      <c r="F490" s="47" t="s">
        <v>698</v>
      </c>
      <c r="G490" s="47" t="s">
        <v>705</v>
      </c>
      <c r="H490" s="47" t="str">
        <f>=IFERROR(VLOOKUP(A490,'ETPT Format DDG'!A:J,10,FALSE),"")</f>
        <v>0</v>
      </c>
      <c r="I490" s="47" t="str">
        <f>='ETPT Format DDG'!M490</f>
        <v/>
      </c>
      <c r="J490" s="47" t="str">
        <f>='ETPT Format DDG'!D490</f>
        <v/>
      </c>
      <c r="K490" s="47" t="s">
        <v>157</v>
      </c>
      <c r="L490" s="47" t="s">
        <v>2313</v>
      </c>
      <c r="M490" s="47"/>
      <c r="N490" s="47">
        <v>1</v>
      </c>
      <c r="O490" s="47">
        <v>0</v>
      </c>
      <c r="P490" s="47">
        <v>0</v>
      </c>
      <c r="Q490" s="47">
        <v>0</v>
      </c>
      <c r="R490" s="47">
        <v>0</v>
      </c>
      <c r="S490" s="47">
        <v>0</v>
      </c>
      <c r="T490" s="47">
        <v>0</v>
      </c>
      <c r="U490" s="47">
        <v>0</v>
      </c>
      <c r="V490" s="47">
        <v>0</v>
      </c>
      <c r="W490" s="47">
        <v>0</v>
      </c>
      <c r="X490" s="47">
        <v>0</v>
      </c>
      <c r="Y490" s="47">
        <v>0</v>
      </c>
      <c r="Z490" s="47">
        <v>0</v>
      </c>
      <c r="AA490" s="47">
        <v>0</v>
      </c>
      <c r="AB490" s="47">
        <v>0</v>
      </c>
      <c r="AC490" s="47">
        <v>0</v>
      </c>
      <c r="AD490" s="47">
        <v>0</v>
      </c>
      <c r="AE490" s="47">
        <v>0</v>
      </c>
      <c r="AF490" s="47">
        <v>0</v>
      </c>
      <c r="AG490" s="47">
        <v>0</v>
      </c>
      <c r="AH490" s="47">
        <v>0</v>
      </c>
      <c r="AI490" s="47">
        <v>0</v>
      </c>
      <c r="AJ490" s="47">
        <v>0</v>
      </c>
      <c r="AK490" s="47">
        <v>0</v>
      </c>
      <c r="AL490" s="47">
        <v>0</v>
      </c>
      <c r="AM490" s="47">
        <v>0</v>
      </c>
      <c r="AN490" s="47">
        <v>0</v>
      </c>
      <c r="AO490" s="47">
        <v>0</v>
      </c>
      <c r="AP490" s="47">
        <v>0</v>
      </c>
      <c r="AQ490" s="47">
        <v>0</v>
      </c>
      <c r="AR490" s="47">
        <v>0</v>
      </c>
      <c r="AS490" s="47">
        <v>0</v>
      </c>
      <c r="AT490" s="47">
        <v>0</v>
      </c>
      <c r="AU490" s="47">
        <v>0</v>
      </c>
      <c r="AV490" s="47">
        <v>0</v>
      </c>
      <c r="AW490" s="47">
        <v>0</v>
      </c>
      <c r="AX490" s="47">
        <v>0</v>
      </c>
      <c r="AY490" s="47">
        <v>0</v>
      </c>
      <c r="AZ490" s="47">
        <v>0</v>
      </c>
      <c r="BA490" s="47">
        <v>0</v>
      </c>
      <c r="BB490" s="47">
        <v>0</v>
      </c>
      <c r="BC490" s="47">
        <v>0</v>
      </c>
      <c r="BD490" s="47">
        <v>0</v>
      </c>
      <c r="BE490" s="47">
        <v>0</v>
      </c>
      <c r="BF490" s="47">
        <v>0</v>
      </c>
      <c r="BG490" s="47">
        <v>0</v>
      </c>
      <c r="BH490" s="47">
        <v>0</v>
      </c>
      <c r="BI490" s="47">
        <v>0</v>
      </c>
      <c r="BJ490" s="47">
        <v>0</v>
      </c>
      <c r="BK490" s="47">
        <v>0</v>
      </c>
      <c r="BL490" s="47">
        <v>0</v>
      </c>
      <c r="BM490" s="47">
        <v>0</v>
      </c>
      <c r="BN490" s="47">
        <v>0</v>
      </c>
      <c r="BO490" s="47">
        <v>0</v>
      </c>
      <c r="BP490" s="47">
        <v>0</v>
      </c>
      <c r="BQ490" s="47">
        <v>0</v>
      </c>
      <c r="BR490" s="47">
        <v>0</v>
      </c>
      <c r="BS490" s="47">
        <v>0</v>
      </c>
      <c r="BT490" s="47">
        <v>0</v>
      </c>
      <c r="BU490" s="47">
        <v>0</v>
      </c>
      <c r="BV490" s="47">
        <v>0</v>
      </c>
      <c r="BW490" s="47">
        <v>0</v>
      </c>
      <c r="BX490" s="47">
        <v>0</v>
      </c>
      <c r="BY490" s="47">
        <v>0</v>
      </c>
      <c r="BZ490" s="47">
        <v>0</v>
      </c>
      <c r="CA490" s="47">
        <v>0</v>
      </c>
      <c r="CB490" s="47">
        <v>0</v>
      </c>
      <c r="CC490" s="47">
        <v>0</v>
      </c>
      <c r="CD490" s="47">
        <v>0</v>
      </c>
      <c r="CE490" s="47">
        <v>0</v>
      </c>
      <c r="CF490" s="47">
        <v>0</v>
      </c>
      <c r="CG490" s="47">
        <v>0</v>
      </c>
      <c r="CH490" s="47">
        <v>0</v>
      </c>
      <c r="CI490" s="47">
        <v>0</v>
      </c>
      <c r="CJ490" s="47">
        <v>0</v>
      </c>
      <c r="CK490" s="47">
        <v>0</v>
      </c>
      <c r="CL490" s="47">
        <v>0</v>
      </c>
      <c r="CM490" s="47">
        <v>0</v>
      </c>
      <c r="CN490" s="47">
        <v>0</v>
      </c>
      <c r="CO490" s="47">
        <v>0</v>
      </c>
      <c r="CP490" s="47">
        <v>0</v>
      </c>
      <c r="CQ490" s="47">
        <v>0</v>
      </c>
      <c r="CR490" s="47">
        <v>0</v>
      </c>
      <c r="CS490" s="47">
        <v>0</v>
      </c>
      <c r="CT490" s="47">
        <v>0</v>
      </c>
      <c r="CU490" s="47">
        <v>0</v>
      </c>
      <c r="CV490" s="47">
        <v>0</v>
      </c>
      <c r="CW490" s="47">
        <v>0</v>
      </c>
      <c r="CX490" s="47">
        <v>0</v>
      </c>
      <c r="CY490" s="47">
        <v>0</v>
      </c>
      <c r="CZ490" s="47">
        <v>0</v>
      </c>
      <c r="DA490" s="47">
        <v>0</v>
      </c>
      <c r="DB490" s="47">
        <v>0</v>
      </c>
      <c r="DC490" s="47">
        <v>0</v>
      </c>
      <c r="DD490" s="47">
        <v>0</v>
      </c>
      <c r="DE490" s="47">
        <v>0</v>
      </c>
      <c r="DF490" s="47">
        <v>0</v>
      </c>
      <c r="DG490" s="47">
        <v>0</v>
      </c>
      <c r="DH490" s="47">
        <v>0</v>
      </c>
      <c r="DI490" s="47">
        <v>0</v>
      </c>
      <c r="DJ490" s="47">
        <v>0</v>
      </c>
      <c r="DK490" s="47">
        <v>0</v>
      </c>
      <c r="DL490" s="47">
        <v>0</v>
      </c>
      <c r="DM490" s="47">
        <v>0</v>
      </c>
      <c r="DN490" s="47">
        <v>0</v>
      </c>
      <c r="DO490" s="47">
        <v>0</v>
      </c>
      <c r="DP490" s="47">
        <v>0</v>
      </c>
      <c r="DQ490" s="47">
        <v>0</v>
      </c>
      <c r="DR490" s="47">
        <v>0</v>
      </c>
      <c r="DS490" s="47">
        <v>0</v>
      </c>
      <c r="DT490" s="47">
        <v>0</v>
      </c>
    </row>
    <row r="491" spans="1:126" x14ac:dyDescent="0.25">
      <c r="A491" s="47" t="s">
        <v>2314</v>
      </c>
      <c r="B491" s="47" t="s">
        <v>153</v>
      </c>
      <c r="C491" s="47" t="s">
        <v>2315</v>
      </c>
      <c r="D491" s="47" t="s">
        <v>2316</v>
      </c>
      <c r="E491" s="47" t="s">
        <v>2317</v>
      </c>
      <c r="F491" s="47" t="s">
        <v>698</v>
      </c>
      <c r="G491" s="47" t="s">
        <v>727</v>
      </c>
      <c r="H491" s="47" t="str">
        <f>=IFERROR(VLOOKUP(A491,'ETPT Format DDG'!A:J,10,FALSE),"")</f>
        <v>0</v>
      </c>
      <c r="I491" s="47" t="str">
        <f>='ETPT Format DDG'!M491</f>
        <v/>
      </c>
      <c r="J491" s="47" t="str">
        <f>='ETPT Format DDG'!D491</f>
        <v/>
      </c>
      <c r="K491" s="47" t="s">
        <v>157</v>
      </c>
      <c r="L491" s="47" t="s">
        <v>739</v>
      </c>
      <c r="M491" s="47"/>
      <c r="N491" s="47">
        <v>1</v>
      </c>
      <c r="O491" s="47">
        <v>0</v>
      </c>
      <c r="P491" s="47">
        <v>0</v>
      </c>
      <c r="Q491" s="47">
        <v>0</v>
      </c>
      <c r="R491" s="47">
        <v>0</v>
      </c>
      <c r="S491" s="47">
        <v>0</v>
      </c>
      <c r="T491" s="47">
        <v>0</v>
      </c>
      <c r="U491" s="47">
        <v>0</v>
      </c>
      <c r="V491" s="47">
        <v>0</v>
      </c>
      <c r="W491" s="47">
        <v>0</v>
      </c>
      <c r="X491" s="47">
        <v>0</v>
      </c>
      <c r="Y491" s="47">
        <v>0</v>
      </c>
      <c r="Z491" s="47">
        <v>0</v>
      </c>
      <c r="AA491" s="47">
        <v>0</v>
      </c>
      <c r="AB491" s="47">
        <v>0</v>
      </c>
      <c r="AC491" s="47">
        <v>0</v>
      </c>
      <c r="AD491" s="47">
        <v>0</v>
      </c>
      <c r="AE491" s="47">
        <v>0</v>
      </c>
      <c r="AF491" s="47">
        <v>0</v>
      </c>
      <c r="AG491" s="47">
        <v>0</v>
      </c>
      <c r="AH491" s="47">
        <v>0</v>
      </c>
      <c r="AI491" s="47">
        <v>0</v>
      </c>
      <c r="AJ491" s="47">
        <v>0</v>
      </c>
      <c r="AK491" s="47">
        <v>0</v>
      </c>
      <c r="AL491" s="47">
        <v>0</v>
      </c>
      <c r="AM491" s="47">
        <v>0</v>
      </c>
      <c r="AN491" s="47">
        <v>0</v>
      </c>
      <c r="AO491" s="47">
        <v>0</v>
      </c>
      <c r="AP491" s="47">
        <v>0</v>
      </c>
      <c r="AQ491" s="47">
        <v>0</v>
      </c>
      <c r="AR491" s="47">
        <v>0</v>
      </c>
      <c r="AS491" s="47">
        <v>0</v>
      </c>
      <c r="AT491" s="47">
        <v>0</v>
      </c>
      <c r="AU491" s="47">
        <v>0</v>
      </c>
      <c r="AV491" s="47">
        <v>0</v>
      </c>
      <c r="AW491" s="47">
        <v>0</v>
      </c>
      <c r="AX491" s="47">
        <v>0</v>
      </c>
      <c r="AY491" s="47">
        <v>0</v>
      </c>
      <c r="AZ491" s="47">
        <v>0</v>
      </c>
      <c r="BA491" s="47">
        <v>0</v>
      </c>
      <c r="BB491" s="47">
        <v>0</v>
      </c>
      <c r="BC491" s="47">
        <v>0</v>
      </c>
      <c r="BD491" s="47">
        <v>0</v>
      </c>
      <c r="BE491" s="47">
        <v>0</v>
      </c>
      <c r="BF491" s="47">
        <v>0</v>
      </c>
      <c r="BG491" s="47">
        <v>0</v>
      </c>
      <c r="BH491" s="47">
        <v>0</v>
      </c>
      <c r="BI491" s="47">
        <v>0</v>
      </c>
      <c r="BJ491" s="47">
        <v>0</v>
      </c>
      <c r="BK491" s="47">
        <v>0</v>
      </c>
      <c r="BL491" s="47">
        <v>0</v>
      </c>
      <c r="BM491" s="47">
        <v>0</v>
      </c>
      <c r="BN491" s="47">
        <v>0</v>
      </c>
      <c r="BO491" s="47">
        <v>0</v>
      </c>
      <c r="BP491" s="47">
        <v>0</v>
      </c>
      <c r="BQ491" s="47">
        <v>0</v>
      </c>
      <c r="BR491" s="47">
        <v>0</v>
      </c>
      <c r="BS491" s="47">
        <v>0</v>
      </c>
      <c r="BT491" s="47">
        <v>0</v>
      </c>
      <c r="BU491" s="47">
        <v>0</v>
      </c>
      <c r="BV491" s="47">
        <v>0</v>
      </c>
      <c r="BW491" s="47">
        <v>0</v>
      </c>
      <c r="BX491" s="47">
        <v>0</v>
      </c>
      <c r="BY491" s="47">
        <v>0</v>
      </c>
      <c r="BZ491" s="47">
        <v>0</v>
      </c>
      <c r="CA491" s="47">
        <v>0</v>
      </c>
      <c r="CB491" s="47">
        <v>0</v>
      </c>
      <c r="CC491" s="47">
        <v>0</v>
      </c>
      <c r="CD491" s="47">
        <v>0</v>
      </c>
      <c r="CE491" s="47">
        <v>0</v>
      </c>
      <c r="CF491" s="47">
        <v>0</v>
      </c>
      <c r="CG491" s="47">
        <v>0</v>
      </c>
      <c r="CH491" s="47">
        <v>0</v>
      </c>
      <c r="CI491" s="47">
        <v>0</v>
      </c>
      <c r="CJ491" s="47">
        <v>0</v>
      </c>
      <c r="CK491" s="47">
        <v>0</v>
      </c>
      <c r="CL491" s="47">
        <v>0</v>
      </c>
      <c r="CM491" s="47">
        <v>0</v>
      </c>
      <c r="CN491" s="47">
        <v>0</v>
      </c>
      <c r="CO491" s="47">
        <v>0</v>
      </c>
      <c r="CP491" s="47">
        <v>0</v>
      </c>
      <c r="CQ491" s="47">
        <v>0</v>
      </c>
      <c r="CR491" s="47">
        <v>0</v>
      </c>
      <c r="CS491" s="47">
        <v>0</v>
      </c>
      <c r="CT491" s="47">
        <v>0</v>
      </c>
      <c r="CU491" s="47">
        <v>0</v>
      </c>
      <c r="CV491" s="47">
        <v>0</v>
      </c>
      <c r="CW491" s="47">
        <v>0</v>
      </c>
      <c r="CX491" s="47">
        <v>0</v>
      </c>
      <c r="CY491" s="47">
        <v>0</v>
      </c>
      <c r="CZ491" s="47">
        <v>0</v>
      </c>
      <c r="DA491" s="47">
        <v>0</v>
      </c>
      <c r="DB491" s="47">
        <v>0</v>
      </c>
      <c r="DC491" s="47">
        <v>0</v>
      </c>
      <c r="DD491" s="47">
        <v>0</v>
      </c>
      <c r="DE491" s="47">
        <v>0</v>
      </c>
      <c r="DF491" s="47">
        <v>0</v>
      </c>
      <c r="DG491" s="47">
        <v>0</v>
      </c>
      <c r="DH491" s="47">
        <v>0</v>
      </c>
      <c r="DI491" s="47">
        <v>0</v>
      </c>
      <c r="DJ491" s="47">
        <v>0</v>
      </c>
      <c r="DK491" s="47">
        <v>0</v>
      </c>
      <c r="DL491" s="47">
        <v>0</v>
      </c>
      <c r="DM491" s="47">
        <v>0</v>
      </c>
      <c r="DN491" s="47">
        <v>0</v>
      </c>
      <c r="DO491" s="47">
        <v>0</v>
      </c>
      <c r="DP491" s="47">
        <v>0</v>
      </c>
      <c r="DQ491" s="47">
        <v>0</v>
      </c>
      <c r="DR491" s="47">
        <v>0</v>
      </c>
      <c r="DS491" s="47">
        <v>0</v>
      </c>
      <c r="DT491" s="47">
        <v>0</v>
      </c>
    </row>
    <row r="492" spans="1:126" x14ac:dyDescent="0.25">
      <c r="A492" s="47" t="s">
        <v>2318</v>
      </c>
      <c r="B492" s="47" t="s">
        <v>153</v>
      </c>
      <c r="C492" s="47" t="s">
        <v>2319</v>
      </c>
      <c r="D492" s="47" t="s">
        <v>2320</v>
      </c>
      <c r="E492" s="47" t="s">
        <v>2321</v>
      </c>
      <c r="F492" s="47" t="s">
        <v>698</v>
      </c>
      <c r="G492" s="47" t="s">
        <v>727</v>
      </c>
      <c r="H492" s="47" t="str">
        <f>=IFERROR(VLOOKUP(A492,'ETPT Format DDG'!A:J,10,FALSE),"")</f>
        <v>0</v>
      </c>
      <c r="I492" s="47" t="str">
        <f>='ETPT Format DDG'!M492</f>
        <v/>
      </c>
      <c r="J492" s="47" t="str">
        <f>='ETPT Format DDG'!D492</f>
        <v/>
      </c>
      <c r="K492" s="47" t="s">
        <v>157</v>
      </c>
      <c r="L492" s="47" t="s">
        <v>849</v>
      </c>
      <c r="M492" s="47"/>
      <c r="N492" s="47">
        <v>1</v>
      </c>
      <c r="O492" s="47">
        <v>1</v>
      </c>
      <c r="P492" s="47">
        <v>0</v>
      </c>
      <c r="Q492" s="47">
        <v>0</v>
      </c>
      <c r="R492" s="47">
        <v>0</v>
      </c>
      <c r="S492" s="47">
        <v>0</v>
      </c>
      <c r="T492" s="47">
        <v>0</v>
      </c>
      <c r="U492" s="47">
        <v>0</v>
      </c>
      <c r="V492" s="47">
        <v>0</v>
      </c>
      <c r="W492" s="47">
        <v>0</v>
      </c>
      <c r="X492" s="47">
        <v>0</v>
      </c>
      <c r="Y492" s="47">
        <v>0</v>
      </c>
      <c r="Z492" s="47">
        <v>0</v>
      </c>
      <c r="AA492" s="47">
        <v>0</v>
      </c>
      <c r="AB492" s="47">
        <v>0</v>
      </c>
      <c r="AC492" s="47">
        <v>0</v>
      </c>
      <c r="AD492" s="47">
        <v>0</v>
      </c>
      <c r="AE492" s="47">
        <v>0</v>
      </c>
      <c r="AF492" s="47">
        <v>0</v>
      </c>
      <c r="AG492" s="47">
        <v>0</v>
      </c>
      <c r="AH492" s="47">
        <v>0</v>
      </c>
      <c r="AI492" s="47">
        <v>0</v>
      </c>
      <c r="AJ492" s="47">
        <v>0</v>
      </c>
      <c r="AK492" s="47">
        <v>0</v>
      </c>
      <c r="AL492" s="47">
        <v>0</v>
      </c>
      <c r="AM492" s="47">
        <v>0</v>
      </c>
      <c r="AN492" s="47">
        <v>1</v>
      </c>
      <c r="AO492" s="47">
        <v>0</v>
      </c>
      <c r="AP492" s="47">
        <v>0</v>
      </c>
      <c r="AQ492" s="47">
        <v>0</v>
      </c>
      <c r="AR492" s="47">
        <v>0</v>
      </c>
      <c r="AS492" s="47">
        <v>0</v>
      </c>
      <c r="AT492" s="47">
        <v>0</v>
      </c>
      <c r="AU492" s="47">
        <v>0</v>
      </c>
      <c r="AV492" s="47">
        <v>0</v>
      </c>
      <c r="AW492" s="47">
        <v>0</v>
      </c>
      <c r="AX492" s="47">
        <v>0</v>
      </c>
      <c r="AY492" s="47">
        <v>0</v>
      </c>
      <c r="AZ492" s="47">
        <v>0</v>
      </c>
      <c r="BA492" s="47">
        <v>0</v>
      </c>
      <c r="BB492" s="47">
        <v>0</v>
      </c>
      <c r="BC492" s="47">
        <v>0</v>
      </c>
      <c r="BD492" s="47">
        <v>0</v>
      </c>
      <c r="BE492" s="47">
        <v>0</v>
      </c>
      <c r="BF492" s="47">
        <v>0</v>
      </c>
      <c r="BG492" s="47">
        <v>0</v>
      </c>
      <c r="BH492" s="47">
        <v>0</v>
      </c>
      <c r="BI492" s="47">
        <v>0</v>
      </c>
      <c r="BJ492" s="47">
        <v>0</v>
      </c>
      <c r="BK492" s="47">
        <v>0</v>
      </c>
      <c r="BL492" s="47">
        <v>0</v>
      </c>
      <c r="BM492" s="47">
        <v>0</v>
      </c>
      <c r="BN492" s="47">
        <v>0</v>
      </c>
      <c r="BO492" s="47">
        <v>0</v>
      </c>
      <c r="BP492" s="47">
        <v>0</v>
      </c>
      <c r="BQ492" s="47">
        <v>0</v>
      </c>
      <c r="BR492" s="47">
        <v>0</v>
      </c>
      <c r="BS492" s="47">
        <v>0</v>
      </c>
      <c r="BT492" s="47">
        <v>0</v>
      </c>
      <c r="BU492" s="47">
        <v>0</v>
      </c>
      <c r="BV492" s="47">
        <v>0</v>
      </c>
      <c r="BW492" s="47">
        <v>0</v>
      </c>
      <c r="BX492" s="47">
        <v>0</v>
      </c>
      <c r="BY492" s="47">
        <v>0</v>
      </c>
      <c r="BZ492" s="47">
        <v>0</v>
      </c>
      <c r="CA492" s="47">
        <v>0</v>
      </c>
      <c r="CB492" s="47">
        <v>0</v>
      </c>
      <c r="CC492" s="47">
        <v>0</v>
      </c>
      <c r="CD492" s="47">
        <v>0</v>
      </c>
      <c r="CE492" s="47">
        <v>0</v>
      </c>
      <c r="CF492" s="47">
        <v>0</v>
      </c>
      <c r="CG492" s="47">
        <v>0</v>
      </c>
      <c r="CH492" s="47">
        <v>0</v>
      </c>
      <c r="CI492" s="47">
        <v>0</v>
      </c>
      <c r="CJ492" s="47">
        <v>0</v>
      </c>
      <c r="CK492" s="47">
        <v>0</v>
      </c>
      <c r="CL492" s="47">
        <v>0</v>
      </c>
      <c r="CM492" s="47">
        <v>0</v>
      </c>
      <c r="CN492" s="47">
        <v>0</v>
      </c>
      <c r="CO492" s="47">
        <v>0</v>
      </c>
      <c r="CP492" s="47">
        <v>0</v>
      </c>
      <c r="CQ492" s="47">
        <v>0</v>
      </c>
      <c r="CR492" s="47">
        <v>0</v>
      </c>
      <c r="CS492" s="47">
        <v>0</v>
      </c>
      <c r="CT492" s="47">
        <v>0</v>
      </c>
      <c r="CU492" s="47">
        <v>0</v>
      </c>
      <c r="CV492" s="47">
        <v>0</v>
      </c>
      <c r="CW492" s="47">
        <v>0</v>
      </c>
      <c r="CX492" s="47">
        <v>0</v>
      </c>
      <c r="CY492" s="47">
        <v>0</v>
      </c>
      <c r="CZ492" s="47">
        <v>0</v>
      </c>
      <c r="DA492" s="47">
        <v>0</v>
      </c>
      <c r="DB492" s="47">
        <v>0</v>
      </c>
      <c r="DC492" s="47">
        <v>0</v>
      </c>
      <c r="DD492" s="47">
        <v>0</v>
      </c>
      <c r="DE492" s="47">
        <v>0</v>
      </c>
      <c r="DF492" s="47">
        <v>0</v>
      </c>
      <c r="DG492" s="47">
        <v>0</v>
      </c>
      <c r="DH492" s="47">
        <v>0</v>
      </c>
      <c r="DI492" s="47">
        <v>0</v>
      </c>
      <c r="DJ492" s="47">
        <v>0</v>
      </c>
      <c r="DK492" s="47">
        <v>0</v>
      </c>
      <c r="DL492" s="47">
        <v>0</v>
      </c>
      <c r="DM492" s="47">
        <v>0</v>
      </c>
      <c r="DN492" s="47">
        <v>0</v>
      </c>
      <c r="DO492" s="47">
        <v>0</v>
      </c>
      <c r="DP492" s="47">
        <v>0</v>
      </c>
      <c r="DQ492" s="47">
        <v>0</v>
      </c>
      <c r="DR492" s="47">
        <v>0</v>
      </c>
      <c r="DS492" s="47">
        <v>0</v>
      </c>
      <c r="DT492" s="47">
        <v>0</v>
      </c>
    </row>
    <row r="493" spans="1:126" x14ac:dyDescent="0.25">
      <c r="A493" s="47" t="s">
        <v>2322</v>
      </c>
      <c r="B493" s="47" t="s">
        <v>153</v>
      </c>
      <c r="C493" s="47" t="s">
        <v>2323</v>
      </c>
      <c r="D493" s="47" t="s">
        <v>2324</v>
      </c>
      <c r="E493" s="47" t="s">
        <v>2325</v>
      </c>
      <c r="F493" s="47" t="s">
        <v>698</v>
      </c>
      <c r="G493" s="47" t="s">
        <v>705</v>
      </c>
      <c r="H493" s="47" t="str">
        <f>=IFERROR(VLOOKUP(A493,'ETPT Format DDG'!A:J,10,FALSE),"")</f>
        <v>0</v>
      </c>
      <c r="I493" s="47" t="str">
        <f>='ETPT Format DDG'!M493</f>
        <v/>
      </c>
      <c r="J493" s="47" t="str">
        <f>='ETPT Format DDG'!D493</f>
        <v/>
      </c>
      <c r="K493" s="47" t="s">
        <v>157</v>
      </c>
      <c r="L493" s="47" t="s">
        <v>1655</v>
      </c>
      <c r="M493" s="47"/>
      <c r="N493" s="47">
        <v>1</v>
      </c>
      <c r="O493" s="47">
        <v>0</v>
      </c>
      <c r="P493" s="47">
        <v>0</v>
      </c>
      <c r="Q493" s="47">
        <v>0</v>
      </c>
      <c r="R493" s="47">
        <v>0</v>
      </c>
      <c r="S493" s="47">
        <v>0</v>
      </c>
      <c r="T493" s="47">
        <v>0</v>
      </c>
      <c r="U493" s="47">
        <v>0</v>
      </c>
      <c r="V493" s="47">
        <v>0</v>
      </c>
      <c r="W493" s="47">
        <v>0</v>
      </c>
      <c r="X493" s="47">
        <v>0</v>
      </c>
      <c r="Y493" s="47">
        <v>0</v>
      </c>
      <c r="Z493" s="47">
        <v>0</v>
      </c>
      <c r="AA493" s="47">
        <v>0</v>
      </c>
      <c r="AB493" s="47">
        <v>0</v>
      </c>
      <c r="AC493" s="47">
        <v>0</v>
      </c>
      <c r="AD493" s="47">
        <v>0</v>
      </c>
      <c r="AE493" s="47">
        <v>0</v>
      </c>
      <c r="AF493" s="47">
        <v>0</v>
      </c>
      <c r="AG493" s="47">
        <v>0</v>
      </c>
      <c r="AH493" s="47">
        <v>0</v>
      </c>
      <c r="AI493" s="47">
        <v>0</v>
      </c>
      <c r="AJ493" s="47">
        <v>0</v>
      </c>
      <c r="AK493" s="47">
        <v>0</v>
      </c>
      <c r="AL493" s="47">
        <v>0</v>
      </c>
      <c r="AM493" s="47">
        <v>0</v>
      </c>
      <c r="AN493" s="47">
        <v>0</v>
      </c>
      <c r="AO493" s="47">
        <v>0</v>
      </c>
      <c r="AP493" s="47">
        <v>0</v>
      </c>
      <c r="AQ493" s="47">
        <v>0</v>
      </c>
      <c r="AR493" s="47">
        <v>0</v>
      </c>
      <c r="AS493" s="47">
        <v>0</v>
      </c>
      <c r="AT493" s="47">
        <v>0</v>
      </c>
      <c r="AU493" s="47">
        <v>0</v>
      </c>
      <c r="AV493" s="47">
        <v>0</v>
      </c>
      <c r="AW493" s="47">
        <v>0</v>
      </c>
      <c r="AX493" s="47">
        <v>0</v>
      </c>
      <c r="AY493" s="47">
        <v>0</v>
      </c>
      <c r="AZ493" s="47">
        <v>0</v>
      </c>
      <c r="BA493" s="47">
        <v>0</v>
      </c>
      <c r="BB493" s="47">
        <v>0</v>
      </c>
      <c r="BC493" s="47">
        <v>0</v>
      </c>
      <c r="BD493" s="47">
        <v>0</v>
      </c>
      <c r="BE493" s="47">
        <v>0</v>
      </c>
      <c r="BF493" s="47">
        <v>0</v>
      </c>
      <c r="BG493" s="47">
        <v>0</v>
      </c>
      <c r="BH493" s="47">
        <v>0</v>
      </c>
      <c r="BI493" s="47">
        <v>0</v>
      </c>
      <c r="BJ493" s="47">
        <v>0</v>
      </c>
      <c r="BK493" s="47">
        <v>0</v>
      </c>
      <c r="BL493" s="47">
        <v>0</v>
      </c>
      <c r="BM493" s="47">
        <v>0</v>
      </c>
      <c r="BN493" s="47">
        <v>0</v>
      </c>
      <c r="BO493" s="47">
        <v>0</v>
      </c>
      <c r="BP493" s="47">
        <v>0</v>
      </c>
      <c r="BQ493" s="47">
        <v>0</v>
      </c>
      <c r="BR493" s="47">
        <v>0</v>
      </c>
      <c r="BS493" s="47">
        <v>0</v>
      </c>
      <c r="BT493" s="47">
        <v>0</v>
      </c>
      <c r="BU493" s="47">
        <v>0</v>
      </c>
      <c r="BV493" s="47">
        <v>0</v>
      </c>
      <c r="BW493" s="47">
        <v>0</v>
      </c>
      <c r="BX493" s="47">
        <v>0</v>
      </c>
      <c r="BY493" s="47">
        <v>0</v>
      </c>
      <c r="BZ493" s="47">
        <v>0</v>
      </c>
      <c r="CA493" s="47">
        <v>0</v>
      </c>
      <c r="CB493" s="47">
        <v>0</v>
      </c>
      <c r="CC493" s="47">
        <v>0</v>
      </c>
      <c r="CD493" s="47">
        <v>0</v>
      </c>
      <c r="CE493" s="47">
        <v>0</v>
      </c>
      <c r="CF493" s="47">
        <v>0</v>
      </c>
      <c r="CG493" s="47">
        <v>0</v>
      </c>
      <c r="CH493" s="47">
        <v>0</v>
      </c>
      <c r="CI493" s="47">
        <v>0</v>
      </c>
      <c r="CJ493" s="47">
        <v>0</v>
      </c>
      <c r="CK493" s="47">
        <v>0</v>
      </c>
      <c r="CL493" s="47">
        <v>0</v>
      </c>
      <c r="CM493" s="47">
        <v>0</v>
      </c>
      <c r="CN493" s="47">
        <v>0</v>
      </c>
      <c r="CO493" s="47">
        <v>0</v>
      </c>
      <c r="CP493" s="47">
        <v>0</v>
      </c>
      <c r="CQ493" s="47">
        <v>0</v>
      </c>
      <c r="CR493" s="47">
        <v>0</v>
      </c>
      <c r="CS493" s="47">
        <v>0</v>
      </c>
      <c r="CT493" s="47">
        <v>0</v>
      </c>
      <c r="CU493" s="47">
        <v>0</v>
      </c>
      <c r="CV493" s="47">
        <v>0</v>
      </c>
      <c r="CW493" s="47">
        <v>0</v>
      </c>
      <c r="CX493" s="47">
        <v>0</v>
      </c>
      <c r="CY493" s="47">
        <v>0</v>
      </c>
      <c r="CZ493" s="47">
        <v>0</v>
      </c>
      <c r="DA493" s="47">
        <v>0</v>
      </c>
      <c r="DB493" s="47">
        <v>0</v>
      </c>
      <c r="DC493" s="47">
        <v>0</v>
      </c>
      <c r="DD493" s="47">
        <v>0</v>
      </c>
      <c r="DE493" s="47">
        <v>0</v>
      </c>
      <c r="DF493" s="47">
        <v>0</v>
      </c>
      <c r="DG493" s="47">
        <v>0</v>
      </c>
      <c r="DH493" s="47">
        <v>0</v>
      </c>
      <c r="DI493" s="47">
        <v>0</v>
      </c>
      <c r="DJ493" s="47">
        <v>0</v>
      </c>
      <c r="DK493" s="47">
        <v>0</v>
      </c>
      <c r="DL493" s="47">
        <v>0</v>
      </c>
      <c r="DM493" s="47">
        <v>0</v>
      </c>
      <c r="DN493" s="47">
        <v>0</v>
      </c>
      <c r="DO493" s="47">
        <v>0</v>
      </c>
      <c r="DP493" s="47">
        <v>0</v>
      </c>
      <c r="DQ493" s="47">
        <v>0</v>
      </c>
      <c r="DR493" s="47">
        <v>0</v>
      </c>
      <c r="DS493" s="47">
        <v>0</v>
      </c>
      <c r="DT493" s="47">
        <v>0</v>
      </c>
    </row>
    <row r="494" spans="1:126" x14ac:dyDescent="0.25">
      <c r="A494" s="47" t="s">
        <v>2326</v>
      </c>
      <c r="B494" s="47" t="s">
        <v>153</v>
      </c>
      <c r="C494" s="47" t="s">
        <v>2327</v>
      </c>
      <c r="D494" s="47" t="s">
        <v>2328</v>
      </c>
      <c r="E494" s="47" t="s">
        <v>2329</v>
      </c>
      <c r="F494" s="47" t="s">
        <v>698</v>
      </c>
      <c r="G494" s="47" t="s">
        <v>705</v>
      </c>
      <c r="H494" s="47" t="str">
        <f>=IFERROR(VLOOKUP(A494,'ETPT Format DDG'!A:J,10,FALSE),"")</f>
        <v>0</v>
      </c>
      <c r="I494" s="47" t="str">
        <f>='ETPT Format DDG'!M494</f>
        <v/>
      </c>
      <c r="J494" s="47" t="str">
        <f>='ETPT Format DDG'!D494</f>
        <v/>
      </c>
      <c r="K494" s="47" t="s">
        <v>157</v>
      </c>
      <c r="L494" s="47" t="s">
        <v>2330</v>
      </c>
      <c r="M494" s="47"/>
      <c r="N494" s="47">
        <v>1</v>
      </c>
      <c r="O494" s="47">
        <v>0</v>
      </c>
      <c r="P494" s="47">
        <v>0</v>
      </c>
      <c r="Q494" s="47">
        <v>0</v>
      </c>
      <c r="R494" s="47">
        <v>0</v>
      </c>
      <c r="S494" s="47">
        <v>0</v>
      </c>
      <c r="T494" s="47">
        <v>0</v>
      </c>
      <c r="U494" s="47">
        <v>0</v>
      </c>
      <c r="V494" s="47">
        <v>0</v>
      </c>
      <c r="W494" s="47">
        <v>0</v>
      </c>
      <c r="X494" s="47">
        <v>0</v>
      </c>
      <c r="Y494" s="47">
        <v>0</v>
      </c>
      <c r="Z494" s="47">
        <v>0</v>
      </c>
      <c r="AA494" s="47">
        <v>0</v>
      </c>
      <c r="AB494" s="47">
        <v>0</v>
      </c>
      <c r="AC494" s="47">
        <v>0</v>
      </c>
      <c r="AD494" s="47">
        <v>0</v>
      </c>
      <c r="AE494" s="47">
        <v>0</v>
      </c>
      <c r="AF494" s="47">
        <v>0</v>
      </c>
      <c r="AG494" s="47">
        <v>0</v>
      </c>
      <c r="AH494" s="47">
        <v>0</v>
      </c>
      <c r="AI494" s="47">
        <v>0</v>
      </c>
      <c r="AJ494" s="47">
        <v>0</v>
      </c>
      <c r="AK494" s="47">
        <v>0</v>
      </c>
      <c r="AL494" s="47">
        <v>0</v>
      </c>
      <c r="AM494" s="47">
        <v>0</v>
      </c>
      <c r="AN494" s="47">
        <v>0</v>
      </c>
      <c r="AO494" s="47">
        <v>0</v>
      </c>
      <c r="AP494" s="47">
        <v>0</v>
      </c>
      <c r="AQ494" s="47">
        <v>0</v>
      </c>
      <c r="AR494" s="47">
        <v>0</v>
      </c>
      <c r="AS494" s="47">
        <v>0</v>
      </c>
      <c r="AT494" s="47">
        <v>0</v>
      </c>
      <c r="AU494" s="47">
        <v>0</v>
      </c>
      <c r="AV494" s="47">
        <v>0</v>
      </c>
      <c r="AW494" s="47">
        <v>0</v>
      </c>
      <c r="AX494" s="47">
        <v>0</v>
      </c>
      <c r="AY494" s="47">
        <v>0</v>
      </c>
      <c r="AZ494" s="47">
        <v>0</v>
      </c>
      <c r="BA494" s="47">
        <v>0</v>
      </c>
      <c r="BB494" s="47">
        <v>0</v>
      </c>
      <c r="BC494" s="47">
        <v>0</v>
      </c>
      <c r="BD494" s="47">
        <v>0</v>
      </c>
      <c r="BE494" s="47">
        <v>0</v>
      </c>
      <c r="BF494" s="47">
        <v>0</v>
      </c>
      <c r="BG494" s="47">
        <v>0</v>
      </c>
      <c r="BH494" s="47">
        <v>0</v>
      </c>
      <c r="BI494" s="47">
        <v>0</v>
      </c>
      <c r="BJ494" s="47">
        <v>0</v>
      </c>
      <c r="BK494" s="47">
        <v>0</v>
      </c>
      <c r="BL494" s="47">
        <v>0</v>
      </c>
      <c r="BM494" s="47">
        <v>0</v>
      </c>
      <c r="BN494" s="47">
        <v>0</v>
      </c>
      <c r="BO494" s="47">
        <v>0</v>
      </c>
      <c r="BP494" s="47">
        <v>0</v>
      </c>
      <c r="BQ494" s="47">
        <v>0</v>
      </c>
      <c r="BR494" s="47">
        <v>0</v>
      </c>
      <c r="BS494" s="47">
        <v>0</v>
      </c>
      <c r="BT494" s="47">
        <v>0</v>
      </c>
      <c r="BU494" s="47">
        <v>0</v>
      </c>
      <c r="BV494" s="47">
        <v>0</v>
      </c>
      <c r="BW494" s="47">
        <v>0</v>
      </c>
      <c r="BX494" s="47">
        <v>0</v>
      </c>
      <c r="BY494" s="47">
        <v>0</v>
      </c>
      <c r="BZ494" s="47">
        <v>0</v>
      </c>
      <c r="CA494" s="47">
        <v>0</v>
      </c>
      <c r="CB494" s="47">
        <v>0</v>
      </c>
      <c r="CC494" s="47">
        <v>0</v>
      </c>
      <c r="CD494" s="47">
        <v>0</v>
      </c>
      <c r="CE494" s="47">
        <v>0</v>
      </c>
      <c r="CF494" s="47">
        <v>0</v>
      </c>
      <c r="CG494" s="47">
        <v>0</v>
      </c>
      <c r="CH494" s="47">
        <v>0</v>
      </c>
      <c r="CI494" s="47">
        <v>0</v>
      </c>
      <c r="CJ494" s="47">
        <v>0</v>
      </c>
      <c r="CK494" s="47">
        <v>0</v>
      </c>
      <c r="CL494" s="47">
        <v>0</v>
      </c>
      <c r="CM494" s="47">
        <v>0</v>
      </c>
      <c r="CN494" s="47">
        <v>0</v>
      </c>
      <c r="CO494" s="47">
        <v>0</v>
      </c>
      <c r="CP494" s="47">
        <v>0</v>
      </c>
      <c r="CQ494" s="47">
        <v>0</v>
      </c>
      <c r="CR494" s="47">
        <v>0</v>
      </c>
      <c r="CS494" s="47">
        <v>0</v>
      </c>
      <c r="CT494" s="47">
        <v>0</v>
      </c>
      <c r="CU494" s="47">
        <v>0</v>
      </c>
      <c r="CV494" s="47">
        <v>0</v>
      </c>
      <c r="CW494" s="47">
        <v>0</v>
      </c>
      <c r="CX494" s="47">
        <v>0</v>
      </c>
      <c r="CY494" s="47">
        <v>0</v>
      </c>
      <c r="CZ494" s="47">
        <v>0</v>
      </c>
      <c r="DA494" s="47">
        <v>0</v>
      </c>
      <c r="DB494" s="47">
        <v>0</v>
      </c>
      <c r="DC494" s="47">
        <v>0</v>
      </c>
      <c r="DD494" s="47">
        <v>0</v>
      </c>
      <c r="DE494" s="47">
        <v>0</v>
      </c>
      <c r="DF494" s="47">
        <v>0</v>
      </c>
      <c r="DG494" s="47">
        <v>0</v>
      </c>
      <c r="DH494" s="47">
        <v>0</v>
      </c>
      <c r="DI494" s="47">
        <v>0</v>
      </c>
      <c r="DJ494" s="47">
        <v>0</v>
      </c>
      <c r="DK494" s="47">
        <v>0</v>
      </c>
      <c r="DL494" s="47">
        <v>0</v>
      </c>
      <c r="DM494" s="47">
        <v>0</v>
      </c>
      <c r="DN494" s="47">
        <v>0</v>
      </c>
      <c r="DO494" s="47">
        <v>0</v>
      </c>
      <c r="DP494" s="47">
        <v>0</v>
      </c>
      <c r="DQ494" s="47">
        <v>0</v>
      </c>
      <c r="DR494" s="47">
        <v>0</v>
      </c>
      <c r="DS494" s="47">
        <v>0</v>
      </c>
      <c r="DT494" s="47">
        <v>0</v>
      </c>
    </row>
    <row r="495" spans="1:126" x14ac:dyDescent="0.25">
      <c r="A495" s="47" t="s">
        <v>2331</v>
      </c>
      <c r="B495" s="47" t="s">
        <v>153</v>
      </c>
      <c r="C495" s="47" t="s">
        <v>2332</v>
      </c>
      <c r="D495" s="47" t="s">
        <v>2333</v>
      </c>
      <c r="E495" s="47" t="s">
        <v>2334</v>
      </c>
      <c r="F495" s="47" t="s">
        <v>698</v>
      </c>
      <c r="G495" s="47" t="s">
        <v>738</v>
      </c>
      <c r="H495" s="47" t="str">
        <f>=IFERROR(VLOOKUP(A495,'ETPT Format DDG'!A:J,10,FALSE),"")</f>
        <v>0</v>
      </c>
      <c r="I495" s="47" t="str">
        <f>='ETPT Format DDG'!M495</f>
        <v/>
      </c>
      <c r="J495" s="47" t="str">
        <f>='ETPT Format DDG'!D495</f>
        <v/>
      </c>
      <c r="K495" s="47" t="s">
        <v>157</v>
      </c>
      <c r="L495" s="47" t="s">
        <v>2335</v>
      </c>
      <c r="M495" s="47"/>
      <c r="N495" s="47">
        <v>1</v>
      </c>
      <c r="O495" s="47">
        <v>0</v>
      </c>
      <c r="P495" s="47">
        <v>0</v>
      </c>
      <c r="Q495" s="47">
        <v>0</v>
      </c>
      <c r="R495" s="47">
        <v>0</v>
      </c>
      <c r="S495" s="47">
        <v>0</v>
      </c>
      <c r="T495" s="47">
        <v>0</v>
      </c>
      <c r="U495" s="47">
        <v>0</v>
      </c>
      <c r="V495" s="47">
        <v>0</v>
      </c>
      <c r="W495" s="47">
        <v>0</v>
      </c>
      <c r="X495" s="47">
        <v>0</v>
      </c>
      <c r="Y495" s="47">
        <v>0</v>
      </c>
      <c r="Z495" s="47">
        <v>0</v>
      </c>
      <c r="AA495" s="47">
        <v>0</v>
      </c>
      <c r="AB495" s="47">
        <v>0</v>
      </c>
      <c r="AC495" s="47">
        <v>0</v>
      </c>
      <c r="AD495" s="47">
        <v>0</v>
      </c>
      <c r="AE495" s="47">
        <v>0</v>
      </c>
      <c r="AF495" s="47">
        <v>0</v>
      </c>
      <c r="AG495" s="47">
        <v>0</v>
      </c>
      <c r="AH495" s="47">
        <v>0</v>
      </c>
      <c r="AI495" s="47">
        <v>0</v>
      </c>
      <c r="AJ495" s="47">
        <v>0</v>
      </c>
      <c r="AK495" s="47">
        <v>0</v>
      </c>
      <c r="AL495" s="47">
        <v>0</v>
      </c>
      <c r="AM495" s="47">
        <v>0</v>
      </c>
      <c r="AN495" s="47">
        <v>0</v>
      </c>
      <c r="AO495" s="47">
        <v>0</v>
      </c>
      <c r="AP495" s="47">
        <v>0</v>
      </c>
      <c r="AQ495" s="47">
        <v>0</v>
      </c>
      <c r="AR495" s="47">
        <v>0</v>
      </c>
      <c r="AS495" s="47">
        <v>0</v>
      </c>
      <c r="AT495" s="47">
        <v>0</v>
      </c>
      <c r="AU495" s="47">
        <v>0</v>
      </c>
      <c r="AV495" s="47">
        <v>0</v>
      </c>
      <c r="AW495" s="47">
        <v>0</v>
      </c>
      <c r="AX495" s="47">
        <v>0</v>
      </c>
      <c r="AY495" s="47">
        <v>0</v>
      </c>
      <c r="AZ495" s="47">
        <v>0</v>
      </c>
      <c r="BA495" s="47">
        <v>0</v>
      </c>
      <c r="BB495" s="47">
        <v>0</v>
      </c>
      <c r="BC495" s="47">
        <v>0</v>
      </c>
      <c r="BD495" s="47">
        <v>0</v>
      </c>
      <c r="BE495" s="47">
        <v>0</v>
      </c>
      <c r="BF495" s="47">
        <v>0</v>
      </c>
      <c r="BG495" s="47">
        <v>0</v>
      </c>
      <c r="BH495" s="47">
        <v>0</v>
      </c>
      <c r="BI495" s="47">
        <v>0</v>
      </c>
      <c r="BJ495" s="47">
        <v>0</v>
      </c>
      <c r="BK495" s="47">
        <v>0</v>
      </c>
      <c r="BL495" s="47">
        <v>0</v>
      </c>
      <c r="BM495" s="47">
        <v>0</v>
      </c>
      <c r="BN495" s="47">
        <v>0</v>
      </c>
      <c r="BO495" s="47">
        <v>0</v>
      </c>
      <c r="BP495" s="47">
        <v>0</v>
      </c>
      <c r="BQ495" s="47">
        <v>0</v>
      </c>
      <c r="BR495" s="47">
        <v>0</v>
      </c>
      <c r="BS495" s="47">
        <v>0</v>
      </c>
      <c r="BT495" s="47">
        <v>0</v>
      </c>
      <c r="BU495" s="47">
        <v>0</v>
      </c>
      <c r="BV495" s="47">
        <v>0</v>
      </c>
      <c r="BW495" s="47">
        <v>0</v>
      </c>
      <c r="BX495" s="47">
        <v>0</v>
      </c>
      <c r="BY495" s="47">
        <v>0</v>
      </c>
      <c r="BZ495" s="47">
        <v>0</v>
      </c>
      <c r="CA495" s="47">
        <v>0</v>
      </c>
      <c r="CB495" s="47">
        <v>0</v>
      </c>
      <c r="CC495" s="47">
        <v>0</v>
      </c>
      <c r="CD495" s="47">
        <v>0</v>
      </c>
      <c r="CE495" s="47">
        <v>0</v>
      </c>
      <c r="CF495" s="47">
        <v>0</v>
      </c>
      <c r="CG495" s="47">
        <v>0</v>
      </c>
      <c r="CH495" s="47">
        <v>0</v>
      </c>
      <c r="CI495" s="47">
        <v>0</v>
      </c>
      <c r="CJ495" s="47">
        <v>0</v>
      </c>
      <c r="CK495" s="47">
        <v>0</v>
      </c>
      <c r="CL495" s="47">
        <v>0</v>
      </c>
      <c r="CM495" s="47">
        <v>0</v>
      </c>
      <c r="CN495" s="47">
        <v>0</v>
      </c>
      <c r="CO495" s="47">
        <v>0</v>
      </c>
      <c r="CP495" s="47">
        <v>0</v>
      </c>
      <c r="CQ495" s="47">
        <v>0</v>
      </c>
      <c r="CR495" s="47">
        <v>0</v>
      </c>
      <c r="CS495" s="47">
        <v>0</v>
      </c>
      <c r="CT495" s="47">
        <v>0</v>
      </c>
      <c r="CU495" s="47">
        <v>0</v>
      </c>
      <c r="CV495" s="47">
        <v>0</v>
      </c>
      <c r="CW495" s="47">
        <v>0</v>
      </c>
      <c r="CX495" s="47">
        <v>0</v>
      </c>
      <c r="CY495" s="47">
        <v>0</v>
      </c>
      <c r="CZ495" s="47">
        <v>0</v>
      </c>
      <c r="DA495" s="47">
        <v>0</v>
      </c>
      <c r="DB495" s="47">
        <v>0</v>
      </c>
      <c r="DC495" s="47">
        <v>0</v>
      </c>
      <c r="DD495" s="47">
        <v>0</v>
      </c>
      <c r="DE495" s="47">
        <v>0</v>
      </c>
      <c r="DF495" s="47">
        <v>0</v>
      </c>
      <c r="DG495" s="47">
        <v>0</v>
      </c>
      <c r="DH495" s="47">
        <v>0</v>
      </c>
      <c r="DI495" s="47">
        <v>0</v>
      </c>
      <c r="DJ495" s="47">
        <v>0</v>
      </c>
      <c r="DK495" s="47">
        <v>0</v>
      </c>
      <c r="DL495" s="47">
        <v>0</v>
      </c>
      <c r="DM495" s="47">
        <v>0</v>
      </c>
      <c r="DN495" s="47">
        <v>0</v>
      </c>
      <c r="DO495" s="47">
        <v>0</v>
      </c>
      <c r="DP495" s="47">
        <v>0</v>
      </c>
      <c r="DQ495" s="47">
        <v>0</v>
      </c>
      <c r="DR495" s="47">
        <v>0</v>
      </c>
      <c r="DS495" s="47">
        <v>0</v>
      </c>
      <c r="DT495" s="47">
        <v>0</v>
      </c>
    </row>
    <row r="496" spans="1:126" x14ac:dyDescent="0.25">
      <c r="A496" s="47" t="s">
        <v>2336</v>
      </c>
      <c r="B496" s="47" t="s">
        <v>153</v>
      </c>
      <c r="C496" s="47" t="s">
        <v>2337</v>
      </c>
      <c r="D496" s="47" t="s">
        <v>2338</v>
      </c>
      <c r="E496" s="47" t="s">
        <v>2339</v>
      </c>
      <c r="F496" s="47" t="s">
        <v>698</v>
      </c>
      <c r="G496" s="47" t="s">
        <v>705</v>
      </c>
      <c r="H496" s="47" t="str">
        <f>=IFERROR(VLOOKUP(A496,'ETPT Format DDG'!A:J,10,FALSE),"")</f>
        <v>0</v>
      </c>
      <c r="I496" s="47" t="str">
        <f>='ETPT Format DDG'!M496</f>
        <v/>
      </c>
      <c r="J496" s="47" t="str">
        <f>='ETPT Format DDG'!D496</f>
        <v/>
      </c>
      <c r="K496" s="47" t="s">
        <v>157</v>
      </c>
      <c r="L496" s="47" t="s">
        <v>722</v>
      </c>
      <c r="M496" s="47"/>
      <c r="N496" s="47">
        <v>1</v>
      </c>
      <c r="O496" s="47">
        <v>0</v>
      </c>
      <c r="P496" s="47">
        <v>0</v>
      </c>
      <c r="Q496" s="47">
        <v>0</v>
      </c>
      <c r="R496" s="47">
        <v>0</v>
      </c>
      <c r="S496" s="47">
        <v>0</v>
      </c>
      <c r="T496" s="47">
        <v>0</v>
      </c>
      <c r="U496" s="47">
        <v>0</v>
      </c>
      <c r="V496" s="47">
        <v>0</v>
      </c>
      <c r="W496" s="47">
        <v>0</v>
      </c>
      <c r="X496" s="47">
        <v>0</v>
      </c>
      <c r="Y496" s="47">
        <v>0</v>
      </c>
      <c r="Z496" s="47">
        <v>0</v>
      </c>
      <c r="AA496" s="47">
        <v>0</v>
      </c>
      <c r="AB496" s="47">
        <v>0</v>
      </c>
      <c r="AC496" s="47">
        <v>0</v>
      </c>
      <c r="AD496" s="47">
        <v>0</v>
      </c>
      <c r="AE496" s="47">
        <v>0</v>
      </c>
      <c r="AF496" s="47">
        <v>0</v>
      </c>
      <c r="AG496" s="47">
        <v>0</v>
      </c>
      <c r="AH496" s="47">
        <v>0</v>
      </c>
      <c r="AI496" s="47">
        <v>0</v>
      </c>
      <c r="AJ496" s="47">
        <v>0</v>
      </c>
      <c r="AK496" s="47">
        <v>0</v>
      </c>
      <c r="AL496" s="47">
        <v>0</v>
      </c>
      <c r="AM496" s="47">
        <v>0</v>
      </c>
      <c r="AN496" s="47">
        <v>0</v>
      </c>
      <c r="AO496" s="47">
        <v>0</v>
      </c>
      <c r="AP496" s="47">
        <v>0</v>
      </c>
      <c r="AQ496" s="47">
        <v>0</v>
      </c>
      <c r="AR496" s="47">
        <v>0</v>
      </c>
      <c r="AS496" s="47">
        <v>0</v>
      </c>
      <c r="AT496" s="47">
        <v>0</v>
      </c>
      <c r="AU496" s="47">
        <v>0</v>
      </c>
      <c r="AV496" s="47">
        <v>0</v>
      </c>
      <c r="AW496" s="47">
        <v>0</v>
      </c>
      <c r="AX496" s="47">
        <v>0</v>
      </c>
      <c r="AY496" s="47">
        <v>0</v>
      </c>
      <c r="AZ496" s="47">
        <v>0</v>
      </c>
      <c r="BA496" s="47">
        <v>0</v>
      </c>
      <c r="BB496" s="47">
        <v>0</v>
      </c>
      <c r="BC496" s="47">
        <v>0</v>
      </c>
      <c r="BD496" s="47">
        <v>0</v>
      </c>
      <c r="BE496" s="47">
        <v>0</v>
      </c>
      <c r="BF496" s="47">
        <v>0</v>
      </c>
      <c r="BG496" s="47">
        <v>0</v>
      </c>
      <c r="BH496" s="47">
        <v>0</v>
      </c>
      <c r="BI496" s="47">
        <v>0</v>
      </c>
      <c r="BJ496" s="47">
        <v>0</v>
      </c>
      <c r="BK496" s="47">
        <v>0</v>
      </c>
      <c r="BL496" s="47">
        <v>0</v>
      </c>
      <c r="BM496" s="47">
        <v>0</v>
      </c>
      <c r="BN496" s="47">
        <v>0</v>
      </c>
      <c r="BO496" s="47">
        <v>0</v>
      </c>
      <c r="BP496" s="47">
        <v>0</v>
      </c>
      <c r="BQ496" s="47">
        <v>0</v>
      </c>
      <c r="BR496" s="47">
        <v>0</v>
      </c>
      <c r="BS496" s="47">
        <v>0</v>
      </c>
      <c r="BT496" s="47">
        <v>0</v>
      </c>
      <c r="BU496" s="47">
        <v>0</v>
      </c>
      <c r="BV496" s="47">
        <v>0</v>
      </c>
      <c r="BW496" s="47">
        <v>0</v>
      </c>
      <c r="BX496" s="47">
        <v>0</v>
      </c>
      <c r="BY496" s="47">
        <v>0</v>
      </c>
      <c r="BZ496" s="47">
        <v>0</v>
      </c>
      <c r="CA496" s="47">
        <v>0</v>
      </c>
      <c r="CB496" s="47">
        <v>0</v>
      </c>
      <c r="CC496" s="47">
        <v>0</v>
      </c>
      <c r="CD496" s="47">
        <v>0</v>
      </c>
      <c r="CE496" s="47">
        <v>0</v>
      </c>
      <c r="CF496" s="47">
        <v>0</v>
      </c>
      <c r="CG496" s="47">
        <v>0</v>
      </c>
      <c r="CH496" s="47">
        <v>0</v>
      </c>
      <c r="CI496" s="47">
        <v>0</v>
      </c>
      <c r="CJ496" s="47">
        <v>0</v>
      </c>
      <c r="CK496" s="47">
        <v>0</v>
      </c>
      <c r="CL496" s="47">
        <v>0</v>
      </c>
      <c r="CM496" s="47">
        <v>0</v>
      </c>
      <c r="CN496" s="47">
        <v>0</v>
      </c>
      <c r="CO496" s="47">
        <v>0</v>
      </c>
      <c r="CP496" s="47">
        <v>0</v>
      </c>
      <c r="CQ496" s="47">
        <v>0</v>
      </c>
      <c r="CR496" s="47">
        <v>0</v>
      </c>
      <c r="CS496" s="47">
        <v>0</v>
      </c>
      <c r="CT496" s="47">
        <v>0</v>
      </c>
      <c r="CU496" s="47">
        <v>0</v>
      </c>
      <c r="CV496" s="47">
        <v>0</v>
      </c>
      <c r="CW496" s="47">
        <v>0</v>
      </c>
      <c r="CX496" s="47">
        <v>0</v>
      </c>
      <c r="CY496" s="47">
        <v>0</v>
      </c>
      <c r="CZ496" s="47">
        <v>0</v>
      </c>
      <c r="DA496" s="47">
        <v>0</v>
      </c>
      <c r="DB496" s="47">
        <v>0</v>
      </c>
      <c r="DC496" s="47">
        <v>0</v>
      </c>
      <c r="DD496" s="47">
        <v>0</v>
      </c>
      <c r="DE496" s="47">
        <v>0</v>
      </c>
      <c r="DF496" s="47">
        <v>0</v>
      </c>
      <c r="DG496" s="47">
        <v>0</v>
      </c>
      <c r="DH496" s="47">
        <v>0</v>
      </c>
      <c r="DI496" s="47">
        <v>0</v>
      </c>
      <c r="DJ496" s="47">
        <v>0</v>
      </c>
      <c r="DK496" s="47">
        <v>0</v>
      </c>
      <c r="DL496" s="47">
        <v>0</v>
      </c>
      <c r="DM496" s="47">
        <v>0</v>
      </c>
      <c r="DN496" s="47">
        <v>0</v>
      </c>
      <c r="DO496" s="47">
        <v>0</v>
      </c>
      <c r="DP496" s="47">
        <v>0</v>
      </c>
      <c r="DQ496" s="47">
        <v>0</v>
      </c>
      <c r="DR496" s="47">
        <v>0</v>
      </c>
      <c r="DS496" s="47">
        <v>0</v>
      </c>
      <c r="DT496" s="47">
        <v>0</v>
      </c>
    </row>
    <row r="497" spans="1:126" x14ac:dyDescent="0.25">
      <c r="A497" s="47" t="s">
        <v>2340</v>
      </c>
      <c r="B497" s="47" t="s">
        <v>153</v>
      </c>
      <c r="C497" s="47" t="s">
        <v>2341</v>
      </c>
      <c r="D497" s="47" t="s">
        <v>2342</v>
      </c>
      <c r="E497" s="47" t="s">
        <v>2343</v>
      </c>
      <c r="F497" s="47" t="s">
        <v>698</v>
      </c>
      <c r="G497" s="47" t="s">
        <v>727</v>
      </c>
      <c r="H497" s="47" t="str">
        <f>=IFERROR(VLOOKUP(A497,'ETPT Format DDG'!A:J,10,FALSE),"")</f>
        <v>0</v>
      </c>
      <c r="I497" s="47" t="str">
        <f>='ETPT Format DDG'!M497</f>
        <v/>
      </c>
      <c r="J497" s="47" t="str">
        <f>='ETPT Format DDG'!D497</f>
        <v/>
      </c>
      <c r="K497" s="47" t="s">
        <v>157</v>
      </c>
      <c r="L497" s="47" t="s">
        <v>1428</v>
      </c>
      <c r="M497" s="47"/>
      <c r="N497" s="47">
        <v>1</v>
      </c>
      <c r="O497" s="47">
        <v>0</v>
      </c>
      <c r="P497" s="47">
        <v>0</v>
      </c>
      <c r="Q497" s="47">
        <v>0</v>
      </c>
      <c r="R497" s="47">
        <v>0</v>
      </c>
      <c r="S497" s="47">
        <v>0</v>
      </c>
      <c r="T497" s="47">
        <v>0</v>
      </c>
      <c r="U497" s="47">
        <v>0</v>
      </c>
      <c r="V497" s="47">
        <v>0</v>
      </c>
      <c r="W497" s="47">
        <v>0</v>
      </c>
      <c r="X497" s="47">
        <v>0</v>
      </c>
      <c r="Y497" s="47">
        <v>0</v>
      </c>
      <c r="Z497" s="47">
        <v>0</v>
      </c>
      <c r="AA497" s="47">
        <v>0</v>
      </c>
      <c r="AB497" s="47">
        <v>0</v>
      </c>
      <c r="AC497" s="47">
        <v>0</v>
      </c>
      <c r="AD497" s="47">
        <v>0</v>
      </c>
      <c r="AE497" s="47">
        <v>0</v>
      </c>
      <c r="AF497" s="47">
        <v>0</v>
      </c>
      <c r="AG497" s="47">
        <v>0</v>
      </c>
      <c r="AH497" s="47">
        <v>0</v>
      </c>
      <c r="AI497" s="47">
        <v>0</v>
      </c>
      <c r="AJ497" s="47">
        <v>0</v>
      </c>
      <c r="AK497" s="47">
        <v>0</v>
      </c>
      <c r="AL497" s="47">
        <v>0</v>
      </c>
      <c r="AM497" s="47">
        <v>0</v>
      </c>
      <c r="AN497" s="47">
        <v>0</v>
      </c>
      <c r="AO497" s="47">
        <v>0</v>
      </c>
      <c r="AP497" s="47">
        <v>0</v>
      </c>
      <c r="AQ497" s="47">
        <v>0</v>
      </c>
      <c r="AR497" s="47">
        <v>0</v>
      </c>
      <c r="AS497" s="47">
        <v>0</v>
      </c>
      <c r="AT497" s="47">
        <v>0</v>
      </c>
      <c r="AU497" s="47">
        <v>0</v>
      </c>
      <c r="AV497" s="47">
        <v>0</v>
      </c>
      <c r="AW497" s="47">
        <v>0</v>
      </c>
      <c r="AX497" s="47">
        <v>0</v>
      </c>
      <c r="AY497" s="47">
        <v>0</v>
      </c>
      <c r="AZ497" s="47">
        <v>0</v>
      </c>
      <c r="BA497" s="47">
        <v>0</v>
      </c>
      <c r="BB497" s="47">
        <v>0</v>
      </c>
      <c r="BC497" s="47">
        <v>0</v>
      </c>
      <c r="BD497" s="47">
        <v>0</v>
      </c>
      <c r="BE497" s="47">
        <v>0</v>
      </c>
      <c r="BF497" s="47">
        <v>0</v>
      </c>
      <c r="BG497" s="47">
        <v>0</v>
      </c>
      <c r="BH497" s="47">
        <v>0</v>
      </c>
      <c r="BI497" s="47">
        <v>0</v>
      </c>
      <c r="BJ497" s="47">
        <v>0</v>
      </c>
      <c r="BK497" s="47">
        <v>0</v>
      </c>
      <c r="BL497" s="47">
        <v>0</v>
      </c>
      <c r="BM497" s="47">
        <v>0</v>
      </c>
      <c r="BN497" s="47">
        <v>0</v>
      </c>
      <c r="BO497" s="47">
        <v>0</v>
      </c>
      <c r="BP497" s="47">
        <v>0</v>
      </c>
      <c r="BQ497" s="47">
        <v>0</v>
      </c>
      <c r="BR497" s="47">
        <v>0</v>
      </c>
      <c r="BS497" s="47">
        <v>0</v>
      </c>
      <c r="BT497" s="47">
        <v>0</v>
      </c>
      <c r="BU497" s="47">
        <v>0</v>
      </c>
      <c r="BV497" s="47">
        <v>0</v>
      </c>
      <c r="BW497" s="47">
        <v>0</v>
      </c>
      <c r="BX497" s="47">
        <v>0</v>
      </c>
      <c r="BY497" s="47">
        <v>0</v>
      </c>
      <c r="BZ497" s="47">
        <v>0</v>
      </c>
      <c r="CA497" s="47">
        <v>0</v>
      </c>
      <c r="CB497" s="47">
        <v>0</v>
      </c>
      <c r="CC497" s="47">
        <v>0</v>
      </c>
      <c r="CD497" s="47">
        <v>0</v>
      </c>
      <c r="CE497" s="47">
        <v>0</v>
      </c>
      <c r="CF497" s="47">
        <v>0</v>
      </c>
      <c r="CG497" s="47">
        <v>0</v>
      </c>
      <c r="CH497" s="47">
        <v>0</v>
      </c>
      <c r="CI497" s="47">
        <v>0</v>
      </c>
      <c r="CJ497" s="47">
        <v>0</v>
      </c>
      <c r="CK497" s="47">
        <v>0</v>
      </c>
      <c r="CL497" s="47">
        <v>0</v>
      </c>
      <c r="CM497" s="47">
        <v>0</v>
      </c>
      <c r="CN497" s="47">
        <v>0</v>
      </c>
      <c r="CO497" s="47">
        <v>0</v>
      </c>
      <c r="CP497" s="47">
        <v>0</v>
      </c>
      <c r="CQ497" s="47">
        <v>0</v>
      </c>
      <c r="CR497" s="47">
        <v>0</v>
      </c>
      <c r="CS497" s="47">
        <v>0</v>
      </c>
      <c r="CT497" s="47">
        <v>0</v>
      </c>
      <c r="CU497" s="47">
        <v>0</v>
      </c>
      <c r="CV497" s="47">
        <v>0</v>
      </c>
      <c r="CW497" s="47">
        <v>0</v>
      </c>
      <c r="CX497" s="47">
        <v>0</v>
      </c>
      <c r="CY497" s="47">
        <v>0</v>
      </c>
      <c r="CZ497" s="47">
        <v>0</v>
      </c>
      <c r="DA497" s="47">
        <v>0</v>
      </c>
      <c r="DB497" s="47">
        <v>0</v>
      </c>
      <c r="DC497" s="47">
        <v>0</v>
      </c>
      <c r="DD497" s="47">
        <v>0</v>
      </c>
      <c r="DE497" s="47">
        <v>0</v>
      </c>
      <c r="DF497" s="47">
        <v>0</v>
      </c>
      <c r="DG497" s="47">
        <v>0</v>
      </c>
      <c r="DH497" s="47">
        <v>0</v>
      </c>
      <c r="DI497" s="47">
        <v>0</v>
      </c>
      <c r="DJ497" s="47">
        <v>0</v>
      </c>
      <c r="DK497" s="47">
        <v>0</v>
      </c>
      <c r="DL497" s="47">
        <v>0</v>
      </c>
      <c r="DM497" s="47">
        <v>0</v>
      </c>
      <c r="DN497" s="47">
        <v>0</v>
      </c>
      <c r="DO497" s="47">
        <v>0</v>
      </c>
      <c r="DP497" s="47">
        <v>0</v>
      </c>
      <c r="DQ497" s="47">
        <v>0</v>
      </c>
      <c r="DR497" s="47">
        <v>0</v>
      </c>
      <c r="DS497" s="47">
        <v>0</v>
      </c>
      <c r="DT497" s="47">
        <v>0</v>
      </c>
    </row>
    <row r="498" spans="1:126" x14ac:dyDescent="0.25">
      <c r="A498" s="47" t="s">
        <v>2344</v>
      </c>
      <c r="B498" s="47" t="s">
        <v>153</v>
      </c>
      <c r="C498" s="47" t="s">
        <v>2345</v>
      </c>
      <c r="D498" s="47" t="s">
        <v>2346</v>
      </c>
      <c r="E498" s="47" t="s">
        <v>2347</v>
      </c>
      <c r="F498" s="47" t="s">
        <v>698</v>
      </c>
      <c r="G498" s="47" t="s">
        <v>727</v>
      </c>
      <c r="H498" s="47" t="str">
        <f>=IFERROR(VLOOKUP(A498,'ETPT Format DDG'!A:J,10,FALSE),"")</f>
        <v>0</v>
      </c>
      <c r="I498" s="47" t="str">
        <f>='ETPT Format DDG'!M498</f>
        <v/>
      </c>
      <c r="J498" s="47" t="str">
        <f>='ETPT Format DDG'!D498</f>
        <v/>
      </c>
      <c r="K498" s="47" t="s">
        <v>157</v>
      </c>
      <c r="L498" s="47" t="s">
        <v>1309</v>
      </c>
      <c r="M498" s="47"/>
      <c r="N498" s="47">
        <v>1</v>
      </c>
      <c r="O498" s="47">
        <v>0</v>
      </c>
      <c r="P498" s="47">
        <v>0</v>
      </c>
      <c r="Q498" s="47">
        <v>0</v>
      </c>
      <c r="R498" s="47">
        <v>0</v>
      </c>
      <c r="S498" s="47">
        <v>0</v>
      </c>
      <c r="T498" s="47">
        <v>0</v>
      </c>
      <c r="U498" s="47">
        <v>0</v>
      </c>
      <c r="V498" s="47">
        <v>0</v>
      </c>
      <c r="W498" s="47">
        <v>0</v>
      </c>
      <c r="X498" s="47">
        <v>0</v>
      </c>
      <c r="Y498" s="47">
        <v>0</v>
      </c>
      <c r="Z498" s="47">
        <v>0</v>
      </c>
      <c r="AA498" s="47">
        <v>0</v>
      </c>
      <c r="AB498" s="47">
        <v>0</v>
      </c>
      <c r="AC498" s="47">
        <v>0</v>
      </c>
      <c r="AD498" s="47">
        <v>0</v>
      </c>
      <c r="AE498" s="47">
        <v>0</v>
      </c>
      <c r="AF498" s="47">
        <v>0</v>
      </c>
      <c r="AG498" s="47">
        <v>0</v>
      </c>
      <c r="AH498" s="47">
        <v>0</v>
      </c>
      <c r="AI498" s="47">
        <v>0</v>
      </c>
      <c r="AJ498" s="47">
        <v>0</v>
      </c>
      <c r="AK498" s="47">
        <v>0</v>
      </c>
      <c r="AL498" s="47">
        <v>0</v>
      </c>
      <c r="AM498" s="47">
        <v>0</v>
      </c>
      <c r="AN498" s="47">
        <v>0</v>
      </c>
      <c r="AO498" s="47">
        <v>0</v>
      </c>
      <c r="AP498" s="47">
        <v>0</v>
      </c>
      <c r="AQ498" s="47">
        <v>0</v>
      </c>
      <c r="AR498" s="47">
        <v>0</v>
      </c>
      <c r="AS498" s="47">
        <v>0</v>
      </c>
      <c r="AT498" s="47">
        <v>0</v>
      </c>
      <c r="AU498" s="47">
        <v>0</v>
      </c>
      <c r="AV498" s="47">
        <v>0</v>
      </c>
      <c r="AW498" s="47">
        <v>0</v>
      </c>
      <c r="AX498" s="47">
        <v>0</v>
      </c>
      <c r="AY498" s="47">
        <v>0</v>
      </c>
      <c r="AZ498" s="47">
        <v>0</v>
      </c>
      <c r="BA498" s="47">
        <v>0</v>
      </c>
      <c r="BB498" s="47">
        <v>0</v>
      </c>
      <c r="BC498" s="47">
        <v>0</v>
      </c>
      <c r="BD498" s="47">
        <v>0</v>
      </c>
      <c r="BE498" s="47">
        <v>0</v>
      </c>
      <c r="BF498" s="47">
        <v>0</v>
      </c>
      <c r="BG498" s="47">
        <v>0</v>
      </c>
      <c r="BH498" s="47">
        <v>0</v>
      </c>
      <c r="BI498" s="47">
        <v>0</v>
      </c>
      <c r="BJ498" s="47">
        <v>0</v>
      </c>
      <c r="BK498" s="47">
        <v>0</v>
      </c>
      <c r="BL498" s="47">
        <v>0</v>
      </c>
      <c r="BM498" s="47">
        <v>0</v>
      </c>
      <c r="BN498" s="47">
        <v>0</v>
      </c>
      <c r="BO498" s="47">
        <v>0</v>
      </c>
      <c r="BP498" s="47">
        <v>0</v>
      </c>
      <c r="BQ498" s="47">
        <v>0</v>
      </c>
      <c r="BR498" s="47">
        <v>0</v>
      </c>
      <c r="BS498" s="47">
        <v>0</v>
      </c>
      <c r="BT498" s="47">
        <v>0</v>
      </c>
      <c r="BU498" s="47">
        <v>0</v>
      </c>
      <c r="BV498" s="47">
        <v>0</v>
      </c>
      <c r="BW498" s="47">
        <v>0</v>
      </c>
      <c r="BX498" s="47">
        <v>0</v>
      </c>
      <c r="BY498" s="47">
        <v>0</v>
      </c>
      <c r="BZ498" s="47">
        <v>0</v>
      </c>
      <c r="CA498" s="47">
        <v>0</v>
      </c>
      <c r="CB498" s="47">
        <v>0</v>
      </c>
      <c r="CC498" s="47">
        <v>0</v>
      </c>
      <c r="CD498" s="47">
        <v>0</v>
      </c>
      <c r="CE498" s="47">
        <v>0</v>
      </c>
      <c r="CF498" s="47">
        <v>0</v>
      </c>
      <c r="CG498" s="47">
        <v>0</v>
      </c>
      <c r="CH498" s="47">
        <v>0</v>
      </c>
      <c r="CI498" s="47">
        <v>0</v>
      </c>
      <c r="CJ498" s="47">
        <v>0</v>
      </c>
      <c r="CK498" s="47">
        <v>0</v>
      </c>
      <c r="CL498" s="47">
        <v>0</v>
      </c>
      <c r="CM498" s="47">
        <v>0</v>
      </c>
      <c r="CN498" s="47">
        <v>0</v>
      </c>
      <c r="CO498" s="47">
        <v>0</v>
      </c>
      <c r="CP498" s="47">
        <v>0</v>
      </c>
      <c r="CQ498" s="47">
        <v>0</v>
      </c>
      <c r="CR498" s="47">
        <v>0</v>
      </c>
      <c r="CS498" s="47">
        <v>0</v>
      </c>
      <c r="CT498" s="47">
        <v>0</v>
      </c>
      <c r="CU498" s="47">
        <v>0</v>
      </c>
      <c r="CV498" s="47">
        <v>0</v>
      </c>
      <c r="CW498" s="47">
        <v>0</v>
      </c>
      <c r="CX498" s="47">
        <v>0</v>
      </c>
      <c r="CY498" s="47">
        <v>0</v>
      </c>
      <c r="CZ498" s="47">
        <v>0</v>
      </c>
      <c r="DA498" s="47">
        <v>0</v>
      </c>
      <c r="DB498" s="47">
        <v>0</v>
      </c>
      <c r="DC498" s="47">
        <v>0</v>
      </c>
      <c r="DD498" s="47">
        <v>0</v>
      </c>
      <c r="DE498" s="47">
        <v>0</v>
      </c>
      <c r="DF498" s="47">
        <v>0</v>
      </c>
      <c r="DG498" s="47">
        <v>0</v>
      </c>
      <c r="DH498" s="47">
        <v>0</v>
      </c>
      <c r="DI498" s="47">
        <v>0</v>
      </c>
      <c r="DJ498" s="47">
        <v>0</v>
      </c>
      <c r="DK498" s="47">
        <v>0</v>
      </c>
      <c r="DL498" s="47">
        <v>0</v>
      </c>
      <c r="DM498" s="47">
        <v>0</v>
      </c>
      <c r="DN498" s="47">
        <v>0</v>
      </c>
      <c r="DO498" s="47">
        <v>0</v>
      </c>
      <c r="DP498" s="47">
        <v>0</v>
      </c>
      <c r="DQ498" s="47">
        <v>0</v>
      </c>
      <c r="DR498" s="47">
        <v>0</v>
      </c>
      <c r="DS498" s="47">
        <v>0</v>
      </c>
      <c r="DT498" s="47">
        <v>0</v>
      </c>
    </row>
    <row r="499" spans="1:126" x14ac:dyDescent="0.25">
      <c r="A499" s="47" t="s">
        <v>2348</v>
      </c>
      <c r="B499" s="47" t="s">
        <v>153</v>
      </c>
      <c r="C499" s="47" t="s">
        <v>2349</v>
      </c>
      <c r="D499" s="47" t="s">
        <v>2350</v>
      </c>
      <c r="E499" s="47" t="s">
        <v>2351</v>
      </c>
      <c r="F499" s="47" t="s">
        <v>698</v>
      </c>
      <c r="G499" s="47" t="s">
        <v>727</v>
      </c>
      <c r="H499" s="47" t="str">
        <f>=IFERROR(VLOOKUP(A499,'ETPT Format DDG'!A:J,10,FALSE),"")</f>
        <v>0</v>
      </c>
      <c r="I499" s="47" t="str">
        <f>='ETPT Format DDG'!M499</f>
        <v/>
      </c>
      <c r="J499" s="47" t="str">
        <f>='ETPT Format DDG'!D499</f>
        <v/>
      </c>
      <c r="K499" s="47" t="s">
        <v>157</v>
      </c>
      <c r="L499" s="47" t="s">
        <v>1363</v>
      </c>
      <c r="M499" s="47"/>
      <c r="N499" s="47">
        <v>0.8</v>
      </c>
      <c r="O499" s="47">
        <v>0.8</v>
      </c>
      <c r="P499" s="47">
        <v>0</v>
      </c>
      <c r="Q499" s="47">
        <v>0</v>
      </c>
      <c r="R499" s="47">
        <v>0</v>
      </c>
      <c r="S499" s="47">
        <v>0</v>
      </c>
      <c r="T499" s="47">
        <v>0</v>
      </c>
      <c r="U499" s="47">
        <v>0</v>
      </c>
      <c r="V499" s="47">
        <v>0</v>
      </c>
      <c r="W499" s="47">
        <v>0</v>
      </c>
      <c r="X499" s="47">
        <v>0</v>
      </c>
      <c r="Y499" s="47">
        <v>0</v>
      </c>
      <c r="Z499" s="47">
        <v>0</v>
      </c>
      <c r="AA499" s="47">
        <v>0</v>
      </c>
      <c r="AB499" s="47">
        <v>0</v>
      </c>
      <c r="AC499" s="47">
        <v>0</v>
      </c>
      <c r="AD499" s="47">
        <v>0</v>
      </c>
      <c r="AE499" s="47">
        <v>0</v>
      </c>
      <c r="AF499" s="47">
        <v>0</v>
      </c>
      <c r="AG499" s="47">
        <v>0</v>
      </c>
      <c r="AH499" s="47">
        <v>0</v>
      </c>
      <c r="AI499" s="47">
        <v>0</v>
      </c>
      <c r="AJ499" s="47">
        <v>0</v>
      </c>
      <c r="AK499" s="47">
        <v>0</v>
      </c>
      <c r="AL499" s="47">
        <v>0</v>
      </c>
      <c r="AM499" s="47">
        <v>0</v>
      </c>
      <c r="AN499" s="47">
        <v>0.8</v>
      </c>
      <c r="AO499" s="47">
        <v>0</v>
      </c>
      <c r="AP499" s="47">
        <v>0</v>
      </c>
      <c r="AQ499" s="47">
        <v>0</v>
      </c>
      <c r="AR499" s="47">
        <v>0</v>
      </c>
      <c r="AS499" s="47">
        <v>0</v>
      </c>
      <c r="AT499" s="47">
        <v>0</v>
      </c>
      <c r="AU499" s="47">
        <v>0</v>
      </c>
      <c r="AV499" s="47">
        <v>0</v>
      </c>
      <c r="AW499" s="47">
        <v>0</v>
      </c>
      <c r="AX499" s="47">
        <v>0</v>
      </c>
      <c r="AY499" s="47">
        <v>0</v>
      </c>
      <c r="AZ499" s="47">
        <v>0</v>
      </c>
      <c r="BA499" s="47">
        <v>0</v>
      </c>
      <c r="BB499" s="47">
        <v>0</v>
      </c>
      <c r="BC499" s="47">
        <v>0</v>
      </c>
      <c r="BD499" s="47">
        <v>0</v>
      </c>
      <c r="BE499" s="47">
        <v>0</v>
      </c>
      <c r="BF499" s="47">
        <v>0</v>
      </c>
      <c r="BG499" s="47">
        <v>0</v>
      </c>
      <c r="BH499" s="47">
        <v>0</v>
      </c>
      <c r="BI499" s="47">
        <v>0</v>
      </c>
      <c r="BJ499" s="47">
        <v>0</v>
      </c>
      <c r="BK499" s="47">
        <v>0</v>
      </c>
      <c r="BL499" s="47">
        <v>0</v>
      </c>
      <c r="BM499" s="47">
        <v>0</v>
      </c>
      <c r="BN499" s="47">
        <v>0</v>
      </c>
      <c r="BO499" s="47">
        <v>0</v>
      </c>
      <c r="BP499" s="47">
        <v>0</v>
      </c>
      <c r="BQ499" s="47">
        <v>0</v>
      </c>
      <c r="BR499" s="47">
        <v>0</v>
      </c>
      <c r="BS499" s="47">
        <v>0</v>
      </c>
      <c r="BT499" s="47">
        <v>0</v>
      </c>
      <c r="BU499" s="47">
        <v>0</v>
      </c>
      <c r="BV499" s="47">
        <v>0</v>
      </c>
      <c r="BW499" s="47">
        <v>0</v>
      </c>
      <c r="BX499" s="47">
        <v>0</v>
      </c>
      <c r="BY499" s="47">
        <v>0</v>
      </c>
      <c r="BZ499" s="47">
        <v>0</v>
      </c>
      <c r="CA499" s="47">
        <v>0</v>
      </c>
      <c r="CB499" s="47">
        <v>0</v>
      </c>
      <c r="CC499" s="47">
        <v>0</v>
      </c>
      <c r="CD499" s="47">
        <v>0</v>
      </c>
      <c r="CE499" s="47">
        <v>0</v>
      </c>
      <c r="CF499" s="47">
        <v>0</v>
      </c>
      <c r="CG499" s="47">
        <v>0</v>
      </c>
      <c r="CH499" s="47">
        <v>0</v>
      </c>
      <c r="CI499" s="47">
        <v>0</v>
      </c>
      <c r="CJ499" s="47">
        <v>0</v>
      </c>
      <c r="CK499" s="47">
        <v>0</v>
      </c>
      <c r="CL499" s="47">
        <v>0</v>
      </c>
      <c r="CM499" s="47">
        <v>0</v>
      </c>
      <c r="CN499" s="47">
        <v>0</v>
      </c>
      <c r="CO499" s="47">
        <v>0</v>
      </c>
      <c r="CP499" s="47">
        <v>0</v>
      </c>
      <c r="CQ499" s="47">
        <v>0</v>
      </c>
      <c r="CR499" s="47">
        <v>0</v>
      </c>
      <c r="CS499" s="47">
        <v>0</v>
      </c>
      <c r="CT499" s="47">
        <v>0</v>
      </c>
      <c r="CU499" s="47">
        <v>0</v>
      </c>
      <c r="CV499" s="47">
        <v>0</v>
      </c>
      <c r="CW499" s="47">
        <v>0</v>
      </c>
      <c r="CX499" s="47">
        <v>0</v>
      </c>
      <c r="CY499" s="47">
        <v>0</v>
      </c>
      <c r="CZ499" s="47">
        <v>0</v>
      </c>
      <c r="DA499" s="47">
        <v>0</v>
      </c>
      <c r="DB499" s="47">
        <v>0</v>
      </c>
      <c r="DC499" s="47">
        <v>0</v>
      </c>
      <c r="DD499" s="47">
        <v>0</v>
      </c>
      <c r="DE499" s="47">
        <v>0</v>
      </c>
      <c r="DF499" s="47">
        <v>0</v>
      </c>
      <c r="DG499" s="47">
        <v>0</v>
      </c>
      <c r="DH499" s="47">
        <v>0</v>
      </c>
      <c r="DI499" s="47">
        <v>0</v>
      </c>
      <c r="DJ499" s="47">
        <v>0</v>
      </c>
      <c r="DK499" s="47">
        <v>0</v>
      </c>
      <c r="DL499" s="47">
        <v>0</v>
      </c>
      <c r="DM499" s="47">
        <v>0</v>
      </c>
      <c r="DN499" s="47">
        <v>0</v>
      </c>
      <c r="DO499" s="47">
        <v>0</v>
      </c>
      <c r="DP499" s="47">
        <v>0</v>
      </c>
      <c r="DQ499" s="47">
        <v>0</v>
      </c>
      <c r="DR499" s="47">
        <v>0</v>
      </c>
      <c r="DS499" s="47">
        <v>0</v>
      </c>
      <c r="DT499" s="47">
        <v>0</v>
      </c>
    </row>
    <row r="500" spans="1:126" x14ac:dyDescent="0.25">
      <c r="A500" s="47" t="s">
        <v>2352</v>
      </c>
      <c r="B500" s="47" t="s">
        <v>153</v>
      </c>
      <c r="C500" s="47" t="s">
        <v>2353</v>
      </c>
      <c r="D500" s="47" t="s">
        <v>2354</v>
      </c>
      <c r="E500" s="47" t="s">
        <v>2355</v>
      </c>
      <c r="F500" s="47" t="s">
        <v>698</v>
      </c>
      <c r="G500" s="47" t="s">
        <v>705</v>
      </c>
      <c r="H500" s="47" t="str">
        <f>=IFERROR(VLOOKUP(A500,'ETPT Format DDG'!A:J,10,FALSE),"")</f>
        <v>0</v>
      </c>
      <c r="I500" s="47" t="str">
        <f>='ETPT Format DDG'!M500</f>
        <v/>
      </c>
      <c r="J500" s="47" t="str">
        <f>='ETPT Format DDG'!D500</f>
        <v/>
      </c>
      <c r="K500" s="47" t="s">
        <v>157</v>
      </c>
      <c r="L500" s="47" t="s">
        <v>791</v>
      </c>
      <c r="M500" s="47"/>
      <c r="N500" s="47">
        <v>1</v>
      </c>
      <c r="O500" s="47">
        <v>0</v>
      </c>
      <c r="P500" s="47">
        <v>0</v>
      </c>
      <c r="Q500" s="47">
        <v>0</v>
      </c>
      <c r="R500" s="47">
        <v>0</v>
      </c>
      <c r="S500" s="47">
        <v>0</v>
      </c>
      <c r="T500" s="47">
        <v>0</v>
      </c>
      <c r="U500" s="47">
        <v>0</v>
      </c>
      <c r="V500" s="47">
        <v>0</v>
      </c>
      <c r="W500" s="47">
        <v>0</v>
      </c>
      <c r="X500" s="47">
        <v>0</v>
      </c>
      <c r="Y500" s="47">
        <v>0</v>
      </c>
      <c r="Z500" s="47">
        <v>0</v>
      </c>
      <c r="AA500" s="47">
        <v>0</v>
      </c>
      <c r="AB500" s="47">
        <v>0</v>
      </c>
      <c r="AC500" s="47">
        <v>0</v>
      </c>
      <c r="AD500" s="47">
        <v>0</v>
      </c>
      <c r="AE500" s="47">
        <v>0</v>
      </c>
      <c r="AF500" s="47">
        <v>0</v>
      </c>
      <c r="AG500" s="47">
        <v>0</v>
      </c>
      <c r="AH500" s="47">
        <v>0</v>
      </c>
      <c r="AI500" s="47">
        <v>0</v>
      </c>
      <c r="AJ500" s="47">
        <v>0</v>
      </c>
      <c r="AK500" s="47">
        <v>0</v>
      </c>
      <c r="AL500" s="47">
        <v>0</v>
      </c>
      <c r="AM500" s="47">
        <v>0</v>
      </c>
      <c r="AN500" s="47">
        <v>0</v>
      </c>
      <c r="AO500" s="47">
        <v>0</v>
      </c>
      <c r="AP500" s="47">
        <v>0</v>
      </c>
      <c r="AQ500" s="47">
        <v>0</v>
      </c>
      <c r="AR500" s="47">
        <v>0</v>
      </c>
      <c r="AS500" s="47">
        <v>0</v>
      </c>
      <c r="AT500" s="47">
        <v>0</v>
      </c>
      <c r="AU500" s="47">
        <v>0</v>
      </c>
      <c r="AV500" s="47">
        <v>0</v>
      </c>
      <c r="AW500" s="47">
        <v>0</v>
      </c>
      <c r="AX500" s="47">
        <v>0</v>
      </c>
      <c r="AY500" s="47">
        <v>0</v>
      </c>
      <c r="AZ500" s="47">
        <v>0</v>
      </c>
      <c r="BA500" s="47">
        <v>0</v>
      </c>
      <c r="BB500" s="47">
        <v>0</v>
      </c>
      <c r="BC500" s="47">
        <v>0</v>
      </c>
      <c r="BD500" s="47">
        <v>0</v>
      </c>
      <c r="BE500" s="47">
        <v>0</v>
      </c>
      <c r="BF500" s="47">
        <v>0</v>
      </c>
      <c r="BG500" s="47">
        <v>0</v>
      </c>
      <c r="BH500" s="47">
        <v>0</v>
      </c>
      <c r="BI500" s="47">
        <v>0</v>
      </c>
      <c r="BJ500" s="47">
        <v>0</v>
      </c>
      <c r="BK500" s="47">
        <v>0</v>
      </c>
      <c r="BL500" s="47">
        <v>0</v>
      </c>
      <c r="BM500" s="47">
        <v>0</v>
      </c>
      <c r="BN500" s="47">
        <v>0</v>
      </c>
      <c r="BO500" s="47">
        <v>0</v>
      </c>
      <c r="BP500" s="47">
        <v>0</v>
      </c>
      <c r="BQ500" s="47">
        <v>0</v>
      </c>
      <c r="BR500" s="47">
        <v>0</v>
      </c>
      <c r="BS500" s="47">
        <v>0</v>
      </c>
      <c r="BT500" s="47">
        <v>0</v>
      </c>
      <c r="BU500" s="47">
        <v>0</v>
      </c>
      <c r="BV500" s="47">
        <v>0</v>
      </c>
      <c r="BW500" s="47">
        <v>0</v>
      </c>
      <c r="BX500" s="47">
        <v>0</v>
      </c>
      <c r="BY500" s="47">
        <v>0</v>
      </c>
      <c r="BZ500" s="47">
        <v>0</v>
      </c>
      <c r="CA500" s="47">
        <v>0</v>
      </c>
      <c r="CB500" s="47">
        <v>0</v>
      </c>
      <c r="CC500" s="47">
        <v>0</v>
      </c>
      <c r="CD500" s="47">
        <v>0</v>
      </c>
      <c r="CE500" s="47">
        <v>0</v>
      </c>
      <c r="CF500" s="47">
        <v>0</v>
      </c>
      <c r="CG500" s="47">
        <v>0</v>
      </c>
      <c r="CH500" s="47">
        <v>0</v>
      </c>
      <c r="CI500" s="47">
        <v>0</v>
      </c>
      <c r="CJ500" s="47">
        <v>0</v>
      </c>
      <c r="CK500" s="47">
        <v>0</v>
      </c>
      <c r="CL500" s="47">
        <v>0</v>
      </c>
      <c r="CM500" s="47">
        <v>0</v>
      </c>
      <c r="CN500" s="47">
        <v>0</v>
      </c>
      <c r="CO500" s="47">
        <v>0</v>
      </c>
      <c r="CP500" s="47">
        <v>0</v>
      </c>
      <c r="CQ500" s="47">
        <v>0</v>
      </c>
      <c r="CR500" s="47">
        <v>0</v>
      </c>
      <c r="CS500" s="47">
        <v>0</v>
      </c>
      <c r="CT500" s="47">
        <v>0</v>
      </c>
      <c r="CU500" s="47">
        <v>0</v>
      </c>
      <c r="CV500" s="47">
        <v>0</v>
      </c>
      <c r="CW500" s="47">
        <v>0</v>
      </c>
      <c r="CX500" s="47">
        <v>0</v>
      </c>
      <c r="CY500" s="47">
        <v>0</v>
      </c>
      <c r="CZ500" s="47">
        <v>0</v>
      </c>
      <c r="DA500" s="47">
        <v>0</v>
      </c>
      <c r="DB500" s="47">
        <v>0</v>
      </c>
      <c r="DC500" s="47">
        <v>0</v>
      </c>
      <c r="DD500" s="47">
        <v>0</v>
      </c>
      <c r="DE500" s="47">
        <v>0</v>
      </c>
      <c r="DF500" s="47">
        <v>0</v>
      </c>
      <c r="DG500" s="47">
        <v>0</v>
      </c>
      <c r="DH500" s="47">
        <v>0</v>
      </c>
      <c r="DI500" s="47">
        <v>0</v>
      </c>
      <c r="DJ500" s="47">
        <v>0</v>
      </c>
      <c r="DK500" s="47">
        <v>0</v>
      </c>
      <c r="DL500" s="47">
        <v>0</v>
      </c>
      <c r="DM500" s="47">
        <v>0</v>
      </c>
      <c r="DN500" s="47">
        <v>0</v>
      </c>
      <c r="DO500" s="47">
        <v>0</v>
      </c>
      <c r="DP500" s="47">
        <v>0</v>
      </c>
      <c r="DQ500" s="47">
        <v>0</v>
      </c>
      <c r="DR500" s="47">
        <v>0</v>
      </c>
      <c r="DS500" s="47">
        <v>0</v>
      </c>
      <c r="DT500" s="47">
        <v>0</v>
      </c>
    </row>
    <row r="501" spans="1:126" x14ac:dyDescent="0.25">
      <c r="A501" s="47" t="s">
        <v>2356</v>
      </c>
      <c r="B501" s="47" t="s">
        <v>153</v>
      </c>
      <c r="C501" s="47" t="s">
        <v>2357</v>
      </c>
      <c r="D501" s="47" t="s">
        <v>2358</v>
      </c>
      <c r="E501" s="47" t="s">
        <v>2359</v>
      </c>
      <c r="F501" s="47" t="s">
        <v>698</v>
      </c>
      <c r="G501" s="47" t="s">
        <v>727</v>
      </c>
      <c r="H501" s="47" t="str">
        <f>=IFERROR(VLOOKUP(A501,'ETPT Format DDG'!A:J,10,FALSE),"")</f>
        <v>0</v>
      </c>
      <c r="I501" s="47" t="str">
        <f>='ETPT Format DDG'!M501</f>
        <v/>
      </c>
      <c r="J501" s="47" t="str">
        <f>='ETPT Format DDG'!D501</f>
        <v/>
      </c>
      <c r="K501" s="47" t="s">
        <v>157</v>
      </c>
      <c r="L501" s="47" t="s">
        <v>1113</v>
      </c>
      <c r="M501" s="47"/>
      <c r="N501" s="47">
        <v>1</v>
      </c>
      <c r="O501" s="47">
        <v>1</v>
      </c>
      <c r="P501" s="47">
        <v>0</v>
      </c>
      <c r="Q501" s="47">
        <v>0</v>
      </c>
      <c r="R501" s="47">
        <v>0</v>
      </c>
      <c r="S501" s="47">
        <v>0</v>
      </c>
      <c r="T501" s="47">
        <v>0</v>
      </c>
      <c r="U501" s="47">
        <v>0</v>
      </c>
      <c r="V501" s="47">
        <v>0</v>
      </c>
      <c r="W501" s="47">
        <v>0</v>
      </c>
      <c r="X501" s="47">
        <v>0</v>
      </c>
      <c r="Y501" s="47">
        <v>0</v>
      </c>
      <c r="Z501" s="47">
        <v>0</v>
      </c>
      <c r="AA501" s="47">
        <v>0</v>
      </c>
      <c r="AB501" s="47">
        <v>0</v>
      </c>
      <c r="AC501" s="47">
        <v>0</v>
      </c>
      <c r="AD501" s="47">
        <v>0</v>
      </c>
      <c r="AE501" s="47">
        <v>0</v>
      </c>
      <c r="AF501" s="47">
        <v>0</v>
      </c>
      <c r="AG501" s="47">
        <v>0</v>
      </c>
      <c r="AH501" s="47">
        <v>0</v>
      </c>
      <c r="AI501" s="47">
        <v>0</v>
      </c>
      <c r="AJ501" s="47">
        <v>0</v>
      </c>
      <c r="AK501" s="47">
        <v>0</v>
      </c>
      <c r="AL501" s="47">
        <v>0</v>
      </c>
      <c r="AM501" s="47">
        <v>0</v>
      </c>
      <c r="AN501" s="47">
        <v>1</v>
      </c>
      <c r="AO501" s="47">
        <v>0</v>
      </c>
      <c r="AP501" s="47">
        <v>0</v>
      </c>
      <c r="AQ501" s="47">
        <v>0</v>
      </c>
      <c r="AR501" s="47">
        <v>0</v>
      </c>
      <c r="AS501" s="47">
        <v>0</v>
      </c>
      <c r="AT501" s="47">
        <v>0</v>
      </c>
      <c r="AU501" s="47">
        <v>0</v>
      </c>
      <c r="AV501" s="47">
        <v>0</v>
      </c>
      <c r="AW501" s="47">
        <v>0</v>
      </c>
      <c r="AX501" s="47">
        <v>0</v>
      </c>
      <c r="AY501" s="47">
        <v>0</v>
      </c>
      <c r="AZ501" s="47">
        <v>0</v>
      </c>
      <c r="BA501" s="47">
        <v>0</v>
      </c>
      <c r="BB501" s="47">
        <v>0</v>
      </c>
      <c r="BC501" s="47">
        <v>0</v>
      </c>
      <c r="BD501" s="47">
        <v>0</v>
      </c>
      <c r="BE501" s="47">
        <v>0</v>
      </c>
      <c r="BF501" s="47">
        <v>0</v>
      </c>
      <c r="BG501" s="47">
        <v>0</v>
      </c>
      <c r="BH501" s="47">
        <v>0</v>
      </c>
      <c r="BI501" s="47">
        <v>0</v>
      </c>
      <c r="BJ501" s="47">
        <v>0</v>
      </c>
      <c r="BK501" s="47">
        <v>0</v>
      </c>
      <c r="BL501" s="47">
        <v>0</v>
      </c>
      <c r="BM501" s="47">
        <v>0</v>
      </c>
      <c r="BN501" s="47">
        <v>0</v>
      </c>
      <c r="BO501" s="47">
        <v>0</v>
      </c>
      <c r="BP501" s="47">
        <v>0</v>
      </c>
      <c r="BQ501" s="47">
        <v>0</v>
      </c>
      <c r="BR501" s="47">
        <v>0</v>
      </c>
      <c r="BS501" s="47">
        <v>0</v>
      </c>
      <c r="BT501" s="47">
        <v>0</v>
      </c>
      <c r="BU501" s="47">
        <v>0</v>
      </c>
      <c r="BV501" s="47">
        <v>0</v>
      </c>
      <c r="BW501" s="47">
        <v>0</v>
      </c>
      <c r="BX501" s="47">
        <v>0</v>
      </c>
      <c r="BY501" s="47">
        <v>0</v>
      </c>
      <c r="BZ501" s="47">
        <v>0</v>
      </c>
      <c r="CA501" s="47">
        <v>0</v>
      </c>
      <c r="CB501" s="47">
        <v>0</v>
      </c>
      <c r="CC501" s="47">
        <v>0</v>
      </c>
      <c r="CD501" s="47">
        <v>0</v>
      </c>
      <c r="CE501" s="47">
        <v>0</v>
      </c>
      <c r="CF501" s="47">
        <v>0</v>
      </c>
      <c r="CG501" s="47">
        <v>0</v>
      </c>
      <c r="CH501" s="47">
        <v>0</v>
      </c>
      <c r="CI501" s="47">
        <v>0</v>
      </c>
      <c r="CJ501" s="47">
        <v>0</v>
      </c>
      <c r="CK501" s="47">
        <v>0</v>
      </c>
      <c r="CL501" s="47">
        <v>0</v>
      </c>
      <c r="CM501" s="47">
        <v>0</v>
      </c>
      <c r="CN501" s="47">
        <v>0</v>
      </c>
      <c r="CO501" s="47">
        <v>0</v>
      </c>
      <c r="CP501" s="47">
        <v>0</v>
      </c>
      <c r="CQ501" s="47">
        <v>0</v>
      </c>
      <c r="CR501" s="47">
        <v>0</v>
      </c>
      <c r="CS501" s="47">
        <v>0</v>
      </c>
      <c r="CT501" s="47">
        <v>0</v>
      </c>
      <c r="CU501" s="47">
        <v>0</v>
      </c>
      <c r="CV501" s="47">
        <v>0</v>
      </c>
      <c r="CW501" s="47">
        <v>0</v>
      </c>
      <c r="CX501" s="47">
        <v>0</v>
      </c>
      <c r="CY501" s="47">
        <v>0</v>
      </c>
      <c r="CZ501" s="47">
        <v>0</v>
      </c>
      <c r="DA501" s="47">
        <v>0</v>
      </c>
      <c r="DB501" s="47">
        <v>0</v>
      </c>
      <c r="DC501" s="47">
        <v>0</v>
      </c>
      <c r="DD501" s="47">
        <v>0</v>
      </c>
      <c r="DE501" s="47">
        <v>0</v>
      </c>
      <c r="DF501" s="47">
        <v>0</v>
      </c>
      <c r="DG501" s="47">
        <v>0</v>
      </c>
      <c r="DH501" s="47">
        <v>0</v>
      </c>
      <c r="DI501" s="47">
        <v>0</v>
      </c>
      <c r="DJ501" s="47">
        <v>0</v>
      </c>
      <c r="DK501" s="47">
        <v>0</v>
      </c>
      <c r="DL501" s="47">
        <v>0</v>
      </c>
      <c r="DM501" s="47">
        <v>0</v>
      </c>
      <c r="DN501" s="47">
        <v>0</v>
      </c>
      <c r="DO501" s="47">
        <v>0</v>
      </c>
      <c r="DP501" s="47">
        <v>0</v>
      </c>
      <c r="DQ501" s="47">
        <v>0</v>
      </c>
      <c r="DR501" s="47">
        <v>0</v>
      </c>
      <c r="DS501" s="47">
        <v>0</v>
      </c>
      <c r="DT501" s="47">
        <v>0</v>
      </c>
    </row>
    <row r="502" spans="1:126" x14ac:dyDescent="0.25">
      <c r="A502" s="47" t="s">
        <v>2360</v>
      </c>
      <c r="B502" s="47" t="s">
        <v>153</v>
      </c>
      <c r="C502" s="47" t="s">
        <v>2361</v>
      </c>
      <c r="D502" s="47" t="s">
        <v>2362</v>
      </c>
      <c r="E502" s="47" t="s">
        <v>2363</v>
      </c>
      <c r="F502" s="47" t="s">
        <v>698</v>
      </c>
      <c r="G502" s="47" t="s">
        <v>727</v>
      </c>
      <c r="H502" s="47" t="str">
        <f>=IFERROR(VLOOKUP(A502,'ETPT Format DDG'!A:J,10,FALSE),"")</f>
        <v>0</v>
      </c>
      <c r="I502" s="47" t="str">
        <f>='ETPT Format DDG'!M502</f>
        <v/>
      </c>
      <c r="J502" s="47" t="str">
        <f>='ETPT Format DDG'!D502</f>
        <v/>
      </c>
      <c r="K502" s="47" t="s">
        <v>157</v>
      </c>
      <c r="L502" s="47" t="s">
        <v>700</v>
      </c>
      <c r="M502" s="47"/>
      <c r="N502" s="47">
        <v>1</v>
      </c>
      <c r="O502" s="47">
        <v>0</v>
      </c>
      <c r="P502" s="47">
        <v>0</v>
      </c>
      <c r="Q502" s="47">
        <v>0</v>
      </c>
      <c r="R502" s="47">
        <v>0</v>
      </c>
      <c r="S502" s="47">
        <v>0</v>
      </c>
      <c r="T502" s="47">
        <v>0</v>
      </c>
      <c r="U502" s="47">
        <v>0</v>
      </c>
      <c r="V502" s="47">
        <v>0</v>
      </c>
      <c r="W502" s="47">
        <v>0</v>
      </c>
      <c r="X502" s="47">
        <v>0</v>
      </c>
      <c r="Y502" s="47">
        <v>0</v>
      </c>
      <c r="Z502" s="47">
        <v>0</v>
      </c>
      <c r="AA502" s="47">
        <v>0</v>
      </c>
      <c r="AB502" s="47">
        <v>0</v>
      </c>
      <c r="AC502" s="47">
        <v>0</v>
      </c>
      <c r="AD502" s="47">
        <v>0</v>
      </c>
      <c r="AE502" s="47">
        <v>0</v>
      </c>
      <c r="AF502" s="47">
        <v>0</v>
      </c>
      <c r="AG502" s="47">
        <v>0</v>
      </c>
      <c r="AH502" s="47">
        <v>0</v>
      </c>
      <c r="AI502" s="47">
        <v>0</v>
      </c>
      <c r="AJ502" s="47">
        <v>0</v>
      </c>
      <c r="AK502" s="47">
        <v>0</v>
      </c>
      <c r="AL502" s="47">
        <v>0</v>
      </c>
      <c r="AM502" s="47">
        <v>0</v>
      </c>
      <c r="AN502" s="47">
        <v>0</v>
      </c>
      <c r="AO502" s="47">
        <v>0</v>
      </c>
      <c r="AP502" s="47">
        <v>0</v>
      </c>
      <c r="AQ502" s="47">
        <v>0</v>
      </c>
      <c r="AR502" s="47">
        <v>0</v>
      </c>
      <c r="AS502" s="47">
        <v>0</v>
      </c>
      <c r="AT502" s="47">
        <v>0</v>
      </c>
      <c r="AU502" s="47">
        <v>0</v>
      </c>
      <c r="AV502" s="47">
        <v>0</v>
      </c>
      <c r="AW502" s="47">
        <v>0</v>
      </c>
      <c r="AX502" s="47">
        <v>0</v>
      </c>
      <c r="AY502" s="47">
        <v>0</v>
      </c>
      <c r="AZ502" s="47">
        <v>0</v>
      </c>
      <c r="BA502" s="47">
        <v>0</v>
      </c>
      <c r="BB502" s="47">
        <v>0</v>
      </c>
      <c r="BC502" s="47">
        <v>0</v>
      </c>
      <c r="BD502" s="47">
        <v>0</v>
      </c>
      <c r="BE502" s="47">
        <v>0</v>
      </c>
      <c r="BF502" s="47">
        <v>0</v>
      </c>
      <c r="BG502" s="47">
        <v>0</v>
      </c>
      <c r="BH502" s="47">
        <v>0</v>
      </c>
      <c r="BI502" s="47">
        <v>0</v>
      </c>
      <c r="BJ502" s="47">
        <v>0</v>
      </c>
      <c r="BK502" s="47">
        <v>0</v>
      </c>
      <c r="BL502" s="47">
        <v>0</v>
      </c>
      <c r="BM502" s="47">
        <v>0</v>
      </c>
      <c r="BN502" s="47">
        <v>0</v>
      </c>
      <c r="BO502" s="47">
        <v>0</v>
      </c>
      <c r="BP502" s="47">
        <v>0</v>
      </c>
      <c r="BQ502" s="47">
        <v>0</v>
      </c>
      <c r="BR502" s="47">
        <v>0</v>
      </c>
      <c r="BS502" s="47">
        <v>0</v>
      </c>
      <c r="BT502" s="47">
        <v>0</v>
      </c>
      <c r="BU502" s="47">
        <v>0</v>
      </c>
      <c r="BV502" s="47">
        <v>0</v>
      </c>
      <c r="BW502" s="47">
        <v>0</v>
      </c>
      <c r="BX502" s="47">
        <v>0</v>
      </c>
      <c r="BY502" s="47">
        <v>0</v>
      </c>
      <c r="BZ502" s="47">
        <v>0</v>
      </c>
      <c r="CA502" s="47">
        <v>0</v>
      </c>
      <c r="CB502" s="47">
        <v>0</v>
      </c>
      <c r="CC502" s="47">
        <v>0</v>
      </c>
      <c r="CD502" s="47">
        <v>0</v>
      </c>
      <c r="CE502" s="47">
        <v>0</v>
      </c>
      <c r="CF502" s="47">
        <v>0</v>
      </c>
      <c r="CG502" s="47">
        <v>0</v>
      </c>
      <c r="CH502" s="47">
        <v>0</v>
      </c>
      <c r="CI502" s="47">
        <v>0</v>
      </c>
      <c r="CJ502" s="47">
        <v>0</v>
      </c>
      <c r="CK502" s="47">
        <v>0</v>
      </c>
      <c r="CL502" s="47">
        <v>0</v>
      </c>
      <c r="CM502" s="47">
        <v>0</v>
      </c>
      <c r="CN502" s="47">
        <v>0</v>
      </c>
      <c r="CO502" s="47">
        <v>0</v>
      </c>
      <c r="CP502" s="47">
        <v>0</v>
      </c>
      <c r="CQ502" s="47">
        <v>0</v>
      </c>
      <c r="CR502" s="47">
        <v>0</v>
      </c>
      <c r="CS502" s="47">
        <v>0</v>
      </c>
      <c r="CT502" s="47">
        <v>0</v>
      </c>
      <c r="CU502" s="47">
        <v>0</v>
      </c>
      <c r="CV502" s="47">
        <v>0</v>
      </c>
      <c r="CW502" s="47">
        <v>0</v>
      </c>
      <c r="CX502" s="47">
        <v>0</v>
      </c>
      <c r="CY502" s="47">
        <v>0</v>
      </c>
      <c r="CZ502" s="47">
        <v>0</v>
      </c>
      <c r="DA502" s="47">
        <v>0</v>
      </c>
      <c r="DB502" s="47">
        <v>0</v>
      </c>
      <c r="DC502" s="47">
        <v>0</v>
      </c>
      <c r="DD502" s="47">
        <v>0</v>
      </c>
      <c r="DE502" s="47">
        <v>0</v>
      </c>
      <c r="DF502" s="47">
        <v>0</v>
      </c>
      <c r="DG502" s="47">
        <v>0</v>
      </c>
      <c r="DH502" s="47">
        <v>0</v>
      </c>
      <c r="DI502" s="47">
        <v>0</v>
      </c>
      <c r="DJ502" s="47">
        <v>0</v>
      </c>
      <c r="DK502" s="47">
        <v>0</v>
      </c>
      <c r="DL502" s="47">
        <v>0</v>
      </c>
      <c r="DM502" s="47">
        <v>0</v>
      </c>
      <c r="DN502" s="47">
        <v>0</v>
      </c>
      <c r="DO502" s="47">
        <v>0</v>
      </c>
      <c r="DP502" s="47">
        <v>0</v>
      </c>
      <c r="DQ502" s="47">
        <v>0</v>
      </c>
      <c r="DR502" s="47">
        <v>0</v>
      </c>
      <c r="DS502" s="47">
        <v>0</v>
      </c>
      <c r="DT502" s="47">
        <v>0</v>
      </c>
    </row>
    <row r="503" spans="1:126" x14ac:dyDescent="0.25">
      <c r="A503" s="47" t="s">
        <v>2364</v>
      </c>
      <c r="B503" s="47" t="s">
        <v>153</v>
      </c>
      <c r="C503" s="47" t="s">
        <v>2365</v>
      </c>
      <c r="D503" s="47" t="s">
        <v>2366</v>
      </c>
      <c r="E503" s="47" t="s">
        <v>2367</v>
      </c>
      <c r="F503" s="47" t="s">
        <v>698</v>
      </c>
      <c r="G503" s="47" t="s">
        <v>727</v>
      </c>
      <c r="H503" s="47" t="str">
        <f>=IFERROR(VLOOKUP(A503,'ETPT Format DDG'!A:J,10,FALSE),"")</f>
        <v>0</v>
      </c>
      <c r="I503" s="47" t="str">
        <f>='ETPT Format DDG'!M503</f>
        <v/>
      </c>
      <c r="J503" s="47" t="str">
        <f>='ETPT Format DDG'!D503</f>
        <v/>
      </c>
      <c r="K503" s="47" t="s">
        <v>157</v>
      </c>
      <c r="L503" s="47" t="s">
        <v>849</v>
      </c>
      <c r="M503" s="47"/>
      <c r="N503" s="47">
        <v>1</v>
      </c>
      <c r="O503" s="47">
        <v>1</v>
      </c>
      <c r="P503" s="47">
        <v>0</v>
      </c>
      <c r="Q503" s="47">
        <v>0</v>
      </c>
      <c r="R503" s="47">
        <v>0</v>
      </c>
      <c r="S503" s="47">
        <v>0</v>
      </c>
      <c r="T503" s="47">
        <v>0</v>
      </c>
      <c r="U503" s="47">
        <v>0</v>
      </c>
      <c r="V503" s="47">
        <v>0</v>
      </c>
      <c r="W503" s="47">
        <v>0</v>
      </c>
      <c r="X503" s="47">
        <v>0</v>
      </c>
      <c r="Y503" s="47">
        <v>0</v>
      </c>
      <c r="Z503" s="47">
        <v>0</v>
      </c>
      <c r="AA503" s="47">
        <v>0</v>
      </c>
      <c r="AB503" s="47">
        <v>0</v>
      </c>
      <c r="AC503" s="47">
        <v>0</v>
      </c>
      <c r="AD503" s="47">
        <v>0</v>
      </c>
      <c r="AE503" s="47">
        <v>0</v>
      </c>
      <c r="AF503" s="47">
        <v>0</v>
      </c>
      <c r="AG503" s="47">
        <v>0</v>
      </c>
      <c r="AH503" s="47">
        <v>0</v>
      </c>
      <c r="AI503" s="47">
        <v>0</v>
      </c>
      <c r="AJ503" s="47">
        <v>0</v>
      </c>
      <c r="AK503" s="47">
        <v>0</v>
      </c>
      <c r="AL503" s="47">
        <v>0</v>
      </c>
      <c r="AM503" s="47">
        <v>0</v>
      </c>
      <c r="AN503" s="47">
        <v>0</v>
      </c>
      <c r="AO503" s="47">
        <v>0</v>
      </c>
      <c r="AP503" s="47">
        <v>0</v>
      </c>
      <c r="AQ503" s="47">
        <v>0</v>
      </c>
      <c r="AR503" s="47">
        <v>0</v>
      </c>
      <c r="AS503" s="47">
        <v>0</v>
      </c>
      <c r="AT503" s="47">
        <v>0</v>
      </c>
      <c r="AU503" s="47">
        <v>0</v>
      </c>
      <c r="AV503" s="47">
        <v>0</v>
      </c>
      <c r="AW503" s="47">
        <v>0</v>
      </c>
      <c r="AX503" s="47">
        <v>0</v>
      </c>
      <c r="AY503" s="47">
        <v>0</v>
      </c>
      <c r="AZ503" s="47">
        <v>0</v>
      </c>
      <c r="BA503" s="47">
        <v>0</v>
      </c>
      <c r="BB503" s="47">
        <v>0</v>
      </c>
      <c r="BC503" s="47">
        <v>0</v>
      </c>
      <c r="BD503" s="47">
        <v>0</v>
      </c>
      <c r="BE503" s="47">
        <v>0</v>
      </c>
      <c r="BF503" s="47">
        <v>0</v>
      </c>
      <c r="BG503" s="47">
        <v>0</v>
      </c>
      <c r="BH503" s="47">
        <v>0</v>
      </c>
      <c r="BI503" s="47">
        <v>0</v>
      </c>
      <c r="BJ503" s="47">
        <v>0</v>
      </c>
      <c r="BK503" s="47">
        <v>0</v>
      </c>
      <c r="BL503" s="47">
        <v>0</v>
      </c>
      <c r="BM503" s="47">
        <v>0</v>
      </c>
      <c r="BN503" s="47">
        <v>0</v>
      </c>
      <c r="BO503" s="47">
        <v>1</v>
      </c>
      <c r="BP503" s="47">
        <v>0</v>
      </c>
      <c r="BQ503" s="47">
        <v>0</v>
      </c>
      <c r="BR503" s="47">
        <v>0</v>
      </c>
      <c r="BS503" s="47">
        <v>0</v>
      </c>
      <c r="BT503" s="47">
        <v>0</v>
      </c>
      <c r="BU503" s="47">
        <v>0</v>
      </c>
      <c r="BV503" s="47">
        <v>0</v>
      </c>
      <c r="BW503" s="47">
        <v>0</v>
      </c>
      <c r="BX503" s="47">
        <v>0</v>
      </c>
      <c r="BY503" s="47">
        <v>0</v>
      </c>
      <c r="BZ503" s="47">
        <v>0</v>
      </c>
      <c r="CA503" s="47">
        <v>0</v>
      </c>
      <c r="CB503" s="47">
        <v>0</v>
      </c>
      <c r="CC503" s="47">
        <v>0</v>
      </c>
      <c r="CD503" s="47">
        <v>0</v>
      </c>
      <c r="CE503" s="47">
        <v>0</v>
      </c>
      <c r="CF503" s="47">
        <v>0</v>
      </c>
      <c r="CG503" s="47">
        <v>0</v>
      </c>
      <c r="CH503" s="47">
        <v>0</v>
      </c>
      <c r="CI503" s="47">
        <v>0</v>
      </c>
      <c r="CJ503" s="47">
        <v>0</v>
      </c>
      <c r="CK503" s="47">
        <v>0</v>
      </c>
      <c r="CL503" s="47">
        <v>0</v>
      </c>
      <c r="CM503" s="47">
        <v>0</v>
      </c>
      <c r="CN503" s="47">
        <v>0</v>
      </c>
      <c r="CO503" s="47">
        <v>0</v>
      </c>
      <c r="CP503" s="47">
        <v>0</v>
      </c>
      <c r="CQ503" s="47">
        <v>0</v>
      </c>
      <c r="CR503" s="47">
        <v>0</v>
      </c>
      <c r="CS503" s="47">
        <v>0</v>
      </c>
      <c r="CT503" s="47">
        <v>0</v>
      </c>
      <c r="CU503" s="47">
        <v>0</v>
      </c>
      <c r="CV503" s="47">
        <v>0</v>
      </c>
      <c r="CW503" s="47">
        <v>0</v>
      </c>
      <c r="CX503" s="47">
        <v>0</v>
      </c>
      <c r="CY503" s="47">
        <v>0</v>
      </c>
      <c r="CZ503" s="47">
        <v>0</v>
      </c>
      <c r="DA503" s="47">
        <v>0</v>
      </c>
      <c r="DB503" s="47">
        <v>0</v>
      </c>
      <c r="DC503" s="47">
        <v>0</v>
      </c>
      <c r="DD503" s="47">
        <v>0</v>
      </c>
      <c r="DE503" s="47">
        <v>0</v>
      </c>
      <c r="DF503" s="47">
        <v>0</v>
      </c>
      <c r="DG503" s="47">
        <v>0</v>
      </c>
      <c r="DH503" s="47">
        <v>0</v>
      </c>
      <c r="DI503" s="47">
        <v>0</v>
      </c>
      <c r="DJ503" s="47">
        <v>0</v>
      </c>
      <c r="DK503" s="47">
        <v>0</v>
      </c>
      <c r="DL503" s="47">
        <v>0</v>
      </c>
      <c r="DM503" s="47">
        <v>0</v>
      </c>
      <c r="DN503" s="47">
        <v>0</v>
      </c>
      <c r="DO503" s="47">
        <v>0</v>
      </c>
      <c r="DP503" s="47">
        <v>0</v>
      </c>
      <c r="DQ503" s="47">
        <v>0</v>
      </c>
      <c r="DR503" s="47">
        <v>0</v>
      </c>
      <c r="DS503" s="47">
        <v>0</v>
      </c>
      <c r="DT503" s="47">
        <v>0</v>
      </c>
    </row>
    <row r="504" spans="1:126" x14ac:dyDescent="0.25">
      <c r="A504" s="47" t="s">
        <v>2368</v>
      </c>
      <c r="B504" s="47" t="s">
        <v>153</v>
      </c>
      <c r="C504" s="47" t="s">
        <v>2369</v>
      </c>
      <c r="D504" s="47" t="s">
        <v>2370</v>
      </c>
      <c r="E504" s="47" t="s">
        <v>2371</v>
      </c>
      <c r="F504" s="47" t="s">
        <v>698</v>
      </c>
      <c r="G504" s="47" t="s">
        <v>727</v>
      </c>
      <c r="H504" s="47" t="str">
        <f>=IFERROR(VLOOKUP(A504,'ETPT Format DDG'!A:J,10,FALSE),"")</f>
        <v>0</v>
      </c>
      <c r="I504" s="47" t="str">
        <f>='ETPT Format DDG'!M504</f>
        <v/>
      </c>
      <c r="J504" s="47" t="str">
        <f>='ETPT Format DDG'!D504</f>
        <v/>
      </c>
      <c r="K504" s="47" t="s">
        <v>157</v>
      </c>
      <c r="L504" s="47" t="s">
        <v>717</v>
      </c>
      <c r="M504" s="47"/>
      <c r="N504" s="47">
        <v>1</v>
      </c>
      <c r="O504" s="47">
        <v>0</v>
      </c>
      <c r="P504" s="47">
        <v>0</v>
      </c>
      <c r="Q504" s="47">
        <v>0</v>
      </c>
      <c r="R504" s="47">
        <v>0</v>
      </c>
      <c r="S504" s="47">
        <v>0</v>
      </c>
      <c r="T504" s="47">
        <v>0</v>
      </c>
      <c r="U504" s="47">
        <v>0</v>
      </c>
      <c r="V504" s="47">
        <v>0</v>
      </c>
      <c r="W504" s="47">
        <v>0</v>
      </c>
      <c r="X504" s="47">
        <v>0</v>
      </c>
      <c r="Y504" s="47">
        <v>0</v>
      </c>
      <c r="Z504" s="47">
        <v>0</v>
      </c>
      <c r="AA504" s="47">
        <v>0</v>
      </c>
      <c r="AB504" s="47">
        <v>0</v>
      </c>
      <c r="AC504" s="47">
        <v>0</v>
      </c>
      <c r="AD504" s="47">
        <v>0</v>
      </c>
      <c r="AE504" s="47">
        <v>0</v>
      </c>
      <c r="AF504" s="47">
        <v>0</v>
      </c>
      <c r="AG504" s="47">
        <v>0</v>
      </c>
      <c r="AH504" s="47">
        <v>0</v>
      </c>
      <c r="AI504" s="47">
        <v>0</v>
      </c>
      <c r="AJ504" s="47">
        <v>0</v>
      </c>
      <c r="AK504" s="47">
        <v>0</v>
      </c>
      <c r="AL504" s="47">
        <v>0</v>
      </c>
      <c r="AM504" s="47">
        <v>0</v>
      </c>
      <c r="AN504" s="47">
        <v>0</v>
      </c>
      <c r="AO504" s="47">
        <v>0</v>
      </c>
      <c r="AP504" s="47">
        <v>0</v>
      </c>
      <c r="AQ504" s="47">
        <v>0</v>
      </c>
      <c r="AR504" s="47">
        <v>0</v>
      </c>
      <c r="AS504" s="47">
        <v>0</v>
      </c>
      <c r="AT504" s="47">
        <v>0</v>
      </c>
      <c r="AU504" s="47">
        <v>0</v>
      </c>
      <c r="AV504" s="47">
        <v>0</v>
      </c>
      <c r="AW504" s="47">
        <v>0</v>
      </c>
      <c r="AX504" s="47">
        <v>0</v>
      </c>
      <c r="AY504" s="47">
        <v>0</v>
      </c>
      <c r="AZ504" s="47">
        <v>0</v>
      </c>
      <c r="BA504" s="47">
        <v>0</v>
      </c>
      <c r="BB504" s="47">
        <v>0</v>
      </c>
      <c r="BC504" s="47">
        <v>0</v>
      </c>
      <c r="BD504" s="47">
        <v>0</v>
      </c>
      <c r="BE504" s="47">
        <v>0</v>
      </c>
      <c r="BF504" s="47">
        <v>0</v>
      </c>
      <c r="BG504" s="47">
        <v>0</v>
      </c>
      <c r="BH504" s="47">
        <v>0</v>
      </c>
      <c r="BI504" s="47">
        <v>0</v>
      </c>
      <c r="BJ504" s="47">
        <v>0</v>
      </c>
      <c r="BK504" s="47">
        <v>0</v>
      </c>
      <c r="BL504" s="47">
        <v>0</v>
      </c>
      <c r="BM504" s="47">
        <v>0</v>
      </c>
      <c r="BN504" s="47">
        <v>0</v>
      </c>
      <c r="BO504" s="47">
        <v>0</v>
      </c>
      <c r="BP504" s="47">
        <v>0</v>
      </c>
      <c r="BQ504" s="47">
        <v>0</v>
      </c>
      <c r="BR504" s="47">
        <v>0</v>
      </c>
      <c r="BS504" s="47">
        <v>0</v>
      </c>
      <c r="BT504" s="47">
        <v>0</v>
      </c>
      <c r="BU504" s="47">
        <v>0</v>
      </c>
      <c r="BV504" s="47">
        <v>0</v>
      </c>
      <c r="BW504" s="47">
        <v>0</v>
      </c>
      <c r="BX504" s="47">
        <v>0</v>
      </c>
      <c r="BY504" s="47">
        <v>0</v>
      </c>
      <c r="BZ504" s="47">
        <v>0</v>
      </c>
      <c r="CA504" s="47">
        <v>0</v>
      </c>
      <c r="CB504" s="47">
        <v>0</v>
      </c>
      <c r="CC504" s="47">
        <v>0</v>
      </c>
      <c r="CD504" s="47">
        <v>0</v>
      </c>
      <c r="CE504" s="47">
        <v>0</v>
      </c>
      <c r="CF504" s="47">
        <v>0</v>
      </c>
      <c r="CG504" s="47">
        <v>0</v>
      </c>
      <c r="CH504" s="47">
        <v>0</v>
      </c>
      <c r="CI504" s="47">
        <v>0</v>
      </c>
      <c r="CJ504" s="47">
        <v>0</v>
      </c>
      <c r="CK504" s="47">
        <v>0</v>
      </c>
      <c r="CL504" s="47">
        <v>0</v>
      </c>
      <c r="CM504" s="47">
        <v>0</v>
      </c>
      <c r="CN504" s="47">
        <v>0</v>
      </c>
      <c r="CO504" s="47">
        <v>0</v>
      </c>
      <c r="CP504" s="47">
        <v>0</v>
      </c>
      <c r="CQ504" s="47">
        <v>0</v>
      </c>
      <c r="CR504" s="47">
        <v>0</v>
      </c>
      <c r="CS504" s="47">
        <v>0</v>
      </c>
      <c r="CT504" s="47">
        <v>0</v>
      </c>
      <c r="CU504" s="47">
        <v>0</v>
      </c>
      <c r="CV504" s="47">
        <v>0</v>
      </c>
      <c r="CW504" s="47">
        <v>0</v>
      </c>
      <c r="CX504" s="47">
        <v>0</v>
      </c>
      <c r="CY504" s="47">
        <v>0</v>
      </c>
      <c r="CZ504" s="47">
        <v>0</v>
      </c>
      <c r="DA504" s="47">
        <v>0</v>
      </c>
      <c r="DB504" s="47">
        <v>0</v>
      </c>
      <c r="DC504" s="47">
        <v>0</v>
      </c>
      <c r="DD504" s="47">
        <v>0</v>
      </c>
      <c r="DE504" s="47">
        <v>0</v>
      </c>
      <c r="DF504" s="47">
        <v>0</v>
      </c>
      <c r="DG504" s="47">
        <v>0</v>
      </c>
      <c r="DH504" s="47">
        <v>0</v>
      </c>
      <c r="DI504" s="47">
        <v>0</v>
      </c>
      <c r="DJ504" s="47">
        <v>0</v>
      </c>
      <c r="DK504" s="47">
        <v>0</v>
      </c>
      <c r="DL504" s="47">
        <v>0</v>
      </c>
      <c r="DM504" s="47">
        <v>0</v>
      </c>
      <c r="DN504" s="47">
        <v>0</v>
      </c>
      <c r="DO504" s="47">
        <v>0</v>
      </c>
      <c r="DP504" s="47">
        <v>0</v>
      </c>
      <c r="DQ504" s="47">
        <v>0</v>
      </c>
      <c r="DR504" s="47">
        <v>0</v>
      </c>
      <c r="DS504" s="47">
        <v>0</v>
      </c>
      <c r="DT504" s="47">
        <v>0</v>
      </c>
    </row>
    <row r="505" spans="1:126" x14ac:dyDescent="0.25">
      <c r="A505" s="47" t="s">
        <v>2372</v>
      </c>
      <c r="B505" s="47" t="s">
        <v>153</v>
      </c>
      <c r="C505" s="47" t="s">
        <v>2373</v>
      </c>
      <c r="D505" s="47" t="s">
        <v>2374</v>
      </c>
      <c r="E505" s="47" t="s">
        <v>2375</v>
      </c>
      <c r="F505" s="47" t="s">
        <v>698</v>
      </c>
      <c r="G505" s="47" t="s">
        <v>727</v>
      </c>
      <c r="H505" s="47" t="str">
        <f>=IFERROR(VLOOKUP(A505,'ETPT Format DDG'!A:J,10,FALSE),"")</f>
        <v>0</v>
      </c>
      <c r="I505" s="47" t="str">
        <f>='ETPT Format DDG'!M505</f>
        <v/>
      </c>
      <c r="J505" s="47" t="str">
        <f>='ETPT Format DDG'!D505</f>
        <v/>
      </c>
      <c r="K505" s="47" t="s">
        <v>157</v>
      </c>
      <c r="L505" s="47" t="s">
        <v>1613</v>
      </c>
      <c r="M505" s="47"/>
      <c r="N505" s="47">
        <v>1</v>
      </c>
      <c r="O505" s="47">
        <v>0</v>
      </c>
      <c r="P505" s="47">
        <v>0</v>
      </c>
      <c r="Q505" s="47">
        <v>0</v>
      </c>
      <c r="R505" s="47">
        <v>0</v>
      </c>
      <c r="S505" s="47">
        <v>0</v>
      </c>
      <c r="T505" s="47">
        <v>0</v>
      </c>
      <c r="U505" s="47">
        <v>0</v>
      </c>
      <c r="V505" s="47">
        <v>0</v>
      </c>
      <c r="W505" s="47">
        <v>0</v>
      </c>
      <c r="X505" s="47">
        <v>0</v>
      </c>
      <c r="Y505" s="47">
        <v>0</v>
      </c>
      <c r="Z505" s="47">
        <v>0</v>
      </c>
      <c r="AA505" s="47">
        <v>0</v>
      </c>
      <c r="AB505" s="47">
        <v>0</v>
      </c>
      <c r="AC505" s="47">
        <v>0</v>
      </c>
      <c r="AD505" s="47">
        <v>0</v>
      </c>
      <c r="AE505" s="47">
        <v>0</v>
      </c>
      <c r="AF505" s="47">
        <v>0</v>
      </c>
      <c r="AG505" s="47">
        <v>0</v>
      </c>
      <c r="AH505" s="47">
        <v>0</v>
      </c>
      <c r="AI505" s="47">
        <v>0</v>
      </c>
      <c r="AJ505" s="47">
        <v>0</v>
      </c>
      <c r="AK505" s="47">
        <v>0</v>
      </c>
      <c r="AL505" s="47">
        <v>0</v>
      </c>
      <c r="AM505" s="47">
        <v>0</v>
      </c>
      <c r="AN505" s="47">
        <v>0</v>
      </c>
      <c r="AO505" s="47">
        <v>0</v>
      </c>
      <c r="AP505" s="47">
        <v>0</v>
      </c>
      <c r="AQ505" s="47">
        <v>0</v>
      </c>
      <c r="AR505" s="47">
        <v>0</v>
      </c>
      <c r="AS505" s="47">
        <v>0</v>
      </c>
      <c r="AT505" s="47">
        <v>0</v>
      </c>
      <c r="AU505" s="47">
        <v>0</v>
      </c>
      <c r="AV505" s="47">
        <v>0</v>
      </c>
      <c r="AW505" s="47">
        <v>0</v>
      </c>
      <c r="AX505" s="47">
        <v>0</v>
      </c>
      <c r="AY505" s="47">
        <v>0</v>
      </c>
      <c r="AZ505" s="47">
        <v>0</v>
      </c>
      <c r="BA505" s="47">
        <v>0</v>
      </c>
      <c r="BB505" s="47">
        <v>0</v>
      </c>
      <c r="BC505" s="47">
        <v>0</v>
      </c>
      <c r="BD505" s="47">
        <v>0</v>
      </c>
      <c r="BE505" s="47">
        <v>0</v>
      </c>
      <c r="BF505" s="47">
        <v>0</v>
      </c>
      <c r="BG505" s="47">
        <v>0</v>
      </c>
      <c r="BH505" s="47">
        <v>0</v>
      </c>
      <c r="BI505" s="47">
        <v>0</v>
      </c>
      <c r="BJ505" s="47">
        <v>0</v>
      </c>
      <c r="BK505" s="47">
        <v>0</v>
      </c>
      <c r="BL505" s="47">
        <v>0</v>
      </c>
      <c r="BM505" s="47">
        <v>0</v>
      </c>
      <c r="BN505" s="47">
        <v>0</v>
      </c>
      <c r="BO505" s="47">
        <v>0</v>
      </c>
      <c r="BP505" s="47">
        <v>0</v>
      </c>
      <c r="BQ505" s="47">
        <v>0</v>
      </c>
      <c r="BR505" s="47">
        <v>0</v>
      </c>
      <c r="BS505" s="47">
        <v>0</v>
      </c>
      <c r="BT505" s="47">
        <v>0</v>
      </c>
      <c r="BU505" s="47">
        <v>0</v>
      </c>
      <c r="BV505" s="47">
        <v>0</v>
      </c>
      <c r="BW505" s="47">
        <v>0</v>
      </c>
      <c r="BX505" s="47">
        <v>0</v>
      </c>
      <c r="BY505" s="47">
        <v>0</v>
      </c>
      <c r="BZ505" s="47">
        <v>0</v>
      </c>
      <c r="CA505" s="47">
        <v>0</v>
      </c>
      <c r="CB505" s="47">
        <v>0</v>
      </c>
      <c r="CC505" s="47">
        <v>0</v>
      </c>
      <c r="CD505" s="47">
        <v>0</v>
      </c>
      <c r="CE505" s="47">
        <v>0</v>
      </c>
      <c r="CF505" s="47">
        <v>0</v>
      </c>
      <c r="CG505" s="47">
        <v>0</v>
      </c>
      <c r="CH505" s="47">
        <v>0</v>
      </c>
      <c r="CI505" s="47">
        <v>0</v>
      </c>
      <c r="CJ505" s="47">
        <v>0</v>
      </c>
      <c r="CK505" s="47">
        <v>0</v>
      </c>
      <c r="CL505" s="47">
        <v>0</v>
      </c>
      <c r="CM505" s="47">
        <v>0</v>
      </c>
      <c r="CN505" s="47">
        <v>0</v>
      </c>
      <c r="CO505" s="47">
        <v>0</v>
      </c>
      <c r="CP505" s="47">
        <v>0</v>
      </c>
      <c r="CQ505" s="47">
        <v>0</v>
      </c>
      <c r="CR505" s="47">
        <v>0</v>
      </c>
      <c r="CS505" s="47">
        <v>0</v>
      </c>
      <c r="CT505" s="47">
        <v>0</v>
      </c>
      <c r="CU505" s="47">
        <v>0</v>
      </c>
      <c r="CV505" s="47">
        <v>0</v>
      </c>
      <c r="CW505" s="47">
        <v>0</v>
      </c>
      <c r="CX505" s="47">
        <v>0</v>
      </c>
      <c r="CY505" s="47">
        <v>0</v>
      </c>
      <c r="CZ505" s="47">
        <v>0</v>
      </c>
      <c r="DA505" s="47">
        <v>0</v>
      </c>
      <c r="DB505" s="47">
        <v>0</v>
      </c>
      <c r="DC505" s="47">
        <v>0</v>
      </c>
      <c r="DD505" s="47">
        <v>0</v>
      </c>
      <c r="DE505" s="47">
        <v>0</v>
      </c>
      <c r="DF505" s="47">
        <v>0</v>
      </c>
      <c r="DG505" s="47">
        <v>0</v>
      </c>
      <c r="DH505" s="47">
        <v>0</v>
      </c>
      <c r="DI505" s="47">
        <v>0</v>
      </c>
      <c r="DJ505" s="47">
        <v>0</v>
      </c>
      <c r="DK505" s="47">
        <v>0</v>
      </c>
      <c r="DL505" s="47">
        <v>0</v>
      </c>
      <c r="DM505" s="47">
        <v>0</v>
      </c>
      <c r="DN505" s="47">
        <v>0</v>
      </c>
      <c r="DO505" s="47">
        <v>0</v>
      </c>
      <c r="DP505" s="47">
        <v>0</v>
      </c>
      <c r="DQ505" s="47">
        <v>0</v>
      </c>
      <c r="DR505" s="47">
        <v>0</v>
      </c>
      <c r="DS505" s="47">
        <v>0</v>
      </c>
      <c r="DT505" s="47">
        <v>0</v>
      </c>
    </row>
    <row r="506" spans="1:126" x14ac:dyDescent="0.25">
      <c r="A506" s="47" t="s">
        <v>2376</v>
      </c>
      <c r="B506" s="47" t="s">
        <v>153</v>
      </c>
      <c r="C506" s="47" t="s">
        <v>2377</v>
      </c>
      <c r="D506" s="47" t="s">
        <v>2378</v>
      </c>
      <c r="E506" s="47" t="s">
        <v>2379</v>
      </c>
      <c r="F506" s="47" t="s">
        <v>698</v>
      </c>
      <c r="G506" s="47" t="s">
        <v>738</v>
      </c>
      <c r="H506" s="47" t="str">
        <f>=IFERROR(VLOOKUP(A506,'ETPT Format DDG'!A:J,10,FALSE),"")</f>
        <v>0</v>
      </c>
      <c r="I506" s="47" t="str">
        <f>='ETPT Format DDG'!M506</f>
        <v/>
      </c>
      <c r="J506" s="47" t="str">
        <f>='ETPT Format DDG'!D506</f>
        <v/>
      </c>
      <c r="K506" s="47" t="s">
        <v>157</v>
      </c>
      <c r="L506" s="47" t="s">
        <v>175</v>
      </c>
      <c r="M506" s="47"/>
      <c r="N506" s="47">
        <v>1</v>
      </c>
      <c r="O506" s="47">
        <v>0</v>
      </c>
      <c r="P506" s="47">
        <v>0</v>
      </c>
      <c r="Q506" s="47">
        <v>0</v>
      </c>
      <c r="R506" s="47">
        <v>0</v>
      </c>
      <c r="S506" s="47">
        <v>0</v>
      </c>
      <c r="T506" s="47">
        <v>0</v>
      </c>
      <c r="U506" s="47">
        <v>0</v>
      </c>
      <c r="V506" s="47">
        <v>0</v>
      </c>
      <c r="W506" s="47">
        <v>0</v>
      </c>
      <c r="X506" s="47">
        <v>0</v>
      </c>
      <c r="Y506" s="47">
        <v>0</v>
      </c>
      <c r="Z506" s="47">
        <v>0</v>
      </c>
      <c r="AA506" s="47">
        <v>0</v>
      </c>
      <c r="AB506" s="47">
        <v>0</v>
      </c>
      <c r="AC506" s="47">
        <v>0</v>
      </c>
      <c r="AD506" s="47">
        <v>0</v>
      </c>
      <c r="AE506" s="47">
        <v>0</v>
      </c>
      <c r="AF506" s="47">
        <v>0</v>
      </c>
      <c r="AG506" s="47">
        <v>0</v>
      </c>
      <c r="AH506" s="47">
        <v>0</v>
      </c>
      <c r="AI506" s="47">
        <v>0</v>
      </c>
      <c r="AJ506" s="47">
        <v>0</v>
      </c>
      <c r="AK506" s="47">
        <v>0</v>
      </c>
      <c r="AL506" s="47">
        <v>0</v>
      </c>
      <c r="AM506" s="47">
        <v>0</v>
      </c>
      <c r="AN506" s="47">
        <v>0</v>
      </c>
      <c r="AO506" s="47">
        <v>0</v>
      </c>
      <c r="AP506" s="47">
        <v>0</v>
      </c>
      <c r="AQ506" s="47">
        <v>0</v>
      </c>
      <c r="AR506" s="47">
        <v>0</v>
      </c>
      <c r="AS506" s="47">
        <v>0</v>
      </c>
      <c r="AT506" s="47">
        <v>0</v>
      </c>
      <c r="AU506" s="47">
        <v>0</v>
      </c>
      <c r="AV506" s="47">
        <v>0</v>
      </c>
      <c r="AW506" s="47">
        <v>0</v>
      </c>
      <c r="AX506" s="47">
        <v>0</v>
      </c>
      <c r="AY506" s="47">
        <v>0</v>
      </c>
      <c r="AZ506" s="47">
        <v>0</v>
      </c>
      <c r="BA506" s="47">
        <v>0</v>
      </c>
      <c r="BB506" s="47">
        <v>0</v>
      </c>
      <c r="BC506" s="47">
        <v>0</v>
      </c>
      <c r="BD506" s="47">
        <v>0</v>
      </c>
      <c r="BE506" s="47">
        <v>0</v>
      </c>
      <c r="BF506" s="47">
        <v>0</v>
      </c>
      <c r="BG506" s="47">
        <v>0</v>
      </c>
      <c r="BH506" s="47">
        <v>0</v>
      </c>
      <c r="BI506" s="47">
        <v>0</v>
      </c>
      <c r="BJ506" s="47">
        <v>0</v>
      </c>
      <c r="BK506" s="47">
        <v>0</v>
      </c>
      <c r="BL506" s="47">
        <v>0</v>
      </c>
      <c r="BM506" s="47">
        <v>0</v>
      </c>
      <c r="BN506" s="47">
        <v>0</v>
      </c>
      <c r="BO506" s="47">
        <v>0</v>
      </c>
      <c r="BP506" s="47">
        <v>0</v>
      </c>
      <c r="BQ506" s="47">
        <v>0</v>
      </c>
      <c r="BR506" s="47">
        <v>0</v>
      </c>
      <c r="BS506" s="47">
        <v>0</v>
      </c>
      <c r="BT506" s="47">
        <v>0</v>
      </c>
      <c r="BU506" s="47">
        <v>0</v>
      </c>
      <c r="BV506" s="47">
        <v>0</v>
      </c>
      <c r="BW506" s="47">
        <v>0</v>
      </c>
      <c r="BX506" s="47">
        <v>0</v>
      </c>
      <c r="BY506" s="47">
        <v>0</v>
      </c>
      <c r="BZ506" s="47">
        <v>0</v>
      </c>
      <c r="CA506" s="47">
        <v>0</v>
      </c>
      <c r="CB506" s="47">
        <v>0</v>
      </c>
      <c r="CC506" s="47">
        <v>0</v>
      </c>
      <c r="CD506" s="47">
        <v>0</v>
      </c>
      <c r="CE506" s="47">
        <v>0</v>
      </c>
      <c r="CF506" s="47">
        <v>0</v>
      </c>
      <c r="CG506" s="47">
        <v>0</v>
      </c>
      <c r="CH506" s="47">
        <v>0</v>
      </c>
      <c r="CI506" s="47">
        <v>0</v>
      </c>
      <c r="CJ506" s="47">
        <v>0</v>
      </c>
      <c r="CK506" s="47">
        <v>0</v>
      </c>
      <c r="CL506" s="47">
        <v>0</v>
      </c>
      <c r="CM506" s="47">
        <v>0</v>
      </c>
      <c r="CN506" s="47">
        <v>0</v>
      </c>
      <c r="CO506" s="47">
        <v>0</v>
      </c>
      <c r="CP506" s="47">
        <v>0</v>
      </c>
      <c r="CQ506" s="47">
        <v>0</v>
      </c>
      <c r="CR506" s="47">
        <v>0</v>
      </c>
      <c r="CS506" s="47">
        <v>0</v>
      </c>
      <c r="CT506" s="47">
        <v>0</v>
      </c>
      <c r="CU506" s="47">
        <v>0</v>
      </c>
      <c r="CV506" s="47">
        <v>0</v>
      </c>
      <c r="CW506" s="47">
        <v>0</v>
      </c>
      <c r="CX506" s="47">
        <v>0</v>
      </c>
      <c r="CY506" s="47">
        <v>0</v>
      </c>
      <c r="CZ506" s="47">
        <v>0</v>
      </c>
      <c r="DA506" s="47">
        <v>0</v>
      </c>
      <c r="DB506" s="47">
        <v>0</v>
      </c>
      <c r="DC506" s="47">
        <v>0</v>
      </c>
      <c r="DD506" s="47">
        <v>0</v>
      </c>
      <c r="DE506" s="47">
        <v>0</v>
      </c>
      <c r="DF506" s="47">
        <v>0</v>
      </c>
      <c r="DG506" s="47">
        <v>0</v>
      </c>
      <c r="DH506" s="47">
        <v>0</v>
      </c>
      <c r="DI506" s="47">
        <v>0</v>
      </c>
      <c r="DJ506" s="47">
        <v>0</v>
      </c>
      <c r="DK506" s="47">
        <v>0</v>
      </c>
      <c r="DL506" s="47">
        <v>0</v>
      </c>
      <c r="DM506" s="47">
        <v>0</v>
      </c>
      <c r="DN506" s="47">
        <v>0</v>
      </c>
      <c r="DO506" s="47">
        <v>0</v>
      </c>
      <c r="DP506" s="47">
        <v>0</v>
      </c>
      <c r="DQ506" s="47">
        <v>0</v>
      </c>
      <c r="DR506" s="47">
        <v>0</v>
      </c>
      <c r="DS506" s="47">
        <v>0</v>
      </c>
      <c r="DT506" s="47">
        <v>0</v>
      </c>
    </row>
    <row r="507" spans="1:126" x14ac:dyDescent="0.25">
      <c r="A507" s="47" t="s">
        <v>2380</v>
      </c>
      <c r="B507" s="47" t="s">
        <v>153</v>
      </c>
      <c r="C507" s="47" t="s">
        <v>2381</v>
      </c>
      <c r="D507" s="47" t="s">
        <v>2382</v>
      </c>
      <c r="E507" s="47" t="s">
        <v>2383</v>
      </c>
      <c r="F507" s="47" t="s">
        <v>698</v>
      </c>
      <c r="G507" s="47" t="s">
        <v>727</v>
      </c>
      <c r="H507" s="47" t="str">
        <f>=IFERROR(VLOOKUP(A507,'ETPT Format DDG'!A:J,10,FALSE),"")</f>
        <v>0</v>
      </c>
      <c r="I507" s="47" t="str">
        <f>='ETPT Format DDG'!M507</f>
        <v/>
      </c>
      <c r="J507" s="47" t="str">
        <f>='ETPT Format DDG'!D507</f>
        <v/>
      </c>
      <c r="K507" s="47" t="s">
        <v>157</v>
      </c>
      <c r="L507" s="47" t="s">
        <v>902</v>
      </c>
      <c r="M507" s="47"/>
      <c r="N507" s="47">
        <v>1</v>
      </c>
      <c r="O507" s="47">
        <v>1</v>
      </c>
      <c r="P507" s="47">
        <v>0</v>
      </c>
      <c r="Q507" s="47">
        <v>0</v>
      </c>
      <c r="R507" s="47">
        <v>0</v>
      </c>
      <c r="S507" s="47">
        <v>0</v>
      </c>
      <c r="T507" s="47">
        <v>0</v>
      </c>
      <c r="U507" s="47">
        <v>0</v>
      </c>
      <c r="V507" s="47">
        <v>0</v>
      </c>
      <c r="W507" s="47">
        <v>0</v>
      </c>
      <c r="X507" s="47">
        <v>0</v>
      </c>
      <c r="Y507" s="47">
        <v>0</v>
      </c>
      <c r="Z507" s="47">
        <v>0</v>
      </c>
      <c r="AA507" s="47">
        <v>0</v>
      </c>
      <c r="AB507" s="47">
        <v>0</v>
      </c>
      <c r="AC507" s="47">
        <v>0</v>
      </c>
      <c r="AD507" s="47">
        <v>0</v>
      </c>
      <c r="AE507" s="47">
        <v>0</v>
      </c>
      <c r="AF507" s="47">
        <v>0</v>
      </c>
      <c r="AG507" s="47">
        <v>0</v>
      </c>
      <c r="AH507" s="47">
        <v>0</v>
      </c>
      <c r="AI507" s="47">
        <v>0</v>
      </c>
      <c r="AJ507" s="47">
        <v>0</v>
      </c>
      <c r="AK507" s="47">
        <v>0</v>
      </c>
      <c r="AL507" s="47">
        <v>0</v>
      </c>
      <c r="AM507" s="47">
        <v>0</v>
      </c>
      <c r="AN507" s="47">
        <v>1</v>
      </c>
      <c r="AO507" s="47">
        <v>0</v>
      </c>
      <c r="AP507" s="47">
        <v>0</v>
      </c>
      <c r="AQ507" s="47">
        <v>0</v>
      </c>
      <c r="AR507" s="47">
        <v>0</v>
      </c>
      <c r="AS507" s="47">
        <v>0</v>
      </c>
      <c r="AT507" s="47">
        <v>0</v>
      </c>
      <c r="AU507" s="47">
        <v>0</v>
      </c>
      <c r="AV507" s="47">
        <v>0</v>
      </c>
      <c r="AW507" s="47">
        <v>0</v>
      </c>
      <c r="AX507" s="47">
        <v>0</v>
      </c>
      <c r="AY507" s="47">
        <v>0</v>
      </c>
      <c r="AZ507" s="47">
        <v>0</v>
      </c>
      <c r="BA507" s="47">
        <v>0</v>
      </c>
      <c r="BB507" s="47">
        <v>0</v>
      </c>
      <c r="BC507" s="47">
        <v>0</v>
      </c>
      <c r="BD507" s="47">
        <v>0</v>
      </c>
      <c r="BE507" s="47">
        <v>0</v>
      </c>
      <c r="BF507" s="47">
        <v>0</v>
      </c>
      <c r="BG507" s="47">
        <v>0</v>
      </c>
      <c r="BH507" s="47">
        <v>0</v>
      </c>
      <c r="BI507" s="47">
        <v>0</v>
      </c>
      <c r="BJ507" s="47">
        <v>0</v>
      </c>
      <c r="BK507" s="47">
        <v>0</v>
      </c>
      <c r="BL507" s="47">
        <v>0</v>
      </c>
      <c r="BM507" s="47">
        <v>0</v>
      </c>
      <c r="BN507" s="47">
        <v>0</v>
      </c>
      <c r="BO507" s="47">
        <v>0</v>
      </c>
      <c r="BP507" s="47">
        <v>0</v>
      </c>
      <c r="BQ507" s="47">
        <v>0</v>
      </c>
      <c r="BR507" s="47">
        <v>0</v>
      </c>
      <c r="BS507" s="47">
        <v>0</v>
      </c>
      <c r="BT507" s="47">
        <v>0</v>
      </c>
      <c r="BU507" s="47">
        <v>0</v>
      </c>
      <c r="BV507" s="47">
        <v>0</v>
      </c>
      <c r="BW507" s="47">
        <v>0</v>
      </c>
      <c r="BX507" s="47">
        <v>0</v>
      </c>
      <c r="BY507" s="47">
        <v>0</v>
      </c>
      <c r="BZ507" s="47">
        <v>0</v>
      </c>
      <c r="CA507" s="47">
        <v>0</v>
      </c>
      <c r="CB507" s="47">
        <v>0</v>
      </c>
      <c r="CC507" s="47">
        <v>0</v>
      </c>
      <c r="CD507" s="47">
        <v>0</v>
      </c>
      <c r="CE507" s="47">
        <v>0</v>
      </c>
      <c r="CF507" s="47">
        <v>0</v>
      </c>
      <c r="CG507" s="47">
        <v>0</v>
      </c>
      <c r="CH507" s="47">
        <v>0</v>
      </c>
      <c r="CI507" s="47">
        <v>0</v>
      </c>
      <c r="CJ507" s="47">
        <v>0</v>
      </c>
      <c r="CK507" s="47">
        <v>0</v>
      </c>
      <c r="CL507" s="47">
        <v>0</v>
      </c>
      <c r="CM507" s="47">
        <v>0</v>
      </c>
      <c r="CN507" s="47">
        <v>0</v>
      </c>
      <c r="CO507" s="47">
        <v>0</v>
      </c>
      <c r="CP507" s="47">
        <v>0</v>
      </c>
      <c r="CQ507" s="47">
        <v>0</v>
      </c>
      <c r="CR507" s="47">
        <v>0</v>
      </c>
      <c r="CS507" s="47">
        <v>0</v>
      </c>
      <c r="CT507" s="47">
        <v>0</v>
      </c>
      <c r="CU507" s="47">
        <v>0</v>
      </c>
      <c r="CV507" s="47">
        <v>0</v>
      </c>
      <c r="CW507" s="47">
        <v>0</v>
      </c>
      <c r="CX507" s="47">
        <v>0</v>
      </c>
      <c r="CY507" s="47">
        <v>0</v>
      </c>
      <c r="CZ507" s="47">
        <v>0</v>
      </c>
      <c r="DA507" s="47">
        <v>0</v>
      </c>
      <c r="DB507" s="47">
        <v>0</v>
      </c>
      <c r="DC507" s="47">
        <v>0</v>
      </c>
      <c r="DD507" s="47">
        <v>0</v>
      </c>
      <c r="DE507" s="47">
        <v>0</v>
      </c>
      <c r="DF507" s="47">
        <v>0</v>
      </c>
      <c r="DG507" s="47">
        <v>0</v>
      </c>
      <c r="DH507" s="47">
        <v>0</v>
      </c>
      <c r="DI507" s="47">
        <v>0</v>
      </c>
      <c r="DJ507" s="47">
        <v>0</v>
      </c>
      <c r="DK507" s="47">
        <v>0</v>
      </c>
      <c r="DL507" s="47">
        <v>0</v>
      </c>
      <c r="DM507" s="47">
        <v>0</v>
      </c>
      <c r="DN507" s="47">
        <v>0</v>
      </c>
      <c r="DO507" s="47">
        <v>0</v>
      </c>
      <c r="DP507" s="47">
        <v>0</v>
      </c>
      <c r="DQ507" s="47">
        <v>0</v>
      </c>
      <c r="DR507" s="47">
        <v>0</v>
      </c>
      <c r="DS507" s="47">
        <v>0</v>
      </c>
      <c r="DT507" s="47">
        <v>0</v>
      </c>
    </row>
    <row r="508" spans="1:126" x14ac:dyDescent="0.25">
      <c r="A508" s="47" t="s">
        <v>2384</v>
      </c>
      <c r="B508" s="47" t="s">
        <v>153</v>
      </c>
      <c r="C508" s="47" t="s">
        <v>2385</v>
      </c>
      <c r="D508" s="47" t="s">
        <v>2386</v>
      </c>
      <c r="E508" s="47" t="s">
        <v>2387</v>
      </c>
      <c r="F508" s="47" t="s">
        <v>698</v>
      </c>
      <c r="G508" s="47" t="s">
        <v>727</v>
      </c>
      <c r="H508" s="47" t="str">
        <f>=IFERROR(VLOOKUP(A508,'ETPT Format DDG'!A:J,10,FALSE),"")</f>
        <v>0</v>
      </c>
      <c r="I508" s="47" t="str">
        <f>='ETPT Format DDG'!M508</f>
        <v/>
      </c>
      <c r="J508" s="47" t="str">
        <f>='ETPT Format DDG'!D508</f>
        <v/>
      </c>
      <c r="K508" s="47" t="s">
        <v>157</v>
      </c>
      <c r="L508" s="47" t="s">
        <v>763</v>
      </c>
      <c r="M508" s="47"/>
      <c r="N508" s="47">
        <v>1</v>
      </c>
      <c r="O508" s="47">
        <v>1</v>
      </c>
      <c r="P508" s="47">
        <v>0</v>
      </c>
      <c r="Q508" s="47">
        <v>0</v>
      </c>
      <c r="R508" s="47">
        <v>0</v>
      </c>
      <c r="S508" s="47">
        <v>0</v>
      </c>
      <c r="T508" s="47">
        <v>0</v>
      </c>
      <c r="U508" s="47">
        <v>0</v>
      </c>
      <c r="V508" s="47">
        <v>0</v>
      </c>
      <c r="W508" s="47">
        <v>0</v>
      </c>
      <c r="X508" s="47">
        <v>0</v>
      </c>
      <c r="Y508" s="47">
        <v>0</v>
      </c>
      <c r="Z508" s="47">
        <v>0</v>
      </c>
      <c r="AA508" s="47">
        <v>0</v>
      </c>
      <c r="AB508" s="47">
        <v>0</v>
      </c>
      <c r="AC508" s="47">
        <v>0</v>
      </c>
      <c r="AD508" s="47">
        <v>0</v>
      </c>
      <c r="AE508" s="47">
        <v>0</v>
      </c>
      <c r="AF508" s="47">
        <v>0</v>
      </c>
      <c r="AG508" s="47">
        <v>0</v>
      </c>
      <c r="AH508" s="47">
        <v>0</v>
      </c>
      <c r="AI508" s="47">
        <v>0</v>
      </c>
      <c r="AJ508" s="47">
        <v>0</v>
      </c>
      <c r="AK508" s="47">
        <v>0</v>
      </c>
      <c r="AL508" s="47">
        <v>0</v>
      </c>
      <c r="AM508" s="47">
        <v>0</v>
      </c>
      <c r="AN508" s="47">
        <v>1</v>
      </c>
      <c r="AO508" s="47">
        <v>0</v>
      </c>
      <c r="AP508" s="47">
        <v>0</v>
      </c>
      <c r="AQ508" s="47">
        <v>0</v>
      </c>
      <c r="AR508" s="47">
        <v>0</v>
      </c>
      <c r="AS508" s="47">
        <v>0</v>
      </c>
      <c r="AT508" s="47">
        <v>0</v>
      </c>
      <c r="AU508" s="47">
        <v>0</v>
      </c>
      <c r="AV508" s="47">
        <v>0</v>
      </c>
      <c r="AW508" s="47">
        <v>0</v>
      </c>
      <c r="AX508" s="47">
        <v>0</v>
      </c>
      <c r="AY508" s="47">
        <v>0</v>
      </c>
      <c r="AZ508" s="47">
        <v>0</v>
      </c>
      <c r="BA508" s="47">
        <v>0</v>
      </c>
      <c r="BB508" s="47">
        <v>0</v>
      </c>
      <c r="BC508" s="47">
        <v>0</v>
      </c>
      <c r="BD508" s="47">
        <v>0</v>
      </c>
      <c r="BE508" s="47">
        <v>0</v>
      </c>
      <c r="BF508" s="47">
        <v>0</v>
      </c>
      <c r="BG508" s="47">
        <v>0</v>
      </c>
      <c r="BH508" s="47">
        <v>0</v>
      </c>
      <c r="BI508" s="47">
        <v>0</v>
      </c>
      <c r="BJ508" s="47">
        <v>0</v>
      </c>
      <c r="BK508" s="47">
        <v>0</v>
      </c>
      <c r="BL508" s="47">
        <v>0</v>
      </c>
      <c r="BM508" s="47">
        <v>0</v>
      </c>
      <c r="BN508" s="47">
        <v>0</v>
      </c>
      <c r="BO508" s="47">
        <v>0</v>
      </c>
      <c r="BP508" s="47">
        <v>0</v>
      </c>
      <c r="BQ508" s="47">
        <v>0</v>
      </c>
      <c r="BR508" s="47">
        <v>0</v>
      </c>
      <c r="BS508" s="47">
        <v>0</v>
      </c>
      <c r="BT508" s="47">
        <v>0</v>
      </c>
      <c r="BU508" s="47">
        <v>0</v>
      </c>
      <c r="BV508" s="47">
        <v>0</v>
      </c>
      <c r="BW508" s="47">
        <v>0</v>
      </c>
      <c r="BX508" s="47">
        <v>0</v>
      </c>
      <c r="BY508" s="47">
        <v>0</v>
      </c>
      <c r="BZ508" s="47">
        <v>0</v>
      </c>
      <c r="CA508" s="47">
        <v>0</v>
      </c>
      <c r="CB508" s="47">
        <v>0</v>
      </c>
      <c r="CC508" s="47">
        <v>0</v>
      </c>
      <c r="CD508" s="47">
        <v>0</v>
      </c>
      <c r="CE508" s="47">
        <v>0</v>
      </c>
      <c r="CF508" s="47">
        <v>0</v>
      </c>
      <c r="CG508" s="47">
        <v>0</v>
      </c>
      <c r="CH508" s="47">
        <v>0</v>
      </c>
      <c r="CI508" s="47">
        <v>0</v>
      </c>
      <c r="CJ508" s="47">
        <v>0</v>
      </c>
      <c r="CK508" s="47">
        <v>0</v>
      </c>
      <c r="CL508" s="47">
        <v>0</v>
      </c>
      <c r="CM508" s="47">
        <v>0</v>
      </c>
      <c r="CN508" s="47">
        <v>0</v>
      </c>
      <c r="CO508" s="47">
        <v>0</v>
      </c>
      <c r="CP508" s="47">
        <v>0</v>
      </c>
      <c r="CQ508" s="47">
        <v>0</v>
      </c>
      <c r="CR508" s="47">
        <v>0</v>
      </c>
      <c r="CS508" s="47">
        <v>0</v>
      </c>
      <c r="CT508" s="47">
        <v>0</v>
      </c>
      <c r="CU508" s="47">
        <v>0</v>
      </c>
      <c r="CV508" s="47">
        <v>0</v>
      </c>
      <c r="CW508" s="47">
        <v>0</v>
      </c>
      <c r="CX508" s="47">
        <v>0</v>
      </c>
      <c r="CY508" s="47">
        <v>0</v>
      </c>
      <c r="CZ508" s="47">
        <v>0</v>
      </c>
      <c r="DA508" s="47">
        <v>0</v>
      </c>
      <c r="DB508" s="47">
        <v>0</v>
      </c>
      <c r="DC508" s="47">
        <v>0</v>
      </c>
      <c r="DD508" s="47">
        <v>0</v>
      </c>
      <c r="DE508" s="47">
        <v>0</v>
      </c>
      <c r="DF508" s="47">
        <v>0</v>
      </c>
      <c r="DG508" s="47">
        <v>0</v>
      </c>
      <c r="DH508" s="47">
        <v>0</v>
      </c>
      <c r="DI508" s="47">
        <v>0</v>
      </c>
      <c r="DJ508" s="47">
        <v>0</v>
      </c>
      <c r="DK508" s="47">
        <v>0</v>
      </c>
      <c r="DL508" s="47">
        <v>0</v>
      </c>
      <c r="DM508" s="47">
        <v>0</v>
      </c>
      <c r="DN508" s="47">
        <v>0</v>
      </c>
      <c r="DO508" s="47">
        <v>0</v>
      </c>
      <c r="DP508" s="47">
        <v>0</v>
      </c>
      <c r="DQ508" s="47">
        <v>0</v>
      </c>
      <c r="DR508" s="47">
        <v>0</v>
      </c>
      <c r="DS508" s="47">
        <v>0</v>
      </c>
      <c r="DT508" s="47">
        <v>0</v>
      </c>
    </row>
    <row r="509" spans="1:126" x14ac:dyDescent="0.25">
      <c r="A509" s="47" t="s">
        <v>2388</v>
      </c>
      <c r="B509" s="47" t="s">
        <v>153</v>
      </c>
      <c r="C509" s="47" t="s">
        <v>2389</v>
      </c>
      <c r="D509" s="47" t="s">
        <v>2390</v>
      </c>
      <c r="E509" s="47" t="s">
        <v>2391</v>
      </c>
      <c r="F509" s="47" t="s">
        <v>698</v>
      </c>
      <c r="G509" s="47" t="s">
        <v>727</v>
      </c>
      <c r="H509" s="47" t="str">
        <f>=IFERROR(VLOOKUP(A509,'ETPT Format DDG'!A:J,10,FALSE),"")</f>
        <v>0</v>
      </c>
      <c r="I509" s="47" t="str">
        <f>='ETPT Format DDG'!M509</f>
        <v/>
      </c>
      <c r="J509" s="47" t="str">
        <f>='ETPT Format DDG'!D509</f>
        <v/>
      </c>
      <c r="K509" s="47" t="s">
        <v>157</v>
      </c>
      <c r="L509" s="47" t="s">
        <v>849</v>
      </c>
      <c r="M509" s="47"/>
      <c r="N509" s="47">
        <v>1</v>
      </c>
      <c r="O509" s="47">
        <v>0</v>
      </c>
      <c r="P509" s="47">
        <v>0</v>
      </c>
      <c r="Q509" s="47">
        <v>0</v>
      </c>
      <c r="R509" s="47">
        <v>0</v>
      </c>
      <c r="S509" s="47">
        <v>0</v>
      </c>
      <c r="T509" s="47">
        <v>0</v>
      </c>
      <c r="U509" s="47">
        <v>0</v>
      </c>
      <c r="V509" s="47">
        <v>0</v>
      </c>
      <c r="W509" s="47">
        <v>0</v>
      </c>
      <c r="X509" s="47">
        <v>0</v>
      </c>
      <c r="Y509" s="47">
        <v>0</v>
      </c>
      <c r="Z509" s="47">
        <v>0</v>
      </c>
      <c r="AA509" s="47">
        <v>0</v>
      </c>
      <c r="AB509" s="47">
        <v>0</v>
      </c>
      <c r="AC509" s="47">
        <v>0</v>
      </c>
      <c r="AD509" s="47">
        <v>0</v>
      </c>
      <c r="AE509" s="47">
        <v>0</v>
      </c>
      <c r="AF509" s="47">
        <v>0</v>
      </c>
      <c r="AG509" s="47">
        <v>0</v>
      </c>
      <c r="AH509" s="47">
        <v>0</v>
      </c>
      <c r="AI509" s="47">
        <v>0</v>
      </c>
      <c r="AJ509" s="47">
        <v>0</v>
      </c>
      <c r="AK509" s="47">
        <v>0</v>
      </c>
      <c r="AL509" s="47">
        <v>0</v>
      </c>
      <c r="AM509" s="47">
        <v>0</v>
      </c>
      <c r="AN509" s="47">
        <v>0</v>
      </c>
      <c r="AO509" s="47">
        <v>0</v>
      </c>
      <c r="AP509" s="47">
        <v>0</v>
      </c>
      <c r="AQ509" s="47">
        <v>0</v>
      </c>
      <c r="AR509" s="47">
        <v>0</v>
      </c>
      <c r="AS509" s="47">
        <v>0</v>
      </c>
      <c r="AT509" s="47">
        <v>0</v>
      </c>
      <c r="AU509" s="47">
        <v>0</v>
      </c>
      <c r="AV509" s="47">
        <v>0</v>
      </c>
      <c r="AW509" s="47">
        <v>0</v>
      </c>
      <c r="AX509" s="47">
        <v>0</v>
      </c>
      <c r="AY509" s="47">
        <v>0</v>
      </c>
      <c r="AZ509" s="47">
        <v>0</v>
      </c>
      <c r="BA509" s="47">
        <v>0</v>
      </c>
      <c r="BB509" s="47">
        <v>0</v>
      </c>
      <c r="BC509" s="47">
        <v>0</v>
      </c>
      <c r="BD509" s="47">
        <v>0</v>
      </c>
      <c r="BE509" s="47">
        <v>0</v>
      </c>
      <c r="BF509" s="47">
        <v>0</v>
      </c>
      <c r="BG509" s="47">
        <v>0</v>
      </c>
      <c r="BH509" s="47">
        <v>0</v>
      </c>
      <c r="BI509" s="47">
        <v>0</v>
      </c>
      <c r="BJ509" s="47">
        <v>0</v>
      </c>
      <c r="BK509" s="47">
        <v>0</v>
      </c>
      <c r="BL509" s="47">
        <v>0</v>
      </c>
      <c r="BM509" s="47">
        <v>0</v>
      </c>
      <c r="BN509" s="47">
        <v>0</v>
      </c>
      <c r="BO509" s="47">
        <v>0</v>
      </c>
      <c r="BP509" s="47">
        <v>0</v>
      </c>
      <c r="BQ509" s="47">
        <v>0</v>
      </c>
      <c r="BR509" s="47">
        <v>0</v>
      </c>
      <c r="BS509" s="47">
        <v>0</v>
      </c>
      <c r="BT509" s="47">
        <v>0</v>
      </c>
      <c r="BU509" s="47">
        <v>0</v>
      </c>
      <c r="BV509" s="47">
        <v>0</v>
      </c>
      <c r="BW509" s="47">
        <v>0</v>
      </c>
      <c r="BX509" s="47">
        <v>0</v>
      </c>
      <c r="BY509" s="47">
        <v>0</v>
      </c>
      <c r="BZ509" s="47">
        <v>0</v>
      </c>
      <c r="CA509" s="47">
        <v>0</v>
      </c>
      <c r="CB509" s="47">
        <v>0</v>
      </c>
      <c r="CC509" s="47">
        <v>0</v>
      </c>
      <c r="CD509" s="47">
        <v>0</v>
      </c>
      <c r="CE509" s="47">
        <v>0</v>
      </c>
      <c r="CF509" s="47">
        <v>0</v>
      </c>
      <c r="CG509" s="47">
        <v>0</v>
      </c>
      <c r="CH509" s="47">
        <v>0</v>
      </c>
      <c r="CI509" s="47">
        <v>0</v>
      </c>
      <c r="CJ509" s="47">
        <v>0</v>
      </c>
      <c r="CK509" s="47">
        <v>0</v>
      </c>
      <c r="CL509" s="47">
        <v>0</v>
      </c>
      <c r="CM509" s="47">
        <v>0</v>
      </c>
      <c r="CN509" s="47">
        <v>0</v>
      </c>
      <c r="CO509" s="47">
        <v>0</v>
      </c>
      <c r="CP509" s="47">
        <v>0</v>
      </c>
      <c r="CQ509" s="47">
        <v>0</v>
      </c>
      <c r="CR509" s="47">
        <v>0</v>
      </c>
      <c r="CS509" s="47">
        <v>0</v>
      </c>
      <c r="CT509" s="47">
        <v>0</v>
      </c>
      <c r="CU509" s="47">
        <v>0</v>
      </c>
      <c r="CV509" s="47">
        <v>0</v>
      </c>
      <c r="CW509" s="47">
        <v>0</v>
      </c>
      <c r="CX509" s="47">
        <v>0</v>
      </c>
      <c r="CY509" s="47">
        <v>0</v>
      </c>
      <c r="CZ509" s="47">
        <v>0</v>
      </c>
      <c r="DA509" s="47">
        <v>0</v>
      </c>
      <c r="DB509" s="47">
        <v>0</v>
      </c>
      <c r="DC509" s="47">
        <v>0</v>
      </c>
      <c r="DD509" s="47">
        <v>0</v>
      </c>
      <c r="DE509" s="47">
        <v>0</v>
      </c>
      <c r="DF509" s="47">
        <v>0</v>
      </c>
      <c r="DG509" s="47">
        <v>0</v>
      </c>
      <c r="DH509" s="47">
        <v>0</v>
      </c>
      <c r="DI509" s="47">
        <v>0</v>
      </c>
      <c r="DJ509" s="47">
        <v>0</v>
      </c>
      <c r="DK509" s="47">
        <v>0</v>
      </c>
      <c r="DL509" s="47">
        <v>0</v>
      </c>
      <c r="DM509" s="47">
        <v>0</v>
      </c>
      <c r="DN509" s="47">
        <v>0</v>
      </c>
      <c r="DO509" s="47">
        <v>0</v>
      </c>
      <c r="DP509" s="47">
        <v>0</v>
      </c>
      <c r="DQ509" s="47">
        <v>0</v>
      </c>
      <c r="DR509" s="47">
        <v>0</v>
      </c>
      <c r="DS509" s="47">
        <v>0</v>
      </c>
      <c r="DT509" s="47">
        <v>0</v>
      </c>
    </row>
    <row r="510" spans="1:126" x14ac:dyDescent="0.25">
      <c r="A510" s="47" t="s">
        <v>2392</v>
      </c>
      <c r="B510" s="47" t="s">
        <v>153</v>
      </c>
      <c r="C510" s="47" t="s">
        <v>2393</v>
      </c>
      <c r="D510" s="47" t="s">
        <v>2394</v>
      </c>
      <c r="E510" s="47" t="s">
        <v>2395</v>
      </c>
      <c r="F510" s="47" t="s">
        <v>698</v>
      </c>
      <c r="G510" s="47" t="s">
        <v>727</v>
      </c>
      <c r="H510" s="47" t="str">
        <f>=IFERROR(VLOOKUP(A510,'ETPT Format DDG'!A:J,10,FALSE),"")</f>
        <v>0</v>
      </c>
      <c r="I510" s="47" t="str">
        <f>='ETPT Format DDG'!M510</f>
        <v/>
      </c>
      <c r="J510" s="47" t="str">
        <f>='ETPT Format DDG'!D510</f>
        <v/>
      </c>
      <c r="K510" s="47" t="s">
        <v>157</v>
      </c>
      <c r="L510" s="47" t="s">
        <v>1243</v>
      </c>
      <c r="M510" s="47"/>
      <c r="N510" s="47">
        <v>1</v>
      </c>
      <c r="O510" s="47">
        <v>0</v>
      </c>
      <c r="P510" s="47">
        <v>0</v>
      </c>
      <c r="Q510" s="47">
        <v>0</v>
      </c>
      <c r="R510" s="47">
        <v>0</v>
      </c>
      <c r="S510" s="47">
        <v>0</v>
      </c>
      <c r="T510" s="47">
        <v>0</v>
      </c>
      <c r="U510" s="47">
        <v>0</v>
      </c>
      <c r="V510" s="47">
        <v>0</v>
      </c>
      <c r="W510" s="47">
        <v>0</v>
      </c>
      <c r="X510" s="47">
        <v>0</v>
      </c>
      <c r="Y510" s="47">
        <v>0</v>
      </c>
      <c r="Z510" s="47">
        <v>0</v>
      </c>
      <c r="AA510" s="47">
        <v>0</v>
      </c>
      <c r="AB510" s="47">
        <v>0</v>
      </c>
      <c r="AC510" s="47">
        <v>0</v>
      </c>
      <c r="AD510" s="47">
        <v>0</v>
      </c>
      <c r="AE510" s="47">
        <v>0</v>
      </c>
      <c r="AF510" s="47">
        <v>0</v>
      </c>
      <c r="AG510" s="47">
        <v>0</v>
      </c>
      <c r="AH510" s="47">
        <v>0</v>
      </c>
      <c r="AI510" s="47">
        <v>0</v>
      </c>
      <c r="AJ510" s="47">
        <v>0</v>
      </c>
      <c r="AK510" s="47">
        <v>0</v>
      </c>
      <c r="AL510" s="47">
        <v>0</v>
      </c>
      <c r="AM510" s="47">
        <v>0</v>
      </c>
      <c r="AN510" s="47">
        <v>0</v>
      </c>
      <c r="AO510" s="47">
        <v>0</v>
      </c>
      <c r="AP510" s="47">
        <v>0</v>
      </c>
      <c r="AQ510" s="47">
        <v>0</v>
      </c>
      <c r="AR510" s="47">
        <v>0</v>
      </c>
      <c r="AS510" s="47">
        <v>0</v>
      </c>
      <c r="AT510" s="47">
        <v>0</v>
      </c>
      <c r="AU510" s="47">
        <v>0</v>
      </c>
      <c r="AV510" s="47">
        <v>0</v>
      </c>
      <c r="AW510" s="47">
        <v>0</v>
      </c>
      <c r="AX510" s="47">
        <v>0</v>
      </c>
      <c r="AY510" s="47">
        <v>0</v>
      </c>
      <c r="AZ510" s="47">
        <v>0</v>
      </c>
      <c r="BA510" s="47">
        <v>0</v>
      </c>
      <c r="BB510" s="47">
        <v>0</v>
      </c>
      <c r="BC510" s="47">
        <v>0</v>
      </c>
      <c r="BD510" s="47">
        <v>0</v>
      </c>
      <c r="BE510" s="47">
        <v>0</v>
      </c>
      <c r="BF510" s="47">
        <v>0</v>
      </c>
      <c r="BG510" s="47">
        <v>0</v>
      </c>
      <c r="BH510" s="47">
        <v>0</v>
      </c>
      <c r="BI510" s="47">
        <v>0</v>
      </c>
      <c r="BJ510" s="47">
        <v>0</v>
      </c>
      <c r="BK510" s="47">
        <v>0</v>
      </c>
      <c r="BL510" s="47">
        <v>0</v>
      </c>
      <c r="BM510" s="47">
        <v>0</v>
      </c>
      <c r="BN510" s="47">
        <v>0</v>
      </c>
      <c r="BO510" s="47">
        <v>0</v>
      </c>
      <c r="BP510" s="47">
        <v>0</v>
      </c>
      <c r="BQ510" s="47">
        <v>0</v>
      </c>
      <c r="BR510" s="47">
        <v>0</v>
      </c>
      <c r="BS510" s="47">
        <v>0</v>
      </c>
      <c r="BT510" s="47">
        <v>0</v>
      </c>
      <c r="BU510" s="47">
        <v>0</v>
      </c>
      <c r="BV510" s="47">
        <v>0</v>
      </c>
      <c r="BW510" s="47">
        <v>0</v>
      </c>
      <c r="BX510" s="47">
        <v>0</v>
      </c>
      <c r="BY510" s="47">
        <v>0</v>
      </c>
      <c r="BZ510" s="47">
        <v>0</v>
      </c>
      <c r="CA510" s="47">
        <v>0</v>
      </c>
      <c r="CB510" s="47">
        <v>0</v>
      </c>
      <c r="CC510" s="47">
        <v>0</v>
      </c>
      <c r="CD510" s="47">
        <v>0</v>
      </c>
      <c r="CE510" s="47">
        <v>0</v>
      </c>
      <c r="CF510" s="47">
        <v>0</v>
      </c>
      <c r="CG510" s="47">
        <v>0</v>
      </c>
      <c r="CH510" s="47">
        <v>0</v>
      </c>
      <c r="CI510" s="47">
        <v>0</v>
      </c>
      <c r="CJ510" s="47">
        <v>0</v>
      </c>
      <c r="CK510" s="47">
        <v>0</v>
      </c>
      <c r="CL510" s="47">
        <v>0</v>
      </c>
      <c r="CM510" s="47">
        <v>0</v>
      </c>
      <c r="CN510" s="47">
        <v>0</v>
      </c>
      <c r="CO510" s="47">
        <v>0</v>
      </c>
      <c r="CP510" s="47">
        <v>0</v>
      </c>
      <c r="CQ510" s="47">
        <v>0</v>
      </c>
      <c r="CR510" s="47">
        <v>0</v>
      </c>
      <c r="CS510" s="47">
        <v>0</v>
      </c>
      <c r="CT510" s="47">
        <v>0</v>
      </c>
      <c r="CU510" s="47">
        <v>0</v>
      </c>
      <c r="CV510" s="47">
        <v>0</v>
      </c>
      <c r="CW510" s="47">
        <v>0</v>
      </c>
      <c r="CX510" s="47">
        <v>0</v>
      </c>
      <c r="CY510" s="47">
        <v>0</v>
      </c>
      <c r="CZ510" s="47">
        <v>0</v>
      </c>
      <c r="DA510" s="47">
        <v>0</v>
      </c>
      <c r="DB510" s="47">
        <v>0</v>
      </c>
      <c r="DC510" s="47">
        <v>0</v>
      </c>
      <c r="DD510" s="47">
        <v>0</v>
      </c>
      <c r="DE510" s="47">
        <v>0</v>
      </c>
      <c r="DF510" s="47">
        <v>0</v>
      </c>
      <c r="DG510" s="47">
        <v>0</v>
      </c>
      <c r="DH510" s="47">
        <v>0</v>
      </c>
      <c r="DI510" s="47">
        <v>0</v>
      </c>
      <c r="DJ510" s="47">
        <v>0</v>
      </c>
      <c r="DK510" s="47">
        <v>0</v>
      </c>
      <c r="DL510" s="47">
        <v>0</v>
      </c>
      <c r="DM510" s="47">
        <v>0</v>
      </c>
      <c r="DN510" s="47">
        <v>0</v>
      </c>
      <c r="DO510" s="47">
        <v>0</v>
      </c>
      <c r="DP510" s="47">
        <v>0</v>
      </c>
      <c r="DQ510" s="47">
        <v>0</v>
      </c>
      <c r="DR510" s="47">
        <v>0</v>
      </c>
      <c r="DS510" s="47">
        <v>0</v>
      </c>
      <c r="DT510" s="47">
        <v>0</v>
      </c>
    </row>
    <row r="511" spans="1:126" x14ac:dyDescent="0.25">
      <c r="A511" s="47" t="s">
        <v>2396</v>
      </c>
      <c r="B511" s="47" t="s">
        <v>153</v>
      </c>
      <c r="C511" s="47" t="s">
        <v>2397</v>
      </c>
      <c r="D511" s="47" t="s">
        <v>2398</v>
      </c>
      <c r="E511" s="47" t="s">
        <v>2399</v>
      </c>
      <c r="F511" s="47" t="s">
        <v>698</v>
      </c>
      <c r="G511" s="47" t="s">
        <v>727</v>
      </c>
      <c r="H511" s="47" t="str">
        <f>=IFERROR(VLOOKUP(A511,'ETPT Format DDG'!A:J,10,FALSE),"")</f>
        <v>0</v>
      </c>
      <c r="I511" s="47" t="str">
        <f>='ETPT Format DDG'!M511</f>
        <v/>
      </c>
      <c r="J511" s="47" t="str">
        <f>='ETPT Format DDG'!D511</f>
        <v/>
      </c>
      <c r="K511" s="47" t="s">
        <v>157</v>
      </c>
      <c r="L511" s="47" t="s">
        <v>942</v>
      </c>
      <c r="M511" s="47"/>
      <c r="N511" s="47">
        <v>1</v>
      </c>
      <c r="O511" s="47">
        <v>1</v>
      </c>
      <c r="P511" s="47">
        <v>0</v>
      </c>
      <c r="Q511" s="47">
        <v>0</v>
      </c>
      <c r="R511" s="47">
        <v>0</v>
      </c>
      <c r="S511" s="47">
        <v>0</v>
      </c>
      <c r="T511" s="47">
        <v>0</v>
      </c>
      <c r="U511" s="47">
        <v>0</v>
      </c>
      <c r="V511" s="47">
        <v>0</v>
      </c>
      <c r="W511" s="47">
        <v>0</v>
      </c>
      <c r="X511" s="47">
        <v>0</v>
      </c>
      <c r="Y511" s="47">
        <v>0</v>
      </c>
      <c r="Z511" s="47">
        <v>0</v>
      </c>
      <c r="AA511" s="47">
        <v>0</v>
      </c>
      <c r="AB511" s="47">
        <v>0</v>
      </c>
      <c r="AC511" s="47">
        <v>0</v>
      </c>
      <c r="AD511" s="47">
        <v>0</v>
      </c>
      <c r="AE511" s="47">
        <v>0</v>
      </c>
      <c r="AF511" s="47">
        <v>0</v>
      </c>
      <c r="AG511" s="47">
        <v>0</v>
      </c>
      <c r="AH511" s="47">
        <v>0</v>
      </c>
      <c r="AI511" s="47">
        <v>0</v>
      </c>
      <c r="AJ511" s="47">
        <v>0</v>
      </c>
      <c r="AK511" s="47">
        <v>0</v>
      </c>
      <c r="AL511" s="47">
        <v>0</v>
      </c>
      <c r="AM511" s="47">
        <v>0</v>
      </c>
      <c r="AN511" s="47">
        <v>0</v>
      </c>
      <c r="AO511" s="47">
        <v>0</v>
      </c>
      <c r="AP511" s="47">
        <v>0</v>
      </c>
      <c r="AQ511" s="47">
        <v>0</v>
      </c>
      <c r="AR511" s="47">
        <v>0</v>
      </c>
      <c r="AS511" s="47">
        <v>0</v>
      </c>
      <c r="AT511" s="47">
        <v>0</v>
      </c>
      <c r="AU511" s="47">
        <v>0</v>
      </c>
      <c r="AV511" s="47">
        <v>0</v>
      </c>
      <c r="AW511" s="47">
        <v>0</v>
      </c>
      <c r="AX511" s="47">
        <v>0</v>
      </c>
      <c r="AY511" s="47">
        <v>0</v>
      </c>
      <c r="AZ511" s="47">
        <v>0</v>
      </c>
      <c r="BA511" s="47">
        <v>0</v>
      </c>
      <c r="BB511" s="47">
        <v>0</v>
      </c>
      <c r="BC511" s="47">
        <v>0</v>
      </c>
      <c r="BD511" s="47">
        <v>0</v>
      </c>
      <c r="BE511" s="47">
        <v>0</v>
      </c>
      <c r="BF511" s="47">
        <v>0</v>
      </c>
      <c r="BG511" s="47">
        <v>0</v>
      </c>
      <c r="BH511" s="47">
        <v>0</v>
      </c>
      <c r="BI511" s="47">
        <v>0</v>
      </c>
      <c r="BJ511" s="47">
        <v>0</v>
      </c>
      <c r="BK511" s="47">
        <v>0</v>
      </c>
      <c r="BL511" s="47">
        <v>0</v>
      </c>
      <c r="BM511" s="47">
        <v>0</v>
      </c>
      <c r="BN511" s="47">
        <v>0</v>
      </c>
      <c r="BO511" s="47">
        <v>0</v>
      </c>
      <c r="BP511" s="47">
        <v>0</v>
      </c>
      <c r="BQ511" s="47">
        <v>0</v>
      </c>
      <c r="BR511" s="47">
        <v>0</v>
      </c>
      <c r="BS511" s="47">
        <v>0</v>
      </c>
      <c r="BT511" s="47">
        <v>0</v>
      </c>
      <c r="BU511" s="47">
        <v>0</v>
      </c>
      <c r="BV511" s="47">
        <v>0</v>
      </c>
      <c r="BW511" s="47">
        <v>0</v>
      </c>
      <c r="BX511" s="47">
        <v>0</v>
      </c>
      <c r="BY511" s="47">
        <v>0</v>
      </c>
      <c r="BZ511" s="47">
        <v>0</v>
      </c>
      <c r="CA511" s="47">
        <v>0</v>
      </c>
      <c r="CB511" s="47">
        <v>0</v>
      </c>
      <c r="CC511" s="47">
        <v>0</v>
      </c>
      <c r="CD511" s="47">
        <v>0</v>
      </c>
      <c r="CE511" s="47">
        <v>0</v>
      </c>
      <c r="CF511" s="47">
        <v>0</v>
      </c>
      <c r="CG511" s="47">
        <v>0</v>
      </c>
      <c r="CH511" s="47">
        <v>0</v>
      </c>
      <c r="CI511" s="47">
        <v>0</v>
      </c>
      <c r="CJ511" s="47">
        <v>0</v>
      </c>
      <c r="CK511" s="47">
        <v>0</v>
      </c>
      <c r="CL511" s="47">
        <v>0</v>
      </c>
      <c r="CM511" s="47">
        <v>0</v>
      </c>
      <c r="CN511" s="47">
        <v>0</v>
      </c>
      <c r="CO511" s="47">
        <v>0</v>
      </c>
      <c r="CP511" s="47">
        <v>0</v>
      </c>
      <c r="CQ511" s="47">
        <v>1</v>
      </c>
      <c r="CR511" s="47">
        <v>0</v>
      </c>
      <c r="CS511" s="47">
        <v>0</v>
      </c>
      <c r="CT511" s="47">
        <v>0</v>
      </c>
      <c r="CU511" s="47">
        <v>0</v>
      </c>
      <c r="CV511" s="47">
        <v>0</v>
      </c>
      <c r="CW511" s="47">
        <v>0</v>
      </c>
      <c r="CX511" s="47">
        <v>0</v>
      </c>
      <c r="CY511" s="47">
        <v>0</v>
      </c>
      <c r="CZ511" s="47">
        <v>0</v>
      </c>
      <c r="DA511" s="47">
        <v>0</v>
      </c>
      <c r="DB511" s="47">
        <v>0</v>
      </c>
      <c r="DC511" s="47">
        <v>0</v>
      </c>
      <c r="DD511" s="47">
        <v>0</v>
      </c>
      <c r="DE511" s="47">
        <v>0</v>
      </c>
      <c r="DF511" s="47">
        <v>0</v>
      </c>
      <c r="DG511" s="47">
        <v>0</v>
      </c>
      <c r="DH511" s="47">
        <v>0</v>
      </c>
      <c r="DI511" s="47">
        <v>0</v>
      </c>
      <c r="DJ511" s="47">
        <v>0</v>
      </c>
      <c r="DK511" s="47">
        <v>0</v>
      </c>
      <c r="DL511" s="47">
        <v>0</v>
      </c>
      <c r="DM511" s="47">
        <v>0</v>
      </c>
      <c r="DN511" s="47">
        <v>0</v>
      </c>
      <c r="DO511" s="47">
        <v>0</v>
      </c>
      <c r="DP511" s="47">
        <v>0</v>
      </c>
      <c r="DQ511" s="47">
        <v>0</v>
      </c>
      <c r="DR511" s="47">
        <v>0</v>
      </c>
      <c r="DS511" s="47">
        <v>0</v>
      </c>
      <c r="DT511" s="47">
        <v>0</v>
      </c>
    </row>
    <row r="512" spans="1:126" x14ac:dyDescent="0.25">
      <c r="A512" s="47" t="s">
        <v>2400</v>
      </c>
      <c r="B512" s="47" t="s">
        <v>153</v>
      </c>
      <c r="C512" s="47" t="s">
        <v>2401</v>
      </c>
      <c r="D512" s="47" t="s">
        <v>2402</v>
      </c>
      <c r="E512" s="47" t="s">
        <v>2403</v>
      </c>
      <c r="F512" s="47" t="s">
        <v>698</v>
      </c>
      <c r="G512" s="47" t="s">
        <v>727</v>
      </c>
      <c r="H512" s="47" t="str">
        <f>=IFERROR(VLOOKUP(A512,'ETPT Format DDG'!A:J,10,FALSE),"")</f>
        <v>0</v>
      </c>
      <c r="I512" s="47" t="str">
        <f>='ETPT Format DDG'!M512</f>
        <v/>
      </c>
      <c r="J512" s="47" t="str">
        <f>='ETPT Format DDG'!D512</f>
        <v/>
      </c>
      <c r="K512" s="47" t="s">
        <v>157</v>
      </c>
      <c r="L512" s="47" t="s">
        <v>728</v>
      </c>
      <c r="M512" s="47"/>
      <c r="N512" s="47">
        <v>1</v>
      </c>
      <c r="O512" s="47">
        <v>1</v>
      </c>
      <c r="P512" s="47">
        <v>0</v>
      </c>
      <c r="Q512" s="47">
        <v>0</v>
      </c>
      <c r="R512" s="47">
        <v>0</v>
      </c>
      <c r="S512" s="47">
        <v>0</v>
      </c>
      <c r="T512" s="47">
        <v>0</v>
      </c>
      <c r="U512" s="47">
        <v>0</v>
      </c>
      <c r="V512" s="47">
        <v>0</v>
      </c>
      <c r="W512" s="47">
        <v>0</v>
      </c>
      <c r="X512" s="47">
        <v>0</v>
      </c>
      <c r="Y512" s="47">
        <v>0</v>
      </c>
      <c r="Z512" s="47">
        <v>0</v>
      </c>
      <c r="AA512" s="47">
        <v>0</v>
      </c>
      <c r="AB512" s="47">
        <v>0</v>
      </c>
      <c r="AC512" s="47">
        <v>0</v>
      </c>
      <c r="AD512" s="47">
        <v>0</v>
      </c>
      <c r="AE512" s="47">
        <v>0</v>
      </c>
      <c r="AF512" s="47">
        <v>0</v>
      </c>
      <c r="AG512" s="47">
        <v>0</v>
      </c>
      <c r="AH512" s="47">
        <v>0</v>
      </c>
      <c r="AI512" s="47">
        <v>0</v>
      </c>
      <c r="AJ512" s="47">
        <v>0</v>
      </c>
      <c r="AK512" s="47">
        <v>0</v>
      </c>
      <c r="AL512" s="47">
        <v>0</v>
      </c>
      <c r="AM512" s="47">
        <v>0</v>
      </c>
      <c r="AN512" s="47">
        <v>1</v>
      </c>
      <c r="AO512" s="47">
        <v>0</v>
      </c>
      <c r="AP512" s="47">
        <v>0</v>
      </c>
      <c r="AQ512" s="47">
        <v>0</v>
      </c>
      <c r="AR512" s="47">
        <v>0</v>
      </c>
      <c r="AS512" s="47">
        <v>0</v>
      </c>
      <c r="AT512" s="47">
        <v>0</v>
      </c>
      <c r="AU512" s="47">
        <v>0</v>
      </c>
      <c r="AV512" s="47">
        <v>0</v>
      </c>
      <c r="AW512" s="47">
        <v>0</v>
      </c>
      <c r="AX512" s="47">
        <v>0</v>
      </c>
      <c r="AY512" s="47">
        <v>0</v>
      </c>
      <c r="AZ512" s="47">
        <v>0</v>
      </c>
      <c r="BA512" s="47">
        <v>0</v>
      </c>
      <c r="BB512" s="47">
        <v>0</v>
      </c>
      <c r="BC512" s="47">
        <v>0</v>
      </c>
      <c r="BD512" s="47">
        <v>0</v>
      </c>
      <c r="BE512" s="47">
        <v>0</v>
      </c>
      <c r="BF512" s="47">
        <v>0</v>
      </c>
      <c r="BG512" s="47">
        <v>0</v>
      </c>
      <c r="BH512" s="47">
        <v>0</v>
      </c>
      <c r="BI512" s="47">
        <v>0</v>
      </c>
      <c r="BJ512" s="47">
        <v>0</v>
      </c>
      <c r="BK512" s="47">
        <v>0</v>
      </c>
      <c r="BL512" s="47">
        <v>0</v>
      </c>
      <c r="BM512" s="47">
        <v>0</v>
      </c>
      <c r="BN512" s="47">
        <v>0</v>
      </c>
      <c r="BO512" s="47">
        <v>0</v>
      </c>
      <c r="BP512" s="47">
        <v>0</v>
      </c>
      <c r="BQ512" s="47">
        <v>0</v>
      </c>
      <c r="BR512" s="47">
        <v>0</v>
      </c>
      <c r="BS512" s="47">
        <v>0</v>
      </c>
      <c r="BT512" s="47">
        <v>0</v>
      </c>
      <c r="BU512" s="47">
        <v>0</v>
      </c>
      <c r="BV512" s="47">
        <v>0</v>
      </c>
      <c r="BW512" s="47">
        <v>0</v>
      </c>
      <c r="BX512" s="47">
        <v>0</v>
      </c>
      <c r="BY512" s="47">
        <v>0</v>
      </c>
      <c r="BZ512" s="47">
        <v>0</v>
      </c>
      <c r="CA512" s="47">
        <v>0</v>
      </c>
      <c r="CB512" s="47">
        <v>0</v>
      </c>
      <c r="CC512" s="47">
        <v>0</v>
      </c>
      <c r="CD512" s="47">
        <v>0</v>
      </c>
      <c r="CE512" s="47">
        <v>0</v>
      </c>
      <c r="CF512" s="47">
        <v>0</v>
      </c>
      <c r="CG512" s="47">
        <v>0</v>
      </c>
      <c r="CH512" s="47">
        <v>0</v>
      </c>
      <c r="CI512" s="47">
        <v>0</v>
      </c>
      <c r="CJ512" s="47">
        <v>0</v>
      </c>
      <c r="CK512" s="47">
        <v>0</v>
      </c>
      <c r="CL512" s="47">
        <v>0</v>
      </c>
      <c r="CM512" s="47">
        <v>0</v>
      </c>
      <c r="CN512" s="47">
        <v>0</v>
      </c>
      <c r="CO512" s="47">
        <v>0</v>
      </c>
      <c r="CP512" s="47">
        <v>0</v>
      </c>
      <c r="CQ512" s="47">
        <v>0</v>
      </c>
      <c r="CR512" s="47">
        <v>0</v>
      </c>
      <c r="CS512" s="47">
        <v>0</v>
      </c>
      <c r="CT512" s="47">
        <v>0</v>
      </c>
      <c r="CU512" s="47">
        <v>0</v>
      </c>
      <c r="CV512" s="47">
        <v>0</v>
      </c>
      <c r="CW512" s="47">
        <v>0</v>
      </c>
      <c r="CX512" s="47">
        <v>0</v>
      </c>
      <c r="CY512" s="47">
        <v>0</v>
      </c>
      <c r="CZ512" s="47">
        <v>0</v>
      </c>
      <c r="DA512" s="47">
        <v>0</v>
      </c>
      <c r="DB512" s="47">
        <v>0</v>
      </c>
      <c r="DC512" s="47">
        <v>0</v>
      </c>
      <c r="DD512" s="47">
        <v>0</v>
      </c>
      <c r="DE512" s="47">
        <v>0</v>
      </c>
      <c r="DF512" s="47">
        <v>0</v>
      </c>
      <c r="DG512" s="47">
        <v>0</v>
      </c>
      <c r="DH512" s="47">
        <v>0</v>
      </c>
      <c r="DI512" s="47">
        <v>0</v>
      </c>
      <c r="DJ512" s="47">
        <v>0</v>
      </c>
      <c r="DK512" s="47">
        <v>0</v>
      </c>
      <c r="DL512" s="47">
        <v>0</v>
      </c>
      <c r="DM512" s="47">
        <v>0</v>
      </c>
      <c r="DN512" s="47">
        <v>0</v>
      </c>
      <c r="DO512" s="47">
        <v>0</v>
      </c>
      <c r="DP512" s="47">
        <v>0</v>
      </c>
      <c r="DQ512" s="47">
        <v>0</v>
      </c>
      <c r="DR512" s="47">
        <v>0</v>
      </c>
      <c r="DS512" s="47">
        <v>0</v>
      </c>
      <c r="DT512" s="47">
        <v>0</v>
      </c>
    </row>
    <row r="513" spans="1:126" x14ac:dyDescent="0.25">
      <c r="A513" s="47" t="s">
        <v>2404</v>
      </c>
      <c r="B513" s="47" t="s">
        <v>153</v>
      </c>
      <c r="C513" s="47" t="s">
        <v>2405</v>
      </c>
      <c r="D513" s="47" t="s">
        <v>2406</v>
      </c>
      <c r="E513" s="47" t="s">
        <v>2407</v>
      </c>
      <c r="F513" s="47" t="s">
        <v>698</v>
      </c>
      <c r="G513" s="47" t="s">
        <v>727</v>
      </c>
      <c r="H513" s="47" t="str">
        <f>=IFERROR(VLOOKUP(A513,'ETPT Format DDG'!A:J,10,FALSE),"")</f>
        <v>0</v>
      </c>
      <c r="I513" s="47" t="str">
        <f>='ETPT Format DDG'!M513</f>
        <v/>
      </c>
      <c r="J513" s="47" t="str">
        <f>='ETPT Format DDG'!D513</f>
        <v/>
      </c>
      <c r="K513" s="47" t="s">
        <v>157</v>
      </c>
      <c r="L513" s="47" t="s">
        <v>836</v>
      </c>
      <c r="M513" s="47"/>
      <c r="N513" s="47">
        <v>1</v>
      </c>
      <c r="O513" s="47">
        <v>1</v>
      </c>
      <c r="P513" s="47">
        <v>0</v>
      </c>
      <c r="Q513" s="47">
        <v>0</v>
      </c>
      <c r="R513" s="47">
        <v>0</v>
      </c>
      <c r="S513" s="47">
        <v>0</v>
      </c>
      <c r="T513" s="47">
        <v>0</v>
      </c>
      <c r="U513" s="47">
        <v>0</v>
      </c>
      <c r="V513" s="47">
        <v>0</v>
      </c>
      <c r="W513" s="47">
        <v>0</v>
      </c>
      <c r="X513" s="47">
        <v>0</v>
      </c>
      <c r="Y513" s="47">
        <v>0</v>
      </c>
      <c r="Z513" s="47">
        <v>0</v>
      </c>
      <c r="AA513" s="47">
        <v>0</v>
      </c>
      <c r="AB513" s="47">
        <v>0</v>
      </c>
      <c r="AC513" s="47">
        <v>0</v>
      </c>
      <c r="AD513" s="47">
        <v>0</v>
      </c>
      <c r="AE513" s="47">
        <v>1</v>
      </c>
      <c r="AF513" s="47">
        <v>0</v>
      </c>
      <c r="AG513" s="47">
        <v>0</v>
      </c>
      <c r="AH513" s="47">
        <v>0</v>
      </c>
      <c r="AI513" s="47">
        <v>0</v>
      </c>
      <c r="AJ513" s="47">
        <v>0</v>
      </c>
      <c r="AK513" s="47">
        <v>0</v>
      </c>
      <c r="AL513" s="47">
        <v>0</v>
      </c>
      <c r="AM513" s="47">
        <v>0</v>
      </c>
      <c r="AN513" s="47">
        <v>0</v>
      </c>
      <c r="AO513" s="47">
        <v>0</v>
      </c>
      <c r="AP513" s="47">
        <v>0</v>
      </c>
      <c r="AQ513" s="47">
        <v>0</v>
      </c>
      <c r="AR513" s="47">
        <v>0</v>
      </c>
      <c r="AS513" s="47">
        <v>0</v>
      </c>
      <c r="AT513" s="47">
        <v>0</v>
      </c>
      <c r="AU513" s="47">
        <v>0</v>
      </c>
      <c r="AV513" s="47">
        <v>0</v>
      </c>
      <c r="AW513" s="47">
        <v>0</v>
      </c>
      <c r="AX513" s="47">
        <v>0</v>
      </c>
      <c r="AY513" s="47">
        <v>0</v>
      </c>
      <c r="AZ513" s="47">
        <v>0</v>
      </c>
      <c r="BA513" s="47">
        <v>0</v>
      </c>
      <c r="BB513" s="47">
        <v>0</v>
      </c>
      <c r="BC513" s="47">
        <v>0</v>
      </c>
      <c r="BD513" s="47">
        <v>0</v>
      </c>
      <c r="BE513" s="47">
        <v>0</v>
      </c>
      <c r="BF513" s="47">
        <v>0</v>
      </c>
      <c r="BG513" s="47">
        <v>0</v>
      </c>
      <c r="BH513" s="47">
        <v>0</v>
      </c>
      <c r="BI513" s="47">
        <v>0</v>
      </c>
      <c r="BJ513" s="47">
        <v>0</v>
      </c>
      <c r="BK513" s="47">
        <v>0</v>
      </c>
      <c r="BL513" s="47">
        <v>0</v>
      </c>
      <c r="BM513" s="47">
        <v>0</v>
      </c>
      <c r="BN513" s="47">
        <v>0</v>
      </c>
      <c r="BO513" s="47">
        <v>0</v>
      </c>
      <c r="BP513" s="47">
        <v>0</v>
      </c>
      <c r="BQ513" s="47">
        <v>0</v>
      </c>
      <c r="BR513" s="47">
        <v>0</v>
      </c>
      <c r="BS513" s="47">
        <v>0</v>
      </c>
      <c r="BT513" s="47">
        <v>0</v>
      </c>
      <c r="BU513" s="47">
        <v>0</v>
      </c>
      <c r="BV513" s="47">
        <v>0</v>
      </c>
      <c r="BW513" s="47">
        <v>0</v>
      </c>
      <c r="BX513" s="47">
        <v>0</v>
      </c>
      <c r="BY513" s="47">
        <v>0</v>
      </c>
      <c r="BZ513" s="47">
        <v>0</v>
      </c>
      <c r="CA513" s="47">
        <v>0</v>
      </c>
      <c r="CB513" s="47">
        <v>0</v>
      </c>
      <c r="CC513" s="47">
        <v>0</v>
      </c>
      <c r="CD513" s="47">
        <v>0</v>
      </c>
      <c r="CE513" s="47">
        <v>0</v>
      </c>
      <c r="CF513" s="47">
        <v>0</v>
      </c>
      <c r="CG513" s="47">
        <v>0</v>
      </c>
      <c r="CH513" s="47">
        <v>0</v>
      </c>
      <c r="CI513" s="47">
        <v>0</v>
      </c>
      <c r="CJ513" s="47">
        <v>0</v>
      </c>
      <c r="CK513" s="47">
        <v>0</v>
      </c>
      <c r="CL513" s="47">
        <v>0</v>
      </c>
      <c r="CM513" s="47">
        <v>0</v>
      </c>
      <c r="CN513" s="47">
        <v>0</v>
      </c>
      <c r="CO513" s="47">
        <v>0</v>
      </c>
      <c r="CP513" s="47">
        <v>0</v>
      </c>
      <c r="CQ513" s="47">
        <v>0</v>
      </c>
      <c r="CR513" s="47">
        <v>0</v>
      </c>
      <c r="CS513" s="47">
        <v>0</v>
      </c>
      <c r="CT513" s="47">
        <v>0</v>
      </c>
      <c r="CU513" s="47">
        <v>0</v>
      </c>
      <c r="CV513" s="47">
        <v>0</v>
      </c>
      <c r="CW513" s="47">
        <v>0</v>
      </c>
      <c r="CX513" s="47">
        <v>0</v>
      </c>
      <c r="CY513" s="47">
        <v>0</v>
      </c>
      <c r="CZ513" s="47">
        <v>0</v>
      </c>
      <c r="DA513" s="47">
        <v>0</v>
      </c>
      <c r="DB513" s="47">
        <v>0</v>
      </c>
      <c r="DC513" s="47">
        <v>0</v>
      </c>
      <c r="DD513" s="47">
        <v>0</v>
      </c>
      <c r="DE513" s="47">
        <v>0</v>
      </c>
      <c r="DF513" s="47">
        <v>0</v>
      </c>
      <c r="DG513" s="47">
        <v>0</v>
      </c>
      <c r="DH513" s="47">
        <v>0</v>
      </c>
      <c r="DI513" s="47">
        <v>0</v>
      </c>
      <c r="DJ513" s="47">
        <v>0</v>
      </c>
      <c r="DK513" s="47">
        <v>0</v>
      </c>
      <c r="DL513" s="47">
        <v>0</v>
      </c>
      <c r="DM513" s="47">
        <v>0</v>
      </c>
      <c r="DN513" s="47">
        <v>0</v>
      </c>
      <c r="DO513" s="47">
        <v>0</v>
      </c>
      <c r="DP513" s="47">
        <v>0</v>
      </c>
      <c r="DQ513" s="47">
        <v>0</v>
      </c>
      <c r="DR513" s="47">
        <v>0</v>
      </c>
      <c r="DS513" s="47">
        <v>0</v>
      </c>
      <c r="DT513" s="47">
        <v>0</v>
      </c>
    </row>
    <row r="514" spans="1:126" x14ac:dyDescent="0.25">
      <c r="A514" s="47" t="s">
        <v>2408</v>
      </c>
      <c r="B514" s="47" t="s">
        <v>153</v>
      </c>
      <c r="C514" s="47" t="s">
        <v>2409</v>
      </c>
      <c r="D514" s="47" t="s">
        <v>2410</v>
      </c>
      <c r="E514" s="47" t="s">
        <v>2411</v>
      </c>
      <c r="F514" s="47" t="s">
        <v>698</v>
      </c>
      <c r="G514" s="47" t="s">
        <v>705</v>
      </c>
      <c r="H514" s="47" t="str">
        <f>=IFERROR(VLOOKUP(A514,'ETPT Format DDG'!A:J,10,FALSE),"")</f>
        <v>0</v>
      </c>
      <c r="I514" s="47" t="str">
        <f>='ETPT Format DDG'!M514</f>
        <v/>
      </c>
      <c r="J514" s="47" t="str">
        <f>='ETPT Format DDG'!D514</f>
        <v/>
      </c>
      <c r="K514" s="47" t="s">
        <v>157</v>
      </c>
      <c r="L514" s="47" t="s">
        <v>2050</v>
      </c>
      <c r="M514" s="47"/>
      <c r="N514" s="47">
        <v>1</v>
      </c>
      <c r="O514" s="47">
        <v>1</v>
      </c>
      <c r="P514" s="47">
        <v>0</v>
      </c>
      <c r="Q514" s="47">
        <v>0</v>
      </c>
      <c r="R514" s="47">
        <v>0</v>
      </c>
      <c r="S514" s="47">
        <v>0</v>
      </c>
      <c r="T514" s="47">
        <v>0</v>
      </c>
      <c r="U514" s="47">
        <v>0</v>
      </c>
      <c r="V514" s="47">
        <v>0</v>
      </c>
      <c r="W514" s="47">
        <v>0</v>
      </c>
      <c r="X514" s="47">
        <v>0</v>
      </c>
      <c r="Y514" s="47">
        <v>0</v>
      </c>
      <c r="Z514" s="47">
        <v>0</v>
      </c>
      <c r="AA514" s="47">
        <v>0</v>
      </c>
      <c r="AB514" s="47">
        <v>0</v>
      </c>
      <c r="AC514" s="47">
        <v>0</v>
      </c>
      <c r="AD514" s="47">
        <v>0</v>
      </c>
      <c r="AE514" s="47">
        <v>0</v>
      </c>
      <c r="AF514" s="47">
        <v>0</v>
      </c>
      <c r="AG514" s="47">
        <v>0</v>
      </c>
      <c r="AH514" s="47">
        <v>0</v>
      </c>
      <c r="AI514" s="47">
        <v>0</v>
      </c>
      <c r="AJ514" s="47">
        <v>0</v>
      </c>
      <c r="AK514" s="47">
        <v>0</v>
      </c>
      <c r="AL514" s="47">
        <v>0</v>
      </c>
      <c r="AM514" s="47">
        <v>0</v>
      </c>
      <c r="AN514" s="47">
        <v>0.8</v>
      </c>
      <c r="AO514" s="47">
        <v>0</v>
      </c>
      <c r="AP514" s="47">
        <v>0</v>
      </c>
      <c r="AQ514" s="47">
        <v>0.8</v>
      </c>
      <c r="AR514" s="47">
        <v>0</v>
      </c>
      <c r="AS514" s="47">
        <v>0</v>
      </c>
      <c r="AT514" s="47">
        <v>0</v>
      </c>
      <c r="AU514" s="47">
        <v>0</v>
      </c>
      <c r="AV514" s="47">
        <v>0</v>
      </c>
      <c r="AW514" s="47">
        <v>0</v>
      </c>
      <c r="AX514" s="47">
        <v>0</v>
      </c>
      <c r="AY514" s="47">
        <v>0</v>
      </c>
      <c r="AZ514" s="47">
        <v>0</v>
      </c>
      <c r="BA514" s="47">
        <v>0</v>
      </c>
      <c r="BB514" s="47">
        <v>0</v>
      </c>
      <c r="BC514" s="47">
        <v>0</v>
      </c>
      <c r="BD514" s="47">
        <v>0</v>
      </c>
      <c r="BE514" s="47">
        <v>0</v>
      </c>
      <c r="BF514" s="47">
        <v>0</v>
      </c>
      <c r="BG514" s="47">
        <v>0</v>
      </c>
      <c r="BH514" s="47">
        <v>0</v>
      </c>
      <c r="BI514" s="47">
        <v>0</v>
      </c>
      <c r="BJ514" s="47">
        <v>0</v>
      </c>
      <c r="BK514" s="47">
        <v>0</v>
      </c>
      <c r="BL514" s="47">
        <v>0</v>
      </c>
      <c r="BM514" s="47">
        <v>0</v>
      </c>
      <c r="BN514" s="47">
        <v>0</v>
      </c>
      <c r="BO514" s="47">
        <v>0</v>
      </c>
      <c r="BP514" s="47">
        <v>0</v>
      </c>
      <c r="BQ514" s="47">
        <v>0</v>
      </c>
      <c r="BR514" s="47">
        <v>0</v>
      </c>
      <c r="BS514" s="47">
        <v>0</v>
      </c>
      <c r="BT514" s="47">
        <v>0</v>
      </c>
      <c r="BU514" s="47">
        <v>0</v>
      </c>
      <c r="BV514" s="47">
        <v>0</v>
      </c>
      <c r="BW514" s="47">
        <v>0</v>
      </c>
      <c r="BX514" s="47">
        <v>0</v>
      </c>
      <c r="BY514" s="47">
        <v>0</v>
      </c>
      <c r="BZ514" s="47">
        <v>0</v>
      </c>
      <c r="CA514" s="47">
        <v>0</v>
      </c>
      <c r="CB514" s="47">
        <v>0</v>
      </c>
      <c r="CC514" s="47">
        <v>0</v>
      </c>
      <c r="CD514" s="47">
        <v>0</v>
      </c>
      <c r="CE514" s="47">
        <v>0</v>
      </c>
      <c r="CF514" s="47">
        <v>0</v>
      </c>
      <c r="CG514" s="47">
        <v>0</v>
      </c>
      <c r="CH514" s="47">
        <v>0</v>
      </c>
      <c r="CI514" s="47">
        <v>0</v>
      </c>
      <c r="CJ514" s="47">
        <v>0</v>
      </c>
      <c r="CK514" s="47">
        <v>0</v>
      </c>
      <c r="CL514" s="47">
        <v>0</v>
      </c>
      <c r="CM514" s="47">
        <v>0</v>
      </c>
      <c r="CN514" s="47">
        <v>0</v>
      </c>
      <c r="CO514" s="47">
        <v>0</v>
      </c>
      <c r="CP514" s="47">
        <v>0</v>
      </c>
      <c r="CQ514" s="47">
        <v>0</v>
      </c>
      <c r="CR514" s="47">
        <v>0</v>
      </c>
      <c r="CS514" s="47">
        <v>0</v>
      </c>
      <c r="CT514" s="47">
        <v>0.2</v>
      </c>
      <c r="CU514" s="47">
        <v>0.15</v>
      </c>
      <c r="CV514" s="47">
        <v>0.05</v>
      </c>
      <c r="CW514" s="47">
        <v>0</v>
      </c>
      <c r="CX514" s="47">
        <v>0</v>
      </c>
      <c r="CY514" s="47">
        <v>0</v>
      </c>
      <c r="CZ514" s="47">
        <v>0</v>
      </c>
      <c r="DA514" s="47">
        <v>0</v>
      </c>
      <c r="DB514" s="47">
        <v>0</v>
      </c>
      <c r="DC514" s="47">
        <v>0</v>
      </c>
      <c r="DD514" s="47">
        <v>0</v>
      </c>
      <c r="DE514" s="47">
        <v>0</v>
      </c>
      <c r="DF514" s="47">
        <v>0</v>
      </c>
      <c r="DG514" s="47">
        <v>0</v>
      </c>
      <c r="DH514" s="47">
        <v>0</v>
      </c>
      <c r="DI514" s="47">
        <v>0</v>
      </c>
      <c r="DJ514" s="47">
        <v>0</v>
      </c>
      <c r="DK514" s="47">
        <v>0</v>
      </c>
      <c r="DL514" s="47">
        <v>0</v>
      </c>
      <c r="DM514" s="47">
        <v>0</v>
      </c>
      <c r="DN514" s="47">
        <v>0</v>
      </c>
      <c r="DO514" s="47">
        <v>0</v>
      </c>
      <c r="DP514" s="47">
        <v>0</v>
      </c>
      <c r="DQ514" s="47">
        <v>0</v>
      </c>
      <c r="DR514" s="47">
        <v>0</v>
      </c>
      <c r="DS514" s="47">
        <v>0</v>
      </c>
      <c r="DT514" s="47">
        <v>0</v>
      </c>
    </row>
    <row r="515" spans="1:126" x14ac:dyDescent="0.25">
      <c r="A515" s="47" t="s">
        <v>2412</v>
      </c>
      <c r="B515" s="47" t="s">
        <v>153</v>
      </c>
      <c r="C515" s="47" t="s">
        <v>2413</v>
      </c>
      <c r="D515" s="47" t="s">
        <v>2414</v>
      </c>
      <c r="E515" s="47" t="s">
        <v>2415</v>
      </c>
      <c r="F515" s="47" t="s">
        <v>698</v>
      </c>
      <c r="G515" s="47" t="s">
        <v>705</v>
      </c>
      <c r="H515" s="47" t="str">
        <f>=IFERROR(VLOOKUP(A515,'ETPT Format DDG'!A:J,10,FALSE),"")</f>
        <v>0</v>
      </c>
      <c r="I515" s="47" t="str">
        <f>='ETPT Format DDG'!M515</f>
        <v/>
      </c>
      <c r="J515" s="47" t="str">
        <f>='ETPT Format DDG'!D515</f>
        <v/>
      </c>
      <c r="K515" s="47" t="s">
        <v>157</v>
      </c>
      <c r="L515" s="47" t="s">
        <v>700</v>
      </c>
      <c r="M515" s="47"/>
      <c r="N515" s="47">
        <v>1</v>
      </c>
      <c r="O515" s="47">
        <v>0</v>
      </c>
      <c r="P515" s="47">
        <v>0</v>
      </c>
      <c r="Q515" s="47">
        <v>0</v>
      </c>
      <c r="R515" s="47">
        <v>0</v>
      </c>
      <c r="S515" s="47">
        <v>0</v>
      </c>
      <c r="T515" s="47">
        <v>0</v>
      </c>
      <c r="U515" s="47">
        <v>0</v>
      </c>
      <c r="V515" s="47">
        <v>0</v>
      </c>
      <c r="W515" s="47">
        <v>0</v>
      </c>
      <c r="X515" s="47">
        <v>0</v>
      </c>
      <c r="Y515" s="47">
        <v>0</v>
      </c>
      <c r="Z515" s="47">
        <v>0</v>
      </c>
      <c r="AA515" s="47">
        <v>0</v>
      </c>
      <c r="AB515" s="47">
        <v>0</v>
      </c>
      <c r="AC515" s="47">
        <v>0</v>
      </c>
      <c r="AD515" s="47">
        <v>0</v>
      </c>
      <c r="AE515" s="47">
        <v>0</v>
      </c>
      <c r="AF515" s="47">
        <v>0</v>
      </c>
      <c r="AG515" s="47">
        <v>0</v>
      </c>
      <c r="AH515" s="47">
        <v>0</v>
      </c>
      <c r="AI515" s="47">
        <v>0</v>
      </c>
      <c r="AJ515" s="47">
        <v>0</v>
      </c>
      <c r="AK515" s="47">
        <v>0</v>
      </c>
      <c r="AL515" s="47">
        <v>0</v>
      </c>
      <c r="AM515" s="47">
        <v>0</v>
      </c>
      <c r="AN515" s="47">
        <v>0</v>
      </c>
      <c r="AO515" s="47">
        <v>0</v>
      </c>
      <c r="AP515" s="47">
        <v>0</v>
      </c>
      <c r="AQ515" s="47">
        <v>0</v>
      </c>
      <c r="AR515" s="47">
        <v>0</v>
      </c>
      <c r="AS515" s="47">
        <v>0</v>
      </c>
      <c r="AT515" s="47">
        <v>0</v>
      </c>
      <c r="AU515" s="47">
        <v>0</v>
      </c>
      <c r="AV515" s="47">
        <v>0</v>
      </c>
      <c r="AW515" s="47">
        <v>0</v>
      </c>
      <c r="AX515" s="47">
        <v>0</v>
      </c>
      <c r="AY515" s="47">
        <v>0</v>
      </c>
      <c r="AZ515" s="47">
        <v>0</v>
      </c>
      <c r="BA515" s="47">
        <v>0</v>
      </c>
      <c r="BB515" s="47">
        <v>0</v>
      </c>
      <c r="BC515" s="47">
        <v>0</v>
      </c>
      <c r="BD515" s="47">
        <v>0</v>
      </c>
      <c r="BE515" s="47">
        <v>0</v>
      </c>
      <c r="BF515" s="47">
        <v>0</v>
      </c>
      <c r="BG515" s="47">
        <v>0</v>
      </c>
      <c r="BH515" s="47">
        <v>0</v>
      </c>
      <c r="BI515" s="47">
        <v>0</v>
      </c>
      <c r="BJ515" s="47">
        <v>0</v>
      </c>
      <c r="BK515" s="47">
        <v>0</v>
      </c>
      <c r="BL515" s="47">
        <v>0</v>
      </c>
      <c r="BM515" s="47">
        <v>0</v>
      </c>
      <c r="BN515" s="47">
        <v>0</v>
      </c>
      <c r="BO515" s="47">
        <v>0</v>
      </c>
      <c r="BP515" s="47">
        <v>0</v>
      </c>
      <c r="BQ515" s="47">
        <v>0</v>
      </c>
      <c r="BR515" s="47">
        <v>0</v>
      </c>
      <c r="BS515" s="47">
        <v>0</v>
      </c>
      <c r="BT515" s="47">
        <v>0</v>
      </c>
      <c r="BU515" s="47">
        <v>0</v>
      </c>
      <c r="BV515" s="47">
        <v>0</v>
      </c>
      <c r="BW515" s="47">
        <v>0</v>
      </c>
      <c r="BX515" s="47">
        <v>0</v>
      </c>
      <c r="BY515" s="47">
        <v>0</v>
      </c>
      <c r="BZ515" s="47">
        <v>0</v>
      </c>
      <c r="CA515" s="47">
        <v>0</v>
      </c>
      <c r="CB515" s="47">
        <v>0</v>
      </c>
      <c r="CC515" s="47">
        <v>0</v>
      </c>
      <c r="CD515" s="47">
        <v>0</v>
      </c>
      <c r="CE515" s="47">
        <v>0</v>
      </c>
      <c r="CF515" s="47">
        <v>0</v>
      </c>
      <c r="CG515" s="47">
        <v>0</v>
      </c>
      <c r="CH515" s="47">
        <v>0</v>
      </c>
      <c r="CI515" s="47">
        <v>0</v>
      </c>
      <c r="CJ515" s="47">
        <v>0</v>
      </c>
      <c r="CK515" s="47">
        <v>0</v>
      </c>
      <c r="CL515" s="47">
        <v>0</v>
      </c>
      <c r="CM515" s="47">
        <v>0</v>
      </c>
      <c r="CN515" s="47">
        <v>0</v>
      </c>
      <c r="CO515" s="47">
        <v>0</v>
      </c>
      <c r="CP515" s="47">
        <v>0</v>
      </c>
      <c r="CQ515" s="47">
        <v>0</v>
      </c>
      <c r="CR515" s="47">
        <v>0</v>
      </c>
      <c r="CS515" s="47">
        <v>0</v>
      </c>
      <c r="CT515" s="47">
        <v>0</v>
      </c>
      <c r="CU515" s="47">
        <v>0</v>
      </c>
      <c r="CV515" s="47">
        <v>0</v>
      </c>
      <c r="CW515" s="47">
        <v>0</v>
      </c>
      <c r="CX515" s="47">
        <v>0</v>
      </c>
      <c r="CY515" s="47">
        <v>0</v>
      </c>
      <c r="CZ515" s="47">
        <v>0</v>
      </c>
      <c r="DA515" s="47">
        <v>0</v>
      </c>
      <c r="DB515" s="47">
        <v>0</v>
      </c>
      <c r="DC515" s="47">
        <v>0</v>
      </c>
      <c r="DD515" s="47">
        <v>0</v>
      </c>
      <c r="DE515" s="47">
        <v>0</v>
      </c>
      <c r="DF515" s="47">
        <v>0</v>
      </c>
      <c r="DG515" s="47">
        <v>0</v>
      </c>
      <c r="DH515" s="47">
        <v>0</v>
      </c>
      <c r="DI515" s="47">
        <v>0</v>
      </c>
      <c r="DJ515" s="47">
        <v>0</v>
      </c>
      <c r="DK515" s="47">
        <v>0</v>
      </c>
      <c r="DL515" s="47">
        <v>0</v>
      </c>
      <c r="DM515" s="47">
        <v>0</v>
      </c>
      <c r="DN515" s="47">
        <v>0</v>
      </c>
      <c r="DO515" s="47">
        <v>0</v>
      </c>
      <c r="DP515" s="47">
        <v>0</v>
      </c>
      <c r="DQ515" s="47">
        <v>0</v>
      </c>
      <c r="DR515" s="47">
        <v>0</v>
      </c>
      <c r="DS515" s="47">
        <v>0</v>
      </c>
      <c r="DT515" s="47">
        <v>0</v>
      </c>
    </row>
    <row r="516" spans="1:126" x14ac:dyDescent="0.25">
      <c r="A516" s="47" t="s">
        <v>2416</v>
      </c>
      <c r="B516" s="47" t="s">
        <v>153</v>
      </c>
      <c r="C516" s="47" t="s">
        <v>2417</v>
      </c>
      <c r="D516" s="47" t="s">
        <v>2418</v>
      </c>
      <c r="E516" s="47" t="s">
        <v>2419</v>
      </c>
      <c r="F516" s="47" t="s">
        <v>698</v>
      </c>
      <c r="G516" s="47" t="s">
        <v>705</v>
      </c>
      <c r="H516" s="47" t="str">
        <f>=IFERROR(VLOOKUP(A516,'ETPT Format DDG'!A:J,10,FALSE),"")</f>
        <v>0</v>
      </c>
      <c r="I516" s="47" t="str">
        <f>='ETPT Format DDG'!M516</f>
        <v/>
      </c>
      <c r="J516" s="47" t="str">
        <f>='ETPT Format DDG'!D516</f>
        <v/>
      </c>
      <c r="K516" s="47" t="s">
        <v>157</v>
      </c>
      <c r="L516" s="47" t="s">
        <v>2420</v>
      </c>
      <c r="M516" s="47"/>
      <c r="N516" s="47">
        <v>0.8</v>
      </c>
      <c r="O516" s="47">
        <v>0</v>
      </c>
      <c r="P516" s="47">
        <v>0</v>
      </c>
      <c r="Q516" s="47">
        <v>0</v>
      </c>
      <c r="R516" s="47">
        <v>0</v>
      </c>
      <c r="S516" s="47">
        <v>0</v>
      </c>
      <c r="T516" s="47">
        <v>0</v>
      </c>
      <c r="U516" s="47">
        <v>0</v>
      </c>
      <c r="V516" s="47">
        <v>0</v>
      </c>
      <c r="W516" s="47">
        <v>0</v>
      </c>
      <c r="X516" s="47">
        <v>0</v>
      </c>
      <c r="Y516" s="47">
        <v>0</v>
      </c>
      <c r="Z516" s="47">
        <v>0</v>
      </c>
      <c r="AA516" s="47">
        <v>0</v>
      </c>
      <c r="AB516" s="47">
        <v>0</v>
      </c>
      <c r="AC516" s="47">
        <v>0</v>
      </c>
      <c r="AD516" s="47">
        <v>0</v>
      </c>
      <c r="AE516" s="47">
        <v>0</v>
      </c>
      <c r="AF516" s="47">
        <v>0</v>
      </c>
      <c r="AG516" s="47">
        <v>0</v>
      </c>
      <c r="AH516" s="47">
        <v>0</v>
      </c>
      <c r="AI516" s="47">
        <v>0</v>
      </c>
      <c r="AJ516" s="47">
        <v>0</v>
      </c>
      <c r="AK516" s="47">
        <v>0</v>
      </c>
      <c r="AL516" s="47">
        <v>0</v>
      </c>
      <c r="AM516" s="47">
        <v>0</v>
      </c>
      <c r="AN516" s="47">
        <v>0</v>
      </c>
      <c r="AO516" s="47">
        <v>0</v>
      </c>
      <c r="AP516" s="47">
        <v>0</v>
      </c>
      <c r="AQ516" s="47">
        <v>0</v>
      </c>
      <c r="AR516" s="47">
        <v>0</v>
      </c>
      <c r="AS516" s="47">
        <v>0</v>
      </c>
      <c r="AT516" s="47">
        <v>0</v>
      </c>
      <c r="AU516" s="47">
        <v>0</v>
      </c>
      <c r="AV516" s="47">
        <v>0</v>
      </c>
      <c r="AW516" s="47">
        <v>0</v>
      </c>
      <c r="AX516" s="47">
        <v>0</v>
      </c>
      <c r="AY516" s="47">
        <v>0</v>
      </c>
      <c r="AZ516" s="47">
        <v>0</v>
      </c>
      <c r="BA516" s="47">
        <v>0</v>
      </c>
      <c r="BB516" s="47">
        <v>0</v>
      </c>
      <c r="BC516" s="47">
        <v>0</v>
      </c>
      <c r="BD516" s="47">
        <v>0</v>
      </c>
      <c r="BE516" s="47">
        <v>0</v>
      </c>
      <c r="BF516" s="47">
        <v>0</v>
      </c>
      <c r="BG516" s="47">
        <v>0</v>
      </c>
      <c r="BH516" s="47">
        <v>0</v>
      </c>
      <c r="BI516" s="47">
        <v>0</v>
      </c>
      <c r="BJ516" s="47">
        <v>0</v>
      </c>
      <c r="BK516" s="47">
        <v>0</v>
      </c>
      <c r="BL516" s="47">
        <v>0</v>
      </c>
      <c r="BM516" s="47">
        <v>0</v>
      </c>
      <c r="BN516" s="47">
        <v>0</v>
      </c>
      <c r="BO516" s="47">
        <v>0</v>
      </c>
      <c r="BP516" s="47">
        <v>0</v>
      </c>
      <c r="BQ516" s="47">
        <v>0</v>
      </c>
      <c r="BR516" s="47">
        <v>0</v>
      </c>
      <c r="BS516" s="47">
        <v>0</v>
      </c>
      <c r="BT516" s="47">
        <v>0</v>
      </c>
      <c r="BU516" s="47">
        <v>0</v>
      </c>
      <c r="BV516" s="47">
        <v>0</v>
      </c>
      <c r="BW516" s="47">
        <v>0</v>
      </c>
      <c r="BX516" s="47">
        <v>0</v>
      </c>
      <c r="BY516" s="47">
        <v>0</v>
      </c>
      <c r="BZ516" s="47">
        <v>0</v>
      </c>
      <c r="CA516" s="47">
        <v>0</v>
      </c>
      <c r="CB516" s="47">
        <v>0</v>
      </c>
      <c r="CC516" s="47">
        <v>0</v>
      </c>
      <c r="CD516" s="47">
        <v>0</v>
      </c>
      <c r="CE516" s="47">
        <v>0</v>
      </c>
      <c r="CF516" s="47">
        <v>0</v>
      </c>
      <c r="CG516" s="47">
        <v>0</v>
      </c>
      <c r="CH516" s="47">
        <v>0</v>
      </c>
      <c r="CI516" s="47">
        <v>0</v>
      </c>
      <c r="CJ516" s="47">
        <v>0</v>
      </c>
      <c r="CK516" s="47">
        <v>0</v>
      </c>
      <c r="CL516" s="47">
        <v>0</v>
      </c>
      <c r="CM516" s="47">
        <v>0</v>
      </c>
      <c r="CN516" s="47">
        <v>0</v>
      </c>
      <c r="CO516" s="47">
        <v>0</v>
      </c>
      <c r="CP516" s="47">
        <v>0</v>
      </c>
      <c r="CQ516" s="47">
        <v>0</v>
      </c>
      <c r="CR516" s="47">
        <v>0</v>
      </c>
      <c r="CS516" s="47">
        <v>0</v>
      </c>
      <c r="CT516" s="47">
        <v>0</v>
      </c>
      <c r="CU516" s="47">
        <v>0</v>
      </c>
      <c r="CV516" s="47">
        <v>0</v>
      </c>
      <c r="CW516" s="47">
        <v>0</v>
      </c>
      <c r="CX516" s="47">
        <v>0</v>
      </c>
      <c r="CY516" s="47">
        <v>0</v>
      </c>
      <c r="CZ516" s="47">
        <v>0</v>
      </c>
      <c r="DA516" s="47">
        <v>0</v>
      </c>
      <c r="DB516" s="47">
        <v>0</v>
      </c>
      <c r="DC516" s="47">
        <v>0</v>
      </c>
      <c r="DD516" s="47">
        <v>0</v>
      </c>
      <c r="DE516" s="47">
        <v>0</v>
      </c>
      <c r="DF516" s="47">
        <v>0</v>
      </c>
      <c r="DG516" s="47">
        <v>0</v>
      </c>
      <c r="DH516" s="47">
        <v>0</v>
      </c>
      <c r="DI516" s="47">
        <v>0</v>
      </c>
      <c r="DJ516" s="47">
        <v>0</v>
      </c>
      <c r="DK516" s="47">
        <v>0</v>
      </c>
      <c r="DL516" s="47">
        <v>0</v>
      </c>
      <c r="DM516" s="47">
        <v>0</v>
      </c>
      <c r="DN516" s="47">
        <v>0</v>
      </c>
      <c r="DO516" s="47">
        <v>0</v>
      </c>
      <c r="DP516" s="47">
        <v>0</v>
      </c>
      <c r="DQ516" s="47">
        <v>0</v>
      </c>
      <c r="DR516" s="47">
        <v>0</v>
      </c>
      <c r="DS516" s="47">
        <v>0</v>
      </c>
      <c r="DT516" s="47">
        <v>0</v>
      </c>
    </row>
    <row r="517" spans="1:126" x14ac:dyDescent="0.25">
      <c r="A517" s="47" t="s">
        <v>2421</v>
      </c>
      <c r="B517" s="47" t="s">
        <v>153</v>
      </c>
      <c r="C517" s="47" t="s">
        <v>2422</v>
      </c>
      <c r="D517" s="47" t="s">
        <v>2423</v>
      </c>
      <c r="E517" s="47" t="s">
        <v>2424</v>
      </c>
      <c r="F517" s="47" t="s">
        <v>698</v>
      </c>
      <c r="G517" s="47" t="s">
        <v>727</v>
      </c>
      <c r="H517" s="47" t="str">
        <f>=IFERROR(VLOOKUP(A517,'ETPT Format DDG'!A:J,10,FALSE),"")</f>
        <v>0</v>
      </c>
      <c r="I517" s="47" t="str">
        <f>='ETPT Format DDG'!M517</f>
        <v/>
      </c>
      <c r="J517" s="47" t="str">
        <f>='ETPT Format DDG'!D517</f>
        <v/>
      </c>
      <c r="K517" s="47" t="s">
        <v>157</v>
      </c>
      <c r="L517" s="47" t="s">
        <v>1173</v>
      </c>
      <c r="M517" s="47"/>
      <c r="N517" s="47">
        <v>0.8</v>
      </c>
      <c r="O517" s="47">
        <v>0</v>
      </c>
      <c r="P517" s="47">
        <v>0</v>
      </c>
      <c r="Q517" s="47">
        <v>0</v>
      </c>
      <c r="R517" s="47">
        <v>0</v>
      </c>
      <c r="S517" s="47">
        <v>0</v>
      </c>
      <c r="T517" s="47">
        <v>0</v>
      </c>
      <c r="U517" s="47">
        <v>0</v>
      </c>
      <c r="V517" s="47">
        <v>0</v>
      </c>
      <c r="W517" s="47">
        <v>0</v>
      </c>
      <c r="X517" s="47">
        <v>0</v>
      </c>
      <c r="Y517" s="47">
        <v>0</v>
      </c>
      <c r="Z517" s="47">
        <v>0</v>
      </c>
      <c r="AA517" s="47">
        <v>0</v>
      </c>
      <c r="AB517" s="47">
        <v>0</v>
      </c>
      <c r="AC517" s="47">
        <v>0</v>
      </c>
      <c r="AD517" s="47">
        <v>0</v>
      </c>
      <c r="AE517" s="47">
        <v>0</v>
      </c>
      <c r="AF517" s="47">
        <v>0</v>
      </c>
      <c r="AG517" s="47">
        <v>0</v>
      </c>
      <c r="AH517" s="47">
        <v>0</v>
      </c>
      <c r="AI517" s="47">
        <v>0</v>
      </c>
      <c r="AJ517" s="47">
        <v>0</v>
      </c>
      <c r="AK517" s="47">
        <v>0</v>
      </c>
      <c r="AL517" s="47">
        <v>0</v>
      </c>
      <c r="AM517" s="47">
        <v>0</v>
      </c>
      <c r="AN517" s="47">
        <v>0</v>
      </c>
      <c r="AO517" s="47">
        <v>0</v>
      </c>
      <c r="AP517" s="47">
        <v>0</v>
      </c>
      <c r="AQ517" s="47">
        <v>0</v>
      </c>
      <c r="AR517" s="47">
        <v>0</v>
      </c>
      <c r="AS517" s="47">
        <v>0</v>
      </c>
      <c r="AT517" s="47">
        <v>0</v>
      </c>
      <c r="AU517" s="47">
        <v>0</v>
      </c>
      <c r="AV517" s="47">
        <v>0</v>
      </c>
      <c r="AW517" s="47">
        <v>0</v>
      </c>
      <c r="AX517" s="47">
        <v>0</v>
      </c>
      <c r="AY517" s="47">
        <v>0</v>
      </c>
      <c r="AZ517" s="47">
        <v>0</v>
      </c>
      <c r="BA517" s="47">
        <v>0</v>
      </c>
      <c r="BB517" s="47">
        <v>0</v>
      </c>
      <c r="BC517" s="47">
        <v>0</v>
      </c>
      <c r="BD517" s="47">
        <v>0</v>
      </c>
      <c r="BE517" s="47">
        <v>0</v>
      </c>
      <c r="BF517" s="47">
        <v>0</v>
      </c>
      <c r="BG517" s="47">
        <v>0</v>
      </c>
      <c r="BH517" s="47">
        <v>0</v>
      </c>
      <c r="BI517" s="47">
        <v>0</v>
      </c>
      <c r="BJ517" s="47">
        <v>0</v>
      </c>
      <c r="BK517" s="47">
        <v>0</v>
      </c>
      <c r="BL517" s="47">
        <v>0</v>
      </c>
      <c r="BM517" s="47">
        <v>0</v>
      </c>
      <c r="BN517" s="47">
        <v>0</v>
      </c>
      <c r="BO517" s="47">
        <v>0</v>
      </c>
      <c r="BP517" s="47">
        <v>0</v>
      </c>
      <c r="BQ517" s="47">
        <v>0</v>
      </c>
      <c r="BR517" s="47">
        <v>0</v>
      </c>
      <c r="BS517" s="47">
        <v>0</v>
      </c>
      <c r="BT517" s="47">
        <v>0</v>
      </c>
      <c r="BU517" s="47">
        <v>0</v>
      </c>
      <c r="BV517" s="47">
        <v>0</v>
      </c>
      <c r="BW517" s="47">
        <v>0</v>
      </c>
      <c r="BX517" s="47">
        <v>0</v>
      </c>
      <c r="BY517" s="47">
        <v>0</v>
      </c>
      <c r="BZ517" s="47">
        <v>0</v>
      </c>
      <c r="CA517" s="47">
        <v>0</v>
      </c>
      <c r="CB517" s="47">
        <v>0</v>
      </c>
      <c r="CC517" s="47">
        <v>0</v>
      </c>
      <c r="CD517" s="47">
        <v>0</v>
      </c>
      <c r="CE517" s="47">
        <v>0</v>
      </c>
      <c r="CF517" s="47">
        <v>0</v>
      </c>
      <c r="CG517" s="47">
        <v>0</v>
      </c>
      <c r="CH517" s="47">
        <v>0</v>
      </c>
      <c r="CI517" s="47">
        <v>0</v>
      </c>
      <c r="CJ517" s="47">
        <v>0</v>
      </c>
      <c r="CK517" s="47">
        <v>0</v>
      </c>
      <c r="CL517" s="47">
        <v>0</v>
      </c>
      <c r="CM517" s="47">
        <v>0</v>
      </c>
      <c r="CN517" s="47">
        <v>0</v>
      </c>
      <c r="CO517" s="47">
        <v>0</v>
      </c>
      <c r="CP517" s="47">
        <v>0</v>
      </c>
      <c r="CQ517" s="47">
        <v>0</v>
      </c>
      <c r="CR517" s="47">
        <v>0</v>
      </c>
      <c r="CS517" s="47">
        <v>0</v>
      </c>
      <c r="CT517" s="47">
        <v>0</v>
      </c>
      <c r="CU517" s="47">
        <v>0</v>
      </c>
      <c r="CV517" s="47">
        <v>0</v>
      </c>
      <c r="CW517" s="47">
        <v>0</v>
      </c>
      <c r="CX517" s="47">
        <v>0</v>
      </c>
      <c r="CY517" s="47">
        <v>0</v>
      </c>
      <c r="CZ517" s="47">
        <v>0</v>
      </c>
      <c r="DA517" s="47">
        <v>0</v>
      </c>
      <c r="DB517" s="47">
        <v>0</v>
      </c>
      <c r="DC517" s="47">
        <v>0</v>
      </c>
      <c r="DD517" s="47">
        <v>0</v>
      </c>
      <c r="DE517" s="47">
        <v>0</v>
      </c>
      <c r="DF517" s="47">
        <v>0</v>
      </c>
      <c r="DG517" s="47">
        <v>0</v>
      </c>
      <c r="DH517" s="47">
        <v>0</v>
      </c>
      <c r="DI517" s="47">
        <v>0</v>
      </c>
      <c r="DJ517" s="47">
        <v>0</v>
      </c>
      <c r="DK517" s="47">
        <v>0</v>
      </c>
      <c r="DL517" s="47">
        <v>0</v>
      </c>
      <c r="DM517" s="47">
        <v>0</v>
      </c>
      <c r="DN517" s="47">
        <v>0</v>
      </c>
      <c r="DO517" s="47">
        <v>0</v>
      </c>
      <c r="DP517" s="47">
        <v>0</v>
      </c>
      <c r="DQ517" s="47">
        <v>0</v>
      </c>
      <c r="DR517" s="47">
        <v>0</v>
      </c>
      <c r="DS517" s="47">
        <v>0</v>
      </c>
      <c r="DT517" s="47">
        <v>0</v>
      </c>
    </row>
    <row r="518" spans="1:126" x14ac:dyDescent="0.25">
      <c r="A518" s="47" t="s">
        <v>2425</v>
      </c>
      <c r="B518" s="47" t="s">
        <v>153</v>
      </c>
      <c r="C518" s="47" t="s">
        <v>2426</v>
      </c>
      <c r="D518" s="47" t="s">
        <v>2427</v>
      </c>
      <c r="E518" s="47" t="s">
        <v>2428</v>
      </c>
      <c r="F518" s="47" t="s">
        <v>2429</v>
      </c>
      <c r="G518" s="47" t="s">
        <v>2430</v>
      </c>
      <c r="H518" s="47" t="str">
        <f>=IFERROR(VLOOKUP(A518,'ETPT Format DDG'!A:J,10,FALSE),"")</f>
        <v>0</v>
      </c>
      <c r="I518" s="47" t="str">
        <f>='ETPT Format DDG'!M518</f>
        <v/>
      </c>
      <c r="J518" s="47" t="str">
        <f>='ETPT Format DDG'!D518</f>
        <v/>
      </c>
      <c r="K518" s="47" t="s">
        <v>157</v>
      </c>
      <c r="L518" s="47" t="s">
        <v>175</v>
      </c>
      <c r="M518" s="47" t="s">
        <v>2431</v>
      </c>
      <c r="N518" s="47">
        <v>0.6347</v>
      </c>
      <c r="O518" s="47">
        <v>0.6347</v>
      </c>
      <c r="P518" s="47">
        <v>0.3174</v>
      </c>
      <c r="Q518" s="47">
        <v>0</v>
      </c>
      <c r="R518" s="47">
        <v>0.3174</v>
      </c>
      <c r="S518" s="47">
        <v>0</v>
      </c>
      <c r="T518" s="47">
        <v>0</v>
      </c>
      <c r="U518" s="47">
        <v>0.3174</v>
      </c>
      <c r="V518" s="47">
        <v>0</v>
      </c>
      <c r="W518" s="47">
        <v>0.3174</v>
      </c>
      <c r="X518" s="47">
        <v>0</v>
      </c>
      <c r="Y518" s="47">
        <v>0</v>
      </c>
      <c r="Z518" s="47">
        <v>0</v>
      </c>
      <c r="AA518" s="47">
        <v>0</v>
      </c>
      <c r="AB518" s="47">
        <v>0</v>
      </c>
      <c r="AC518" s="47">
        <v>0</v>
      </c>
      <c r="AD518" s="47">
        <v>0</v>
      </c>
      <c r="AE518" s="47">
        <v>0</v>
      </c>
      <c r="AF518" s="47">
        <v>0</v>
      </c>
      <c r="AG518" s="47">
        <v>0</v>
      </c>
      <c r="AH518" s="47">
        <v>0</v>
      </c>
      <c r="AI518" s="47">
        <v>0</v>
      </c>
      <c r="AJ518" s="47">
        <v>0</v>
      </c>
      <c r="AK518" s="47">
        <v>0</v>
      </c>
      <c r="AL518" s="47">
        <v>0</v>
      </c>
      <c r="AM518" s="47">
        <v>0</v>
      </c>
      <c r="AN518" s="47">
        <v>0</v>
      </c>
      <c r="AO518" s="47">
        <v>0</v>
      </c>
      <c r="AP518" s="47">
        <v>0</v>
      </c>
      <c r="AQ518" s="47">
        <v>0</v>
      </c>
      <c r="AR518" s="47">
        <v>0</v>
      </c>
      <c r="AS518" s="47">
        <v>0</v>
      </c>
      <c r="AT518" s="47">
        <v>0</v>
      </c>
      <c r="AU518" s="47">
        <v>0</v>
      </c>
      <c r="AV518" s="47">
        <v>0</v>
      </c>
      <c r="AW518" s="47">
        <v>0</v>
      </c>
      <c r="AX518" s="47">
        <v>0</v>
      </c>
      <c r="AY518" s="47">
        <v>0</v>
      </c>
      <c r="AZ518" s="47">
        <v>0</v>
      </c>
      <c r="BA518" s="47">
        <v>0</v>
      </c>
      <c r="BB518" s="47">
        <v>0</v>
      </c>
      <c r="BC518" s="47">
        <v>0</v>
      </c>
      <c r="BD518" s="47">
        <v>0</v>
      </c>
      <c r="BE518" s="47">
        <v>0</v>
      </c>
      <c r="BF518" s="47">
        <v>0</v>
      </c>
      <c r="BG518" s="47">
        <v>0</v>
      </c>
      <c r="BH518" s="47">
        <v>0</v>
      </c>
      <c r="BI518" s="47">
        <v>0</v>
      </c>
      <c r="BJ518" s="47">
        <v>0</v>
      </c>
      <c r="BK518" s="47">
        <v>0</v>
      </c>
      <c r="BL518" s="47">
        <v>0</v>
      </c>
      <c r="BM518" s="47">
        <v>0</v>
      </c>
      <c r="BN518" s="47">
        <v>0</v>
      </c>
      <c r="BO518" s="47">
        <v>0</v>
      </c>
      <c r="BP518" s="47">
        <v>0</v>
      </c>
      <c r="BQ518" s="47">
        <v>0</v>
      </c>
      <c r="BR518" s="47">
        <v>0</v>
      </c>
      <c r="BS518" s="47">
        <v>0</v>
      </c>
      <c r="BT518" s="47">
        <v>0</v>
      </c>
      <c r="BU518" s="47">
        <v>0</v>
      </c>
      <c r="BV518" s="47">
        <v>0</v>
      </c>
      <c r="BW518" s="47">
        <v>0</v>
      </c>
      <c r="BX518" s="47">
        <v>0</v>
      </c>
      <c r="BY518" s="47">
        <v>0</v>
      </c>
      <c r="BZ518" s="47">
        <v>0</v>
      </c>
      <c r="CA518" s="47">
        <v>0</v>
      </c>
      <c r="CB518" s="47">
        <v>0</v>
      </c>
      <c r="CC518" s="47">
        <v>0</v>
      </c>
      <c r="CD518" s="47">
        <v>0</v>
      </c>
      <c r="CE518" s="47">
        <v>0</v>
      </c>
      <c r="CF518" s="47">
        <v>0</v>
      </c>
      <c r="CG518" s="47">
        <v>0</v>
      </c>
      <c r="CH518" s="47">
        <v>0</v>
      </c>
      <c r="CI518" s="47">
        <v>0</v>
      </c>
      <c r="CJ518" s="47">
        <v>0</v>
      </c>
      <c r="CK518" s="47">
        <v>0</v>
      </c>
      <c r="CL518" s="47">
        <v>0</v>
      </c>
      <c r="CM518" s="47">
        <v>0</v>
      </c>
      <c r="CN518" s="47">
        <v>0</v>
      </c>
      <c r="CO518" s="47">
        <v>0</v>
      </c>
      <c r="CP518" s="47">
        <v>0</v>
      </c>
      <c r="CQ518" s="47">
        <v>0</v>
      </c>
      <c r="CR518" s="47">
        <v>0</v>
      </c>
      <c r="CS518" s="47">
        <v>0</v>
      </c>
      <c r="CT518" s="47">
        <v>0</v>
      </c>
      <c r="CU518" s="47">
        <v>0</v>
      </c>
      <c r="CV518" s="47">
        <v>0</v>
      </c>
      <c r="CW518" s="47">
        <v>0</v>
      </c>
      <c r="CX518" s="47">
        <v>0</v>
      </c>
      <c r="CY518" s="47">
        <v>0</v>
      </c>
      <c r="CZ518" s="47">
        <v>0</v>
      </c>
      <c r="DA518" s="47">
        <v>0</v>
      </c>
      <c r="DB518" s="47">
        <v>0</v>
      </c>
      <c r="DC518" s="47">
        <v>0</v>
      </c>
      <c r="DD518" s="47">
        <v>0</v>
      </c>
      <c r="DE518" s="47">
        <v>0</v>
      </c>
      <c r="DF518" s="47">
        <v>0</v>
      </c>
      <c r="DG518" s="47">
        <v>0</v>
      </c>
      <c r="DH518" s="47">
        <v>0</v>
      </c>
      <c r="DI518" s="47">
        <v>0</v>
      </c>
      <c r="DJ518" s="47">
        <v>0</v>
      </c>
      <c r="DK518" s="47">
        <v>0</v>
      </c>
      <c r="DL518" s="47">
        <v>0</v>
      </c>
      <c r="DM518" s="47">
        <v>0</v>
      </c>
      <c r="DN518" s="47">
        <v>0</v>
      </c>
      <c r="DO518" s="47">
        <v>0</v>
      </c>
      <c r="DP518" s="47">
        <v>0</v>
      </c>
      <c r="DQ518" s="47">
        <v>0</v>
      </c>
      <c r="DR518" s="47">
        <v>0</v>
      </c>
      <c r="DS518" s="47">
        <v>0</v>
      </c>
      <c r="DT518" s="47">
        <v>0</v>
      </c>
    </row>
    <row r="519" spans="1:126" x14ac:dyDescent="0.25">
      <c r="A519" s="47" t="s">
        <v>2432</v>
      </c>
      <c r="B519" s="47" t="s">
        <v>153</v>
      </c>
      <c r="C519" s="47" t="s">
        <v>2433</v>
      </c>
      <c r="D519" s="47" t="s">
        <v>2434</v>
      </c>
      <c r="E519" s="47" t="s">
        <v>2435</v>
      </c>
      <c r="F519" s="47" t="s">
        <v>2429</v>
      </c>
      <c r="G519" s="47" t="s">
        <v>2177</v>
      </c>
      <c r="H519" s="47" t="str">
        <f>=IFERROR(VLOOKUP(A519,'ETPT Format DDG'!A:J,10,FALSE),"")</f>
        <v>0</v>
      </c>
      <c r="I519" s="47" t="str">
        <f>='ETPT Format DDG'!M519</f>
        <v/>
      </c>
      <c r="J519" s="47" t="str">
        <f>='ETPT Format DDG'!D519</f>
        <v/>
      </c>
      <c r="K519" s="47" t="s">
        <v>157</v>
      </c>
      <c r="L519" s="47" t="s">
        <v>288</v>
      </c>
      <c r="M519" s="47"/>
      <c r="N519" s="47">
        <v>0.75</v>
      </c>
      <c r="O519" s="47">
        <v>0.75</v>
      </c>
      <c r="P519" s="47">
        <v>0</v>
      </c>
      <c r="Q519" s="47">
        <v>0</v>
      </c>
      <c r="R519" s="47">
        <v>0</v>
      </c>
      <c r="S519" s="47">
        <v>0</v>
      </c>
      <c r="T519" s="47">
        <v>0</v>
      </c>
      <c r="U519" s="47">
        <v>0</v>
      </c>
      <c r="V519" s="47">
        <v>0</v>
      </c>
      <c r="W519" s="47">
        <v>0</v>
      </c>
      <c r="X519" s="47">
        <v>0</v>
      </c>
      <c r="Y519" s="47">
        <v>0</v>
      </c>
      <c r="Z519" s="47">
        <v>0</v>
      </c>
      <c r="AA519" s="47">
        <v>0</v>
      </c>
      <c r="AB519" s="47">
        <v>0</v>
      </c>
      <c r="AC519" s="47">
        <v>0</v>
      </c>
      <c r="AD519" s="47">
        <v>0</v>
      </c>
      <c r="AE519" s="47">
        <v>0</v>
      </c>
      <c r="AF519" s="47">
        <v>0</v>
      </c>
      <c r="AG519" s="47">
        <v>0</v>
      </c>
      <c r="AH519" s="47">
        <v>0</v>
      </c>
      <c r="AI519" s="47">
        <v>0</v>
      </c>
      <c r="AJ519" s="47">
        <v>0</v>
      </c>
      <c r="AK519" s="47">
        <v>0</v>
      </c>
      <c r="AL519" s="47">
        <v>0</v>
      </c>
      <c r="AM519" s="47">
        <v>0</v>
      </c>
      <c r="AN519" s="47">
        <v>0.75</v>
      </c>
      <c r="AO519" s="47">
        <v>0.75</v>
      </c>
      <c r="AP519" s="47">
        <v>0</v>
      </c>
      <c r="AQ519" s="47">
        <v>0</v>
      </c>
      <c r="AR519" s="47">
        <v>0</v>
      </c>
      <c r="AS519" s="47">
        <v>0</v>
      </c>
      <c r="AT519" s="47">
        <v>0</v>
      </c>
      <c r="AU519" s="47">
        <v>0</v>
      </c>
      <c r="AV519" s="47">
        <v>0</v>
      </c>
      <c r="AW519" s="47">
        <v>0</v>
      </c>
      <c r="AX519" s="47">
        <v>0</v>
      </c>
      <c r="AY519" s="47">
        <v>0</v>
      </c>
      <c r="AZ519" s="47">
        <v>0</v>
      </c>
      <c r="BA519" s="47">
        <v>0</v>
      </c>
      <c r="BB519" s="47">
        <v>0</v>
      </c>
      <c r="BC519" s="47">
        <v>0</v>
      </c>
      <c r="BD519" s="47">
        <v>0</v>
      </c>
      <c r="BE519" s="47">
        <v>0</v>
      </c>
      <c r="BF519" s="47">
        <v>0</v>
      </c>
      <c r="BG519" s="47">
        <v>0</v>
      </c>
      <c r="BH519" s="47">
        <v>0</v>
      </c>
      <c r="BI519" s="47">
        <v>0</v>
      </c>
      <c r="BJ519" s="47">
        <v>0</v>
      </c>
      <c r="BK519" s="47">
        <v>0</v>
      </c>
      <c r="BL519" s="47">
        <v>0</v>
      </c>
      <c r="BM519" s="47">
        <v>0</v>
      </c>
      <c r="BN519" s="47">
        <v>0</v>
      </c>
      <c r="BO519" s="47">
        <v>0</v>
      </c>
      <c r="BP519" s="47">
        <v>0</v>
      </c>
      <c r="BQ519" s="47">
        <v>0</v>
      </c>
      <c r="BR519" s="47">
        <v>0</v>
      </c>
      <c r="BS519" s="47">
        <v>0</v>
      </c>
      <c r="BT519" s="47">
        <v>0</v>
      </c>
      <c r="BU519" s="47">
        <v>0</v>
      </c>
      <c r="BV519" s="47">
        <v>0</v>
      </c>
      <c r="BW519" s="47">
        <v>0</v>
      </c>
      <c r="BX519" s="47">
        <v>0</v>
      </c>
      <c r="BY519" s="47">
        <v>0</v>
      </c>
      <c r="BZ519" s="47">
        <v>0</v>
      </c>
      <c r="CA519" s="47">
        <v>0</v>
      </c>
      <c r="CB519" s="47">
        <v>0</v>
      </c>
      <c r="CC519" s="47">
        <v>0</v>
      </c>
      <c r="CD519" s="47">
        <v>0</v>
      </c>
      <c r="CE519" s="47">
        <v>0</v>
      </c>
      <c r="CF519" s="47">
        <v>0</v>
      </c>
      <c r="CG519" s="47">
        <v>0</v>
      </c>
      <c r="CH519" s="47">
        <v>0</v>
      </c>
      <c r="CI519" s="47">
        <v>0</v>
      </c>
      <c r="CJ519" s="47">
        <v>0</v>
      </c>
      <c r="CK519" s="47">
        <v>0</v>
      </c>
      <c r="CL519" s="47">
        <v>0</v>
      </c>
      <c r="CM519" s="47">
        <v>0</v>
      </c>
      <c r="CN519" s="47">
        <v>0</v>
      </c>
      <c r="CO519" s="47">
        <v>0</v>
      </c>
      <c r="CP519" s="47">
        <v>0</v>
      </c>
      <c r="CQ519" s="47">
        <v>0</v>
      </c>
      <c r="CR519" s="47">
        <v>0</v>
      </c>
      <c r="CS519" s="47">
        <v>0</v>
      </c>
      <c r="CT519" s="47">
        <v>0</v>
      </c>
      <c r="CU519" s="47">
        <v>0</v>
      </c>
      <c r="CV519" s="47">
        <v>0</v>
      </c>
      <c r="CW519" s="47">
        <v>0</v>
      </c>
      <c r="CX519" s="47">
        <v>0</v>
      </c>
      <c r="CY519" s="47">
        <v>0</v>
      </c>
      <c r="CZ519" s="47">
        <v>0</v>
      </c>
      <c r="DA519" s="47">
        <v>0</v>
      </c>
      <c r="DB519" s="47">
        <v>0</v>
      </c>
      <c r="DC519" s="47">
        <v>0</v>
      </c>
      <c r="DD519" s="47">
        <v>0</v>
      </c>
      <c r="DE519" s="47">
        <v>0</v>
      </c>
      <c r="DF519" s="47">
        <v>0</v>
      </c>
      <c r="DG519" s="47">
        <v>0</v>
      </c>
      <c r="DH519" s="47">
        <v>0</v>
      </c>
      <c r="DI519" s="47">
        <v>0</v>
      </c>
      <c r="DJ519" s="47">
        <v>0</v>
      </c>
      <c r="DK519" s="47">
        <v>0</v>
      </c>
      <c r="DL519" s="47">
        <v>0</v>
      </c>
      <c r="DM519" s="47">
        <v>0</v>
      </c>
      <c r="DN519" s="47">
        <v>0</v>
      </c>
      <c r="DO519" s="47">
        <v>0</v>
      </c>
      <c r="DP519" s="47">
        <v>0</v>
      </c>
      <c r="DQ519" s="47">
        <v>0</v>
      </c>
      <c r="DR519" s="47">
        <v>0</v>
      </c>
      <c r="DS519" s="47">
        <v>0</v>
      </c>
      <c r="DT519" s="47">
        <v>0</v>
      </c>
    </row>
    <row r="520" spans="1:126" x14ac:dyDescent="0.25">
      <c r="A520" s="47" t="s">
        <v>2436</v>
      </c>
      <c r="B520" s="47" t="s">
        <v>153</v>
      </c>
      <c r="C520" s="47" t="s">
        <v>2437</v>
      </c>
      <c r="D520" s="47" t="s">
        <v>2438</v>
      </c>
      <c r="E520" s="47" t="s">
        <v>2439</v>
      </c>
      <c r="F520" s="47" t="s">
        <v>2429</v>
      </c>
      <c r="G520" s="47" t="s">
        <v>1211</v>
      </c>
      <c r="H520" s="47" t="str">
        <f>=IFERROR(VLOOKUP(A520,'ETPT Format DDG'!A:J,10,FALSE),"")</f>
        <v>0</v>
      </c>
      <c r="I520" s="47" t="str">
        <f>='ETPT Format DDG'!M520</f>
        <v/>
      </c>
      <c r="J520" s="47" t="str">
        <f>='ETPT Format DDG'!D520</f>
        <v/>
      </c>
      <c r="K520" s="47" t="s">
        <v>157</v>
      </c>
      <c r="L520" s="47" t="s">
        <v>263</v>
      </c>
      <c r="M520" s="47"/>
      <c r="N520" s="47">
        <v>1</v>
      </c>
      <c r="O520" s="47">
        <v>1</v>
      </c>
      <c r="P520" s="47">
        <v>0</v>
      </c>
      <c r="Q520" s="47">
        <v>0</v>
      </c>
      <c r="R520" s="47">
        <v>0</v>
      </c>
      <c r="S520" s="47">
        <v>0</v>
      </c>
      <c r="T520" s="47">
        <v>0</v>
      </c>
      <c r="U520" s="47">
        <v>0</v>
      </c>
      <c r="V520" s="47">
        <v>0</v>
      </c>
      <c r="W520" s="47">
        <v>0</v>
      </c>
      <c r="X520" s="47">
        <v>0</v>
      </c>
      <c r="Y520" s="47">
        <v>0</v>
      </c>
      <c r="Z520" s="47">
        <v>0</v>
      </c>
      <c r="AA520" s="47">
        <v>0</v>
      </c>
      <c r="AB520" s="47">
        <v>0</v>
      </c>
      <c r="AC520" s="47">
        <v>0</v>
      </c>
      <c r="AD520" s="47">
        <v>0</v>
      </c>
      <c r="AE520" s="47">
        <v>0</v>
      </c>
      <c r="AF520" s="47">
        <v>0</v>
      </c>
      <c r="AG520" s="47">
        <v>0</v>
      </c>
      <c r="AH520" s="47">
        <v>0</v>
      </c>
      <c r="AI520" s="47">
        <v>0</v>
      </c>
      <c r="AJ520" s="47">
        <v>0</v>
      </c>
      <c r="AK520" s="47">
        <v>0</v>
      </c>
      <c r="AL520" s="47">
        <v>0</v>
      </c>
      <c r="AM520" s="47">
        <v>0</v>
      </c>
      <c r="AN520" s="47">
        <v>0</v>
      </c>
      <c r="AO520" s="47">
        <v>0</v>
      </c>
      <c r="AP520" s="47">
        <v>0</v>
      </c>
      <c r="AQ520" s="47">
        <v>0</v>
      </c>
      <c r="AR520" s="47">
        <v>0</v>
      </c>
      <c r="AS520" s="47">
        <v>0</v>
      </c>
      <c r="AT520" s="47">
        <v>0</v>
      </c>
      <c r="AU520" s="47">
        <v>0</v>
      </c>
      <c r="AV520" s="47">
        <v>0</v>
      </c>
      <c r="AW520" s="47">
        <v>0</v>
      </c>
      <c r="AX520" s="47">
        <v>0</v>
      </c>
      <c r="AY520" s="47">
        <v>0</v>
      </c>
      <c r="AZ520" s="47">
        <v>0</v>
      </c>
      <c r="BA520" s="47">
        <v>0</v>
      </c>
      <c r="BB520" s="47">
        <v>0</v>
      </c>
      <c r="BC520" s="47">
        <v>0</v>
      </c>
      <c r="BD520" s="47">
        <v>0</v>
      </c>
      <c r="BE520" s="47">
        <v>0</v>
      </c>
      <c r="BF520" s="47">
        <v>0</v>
      </c>
      <c r="BG520" s="47">
        <v>0</v>
      </c>
      <c r="BH520" s="47">
        <v>0</v>
      </c>
      <c r="BI520" s="47">
        <v>0</v>
      </c>
      <c r="BJ520" s="47">
        <v>0</v>
      </c>
      <c r="BK520" s="47">
        <v>0</v>
      </c>
      <c r="BL520" s="47">
        <v>0.3</v>
      </c>
      <c r="BM520" s="47">
        <v>0</v>
      </c>
      <c r="BN520" s="47">
        <v>0.3</v>
      </c>
      <c r="BO520" s="47">
        <v>0.5</v>
      </c>
      <c r="BP520" s="47">
        <v>0.5</v>
      </c>
      <c r="BQ520" s="47">
        <v>0</v>
      </c>
      <c r="BR520" s="47">
        <v>0</v>
      </c>
      <c r="BS520" s="47">
        <v>0</v>
      </c>
      <c r="BT520" s="47">
        <v>0</v>
      </c>
      <c r="BU520" s="47">
        <v>0</v>
      </c>
      <c r="BV520" s="47">
        <v>0</v>
      </c>
      <c r="BW520" s="47">
        <v>0</v>
      </c>
      <c r="BX520" s="47">
        <v>0</v>
      </c>
      <c r="BY520" s="47">
        <v>0</v>
      </c>
      <c r="BZ520" s="47">
        <v>0</v>
      </c>
      <c r="CA520" s="47">
        <v>0</v>
      </c>
      <c r="CB520" s="47">
        <v>0</v>
      </c>
      <c r="CC520" s="47">
        <v>0</v>
      </c>
      <c r="CD520" s="47">
        <v>0</v>
      </c>
      <c r="CE520" s="47">
        <v>0</v>
      </c>
      <c r="CF520" s="47">
        <v>0</v>
      </c>
      <c r="CG520" s="47">
        <v>0</v>
      </c>
      <c r="CH520" s="47">
        <v>0</v>
      </c>
      <c r="CI520" s="47">
        <v>0</v>
      </c>
      <c r="CJ520" s="47">
        <v>0</v>
      </c>
      <c r="CK520" s="47">
        <v>0</v>
      </c>
      <c r="CL520" s="47">
        <v>0</v>
      </c>
      <c r="CM520" s="47">
        <v>0</v>
      </c>
      <c r="CN520" s="47">
        <v>0</v>
      </c>
      <c r="CO520" s="47">
        <v>0</v>
      </c>
      <c r="CP520" s="47">
        <v>0</v>
      </c>
      <c r="CQ520" s="47">
        <v>0</v>
      </c>
      <c r="CR520" s="47">
        <v>0</v>
      </c>
      <c r="CS520" s="47">
        <v>0</v>
      </c>
      <c r="CT520" s="47">
        <v>0.2</v>
      </c>
      <c r="CU520" s="47">
        <v>0</v>
      </c>
      <c r="CV520" s="47">
        <v>0</v>
      </c>
      <c r="CW520" s="47">
        <v>0</v>
      </c>
      <c r="CX520" s="47">
        <v>0.2</v>
      </c>
      <c r="CY520" s="47">
        <v>0</v>
      </c>
      <c r="CZ520" s="47">
        <v>0</v>
      </c>
      <c r="DA520" s="47">
        <v>0</v>
      </c>
      <c r="DB520" s="47">
        <v>0</v>
      </c>
      <c r="DC520" s="47">
        <v>0</v>
      </c>
      <c r="DD520" s="47">
        <v>0</v>
      </c>
      <c r="DE520" s="47">
        <v>0</v>
      </c>
      <c r="DF520" s="47">
        <v>0</v>
      </c>
      <c r="DG520" s="47">
        <v>0</v>
      </c>
      <c r="DH520" s="47">
        <v>0</v>
      </c>
      <c r="DI520" s="47">
        <v>0</v>
      </c>
      <c r="DJ520" s="47">
        <v>0</v>
      </c>
      <c r="DK520" s="47">
        <v>0</v>
      </c>
      <c r="DL520" s="47">
        <v>0</v>
      </c>
      <c r="DM520" s="47">
        <v>0</v>
      </c>
      <c r="DN520" s="47">
        <v>0</v>
      </c>
      <c r="DO520" s="47">
        <v>0</v>
      </c>
      <c r="DP520" s="47">
        <v>0</v>
      </c>
      <c r="DQ520" s="47">
        <v>0</v>
      </c>
      <c r="DR520" s="47">
        <v>0</v>
      </c>
      <c r="DS520" s="47">
        <v>0</v>
      </c>
      <c r="DT520" s="47">
        <v>0</v>
      </c>
    </row>
    <row r="521" spans="1:126" x14ac:dyDescent="0.25">
      <c r="A521" s="47" t="s">
        <v>2440</v>
      </c>
      <c r="B521" s="47" t="s">
        <v>153</v>
      </c>
      <c r="C521" s="47" t="s">
        <v>2441</v>
      </c>
      <c r="D521" s="47" t="s">
        <v>2442</v>
      </c>
      <c r="E521" s="47" t="s">
        <v>2443</v>
      </c>
      <c r="F521" s="47" t="s">
        <v>2429</v>
      </c>
      <c r="G521" s="47" t="s">
        <v>2444</v>
      </c>
      <c r="H521" s="47" t="str">
        <f>=IFERROR(VLOOKUP(A521,'ETPT Format DDG'!A:J,10,FALSE),"")</f>
        <v>0</v>
      </c>
      <c r="I521" s="47" t="str">
        <f>='ETPT Format DDG'!M521</f>
        <v/>
      </c>
      <c r="J521" s="47" t="str">
        <f>='ETPT Format DDG'!D521</f>
        <v/>
      </c>
      <c r="K521" s="47" t="s">
        <v>157</v>
      </c>
      <c r="L521" s="47" t="s">
        <v>2445</v>
      </c>
      <c r="M521" s="47"/>
      <c r="N521" s="47">
        <v>1</v>
      </c>
      <c r="O521" s="47">
        <v>1</v>
      </c>
      <c r="P521" s="47">
        <v>0</v>
      </c>
      <c r="Q521" s="47">
        <v>0</v>
      </c>
      <c r="R521" s="47">
        <v>0</v>
      </c>
      <c r="S521" s="47">
        <v>0</v>
      </c>
      <c r="T521" s="47">
        <v>0</v>
      </c>
      <c r="U521" s="47">
        <v>0</v>
      </c>
      <c r="V521" s="47">
        <v>0</v>
      </c>
      <c r="W521" s="47">
        <v>0</v>
      </c>
      <c r="X521" s="47">
        <v>0</v>
      </c>
      <c r="Y521" s="47">
        <v>0</v>
      </c>
      <c r="Z521" s="47">
        <v>0</v>
      </c>
      <c r="AA521" s="47">
        <v>0</v>
      </c>
      <c r="AB521" s="47">
        <v>0</v>
      </c>
      <c r="AC521" s="47">
        <v>0</v>
      </c>
      <c r="AD521" s="47">
        <v>0</v>
      </c>
      <c r="AE521" s="47">
        <v>0</v>
      </c>
      <c r="AF521" s="47">
        <v>0</v>
      </c>
      <c r="AG521" s="47">
        <v>0</v>
      </c>
      <c r="AH521" s="47">
        <v>0</v>
      </c>
      <c r="AI521" s="47">
        <v>0</v>
      </c>
      <c r="AJ521" s="47">
        <v>0</v>
      </c>
      <c r="AK521" s="47">
        <v>0</v>
      </c>
      <c r="AL521" s="47">
        <v>0</v>
      </c>
      <c r="AM521" s="47">
        <v>0</v>
      </c>
      <c r="AN521" s="47">
        <v>0.4</v>
      </c>
      <c r="AO521" s="47">
        <v>0</v>
      </c>
      <c r="AP521" s="47">
        <v>0</v>
      </c>
      <c r="AQ521" s="47">
        <v>0</v>
      </c>
      <c r="AR521" s="47">
        <v>0</v>
      </c>
      <c r="AS521" s="47">
        <v>0</v>
      </c>
      <c r="AT521" s="47">
        <v>0</v>
      </c>
      <c r="AU521" s="47">
        <v>0.4</v>
      </c>
      <c r="AV521" s="47">
        <v>0</v>
      </c>
      <c r="AW521" s="47">
        <v>0</v>
      </c>
      <c r="AX521" s="47">
        <v>0</v>
      </c>
      <c r="AY521" s="47">
        <v>0</v>
      </c>
      <c r="AZ521" s="47">
        <v>0</v>
      </c>
      <c r="BA521" s="47">
        <v>0</v>
      </c>
      <c r="BB521" s="47">
        <v>0</v>
      </c>
      <c r="BC521" s="47">
        <v>0</v>
      </c>
      <c r="BD521" s="47">
        <v>0</v>
      </c>
      <c r="BE521" s="47">
        <v>0</v>
      </c>
      <c r="BF521" s="47">
        <v>0</v>
      </c>
      <c r="BG521" s="47">
        <v>0</v>
      </c>
      <c r="BH521" s="47">
        <v>0</v>
      </c>
      <c r="BI521" s="47">
        <v>0</v>
      </c>
      <c r="BJ521" s="47">
        <v>0</v>
      </c>
      <c r="BK521" s="47">
        <v>0</v>
      </c>
      <c r="BL521" s="47">
        <v>0</v>
      </c>
      <c r="BM521" s="47">
        <v>0</v>
      </c>
      <c r="BN521" s="47">
        <v>0</v>
      </c>
      <c r="BO521" s="47">
        <v>0</v>
      </c>
      <c r="BP521" s="47">
        <v>0</v>
      </c>
      <c r="BQ521" s="47">
        <v>0</v>
      </c>
      <c r="BR521" s="47">
        <v>0</v>
      </c>
      <c r="BS521" s="47">
        <v>0</v>
      </c>
      <c r="BT521" s="47">
        <v>0</v>
      </c>
      <c r="BU521" s="47">
        <v>0</v>
      </c>
      <c r="BV521" s="47">
        <v>0</v>
      </c>
      <c r="BW521" s="47">
        <v>0</v>
      </c>
      <c r="BX521" s="47">
        <v>0</v>
      </c>
      <c r="BY521" s="47">
        <v>0</v>
      </c>
      <c r="BZ521" s="47">
        <v>0</v>
      </c>
      <c r="CA521" s="47">
        <v>0</v>
      </c>
      <c r="CB521" s="47">
        <v>0</v>
      </c>
      <c r="CC521" s="47">
        <v>0</v>
      </c>
      <c r="CD521" s="47">
        <v>0</v>
      </c>
      <c r="CE521" s="47">
        <v>0</v>
      </c>
      <c r="CF521" s="47">
        <v>0.5</v>
      </c>
      <c r="CG521" s="47">
        <v>0.5</v>
      </c>
      <c r="CH521" s="47">
        <v>0</v>
      </c>
      <c r="CI521" s="47">
        <v>0</v>
      </c>
      <c r="CJ521" s="47">
        <v>0</v>
      </c>
      <c r="CK521" s="47">
        <v>0</v>
      </c>
      <c r="CL521" s="47">
        <v>0</v>
      </c>
      <c r="CM521" s="47">
        <v>0</v>
      </c>
      <c r="CN521" s="47">
        <v>0</v>
      </c>
      <c r="CO521" s="47">
        <v>0</v>
      </c>
      <c r="CP521" s="47">
        <v>0</v>
      </c>
      <c r="CQ521" s="47">
        <v>0</v>
      </c>
      <c r="CR521" s="47">
        <v>0</v>
      </c>
      <c r="CS521" s="47">
        <v>0</v>
      </c>
      <c r="CT521" s="47">
        <v>0.1</v>
      </c>
      <c r="CU521" s="47">
        <v>0.1</v>
      </c>
      <c r="CV521" s="47">
        <v>0</v>
      </c>
      <c r="CW521" s="47">
        <v>0</v>
      </c>
      <c r="CX521" s="47">
        <v>0</v>
      </c>
      <c r="CY521" s="47">
        <v>0</v>
      </c>
      <c r="CZ521" s="47">
        <v>0</v>
      </c>
      <c r="DA521" s="47">
        <v>0</v>
      </c>
      <c r="DB521" s="47">
        <v>0</v>
      </c>
      <c r="DC521" s="47">
        <v>0</v>
      </c>
      <c r="DD521" s="47">
        <v>0</v>
      </c>
      <c r="DE521" s="47">
        <v>0</v>
      </c>
      <c r="DF521" s="47">
        <v>0</v>
      </c>
      <c r="DG521" s="47">
        <v>0</v>
      </c>
      <c r="DH521" s="47">
        <v>0</v>
      </c>
      <c r="DI521" s="47">
        <v>0</v>
      </c>
      <c r="DJ521" s="47">
        <v>0</v>
      </c>
      <c r="DK521" s="47">
        <v>0</v>
      </c>
      <c r="DL521" s="47">
        <v>0</v>
      </c>
      <c r="DM521" s="47">
        <v>0</v>
      </c>
      <c r="DN521" s="47">
        <v>0</v>
      </c>
      <c r="DO521" s="47">
        <v>0</v>
      </c>
      <c r="DP521" s="47">
        <v>0</v>
      </c>
      <c r="DQ521" s="47">
        <v>0</v>
      </c>
      <c r="DR521" s="47">
        <v>0</v>
      </c>
      <c r="DS521" s="47">
        <v>0</v>
      </c>
      <c r="DT521" s="47">
        <v>0</v>
      </c>
    </row>
    <row r="522" spans="1:126" x14ac:dyDescent="0.25">
      <c r="A522" s="47" t="s">
        <v>2446</v>
      </c>
      <c r="B522" s="47" t="s">
        <v>153</v>
      </c>
      <c r="C522" s="47" t="s">
        <v>2447</v>
      </c>
      <c r="D522" s="47" t="s">
        <v>2448</v>
      </c>
      <c r="E522" s="47" t="s">
        <v>2449</v>
      </c>
      <c r="F522" s="47" t="s">
        <v>2429</v>
      </c>
      <c r="G522" s="47" t="s">
        <v>1211</v>
      </c>
      <c r="H522" s="47" t="str">
        <f>=IFERROR(VLOOKUP(A522,'ETPT Format DDG'!A:J,10,FALSE),"")</f>
        <v>0</v>
      </c>
      <c r="I522" s="47" t="str">
        <f>='ETPT Format DDG'!M522</f>
        <v/>
      </c>
      <c r="J522" s="47" t="str">
        <f>='ETPT Format DDG'!D522</f>
        <v/>
      </c>
      <c r="K522" s="47" t="s">
        <v>157</v>
      </c>
      <c r="L522" s="47" t="s">
        <v>175</v>
      </c>
      <c r="M522" s="47"/>
      <c r="N522" s="47">
        <v>1</v>
      </c>
      <c r="O522" s="47">
        <v>1</v>
      </c>
      <c r="P522" s="47">
        <v>0.8</v>
      </c>
      <c r="Q522" s="47">
        <v>0.8</v>
      </c>
      <c r="R522" s="47">
        <v>0</v>
      </c>
      <c r="S522" s="47">
        <v>0</v>
      </c>
      <c r="T522" s="47">
        <v>0</v>
      </c>
      <c r="U522" s="47">
        <v>0</v>
      </c>
      <c r="V522" s="47">
        <v>0</v>
      </c>
      <c r="W522" s="47">
        <v>0</v>
      </c>
      <c r="X522" s="47">
        <v>0</v>
      </c>
      <c r="Y522" s="47">
        <v>0</v>
      </c>
      <c r="Z522" s="47">
        <v>0</v>
      </c>
      <c r="AA522" s="47">
        <v>0</v>
      </c>
      <c r="AB522" s="47">
        <v>0</v>
      </c>
      <c r="AC522" s="47">
        <v>0</v>
      </c>
      <c r="AD522" s="47">
        <v>0</v>
      </c>
      <c r="AE522" s="47">
        <v>0</v>
      </c>
      <c r="AF522" s="47">
        <v>0</v>
      </c>
      <c r="AG522" s="47">
        <v>0</v>
      </c>
      <c r="AH522" s="47">
        <v>0</v>
      </c>
      <c r="AI522" s="47">
        <v>0</v>
      </c>
      <c r="AJ522" s="47">
        <v>0</v>
      </c>
      <c r="AK522" s="47">
        <v>0</v>
      </c>
      <c r="AL522" s="47">
        <v>0</v>
      </c>
      <c r="AM522" s="47">
        <v>0</v>
      </c>
      <c r="AN522" s="47">
        <v>0</v>
      </c>
      <c r="AO522" s="47">
        <v>0</v>
      </c>
      <c r="AP522" s="47">
        <v>0</v>
      </c>
      <c r="AQ522" s="47">
        <v>0</v>
      </c>
      <c r="AR522" s="47">
        <v>0</v>
      </c>
      <c r="AS522" s="47">
        <v>0</v>
      </c>
      <c r="AT522" s="47">
        <v>0</v>
      </c>
      <c r="AU522" s="47">
        <v>0</v>
      </c>
      <c r="AV522" s="47">
        <v>0</v>
      </c>
      <c r="AW522" s="47">
        <v>0</v>
      </c>
      <c r="AX522" s="47">
        <v>0</v>
      </c>
      <c r="AY522" s="47">
        <v>0</v>
      </c>
      <c r="AZ522" s="47">
        <v>0</v>
      </c>
      <c r="BA522" s="47">
        <v>0</v>
      </c>
      <c r="BB522" s="47">
        <v>0</v>
      </c>
      <c r="BC522" s="47">
        <v>0</v>
      </c>
      <c r="BD522" s="47">
        <v>0</v>
      </c>
      <c r="BE522" s="47">
        <v>0</v>
      </c>
      <c r="BF522" s="47">
        <v>0</v>
      </c>
      <c r="BG522" s="47">
        <v>0</v>
      </c>
      <c r="BH522" s="47">
        <v>0</v>
      </c>
      <c r="BI522" s="47">
        <v>0</v>
      </c>
      <c r="BJ522" s="47">
        <v>0</v>
      </c>
      <c r="BK522" s="47">
        <v>0</v>
      </c>
      <c r="BL522" s="47">
        <v>0</v>
      </c>
      <c r="BM522" s="47">
        <v>0</v>
      </c>
      <c r="BN522" s="47">
        <v>0</v>
      </c>
      <c r="BO522" s="47">
        <v>0</v>
      </c>
      <c r="BP522" s="47">
        <v>0</v>
      </c>
      <c r="BQ522" s="47">
        <v>0</v>
      </c>
      <c r="BR522" s="47">
        <v>0</v>
      </c>
      <c r="BS522" s="47">
        <v>0</v>
      </c>
      <c r="BT522" s="47">
        <v>0</v>
      </c>
      <c r="BU522" s="47">
        <v>0</v>
      </c>
      <c r="BV522" s="47">
        <v>0</v>
      </c>
      <c r="BW522" s="47">
        <v>0</v>
      </c>
      <c r="BX522" s="47">
        <v>0</v>
      </c>
      <c r="BY522" s="47">
        <v>0</v>
      </c>
      <c r="BZ522" s="47">
        <v>0</v>
      </c>
      <c r="CA522" s="47">
        <v>0</v>
      </c>
      <c r="CB522" s="47">
        <v>0</v>
      </c>
      <c r="CC522" s="47">
        <v>0</v>
      </c>
      <c r="CD522" s="47">
        <v>0</v>
      </c>
      <c r="CE522" s="47">
        <v>0</v>
      </c>
      <c r="CF522" s="47">
        <v>0</v>
      </c>
      <c r="CG522" s="47">
        <v>0</v>
      </c>
      <c r="CH522" s="47">
        <v>0</v>
      </c>
      <c r="CI522" s="47">
        <v>0</v>
      </c>
      <c r="CJ522" s="47">
        <v>0</v>
      </c>
      <c r="CK522" s="47">
        <v>0</v>
      </c>
      <c r="CL522" s="47">
        <v>0</v>
      </c>
      <c r="CM522" s="47">
        <v>0</v>
      </c>
      <c r="CN522" s="47">
        <v>0</v>
      </c>
      <c r="CO522" s="47">
        <v>0</v>
      </c>
      <c r="CP522" s="47">
        <v>0</v>
      </c>
      <c r="CQ522" s="47">
        <v>0</v>
      </c>
      <c r="CR522" s="47">
        <v>0</v>
      </c>
      <c r="CS522" s="47">
        <v>0</v>
      </c>
      <c r="CT522" s="47">
        <v>0.2</v>
      </c>
      <c r="CU522" s="47">
        <v>0</v>
      </c>
      <c r="CV522" s="47">
        <v>0.2</v>
      </c>
      <c r="CW522" s="47">
        <v>0</v>
      </c>
      <c r="CX522" s="47">
        <v>0</v>
      </c>
      <c r="CY522" s="47">
        <v>0</v>
      </c>
      <c r="CZ522" s="47">
        <v>0</v>
      </c>
      <c r="DA522" s="47">
        <v>0</v>
      </c>
      <c r="DB522" s="47">
        <v>0</v>
      </c>
      <c r="DC522" s="47">
        <v>0</v>
      </c>
      <c r="DD522" s="47">
        <v>0</v>
      </c>
      <c r="DE522" s="47">
        <v>0</v>
      </c>
      <c r="DF522" s="47">
        <v>0</v>
      </c>
      <c r="DG522" s="47">
        <v>0</v>
      </c>
      <c r="DH522" s="47">
        <v>0</v>
      </c>
      <c r="DI522" s="47">
        <v>0</v>
      </c>
      <c r="DJ522" s="47">
        <v>0</v>
      </c>
      <c r="DK522" s="47">
        <v>0</v>
      </c>
      <c r="DL522" s="47">
        <v>0</v>
      </c>
      <c r="DM522" s="47">
        <v>0</v>
      </c>
      <c r="DN522" s="47">
        <v>0</v>
      </c>
      <c r="DO522" s="47">
        <v>0</v>
      </c>
      <c r="DP522" s="47">
        <v>0</v>
      </c>
      <c r="DQ522" s="47">
        <v>0</v>
      </c>
      <c r="DR522" s="47">
        <v>0</v>
      </c>
      <c r="DS522" s="47">
        <v>0</v>
      </c>
      <c r="DT522" s="47">
        <v>0</v>
      </c>
    </row>
    <row r="523" spans="1:126" x14ac:dyDescent="0.25">
      <c r="A523" s="47" t="s">
        <v>2450</v>
      </c>
      <c r="B523" s="47" t="s">
        <v>153</v>
      </c>
      <c r="C523" s="47" t="s">
        <v>2451</v>
      </c>
      <c r="D523" s="47" t="s">
        <v>2452</v>
      </c>
      <c r="E523" s="47" t="s">
        <v>2453</v>
      </c>
      <c r="F523" s="47" t="s">
        <v>2429</v>
      </c>
      <c r="G523" s="47" t="s">
        <v>1252</v>
      </c>
      <c r="H523" s="47" t="str">
        <f>=IFERROR(VLOOKUP(A523,'ETPT Format DDG'!A:J,10,FALSE),"")</f>
        <v>0</v>
      </c>
      <c r="I523" s="47" t="str">
        <f>='ETPT Format DDG'!M523</f>
        <v/>
      </c>
      <c r="J523" s="47" t="str">
        <f>='ETPT Format DDG'!D523</f>
        <v/>
      </c>
      <c r="K523" s="47" t="s">
        <v>157</v>
      </c>
      <c r="L523" s="47" t="s">
        <v>2454</v>
      </c>
      <c r="M523" s="47"/>
      <c r="N523" s="47">
        <v>0.2831</v>
      </c>
      <c r="O523" s="47">
        <v>0.2831</v>
      </c>
      <c r="P523" s="47">
        <v>0</v>
      </c>
      <c r="Q523" s="47">
        <v>0</v>
      </c>
      <c r="R523" s="47">
        <v>0</v>
      </c>
      <c r="S523" s="47">
        <v>0</v>
      </c>
      <c r="T523" s="47">
        <v>0</v>
      </c>
      <c r="U523" s="47">
        <v>0</v>
      </c>
      <c r="V523" s="47">
        <v>0</v>
      </c>
      <c r="W523" s="47">
        <v>0</v>
      </c>
      <c r="X523" s="47">
        <v>0</v>
      </c>
      <c r="Y523" s="47">
        <v>0</v>
      </c>
      <c r="Z523" s="47">
        <v>0</v>
      </c>
      <c r="AA523" s="47">
        <v>0</v>
      </c>
      <c r="AB523" s="47">
        <v>0</v>
      </c>
      <c r="AC523" s="47">
        <v>0</v>
      </c>
      <c r="AD523" s="47">
        <v>0</v>
      </c>
      <c r="AE523" s="47">
        <v>0</v>
      </c>
      <c r="AF523" s="47">
        <v>0</v>
      </c>
      <c r="AG523" s="47">
        <v>0</v>
      </c>
      <c r="AH523" s="47">
        <v>0</v>
      </c>
      <c r="AI523" s="47">
        <v>0</v>
      </c>
      <c r="AJ523" s="47">
        <v>0</v>
      </c>
      <c r="AK523" s="47">
        <v>0</v>
      </c>
      <c r="AL523" s="47">
        <v>0</v>
      </c>
      <c r="AM523" s="47">
        <v>0</v>
      </c>
      <c r="AN523" s="47">
        <v>0.2831</v>
      </c>
      <c r="AO523" s="47">
        <v>0</v>
      </c>
      <c r="AP523" s="47">
        <v>0.2831</v>
      </c>
      <c r="AQ523" s="47">
        <v>0</v>
      </c>
      <c r="AR523" s="47">
        <v>0</v>
      </c>
      <c r="AS523" s="47">
        <v>0</v>
      </c>
      <c r="AT523" s="47">
        <v>0</v>
      </c>
      <c r="AU523" s="47">
        <v>0</v>
      </c>
      <c r="AV523" s="47">
        <v>0</v>
      </c>
      <c r="AW523" s="47">
        <v>0</v>
      </c>
      <c r="AX523" s="47">
        <v>0</v>
      </c>
      <c r="AY523" s="47">
        <v>0</v>
      </c>
      <c r="AZ523" s="47">
        <v>0</v>
      </c>
      <c r="BA523" s="47">
        <v>0</v>
      </c>
      <c r="BB523" s="47">
        <v>0</v>
      </c>
      <c r="BC523" s="47">
        <v>0</v>
      </c>
      <c r="BD523" s="47">
        <v>0</v>
      </c>
      <c r="BE523" s="47">
        <v>0</v>
      </c>
      <c r="BF523" s="47">
        <v>0</v>
      </c>
      <c r="BG523" s="47">
        <v>0</v>
      </c>
      <c r="BH523" s="47">
        <v>0</v>
      </c>
      <c r="BI523" s="47">
        <v>0</v>
      </c>
      <c r="BJ523" s="47">
        <v>0</v>
      </c>
      <c r="BK523" s="47">
        <v>0</v>
      </c>
      <c r="BL523" s="47">
        <v>0</v>
      </c>
      <c r="BM523" s="47">
        <v>0</v>
      </c>
      <c r="BN523" s="47">
        <v>0</v>
      </c>
      <c r="BO523" s="47">
        <v>0</v>
      </c>
      <c r="BP523" s="47">
        <v>0</v>
      </c>
      <c r="BQ523" s="47">
        <v>0</v>
      </c>
      <c r="BR523" s="47">
        <v>0</v>
      </c>
      <c r="BS523" s="47">
        <v>0</v>
      </c>
      <c r="BT523" s="47">
        <v>0</v>
      </c>
      <c r="BU523" s="47">
        <v>0</v>
      </c>
      <c r="BV523" s="47">
        <v>0</v>
      </c>
      <c r="BW523" s="47">
        <v>0</v>
      </c>
      <c r="BX523" s="47">
        <v>0</v>
      </c>
      <c r="BY523" s="47">
        <v>0</v>
      </c>
      <c r="BZ523" s="47">
        <v>0</v>
      </c>
      <c r="CA523" s="47">
        <v>0</v>
      </c>
      <c r="CB523" s="47">
        <v>0</v>
      </c>
      <c r="CC523" s="47">
        <v>0</v>
      </c>
      <c r="CD523" s="47">
        <v>0</v>
      </c>
      <c r="CE523" s="47">
        <v>0</v>
      </c>
      <c r="CF523" s="47">
        <v>0</v>
      </c>
      <c r="CG523" s="47">
        <v>0</v>
      </c>
      <c r="CH523" s="47">
        <v>0</v>
      </c>
      <c r="CI523" s="47">
        <v>0</v>
      </c>
      <c r="CJ523" s="47">
        <v>0</v>
      </c>
      <c r="CK523" s="47">
        <v>0</v>
      </c>
      <c r="CL523" s="47">
        <v>0</v>
      </c>
      <c r="CM523" s="47">
        <v>0</v>
      </c>
      <c r="CN523" s="47">
        <v>0</v>
      </c>
      <c r="CO523" s="47">
        <v>0</v>
      </c>
      <c r="CP523" s="47">
        <v>0</v>
      </c>
      <c r="CQ523" s="47">
        <v>0</v>
      </c>
      <c r="CR523" s="47">
        <v>0</v>
      </c>
      <c r="CS523" s="47">
        <v>0</v>
      </c>
      <c r="CT523" s="47">
        <v>0</v>
      </c>
      <c r="CU523" s="47">
        <v>0</v>
      </c>
      <c r="CV523" s="47">
        <v>0</v>
      </c>
      <c r="CW523" s="47">
        <v>0</v>
      </c>
      <c r="CX523" s="47">
        <v>0</v>
      </c>
      <c r="CY523" s="47">
        <v>0</v>
      </c>
      <c r="CZ523" s="47">
        <v>0</v>
      </c>
      <c r="DA523" s="47">
        <v>0</v>
      </c>
      <c r="DB523" s="47">
        <v>0</v>
      </c>
      <c r="DC523" s="47">
        <v>0</v>
      </c>
      <c r="DD523" s="47">
        <v>0</v>
      </c>
      <c r="DE523" s="47">
        <v>0</v>
      </c>
      <c r="DF523" s="47">
        <v>0</v>
      </c>
      <c r="DG523" s="47">
        <v>0</v>
      </c>
      <c r="DH523" s="47">
        <v>0</v>
      </c>
      <c r="DI523" s="47">
        <v>0</v>
      </c>
      <c r="DJ523" s="47">
        <v>0</v>
      </c>
      <c r="DK523" s="47">
        <v>0</v>
      </c>
      <c r="DL523" s="47">
        <v>0</v>
      </c>
      <c r="DM523" s="47">
        <v>0</v>
      </c>
      <c r="DN523" s="47">
        <v>0</v>
      </c>
      <c r="DO523" s="47">
        <v>0</v>
      </c>
      <c r="DP523" s="47">
        <v>0</v>
      </c>
      <c r="DQ523" s="47">
        <v>0</v>
      </c>
      <c r="DR523" s="47">
        <v>0</v>
      </c>
      <c r="DS523" s="47">
        <v>0</v>
      </c>
      <c r="DT523" s="47">
        <v>0</v>
      </c>
    </row>
    <row r="524" spans="1:126" x14ac:dyDescent="0.25">
      <c r="A524" s="47" t="s">
        <v>2455</v>
      </c>
      <c r="B524" s="47" t="s">
        <v>153</v>
      </c>
      <c r="C524" s="47" t="s">
        <v>2456</v>
      </c>
      <c r="D524" s="47" t="s">
        <v>2457</v>
      </c>
      <c r="E524" s="47" t="s">
        <v>2458</v>
      </c>
      <c r="F524" s="47" t="s">
        <v>2429</v>
      </c>
      <c r="G524" s="47" t="s">
        <v>2459</v>
      </c>
      <c r="H524" s="47" t="str">
        <f>=IFERROR(VLOOKUP(A524,'ETPT Format DDG'!A:J,10,FALSE),"")</f>
        <v>0</v>
      </c>
      <c r="I524" s="47" t="str">
        <f>='ETPT Format DDG'!M524</f>
        <v/>
      </c>
      <c r="J524" s="47" t="str">
        <f>='ETPT Format DDG'!D524</f>
        <v/>
      </c>
      <c r="K524" s="47" t="s">
        <v>157</v>
      </c>
      <c r="L524" s="47" t="s">
        <v>263</v>
      </c>
      <c r="M524" s="47"/>
      <c r="N524" s="47">
        <v>0.8886</v>
      </c>
      <c r="O524" s="47">
        <v>0.8886</v>
      </c>
      <c r="P524" s="47">
        <v>0</v>
      </c>
      <c r="Q524" s="47">
        <v>0</v>
      </c>
      <c r="R524" s="47">
        <v>0</v>
      </c>
      <c r="S524" s="47">
        <v>0</v>
      </c>
      <c r="T524" s="47">
        <v>0</v>
      </c>
      <c r="U524" s="47">
        <v>0.1777</v>
      </c>
      <c r="V524" s="47">
        <v>0.1777</v>
      </c>
      <c r="W524" s="47">
        <v>0</v>
      </c>
      <c r="X524" s="47">
        <v>0</v>
      </c>
      <c r="Y524" s="47">
        <v>0</v>
      </c>
      <c r="Z524" s="47">
        <v>0</v>
      </c>
      <c r="AA524" s="47">
        <v>0</v>
      </c>
      <c r="AB524" s="47">
        <v>0</v>
      </c>
      <c r="AC524" s="47">
        <v>0</v>
      </c>
      <c r="AD524" s="47">
        <v>0</v>
      </c>
      <c r="AE524" s="47">
        <v>0.7109</v>
      </c>
      <c r="AF524" s="47">
        <v>0</v>
      </c>
      <c r="AG524" s="47">
        <v>0.7109</v>
      </c>
      <c r="AH524" s="47">
        <v>0</v>
      </c>
      <c r="AI524" s="47">
        <v>0</v>
      </c>
      <c r="AJ524" s="47">
        <v>0</v>
      </c>
      <c r="AK524" s="47">
        <v>0</v>
      </c>
      <c r="AL524" s="47">
        <v>0</v>
      </c>
      <c r="AM524" s="47">
        <v>0</v>
      </c>
      <c r="AN524" s="47">
        <v>0</v>
      </c>
      <c r="AO524" s="47">
        <v>0</v>
      </c>
      <c r="AP524" s="47">
        <v>0</v>
      </c>
      <c r="AQ524" s="47">
        <v>0</v>
      </c>
      <c r="AR524" s="47">
        <v>0</v>
      </c>
      <c r="AS524" s="47">
        <v>0</v>
      </c>
      <c r="AT524" s="47">
        <v>0</v>
      </c>
      <c r="AU524" s="47">
        <v>0</v>
      </c>
      <c r="AV524" s="47">
        <v>0</v>
      </c>
      <c r="AW524" s="47">
        <v>0</v>
      </c>
      <c r="AX524" s="47">
        <v>0</v>
      </c>
      <c r="AY524" s="47">
        <v>0</v>
      </c>
      <c r="AZ524" s="47">
        <v>0</v>
      </c>
      <c r="BA524" s="47">
        <v>0</v>
      </c>
      <c r="BB524" s="47">
        <v>0</v>
      </c>
      <c r="BC524" s="47">
        <v>0</v>
      </c>
      <c r="BD524" s="47">
        <v>0</v>
      </c>
      <c r="BE524" s="47">
        <v>0</v>
      </c>
      <c r="BF524" s="47">
        <v>0</v>
      </c>
      <c r="BG524" s="47">
        <v>0</v>
      </c>
      <c r="BH524" s="47">
        <v>0</v>
      </c>
      <c r="BI524" s="47">
        <v>0</v>
      </c>
      <c r="BJ524" s="47">
        <v>0</v>
      </c>
      <c r="BK524" s="47">
        <v>0</v>
      </c>
      <c r="BL524" s="47">
        <v>0</v>
      </c>
      <c r="BM524" s="47">
        <v>0</v>
      </c>
      <c r="BN524" s="47">
        <v>0</v>
      </c>
      <c r="BO524" s="47">
        <v>0</v>
      </c>
      <c r="BP524" s="47">
        <v>0</v>
      </c>
      <c r="BQ524" s="47">
        <v>0</v>
      </c>
      <c r="BR524" s="47">
        <v>0</v>
      </c>
      <c r="BS524" s="47">
        <v>0</v>
      </c>
      <c r="BT524" s="47">
        <v>0</v>
      </c>
      <c r="BU524" s="47">
        <v>0</v>
      </c>
      <c r="BV524" s="47">
        <v>0</v>
      </c>
      <c r="BW524" s="47">
        <v>0</v>
      </c>
      <c r="BX524" s="47">
        <v>0</v>
      </c>
      <c r="BY524" s="47">
        <v>0</v>
      </c>
      <c r="BZ524" s="47">
        <v>0</v>
      </c>
      <c r="CA524" s="47">
        <v>0</v>
      </c>
      <c r="CB524" s="47">
        <v>0</v>
      </c>
      <c r="CC524" s="47">
        <v>0</v>
      </c>
      <c r="CD524" s="47">
        <v>0</v>
      </c>
      <c r="CE524" s="47">
        <v>0</v>
      </c>
      <c r="CF524" s="47">
        <v>0</v>
      </c>
      <c r="CG524" s="47">
        <v>0</v>
      </c>
      <c r="CH524" s="47">
        <v>0</v>
      </c>
      <c r="CI524" s="47">
        <v>0</v>
      </c>
      <c r="CJ524" s="47">
        <v>0</v>
      </c>
      <c r="CK524" s="47">
        <v>0</v>
      </c>
      <c r="CL524" s="47">
        <v>0</v>
      </c>
      <c r="CM524" s="47">
        <v>0</v>
      </c>
      <c r="CN524" s="47">
        <v>0</v>
      </c>
      <c r="CO524" s="47">
        <v>0</v>
      </c>
      <c r="CP524" s="47">
        <v>0</v>
      </c>
      <c r="CQ524" s="47">
        <v>0</v>
      </c>
      <c r="CR524" s="47">
        <v>0</v>
      </c>
      <c r="CS524" s="47">
        <v>0</v>
      </c>
      <c r="CT524" s="47">
        <v>0</v>
      </c>
      <c r="CU524" s="47">
        <v>0</v>
      </c>
      <c r="CV524" s="47">
        <v>0</v>
      </c>
      <c r="CW524" s="47">
        <v>0</v>
      </c>
      <c r="CX524" s="47">
        <v>0</v>
      </c>
      <c r="CY524" s="47">
        <v>0</v>
      </c>
      <c r="CZ524" s="47">
        <v>0</v>
      </c>
      <c r="DA524" s="47">
        <v>0</v>
      </c>
      <c r="DB524" s="47">
        <v>0</v>
      </c>
      <c r="DC524" s="47">
        <v>0</v>
      </c>
      <c r="DD524" s="47">
        <v>0</v>
      </c>
      <c r="DE524" s="47">
        <v>0</v>
      </c>
      <c r="DF524" s="47">
        <v>0</v>
      </c>
      <c r="DG524" s="47">
        <v>0</v>
      </c>
      <c r="DH524" s="47">
        <v>0</v>
      </c>
      <c r="DI524" s="47">
        <v>0</v>
      </c>
      <c r="DJ524" s="47">
        <v>0</v>
      </c>
      <c r="DK524" s="47">
        <v>0</v>
      </c>
      <c r="DL524" s="47">
        <v>0</v>
      </c>
      <c r="DM524" s="47">
        <v>0</v>
      </c>
      <c r="DN524" s="47">
        <v>0</v>
      </c>
      <c r="DO524" s="47">
        <v>0</v>
      </c>
      <c r="DP524" s="47">
        <v>0</v>
      </c>
      <c r="DQ524" s="47">
        <v>0</v>
      </c>
      <c r="DR524" s="47">
        <v>0</v>
      </c>
      <c r="DS524" s="47">
        <v>0</v>
      </c>
      <c r="DT524" s="47">
        <v>0</v>
      </c>
    </row>
    <row r="525" spans="1:2" x14ac:dyDescent="0.25">
      <c r="B525" s="48"/>
    </row>
    <row r="527" spans="1:3" x14ac:dyDescent="0.25">
      <c r="A527" s="49"/>
      <c r="B527" s="49"/>
      <c r="C527" s="50"/>
    </row>
    <row r="528" spans="1:3" x14ac:dyDescent="0.25">
      <c r="B528" s="49"/>
      <c r="C528" s="50"/>
    </row>
  </sheetData>
  <sheetProtection sheet="1" sort="0" autoFilter="0"/>
  <autoFilter ref="A2:DT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525"/>
  <sheetViews>
    <sheetView workbookViewId="0" zoomScale="100" zoomScaleNormal="110">
      <pane xSplit="6" ySplit="2" topLeftCell="G3" activePane="bottomRight" state="frozen"/>
      <selection pane="bottomRight" activeCell="A3" sqref="A3"/>
    </sheetView>
  </sheetViews>
  <sheetFormatPr defaultRowHeight="15" outlineLevelRow="0" outlineLevelCol="0" x14ac:dyDescent="0.2"/>
  <cols>
    <col min="1" max="3" customWidth="1"/>
    <col min="4" max="4" width="12.5" customWidth="1"/>
    <col min="5" max="7" width="10" customWidth="1"/>
    <col min="8" max="8" width="19" customWidth="1"/>
    <col min="9" max="9" width="20" customWidth="1"/>
    <col min="10" max="13" customWidth="1"/>
    <col min="14" max="17" width="26" customWidth="1"/>
    <col min="18" max="133" width="27" customWidth="1"/>
  </cols>
  <sheetData>
    <row r="1" ht="80" customHeight="1" spans="1:135" s="40" customFormat="1" x14ac:dyDescent="0.25">
      <c r="A1" s="41"/>
      <c r="B1" s="41"/>
      <c r="C1" s="41"/>
      <c r="D1" s="51" t="s">
        <v>2460</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B1" s="44"/>
      <c r="EC1" s="44"/>
      <c r="EE1" s="40"/>
    </row>
    <row r="2" ht="66" customHeight="1" spans="1:135" x14ac:dyDescent="0.25">
      <c r="A2" s="46" t="s">
        <v>28</v>
      </c>
      <c r="B2" s="46" t="s">
        <v>29</v>
      </c>
      <c r="C2" s="46" t="s">
        <v>38</v>
      </c>
      <c r="D2" s="46" t="s">
        <v>37</v>
      </c>
      <c r="E2" s="46" t="s">
        <v>30</v>
      </c>
      <c r="F2" s="46" t="s">
        <v>31</v>
      </c>
      <c r="G2" s="46" t="s">
        <v>32</v>
      </c>
      <c r="H2" s="46" t="s">
        <v>33</v>
      </c>
      <c r="I2" s="46" t="s">
        <v>34</v>
      </c>
      <c r="J2" s="46" t="s">
        <v>35</v>
      </c>
      <c r="K2" s="46" t="s">
        <v>2461</v>
      </c>
      <c r="L2" s="46" t="s">
        <v>2462</v>
      </c>
      <c r="M2" s="46" t="s">
        <v>36</v>
      </c>
      <c r="N2" s="46" t="s">
        <v>39</v>
      </c>
      <c r="O2" s="46" t="s">
        <v>40</v>
      </c>
      <c r="P2" s="46" t="s">
        <v>2463</v>
      </c>
      <c r="Q2" s="46" t="s">
        <v>2464</v>
      </c>
      <c r="R2" s="46" t="s">
        <v>2465</v>
      </c>
      <c r="S2" s="46" t="s">
        <v>2466</v>
      </c>
      <c r="T2" s="46" t="s">
        <v>2467</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2468</v>
      </c>
      <c r="DL2" s="46" t="s">
        <v>142</v>
      </c>
      <c r="DM2" s="46" t="s">
        <v>143</v>
      </c>
      <c r="DN2" s="46" t="s">
        <v>144</v>
      </c>
      <c r="DO2" s="46" t="s">
        <v>145</v>
      </c>
      <c r="DP2" s="46" t="s">
        <v>146</v>
      </c>
      <c r="DQ2" s="46" t="s">
        <v>147</v>
      </c>
      <c r="DR2" s="46" t="s">
        <v>148</v>
      </c>
      <c r="DS2" s="46" t="s">
        <v>149</v>
      </c>
      <c r="DT2" s="46" t="s">
        <v>150</v>
      </c>
      <c r="DU2" s="46" t="s">
        <v>151</v>
      </c>
      <c r="DV2" s="46" t="s">
        <v>2469</v>
      </c>
      <c r="DW2" s="46" t="s">
        <v>2470</v>
      </c>
      <c r="DX2" s="46" t="s">
        <v>138</v>
      </c>
      <c r="DY2" s="46" t="s">
        <v>139</v>
      </c>
      <c r="DZ2" s="46" t="s">
        <v>140</v>
      </c>
      <c r="EA2" s="46" t="s">
        <v>2471</v>
      </c>
      <c r="EB2" s="46" t="s">
        <v>2472</v>
      </c>
      <c r="EC2" s="46" t="s">
        <v>2473</v>
      </c>
    </row>
    <row r="3" spans="1:702" x14ac:dyDescent="0.25">
      <c r="A3" s="47" t="s">
        <v>152</v>
      </c>
      <c r="B3" s="47" t="s">
        <v>153</v>
      </c>
      <c r="C3" s="47" t="s">
        <v>157</v>
      </c>
      <c r="D3" s="47" t="s">
        <v>2474</v>
      </c>
      <c r="E3" s="47" t="s">
        <v>154</v>
      </c>
      <c r="F3" s="47" t="s">
        <v>155</v>
      </c>
      <c r="G3" s="47" t="s">
        <v>156</v>
      </c>
      <c r="H3" s="47"/>
      <c r="I3" s="47"/>
      <c r="J3" s="47" t="str">
        <f>=IFERROR(VLOOKUP(H3&amp;I3,Table_Fonctions!A:G,6,FALSE),"")</f>
        <v>0</v>
      </c>
      <c r="K3" s="47"/>
      <c r="L3" s="47" t="str">
        <f>=IFERROR(VLOOKUP(H3&amp;I3,Table_Fonctions!A:G,7,FALSE),K3)</f>
        <v/>
      </c>
      <c r="M3" s="47" t="str">
        <f>=IF(OR(LEFT(D3, 3)="TJ ", LEFT(D3, 4)="CPH "), "OUI", "NON")</f>
        <v/>
      </c>
      <c r="N3" s="47" t="s">
        <v>158</v>
      </c>
      <c r="O3" s="47"/>
      <c r="P3" s="47"/>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v>0</v>
      </c>
      <c r="EA3" s="47">
        <v>0</v>
      </c>
      <c r="EB3" s="47"/>
      <c r="EC3" s="47">
        <v>0</v>
      </c>
      <c r="ZZ3" t="s">
        <v>2472</v>
      </c>
    </row>
    <row r="4" spans="1:702" x14ac:dyDescent="0.25">
      <c r="A4" s="47" t="s">
        <v>159</v>
      </c>
      <c r="B4" s="47" t="s">
        <v>153</v>
      </c>
      <c r="C4" s="47" t="s">
        <v>157</v>
      </c>
      <c r="D4" s="47" t="s">
        <v>2475</v>
      </c>
      <c r="E4" s="47" t="s">
        <v>160</v>
      </c>
      <c r="F4" s="47" t="s">
        <v>161</v>
      </c>
      <c r="G4" s="47" t="s">
        <v>162</v>
      </c>
      <c r="H4" s="47"/>
      <c r="I4" s="47"/>
      <c r="J4" s="47" t="str">
        <f>=IFERROR(VLOOKUP(H4&amp;I4,Table_Fonctions!A:G,6,FALSE),"")</f>
        <v>0</v>
      </c>
      <c r="K4" s="47"/>
      <c r="L4" s="47" t="str">
        <f>=IFERROR(VLOOKUP(H4&amp;I4,Table_Fonctions!A:G,7,FALSE),K4)</f>
        <v/>
      </c>
      <c r="M4" s="47" t="str">
        <f>=IF(OR(LEFT(D4, 3)="TJ ", LEFT(D4, 4)="CPH "), "OUI", "NON")</f>
        <v/>
      </c>
      <c r="N4" s="47" t="s">
        <v>163</v>
      </c>
      <c r="O4" s="47"/>
      <c r="P4" s="47"/>
      <c r="Q4" s="47">
        <v>0</v>
      </c>
      <c r="R4" s="47">
        <v>0</v>
      </c>
      <c r="S4" s="47">
        <f>=ROUND(BQ4-(BR4+BS4),3)</f>
      </c>
      <c r="T4" s="47">
        <f>=ROUND(CK4-(CL4+CM4+CN4+CO4+CP4),3)</f>
      </c>
      <c r="U4" s="47">
        <v>0</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v>
      </c>
      <c r="BU4" s="47">
        <v>0</v>
      </c>
      <c r="BV4" s="47">
        <v>0</v>
      </c>
      <c r="BW4" s="47">
        <v>0</v>
      </c>
      <c r="BX4" s="47">
        <v>0</v>
      </c>
      <c r="BY4" s="47">
        <v>0</v>
      </c>
      <c r="BZ4" s="47">
        <v>0</v>
      </c>
      <c r="CA4" s="47">
        <v>0</v>
      </c>
      <c r="CB4" s="47">
        <v>0</v>
      </c>
      <c r="CC4" s="47">
        <v>0</v>
      </c>
      <c r="CD4" s="47">
        <v>0</v>
      </c>
      <c r="CE4" s="47">
        <v>0</v>
      </c>
      <c r="CF4" s="47">
        <v>0</v>
      </c>
      <c r="CG4" s="47">
        <v>0</v>
      </c>
      <c r="CH4" s="47">
        <v>0</v>
      </c>
      <c r="CI4" s="47">
        <v>0</v>
      </c>
      <c r="CJ4" s="47">
        <v>0</v>
      </c>
      <c r="CK4" s="47">
        <v>0</v>
      </c>
      <c r="CL4" s="47">
        <v>0</v>
      </c>
      <c r="CM4" s="47">
        <v>0</v>
      </c>
      <c r="CN4" s="47">
        <v>0</v>
      </c>
      <c r="CO4" s="47">
        <v>0</v>
      </c>
      <c r="CP4" s="47">
        <v>0</v>
      </c>
      <c r="CQ4" s="47">
        <v>0</v>
      </c>
      <c r="CR4" s="47">
        <v>0</v>
      </c>
      <c r="CS4" s="47">
        <v>0</v>
      </c>
      <c r="CT4" s="47">
        <v>0</v>
      </c>
      <c r="CU4" s="47">
        <v>0</v>
      </c>
      <c r="CV4" s="47">
        <v>0</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v>0</v>
      </c>
      <c r="EA4" s="47">
        <v>0</v>
      </c>
      <c r="EB4" s="47"/>
      <c r="EC4" s="47">
        <v>0</v>
      </c>
      <c r="ZZ4" t="s">
        <v>2472</v>
      </c>
    </row>
    <row r="5" spans="1:702" x14ac:dyDescent="0.25">
      <c r="A5" s="47" t="s">
        <v>164</v>
      </c>
      <c r="B5" s="47" t="s">
        <v>153</v>
      </c>
      <c r="C5" s="47" t="s">
        <v>157</v>
      </c>
      <c r="D5" s="47" t="s">
        <v>2476</v>
      </c>
      <c r="E5" s="47" t="s">
        <v>165</v>
      </c>
      <c r="F5" s="47" t="s">
        <v>166</v>
      </c>
      <c r="G5" s="47" t="s">
        <v>167</v>
      </c>
      <c r="H5" s="47"/>
      <c r="I5" s="47"/>
      <c r="J5" s="47" t="str">
        <f>=IFERROR(VLOOKUP(H5&amp;I5,Table_Fonctions!A:G,6,FALSE),"")</f>
        <v>0</v>
      </c>
      <c r="K5" s="47"/>
      <c r="L5" s="47" t="str">
        <f>=IFERROR(VLOOKUP(H5&amp;I5,Table_Fonctions!A:G,7,FALSE),K5)</f>
        <v/>
      </c>
      <c r="M5" s="47" t="str">
        <f>=IF(OR(LEFT(D5, 3)="TJ ", LEFT(D5, 4)="CPH "), "OUI", "NON")</f>
        <v/>
      </c>
      <c r="N5" s="47" t="s">
        <v>168</v>
      </c>
      <c r="O5" s="47"/>
      <c r="P5" s="47"/>
      <c r="Q5" s="47">
        <v>0</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v>0</v>
      </c>
      <c r="EA5" s="47">
        <v>0</v>
      </c>
      <c r="EB5" s="47"/>
      <c r="EC5" s="47">
        <v>0</v>
      </c>
      <c r="ZZ5" t="s">
        <v>2472</v>
      </c>
    </row>
    <row r="6" spans="1:702" x14ac:dyDescent="0.25">
      <c r="A6" s="47" t="s">
        <v>169</v>
      </c>
      <c r="B6" s="47" t="s">
        <v>153</v>
      </c>
      <c r="C6" s="47" t="s">
        <v>157</v>
      </c>
      <c r="D6" s="47" t="s">
        <v>2477</v>
      </c>
      <c r="E6" s="47" t="s">
        <v>170</v>
      </c>
      <c r="F6" s="47" t="s">
        <v>171</v>
      </c>
      <c r="G6" s="47" t="s">
        <v>172</v>
      </c>
      <c r="H6" s="47" t="s">
        <v>173</v>
      </c>
      <c r="I6" s="47" t="s">
        <v>174</v>
      </c>
      <c r="J6" s="47" t="str">
        <f>=IFERROR(VLOOKUP(H6&amp;I6,Table_Fonctions!A:G,6,FALSE),"")</f>
        <v>0</v>
      </c>
      <c r="K6" s="47" t="s">
        <v>2478</v>
      </c>
      <c r="L6" s="47" t="str">
        <f>=IFERROR(VLOOKUP(H6&amp;I6,Table_Fonctions!A:G,7,FALSE),K6)</f>
        <v/>
      </c>
      <c r="M6" s="47" t="str">
        <f>=IF(OR(LEFT(D6, 3)="TJ ", LEFT(D6, 4)="CPH "), "OUI", "NON")</f>
        <v/>
      </c>
      <c r="N6" s="47" t="s">
        <v>175</v>
      </c>
      <c r="O6" s="47"/>
      <c r="P6" s="47">
        <v>0.4327</v>
      </c>
      <c r="Q6" s="47">
        <v>0.4327</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0.4327</v>
      </c>
      <c r="AT6" s="47">
        <v>0.4327</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v>
      </c>
      <c r="BU6" s="47">
        <v>0</v>
      </c>
      <c r="BV6" s="47">
        <v>0</v>
      </c>
      <c r="BW6" s="47">
        <v>0</v>
      </c>
      <c r="BX6" s="47">
        <v>0</v>
      </c>
      <c r="BY6" s="47">
        <v>0</v>
      </c>
      <c r="BZ6" s="47">
        <v>0</v>
      </c>
      <c r="CA6" s="47">
        <v>0</v>
      </c>
      <c r="CB6" s="47">
        <v>0</v>
      </c>
      <c r="CC6" s="47">
        <v>0</v>
      </c>
      <c r="CD6" s="47">
        <v>0</v>
      </c>
      <c r="CE6" s="47">
        <v>0</v>
      </c>
      <c r="CF6" s="47">
        <v>0</v>
      </c>
      <c r="CG6" s="47">
        <v>0</v>
      </c>
      <c r="CH6" s="47">
        <v>0</v>
      </c>
      <c r="CI6" s="47">
        <v>0</v>
      </c>
      <c r="CJ6" s="47">
        <v>0</v>
      </c>
      <c r="CK6" s="47">
        <v>0</v>
      </c>
      <c r="CL6" s="47">
        <v>0</v>
      </c>
      <c r="CM6" s="47">
        <v>0</v>
      </c>
      <c r="CN6" s="47">
        <v>0</v>
      </c>
      <c r="CO6" s="47">
        <v>0</v>
      </c>
      <c r="CP6" s="47">
        <v>0</v>
      </c>
      <c r="CQ6" s="47">
        <v>0</v>
      </c>
      <c r="CR6" s="47">
        <v>0</v>
      </c>
      <c r="CS6" s="47">
        <v>0</v>
      </c>
      <c r="CT6" s="47">
        <v>0</v>
      </c>
      <c r="CU6" s="47">
        <v>0</v>
      </c>
      <c r="CV6" s="47">
        <v>0</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v>0</v>
      </c>
      <c r="EA6" s="47">
        <v>0</v>
      </c>
      <c r="EB6" s="47"/>
      <c r="EC6" s="47">
        <v>0.4327</v>
      </c>
      <c r="ZZ6" t="s">
        <v>2472</v>
      </c>
    </row>
    <row r="7" spans="1:702" x14ac:dyDescent="0.25">
      <c r="A7" s="47" t="s">
        <v>176</v>
      </c>
      <c r="B7" s="47" t="s">
        <v>153</v>
      </c>
      <c r="C7" s="47" t="s">
        <v>157</v>
      </c>
      <c r="D7" s="47" t="s">
        <v>2479</v>
      </c>
      <c r="E7" s="47" t="s">
        <v>177</v>
      </c>
      <c r="F7" s="47" t="s">
        <v>178</v>
      </c>
      <c r="G7" s="47" t="s">
        <v>179</v>
      </c>
      <c r="H7" s="47" t="s">
        <v>173</v>
      </c>
      <c r="I7" s="47" t="s">
        <v>180</v>
      </c>
      <c r="J7" s="47" t="str">
        <f>=IFERROR(VLOOKUP(H7&amp;I7,Table_Fonctions!A:G,6,FALSE),"")</f>
        <v>0</v>
      </c>
      <c r="K7" s="47" t="s">
        <v>2480</v>
      </c>
      <c r="L7" s="47" t="str">
        <f>=IFERROR(VLOOKUP(H7&amp;I7,Table_Fonctions!A:G,7,FALSE),K7)</f>
        <v/>
      </c>
      <c r="M7" s="47" t="str">
        <f>=IF(OR(LEFT(D7, 3)="TJ ", LEFT(D7, 4)="CPH "), "OUI", "NON")</f>
        <v/>
      </c>
      <c r="N7" s="47" t="s">
        <v>163</v>
      </c>
      <c r="O7" s="47"/>
      <c r="P7" s="47">
        <v>1</v>
      </c>
      <c r="Q7" s="47">
        <v>1</v>
      </c>
      <c r="R7" s="47">
        <v>0</v>
      </c>
      <c r="S7" s="47">
        <f>=ROUND(BQ7-(BR7+BS7),3)</f>
      </c>
      <c r="T7" s="47">
        <f>=ROUND(CK7-(CL7+CM7+CN7+CO7+CP7),3)</f>
      </c>
      <c r="U7" s="47">
        <v>0.2</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0.6</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0.09</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0.06</v>
      </c>
      <c r="CW7" s="47">
        <v>0</v>
      </c>
      <c r="CX7" s="47">
        <v>0</v>
      </c>
      <c r="CY7" s="47">
        <v>0.05</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v>0</v>
      </c>
      <c r="EA7" s="47">
        <v>0</v>
      </c>
      <c r="EB7" s="47"/>
      <c r="EC7" s="47">
        <v>1</v>
      </c>
      <c r="ZZ7" t="s">
        <v>2472</v>
      </c>
    </row>
    <row r="8" spans="1:702" x14ac:dyDescent="0.25">
      <c r="A8" s="47" t="s">
        <v>181</v>
      </c>
      <c r="B8" s="47" t="s">
        <v>153</v>
      </c>
      <c r="C8" s="47" t="s">
        <v>157</v>
      </c>
      <c r="D8" s="47" t="s">
        <v>2481</v>
      </c>
      <c r="E8" s="47" t="s">
        <v>182</v>
      </c>
      <c r="F8" s="47" t="s">
        <v>183</v>
      </c>
      <c r="G8" s="47" t="s">
        <v>184</v>
      </c>
      <c r="H8" s="47" t="s">
        <v>173</v>
      </c>
      <c r="I8" s="47" t="s">
        <v>185</v>
      </c>
      <c r="J8" s="47" t="str">
        <f>=IFERROR(VLOOKUP(H8&amp;I8,Table_Fonctions!A:G,6,FALSE),"")</f>
        <v>0</v>
      </c>
      <c r="K8" s="47" t="s">
        <v>2480</v>
      </c>
      <c r="L8" s="47" t="str">
        <f>=IFERROR(VLOOKUP(H8&amp;I8,Table_Fonctions!A:G,7,FALSE),K8)</f>
        <v/>
      </c>
      <c r="M8" s="47" t="str">
        <f>=IF(OR(LEFT(D8, 3)="TJ ", LEFT(D8, 4)="CPH "), "OUI", "NON")</f>
        <v/>
      </c>
      <c r="N8" s="47" t="s">
        <v>163</v>
      </c>
      <c r="O8" s="47"/>
      <c r="P8" s="47">
        <v>1</v>
      </c>
      <c r="Q8" s="47">
        <v>1</v>
      </c>
      <c r="R8" s="47">
        <v>0</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0.05</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0.9</v>
      </c>
      <c r="CL8" s="47">
        <v>0</v>
      </c>
      <c r="CM8" s="47">
        <v>0</v>
      </c>
      <c r="CN8" s="47">
        <v>0</v>
      </c>
      <c r="CO8" s="47">
        <v>0</v>
      </c>
      <c r="CP8" s="47">
        <v>0</v>
      </c>
      <c r="CQ8" s="47">
        <v>0</v>
      </c>
      <c r="CR8" s="47">
        <v>0</v>
      </c>
      <c r="CS8" s="47">
        <v>0</v>
      </c>
      <c r="CT8" s="47">
        <v>0</v>
      </c>
      <c r="CU8" s="47">
        <v>0</v>
      </c>
      <c r="CV8" s="47">
        <v>0</v>
      </c>
      <c r="CW8" s="47">
        <v>0</v>
      </c>
      <c r="CX8" s="47">
        <v>0</v>
      </c>
      <c r="CY8" s="47">
        <v>0.05</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v>0</v>
      </c>
      <c r="EA8" s="47">
        <v>0</v>
      </c>
      <c r="EB8" s="47"/>
      <c r="EC8" s="47">
        <v>1</v>
      </c>
      <c r="ZZ8" t="s">
        <v>2472</v>
      </c>
    </row>
    <row r="9" spans="1:702" x14ac:dyDescent="0.25">
      <c r="A9" s="47" t="s">
        <v>186</v>
      </c>
      <c r="B9" s="47" t="s">
        <v>153</v>
      </c>
      <c r="C9" s="47" t="s">
        <v>157</v>
      </c>
      <c r="D9" s="47" t="s">
        <v>2482</v>
      </c>
      <c r="E9" s="47" t="s">
        <v>187</v>
      </c>
      <c r="F9" s="47" t="s">
        <v>188</v>
      </c>
      <c r="G9" s="47" t="s">
        <v>189</v>
      </c>
      <c r="H9" s="47" t="s">
        <v>173</v>
      </c>
      <c r="I9" s="47" t="s">
        <v>190</v>
      </c>
      <c r="J9" s="47" t="str">
        <f>=IFERROR(VLOOKUP(H9&amp;I9,Table_Fonctions!A:G,6,FALSE),"")</f>
        <v>0</v>
      </c>
      <c r="K9" s="47" t="s">
        <v>2480</v>
      </c>
      <c r="L9" s="47" t="str">
        <f>=IFERROR(VLOOKUP(H9&amp;I9,Table_Fonctions!A:G,7,FALSE),K9)</f>
        <v/>
      </c>
      <c r="M9" s="47" t="str">
        <f>=IF(OR(LEFT(D9, 3)="TJ ", LEFT(D9, 4)="CPH "), "OUI", "NON")</f>
        <v/>
      </c>
      <c r="N9" s="47" t="s">
        <v>163</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0.03</v>
      </c>
      <c r="BU9" s="47">
        <v>0</v>
      </c>
      <c r="BV9" s="47">
        <v>0</v>
      </c>
      <c r="BW9" s="47">
        <v>0</v>
      </c>
      <c r="BX9" s="47">
        <v>0</v>
      </c>
      <c r="BY9" s="47">
        <v>0</v>
      </c>
      <c r="BZ9" s="47">
        <v>0</v>
      </c>
      <c r="CA9" s="47">
        <v>0</v>
      </c>
      <c r="CB9" s="47">
        <v>0</v>
      </c>
      <c r="CC9" s="47">
        <v>0</v>
      </c>
      <c r="CD9" s="47">
        <v>0</v>
      </c>
      <c r="CE9" s="47">
        <v>0</v>
      </c>
      <c r="CF9" s="47">
        <v>0</v>
      </c>
      <c r="CG9" s="47">
        <v>0</v>
      </c>
      <c r="CH9" s="47">
        <v>0</v>
      </c>
      <c r="CI9" s="47">
        <v>0</v>
      </c>
      <c r="CJ9" s="47">
        <v>0</v>
      </c>
      <c r="CK9" s="47">
        <v>0</v>
      </c>
      <c r="CL9" s="47">
        <v>0</v>
      </c>
      <c r="CM9" s="47">
        <v>0</v>
      </c>
      <c r="CN9" s="47">
        <v>0</v>
      </c>
      <c r="CO9" s="47">
        <v>0</v>
      </c>
      <c r="CP9" s="47">
        <v>0</v>
      </c>
      <c r="CQ9" s="47">
        <v>0.91</v>
      </c>
      <c r="CR9" s="47">
        <v>0</v>
      </c>
      <c r="CS9" s="47">
        <v>0</v>
      </c>
      <c r="CT9" s="47">
        <v>0</v>
      </c>
      <c r="CU9" s="47">
        <v>0</v>
      </c>
      <c r="CV9" s="47">
        <v>0.01</v>
      </c>
      <c r="CW9" s="47">
        <v>0</v>
      </c>
      <c r="CX9" s="47">
        <v>0</v>
      </c>
      <c r="CY9" s="47">
        <v>0.05</v>
      </c>
      <c r="CZ9" s="47">
        <v>0</v>
      </c>
      <c r="DA9" s="47">
        <v>0</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v>0</v>
      </c>
      <c r="EA9" s="47">
        <v>0</v>
      </c>
      <c r="EB9" s="47"/>
      <c r="EC9" s="47">
        <v>1</v>
      </c>
      <c r="ZZ9" t="s">
        <v>2472</v>
      </c>
    </row>
    <row r="10" spans="1:702" x14ac:dyDescent="0.25">
      <c r="A10" s="47" t="s">
        <v>191</v>
      </c>
      <c r="B10" s="47" t="s">
        <v>153</v>
      </c>
      <c r="C10" s="47" t="s">
        <v>157</v>
      </c>
      <c r="D10" s="47" t="s">
        <v>2483</v>
      </c>
      <c r="E10" s="47" t="s">
        <v>192</v>
      </c>
      <c r="F10" s="47" t="s">
        <v>193</v>
      </c>
      <c r="G10" s="47" t="s">
        <v>194</v>
      </c>
      <c r="H10" s="47" t="s">
        <v>173</v>
      </c>
      <c r="I10" s="47" t="s">
        <v>2484</v>
      </c>
      <c r="J10" s="47" t="str">
        <f>=IFERROR(VLOOKUP(H10&amp;I10,Table_Fonctions!A:G,6,FALSE),"")</f>
        <v>0</v>
      </c>
      <c r="K10" s="47" t="s">
        <v>2485</v>
      </c>
      <c r="L10" s="47" t="str">
        <f>=IFERROR(VLOOKUP(H10&amp;I10,Table_Fonctions!A:G,7,FALSE),K10)</f>
        <v/>
      </c>
      <c r="M10" s="47" t="str">
        <f>=IF(OR(LEFT(D10, 3)="TJ ", LEFT(D10, 4)="CPH "), "OUI", "NON")</f>
        <v/>
      </c>
      <c r="N10" s="47" t="s">
        <v>196</v>
      </c>
      <c r="O10" s="47"/>
      <c r="P10" s="47">
        <v>1</v>
      </c>
      <c r="Q10" s="47">
        <v>1</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0.9025</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0.0025</v>
      </c>
      <c r="BN10" s="47">
        <v>0</v>
      </c>
      <c r="BO10" s="47">
        <v>0</v>
      </c>
      <c r="BP10" s="47">
        <v>0</v>
      </c>
      <c r="BQ10" s="47">
        <v>0</v>
      </c>
      <c r="BR10" s="47">
        <v>0</v>
      </c>
      <c r="BS10" s="47">
        <v>0</v>
      </c>
      <c r="BT10" s="47">
        <v>0.04</v>
      </c>
      <c r="BU10" s="47">
        <v>0</v>
      </c>
      <c r="BV10" s="47">
        <v>0</v>
      </c>
      <c r="BW10" s="47">
        <v>0</v>
      </c>
      <c r="BX10" s="47">
        <v>0</v>
      </c>
      <c r="BY10" s="47">
        <v>0</v>
      </c>
      <c r="BZ10" s="47">
        <v>0</v>
      </c>
      <c r="CA10" s="47">
        <v>0</v>
      </c>
      <c r="CB10" s="47">
        <v>0</v>
      </c>
      <c r="CC10" s="47">
        <v>0</v>
      </c>
      <c r="CD10" s="47">
        <v>0</v>
      </c>
      <c r="CE10" s="47">
        <v>0</v>
      </c>
      <c r="CF10" s="47">
        <v>0</v>
      </c>
      <c r="CG10" s="47">
        <v>0</v>
      </c>
      <c r="CH10" s="47">
        <v>0</v>
      </c>
      <c r="CI10" s="47">
        <v>0</v>
      </c>
      <c r="CJ10" s="47">
        <v>0</v>
      </c>
      <c r="CK10" s="47">
        <v>0</v>
      </c>
      <c r="CL10" s="47">
        <v>0</v>
      </c>
      <c r="CM10" s="47">
        <v>0</v>
      </c>
      <c r="CN10" s="47">
        <v>0</v>
      </c>
      <c r="CO10" s="47">
        <v>0</v>
      </c>
      <c r="CP10" s="47">
        <v>0</v>
      </c>
      <c r="CQ10" s="47">
        <v>0</v>
      </c>
      <c r="CR10" s="47">
        <v>0</v>
      </c>
      <c r="CS10" s="47">
        <v>0</v>
      </c>
      <c r="CT10" s="47">
        <v>0</v>
      </c>
      <c r="CU10" s="47">
        <v>0</v>
      </c>
      <c r="CV10" s="47">
        <v>0.005</v>
      </c>
      <c r="CW10" s="47">
        <v>0</v>
      </c>
      <c r="CX10" s="47">
        <v>0</v>
      </c>
      <c r="CY10" s="47">
        <v>0.05</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v>0</v>
      </c>
      <c r="EA10" s="47">
        <v>0</v>
      </c>
      <c r="EB10" s="47"/>
      <c r="EC10" s="47">
        <v>1</v>
      </c>
      <c r="ZZ10" t="s">
        <v>2472</v>
      </c>
    </row>
    <row r="11" spans="1:702" x14ac:dyDescent="0.25">
      <c r="A11" s="47" t="s">
        <v>197</v>
      </c>
      <c r="B11" s="47" t="s">
        <v>153</v>
      </c>
      <c r="C11" s="47" t="s">
        <v>157</v>
      </c>
      <c r="D11" s="47" t="s">
        <v>2486</v>
      </c>
      <c r="E11" s="47" t="s">
        <v>198</v>
      </c>
      <c r="F11" s="47" t="s">
        <v>199</v>
      </c>
      <c r="G11" s="47" t="s">
        <v>200</v>
      </c>
      <c r="H11" s="47" t="s">
        <v>173</v>
      </c>
      <c r="I11" s="47" t="s">
        <v>201</v>
      </c>
      <c r="J11" s="47" t="str">
        <f>=IFERROR(VLOOKUP(H11&amp;I11,Table_Fonctions!A:G,6,FALSE),"")</f>
        <v>0</v>
      </c>
      <c r="K11" s="47" t="s">
        <v>2480</v>
      </c>
      <c r="L11" s="47" t="str">
        <f>=IFERROR(VLOOKUP(H11&amp;I11,Table_Fonctions!A:G,7,FALSE),K11)</f>
        <v/>
      </c>
      <c r="M11" s="47" t="str">
        <f>=IF(OR(LEFT(D11, 3)="TJ ", LEFT(D11, 4)="CPH "), "OUI", "NON")</f>
        <v/>
      </c>
      <c r="N11" s="47" t="s">
        <v>163</v>
      </c>
      <c r="O11" s="47"/>
      <c r="P11" s="47">
        <v>1</v>
      </c>
      <c r="Q11" s="47">
        <v>0.14</v>
      </c>
      <c r="R11" s="47">
        <v>0.86</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0.05</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0.09</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v>0</v>
      </c>
      <c r="EA11" s="47">
        <v>0</v>
      </c>
      <c r="EB11" s="47"/>
      <c r="EC11" s="47">
        <v>1</v>
      </c>
      <c r="ZZ11" t="s">
        <v>2472</v>
      </c>
    </row>
    <row r="12" spans="1:702" x14ac:dyDescent="0.25">
      <c r="A12" s="47" t="s">
        <v>202</v>
      </c>
      <c r="B12" s="47" t="s">
        <v>153</v>
      </c>
      <c r="C12" s="47" t="s">
        <v>157</v>
      </c>
      <c r="D12" s="47" t="s">
        <v>2487</v>
      </c>
      <c r="E12" s="47" t="s">
        <v>203</v>
      </c>
      <c r="F12" s="47" t="s">
        <v>204</v>
      </c>
      <c r="G12" s="47" t="s">
        <v>205</v>
      </c>
      <c r="H12" s="47" t="s">
        <v>173</v>
      </c>
      <c r="I12" s="47" t="s">
        <v>201</v>
      </c>
      <c r="J12" s="47" t="str">
        <f>=IFERROR(VLOOKUP(H12&amp;I12,Table_Fonctions!A:G,6,FALSE),"")</f>
        <v>0</v>
      </c>
      <c r="K12" s="47" t="s">
        <v>2480</v>
      </c>
      <c r="L12" s="47" t="str">
        <f>=IFERROR(VLOOKUP(H12&amp;I12,Table_Fonctions!A:G,7,FALSE),K12)</f>
        <v/>
      </c>
      <c r="M12" s="47" t="str">
        <f>=IF(OR(LEFT(D12, 3)="TJ ", LEFT(D12, 4)="CPH "), "OUI", "NON")</f>
        <v/>
      </c>
      <c r="N12" s="47" t="s">
        <v>163</v>
      </c>
      <c r="O12" s="47"/>
      <c r="P12" s="47">
        <v>1</v>
      </c>
      <c r="Q12" s="47">
        <v>0.45</v>
      </c>
      <c r="R12" s="47">
        <v>0.55</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0.2093</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0.1907</v>
      </c>
      <c r="BU12" s="47">
        <v>0</v>
      </c>
      <c r="BV12" s="47">
        <v>0</v>
      </c>
      <c r="BW12" s="47">
        <v>0</v>
      </c>
      <c r="BX12" s="47">
        <v>0</v>
      </c>
      <c r="BY12" s="47">
        <v>0</v>
      </c>
      <c r="BZ12" s="47">
        <v>0</v>
      </c>
      <c r="CA12" s="47">
        <v>0</v>
      </c>
      <c r="CB12" s="47">
        <v>0</v>
      </c>
      <c r="CC12" s="47">
        <v>0</v>
      </c>
      <c r="CD12" s="47">
        <v>0</v>
      </c>
      <c r="CE12" s="47">
        <v>0</v>
      </c>
      <c r="CF12" s="47">
        <v>0</v>
      </c>
      <c r="CG12" s="47">
        <v>0</v>
      </c>
      <c r="CH12" s="47">
        <v>0</v>
      </c>
      <c r="CI12" s="47">
        <v>0</v>
      </c>
      <c r="CJ12" s="47">
        <v>0</v>
      </c>
      <c r="CK12" s="47">
        <v>0</v>
      </c>
      <c r="CL12" s="47">
        <v>0</v>
      </c>
      <c r="CM12" s="47">
        <v>0</v>
      </c>
      <c r="CN12" s="47">
        <v>0</v>
      </c>
      <c r="CO12" s="47">
        <v>0</v>
      </c>
      <c r="CP12" s="47">
        <v>0</v>
      </c>
      <c r="CQ12" s="47">
        <v>0</v>
      </c>
      <c r="CR12" s="47">
        <v>0</v>
      </c>
      <c r="CS12" s="47">
        <v>0</v>
      </c>
      <c r="CT12" s="47">
        <v>0</v>
      </c>
      <c r="CU12" s="47">
        <v>0</v>
      </c>
      <c r="CV12" s="47">
        <v>0</v>
      </c>
      <c r="CW12" s="47">
        <v>0</v>
      </c>
      <c r="CX12" s="47">
        <v>0</v>
      </c>
      <c r="CY12" s="47">
        <v>0.05</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v>0</v>
      </c>
      <c r="EA12" s="47">
        <v>0</v>
      </c>
      <c r="EB12" s="47"/>
      <c r="EC12" s="47">
        <v>1</v>
      </c>
      <c r="ZZ12" t="s">
        <v>2472</v>
      </c>
    </row>
    <row r="13" spans="1:702" x14ac:dyDescent="0.25">
      <c r="A13" s="47" t="s">
        <v>206</v>
      </c>
      <c r="B13" s="47" t="s">
        <v>153</v>
      </c>
      <c r="C13" s="47" t="s">
        <v>157</v>
      </c>
      <c r="D13" s="47" t="s">
        <v>2488</v>
      </c>
      <c r="E13" s="47" t="s">
        <v>207</v>
      </c>
      <c r="F13" s="47" t="s">
        <v>208</v>
      </c>
      <c r="G13" s="47" t="s">
        <v>209</v>
      </c>
      <c r="H13" s="47" t="s">
        <v>173</v>
      </c>
      <c r="I13" s="47" t="s">
        <v>210</v>
      </c>
      <c r="J13" s="47" t="str">
        <f>=IFERROR(VLOOKUP(H13&amp;I13,Table_Fonctions!A:G,6,FALSE),"")</f>
        <v>0</v>
      </c>
      <c r="K13" s="47" t="s">
        <v>2480</v>
      </c>
      <c r="L13" s="47" t="str">
        <f>=IFERROR(VLOOKUP(H13&amp;I13,Table_Fonctions!A:G,7,FALSE),K13)</f>
        <v/>
      </c>
      <c r="M13" s="47" t="str">
        <f>=IF(OR(LEFT(D13, 3)="TJ ", LEFT(D13, 4)="CPH "), "OUI", "NON")</f>
        <v/>
      </c>
      <c r="N13" s="47" t="s">
        <v>163</v>
      </c>
      <c r="O13" s="47" t="s">
        <v>211</v>
      </c>
      <c r="P13" s="47">
        <v>1</v>
      </c>
      <c r="Q13" s="47">
        <v>0.5</v>
      </c>
      <c r="R13" s="47">
        <v>0.5</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0.2</v>
      </c>
      <c r="CW13" s="47">
        <v>0.2</v>
      </c>
      <c r="CX13" s="47">
        <v>0</v>
      </c>
      <c r="CY13" s="47">
        <v>0.3</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v>
      </c>
      <c r="DV13" s="47">
        <v>0</v>
      </c>
      <c r="DW13" s="47">
        <v>0</v>
      </c>
      <c r="DX13" s="47">
        <v>0</v>
      </c>
      <c r="DY13" s="47">
        <v>0</v>
      </c>
      <c r="DZ13" s="47">
        <v>0</v>
      </c>
      <c r="EA13" s="47">
        <v>0</v>
      </c>
      <c r="EB13" s="47"/>
      <c r="EC13" s="47">
        <v>1</v>
      </c>
      <c r="ZZ13" t="s">
        <v>2472</v>
      </c>
    </row>
    <row r="14" spans="1:702" x14ac:dyDescent="0.25">
      <c r="A14" s="47" t="s">
        <v>212</v>
      </c>
      <c r="B14" s="47" t="s">
        <v>153</v>
      </c>
      <c r="C14" s="47" t="s">
        <v>157</v>
      </c>
      <c r="D14" s="47" t="s">
        <v>2489</v>
      </c>
      <c r="E14" s="47" t="s">
        <v>213</v>
      </c>
      <c r="F14" s="47" t="s">
        <v>214</v>
      </c>
      <c r="G14" s="47" t="s">
        <v>215</v>
      </c>
      <c r="H14" s="47" t="s">
        <v>173</v>
      </c>
      <c r="I14" s="47" t="s">
        <v>185</v>
      </c>
      <c r="J14" s="47" t="str">
        <f>=IFERROR(VLOOKUP(H14&amp;I14,Table_Fonctions!A:G,6,FALSE),"")</f>
        <v>0</v>
      </c>
      <c r="K14" s="47" t="s">
        <v>2480</v>
      </c>
      <c r="L14" s="47" t="str">
        <f>=IFERROR(VLOOKUP(H14&amp;I14,Table_Fonctions!A:G,7,FALSE),K14)</f>
        <v/>
      </c>
      <c r="M14" s="47" t="str">
        <f>=IF(OR(LEFT(D14, 3)="TJ ", LEFT(D14, 4)="CPH "), "OUI", "NON")</f>
        <v/>
      </c>
      <c r="N14" s="47" t="s">
        <v>163</v>
      </c>
      <c r="O14" s="47"/>
      <c r="P14" s="47">
        <v>0.95</v>
      </c>
      <c r="Q14" s="47">
        <v>0.95</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v>
      </c>
      <c r="BR14" s="47">
        <v>0</v>
      </c>
      <c r="BS14" s="47">
        <v>0</v>
      </c>
      <c r="BT14" s="47">
        <v>0.855</v>
      </c>
      <c r="BU14" s="47">
        <v>0</v>
      </c>
      <c r="BV14" s="47">
        <v>0</v>
      </c>
      <c r="BW14" s="47">
        <v>0</v>
      </c>
      <c r="BX14" s="47">
        <v>0</v>
      </c>
      <c r="BY14" s="47">
        <v>0</v>
      </c>
      <c r="BZ14" s="47">
        <v>0</v>
      </c>
      <c r="CA14" s="47">
        <v>0</v>
      </c>
      <c r="CB14" s="47">
        <v>0</v>
      </c>
      <c r="CC14" s="47">
        <v>0</v>
      </c>
      <c r="CD14" s="47">
        <v>0</v>
      </c>
      <c r="CE14" s="47">
        <v>0</v>
      </c>
      <c r="CF14" s="47">
        <v>0</v>
      </c>
      <c r="CG14" s="47">
        <v>0</v>
      </c>
      <c r="CH14" s="47">
        <v>0</v>
      </c>
      <c r="CI14" s="47">
        <v>0</v>
      </c>
      <c r="CJ14" s="47">
        <v>0</v>
      </c>
      <c r="CK14" s="47">
        <v>0.0475</v>
      </c>
      <c r="CL14" s="47">
        <v>0</v>
      </c>
      <c r="CM14" s="47">
        <v>0</v>
      </c>
      <c r="CN14" s="47">
        <v>0</v>
      </c>
      <c r="CO14" s="47">
        <v>0</v>
      </c>
      <c r="CP14" s="47">
        <v>0</v>
      </c>
      <c r="CQ14" s="47">
        <v>0</v>
      </c>
      <c r="CR14" s="47">
        <v>0</v>
      </c>
      <c r="CS14" s="47">
        <v>0</v>
      </c>
      <c r="CT14" s="47">
        <v>0</v>
      </c>
      <c r="CU14" s="47">
        <v>0</v>
      </c>
      <c r="CV14" s="47">
        <v>0</v>
      </c>
      <c r="CW14" s="47">
        <v>0</v>
      </c>
      <c r="CX14" s="47">
        <v>0</v>
      </c>
      <c r="CY14" s="47">
        <v>0.0475</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v>0</v>
      </c>
      <c r="EA14" s="47">
        <v>0</v>
      </c>
      <c r="EB14" s="47"/>
      <c r="EC14" s="47">
        <v>0.95</v>
      </c>
      <c r="ZZ14" t="s">
        <v>2472</v>
      </c>
    </row>
    <row r="15" spans="1:702" x14ac:dyDescent="0.25">
      <c r="A15" s="47" t="s">
        <v>216</v>
      </c>
      <c r="B15" s="47" t="s">
        <v>153</v>
      </c>
      <c r="C15" s="47" t="s">
        <v>157</v>
      </c>
      <c r="D15" s="47" t="s">
        <v>2490</v>
      </c>
      <c r="E15" s="47" t="s">
        <v>217</v>
      </c>
      <c r="F15" s="47" t="s">
        <v>218</v>
      </c>
      <c r="G15" s="47" t="s">
        <v>219</v>
      </c>
      <c r="H15" s="47" t="s">
        <v>173</v>
      </c>
      <c r="I15" s="47" t="s">
        <v>220</v>
      </c>
      <c r="J15" s="47" t="str">
        <f>=IFERROR(VLOOKUP(H15&amp;I15,Table_Fonctions!A:G,6,FALSE),"")</f>
        <v>0</v>
      </c>
      <c r="K15" s="47" t="s">
        <v>2480</v>
      </c>
      <c r="L15" s="47" t="str">
        <f>=IFERROR(VLOOKUP(H15&amp;I15,Table_Fonctions!A:G,7,FALSE),K15)</f>
        <v/>
      </c>
      <c r="M15" s="47" t="str">
        <f>=IF(OR(LEFT(D15, 3)="TJ ", LEFT(D15, 4)="CPH "), "OUI", "NON")</f>
        <v/>
      </c>
      <c r="N15" s="47" t="s">
        <v>163</v>
      </c>
      <c r="O15" s="47"/>
      <c r="P15" s="47">
        <v>1</v>
      </c>
      <c r="Q15" s="47">
        <v>1</v>
      </c>
      <c r="R15" s="47">
        <v>0</v>
      </c>
      <c r="S15" s="47">
        <f>=ROUND(BQ15-(BR15+BS15),3)</f>
      </c>
      <c r="T15" s="47">
        <f>=ROUND(CK15-(CL15+CM15+CN15+CO15+CP15),3)</f>
      </c>
      <c r="U15" s="47">
        <v>0.02</v>
      </c>
      <c r="V15" s="47">
        <v>0</v>
      </c>
      <c r="W15" s="47">
        <v>0</v>
      </c>
      <c r="X15" s="47">
        <v>0</v>
      </c>
      <c r="Y15" s="47">
        <v>0</v>
      </c>
      <c r="Z15" s="47">
        <v>0</v>
      </c>
      <c r="AA15" s="47">
        <v>0</v>
      </c>
      <c r="AB15" s="47">
        <v>0</v>
      </c>
      <c r="AC15" s="47">
        <v>0</v>
      </c>
      <c r="AD15" s="47">
        <v>0</v>
      </c>
      <c r="AE15" s="47">
        <v>0</v>
      </c>
      <c r="AF15" s="47">
        <v>0</v>
      </c>
      <c r="AG15" s="47">
        <v>0</v>
      </c>
      <c r="AH15" s="47">
        <v>0</v>
      </c>
      <c r="AI15" s="47">
        <v>0</v>
      </c>
      <c r="AJ15" s="47">
        <v>0.06</v>
      </c>
      <c r="AK15" s="47">
        <v>0</v>
      </c>
      <c r="AL15" s="47">
        <v>0</v>
      </c>
      <c r="AM15" s="47">
        <v>0</v>
      </c>
      <c r="AN15" s="47">
        <v>0</v>
      </c>
      <c r="AO15" s="47">
        <v>0</v>
      </c>
      <c r="AP15" s="47">
        <v>0</v>
      </c>
      <c r="AQ15" s="47">
        <v>0</v>
      </c>
      <c r="AR15" s="47">
        <v>0</v>
      </c>
      <c r="AS15" s="47">
        <v>0.825</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0.02</v>
      </c>
      <c r="BN15" s="47">
        <v>0</v>
      </c>
      <c r="BO15" s="47">
        <v>0</v>
      </c>
      <c r="BP15" s="47">
        <v>0</v>
      </c>
      <c r="BQ15" s="47">
        <v>0</v>
      </c>
      <c r="BR15" s="47">
        <v>0</v>
      </c>
      <c r="BS15" s="47">
        <v>0</v>
      </c>
      <c r="BT15" s="47">
        <v>0.025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v>
      </c>
      <c r="CR15" s="47">
        <v>0</v>
      </c>
      <c r="CS15" s="47">
        <v>0</v>
      </c>
      <c r="CT15" s="47">
        <v>0</v>
      </c>
      <c r="CU15" s="47">
        <v>0</v>
      </c>
      <c r="CV15" s="47">
        <v>0</v>
      </c>
      <c r="CW15" s="47">
        <v>0</v>
      </c>
      <c r="CX15" s="47">
        <v>0</v>
      </c>
      <c r="CY15" s="47">
        <v>0.05</v>
      </c>
      <c r="CZ15" s="47">
        <v>0</v>
      </c>
      <c r="DA15" s="47">
        <v>0</v>
      </c>
      <c r="DB15" s="47">
        <v>0</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v>
      </c>
      <c r="DW15" s="47">
        <v>0</v>
      </c>
      <c r="DX15" s="47">
        <v>0</v>
      </c>
      <c r="DY15" s="47">
        <v>0</v>
      </c>
      <c r="DZ15" s="47">
        <v>0</v>
      </c>
      <c r="EA15" s="47">
        <v>0</v>
      </c>
      <c r="EB15" s="47"/>
      <c r="EC15" s="47">
        <v>1</v>
      </c>
      <c r="ZZ15" t="s">
        <v>2472</v>
      </c>
    </row>
    <row r="16" spans="1:702" x14ac:dyDescent="0.25">
      <c r="A16" s="47" t="s">
        <v>221</v>
      </c>
      <c r="B16" s="47" t="s">
        <v>153</v>
      </c>
      <c r="C16" s="47" t="s">
        <v>157</v>
      </c>
      <c r="D16" s="47" t="s">
        <v>2491</v>
      </c>
      <c r="E16" s="47" t="s">
        <v>222</v>
      </c>
      <c r="F16" s="47" t="s">
        <v>223</v>
      </c>
      <c r="G16" s="47" t="s">
        <v>224</v>
      </c>
      <c r="H16" s="47" t="s">
        <v>173</v>
      </c>
      <c r="I16" s="47" t="s">
        <v>185</v>
      </c>
      <c r="J16" s="47" t="str">
        <f>=IFERROR(VLOOKUP(H16&amp;I16,Table_Fonctions!A:G,6,FALSE),"")</f>
        <v>0</v>
      </c>
      <c r="K16" s="47" t="s">
        <v>2480</v>
      </c>
      <c r="L16" s="47" t="str">
        <f>=IFERROR(VLOOKUP(H16&amp;I16,Table_Fonctions!A:G,7,FALSE),K16)</f>
        <v/>
      </c>
      <c r="M16" s="47" t="str">
        <f>=IF(OR(LEFT(D16, 3)="TJ ", LEFT(D16, 4)="CPH "), "OUI", "NON")</f>
        <v/>
      </c>
      <c r="N16" s="47" t="s">
        <v>163</v>
      </c>
      <c r="O16" s="47"/>
      <c r="P16" s="47">
        <v>1</v>
      </c>
      <c r="Q16" s="47">
        <v>1</v>
      </c>
      <c r="R16" s="47">
        <v>0</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0.025</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0.925</v>
      </c>
      <c r="CL16" s="47">
        <v>0</v>
      </c>
      <c r="CM16" s="47">
        <v>0</v>
      </c>
      <c r="CN16" s="47">
        <v>0</v>
      </c>
      <c r="CO16" s="47">
        <v>0</v>
      </c>
      <c r="CP16" s="47">
        <v>0</v>
      </c>
      <c r="CQ16" s="47">
        <v>0</v>
      </c>
      <c r="CR16" s="47">
        <v>0</v>
      </c>
      <c r="CS16" s="47">
        <v>0</v>
      </c>
      <c r="CT16" s="47">
        <v>0</v>
      </c>
      <c r="CU16" s="47">
        <v>0</v>
      </c>
      <c r="CV16" s="47">
        <v>0</v>
      </c>
      <c r="CW16" s="47">
        <v>0</v>
      </c>
      <c r="CX16" s="47">
        <v>0</v>
      </c>
      <c r="CY16" s="47">
        <v>0.05</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v>0</v>
      </c>
      <c r="EA16" s="47">
        <v>0</v>
      </c>
      <c r="EB16" s="47"/>
      <c r="EC16" s="47">
        <v>1</v>
      </c>
      <c r="ZZ16" t="s">
        <v>2472</v>
      </c>
    </row>
    <row r="17" spans="1:702" x14ac:dyDescent="0.25">
      <c r="A17" s="47" t="s">
        <v>225</v>
      </c>
      <c r="B17" s="47" t="s">
        <v>153</v>
      </c>
      <c r="C17" s="47" t="s">
        <v>157</v>
      </c>
      <c r="D17" s="47" t="s">
        <v>2492</v>
      </c>
      <c r="E17" s="47" t="s">
        <v>226</v>
      </c>
      <c r="F17" s="47" t="s">
        <v>227</v>
      </c>
      <c r="G17" s="47" t="s">
        <v>228</v>
      </c>
      <c r="H17" s="47" t="s">
        <v>173</v>
      </c>
      <c r="I17" s="47" t="s">
        <v>180</v>
      </c>
      <c r="J17" s="47" t="str">
        <f>=IFERROR(VLOOKUP(H17&amp;I17,Table_Fonctions!A:G,6,FALSE),"")</f>
        <v>0</v>
      </c>
      <c r="K17" s="47" t="s">
        <v>2480</v>
      </c>
      <c r="L17" s="47" t="str">
        <f>=IFERROR(VLOOKUP(H17&amp;I17,Table_Fonctions!A:G,7,FALSE),K17)</f>
        <v/>
      </c>
      <c r="M17" s="47" t="str">
        <f>=IF(OR(LEFT(D17, 3)="TJ ", LEFT(D17, 4)="CPH "), "OUI", "NON")</f>
        <v/>
      </c>
      <c r="N17" s="47" t="s">
        <v>163</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v>
      </c>
      <c r="AT17" s="47">
        <v>0</v>
      </c>
      <c r="AU17" s="47">
        <v>0</v>
      </c>
      <c r="AV17" s="47">
        <v>0</v>
      </c>
      <c r="AW17" s="47">
        <v>0</v>
      </c>
      <c r="AX17" s="47">
        <v>0</v>
      </c>
      <c r="AY17" s="47">
        <v>0</v>
      </c>
      <c r="AZ17" s="47">
        <v>0</v>
      </c>
      <c r="BA17" s="47">
        <v>0</v>
      </c>
      <c r="BB17" s="47">
        <v>0</v>
      </c>
      <c r="BC17" s="47">
        <v>0</v>
      </c>
      <c r="BD17" s="47">
        <v>0</v>
      </c>
      <c r="BE17" s="47">
        <v>0</v>
      </c>
      <c r="BF17" s="47">
        <v>0</v>
      </c>
      <c r="BG17" s="47">
        <v>0</v>
      </c>
      <c r="BH17" s="47">
        <v>0</v>
      </c>
      <c r="BI17" s="47">
        <v>0</v>
      </c>
      <c r="BJ17" s="47">
        <v>0</v>
      </c>
      <c r="BK17" s="47">
        <v>0</v>
      </c>
      <c r="BL17" s="47">
        <v>0</v>
      </c>
      <c r="BM17" s="47">
        <v>0.01</v>
      </c>
      <c r="BN17" s="47">
        <v>0</v>
      </c>
      <c r="BO17" s="47">
        <v>0</v>
      </c>
      <c r="BP17" s="47">
        <v>0</v>
      </c>
      <c r="BQ17" s="47">
        <v>0</v>
      </c>
      <c r="BR17" s="47">
        <v>0</v>
      </c>
      <c r="BS17" s="47">
        <v>0</v>
      </c>
      <c r="BT17" s="47">
        <v>0.82</v>
      </c>
      <c r="BU17" s="47">
        <v>0</v>
      </c>
      <c r="BV17" s="47">
        <v>0</v>
      </c>
      <c r="BW17" s="47">
        <v>0</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0.01</v>
      </c>
      <c r="CW17" s="47">
        <v>0</v>
      </c>
      <c r="CX17" s="47">
        <v>0</v>
      </c>
      <c r="CY17" s="47">
        <v>0.16</v>
      </c>
      <c r="CZ17" s="47">
        <v>0</v>
      </c>
      <c r="DA17" s="47">
        <v>0</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v>
      </c>
      <c r="DW17" s="47">
        <v>0</v>
      </c>
      <c r="DX17" s="47">
        <v>0</v>
      </c>
      <c r="DY17" s="47">
        <v>0</v>
      </c>
      <c r="DZ17" s="47">
        <v>0</v>
      </c>
      <c r="EA17" s="47">
        <v>0</v>
      </c>
      <c r="EB17" s="47"/>
      <c r="EC17" s="47">
        <v>1</v>
      </c>
      <c r="ZZ17" t="s">
        <v>2472</v>
      </c>
    </row>
    <row r="18" spans="1:702" x14ac:dyDescent="0.25">
      <c r="A18" s="47" t="s">
        <v>229</v>
      </c>
      <c r="B18" s="47" t="s">
        <v>153</v>
      </c>
      <c r="C18" s="47" t="s">
        <v>157</v>
      </c>
      <c r="D18" s="47" t="s">
        <v>2493</v>
      </c>
      <c r="E18" s="47" t="s">
        <v>230</v>
      </c>
      <c r="F18" s="47" t="s">
        <v>231</v>
      </c>
      <c r="G18" s="47" t="s">
        <v>232</v>
      </c>
      <c r="H18" s="47" t="s">
        <v>173</v>
      </c>
      <c r="I18" s="47" t="s">
        <v>180</v>
      </c>
      <c r="J18" s="47" t="str">
        <f>=IFERROR(VLOOKUP(H18&amp;I18,Table_Fonctions!A:G,6,FALSE),"")</f>
        <v>0</v>
      </c>
      <c r="K18" s="47" t="s">
        <v>2480</v>
      </c>
      <c r="L18" s="47" t="str">
        <f>=IFERROR(VLOOKUP(H18&amp;I18,Table_Fonctions!A:G,7,FALSE),K18)</f>
        <v/>
      </c>
      <c r="M18" s="47" t="str">
        <f>=IF(OR(LEFT(D18, 3)="TJ ", LEFT(D18, 4)="CPH "), "OUI", "NON")</f>
        <v/>
      </c>
      <c r="N18" s="47" t="s">
        <v>163</v>
      </c>
      <c r="O18" s="47"/>
      <c r="P18" s="47">
        <v>1</v>
      </c>
      <c r="Q18" s="47">
        <v>0.1463</v>
      </c>
      <c r="R18" s="47">
        <v>0.8537</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v>
      </c>
      <c r="BN18" s="47">
        <v>0</v>
      </c>
      <c r="BO18" s="47">
        <v>0</v>
      </c>
      <c r="BP18" s="47">
        <v>0</v>
      </c>
      <c r="BQ18" s="47">
        <v>0</v>
      </c>
      <c r="BR18" s="47">
        <v>0</v>
      </c>
      <c r="BS18" s="47">
        <v>0</v>
      </c>
      <c r="BT18" s="47">
        <v>0.0433</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0.048</v>
      </c>
      <c r="CW18" s="47">
        <v>0</v>
      </c>
      <c r="CX18" s="47">
        <v>0</v>
      </c>
      <c r="CY18" s="47">
        <v>0.055</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v>0</v>
      </c>
      <c r="EA18" s="47">
        <v>0</v>
      </c>
      <c r="EB18" s="47"/>
      <c r="EC18" s="47">
        <v>1</v>
      </c>
      <c r="ZZ18" t="s">
        <v>2472</v>
      </c>
    </row>
    <row r="19" spans="1:702" x14ac:dyDescent="0.25">
      <c r="A19" s="47" t="s">
        <v>233</v>
      </c>
      <c r="B19" s="47" t="s">
        <v>153</v>
      </c>
      <c r="C19" s="47" t="s">
        <v>157</v>
      </c>
      <c r="D19" s="47" t="s">
        <v>2494</v>
      </c>
      <c r="E19" s="47" t="s">
        <v>234</v>
      </c>
      <c r="F19" s="47" t="s">
        <v>235</v>
      </c>
      <c r="G19" s="47" t="s">
        <v>236</v>
      </c>
      <c r="H19" s="47" t="s">
        <v>173</v>
      </c>
      <c r="I19" s="47" t="s">
        <v>174</v>
      </c>
      <c r="J19" s="47" t="str">
        <f>=IFERROR(VLOOKUP(H19&amp;I19,Table_Fonctions!A:G,6,FALSE),"")</f>
        <v>0</v>
      </c>
      <c r="K19" s="47" t="s">
        <v>2478</v>
      </c>
      <c r="L19" s="47" t="str">
        <f>=IFERROR(VLOOKUP(H19&amp;I19,Table_Fonctions!A:G,7,FALSE),K19)</f>
        <v/>
      </c>
      <c r="M19" s="47" t="str">
        <f>=IF(OR(LEFT(D19, 3)="TJ ", LEFT(D19, 4)="CPH "), "OUI", "NON")</f>
        <v/>
      </c>
      <c r="N19" s="47" t="s">
        <v>237</v>
      </c>
      <c r="O19" s="47"/>
      <c r="P19" s="47">
        <v>0.1442</v>
      </c>
      <c r="Q19" s="47">
        <v>0.1442</v>
      </c>
      <c r="R19" s="47">
        <v>0</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0.1442</v>
      </c>
      <c r="BU19" s="47">
        <v>0.1442</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v>0</v>
      </c>
      <c r="EA19" s="47">
        <v>0</v>
      </c>
      <c r="EB19" s="47"/>
      <c r="EC19" s="47">
        <v>0.1442</v>
      </c>
      <c r="ZZ19" t="s">
        <v>2472</v>
      </c>
    </row>
    <row r="20" spans="1:702" x14ac:dyDescent="0.25">
      <c r="A20" s="47" t="s">
        <v>238</v>
      </c>
      <c r="B20" s="47" t="s">
        <v>153</v>
      </c>
      <c r="C20" s="47" t="s">
        <v>157</v>
      </c>
      <c r="D20" s="47" t="s">
        <v>2495</v>
      </c>
      <c r="E20" s="47" t="s">
        <v>239</v>
      </c>
      <c r="F20" s="47" t="s">
        <v>240</v>
      </c>
      <c r="G20" s="47" t="s">
        <v>241</v>
      </c>
      <c r="H20" s="47" t="s">
        <v>173</v>
      </c>
      <c r="I20" s="47" t="s">
        <v>201</v>
      </c>
      <c r="J20" s="47" t="str">
        <f>=IFERROR(VLOOKUP(H20&amp;I20,Table_Fonctions!A:G,6,FALSE),"")</f>
        <v>0</v>
      </c>
      <c r="K20" s="47" t="s">
        <v>2480</v>
      </c>
      <c r="L20" s="47" t="str">
        <f>=IFERROR(VLOOKUP(H20&amp;I20,Table_Fonctions!A:G,7,FALSE),K20)</f>
        <v/>
      </c>
      <c r="M20" s="47" t="str">
        <f>=IF(OR(LEFT(D20, 3)="TJ ", LEFT(D20, 4)="CPH "), "OUI", "NON")</f>
        <v/>
      </c>
      <c r="N20" s="47" t="s">
        <v>163</v>
      </c>
      <c r="O20" s="47"/>
      <c r="P20" s="47">
        <v>1</v>
      </c>
      <c r="Q20" s="47">
        <v>1</v>
      </c>
      <c r="R20" s="47">
        <v>0</v>
      </c>
      <c r="S20" s="47">
        <f>=ROUND(BQ20-(BR20+BS20),3)</f>
      </c>
      <c r="T20" s="47">
        <f>=ROUND(CK20-(CL20+CM20+CN20+CO20+CP20),3)</f>
      </c>
      <c r="U20" s="47">
        <v>0.83</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0.12</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0.05</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v>0</v>
      </c>
      <c r="EA20" s="47">
        <v>0</v>
      </c>
      <c r="EB20" s="47"/>
      <c r="EC20" s="47">
        <v>1</v>
      </c>
      <c r="ZZ20" t="s">
        <v>2472</v>
      </c>
    </row>
    <row r="21" spans="1:702" x14ac:dyDescent="0.25">
      <c r="A21" s="47" t="s">
        <v>242</v>
      </c>
      <c r="B21" s="47" t="s">
        <v>153</v>
      </c>
      <c r="C21" s="47" t="s">
        <v>157</v>
      </c>
      <c r="D21" s="47" t="s">
        <v>2496</v>
      </c>
      <c r="E21" s="47" t="s">
        <v>243</v>
      </c>
      <c r="F21" s="47" t="s">
        <v>244</v>
      </c>
      <c r="G21" s="47" t="s">
        <v>245</v>
      </c>
      <c r="H21" s="47" t="s">
        <v>173</v>
      </c>
      <c r="I21" s="47" t="s">
        <v>180</v>
      </c>
      <c r="J21" s="47" t="str">
        <f>=IFERROR(VLOOKUP(H21&amp;I21,Table_Fonctions!A:G,6,FALSE),"")</f>
        <v>0</v>
      </c>
      <c r="K21" s="47" t="s">
        <v>2480</v>
      </c>
      <c r="L21" s="47" t="str">
        <f>=IFERROR(VLOOKUP(H21&amp;I21,Table_Fonctions!A:G,7,FALSE),K21)</f>
        <v/>
      </c>
      <c r="M21" s="47" t="str">
        <f>=IF(OR(LEFT(D21, 3)="TJ ", LEFT(D21, 4)="CPH "), "OUI", "NON")</f>
        <v/>
      </c>
      <c r="N21" s="47" t="s">
        <v>163</v>
      </c>
      <c r="O21" s="47"/>
      <c r="P21" s="47">
        <v>0</v>
      </c>
      <c r="Q21" s="47">
        <v>0</v>
      </c>
      <c r="R21" s="47">
        <v>0</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1</v>
      </c>
      <c r="DL21" s="47">
        <v>0</v>
      </c>
      <c r="DM21" s="47">
        <v>0</v>
      </c>
      <c r="DN21" s="47">
        <v>0</v>
      </c>
      <c r="DO21" s="47">
        <v>0</v>
      </c>
      <c r="DP21" s="47">
        <v>0</v>
      </c>
      <c r="DQ21" s="47">
        <v>0</v>
      </c>
      <c r="DR21" s="47">
        <v>0</v>
      </c>
      <c r="DS21" s="47">
        <v>1</v>
      </c>
      <c r="DT21" s="47">
        <v>0</v>
      </c>
      <c r="DU21" s="47">
        <v>0</v>
      </c>
      <c r="DV21" s="47">
        <v>0</v>
      </c>
      <c r="DW21" s="47">
        <v>0</v>
      </c>
      <c r="DX21" s="47">
        <v>0</v>
      </c>
      <c r="DY21" s="47">
        <v>0</v>
      </c>
      <c r="DZ21" s="47">
        <v>0</v>
      </c>
      <c r="EA21" s="47">
        <v>0</v>
      </c>
      <c r="EB21" s="47"/>
      <c r="EC21" s="47">
        <v>1</v>
      </c>
      <c r="ZZ21" t="s">
        <v>2472</v>
      </c>
    </row>
    <row r="22" spans="1:702" x14ac:dyDescent="0.25">
      <c r="A22" s="47" t="s">
        <v>246</v>
      </c>
      <c r="B22" s="47" t="s">
        <v>153</v>
      </c>
      <c r="C22" s="47" t="s">
        <v>157</v>
      </c>
      <c r="D22" s="47" t="s">
        <v>2497</v>
      </c>
      <c r="E22" s="47" t="s">
        <v>247</v>
      </c>
      <c r="F22" s="47" t="s">
        <v>248</v>
      </c>
      <c r="G22" s="47" t="s">
        <v>249</v>
      </c>
      <c r="H22" s="47" t="s">
        <v>173</v>
      </c>
      <c r="I22" s="47" t="s">
        <v>201</v>
      </c>
      <c r="J22" s="47" t="str">
        <f>=IFERROR(VLOOKUP(H22&amp;I22,Table_Fonctions!A:G,6,FALSE),"")</f>
        <v>0</v>
      </c>
      <c r="K22" s="47" t="s">
        <v>2480</v>
      </c>
      <c r="L22" s="47" t="str">
        <f>=IFERROR(VLOOKUP(H22&amp;I22,Table_Fonctions!A:G,7,FALSE),K22)</f>
        <v/>
      </c>
      <c r="M22" s="47" t="str">
        <f>=IF(OR(LEFT(D22, 3)="TJ ", LEFT(D22, 4)="CPH "), "OUI", "NON")</f>
        <v/>
      </c>
      <c r="N22" s="47" t="s">
        <v>163</v>
      </c>
      <c r="O22" s="47"/>
      <c r="P22" s="47">
        <v>1</v>
      </c>
      <c r="Q22" s="47">
        <v>0.151</v>
      </c>
      <c r="R22" s="47">
        <v>0.849</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v>
      </c>
      <c r="BR22" s="47">
        <v>0</v>
      </c>
      <c r="BS22" s="47">
        <v>0</v>
      </c>
      <c r="BT22" s="47">
        <v>0.101</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0.05</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v>0</v>
      </c>
      <c r="EA22" s="47">
        <v>0</v>
      </c>
      <c r="EB22" s="47"/>
      <c r="EC22" s="47">
        <v>1</v>
      </c>
      <c r="ZZ22" t="s">
        <v>2472</v>
      </c>
    </row>
    <row r="23" spans="1:702" x14ac:dyDescent="0.25">
      <c r="A23" s="47" t="s">
        <v>250</v>
      </c>
      <c r="B23" s="47" t="s">
        <v>153</v>
      </c>
      <c r="C23" s="47" t="s">
        <v>157</v>
      </c>
      <c r="D23" s="47" t="s">
        <v>2498</v>
      </c>
      <c r="E23" s="47" t="s">
        <v>251</v>
      </c>
      <c r="F23" s="47" t="s">
        <v>252</v>
      </c>
      <c r="G23" s="47" t="s">
        <v>253</v>
      </c>
      <c r="H23" s="47" t="s">
        <v>173</v>
      </c>
      <c r="I23" s="47" t="s">
        <v>220</v>
      </c>
      <c r="J23" s="47" t="str">
        <f>=IFERROR(VLOOKUP(H23&amp;I23,Table_Fonctions!A:G,6,FALSE),"")</f>
        <v>0</v>
      </c>
      <c r="K23" s="47" t="s">
        <v>2480</v>
      </c>
      <c r="L23" s="47" t="str">
        <f>=IFERROR(VLOOKUP(H23&amp;I23,Table_Fonctions!A:G,7,FALSE),K23)</f>
        <v/>
      </c>
      <c r="M23" s="47" t="str">
        <f>=IF(OR(LEFT(D23, 3)="TJ ", LEFT(D23, 4)="CPH "), "OUI", "NON")</f>
        <v/>
      </c>
      <c r="N23" s="47" t="s">
        <v>163</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0.385</v>
      </c>
      <c r="AK23" s="47">
        <v>0</v>
      </c>
      <c r="AL23" s="47">
        <v>0</v>
      </c>
      <c r="AM23" s="47">
        <v>0</v>
      </c>
      <c r="AN23" s="47">
        <v>0</v>
      </c>
      <c r="AO23" s="47">
        <v>0</v>
      </c>
      <c r="AP23" s="47">
        <v>0</v>
      </c>
      <c r="AQ23" s="47">
        <v>0</v>
      </c>
      <c r="AR23" s="47">
        <v>0</v>
      </c>
      <c r="AS23" s="47">
        <v>0.485</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0.01</v>
      </c>
      <c r="BN23" s="47">
        <v>0</v>
      </c>
      <c r="BO23" s="47">
        <v>0</v>
      </c>
      <c r="BP23" s="47">
        <v>0</v>
      </c>
      <c r="BQ23" s="47">
        <v>0</v>
      </c>
      <c r="BR23" s="47">
        <v>0</v>
      </c>
      <c r="BS23" s="47">
        <v>0</v>
      </c>
      <c r="BT23" s="47">
        <v>0.02</v>
      </c>
      <c r="BU23" s="47">
        <v>0</v>
      </c>
      <c r="BV23" s="47">
        <v>0</v>
      </c>
      <c r="BW23" s="47">
        <v>0</v>
      </c>
      <c r="BX23" s="47">
        <v>0</v>
      </c>
      <c r="BY23" s="47">
        <v>0</v>
      </c>
      <c r="BZ23" s="47">
        <v>0</v>
      </c>
      <c r="CA23" s="47">
        <v>0</v>
      </c>
      <c r="CB23" s="47">
        <v>0</v>
      </c>
      <c r="CC23" s="47">
        <v>0</v>
      </c>
      <c r="CD23" s="47">
        <v>0</v>
      </c>
      <c r="CE23" s="47">
        <v>0</v>
      </c>
      <c r="CF23" s="47">
        <v>0</v>
      </c>
      <c r="CG23" s="47">
        <v>0</v>
      </c>
      <c r="CH23" s="47">
        <v>0</v>
      </c>
      <c r="CI23" s="47">
        <v>0</v>
      </c>
      <c r="CJ23" s="47">
        <v>0</v>
      </c>
      <c r="CK23" s="47">
        <v>0</v>
      </c>
      <c r="CL23" s="47">
        <v>0</v>
      </c>
      <c r="CM23" s="47">
        <v>0</v>
      </c>
      <c r="CN23" s="47">
        <v>0</v>
      </c>
      <c r="CO23" s="47">
        <v>0</v>
      </c>
      <c r="CP23" s="47">
        <v>0</v>
      </c>
      <c r="CQ23" s="47">
        <v>0</v>
      </c>
      <c r="CR23" s="47">
        <v>0</v>
      </c>
      <c r="CS23" s="47">
        <v>0</v>
      </c>
      <c r="CT23" s="47">
        <v>0</v>
      </c>
      <c r="CU23" s="47">
        <v>0</v>
      </c>
      <c r="CV23" s="47">
        <v>0</v>
      </c>
      <c r="CW23" s="47">
        <v>0</v>
      </c>
      <c r="CX23" s="47">
        <v>0</v>
      </c>
      <c r="CY23" s="47">
        <v>0.1</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v>0</v>
      </c>
      <c r="EA23" s="47">
        <v>0</v>
      </c>
      <c r="EB23" s="47"/>
      <c r="EC23" s="47">
        <v>1</v>
      </c>
      <c r="ZZ23" t="s">
        <v>2472</v>
      </c>
    </row>
    <row r="24" spans="1:702" x14ac:dyDescent="0.25">
      <c r="A24" s="47" t="s">
        <v>254</v>
      </c>
      <c r="B24" s="47" t="s">
        <v>153</v>
      </c>
      <c r="C24" s="47" t="s">
        <v>157</v>
      </c>
      <c r="D24" s="47" t="s">
        <v>2499</v>
      </c>
      <c r="E24" s="47" t="s">
        <v>255</v>
      </c>
      <c r="F24" s="47" t="s">
        <v>256</v>
      </c>
      <c r="G24" s="47" t="s">
        <v>257</v>
      </c>
      <c r="H24" s="47" t="s">
        <v>173</v>
      </c>
      <c r="I24" s="47" t="s">
        <v>180</v>
      </c>
      <c r="J24" s="47" t="str">
        <f>=IFERROR(VLOOKUP(H24&amp;I24,Table_Fonctions!A:G,6,FALSE),"")</f>
        <v>0</v>
      </c>
      <c r="K24" s="47" t="s">
        <v>2480</v>
      </c>
      <c r="L24" s="47" t="str">
        <f>=IFERROR(VLOOKUP(H24&amp;I24,Table_Fonctions!A:G,7,FALSE),K24)</f>
        <v/>
      </c>
      <c r="M24" s="47" t="str">
        <f>=IF(OR(LEFT(D24, 3)="TJ ", LEFT(D24, 4)="CPH "), "OUI", "NON")</f>
        <v/>
      </c>
      <c r="N24" s="47" t="s">
        <v>163</v>
      </c>
      <c r="O24" s="47"/>
      <c r="P24" s="47">
        <v>1</v>
      </c>
      <c r="Q24" s="47">
        <v>1</v>
      </c>
      <c r="R24" s="47">
        <v>0</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0.8516</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0.0096</v>
      </c>
      <c r="BN24" s="47">
        <v>0</v>
      </c>
      <c r="BO24" s="47">
        <v>0</v>
      </c>
      <c r="BP24" s="47">
        <v>0</v>
      </c>
      <c r="BQ24" s="47">
        <v>0</v>
      </c>
      <c r="BR24" s="47">
        <v>0</v>
      </c>
      <c r="BS24" s="47">
        <v>0</v>
      </c>
      <c r="BT24" s="47">
        <v>0.06</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0.0096</v>
      </c>
      <c r="CW24" s="47">
        <v>0</v>
      </c>
      <c r="CX24" s="47">
        <v>0</v>
      </c>
      <c r="CY24" s="47">
        <v>0.0692</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v>0</v>
      </c>
      <c r="EA24" s="47">
        <v>0</v>
      </c>
      <c r="EB24" s="47"/>
      <c r="EC24" s="47">
        <v>1</v>
      </c>
      <c r="ZZ24" t="s">
        <v>2472</v>
      </c>
    </row>
    <row r="25" spans="1:702" x14ac:dyDescent="0.25">
      <c r="A25" s="47" t="s">
        <v>258</v>
      </c>
      <c r="B25" s="47" t="s">
        <v>153</v>
      </c>
      <c r="C25" s="47" t="s">
        <v>157</v>
      </c>
      <c r="D25" s="47" t="s">
        <v>2500</v>
      </c>
      <c r="E25" s="47" t="s">
        <v>259</v>
      </c>
      <c r="F25" s="47" t="s">
        <v>260</v>
      </c>
      <c r="G25" s="47" t="s">
        <v>261</v>
      </c>
      <c r="H25" s="47" t="s">
        <v>173</v>
      </c>
      <c r="I25" s="47" t="s">
        <v>2501</v>
      </c>
      <c r="J25" s="47" t="str">
        <f>=IFERROR(VLOOKUP(H25&amp;I25,Table_Fonctions!A:G,6,FALSE),"")</f>
        <v>0</v>
      </c>
      <c r="K25" s="47" t="s">
        <v>2485</v>
      </c>
      <c r="L25" s="47" t="str">
        <f>=IFERROR(VLOOKUP(H25&amp;I25,Table_Fonctions!A:G,7,FALSE),K25)</f>
        <v/>
      </c>
      <c r="M25" s="47" t="str">
        <f>=IF(OR(LEFT(D25, 3)="TJ ", LEFT(D25, 4)="CPH "), "OUI", "NON")</f>
        <v/>
      </c>
      <c r="N25" s="47" t="s">
        <v>263</v>
      </c>
      <c r="O25" s="47"/>
      <c r="P25" s="47">
        <v>1</v>
      </c>
      <c r="Q25" s="47">
        <v>1</v>
      </c>
      <c r="R25" s="47">
        <v>0</v>
      </c>
      <c r="S25" s="47">
        <f>=ROUND(BQ25-(BR25+BS25),3)</f>
      </c>
      <c r="T25" s="47">
        <f>=ROUND(CK25-(CL25+CM25+CN25+CO25+CP25),3)</f>
      </c>
      <c r="U25" s="47">
        <v>0.87</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0.08</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v>
      </c>
      <c r="CW25" s="47">
        <v>0</v>
      </c>
      <c r="CX25" s="47">
        <v>0</v>
      </c>
      <c r="CY25" s="47">
        <v>0.05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v>0</v>
      </c>
      <c r="DZ25" s="47">
        <v>0</v>
      </c>
      <c r="EA25" s="47">
        <v>0</v>
      </c>
      <c r="EB25" s="47"/>
      <c r="EC25" s="47">
        <v>1</v>
      </c>
      <c r="ZZ25" t="s">
        <v>2472</v>
      </c>
    </row>
    <row r="26" spans="1:702" x14ac:dyDescent="0.25">
      <c r="A26" s="47" t="s">
        <v>264</v>
      </c>
      <c r="B26" s="47" t="s">
        <v>153</v>
      </c>
      <c r="C26" s="47" t="s">
        <v>157</v>
      </c>
      <c r="D26" s="47" t="s">
        <v>2502</v>
      </c>
      <c r="E26" s="47" t="s">
        <v>265</v>
      </c>
      <c r="F26" s="47" t="s">
        <v>266</v>
      </c>
      <c r="G26" s="47" t="s">
        <v>267</v>
      </c>
      <c r="H26" s="47" t="s">
        <v>173</v>
      </c>
      <c r="I26" s="47" t="s">
        <v>268</v>
      </c>
      <c r="J26" s="47" t="str">
        <f>=IFERROR(VLOOKUP(H26&amp;I26,Table_Fonctions!A:G,6,FALSE),"")</f>
        <v>0</v>
      </c>
      <c r="K26" s="47" t="s">
        <v>2480</v>
      </c>
      <c r="L26" s="47" t="str">
        <f>=IFERROR(VLOOKUP(H26&amp;I26,Table_Fonctions!A:G,7,FALSE),K26)</f>
        <v/>
      </c>
      <c r="M26" s="47" t="str">
        <f>=IF(OR(LEFT(D26, 3)="TJ ", LEFT(D26, 4)="CPH "), "OUI", "NON")</f>
        <v/>
      </c>
      <c r="N26" s="47" t="s">
        <v>163</v>
      </c>
      <c r="O26" s="47"/>
      <c r="P26" s="47">
        <v>1</v>
      </c>
      <c r="Q26" s="47">
        <v>1</v>
      </c>
      <c r="R26" s="47">
        <v>0</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0.289</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0.641</v>
      </c>
      <c r="CL26" s="47">
        <v>0</v>
      </c>
      <c r="CM26" s="47">
        <v>0</v>
      </c>
      <c r="CN26" s="47">
        <v>0</v>
      </c>
      <c r="CO26" s="47">
        <v>0</v>
      </c>
      <c r="CP26" s="47">
        <v>0</v>
      </c>
      <c r="CQ26" s="47">
        <v>0</v>
      </c>
      <c r="CR26" s="47">
        <v>0</v>
      </c>
      <c r="CS26" s="47">
        <v>0</v>
      </c>
      <c r="CT26" s="47">
        <v>0</v>
      </c>
      <c r="CU26" s="47">
        <v>0</v>
      </c>
      <c r="CV26" s="47">
        <v>0</v>
      </c>
      <c r="CW26" s="47">
        <v>0</v>
      </c>
      <c r="CX26" s="47">
        <v>0</v>
      </c>
      <c r="CY26" s="47">
        <v>0.07</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v>0</v>
      </c>
      <c r="DZ26" s="47">
        <v>0</v>
      </c>
      <c r="EA26" s="47">
        <v>0</v>
      </c>
      <c r="EB26" s="47"/>
      <c r="EC26" s="47">
        <v>1</v>
      </c>
      <c r="ZZ26" t="s">
        <v>2472</v>
      </c>
    </row>
    <row r="27" spans="1:702" x14ac:dyDescent="0.25">
      <c r="A27" s="47" t="s">
        <v>269</v>
      </c>
      <c r="B27" s="47" t="s">
        <v>153</v>
      </c>
      <c r="C27" s="47" t="s">
        <v>157</v>
      </c>
      <c r="D27" s="47" t="s">
        <v>2503</v>
      </c>
      <c r="E27" s="47" t="s">
        <v>270</v>
      </c>
      <c r="F27" s="47" t="s">
        <v>271</v>
      </c>
      <c r="G27" s="47" t="s">
        <v>272</v>
      </c>
      <c r="H27" s="47" t="s">
        <v>173</v>
      </c>
      <c r="I27" s="47" t="s">
        <v>273</v>
      </c>
      <c r="J27" s="47" t="str">
        <f>=IFERROR(VLOOKUP(H27&amp;I27,Table_Fonctions!A:G,6,FALSE),"")</f>
        <v>0</v>
      </c>
      <c r="K27" s="47" t="s">
        <v>2480</v>
      </c>
      <c r="L27" s="47" t="str">
        <f>=IFERROR(VLOOKUP(H27&amp;I27,Table_Fonctions!A:G,7,FALSE),K27)</f>
        <v/>
      </c>
      <c r="M27" s="47" t="str">
        <f>=IF(OR(LEFT(D27, 3)="TJ ", LEFT(D27, 4)="CPH "), "OUI", "NON")</f>
        <v/>
      </c>
      <c r="N27" s="47" t="s">
        <v>163</v>
      </c>
      <c r="O27" s="47"/>
      <c r="P27" s="47">
        <v>1</v>
      </c>
      <c r="Q27" s="47">
        <v>1</v>
      </c>
      <c r="R27" s="47">
        <v>0</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0.13</v>
      </c>
      <c r="AK27" s="47">
        <v>0</v>
      </c>
      <c r="AL27" s="47">
        <v>0</v>
      </c>
      <c r="AM27" s="47">
        <v>0</v>
      </c>
      <c r="AN27" s="47">
        <v>0</v>
      </c>
      <c r="AO27" s="47">
        <v>0</v>
      </c>
      <c r="AP27" s="47">
        <v>0</v>
      </c>
      <c r="AQ27" s="47">
        <v>0</v>
      </c>
      <c r="AR27" s="47">
        <v>0</v>
      </c>
      <c r="AS27" s="47">
        <v>0.5</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0.02</v>
      </c>
      <c r="BN27" s="47">
        <v>0</v>
      </c>
      <c r="BO27" s="47">
        <v>0</v>
      </c>
      <c r="BP27" s="47">
        <v>0</v>
      </c>
      <c r="BQ27" s="47">
        <v>0</v>
      </c>
      <c r="BR27" s="47">
        <v>0</v>
      </c>
      <c r="BS27" s="47">
        <v>0</v>
      </c>
      <c r="BT27" s="47">
        <v>0.05</v>
      </c>
      <c r="BU27" s="47">
        <v>0</v>
      </c>
      <c r="BV27" s="47">
        <v>0</v>
      </c>
      <c r="BW27" s="47">
        <v>0</v>
      </c>
      <c r="BX27" s="47">
        <v>0</v>
      </c>
      <c r="BY27" s="47">
        <v>0</v>
      </c>
      <c r="BZ27" s="47">
        <v>0</v>
      </c>
      <c r="CA27" s="47">
        <v>0</v>
      </c>
      <c r="CB27" s="47">
        <v>0</v>
      </c>
      <c r="CC27" s="47">
        <v>0</v>
      </c>
      <c r="CD27" s="47">
        <v>0</v>
      </c>
      <c r="CE27" s="47">
        <v>0</v>
      </c>
      <c r="CF27" s="47">
        <v>0</v>
      </c>
      <c r="CG27" s="47">
        <v>0</v>
      </c>
      <c r="CH27" s="47">
        <v>0</v>
      </c>
      <c r="CI27" s="47">
        <v>0</v>
      </c>
      <c r="CJ27" s="47">
        <v>0</v>
      </c>
      <c r="CK27" s="47">
        <v>0</v>
      </c>
      <c r="CL27" s="47">
        <v>0</v>
      </c>
      <c r="CM27" s="47">
        <v>0</v>
      </c>
      <c r="CN27" s="47">
        <v>0</v>
      </c>
      <c r="CO27" s="47">
        <v>0</v>
      </c>
      <c r="CP27" s="47">
        <v>0</v>
      </c>
      <c r="CQ27" s="47">
        <v>0</v>
      </c>
      <c r="CR27" s="47">
        <v>0</v>
      </c>
      <c r="CS27" s="47">
        <v>0</v>
      </c>
      <c r="CT27" s="47">
        <v>0</v>
      </c>
      <c r="CU27" s="47">
        <v>0</v>
      </c>
      <c r="CV27" s="47">
        <v>0</v>
      </c>
      <c r="CW27" s="47">
        <v>0</v>
      </c>
      <c r="CX27" s="47">
        <v>0</v>
      </c>
      <c r="CY27" s="47">
        <v>0.3</v>
      </c>
      <c r="CZ27" s="47">
        <v>0</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v>
      </c>
      <c r="DV27" s="47">
        <v>0</v>
      </c>
      <c r="DW27" s="47">
        <v>0</v>
      </c>
      <c r="DX27" s="47">
        <v>0</v>
      </c>
      <c r="DY27" s="47">
        <v>0</v>
      </c>
      <c r="DZ27" s="47">
        <v>0</v>
      </c>
      <c r="EA27" s="47">
        <v>0</v>
      </c>
      <c r="EB27" s="47"/>
      <c r="EC27" s="47">
        <v>1</v>
      </c>
      <c r="ZZ27" t="s">
        <v>2472</v>
      </c>
    </row>
    <row r="28" spans="1:702" x14ac:dyDescent="0.25">
      <c r="A28" s="47" t="s">
        <v>274</v>
      </c>
      <c r="B28" s="47" t="s">
        <v>153</v>
      </c>
      <c r="C28" s="47" t="s">
        <v>157</v>
      </c>
      <c r="D28" s="47" t="s">
        <v>2504</v>
      </c>
      <c r="E28" s="47" t="s">
        <v>275</v>
      </c>
      <c r="F28" s="47" t="s">
        <v>276</v>
      </c>
      <c r="G28" s="47" t="s">
        <v>277</v>
      </c>
      <c r="H28" s="47" t="s">
        <v>173</v>
      </c>
      <c r="I28" s="47" t="s">
        <v>180</v>
      </c>
      <c r="J28" s="47" t="str">
        <f>=IFERROR(VLOOKUP(H28&amp;I28,Table_Fonctions!A:G,6,FALSE),"")</f>
        <v>0</v>
      </c>
      <c r="K28" s="47" t="s">
        <v>2480</v>
      </c>
      <c r="L28" s="47" t="str">
        <f>=IFERROR(VLOOKUP(H28&amp;I28,Table_Fonctions!A:G,7,FALSE),K28)</f>
        <v/>
      </c>
      <c r="M28" s="47" t="str">
        <f>=IF(OR(LEFT(D28, 3)="TJ ", LEFT(D28, 4)="CPH "), "OUI", "NON")</f>
        <v/>
      </c>
      <c r="N28" s="47" t="s">
        <v>278</v>
      </c>
      <c r="O28" s="47"/>
      <c r="P28" s="47">
        <v>0.8</v>
      </c>
      <c r="Q28" s="47">
        <v>0.8</v>
      </c>
      <c r="R28" s="47">
        <v>0</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0.72</v>
      </c>
      <c r="BU28" s="47">
        <v>0.64</v>
      </c>
      <c r="BV28" s="47">
        <v>0</v>
      </c>
      <c r="BW28" s="47">
        <v>0.08</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0.024</v>
      </c>
      <c r="CW28" s="47">
        <v>0.024</v>
      </c>
      <c r="CX28" s="47">
        <v>0</v>
      </c>
      <c r="CY28" s="47">
        <v>0.056</v>
      </c>
      <c r="CZ28" s="47">
        <v>0</v>
      </c>
      <c r="DA28" s="47">
        <v>0</v>
      </c>
      <c r="DB28" s="47">
        <v>0</v>
      </c>
      <c r="DC28" s="47">
        <v>0</v>
      </c>
      <c r="DD28" s="47">
        <v>0</v>
      </c>
      <c r="DE28" s="47">
        <v>0</v>
      </c>
      <c r="DF28" s="47">
        <v>0</v>
      </c>
      <c r="DG28" s="47">
        <v>0</v>
      </c>
      <c r="DH28" s="47">
        <v>0</v>
      </c>
      <c r="DI28" s="47">
        <v>0</v>
      </c>
      <c r="DJ28" s="47">
        <v>0</v>
      </c>
      <c r="DK28" s="47">
        <v>0.2</v>
      </c>
      <c r="DL28" s="47">
        <v>0</v>
      </c>
      <c r="DM28" s="47">
        <v>0</v>
      </c>
      <c r="DN28" s="47">
        <v>0.2</v>
      </c>
      <c r="DO28" s="47">
        <v>0</v>
      </c>
      <c r="DP28" s="47">
        <v>0</v>
      </c>
      <c r="DQ28" s="47">
        <v>0</v>
      </c>
      <c r="DR28" s="47">
        <v>0</v>
      </c>
      <c r="DS28" s="47">
        <v>0</v>
      </c>
      <c r="DT28" s="47">
        <v>0</v>
      </c>
      <c r="DU28" s="47">
        <v>0</v>
      </c>
      <c r="DV28" s="47">
        <v>0</v>
      </c>
      <c r="DW28" s="47">
        <v>0</v>
      </c>
      <c r="DX28" s="47">
        <v>0</v>
      </c>
      <c r="DY28" s="47">
        <v>0</v>
      </c>
      <c r="DZ28" s="47">
        <v>0</v>
      </c>
      <c r="EA28" s="47">
        <v>0</v>
      </c>
      <c r="EB28" s="47"/>
      <c r="EC28" s="47">
        <v>1</v>
      </c>
      <c r="ZZ28" t="s">
        <v>2472</v>
      </c>
    </row>
    <row r="29" spans="1:702" x14ac:dyDescent="0.25">
      <c r="A29" s="47" t="s">
        <v>279</v>
      </c>
      <c r="B29" s="47" t="s">
        <v>153</v>
      </c>
      <c r="C29" s="47" t="s">
        <v>157</v>
      </c>
      <c r="D29" s="47" t="s">
        <v>2505</v>
      </c>
      <c r="E29" s="47" t="s">
        <v>280</v>
      </c>
      <c r="F29" s="47" t="s">
        <v>281</v>
      </c>
      <c r="G29" s="47" t="s">
        <v>282</v>
      </c>
      <c r="H29" s="47" t="s">
        <v>173</v>
      </c>
      <c r="I29" s="47" t="s">
        <v>180</v>
      </c>
      <c r="J29" s="47" t="str">
        <f>=IFERROR(VLOOKUP(H29&amp;I29,Table_Fonctions!A:G,6,FALSE),"")</f>
        <v>0</v>
      </c>
      <c r="K29" s="47" t="s">
        <v>2480</v>
      </c>
      <c r="L29" s="47" t="str">
        <f>=IFERROR(VLOOKUP(H29&amp;I29,Table_Fonctions!A:G,7,FALSE),K29)</f>
        <v/>
      </c>
      <c r="M29" s="47" t="str">
        <f>=IF(OR(LEFT(D29, 3)="TJ ", LEFT(D29, 4)="CPH "), "OUI", "NON")</f>
        <v/>
      </c>
      <c r="N29" s="47" t="s">
        <v>163</v>
      </c>
      <c r="O29" s="47"/>
      <c r="P29" s="47">
        <v>1</v>
      </c>
      <c r="Q29" s="47">
        <v>1</v>
      </c>
      <c r="R29" s="47">
        <v>0</v>
      </c>
      <c r="S29" s="47">
        <f>=ROUND(BQ29-(BR29+BS29),3)</f>
      </c>
      <c r="T29" s="47">
        <f>=ROUND(CK29-(CL29+CM29+CN29+CO29+CP29),3)</f>
      </c>
      <c r="U29" s="47">
        <v>0.3</v>
      </c>
      <c r="V29" s="47">
        <v>0</v>
      </c>
      <c r="W29" s="47">
        <v>0</v>
      </c>
      <c r="X29" s="47">
        <v>0</v>
      </c>
      <c r="Y29" s="47">
        <v>0</v>
      </c>
      <c r="Z29" s="47">
        <v>0</v>
      </c>
      <c r="AA29" s="47">
        <v>0</v>
      </c>
      <c r="AB29" s="47">
        <v>0</v>
      </c>
      <c r="AC29" s="47">
        <v>0</v>
      </c>
      <c r="AD29" s="47">
        <v>0</v>
      </c>
      <c r="AE29" s="47">
        <v>0</v>
      </c>
      <c r="AF29" s="47">
        <v>0</v>
      </c>
      <c r="AG29" s="47">
        <v>0</v>
      </c>
      <c r="AH29" s="47">
        <v>0</v>
      </c>
      <c r="AI29" s="47">
        <v>0</v>
      </c>
      <c r="AJ29" s="47">
        <v>0.57</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0.03</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0.1</v>
      </c>
      <c r="CZ29" s="47">
        <v>0</v>
      </c>
      <c r="DA29" s="47">
        <v>0</v>
      </c>
      <c r="DB29" s="47">
        <v>0</v>
      </c>
      <c r="DC29" s="47">
        <v>0</v>
      </c>
      <c r="DD29" s="47">
        <v>0</v>
      </c>
      <c r="DE29" s="47">
        <v>0</v>
      </c>
      <c r="DF29" s="47">
        <v>0</v>
      </c>
      <c r="DG29" s="47">
        <v>0</v>
      </c>
      <c r="DH29" s="47">
        <v>0</v>
      </c>
      <c r="DI29" s="47">
        <v>0</v>
      </c>
      <c r="DJ29" s="47">
        <v>0</v>
      </c>
      <c r="DK29" s="47">
        <v>0</v>
      </c>
      <c r="DL29" s="47">
        <v>0</v>
      </c>
      <c r="DM29" s="47">
        <v>0</v>
      </c>
      <c r="DN29" s="47">
        <v>0</v>
      </c>
      <c r="DO29" s="47">
        <v>0</v>
      </c>
      <c r="DP29" s="47">
        <v>0</v>
      </c>
      <c r="DQ29" s="47">
        <v>0</v>
      </c>
      <c r="DR29" s="47">
        <v>0</v>
      </c>
      <c r="DS29" s="47">
        <v>0</v>
      </c>
      <c r="DT29" s="47">
        <v>0</v>
      </c>
      <c r="DU29" s="47">
        <v>0</v>
      </c>
      <c r="DV29" s="47">
        <v>0</v>
      </c>
      <c r="DW29" s="47">
        <v>0</v>
      </c>
      <c r="DX29" s="47">
        <v>0</v>
      </c>
      <c r="DY29" s="47">
        <v>0</v>
      </c>
      <c r="DZ29" s="47">
        <v>0</v>
      </c>
      <c r="EA29" s="47">
        <v>0</v>
      </c>
      <c r="EB29" s="47"/>
      <c r="EC29" s="47">
        <v>1</v>
      </c>
      <c r="ZZ29" t="s">
        <v>2472</v>
      </c>
    </row>
    <row r="30" spans="1:702" x14ac:dyDescent="0.25">
      <c r="A30" s="47" t="s">
        <v>283</v>
      </c>
      <c r="B30" s="47" t="s">
        <v>153</v>
      </c>
      <c r="C30" s="47" t="s">
        <v>157</v>
      </c>
      <c r="D30" s="47" t="s">
        <v>2506</v>
      </c>
      <c r="E30" s="47" t="s">
        <v>284</v>
      </c>
      <c r="F30" s="47" t="s">
        <v>285</v>
      </c>
      <c r="G30" s="47" t="s">
        <v>286</v>
      </c>
      <c r="H30" s="47" t="s">
        <v>173</v>
      </c>
      <c r="I30" s="47" t="s">
        <v>287</v>
      </c>
      <c r="J30" s="47" t="str">
        <f>=IFERROR(VLOOKUP(H30&amp;I30,Table_Fonctions!A:G,6,FALSE),"")</f>
        <v>0</v>
      </c>
      <c r="K30" s="47" t="s">
        <v>2478</v>
      </c>
      <c r="L30" s="47" t="str">
        <f>=IFERROR(VLOOKUP(H30&amp;I30,Table_Fonctions!A:G,7,FALSE),K30)</f>
        <v/>
      </c>
      <c r="M30" s="47" t="str">
        <f>=IF(OR(LEFT(D30, 3)="TJ ", LEFT(D30, 4)="CPH "), "OUI", "NON")</f>
        <v/>
      </c>
      <c r="N30" s="47" t="s">
        <v>288</v>
      </c>
      <c r="O30" s="47"/>
      <c r="P30" s="47">
        <v>0.7212</v>
      </c>
      <c r="Q30" s="47">
        <v>0.7212</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0.577</v>
      </c>
      <c r="AK30" s="47">
        <v>0</v>
      </c>
      <c r="AL30" s="47">
        <v>0.577</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0.1442</v>
      </c>
      <c r="BU30" s="47">
        <v>0</v>
      </c>
      <c r="BV30" s="47">
        <v>0.1442</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v>0</v>
      </c>
      <c r="DZ30" s="47">
        <v>0</v>
      </c>
      <c r="EA30" s="47">
        <v>0</v>
      </c>
      <c r="EB30" s="47"/>
      <c r="EC30" s="47">
        <v>0.7212</v>
      </c>
      <c r="ZZ30" t="s">
        <v>2472</v>
      </c>
    </row>
    <row r="31" spans="1:702" x14ac:dyDescent="0.25">
      <c r="A31" s="47" t="s">
        <v>289</v>
      </c>
      <c r="B31" s="47" t="s">
        <v>153</v>
      </c>
      <c r="C31" s="47" t="s">
        <v>157</v>
      </c>
      <c r="D31" s="47" t="s">
        <v>2507</v>
      </c>
      <c r="E31" s="47" t="s">
        <v>290</v>
      </c>
      <c r="F31" s="47" t="s">
        <v>291</v>
      </c>
      <c r="G31" s="47" t="s">
        <v>292</v>
      </c>
      <c r="H31" s="47" t="s">
        <v>173</v>
      </c>
      <c r="I31" s="47" t="s">
        <v>220</v>
      </c>
      <c r="J31" s="47" t="str">
        <f>=IFERROR(VLOOKUP(H31&amp;I31,Table_Fonctions!A:G,6,FALSE),"")</f>
        <v>0</v>
      </c>
      <c r="K31" s="47" t="s">
        <v>2480</v>
      </c>
      <c r="L31" s="47" t="str">
        <f>=IFERROR(VLOOKUP(H31&amp;I31,Table_Fonctions!A:G,7,FALSE),K31)</f>
        <v/>
      </c>
      <c r="M31" s="47" t="str">
        <f>=IF(OR(LEFT(D31, 3)="TJ ", LEFT(D31, 4)="CPH "), "OUI", "NON")</f>
        <v/>
      </c>
      <c r="N31" s="47" t="s">
        <v>163</v>
      </c>
      <c r="O31" s="47"/>
      <c r="P31" s="47">
        <v>0.8</v>
      </c>
      <c r="Q31" s="47">
        <v>0.8</v>
      </c>
      <c r="R31" s="47">
        <v>0</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0.3541</v>
      </c>
      <c r="AK31" s="47">
        <v>0</v>
      </c>
      <c r="AL31" s="47">
        <v>0</v>
      </c>
      <c r="AM31" s="47">
        <v>0</v>
      </c>
      <c r="AN31" s="47">
        <v>0</v>
      </c>
      <c r="AO31" s="47">
        <v>0</v>
      </c>
      <c r="AP31" s="47">
        <v>0</v>
      </c>
      <c r="AQ31" s="47">
        <v>0</v>
      </c>
      <c r="AR31" s="47">
        <v>0</v>
      </c>
      <c r="AS31" s="47">
        <v>0.136</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0.1735</v>
      </c>
      <c r="BN31" s="47">
        <v>0</v>
      </c>
      <c r="BO31" s="47">
        <v>0</v>
      </c>
      <c r="BP31" s="47">
        <v>0</v>
      </c>
      <c r="BQ31" s="47">
        <v>0</v>
      </c>
      <c r="BR31" s="47">
        <v>0</v>
      </c>
      <c r="BS31" s="47">
        <v>0</v>
      </c>
      <c r="BT31" s="47">
        <v>0.0807</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0.0077</v>
      </c>
      <c r="CW31" s="47">
        <v>0</v>
      </c>
      <c r="CX31" s="47">
        <v>0</v>
      </c>
      <c r="CY31" s="47">
        <v>0.048</v>
      </c>
      <c r="CZ31" s="47">
        <v>0</v>
      </c>
      <c r="DA31" s="47">
        <v>0</v>
      </c>
      <c r="DB31" s="47">
        <v>0</v>
      </c>
      <c r="DC31" s="47">
        <v>0</v>
      </c>
      <c r="DD31" s="47">
        <v>0</v>
      </c>
      <c r="DE31" s="47">
        <v>0</v>
      </c>
      <c r="DF31" s="47">
        <v>0</v>
      </c>
      <c r="DG31" s="47">
        <v>0</v>
      </c>
      <c r="DH31" s="47">
        <v>0</v>
      </c>
      <c r="DI31" s="47">
        <v>0</v>
      </c>
      <c r="DJ31" s="47">
        <v>0</v>
      </c>
      <c r="DK31" s="47">
        <v>0</v>
      </c>
      <c r="DL31" s="47">
        <v>0</v>
      </c>
      <c r="DM31" s="47">
        <v>0</v>
      </c>
      <c r="DN31" s="47">
        <v>0</v>
      </c>
      <c r="DO31" s="47">
        <v>0</v>
      </c>
      <c r="DP31" s="47">
        <v>0</v>
      </c>
      <c r="DQ31" s="47">
        <v>0</v>
      </c>
      <c r="DR31" s="47">
        <v>0</v>
      </c>
      <c r="DS31" s="47">
        <v>0</v>
      </c>
      <c r="DT31" s="47">
        <v>0</v>
      </c>
      <c r="DU31" s="47">
        <v>0</v>
      </c>
      <c r="DV31" s="47">
        <v>0</v>
      </c>
      <c r="DW31" s="47">
        <v>0</v>
      </c>
      <c r="DX31" s="47">
        <v>0</v>
      </c>
      <c r="DY31" s="47">
        <v>0</v>
      </c>
      <c r="DZ31" s="47">
        <v>0</v>
      </c>
      <c r="EA31" s="47">
        <v>0</v>
      </c>
      <c r="EB31" s="47"/>
      <c r="EC31" s="47">
        <v>0.8</v>
      </c>
      <c r="ZZ31" t="s">
        <v>2472</v>
      </c>
    </row>
    <row r="32" spans="1:702" x14ac:dyDescent="0.25">
      <c r="A32" s="47" t="s">
        <v>293</v>
      </c>
      <c r="B32" s="47" t="s">
        <v>153</v>
      </c>
      <c r="C32" s="47" t="s">
        <v>157</v>
      </c>
      <c r="D32" s="47" t="s">
        <v>2508</v>
      </c>
      <c r="E32" s="47" t="s">
        <v>294</v>
      </c>
      <c r="F32" s="47" t="s">
        <v>295</v>
      </c>
      <c r="G32" s="47" t="s">
        <v>296</v>
      </c>
      <c r="H32" s="47" t="s">
        <v>173</v>
      </c>
      <c r="I32" s="47" t="s">
        <v>180</v>
      </c>
      <c r="J32" s="47" t="str">
        <f>=IFERROR(VLOOKUP(H32&amp;I32,Table_Fonctions!A:G,6,FALSE),"")</f>
        <v>0</v>
      </c>
      <c r="K32" s="47" t="s">
        <v>2480</v>
      </c>
      <c r="L32" s="47" t="str">
        <f>=IFERROR(VLOOKUP(H32&amp;I32,Table_Fonctions!A:G,7,FALSE),K32)</f>
        <v/>
      </c>
      <c r="M32" s="47" t="str">
        <f>=IF(OR(LEFT(D32, 3)="TJ ", LEFT(D32, 4)="CPH "), "OUI", "NON")</f>
        <v/>
      </c>
      <c r="N32" s="47" t="s">
        <v>163</v>
      </c>
      <c r="O32" s="47"/>
      <c r="P32" s="47">
        <v>0.8</v>
      </c>
      <c r="Q32" s="47">
        <v>0.8</v>
      </c>
      <c r="R32" s="47">
        <v>0</v>
      </c>
      <c r="S32" s="47">
        <f>=ROUND(BQ32-(BR32+BS32),3)</f>
      </c>
      <c r="T32" s="47">
        <f>=ROUND(CK32-(CL32+CM32+CN32+CO32+CP32),3)</f>
      </c>
      <c r="U32" s="47">
        <v>0</v>
      </c>
      <c r="V32" s="47">
        <v>0</v>
      </c>
      <c r="W32" s="47">
        <v>0</v>
      </c>
      <c r="X32" s="47">
        <v>0</v>
      </c>
      <c r="Y32" s="47">
        <v>0</v>
      </c>
      <c r="Z32" s="47">
        <v>0</v>
      </c>
      <c r="AA32" s="47">
        <v>0</v>
      </c>
      <c r="AB32" s="47">
        <v>0</v>
      </c>
      <c r="AC32" s="47">
        <v>0</v>
      </c>
      <c r="AD32" s="47">
        <v>0</v>
      </c>
      <c r="AE32" s="47">
        <v>0</v>
      </c>
      <c r="AF32" s="47">
        <v>0</v>
      </c>
      <c r="AG32" s="47">
        <v>0</v>
      </c>
      <c r="AH32" s="47">
        <v>0</v>
      </c>
      <c r="AI32" s="47">
        <v>0</v>
      </c>
      <c r="AJ32" s="47">
        <v>0</v>
      </c>
      <c r="AK32" s="47">
        <v>0</v>
      </c>
      <c r="AL32" s="47">
        <v>0</v>
      </c>
      <c r="AM32" s="47">
        <v>0</v>
      </c>
      <c r="AN32" s="47">
        <v>0</v>
      </c>
      <c r="AO32" s="47">
        <v>0</v>
      </c>
      <c r="AP32" s="47">
        <v>0</v>
      </c>
      <c r="AQ32" s="47">
        <v>0</v>
      </c>
      <c r="AR32" s="47">
        <v>0</v>
      </c>
      <c r="AS32" s="47">
        <v>0.64</v>
      </c>
      <c r="AT32" s="47">
        <v>0</v>
      </c>
      <c r="AU32" s="47">
        <v>0.64</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0.008</v>
      </c>
      <c r="BN32" s="47">
        <v>0</v>
      </c>
      <c r="BO32" s="47">
        <v>0</v>
      </c>
      <c r="BP32" s="47">
        <v>0</v>
      </c>
      <c r="BQ32" s="47">
        <v>0</v>
      </c>
      <c r="BR32" s="47">
        <v>0</v>
      </c>
      <c r="BS32" s="47">
        <v>0</v>
      </c>
      <c r="BT32" s="47">
        <v>0.104</v>
      </c>
      <c r="BU32" s="47">
        <v>0.064</v>
      </c>
      <c r="BV32" s="47">
        <v>0.04</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0.008</v>
      </c>
      <c r="CW32" s="47">
        <v>0</v>
      </c>
      <c r="CX32" s="47">
        <v>0</v>
      </c>
      <c r="CY32" s="47">
        <v>0.04</v>
      </c>
      <c r="CZ32" s="47">
        <v>0</v>
      </c>
      <c r="DA32" s="47">
        <v>0</v>
      </c>
      <c r="DB32" s="47">
        <v>0</v>
      </c>
      <c r="DC32" s="47">
        <v>0</v>
      </c>
      <c r="DD32" s="47">
        <v>0</v>
      </c>
      <c r="DE32" s="47">
        <v>0</v>
      </c>
      <c r="DF32" s="47">
        <v>0</v>
      </c>
      <c r="DG32" s="47">
        <v>0</v>
      </c>
      <c r="DH32" s="47">
        <v>0</v>
      </c>
      <c r="DI32" s="47">
        <v>0</v>
      </c>
      <c r="DJ32" s="47">
        <v>0</v>
      </c>
      <c r="DK32" s="47">
        <v>0</v>
      </c>
      <c r="DL32" s="47">
        <v>0</v>
      </c>
      <c r="DM32" s="47">
        <v>0</v>
      </c>
      <c r="DN32" s="47">
        <v>0</v>
      </c>
      <c r="DO32" s="47">
        <v>0</v>
      </c>
      <c r="DP32" s="47">
        <v>0</v>
      </c>
      <c r="DQ32" s="47">
        <v>0</v>
      </c>
      <c r="DR32" s="47">
        <v>0</v>
      </c>
      <c r="DS32" s="47">
        <v>0</v>
      </c>
      <c r="DT32" s="47">
        <v>0</v>
      </c>
      <c r="DU32" s="47">
        <v>0</v>
      </c>
      <c r="DV32" s="47">
        <v>0</v>
      </c>
      <c r="DW32" s="47">
        <v>0.16</v>
      </c>
      <c r="DX32" s="47">
        <v>0</v>
      </c>
      <c r="DY32" s="47">
        <v>0</v>
      </c>
      <c r="DZ32" s="47">
        <v>0</v>
      </c>
      <c r="EA32" s="47">
        <v>0.16</v>
      </c>
      <c r="EB32" s="47"/>
      <c r="EC32" s="47">
        <v>0.8</v>
      </c>
      <c r="ZZ32" t="s">
        <v>2472</v>
      </c>
    </row>
    <row r="33" spans="1:702" x14ac:dyDescent="0.25">
      <c r="A33" s="47" t="s">
        <v>297</v>
      </c>
      <c r="B33" s="47" t="s">
        <v>153</v>
      </c>
      <c r="C33" s="47" t="s">
        <v>157</v>
      </c>
      <c r="D33" s="47" t="s">
        <v>2509</v>
      </c>
      <c r="E33" s="47" t="s">
        <v>298</v>
      </c>
      <c r="F33" s="47" t="s">
        <v>299</v>
      </c>
      <c r="G33" s="47" t="s">
        <v>300</v>
      </c>
      <c r="H33" s="47" t="s">
        <v>173</v>
      </c>
      <c r="I33" s="47" t="s">
        <v>301</v>
      </c>
      <c r="J33" s="47" t="str">
        <f>=IFERROR(VLOOKUP(H33&amp;I33,Table_Fonctions!A:G,6,FALSE),"")</f>
        <v>0</v>
      </c>
      <c r="K33" s="47" t="s">
        <v>2480</v>
      </c>
      <c r="L33" s="47" t="str">
        <f>=IFERROR(VLOOKUP(H33&amp;I33,Table_Fonctions!A:G,7,FALSE),K33)</f>
        <v/>
      </c>
      <c r="M33" s="47" t="str">
        <f>=IF(OR(LEFT(D33, 3)="TJ ", LEFT(D33, 4)="CPH "), "OUI", "NON")</f>
        <v/>
      </c>
      <c r="N33" s="47" t="s">
        <v>175</v>
      </c>
      <c r="O33" s="47"/>
      <c r="P33" s="47">
        <v>1</v>
      </c>
      <c r="Q33" s="47">
        <v>1</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0.7587</v>
      </c>
      <c r="BR33" s="47">
        <v>0</v>
      </c>
      <c r="BS33" s="47">
        <v>0</v>
      </c>
      <c r="BT33" s="47">
        <v>0.05</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0.1913</v>
      </c>
      <c r="CZ33" s="47">
        <v>0</v>
      </c>
      <c r="DA33" s="47">
        <v>0</v>
      </c>
      <c r="DB33" s="47">
        <v>0</v>
      </c>
      <c r="DC33" s="47">
        <v>0</v>
      </c>
      <c r="DD33" s="47">
        <v>0</v>
      </c>
      <c r="DE33" s="47">
        <v>0</v>
      </c>
      <c r="DF33" s="47">
        <v>0</v>
      </c>
      <c r="DG33" s="47">
        <v>0</v>
      </c>
      <c r="DH33" s="47">
        <v>0</v>
      </c>
      <c r="DI33" s="47">
        <v>0</v>
      </c>
      <c r="DJ33" s="47">
        <v>0</v>
      </c>
      <c r="DK33" s="47">
        <v>0</v>
      </c>
      <c r="DL33" s="47">
        <v>0</v>
      </c>
      <c r="DM33" s="47">
        <v>0</v>
      </c>
      <c r="DN33" s="47">
        <v>0</v>
      </c>
      <c r="DO33" s="47">
        <v>0</v>
      </c>
      <c r="DP33" s="47">
        <v>0</v>
      </c>
      <c r="DQ33" s="47">
        <v>0</v>
      </c>
      <c r="DR33" s="47">
        <v>0</v>
      </c>
      <c r="DS33" s="47">
        <v>0</v>
      </c>
      <c r="DT33" s="47">
        <v>0</v>
      </c>
      <c r="DU33" s="47">
        <v>0</v>
      </c>
      <c r="DV33" s="47">
        <v>0</v>
      </c>
      <c r="DW33" s="47">
        <v>0</v>
      </c>
      <c r="DX33" s="47">
        <v>0</v>
      </c>
      <c r="DY33" s="47">
        <v>0</v>
      </c>
      <c r="DZ33" s="47">
        <v>0</v>
      </c>
      <c r="EA33" s="47">
        <v>0</v>
      </c>
      <c r="EB33" s="47"/>
      <c r="EC33" s="47">
        <v>1</v>
      </c>
      <c r="ZZ33" t="s">
        <v>2472</v>
      </c>
    </row>
    <row r="34" spans="1:702" x14ac:dyDescent="0.25">
      <c r="A34" s="47" t="s">
        <v>302</v>
      </c>
      <c r="B34" s="47" t="s">
        <v>153</v>
      </c>
      <c r="C34" s="47" t="s">
        <v>157</v>
      </c>
      <c r="D34" s="47" t="s">
        <v>2510</v>
      </c>
      <c r="E34" s="47" t="s">
        <v>303</v>
      </c>
      <c r="F34" s="47" t="s">
        <v>304</v>
      </c>
      <c r="G34" s="47" t="s">
        <v>305</v>
      </c>
      <c r="H34" s="47" t="s">
        <v>173</v>
      </c>
      <c r="I34" s="47" t="s">
        <v>220</v>
      </c>
      <c r="J34" s="47" t="str">
        <f>=IFERROR(VLOOKUP(H34&amp;I34,Table_Fonctions!A:G,6,FALSE),"")</f>
        <v>0</v>
      </c>
      <c r="K34" s="47" t="s">
        <v>2480</v>
      </c>
      <c r="L34" s="47" t="str">
        <f>=IFERROR(VLOOKUP(H34&amp;I34,Table_Fonctions!A:G,7,FALSE),K34)</f>
        <v/>
      </c>
      <c r="M34" s="47" t="str">
        <f>=IF(OR(LEFT(D34, 3)="TJ ", LEFT(D34, 4)="CPH "), "OUI", "NON")</f>
        <v/>
      </c>
      <c r="N34" s="47" t="s">
        <v>163</v>
      </c>
      <c r="O34" s="47"/>
      <c r="P34" s="47">
        <v>1</v>
      </c>
      <c r="Q34" s="47">
        <v>1</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0.28</v>
      </c>
      <c r="AK34" s="47">
        <v>0</v>
      </c>
      <c r="AL34" s="47">
        <v>0</v>
      </c>
      <c r="AM34" s="47">
        <v>0</v>
      </c>
      <c r="AN34" s="47">
        <v>0</v>
      </c>
      <c r="AO34" s="47">
        <v>0</v>
      </c>
      <c r="AP34" s="47">
        <v>0</v>
      </c>
      <c r="AQ34" s="47">
        <v>0</v>
      </c>
      <c r="AR34" s="47">
        <v>0</v>
      </c>
      <c r="AS34" s="47">
        <v>0.38</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0.01</v>
      </c>
      <c r="BN34" s="47">
        <v>0</v>
      </c>
      <c r="BO34" s="47">
        <v>0</v>
      </c>
      <c r="BP34" s="47">
        <v>0</v>
      </c>
      <c r="BQ34" s="47">
        <v>0</v>
      </c>
      <c r="BR34" s="47">
        <v>0</v>
      </c>
      <c r="BS34" s="47">
        <v>0</v>
      </c>
      <c r="BT34" s="47">
        <v>0.04</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0.01</v>
      </c>
      <c r="CW34" s="47">
        <v>0</v>
      </c>
      <c r="CX34" s="47">
        <v>0</v>
      </c>
      <c r="CY34" s="47">
        <v>0.28</v>
      </c>
      <c r="CZ34" s="47">
        <v>0</v>
      </c>
      <c r="DA34" s="47">
        <v>0</v>
      </c>
      <c r="DB34" s="47">
        <v>0</v>
      </c>
      <c r="DC34" s="47">
        <v>0</v>
      </c>
      <c r="DD34" s="47">
        <v>0</v>
      </c>
      <c r="DE34" s="47">
        <v>0</v>
      </c>
      <c r="DF34" s="47">
        <v>0</v>
      </c>
      <c r="DG34" s="47">
        <v>0</v>
      </c>
      <c r="DH34" s="47">
        <v>0</v>
      </c>
      <c r="DI34" s="47">
        <v>0</v>
      </c>
      <c r="DJ34" s="47">
        <v>0</v>
      </c>
      <c r="DK34" s="47">
        <v>0</v>
      </c>
      <c r="DL34" s="47">
        <v>0</v>
      </c>
      <c r="DM34" s="47">
        <v>0</v>
      </c>
      <c r="DN34" s="47">
        <v>0</v>
      </c>
      <c r="DO34" s="47">
        <v>0</v>
      </c>
      <c r="DP34" s="47">
        <v>0</v>
      </c>
      <c r="DQ34" s="47">
        <v>0</v>
      </c>
      <c r="DR34" s="47">
        <v>0</v>
      </c>
      <c r="DS34" s="47">
        <v>0</v>
      </c>
      <c r="DT34" s="47">
        <v>0</v>
      </c>
      <c r="DU34" s="47">
        <v>0</v>
      </c>
      <c r="DV34" s="47">
        <v>0</v>
      </c>
      <c r="DW34" s="47">
        <v>0</v>
      </c>
      <c r="DX34" s="47">
        <v>0</v>
      </c>
      <c r="DY34" s="47">
        <v>0</v>
      </c>
      <c r="DZ34" s="47">
        <v>0</v>
      </c>
      <c r="EA34" s="47">
        <v>0</v>
      </c>
      <c r="EB34" s="47"/>
      <c r="EC34" s="47">
        <v>1</v>
      </c>
      <c r="ZZ34" t="s">
        <v>2472</v>
      </c>
    </row>
    <row r="35" spans="1:702" x14ac:dyDescent="0.25">
      <c r="A35" s="47" t="s">
        <v>306</v>
      </c>
      <c r="B35" s="47" t="s">
        <v>153</v>
      </c>
      <c r="C35" s="47" t="s">
        <v>157</v>
      </c>
      <c r="D35" s="47" t="s">
        <v>2511</v>
      </c>
      <c r="E35" s="47" t="s">
        <v>307</v>
      </c>
      <c r="F35" s="47" t="s">
        <v>308</v>
      </c>
      <c r="G35" s="47" t="s">
        <v>309</v>
      </c>
      <c r="H35" s="47" t="s">
        <v>173</v>
      </c>
      <c r="I35" s="47" t="s">
        <v>180</v>
      </c>
      <c r="J35" s="47" t="str">
        <f>=IFERROR(VLOOKUP(H35&amp;I35,Table_Fonctions!A:G,6,FALSE),"")</f>
        <v>0</v>
      </c>
      <c r="K35" s="47" t="s">
        <v>2480</v>
      </c>
      <c r="L35" s="47" t="str">
        <f>=IFERROR(VLOOKUP(H35&amp;I35,Table_Fonctions!A:G,7,FALSE),K35)</f>
        <v/>
      </c>
      <c r="M35" s="47" t="str">
        <f>=IF(OR(LEFT(D35, 3)="TJ ", LEFT(D35, 4)="CPH "), "OUI", "NON")</f>
        <v/>
      </c>
      <c r="N35" s="47" t="s">
        <v>163</v>
      </c>
      <c r="O35" s="47"/>
      <c r="P35" s="47">
        <v>1</v>
      </c>
      <c r="Q35" s="47">
        <v>1</v>
      </c>
      <c r="R35" s="47">
        <v>0</v>
      </c>
      <c r="S35" s="47">
        <f>=ROUND(BQ35-(BR35+BS35),3)</f>
      </c>
      <c r="T35" s="47">
        <f>=ROUND(CK35-(CL35+CM35+CN35+CO35+CP35),3)</f>
      </c>
      <c r="U35" s="47">
        <v>0</v>
      </c>
      <c r="V35" s="47">
        <v>0</v>
      </c>
      <c r="W35" s="47">
        <v>0</v>
      </c>
      <c r="X35" s="47">
        <v>0</v>
      </c>
      <c r="Y35" s="47">
        <v>0</v>
      </c>
      <c r="Z35" s="47">
        <v>0</v>
      </c>
      <c r="AA35" s="47">
        <v>0</v>
      </c>
      <c r="AB35" s="47">
        <v>0</v>
      </c>
      <c r="AC35" s="47">
        <v>0</v>
      </c>
      <c r="AD35" s="47">
        <v>0</v>
      </c>
      <c r="AE35" s="47">
        <v>0</v>
      </c>
      <c r="AF35" s="47">
        <v>0</v>
      </c>
      <c r="AG35" s="47">
        <v>0</v>
      </c>
      <c r="AH35" s="47">
        <v>0</v>
      </c>
      <c r="AI35" s="47">
        <v>0</v>
      </c>
      <c r="AJ35" s="47">
        <v>0</v>
      </c>
      <c r="AK35" s="47">
        <v>0</v>
      </c>
      <c r="AL35" s="47">
        <v>0</v>
      </c>
      <c r="AM35" s="47">
        <v>0</v>
      </c>
      <c r="AN35" s="47">
        <v>0</v>
      </c>
      <c r="AO35" s="47">
        <v>0</v>
      </c>
      <c r="AP35" s="47">
        <v>0</v>
      </c>
      <c r="AQ35" s="47">
        <v>0</v>
      </c>
      <c r="AR35" s="47">
        <v>0</v>
      </c>
      <c r="AS35" s="47">
        <v>0.735</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0.01</v>
      </c>
      <c r="BN35" s="47">
        <v>0</v>
      </c>
      <c r="BO35" s="47">
        <v>0</v>
      </c>
      <c r="BP35" s="47">
        <v>0</v>
      </c>
      <c r="BQ35" s="47">
        <v>0</v>
      </c>
      <c r="BR35" s="47">
        <v>0</v>
      </c>
      <c r="BS35" s="47">
        <v>0</v>
      </c>
      <c r="BT35" s="47">
        <v>0.045</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0.02</v>
      </c>
      <c r="CW35" s="47">
        <v>0</v>
      </c>
      <c r="CX35" s="47">
        <v>0</v>
      </c>
      <c r="CY35" s="47">
        <v>0.19</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v>0</v>
      </c>
      <c r="EA35" s="47">
        <v>0</v>
      </c>
      <c r="EB35" s="47"/>
      <c r="EC35" s="47">
        <v>1</v>
      </c>
      <c r="ZZ35" t="s">
        <v>2472</v>
      </c>
    </row>
    <row r="36" spans="1:702" x14ac:dyDescent="0.25">
      <c r="A36" s="47" t="s">
        <v>310</v>
      </c>
      <c r="B36" s="47" t="s">
        <v>153</v>
      </c>
      <c r="C36" s="47" t="s">
        <v>157</v>
      </c>
      <c r="D36" s="47" t="s">
        <v>2512</v>
      </c>
      <c r="E36" s="47" t="s">
        <v>311</v>
      </c>
      <c r="F36" s="47" t="s">
        <v>312</v>
      </c>
      <c r="G36" s="47" t="s">
        <v>313</v>
      </c>
      <c r="H36" s="47" t="s">
        <v>173</v>
      </c>
      <c r="I36" s="47" t="s">
        <v>180</v>
      </c>
      <c r="J36" s="47" t="str">
        <f>=IFERROR(VLOOKUP(H36&amp;I36,Table_Fonctions!A:G,6,FALSE),"")</f>
        <v>0</v>
      </c>
      <c r="K36" s="47" t="s">
        <v>2480</v>
      </c>
      <c r="L36" s="47" t="str">
        <f>=IFERROR(VLOOKUP(H36&amp;I36,Table_Fonctions!A:G,7,FALSE),K36)</f>
        <v/>
      </c>
      <c r="M36" s="47" t="str">
        <f>=IF(OR(LEFT(D36, 3)="TJ ", LEFT(D36, 4)="CPH "), "OUI", "NON")</f>
        <v/>
      </c>
      <c r="N36" s="47" t="s">
        <v>163</v>
      </c>
      <c r="O36" s="47"/>
      <c r="P36" s="47">
        <v>1</v>
      </c>
      <c r="Q36" s="47">
        <v>1</v>
      </c>
      <c r="R36" s="47">
        <v>0</v>
      </c>
      <c r="S36" s="47">
        <f>=ROUND(BQ36-(BR36+BS36),3)</f>
      </c>
      <c r="T36" s="47">
        <f>=ROUND(CK36-(CL36+CM36+CN36+CO36+CP36),3)</f>
      </c>
      <c r="U36" s="47">
        <v>0.825</v>
      </c>
      <c r="V36" s="47">
        <v>0</v>
      </c>
      <c r="W36" s="47">
        <v>0</v>
      </c>
      <c r="X36" s="47">
        <v>0</v>
      </c>
      <c r="Y36" s="47">
        <v>0</v>
      </c>
      <c r="Z36" s="47">
        <v>0</v>
      </c>
      <c r="AA36" s="47">
        <v>0</v>
      </c>
      <c r="AB36" s="47">
        <v>0</v>
      </c>
      <c r="AC36" s="47">
        <v>0</v>
      </c>
      <c r="AD36" s="47">
        <v>0</v>
      </c>
      <c r="AE36" s="47">
        <v>0</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0.04</v>
      </c>
      <c r="BN36" s="47">
        <v>0</v>
      </c>
      <c r="BO36" s="47">
        <v>0</v>
      </c>
      <c r="BP36" s="47">
        <v>0</v>
      </c>
      <c r="BQ36" s="47">
        <v>0</v>
      </c>
      <c r="BR36" s="47">
        <v>0</v>
      </c>
      <c r="BS36" s="47">
        <v>0</v>
      </c>
      <c r="BT36" s="47">
        <v>0.075</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0.01</v>
      </c>
      <c r="CW36" s="47">
        <v>0</v>
      </c>
      <c r="CX36" s="47">
        <v>0</v>
      </c>
      <c r="CY36" s="47">
        <v>0.05</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v>
      </c>
      <c r="DW36" s="47">
        <v>0</v>
      </c>
      <c r="DX36" s="47">
        <v>0</v>
      </c>
      <c r="DY36" s="47">
        <v>0</v>
      </c>
      <c r="DZ36" s="47">
        <v>0</v>
      </c>
      <c r="EA36" s="47">
        <v>0</v>
      </c>
      <c r="EB36" s="47"/>
      <c r="EC36" s="47">
        <v>1</v>
      </c>
      <c r="ZZ36" t="s">
        <v>2472</v>
      </c>
    </row>
    <row r="37" spans="1:702" x14ac:dyDescent="0.25">
      <c r="A37" s="47" t="s">
        <v>314</v>
      </c>
      <c r="B37" s="47" t="s">
        <v>153</v>
      </c>
      <c r="C37" s="47" t="s">
        <v>157</v>
      </c>
      <c r="D37" s="47" t="s">
        <v>2513</v>
      </c>
      <c r="E37" s="47" t="s">
        <v>315</v>
      </c>
      <c r="F37" s="47" t="s">
        <v>316</v>
      </c>
      <c r="G37" s="47" t="s">
        <v>317</v>
      </c>
      <c r="H37" s="47" t="s">
        <v>173</v>
      </c>
      <c r="I37" s="47" t="s">
        <v>318</v>
      </c>
      <c r="J37" s="47" t="str">
        <f>=IFERROR(VLOOKUP(H37&amp;I37,Table_Fonctions!A:G,6,FALSE),"")</f>
        <v>0</v>
      </c>
      <c r="K37" s="47" t="s">
        <v>2480</v>
      </c>
      <c r="L37" s="47" t="str">
        <f>=IFERROR(VLOOKUP(H37&amp;I37,Table_Fonctions!A:G,7,FALSE),K37)</f>
        <v/>
      </c>
      <c r="M37" s="47" t="str">
        <f>=IF(OR(LEFT(D37, 3)="TJ ", LEFT(D37, 4)="CPH "), "OUI", "NON")</f>
        <v/>
      </c>
      <c r="N37" s="47" t="s">
        <v>163</v>
      </c>
      <c r="O37" s="47"/>
      <c r="P37" s="47">
        <v>1</v>
      </c>
      <c r="Q37" s="47">
        <v>1</v>
      </c>
      <c r="R37" s="47">
        <v>0</v>
      </c>
      <c r="S37" s="47">
        <f>=ROUND(BQ37-(BR37+BS37),3)</f>
      </c>
      <c r="T37" s="47">
        <f>=ROUND(CK37-(CL37+CM37+CN37+CO37+CP37),3)</f>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v>
      </c>
      <c r="AK37" s="47">
        <v>0</v>
      </c>
      <c r="AL37" s="47">
        <v>0</v>
      </c>
      <c r="AM37" s="47">
        <v>0</v>
      </c>
      <c r="AN37" s="47">
        <v>0</v>
      </c>
      <c r="AO37" s="47">
        <v>0</v>
      </c>
      <c r="AP37" s="47">
        <v>0</v>
      </c>
      <c r="AQ37" s="47">
        <v>0</v>
      </c>
      <c r="AR37" s="47">
        <v>0</v>
      </c>
      <c r="AS37" s="47">
        <v>0.2</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0.01</v>
      </c>
      <c r="BN37" s="47">
        <v>0</v>
      </c>
      <c r="BO37" s="47">
        <v>0</v>
      </c>
      <c r="BP37" s="47">
        <v>0</v>
      </c>
      <c r="BQ37" s="47">
        <v>0</v>
      </c>
      <c r="BR37" s="47">
        <v>0</v>
      </c>
      <c r="BS37" s="47">
        <v>0</v>
      </c>
      <c r="BT37" s="47">
        <v>0.05</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0.74</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v>0</v>
      </c>
      <c r="EA37" s="47">
        <v>0</v>
      </c>
      <c r="EB37" s="47"/>
      <c r="EC37" s="47">
        <v>1</v>
      </c>
      <c r="ZZ37" t="s">
        <v>2472</v>
      </c>
    </row>
    <row r="38" spans="1:702" x14ac:dyDescent="0.25">
      <c r="A38" s="47" t="s">
        <v>319</v>
      </c>
      <c r="B38" s="47" t="s">
        <v>153</v>
      </c>
      <c r="C38" s="47" t="s">
        <v>157</v>
      </c>
      <c r="D38" s="47" t="s">
        <v>2514</v>
      </c>
      <c r="E38" s="47" t="s">
        <v>320</v>
      </c>
      <c r="F38" s="47" t="s">
        <v>321</v>
      </c>
      <c r="G38" s="47" t="s">
        <v>322</v>
      </c>
      <c r="H38" s="47" t="s">
        <v>173</v>
      </c>
      <c r="I38" s="47" t="s">
        <v>323</v>
      </c>
      <c r="J38" s="47" t="str">
        <f>=IFERROR(VLOOKUP(H38&amp;I38,Table_Fonctions!A:G,6,FALSE),"")</f>
        <v>0</v>
      </c>
      <c r="K38" s="47" t="s">
        <v>2480</v>
      </c>
      <c r="L38" s="47" t="str">
        <f>=IFERROR(VLOOKUP(H38&amp;I38,Table_Fonctions!A:G,7,FALSE),K38)</f>
        <v/>
      </c>
      <c r="M38" s="47" t="str">
        <f>=IF(OR(LEFT(D38, 3)="TJ ", LEFT(D38, 4)="CPH "), "OUI", "NON")</f>
        <v/>
      </c>
      <c r="N38" s="47" t="s">
        <v>163</v>
      </c>
      <c r="O38" s="47"/>
      <c r="P38" s="47">
        <v>1</v>
      </c>
      <c r="Q38" s="47">
        <v>1</v>
      </c>
      <c r="R38" s="47">
        <v>0</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0.015</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0.85</v>
      </c>
      <c r="CR38" s="47">
        <v>0</v>
      </c>
      <c r="CS38" s="47">
        <v>0</v>
      </c>
      <c r="CT38" s="47">
        <v>0</v>
      </c>
      <c r="CU38" s="47">
        <v>0</v>
      </c>
      <c r="CV38" s="47">
        <v>0</v>
      </c>
      <c r="CW38" s="47">
        <v>0</v>
      </c>
      <c r="CX38" s="47">
        <v>0</v>
      </c>
      <c r="CY38" s="47">
        <v>0.135</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v>0</v>
      </c>
      <c r="EA38" s="47">
        <v>0</v>
      </c>
      <c r="EB38" s="47"/>
      <c r="EC38" s="47">
        <v>1</v>
      </c>
      <c r="ZZ38" t="s">
        <v>2472</v>
      </c>
    </row>
    <row r="39" spans="1:702" x14ac:dyDescent="0.25">
      <c r="A39" s="47" t="s">
        <v>324</v>
      </c>
      <c r="B39" s="47" t="s">
        <v>153</v>
      </c>
      <c r="C39" s="47" t="s">
        <v>157</v>
      </c>
      <c r="D39" s="47" t="s">
        <v>2515</v>
      </c>
      <c r="E39" s="47" t="s">
        <v>325</v>
      </c>
      <c r="F39" s="47" t="s">
        <v>326</v>
      </c>
      <c r="G39" s="47" t="s">
        <v>327</v>
      </c>
      <c r="H39" s="47" t="s">
        <v>173</v>
      </c>
      <c r="I39" s="47" t="s">
        <v>180</v>
      </c>
      <c r="J39" s="47" t="str">
        <f>=IFERROR(VLOOKUP(H39&amp;I39,Table_Fonctions!A:G,6,FALSE),"")</f>
        <v>0</v>
      </c>
      <c r="K39" s="47" t="s">
        <v>2480</v>
      </c>
      <c r="L39" s="47" t="str">
        <f>=IFERROR(VLOOKUP(H39&amp;I39,Table_Fonctions!A:G,7,FALSE),K39)</f>
        <v/>
      </c>
      <c r="M39" s="47" t="str">
        <f>=IF(OR(LEFT(D39, 3)="TJ ", LEFT(D39, 4)="CPH "), "OUI", "NON")</f>
        <v/>
      </c>
      <c r="N39" s="47" t="s">
        <v>163</v>
      </c>
      <c r="O39" s="47"/>
      <c r="P39" s="47">
        <v>1</v>
      </c>
      <c r="Q39" s="47">
        <v>1</v>
      </c>
      <c r="R39" s="47">
        <v>0</v>
      </c>
      <c r="S39" s="47">
        <f>=ROUND(BQ39-(BR39+BS39),3)</f>
      </c>
      <c r="T39" s="47">
        <f>=ROUND(CK39-(CL39+CM39+CN39+CO39+CP39),3)</f>
      </c>
      <c r="U39" s="47">
        <v>0.835</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v>
      </c>
      <c r="BM39" s="47">
        <v>0.03</v>
      </c>
      <c r="BN39" s="47">
        <v>0</v>
      </c>
      <c r="BO39" s="47">
        <v>0</v>
      </c>
      <c r="BP39" s="47">
        <v>0</v>
      </c>
      <c r="BQ39" s="47">
        <v>0</v>
      </c>
      <c r="BR39" s="47">
        <v>0</v>
      </c>
      <c r="BS39" s="47">
        <v>0</v>
      </c>
      <c r="BT39" s="47">
        <v>0.055</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0.08</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v>0</v>
      </c>
      <c r="EA39" s="47">
        <v>0</v>
      </c>
      <c r="EB39" s="47"/>
      <c r="EC39" s="47">
        <v>1</v>
      </c>
      <c r="ZZ39" t="s">
        <v>2472</v>
      </c>
    </row>
    <row r="40" spans="1:702" x14ac:dyDescent="0.25">
      <c r="A40" s="47" t="s">
        <v>328</v>
      </c>
      <c r="B40" s="47" t="s">
        <v>153</v>
      </c>
      <c r="C40" s="47" t="s">
        <v>157</v>
      </c>
      <c r="D40" s="47" t="s">
        <v>2516</v>
      </c>
      <c r="E40" s="47" t="s">
        <v>329</v>
      </c>
      <c r="F40" s="47" t="s">
        <v>330</v>
      </c>
      <c r="G40" s="47" t="s">
        <v>331</v>
      </c>
      <c r="H40" s="47" t="s">
        <v>173</v>
      </c>
      <c r="I40" s="47" t="s">
        <v>180</v>
      </c>
      <c r="J40" s="47" t="str">
        <f>=IFERROR(VLOOKUP(H40&amp;I40,Table_Fonctions!A:G,6,FALSE),"")</f>
        <v>0</v>
      </c>
      <c r="K40" s="47" t="s">
        <v>2480</v>
      </c>
      <c r="L40" s="47" t="str">
        <f>=IFERROR(VLOOKUP(H40&amp;I40,Table_Fonctions!A:G,7,FALSE),K40)</f>
        <v/>
      </c>
      <c r="M40" s="47" t="str">
        <f>=IF(OR(LEFT(D40, 3)="TJ ", LEFT(D40, 4)="CPH "), "OUI", "NON")</f>
        <v/>
      </c>
      <c r="N40" s="47" t="s">
        <v>163</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0.86</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0.06</v>
      </c>
      <c r="BU40" s="47">
        <v>0</v>
      </c>
      <c r="BV40" s="47">
        <v>0</v>
      </c>
      <c r="BW40" s="47">
        <v>0</v>
      </c>
      <c r="BX40" s="47">
        <v>0</v>
      </c>
      <c r="BY40" s="47">
        <v>0</v>
      </c>
      <c r="BZ40" s="47">
        <v>0</v>
      </c>
      <c r="CA40" s="47">
        <v>0</v>
      </c>
      <c r="CB40" s="47">
        <v>0</v>
      </c>
      <c r="CC40" s="47">
        <v>0</v>
      </c>
      <c r="CD40" s="47">
        <v>0</v>
      </c>
      <c r="CE40" s="47">
        <v>0</v>
      </c>
      <c r="CF40" s="47">
        <v>0</v>
      </c>
      <c r="CG40" s="47">
        <v>0</v>
      </c>
      <c r="CH40" s="47">
        <v>0</v>
      </c>
      <c r="CI40" s="47">
        <v>0</v>
      </c>
      <c r="CJ40" s="47">
        <v>0</v>
      </c>
      <c r="CK40" s="47">
        <v>0</v>
      </c>
      <c r="CL40" s="47">
        <v>0</v>
      </c>
      <c r="CM40" s="47">
        <v>0</v>
      </c>
      <c r="CN40" s="47">
        <v>0</v>
      </c>
      <c r="CO40" s="47">
        <v>0</v>
      </c>
      <c r="CP40" s="47">
        <v>0</v>
      </c>
      <c r="CQ40" s="47">
        <v>0</v>
      </c>
      <c r="CR40" s="47">
        <v>0</v>
      </c>
      <c r="CS40" s="47">
        <v>0</v>
      </c>
      <c r="CT40" s="47">
        <v>0</v>
      </c>
      <c r="CU40" s="47">
        <v>0</v>
      </c>
      <c r="CV40" s="47">
        <v>0.01</v>
      </c>
      <c r="CW40" s="47">
        <v>0</v>
      </c>
      <c r="CX40" s="47">
        <v>0</v>
      </c>
      <c r="CY40" s="47">
        <v>0.07</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v>0</v>
      </c>
      <c r="EA40" s="47">
        <v>0</v>
      </c>
      <c r="EB40" s="47"/>
      <c r="EC40" s="47">
        <v>1</v>
      </c>
      <c r="ZZ40" t="s">
        <v>2472</v>
      </c>
    </row>
    <row r="41" spans="1:702" x14ac:dyDescent="0.25">
      <c r="A41" s="47" t="s">
        <v>332</v>
      </c>
      <c r="B41" s="47" t="s">
        <v>153</v>
      </c>
      <c r="C41" s="47" t="s">
        <v>157</v>
      </c>
      <c r="D41" s="47" t="s">
        <v>2517</v>
      </c>
      <c r="E41" s="47" t="s">
        <v>333</v>
      </c>
      <c r="F41" s="47" t="s">
        <v>334</v>
      </c>
      <c r="G41" s="47" t="s">
        <v>335</v>
      </c>
      <c r="H41" s="47" t="s">
        <v>173</v>
      </c>
      <c r="I41" s="47" t="s">
        <v>180</v>
      </c>
      <c r="J41" s="47" t="str">
        <f>=IFERROR(VLOOKUP(H41&amp;I41,Table_Fonctions!A:G,6,FALSE),"")</f>
        <v>0</v>
      </c>
      <c r="K41" s="47" t="s">
        <v>2480</v>
      </c>
      <c r="L41" s="47" t="str">
        <f>=IFERROR(VLOOKUP(H41&amp;I41,Table_Fonctions!A:G,7,FALSE),K41)</f>
        <v/>
      </c>
      <c r="M41" s="47" t="str">
        <f>=IF(OR(LEFT(D41, 3)="TJ ", LEFT(D41, 4)="CPH "), "OUI", "NON")</f>
        <v/>
      </c>
      <c r="N41" s="47" t="s">
        <v>163</v>
      </c>
      <c r="O41" s="47"/>
      <c r="P41" s="47">
        <v>1</v>
      </c>
      <c r="Q41" s="47">
        <v>1</v>
      </c>
      <c r="R41" s="47">
        <v>0</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0.85</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0.07</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0.01</v>
      </c>
      <c r="CW41" s="47">
        <v>0</v>
      </c>
      <c r="CX41" s="47">
        <v>0</v>
      </c>
      <c r="CY41" s="47">
        <v>0.07</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v>0</v>
      </c>
      <c r="EA41" s="47">
        <v>0</v>
      </c>
      <c r="EB41" s="47"/>
      <c r="EC41" s="47">
        <v>1</v>
      </c>
      <c r="ZZ41" t="s">
        <v>2472</v>
      </c>
    </row>
    <row r="42" spans="1:702" x14ac:dyDescent="0.25">
      <c r="A42" s="47" t="s">
        <v>336</v>
      </c>
      <c r="B42" s="47" t="s">
        <v>153</v>
      </c>
      <c r="C42" s="47" t="s">
        <v>157</v>
      </c>
      <c r="D42" s="47" t="s">
        <v>2518</v>
      </c>
      <c r="E42" s="47" t="s">
        <v>337</v>
      </c>
      <c r="F42" s="47" t="s">
        <v>338</v>
      </c>
      <c r="G42" s="47" t="s">
        <v>339</v>
      </c>
      <c r="H42" s="47" t="s">
        <v>173</v>
      </c>
      <c r="I42" s="47" t="s">
        <v>323</v>
      </c>
      <c r="J42" s="47" t="str">
        <f>=IFERROR(VLOOKUP(H42&amp;I42,Table_Fonctions!A:G,6,FALSE),"")</f>
        <v>0</v>
      </c>
      <c r="K42" s="47" t="s">
        <v>2480</v>
      </c>
      <c r="L42" s="47" t="str">
        <f>=IFERROR(VLOOKUP(H42&amp;I42,Table_Fonctions!A:G,7,FALSE),K42)</f>
        <v/>
      </c>
      <c r="M42" s="47" t="str">
        <f>=IF(OR(LEFT(D42, 3)="TJ ", LEFT(D42, 4)="CPH "), "OUI", "NON")</f>
        <v/>
      </c>
      <c r="N42" s="47" t="s">
        <v>163</v>
      </c>
      <c r="O42" s="47"/>
      <c r="P42" s="47">
        <v>1</v>
      </c>
      <c r="Q42" s="47">
        <v>1</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0.1</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0.79</v>
      </c>
      <c r="CR42" s="47">
        <v>0</v>
      </c>
      <c r="CS42" s="47">
        <v>0</v>
      </c>
      <c r="CT42" s="47">
        <v>0</v>
      </c>
      <c r="CU42" s="47">
        <v>0</v>
      </c>
      <c r="CV42" s="47">
        <v>0</v>
      </c>
      <c r="CW42" s="47">
        <v>0</v>
      </c>
      <c r="CX42" s="47">
        <v>0</v>
      </c>
      <c r="CY42" s="47">
        <v>0.11</v>
      </c>
      <c r="CZ42" s="47">
        <v>0</v>
      </c>
      <c r="DA42" s="47">
        <v>0</v>
      </c>
      <c r="DB42" s="47">
        <v>0</v>
      </c>
      <c r="DC42" s="47">
        <v>0</v>
      </c>
      <c r="DD42" s="47">
        <v>0</v>
      </c>
      <c r="DE42" s="47">
        <v>0</v>
      </c>
      <c r="DF42" s="47">
        <v>0</v>
      </c>
      <c r="DG42" s="47">
        <v>0</v>
      </c>
      <c r="DH42" s="47">
        <v>0</v>
      </c>
      <c r="DI42" s="47">
        <v>0</v>
      </c>
      <c r="DJ42" s="47">
        <v>0</v>
      </c>
      <c r="DK42" s="47">
        <v>0</v>
      </c>
      <c r="DL42" s="47">
        <v>0</v>
      </c>
      <c r="DM42" s="47">
        <v>0</v>
      </c>
      <c r="DN42" s="47">
        <v>0</v>
      </c>
      <c r="DO42" s="47">
        <v>0</v>
      </c>
      <c r="DP42" s="47">
        <v>0</v>
      </c>
      <c r="DQ42" s="47">
        <v>0</v>
      </c>
      <c r="DR42" s="47">
        <v>0</v>
      </c>
      <c r="DS42" s="47">
        <v>0</v>
      </c>
      <c r="DT42" s="47">
        <v>0</v>
      </c>
      <c r="DU42" s="47">
        <v>0</v>
      </c>
      <c r="DV42" s="47">
        <v>0</v>
      </c>
      <c r="DW42" s="47">
        <v>0</v>
      </c>
      <c r="DX42" s="47">
        <v>0</v>
      </c>
      <c r="DY42" s="47">
        <v>0</v>
      </c>
      <c r="DZ42" s="47">
        <v>0</v>
      </c>
      <c r="EA42" s="47">
        <v>0</v>
      </c>
      <c r="EB42" s="47"/>
      <c r="EC42" s="47">
        <v>1</v>
      </c>
      <c r="ZZ42" t="s">
        <v>2472</v>
      </c>
    </row>
    <row r="43" spans="1:702" x14ac:dyDescent="0.25">
      <c r="A43" s="47" t="s">
        <v>340</v>
      </c>
      <c r="B43" s="47" t="s">
        <v>153</v>
      </c>
      <c r="C43" s="47" t="s">
        <v>157</v>
      </c>
      <c r="D43" s="47" t="s">
        <v>2519</v>
      </c>
      <c r="E43" s="47" t="s">
        <v>341</v>
      </c>
      <c r="F43" s="47" t="s">
        <v>342</v>
      </c>
      <c r="G43" s="47" t="s">
        <v>343</v>
      </c>
      <c r="H43" s="47" t="s">
        <v>173</v>
      </c>
      <c r="I43" s="47" t="s">
        <v>344</v>
      </c>
      <c r="J43" s="47" t="str">
        <f>=IFERROR(VLOOKUP(H43&amp;I43,Table_Fonctions!A:G,6,FALSE),"")</f>
        <v>0</v>
      </c>
      <c r="K43" s="47" t="s">
        <v>2480</v>
      </c>
      <c r="L43" s="47" t="str">
        <f>=IFERROR(VLOOKUP(H43&amp;I43,Table_Fonctions!A:G,7,FALSE),K43)</f>
        <v/>
      </c>
      <c r="M43" s="47" t="str">
        <f>=IF(OR(LEFT(D43, 3)="TJ ", LEFT(D43, 4)="CPH "), "OUI", "NON")</f>
        <v/>
      </c>
      <c r="N43" s="47" t="s">
        <v>163</v>
      </c>
      <c r="O43" s="47"/>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0.815</v>
      </c>
      <c r="AK43" s="47">
        <v>0</v>
      </c>
      <c r="AL43" s="47">
        <v>0</v>
      </c>
      <c r="AM43" s="47">
        <v>0</v>
      </c>
      <c r="AN43" s="47">
        <v>0</v>
      </c>
      <c r="AO43" s="47">
        <v>0</v>
      </c>
      <c r="AP43" s="47">
        <v>0</v>
      </c>
      <c r="AQ43" s="47">
        <v>0</v>
      </c>
      <c r="AR43" s="47">
        <v>0</v>
      </c>
      <c r="AS43" s="47">
        <v>0.085</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0.05</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v>
      </c>
      <c r="CR43" s="47">
        <v>0</v>
      </c>
      <c r="CS43" s="47">
        <v>0</v>
      </c>
      <c r="CT43" s="47">
        <v>0</v>
      </c>
      <c r="CU43" s="47">
        <v>0</v>
      </c>
      <c r="CV43" s="47">
        <v>0</v>
      </c>
      <c r="CW43" s="47">
        <v>0</v>
      </c>
      <c r="CX43" s="47">
        <v>0</v>
      </c>
      <c r="CY43" s="47">
        <v>0.05</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v>0</v>
      </c>
      <c r="EA43" s="47">
        <v>0</v>
      </c>
      <c r="EB43" s="47"/>
      <c r="EC43" s="47">
        <v>1</v>
      </c>
      <c r="ZZ43" t="s">
        <v>2472</v>
      </c>
    </row>
    <row r="44" spans="1:702" x14ac:dyDescent="0.25">
      <c r="A44" s="47" t="s">
        <v>345</v>
      </c>
      <c r="B44" s="47" t="s">
        <v>153</v>
      </c>
      <c r="C44" s="47" t="s">
        <v>157</v>
      </c>
      <c r="D44" s="47" t="s">
        <v>2520</v>
      </c>
      <c r="E44" s="47" t="s">
        <v>346</v>
      </c>
      <c r="F44" s="47" t="s">
        <v>347</v>
      </c>
      <c r="G44" s="47" t="s">
        <v>348</v>
      </c>
      <c r="H44" s="47" t="s">
        <v>173</v>
      </c>
      <c r="I44" s="47" t="s">
        <v>185</v>
      </c>
      <c r="J44" s="47" t="str">
        <f>=IFERROR(VLOOKUP(H44&amp;I44,Table_Fonctions!A:G,6,FALSE),"")</f>
        <v>0</v>
      </c>
      <c r="K44" s="47" t="s">
        <v>2480</v>
      </c>
      <c r="L44" s="47" t="str">
        <f>=IFERROR(VLOOKUP(H44&amp;I44,Table_Fonctions!A:G,7,FALSE),K44)</f>
        <v/>
      </c>
      <c r="M44" s="47" t="str">
        <f>=IF(OR(LEFT(D44, 3)="TJ ", LEFT(D44, 4)="CPH "), "OUI", "NON")</f>
        <v/>
      </c>
      <c r="N44" s="47" t="s">
        <v>163</v>
      </c>
      <c r="O44" s="47"/>
      <c r="P44" s="47">
        <v>1</v>
      </c>
      <c r="Q44" s="47">
        <v>1</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v>
      </c>
      <c r="AK44" s="47">
        <v>0</v>
      </c>
      <c r="AL44" s="47">
        <v>0</v>
      </c>
      <c r="AM44" s="47">
        <v>0</v>
      </c>
      <c r="AN44" s="47">
        <v>0</v>
      </c>
      <c r="AO44" s="47">
        <v>0</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v>
      </c>
      <c r="BN44" s="47">
        <v>0</v>
      </c>
      <c r="BO44" s="47">
        <v>0</v>
      </c>
      <c r="BP44" s="47">
        <v>0</v>
      </c>
      <c r="BQ44" s="47">
        <v>0</v>
      </c>
      <c r="BR44" s="47">
        <v>0</v>
      </c>
      <c r="BS44" s="47">
        <v>0</v>
      </c>
      <c r="BT44" s="47">
        <v>0.425</v>
      </c>
      <c r="BU44" s="47">
        <v>0</v>
      </c>
      <c r="BV44" s="47">
        <v>0</v>
      </c>
      <c r="BW44" s="47">
        <v>0</v>
      </c>
      <c r="BX44" s="47">
        <v>0</v>
      </c>
      <c r="BY44" s="47">
        <v>0</v>
      </c>
      <c r="BZ44" s="47">
        <v>0</v>
      </c>
      <c r="CA44" s="47">
        <v>0</v>
      </c>
      <c r="CB44" s="47">
        <v>0</v>
      </c>
      <c r="CC44" s="47">
        <v>0</v>
      </c>
      <c r="CD44" s="47">
        <v>0</v>
      </c>
      <c r="CE44" s="47">
        <v>0</v>
      </c>
      <c r="CF44" s="47">
        <v>0</v>
      </c>
      <c r="CG44" s="47">
        <v>0</v>
      </c>
      <c r="CH44" s="47">
        <v>0</v>
      </c>
      <c r="CI44" s="47">
        <v>0</v>
      </c>
      <c r="CJ44" s="47">
        <v>0</v>
      </c>
      <c r="CK44" s="47">
        <v>0.525</v>
      </c>
      <c r="CL44" s="47">
        <v>0</v>
      </c>
      <c r="CM44" s="47">
        <v>0</v>
      </c>
      <c r="CN44" s="47">
        <v>0</v>
      </c>
      <c r="CO44" s="47">
        <v>0</v>
      </c>
      <c r="CP44" s="47">
        <v>0</v>
      </c>
      <c r="CQ44" s="47">
        <v>0</v>
      </c>
      <c r="CR44" s="47">
        <v>0</v>
      </c>
      <c r="CS44" s="47">
        <v>0</v>
      </c>
      <c r="CT44" s="47">
        <v>0</v>
      </c>
      <c r="CU44" s="47">
        <v>0</v>
      </c>
      <c r="CV44" s="47">
        <v>0</v>
      </c>
      <c r="CW44" s="47">
        <v>0</v>
      </c>
      <c r="CX44" s="47">
        <v>0</v>
      </c>
      <c r="CY44" s="47">
        <v>0.05</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v>0</v>
      </c>
      <c r="EA44" s="47">
        <v>0</v>
      </c>
      <c r="EB44" s="47"/>
      <c r="EC44" s="47">
        <v>1</v>
      </c>
      <c r="ZZ44" t="s">
        <v>2472</v>
      </c>
    </row>
    <row r="45" spans="1:702" x14ac:dyDescent="0.25">
      <c r="A45" s="47" t="s">
        <v>349</v>
      </c>
      <c r="B45" s="47" t="s">
        <v>153</v>
      </c>
      <c r="C45" s="47" t="s">
        <v>157</v>
      </c>
      <c r="D45" s="47" t="s">
        <v>2521</v>
      </c>
      <c r="E45" s="47" t="s">
        <v>350</v>
      </c>
      <c r="F45" s="47" t="s">
        <v>351</v>
      </c>
      <c r="G45" s="47" t="s">
        <v>352</v>
      </c>
      <c r="H45" s="47" t="s">
        <v>173</v>
      </c>
      <c r="I45" s="47" t="s">
        <v>301</v>
      </c>
      <c r="J45" s="47" t="str">
        <f>=IFERROR(VLOOKUP(H45&amp;I45,Table_Fonctions!A:G,6,FALSE),"")</f>
        <v>0</v>
      </c>
      <c r="K45" s="47" t="s">
        <v>2480</v>
      </c>
      <c r="L45" s="47" t="str">
        <f>=IFERROR(VLOOKUP(H45&amp;I45,Table_Fonctions!A:G,7,FALSE),K45)</f>
        <v/>
      </c>
      <c r="M45" s="47" t="str">
        <f>=IF(OR(LEFT(D45, 3)="TJ ", LEFT(D45, 4)="CPH "), "OUI", "NON")</f>
        <v/>
      </c>
      <c r="N45" s="47" t="s">
        <v>163</v>
      </c>
      <c r="O45" s="47"/>
      <c r="P45" s="47">
        <v>1</v>
      </c>
      <c r="Q45" s="47">
        <v>1</v>
      </c>
      <c r="R45" s="47">
        <v>0</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0.885</v>
      </c>
      <c r="BR45" s="47">
        <v>0</v>
      </c>
      <c r="BS45" s="47">
        <v>0</v>
      </c>
      <c r="BT45" s="47">
        <v>0.045</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0.07</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v>0</v>
      </c>
      <c r="EA45" s="47">
        <v>0</v>
      </c>
      <c r="EB45" s="47"/>
      <c r="EC45" s="47">
        <v>1</v>
      </c>
      <c r="ZZ45" t="s">
        <v>2472</v>
      </c>
    </row>
    <row r="46" spans="1:702" x14ac:dyDescent="0.25">
      <c r="A46" s="47" t="s">
        <v>353</v>
      </c>
      <c r="B46" s="47" t="s">
        <v>153</v>
      </c>
      <c r="C46" s="47" t="s">
        <v>157</v>
      </c>
      <c r="D46" s="47" t="s">
        <v>2522</v>
      </c>
      <c r="E46" s="47" t="s">
        <v>354</v>
      </c>
      <c r="F46" s="47" t="s">
        <v>355</v>
      </c>
      <c r="G46" s="47" t="s">
        <v>356</v>
      </c>
      <c r="H46" s="47" t="s">
        <v>173</v>
      </c>
      <c r="I46" s="47" t="s">
        <v>180</v>
      </c>
      <c r="J46" s="47" t="str">
        <f>=IFERROR(VLOOKUP(H46&amp;I46,Table_Fonctions!A:G,6,FALSE),"")</f>
        <v>0</v>
      </c>
      <c r="K46" s="47" t="s">
        <v>2480</v>
      </c>
      <c r="L46" s="47" t="str">
        <f>=IFERROR(VLOOKUP(H46&amp;I46,Table_Fonctions!A:G,7,FALSE),K46)</f>
        <v/>
      </c>
      <c r="M46" s="47" t="str">
        <f>=IF(OR(LEFT(D46, 3)="TJ ", LEFT(D46, 4)="CPH "), "OUI", "NON")</f>
        <v/>
      </c>
      <c r="N46" s="47" t="s">
        <v>163</v>
      </c>
      <c r="O46" s="47"/>
      <c r="P46" s="47">
        <v>1</v>
      </c>
      <c r="Q46" s="47">
        <v>1</v>
      </c>
      <c r="R46" s="47">
        <v>0</v>
      </c>
      <c r="S46" s="47">
        <f>=ROUND(BQ46-(BR46+BS46),3)</f>
      </c>
      <c r="T46" s="47">
        <f>=ROUND(CK46-(CL46+CM46+CN46+CO46+CP46),3)</f>
      </c>
      <c r="U46" s="47">
        <v>0.81</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0.05</v>
      </c>
      <c r="BN46" s="47">
        <v>0</v>
      </c>
      <c r="BO46" s="47">
        <v>0</v>
      </c>
      <c r="BP46" s="47">
        <v>0</v>
      </c>
      <c r="BQ46" s="47">
        <v>0</v>
      </c>
      <c r="BR46" s="47">
        <v>0</v>
      </c>
      <c r="BS46" s="47">
        <v>0</v>
      </c>
      <c r="BT46" s="47">
        <v>0.08</v>
      </c>
      <c r="BU46" s="47">
        <v>0</v>
      </c>
      <c r="BV46" s="47">
        <v>0</v>
      </c>
      <c r="BW46" s="47">
        <v>0</v>
      </c>
      <c r="BX46" s="47">
        <v>0</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0.01</v>
      </c>
      <c r="CW46" s="47">
        <v>0</v>
      </c>
      <c r="CX46" s="47">
        <v>0</v>
      </c>
      <c r="CY46" s="47">
        <v>0.05</v>
      </c>
      <c r="CZ46" s="47">
        <v>0</v>
      </c>
      <c r="DA46" s="47">
        <v>0</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v>
      </c>
      <c r="DW46" s="47">
        <v>0</v>
      </c>
      <c r="DX46" s="47">
        <v>0</v>
      </c>
      <c r="DY46" s="47">
        <v>0</v>
      </c>
      <c r="DZ46" s="47">
        <v>0</v>
      </c>
      <c r="EA46" s="47">
        <v>0</v>
      </c>
      <c r="EB46" s="47"/>
      <c r="EC46" s="47">
        <v>1</v>
      </c>
      <c r="ZZ46" t="s">
        <v>2472</v>
      </c>
    </row>
    <row r="47" spans="1:702" x14ac:dyDescent="0.25">
      <c r="A47" s="47" t="s">
        <v>357</v>
      </c>
      <c r="B47" s="47" t="s">
        <v>153</v>
      </c>
      <c r="C47" s="47" t="s">
        <v>157</v>
      </c>
      <c r="D47" s="47" t="s">
        <v>2523</v>
      </c>
      <c r="E47" s="47" t="s">
        <v>358</v>
      </c>
      <c r="F47" s="47" t="s">
        <v>359</v>
      </c>
      <c r="G47" s="47" t="s">
        <v>360</v>
      </c>
      <c r="H47" s="47" t="s">
        <v>173</v>
      </c>
      <c r="I47" s="47" t="s">
        <v>268</v>
      </c>
      <c r="J47" s="47" t="str">
        <f>=IFERROR(VLOOKUP(H47&amp;I47,Table_Fonctions!A:G,6,FALSE),"")</f>
        <v>0</v>
      </c>
      <c r="K47" s="47" t="s">
        <v>2480</v>
      </c>
      <c r="L47" s="47" t="str">
        <f>=IFERROR(VLOOKUP(H47&amp;I47,Table_Fonctions!A:G,7,FALSE),K47)</f>
        <v/>
      </c>
      <c r="M47" s="47" t="str">
        <f>=IF(OR(LEFT(D47, 3)="TJ ", LEFT(D47, 4)="CPH "), "OUI", "NON")</f>
        <v/>
      </c>
      <c r="N47" s="47" t="s">
        <v>163</v>
      </c>
      <c r="O47" s="47"/>
      <c r="P47" s="47">
        <v>1</v>
      </c>
      <c r="Q47" s="47">
        <v>0.75</v>
      </c>
      <c r="R47" s="47">
        <v>0.25</v>
      </c>
      <c r="S47" s="47">
        <f>=ROUND(BQ47-(BR47+BS47),3)</f>
      </c>
      <c r="T47" s="47">
        <f>=ROUND(CK47-(CL47+CM47+CN47+CO47+CP47),3)</f>
      </c>
      <c r="U47" s="47">
        <v>0</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0</v>
      </c>
      <c r="BR47" s="47">
        <v>0</v>
      </c>
      <c r="BS47" s="47">
        <v>0</v>
      </c>
      <c r="BT47" s="47">
        <v>0.42</v>
      </c>
      <c r="BU47" s="47">
        <v>0</v>
      </c>
      <c r="BV47" s="47">
        <v>0</v>
      </c>
      <c r="BW47" s="47">
        <v>0</v>
      </c>
      <c r="BX47" s="47">
        <v>0</v>
      </c>
      <c r="BY47" s="47">
        <v>0</v>
      </c>
      <c r="BZ47" s="47">
        <v>0</v>
      </c>
      <c r="CA47" s="47">
        <v>0</v>
      </c>
      <c r="CB47" s="47">
        <v>0</v>
      </c>
      <c r="CC47" s="47">
        <v>0</v>
      </c>
      <c r="CD47" s="47">
        <v>0</v>
      </c>
      <c r="CE47" s="47">
        <v>0</v>
      </c>
      <c r="CF47" s="47">
        <v>0</v>
      </c>
      <c r="CG47" s="47">
        <v>0</v>
      </c>
      <c r="CH47" s="47">
        <v>0</v>
      </c>
      <c r="CI47" s="47">
        <v>0</v>
      </c>
      <c r="CJ47" s="47">
        <v>0</v>
      </c>
      <c r="CK47" s="47">
        <v>0.28</v>
      </c>
      <c r="CL47" s="47">
        <v>0</v>
      </c>
      <c r="CM47" s="47">
        <v>0</v>
      </c>
      <c r="CN47" s="47">
        <v>0</v>
      </c>
      <c r="CO47" s="47">
        <v>0</v>
      </c>
      <c r="CP47" s="47">
        <v>0</v>
      </c>
      <c r="CQ47" s="47">
        <v>0</v>
      </c>
      <c r="CR47" s="47">
        <v>0</v>
      </c>
      <c r="CS47" s="47">
        <v>0</v>
      </c>
      <c r="CT47" s="47">
        <v>0</v>
      </c>
      <c r="CU47" s="47">
        <v>0</v>
      </c>
      <c r="CV47" s="47">
        <v>0</v>
      </c>
      <c r="CW47" s="47">
        <v>0</v>
      </c>
      <c r="CX47" s="47">
        <v>0</v>
      </c>
      <c r="CY47" s="47">
        <v>0.05</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v>0</v>
      </c>
      <c r="EA47" s="47">
        <v>0</v>
      </c>
      <c r="EB47" s="47"/>
      <c r="EC47" s="47">
        <v>1</v>
      </c>
      <c r="ZZ47" t="s">
        <v>2472</v>
      </c>
    </row>
    <row r="48" spans="1:702" x14ac:dyDescent="0.25">
      <c r="A48" s="47" t="s">
        <v>361</v>
      </c>
      <c r="B48" s="47" t="s">
        <v>153</v>
      </c>
      <c r="C48" s="47" t="s">
        <v>157</v>
      </c>
      <c r="D48" s="47" t="s">
        <v>2524</v>
      </c>
      <c r="E48" s="47" t="s">
        <v>362</v>
      </c>
      <c r="F48" s="47" t="s">
        <v>363</v>
      </c>
      <c r="G48" s="47" t="s">
        <v>364</v>
      </c>
      <c r="H48" s="47" t="s">
        <v>173</v>
      </c>
      <c r="I48" s="47" t="s">
        <v>365</v>
      </c>
      <c r="J48" s="47" t="str">
        <f>=IFERROR(VLOOKUP(H48&amp;I48,Table_Fonctions!A:G,6,FALSE),"")</f>
        <v>0</v>
      </c>
      <c r="K48" s="47" t="s">
        <v>2480</v>
      </c>
      <c r="L48" s="47" t="str">
        <f>=IFERROR(VLOOKUP(H48&amp;I48,Table_Fonctions!A:G,7,FALSE),K48)</f>
        <v/>
      </c>
      <c r="M48" s="47" t="str">
        <f>=IF(OR(LEFT(D48, 3)="TJ ", LEFT(D48, 4)="CPH "), "OUI", "NON")</f>
        <v/>
      </c>
      <c r="N48" s="47" t="s">
        <v>163</v>
      </c>
      <c r="O48" s="47"/>
      <c r="P48" s="47">
        <v>1</v>
      </c>
      <c r="Q48" s="47">
        <v>1</v>
      </c>
      <c r="R48" s="47">
        <v>0</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v>
      </c>
      <c r="AK48" s="47">
        <v>0</v>
      </c>
      <c r="AL48" s="47">
        <v>0</v>
      </c>
      <c r="AM48" s="47">
        <v>0</v>
      </c>
      <c r="AN48" s="47">
        <v>0</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v>
      </c>
      <c r="BN48" s="47">
        <v>0</v>
      </c>
      <c r="BO48" s="47">
        <v>0</v>
      </c>
      <c r="BP48" s="47">
        <v>0</v>
      </c>
      <c r="BQ48" s="47">
        <v>0</v>
      </c>
      <c r="BR48" s="47">
        <v>0</v>
      </c>
      <c r="BS48" s="47">
        <v>0</v>
      </c>
      <c r="BT48" s="47">
        <v>0.105</v>
      </c>
      <c r="BU48" s="47">
        <v>0</v>
      </c>
      <c r="BV48" s="47">
        <v>0</v>
      </c>
      <c r="BW48" s="47">
        <v>0</v>
      </c>
      <c r="BX48" s="47">
        <v>0</v>
      </c>
      <c r="BY48" s="47">
        <v>0</v>
      </c>
      <c r="BZ48" s="47">
        <v>0</v>
      </c>
      <c r="CA48" s="47">
        <v>0</v>
      </c>
      <c r="CB48" s="47">
        <v>0</v>
      </c>
      <c r="CC48" s="47">
        <v>0</v>
      </c>
      <c r="CD48" s="47">
        <v>0</v>
      </c>
      <c r="CE48" s="47">
        <v>0</v>
      </c>
      <c r="CF48" s="47">
        <v>0</v>
      </c>
      <c r="CG48" s="47">
        <v>0</v>
      </c>
      <c r="CH48" s="47">
        <v>0</v>
      </c>
      <c r="CI48" s="47">
        <v>0</v>
      </c>
      <c r="CJ48" s="47">
        <v>0</v>
      </c>
      <c r="CK48" s="47">
        <v>0.521</v>
      </c>
      <c r="CL48" s="47">
        <v>0</v>
      </c>
      <c r="CM48" s="47">
        <v>0</v>
      </c>
      <c r="CN48" s="47">
        <v>0</v>
      </c>
      <c r="CO48" s="47">
        <v>0</v>
      </c>
      <c r="CP48" s="47">
        <v>0</v>
      </c>
      <c r="CQ48" s="47">
        <v>0</v>
      </c>
      <c r="CR48" s="47">
        <v>0</v>
      </c>
      <c r="CS48" s="47">
        <v>0</v>
      </c>
      <c r="CT48" s="47">
        <v>0</v>
      </c>
      <c r="CU48" s="47">
        <v>0</v>
      </c>
      <c r="CV48" s="47">
        <v>0</v>
      </c>
      <c r="CW48" s="47">
        <v>0</v>
      </c>
      <c r="CX48" s="47">
        <v>0</v>
      </c>
      <c r="CY48" s="47">
        <v>0.374</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v>0</v>
      </c>
      <c r="EA48" s="47">
        <v>0</v>
      </c>
      <c r="EB48" s="47"/>
      <c r="EC48" s="47">
        <v>1</v>
      </c>
      <c r="ZZ48" t="s">
        <v>2472</v>
      </c>
    </row>
    <row r="49" spans="1:702" x14ac:dyDescent="0.25">
      <c r="A49" s="47" t="s">
        <v>366</v>
      </c>
      <c r="B49" s="47" t="s">
        <v>153</v>
      </c>
      <c r="C49" s="47" t="s">
        <v>157</v>
      </c>
      <c r="D49" s="47" t="s">
        <v>2525</v>
      </c>
      <c r="E49" s="47" t="s">
        <v>367</v>
      </c>
      <c r="F49" s="47" t="s">
        <v>368</v>
      </c>
      <c r="G49" s="47" t="s">
        <v>369</v>
      </c>
      <c r="H49" s="47" t="s">
        <v>173</v>
      </c>
      <c r="I49" s="47" t="s">
        <v>180</v>
      </c>
      <c r="J49" s="47" t="str">
        <f>=IFERROR(VLOOKUP(H49&amp;I49,Table_Fonctions!A:G,6,FALSE),"")</f>
        <v>0</v>
      </c>
      <c r="K49" s="47" t="s">
        <v>2480</v>
      </c>
      <c r="L49" s="47" t="str">
        <f>=IFERROR(VLOOKUP(H49&amp;I49,Table_Fonctions!A:G,7,FALSE),K49)</f>
        <v/>
      </c>
      <c r="M49" s="47" t="str">
        <f>=IF(OR(LEFT(D49, 3)="TJ ", LEFT(D49, 4)="CPH "), "OUI", "NON")</f>
        <v/>
      </c>
      <c r="N49" s="47" t="s">
        <v>163</v>
      </c>
      <c r="O49" s="47"/>
      <c r="P49" s="47">
        <v>0.83</v>
      </c>
      <c r="Q49" s="47">
        <v>0.83</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0.5985</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0.005</v>
      </c>
      <c r="BN49" s="47">
        <v>0</v>
      </c>
      <c r="BO49" s="47">
        <v>0</v>
      </c>
      <c r="BP49" s="47">
        <v>0</v>
      </c>
      <c r="BQ49" s="47">
        <v>0</v>
      </c>
      <c r="BR49" s="47">
        <v>0</v>
      </c>
      <c r="BS49" s="47">
        <v>0</v>
      </c>
      <c r="BT49" s="47">
        <v>0.177</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v>
      </c>
      <c r="CL49" s="47">
        <v>0</v>
      </c>
      <c r="CM49" s="47">
        <v>0</v>
      </c>
      <c r="CN49" s="47">
        <v>0</v>
      </c>
      <c r="CO49" s="47">
        <v>0</v>
      </c>
      <c r="CP49" s="47">
        <v>0</v>
      </c>
      <c r="CQ49" s="47">
        <v>0</v>
      </c>
      <c r="CR49" s="47">
        <v>0</v>
      </c>
      <c r="CS49" s="47">
        <v>0</v>
      </c>
      <c r="CT49" s="47">
        <v>0</v>
      </c>
      <c r="CU49" s="47">
        <v>0</v>
      </c>
      <c r="CV49" s="47">
        <v>0.008</v>
      </c>
      <c r="CW49" s="47">
        <v>0</v>
      </c>
      <c r="CX49" s="47">
        <v>0</v>
      </c>
      <c r="CY49" s="47">
        <v>0.0415</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v>
      </c>
      <c r="DU49" s="47">
        <v>0</v>
      </c>
      <c r="DV49" s="47">
        <v>0</v>
      </c>
      <c r="DW49" s="47">
        <v>0</v>
      </c>
      <c r="DX49" s="47">
        <v>0</v>
      </c>
      <c r="DY49" s="47">
        <v>0</v>
      </c>
      <c r="DZ49" s="47">
        <v>0</v>
      </c>
      <c r="EA49" s="47">
        <v>0</v>
      </c>
      <c r="EB49" s="47"/>
      <c r="EC49" s="47">
        <v>0.83</v>
      </c>
      <c r="ZZ49" t="s">
        <v>2472</v>
      </c>
    </row>
    <row r="50" spans="1:702" x14ac:dyDescent="0.25">
      <c r="A50" s="47" t="s">
        <v>370</v>
      </c>
      <c r="B50" s="47" t="s">
        <v>153</v>
      </c>
      <c r="C50" s="47" t="s">
        <v>157</v>
      </c>
      <c r="D50" s="47" t="s">
        <v>2526</v>
      </c>
      <c r="E50" s="47" t="s">
        <v>371</v>
      </c>
      <c r="F50" s="47" t="s">
        <v>372</v>
      </c>
      <c r="G50" s="47" t="s">
        <v>373</v>
      </c>
      <c r="H50" s="47" t="s">
        <v>173</v>
      </c>
      <c r="I50" s="47" t="s">
        <v>180</v>
      </c>
      <c r="J50" s="47" t="str">
        <f>=IFERROR(VLOOKUP(H50&amp;I50,Table_Fonctions!A:G,6,FALSE),"")</f>
        <v>0</v>
      </c>
      <c r="K50" s="47" t="s">
        <v>2480</v>
      </c>
      <c r="L50" s="47" t="str">
        <f>=IFERROR(VLOOKUP(H50&amp;I50,Table_Fonctions!A:G,7,FALSE),K50)</f>
        <v/>
      </c>
      <c r="M50" s="47" t="str">
        <f>=IF(OR(LEFT(D50, 3)="TJ ", LEFT(D50, 4)="CPH "), "OUI", "NON")</f>
        <v/>
      </c>
      <c r="N50" s="47" t="s">
        <v>163</v>
      </c>
      <c r="O50" s="47"/>
      <c r="P50" s="47">
        <v>0.5</v>
      </c>
      <c r="Q50" s="47">
        <v>0.5</v>
      </c>
      <c r="R50" s="47">
        <v>0</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0.475</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v>
      </c>
      <c r="BN50" s="47">
        <v>0</v>
      </c>
      <c r="BO50" s="47">
        <v>0</v>
      </c>
      <c r="BP50" s="47">
        <v>0</v>
      </c>
      <c r="BQ50" s="47">
        <v>0</v>
      </c>
      <c r="BR50" s="47">
        <v>0</v>
      </c>
      <c r="BS50" s="47">
        <v>0</v>
      </c>
      <c r="BT50" s="47">
        <v>0</v>
      </c>
      <c r="BU50" s="47">
        <v>0</v>
      </c>
      <c r="BV50" s="47">
        <v>0</v>
      </c>
      <c r="BW50" s="47">
        <v>0</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v>
      </c>
      <c r="CW50" s="47">
        <v>0</v>
      </c>
      <c r="CX50" s="47">
        <v>0</v>
      </c>
      <c r="CY50" s="47">
        <v>0.025</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v>0</v>
      </c>
      <c r="EA50" s="47">
        <v>0</v>
      </c>
      <c r="EB50" s="47"/>
      <c r="EC50" s="47">
        <v>0.5</v>
      </c>
      <c r="ZZ50" t="s">
        <v>2472</v>
      </c>
    </row>
    <row r="51" spans="1:702" x14ac:dyDescent="0.25">
      <c r="A51" s="47" t="s">
        <v>374</v>
      </c>
      <c r="B51" s="47" t="s">
        <v>153</v>
      </c>
      <c r="C51" s="47" t="s">
        <v>157</v>
      </c>
      <c r="D51" s="47" t="s">
        <v>2527</v>
      </c>
      <c r="E51" s="47" t="s">
        <v>375</v>
      </c>
      <c r="F51" s="47" t="s">
        <v>376</v>
      </c>
      <c r="G51" s="47" t="s">
        <v>377</v>
      </c>
      <c r="H51" s="47" t="s">
        <v>173</v>
      </c>
      <c r="I51" s="47" t="s">
        <v>190</v>
      </c>
      <c r="J51" s="47" t="str">
        <f>=IFERROR(VLOOKUP(H51&amp;I51,Table_Fonctions!A:G,6,FALSE),"")</f>
        <v>0</v>
      </c>
      <c r="K51" s="47" t="s">
        <v>2480</v>
      </c>
      <c r="L51" s="47" t="str">
        <f>=IFERROR(VLOOKUP(H51&amp;I51,Table_Fonctions!A:G,7,FALSE),K51)</f>
        <v/>
      </c>
      <c r="M51" s="47" t="str">
        <f>=IF(OR(LEFT(D51, 3)="TJ ", LEFT(D51, 4)="CPH "), "OUI", "NON")</f>
        <v/>
      </c>
      <c r="N51" s="47" t="s">
        <v>163</v>
      </c>
      <c r="O51" s="47"/>
      <c r="P51" s="47">
        <v>1</v>
      </c>
      <c r="Q51" s="47">
        <v>1</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0.01</v>
      </c>
      <c r="BN51" s="47">
        <v>0</v>
      </c>
      <c r="BO51" s="47">
        <v>0</v>
      </c>
      <c r="BP51" s="47">
        <v>0</v>
      </c>
      <c r="BQ51" s="47">
        <v>0</v>
      </c>
      <c r="BR51" s="47">
        <v>0</v>
      </c>
      <c r="BS51" s="47">
        <v>0</v>
      </c>
      <c r="BT51" s="47">
        <v>0.065</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0.865</v>
      </c>
      <c r="CR51" s="47">
        <v>0</v>
      </c>
      <c r="CS51" s="47">
        <v>0</v>
      </c>
      <c r="CT51" s="47">
        <v>0</v>
      </c>
      <c r="CU51" s="47">
        <v>0</v>
      </c>
      <c r="CV51" s="47">
        <v>0.01</v>
      </c>
      <c r="CW51" s="47">
        <v>0</v>
      </c>
      <c r="CX51" s="47">
        <v>0</v>
      </c>
      <c r="CY51" s="47">
        <v>0.05</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c r="DU51" s="47">
        <v>0</v>
      </c>
      <c r="DV51" s="47">
        <v>0</v>
      </c>
      <c r="DW51" s="47">
        <v>0</v>
      </c>
      <c r="DX51" s="47">
        <v>0</v>
      </c>
      <c r="DY51" s="47">
        <v>0</v>
      </c>
      <c r="DZ51" s="47">
        <v>0</v>
      </c>
      <c r="EA51" s="47">
        <v>0</v>
      </c>
      <c r="EB51" s="47"/>
      <c r="EC51" s="47">
        <v>1</v>
      </c>
      <c r="ZZ51" t="s">
        <v>2472</v>
      </c>
    </row>
    <row r="52" spans="1:702" x14ac:dyDescent="0.25">
      <c r="A52" s="47" t="s">
        <v>378</v>
      </c>
      <c r="B52" s="47" t="s">
        <v>153</v>
      </c>
      <c r="C52" s="47" t="s">
        <v>157</v>
      </c>
      <c r="D52" s="47" t="s">
        <v>2528</v>
      </c>
      <c r="E52" s="47" t="s">
        <v>379</v>
      </c>
      <c r="F52" s="47" t="s">
        <v>380</v>
      </c>
      <c r="G52" s="47" t="s">
        <v>381</v>
      </c>
      <c r="H52" s="47" t="s">
        <v>173</v>
      </c>
      <c r="I52" s="47" t="s">
        <v>201</v>
      </c>
      <c r="J52" s="47" t="str">
        <f>=IFERROR(VLOOKUP(H52&amp;I52,Table_Fonctions!A:G,6,FALSE),"")</f>
        <v>0</v>
      </c>
      <c r="K52" s="47" t="s">
        <v>2480</v>
      </c>
      <c r="L52" s="47" t="str">
        <f>=IFERROR(VLOOKUP(H52&amp;I52,Table_Fonctions!A:G,7,FALSE),K52)</f>
        <v/>
      </c>
      <c r="M52" s="47" t="str">
        <f>=IF(OR(LEFT(D52, 3)="TJ ", LEFT(D52, 4)="CPH "), "OUI", "NON")</f>
        <v/>
      </c>
      <c r="N52" s="47" t="s">
        <v>163</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v>
      </c>
      <c r="BN52" s="47">
        <v>0</v>
      </c>
      <c r="BO52" s="47">
        <v>0</v>
      </c>
      <c r="BP52" s="47">
        <v>0</v>
      </c>
      <c r="BQ52" s="47">
        <v>0</v>
      </c>
      <c r="BR52" s="47">
        <v>0</v>
      </c>
      <c r="BS52" s="47">
        <v>0</v>
      </c>
      <c r="BT52" s="47">
        <v>0.94</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v>
      </c>
      <c r="CW52" s="47">
        <v>0</v>
      </c>
      <c r="CX52" s="47">
        <v>0</v>
      </c>
      <c r="CY52" s="47">
        <v>0.06</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v>0</v>
      </c>
      <c r="EA52" s="47">
        <v>0</v>
      </c>
      <c r="EB52" s="47"/>
      <c r="EC52" s="47">
        <v>1</v>
      </c>
      <c r="ZZ52" t="s">
        <v>2472</v>
      </c>
    </row>
    <row r="53" spans="1:702" x14ac:dyDescent="0.25">
      <c r="A53" s="47" t="s">
        <v>382</v>
      </c>
      <c r="B53" s="47" t="s">
        <v>153</v>
      </c>
      <c r="C53" s="47" t="s">
        <v>157</v>
      </c>
      <c r="D53" s="47" t="s">
        <v>2529</v>
      </c>
      <c r="E53" s="47" t="s">
        <v>383</v>
      </c>
      <c r="F53" s="47" t="s">
        <v>384</v>
      </c>
      <c r="G53" s="47" t="s">
        <v>385</v>
      </c>
      <c r="H53" s="47" t="s">
        <v>173</v>
      </c>
      <c r="I53" s="47" t="s">
        <v>180</v>
      </c>
      <c r="J53" s="47" t="str">
        <f>=IFERROR(VLOOKUP(H53&amp;I53,Table_Fonctions!A:G,6,FALSE),"")</f>
        <v>0</v>
      </c>
      <c r="K53" s="47" t="s">
        <v>2480</v>
      </c>
      <c r="L53" s="47" t="str">
        <f>=IFERROR(VLOOKUP(H53&amp;I53,Table_Fonctions!A:G,7,FALSE),K53)</f>
        <v/>
      </c>
      <c r="M53" s="47" t="str">
        <f>=IF(OR(LEFT(D53, 3)="TJ ", LEFT(D53, 4)="CPH "), "OUI", "NON")</f>
        <v/>
      </c>
      <c r="N53" s="47" t="s">
        <v>163</v>
      </c>
      <c r="O53" s="47"/>
      <c r="P53" s="47">
        <v>0.8</v>
      </c>
      <c r="Q53" s="47">
        <v>0.8</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0.716</v>
      </c>
      <c r="AT53" s="47">
        <v>0</v>
      </c>
      <c r="AU53" s="47">
        <v>0</v>
      </c>
      <c r="AV53" s="47">
        <v>0</v>
      </c>
      <c r="AW53" s="47">
        <v>0</v>
      </c>
      <c r="AX53" s="47">
        <v>0</v>
      </c>
      <c r="AY53" s="47">
        <v>0</v>
      </c>
      <c r="AZ53" s="47">
        <v>0</v>
      </c>
      <c r="BA53" s="47">
        <v>0</v>
      </c>
      <c r="BB53" s="47">
        <v>0</v>
      </c>
      <c r="BC53" s="47">
        <v>0</v>
      </c>
      <c r="BD53" s="47">
        <v>0</v>
      </c>
      <c r="BE53" s="47">
        <v>0</v>
      </c>
      <c r="BF53" s="47">
        <v>0</v>
      </c>
      <c r="BG53" s="47">
        <v>0</v>
      </c>
      <c r="BH53" s="47">
        <v>0</v>
      </c>
      <c r="BI53" s="47">
        <v>0</v>
      </c>
      <c r="BJ53" s="47">
        <v>0</v>
      </c>
      <c r="BK53" s="47">
        <v>0</v>
      </c>
      <c r="BL53" s="47">
        <v>0</v>
      </c>
      <c r="BM53" s="47">
        <v>0</v>
      </c>
      <c r="BN53" s="47">
        <v>0</v>
      </c>
      <c r="BO53" s="47">
        <v>0</v>
      </c>
      <c r="BP53" s="47">
        <v>0</v>
      </c>
      <c r="BQ53" s="47">
        <v>0</v>
      </c>
      <c r="BR53" s="47">
        <v>0</v>
      </c>
      <c r="BS53" s="47">
        <v>0</v>
      </c>
      <c r="BT53" s="47">
        <v>0.036</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0.008</v>
      </c>
      <c r="CW53" s="47">
        <v>0</v>
      </c>
      <c r="CX53" s="47">
        <v>0</v>
      </c>
      <c r="CY53" s="47">
        <v>0.04</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v>0</v>
      </c>
      <c r="EA53" s="47">
        <v>0</v>
      </c>
      <c r="EB53" s="47"/>
      <c r="EC53" s="47">
        <v>0.8</v>
      </c>
      <c r="ZZ53" t="s">
        <v>2472</v>
      </c>
    </row>
    <row r="54" spans="1:702" x14ac:dyDescent="0.25">
      <c r="A54" s="47" t="s">
        <v>386</v>
      </c>
      <c r="B54" s="47" t="s">
        <v>153</v>
      </c>
      <c r="C54" s="47" t="s">
        <v>157</v>
      </c>
      <c r="D54" s="47" t="s">
        <v>2530</v>
      </c>
      <c r="E54" s="47" t="s">
        <v>387</v>
      </c>
      <c r="F54" s="47" t="s">
        <v>388</v>
      </c>
      <c r="G54" s="47" t="s">
        <v>389</v>
      </c>
      <c r="H54" s="47" t="s">
        <v>173</v>
      </c>
      <c r="I54" s="47" t="s">
        <v>268</v>
      </c>
      <c r="J54" s="47" t="str">
        <f>=IFERROR(VLOOKUP(H54&amp;I54,Table_Fonctions!A:G,6,FALSE),"")</f>
        <v>0</v>
      </c>
      <c r="K54" s="47" t="s">
        <v>2480</v>
      </c>
      <c r="L54" s="47" t="str">
        <f>=IFERROR(VLOOKUP(H54&amp;I54,Table_Fonctions!A:G,7,FALSE),K54)</f>
        <v/>
      </c>
      <c r="M54" s="47" t="str">
        <f>=IF(OR(LEFT(D54, 3)="TJ ", LEFT(D54, 4)="CPH "), "OUI", "NON")</f>
        <v/>
      </c>
      <c r="N54" s="47" t="s">
        <v>163</v>
      </c>
      <c r="O54" s="47"/>
      <c r="P54" s="47">
        <v>1</v>
      </c>
      <c r="Q54" s="47">
        <v>1</v>
      </c>
      <c r="R54" s="47">
        <v>0</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0.33</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0</v>
      </c>
      <c r="CL54" s="47">
        <v>0</v>
      </c>
      <c r="CM54" s="47">
        <v>0</v>
      </c>
      <c r="CN54" s="47">
        <v>0</v>
      </c>
      <c r="CO54" s="47">
        <v>0</v>
      </c>
      <c r="CP54" s="47">
        <v>0</v>
      </c>
      <c r="CQ54" s="47">
        <v>0</v>
      </c>
      <c r="CR54" s="47">
        <v>0</v>
      </c>
      <c r="CS54" s="47">
        <v>0</v>
      </c>
      <c r="CT54" s="47">
        <v>0</v>
      </c>
      <c r="CU54" s="47">
        <v>0</v>
      </c>
      <c r="CV54" s="47">
        <v>0.62</v>
      </c>
      <c r="CW54" s="47">
        <v>0</v>
      </c>
      <c r="CX54" s="47">
        <v>0</v>
      </c>
      <c r="CY54" s="47">
        <v>0.05</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v>0</v>
      </c>
      <c r="EA54" s="47">
        <v>0</v>
      </c>
      <c r="EB54" s="47"/>
      <c r="EC54" s="47">
        <v>1</v>
      </c>
      <c r="ZZ54" t="s">
        <v>2472</v>
      </c>
    </row>
    <row r="55" spans="1:702" x14ac:dyDescent="0.25">
      <c r="A55" s="47" t="s">
        <v>390</v>
      </c>
      <c r="B55" s="47" t="s">
        <v>153</v>
      </c>
      <c r="C55" s="47" t="s">
        <v>157</v>
      </c>
      <c r="D55" s="47" t="s">
        <v>2531</v>
      </c>
      <c r="E55" s="47" t="s">
        <v>391</v>
      </c>
      <c r="F55" s="47" t="s">
        <v>392</v>
      </c>
      <c r="G55" s="47" t="s">
        <v>393</v>
      </c>
      <c r="H55" s="47" t="s">
        <v>173</v>
      </c>
      <c r="I55" s="47" t="s">
        <v>301</v>
      </c>
      <c r="J55" s="47" t="str">
        <f>=IFERROR(VLOOKUP(H55&amp;I55,Table_Fonctions!A:G,6,FALSE),"")</f>
        <v>0</v>
      </c>
      <c r="K55" s="47" t="s">
        <v>2480</v>
      </c>
      <c r="L55" s="47" t="str">
        <f>=IFERROR(VLOOKUP(H55&amp;I55,Table_Fonctions!A:G,7,FALSE),K55)</f>
        <v/>
      </c>
      <c r="M55" s="47" t="str">
        <f>=IF(OR(LEFT(D55, 3)="TJ ", LEFT(D55, 4)="CPH "), "OUI", "NON")</f>
        <v/>
      </c>
      <c r="N55" s="47" t="s">
        <v>163</v>
      </c>
      <c r="O55" s="47"/>
      <c r="P55" s="47">
        <v>1</v>
      </c>
      <c r="Q55" s="47">
        <v>1</v>
      </c>
      <c r="R55" s="47">
        <v>0</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v>
      </c>
      <c r="AT55" s="47">
        <v>0</v>
      </c>
      <c r="AU55" s="47">
        <v>0</v>
      </c>
      <c r="AV55" s="47">
        <v>0</v>
      </c>
      <c r="AW55" s="47">
        <v>0</v>
      </c>
      <c r="AX55" s="47">
        <v>0</v>
      </c>
      <c r="AY55" s="47">
        <v>0</v>
      </c>
      <c r="AZ55" s="47">
        <v>0</v>
      </c>
      <c r="BA55" s="47">
        <v>0</v>
      </c>
      <c r="BB55" s="47">
        <v>0</v>
      </c>
      <c r="BC55" s="47">
        <v>0</v>
      </c>
      <c r="BD55" s="47">
        <v>0</v>
      </c>
      <c r="BE55" s="47">
        <v>0</v>
      </c>
      <c r="BF55" s="47">
        <v>0</v>
      </c>
      <c r="BG55" s="47">
        <v>0</v>
      </c>
      <c r="BH55" s="47">
        <v>0</v>
      </c>
      <c r="BI55" s="47">
        <v>0</v>
      </c>
      <c r="BJ55" s="47">
        <v>0</v>
      </c>
      <c r="BK55" s="47">
        <v>0</v>
      </c>
      <c r="BL55" s="47">
        <v>0</v>
      </c>
      <c r="BM55" s="47">
        <v>0</v>
      </c>
      <c r="BN55" s="47">
        <v>0</v>
      </c>
      <c r="BO55" s="47">
        <v>0</v>
      </c>
      <c r="BP55" s="47">
        <v>0</v>
      </c>
      <c r="BQ55" s="47">
        <v>0.88</v>
      </c>
      <c r="BR55" s="47">
        <v>0</v>
      </c>
      <c r="BS55" s="47">
        <v>0</v>
      </c>
      <c r="BT55" s="47">
        <v>0.07</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0.05</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v>0</v>
      </c>
      <c r="EA55" s="47">
        <v>0</v>
      </c>
      <c r="EB55" s="47"/>
      <c r="EC55" s="47">
        <v>1</v>
      </c>
      <c r="ZZ55" t="s">
        <v>2472</v>
      </c>
    </row>
    <row r="56" spans="1:702" x14ac:dyDescent="0.25">
      <c r="A56" s="47" t="s">
        <v>394</v>
      </c>
      <c r="B56" s="47" t="s">
        <v>153</v>
      </c>
      <c r="C56" s="47" t="s">
        <v>157</v>
      </c>
      <c r="D56" s="47" t="s">
        <v>2532</v>
      </c>
      <c r="E56" s="47" t="s">
        <v>395</v>
      </c>
      <c r="F56" s="47" t="s">
        <v>396</v>
      </c>
      <c r="G56" s="47" t="s">
        <v>397</v>
      </c>
      <c r="H56" s="47" t="s">
        <v>173</v>
      </c>
      <c r="I56" s="47" t="s">
        <v>180</v>
      </c>
      <c r="J56" s="47" t="str">
        <f>=IFERROR(VLOOKUP(H56&amp;I56,Table_Fonctions!A:G,6,FALSE),"")</f>
        <v>0</v>
      </c>
      <c r="K56" s="47" t="s">
        <v>2480</v>
      </c>
      <c r="L56" s="47" t="str">
        <f>=IFERROR(VLOOKUP(H56&amp;I56,Table_Fonctions!A:G,7,FALSE),K56)</f>
        <v/>
      </c>
      <c r="M56" s="47" t="str">
        <f>=IF(OR(LEFT(D56, 3)="TJ ", LEFT(D56, 4)="CPH "), "OUI", "NON")</f>
        <v/>
      </c>
      <c r="N56" s="47" t="s">
        <v>163</v>
      </c>
      <c r="O56" s="47"/>
      <c r="P56" s="47">
        <v>1</v>
      </c>
      <c r="Q56" s="47">
        <v>1</v>
      </c>
      <c r="R56" s="47">
        <v>0</v>
      </c>
      <c r="S56" s="47">
        <f>=ROUND(BQ56-(BR56+BS56),3)</f>
      </c>
      <c r="T56" s="47">
        <f>=ROUND(CK56-(CL56+CM56+CN56+CO56+CP56),3)</f>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0.6532</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0.0768</v>
      </c>
      <c r="BU56" s="47">
        <v>0</v>
      </c>
      <c r="BV56" s="47">
        <v>0</v>
      </c>
      <c r="BW56" s="47">
        <v>0</v>
      </c>
      <c r="BX56" s="47">
        <v>0</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0.27</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v>0</v>
      </c>
      <c r="EA56" s="47">
        <v>0</v>
      </c>
      <c r="EB56" s="47"/>
      <c r="EC56" s="47">
        <v>1</v>
      </c>
      <c r="ZZ56" t="s">
        <v>2472</v>
      </c>
    </row>
    <row r="57" spans="1:702" x14ac:dyDescent="0.25">
      <c r="A57" s="47" t="s">
        <v>398</v>
      </c>
      <c r="B57" s="47" t="s">
        <v>153</v>
      </c>
      <c r="C57" s="47" t="s">
        <v>157</v>
      </c>
      <c r="D57" s="47" t="s">
        <v>2533</v>
      </c>
      <c r="E57" s="47" t="s">
        <v>399</v>
      </c>
      <c r="F57" s="47" t="s">
        <v>400</v>
      </c>
      <c r="G57" s="47" t="s">
        <v>401</v>
      </c>
      <c r="H57" s="47" t="s">
        <v>173</v>
      </c>
      <c r="I57" s="47" t="s">
        <v>180</v>
      </c>
      <c r="J57" s="47" t="str">
        <f>=IFERROR(VLOOKUP(H57&amp;I57,Table_Fonctions!A:G,6,FALSE),"")</f>
        <v>0</v>
      </c>
      <c r="K57" s="47" t="s">
        <v>2480</v>
      </c>
      <c r="L57" s="47" t="str">
        <f>=IFERROR(VLOOKUP(H57&amp;I57,Table_Fonctions!A:G,7,FALSE),K57)</f>
        <v/>
      </c>
      <c r="M57" s="47" t="str">
        <f>=IF(OR(LEFT(D57, 3)="TJ ", LEFT(D57, 4)="CPH "), "OUI", "NON")</f>
        <v/>
      </c>
      <c r="N57" s="47" t="s">
        <v>163</v>
      </c>
      <c r="O57" s="47"/>
      <c r="P57" s="47">
        <v>0.8</v>
      </c>
      <c r="Q57" s="47">
        <v>0.672</v>
      </c>
      <c r="R57" s="47">
        <v>0.128</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0.324</v>
      </c>
      <c r="BN57" s="47">
        <v>0</v>
      </c>
      <c r="BO57" s="47">
        <v>0</v>
      </c>
      <c r="BP57" s="47">
        <v>0</v>
      </c>
      <c r="BQ57" s="47">
        <v>0</v>
      </c>
      <c r="BR57" s="47">
        <v>0</v>
      </c>
      <c r="BS57" s="47">
        <v>0</v>
      </c>
      <c r="BT57" s="47">
        <v>0.3</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0.008</v>
      </c>
      <c r="CW57" s="47">
        <v>0</v>
      </c>
      <c r="CX57" s="47">
        <v>0</v>
      </c>
      <c r="CY57" s="47">
        <v>0.04</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v>0</v>
      </c>
      <c r="EA57" s="47">
        <v>0</v>
      </c>
      <c r="EB57" s="47"/>
      <c r="EC57" s="47">
        <v>0.8</v>
      </c>
      <c r="ZZ57" t="s">
        <v>2472</v>
      </c>
    </row>
    <row r="58" spans="1:702" x14ac:dyDescent="0.25">
      <c r="A58" s="47" t="s">
        <v>402</v>
      </c>
      <c r="B58" s="47" t="s">
        <v>153</v>
      </c>
      <c r="C58" s="47" t="s">
        <v>157</v>
      </c>
      <c r="D58" s="47" t="s">
        <v>2534</v>
      </c>
      <c r="E58" s="47" t="s">
        <v>403</v>
      </c>
      <c r="F58" s="47" t="s">
        <v>404</v>
      </c>
      <c r="G58" s="47" t="s">
        <v>405</v>
      </c>
      <c r="H58" s="47" t="s">
        <v>173</v>
      </c>
      <c r="I58" s="47" t="s">
        <v>220</v>
      </c>
      <c r="J58" s="47" t="str">
        <f>=IFERROR(VLOOKUP(H58&amp;I58,Table_Fonctions!A:G,6,FALSE),"")</f>
        <v>0</v>
      </c>
      <c r="K58" s="47" t="s">
        <v>2480</v>
      </c>
      <c r="L58" s="47" t="str">
        <f>=IFERROR(VLOOKUP(H58&amp;I58,Table_Fonctions!A:G,7,FALSE),K58)</f>
        <v/>
      </c>
      <c r="M58" s="47" t="str">
        <f>=IF(OR(LEFT(D58, 3)="TJ ", LEFT(D58, 4)="CPH "), "OUI", "NON")</f>
        <v/>
      </c>
      <c r="N58" s="47" t="s">
        <v>163</v>
      </c>
      <c r="O58" s="47"/>
      <c r="P58" s="47">
        <v>1</v>
      </c>
      <c r="Q58" s="47">
        <v>1</v>
      </c>
      <c r="R58" s="47">
        <v>0</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0.835</v>
      </c>
      <c r="AK58" s="47">
        <v>0</v>
      </c>
      <c r="AL58" s="47">
        <v>0</v>
      </c>
      <c r="AM58" s="47">
        <v>0</v>
      </c>
      <c r="AN58" s="47">
        <v>0</v>
      </c>
      <c r="AO58" s="47">
        <v>0</v>
      </c>
      <c r="AP58" s="47">
        <v>0</v>
      </c>
      <c r="AQ58" s="47">
        <v>0</v>
      </c>
      <c r="AR58" s="47">
        <v>0</v>
      </c>
      <c r="AS58" s="47">
        <v>0.06</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0.01</v>
      </c>
      <c r="BN58" s="47">
        <v>0</v>
      </c>
      <c r="BO58" s="47">
        <v>0</v>
      </c>
      <c r="BP58" s="47">
        <v>0</v>
      </c>
      <c r="BQ58" s="47">
        <v>0</v>
      </c>
      <c r="BR58" s="47">
        <v>0</v>
      </c>
      <c r="BS58" s="47">
        <v>0</v>
      </c>
      <c r="BT58" s="47">
        <v>0.03</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0.01</v>
      </c>
      <c r="CW58" s="47">
        <v>0</v>
      </c>
      <c r="CX58" s="47">
        <v>0</v>
      </c>
      <c r="CY58" s="47">
        <v>0.055</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v>0</v>
      </c>
      <c r="EA58" s="47">
        <v>0</v>
      </c>
      <c r="EB58" s="47"/>
      <c r="EC58" s="47">
        <v>1</v>
      </c>
      <c r="ZZ58" t="s">
        <v>2472</v>
      </c>
    </row>
    <row r="59" spans="1:702" x14ac:dyDescent="0.25">
      <c r="A59" s="47" t="s">
        <v>406</v>
      </c>
      <c r="B59" s="47" t="s">
        <v>153</v>
      </c>
      <c r="C59" s="47" t="s">
        <v>157</v>
      </c>
      <c r="D59" s="47" t="s">
        <v>2535</v>
      </c>
      <c r="E59" s="47" t="s">
        <v>407</v>
      </c>
      <c r="F59" s="47" t="s">
        <v>408</v>
      </c>
      <c r="G59" s="47" t="s">
        <v>409</v>
      </c>
      <c r="H59" s="47" t="s">
        <v>173</v>
      </c>
      <c r="I59" s="47" t="s">
        <v>410</v>
      </c>
      <c r="J59" s="47" t="str">
        <f>=IFERROR(VLOOKUP(H59&amp;I59,Table_Fonctions!A:G,6,FALSE),"")</f>
        <v>0</v>
      </c>
      <c r="K59" s="47" t="s">
        <v>2480</v>
      </c>
      <c r="L59" s="47" t="str">
        <f>=IFERROR(VLOOKUP(H59&amp;I59,Table_Fonctions!A:G,7,FALSE),K59)</f>
        <v/>
      </c>
      <c r="M59" s="47" t="str">
        <f>=IF(OR(LEFT(D59, 3)="TJ ", LEFT(D59, 4)="CPH "), "OUI", "NON")</f>
        <v/>
      </c>
      <c r="N59" s="47" t="s">
        <v>163</v>
      </c>
      <c r="O59" s="47"/>
      <c r="P59" s="47">
        <v>1</v>
      </c>
      <c r="Q59" s="47">
        <v>1</v>
      </c>
      <c r="R59" s="47">
        <v>0</v>
      </c>
      <c r="S59" s="47">
        <f>=ROUND(BQ59-(BR59+BS59),3)</f>
      </c>
      <c r="T59" s="47">
        <f>=ROUND(CK59-(CL59+CM59+CN59+CO59+CP59),3)</f>
      </c>
      <c r="U59" s="47">
        <v>0.6</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0.01</v>
      </c>
      <c r="BN59" s="47">
        <v>0</v>
      </c>
      <c r="BO59" s="47">
        <v>0</v>
      </c>
      <c r="BP59" s="47">
        <v>0</v>
      </c>
      <c r="BQ59" s="47">
        <v>0</v>
      </c>
      <c r="BR59" s="47">
        <v>0</v>
      </c>
      <c r="BS59" s="47">
        <v>0</v>
      </c>
      <c r="BT59" s="47">
        <v>0.07</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0.06</v>
      </c>
      <c r="CL59" s="47">
        <v>0</v>
      </c>
      <c r="CM59" s="47">
        <v>0</v>
      </c>
      <c r="CN59" s="47">
        <v>0</v>
      </c>
      <c r="CO59" s="47">
        <v>0</v>
      </c>
      <c r="CP59" s="47">
        <v>0</v>
      </c>
      <c r="CQ59" s="47">
        <v>0</v>
      </c>
      <c r="CR59" s="47">
        <v>0</v>
      </c>
      <c r="CS59" s="47">
        <v>0</v>
      </c>
      <c r="CT59" s="47">
        <v>0</v>
      </c>
      <c r="CU59" s="47">
        <v>0</v>
      </c>
      <c r="CV59" s="47">
        <v>0.01</v>
      </c>
      <c r="CW59" s="47">
        <v>0</v>
      </c>
      <c r="CX59" s="47">
        <v>0</v>
      </c>
      <c r="CY59" s="47">
        <v>0.25</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v>
      </c>
      <c r="DU59" s="47">
        <v>0</v>
      </c>
      <c r="DV59" s="47">
        <v>0</v>
      </c>
      <c r="DW59" s="47">
        <v>0</v>
      </c>
      <c r="DX59" s="47">
        <v>0</v>
      </c>
      <c r="DY59" s="47">
        <v>0</v>
      </c>
      <c r="DZ59" s="47">
        <v>0</v>
      </c>
      <c r="EA59" s="47">
        <v>0</v>
      </c>
      <c r="EB59" s="47"/>
      <c r="EC59" s="47">
        <v>1</v>
      </c>
      <c r="ZZ59" t="s">
        <v>2472</v>
      </c>
    </row>
    <row r="60" spans="1:702" x14ac:dyDescent="0.25">
      <c r="A60" s="47" t="s">
        <v>411</v>
      </c>
      <c r="B60" s="47" t="s">
        <v>153</v>
      </c>
      <c r="C60" s="47" t="s">
        <v>157</v>
      </c>
      <c r="D60" s="47" t="s">
        <v>2536</v>
      </c>
      <c r="E60" s="47" t="s">
        <v>412</v>
      </c>
      <c r="F60" s="47" t="s">
        <v>413</v>
      </c>
      <c r="G60" s="47" t="s">
        <v>414</v>
      </c>
      <c r="H60" s="47" t="s">
        <v>173</v>
      </c>
      <c r="I60" s="47" t="s">
        <v>190</v>
      </c>
      <c r="J60" s="47" t="str">
        <f>=IFERROR(VLOOKUP(H60&amp;I60,Table_Fonctions!A:G,6,FALSE),"")</f>
        <v>0</v>
      </c>
      <c r="K60" s="47" t="s">
        <v>2480</v>
      </c>
      <c r="L60" s="47" t="str">
        <f>=IFERROR(VLOOKUP(H60&amp;I60,Table_Fonctions!A:G,7,FALSE),K60)</f>
        <v/>
      </c>
      <c r="M60" s="47" t="str">
        <f>=IF(OR(LEFT(D60, 3)="TJ ", LEFT(D60, 4)="CPH "), "OUI", "NON")</f>
        <v/>
      </c>
      <c r="N60" s="47" t="s">
        <v>163</v>
      </c>
      <c r="O60" s="47"/>
      <c r="P60" s="47">
        <v>1</v>
      </c>
      <c r="Q60" s="47">
        <v>1</v>
      </c>
      <c r="R60" s="47">
        <v>0</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0.06</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0.88</v>
      </c>
      <c r="CR60" s="47">
        <v>0</v>
      </c>
      <c r="CS60" s="47">
        <v>0</v>
      </c>
      <c r="CT60" s="47">
        <v>0</v>
      </c>
      <c r="CU60" s="47">
        <v>0</v>
      </c>
      <c r="CV60" s="47">
        <v>0.01</v>
      </c>
      <c r="CW60" s="47">
        <v>0</v>
      </c>
      <c r="CX60" s="47">
        <v>0</v>
      </c>
      <c r="CY60" s="47">
        <v>0.05</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v>0</v>
      </c>
      <c r="EA60" s="47">
        <v>0</v>
      </c>
      <c r="EB60" s="47"/>
      <c r="EC60" s="47">
        <v>1</v>
      </c>
      <c r="ZZ60" t="s">
        <v>2472</v>
      </c>
    </row>
    <row r="61" spans="1:702" x14ac:dyDescent="0.25">
      <c r="A61" s="47" t="s">
        <v>415</v>
      </c>
      <c r="B61" s="47" t="s">
        <v>153</v>
      </c>
      <c r="C61" s="47" t="s">
        <v>157</v>
      </c>
      <c r="D61" s="47" t="s">
        <v>2537</v>
      </c>
      <c r="E61" s="47" t="s">
        <v>416</v>
      </c>
      <c r="F61" s="47" t="s">
        <v>417</v>
      </c>
      <c r="G61" s="47" t="s">
        <v>418</v>
      </c>
      <c r="H61" s="47" t="s">
        <v>173</v>
      </c>
      <c r="I61" s="47" t="s">
        <v>323</v>
      </c>
      <c r="J61" s="47" t="str">
        <f>=IFERROR(VLOOKUP(H61&amp;I61,Table_Fonctions!A:G,6,FALSE),"")</f>
        <v>0</v>
      </c>
      <c r="K61" s="47" t="s">
        <v>2480</v>
      </c>
      <c r="L61" s="47" t="str">
        <f>=IFERROR(VLOOKUP(H61&amp;I61,Table_Fonctions!A:G,7,FALSE),K61)</f>
        <v/>
      </c>
      <c r="M61" s="47" t="str">
        <f>=IF(OR(LEFT(D61, 3)="TJ ", LEFT(D61, 4)="CPH "), "OUI", "NON")</f>
        <v/>
      </c>
      <c r="N61" s="47" t="s">
        <v>163</v>
      </c>
      <c r="O61" s="47"/>
      <c r="P61" s="47">
        <v>1</v>
      </c>
      <c r="Q61" s="47">
        <v>1</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0.015</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0.87</v>
      </c>
      <c r="CR61" s="47">
        <v>0</v>
      </c>
      <c r="CS61" s="47">
        <v>0</v>
      </c>
      <c r="CT61" s="47">
        <v>0</v>
      </c>
      <c r="CU61" s="47">
        <v>0</v>
      </c>
      <c r="CV61" s="47">
        <v>0</v>
      </c>
      <c r="CW61" s="47">
        <v>0</v>
      </c>
      <c r="CX61" s="47">
        <v>0</v>
      </c>
      <c r="CY61" s="47">
        <v>0.115</v>
      </c>
      <c r="CZ61" s="47">
        <v>0</v>
      </c>
      <c r="DA61" s="47">
        <v>0</v>
      </c>
      <c r="DB61" s="47">
        <v>0</v>
      </c>
      <c r="DC61" s="47">
        <v>0</v>
      </c>
      <c r="DD61" s="47">
        <v>0</v>
      </c>
      <c r="DE61" s="47">
        <v>0</v>
      </c>
      <c r="DF61" s="47">
        <v>0</v>
      </c>
      <c r="DG61" s="47">
        <v>0</v>
      </c>
      <c r="DH61" s="47">
        <v>0</v>
      </c>
      <c r="DI61" s="47">
        <v>0</v>
      </c>
      <c r="DJ61" s="47">
        <v>0</v>
      </c>
      <c r="DK61" s="47">
        <v>0</v>
      </c>
      <c r="DL61" s="47">
        <v>0</v>
      </c>
      <c r="DM61" s="47">
        <v>0</v>
      </c>
      <c r="DN61" s="47">
        <v>0</v>
      </c>
      <c r="DO61" s="47">
        <v>0</v>
      </c>
      <c r="DP61" s="47">
        <v>0</v>
      </c>
      <c r="DQ61" s="47">
        <v>0</v>
      </c>
      <c r="DR61" s="47">
        <v>0</v>
      </c>
      <c r="DS61" s="47">
        <v>0</v>
      </c>
      <c r="DT61" s="47">
        <v>0</v>
      </c>
      <c r="DU61" s="47">
        <v>0</v>
      </c>
      <c r="DV61" s="47">
        <v>0</v>
      </c>
      <c r="DW61" s="47">
        <v>0</v>
      </c>
      <c r="DX61" s="47">
        <v>0</v>
      </c>
      <c r="DY61" s="47">
        <v>0</v>
      </c>
      <c r="DZ61" s="47">
        <v>0</v>
      </c>
      <c r="EA61" s="47">
        <v>0</v>
      </c>
      <c r="EB61" s="47"/>
      <c r="EC61" s="47">
        <v>1</v>
      </c>
      <c r="ZZ61" t="s">
        <v>2472</v>
      </c>
    </row>
    <row r="62" spans="1:702" x14ac:dyDescent="0.25">
      <c r="A62" s="47" t="s">
        <v>419</v>
      </c>
      <c r="B62" s="47" t="s">
        <v>153</v>
      </c>
      <c r="C62" s="47" t="s">
        <v>157</v>
      </c>
      <c r="D62" s="47" t="s">
        <v>2538</v>
      </c>
      <c r="E62" s="47" t="s">
        <v>420</v>
      </c>
      <c r="F62" s="47" t="s">
        <v>421</v>
      </c>
      <c r="G62" s="47" t="s">
        <v>422</v>
      </c>
      <c r="H62" s="47" t="s">
        <v>173</v>
      </c>
      <c r="I62" s="47" t="s">
        <v>301</v>
      </c>
      <c r="J62" s="47" t="str">
        <f>=IFERROR(VLOOKUP(H62&amp;I62,Table_Fonctions!A:G,6,FALSE),"")</f>
        <v>0</v>
      </c>
      <c r="K62" s="47" t="s">
        <v>2480</v>
      </c>
      <c r="L62" s="47" t="str">
        <f>=IFERROR(VLOOKUP(H62&amp;I62,Table_Fonctions!A:G,7,FALSE),K62)</f>
        <v/>
      </c>
      <c r="M62" s="47" t="str">
        <f>=IF(OR(LEFT(D62, 3)="TJ ", LEFT(D62, 4)="CPH "), "OUI", "NON")</f>
        <v/>
      </c>
      <c r="N62" s="47" t="s">
        <v>163</v>
      </c>
      <c r="O62" s="47"/>
      <c r="P62" s="47">
        <v>1</v>
      </c>
      <c r="Q62" s="47">
        <v>1</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0.61</v>
      </c>
      <c r="BR62" s="47">
        <v>0</v>
      </c>
      <c r="BS62" s="47">
        <v>0</v>
      </c>
      <c r="BT62" s="47">
        <v>0.34</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0.05</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c r="DU62" s="47">
        <v>0</v>
      </c>
      <c r="DV62" s="47">
        <v>0</v>
      </c>
      <c r="DW62" s="47">
        <v>0</v>
      </c>
      <c r="DX62" s="47">
        <v>0</v>
      </c>
      <c r="DY62" s="47">
        <v>0</v>
      </c>
      <c r="DZ62" s="47">
        <v>0</v>
      </c>
      <c r="EA62" s="47">
        <v>0</v>
      </c>
      <c r="EB62" s="47"/>
      <c r="EC62" s="47">
        <v>1</v>
      </c>
      <c r="ZZ62" t="s">
        <v>2472</v>
      </c>
    </row>
    <row r="63" spans="1:702" x14ac:dyDescent="0.25">
      <c r="A63" s="47" t="s">
        <v>423</v>
      </c>
      <c r="B63" s="47" t="s">
        <v>153</v>
      </c>
      <c r="C63" s="47" t="s">
        <v>157</v>
      </c>
      <c r="D63" s="47" t="s">
        <v>2539</v>
      </c>
      <c r="E63" s="47" t="s">
        <v>424</v>
      </c>
      <c r="F63" s="47" t="s">
        <v>425</v>
      </c>
      <c r="G63" s="47" t="s">
        <v>426</v>
      </c>
      <c r="H63" s="47" t="s">
        <v>173</v>
      </c>
      <c r="I63" s="47" t="s">
        <v>201</v>
      </c>
      <c r="J63" s="47" t="str">
        <f>=IFERROR(VLOOKUP(H63&amp;I63,Table_Fonctions!A:G,6,FALSE),"")</f>
        <v>0</v>
      </c>
      <c r="K63" s="47" t="s">
        <v>2480</v>
      </c>
      <c r="L63" s="47" t="str">
        <f>=IFERROR(VLOOKUP(H63&amp;I63,Table_Fonctions!A:G,7,FALSE),K63)</f>
        <v/>
      </c>
      <c r="M63" s="47" t="str">
        <f>=IF(OR(LEFT(D63, 3)="TJ ", LEFT(D63, 4)="CPH "), "OUI", "NON")</f>
        <v/>
      </c>
      <c r="N63" s="47" t="s">
        <v>163</v>
      </c>
      <c r="O63" s="47"/>
      <c r="P63" s="47">
        <v>1</v>
      </c>
      <c r="Q63" s="47">
        <v>1</v>
      </c>
      <c r="R63" s="47">
        <v>0</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0.07</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0</v>
      </c>
      <c r="BR63" s="47">
        <v>0</v>
      </c>
      <c r="BS63" s="47">
        <v>0</v>
      </c>
      <c r="BT63" s="47">
        <v>0.88</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0.05</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v>0</v>
      </c>
      <c r="EA63" s="47">
        <v>0</v>
      </c>
      <c r="EB63" s="47"/>
      <c r="EC63" s="47">
        <v>1</v>
      </c>
      <c r="ZZ63" t="s">
        <v>2472</v>
      </c>
    </row>
    <row r="64" spans="1:702" x14ac:dyDescent="0.25">
      <c r="A64" s="47" t="s">
        <v>427</v>
      </c>
      <c r="B64" s="47" t="s">
        <v>153</v>
      </c>
      <c r="C64" s="47" t="s">
        <v>157</v>
      </c>
      <c r="D64" s="47" t="s">
        <v>2540</v>
      </c>
      <c r="E64" s="47" t="s">
        <v>428</v>
      </c>
      <c r="F64" s="47" t="s">
        <v>429</v>
      </c>
      <c r="G64" s="47" t="s">
        <v>430</v>
      </c>
      <c r="H64" s="47" t="s">
        <v>173</v>
      </c>
      <c r="I64" s="47" t="s">
        <v>201</v>
      </c>
      <c r="J64" s="47" t="str">
        <f>=IFERROR(VLOOKUP(H64&amp;I64,Table_Fonctions!A:G,6,FALSE),"")</f>
        <v>0</v>
      </c>
      <c r="K64" s="47" t="s">
        <v>2480</v>
      </c>
      <c r="L64" s="47" t="str">
        <f>=IFERROR(VLOOKUP(H64&amp;I64,Table_Fonctions!A:G,7,FALSE),K64)</f>
        <v/>
      </c>
      <c r="M64" s="47" t="str">
        <f>=IF(OR(LEFT(D64, 3)="TJ ", LEFT(D64, 4)="CPH "), "OUI", "NON")</f>
        <v/>
      </c>
      <c r="N64" s="47" t="s">
        <v>163</v>
      </c>
      <c r="O64" s="47"/>
      <c r="P64" s="47">
        <v>1</v>
      </c>
      <c r="Q64" s="47">
        <v>1</v>
      </c>
      <c r="R64" s="47">
        <v>0</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0.8491</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0.1009</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0.05</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c r="DU64" s="47">
        <v>0</v>
      </c>
      <c r="DV64" s="47">
        <v>0</v>
      </c>
      <c r="DW64" s="47">
        <v>0</v>
      </c>
      <c r="DX64" s="47">
        <v>0</v>
      </c>
      <c r="DY64" s="47">
        <v>0</v>
      </c>
      <c r="DZ64" s="47">
        <v>0</v>
      </c>
      <c r="EA64" s="47">
        <v>0</v>
      </c>
      <c r="EB64" s="47"/>
      <c r="EC64" s="47">
        <v>1</v>
      </c>
      <c r="ZZ64" t="s">
        <v>2472</v>
      </c>
    </row>
    <row r="65" spans="1:702" x14ac:dyDescent="0.25">
      <c r="A65" s="47" t="s">
        <v>431</v>
      </c>
      <c r="B65" s="47" t="s">
        <v>153</v>
      </c>
      <c r="C65" s="47" t="s">
        <v>157</v>
      </c>
      <c r="D65" s="47" t="s">
        <v>2541</v>
      </c>
      <c r="E65" s="47" t="s">
        <v>432</v>
      </c>
      <c r="F65" s="47" t="s">
        <v>433</v>
      </c>
      <c r="G65" s="47" t="s">
        <v>434</v>
      </c>
      <c r="H65" s="47" t="s">
        <v>173</v>
      </c>
      <c r="I65" s="47" t="s">
        <v>185</v>
      </c>
      <c r="J65" s="47" t="str">
        <f>=IFERROR(VLOOKUP(H65&amp;I65,Table_Fonctions!A:G,6,FALSE),"")</f>
        <v>0</v>
      </c>
      <c r="K65" s="47" t="s">
        <v>2480</v>
      </c>
      <c r="L65" s="47" t="str">
        <f>=IFERROR(VLOOKUP(H65&amp;I65,Table_Fonctions!A:G,7,FALSE),K65)</f>
        <v/>
      </c>
      <c r="M65" s="47" t="str">
        <f>=IF(OR(LEFT(D65, 3)="TJ ", LEFT(D65, 4)="CPH "), "OUI", "NON")</f>
        <v/>
      </c>
      <c r="N65" s="47" t="s">
        <v>163</v>
      </c>
      <c r="O65" s="47"/>
      <c r="P65" s="47">
        <v>1</v>
      </c>
      <c r="Q65" s="47">
        <v>1</v>
      </c>
      <c r="R65" s="47">
        <v>0</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0.04</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0.91</v>
      </c>
      <c r="CL65" s="47">
        <v>0</v>
      </c>
      <c r="CM65" s="47">
        <v>0</v>
      </c>
      <c r="CN65" s="47">
        <v>0</v>
      </c>
      <c r="CO65" s="47">
        <v>0</v>
      </c>
      <c r="CP65" s="47">
        <v>0</v>
      </c>
      <c r="CQ65" s="47">
        <v>0</v>
      </c>
      <c r="CR65" s="47">
        <v>0</v>
      </c>
      <c r="CS65" s="47">
        <v>0</v>
      </c>
      <c r="CT65" s="47">
        <v>0</v>
      </c>
      <c r="CU65" s="47">
        <v>0</v>
      </c>
      <c r="CV65" s="47">
        <v>0</v>
      </c>
      <c r="CW65" s="47">
        <v>0</v>
      </c>
      <c r="CX65" s="47">
        <v>0</v>
      </c>
      <c r="CY65" s="47">
        <v>0.05</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v>0</v>
      </c>
      <c r="EA65" s="47">
        <v>0</v>
      </c>
      <c r="EB65" s="47"/>
      <c r="EC65" s="47">
        <v>1</v>
      </c>
      <c r="ZZ65" t="s">
        <v>2472</v>
      </c>
    </row>
    <row r="66" spans="1:702" x14ac:dyDescent="0.25">
      <c r="A66" s="47" t="s">
        <v>435</v>
      </c>
      <c r="B66" s="47" t="s">
        <v>153</v>
      </c>
      <c r="C66" s="47" t="s">
        <v>157</v>
      </c>
      <c r="D66" s="47" t="s">
        <v>2542</v>
      </c>
      <c r="E66" s="47" t="s">
        <v>436</v>
      </c>
      <c r="F66" s="47" t="s">
        <v>437</v>
      </c>
      <c r="G66" s="47" t="s">
        <v>438</v>
      </c>
      <c r="H66" s="47" t="s">
        <v>173</v>
      </c>
      <c r="I66" s="47" t="s">
        <v>185</v>
      </c>
      <c r="J66" s="47" t="str">
        <f>=IFERROR(VLOOKUP(H66&amp;I66,Table_Fonctions!A:G,6,FALSE),"")</f>
        <v>0</v>
      </c>
      <c r="K66" s="47" t="s">
        <v>2480</v>
      </c>
      <c r="L66" s="47" t="str">
        <f>=IFERROR(VLOOKUP(H66&amp;I66,Table_Fonctions!A:G,7,FALSE),K66)</f>
        <v/>
      </c>
      <c r="M66" s="47" t="str">
        <f>=IF(OR(LEFT(D66, 3)="TJ ", LEFT(D66, 4)="CPH "), "OUI", "NON")</f>
        <v/>
      </c>
      <c r="N66" s="47" t="s">
        <v>163</v>
      </c>
      <c r="O66" s="47"/>
      <c r="P66" s="47">
        <v>1</v>
      </c>
      <c r="Q66" s="47">
        <v>1</v>
      </c>
      <c r="R66" s="47">
        <v>0</v>
      </c>
      <c r="S66" s="47">
        <f>=ROUND(BQ66-(BR66+BS66),3)</f>
      </c>
      <c r="T66" s="47">
        <f>=ROUND(CK66-(CL66+CM66+CN66+CO66+CP66),3)</f>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0.04</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0.862</v>
      </c>
      <c r="CL66" s="47">
        <v>0</v>
      </c>
      <c r="CM66" s="47">
        <v>0</v>
      </c>
      <c r="CN66" s="47">
        <v>0</v>
      </c>
      <c r="CO66" s="47">
        <v>0</v>
      </c>
      <c r="CP66" s="47">
        <v>0</v>
      </c>
      <c r="CQ66" s="47">
        <v>0</v>
      </c>
      <c r="CR66" s="47">
        <v>0</v>
      </c>
      <c r="CS66" s="47">
        <v>0</v>
      </c>
      <c r="CT66" s="47">
        <v>0</v>
      </c>
      <c r="CU66" s="47">
        <v>0</v>
      </c>
      <c r="CV66" s="47">
        <v>0</v>
      </c>
      <c r="CW66" s="47">
        <v>0</v>
      </c>
      <c r="CX66" s="47">
        <v>0</v>
      </c>
      <c r="CY66" s="47">
        <v>0.098</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v>0</v>
      </c>
      <c r="EA66" s="47">
        <v>0</v>
      </c>
      <c r="EB66" s="47"/>
      <c r="EC66" s="47">
        <v>1</v>
      </c>
      <c r="ZZ66" t="s">
        <v>2472</v>
      </c>
    </row>
    <row r="67" spans="1:702" x14ac:dyDescent="0.25">
      <c r="A67" s="47" t="s">
        <v>439</v>
      </c>
      <c r="B67" s="47" t="s">
        <v>153</v>
      </c>
      <c r="C67" s="47" t="s">
        <v>157</v>
      </c>
      <c r="D67" s="47" t="s">
        <v>2543</v>
      </c>
      <c r="E67" s="47" t="s">
        <v>440</v>
      </c>
      <c r="F67" s="47" t="s">
        <v>441</v>
      </c>
      <c r="G67" s="47" t="s">
        <v>442</v>
      </c>
      <c r="H67" s="47" t="s">
        <v>173</v>
      </c>
      <c r="I67" s="47" t="s">
        <v>201</v>
      </c>
      <c r="J67" s="47" t="str">
        <f>=IFERROR(VLOOKUP(H67&amp;I67,Table_Fonctions!A:G,6,FALSE),"")</f>
        <v>0</v>
      </c>
      <c r="K67" s="47" t="s">
        <v>2480</v>
      </c>
      <c r="L67" s="47" t="str">
        <f>=IFERROR(VLOOKUP(H67&amp;I67,Table_Fonctions!A:G,7,FALSE),K67)</f>
        <v/>
      </c>
      <c r="M67" s="47" t="str">
        <f>=IF(OR(LEFT(D67, 3)="TJ ", LEFT(D67, 4)="CPH "), "OUI", "NON")</f>
        <v/>
      </c>
      <c r="N67" s="47" t="s">
        <v>163</v>
      </c>
      <c r="O67" s="47"/>
      <c r="P67" s="47">
        <v>1</v>
      </c>
      <c r="Q67" s="47">
        <v>1</v>
      </c>
      <c r="R67" s="47">
        <v>0</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0.92</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0.03</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0.05</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v>0</v>
      </c>
      <c r="EA67" s="47">
        <v>0</v>
      </c>
      <c r="EB67" s="47"/>
      <c r="EC67" s="47">
        <v>1</v>
      </c>
      <c r="ZZ67" t="s">
        <v>2472</v>
      </c>
    </row>
    <row r="68" spans="1:702" x14ac:dyDescent="0.25">
      <c r="A68" s="47" t="s">
        <v>443</v>
      </c>
      <c r="B68" s="47" t="s">
        <v>153</v>
      </c>
      <c r="C68" s="47" t="s">
        <v>157</v>
      </c>
      <c r="D68" s="47" t="s">
        <v>2544</v>
      </c>
      <c r="E68" s="47" t="s">
        <v>444</v>
      </c>
      <c r="F68" s="47" t="s">
        <v>445</v>
      </c>
      <c r="G68" s="47" t="s">
        <v>446</v>
      </c>
      <c r="H68" s="47" t="s">
        <v>173</v>
      </c>
      <c r="I68" s="47" t="s">
        <v>344</v>
      </c>
      <c r="J68" s="47" t="str">
        <f>=IFERROR(VLOOKUP(H68&amp;I68,Table_Fonctions!A:G,6,FALSE),"")</f>
        <v>0</v>
      </c>
      <c r="K68" s="47" t="s">
        <v>2480</v>
      </c>
      <c r="L68" s="47" t="str">
        <f>=IFERROR(VLOOKUP(H68&amp;I68,Table_Fonctions!A:G,7,FALSE),K68)</f>
        <v/>
      </c>
      <c r="M68" s="47" t="str">
        <f>=IF(OR(LEFT(D68, 3)="TJ ", LEFT(D68, 4)="CPH "), "OUI", "NON")</f>
        <v/>
      </c>
      <c r="N68" s="47" t="s">
        <v>163</v>
      </c>
      <c r="O68" s="47"/>
      <c r="P68" s="47">
        <v>1</v>
      </c>
      <c r="Q68" s="47">
        <v>1</v>
      </c>
      <c r="R68" s="47">
        <v>0</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0.59</v>
      </c>
      <c r="AK68" s="47">
        <v>0</v>
      </c>
      <c r="AL68" s="47">
        <v>0</v>
      </c>
      <c r="AM68" s="47">
        <v>0</v>
      </c>
      <c r="AN68" s="47">
        <v>0</v>
      </c>
      <c r="AO68" s="47">
        <v>0</v>
      </c>
      <c r="AP68" s="47">
        <v>0</v>
      </c>
      <c r="AQ68" s="47">
        <v>0</v>
      </c>
      <c r="AR68" s="47">
        <v>0</v>
      </c>
      <c r="AS68" s="47">
        <v>0.29</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0.015</v>
      </c>
      <c r="BN68" s="47">
        <v>0</v>
      </c>
      <c r="BO68" s="47">
        <v>0</v>
      </c>
      <c r="BP68" s="47">
        <v>0</v>
      </c>
      <c r="BQ68" s="47">
        <v>0</v>
      </c>
      <c r="BR68" s="47">
        <v>0</v>
      </c>
      <c r="BS68" s="47">
        <v>0</v>
      </c>
      <c r="BT68" s="47">
        <v>0.055</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0</v>
      </c>
      <c r="CR68" s="47">
        <v>0</v>
      </c>
      <c r="CS68" s="47">
        <v>0</v>
      </c>
      <c r="CT68" s="47">
        <v>0</v>
      </c>
      <c r="CU68" s="47">
        <v>0</v>
      </c>
      <c r="CV68" s="47">
        <v>0</v>
      </c>
      <c r="CW68" s="47">
        <v>0</v>
      </c>
      <c r="CX68" s="47">
        <v>0</v>
      </c>
      <c r="CY68" s="47">
        <v>0.05</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v>0</v>
      </c>
      <c r="EA68" s="47">
        <v>0</v>
      </c>
      <c r="EB68" s="47"/>
      <c r="EC68" s="47">
        <v>1</v>
      </c>
      <c r="ZZ68" t="s">
        <v>2472</v>
      </c>
    </row>
    <row r="69" spans="1:702" x14ac:dyDescent="0.25">
      <c r="A69" s="47" t="s">
        <v>447</v>
      </c>
      <c r="B69" s="47" t="s">
        <v>153</v>
      </c>
      <c r="C69" s="47" t="s">
        <v>157</v>
      </c>
      <c r="D69" s="47" t="s">
        <v>2545</v>
      </c>
      <c r="E69" s="47" t="s">
        <v>448</v>
      </c>
      <c r="F69" s="47" t="s">
        <v>449</v>
      </c>
      <c r="G69" s="47" t="s">
        <v>450</v>
      </c>
      <c r="H69" s="47" t="s">
        <v>173</v>
      </c>
      <c r="I69" s="47" t="s">
        <v>180</v>
      </c>
      <c r="J69" s="47" t="str">
        <f>=IFERROR(VLOOKUP(H69&amp;I69,Table_Fonctions!A:G,6,FALSE),"")</f>
        <v>0</v>
      </c>
      <c r="K69" s="47" t="s">
        <v>2480</v>
      </c>
      <c r="L69" s="47" t="str">
        <f>=IFERROR(VLOOKUP(H69&amp;I69,Table_Fonctions!A:G,7,FALSE),K69)</f>
        <v/>
      </c>
      <c r="M69" s="47" t="str">
        <f>=IF(OR(LEFT(D69, 3)="TJ ", LEFT(D69, 4)="CPH "), "OUI", "NON")</f>
        <v/>
      </c>
      <c r="N69" s="47" t="s">
        <v>163</v>
      </c>
      <c r="O69" s="47"/>
      <c r="P69" s="47">
        <v>1</v>
      </c>
      <c r="Q69" s="47">
        <v>1</v>
      </c>
      <c r="R69" s="47">
        <v>0</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0.88</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0.01</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0.01</v>
      </c>
      <c r="CW69" s="47">
        <v>0</v>
      </c>
      <c r="CX69" s="47">
        <v>0</v>
      </c>
      <c r="CY69" s="47">
        <v>0.1</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v>0</v>
      </c>
      <c r="EA69" s="47">
        <v>0</v>
      </c>
      <c r="EB69" s="47"/>
      <c r="EC69" s="47">
        <v>1</v>
      </c>
      <c r="ZZ69" t="s">
        <v>2472</v>
      </c>
    </row>
    <row r="70" spans="1:702" x14ac:dyDescent="0.25">
      <c r="A70" s="47" t="s">
        <v>451</v>
      </c>
      <c r="B70" s="47" t="s">
        <v>153</v>
      </c>
      <c r="C70" s="47" t="s">
        <v>157</v>
      </c>
      <c r="D70" s="47" t="s">
        <v>2546</v>
      </c>
      <c r="E70" s="47" t="s">
        <v>452</v>
      </c>
      <c r="F70" s="47" t="s">
        <v>453</v>
      </c>
      <c r="G70" s="47" t="s">
        <v>454</v>
      </c>
      <c r="H70" s="47" t="s">
        <v>173</v>
      </c>
      <c r="I70" s="47" t="s">
        <v>268</v>
      </c>
      <c r="J70" s="47" t="str">
        <f>=IFERROR(VLOOKUP(H70&amp;I70,Table_Fonctions!A:G,6,FALSE),"")</f>
        <v>0</v>
      </c>
      <c r="K70" s="47" t="s">
        <v>2480</v>
      </c>
      <c r="L70" s="47" t="str">
        <f>=IFERROR(VLOOKUP(H70&amp;I70,Table_Fonctions!A:G,7,FALSE),K70)</f>
        <v/>
      </c>
      <c r="M70" s="47" t="str">
        <f>=IF(OR(LEFT(D70, 3)="TJ ", LEFT(D70, 4)="CPH "), "OUI", "NON")</f>
        <v/>
      </c>
      <c r="N70" s="47" t="s">
        <v>163</v>
      </c>
      <c r="O70" s="47"/>
      <c r="P70" s="47">
        <v>1</v>
      </c>
      <c r="Q70" s="47">
        <v>1</v>
      </c>
      <c r="R70" s="47">
        <v>0</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0.2617</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0.02</v>
      </c>
      <c r="BN70" s="47">
        <v>0</v>
      </c>
      <c r="BO70" s="47">
        <v>0</v>
      </c>
      <c r="BP70" s="47">
        <v>0</v>
      </c>
      <c r="BQ70" s="47">
        <v>0</v>
      </c>
      <c r="BR70" s="47">
        <v>0</v>
      </c>
      <c r="BS70" s="47">
        <v>0</v>
      </c>
      <c r="BT70" s="47">
        <v>0.6216</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0.0467</v>
      </c>
      <c r="CL70" s="47">
        <v>0</v>
      </c>
      <c r="CM70" s="47">
        <v>0</v>
      </c>
      <c r="CN70" s="47">
        <v>0</v>
      </c>
      <c r="CO70" s="47">
        <v>0</v>
      </c>
      <c r="CP70" s="47">
        <v>0</v>
      </c>
      <c r="CQ70" s="47">
        <v>0</v>
      </c>
      <c r="CR70" s="47">
        <v>0</v>
      </c>
      <c r="CS70" s="47">
        <v>0</v>
      </c>
      <c r="CT70" s="47">
        <v>0</v>
      </c>
      <c r="CU70" s="47">
        <v>0</v>
      </c>
      <c r="CV70" s="47">
        <v>0</v>
      </c>
      <c r="CW70" s="47">
        <v>0</v>
      </c>
      <c r="CX70" s="47">
        <v>0</v>
      </c>
      <c r="CY70" s="47">
        <v>0.05</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c r="DU70" s="47">
        <v>0</v>
      </c>
      <c r="DV70" s="47">
        <v>0</v>
      </c>
      <c r="DW70" s="47">
        <v>0</v>
      </c>
      <c r="DX70" s="47">
        <v>0</v>
      </c>
      <c r="DY70" s="47">
        <v>0</v>
      </c>
      <c r="DZ70" s="47">
        <v>0</v>
      </c>
      <c r="EA70" s="47">
        <v>0</v>
      </c>
      <c r="EB70" s="47"/>
      <c r="EC70" s="47">
        <v>1</v>
      </c>
      <c r="ZZ70" t="s">
        <v>2472</v>
      </c>
    </row>
    <row r="71" spans="1:702" x14ac:dyDescent="0.25">
      <c r="A71" s="47" t="s">
        <v>455</v>
      </c>
      <c r="B71" s="47" t="s">
        <v>153</v>
      </c>
      <c r="C71" s="47" t="s">
        <v>157</v>
      </c>
      <c r="D71" s="47" t="s">
        <v>2547</v>
      </c>
      <c r="E71" s="47" t="s">
        <v>456</v>
      </c>
      <c r="F71" s="47" t="s">
        <v>457</v>
      </c>
      <c r="G71" s="47" t="s">
        <v>458</v>
      </c>
      <c r="H71" s="47" t="s">
        <v>173</v>
      </c>
      <c r="I71" s="47" t="s">
        <v>190</v>
      </c>
      <c r="J71" s="47" t="str">
        <f>=IFERROR(VLOOKUP(H71&amp;I71,Table_Fonctions!A:G,6,FALSE),"")</f>
        <v>0</v>
      </c>
      <c r="K71" s="47" t="s">
        <v>2480</v>
      </c>
      <c r="L71" s="47" t="str">
        <f>=IFERROR(VLOOKUP(H71&amp;I71,Table_Fonctions!A:G,7,FALSE),K71)</f>
        <v/>
      </c>
      <c r="M71" s="47" t="str">
        <f>=IF(OR(LEFT(D71, 3)="TJ ", LEFT(D71, 4)="CPH "), "OUI", "NON")</f>
        <v/>
      </c>
      <c r="N71" s="47" t="s">
        <v>163</v>
      </c>
      <c r="O71" s="47"/>
      <c r="P71" s="47">
        <v>1</v>
      </c>
      <c r="Q71" s="47">
        <v>1</v>
      </c>
      <c r="R71" s="47">
        <v>0</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0.33</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0.61</v>
      </c>
      <c r="CR71" s="47">
        <v>0</v>
      </c>
      <c r="CS71" s="47">
        <v>0</v>
      </c>
      <c r="CT71" s="47">
        <v>0</v>
      </c>
      <c r="CU71" s="47">
        <v>0</v>
      </c>
      <c r="CV71" s="47">
        <v>0.01</v>
      </c>
      <c r="CW71" s="47">
        <v>0</v>
      </c>
      <c r="CX71" s="47">
        <v>0</v>
      </c>
      <c r="CY71" s="47">
        <v>0.05</v>
      </c>
      <c r="CZ71" s="47">
        <v>0</v>
      </c>
      <c r="DA71" s="47">
        <v>0</v>
      </c>
      <c r="DB71" s="47">
        <v>0</v>
      </c>
      <c r="DC71" s="47">
        <v>0</v>
      </c>
      <c r="DD71" s="47">
        <v>0</v>
      </c>
      <c r="DE71" s="47">
        <v>0</v>
      </c>
      <c r="DF71" s="47">
        <v>0</v>
      </c>
      <c r="DG71" s="47">
        <v>0</v>
      </c>
      <c r="DH71" s="47">
        <v>0</v>
      </c>
      <c r="DI71" s="47">
        <v>0</v>
      </c>
      <c r="DJ71" s="47">
        <v>0</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v>0</v>
      </c>
      <c r="EA71" s="47">
        <v>0</v>
      </c>
      <c r="EB71" s="47"/>
      <c r="EC71" s="47">
        <v>1</v>
      </c>
      <c r="ZZ71" t="s">
        <v>2472</v>
      </c>
    </row>
    <row r="72" spans="1:702" x14ac:dyDescent="0.25">
      <c r="A72" s="47" t="s">
        <v>459</v>
      </c>
      <c r="B72" s="47" t="s">
        <v>153</v>
      </c>
      <c r="C72" s="47" t="s">
        <v>157</v>
      </c>
      <c r="D72" s="47" t="s">
        <v>2548</v>
      </c>
      <c r="E72" s="47" t="s">
        <v>460</v>
      </c>
      <c r="F72" s="47" t="s">
        <v>461</v>
      </c>
      <c r="G72" s="47" t="s">
        <v>462</v>
      </c>
      <c r="H72" s="47" t="s">
        <v>173</v>
      </c>
      <c r="I72" s="47" t="s">
        <v>180</v>
      </c>
      <c r="J72" s="47" t="str">
        <f>=IFERROR(VLOOKUP(H72&amp;I72,Table_Fonctions!A:G,6,FALSE),"")</f>
        <v>0</v>
      </c>
      <c r="K72" s="47" t="s">
        <v>2480</v>
      </c>
      <c r="L72" s="47" t="str">
        <f>=IFERROR(VLOOKUP(H72&amp;I72,Table_Fonctions!A:G,7,FALSE),K72)</f>
        <v/>
      </c>
      <c r="M72" s="47" t="str">
        <f>=IF(OR(LEFT(D72, 3)="TJ ", LEFT(D72, 4)="CPH "), "OUI", "NON")</f>
        <v/>
      </c>
      <c r="N72" s="47" t="s">
        <v>163</v>
      </c>
      <c r="O72" s="47"/>
      <c r="P72" s="47">
        <v>0.8</v>
      </c>
      <c r="Q72" s="47">
        <v>0.8</v>
      </c>
      <c r="R72" s="47">
        <v>0</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0.6479</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0.0614</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0.0346</v>
      </c>
      <c r="CW72" s="47">
        <v>0</v>
      </c>
      <c r="CX72" s="47">
        <v>0</v>
      </c>
      <c r="CY72" s="47">
        <v>0.056</v>
      </c>
      <c r="CZ72" s="47">
        <v>0</v>
      </c>
      <c r="DA72" s="47">
        <v>0</v>
      </c>
      <c r="DB72" s="47">
        <v>0</v>
      </c>
      <c r="DC72" s="47">
        <v>0</v>
      </c>
      <c r="DD72" s="47">
        <v>0</v>
      </c>
      <c r="DE72" s="47">
        <v>0</v>
      </c>
      <c r="DF72" s="47">
        <v>0</v>
      </c>
      <c r="DG72" s="47">
        <v>0</v>
      </c>
      <c r="DH72" s="47">
        <v>0</v>
      </c>
      <c r="DI72" s="47">
        <v>0</v>
      </c>
      <c r="DJ72" s="47">
        <v>0</v>
      </c>
      <c r="DK72" s="47">
        <v>0</v>
      </c>
      <c r="DL72" s="47">
        <v>0</v>
      </c>
      <c r="DM72" s="47">
        <v>0</v>
      </c>
      <c r="DN72" s="47">
        <v>0</v>
      </c>
      <c r="DO72" s="47">
        <v>0</v>
      </c>
      <c r="DP72" s="47">
        <v>0</v>
      </c>
      <c r="DQ72" s="47">
        <v>0</v>
      </c>
      <c r="DR72" s="47">
        <v>0</v>
      </c>
      <c r="DS72" s="47">
        <v>0</v>
      </c>
      <c r="DT72" s="47">
        <v>0</v>
      </c>
      <c r="DU72" s="47">
        <v>0</v>
      </c>
      <c r="DV72" s="47">
        <v>0</v>
      </c>
      <c r="DW72" s="47">
        <v>0</v>
      </c>
      <c r="DX72" s="47">
        <v>0</v>
      </c>
      <c r="DY72" s="47">
        <v>0</v>
      </c>
      <c r="DZ72" s="47">
        <v>0</v>
      </c>
      <c r="EA72" s="47">
        <v>0</v>
      </c>
      <c r="EB72" s="47"/>
      <c r="EC72" s="47">
        <v>0.8</v>
      </c>
      <c r="ZZ72" t="s">
        <v>2472</v>
      </c>
    </row>
    <row r="73" spans="1:702" x14ac:dyDescent="0.25">
      <c r="A73" s="47" t="s">
        <v>463</v>
      </c>
      <c r="B73" s="47" t="s">
        <v>153</v>
      </c>
      <c r="C73" s="47" t="s">
        <v>157</v>
      </c>
      <c r="D73" s="47" t="s">
        <v>2549</v>
      </c>
      <c r="E73" s="47" t="s">
        <v>464</v>
      </c>
      <c r="F73" s="47" t="s">
        <v>465</v>
      </c>
      <c r="G73" s="47" t="s">
        <v>466</v>
      </c>
      <c r="H73" s="47" t="s">
        <v>173</v>
      </c>
      <c r="I73" s="47" t="s">
        <v>2501</v>
      </c>
      <c r="J73" s="47" t="str">
        <f>=IFERROR(VLOOKUP(H73&amp;I73,Table_Fonctions!A:G,6,FALSE),"")</f>
        <v>0</v>
      </c>
      <c r="K73" s="47" t="s">
        <v>2485</v>
      </c>
      <c r="L73" s="47" t="str">
        <f>=IFERROR(VLOOKUP(H73&amp;I73,Table_Fonctions!A:G,7,FALSE),K73)</f>
        <v/>
      </c>
      <c r="M73" s="47" t="str">
        <f>=IF(OR(LEFT(D73, 3)="TJ ", LEFT(D73, 4)="CPH "), "OUI", "NON")</f>
        <v/>
      </c>
      <c r="N73" s="47" t="s">
        <v>288</v>
      </c>
      <c r="O73" s="47" t="s">
        <v>467</v>
      </c>
      <c r="P73" s="47">
        <v>1</v>
      </c>
      <c r="Q73" s="47">
        <v>1</v>
      </c>
      <c r="R73" s="47">
        <v>0</v>
      </c>
      <c r="S73" s="47">
        <f>=ROUND(BQ73-(BR73+BS73),3)</f>
      </c>
      <c r="T73" s="47">
        <f>=ROUND(CK73-(CL73+CM73+CN73+CO73+CP73),3)</f>
      </c>
      <c r="U73" s="47">
        <v>0.6</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0.4</v>
      </c>
      <c r="CZ73" s="47">
        <v>0.4</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v>0</v>
      </c>
      <c r="EA73" s="47">
        <v>0</v>
      </c>
      <c r="EB73" s="47"/>
      <c r="EC73" s="47">
        <v>1</v>
      </c>
      <c r="ZZ73" t="s">
        <v>2472</v>
      </c>
    </row>
    <row r="74" spans="1:702" x14ac:dyDescent="0.25">
      <c r="A74" s="47" t="s">
        <v>468</v>
      </c>
      <c r="B74" s="47" t="s">
        <v>153</v>
      </c>
      <c r="C74" s="47" t="s">
        <v>157</v>
      </c>
      <c r="D74" s="47" t="s">
        <v>2550</v>
      </c>
      <c r="E74" s="47" t="s">
        <v>469</v>
      </c>
      <c r="F74" s="47" t="s">
        <v>470</v>
      </c>
      <c r="G74" s="47" t="s">
        <v>471</v>
      </c>
      <c r="H74" s="47" t="s">
        <v>173</v>
      </c>
      <c r="I74" s="47" t="s">
        <v>210</v>
      </c>
      <c r="J74" s="47" t="str">
        <f>=IFERROR(VLOOKUP(H74&amp;I74,Table_Fonctions!A:G,6,FALSE),"")</f>
        <v>0</v>
      </c>
      <c r="K74" s="47" t="s">
        <v>2480</v>
      </c>
      <c r="L74" s="47" t="str">
        <f>=IFERROR(VLOOKUP(H74&amp;I74,Table_Fonctions!A:G,7,FALSE),K74)</f>
        <v/>
      </c>
      <c r="M74" s="47" t="str">
        <f>=IF(OR(LEFT(D74, 3)="TJ ", LEFT(D74, 4)="CPH "), "OUI", "NON")</f>
        <v/>
      </c>
      <c r="N74" s="47" t="s">
        <v>163</v>
      </c>
      <c r="O74" s="47"/>
      <c r="P74" s="47">
        <v>1</v>
      </c>
      <c r="Q74" s="47">
        <v>1</v>
      </c>
      <c r="R74" s="47">
        <v>0</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0.68</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0.01</v>
      </c>
      <c r="BN74" s="47">
        <v>0</v>
      </c>
      <c r="BO74" s="47">
        <v>0</v>
      </c>
      <c r="BP74" s="47">
        <v>0</v>
      </c>
      <c r="BQ74" s="47">
        <v>0</v>
      </c>
      <c r="BR74" s="47">
        <v>0</v>
      </c>
      <c r="BS74" s="47">
        <v>0</v>
      </c>
      <c r="BT74" s="47">
        <v>0.01</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0.01</v>
      </c>
      <c r="CW74" s="47">
        <v>0</v>
      </c>
      <c r="CX74" s="47">
        <v>0</v>
      </c>
      <c r="CY74" s="47">
        <v>0.29</v>
      </c>
      <c r="CZ74" s="47">
        <v>0</v>
      </c>
      <c r="DA74" s="47">
        <v>0</v>
      </c>
      <c r="DB74" s="47">
        <v>0</v>
      </c>
      <c r="DC74" s="47">
        <v>0</v>
      </c>
      <c r="DD74" s="47">
        <v>0</v>
      </c>
      <c r="DE74" s="47">
        <v>0</v>
      </c>
      <c r="DF74" s="47">
        <v>0</v>
      </c>
      <c r="DG74" s="47">
        <v>0</v>
      </c>
      <c r="DH74" s="47">
        <v>0</v>
      </c>
      <c r="DI74" s="47">
        <v>0</v>
      </c>
      <c r="DJ74" s="47">
        <v>0</v>
      </c>
      <c r="DK74" s="47">
        <v>0</v>
      </c>
      <c r="DL74" s="47">
        <v>0</v>
      </c>
      <c r="DM74" s="47">
        <v>0</v>
      </c>
      <c r="DN74" s="47">
        <v>0</v>
      </c>
      <c r="DO74" s="47">
        <v>0</v>
      </c>
      <c r="DP74" s="47">
        <v>0</v>
      </c>
      <c r="DQ74" s="47">
        <v>0</v>
      </c>
      <c r="DR74" s="47">
        <v>0</v>
      </c>
      <c r="DS74" s="47">
        <v>0</v>
      </c>
      <c r="DT74" s="47">
        <v>0</v>
      </c>
      <c r="DU74" s="47">
        <v>0</v>
      </c>
      <c r="DV74" s="47">
        <v>0</v>
      </c>
      <c r="DW74" s="47">
        <v>0</v>
      </c>
      <c r="DX74" s="47">
        <v>0</v>
      </c>
      <c r="DY74" s="47">
        <v>0</v>
      </c>
      <c r="DZ74" s="47">
        <v>0</v>
      </c>
      <c r="EA74" s="47">
        <v>0</v>
      </c>
      <c r="EB74" s="47"/>
      <c r="EC74" s="47">
        <v>1</v>
      </c>
      <c r="ZZ74" t="s">
        <v>2472</v>
      </c>
    </row>
    <row r="75" spans="1:702" x14ac:dyDescent="0.25">
      <c r="A75" s="47" t="s">
        <v>472</v>
      </c>
      <c r="B75" s="47" t="s">
        <v>153</v>
      </c>
      <c r="C75" s="47" t="s">
        <v>157</v>
      </c>
      <c r="D75" s="47" t="s">
        <v>2551</v>
      </c>
      <c r="E75" s="47" t="s">
        <v>473</v>
      </c>
      <c r="F75" s="47" t="s">
        <v>474</v>
      </c>
      <c r="G75" s="47" t="s">
        <v>475</v>
      </c>
      <c r="H75" s="47" t="s">
        <v>173</v>
      </c>
      <c r="I75" s="47" t="s">
        <v>190</v>
      </c>
      <c r="J75" s="47" t="str">
        <f>=IFERROR(VLOOKUP(H75&amp;I75,Table_Fonctions!A:G,6,FALSE),"")</f>
        <v>0</v>
      </c>
      <c r="K75" s="47" t="s">
        <v>2480</v>
      </c>
      <c r="L75" s="47" t="str">
        <f>=IFERROR(VLOOKUP(H75&amp;I75,Table_Fonctions!A:G,7,FALSE),K75)</f>
        <v/>
      </c>
      <c r="M75" s="47" t="str">
        <f>=IF(OR(LEFT(D75, 3)="TJ ", LEFT(D75, 4)="CPH "), "OUI", "NON")</f>
        <v/>
      </c>
      <c r="N75" s="47" t="s">
        <v>163</v>
      </c>
      <c r="O75" s="47"/>
      <c r="P75" s="47">
        <v>1</v>
      </c>
      <c r="Q75" s="47">
        <v>1</v>
      </c>
      <c r="R75" s="47">
        <v>0</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0.045</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0.865</v>
      </c>
      <c r="CR75" s="47">
        <v>0</v>
      </c>
      <c r="CS75" s="47">
        <v>0</v>
      </c>
      <c r="CT75" s="47">
        <v>0</v>
      </c>
      <c r="CU75" s="47">
        <v>0</v>
      </c>
      <c r="CV75" s="47">
        <v>0.02</v>
      </c>
      <c r="CW75" s="47">
        <v>0</v>
      </c>
      <c r="CX75" s="47">
        <v>0</v>
      </c>
      <c r="CY75" s="47">
        <v>0.07</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v>0</v>
      </c>
      <c r="EA75" s="47">
        <v>0</v>
      </c>
      <c r="EB75" s="47"/>
      <c r="EC75" s="47">
        <v>1</v>
      </c>
      <c r="ZZ75" t="s">
        <v>2472</v>
      </c>
    </row>
    <row r="76" spans="1:702" x14ac:dyDescent="0.25">
      <c r="A76" s="47" t="s">
        <v>476</v>
      </c>
      <c r="B76" s="47" t="s">
        <v>153</v>
      </c>
      <c r="C76" s="47" t="s">
        <v>157</v>
      </c>
      <c r="D76" s="47" t="s">
        <v>2552</v>
      </c>
      <c r="E76" s="47" t="s">
        <v>477</v>
      </c>
      <c r="F76" s="47" t="s">
        <v>478</v>
      </c>
      <c r="G76" s="47" t="s">
        <v>479</v>
      </c>
      <c r="H76" s="47" t="s">
        <v>173</v>
      </c>
      <c r="I76" s="47" t="s">
        <v>180</v>
      </c>
      <c r="J76" s="47" t="str">
        <f>=IFERROR(VLOOKUP(H76&amp;I76,Table_Fonctions!A:G,6,FALSE),"")</f>
        <v>0</v>
      </c>
      <c r="K76" s="47" t="s">
        <v>2480</v>
      </c>
      <c r="L76" s="47" t="str">
        <f>=IFERROR(VLOOKUP(H76&amp;I76,Table_Fonctions!A:G,7,FALSE),K76)</f>
        <v/>
      </c>
      <c r="M76" s="47" t="str">
        <f>=IF(OR(LEFT(D76, 3)="TJ ", LEFT(D76, 4)="CPH "), "OUI", "NON")</f>
        <v/>
      </c>
      <c r="N76" s="47" t="s">
        <v>163</v>
      </c>
      <c r="O76" s="47"/>
      <c r="P76" s="47">
        <v>1</v>
      </c>
      <c r="Q76" s="47">
        <v>1</v>
      </c>
      <c r="R76" s="47">
        <v>0</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0.8</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0.005</v>
      </c>
      <c r="BN76" s="47">
        <v>0</v>
      </c>
      <c r="BO76" s="47">
        <v>0</v>
      </c>
      <c r="BP76" s="47">
        <v>0</v>
      </c>
      <c r="BQ76" s="47">
        <v>0</v>
      </c>
      <c r="BR76" s="47">
        <v>0</v>
      </c>
      <c r="BS76" s="47">
        <v>0</v>
      </c>
      <c r="BT76" s="47">
        <v>0.1061</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0.0289</v>
      </c>
      <c r="CW76" s="47">
        <v>0</v>
      </c>
      <c r="CX76" s="47">
        <v>0</v>
      </c>
      <c r="CY76" s="47">
        <v>0.06</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v>0</v>
      </c>
      <c r="EA76" s="47">
        <v>0</v>
      </c>
      <c r="EB76" s="47"/>
      <c r="EC76" s="47">
        <v>1</v>
      </c>
      <c r="ZZ76" t="s">
        <v>2472</v>
      </c>
    </row>
    <row r="77" spans="1:702" x14ac:dyDescent="0.25">
      <c r="A77" s="47" t="s">
        <v>480</v>
      </c>
      <c r="B77" s="47" t="s">
        <v>153</v>
      </c>
      <c r="C77" s="47" t="s">
        <v>157</v>
      </c>
      <c r="D77" s="47" t="s">
        <v>2553</v>
      </c>
      <c r="E77" s="47" t="s">
        <v>481</v>
      </c>
      <c r="F77" s="47" t="s">
        <v>482</v>
      </c>
      <c r="G77" s="47" t="s">
        <v>483</v>
      </c>
      <c r="H77" s="47" t="s">
        <v>173</v>
      </c>
      <c r="I77" s="47" t="s">
        <v>220</v>
      </c>
      <c r="J77" s="47" t="str">
        <f>=IFERROR(VLOOKUP(H77&amp;I77,Table_Fonctions!A:G,6,FALSE),"")</f>
        <v>0</v>
      </c>
      <c r="K77" s="47" t="s">
        <v>2480</v>
      </c>
      <c r="L77" s="47" t="str">
        <f>=IFERROR(VLOOKUP(H77&amp;I77,Table_Fonctions!A:G,7,FALSE),K77)</f>
        <v/>
      </c>
      <c r="M77" s="47" t="str">
        <f>=IF(OR(LEFT(D77, 3)="TJ ", LEFT(D77, 4)="CPH "), "OUI", "NON")</f>
        <v/>
      </c>
      <c r="N77" s="47" t="s">
        <v>163</v>
      </c>
      <c r="O77" s="47"/>
      <c r="P77" s="47">
        <v>1</v>
      </c>
      <c r="Q77" s="47">
        <v>1</v>
      </c>
      <c r="R77" s="47">
        <v>0</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0.64</v>
      </c>
      <c r="AK77" s="47">
        <v>0</v>
      </c>
      <c r="AL77" s="47">
        <v>0</v>
      </c>
      <c r="AM77" s="47">
        <v>0</v>
      </c>
      <c r="AN77" s="47">
        <v>0</v>
      </c>
      <c r="AO77" s="47">
        <v>0</v>
      </c>
      <c r="AP77" s="47">
        <v>0</v>
      </c>
      <c r="AQ77" s="47">
        <v>0</v>
      </c>
      <c r="AR77" s="47">
        <v>0</v>
      </c>
      <c r="AS77" s="47">
        <v>0.26</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0.015</v>
      </c>
      <c r="BN77" s="47">
        <v>0</v>
      </c>
      <c r="BO77" s="47">
        <v>0</v>
      </c>
      <c r="BP77" s="47">
        <v>0</v>
      </c>
      <c r="BQ77" s="47">
        <v>0</v>
      </c>
      <c r="BR77" s="47">
        <v>0</v>
      </c>
      <c r="BS77" s="47">
        <v>0</v>
      </c>
      <c r="BT77" s="47">
        <v>0.03</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0.005</v>
      </c>
      <c r="CW77" s="47">
        <v>0</v>
      </c>
      <c r="CX77" s="47">
        <v>0</v>
      </c>
      <c r="CY77" s="47">
        <v>0.05</v>
      </c>
      <c r="CZ77" s="47">
        <v>0</v>
      </c>
      <c r="DA77" s="47">
        <v>0</v>
      </c>
      <c r="DB77" s="47">
        <v>0</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v>0</v>
      </c>
      <c r="EA77" s="47">
        <v>0</v>
      </c>
      <c r="EB77" s="47"/>
      <c r="EC77" s="47">
        <v>1</v>
      </c>
      <c r="ZZ77" t="s">
        <v>2472</v>
      </c>
    </row>
    <row r="78" spans="1:702" x14ac:dyDescent="0.25">
      <c r="A78" s="47" t="s">
        <v>484</v>
      </c>
      <c r="B78" s="47" t="s">
        <v>153</v>
      </c>
      <c r="C78" s="47" t="s">
        <v>157</v>
      </c>
      <c r="D78" s="47" t="s">
        <v>2554</v>
      </c>
      <c r="E78" s="47" t="s">
        <v>485</v>
      </c>
      <c r="F78" s="47" t="s">
        <v>486</v>
      </c>
      <c r="G78" s="47" t="s">
        <v>487</v>
      </c>
      <c r="H78" s="47" t="s">
        <v>173</v>
      </c>
      <c r="I78" s="47" t="s">
        <v>488</v>
      </c>
      <c r="J78" s="47" t="str">
        <f>=IFERROR(VLOOKUP(H78&amp;I78,Table_Fonctions!A:G,6,FALSE),"")</f>
        <v>0</v>
      </c>
      <c r="K78" s="47" t="s">
        <v>2480</v>
      </c>
      <c r="L78" s="47" t="str">
        <f>=IFERROR(VLOOKUP(H78&amp;I78,Table_Fonctions!A:G,7,FALSE),K78)</f>
        <v/>
      </c>
      <c r="M78" s="47" t="str">
        <f>=IF(OR(LEFT(D78, 3)="TJ ", LEFT(D78, 4)="CPH "), "OUI", "NON")</f>
        <v/>
      </c>
      <c r="N78" s="47" t="s">
        <v>163</v>
      </c>
      <c r="O78" s="47"/>
      <c r="P78" s="47">
        <v>1</v>
      </c>
      <c r="Q78" s="47">
        <v>1</v>
      </c>
      <c r="R78" s="47">
        <v>0</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0.33</v>
      </c>
      <c r="BN78" s="47">
        <v>0</v>
      </c>
      <c r="BO78" s="47">
        <v>0</v>
      </c>
      <c r="BP78" s="47">
        <v>0</v>
      </c>
      <c r="BQ78" s="47">
        <v>0</v>
      </c>
      <c r="BR78" s="47">
        <v>0</v>
      </c>
      <c r="BS78" s="47">
        <v>0</v>
      </c>
      <c r="BT78" s="47">
        <v>0.45</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0.17</v>
      </c>
      <c r="CW78" s="47">
        <v>0</v>
      </c>
      <c r="CX78" s="47">
        <v>0</v>
      </c>
      <c r="CY78" s="47">
        <v>0.05</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v>0</v>
      </c>
      <c r="EA78" s="47">
        <v>0</v>
      </c>
      <c r="EB78" s="47"/>
      <c r="EC78" s="47">
        <v>1</v>
      </c>
      <c r="ZZ78" t="s">
        <v>2472</v>
      </c>
    </row>
    <row r="79" spans="1:702" x14ac:dyDescent="0.25">
      <c r="A79" s="47" t="s">
        <v>489</v>
      </c>
      <c r="B79" s="47" t="s">
        <v>153</v>
      </c>
      <c r="C79" s="47" t="s">
        <v>157</v>
      </c>
      <c r="D79" s="47" t="s">
        <v>2555</v>
      </c>
      <c r="E79" s="47" t="s">
        <v>490</v>
      </c>
      <c r="F79" s="47" t="s">
        <v>491</v>
      </c>
      <c r="G79" s="47" t="s">
        <v>492</v>
      </c>
      <c r="H79" s="47" t="s">
        <v>173</v>
      </c>
      <c r="I79" s="47" t="s">
        <v>488</v>
      </c>
      <c r="J79" s="47" t="str">
        <f>=IFERROR(VLOOKUP(H79&amp;I79,Table_Fonctions!A:G,6,FALSE),"")</f>
        <v>0</v>
      </c>
      <c r="K79" s="47" t="s">
        <v>2480</v>
      </c>
      <c r="L79" s="47" t="str">
        <f>=IFERROR(VLOOKUP(H79&amp;I79,Table_Fonctions!A:G,7,FALSE),K79)</f>
        <v/>
      </c>
      <c r="M79" s="47" t="str">
        <f>=IF(OR(LEFT(D79, 3)="TJ ", LEFT(D79, 4)="CPH "), "OUI", "NON")</f>
        <v/>
      </c>
      <c r="N79" s="47" t="s">
        <v>163</v>
      </c>
      <c r="O79" s="47"/>
      <c r="P79" s="47">
        <v>1</v>
      </c>
      <c r="Q79" s="47">
        <v>1</v>
      </c>
      <c r="R79" s="47">
        <v>0</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0.29</v>
      </c>
      <c r="BN79" s="47">
        <v>0</v>
      </c>
      <c r="BO79" s="47">
        <v>0</v>
      </c>
      <c r="BP79" s="47">
        <v>0</v>
      </c>
      <c r="BQ79" s="47">
        <v>0</v>
      </c>
      <c r="BR79" s="47">
        <v>0</v>
      </c>
      <c r="BS79" s="47">
        <v>0</v>
      </c>
      <c r="BT79" s="47">
        <v>0.414</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0.15</v>
      </c>
      <c r="CW79" s="47">
        <v>0</v>
      </c>
      <c r="CX79" s="47">
        <v>0</v>
      </c>
      <c r="CY79" s="47">
        <v>0.146</v>
      </c>
      <c r="CZ79" s="47">
        <v>0</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v>0</v>
      </c>
      <c r="EA79" s="47">
        <v>0</v>
      </c>
      <c r="EB79" s="47"/>
      <c r="EC79" s="47">
        <v>1</v>
      </c>
      <c r="ZZ79" t="s">
        <v>2472</v>
      </c>
    </row>
    <row r="80" spans="1:702" x14ac:dyDescent="0.25">
      <c r="A80" s="47" t="s">
        <v>493</v>
      </c>
      <c r="B80" s="47" t="s">
        <v>153</v>
      </c>
      <c r="C80" s="47" t="s">
        <v>157</v>
      </c>
      <c r="D80" s="47" t="s">
        <v>2556</v>
      </c>
      <c r="E80" s="47" t="s">
        <v>494</v>
      </c>
      <c r="F80" s="47" t="s">
        <v>495</v>
      </c>
      <c r="G80" s="47" t="s">
        <v>496</v>
      </c>
      <c r="H80" s="47" t="s">
        <v>173</v>
      </c>
      <c r="I80" s="47" t="s">
        <v>301</v>
      </c>
      <c r="J80" s="47" t="str">
        <f>=IFERROR(VLOOKUP(H80&amp;I80,Table_Fonctions!A:G,6,FALSE),"")</f>
        <v>0</v>
      </c>
      <c r="K80" s="47" t="s">
        <v>2480</v>
      </c>
      <c r="L80" s="47" t="str">
        <f>=IFERROR(VLOOKUP(H80&amp;I80,Table_Fonctions!A:G,7,FALSE),K80)</f>
        <v/>
      </c>
      <c r="M80" s="47" t="str">
        <f>=IF(OR(LEFT(D80, 3)="TJ ", LEFT(D80, 4)="CPH "), "OUI", "NON")</f>
        <v/>
      </c>
      <c r="N80" s="47" t="s">
        <v>163</v>
      </c>
      <c r="O80" s="47"/>
      <c r="P80" s="47">
        <v>1</v>
      </c>
      <c r="Q80" s="47">
        <v>1</v>
      </c>
      <c r="R80" s="47">
        <v>0</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0.925</v>
      </c>
      <c r="BR80" s="47">
        <v>0</v>
      </c>
      <c r="BS80" s="47">
        <v>0</v>
      </c>
      <c r="BT80" s="47">
        <v>0.025</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0.05</v>
      </c>
      <c r="CZ80" s="47">
        <v>0</v>
      </c>
      <c r="DA80" s="47">
        <v>0</v>
      </c>
      <c r="DB80" s="47">
        <v>0</v>
      </c>
      <c r="DC80" s="47">
        <v>0</v>
      </c>
      <c r="DD80" s="47">
        <v>0</v>
      </c>
      <c r="DE80" s="47">
        <v>0</v>
      </c>
      <c r="DF80" s="47">
        <v>0</v>
      </c>
      <c r="DG80" s="47">
        <v>0</v>
      </c>
      <c r="DH80" s="47">
        <v>0</v>
      </c>
      <c r="DI80" s="47">
        <v>0</v>
      </c>
      <c r="DJ80" s="47">
        <v>0</v>
      </c>
      <c r="DK80" s="47">
        <v>0</v>
      </c>
      <c r="DL80" s="47">
        <v>0</v>
      </c>
      <c r="DM80" s="47">
        <v>0</v>
      </c>
      <c r="DN80" s="47">
        <v>0</v>
      </c>
      <c r="DO80" s="47">
        <v>0</v>
      </c>
      <c r="DP80" s="47">
        <v>0</v>
      </c>
      <c r="DQ80" s="47">
        <v>0</v>
      </c>
      <c r="DR80" s="47">
        <v>0</v>
      </c>
      <c r="DS80" s="47">
        <v>0</v>
      </c>
      <c r="DT80" s="47">
        <v>0</v>
      </c>
      <c r="DU80" s="47">
        <v>0</v>
      </c>
      <c r="DV80" s="47">
        <v>0</v>
      </c>
      <c r="DW80" s="47">
        <v>0</v>
      </c>
      <c r="DX80" s="47">
        <v>0</v>
      </c>
      <c r="DY80" s="47">
        <v>0</v>
      </c>
      <c r="DZ80" s="47">
        <v>0</v>
      </c>
      <c r="EA80" s="47">
        <v>0</v>
      </c>
      <c r="EB80" s="47"/>
      <c r="EC80" s="47">
        <v>1</v>
      </c>
      <c r="ZZ80" t="s">
        <v>2472</v>
      </c>
    </row>
    <row r="81" spans="1:702" x14ac:dyDescent="0.25">
      <c r="A81" s="47" t="s">
        <v>497</v>
      </c>
      <c r="B81" s="47" t="s">
        <v>153</v>
      </c>
      <c r="C81" s="47" t="s">
        <v>157</v>
      </c>
      <c r="D81" s="47" t="s">
        <v>2557</v>
      </c>
      <c r="E81" s="47" t="s">
        <v>498</v>
      </c>
      <c r="F81" s="47" t="s">
        <v>499</v>
      </c>
      <c r="G81" s="47" t="s">
        <v>500</v>
      </c>
      <c r="H81" s="47" t="s">
        <v>173</v>
      </c>
      <c r="I81" s="47" t="s">
        <v>501</v>
      </c>
      <c r="J81" s="47" t="str">
        <f>=IFERROR(VLOOKUP(H81&amp;I81,Table_Fonctions!A:G,6,FALSE),"")</f>
        <v>0</v>
      </c>
      <c r="K81" s="47" t="s">
        <v>2480</v>
      </c>
      <c r="L81" s="47" t="str">
        <f>=IFERROR(VLOOKUP(H81&amp;I81,Table_Fonctions!A:G,7,FALSE),K81)</f>
        <v/>
      </c>
      <c r="M81" s="47" t="str">
        <f>=IF(OR(LEFT(D81, 3)="TJ ", LEFT(D81, 4)="CPH "), "OUI", "NON")</f>
        <v/>
      </c>
      <c r="N81" s="47" t="s">
        <v>163</v>
      </c>
      <c r="O81" s="47"/>
      <c r="P81" s="47">
        <v>1</v>
      </c>
      <c r="Q81" s="47">
        <v>1</v>
      </c>
      <c r="R81" s="47">
        <v>0</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0.005</v>
      </c>
      <c r="BU81" s="47">
        <v>0</v>
      </c>
      <c r="BV81" s="47">
        <v>0.005</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0.995</v>
      </c>
      <c r="CZ81" s="47">
        <v>0.995</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v>0</v>
      </c>
      <c r="EA81" s="47">
        <v>0</v>
      </c>
      <c r="EB81" s="47"/>
      <c r="EC81" s="47">
        <v>1</v>
      </c>
      <c r="ZZ81" t="s">
        <v>2472</v>
      </c>
    </row>
    <row r="82" spans="1:702" x14ac:dyDescent="0.25">
      <c r="A82" s="47" t="s">
        <v>502</v>
      </c>
      <c r="B82" s="47" t="s">
        <v>153</v>
      </c>
      <c r="C82" s="47" t="s">
        <v>157</v>
      </c>
      <c r="D82" s="47" t="s">
        <v>2558</v>
      </c>
      <c r="E82" s="47" t="s">
        <v>503</v>
      </c>
      <c r="F82" s="47" t="s">
        <v>504</v>
      </c>
      <c r="G82" s="47" t="s">
        <v>505</v>
      </c>
      <c r="H82" s="47" t="s">
        <v>173</v>
      </c>
      <c r="I82" s="47" t="s">
        <v>180</v>
      </c>
      <c r="J82" s="47" t="str">
        <f>=IFERROR(VLOOKUP(H82&amp;I82,Table_Fonctions!A:G,6,FALSE),"")</f>
        <v>0</v>
      </c>
      <c r="K82" s="47" t="s">
        <v>2480</v>
      </c>
      <c r="L82" s="47" t="str">
        <f>=IFERROR(VLOOKUP(H82&amp;I82,Table_Fonctions!A:G,7,FALSE),K82)</f>
        <v/>
      </c>
      <c r="M82" s="47" t="str">
        <f>=IF(OR(LEFT(D82, 3)="TJ ", LEFT(D82, 4)="CPH "), "OUI", "NON")</f>
        <v/>
      </c>
      <c r="N82" s="47" t="s">
        <v>163</v>
      </c>
      <c r="O82" s="47"/>
      <c r="P82" s="47">
        <v>1</v>
      </c>
      <c r="Q82" s="47">
        <v>1</v>
      </c>
      <c r="R82" s="47">
        <v>0</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0.715</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0.18</v>
      </c>
      <c r="BN82" s="47">
        <v>0</v>
      </c>
      <c r="BO82" s="47">
        <v>0</v>
      </c>
      <c r="BP82" s="47">
        <v>0</v>
      </c>
      <c r="BQ82" s="47">
        <v>0</v>
      </c>
      <c r="BR82" s="47">
        <v>0</v>
      </c>
      <c r="BS82" s="47">
        <v>0</v>
      </c>
      <c r="BT82" s="47">
        <v>0.05</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0.005</v>
      </c>
      <c r="CW82" s="47">
        <v>0</v>
      </c>
      <c r="CX82" s="47">
        <v>0</v>
      </c>
      <c r="CY82" s="47">
        <v>0.05</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v>0</v>
      </c>
      <c r="EA82" s="47">
        <v>0</v>
      </c>
      <c r="EB82" s="47"/>
      <c r="EC82" s="47">
        <v>1</v>
      </c>
      <c r="ZZ82" t="s">
        <v>2472</v>
      </c>
    </row>
    <row r="83" spans="1:702" x14ac:dyDescent="0.25">
      <c r="A83" s="47" t="s">
        <v>506</v>
      </c>
      <c r="B83" s="47" t="s">
        <v>153</v>
      </c>
      <c r="C83" s="47" t="s">
        <v>157</v>
      </c>
      <c r="D83" s="47" t="s">
        <v>2559</v>
      </c>
      <c r="E83" s="47" t="s">
        <v>507</v>
      </c>
      <c r="F83" s="47" t="s">
        <v>508</v>
      </c>
      <c r="G83" s="47" t="s">
        <v>509</v>
      </c>
      <c r="H83" s="47" t="s">
        <v>173</v>
      </c>
      <c r="I83" s="47" t="s">
        <v>488</v>
      </c>
      <c r="J83" s="47" t="str">
        <f>=IFERROR(VLOOKUP(H83&amp;I83,Table_Fonctions!A:G,6,FALSE),"")</f>
        <v>0</v>
      </c>
      <c r="K83" s="47" t="s">
        <v>2480</v>
      </c>
      <c r="L83" s="47" t="str">
        <f>=IFERROR(VLOOKUP(H83&amp;I83,Table_Fonctions!A:G,7,FALSE),K83)</f>
        <v/>
      </c>
      <c r="M83" s="47" t="str">
        <f>=IF(OR(LEFT(D83, 3)="TJ ", LEFT(D83, 4)="CPH "), "OUI", "NON")</f>
        <v/>
      </c>
      <c r="N83" s="47" t="s">
        <v>163</v>
      </c>
      <c r="O83" s="47"/>
      <c r="P83" s="47">
        <v>1</v>
      </c>
      <c r="Q83" s="47">
        <v>1</v>
      </c>
      <c r="R83" s="47">
        <v>0</v>
      </c>
      <c r="S83" s="47">
        <f>=ROUND(BQ83-(BR83+BS83),3)</f>
      </c>
      <c r="T83" s="47">
        <f>=ROUND(CK83-(CL83+CM83+CN83+CO83+CP83),3)</f>
      </c>
      <c r="U83" s="47">
        <v>0</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0.33</v>
      </c>
      <c r="BN83" s="47">
        <v>0</v>
      </c>
      <c r="BO83" s="47">
        <v>0</v>
      </c>
      <c r="BP83" s="47">
        <v>0</v>
      </c>
      <c r="BQ83" s="47">
        <v>0</v>
      </c>
      <c r="BR83" s="47">
        <v>0</v>
      </c>
      <c r="BS83" s="47">
        <v>0</v>
      </c>
      <c r="BT83" s="47">
        <v>0.45</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0.17</v>
      </c>
      <c r="CW83" s="47">
        <v>0</v>
      </c>
      <c r="CX83" s="47">
        <v>0</v>
      </c>
      <c r="CY83" s="47">
        <v>0.05</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v>0</v>
      </c>
      <c r="EA83" s="47">
        <v>0</v>
      </c>
      <c r="EB83" s="47"/>
      <c r="EC83" s="47">
        <v>1</v>
      </c>
      <c r="ZZ83" t="s">
        <v>2472</v>
      </c>
    </row>
    <row r="84" spans="1:702" x14ac:dyDescent="0.25">
      <c r="A84" s="47" t="s">
        <v>510</v>
      </c>
      <c r="B84" s="47" t="s">
        <v>153</v>
      </c>
      <c r="C84" s="47" t="s">
        <v>157</v>
      </c>
      <c r="D84" s="47" t="s">
        <v>2560</v>
      </c>
      <c r="E84" s="47" t="s">
        <v>511</v>
      </c>
      <c r="F84" s="47" t="s">
        <v>512</v>
      </c>
      <c r="G84" s="47" t="s">
        <v>513</v>
      </c>
      <c r="H84" s="47" t="s">
        <v>173</v>
      </c>
      <c r="I84" s="47" t="s">
        <v>220</v>
      </c>
      <c r="J84" s="47" t="str">
        <f>=IFERROR(VLOOKUP(H84&amp;I84,Table_Fonctions!A:G,6,FALSE),"")</f>
        <v>0</v>
      </c>
      <c r="K84" s="47" t="s">
        <v>2480</v>
      </c>
      <c r="L84" s="47" t="str">
        <f>=IFERROR(VLOOKUP(H84&amp;I84,Table_Fonctions!A:G,7,FALSE),K84)</f>
        <v/>
      </c>
      <c r="M84" s="47" t="str">
        <f>=IF(OR(LEFT(D84, 3)="TJ ", LEFT(D84, 4)="CPH "), "OUI", "NON")</f>
        <v/>
      </c>
      <c r="N84" s="47" t="s">
        <v>163</v>
      </c>
      <c r="O84" s="47"/>
      <c r="P84" s="47">
        <v>0.8</v>
      </c>
      <c r="Q84" s="47">
        <v>0.8</v>
      </c>
      <c r="R84" s="47">
        <v>0</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0.62</v>
      </c>
      <c r="AK84" s="47">
        <v>0</v>
      </c>
      <c r="AL84" s="47">
        <v>0</v>
      </c>
      <c r="AM84" s="47">
        <v>0</v>
      </c>
      <c r="AN84" s="47">
        <v>0</v>
      </c>
      <c r="AO84" s="47">
        <v>0</v>
      </c>
      <c r="AP84" s="47">
        <v>0</v>
      </c>
      <c r="AQ84" s="47">
        <v>0</v>
      </c>
      <c r="AR84" s="47">
        <v>0</v>
      </c>
      <c r="AS84" s="47">
        <v>0.044</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0.0192</v>
      </c>
      <c r="BN84" s="47">
        <v>0</v>
      </c>
      <c r="BO84" s="47">
        <v>0</v>
      </c>
      <c r="BP84" s="47">
        <v>0</v>
      </c>
      <c r="BQ84" s="47">
        <v>0</v>
      </c>
      <c r="BR84" s="47">
        <v>0</v>
      </c>
      <c r="BS84" s="47">
        <v>0</v>
      </c>
      <c r="BT84" s="47">
        <v>0.0614</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0.0154</v>
      </c>
      <c r="CW84" s="47">
        <v>0</v>
      </c>
      <c r="CX84" s="47">
        <v>0</v>
      </c>
      <c r="CY84" s="47">
        <v>0.04</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v>0</v>
      </c>
      <c r="EA84" s="47">
        <v>0</v>
      </c>
      <c r="EB84" s="47"/>
      <c r="EC84" s="47">
        <v>0.8</v>
      </c>
      <c r="ZZ84" t="s">
        <v>2472</v>
      </c>
    </row>
    <row r="85" spans="1:702" x14ac:dyDescent="0.25">
      <c r="A85" s="47" t="s">
        <v>514</v>
      </c>
      <c r="B85" s="47" t="s">
        <v>153</v>
      </c>
      <c r="C85" s="47" t="s">
        <v>157</v>
      </c>
      <c r="D85" s="47" t="s">
        <v>2561</v>
      </c>
      <c r="E85" s="47" t="s">
        <v>515</v>
      </c>
      <c r="F85" s="47" t="s">
        <v>516</v>
      </c>
      <c r="G85" s="47" t="s">
        <v>517</v>
      </c>
      <c r="H85" s="47" t="s">
        <v>173</v>
      </c>
      <c r="I85" s="47" t="s">
        <v>268</v>
      </c>
      <c r="J85" s="47" t="str">
        <f>=IFERROR(VLOOKUP(H85&amp;I85,Table_Fonctions!A:G,6,FALSE),"")</f>
        <v>0</v>
      </c>
      <c r="K85" s="47" t="s">
        <v>2480</v>
      </c>
      <c r="L85" s="47" t="str">
        <f>=IFERROR(VLOOKUP(H85&amp;I85,Table_Fonctions!A:G,7,FALSE),K85)</f>
        <v/>
      </c>
      <c r="M85" s="47" t="str">
        <f>=IF(OR(LEFT(D85, 3)="TJ ", LEFT(D85, 4)="CPH "), "OUI", "NON")</f>
        <v/>
      </c>
      <c r="N85" s="47" t="s">
        <v>163</v>
      </c>
      <c r="O85" s="47"/>
      <c r="P85" s="47">
        <v>1</v>
      </c>
      <c r="Q85" s="47">
        <v>1</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v>
      </c>
      <c r="BN85" s="47">
        <v>0</v>
      </c>
      <c r="BO85" s="47">
        <v>0</v>
      </c>
      <c r="BP85" s="47">
        <v>0</v>
      </c>
      <c r="BQ85" s="47">
        <v>0</v>
      </c>
      <c r="BR85" s="47">
        <v>0</v>
      </c>
      <c r="BS85" s="47">
        <v>0</v>
      </c>
      <c r="BT85" s="47">
        <v>0.88</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v>
      </c>
      <c r="CW85" s="47">
        <v>0</v>
      </c>
      <c r="CX85" s="47">
        <v>0</v>
      </c>
      <c r="CY85" s="47">
        <v>0.12</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v>0</v>
      </c>
      <c r="EA85" s="47">
        <v>0</v>
      </c>
      <c r="EB85" s="47"/>
      <c r="EC85" s="47">
        <v>1</v>
      </c>
      <c r="ZZ85" t="s">
        <v>2472</v>
      </c>
    </row>
    <row r="86" spans="1:702" x14ac:dyDescent="0.25">
      <c r="A86" s="47" t="s">
        <v>518</v>
      </c>
      <c r="B86" s="47" t="s">
        <v>153</v>
      </c>
      <c r="C86" s="47" t="s">
        <v>157</v>
      </c>
      <c r="D86" s="47" t="s">
        <v>2562</v>
      </c>
      <c r="E86" s="47" t="s">
        <v>519</v>
      </c>
      <c r="F86" s="47" t="s">
        <v>520</v>
      </c>
      <c r="G86" s="47" t="s">
        <v>521</v>
      </c>
      <c r="H86" s="47" t="s">
        <v>173</v>
      </c>
      <c r="I86" s="47" t="s">
        <v>180</v>
      </c>
      <c r="J86" s="47" t="str">
        <f>=IFERROR(VLOOKUP(H86&amp;I86,Table_Fonctions!A:G,6,FALSE),"")</f>
        <v>0</v>
      </c>
      <c r="K86" s="47" t="s">
        <v>2480</v>
      </c>
      <c r="L86" s="47" t="str">
        <f>=IFERROR(VLOOKUP(H86&amp;I86,Table_Fonctions!A:G,7,FALSE),K86)</f>
        <v/>
      </c>
      <c r="M86" s="47" t="str">
        <f>=IF(OR(LEFT(D86, 3)="TJ ", LEFT(D86, 4)="CPH "), "OUI", "NON")</f>
        <v/>
      </c>
      <c r="N86" s="47" t="s">
        <v>163</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0.915</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0.025</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0.01</v>
      </c>
      <c r="CW86" s="47">
        <v>0</v>
      </c>
      <c r="CX86" s="47">
        <v>0</v>
      </c>
      <c r="CY86" s="47">
        <v>0.05</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v>0</v>
      </c>
      <c r="EA86" s="47">
        <v>0</v>
      </c>
      <c r="EB86" s="47"/>
      <c r="EC86" s="47">
        <v>1</v>
      </c>
      <c r="ZZ86" t="s">
        <v>2472</v>
      </c>
    </row>
    <row r="87" spans="1:702" x14ac:dyDescent="0.25">
      <c r="A87" s="47" t="s">
        <v>522</v>
      </c>
      <c r="B87" s="47" t="s">
        <v>153</v>
      </c>
      <c r="C87" s="47" t="s">
        <v>157</v>
      </c>
      <c r="D87" s="47" t="s">
        <v>2563</v>
      </c>
      <c r="E87" s="47" t="s">
        <v>523</v>
      </c>
      <c r="F87" s="47" t="s">
        <v>524</v>
      </c>
      <c r="G87" s="47" t="s">
        <v>525</v>
      </c>
      <c r="H87" s="47" t="s">
        <v>173</v>
      </c>
      <c r="I87" s="47" t="s">
        <v>201</v>
      </c>
      <c r="J87" s="47" t="str">
        <f>=IFERROR(VLOOKUP(H87&amp;I87,Table_Fonctions!A:G,6,FALSE),"")</f>
        <v>0</v>
      </c>
      <c r="K87" s="47" t="s">
        <v>2480</v>
      </c>
      <c r="L87" s="47" t="str">
        <f>=IFERROR(VLOOKUP(H87&amp;I87,Table_Fonctions!A:G,7,FALSE),K87)</f>
        <v/>
      </c>
      <c r="M87" s="47" t="str">
        <f>=IF(OR(LEFT(D87, 3)="TJ ", LEFT(D87, 4)="CPH "), "OUI", "NON")</f>
        <v/>
      </c>
      <c r="N87" s="47" t="s">
        <v>526</v>
      </c>
      <c r="O87" s="47"/>
      <c r="P87" s="47">
        <v>0.8</v>
      </c>
      <c r="Q87" s="47">
        <v>0.32</v>
      </c>
      <c r="R87" s="47">
        <v>0.48</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0.32</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v>0</v>
      </c>
      <c r="EA87" s="47">
        <v>0</v>
      </c>
      <c r="EB87" s="47"/>
      <c r="EC87" s="47">
        <v>0.8</v>
      </c>
      <c r="ZZ87" t="s">
        <v>2472</v>
      </c>
    </row>
    <row r="88" spans="1:702" x14ac:dyDescent="0.25">
      <c r="A88" s="47" t="s">
        <v>527</v>
      </c>
      <c r="B88" s="47" t="s">
        <v>153</v>
      </c>
      <c r="C88" s="47" t="s">
        <v>157</v>
      </c>
      <c r="D88" s="47" t="s">
        <v>2564</v>
      </c>
      <c r="E88" s="47" t="s">
        <v>528</v>
      </c>
      <c r="F88" s="47" t="s">
        <v>529</v>
      </c>
      <c r="G88" s="47" t="s">
        <v>530</v>
      </c>
      <c r="H88" s="47" t="s">
        <v>173</v>
      </c>
      <c r="I88" s="47" t="s">
        <v>488</v>
      </c>
      <c r="J88" s="47" t="str">
        <f>=IFERROR(VLOOKUP(H88&amp;I88,Table_Fonctions!A:G,6,FALSE),"")</f>
        <v>0</v>
      </c>
      <c r="K88" s="47" t="s">
        <v>2480</v>
      </c>
      <c r="L88" s="47" t="str">
        <f>=IFERROR(VLOOKUP(H88&amp;I88,Table_Fonctions!A:G,7,FALSE),K88)</f>
        <v/>
      </c>
      <c r="M88" s="47" t="str">
        <f>=IF(OR(LEFT(D88, 3)="TJ ", LEFT(D88, 4)="CPH "), "OUI", "NON")</f>
        <v/>
      </c>
      <c r="N88" s="47" t="s">
        <v>163</v>
      </c>
      <c r="O88" s="47"/>
      <c r="P88" s="47">
        <v>1</v>
      </c>
      <c r="Q88" s="47">
        <v>1</v>
      </c>
      <c r="R88" s="47">
        <v>0</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0.285</v>
      </c>
      <c r="BN88" s="47">
        <v>0</v>
      </c>
      <c r="BO88" s="47">
        <v>0</v>
      </c>
      <c r="BP88" s="47">
        <v>0</v>
      </c>
      <c r="BQ88" s="47">
        <v>0</v>
      </c>
      <c r="BR88" s="47">
        <v>0</v>
      </c>
      <c r="BS88" s="47">
        <v>0</v>
      </c>
      <c r="BT88" s="47">
        <v>0.42</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0.165</v>
      </c>
      <c r="CW88" s="47">
        <v>0</v>
      </c>
      <c r="CX88" s="47">
        <v>0</v>
      </c>
      <c r="CY88" s="47">
        <v>0.13</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v>0</v>
      </c>
      <c r="EA88" s="47">
        <v>0</v>
      </c>
      <c r="EB88" s="47"/>
      <c r="EC88" s="47">
        <v>1</v>
      </c>
      <c r="ZZ88" t="s">
        <v>2472</v>
      </c>
    </row>
    <row r="89" spans="1:702" x14ac:dyDescent="0.25">
      <c r="A89" s="47" t="s">
        <v>531</v>
      </c>
      <c r="B89" s="47" t="s">
        <v>153</v>
      </c>
      <c r="C89" s="47" t="s">
        <v>157</v>
      </c>
      <c r="D89" s="47" t="s">
        <v>2565</v>
      </c>
      <c r="E89" s="47" t="s">
        <v>532</v>
      </c>
      <c r="F89" s="47" t="s">
        <v>533</v>
      </c>
      <c r="G89" s="47" t="s">
        <v>534</v>
      </c>
      <c r="H89" s="47" t="s">
        <v>173</v>
      </c>
      <c r="I89" s="47" t="s">
        <v>180</v>
      </c>
      <c r="J89" s="47" t="str">
        <f>=IFERROR(VLOOKUP(H89&amp;I89,Table_Fonctions!A:G,6,FALSE),"")</f>
        <v>0</v>
      </c>
      <c r="K89" s="47" t="s">
        <v>2480</v>
      </c>
      <c r="L89" s="47" t="str">
        <f>=IFERROR(VLOOKUP(H89&amp;I89,Table_Fonctions!A:G,7,FALSE),K89)</f>
        <v/>
      </c>
      <c r="M89" s="47" t="str">
        <f>=IF(OR(LEFT(D89, 3)="TJ ", LEFT(D89, 4)="CPH "), "OUI", "NON")</f>
        <v/>
      </c>
      <c r="N89" s="47" t="s">
        <v>163</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v>
      </c>
      <c r="AK89" s="47">
        <v>0</v>
      </c>
      <c r="AL89" s="47">
        <v>0</v>
      </c>
      <c r="AM89" s="47">
        <v>0</v>
      </c>
      <c r="AN89" s="47">
        <v>0</v>
      </c>
      <c r="AO89" s="47">
        <v>0</v>
      </c>
      <c r="AP89" s="47">
        <v>0</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v>
      </c>
      <c r="BM89" s="47">
        <v>0</v>
      </c>
      <c r="BN89" s="47">
        <v>0</v>
      </c>
      <c r="BO89" s="47">
        <v>0</v>
      </c>
      <c r="BP89" s="47">
        <v>0</v>
      </c>
      <c r="BQ89" s="47">
        <v>0</v>
      </c>
      <c r="BR89" s="47">
        <v>0</v>
      </c>
      <c r="BS89" s="47">
        <v>0</v>
      </c>
      <c r="BT89" s="47">
        <v>0.94</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0.01</v>
      </c>
      <c r="CW89" s="47">
        <v>0</v>
      </c>
      <c r="CX89" s="47">
        <v>0</v>
      </c>
      <c r="CY89" s="47">
        <v>0.05</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v>0</v>
      </c>
      <c r="EA89" s="47">
        <v>0</v>
      </c>
      <c r="EB89" s="47"/>
      <c r="EC89" s="47">
        <v>1</v>
      </c>
      <c r="ZZ89" t="s">
        <v>2472</v>
      </c>
    </row>
    <row r="90" spans="1:702" x14ac:dyDescent="0.25">
      <c r="A90" s="47" t="s">
        <v>535</v>
      </c>
      <c r="B90" s="47" t="s">
        <v>153</v>
      </c>
      <c r="C90" s="47" t="s">
        <v>157</v>
      </c>
      <c r="D90" s="47" t="s">
        <v>2566</v>
      </c>
      <c r="E90" s="47" t="s">
        <v>536</v>
      </c>
      <c r="F90" s="47" t="s">
        <v>537</v>
      </c>
      <c r="G90" s="47" t="s">
        <v>538</v>
      </c>
      <c r="H90" s="47" t="s">
        <v>173</v>
      </c>
      <c r="I90" s="47" t="s">
        <v>220</v>
      </c>
      <c r="J90" s="47" t="str">
        <f>=IFERROR(VLOOKUP(H90&amp;I90,Table_Fonctions!A:G,6,FALSE),"")</f>
        <v>0</v>
      </c>
      <c r="K90" s="47" t="s">
        <v>2480</v>
      </c>
      <c r="L90" s="47" t="str">
        <f>=IFERROR(VLOOKUP(H90&amp;I90,Table_Fonctions!A:G,7,FALSE),K90)</f>
        <v/>
      </c>
      <c r="M90" s="47" t="str">
        <f>=IF(OR(LEFT(D90, 3)="TJ ", LEFT(D90, 4)="CPH "), "OUI", "NON")</f>
        <v/>
      </c>
      <c r="N90" s="47" t="s">
        <v>163</v>
      </c>
      <c r="O90" s="47"/>
      <c r="P90" s="47">
        <v>1</v>
      </c>
      <c r="Q90" s="47">
        <v>1</v>
      </c>
      <c r="R90" s="47">
        <v>0</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0.8108</v>
      </c>
      <c r="AK90" s="47">
        <v>0</v>
      </c>
      <c r="AL90" s="47">
        <v>0</v>
      </c>
      <c r="AM90" s="47">
        <v>0</v>
      </c>
      <c r="AN90" s="47">
        <v>0</v>
      </c>
      <c r="AO90" s="47">
        <v>0</v>
      </c>
      <c r="AP90" s="47">
        <v>0</v>
      </c>
      <c r="AQ90" s="47">
        <v>0</v>
      </c>
      <c r="AR90" s="47">
        <v>0</v>
      </c>
      <c r="AS90" s="47">
        <v>0.02</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0.0024</v>
      </c>
      <c r="BN90" s="47">
        <v>0</v>
      </c>
      <c r="BO90" s="47">
        <v>0</v>
      </c>
      <c r="BP90" s="47">
        <v>0</v>
      </c>
      <c r="BQ90" s="47">
        <v>0</v>
      </c>
      <c r="BR90" s="47">
        <v>0</v>
      </c>
      <c r="BS90" s="47">
        <v>0</v>
      </c>
      <c r="BT90" s="47">
        <v>0.0768</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0.09</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v>0</v>
      </c>
      <c r="EA90" s="47">
        <v>0</v>
      </c>
      <c r="EB90" s="47"/>
      <c r="EC90" s="47">
        <v>1</v>
      </c>
      <c r="ZZ90" t="s">
        <v>2472</v>
      </c>
    </row>
    <row r="91" spans="1:702" x14ac:dyDescent="0.25">
      <c r="A91" s="47" t="s">
        <v>539</v>
      </c>
      <c r="B91" s="47" t="s">
        <v>153</v>
      </c>
      <c r="C91" s="47" t="s">
        <v>157</v>
      </c>
      <c r="D91" s="47" t="s">
        <v>2567</v>
      </c>
      <c r="E91" s="47" t="s">
        <v>540</v>
      </c>
      <c r="F91" s="47" t="s">
        <v>541</v>
      </c>
      <c r="G91" s="47" t="s">
        <v>542</v>
      </c>
      <c r="H91" s="47" t="s">
        <v>173</v>
      </c>
      <c r="I91" s="47" t="s">
        <v>268</v>
      </c>
      <c r="J91" s="47" t="str">
        <f>=IFERROR(VLOOKUP(H91&amp;I91,Table_Fonctions!A:G,6,FALSE),"")</f>
        <v>0</v>
      </c>
      <c r="K91" s="47" t="s">
        <v>2480</v>
      </c>
      <c r="L91" s="47" t="str">
        <f>=IFERROR(VLOOKUP(H91&amp;I91,Table_Fonctions!A:G,7,FALSE),K91)</f>
        <v/>
      </c>
      <c r="M91" s="47" t="str">
        <f>=IF(OR(LEFT(D91, 3)="TJ ", LEFT(D91, 4)="CPH "), "OUI", "NON")</f>
        <v/>
      </c>
      <c r="N91" s="47" t="s">
        <v>163</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0.0644</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0.8856</v>
      </c>
      <c r="CL91" s="47">
        <v>0</v>
      </c>
      <c r="CM91" s="47">
        <v>0</v>
      </c>
      <c r="CN91" s="47">
        <v>0</v>
      </c>
      <c r="CO91" s="47">
        <v>0</v>
      </c>
      <c r="CP91" s="47">
        <v>0</v>
      </c>
      <c r="CQ91" s="47">
        <v>0</v>
      </c>
      <c r="CR91" s="47">
        <v>0</v>
      </c>
      <c r="CS91" s="47">
        <v>0</v>
      </c>
      <c r="CT91" s="47">
        <v>0</v>
      </c>
      <c r="CU91" s="47">
        <v>0</v>
      </c>
      <c r="CV91" s="47">
        <v>0</v>
      </c>
      <c r="CW91" s="47">
        <v>0</v>
      </c>
      <c r="CX91" s="47">
        <v>0</v>
      </c>
      <c r="CY91" s="47">
        <v>0.05</v>
      </c>
      <c r="CZ91" s="47">
        <v>0</v>
      </c>
      <c r="DA91" s="47">
        <v>0</v>
      </c>
      <c r="DB91" s="47">
        <v>0</v>
      </c>
      <c r="DC91" s="47">
        <v>0</v>
      </c>
      <c r="DD91" s="47">
        <v>0</v>
      </c>
      <c r="DE91" s="47">
        <v>0</v>
      </c>
      <c r="DF91" s="47">
        <v>0</v>
      </c>
      <c r="DG91" s="47">
        <v>0</v>
      </c>
      <c r="DH91" s="47">
        <v>0</v>
      </c>
      <c r="DI91" s="47">
        <v>0</v>
      </c>
      <c r="DJ91" s="47">
        <v>0</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v>0</v>
      </c>
      <c r="EA91" s="47">
        <v>0</v>
      </c>
      <c r="EB91" s="47"/>
      <c r="EC91" s="47">
        <v>1</v>
      </c>
      <c r="ZZ91" t="s">
        <v>2472</v>
      </c>
    </row>
    <row r="92" spans="1:702" x14ac:dyDescent="0.25">
      <c r="A92" s="47" t="s">
        <v>543</v>
      </c>
      <c r="B92" s="47" t="s">
        <v>153</v>
      </c>
      <c r="C92" s="47" t="s">
        <v>157</v>
      </c>
      <c r="D92" s="47" t="s">
        <v>2568</v>
      </c>
      <c r="E92" s="47" t="s">
        <v>544</v>
      </c>
      <c r="F92" s="47" t="s">
        <v>545</v>
      </c>
      <c r="G92" s="47" t="s">
        <v>546</v>
      </c>
      <c r="H92" s="47" t="s">
        <v>173</v>
      </c>
      <c r="I92" s="47" t="s">
        <v>180</v>
      </c>
      <c r="J92" s="47" t="str">
        <f>=IFERROR(VLOOKUP(H92&amp;I92,Table_Fonctions!A:G,6,FALSE),"")</f>
        <v>0</v>
      </c>
      <c r="K92" s="47" t="s">
        <v>2480</v>
      </c>
      <c r="L92" s="47" t="str">
        <f>=IFERROR(VLOOKUP(H92&amp;I92,Table_Fonctions!A:G,7,FALSE),K92)</f>
        <v/>
      </c>
      <c r="M92" s="47" t="str">
        <f>=IF(OR(LEFT(D92, 3)="TJ ", LEFT(D92, 4)="CPH "), "OUI", "NON")</f>
        <v/>
      </c>
      <c r="N92" s="47" t="s">
        <v>163</v>
      </c>
      <c r="O92" s="47"/>
      <c r="P92" s="47">
        <v>1</v>
      </c>
      <c r="Q92" s="47">
        <v>1</v>
      </c>
      <c r="R92" s="47">
        <v>0</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0.94</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0.01</v>
      </c>
      <c r="CW92" s="47">
        <v>0</v>
      </c>
      <c r="CX92" s="47">
        <v>0</v>
      </c>
      <c r="CY92" s="47">
        <v>0.05</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v>0</v>
      </c>
      <c r="EA92" s="47">
        <v>0</v>
      </c>
      <c r="EB92" s="47"/>
      <c r="EC92" s="47">
        <v>1</v>
      </c>
      <c r="ZZ92" t="s">
        <v>2472</v>
      </c>
    </row>
    <row r="93" spans="1:702" x14ac:dyDescent="0.25">
      <c r="A93" s="47" t="s">
        <v>547</v>
      </c>
      <c r="B93" s="47" t="s">
        <v>153</v>
      </c>
      <c r="C93" s="47" t="s">
        <v>157</v>
      </c>
      <c r="D93" s="47" t="s">
        <v>2569</v>
      </c>
      <c r="E93" s="47" t="s">
        <v>548</v>
      </c>
      <c r="F93" s="47" t="s">
        <v>549</v>
      </c>
      <c r="G93" s="47" t="s">
        <v>550</v>
      </c>
      <c r="H93" s="47" t="s">
        <v>173</v>
      </c>
      <c r="I93" s="47" t="s">
        <v>180</v>
      </c>
      <c r="J93" s="47" t="str">
        <f>=IFERROR(VLOOKUP(H93&amp;I93,Table_Fonctions!A:G,6,FALSE),"")</f>
        <v>0</v>
      </c>
      <c r="K93" s="47" t="s">
        <v>2480</v>
      </c>
      <c r="L93" s="47" t="str">
        <f>=IFERROR(VLOOKUP(H93&amp;I93,Table_Fonctions!A:G,7,FALSE),K93)</f>
        <v/>
      </c>
      <c r="M93" s="47" t="str">
        <f>=IF(OR(LEFT(D93, 3)="TJ ", LEFT(D93, 4)="CPH "), "OUI", "NON")</f>
        <v/>
      </c>
      <c r="N93" s="47" t="s">
        <v>163</v>
      </c>
      <c r="O93" s="47"/>
      <c r="P93" s="47">
        <v>1</v>
      </c>
      <c r="Q93" s="47">
        <v>1</v>
      </c>
      <c r="R93" s="47">
        <v>0</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0.84</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0.16</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v>0</v>
      </c>
      <c r="EA93" s="47">
        <v>0</v>
      </c>
      <c r="EB93" s="47"/>
      <c r="EC93" s="47">
        <v>1</v>
      </c>
      <c r="ZZ93" t="s">
        <v>2472</v>
      </c>
    </row>
    <row r="94" spans="1:702" x14ac:dyDescent="0.25">
      <c r="A94" s="47" t="s">
        <v>551</v>
      </c>
      <c r="B94" s="47" t="s">
        <v>153</v>
      </c>
      <c r="C94" s="47" t="s">
        <v>157</v>
      </c>
      <c r="D94" s="47" t="s">
        <v>2570</v>
      </c>
      <c r="E94" s="47" t="s">
        <v>552</v>
      </c>
      <c r="F94" s="47" t="s">
        <v>553</v>
      </c>
      <c r="G94" s="47" t="s">
        <v>554</v>
      </c>
      <c r="H94" s="47" t="s">
        <v>173</v>
      </c>
      <c r="I94" s="47" t="s">
        <v>210</v>
      </c>
      <c r="J94" s="47" t="str">
        <f>=IFERROR(VLOOKUP(H94&amp;I94,Table_Fonctions!A:G,6,FALSE),"")</f>
        <v>0</v>
      </c>
      <c r="K94" s="47" t="s">
        <v>2480</v>
      </c>
      <c r="L94" s="47" t="str">
        <f>=IFERROR(VLOOKUP(H94&amp;I94,Table_Fonctions!A:G,7,FALSE),K94)</f>
        <v/>
      </c>
      <c r="M94" s="47" t="str">
        <f>=IF(OR(LEFT(D94, 3)="TJ ", LEFT(D94, 4)="CPH "), "OUI", "NON")</f>
        <v/>
      </c>
      <c r="N94" s="47" t="s">
        <v>163</v>
      </c>
      <c r="O94" s="47" t="s">
        <v>555</v>
      </c>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0.28</v>
      </c>
      <c r="AT94" s="47">
        <v>0</v>
      </c>
      <c r="AU94" s="47">
        <v>0</v>
      </c>
      <c r="AV94" s="47">
        <v>0</v>
      </c>
      <c r="AW94" s="47">
        <v>0</v>
      </c>
      <c r="AX94" s="47">
        <v>0</v>
      </c>
      <c r="AY94" s="47">
        <v>0</v>
      </c>
      <c r="AZ94" s="47">
        <v>0.14</v>
      </c>
      <c r="BA94" s="47">
        <v>0</v>
      </c>
      <c r="BB94" s="47">
        <v>0</v>
      </c>
      <c r="BC94" s="47">
        <v>0</v>
      </c>
      <c r="BD94" s="47">
        <v>0</v>
      </c>
      <c r="BE94" s="47">
        <v>0</v>
      </c>
      <c r="BF94" s="47">
        <v>0</v>
      </c>
      <c r="BG94" s="47">
        <v>0</v>
      </c>
      <c r="BH94" s="47">
        <v>0</v>
      </c>
      <c r="BI94" s="47">
        <v>0</v>
      </c>
      <c r="BJ94" s="47">
        <v>0.14</v>
      </c>
      <c r="BK94" s="47">
        <v>0</v>
      </c>
      <c r="BL94" s="47">
        <v>0</v>
      </c>
      <c r="BM94" s="47">
        <v>0.01</v>
      </c>
      <c r="BN94" s="47">
        <v>0.01</v>
      </c>
      <c r="BO94" s="47">
        <v>0</v>
      </c>
      <c r="BP94" s="47">
        <v>0</v>
      </c>
      <c r="BQ94" s="47">
        <v>0</v>
      </c>
      <c r="BR94" s="47">
        <v>0</v>
      </c>
      <c r="BS94" s="47">
        <v>0</v>
      </c>
      <c r="BT94" s="47">
        <v>0.64</v>
      </c>
      <c r="BU94" s="47">
        <v>0.5</v>
      </c>
      <c r="BV94" s="47">
        <v>0.14</v>
      </c>
      <c r="BW94" s="47">
        <v>0</v>
      </c>
      <c r="BX94" s="47">
        <v>0</v>
      </c>
      <c r="BY94" s="47">
        <v>0</v>
      </c>
      <c r="BZ94" s="47">
        <v>0</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0.07</v>
      </c>
      <c r="CZ94" s="47">
        <v>0.07</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v>
      </c>
      <c r="DV94" s="47">
        <v>0</v>
      </c>
      <c r="DW94" s="47">
        <v>0</v>
      </c>
      <c r="DX94" s="47">
        <v>0</v>
      </c>
      <c r="DY94" s="47">
        <v>0</v>
      </c>
      <c r="DZ94" s="47">
        <v>0</v>
      </c>
      <c r="EA94" s="47">
        <v>0</v>
      </c>
      <c r="EB94" s="47"/>
      <c r="EC94" s="47">
        <v>1</v>
      </c>
      <c r="ZZ94" t="s">
        <v>2472</v>
      </c>
    </row>
    <row r="95" spans="1:702" x14ac:dyDescent="0.25">
      <c r="A95" s="47" t="s">
        <v>556</v>
      </c>
      <c r="B95" s="47" t="s">
        <v>153</v>
      </c>
      <c r="C95" s="47" t="s">
        <v>157</v>
      </c>
      <c r="D95" s="47" t="s">
        <v>2571</v>
      </c>
      <c r="E95" s="47" t="s">
        <v>557</v>
      </c>
      <c r="F95" s="47" t="s">
        <v>558</v>
      </c>
      <c r="G95" s="47" t="s">
        <v>559</v>
      </c>
      <c r="H95" s="47" t="s">
        <v>173</v>
      </c>
      <c r="I95" s="47" t="s">
        <v>201</v>
      </c>
      <c r="J95" s="47" t="str">
        <f>=IFERROR(VLOOKUP(H95&amp;I95,Table_Fonctions!A:G,6,FALSE),"")</f>
        <v>0</v>
      </c>
      <c r="K95" s="47" t="s">
        <v>2480</v>
      </c>
      <c r="L95" s="47" t="str">
        <f>=IFERROR(VLOOKUP(H95&amp;I95,Table_Fonctions!A:G,7,FALSE),K95)</f>
        <v/>
      </c>
      <c r="M95" s="47" t="str">
        <f>=IF(OR(LEFT(D95, 3)="TJ ", LEFT(D95, 4)="CPH "), "OUI", "NON")</f>
        <v/>
      </c>
      <c r="N95" s="47" t="s">
        <v>163</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0.9</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0.05</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0.05</v>
      </c>
      <c r="CZ95" s="47">
        <v>0</v>
      </c>
      <c r="DA95" s="47">
        <v>0</v>
      </c>
      <c r="DB95" s="47">
        <v>0</v>
      </c>
      <c r="DC95" s="47">
        <v>0</v>
      </c>
      <c r="DD95" s="47">
        <v>0</v>
      </c>
      <c r="DE95" s="47">
        <v>0</v>
      </c>
      <c r="DF95" s="47">
        <v>0</v>
      </c>
      <c r="DG95" s="47">
        <v>0</v>
      </c>
      <c r="DH95" s="47">
        <v>0</v>
      </c>
      <c r="DI95" s="47">
        <v>0</v>
      </c>
      <c r="DJ95" s="47">
        <v>0</v>
      </c>
      <c r="DK95" s="47">
        <v>0</v>
      </c>
      <c r="DL95" s="47">
        <v>0</v>
      </c>
      <c r="DM95" s="47">
        <v>0</v>
      </c>
      <c r="DN95" s="47">
        <v>0</v>
      </c>
      <c r="DO95" s="47">
        <v>0</v>
      </c>
      <c r="DP95" s="47">
        <v>0</v>
      </c>
      <c r="DQ95" s="47">
        <v>0</v>
      </c>
      <c r="DR95" s="47">
        <v>0</v>
      </c>
      <c r="DS95" s="47">
        <v>0</v>
      </c>
      <c r="DT95" s="47">
        <v>0</v>
      </c>
      <c r="DU95" s="47">
        <v>0</v>
      </c>
      <c r="DV95" s="47">
        <v>0</v>
      </c>
      <c r="DW95" s="47">
        <v>0</v>
      </c>
      <c r="DX95" s="47">
        <v>0</v>
      </c>
      <c r="DY95" s="47">
        <v>0</v>
      </c>
      <c r="DZ95" s="47">
        <v>0</v>
      </c>
      <c r="EA95" s="47">
        <v>0</v>
      </c>
      <c r="EB95" s="47"/>
      <c r="EC95" s="47">
        <v>1</v>
      </c>
      <c r="ZZ95" t="s">
        <v>2472</v>
      </c>
    </row>
    <row r="96" spans="1:702" x14ac:dyDescent="0.25">
      <c r="A96" s="47" t="s">
        <v>560</v>
      </c>
      <c r="B96" s="47" t="s">
        <v>153</v>
      </c>
      <c r="C96" s="47" t="s">
        <v>157</v>
      </c>
      <c r="D96" s="47" t="s">
        <v>2572</v>
      </c>
      <c r="E96" s="47" t="s">
        <v>561</v>
      </c>
      <c r="F96" s="47" t="s">
        <v>562</v>
      </c>
      <c r="G96" s="47" t="s">
        <v>563</v>
      </c>
      <c r="H96" s="47" t="s">
        <v>173</v>
      </c>
      <c r="I96" s="47" t="s">
        <v>564</v>
      </c>
      <c r="J96" s="47" t="str">
        <f>=IFERROR(VLOOKUP(H96&amp;I96,Table_Fonctions!A:G,6,FALSE),"")</f>
        <v>0</v>
      </c>
      <c r="K96" s="47" t="s">
        <v>2480</v>
      </c>
      <c r="L96" s="47" t="str">
        <f>=IFERROR(VLOOKUP(H96&amp;I96,Table_Fonctions!A:G,7,FALSE),K96)</f>
        <v/>
      </c>
      <c r="M96" s="47" t="str">
        <f>=IF(OR(LEFT(D96, 3)="TJ ", LEFT(D96, 4)="CPH "), "OUI", "NON")</f>
        <v/>
      </c>
      <c r="N96" s="47" t="s">
        <v>163</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0.88</v>
      </c>
      <c r="BR96" s="47">
        <v>0</v>
      </c>
      <c r="BS96" s="47">
        <v>0</v>
      </c>
      <c r="BT96" s="47">
        <v>0.05</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0.07</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v>0</v>
      </c>
      <c r="EA96" s="47">
        <v>0</v>
      </c>
      <c r="EB96" s="47"/>
      <c r="EC96" s="47">
        <v>1</v>
      </c>
      <c r="ZZ96" t="s">
        <v>2472</v>
      </c>
    </row>
    <row r="97" spans="1:702" x14ac:dyDescent="0.25">
      <c r="A97" s="47" t="s">
        <v>565</v>
      </c>
      <c r="B97" s="47" t="s">
        <v>153</v>
      </c>
      <c r="C97" s="47" t="s">
        <v>157</v>
      </c>
      <c r="D97" s="47" t="s">
        <v>2573</v>
      </c>
      <c r="E97" s="47" t="s">
        <v>566</v>
      </c>
      <c r="F97" s="47" t="s">
        <v>567</v>
      </c>
      <c r="G97" s="47" t="s">
        <v>568</v>
      </c>
      <c r="H97" s="47" t="s">
        <v>173</v>
      </c>
      <c r="I97" s="47" t="s">
        <v>564</v>
      </c>
      <c r="J97" s="47" t="str">
        <f>=IFERROR(VLOOKUP(H97&amp;I97,Table_Fonctions!A:G,6,FALSE),"")</f>
        <v>0</v>
      </c>
      <c r="K97" s="47" t="s">
        <v>2480</v>
      </c>
      <c r="L97" s="47" t="str">
        <f>=IFERROR(VLOOKUP(H97&amp;I97,Table_Fonctions!A:G,7,FALSE),K97)</f>
        <v/>
      </c>
      <c r="M97" s="47" t="str">
        <f>=IF(OR(LEFT(D97, 3)="TJ ", LEFT(D97, 4)="CPH "), "OUI", "NON")</f>
        <v/>
      </c>
      <c r="N97" s="47" t="s">
        <v>163</v>
      </c>
      <c r="O97" s="47"/>
      <c r="P97" s="47">
        <v>1</v>
      </c>
      <c r="Q97" s="47">
        <v>1</v>
      </c>
      <c r="R97" s="47">
        <v>0</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0.91</v>
      </c>
      <c r="BR97" s="47">
        <v>0</v>
      </c>
      <c r="BS97" s="47">
        <v>0</v>
      </c>
      <c r="BT97" s="47">
        <v>0.02</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0.07</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v>0</v>
      </c>
      <c r="EA97" s="47">
        <v>0</v>
      </c>
      <c r="EB97" s="47"/>
      <c r="EC97" s="47">
        <v>1</v>
      </c>
      <c r="ZZ97" t="s">
        <v>2472</v>
      </c>
    </row>
    <row r="98" spans="1:702" x14ac:dyDescent="0.25">
      <c r="A98" s="47" t="s">
        <v>569</v>
      </c>
      <c r="B98" s="47" t="s">
        <v>153</v>
      </c>
      <c r="C98" s="47" t="s">
        <v>157</v>
      </c>
      <c r="D98" s="47" t="s">
        <v>2574</v>
      </c>
      <c r="E98" s="47" t="s">
        <v>570</v>
      </c>
      <c r="F98" s="47" t="s">
        <v>571</v>
      </c>
      <c r="G98" s="47" t="s">
        <v>572</v>
      </c>
      <c r="H98" s="47" t="s">
        <v>173</v>
      </c>
      <c r="I98" s="47" t="s">
        <v>180</v>
      </c>
      <c r="J98" s="47" t="str">
        <f>=IFERROR(VLOOKUP(H98&amp;I98,Table_Fonctions!A:G,6,FALSE),"")</f>
        <v>0</v>
      </c>
      <c r="K98" s="47" t="s">
        <v>2480</v>
      </c>
      <c r="L98" s="47" t="str">
        <f>=IFERROR(VLOOKUP(H98&amp;I98,Table_Fonctions!A:G,7,FALSE),K98)</f>
        <v/>
      </c>
      <c r="M98" s="47" t="str">
        <f>=IF(OR(LEFT(D98, 3)="TJ ", LEFT(D98, 4)="CPH "), "OUI", "NON")</f>
        <v/>
      </c>
      <c r="N98" s="47" t="s">
        <v>163</v>
      </c>
      <c r="O98" s="47"/>
      <c r="P98" s="47">
        <v>1</v>
      </c>
      <c r="Q98" s="47">
        <v>0.33</v>
      </c>
      <c r="R98" s="47">
        <v>0.67</v>
      </c>
      <c r="S98" s="47">
        <f>=ROUND(BQ98-(BR98+BS98),3)</f>
      </c>
      <c r="T98" s="47">
        <f>=ROUND(CK98-(CL98+CM98+CN98+CO98+CP98),3)</f>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0.05</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0.03</v>
      </c>
      <c r="CW98" s="47">
        <v>0</v>
      </c>
      <c r="CX98" s="47">
        <v>0</v>
      </c>
      <c r="CY98" s="47">
        <v>0.25</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v>
      </c>
      <c r="DV98" s="47">
        <v>0</v>
      </c>
      <c r="DW98" s="47">
        <v>0</v>
      </c>
      <c r="DX98" s="47">
        <v>0</v>
      </c>
      <c r="DY98" s="47">
        <v>0</v>
      </c>
      <c r="DZ98" s="47">
        <v>0</v>
      </c>
      <c r="EA98" s="47">
        <v>0</v>
      </c>
      <c r="EB98" s="47"/>
      <c r="EC98" s="47">
        <v>1</v>
      </c>
      <c r="ZZ98" t="s">
        <v>2472</v>
      </c>
    </row>
    <row r="99" spans="1:702" x14ac:dyDescent="0.25">
      <c r="A99" s="47" t="s">
        <v>573</v>
      </c>
      <c r="B99" s="47" t="s">
        <v>153</v>
      </c>
      <c r="C99" s="47" t="s">
        <v>157</v>
      </c>
      <c r="D99" s="47" t="s">
        <v>2575</v>
      </c>
      <c r="E99" s="47" t="s">
        <v>574</v>
      </c>
      <c r="F99" s="47" t="s">
        <v>575</v>
      </c>
      <c r="G99" s="47" t="s">
        <v>576</v>
      </c>
      <c r="H99" s="47" t="s">
        <v>173</v>
      </c>
      <c r="I99" s="47" t="s">
        <v>220</v>
      </c>
      <c r="J99" s="47" t="str">
        <f>=IFERROR(VLOOKUP(H99&amp;I99,Table_Fonctions!A:G,6,FALSE),"")</f>
        <v>0</v>
      </c>
      <c r="K99" s="47" t="s">
        <v>2480</v>
      </c>
      <c r="L99" s="47" t="str">
        <f>=IFERROR(VLOOKUP(H99&amp;I99,Table_Fonctions!A:G,7,FALSE),K99)</f>
        <v/>
      </c>
      <c r="M99" s="47" t="str">
        <f>=IF(OR(LEFT(D99, 3)="TJ ", LEFT(D99, 4)="CPH "), "OUI", "NON")</f>
        <v/>
      </c>
      <c r="N99" s="47" t="s">
        <v>278</v>
      </c>
      <c r="O99" s="47"/>
      <c r="P99" s="47">
        <v>1</v>
      </c>
      <c r="Q99" s="47">
        <v>1</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0.145</v>
      </c>
      <c r="AK99" s="47">
        <v>0</v>
      </c>
      <c r="AL99" s="47">
        <v>0</v>
      </c>
      <c r="AM99" s="47">
        <v>0</v>
      </c>
      <c r="AN99" s="47">
        <v>0</v>
      </c>
      <c r="AO99" s="47">
        <v>0</v>
      </c>
      <c r="AP99" s="47">
        <v>0</v>
      </c>
      <c r="AQ99" s="47">
        <v>0</v>
      </c>
      <c r="AR99" s="47">
        <v>0</v>
      </c>
      <c r="AS99" s="47">
        <v>0.75</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0.035</v>
      </c>
      <c r="BU99" s="47">
        <v>0.035</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0.07</v>
      </c>
      <c r="CZ99" s="47">
        <v>0.07</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v>0</v>
      </c>
      <c r="EA99" s="47">
        <v>0</v>
      </c>
      <c r="EB99" s="47"/>
      <c r="EC99" s="47">
        <v>1</v>
      </c>
      <c r="ZZ99" t="s">
        <v>2472</v>
      </c>
    </row>
    <row r="100" spans="1:702" x14ac:dyDescent="0.25">
      <c r="A100" s="47" t="s">
        <v>577</v>
      </c>
      <c r="B100" s="47" t="s">
        <v>153</v>
      </c>
      <c r="C100" s="47" t="s">
        <v>157</v>
      </c>
      <c r="D100" s="47" t="s">
        <v>2576</v>
      </c>
      <c r="E100" s="47" t="s">
        <v>578</v>
      </c>
      <c r="F100" s="47" t="s">
        <v>579</v>
      </c>
      <c r="G100" s="47" t="s">
        <v>580</v>
      </c>
      <c r="H100" s="47" t="s">
        <v>173</v>
      </c>
      <c r="I100" s="47" t="s">
        <v>220</v>
      </c>
      <c r="J100" s="47" t="str">
        <f>=IFERROR(VLOOKUP(H100&amp;I100,Table_Fonctions!A:G,6,FALSE),"")</f>
        <v>0</v>
      </c>
      <c r="K100" s="47" t="s">
        <v>2480</v>
      </c>
      <c r="L100" s="47" t="str">
        <f>=IFERROR(VLOOKUP(H100&amp;I100,Table_Fonctions!A:G,7,FALSE),K100)</f>
        <v/>
      </c>
      <c r="M100" s="47" t="str">
        <f>=IF(OR(LEFT(D100, 3)="TJ ", LEFT(D100, 4)="CPH "), "OUI", "NON")</f>
        <v/>
      </c>
      <c r="N100" s="47" t="s">
        <v>163</v>
      </c>
      <c r="O100" s="47"/>
      <c r="P100" s="47">
        <v>1</v>
      </c>
      <c r="Q100" s="47">
        <v>1</v>
      </c>
      <c r="R100" s="47">
        <v>0</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0.42</v>
      </c>
      <c r="AK100" s="47">
        <v>0</v>
      </c>
      <c r="AL100" s="47">
        <v>0</v>
      </c>
      <c r="AM100" s="47">
        <v>0</v>
      </c>
      <c r="AN100" s="47">
        <v>0</v>
      </c>
      <c r="AO100" s="47">
        <v>0</v>
      </c>
      <c r="AP100" s="47">
        <v>0</v>
      </c>
      <c r="AQ100" s="47">
        <v>0</v>
      </c>
      <c r="AR100" s="47">
        <v>0</v>
      </c>
      <c r="AS100" s="47">
        <v>0.49</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0.03</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0.01</v>
      </c>
      <c r="CW100" s="47">
        <v>0</v>
      </c>
      <c r="CX100" s="47">
        <v>0</v>
      </c>
      <c r="CY100" s="47">
        <v>0.05</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v>0</v>
      </c>
      <c r="EA100" s="47">
        <v>0</v>
      </c>
      <c r="EB100" s="47"/>
      <c r="EC100" s="47">
        <v>1</v>
      </c>
      <c r="ZZ100" t="s">
        <v>2472</v>
      </c>
    </row>
    <row r="101" spans="1:702" x14ac:dyDescent="0.25">
      <c r="A101" s="47" t="s">
        <v>581</v>
      </c>
      <c r="B101" s="47" t="s">
        <v>153</v>
      </c>
      <c r="C101" s="47" t="s">
        <v>157</v>
      </c>
      <c r="D101" s="47" t="s">
        <v>2577</v>
      </c>
      <c r="E101" s="47" t="s">
        <v>582</v>
      </c>
      <c r="F101" s="47" t="s">
        <v>583</v>
      </c>
      <c r="G101" s="47" t="s">
        <v>584</v>
      </c>
      <c r="H101" s="47" t="s">
        <v>173</v>
      </c>
      <c r="I101" s="47" t="s">
        <v>201</v>
      </c>
      <c r="J101" s="47" t="str">
        <f>=IFERROR(VLOOKUP(H101&amp;I101,Table_Fonctions!A:G,6,FALSE),"")</f>
        <v>0</v>
      </c>
      <c r="K101" s="47" t="s">
        <v>2480</v>
      </c>
      <c r="L101" s="47" t="str">
        <f>=IFERROR(VLOOKUP(H101&amp;I101,Table_Fonctions!A:G,7,FALSE),K101)</f>
        <v/>
      </c>
      <c r="M101" s="47" t="str">
        <f>=IF(OR(LEFT(D101, 3)="TJ ", LEFT(D101, 4)="CPH "), "OUI", "NON")</f>
        <v/>
      </c>
      <c r="N101" s="47" t="s">
        <v>163</v>
      </c>
      <c r="O101" s="47"/>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0.95</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0.05</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v>0</v>
      </c>
      <c r="EA101" s="47">
        <v>0</v>
      </c>
      <c r="EB101" s="47"/>
      <c r="EC101" s="47">
        <v>1</v>
      </c>
      <c r="ZZ101" t="s">
        <v>2472</v>
      </c>
    </row>
    <row r="102" spans="1:702" x14ac:dyDescent="0.25">
      <c r="A102" s="47" t="s">
        <v>585</v>
      </c>
      <c r="B102" s="47" t="s">
        <v>153</v>
      </c>
      <c r="C102" s="47" t="s">
        <v>157</v>
      </c>
      <c r="D102" s="47" t="s">
        <v>2578</v>
      </c>
      <c r="E102" s="47" t="s">
        <v>586</v>
      </c>
      <c r="F102" s="47" t="s">
        <v>587</v>
      </c>
      <c r="G102" s="47" t="s">
        <v>588</v>
      </c>
      <c r="H102" s="47" t="s">
        <v>173</v>
      </c>
      <c r="I102" s="47" t="s">
        <v>180</v>
      </c>
      <c r="J102" s="47" t="str">
        <f>=IFERROR(VLOOKUP(H102&amp;I102,Table_Fonctions!A:G,6,FALSE),"")</f>
        <v>0</v>
      </c>
      <c r="K102" s="47" t="s">
        <v>2480</v>
      </c>
      <c r="L102" s="47" t="str">
        <f>=IFERROR(VLOOKUP(H102&amp;I102,Table_Fonctions!A:G,7,FALSE),K102)</f>
        <v/>
      </c>
      <c r="M102" s="47" t="str">
        <f>=IF(OR(LEFT(D102, 3)="TJ ", LEFT(D102, 4)="CPH "), "OUI", "NON")</f>
        <v/>
      </c>
      <c r="N102" s="47" t="s">
        <v>163</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0.8526</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0.01</v>
      </c>
      <c r="BN102" s="47">
        <v>0</v>
      </c>
      <c r="BO102" s="47">
        <v>0</v>
      </c>
      <c r="BP102" s="47">
        <v>0</v>
      </c>
      <c r="BQ102" s="47">
        <v>0</v>
      </c>
      <c r="BR102" s="47">
        <v>0</v>
      </c>
      <c r="BS102" s="47">
        <v>0</v>
      </c>
      <c r="BT102" s="47">
        <v>0.0674</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0.01</v>
      </c>
      <c r="CW102" s="47">
        <v>0</v>
      </c>
      <c r="CX102" s="47">
        <v>0</v>
      </c>
      <c r="CY102" s="47">
        <v>0.06</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v>0</v>
      </c>
      <c r="EA102" s="47">
        <v>0</v>
      </c>
      <c r="EB102" s="47"/>
      <c r="EC102" s="47">
        <v>1</v>
      </c>
      <c r="ZZ102" t="s">
        <v>2472</v>
      </c>
    </row>
    <row r="103" spans="1:702" x14ac:dyDescent="0.25">
      <c r="A103" s="47" t="s">
        <v>589</v>
      </c>
      <c r="B103" s="47" t="s">
        <v>153</v>
      </c>
      <c r="C103" s="47" t="s">
        <v>157</v>
      </c>
      <c r="D103" s="47" t="s">
        <v>2579</v>
      </c>
      <c r="E103" s="47" t="s">
        <v>590</v>
      </c>
      <c r="F103" s="47" t="s">
        <v>591</v>
      </c>
      <c r="G103" s="47" t="s">
        <v>592</v>
      </c>
      <c r="H103" s="47" t="s">
        <v>173</v>
      </c>
      <c r="I103" s="47" t="s">
        <v>2484</v>
      </c>
      <c r="J103" s="47" t="str">
        <f>=IFERROR(VLOOKUP(H103&amp;I103,Table_Fonctions!A:G,6,FALSE),"")</f>
        <v>0</v>
      </c>
      <c r="K103" s="47" t="s">
        <v>2485</v>
      </c>
      <c r="L103" s="47" t="str">
        <f>=IFERROR(VLOOKUP(H103&amp;I103,Table_Fonctions!A:G,7,FALSE),K103)</f>
        <v/>
      </c>
      <c r="M103" s="47" t="str">
        <f>=IF(OR(LEFT(D103, 3)="TJ ", LEFT(D103, 4)="CPH "), "OUI", "NON")</f>
        <v/>
      </c>
      <c r="N103" s="47" t="s">
        <v>593</v>
      </c>
      <c r="O103" s="47"/>
      <c r="P103" s="47">
        <v>0.8</v>
      </c>
      <c r="Q103" s="47">
        <v>0.8</v>
      </c>
      <c r="R103" s="47">
        <v>0</v>
      </c>
      <c r="S103" s="47">
        <f>=ROUND(BQ103-(BR103+BS103),3)</f>
      </c>
      <c r="T103" s="47">
        <f>=ROUND(CK103-(CL103+CM103+CN103+CO103+CP103),3)</f>
      </c>
      <c r="U103" s="47">
        <v>0.8</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v>0</v>
      </c>
      <c r="EA103" s="47">
        <v>0</v>
      </c>
      <c r="EB103" s="47"/>
      <c r="EC103" s="47">
        <v>0.8</v>
      </c>
      <c r="ZZ103" t="s">
        <v>2472</v>
      </c>
    </row>
    <row r="104" spans="1:702" x14ac:dyDescent="0.25">
      <c r="A104" s="47" t="s">
        <v>594</v>
      </c>
      <c r="B104" s="47" t="s">
        <v>153</v>
      </c>
      <c r="C104" s="47" t="s">
        <v>157</v>
      </c>
      <c r="D104" s="47" t="s">
        <v>2580</v>
      </c>
      <c r="E104" s="47" t="s">
        <v>595</v>
      </c>
      <c r="F104" s="47" t="s">
        <v>596</v>
      </c>
      <c r="G104" s="47" t="s">
        <v>597</v>
      </c>
      <c r="H104" s="47" t="s">
        <v>173</v>
      </c>
      <c r="I104" s="47" t="s">
        <v>301</v>
      </c>
      <c r="J104" s="47" t="str">
        <f>=IFERROR(VLOOKUP(H104&amp;I104,Table_Fonctions!A:G,6,FALSE),"")</f>
        <v>0</v>
      </c>
      <c r="K104" s="47" t="s">
        <v>2480</v>
      </c>
      <c r="L104" s="47" t="str">
        <f>=IFERROR(VLOOKUP(H104&amp;I104,Table_Fonctions!A:G,7,FALSE),K104)</f>
        <v/>
      </c>
      <c r="M104" s="47" t="str">
        <f>=IF(OR(LEFT(D104, 3)="TJ ", LEFT(D104, 4)="CPH "), "OUI", "NON")</f>
        <v/>
      </c>
      <c r="N104" s="47" t="s">
        <v>163</v>
      </c>
      <c r="O104" s="47"/>
      <c r="P104" s="47">
        <v>1</v>
      </c>
      <c r="Q104" s="47">
        <v>1</v>
      </c>
      <c r="R104" s="47">
        <v>0</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0.9</v>
      </c>
      <c r="BR104" s="47">
        <v>0</v>
      </c>
      <c r="BS104" s="47">
        <v>0</v>
      </c>
      <c r="BT104" s="47">
        <v>0.05</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0.05</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v>
      </c>
      <c r="DV104" s="47">
        <v>0</v>
      </c>
      <c r="DW104" s="47">
        <v>0</v>
      </c>
      <c r="DX104" s="47">
        <v>0</v>
      </c>
      <c r="DY104" s="47">
        <v>0</v>
      </c>
      <c r="DZ104" s="47">
        <v>0</v>
      </c>
      <c r="EA104" s="47">
        <v>0</v>
      </c>
      <c r="EB104" s="47"/>
      <c r="EC104" s="47">
        <v>1</v>
      </c>
      <c r="ZZ104" t="s">
        <v>2472</v>
      </c>
    </row>
    <row r="105" spans="1:702" x14ac:dyDescent="0.25">
      <c r="A105" s="47" t="s">
        <v>598</v>
      </c>
      <c r="B105" s="47" t="s">
        <v>153</v>
      </c>
      <c r="C105" s="47" t="s">
        <v>157</v>
      </c>
      <c r="D105" s="47" t="s">
        <v>2581</v>
      </c>
      <c r="E105" s="47" t="s">
        <v>599</v>
      </c>
      <c r="F105" s="47" t="s">
        <v>600</v>
      </c>
      <c r="G105" s="47" t="s">
        <v>601</v>
      </c>
      <c r="H105" s="47" t="s">
        <v>173</v>
      </c>
      <c r="I105" s="47" t="s">
        <v>268</v>
      </c>
      <c r="J105" s="47" t="str">
        <f>=IFERROR(VLOOKUP(H105&amp;I105,Table_Fonctions!A:G,6,FALSE),"")</f>
        <v>0</v>
      </c>
      <c r="K105" s="47" t="s">
        <v>2480</v>
      </c>
      <c r="L105" s="47" t="str">
        <f>=IFERROR(VLOOKUP(H105&amp;I105,Table_Fonctions!A:G,7,FALSE),K105)</f>
        <v/>
      </c>
      <c r="M105" s="47" t="str">
        <f>=IF(OR(LEFT(D105, 3)="TJ ", LEFT(D105, 4)="CPH "), "OUI", "NON")</f>
        <v/>
      </c>
      <c r="N105" s="47" t="s">
        <v>163</v>
      </c>
      <c r="O105" s="47"/>
      <c r="P105" s="47">
        <v>1</v>
      </c>
      <c r="Q105" s="47">
        <v>1</v>
      </c>
      <c r="R105" s="47">
        <v>0</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v>
      </c>
      <c r="AK105" s="47">
        <v>0</v>
      </c>
      <c r="AL105" s="47">
        <v>0</v>
      </c>
      <c r="AM105" s="47">
        <v>0</v>
      </c>
      <c r="AN105" s="47">
        <v>0</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0.1</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0.807</v>
      </c>
      <c r="CL105" s="47">
        <v>0</v>
      </c>
      <c r="CM105" s="47">
        <v>0</v>
      </c>
      <c r="CN105" s="47">
        <v>0</v>
      </c>
      <c r="CO105" s="47">
        <v>0</v>
      </c>
      <c r="CP105" s="47">
        <v>0</v>
      </c>
      <c r="CQ105" s="47">
        <v>0</v>
      </c>
      <c r="CR105" s="47">
        <v>0</v>
      </c>
      <c r="CS105" s="47">
        <v>0</v>
      </c>
      <c r="CT105" s="47">
        <v>0</v>
      </c>
      <c r="CU105" s="47">
        <v>0</v>
      </c>
      <c r="CV105" s="47">
        <v>0</v>
      </c>
      <c r="CW105" s="47">
        <v>0</v>
      </c>
      <c r="CX105" s="47">
        <v>0</v>
      </c>
      <c r="CY105" s="47">
        <v>0.093</v>
      </c>
      <c r="CZ105" s="47">
        <v>0</v>
      </c>
      <c r="DA105" s="47">
        <v>0</v>
      </c>
      <c r="DB105" s="47">
        <v>0</v>
      </c>
      <c r="DC105" s="47">
        <v>0</v>
      </c>
      <c r="DD105" s="47">
        <v>0</v>
      </c>
      <c r="DE105" s="47">
        <v>0</v>
      </c>
      <c r="DF105" s="47">
        <v>0</v>
      </c>
      <c r="DG105" s="47">
        <v>0</v>
      </c>
      <c r="DH105" s="47">
        <v>0</v>
      </c>
      <c r="DI105" s="47">
        <v>0</v>
      </c>
      <c r="DJ105" s="47">
        <v>0</v>
      </c>
      <c r="DK105" s="47">
        <v>0</v>
      </c>
      <c r="DL105" s="47">
        <v>0</v>
      </c>
      <c r="DM105" s="47">
        <v>0</v>
      </c>
      <c r="DN105" s="47">
        <v>0</v>
      </c>
      <c r="DO105" s="47">
        <v>0</v>
      </c>
      <c r="DP105" s="47">
        <v>0</v>
      </c>
      <c r="DQ105" s="47">
        <v>0</v>
      </c>
      <c r="DR105" s="47">
        <v>0</v>
      </c>
      <c r="DS105" s="47">
        <v>0</v>
      </c>
      <c r="DT105" s="47">
        <v>0</v>
      </c>
      <c r="DU105" s="47">
        <v>0</v>
      </c>
      <c r="DV105" s="47">
        <v>0</v>
      </c>
      <c r="DW105" s="47">
        <v>0</v>
      </c>
      <c r="DX105" s="47">
        <v>0</v>
      </c>
      <c r="DY105" s="47">
        <v>0</v>
      </c>
      <c r="DZ105" s="47">
        <v>0</v>
      </c>
      <c r="EA105" s="47">
        <v>0</v>
      </c>
      <c r="EB105" s="47"/>
      <c r="EC105" s="47">
        <v>1</v>
      </c>
      <c r="ZZ105" t="s">
        <v>2472</v>
      </c>
    </row>
    <row r="106" spans="1:702" x14ac:dyDescent="0.25">
      <c r="A106" s="47" t="s">
        <v>602</v>
      </c>
      <c r="B106" s="47" t="s">
        <v>153</v>
      </c>
      <c r="C106" s="47" t="s">
        <v>157</v>
      </c>
      <c r="D106" s="47" t="s">
        <v>2582</v>
      </c>
      <c r="E106" s="47" t="s">
        <v>603</v>
      </c>
      <c r="F106" s="47" t="s">
        <v>604</v>
      </c>
      <c r="G106" s="47" t="s">
        <v>605</v>
      </c>
      <c r="H106" s="47" t="s">
        <v>173</v>
      </c>
      <c r="I106" s="47" t="s">
        <v>201</v>
      </c>
      <c r="J106" s="47" t="str">
        <f>=IFERROR(VLOOKUP(H106&amp;I106,Table_Fonctions!A:G,6,FALSE),"")</f>
        <v>0</v>
      </c>
      <c r="K106" s="47" t="s">
        <v>2480</v>
      </c>
      <c r="L106" s="47" t="str">
        <f>=IFERROR(VLOOKUP(H106&amp;I106,Table_Fonctions!A:G,7,FALSE),K106)</f>
        <v/>
      </c>
      <c r="M106" s="47" t="str">
        <f>=IF(OR(LEFT(D106, 3)="TJ ", LEFT(D106, 4)="CPH "), "OUI", "NON")</f>
        <v/>
      </c>
      <c r="N106" s="47" t="s">
        <v>163</v>
      </c>
      <c r="O106" s="47"/>
      <c r="P106" s="47">
        <v>1</v>
      </c>
      <c r="Q106" s="47">
        <v>1</v>
      </c>
      <c r="R106" s="47">
        <v>0</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0.1</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0.025</v>
      </c>
      <c r="BN106" s="47">
        <v>0</v>
      </c>
      <c r="BO106" s="47">
        <v>0</v>
      </c>
      <c r="BP106" s="47">
        <v>0</v>
      </c>
      <c r="BQ106" s="47">
        <v>0</v>
      </c>
      <c r="BR106" s="47">
        <v>0</v>
      </c>
      <c r="BS106" s="47">
        <v>0</v>
      </c>
      <c r="BT106" s="47">
        <v>0.825</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v>
      </c>
      <c r="CL106" s="47">
        <v>0</v>
      </c>
      <c r="CM106" s="47">
        <v>0</v>
      </c>
      <c r="CN106" s="47">
        <v>0</v>
      </c>
      <c r="CO106" s="47">
        <v>0</v>
      </c>
      <c r="CP106" s="47">
        <v>0</v>
      </c>
      <c r="CQ106" s="47">
        <v>0</v>
      </c>
      <c r="CR106" s="47">
        <v>0</v>
      </c>
      <c r="CS106" s="47">
        <v>0</v>
      </c>
      <c r="CT106" s="47">
        <v>0</v>
      </c>
      <c r="CU106" s="47">
        <v>0</v>
      </c>
      <c r="CV106" s="47">
        <v>0</v>
      </c>
      <c r="CW106" s="47">
        <v>0</v>
      </c>
      <c r="CX106" s="47">
        <v>0</v>
      </c>
      <c r="CY106" s="47">
        <v>0.05</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v>0</v>
      </c>
      <c r="EA106" s="47">
        <v>0</v>
      </c>
      <c r="EB106" s="47"/>
      <c r="EC106" s="47">
        <v>1</v>
      </c>
      <c r="ZZ106" t="s">
        <v>2472</v>
      </c>
    </row>
    <row r="107" spans="1:702" x14ac:dyDescent="0.25">
      <c r="A107" s="47" t="s">
        <v>606</v>
      </c>
      <c r="B107" s="47" t="s">
        <v>153</v>
      </c>
      <c r="C107" s="47" t="s">
        <v>157</v>
      </c>
      <c r="D107" s="47" t="s">
        <v>2583</v>
      </c>
      <c r="E107" s="47" t="s">
        <v>607</v>
      </c>
      <c r="F107" s="47" t="s">
        <v>608</v>
      </c>
      <c r="G107" s="47" t="s">
        <v>609</v>
      </c>
      <c r="H107" s="47" t="s">
        <v>173</v>
      </c>
      <c r="I107" s="47" t="s">
        <v>180</v>
      </c>
      <c r="J107" s="47" t="str">
        <f>=IFERROR(VLOOKUP(H107&amp;I107,Table_Fonctions!A:G,6,FALSE),"")</f>
        <v>0</v>
      </c>
      <c r="K107" s="47" t="s">
        <v>2480</v>
      </c>
      <c r="L107" s="47" t="str">
        <f>=IFERROR(VLOOKUP(H107&amp;I107,Table_Fonctions!A:G,7,FALSE),K107)</f>
        <v/>
      </c>
      <c r="M107" s="47" t="str">
        <f>=IF(OR(LEFT(D107, 3)="TJ ", LEFT(D107, 4)="CPH "), "OUI", "NON")</f>
        <v/>
      </c>
      <c r="N107" s="47" t="s">
        <v>163</v>
      </c>
      <c r="O107" s="47"/>
      <c r="P107" s="47">
        <v>1</v>
      </c>
      <c r="Q107" s="47">
        <v>1</v>
      </c>
      <c r="R107" s="47">
        <v>0</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0.925</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0.01</v>
      </c>
      <c r="CW107" s="47">
        <v>0</v>
      </c>
      <c r="CX107" s="47">
        <v>0</v>
      </c>
      <c r="CY107" s="47">
        <v>0.065</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v>0</v>
      </c>
      <c r="EA107" s="47">
        <v>0</v>
      </c>
      <c r="EB107" s="47"/>
      <c r="EC107" s="47">
        <v>1</v>
      </c>
      <c r="ZZ107" t="s">
        <v>2472</v>
      </c>
    </row>
    <row r="108" spans="1:702" x14ac:dyDescent="0.25">
      <c r="A108" s="47" t="s">
        <v>610</v>
      </c>
      <c r="B108" s="47" t="s">
        <v>153</v>
      </c>
      <c r="C108" s="47" t="s">
        <v>157</v>
      </c>
      <c r="D108" s="47" t="s">
        <v>2584</v>
      </c>
      <c r="E108" s="47" t="s">
        <v>611</v>
      </c>
      <c r="F108" s="47" t="s">
        <v>612</v>
      </c>
      <c r="G108" s="47" t="s">
        <v>613</v>
      </c>
      <c r="H108" s="47" t="s">
        <v>173</v>
      </c>
      <c r="I108" s="47" t="s">
        <v>564</v>
      </c>
      <c r="J108" s="47" t="str">
        <f>=IFERROR(VLOOKUP(H108&amp;I108,Table_Fonctions!A:G,6,FALSE),"")</f>
        <v>0</v>
      </c>
      <c r="K108" s="47" t="s">
        <v>2480</v>
      </c>
      <c r="L108" s="47" t="str">
        <f>=IFERROR(VLOOKUP(H108&amp;I108,Table_Fonctions!A:G,7,FALSE),K108)</f>
        <v/>
      </c>
      <c r="M108" s="47" t="str">
        <f>=IF(OR(LEFT(D108, 3)="TJ ", LEFT(D108, 4)="CPH "), "OUI", "NON")</f>
        <v/>
      </c>
      <c r="N108" s="47" t="s">
        <v>163</v>
      </c>
      <c r="O108" s="47"/>
      <c r="P108" s="47">
        <v>1</v>
      </c>
      <c r="Q108" s="47">
        <v>1</v>
      </c>
      <c r="R108" s="47">
        <v>0</v>
      </c>
      <c r="S108" s="47">
        <f>=ROUND(BQ108-(BR108+BS108),3)</f>
      </c>
      <c r="T108" s="47">
        <f>=ROUND(CK108-(CL108+CM108+CN108+CO108+CP108),3)</f>
      </c>
      <c r="U108" s="47">
        <v>0</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0.87</v>
      </c>
      <c r="BR108" s="47">
        <v>0</v>
      </c>
      <c r="BS108" s="47">
        <v>0</v>
      </c>
      <c r="BT108" s="47">
        <v>0.08</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0.05</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v>
      </c>
      <c r="DV108" s="47">
        <v>0</v>
      </c>
      <c r="DW108" s="47">
        <v>0</v>
      </c>
      <c r="DX108" s="47">
        <v>0</v>
      </c>
      <c r="DY108" s="47">
        <v>0</v>
      </c>
      <c r="DZ108" s="47">
        <v>0</v>
      </c>
      <c r="EA108" s="47">
        <v>0</v>
      </c>
      <c r="EB108" s="47"/>
      <c r="EC108" s="47">
        <v>1</v>
      </c>
      <c r="ZZ108" t="s">
        <v>2472</v>
      </c>
    </row>
    <row r="109" spans="1:702" x14ac:dyDescent="0.25">
      <c r="A109" s="47" t="s">
        <v>614</v>
      </c>
      <c r="B109" s="47" t="s">
        <v>153</v>
      </c>
      <c r="C109" s="47" t="s">
        <v>157</v>
      </c>
      <c r="D109" s="47" t="s">
        <v>2585</v>
      </c>
      <c r="E109" s="47" t="s">
        <v>615</v>
      </c>
      <c r="F109" s="47" t="s">
        <v>616</v>
      </c>
      <c r="G109" s="47" t="s">
        <v>617</v>
      </c>
      <c r="H109" s="47" t="s">
        <v>173</v>
      </c>
      <c r="I109" s="47" t="s">
        <v>201</v>
      </c>
      <c r="J109" s="47" t="str">
        <f>=IFERROR(VLOOKUP(H109&amp;I109,Table_Fonctions!A:G,6,FALSE),"")</f>
        <v>0</v>
      </c>
      <c r="K109" s="47" t="s">
        <v>2480</v>
      </c>
      <c r="L109" s="47" t="str">
        <f>=IFERROR(VLOOKUP(H109&amp;I109,Table_Fonctions!A:G,7,FALSE),K109)</f>
        <v/>
      </c>
      <c r="M109" s="47" t="str">
        <f>=IF(OR(LEFT(D109, 3)="TJ ", LEFT(D109, 4)="CPH "), "OUI", "NON")</f>
        <v/>
      </c>
      <c r="N109" s="47" t="s">
        <v>163</v>
      </c>
      <c r="O109" s="47"/>
      <c r="P109" s="47">
        <v>0.8</v>
      </c>
      <c r="Q109" s="47">
        <v>0.104</v>
      </c>
      <c r="R109" s="47">
        <v>0.696</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0.048</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0.056</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v>0</v>
      </c>
      <c r="EA109" s="47">
        <v>0</v>
      </c>
      <c r="EB109" s="47"/>
      <c r="EC109" s="47">
        <v>0.8</v>
      </c>
      <c r="ZZ109" t="s">
        <v>2472</v>
      </c>
    </row>
    <row r="110" spans="1:702" x14ac:dyDescent="0.25">
      <c r="A110" s="47" t="s">
        <v>618</v>
      </c>
      <c r="B110" s="47" t="s">
        <v>153</v>
      </c>
      <c r="C110" s="47" t="s">
        <v>157</v>
      </c>
      <c r="D110" s="47" t="s">
        <v>2586</v>
      </c>
      <c r="E110" s="47" t="s">
        <v>619</v>
      </c>
      <c r="F110" s="47" t="s">
        <v>620</v>
      </c>
      <c r="G110" s="47" t="s">
        <v>621</v>
      </c>
      <c r="H110" s="47" t="s">
        <v>173</v>
      </c>
      <c r="I110" s="47" t="s">
        <v>201</v>
      </c>
      <c r="J110" s="47" t="str">
        <f>=IFERROR(VLOOKUP(H110&amp;I110,Table_Fonctions!A:G,6,FALSE),"")</f>
        <v>0</v>
      </c>
      <c r="K110" s="47" t="s">
        <v>2480</v>
      </c>
      <c r="L110" s="47" t="str">
        <f>=IFERROR(VLOOKUP(H110&amp;I110,Table_Fonctions!A:G,7,FALSE),K110)</f>
        <v/>
      </c>
      <c r="M110" s="47" t="str">
        <f>=IF(OR(LEFT(D110, 3)="TJ ", LEFT(D110, 4)="CPH "), "OUI", "NON")</f>
        <v/>
      </c>
      <c r="N110" s="47" t="s">
        <v>163</v>
      </c>
      <c r="O110" s="47"/>
      <c r="P110" s="47">
        <v>1</v>
      </c>
      <c r="Q110" s="47">
        <v>0.2081</v>
      </c>
      <c r="R110" s="47">
        <v>0.7919</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0.1581</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0.05</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c r="DU110" s="47">
        <v>0</v>
      </c>
      <c r="DV110" s="47">
        <v>0</v>
      </c>
      <c r="DW110" s="47">
        <v>0</v>
      </c>
      <c r="DX110" s="47">
        <v>0</v>
      </c>
      <c r="DY110" s="47">
        <v>0</v>
      </c>
      <c r="DZ110" s="47">
        <v>0</v>
      </c>
      <c r="EA110" s="47">
        <v>0</v>
      </c>
      <c r="EB110" s="47"/>
      <c r="EC110" s="47">
        <v>1</v>
      </c>
      <c r="ZZ110" t="s">
        <v>2472</v>
      </c>
    </row>
    <row r="111" spans="1:702" x14ac:dyDescent="0.25">
      <c r="A111" s="47" t="s">
        <v>622</v>
      </c>
      <c r="B111" s="47" t="s">
        <v>153</v>
      </c>
      <c r="C111" s="47" t="s">
        <v>157</v>
      </c>
      <c r="D111" s="47" t="s">
        <v>2587</v>
      </c>
      <c r="E111" s="47" t="s">
        <v>623</v>
      </c>
      <c r="F111" s="47" t="s">
        <v>624</v>
      </c>
      <c r="G111" s="47" t="s">
        <v>625</v>
      </c>
      <c r="H111" s="47" t="s">
        <v>173</v>
      </c>
      <c r="I111" s="47" t="s">
        <v>564</v>
      </c>
      <c r="J111" s="47" t="str">
        <f>=IFERROR(VLOOKUP(H111&amp;I111,Table_Fonctions!A:G,6,FALSE),"")</f>
        <v>0</v>
      </c>
      <c r="K111" s="47" t="s">
        <v>2480</v>
      </c>
      <c r="L111" s="47" t="str">
        <f>=IFERROR(VLOOKUP(H111&amp;I111,Table_Fonctions!A:G,7,FALSE),K111)</f>
        <v/>
      </c>
      <c r="M111" s="47" t="str">
        <f>=IF(OR(LEFT(D111, 3)="TJ ", LEFT(D111, 4)="CPH "), "OUI", "NON")</f>
        <v/>
      </c>
      <c r="N111" s="47" t="s">
        <v>163</v>
      </c>
      <c r="O111" s="47"/>
      <c r="P111" s="47">
        <v>0.82</v>
      </c>
      <c r="Q111" s="47">
        <v>0.82</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0.7052</v>
      </c>
      <c r="BR111" s="47">
        <v>0</v>
      </c>
      <c r="BS111" s="47">
        <v>0</v>
      </c>
      <c r="BT111" s="47">
        <v>0.0574</v>
      </c>
      <c r="BU111" s="47">
        <v>0.0246</v>
      </c>
      <c r="BV111" s="47">
        <v>0</v>
      </c>
      <c r="BW111" s="47">
        <v>0</v>
      </c>
      <c r="BX111" s="47">
        <v>0.0246</v>
      </c>
      <c r="BY111" s="47">
        <v>0</v>
      </c>
      <c r="BZ111" s="47">
        <v>0</v>
      </c>
      <c r="CA111" s="47">
        <v>0.0082</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0.0574</v>
      </c>
      <c r="CZ111" s="47">
        <v>0</v>
      </c>
      <c r="DA111" s="47">
        <v>0</v>
      </c>
      <c r="DB111" s="47">
        <v>0</v>
      </c>
      <c r="DC111" s="47">
        <v>0</v>
      </c>
      <c r="DD111" s="47">
        <v>0</v>
      </c>
      <c r="DE111" s="47">
        <v>0</v>
      </c>
      <c r="DF111" s="47">
        <v>0</v>
      </c>
      <c r="DG111" s="47">
        <v>0</v>
      </c>
      <c r="DH111" s="47">
        <v>0</v>
      </c>
      <c r="DI111" s="47">
        <v>0</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v>0</v>
      </c>
      <c r="EA111" s="47">
        <v>0</v>
      </c>
      <c r="EB111" s="47"/>
      <c r="EC111" s="47">
        <v>0.82</v>
      </c>
      <c r="ZZ111" t="s">
        <v>2472</v>
      </c>
    </row>
    <row r="112" spans="1:702" x14ac:dyDescent="0.25">
      <c r="A112" s="47" t="s">
        <v>626</v>
      </c>
      <c r="B112" s="47" t="s">
        <v>153</v>
      </c>
      <c r="C112" s="47" t="s">
        <v>157</v>
      </c>
      <c r="D112" s="47" t="s">
        <v>2588</v>
      </c>
      <c r="E112" s="47" t="s">
        <v>627</v>
      </c>
      <c r="F112" s="47" t="s">
        <v>628</v>
      </c>
      <c r="G112" s="47" t="s">
        <v>629</v>
      </c>
      <c r="H112" s="47" t="s">
        <v>173</v>
      </c>
      <c r="I112" s="47" t="s">
        <v>2501</v>
      </c>
      <c r="J112" s="47" t="str">
        <f>=IFERROR(VLOOKUP(H112&amp;I112,Table_Fonctions!A:G,6,FALSE),"")</f>
        <v>0</v>
      </c>
      <c r="K112" s="47" t="s">
        <v>2485</v>
      </c>
      <c r="L112" s="47" t="str">
        <f>=IFERROR(VLOOKUP(H112&amp;I112,Table_Fonctions!A:G,7,FALSE),K112)</f>
        <v/>
      </c>
      <c r="M112" s="47" t="str">
        <f>=IF(OR(LEFT(D112, 3)="TJ ", LEFT(D112, 4)="CPH "), "OUI", "NON")</f>
        <v/>
      </c>
      <c r="N112" s="47" t="s">
        <v>630</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0.95</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0.05</v>
      </c>
      <c r="CZ112" s="47">
        <v>0</v>
      </c>
      <c r="DA112" s="47">
        <v>0</v>
      </c>
      <c r="DB112" s="47">
        <v>0</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v>0</v>
      </c>
      <c r="EA112" s="47">
        <v>0</v>
      </c>
      <c r="EB112" s="47"/>
      <c r="EC112" s="47">
        <v>1</v>
      </c>
      <c r="ZZ112" t="s">
        <v>2472</v>
      </c>
    </row>
    <row r="113" spans="1:702" x14ac:dyDescent="0.25">
      <c r="A113" s="47" t="s">
        <v>631</v>
      </c>
      <c r="B113" s="47" t="s">
        <v>153</v>
      </c>
      <c r="C113" s="47" t="s">
        <v>157</v>
      </c>
      <c r="D113" s="47" t="s">
        <v>2589</v>
      </c>
      <c r="E113" s="47" t="s">
        <v>632</v>
      </c>
      <c r="F113" s="47" t="s">
        <v>633</v>
      </c>
      <c r="G113" s="47" t="s">
        <v>634</v>
      </c>
      <c r="H113" s="47" t="s">
        <v>173</v>
      </c>
      <c r="I113" s="47" t="s">
        <v>635</v>
      </c>
      <c r="J113" s="47" t="str">
        <f>=IFERROR(VLOOKUP(H113&amp;I113,Table_Fonctions!A:G,6,FALSE),"")</f>
        <v>0</v>
      </c>
      <c r="K113" s="47" t="s">
        <v>2480</v>
      </c>
      <c r="L113" s="47" t="str">
        <f>=IFERROR(VLOOKUP(H113&amp;I113,Table_Fonctions!A:G,7,FALSE),K113)</f>
        <v/>
      </c>
      <c r="M113" s="47" t="str">
        <f>=IF(OR(LEFT(D113, 3)="TJ ", LEFT(D113, 4)="CPH "), "OUI", "NON")</f>
        <v/>
      </c>
      <c r="N113" s="47" t="s">
        <v>163</v>
      </c>
      <c r="O113" s="47"/>
      <c r="P113" s="47">
        <v>0.8</v>
      </c>
      <c r="Q113" s="47">
        <v>0.8</v>
      </c>
      <c r="R113" s="47">
        <v>0</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0.64</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0.04</v>
      </c>
      <c r="CW113" s="47">
        <v>0</v>
      </c>
      <c r="CX113" s="47">
        <v>0</v>
      </c>
      <c r="CY113" s="47">
        <v>0.12</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v>0</v>
      </c>
      <c r="EA113" s="47">
        <v>0</v>
      </c>
      <c r="EB113" s="47"/>
      <c r="EC113" s="47">
        <v>0.8</v>
      </c>
      <c r="ZZ113" t="s">
        <v>2472</v>
      </c>
    </row>
    <row r="114" spans="1:702" x14ac:dyDescent="0.25">
      <c r="A114" s="47" t="s">
        <v>636</v>
      </c>
      <c r="B114" s="47" t="s">
        <v>153</v>
      </c>
      <c r="C114" s="47" t="s">
        <v>157</v>
      </c>
      <c r="D114" s="47" t="s">
        <v>2590</v>
      </c>
      <c r="E114" s="47" t="s">
        <v>637</v>
      </c>
      <c r="F114" s="47" t="s">
        <v>638</v>
      </c>
      <c r="G114" s="47" t="s">
        <v>639</v>
      </c>
      <c r="H114" s="47" t="s">
        <v>173</v>
      </c>
      <c r="I114" s="47" t="s">
        <v>344</v>
      </c>
      <c r="J114" s="47" t="str">
        <f>=IFERROR(VLOOKUP(H114&amp;I114,Table_Fonctions!A:G,6,FALSE),"")</f>
        <v>0</v>
      </c>
      <c r="K114" s="47" t="s">
        <v>2480</v>
      </c>
      <c r="L114" s="47" t="str">
        <f>=IFERROR(VLOOKUP(H114&amp;I114,Table_Fonctions!A:G,7,FALSE),K114)</f>
        <v/>
      </c>
      <c r="M114" s="47" t="str">
        <f>=IF(OR(LEFT(D114, 3)="TJ ", LEFT(D114, 4)="CPH "), "OUI", "NON")</f>
        <v/>
      </c>
      <c r="N114" s="47" t="s">
        <v>163</v>
      </c>
      <c r="O114" s="47"/>
      <c r="P114" s="47">
        <v>1</v>
      </c>
      <c r="Q114" s="47">
        <v>0.4667</v>
      </c>
      <c r="R114" s="47">
        <v>0.5333</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0.2566</v>
      </c>
      <c r="AK114" s="47">
        <v>0</v>
      </c>
      <c r="AL114" s="47">
        <v>0</v>
      </c>
      <c r="AM114" s="47">
        <v>0</v>
      </c>
      <c r="AN114" s="47">
        <v>0</v>
      </c>
      <c r="AO114" s="47">
        <v>0</v>
      </c>
      <c r="AP114" s="47">
        <v>0</v>
      </c>
      <c r="AQ114" s="47">
        <v>0</v>
      </c>
      <c r="AR114" s="47">
        <v>0</v>
      </c>
      <c r="AS114" s="47">
        <v>0.1083</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0.0518</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0.05</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v>0</v>
      </c>
      <c r="EA114" s="47">
        <v>0</v>
      </c>
      <c r="EB114" s="47"/>
      <c r="EC114" s="47">
        <v>1</v>
      </c>
      <c r="ZZ114" t="s">
        <v>2472</v>
      </c>
    </row>
    <row r="115" spans="1:702" x14ac:dyDescent="0.25">
      <c r="A115" s="47" t="s">
        <v>640</v>
      </c>
      <c r="B115" s="47" t="s">
        <v>153</v>
      </c>
      <c r="C115" s="47" t="s">
        <v>157</v>
      </c>
      <c r="D115" s="47" t="s">
        <v>2591</v>
      </c>
      <c r="E115" s="47" t="s">
        <v>641</v>
      </c>
      <c r="F115" s="47" t="s">
        <v>642</v>
      </c>
      <c r="G115" s="47" t="s">
        <v>643</v>
      </c>
      <c r="H115" s="47" t="s">
        <v>173</v>
      </c>
      <c r="I115" s="47" t="s">
        <v>268</v>
      </c>
      <c r="J115" s="47" t="str">
        <f>=IFERROR(VLOOKUP(H115&amp;I115,Table_Fonctions!A:G,6,FALSE),"")</f>
        <v>0</v>
      </c>
      <c r="K115" s="47" t="s">
        <v>2480</v>
      </c>
      <c r="L115" s="47" t="str">
        <f>=IFERROR(VLOOKUP(H115&amp;I115,Table_Fonctions!A:G,7,FALSE),K115)</f>
        <v/>
      </c>
      <c r="M115" s="47" t="str">
        <f>=IF(OR(LEFT(D115, 3)="TJ ", LEFT(D115, 4)="CPH "), "OUI", "NON")</f>
        <v/>
      </c>
      <c r="N115" s="47" t="s">
        <v>163</v>
      </c>
      <c r="O115" s="47"/>
      <c r="P115" s="47">
        <v>1</v>
      </c>
      <c r="Q115" s="47">
        <v>1</v>
      </c>
      <c r="R115" s="47">
        <v>0</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0.024</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0.926</v>
      </c>
      <c r="CL115" s="47">
        <v>0</v>
      </c>
      <c r="CM115" s="47">
        <v>0</v>
      </c>
      <c r="CN115" s="47">
        <v>0</v>
      </c>
      <c r="CO115" s="47">
        <v>0</v>
      </c>
      <c r="CP115" s="47">
        <v>0</v>
      </c>
      <c r="CQ115" s="47">
        <v>0</v>
      </c>
      <c r="CR115" s="47">
        <v>0</v>
      </c>
      <c r="CS115" s="47">
        <v>0</v>
      </c>
      <c r="CT115" s="47">
        <v>0</v>
      </c>
      <c r="CU115" s="47">
        <v>0</v>
      </c>
      <c r="CV115" s="47">
        <v>0</v>
      </c>
      <c r="CW115" s="47">
        <v>0</v>
      </c>
      <c r="CX115" s="47">
        <v>0</v>
      </c>
      <c r="CY115" s="47">
        <v>0.05</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v>0</v>
      </c>
      <c r="EA115" s="47">
        <v>0</v>
      </c>
      <c r="EB115" s="47"/>
      <c r="EC115" s="47">
        <v>1</v>
      </c>
      <c r="ZZ115" t="s">
        <v>2472</v>
      </c>
    </row>
    <row r="116" spans="1:702" x14ac:dyDescent="0.25">
      <c r="A116" s="47" t="s">
        <v>644</v>
      </c>
      <c r="B116" s="47" t="s">
        <v>153</v>
      </c>
      <c r="C116" s="47" t="s">
        <v>157</v>
      </c>
      <c r="D116" s="47" t="s">
        <v>2592</v>
      </c>
      <c r="E116" s="47" t="s">
        <v>645</v>
      </c>
      <c r="F116" s="47" t="s">
        <v>646</v>
      </c>
      <c r="G116" s="47" t="s">
        <v>647</v>
      </c>
      <c r="H116" s="47" t="s">
        <v>173</v>
      </c>
      <c r="I116" s="47" t="s">
        <v>180</v>
      </c>
      <c r="J116" s="47" t="str">
        <f>=IFERROR(VLOOKUP(H116&amp;I116,Table_Fonctions!A:G,6,FALSE),"")</f>
        <v>0</v>
      </c>
      <c r="K116" s="47" t="s">
        <v>2480</v>
      </c>
      <c r="L116" s="47" t="str">
        <f>=IFERROR(VLOOKUP(H116&amp;I116,Table_Fonctions!A:G,7,FALSE),K116)</f>
        <v/>
      </c>
      <c r="M116" s="47" t="str">
        <f>=IF(OR(LEFT(D116, 3)="TJ ", LEFT(D116, 4)="CPH "), "OUI", "NON")</f>
        <v/>
      </c>
      <c r="N116" s="47" t="s">
        <v>163</v>
      </c>
      <c r="O116" s="47"/>
      <c r="P116" s="47">
        <v>1</v>
      </c>
      <c r="Q116" s="47">
        <v>1</v>
      </c>
      <c r="R116" s="47">
        <v>0</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0.69</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0.08</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0.03</v>
      </c>
      <c r="CW116" s="47">
        <v>0</v>
      </c>
      <c r="CX116" s="47">
        <v>0</v>
      </c>
      <c r="CY116" s="47">
        <v>0.2</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v>0</v>
      </c>
      <c r="EA116" s="47">
        <v>0</v>
      </c>
      <c r="EB116" s="47"/>
      <c r="EC116" s="47">
        <v>1</v>
      </c>
      <c r="ZZ116" t="s">
        <v>2472</v>
      </c>
    </row>
    <row r="117" spans="1:702" x14ac:dyDescent="0.25">
      <c r="A117" s="47" t="s">
        <v>648</v>
      </c>
      <c r="B117" s="47" t="s">
        <v>153</v>
      </c>
      <c r="C117" s="47" t="s">
        <v>157</v>
      </c>
      <c r="D117" s="47" t="s">
        <v>2593</v>
      </c>
      <c r="E117" s="47" t="s">
        <v>649</v>
      </c>
      <c r="F117" s="47" t="s">
        <v>650</v>
      </c>
      <c r="G117" s="47" t="s">
        <v>651</v>
      </c>
      <c r="H117" s="47" t="s">
        <v>173</v>
      </c>
      <c r="I117" s="47" t="s">
        <v>185</v>
      </c>
      <c r="J117" s="47" t="str">
        <f>=IFERROR(VLOOKUP(H117&amp;I117,Table_Fonctions!A:G,6,FALSE),"")</f>
        <v>0</v>
      </c>
      <c r="K117" s="47" t="s">
        <v>2480</v>
      </c>
      <c r="L117" s="47" t="str">
        <f>=IFERROR(VLOOKUP(H117&amp;I117,Table_Fonctions!A:G,7,FALSE),K117)</f>
        <v/>
      </c>
      <c r="M117" s="47" t="str">
        <f>=IF(OR(LEFT(D117, 3)="TJ ", LEFT(D117, 4)="CPH "), "OUI", "NON")</f>
        <v/>
      </c>
      <c r="N117" s="47" t="s">
        <v>163</v>
      </c>
      <c r="O117" s="47"/>
      <c r="P117" s="47">
        <v>1</v>
      </c>
      <c r="Q117" s="47">
        <v>1</v>
      </c>
      <c r="R117" s="47">
        <v>0</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0.025</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0.925</v>
      </c>
      <c r="CL117" s="47">
        <v>0</v>
      </c>
      <c r="CM117" s="47">
        <v>0</v>
      </c>
      <c r="CN117" s="47">
        <v>0</v>
      </c>
      <c r="CO117" s="47">
        <v>0</v>
      </c>
      <c r="CP117" s="47">
        <v>0</v>
      </c>
      <c r="CQ117" s="47">
        <v>0</v>
      </c>
      <c r="CR117" s="47">
        <v>0</v>
      </c>
      <c r="CS117" s="47">
        <v>0</v>
      </c>
      <c r="CT117" s="47">
        <v>0</v>
      </c>
      <c r="CU117" s="47">
        <v>0</v>
      </c>
      <c r="CV117" s="47">
        <v>0</v>
      </c>
      <c r="CW117" s="47">
        <v>0</v>
      </c>
      <c r="CX117" s="47">
        <v>0</v>
      </c>
      <c r="CY117" s="47">
        <v>0.05</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v>0</v>
      </c>
      <c r="EA117" s="47">
        <v>0</v>
      </c>
      <c r="EB117" s="47"/>
      <c r="EC117" s="47">
        <v>1</v>
      </c>
      <c r="ZZ117" t="s">
        <v>2472</v>
      </c>
    </row>
    <row r="118" spans="1:702" x14ac:dyDescent="0.25">
      <c r="A118" s="47" t="s">
        <v>652</v>
      </c>
      <c r="B118" s="47" t="s">
        <v>153</v>
      </c>
      <c r="C118" s="47" t="s">
        <v>157</v>
      </c>
      <c r="D118" s="47" t="s">
        <v>2594</v>
      </c>
      <c r="E118" s="47" t="s">
        <v>653</v>
      </c>
      <c r="F118" s="47" t="s">
        <v>654</v>
      </c>
      <c r="G118" s="47" t="s">
        <v>655</v>
      </c>
      <c r="H118" s="47" t="s">
        <v>173</v>
      </c>
      <c r="I118" s="47" t="s">
        <v>201</v>
      </c>
      <c r="J118" s="47" t="str">
        <f>=IFERROR(VLOOKUP(H118&amp;I118,Table_Fonctions!A:G,6,FALSE),"")</f>
        <v>0</v>
      </c>
      <c r="K118" s="47" t="s">
        <v>2480</v>
      </c>
      <c r="L118" s="47" t="str">
        <f>=IFERROR(VLOOKUP(H118&amp;I118,Table_Fonctions!A:G,7,FALSE),K118)</f>
        <v/>
      </c>
      <c r="M118" s="47" t="str">
        <f>=IF(OR(LEFT(D118, 3)="TJ ", LEFT(D118, 4)="CPH "), "OUI", "NON")</f>
        <v/>
      </c>
      <c r="N118" s="47" t="s">
        <v>163</v>
      </c>
      <c r="O118" s="47"/>
      <c r="P118" s="47">
        <v>1</v>
      </c>
      <c r="Q118" s="47">
        <v>1</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0.895</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v>
      </c>
      <c r="BN118" s="47">
        <v>0</v>
      </c>
      <c r="BO118" s="47">
        <v>0</v>
      </c>
      <c r="BP118" s="47">
        <v>0</v>
      </c>
      <c r="BQ118" s="47">
        <v>0</v>
      </c>
      <c r="BR118" s="47">
        <v>0</v>
      </c>
      <c r="BS118" s="47">
        <v>0</v>
      </c>
      <c r="BT118" s="47">
        <v>0.055</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v>
      </c>
      <c r="CW118" s="47">
        <v>0</v>
      </c>
      <c r="CX118" s="47">
        <v>0</v>
      </c>
      <c r="CY118" s="47">
        <v>0.05</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v>0</v>
      </c>
      <c r="EA118" s="47">
        <v>0</v>
      </c>
      <c r="EB118" s="47"/>
      <c r="EC118" s="47">
        <v>1</v>
      </c>
      <c r="ZZ118" t="s">
        <v>2472</v>
      </c>
    </row>
    <row r="119" spans="1:702" x14ac:dyDescent="0.25">
      <c r="A119" s="47" t="s">
        <v>656</v>
      </c>
      <c r="B119" s="47" t="s">
        <v>153</v>
      </c>
      <c r="C119" s="47" t="s">
        <v>157</v>
      </c>
      <c r="D119" s="47" t="s">
        <v>2595</v>
      </c>
      <c r="E119" s="47" t="s">
        <v>657</v>
      </c>
      <c r="F119" s="47" t="s">
        <v>658</v>
      </c>
      <c r="G119" s="47" t="s">
        <v>659</v>
      </c>
      <c r="H119" s="47" t="s">
        <v>173</v>
      </c>
      <c r="I119" s="47" t="s">
        <v>201</v>
      </c>
      <c r="J119" s="47" t="str">
        <f>=IFERROR(VLOOKUP(H119&amp;I119,Table_Fonctions!A:G,6,FALSE),"")</f>
        <v>0</v>
      </c>
      <c r="K119" s="47" t="s">
        <v>2480</v>
      </c>
      <c r="L119" s="47" t="str">
        <f>=IFERROR(VLOOKUP(H119&amp;I119,Table_Fonctions!A:G,7,FALSE),K119)</f>
        <v/>
      </c>
      <c r="M119" s="47" t="str">
        <f>=IF(OR(LEFT(D119, 3)="TJ ", LEFT(D119, 4)="CPH "), "OUI", "NON")</f>
        <v/>
      </c>
      <c r="N119" s="47" t="s">
        <v>163</v>
      </c>
      <c r="O119" s="47"/>
      <c r="P119" s="47">
        <v>1</v>
      </c>
      <c r="Q119" s="47">
        <v>1</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0.16</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0.79</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0.05</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v>0</v>
      </c>
      <c r="EA119" s="47">
        <v>0</v>
      </c>
      <c r="EB119" s="47"/>
      <c r="EC119" s="47">
        <v>1</v>
      </c>
      <c r="ZZ119" t="s">
        <v>2472</v>
      </c>
    </row>
    <row r="120" spans="1:702" x14ac:dyDescent="0.25">
      <c r="A120" s="47" t="s">
        <v>660</v>
      </c>
      <c r="B120" s="47" t="s">
        <v>153</v>
      </c>
      <c r="C120" s="47" t="s">
        <v>157</v>
      </c>
      <c r="D120" s="47" t="s">
        <v>2596</v>
      </c>
      <c r="E120" s="47" t="s">
        <v>661</v>
      </c>
      <c r="F120" s="47" t="s">
        <v>662</v>
      </c>
      <c r="G120" s="47" t="s">
        <v>663</v>
      </c>
      <c r="H120" s="47" t="s">
        <v>173</v>
      </c>
      <c r="I120" s="47" t="s">
        <v>664</v>
      </c>
      <c r="J120" s="47" t="str">
        <f>=IFERROR(VLOOKUP(H120&amp;I120,Table_Fonctions!A:G,6,FALSE),"")</f>
        <v>0</v>
      </c>
      <c r="K120" s="47" t="s">
        <v>2480</v>
      </c>
      <c r="L120" s="47" t="str">
        <f>=IFERROR(VLOOKUP(H120&amp;I120,Table_Fonctions!A:G,7,FALSE),K120)</f>
        <v/>
      </c>
      <c r="M120" s="47" t="str">
        <f>=IF(OR(LEFT(D120, 3)="TJ ", LEFT(D120, 4)="CPH "), "OUI", "NON")</f>
        <v/>
      </c>
      <c r="N120" s="47" t="s">
        <v>163</v>
      </c>
      <c r="O120" s="47"/>
      <c r="P120" s="47">
        <v>1</v>
      </c>
      <c r="Q120" s="47">
        <v>1</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0.698</v>
      </c>
      <c r="BR120" s="47">
        <v>0</v>
      </c>
      <c r="BS120" s="47">
        <v>0</v>
      </c>
      <c r="BT120" s="47">
        <v>0.022</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0.28</v>
      </c>
      <c r="CZ120" s="47">
        <v>0.15</v>
      </c>
      <c r="DA120" s="47">
        <v>0</v>
      </c>
      <c r="DB120" s="47">
        <v>0</v>
      </c>
      <c r="DC120" s="47">
        <v>0</v>
      </c>
      <c r="DD120" s="47">
        <v>0.13</v>
      </c>
      <c r="DE120" s="47">
        <v>0</v>
      </c>
      <c r="DF120" s="47">
        <v>0</v>
      </c>
      <c r="DG120" s="47">
        <v>0</v>
      </c>
      <c r="DH120" s="47">
        <v>0</v>
      </c>
      <c r="DI120" s="47">
        <v>0</v>
      </c>
      <c r="DJ120" s="47">
        <v>0</v>
      </c>
      <c r="DK120" s="47">
        <v>0</v>
      </c>
      <c r="DL120" s="47">
        <v>0</v>
      </c>
      <c r="DM120" s="47">
        <v>0</v>
      </c>
      <c r="DN120" s="47">
        <v>0</v>
      </c>
      <c r="DO120" s="47">
        <v>0</v>
      </c>
      <c r="DP120" s="47">
        <v>0</v>
      </c>
      <c r="DQ120" s="47">
        <v>0</v>
      </c>
      <c r="DR120" s="47">
        <v>0</v>
      </c>
      <c r="DS120" s="47">
        <v>0</v>
      </c>
      <c r="DT120" s="47">
        <v>0</v>
      </c>
      <c r="DU120" s="47">
        <v>0</v>
      </c>
      <c r="DV120" s="47">
        <v>0</v>
      </c>
      <c r="DW120" s="47">
        <v>0</v>
      </c>
      <c r="DX120" s="47">
        <v>0</v>
      </c>
      <c r="DY120" s="47">
        <v>0</v>
      </c>
      <c r="DZ120" s="47">
        <v>0</v>
      </c>
      <c r="EA120" s="47">
        <v>0</v>
      </c>
      <c r="EB120" s="47"/>
      <c r="EC120" s="47">
        <v>1</v>
      </c>
      <c r="ZZ120" t="s">
        <v>2472</v>
      </c>
    </row>
    <row r="121" spans="1:702" x14ac:dyDescent="0.25">
      <c r="A121" s="47" t="s">
        <v>665</v>
      </c>
      <c r="B121" s="47" t="s">
        <v>153</v>
      </c>
      <c r="C121" s="47" t="s">
        <v>157</v>
      </c>
      <c r="D121" s="47" t="s">
        <v>2597</v>
      </c>
      <c r="E121" s="47" t="s">
        <v>666</v>
      </c>
      <c r="F121" s="47" t="s">
        <v>667</v>
      </c>
      <c r="G121" s="47" t="s">
        <v>668</v>
      </c>
      <c r="H121" s="47" t="s">
        <v>173</v>
      </c>
      <c r="I121" s="47" t="s">
        <v>344</v>
      </c>
      <c r="J121" s="47" t="str">
        <f>=IFERROR(VLOOKUP(H121&amp;I121,Table_Fonctions!A:G,6,FALSE),"")</f>
        <v>0</v>
      </c>
      <c r="K121" s="47" t="s">
        <v>2480</v>
      </c>
      <c r="L121" s="47" t="str">
        <f>=IFERROR(VLOOKUP(H121&amp;I121,Table_Fonctions!A:G,7,FALSE),K121)</f>
        <v/>
      </c>
      <c r="M121" s="47" t="str">
        <f>=IF(OR(LEFT(D121, 3)="TJ ", LEFT(D121, 4)="CPH "), "OUI", "NON")</f>
        <v/>
      </c>
      <c r="N121" s="47" t="s">
        <v>163</v>
      </c>
      <c r="O121" s="47"/>
      <c r="P121" s="47">
        <v>0.8</v>
      </c>
      <c r="Q121" s="47">
        <v>0.8</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0.496</v>
      </c>
      <c r="AK121" s="47">
        <v>0</v>
      </c>
      <c r="AL121" s="47">
        <v>0</v>
      </c>
      <c r="AM121" s="47">
        <v>0</v>
      </c>
      <c r="AN121" s="47">
        <v>0</v>
      </c>
      <c r="AO121" s="47">
        <v>0</v>
      </c>
      <c r="AP121" s="47">
        <v>0</v>
      </c>
      <c r="AQ121" s="47">
        <v>0</v>
      </c>
      <c r="AR121" s="47">
        <v>0</v>
      </c>
      <c r="AS121" s="47">
        <v>0.24</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0</v>
      </c>
      <c r="BR121" s="47">
        <v>0</v>
      </c>
      <c r="BS121" s="47">
        <v>0</v>
      </c>
      <c r="BT121" s="47">
        <v>0.024</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0.04</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0</v>
      </c>
      <c r="DV121" s="47">
        <v>0</v>
      </c>
      <c r="DW121" s="47">
        <v>0</v>
      </c>
      <c r="DX121" s="47">
        <v>0</v>
      </c>
      <c r="DY121" s="47">
        <v>0</v>
      </c>
      <c r="DZ121" s="47">
        <v>0</v>
      </c>
      <c r="EA121" s="47">
        <v>0</v>
      </c>
      <c r="EB121" s="47"/>
      <c r="EC121" s="47">
        <v>0.8</v>
      </c>
      <c r="ZZ121" t="s">
        <v>2472</v>
      </c>
    </row>
    <row r="122" spans="1:702" x14ac:dyDescent="0.25">
      <c r="A122" s="47" t="s">
        <v>669</v>
      </c>
      <c r="B122" s="47" t="s">
        <v>153</v>
      </c>
      <c r="C122" s="47" t="s">
        <v>157</v>
      </c>
      <c r="D122" s="47" t="s">
        <v>2598</v>
      </c>
      <c r="E122" s="47" t="s">
        <v>670</v>
      </c>
      <c r="F122" s="47" t="s">
        <v>671</v>
      </c>
      <c r="G122" s="47" t="s">
        <v>672</v>
      </c>
      <c r="H122" s="47" t="s">
        <v>173</v>
      </c>
      <c r="I122" s="47" t="s">
        <v>488</v>
      </c>
      <c r="J122" s="47" t="str">
        <f>=IFERROR(VLOOKUP(H122&amp;I122,Table_Fonctions!A:G,6,FALSE),"")</f>
        <v>0</v>
      </c>
      <c r="K122" s="47" t="s">
        <v>2480</v>
      </c>
      <c r="L122" s="47" t="str">
        <f>=IFERROR(VLOOKUP(H122&amp;I122,Table_Fonctions!A:G,7,FALSE),K122)</f>
        <v/>
      </c>
      <c r="M122" s="47" t="str">
        <f>=IF(OR(LEFT(D122, 3)="TJ ", LEFT(D122, 4)="CPH "), "OUI", "NON")</f>
        <v/>
      </c>
      <c r="N122" s="47" t="s">
        <v>163</v>
      </c>
      <c r="O122" s="47"/>
      <c r="P122" s="47">
        <v>1</v>
      </c>
      <c r="Q122" s="47">
        <v>1</v>
      </c>
      <c r="R122" s="47">
        <v>0</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0.32</v>
      </c>
      <c r="BN122" s="47">
        <v>0</v>
      </c>
      <c r="BO122" s="47">
        <v>0</v>
      </c>
      <c r="BP122" s="47">
        <v>0</v>
      </c>
      <c r="BQ122" s="47">
        <v>0</v>
      </c>
      <c r="BR122" s="47">
        <v>0</v>
      </c>
      <c r="BS122" s="47">
        <v>0</v>
      </c>
      <c r="BT122" s="47">
        <v>0.46</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0.17</v>
      </c>
      <c r="CW122" s="47">
        <v>0</v>
      </c>
      <c r="CX122" s="47">
        <v>0</v>
      </c>
      <c r="CY122" s="47">
        <v>0.05</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v>0</v>
      </c>
      <c r="EA122" s="47">
        <v>0</v>
      </c>
      <c r="EB122" s="47"/>
      <c r="EC122" s="47">
        <v>1</v>
      </c>
      <c r="ZZ122" t="s">
        <v>2472</v>
      </c>
    </row>
    <row r="123" spans="1:702" x14ac:dyDescent="0.25">
      <c r="A123" s="47" t="s">
        <v>673</v>
      </c>
      <c r="B123" s="47" t="s">
        <v>153</v>
      </c>
      <c r="C123" s="47" t="s">
        <v>157</v>
      </c>
      <c r="D123" s="47" t="s">
        <v>2599</v>
      </c>
      <c r="E123" s="47" t="s">
        <v>674</v>
      </c>
      <c r="F123" s="47" t="s">
        <v>675</v>
      </c>
      <c r="G123" s="47" t="s">
        <v>676</v>
      </c>
      <c r="H123" s="47" t="s">
        <v>173</v>
      </c>
      <c r="I123" s="47" t="s">
        <v>564</v>
      </c>
      <c r="J123" s="47" t="str">
        <f>=IFERROR(VLOOKUP(H123&amp;I123,Table_Fonctions!A:G,6,FALSE),"")</f>
        <v>0</v>
      </c>
      <c r="K123" s="47" t="s">
        <v>2480</v>
      </c>
      <c r="L123" s="47" t="str">
        <f>=IFERROR(VLOOKUP(H123&amp;I123,Table_Fonctions!A:G,7,FALSE),K123)</f>
        <v/>
      </c>
      <c r="M123" s="47" t="str">
        <f>=IF(OR(LEFT(D123, 3)="TJ ", LEFT(D123, 4)="CPH "), "OUI", "NON")</f>
        <v/>
      </c>
      <c r="N123" s="47" t="s">
        <v>163</v>
      </c>
      <c r="O123" s="47"/>
      <c r="P123" s="47">
        <v>1</v>
      </c>
      <c r="Q123" s="47">
        <v>1</v>
      </c>
      <c r="R123" s="47">
        <v>0</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0.91</v>
      </c>
      <c r="BR123" s="47">
        <v>0</v>
      </c>
      <c r="BS123" s="47">
        <v>0</v>
      </c>
      <c r="BT123" s="47">
        <v>0.04</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0.05</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v>0</v>
      </c>
      <c r="EA123" s="47">
        <v>0</v>
      </c>
      <c r="EB123" s="47"/>
      <c r="EC123" s="47">
        <v>1</v>
      </c>
      <c r="ZZ123" t="s">
        <v>2472</v>
      </c>
    </row>
    <row r="124" spans="1:702" x14ac:dyDescent="0.25">
      <c r="A124" s="47" t="s">
        <v>677</v>
      </c>
      <c r="B124" s="47" t="s">
        <v>153</v>
      </c>
      <c r="C124" s="47" t="s">
        <v>157</v>
      </c>
      <c r="D124" s="47" t="s">
        <v>2600</v>
      </c>
      <c r="E124" s="47" t="s">
        <v>678</v>
      </c>
      <c r="F124" s="47" t="s">
        <v>679</v>
      </c>
      <c r="G124" s="47" t="s">
        <v>680</v>
      </c>
      <c r="H124" s="47" t="s">
        <v>173</v>
      </c>
      <c r="I124" s="47" t="s">
        <v>268</v>
      </c>
      <c r="J124" s="47" t="str">
        <f>=IFERROR(VLOOKUP(H124&amp;I124,Table_Fonctions!A:G,6,FALSE),"")</f>
        <v>0</v>
      </c>
      <c r="K124" s="47" t="s">
        <v>2480</v>
      </c>
      <c r="L124" s="47" t="str">
        <f>=IFERROR(VLOOKUP(H124&amp;I124,Table_Fonctions!A:G,7,FALSE),K124)</f>
        <v/>
      </c>
      <c r="M124" s="47" t="str">
        <f>=IF(OR(LEFT(D124, 3)="TJ ", LEFT(D124, 4)="CPH "), "OUI", "NON")</f>
        <v/>
      </c>
      <c r="N124" s="47" t="s">
        <v>163</v>
      </c>
      <c r="O124" s="47"/>
      <c r="P124" s="47">
        <v>1</v>
      </c>
      <c r="Q124" s="47">
        <v>1</v>
      </c>
      <c r="R124" s="47">
        <v>0</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0.02</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0.93</v>
      </c>
      <c r="CL124" s="47">
        <v>0</v>
      </c>
      <c r="CM124" s="47">
        <v>0</v>
      </c>
      <c r="CN124" s="47">
        <v>0</v>
      </c>
      <c r="CO124" s="47">
        <v>0</v>
      </c>
      <c r="CP124" s="47">
        <v>0</v>
      </c>
      <c r="CQ124" s="47">
        <v>0</v>
      </c>
      <c r="CR124" s="47">
        <v>0</v>
      </c>
      <c r="CS124" s="47">
        <v>0</v>
      </c>
      <c r="CT124" s="47">
        <v>0</v>
      </c>
      <c r="CU124" s="47">
        <v>0</v>
      </c>
      <c r="CV124" s="47">
        <v>0</v>
      </c>
      <c r="CW124" s="47">
        <v>0</v>
      </c>
      <c r="CX124" s="47">
        <v>0</v>
      </c>
      <c r="CY124" s="47">
        <v>0.05</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v>0</v>
      </c>
      <c r="EA124" s="47">
        <v>0</v>
      </c>
      <c r="EB124" s="47"/>
      <c r="EC124" s="47">
        <v>1</v>
      </c>
      <c r="ZZ124" t="s">
        <v>2472</v>
      </c>
    </row>
    <row r="125" spans="1:702" x14ac:dyDescent="0.25">
      <c r="A125" s="47" t="s">
        <v>681</v>
      </c>
      <c r="B125" s="47" t="s">
        <v>153</v>
      </c>
      <c r="C125" s="47" t="s">
        <v>157</v>
      </c>
      <c r="D125" s="47" t="s">
        <v>2601</v>
      </c>
      <c r="E125" s="47" t="s">
        <v>682</v>
      </c>
      <c r="F125" s="47" t="s">
        <v>683</v>
      </c>
      <c r="G125" s="47" t="s">
        <v>684</v>
      </c>
      <c r="H125" s="47" t="s">
        <v>173</v>
      </c>
      <c r="I125" s="47" t="s">
        <v>220</v>
      </c>
      <c r="J125" s="47" t="str">
        <f>=IFERROR(VLOOKUP(H125&amp;I125,Table_Fonctions!A:G,6,FALSE),"")</f>
        <v>0</v>
      </c>
      <c r="K125" s="47" t="s">
        <v>2480</v>
      </c>
      <c r="L125" s="47" t="str">
        <f>=IFERROR(VLOOKUP(H125&amp;I125,Table_Fonctions!A:G,7,FALSE),K125)</f>
        <v/>
      </c>
      <c r="M125" s="47" t="str">
        <f>=IF(OR(LEFT(D125, 3)="TJ ", LEFT(D125, 4)="CPH "), "OUI", "NON")</f>
        <v/>
      </c>
      <c r="N125" s="47" t="s">
        <v>163</v>
      </c>
      <c r="O125" s="47"/>
      <c r="P125" s="47">
        <v>1</v>
      </c>
      <c r="Q125" s="47">
        <v>1</v>
      </c>
      <c r="R125" s="47">
        <v>0</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0.85</v>
      </c>
      <c r="AK125" s="47">
        <v>0</v>
      </c>
      <c r="AL125" s="47">
        <v>0</v>
      </c>
      <c r="AM125" s="47">
        <v>0</v>
      </c>
      <c r="AN125" s="47">
        <v>0</v>
      </c>
      <c r="AO125" s="47">
        <v>0</v>
      </c>
      <c r="AP125" s="47">
        <v>0</v>
      </c>
      <c r="AQ125" s="47">
        <v>0</v>
      </c>
      <c r="AR125" s="47">
        <v>0</v>
      </c>
      <c r="AS125" s="47">
        <v>0.0327</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0.0625</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0.0048</v>
      </c>
      <c r="CW125" s="47">
        <v>0</v>
      </c>
      <c r="CX125" s="47">
        <v>0</v>
      </c>
      <c r="CY125" s="47">
        <v>0.05</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v>0</v>
      </c>
      <c r="EA125" s="47">
        <v>0</v>
      </c>
      <c r="EB125" s="47"/>
      <c r="EC125" s="47">
        <v>1</v>
      </c>
      <c r="ZZ125" t="s">
        <v>2472</v>
      </c>
    </row>
    <row r="126" spans="1:702" x14ac:dyDescent="0.25">
      <c r="A126" s="47" t="s">
        <v>685</v>
      </c>
      <c r="B126" s="47" t="s">
        <v>153</v>
      </c>
      <c r="C126" s="47" t="s">
        <v>157</v>
      </c>
      <c r="D126" s="47" t="s">
        <v>2602</v>
      </c>
      <c r="E126" s="47" t="s">
        <v>686</v>
      </c>
      <c r="F126" s="47" t="s">
        <v>687</v>
      </c>
      <c r="G126" s="47" t="s">
        <v>688</v>
      </c>
      <c r="H126" s="47" t="s">
        <v>173</v>
      </c>
      <c r="I126" s="47" t="s">
        <v>201</v>
      </c>
      <c r="J126" s="47" t="str">
        <f>=IFERROR(VLOOKUP(H126&amp;I126,Table_Fonctions!A:G,6,FALSE),"")</f>
        <v>0</v>
      </c>
      <c r="K126" s="47" t="s">
        <v>2480</v>
      </c>
      <c r="L126" s="47" t="str">
        <f>=IFERROR(VLOOKUP(H126&amp;I126,Table_Fonctions!A:G,7,FALSE),K126)</f>
        <v/>
      </c>
      <c r="M126" s="47" t="str">
        <f>=IF(OR(LEFT(D126, 3)="TJ ", LEFT(D126, 4)="CPH "), "OUI", "NON")</f>
        <v/>
      </c>
      <c r="N126" s="47" t="s">
        <v>163</v>
      </c>
      <c r="O126" s="47"/>
      <c r="P126" s="47">
        <v>1</v>
      </c>
      <c r="Q126" s="47">
        <v>0.0798</v>
      </c>
      <c r="R126" s="47">
        <v>0.9202</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0.025</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0.0548</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v>0</v>
      </c>
      <c r="EA126" s="47">
        <v>0</v>
      </c>
      <c r="EB126" s="47"/>
      <c r="EC126" s="47">
        <v>1</v>
      </c>
      <c r="ZZ126" t="s">
        <v>2472</v>
      </c>
    </row>
    <row r="127" spans="1:702" x14ac:dyDescent="0.25">
      <c r="A127" s="47" t="s">
        <v>689</v>
      </c>
      <c r="B127" s="47" t="s">
        <v>153</v>
      </c>
      <c r="C127" s="47" t="s">
        <v>157</v>
      </c>
      <c r="D127" s="47" t="s">
        <v>2603</v>
      </c>
      <c r="E127" s="47" t="s">
        <v>690</v>
      </c>
      <c r="F127" s="47" t="s">
        <v>691</v>
      </c>
      <c r="G127" s="47" t="s">
        <v>692</v>
      </c>
      <c r="H127" s="47" t="s">
        <v>173</v>
      </c>
      <c r="I127" s="47" t="s">
        <v>693</v>
      </c>
      <c r="J127" s="47" t="str">
        <f>=IFERROR(VLOOKUP(H127&amp;I127,Table_Fonctions!A:G,6,FALSE),"")</f>
        <v>0</v>
      </c>
      <c r="K127" s="47" t="s">
        <v>2480</v>
      </c>
      <c r="L127" s="47" t="str">
        <f>=IFERROR(VLOOKUP(H127&amp;I127,Table_Fonctions!A:G,7,FALSE),K127)</f>
        <v/>
      </c>
      <c r="M127" s="47" t="str">
        <f>=IF(OR(LEFT(D127, 3)="TJ ", LEFT(D127, 4)="CPH "), "OUI", "NON")</f>
        <v/>
      </c>
      <c r="N127" s="47" t="s">
        <v>163</v>
      </c>
      <c r="O127" s="47"/>
      <c r="P127" s="47">
        <v>1</v>
      </c>
      <c r="Q127" s="47">
        <v>1</v>
      </c>
      <c r="R127" s="47">
        <v>0</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0.28</v>
      </c>
      <c r="BN127" s="47">
        <v>0</v>
      </c>
      <c r="BO127" s="47">
        <v>0</v>
      </c>
      <c r="BP127" s="47">
        <v>0</v>
      </c>
      <c r="BQ127" s="47">
        <v>0</v>
      </c>
      <c r="BR127" s="47">
        <v>0</v>
      </c>
      <c r="BS127" s="47">
        <v>0</v>
      </c>
      <c r="BT127" s="47">
        <v>0.24</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0.182</v>
      </c>
      <c r="CW127" s="47">
        <v>0</v>
      </c>
      <c r="CX127" s="47">
        <v>0</v>
      </c>
      <c r="CY127" s="47">
        <v>0.298</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v>0</v>
      </c>
      <c r="EA127" s="47">
        <v>0</v>
      </c>
      <c r="EB127" s="47"/>
      <c r="EC127" s="47">
        <v>1</v>
      </c>
      <c r="ZZ127" t="s">
        <v>2472</v>
      </c>
    </row>
    <row r="128" spans="1:702" x14ac:dyDescent="0.25">
      <c r="A128" s="47" t="s">
        <v>694</v>
      </c>
      <c r="B128" s="47" t="s">
        <v>153</v>
      </c>
      <c r="C128" s="47" t="s">
        <v>157</v>
      </c>
      <c r="D128" s="47" t="s">
        <v>2604</v>
      </c>
      <c r="E128" s="47" t="s">
        <v>695</v>
      </c>
      <c r="F128" s="47" t="s">
        <v>696</v>
      </c>
      <c r="G128" s="47" t="s">
        <v>697</v>
      </c>
      <c r="H128" s="47" t="s">
        <v>698</v>
      </c>
      <c r="I128" s="47" t="s">
        <v>699</v>
      </c>
      <c r="J128" s="47" t="str">
        <f>=IFERROR(VLOOKUP(H128&amp;I128,Table_Fonctions!A:G,6,FALSE),"")</f>
        <v>0</v>
      </c>
      <c r="K128" s="47" t="s">
        <v>2605</v>
      </c>
      <c r="L128" s="47" t="str">
        <f>=IFERROR(VLOOKUP(H128&amp;I128,Table_Fonctions!A:G,7,FALSE),K128)</f>
        <v/>
      </c>
      <c r="M128" s="47" t="str">
        <f>=IF(OR(LEFT(D128, 3)="TJ ", LEFT(D128, 4)="CPH "), "OUI", "NON")</f>
        <v/>
      </c>
      <c r="N128" s="47" t="s">
        <v>700</v>
      </c>
      <c r="O128" s="47"/>
      <c r="P128" s="47">
        <v>1</v>
      </c>
      <c r="Q128" s="47">
        <v>1</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1</v>
      </c>
      <c r="BU128" s="47">
        <v>0</v>
      </c>
      <c r="BV128" s="47">
        <v>0</v>
      </c>
      <c r="BW128" s="47">
        <v>1</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v>
      </c>
      <c r="DV128" s="47">
        <v>0</v>
      </c>
      <c r="DW128" s="47">
        <v>0</v>
      </c>
      <c r="DX128" s="47">
        <v>0</v>
      </c>
      <c r="DY128" s="47">
        <v>0</v>
      </c>
      <c r="DZ128" s="47">
        <v>0</v>
      </c>
      <c r="EA128" s="47">
        <v>0</v>
      </c>
      <c r="EB128" s="47"/>
      <c r="EC128" s="47">
        <v>1</v>
      </c>
      <c r="ZZ128" t="s">
        <v>2472</v>
      </c>
    </row>
    <row r="129" spans="1:702" x14ac:dyDescent="0.25">
      <c r="A129" s="47" t="s">
        <v>701</v>
      </c>
      <c r="B129" s="47" t="s">
        <v>153</v>
      </c>
      <c r="C129" s="47" t="s">
        <v>157</v>
      </c>
      <c r="D129" s="47" t="s">
        <v>2606</v>
      </c>
      <c r="E129" s="47" t="s">
        <v>702</v>
      </c>
      <c r="F129" s="47" t="s">
        <v>703</v>
      </c>
      <c r="G129" s="47" t="s">
        <v>704</v>
      </c>
      <c r="H129" s="47" t="s">
        <v>698</v>
      </c>
      <c r="I129" s="47" t="s">
        <v>705</v>
      </c>
      <c r="J129" s="47" t="str">
        <f>=IFERROR(VLOOKUP(H129&amp;I129,Table_Fonctions!A:G,6,FALSE),"")</f>
        <v>0</v>
      </c>
      <c r="K129" s="47" t="s">
        <v>2607</v>
      </c>
      <c r="L129" s="47" t="str">
        <f>=IFERROR(VLOOKUP(H129&amp;I129,Table_Fonctions!A:G,7,FALSE),K129)</f>
        <v/>
      </c>
      <c r="M129" s="47" t="str">
        <f>=IF(OR(LEFT(D129, 3)="TJ ", LEFT(D129, 4)="CPH "), "OUI", "NON")</f>
        <v/>
      </c>
      <c r="N129" s="47" t="s">
        <v>706</v>
      </c>
      <c r="O129" s="47"/>
      <c r="P129" s="47">
        <v>0.8</v>
      </c>
      <c r="Q129" s="47">
        <v>0</v>
      </c>
      <c r="R129" s="47">
        <v>0.8</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v>0</v>
      </c>
      <c r="EA129" s="47">
        <v>0</v>
      </c>
      <c r="EB129" s="47"/>
      <c r="EC129" s="47">
        <v>0.8</v>
      </c>
      <c r="ZZ129" t="s">
        <v>2472</v>
      </c>
    </row>
    <row r="130" spans="1:702" x14ac:dyDescent="0.25">
      <c r="A130" s="47" t="s">
        <v>707</v>
      </c>
      <c r="B130" s="47" t="s">
        <v>153</v>
      </c>
      <c r="C130" s="47" t="s">
        <v>157</v>
      </c>
      <c r="D130" s="47" t="s">
        <v>2608</v>
      </c>
      <c r="E130" s="47" t="s">
        <v>708</v>
      </c>
      <c r="F130" s="47" t="s">
        <v>709</v>
      </c>
      <c r="G130" s="47" t="s">
        <v>710</v>
      </c>
      <c r="H130" s="47" t="s">
        <v>698</v>
      </c>
      <c r="I130" s="47" t="s">
        <v>711</v>
      </c>
      <c r="J130" s="47" t="str">
        <f>=IFERROR(VLOOKUP(H130&amp;I130,Table_Fonctions!A:G,6,FALSE),"")</f>
        <v>0</v>
      </c>
      <c r="K130" s="47" t="s">
        <v>2605</v>
      </c>
      <c r="L130" s="47" t="str">
        <f>=IFERROR(VLOOKUP(H130&amp;I130,Table_Fonctions!A:G,7,FALSE),K130)</f>
        <v/>
      </c>
      <c r="M130" s="47" t="str">
        <f>=IF(OR(LEFT(D130, 3)="TJ ", LEFT(D130, 4)="CPH "), "OUI", "NON")</f>
        <v/>
      </c>
      <c r="N130" s="47" t="s">
        <v>712</v>
      </c>
      <c r="O130" s="47"/>
      <c r="P130" s="47">
        <v>1</v>
      </c>
      <c r="Q130" s="47">
        <v>1</v>
      </c>
      <c r="R130" s="47">
        <v>0</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1</v>
      </c>
      <c r="CZ130" s="47">
        <v>1</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v>0</v>
      </c>
      <c r="EA130" s="47">
        <v>0</v>
      </c>
      <c r="EB130" s="47"/>
      <c r="EC130" s="47">
        <v>1</v>
      </c>
      <c r="ZZ130" t="s">
        <v>2472</v>
      </c>
    </row>
    <row r="131" spans="1:702" x14ac:dyDescent="0.25">
      <c r="A131" s="47" t="s">
        <v>713</v>
      </c>
      <c r="B131" s="47" t="s">
        <v>153</v>
      </c>
      <c r="C131" s="47" t="s">
        <v>157</v>
      </c>
      <c r="D131" s="47" t="s">
        <v>2609</v>
      </c>
      <c r="E131" s="47" t="s">
        <v>714</v>
      </c>
      <c r="F131" s="47" t="s">
        <v>715</v>
      </c>
      <c r="G131" s="47" t="s">
        <v>716</v>
      </c>
      <c r="H131" s="47" t="s">
        <v>698</v>
      </c>
      <c r="I131" s="47" t="s">
        <v>711</v>
      </c>
      <c r="J131" s="47" t="str">
        <f>=IFERROR(VLOOKUP(H131&amp;I131,Table_Fonctions!A:G,6,FALSE),"")</f>
        <v>0</v>
      </c>
      <c r="K131" s="47" t="s">
        <v>2605</v>
      </c>
      <c r="L131" s="47" t="str">
        <f>=IFERROR(VLOOKUP(H131&amp;I131,Table_Fonctions!A:G,7,FALSE),K131)</f>
        <v/>
      </c>
      <c r="M131" s="47" t="str">
        <f>=IF(OR(LEFT(D131, 3)="TJ ", LEFT(D131, 4)="CPH "), "OUI", "NON")</f>
        <v/>
      </c>
      <c r="N131" s="47" t="s">
        <v>717</v>
      </c>
      <c r="O131" s="47"/>
      <c r="P131" s="47">
        <v>0.8</v>
      </c>
      <c r="Q131" s="47">
        <v>0.8</v>
      </c>
      <c r="R131" s="47">
        <v>0</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0.8</v>
      </c>
      <c r="BU131" s="47">
        <v>0</v>
      </c>
      <c r="BV131" s="47">
        <v>0</v>
      </c>
      <c r="BW131" s="47">
        <v>0</v>
      </c>
      <c r="BX131" s="47">
        <v>0</v>
      </c>
      <c r="BY131" s="47">
        <v>0</v>
      </c>
      <c r="BZ131" s="47">
        <v>0</v>
      </c>
      <c r="CA131" s="47">
        <v>0</v>
      </c>
      <c r="CB131" s="47">
        <v>0</v>
      </c>
      <c r="CC131" s="47">
        <v>0.32</v>
      </c>
      <c r="CD131" s="47">
        <v>0</v>
      </c>
      <c r="CE131" s="47">
        <v>0.48</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0</v>
      </c>
      <c r="DV131" s="47">
        <v>0</v>
      </c>
      <c r="DW131" s="47">
        <v>0</v>
      </c>
      <c r="DX131" s="47">
        <v>0</v>
      </c>
      <c r="DY131" s="47">
        <v>0</v>
      </c>
      <c r="DZ131" s="47">
        <v>0</v>
      </c>
      <c r="EA131" s="47">
        <v>0</v>
      </c>
      <c r="EB131" s="47"/>
      <c r="EC131" s="47">
        <v>0.8</v>
      </c>
      <c r="ZZ131" t="s">
        <v>2472</v>
      </c>
    </row>
    <row r="132" spans="1:702" x14ac:dyDescent="0.25">
      <c r="A132" s="47" t="s">
        <v>718</v>
      </c>
      <c r="B132" s="47" t="s">
        <v>153</v>
      </c>
      <c r="C132" s="47" t="s">
        <v>157</v>
      </c>
      <c r="D132" s="47" t="s">
        <v>2610</v>
      </c>
      <c r="E132" s="47" t="s">
        <v>719</v>
      </c>
      <c r="F132" s="47" t="s">
        <v>720</v>
      </c>
      <c r="G132" s="47" t="s">
        <v>721</v>
      </c>
      <c r="H132" s="47" t="s">
        <v>698</v>
      </c>
      <c r="I132" s="47" t="s">
        <v>705</v>
      </c>
      <c r="J132" s="47" t="str">
        <f>=IFERROR(VLOOKUP(H132&amp;I132,Table_Fonctions!A:G,6,FALSE),"")</f>
        <v>0</v>
      </c>
      <c r="K132" s="47" t="s">
        <v>2607</v>
      </c>
      <c r="L132" s="47" t="str">
        <f>=IFERROR(VLOOKUP(H132&amp;I132,Table_Fonctions!A:G,7,FALSE),K132)</f>
        <v/>
      </c>
      <c r="M132" s="47" t="str">
        <f>=IF(OR(LEFT(D132, 3)="TJ ", LEFT(D132, 4)="CPH "), "OUI", "NON")</f>
        <v/>
      </c>
      <c r="N132" s="47" t="s">
        <v>722</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v>0</v>
      </c>
      <c r="EA132" s="47">
        <v>0</v>
      </c>
      <c r="EB132" s="47"/>
      <c r="EC132" s="47">
        <v>1</v>
      </c>
      <c r="ZZ132" t="s">
        <v>2472</v>
      </c>
    </row>
    <row r="133" spans="1:702" x14ac:dyDescent="0.25">
      <c r="A133" s="47" t="s">
        <v>723</v>
      </c>
      <c r="B133" s="47" t="s">
        <v>153</v>
      </c>
      <c r="C133" s="47" t="s">
        <v>157</v>
      </c>
      <c r="D133" s="47" t="s">
        <v>2611</v>
      </c>
      <c r="E133" s="47" t="s">
        <v>724</v>
      </c>
      <c r="F133" s="47" t="s">
        <v>725</v>
      </c>
      <c r="G133" s="47" t="s">
        <v>726</v>
      </c>
      <c r="H133" s="47" t="s">
        <v>698</v>
      </c>
      <c r="I133" s="47" t="s">
        <v>727</v>
      </c>
      <c r="J133" s="47" t="str">
        <f>=IFERROR(VLOOKUP(H133&amp;I133,Table_Fonctions!A:G,6,FALSE),"")</f>
        <v>0</v>
      </c>
      <c r="K133" s="47" t="s">
        <v>2607</v>
      </c>
      <c r="L133" s="47" t="str">
        <f>=IFERROR(VLOOKUP(H133&amp;I133,Table_Fonctions!A:G,7,FALSE),K133)</f>
        <v/>
      </c>
      <c r="M133" s="47" t="str">
        <f>=IF(OR(LEFT(D133, 3)="TJ ", LEFT(D133, 4)="CPH "), "OUI", "NON")</f>
        <v/>
      </c>
      <c r="N133" s="47" t="s">
        <v>728</v>
      </c>
      <c r="O133" s="47"/>
      <c r="P133" s="47">
        <v>1</v>
      </c>
      <c r="Q133" s="47">
        <v>1</v>
      </c>
      <c r="R133" s="47">
        <v>0</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1</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v>
      </c>
      <c r="CZ133" s="47">
        <v>0</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v>0</v>
      </c>
      <c r="EA133" s="47">
        <v>0</v>
      </c>
      <c r="EB133" s="47"/>
      <c r="EC133" s="47">
        <v>1</v>
      </c>
      <c r="ZZ133" t="s">
        <v>2472</v>
      </c>
    </row>
    <row r="134" spans="1:702" x14ac:dyDescent="0.25">
      <c r="A134" s="47" t="s">
        <v>729</v>
      </c>
      <c r="B134" s="47" t="s">
        <v>153</v>
      </c>
      <c r="C134" s="47" t="s">
        <v>157</v>
      </c>
      <c r="D134" s="47" t="s">
        <v>2612</v>
      </c>
      <c r="E134" s="47" t="s">
        <v>730</v>
      </c>
      <c r="F134" s="47" t="s">
        <v>731</v>
      </c>
      <c r="G134" s="47" t="s">
        <v>732</v>
      </c>
      <c r="H134" s="47" t="s">
        <v>698</v>
      </c>
      <c r="I134" s="47" t="s">
        <v>705</v>
      </c>
      <c r="J134" s="47" t="str">
        <f>=IFERROR(VLOOKUP(H134&amp;I134,Table_Fonctions!A:G,6,FALSE),"")</f>
        <v>0</v>
      </c>
      <c r="K134" s="47" t="s">
        <v>2607</v>
      </c>
      <c r="L134" s="47" t="str">
        <f>=IFERROR(VLOOKUP(H134&amp;I134,Table_Fonctions!A:G,7,FALSE),K134)</f>
        <v/>
      </c>
      <c r="M134" s="47" t="str">
        <f>=IF(OR(LEFT(D134, 3)="TJ ", LEFT(D134, 4)="CPH "), "OUI", "NON")</f>
        <v/>
      </c>
      <c r="N134" s="47" t="s">
        <v>733</v>
      </c>
      <c r="O134" s="47"/>
      <c r="P134" s="47">
        <v>1</v>
      </c>
      <c r="Q134" s="47">
        <v>0</v>
      </c>
      <c r="R134" s="47">
        <v>1</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v>
      </c>
      <c r="DY134" s="47">
        <v>0</v>
      </c>
      <c r="DZ134" s="47">
        <v>0</v>
      </c>
      <c r="EA134" s="47">
        <v>0</v>
      </c>
      <c r="EB134" s="47"/>
      <c r="EC134" s="47">
        <v>1</v>
      </c>
      <c r="ZZ134" t="s">
        <v>2472</v>
      </c>
    </row>
    <row r="135" spans="1:702" x14ac:dyDescent="0.25">
      <c r="A135" s="47" t="s">
        <v>734</v>
      </c>
      <c r="B135" s="47" t="s">
        <v>153</v>
      </c>
      <c r="C135" s="47" t="s">
        <v>157</v>
      </c>
      <c r="D135" s="47" t="s">
        <v>2613</v>
      </c>
      <c r="E135" s="47" t="s">
        <v>735</v>
      </c>
      <c r="F135" s="47" t="s">
        <v>736</v>
      </c>
      <c r="G135" s="47" t="s">
        <v>737</v>
      </c>
      <c r="H135" s="47" t="s">
        <v>698</v>
      </c>
      <c r="I135" s="47" t="s">
        <v>738</v>
      </c>
      <c r="J135" s="47" t="str">
        <f>=IFERROR(VLOOKUP(H135&amp;I135,Table_Fonctions!A:G,6,FALSE),"")</f>
        <v>0</v>
      </c>
      <c r="K135" s="47" t="s">
        <v>2607</v>
      </c>
      <c r="L135" s="47" t="str">
        <f>=IFERROR(VLOOKUP(H135&amp;I135,Table_Fonctions!A:G,7,FALSE),K135)</f>
        <v/>
      </c>
      <c r="M135" s="47" t="str">
        <f>=IF(OR(LEFT(D135, 3)="TJ ", LEFT(D135, 4)="CPH "), "OUI", "NON")</f>
        <v/>
      </c>
      <c r="N135" s="47" t="s">
        <v>739</v>
      </c>
      <c r="O135" s="47"/>
      <c r="P135" s="47">
        <v>1</v>
      </c>
      <c r="Q135" s="47">
        <v>1</v>
      </c>
      <c r="R135" s="47">
        <v>0</v>
      </c>
      <c r="S135" s="47">
        <f>=ROUND(BQ135-(BR135+BS135),3)</f>
      </c>
      <c r="T135" s="47">
        <f>=ROUND(CK135-(CL135+CM135+CN135+CO135+CP135),3)</f>
      </c>
      <c r="U135" s="47">
        <v>1</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v>
      </c>
      <c r="AK135" s="47">
        <v>0</v>
      </c>
      <c r="AL135" s="47">
        <v>0</v>
      </c>
      <c r="AM135" s="47">
        <v>0</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v>
      </c>
      <c r="CR135" s="47">
        <v>0</v>
      </c>
      <c r="CS135" s="47">
        <v>0</v>
      </c>
      <c r="CT135" s="47">
        <v>0</v>
      </c>
      <c r="CU135" s="47">
        <v>0</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v>0</v>
      </c>
      <c r="EA135" s="47">
        <v>0</v>
      </c>
      <c r="EB135" s="47"/>
      <c r="EC135" s="47">
        <v>1</v>
      </c>
      <c r="ZZ135" t="s">
        <v>2472</v>
      </c>
    </row>
    <row r="136" spans="1:702" x14ac:dyDescent="0.25">
      <c r="A136" s="47" t="s">
        <v>740</v>
      </c>
      <c r="B136" s="47" t="s">
        <v>153</v>
      </c>
      <c r="C136" s="47" t="s">
        <v>157</v>
      </c>
      <c r="D136" s="47" t="s">
        <v>2614</v>
      </c>
      <c r="E136" s="47" t="s">
        <v>741</v>
      </c>
      <c r="F136" s="47" t="s">
        <v>742</v>
      </c>
      <c r="G136" s="47" t="s">
        <v>743</v>
      </c>
      <c r="H136" s="47" t="s">
        <v>698</v>
      </c>
      <c r="I136" s="47" t="s">
        <v>727</v>
      </c>
      <c r="J136" s="47" t="str">
        <f>=IFERROR(VLOOKUP(H136&amp;I136,Table_Fonctions!A:G,6,FALSE),"")</f>
        <v>0</v>
      </c>
      <c r="K136" s="47" t="s">
        <v>2607</v>
      </c>
      <c r="L136" s="47" t="str">
        <f>=IFERROR(VLOOKUP(H136&amp;I136,Table_Fonctions!A:G,7,FALSE),K136)</f>
        <v/>
      </c>
      <c r="M136" s="47" t="str">
        <f>=IF(OR(LEFT(D136, 3)="TJ ", LEFT(D136, 4)="CPH "), "OUI", "NON")</f>
        <v/>
      </c>
      <c r="N136" s="47" t="s">
        <v>593</v>
      </c>
      <c r="O136" s="47"/>
      <c r="P136" s="47">
        <v>1</v>
      </c>
      <c r="Q136" s="47">
        <v>0</v>
      </c>
      <c r="R136" s="47">
        <v>1</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v>0</v>
      </c>
      <c r="EA136" s="47">
        <v>0</v>
      </c>
      <c r="EB136" s="47"/>
      <c r="EC136" s="47">
        <v>1</v>
      </c>
      <c r="ZZ136" t="s">
        <v>2472</v>
      </c>
    </row>
    <row r="137" spans="1:702" x14ac:dyDescent="0.25">
      <c r="A137" s="47" t="s">
        <v>744</v>
      </c>
      <c r="B137" s="47" t="s">
        <v>153</v>
      </c>
      <c r="C137" s="47" t="s">
        <v>157</v>
      </c>
      <c r="D137" s="47" t="s">
        <v>2615</v>
      </c>
      <c r="E137" s="47" t="s">
        <v>745</v>
      </c>
      <c r="F137" s="47" t="s">
        <v>746</v>
      </c>
      <c r="G137" s="47" t="s">
        <v>747</v>
      </c>
      <c r="H137" s="47" t="s">
        <v>698</v>
      </c>
      <c r="I137" s="47" t="s">
        <v>705</v>
      </c>
      <c r="J137" s="47" t="str">
        <f>=IFERROR(VLOOKUP(H137&amp;I137,Table_Fonctions!A:G,6,FALSE),"")</f>
        <v>0</v>
      </c>
      <c r="K137" s="47" t="s">
        <v>2607</v>
      </c>
      <c r="L137" s="47" t="str">
        <f>=IFERROR(VLOOKUP(H137&amp;I137,Table_Fonctions!A:G,7,FALSE),K137)</f>
        <v/>
      </c>
      <c r="M137" s="47" t="str">
        <f>=IF(OR(LEFT(D137, 3)="TJ ", LEFT(D137, 4)="CPH "), "OUI", "NON")</f>
        <v/>
      </c>
      <c r="N137" s="47" t="s">
        <v>748</v>
      </c>
      <c r="O137" s="47"/>
      <c r="P137" s="47">
        <v>0.8</v>
      </c>
      <c r="Q137" s="47">
        <v>0</v>
      </c>
      <c r="R137" s="47">
        <v>0.8</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v>
      </c>
      <c r="AK137" s="47">
        <v>0</v>
      </c>
      <c r="AL137" s="47">
        <v>0</v>
      </c>
      <c r="AM137" s="47">
        <v>0</v>
      </c>
      <c r="AN137" s="47">
        <v>0</v>
      </c>
      <c r="AO137" s="47">
        <v>0</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c r="DU137" s="47">
        <v>0</v>
      </c>
      <c r="DV137" s="47">
        <v>0</v>
      </c>
      <c r="DW137" s="47">
        <v>0</v>
      </c>
      <c r="DX137" s="47">
        <v>0</v>
      </c>
      <c r="DY137" s="47">
        <v>0</v>
      </c>
      <c r="DZ137" s="47">
        <v>0</v>
      </c>
      <c r="EA137" s="47">
        <v>0</v>
      </c>
      <c r="EB137" s="47"/>
      <c r="EC137" s="47">
        <v>0.8</v>
      </c>
      <c r="ZZ137" t="s">
        <v>2472</v>
      </c>
    </row>
    <row r="138" spans="1:702" x14ac:dyDescent="0.25">
      <c r="A138" s="47" t="s">
        <v>749</v>
      </c>
      <c r="B138" s="47" t="s">
        <v>153</v>
      </c>
      <c r="C138" s="47" t="s">
        <v>157</v>
      </c>
      <c r="D138" s="47" t="s">
        <v>2616</v>
      </c>
      <c r="E138" s="47" t="s">
        <v>750</v>
      </c>
      <c r="F138" s="47" t="s">
        <v>751</v>
      </c>
      <c r="G138" s="47" t="s">
        <v>752</v>
      </c>
      <c r="H138" s="47" t="s">
        <v>698</v>
      </c>
      <c r="I138" s="47" t="s">
        <v>738</v>
      </c>
      <c r="J138" s="47" t="str">
        <f>=IFERROR(VLOOKUP(H138&amp;I138,Table_Fonctions!A:G,6,FALSE),"")</f>
        <v>0</v>
      </c>
      <c r="K138" s="47" t="s">
        <v>2607</v>
      </c>
      <c r="L138" s="47" t="str">
        <f>=IFERROR(VLOOKUP(H138&amp;I138,Table_Fonctions!A:G,7,FALSE),K138)</f>
        <v/>
      </c>
      <c r="M138" s="47" t="str">
        <f>=IF(OR(LEFT(D138, 3)="TJ ", LEFT(D138, 4)="CPH "), "OUI", "NON")</f>
        <v/>
      </c>
      <c r="N138" s="47" t="s">
        <v>753</v>
      </c>
      <c r="O138" s="47"/>
      <c r="P138" s="47">
        <v>0.8</v>
      </c>
      <c r="Q138" s="47">
        <v>0.8</v>
      </c>
      <c r="R138" s="47">
        <v>0</v>
      </c>
      <c r="S138" s="47">
        <f>=ROUND(BQ138-(BR138+BS138),3)</f>
      </c>
      <c r="T138" s="47">
        <f>=ROUND(CK138-(CL138+CM138+CN138+CO138+CP138),3)</f>
      </c>
      <c r="U138" s="47">
        <v>0.8</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0</v>
      </c>
      <c r="CZ138" s="47">
        <v>0</v>
      </c>
      <c r="DA138" s="47">
        <v>0</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v>
      </c>
      <c r="DV138" s="47">
        <v>0</v>
      </c>
      <c r="DW138" s="47">
        <v>0</v>
      </c>
      <c r="DX138" s="47">
        <v>0</v>
      </c>
      <c r="DY138" s="47">
        <v>0</v>
      </c>
      <c r="DZ138" s="47">
        <v>0</v>
      </c>
      <c r="EA138" s="47">
        <v>0</v>
      </c>
      <c r="EB138" s="47"/>
      <c r="EC138" s="47">
        <v>0.8</v>
      </c>
      <c r="ZZ138" t="s">
        <v>2472</v>
      </c>
    </row>
    <row r="139" spans="1:702" x14ac:dyDescent="0.25">
      <c r="A139" s="47" t="s">
        <v>754</v>
      </c>
      <c r="B139" s="47" t="s">
        <v>153</v>
      </c>
      <c r="C139" s="47" t="s">
        <v>157</v>
      </c>
      <c r="D139" s="47" t="s">
        <v>2617</v>
      </c>
      <c r="E139" s="47" t="s">
        <v>755</v>
      </c>
      <c r="F139" s="47" t="s">
        <v>756</v>
      </c>
      <c r="G139" s="47" t="s">
        <v>757</v>
      </c>
      <c r="H139" s="47" t="s">
        <v>698</v>
      </c>
      <c r="I139" s="47" t="s">
        <v>727</v>
      </c>
      <c r="J139" s="47" t="str">
        <f>=IFERROR(VLOOKUP(H139&amp;I139,Table_Fonctions!A:G,6,FALSE),"")</f>
        <v>0</v>
      </c>
      <c r="K139" s="47" t="s">
        <v>2607</v>
      </c>
      <c r="L139" s="47" t="str">
        <f>=IFERROR(VLOOKUP(H139&amp;I139,Table_Fonctions!A:G,7,FALSE),K139)</f>
        <v/>
      </c>
      <c r="M139" s="47" t="str">
        <f>=IF(OR(LEFT(D139, 3)="TJ ", LEFT(D139, 4)="CPH "), "OUI", "NON")</f>
        <v/>
      </c>
      <c r="N139" s="47" t="s">
        <v>758</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1</v>
      </c>
      <c r="CL139" s="47">
        <v>0</v>
      </c>
      <c r="CM139" s="47">
        <v>0</v>
      </c>
      <c r="CN139" s="47">
        <v>0</v>
      </c>
      <c r="CO139" s="47">
        <v>0</v>
      </c>
      <c r="CP139" s="47">
        <v>0</v>
      </c>
      <c r="CQ139" s="47">
        <v>0</v>
      </c>
      <c r="CR139" s="47">
        <v>0</v>
      </c>
      <c r="CS139" s="47">
        <v>0</v>
      </c>
      <c r="CT139" s="47">
        <v>0</v>
      </c>
      <c r="CU139" s="47">
        <v>0</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v>0</v>
      </c>
      <c r="EA139" s="47">
        <v>0</v>
      </c>
      <c r="EB139" s="47"/>
      <c r="EC139" s="47">
        <v>1</v>
      </c>
      <c r="ZZ139" t="s">
        <v>2472</v>
      </c>
    </row>
    <row r="140" spans="1:702" x14ac:dyDescent="0.25">
      <c r="A140" s="47" t="s">
        <v>759</v>
      </c>
      <c r="B140" s="47" t="s">
        <v>153</v>
      </c>
      <c r="C140" s="47" t="s">
        <v>157</v>
      </c>
      <c r="D140" s="47" t="s">
        <v>2618</v>
      </c>
      <c r="E140" s="47" t="s">
        <v>760</v>
      </c>
      <c r="F140" s="47" t="s">
        <v>761</v>
      </c>
      <c r="G140" s="47" t="s">
        <v>762</v>
      </c>
      <c r="H140" s="47" t="s">
        <v>698</v>
      </c>
      <c r="I140" s="47" t="s">
        <v>705</v>
      </c>
      <c r="J140" s="47" t="str">
        <f>=IFERROR(VLOOKUP(H140&amp;I140,Table_Fonctions!A:G,6,FALSE),"")</f>
        <v>0</v>
      </c>
      <c r="K140" s="47" t="s">
        <v>2607</v>
      </c>
      <c r="L140" s="47" t="str">
        <f>=IFERROR(VLOOKUP(H140&amp;I140,Table_Fonctions!A:G,7,FALSE),K140)</f>
        <v/>
      </c>
      <c r="M140" s="47" t="str">
        <f>=IF(OR(LEFT(D140, 3)="TJ ", LEFT(D140, 4)="CPH "), "OUI", "NON")</f>
        <v/>
      </c>
      <c r="N140" s="47" t="s">
        <v>763</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v>0</v>
      </c>
      <c r="EA140" s="47">
        <v>0</v>
      </c>
      <c r="EB140" s="47"/>
      <c r="EC140" s="47">
        <v>1</v>
      </c>
      <c r="ZZ140" t="s">
        <v>2472</v>
      </c>
    </row>
    <row r="141" spans="1:702" x14ac:dyDescent="0.25">
      <c r="A141" s="47" t="s">
        <v>764</v>
      </c>
      <c r="B141" s="47" t="s">
        <v>153</v>
      </c>
      <c r="C141" s="47" t="s">
        <v>157</v>
      </c>
      <c r="D141" s="47" t="s">
        <v>2619</v>
      </c>
      <c r="E141" s="47" t="s">
        <v>765</v>
      </c>
      <c r="F141" s="47" t="s">
        <v>766</v>
      </c>
      <c r="G141" s="47" t="s">
        <v>767</v>
      </c>
      <c r="H141" s="47" t="s">
        <v>698</v>
      </c>
      <c r="I141" s="47" t="s">
        <v>727</v>
      </c>
      <c r="J141" s="47" t="str">
        <f>=IFERROR(VLOOKUP(H141&amp;I141,Table_Fonctions!A:G,6,FALSE),"")</f>
        <v>0</v>
      </c>
      <c r="K141" s="47" t="s">
        <v>2607</v>
      </c>
      <c r="L141" s="47" t="str">
        <f>=IFERROR(VLOOKUP(H141&amp;I141,Table_Fonctions!A:G,7,FALSE),K141)</f>
        <v/>
      </c>
      <c r="M141" s="47" t="str">
        <f>=IF(OR(LEFT(D141, 3)="TJ ", LEFT(D141, 4)="CPH "), "OUI", "NON")</f>
        <v/>
      </c>
      <c r="N141" s="47" t="s">
        <v>728</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v>0</v>
      </c>
      <c r="EA141" s="47">
        <v>0</v>
      </c>
      <c r="EB141" s="47"/>
      <c r="EC141" s="47">
        <v>1</v>
      </c>
      <c r="ZZ141" t="s">
        <v>2472</v>
      </c>
    </row>
    <row r="142" spans="1:702" x14ac:dyDescent="0.25">
      <c r="A142" s="47" t="s">
        <v>768</v>
      </c>
      <c r="B142" s="47" t="s">
        <v>153</v>
      </c>
      <c r="C142" s="47" t="s">
        <v>157</v>
      </c>
      <c r="D142" s="47" t="s">
        <v>2620</v>
      </c>
      <c r="E142" s="47" t="s">
        <v>769</v>
      </c>
      <c r="F142" s="47" t="s">
        <v>770</v>
      </c>
      <c r="G142" s="47" t="s">
        <v>771</v>
      </c>
      <c r="H142" s="47" t="s">
        <v>698</v>
      </c>
      <c r="I142" s="47" t="s">
        <v>727</v>
      </c>
      <c r="J142" s="47" t="str">
        <f>=IFERROR(VLOOKUP(H142&amp;I142,Table_Fonctions!A:G,6,FALSE),"")</f>
        <v>0</v>
      </c>
      <c r="K142" s="47" t="s">
        <v>2607</v>
      </c>
      <c r="L142" s="47" t="str">
        <f>=IFERROR(VLOOKUP(H142&amp;I142,Table_Fonctions!A:G,7,FALSE),K142)</f>
        <v/>
      </c>
      <c r="M142" s="47" t="str">
        <f>=IF(OR(LEFT(D142, 3)="TJ ", LEFT(D142, 4)="CPH "), "OUI", "NON")</f>
        <v/>
      </c>
      <c r="N142" s="47" t="s">
        <v>772</v>
      </c>
      <c r="O142" s="47"/>
      <c r="P142" s="47">
        <v>1</v>
      </c>
      <c r="Q142" s="47">
        <v>1</v>
      </c>
      <c r="R142" s="47">
        <v>0</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1</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v>0</v>
      </c>
      <c r="EA142" s="47">
        <v>0</v>
      </c>
      <c r="EB142" s="47"/>
      <c r="EC142" s="47">
        <v>1</v>
      </c>
      <c r="ZZ142" t="s">
        <v>2472</v>
      </c>
    </row>
    <row r="143" spans="1:702" x14ac:dyDescent="0.25">
      <c r="A143" s="47" t="s">
        <v>773</v>
      </c>
      <c r="B143" s="47" t="s">
        <v>153</v>
      </c>
      <c r="C143" s="47" t="s">
        <v>157</v>
      </c>
      <c r="D143" s="47" t="s">
        <v>2621</v>
      </c>
      <c r="E143" s="47" t="s">
        <v>774</v>
      </c>
      <c r="F143" s="47" t="s">
        <v>775</v>
      </c>
      <c r="G143" s="47" t="s">
        <v>776</v>
      </c>
      <c r="H143" s="47" t="s">
        <v>698</v>
      </c>
      <c r="I143" s="47" t="s">
        <v>727</v>
      </c>
      <c r="J143" s="47" t="str">
        <f>=IFERROR(VLOOKUP(H143&amp;I143,Table_Fonctions!A:G,6,FALSE),"")</f>
        <v>0</v>
      </c>
      <c r="K143" s="47" t="s">
        <v>2607</v>
      </c>
      <c r="L143" s="47" t="str">
        <f>=IFERROR(VLOOKUP(H143&amp;I143,Table_Fonctions!A:G,7,FALSE),K143)</f>
        <v/>
      </c>
      <c r="M143" s="47" t="str">
        <f>=IF(OR(LEFT(D143, 3)="TJ ", LEFT(D143, 4)="CPH "), "OUI", "NON")</f>
        <v/>
      </c>
      <c r="N143" s="47" t="s">
        <v>777</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v>0</v>
      </c>
      <c r="EA143" s="47">
        <v>0</v>
      </c>
      <c r="EB143" s="47"/>
      <c r="EC143" s="47">
        <v>1</v>
      </c>
      <c r="ZZ143" t="s">
        <v>2472</v>
      </c>
    </row>
    <row r="144" spans="1:702" x14ac:dyDescent="0.25">
      <c r="A144" s="47" t="s">
        <v>778</v>
      </c>
      <c r="B144" s="47" t="s">
        <v>153</v>
      </c>
      <c r="C144" s="47" t="s">
        <v>157</v>
      </c>
      <c r="D144" s="47" t="s">
        <v>2622</v>
      </c>
      <c r="E144" s="47" t="s">
        <v>779</v>
      </c>
      <c r="F144" s="47" t="s">
        <v>780</v>
      </c>
      <c r="G144" s="47" t="s">
        <v>781</v>
      </c>
      <c r="H144" s="47" t="s">
        <v>698</v>
      </c>
      <c r="I144" s="47" t="s">
        <v>738</v>
      </c>
      <c r="J144" s="47" t="str">
        <f>=IFERROR(VLOOKUP(H144&amp;I144,Table_Fonctions!A:G,6,FALSE),"")</f>
        <v>0</v>
      </c>
      <c r="K144" s="47" t="s">
        <v>2607</v>
      </c>
      <c r="L144" s="47" t="str">
        <f>=IFERROR(VLOOKUP(H144&amp;I144,Table_Fonctions!A:G,7,FALSE),K144)</f>
        <v/>
      </c>
      <c r="M144" s="47" t="str">
        <f>=IF(OR(LEFT(D144, 3)="TJ ", LEFT(D144, 4)="CPH "), "OUI", "NON")</f>
        <v/>
      </c>
      <c r="N144" s="47" t="s">
        <v>782</v>
      </c>
      <c r="O144" s="47"/>
      <c r="P144" s="47">
        <v>1</v>
      </c>
      <c r="Q144" s="47">
        <v>0</v>
      </c>
      <c r="R144" s="47">
        <v>1</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0</v>
      </c>
      <c r="CZ144" s="47">
        <v>0</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v>
      </c>
      <c r="DY144" s="47">
        <v>0</v>
      </c>
      <c r="DZ144" s="47">
        <v>0</v>
      </c>
      <c r="EA144" s="47">
        <v>0</v>
      </c>
      <c r="EB144" s="47"/>
      <c r="EC144" s="47">
        <v>1</v>
      </c>
      <c r="ZZ144" t="s">
        <v>2472</v>
      </c>
    </row>
    <row r="145" spans="1:702" x14ac:dyDescent="0.25">
      <c r="A145" s="47" t="s">
        <v>783</v>
      </c>
      <c r="B145" s="47" t="s">
        <v>153</v>
      </c>
      <c r="C145" s="47" t="s">
        <v>157</v>
      </c>
      <c r="D145" s="47" t="s">
        <v>2623</v>
      </c>
      <c r="E145" s="47" t="s">
        <v>784</v>
      </c>
      <c r="F145" s="47" t="s">
        <v>785</v>
      </c>
      <c r="G145" s="47" t="s">
        <v>786</v>
      </c>
      <c r="H145" s="47" t="s">
        <v>698</v>
      </c>
      <c r="I145" s="47" t="s">
        <v>727</v>
      </c>
      <c r="J145" s="47" t="str">
        <f>=IFERROR(VLOOKUP(H145&amp;I145,Table_Fonctions!A:G,6,FALSE),"")</f>
        <v>0</v>
      </c>
      <c r="K145" s="47" t="s">
        <v>2607</v>
      </c>
      <c r="L145" s="47" t="str">
        <f>=IFERROR(VLOOKUP(H145&amp;I145,Table_Fonctions!A:G,7,FALSE),K145)</f>
        <v/>
      </c>
      <c r="M145" s="47" t="str">
        <f>=IF(OR(LEFT(D145, 3)="TJ ", LEFT(D145, 4)="CPH "), "OUI", "NON")</f>
        <v/>
      </c>
      <c r="N145" s="47" t="s">
        <v>712</v>
      </c>
      <c r="O145" s="47"/>
      <c r="P145" s="47">
        <v>1</v>
      </c>
      <c r="Q145" s="47">
        <v>1</v>
      </c>
      <c r="R145" s="47">
        <v>0</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1</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c r="DU145" s="47">
        <v>0</v>
      </c>
      <c r="DV145" s="47">
        <v>0</v>
      </c>
      <c r="DW145" s="47">
        <v>0</v>
      </c>
      <c r="DX145" s="47">
        <v>0</v>
      </c>
      <c r="DY145" s="47">
        <v>0</v>
      </c>
      <c r="DZ145" s="47">
        <v>0</v>
      </c>
      <c r="EA145" s="47">
        <v>0</v>
      </c>
      <c r="EB145" s="47"/>
      <c r="EC145" s="47">
        <v>1</v>
      </c>
      <c r="ZZ145" t="s">
        <v>2472</v>
      </c>
    </row>
    <row r="146" spans="1:702" x14ac:dyDescent="0.25">
      <c r="A146" s="47" t="s">
        <v>787</v>
      </c>
      <c r="B146" s="47" t="s">
        <v>153</v>
      </c>
      <c r="C146" s="47" t="s">
        <v>157</v>
      </c>
      <c r="D146" s="47" t="s">
        <v>2624</v>
      </c>
      <c r="E146" s="47" t="s">
        <v>788</v>
      </c>
      <c r="F146" s="47" t="s">
        <v>789</v>
      </c>
      <c r="G146" s="47" t="s">
        <v>790</v>
      </c>
      <c r="H146" s="47" t="s">
        <v>698</v>
      </c>
      <c r="I146" s="47" t="s">
        <v>705</v>
      </c>
      <c r="J146" s="47" t="str">
        <f>=IFERROR(VLOOKUP(H146&amp;I146,Table_Fonctions!A:G,6,FALSE),"")</f>
        <v>0</v>
      </c>
      <c r="K146" s="47" t="s">
        <v>2607</v>
      </c>
      <c r="L146" s="47" t="str">
        <f>=IFERROR(VLOOKUP(H146&amp;I146,Table_Fonctions!A:G,7,FALSE),K146)</f>
        <v/>
      </c>
      <c r="M146" s="47" t="str">
        <f>=IF(OR(LEFT(D146, 3)="TJ ", LEFT(D146, 4)="CPH "), "OUI", "NON")</f>
        <v/>
      </c>
      <c r="N146" s="47" t="s">
        <v>791</v>
      </c>
      <c r="O146" s="47"/>
      <c r="P146" s="47">
        <v>1</v>
      </c>
      <c r="Q146" s="47">
        <v>0</v>
      </c>
      <c r="R146" s="47">
        <v>1</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v>0</v>
      </c>
      <c r="EA146" s="47">
        <v>0</v>
      </c>
      <c r="EB146" s="47"/>
      <c r="EC146" s="47">
        <v>1</v>
      </c>
      <c r="ZZ146" t="s">
        <v>2472</v>
      </c>
    </row>
    <row r="147" spans="1:702" x14ac:dyDescent="0.25">
      <c r="A147" s="47" t="s">
        <v>792</v>
      </c>
      <c r="B147" s="47" t="s">
        <v>153</v>
      </c>
      <c r="C147" s="47" t="s">
        <v>157</v>
      </c>
      <c r="D147" s="47" t="s">
        <v>2625</v>
      </c>
      <c r="E147" s="47" t="s">
        <v>793</v>
      </c>
      <c r="F147" s="47" t="s">
        <v>794</v>
      </c>
      <c r="G147" s="47" t="s">
        <v>795</v>
      </c>
      <c r="H147" s="47" t="s">
        <v>698</v>
      </c>
      <c r="I147" s="47" t="s">
        <v>705</v>
      </c>
      <c r="J147" s="47" t="str">
        <f>=IFERROR(VLOOKUP(H147&amp;I147,Table_Fonctions!A:G,6,FALSE),"")</f>
        <v>0</v>
      </c>
      <c r="K147" s="47" t="s">
        <v>2607</v>
      </c>
      <c r="L147" s="47" t="str">
        <f>=IFERROR(VLOOKUP(H147&amp;I147,Table_Fonctions!A:G,7,FALSE),K147)</f>
        <v/>
      </c>
      <c r="M147" s="47" t="str">
        <f>=IF(OR(LEFT(D147, 3)="TJ ", LEFT(D147, 4)="CPH "), "OUI", "NON")</f>
        <v/>
      </c>
      <c r="N147" s="47" t="s">
        <v>796</v>
      </c>
      <c r="O147" s="47"/>
      <c r="P147" s="47">
        <v>0.9</v>
      </c>
      <c r="Q147" s="47">
        <v>0</v>
      </c>
      <c r="R147" s="47">
        <v>0.9</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v>
      </c>
      <c r="DL147" s="47">
        <v>0</v>
      </c>
      <c r="DM147" s="47">
        <v>0</v>
      </c>
      <c r="DN147" s="47">
        <v>0</v>
      </c>
      <c r="DO147" s="47">
        <v>0</v>
      </c>
      <c r="DP147" s="47">
        <v>0</v>
      </c>
      <c r="DQ147" s="47">
        <v>0</v>
      </c>
      <c r="DR147" s="47">
        <v>0</v>
      </c>
      <c r="DS147" s="47">
        <v>0</v>
      </c>
      <c r="DT147" s="47">
        <v>0</v>
      </c>
      <c r="DU147" s="47">
        <v>0</v>
      </c>
      <c r="DV147" s="47">
        <v>0</v>
      </c>
      <c r="DW147" s="47">
        <v>0</v>
      </c>
      <c r="DX147" s="47">
        <v>0</v>
      </c>
      <c r="DY147" s="47">
        <v>0</v>
      </c>
      <c r="DZ147" s="47">
        <v>0</v>
      </c>
      <c r="EA147" s="47">
        <v>0</v>
      </c>
      <c r="EB147" s="47"/>
      <c r="EC147" s="47">
        <v>0.9</v>
      </c>
      <c r="ZZ147" t="s">
        <v>2472</v>
      </c>
    </row>
    <row r="148" spans="1:702" x14ac:dyDescent="0.25">
      <c r="A148" s="47" t="s">
        <v>797</v>
      </c>
      <c r="B148" s="47" t="s">
        <v>153</v>
      </c>
      <c r="C148" s="47" t="s">
        <v>157</v>
      </c>
      <c r="D148" s="47" t="s">
        <v>2626</v>
      </c>
      <c r="E148" s="47" t="s">
        <v>798</v>
      </c>
      <c r="F148" s="47" t="s">
        <v>799</v>
      </c>
      <c r="G148" s="47" t="s">
        <v>800</v>
      </c>
      <c r="H148" s="47" t="s">
        <v>698</v>
      </c>
      <c r="I148" s="47" t="s">
        <v>727</v>
      </c>
      <c r="J148" s="47" t="str">
        <f>=IFERROR(VLOOKUP(H148&amp;I148,Table_Fonctions!A:G,6,FALSE),"")</f>
        <v>0</v>
      </c>
      <c r="K148" s="47" t="s">
        <v>2607</v>
      </c>
      <c r="L148" s="47" t="str">
        <f>=IFERROR(VLOOKUP(H148&amp;I148,Table_Fonctions!A:G,7,FALSE),K148)</f>
        <v/>
      </c>
      <c r="M148" s="47" t="str">
        <f>=IF(OR(LEFT(D148, 3)="TJ ", LEFT(D148, 4)="CPH "), "OUI", "NON")</f>
        <v/>
      </c>
      <c r="N148" s="47" t="s">
        <v>801</v>
      </c>
      <c r="O148" s="47"/>
      <c r="P148" s="47">
        <v>1</v>
      </c>
      <c r="Q148" s="47">
        <v>0</v>
      </c>
      <c r="R148" s="47">
        <v>1</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0</v>
      </c>
      <c r="CZ148" s="47">
        <v>0</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v>0</v>
      </c>
      <c r="EA148" s="47">
        <v>0</v>
      </c>
      <c r="EB148" s="47"/>
      <c r="EC148" s="47">
        <v>1</v>
      </c>
      <c r="ZZ148" t="s">
        <v>2472</v>
      </c>
    </row>
    <row r="149" spans="1:702" x14ac:dyDescent="0.25">
      <c r="A149" s="47" t="s">
        <v>802</v>
      </c>
      <c r="B149" s="47" t="s">
        <v>153</v>
      </c>
      <c r="C149" s="47" t="s">
        <v>157</v>
      </c>
      <c r="D149" s="47" t="s">
        <v>2627</v>
      </c>
      <c r="E149" s="47" t="s">
        <v>803</v>
      </c>
      <c r="F149" s="47" t="s">
        <v>804</v>
      </c>
      <c r="G149" s="47" t="s">
        <v>805</v>
      </c>
      <c r="H149" s="47" t="s">
        <v>698</v>
      </c>
      <c r="I149" s="47" t="s">
        <v>738</v>
      </c>
      <c r="J149" s="47" t="str">
        <f>=IFERROR(VLOOKUP(H149&amp;I149,Table_Fonctions!A:G,6,FALSE),"")</f>
        <v>0</v>
      </c>
      <c r="K149" s="47" t="s">
        <v>2607</v>
      </c>
      <c r="L149" s="47" t="str">
        <f>=IFERROR(VLOOKUP(H149&amp;I149,Table_Fonctions!A:G,7,FALSE),K149)</f>
        <v/>
      </c>
      <c r="M149" s="47" t="str">
        <f>=IF(OR(LEFT(D149, 3)="TJ ", LEFT(D149, 4)="CPH "), "OUI", "NON")</f>
        <v/>
      </c>
      <c r="N149" s="47" t="s">
        <v>806</v>
      </c>
      <c r="O149" s="47"/>
      <c r="P149" s="47">
        <v>0.5</v>
      </c>
      <c r="Q149" s="47">
        <v>0.5</v>
      </c>
      <c r="R149" s="47">
        <v>0</v>
      </c>
      <c r="S149" s="47">
        <f>=ROUND(BQ149-(BR149+BS149),3)</f>
      </c>
      <c r="T149" s="47">
        <f>=ROUND(CK149-(CL149+CM149+CN149+CO149+CP149),3)</f>
      </c>
      <c r="U149" s="47">
        <v>0.5</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0</v>
      </c>
      <c r="CZ149" s="47">
        <v>0</v>
      </c>
      <c r="DA149" s="47">
        <v>0</v>
      </c>
      <c r="DB149" s="47">
        <v>0</v>
      </c>
      <c r="DC149" s="47">
        <v>0</v>
      </c>
      <c r="DD149" s="47">
        <v>0</v>
      </c>
      <c r="DE149" s="47">
        <v>0</v>
      </c>
      <c r="DF149" s="47">
        <v>0</v>
      </c>
      <c r="DG149" s="47">
        <v>0</v>
      </c>
      <c r="DH149" s="47">
        <v>0</v>
      </c>
      <c r="DI149" s="47">
        <v>0</v>
      </c>
      <c r="DJ149" s="47">
        <v>0</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v>0</v>
      </c>
      <c r="EA149" s="47">
        <v>0</v>
      </c>
      <c r="EB149" s="47"/>
      <c r="EC149" s="47">
        <v>0.5</v>
      </c>
      <c r="ZZ149" t="s">
        <v>2472</v>
      </c>
    </row>
    <row r="150" spans="1:702" x14ac:dyDescent="0.25">
      <c r="A150" s="47" t="s">
        <v>807</v>
      </c>
      <c r="B150" s="47" t="s">
        <v>153</v>
      </c>
      <c r="C150" s="47" t="s">
        <v>157</v>
      </c>
      <c r="D150" s="47" t="s">
        <v>2628</v>
      </c>
      <c r="E150" s="47" t="s">
        <v>808</v>
      </c>
      <c r="F150" s="47" t="s">
        <v>809</v>
      </c>
      <c r="G150" s="47" t="s">
        <v>810</v>
      </c>
      <c r="H150" s="47" t="s">
        <v>698</v>
      </c>
      <c r="I150" s="47" t="s">
        <v>727</v>
      </c>
      <c r="J150" s="47" t="str">
        <f>=IFERROR(VLOOKUP(H150&amp;I150,Table_Fonctions!A:G,6,FALSE),"")</f>
        <v>0</v>
      </c>
      <c r="K150" s="47" t="s">
        <v>2607</v>
      </c>
      <c r="L150" s="47" t="str">
        <f>=IFERROR(VLOOKUP(H150&amp;I150,Table_Fonctions!A:G,7,FALSE),K150)</f>
        <v/>
      </c>
      <c r="M150" s="47" t="str">
        <f>=IF(OR(LEFT(D150, 3)="TJ ", LEFT(D150, 4)="CPH "), "OUI", "NON")</f>
        <v/>
      </c>
      <c r="N150" s="47" t="s">
        <v>811</v>
      </c>
      <c r="O150" s="47"/>
      <c r="P150" s="47">
        <v>1</v>
      </c>
      <c r="Q150" s="47">
        <v>0</v>
      </c>
      <c r="R150" s="47">
        <v>1</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v>0</v>
      </c>
      <c r="EA150" s="47">
        <v>0</v>
      </c>
      <c r="EB150" s="47"/>
      <c r="EC150" s="47">
        <v>1</v>
      </c>
      <c r="ZZ150" t="s">
        <v>2472</v>
      </c>
    </row>
    <row r="151" spans="1:702" x14ac:dyDescent="0.25">
      <c r="A151" s="47" t="s">
        <v>812</v>
      </c>
      <c r="B151" s="47" t="s">
        <v>153</v>
      </c>
      <c r="C151" s="47" t="s">
        <v>157</v>
      </c>
      <c r="D151" s="47" t="s">
        <v>2629</v>
      </c>
      <c r="E151" s="47" t="s">
        <v>813</v>
      </c>
      <c r="F151" s="47" t="s">
        <v>814</v>
      </c>
      <c r="G151" s="47" t="s">
        <v>815</v>
      </c>
      <c r="H151" s="47" t="s">
        <v>698</v>
      </c>
      <c r="I151" s="47" t="s">
        <v>727</v>
      </c>
      <c r="J151" s="47" t="str">
        <f>=IFERROR(VLOOKUP(H151&amp;I151,Table_Fonctions!A:G,6,FALSE),"")</f>
        <v>0</v>
      </c>
      <c r="K151" s="47" t="s">
        <v>2607</v>
      </c>
      <c r="L151" s="47" t="str">
        <f>=IFERROR(VLOOKUP(H151&amp;I151,Table_Fonctions!A:G,7,FALSE),K151)</f>
        <v/>
      </c>
      <c r="M151" s="47" t="str">
        <f>=IF(OR(LEFT(D151, 3)="TJ ", LEFT(D151, 4)="CPH "), "OUI", "NON")</f>
        <v/>
      </c>
      <c r="N151" s="47" t="s">
        <v>816</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v>0</v>
      </c>
      <c r="EA151" s="47">
        <v>0</v>
      </c>
      <c r="EB151" s="47"/>
      <c r="EC151" s="47">
        <v>1</v>
      </c>
      <c r="ZZ151" t="s">
        <v>2472</v>
      </c>
    </row>
    <row r="152" spans="1:702" x14ac:dyDescent="0.25">
      <c r="A152" s="47" t="s">
        <v>817</v>
      </c>
      <c r="B152" s="47" t="s">
        <v>153</v>
      </c>
      <c r="C152" s="47" t="s">
        <v>157</v>
      </c>
      <c r="D152" s="47" t="s">
        <v>2630</v>
      </c>
      <c r="E152" s="47" t="s">
        <v>818</v>
      </c>
      <c r="F152" s="47" t="s">
        <v>819</v>
      </c>
      <c r="G152" s="47" t="s">
        <v>820</v>
      </c>
      <c r="H152" s="47" t="s">
        <v>698</v>
      </c>
      <c r="I152" s="47" t="s">
        <v>2631</v>
      </c>
      <c r="J152" s="47" t="str">
        <f>=IFERROR(VLOOKUP(H152&amp;I152,Table_Fonctions!A:G,6,FALSE),"")</f>
        <v>0</v>
      </c>
      <c r="K152" s="47" t="s">
        <v>2632</v>
      </c>
      <c r="L152" s="47" t="str">
        <f>=IFERROR(VLOOKUP(H152&amp;I152,Table_Fonctions!A:G,7,FALSE),K152)</f>
        <v/>
      </c>
      <c r="M152" s="47" t="str">
        <f>=IF(OR(LEFT(D152, 3)="TJ ", LEFT(D152, 4)="CPH "), "OUI", "NON")</f>
        <v/>
      </c>
      <c r="N152" s="47" t="s">
        <v>822</v>
      </c>
      <c r="O152" s="47"/>
      <c r="P152" s="47">
        <v>0.8</v>
      </c>
      <c r="Q152" s="47">
        <v>0.8</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0.8</v>
      </c>
      <c r="CL152" s="47">
        <v>0</v>
      </c>
      <c r="CM152" s="47">
        <v>0</v>
      </c>
      <c r="CN152" s="47">
        <v>0</v>
      </c>
      <c r="CO152" s="47">
        <v>0</v>
      </c>
      <c r="CP152" s="47">
        <v>0</v>
      </c>
      <c r="CQ152" s="47">
        <v>0</v>
      </c>
      <c r="CR152" s="47">
        <v>0</v>
      </c>
      <c r="CS152" s="47">
        <v>0</v>
      </c>
      <c r="CT152" s="47">
        <v>0</v>
      </c>
      <c r="CU152" s="47">
        <v>0</v>
      </c>
      <c r="CV152" s="47">
        <v>0</v>
      </c>
      <c r="CW152" s="47">
        <v>0</v>
      </c>
      <c r="CX152" s="47">
        <v>0</v>
      </c>
      <c r="CY152" s="47">
        <v>0</v>
      </c>
      <c r="CZ152" s="47">
        <v>0</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v>0</v>
      </c>
      <c r="EA152" s="47">
        <v>0</v>
      </c>
      <c r="EB152" s="47"/>
      <c r="EC152" s="47">
        <v>0.8</v>
      </c>
      <c r="ZZ152" t="s">
        <v>2472</v>
      </c>
    </row>
    <row r="153" spans="1:702" x14ac:dyDescent="0.25">
      <c r="A153" s="47" t="s">
        <v>823</v>
      </c>
      <c r="B153" s="47" t="s">
        <v>153</v>
      </c>
      <c r="C153" s="47" t="s">
        <v>157</v>
      </c>
      <c r="D153" s="47" t="s">
        <v>2633</v>
      </c>
      <c r="E153" s="47" t="s">
        <v>824</v>
      </c>
      <c r="F153" s="47" t="s">
        <v>825</v>
      </c>
      <c r="G153" s="47" t="s">
        <v>826</v>
      </c>
      <c r="H153" s="47" t="s">
        <v>698</v>
      </c>
      <c r="I153" s="47" t="s">
        <v>727</v>
      </c>
      <c r="J153" s="47" t="str">
        <f>=IFERROR(VLOOKUP(H153&amp;I153,Table_Fonctions!A:G,6,FALSE),"")</f>
        <v>0</v>
      </c>
      <c r="K153" s="47" t="s">
        <v>2607</v>
      </c>
      <c r="L153" s="47" t="str">
        <f>=IFERROR(VLOOKUP(H153&amp;I153,Table_Fonctions!A:G,7,FALSE),K153)</f>
        <v/>
      </c>
      <c r="M153" s="47" t="str">
        <f>=IF(OR(LEFT(D153, 3)="TJ ", LEFT(D153, 4)="CPH "), "OUI", "NON")</f>
        <v/>
      </c>
      <c r="N153" s="47" t="s">
        <v>728</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v>0</v>
      </c>
      <c r="EA153" s="47">
        <v>0</v>
      </c>
      <c r="EB153" s="47"/>
      <c r="EC153" s="47">
        <v>1</v>
      </c>
      <c r="ZZ153" t="s">
        <v>2472</v>
      </c>
    </row>
    <row r="154" spans="1:702" x14ac:dyDescent="0.25">
      <c r="A154" s="47" t="s">
        <v>827</v>
      </c>
      <c r="B154" s="47" t="s">
        <v>153</v>
      </c>
      <c r="C154" s="47" t="s">
        <v>157</v>
      </c>
      <c r="D154" s="47" t="s">
        <v>2634</v>
      </c>
      <c r="E154" s="47" t="s">
        <v>828</v>
      </c>
      <c r="F154" s="47" t="s">
        <v>829</v>
      </c>
      <c r="G154" s="47" t="s">
        <v>830</v>
      </c>
      <c r="H154" s="47" t="s">
        <v>698</v>
      </c>
      <c r="I154" s="47" t="s">
        <v>727</v>
      </c>
      <c r="J154" s="47" t="str">
        <f>=IFERROR(VLOOKUP(H154&amp;I154,Table_Fonctions!A:G,6,FALSE),"")</f>
        <v>0</v>
      </c>
      <c r="K154" s="47" t="s">
        <v>2607</v>
      </c>
      <c r="L154" s="47" t="str">
        <f>=IFERROR(VLOOKUP(H154&amp;I154,Table_Fonctions!A:G,7,FALSE),K154)</f>
        <v/>
      </c>
      <c r="M154" s="47" t="str">
        <f>=IF(OR(LEFT(D154, 3)="TJ ", LEFT(D154, 4)="CPH "), "OUI", "NON")</f>
        <v/>
      </c>
      <c r="N154" s="47" t="s">
        <v>831</v>
      </c>
      <c r="O154" s="47"/>
      <c r="P154" s="47">
        <v>1</v>
      </c>
      <c r="Q154" s="47">
        <v>1</v>
      </c>
      <c r="R154" s="47">
        <v>0</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1</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v>0</v>
      </c>
      <c r="EA154" s="47">
        <v>0</v>
      </c>
      <c r="EB154" s="47"/>
      <c r="EC154" s="47">
        <v>1</v>
      </c>
      <c r="ZZ154" t="s">
        <v>2472</v>
      </c>
    </row>
    <row r="155" spans="1:702" x14ac:dyDescent="0.25">
      <c r="A155" s="47" t="s">
        <v>832</v>
      </c>
      <c r="B155" s="47" t="s">
        <v>153</v>
      </c>
      <c r="C155" s="47" t="s">
        <v>157</v>
      </c>
      <c r="D155" s="47" t="s">
        <v>2635</v>
      </c>
      <c r="E155" s="47" t="s">
        <v>833</v>
      </c>
      <c r="F155" s="47" t="s">
        <v>834</v>
      </c>
      <c r="G155" s="47" t="s">
        <v>835</v>
      </c>
      <c r="H155" s="47" t="s">
        <v>698</v>
      </c>
      <c r="I155" s="47" t="s">
        <v>705</v>
      </c>
      <c r="J155" s="47" t="str">
        <f>=IFERROR(VLOOKUP(H155&amp;I155,Table_Fonctions!A:G,6,FALSE),"")</f>
        <v>0</v>
      </c>
      <c r="K155" s="47" t="s">
        <v>2607</v>
      </c>
      <c r="L155" s="47" t="str">
        <f>=IFERROR(VLOOKUP(H155&amp;I155,Table_Fonctions!A:G,7,FALSE),K155)</f>
        <v/>
      </c>
      <c r="M155" s="47" t="str">
        <f>=IF(OR(LEFT(D155, 3)="TJ ", LEFT(D155, 4)="CPH "), "OUI", "NON")</f>
        <v/>
      </c>
      <c r="N155" s="47" t="s">
        <v>836</v>
      </c>
      <c r="O155" s="47"/>
      <c r="P155" s="47">
        <v>1</v>
      </c>
      <c r="Q155" s="47">
        <v>0</v>
      </c>
      <c r="R155" s="47">
        <v>1</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v>
      </c>
      <c r="CZ155" s="47">
        <v>0</v>
      </c>
      <c r="DA155" s="47">
        <v>0</v>
      </c>
      <c r="DB155" s="47">
        <v>0</v>
      </c>
      <c r="DC155" s="47">
        <v>0</v>
      </c>
      <c r="DD155" s="47">
        <v>0</v>
      </c>
      <c r="DE155" s="47">
        <v>0</v>
      </c>
      <c r="DF155" s="47">
        <v>0</v>
      </c>
      <c r="DG155" s="47">
        <v>0</v>
      </c>
      <c r="DH155" s="47">
        <v>0</v>
      </c>
      <c r="DI155" s="47">
        <v>0</v>
      </c>
      <c r="DJ155" s="47">
        <v>0</v>
      </c>
      <c r="DK155" s="47">
        <v>0</v>
      </c>
      <c r="DL155" s="47">
        <v>0</v>
      </c>
      <c r="DM155" s="47">
        <v>0</v>
      </c>
      <c r="DN155" s="47">
        <v>0</v>
      </c>
      <c r="DO155" s="47">
        <v>0</v>
      </c>
      <c r="DP155" s="47">
        <v>0</v>
      </c>
      <c r="DQ155" s="47">
        <v>0</v>
      </c>
      <c r="DR155" s="47">
        <v>0</v>
      </c>
      <c r="DS155" s="47">
        <v>0</v>
      </c>
      <c r="DT155" s="47">
        <v>0</v>
      </c>
      <c r="DU155" s="47">
        <v>0</v>
      </c>
      <c r="DV155" s="47">
        <v>0</v>
      </c>
      <c r="DW155" s="47">
        <v>0</v>
      </c>
      <c r="DX155" s="47">
        <v>0</v>
      </c>
      <c r="DY155" s="47">
        <v>0</v>
      </c>
      <c r="DZ155" s="47">
        <v>0</v>
      </c>
      <c r="EA155" s="47">
        <v>0</v>
      </c>
      <c r="EB155" s="47"/>
      <c r="EC155" s="47">
        <v>1</v>
      </c>
      <c r="ZZ155" t="s">
        <v>2472</v>
      </c>
    </row>
    <row r="156" spans="1:702" x14ac:dyDescent="0.25">
      <c r="A156" s="47" t="s">
        <v>837</v>
      </c>
      <c r="B156" s="47" t="s">
        <v>153</v>
      </c>
      <c r="C156" s="47" t="s">
        <v>157</v>
      </c>
      <c r="D156" s="47" t="s">
        <v>2636</v>
      </c>
      <c r="E156" s="47" t="s">
        <v>838</v>
      </c>
      <c r="F156" s="47" t="s">
        <v>839</v>
      </c>
      <c r="G156" s="47" t="s">
        <v>840</v>
      </c>
      <c r="H156" s="47" t="s">
        <v>698</v>
      </c>
      <c r="I156" s="47" t="s">
        <v>727</v>
      </c>
      <c r="J156" s="47" t="str">
        <f>=IFERROR(VLOOKUP(H156&amp;I156,Table_Fonctions!A:G,6,FALSE),"")</f>
        <v>0</v>
      </c>
      <c r="K156" s="47" t="s">
        <v>2607</v>
      </c>
      <c r="L156" s="47" t="str">
        <f>=IFERROR(VLOOKUP(H156&amp;I156,Table_Fonctions!A:G,7,FALSE),K156)</f>
        <v/>
      </c>
      <c r="M156" s="47" t="str">
        <f>=IF(OR(LEFT(D156, 3)="TJ ", LEFT(D156, 4)="CPH "), "OUI", "NON")</f>
        <v/>
      </c>
      <c r="N156" s="47" t="s">
        <v>722</v>
      </c>
      <c r="O156" s="47"/>
      <c r="P156" s="47">
        <v>1</v>
      </c>
      <c r="Q156" s="47">
        <v>0</v>
      </c>
      <c r="R156" s="47">
        <v>1</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v>0</v>
      </c>
      <c r="DZ156" s="47">
        <v>0</v>
      </c>
      <c r="EA156" s="47">
        <v>0</v>
      </c>
      <c r="EB156" s="47"/>
      <c r="EC156" s="47">
        <v>1</v>
      </c>
      <c r="ZZ156" t="s">
        <v>2472</v>
      </c>
    </row>
    <row r="157" spans="1:702" x14ac:dyDescent="0.25">
      <c r="A157" s="47" t="s">
        <v>841</v>
      </c>
      <c r="B157" s="47" t="s">
        <v>153</v>
      </c>
      <c r="C157" s="47" t="s">
        <v>157</v>
      </c>
      <c r="D157" s="47" t="s">
        <v>2637</v>
      </c>
      <c r="E157" s="47" t="s">
        <v>842</v>
      </c>
      <c r="F157" s="47" t="s">
        <v>843</v>
      </c>
      <c r="G157" s="47" t="s">
        <v>844</v>
      </c>
      <c r="H157" s="47" t="s">
        <v>698</v>
      </c>
      <c r="I157" s="47" t="s">
        <v>727</v>
      </c>
      <c r="J157" s="47" t="str">
        <f>=IFERROR(VLOOKUP(H157&amp;I157,Table_Fonctions!A:G,6,FALSE),"")</f>
        <v>0</v>
      </c>
      <c r="K157" s="47" t="s">
        <v>2607</v>
      </c>
      <c r="L157" s="47" t="str">
        <f>=IFERROR(VLOOKUP(H157&amp;I157,Table_Fonctions!A:G,7,FALSE),K157)</f>
        <v/>
      </c>
      <c r="M157" s="47" t="str">
        <f>=IF(OR(LEFT(D157, 3)="TJ ", LEFT(D157, 4)="CPH "), "OUI", "NON")</f>
        <v/>
      </c>
      <c r="N157" s="47" t="s">
        <v>836</v>
      </c>
      <c r="O157" s="47"/>
      <c r="P157" s="47">
        <v>1</v>
      </c>
      <c r="Q157" s="47">
        <v>0</v>
      </c>
      <c r="R157" s="47">
        <v>1</v>
      </c>
      <c r="S157" s="47">
        <f>=ROUND(BQ157-(BR157+BS157),3)</f>
      </c>
      <c r="T157" s="47">
        <f>=ROUND(CK157-(CL157+CM157+CN157+CO157+CP157),3)</f>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v>0</v>
      </c>
      <c r="EA157" s="47">
        <v>0</v>
      </c>
      <c r="EB157" s="47"/>
      <c r="EC157" s="47">
        <v>1</v>
      </c>
      <c r="ZZ157" t="s">
        <v>2472</v>
      </c>
    </row>
    <row r="158" spans="1:702" x14ac:dyDescent="0.25">
      <c r="A158" s="47" t="s">
        <v>845</v>
      </c>
      <c r="B158" s="47" t="s">
        <v>153</v>
      </c>
      <c r="C158" s="47" t="s">
        <v>157</v>
      </c>
      <c r="D158" s="47" t="s">
        <v>2638</v>
      </c>
      <c r="E158" s="47" t="s">
        <v>846</v>
      </c>
      <c r="F158" s="47" t="s">
        <v>847</v>
      </c>
      <c r="G158" s="47" t="s">
        <v>848</v>
      </c>
      <c r="H158" s="47" t="s">
        <v>698</v>
      </c>
      <c r="I158" s="47" t="s">
        <v>727</v>
      </c>
      <c r="J158" s="47" t="str">
        <f>=IFERROR(VLOOKUP(H158&amp;I158,Table_Fonctions!A:G,6,FALSE),"")</f>
        <v>0</v>
      </c>
      <c r="K158" s="47" t="s">
        <v>2607</v>
      </c>
      <c r="L158" s="47" t="str">
        <f>=IFERROR(VLOOKUP(H158&amp;I158,Table_Fonctions!A:G,7,FALSE),K158)</f>
        <v/>
      </c>
      <c r="M158" s="47" t="str">
        <f>=IF(OR(LEFT(D158, 3)="TJ ", LEFT(D158, 4)="CPH "), "OUI", "NON")</f>
        <v/>
      </c>
      <c r="N158" s="47" t="s">
        <v>849</v>
      </c>
      <c r="O158" s="47"/>
      <c r="P158" s="47">
        <v>1</v>
      </c>
      <c r="Q158" s="47">
        <v>0</v>
      </c>
      <c r="R158" s="47">
        <v>1</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v>0</v>
      </c>
      <c r="EA158" s="47">
        <v>0</v>
      </c>
      <c r="EB158" s="47"/>
      <c r="EC158" s="47">
        <v>1</v>
      </c>
      <c r="ZZ158" t="s">
        <v>2472</v>
      </c>
    </row>
    <row r="159" spans="1:702" x14ac:dyDescent="0.25">
      <c r="A159" s="47" t="s">
        <v>850</v>
      </c>
      <c r="B159" s="47" t="s">
        <v>153</v>
      </c>
      <c r="C159" s="47" t="s">
        <v>157</v>
      </c>
      <c r="D159" s="47" t="s">
        <v>2639</v>
      </c>
      <c r="E159" s="47" t="s">
        <v>851</v>
      </c>
      <c r="F159" s="47" t="s">
        <v>852</v>
      </c>
      <c r="G159" s="47" t="s">
        <v>853</v>
      </c>
      <c r="H159" s="47" t="s">
        <v>698</v>
      </c>
      <c r="I159" s="47" t="s">
        <v>711</v>
      </c>
      <c r="J159" s="47" t="str">
        <f>=IFERROR(VLOOKUP(H159&amp;I159,Table_Fonctions!A:G,6,FALSE),"")</f>
        <v>0</v>
      </c>
      <c r="K159" s="47" t="s">
        <v>2605</v>
      </c>
      <c r="L159" s="47" t="str">
        <f>=IFERROR(VLOOKUP(H159&amp;I159,Table_Fonctions!A:G,7,FALSE),K159)</f>
        <v/>
      </c>
      <c r="M159" s="47" t="str">
        <f>=IF(OR(LEFT(D159, 3)="TJ ", LEFT(D159, 4)="CPH "), "OUI", "NON")</f>
        <v/>
      </c>
      <c r="N159" s="47" t="s">
        <v>791</v>
      </c>
      <c r="O159" s="47"/>
      <c r="P159" s="47">
        <v>0.8</v>
      </c>
      <c r="Q159" s="47">
        <v>0.8</v>
      </c>
      <c r="R159" s="47">
        <v>0</v>
      </c>
      <c r="S159" s="47">
        <f>=ROUND(BQ159-(BR159+BS159),3)</f>
      </c>
      <c r="T159" s="47">
        <f>=ROUND(CK159-(CL159+CM159+CN159+CO159+CP159),3)</f>
      </c>
      <c r="U159" s="47">
        <v>0</v>
      </c>
      <c r="V159" s="47">
        <v>0</v>
      </c>
      <c r="W159" s="47">
        <v>0</v>
      </c>
      <c r="X159" s="47">
        <v>0</v>
      </c>
      <c r="Y159" s="47">
        <v>0</v>
      </c>
      <c r="Z159" s="47">
        <v>0.8</v>
      </c>
      <c r="AA159" s="47">
        <v>0.8</v>
      </c>
      <c r="AB159" s="47">
        <v>0</v>
      </c>
      <c r="AC159" s="47">
        <v>0</v>
      </c>
      <c r="AD159" s="47">
        <v>0</v>
      </c>
      <c r="AE159" s="47">
        <v>0</v>
      </c>
      <c r="AF159" s="47">
        <v>0</v>
      </c>
      <c r="AG159" s="47">
        <v>0</v>
      </c>
      <c r="AH159" s="47">
        <v>0</v>
      </c>
      <c r="AI159" s="47">
        <v>0</v>
      </c>
      <c r="AJ159" s="47">
        <v>0</v>
      </c>
      <c r="AK159" s="47">
        <v>0</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c r="DU159" s="47">
        <v>0</v>
      </c>
      <c r="DV159" s="47">
        <v>0</v>
      </c>
      <c r="DW159" s="47">
        <v>0</v>
      </c>
      <c r="DX159" s="47">
        <v>0</v>
      </c>
      <c r="DY159" s="47">
        <v>0</v>
      </c>
      <c r="DZ159" s="47">
        <v>0</v>
      </c>
      <c r="EA159" s="47">
        <v>0</v>
      </c>
      <c r="EB159" s="47"/>
      <c r="EC159" s="47">
        <v>0.8</v>
      </c>
      <c r="ZZ159" t="s">
        <v>2472</v>
      </c>
    </row>
    <row r="160" spans="1:702" x14ac:dyDescent="0.25">
      <c r="A160" s="47" t="s">
        <v>854</v>
      </c>
      <c r="B160" s="47" t="s">
        <v>153</v>
      </c>
      <c r="C160" s="47" t="s">
        <v>157</v>
      </c>
      <c r="D160" s="47" t="s">
        <v>2640</v>
      </c>
      <c r="E160" s="47" t="s">
        <v>855</v>
      </c>
      <c r="F160" s="47" t="s">
        <v>856</v>
      </c>
      <c r="G160" s="47" t="s">
        <v>857</v>
      </c>
      <c r="H160" s="47" t="s">
        <v>698</v>
      </c>
      <c r="I160" s="47" t="s">
        <v>727</v>
      </c>
      <c r="J160" s="47" t="str">
        <f>=IFERROR(VLOOKUP(H160&amp;I160,Table_Fonctions!A:G,6,FALSE),"")</f>
        <v>0</v>
      </c>
      <c r="K160" s="47" t="s">
        <v>2607</v>
      </c>
      <c r="L160" s="47" t="str">
        <f>=IFERROR(VLOOKUP(H160&amp;I160,Table_Fonctions!A:G,7,FALSE),K160)</f>
        <v/>
      </c>
      <c r="M160" s="47" t="str">
        <f>=IF(OR(LEFT(D160, 3)="TJ ", LEFT(D160, 4)="CPH "), "OUI", "NON")</f>
        <v/>
      </c>
      <c r="N160" s="47" t="s">
        <v>816</v>
      </c>
      <c r="O160" s="47"/>
      <c r="P160" s="47">
        <v>1</v>
      </c>
      <c r="Q160" s="47">
        <v>1</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1</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0</v>
      </c>
      <c r="CZ160" s="47">
        <v>0</v>
      </c>
      <c r="DA160" s="47">
        <v>0</v>
      </c>
      <c r="DB160" s="47">
        <v>0</v>
      </c>
      <c r="DC160" s="47">
        <v>0</v>
      </c>
      <c r="DD160" s="47">
        <v>0</v>
      </c>
      <c r="DE160" s="47">
        <v>0</v>
      </c>
      <c r="DF160" s="47">
        <v>0</v>
      </c>
      <c r="DG160" s="47">
        <v>0</v>
      </c>
      <c r="DH160" s="47">
        <v>0</v>
      </c>
      <c r="DI160" s="47">
        <v>0</v>
      </c>
      <c r="DJ160" s="47">
        <v>0</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v>0</v>
      </c>
      <c r="EA160" s="47">
        <v>0</v>
      </c>
      <c r="EB160" s="47"/>
      <c r="EC160" s="47">
        <v>1</v>
      </c>
      <c r="ZZ160" t="s">
        <v>2472</v>
      </c>
    </row>
    <row r="161" spans="1:702" x14ac:dyDescent="0.25">
      <c r="A161" s="47" t="s">
        <v>858</v>
      </c>
      <c r="B161" s="47" t="s">
        <v>153</v>
      </c>
      <c r="C161" s="47" t="s">
        <v>157</v>
      </c>
      <c r="D161" s="47" t="s">
        <v>2641</v>
      </c>
      <c r="E161" s="47" t="s">
        <v>859</v>
      </c>
      <c r="F161" s="47" t="s">
        <v>860</v>
      </c>
      <c r="G161" s="47" t="s">
        <v>861</v>
      </c>
      <c r="H161" s="47" t="s">
        <v>698</v>
      </c>
      <c r="I161" s="47" t="s">
        <v>727</v>
      </c>
      <c r="J161" s="47" t="str">
        <f>=IFERROR(VLOOKUP(H161&amp;I161,Table_Fonctions!A:G,6,FALSE),"")</f>
        <v>0</v>
      </c>
      <c r="K161" s="47" t="s">
        <v>2607</v>
      </c>
      <c r="L161" s="47" t="str">
        <f>=IFERROR(VLOOKUP(H161&amp;I161,Table_Fonctions!A:G,7,FALSE),K161)</f>
        <v/>
      </c>
      <c r="M161" s="47" t="str">
        <f>=IF(OR(LEFT(D161, 3)="TJ ", LEFT(D161, 4)="CPH "), "OUI", "NON")</f>
        <v/>
      </c>
      <c r="N161" s="47" t="s">
        <v>712</v>
      </c>
      <c r="O161" s="47"/>
      <c r="P161" s="47">
        <v>1</v>
      </c>
      <c r="Q161" s="47">
        <v>0</v>
      </c>
      <c r="R161" s="47">
        <v>1</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v>0</v>
      </c>
      <c r="EA161" s="47">
        <v>0</v>
      </c>
      <c r="EB161" s="47"/>
      <c r="EC161" s="47">
        <v>1</v>
      </c>
      <c r="ZZ161" t="s">
        <v>2472</v>
      </c>
    </row>
    <row r="162" spans="1:702" x14ac:dyDescent="0.25">
      <c r="A162" s="47" t="s">
        <v>862</v>
      </c>
      <c r="B162" s="47" t="s">
        <v>153</v>
      </c>
      <c r="C162" s="47" t="s">
        <v>157</v>
      </c>
      <c r="D162" s="47" t="s">
        <v>2642</v>
      </c>
      <c r="E162" s="47" t="s">
        <v>863</v>
      </c>
      <c r="F162" s="47" t="s">
        <v>864</v>
      </c>
      <c r="G162" s="47" t="s">
        <v>865</v>
      </c>
      <c r="H162" s="47" t="s">
        <v>698</v>
      </c>
      <c r="I162" s="47" t="s">
        <v>727</v>
      </c>
      <c r="J162" s="47" t="str">
        <f>=IFERROR(VLOOKUP(H162&amp;I162,Table_Fonctions!A:G,6,FALSE),"")</f>
        <v>0</v>
      </c>
      <c r="K162" s="47" t="s">
        <v>2607</v>
      </c>
      <c r="L162" s="47" t="str">
        <f>=IFERROR(VLOOKUP(H162&amp;I162,Table_Fonctions!A:G,7,FALSE),K162)</f>
        <v/>
      </c>
      <c r="M162" s="47" t="str">
        <f>=IF(OR(LEFT(D162, 3)="TJ ", LEFT(D162, 4)="CPH "), "OUI", "NON")</f>
        <v/>
      </c>
      <c r="N162" s="47" t="s">
        <v>866</v>
      </c>
      <c r="O162" s="47"/>
      <c r="P162" s="47">
        <v>0.9</v>
      </c>
      <c r="Q162" s="47">
        <v>0.9</v>
      </c>
      <c r="R162" s="47">
        <v>0</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0.9</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0</v>
      </c>
      <c r="CZ162" s="47">
        <v>0</v>
      </c>
      <c r="DA162" s="47">
        <v>0</v>
      </c>
      <c r="DB162" s="47">
        <v>0</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v>0</v>
      </c>
      <c r="EA162" s="47">
        <v>0</v>
      </c>
      <c r="EB162" s="47"/>
      <c r="EC162" s="47">
        <v>0.9</v>
      </c>
      <c r="ZZ162" t="s">
        <v>2472</v>
      </c>
    </row>
    <row r="163" spans="1:702" x14ac:dyDescent="0.25">
      <c r="A163" s="47" t="s">
        <v>867</v>
      </c>
      <c r="B163" s="47" t="s">
        <v>153</v>
      </c>
      <c r="C163" s="47" t="s">
        <v>157</v>
      </c>
      <c r="D163" s="47" t="s">
        <v>2643</v>
      </c>
      <c r="E163" s="47" t="s">
        <v>868</v>
      </c>
      <c r="F163" s="47" t="s">
        <v>869</v>
      </c>
      <c r="G163" s="47" t="s">
        <v>870</v>
      </c>
      <c r="H163" s="47" t="s">
        <v>698</v>
      </c>
      <c r="I163" s="47" t="s">
        <v>727</v>
      </c>
      <c r="J163" s="47" t="str">
        <f>=IFERROR(VLOOKUP(H163&amp;I163,Table_Fonctions!A:G,6,FALSE),"")</f>
        <v>0</v>
      </c>
      <c r="K163" s="47" t="s">
        <v>2607</v>
      </c>
      <c r="L163" s="47" t="str">
        <f>=IFERROR(VLOOKUP(H163&amp;I163,Table_Fonctions!A:G,7,FALSE),K163)</f>
        <v/>
      </c>
      <c r="M163" s="47" t="str">
        <f>=IF(OR(LEFT(D163, 3)="TJ ", LEFT(D163, 4)="CPH "), "OUI", "NON")</f>
        <v/>
      </c>
      <c r="N163" s="47" t="s">
        <v>871</v>
      </c>
      <c r="O163" s="47"/>
      <c r="P163" s="47">
        <v>1</v>
      </c>
      <c r="Q163" s="47">
        <v>1</v>
      </c>
      <c r="R163" s="47">
        <v>0</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1</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v>
      </c>
      <c r="DY163" s="47">
        <v>0</v>
      </c>
      <c r="DZ163" s="47">
        <v>0</v>
      </c>
      <c r="EA163" s="47">
        <v>0</v>
      </c>
      <c r="EB163" s="47"/>
      <c r="EC163" s="47">
        <v>1</v>
      </c>
      <c r="ZZ163" t="s">
        <v>2472</v>
      </c>
    </row>
    <row r="164" spans="1:702" x14ac:dyDescent="0.25">
      <c r="A164" s="47" t="s">
        <v>872</v>
      </c>
      <c r="B164" s="47" t="s">
        <v>153</v>
      </c>
      <c r="C164" s="47" t="s">
        <v>157</v>
      </c>
      <c r="D164" s="47" t="s">
        <v>2644</v>
      </c>
      <c r="E164" s="47" t="s">
        <v>873</v>
      </c>
      <c r="F164" s="47" t="s">
        <v>874</v>
      </c>
      <c r="G164" s="47" t="s">
        <v>875</v>
      </c>
      <c r="H164" s="47" t="s">
        <v>698</v>
      </c>
      <c r="I164" s="47" t="s">
        <v>705</v>
      </c>
      <c r="J164" s="47" t="str">
        <f>=IFERROR(VLOOKUP(H164&amp;I164,Table_Fonctions!A:G,6,FALSE),"")</f>
        <v>0</v>
      </c>
      <c r="K164" s="47" t="s">
        <v>2607</v>
      </c>
      <c r="L164" s="47" t="str">
        <f>=IFERROR(VLOOKUP(H164&amp;I164,Table_Fonctions!A:G,7,FALSE),K164)</f>
        <v/>
      </c>
      <c r="M164" s="47" t="str">
        <f>=IF(OR(LEFT(D164, 3)="TJ ", LEFT(D164, 4)="CPH "), "OUI", "NON")</f>
        <v/>
      </c>
      <c r="N164" s="47" t="s">
        <v>876</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v>0</v>
      </c>
      <c r="EA164" s="47">
        <v>0</v>
      </c>
      <c r="EB164" s="47"/>
      <c r="EC164" s="47">
        <v>1</v>
      </c>
      <c r="ZZ164" t="s">
        <v>2472</v>
      </c>
    </row>
    <row r="165" spans="1:702" x14ac:dyDescent="0.25">
      <c r="A165" s="47" t="s">
        <v>877</v>
      </c>
      <c r="B165" s="47" t="s">
        <v>153</v>
      </c>
      <c r="C165" s="47" t="s">
        <v>157</v>
      </c>
      <c r="D165" s="47" t="s">
        <v>2645</v>
      </c>
      <c r="E165" s="47" t="s">
        <v>878</v>
      </c>
      <c r="F165" s="47" t="s">
        <v>879</v>
      </c>
      <c r="G165" s="47" t="s">
        <v>880</v>
      </c>
      <c r="H165" s="47" t="s">
        <v>698</v>
      </c>
      <c r="I165" s="47" t="s">
        <v>705</v>
      </c>
      <c r="J165" s="47" t="str">
        <f>=IFERROR(VLOOKUP(H165&amp;I165,Table_Fonctions!A:G,6,FALSE),"")</f>
        <v>0</v>
      </c>
      <c r="K165" s="47" t="s">
        <v>2607</v>
      </c>
      <c r="L165" s="47" t="str">
        <f>=IFERROR(VLOOKUP(H165&amp;I165,Table_Fonctions!A:G,7,FALSE),K165)</f>
        <v/>
      </c>
      <c r="M165" s="47" t="str">
        <f>=IF(OR(LEFT(D165, 3)="TJ ", LEFT(D165, 4)="CPH "), "OUI", "NON")</f>
        <v/>
      </c>
      <c r="N165" s="47" t="s">
        <v>881</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v>0</v>
      </c>
      <c r="EA165" s="47">
        <v>0</v>
      </c>
      <c r="EB165" s="47"/>
      <c r="EC165" s="47">
        <v>1</v>
      </c>
      <c r="ZZ165" t="s">
        <v>2472</v>
      </c>
    </row>
    <row r="166" spans="1:702" x14ac:dyDescent="0.25">
      <c r="A166" s="47" t="s">
        <v>882</v>
      </c>
      <c r="B166" s="47" t="s">
        <v>153</v>
      </c>
      <c r="C166" s="47" t="s">
        <v>157</v>
      </c>
      <c r="D166" s="47" t="s">
        <v>2646</v>
      </c>
      <c r="E166" s="47" t="s">
        <v>883</v>
      </c>
      <c r="F166" s="47" t="s">
        <v>884</v>
      </c>
      <c r="G166" s="47" t="s">
        <v>885</v>
      </c>
      <c r="H166" s="47" t="s">
        <v>698</v>
      </c>
      <c r="I166" s="47" t="s">
        <v>727</v>
      </c>
      <c r="J166" s="47" t="str">
        <f>=IFERROR(VLOOKUP(H166&amp;I166,Table_Fonctions!A:G,6,FALSE),"")</f>
        <v>0</v>
      </c>
      <c r="K166" s="47" t="s">
        <v>2607</v>
      </c>
      <c r="L166" s="47" t="str">
        <f>=IFERROR(VLOOKUP(H166&amp;I166,Table_Fonctions!A:G,7,FALSE),K166)</f>
        <v/>
      </c>
      <c r="M166" s="47" t="str">
        <f>=IF(OR(LEFT(D166, 3)="TJ ", LEFT(D166, 4)="CPH "), "OUI", "NON")</f>
        <v/>
      </c>
      <c r="N166" s="47" t="s">
        <v>739</v>
      </c>
      <c r="O166" s="47"/>
      <c r="P166" s="47">
        <v>0.8</v>
      </c>
      <c r="Q166" s="47">
        <v>0</v>
      </c>
      <c r="R166" s="47">
        <v>0.8</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v>0</v>
      </c>
      <c r="EA166" s="47">
        <v>0</v>
      </c>
      <c r="EB166" s="47"/>
      <c r="EC166" s="47">
        <v>0.8</v>
      </c>
      <c r="ZZ166" t="s">
        <v>2472</v>
      </c>
    </row>
    <row r="167" spans="1:702" x14ac:dyDescent="0.25">
      <c r="A167" s="47" t="s">
        <v>886</v>
      </c>
      <c r="B167" s="47" t="s">
        <v>153</v>
      </c>
      <c r="C167" s="47" t="s">
        <v>157</v>
      </c>
      <c r="D167" s="47" t="s">
        <v>2647</v>
      </c>
      <c r="E167" s="47" t="s">
        <v>887</v>
      </c>
      <c r="F167" s="47" t="s">
        <v>888</v>
      </c>
      <c r="G167" s="47" t="s">
        <v>889</v>
      </c>
      <c r="H167" s="47" t="s">
        <v>698</v>
      </c>
      <c r="I167" s="47" t="s">
        <v>705</v>
      </c>
      <c r="J167" s="47" t="str">
        <f>=IFERROR(VLOOKUP(H167&amp;I167,Table_Fonctions!A:G,6,FALSE),"")</f>
        <v>0</v>
      </c>
      <c r="K167" s="47" t="s">
        <v>2607</v>
      </c>
      <c r="L167" s="47" t="str">
        <f>=IFERROR(VLOOKUP(H167&amp;I167,Table_Fonctions!A:G,7,FALSE),K167)</f>
        <v/>
      </c>
      <c r="M167" s="47" t="str">
        <f>=IF(OR(LEFT(D167, 3)="TJ ", LEFT(D167, 4)="CPH "), "OUI", "NON")</f>
        <v/>
      </c>
      <c r="N167" s="47" t="s">
        <v>717</v>
      </c>
      <c r="O167" s="47"/>
      <c r="P167" s="47">
        <v>1</v>
      </c>
      <c r="Q167" s="47">
        <v>0</v>
      </c>
      <c r="R167" s="47">
        <v>1</v>
      </c>
      <c r="S167" s="47">
        <f>=ROUND(BQ167-(BR167+BS167),3)</f>
      </c>
      <c r="T167" s="47">
        <f>=ROUND(CK167-(CL167+CM167+CN167+CO167+CP167),3)</f>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v>
      </c>
      <c r="CZ167" s="47">
        <v>0</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v>0</v>
      </c>
      <c r="EA167" s="47">
        <v>0</v>
      </c>
      <c r="EB167" s="47"/>
      <c r="EC167" s="47">
        <v>1</v>
      </c>
      <c r="ZZ167" t="s">
        <v>2472</v>
      </c>
    </row>
    <row r="168" spans="1:702" x14ac:dyDescent="0.25">
      <c r="A168" s="47" t="s">
        <v>890</v>
      </c>
      <c r="B168" s="47" t="s">
        <v>153</v>
      </c>
      <c r="C168" s="47" t="s">
        <v>157</v>
      </c>
      <c r="D168" s="47" t="s">
        <v>2648</v>
      </c>
      <c r="E168" s="47" t="s">
        <v>891</v>
      </c>
      <c r="F168" s="47" t="s">
        <v>892</v>
      </c>
      <c r="G168" s="47" t="s">
        <v>893</v>
      </c>
      <c r="H168" s="47" t="s">
        <v>698</v>
      </c>
      <c r="I168" s="47" t="s">
        <v>727</v>
      </c>
      <c r="J168" s="47" t="str">
        <f>=IFERROR(VLOOKUP(H168&amp;I168,Table_Fonctions!A:G,6,FALSE),"")</f>
        <v>0</v>
      </c>
      <c r="K168" s="47" t="s">
        <v>2607</v>
      </c>
      <c r="L168" s="47" t="str">
        <f>=IFERROR(VLOOKUP(H168&amp;I168,Table_Fonctions!A:G,7,FALSE),K168)</f>
        <v/>
      </c>
      <c r="M168" s="47" t="str">
        <f>=IF(OR(LEFT(D168, 3)="TJ ", LEFT(D168, 4)="CPH "), "OUI", "NON")</f>
        <v/>
      </c>
      <c r="N168" s="47" t="s">
        <v>763</v>
      </c>
      <c r="O168" s="47"/>
      <c r="P168" s="47">
        <v>1</v>
      </c>
      <c r="Q168" s="47">
        <v>1</v>
      </c>
      <c r="R168" s="47">
        <v>0</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1</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v>0</v>
      </c>
      <c r="EA168" s="47">
        <v>0</v>
      </c>
      <c r="EB168" s="47"/>
      <c r="EC168" s="47">
        <v>1</v>
      </c>
      <c r="ZZ168" t="s">
        <v>2472</v>
      </c>
    </row>
    <row r="169" spans="1:702" x14ac:dyDescent="0.25">
      <c r="A169" s="47" t="s">
        <v>894</v>
      </c>
      <c r="B169" s="47" t="s">
        <v>153</v>
      </c>
      <c r="C169" s="47" t="s">
        <v>157</v>
      </c>
      <c r="D169" s="47" t="s">
        <v>2649</v>
      </c>
      <c r="E169" s="47" t="s">
        <v>895</v>
      </c>
      <c r="F169" s="47" t="s">
        <v>896</v>
      </c>
      <c r="G169" s="47" t="s">
        <v>897</v>
      </c>
      <c r="H169" s="47" t="s">
        <v>698</v>
      </c>
      <c r="I169" s="47" t="s">
        <v>727</v>
      </c>
      <c r="J169" s="47" t="str">
        <f>=IFERROR(VLOOKUP(H169&amp;I169,Table_Fonctions!A:G,6,FALSE),"")</f>
        <v>0</v>
      </c>
      <c r="K169" s="47" t="s">
        <v>2607</v>
      </c>
      <c r="L169" s="47" t="str">
        <f>=IFERROR(VLOOKUP(H169&amp;I169,Table_Fonctions!A:G,7,FALSE),K169)</f>
        <v/>
      </c>
      <c r="M169" s="47" t="str">
        <f>=IF(OR(LEFT(D169, 3)="TJ ", LEFT(D169, 4)="CPH "), "OUI", "NON")</f>
        <v/>
      </c>
      <c r="N169" s="47" t="s">
        <v>739</v>
      </c>
      <c r="O169" s="47"/>
      <c r="P169" s="47">
        <v>0.8</v>
      </c>
      <c r="Q169" s="47">
        <v>0.8</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0.8</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v>
      </c>
      <c r="DL169" s="47">
        <v>0</v>
      </c>
      <c r="DM169" s="47">
        <v>0</v>
      </c>
      <c r="DN169" s="47">
        <v>0</v>
      </c>
      <c r="DO169" s="47">
        <v>0</v>
      </c>
      <c r="DP169" s="47">
        <v>0</v>
      </c>
      <c r="DQ169" s="47">
        <v>0</v>
      </c>
      <c r="DR169" s="47">
        <v>0</v>
      </c>
      <c r="DS169" s="47">
        <v>0</v>
      </c>
      <c r="DT169" s="47">
        <v>0</v>
      </c>
      <c r="DU169" s="47">
        <v>0</v>
      </c>
      <c r="DV169" s="47">
        <v>0</v>
      </c>
      <c r="DW169" s="47">
        <v>0</v>
      </c>
      <c r="DX169" s="47">
        <v>0</v>
      </c>
      <c r="DY169" s="47">
        <v>0</v>
      </c>
      <c r="DZ169" s="47">
        <v>0</v>
      </c>
      <c r="EA169" s="47">
        <v>0</v>
      </c>
      <c r="EB169" s="47"/>
      <c r="EC169" s="47">
        <v>0.8</v>
      </c>
      <c r="ZZ169" t="s">
        <v>2472</v>
      </c>
    </row>
    <row r="170" spans="1:702" x14ac:dyDescent="0.25">
      <c r="A170" s="47" t="s">
        <v>898</v>
      </c>
      <c r="B170" s="47" t="s">
        <v>153</v>
      </c>
      <c r="C170" s="47" t="s">
        <v>157</v>
      </c>
      <c r="D170" s="47" t="s">
        <v>2650</v>
      </c>
      <c r="E170" s="47" t="s">
        <v>899</v>
      </c>
      <c r="F170" s="47" t="s">
        <v>900</v>
      </c>
      <c r="G170" s="47" t="s">
        <v>901</v>
      </c>
      <c r="H170" s="47" t="s">
        <v>698</v>
      </c>
      <c r="I170" s="47" t="s">
        <v>727</v>
      </c>
      <c r="J170" s="47" t="str">
        <f>=IFERROR(VLOOKUP(H170&amp;I170,Table_Fonctions!A:G,6,FALSE),"")</f>
        <v>0</v>
      </c>
      <c r="K170" s="47" t="s">
        <v>2607</v>
      </c>
      <c r="L170" s="47" t="str">
        <f>=IFERROR(VLOOKUP(H170&amp;I170,Table_Fonctions!A:G,7,FALSE),K170)</f>
        <v/>
      </c>
      <c r="M170" s="47" t="str">
        <f>=IF(OR(LEFT(D170, 3)="TJ ", LEFT(D170, 4)="CPH "), "OUI", "NON")</f>
        <v/>
      </c>
      <c r="N170" s="47" t="s">
        <v>902</v>
      </c>
      <c r="O170" s="47"/>
      <c r="P170" s="47">
        <v>1</v>
      </c>
      <c r="Q170" s="47">
        <v>1</v>
      </c>
      <c r="R170" s="47">
        <v>0</v>
      </c>
      <c r="S170" s="47">
        <f>=ROUND(BQ170-(BR170+BS170),3)</f>
      </c>
      <c r="T170" s="47">
        <f>=ROUND(CK170-(CL170+CM170+CN170+CO170+CP170),3)</f>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v>
      </c>
      <c r="AK170" s="47">
        <v>0</v>
      </c>
      <c r="AL170" s="47">
        <v>0</v>
      </c>
      <c r="AM170" s="47">
        <v>0</v>
      </c>
      <c r="AN170" s="47">
        <v>0</v>
      </c>
      <c r="AO170" s="47">
        <v>0</v>
      </c>
      <c r="AP170" s="47">
        <v>0</v>
      </c>
      <c r="AQ170" s="47">
        <v>0</v>
      </c>
      <c r="AR170" s="47">
        <v>0</v>
      </c>
      <c r="AS170" s="47">
        <v>1</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v>0</v>
      </c>
      <c r="EA170" s="47">
        <v>0</v>
      </c>
      <c r="EB170" s="47"/>
      <c r="EC170" s="47">
        <v>1</v>
      </c>
      <c r="ZZ170" t="s">
        <v>2472</v>
      </c>
    </row>
    <row r="171" spans="1:702" x14ac:dyDescent="0.25">
      <c r="A171" s="47" t="s">
        <v>903</v>
      </c>
      <c r="B171" s="47" t="s">
        <v>153</v>
      </c>
      <c r="C171" s="47" t="s">
        <v>157</v>
      </c>
      <c r="D171" s="47" t="s">
        <v>2651</v>
      </c>
      <c r="E171" s="47" t="s">
        <v>904</v>
      </c>
      <c r="F171" s="47" t="s">
        <v>905</v>
      </c>
      <c r="G171" s="47" t="s">
        <v>906</v>
      </c>
      <c r="H171" s="47" t="s">
        <v>698</v>
      </c>
      <c r="I171" s="47" t="s">
        <v>705</v>
      </c>
      <c r="J171" s="47" t="str">
        <f>=IFERROR(VLOOKUP(H171&amp;I171,Table_Fonctions!A:G,6,FALSE),"")</f>
        <v>0</v>
      </c>
      <c r="K171" s="47" t="s">
        <v>2607</v>
      </c>
      <c r="L171" s="47" t="str">
        <f>=IFERROR(VLOOKUP(H171&amp;I171,Table_Fonctions!A:G,7,FALSE),K171)</f>
        <v/>
      </c>
      <c r="M171" s="47" t="str">
        <f>=IF(OR(LEFT(D171, 3)="TJ ", LEFT(D171, 4)="CPH "), "OUI", "NON")</f>
        <v/>
      </c>
      <c r="N171" s="47" t="s">
        <v>907</v>
      </c>
      <c r="O171" s="47"/>
      <c r="P171" s="47">
        <v>1</v>
      </c>
      <c r="Q171" s="47">
        <v>0</v>
      </c>
      <c r="R171" s="47">
        <v>1</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v>
      </c>
      <c r="BU171" s="47">
        <v>0</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v>
      </c>
      <c r="CZ171" s="47">
        <v>0</v>
      </c>
      <c r="DA171" s="47">
        <v>0</v>
      </c>
      <c r="DB171" s="47">
        <v>0</v>
      </c>
      <c r="DC171" s="47">
        <v>0</v>
      </c>
      <c r="DD171" s="47">
        <v>0</v>
      </c>
      <c r="DE171" s="47">
        <v>0</v>
      </c>
      <c r="DF171" s="47">
        <v>0</v>
      </c>
      <c r="DG171" s="47">
        <v>0</v>
      </c>
      <c r="DH171" s="47">
        <v>0</v>
      </c>
      <c r="DI171" s="47">
        <v>0</v>
      </c>
      <c r="DJ171" s="47">
        <v>0</v>
      </c>
      <c r="DK171" s="47">
        <v>0</v>
      </c>
      <c r="DL171" s="47">
        <v>0</v>
      </c>
      <c r="DM171" s="47">
        <v>0</v>
      </c>
      <c r="DN171" s="47">
        <v>0</v>
      </c>
      <c r="DO171" s="47">
        <v>0</v>
      </c>
      <c r="DP171" s="47">
        <v>0</v>
      </c>
      <c r="DQ171" s="47">
        <v>0</v>
      </c>
      <c r="DR171" s="47">
        <v>0</v>
      </c>
      <c r="DS171" s="47">
        <v>0</v>
      </c>
      <c r="DT171" s="47">
        <v>0</v>
      </c>
      <c r="DU171" s="47">
        <v>0</v>
      </c>
      <c r="DV171" s="47">
        <v>0</v>
      </c>
      <c r="DW171" s="47">
        <v>0</v>
      </c>
      <c r="DX171" s="47">
        <v>0</v>
      </c>
      <c r="DY171" s="47">
        <v>0</v>
      </c>
      <c r="DZ171" s="47">
        <v>0</v>
      </c>
      <c r="EA171" s="47">
        <v>0</v>
      </c>
      <c r="EB171" s="47"/>
      <c r="EC171" s="47">
        <v>1</v>
      </c>
      <c r="ZZ171" t="s">
        <v>2472</v>
      </c>
    </row>
    <row r="172" spans="1:702" x14ac:dyDescent="0.25">
      <c r="A172" s="47" t="s">
        <v>908</v>
      </c>
      <c r="B172" s="47" t="s">
        <v>153</v>
      </c>
      <c r="C172" s="47" t="s">
        <v>157</v>
      </c>
      <c r="D172" s="47" t="s">
        <v>2652</v>
      </c>
      <c r="E172" s="47" t="s">
        <v>909</v>
      </c>
      <c r="F172" s="47" t="s">
        <v>910</v>
      </c>
      <c r="G172" s="47" t="s">
        <v>911</v>
      </c>
      <c r="H172" s="47" t="s">
        <v>698</v>
      </c>
      <c r="I172" s="47" t="s">
        <v>705</v>
      </c>
      <c r="J172" s="47" t="str">
        <f>=IFERROR(VLOOKUP(H172&amp;I172,Table_Fonctions!A:G,6,FALSE),"")</f>
        <v>0</v>
      </c>
      <c r="K172" s="47" t="s">
        <v>2607</v>
      </c>
      <c r="L172" s="47" t="str">
        <f>=IFERROR(VLOOKUP(H172&amp;I172,Table_Fonctions!A:G,7,FALSE),K172)</f>
        <v/>
      </c>
      <c r="M172" s="47" t="str">
        <f>=IF(OR(LEFT(D172, 3)="TJ ", LEFT(D172, 4)="CPH "), "OUI", "NON")</f>
        <v/>
      </c>
      <c r="N172" s="47" t="s">
        <v>763</v>
      </c>
      <c r="O172" s="47"/>
      <c r="P172" s="47">
        <v>1</v>
      </c>
      <c r="Q172" s="47">
        <v>0</v>
      </c>
      <c r="R172" s="47">
        <v>1</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v>0</v>
      </c>
      <c r="EA172" s="47">
        <v>0</v>
      </c>
      <c r="EB172" s="47"/>
      <c r="EC172" s="47">
        <v>1</v>
      </c>
      <c r="ZZ172" t="s">
        <v>2472</v>
      </c>
    </row>
    <row r="173" spans="1:702" x14ac:dyDescent="0.25">
      <c r="A173" s="47" t="s">
        <v>912</v>
      </c>
      <c r="B173" s="47" t="s">
        <v>153</v>
      </c>
      <c r="C173" s="47" t="s">
        <v>157</v>
      </c>
      <c r="D173" s="47" t="s">
        <v>2653</v>
      </c>
      <c r="E173" s="47" t="s">
        <v>913</v>
      </c>
      <c r="F173" s="47" t="s">
        <v>914</v>
      </c>
      <c r="G173" s="47" t="s">
        <v>915</v>
      </c>
      <c r="H173" s="47" t="s">
        <v>698</v>
      </c>
      <c r="I173" s="47" t="s">
        <v>727</v>
      </c>
      <c r="J173" s="47" t="str">
        <f>=IFERROR(VLOOKUP(H173&amp;I173,Table_Fonctions!A:G,6,FALSE),"")</f>
        <v>0</v>
      </c>
      <c r="K173" s="47" t="s">
        <v>2607</v>
      </c>
      <c r="L173" s="47" t="str">
        <f>=IFERROR(VLOOKUP(H173&amp;I173,Table_Fonctions!A:G,7,FALSE),K173)</f>
        <v/>
      </c>
      <c r="M173" s="47" t="str">
        <f>=IF(OR(LEFT(D173, 3)="TJ ", LEFT(D173, 4)="CPH "), "OUI", "NON")</f>
        <v/>
      </c>
      <c r="N173" s="47" t="s">
        <v>916</v>
      </c>
      <c r="O173" s="47"/>
      <c r="P173" s="47">
        <v>1</v>
      </c>
      <c r="Q173" s="47">
        <v>0</v>
      </c>
      <c r="R173" s="47">
        <v>1</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v>
      </c>
      <c r="DY173" s="47">
        <v>0</v>
      </c>
      <c r="DZ173" s="47">
        <v>0</v>
      </c>
      <c r="EA173" s="47">
        <v>0</v>
      </c>
      <c r="EB173" s="47"/>
      <c r="EC173" s="47">
        <v>1</v>
      </c>
      <c r="ZZ173" t="s">
        <v>2472</v>
      </c>
    </row>
    <row r="174" spans="1:702" x14ac:dyDescent="0.25">
      <c r="A174" s="47" t="s">
        <v>917</v>
      </c>
      <c r="B174" s="47" t="s">
        <v>153</v>
      </c>
      <c r="C174" s="47" t="s">
        <v>157</v>
      </c>
      <c r="D174" s="47" t="s">
        <v>2654</v>
      </c>
      <c r="E174" s="47" t="s">
        <v>918</v>
      </c>
      <c r="F174" s="47" t="s">
        <v>919</v>
      </c>
      <c r="G174" s="47" t="s">
        <v>920</v>
      </c>
      <c r="H174" s="47" t="s">
        <v>698</v>
      </c>
      <c r="I174" s="47" t="s">
        <v>727</v>
      </c>
      <c r="J174" s="47" t="str">
        <f>=IFERROR(VLOOKUP(H174&amp;I174,Table_Fonctions!A:G,6,FALSE),"")</f>
        <v>0</v>
      </c>
      <c r="K174" s="47" t="s">
        <v>2607</v>
      </c>
      <c r="L174" s="47" t="str">
        <f>=IFERROR(VLOOKUP(H174&amp;I174,Table_Fonctions!A:G,7,FALSE),K174)</f>
        <v/>
      </c>
      <c r="M174" s="47" t="str">
        <f>=IF(OR(LEFT(D174, 3)="TJ ", LEFT(D174, 4)="CPH "), "OUI", "NON")</f>
        <v/>
      </c>
      <c r="N174" s="47" t="s">
        <v>849</v>
      </c>
      <c r="O174" s="47"/>
      <c r="P174" s="47">
        <v>1</v>
      </c>
      <c r="Q174" s="47">
        <v>0</v>
      </c>
      <c r="R174" s="47">
        <v>1</v>
      </c>
      <c r="S174" s="47">
        <f>=ROUND(BQ174-(BR174+BS174),3)</f>
      </c>
      <c r="T174" s="47">
        <f>=ROUND(CK174-(CL174+CM174+CN174+CO174+CP174),3)</f>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v>
      </c>
      <c r="DV174" s="47">
        <v>0</v>
      </c>
      <c r="DW174" s="47">
        <v>0</v>
      </c>
      <c r="DX174" s="47">
        <v>0</v>
      </c>
      <c r="DY174" s="47">
        <v>0</v>
      </c>
      <c r="DZ174" s="47">
        <v>0</v>
      </c>
      <c r="EA174" s="47">
        <v>0</v>
      </c>
      <c r="EB174" s="47"/>
      <c r="EC174" s="47">
        <v>1</v>
      </c>
      <c r="ZZ174" t="s">
        <v>2472</v>
      </c>
    </row>
    <row r="175" spans="1:702" x14ac:dyDescent="0.25">
      <c r="A175" s="47" t="s">
        <v>921</v>
      </c>
      <c r="B175" s="47" t="s">
        <v>153</v>
      </c>
      <c r="C175" s="47" t="s">
        <v>157</v>
      </c>
      <c r="D175" s="47" t="s">
        <v>2655</v>
      </c>
      <c r="E175" s="47" t="s">
        <v>922</v>
      </c>
      <c r="F175" s="47" t="s">
        <v>923</v>
      </c>
      <c r="G175" s="47" t="s">
        <v>924</v>
      </c>
      <c r="H175" s="47" t="s">
        <v>698</v>
      </c>
      <c r="I175" s="47" t="s">
        <v>727</v>
      </c>
      <c r="J175" s="47" t="str">
        <f>=IFERROR(VLOOKUP(H175&amp;I175,Table_Fonctions!A:G,6,FALSE),"")</f>
        <v>0</v>
      </c>
      <c r="K175" s="47" t="s">
        <v>2607</v>
      </c>
      <c r="L175" s="47" t="str">
        <f>=IFERROR(VLOOKUP(H175&amp;I175,Table_Fonctions!A:G,7,FALSE),K175)</f>
        <v/>
      </c>
      <c r="M175" s="47" t="str">
        <f>=IF(OR(LEFT(D175, 3)="TJ ", LEFT(D175, 4)="CPH "), "OUI", "NON")</f>
        <v/>
      </c>
      <c r="N175" s="47" t="s">
        <v>916</v>
      </c>
      <c r="O175" s="47"/>
      <c r="P175" s="47">
        <v>1</v>
      </c>
      <c r="Q175" s="47">
        <v>1</v>
      </c>
      <c r="R175" s="47">
        <v>0</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1</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v>0</v>
      </c>
      <c r="EA175" s="47">
        <v>0</v>
      </c>
      <c r="EB175" s="47"/>
      <c r="EC175" s="47">
        <v>1</v>
      </c>
      <c r="ZZ175" t="s">
        <v>2472</v>
      </c>
    </row>
    <row r="176" spans="1:702" x14ac:dyDescent="0.25">
      <c r="A176" s="47" t="s">
        <v>925</v>
      </c>
      <c r="B176" s="47" t="s">
        <v>153</v>
      </c>
      <c r="C176" s="47" t="s">
        <v>157</v>
      </c>
      <c r="D176" s="47" t="s">
        <v>2656</v>
      </c>
      <c r="E176" s="47" t="s">
        <v>926</v>
      </c>
      <c r="F176" s="47" t="s">
        <v>927</v>
      </c>
      <c r="G176" s="47" t="s">
        <v>928</v>
      </c>
      <c r="H176" s="47" t="s">
        <v>698</v>
      </c>
      <c r="I176" s="47" t="s">
        <v>727</v>
      </c>
      <c r="J176" s="47" t="str">
        <f>=IFERROR(VLOOKUP(H176&amp;I176,Table_Fonctions!A:G,6,FALSE),"")</f>
        <v>0</v>
      </c>
      <c r="K176" s="47" t="s">
        <v>2607</v>
      </c>
      <c r="L176" s="47" t="str">
        <f>=IFERROR(VLOOKUP(H176&amp;I176,Table_Fonctions!A:G,7,FALSE),K176)</f>
        <v/>
      </c>
      <c r="M176" s="47" t="str">
        <f>=IF(OR(LEFT(D176, 3)="TJ ", LEFT(D176, 4)="CPH "), "OUI", "NON")</f>
        <v/>
      </c>
      <c r="N176" s="47" t="s">
        <v>929</v>
      </c>
      <c r="O176" s="47"/>
      <c r="P176" s="47">
        <v>1</v>
      </c>
      <c r="Q176" s="47">
        <v>0</v>
      </c>
      <c r="R176" s="47">
        <v>1</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v>0</v>
      </c>
      <c r="EA176" s="47">
        <v>0</v>
      </c>
      <c r="EB176" s="47"/>
      <c r="EC176" s="47">
        <v>1</v>
      </c>
      <c r="ZZ176" t="s">
        <v>2472</v>
      </c>
    </row>
    <row r="177" spans="1:702" x14ac:dyDescent="0.25">
      <c r="A177" s="47" t="s">
        <v>930</v>
      </c>
      <c r="B177" s="47" t="s">
        <v>153</v>
      </c>
      <c r="C177" s="47" t="s">
        <v>157</v>
      </c>
      <c r="D177" s="47" t="s">
        <v>2657</v>
      </c>
      <c r="E177" s="47" t="s">
        <v>931</v>
      </c>
      <c r="F177" s="47" t="s">
        <v>932</v>
      </c>
      <c r="G177" s="47" t="s">
        <v>933</v>
      </c>
      <c r="H177" s="47" t="s">
        <v>698</v>
      </c>
      <c r="I177" s="47" t="s">
        <v>727</v>
      </c>
      <c r="J177" s="47" t="str">
        <f>=IFERROR(VLOOKUP(H177&amp;I177,Table_Fonctions!A:G,6,FALSE),"")</f>
        <v>0</v>
      </c>
      <c r="K177" s="47" t="s">
        <v>2607</v>
      </c>
      <c r="L177" s="47" t="str">
        <f>=IFERROR(VLOOKUP(H177&amp;I177,Table_Fonctions!A:G,7,FALSE),K177)</f>
        <v/>
      </c>
      <c r="M177" s="47" t="str">
        <f>=IF(OR(LEFT(D177, 3)="TJ ", LEFT(D177, 4)="CPH "), "OUI", "NON")</f>
        <v/>
      </c>
      <c r="N177" s="47" t="s">
        <v>801</v>
      </c>
      <c r="O177" s="47"/>
      <c r="P177" s="47">
        <v>1</v>
      </c>
      <c r="Q177" s="47">
        <v>1</v>
      </c>
      <c r="R177" s="47">
        <v>0</v>
      </c>
      <c r="S177" s="47">
        <f>=ROUND(BQ177-(BR177+BS177),3)</f>
      </c>
      <c r="T177" s="47">
        <f>=ROUND(CK177-(CL177+CM177+CN177+CO177+CP177),3)</f>
      </c>
      <c r="U177" s="47">
        <v>0</v>
      </c>
      <c r="V177" s="47">
        <v>0</v>
      </c>
      <c r="W177" s="47">
        <v>0</v>
      </c>
      <c r="X177" s="47">
        <v>0</v>
      </c>
      <c r="Y177" s="47">
        <v>0</v>
      </c>
      <c r="Z177" s="47">
        <v>0.9</v>
      </c>
      <c r="AA177" s="47">
        <v>0.9</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v>
      </c>
      <c r="BU177" s="47">
        <v>0</v>
      </c>
      <c r="BV177" s="47">
        <v>0</v>
      </c>
      <c r="BW177" s="47">
        <v>0</v>
      </c>
      <c r="BX177" s="47">
        <v>0</v>
      </c>
      <c r="BY177" s="47">
        <v>0</v>
      </c>
      <c r="BZ177" s="47">
        <v>0</v>
      </c>
      <c r="CA177" s="47">
        <v>0</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0.1</v>
      </c>
      <c r="CZ177" s="47">
        <v>0.1</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v>0</v>
      </c>
      <c r="EA177" s="47">
        <v>0</v>
      </c>
      <c r="EB177" s="47"/>
      <c r="EC177" s="47">
        <v>1</v>
      </c>
      <c r="ZZ177" t="s">
        <v>2472</v>
      </c>
    </row>
    <row r="178" spans="1:702" x14ac:dyDescent="0.25">
      <c r="A178" s="47" t="s">
        <v>934</v>
      </c>
      <c r="B178" s="47" t="s">
        <v>153</v>
      </c>
      <c r="C178" s="47" t="s">
        <v>157</v>
      </c>
      <c r="D178" s="47" t="s">
        <v>2658</v>
      </c>
      <c r="E178" s="47" t="s">
        <v>935</v>
      </c>
      <c r="F178" s="47" t="s">
        <v>936</v>
      </c>
      <c r="G178" s="47" t="s">
        <v>937</v>
      </c>
      <c r="H178" s="47" t="s">
        <v>698</v>
      </c>
      <c r="I178" s="47" t="s">
        <v>705</v>
      </c>
      <c r="J178" s="47" t="str">
        <f>=IFERROR(VLOOKUP(H178&amp;I178,Table_Fonctions!A:G,6,FALSE),"")</f>
        <v>0</v>
      </c>
      <c r="K178" s="47" t="s">
        <v>2607</v>
      </c>
      <c r="L178" s="47" t="str">
        <f>=IFERROR(VLOOKUP(H178&amp;I178,Table_Fonctions!A:G,7,FALSE),K178)</f>
        <v/>
      </c>
      <c r="M178" s="47" t="str">
        <f>=IF(OR(LEFT(D178, 3)="TJ ", LEFT(D178, 4)="CPH "), "OUI", "NON")</f>
        <v/>
      </c>
      <c r="N178" s="47" t="s">
        <v>791</v>
      </c>
      <c r="O178" s="47"/>
      <c r="P178" s="47">
        <v>1</v>
      </c>
      <c r="Q178" s="47">
        <v>0</v>
      </c>
      <c r="R178" s="47">
        <v>1</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v>0</v>
      </c>
      <c r="EA178" s="47">
        <v>0</v>
      </c>
      <c r="EB178" s="47"/>
      <c r="EC178" s="47">
        <v>1</v>
      </c>
      <c r="ZZ178" t="s">
        <v>2472</v>
      </c>
    </row>
    <row r="179" spans="1:702" x14ac:dyDescent="0.25">
      <c r="A179" s="47" t="s">
        <v>938</v>
      </c>
      <c r="B179" s="47" t="s">
        <v>153</v>
      </c>
      <c r="C179" s="47" t="s">
        <v>157</v>
      </c>
      <c r="D179" s="47" t="s">
        <v>2659</v>
      </c>
      <c r="E179" s="47" t="s">
        <v>939</v>
      </c>
      <c r="F179" s="47" t="s">
        <v>940</v>
      </c>
      <c r="G179" s="47" t="s">
        <v>941</v>
      </c>
      <c r="H179" s="47" t="s">
        <v>698</v>
      </c>
      <c r="I179" s="47" t="s">
        <v>738</v>
      </c>
      <c r="J179" s="47" t="str">
        <f>=IFERROR(VLOOKUP(H179&amp;I179,Table_Fonctions!A:G,6,FALSE),"")</f>
        <v>0</v>
      </c>
      <c r="K179" s="47" t="s">
        <v>2607</v>
      </c>
      <c r="L179" s="47" t="str">
        <f>=IFERROR(VLOOKUP(H179&amp;I179,Table_Fonctions!A:G,7,FALSE),K179)</f>
        <v/>
      </c>
      <c r="M179" s="47" t="str">
        <f>=IF(OR(LEFT(D179, 3)="TJ ", LEFT(D179, 4)="CPH "), "OUI", "NON")</f>
        <v/>
      </c>
      <c r="N179" s="47" t="s">
        <v>942</v>
      </c>
      <c r="O179" s="47"/>
      <c r="P179" s="47">
        <v>1</v>
      </c>
      <c r="Q179" s="47">
        <v>0</v>
      </c>
      <c r="R179" s="47">
        <v>1</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1</v>
      </c>
      <c r="DY179" s="47">
        <v>0</v>
      </c>
      <c r="DZ179" s="47">
        <v>0</v>
      </c>
      <c r="EA179" s="47">
        <v>1</v>
      </c>
      <c r="EB179" s="47"/>
      <c r="EC179" s="47">
        <v>1</v>
      </c>
      <c r="ZZ179" t="s">
        <v>2472</v>
      </c>
    </row>
    <row r="180" spans="1:702" x14ac:dyDescent="0.25">
      <c r="A180" s="47" t="s">
        <v>943</v>
      </c>
      <c r="B180" s="47" t="s">
        <v>153</v>
      </c>
      <c r="C180" s="47" t="s">
        <v>157</v>
      </c>
      <c r="D180" s="47" t="s">
        <v>2660</v>
      </c>
      <c r="E180" s="47" t="s">
        <v>944</v>
      </c>
      <c r="F180" s="47" t="s">
        <v>945</v>
      </c>
      <c r="G180" s="47" t="s">
        <v>946</v>
      </c>
      <c r="H180" s="47" t="s">
        <v>698</v>
      </c>
      <c r="I180" s="47" t="s">
        <v>705</v>
      </c>
      <c r="J180" s="47" t="str">
        <f>=IFERROR(VLOOKUP(H180&amp;I180,Table_Fonctions!A:G,6,FALSE),"")</f>
        <v>0</v>
      </c>
      <c r="K180" s="47" t="s">
        <v>2607</v>
      </c>
      <c r="L180" s="47" t="str">
        <f>=IFERROR(VLOOKUP(H180&amp;I180,Table_Fonctions!A:G,7,FALSE),K180)</f>
        <v/>
      </c>
      <c r="M180" s="47" t="str">
        <f>=IF(OR(LEFT(D180, 3)="TJ ", LEFT(D180, 4)="CPH "), "OUI", "NON")</f>
        <v/>
      </c>
      <c r="N180" s="47" t="s">
        <v>700</v>
      </c>
      <c r="O180" s="47"/>
      <c r="P180" s="47">
        <v>1</v>
      </c>
      <c r="Q180" s="47">
        <v>0</v>
      </c>
      <c r="R180" s="47">
        <v>1</v>
      </c>
      <c r="S180" s="47">
        <f>=ROUND(BQ180-(BR180+BS180),3)</f>
      </c>
      <c r="T180" s="47">
        <f>=ROUND(CK180-(CL180+CM180+CN180+CO180+CP180),3)</f>
      </c>
      <c r="U180" s="47">
        <v>0</v>
      </c>
      <c r="V180" s="47">
        <v>0</v>
      </c>
      <c r="W180" s="47">
        <v>0</v>
      </c>
      <c r="X180" s="47">
        <v>0</v>
      </c>
      <c r="Y180" s="47">
        <v>0</v>
      </c>
      <c r="Z180" s="47">
        <v>0</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v>0</v>
      </c>
      <c r="EA180" s="47">
        <v>0</v>
      </c>
      <c r="EB180" s="47"/>
      <c r="EC180" s="47">
        <v>1</v>
      </c>
      <c r="ZZ180" t="s">
        <v>2472</v>
      </c>
    </row>
    <row r="181" spans="1:702" x14ac:dyDescent="0.25">
      <c r="A181" s="47" t="s">
        <v>947</v>
      </c>
      <c r="B181" s="47" t="s">
        <v>153</v>
      </c>
      <c r="C181" s="47" t="s">
        <v>157</v>
      </c>
      <c r="D181" s="47" t="s">
        <v>2661</v>
      </c>
      <c r="E181" s="47" t="s">
        <v>948</v>
      </c>
      <c r="F181" s="47" t="s">
        <v>949</v>
      </c>
      <c r="G181" s="47" t="s">
        <v>950</v>
      </c>
      <c r="H181" s="47" t="s">
        <v>698</v>
      </c>
      <c r="I181" s="47" t="s">
        <v>727</v>
      </c>
      <c r="J181" s="47" t="str">
        <f>=IFERROR(VLOOKUP(H181&amp;I181,Table_Fonctions!A:G,6,FALSE),"")</f>
        <v>0</v>
      </c>
      <c r="K181" s="47" t="s">
        <v>2607</v>
      </c>
      <c r="L181" s="47" t="str">
        <f>=IFERROR(VLOOKUP(H181&amp;I181,Table_Fonctions!A:G,7,FALSE),K181)</f>
        <v/>
      </c>
      <c r="M181" s="47" t="str">
        <f>=IF(OR(LEFT(D181, 3)="TJ ", LEFT(D181, 4)="CPH "), "OUI", "NON")</f>
        <v/>
      </c>
      <c r="N181" s="47" t="s">
        <v>728</v>
      </c>
      <c r="O181" s="47"/>
      <c r="P181" s="47">
        <v>0.9</v>
      </c>
      <c r="Q181" s="47">
        <v>0.9</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0.9</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v>
      </c>
      <c r="BP181" s="47">
        <v>0</v>
      </c>
      <c r="BQ181" s="47">
        <v>0</v>
      </c>
      <c r="BR181" s="47">
        <v>0</v>
      </c>
      <c r="BS181" s="47">
        <v>0</v>
      </c>
      <c r="BT181" s="47">
        <v>0</v>
      </c>
      <c r="BU181" s="47">
        <v>0</v>
      </c>
      <c r="BV181" s="47">
        <v>0</v>
      </c>
      <c r="BW181" s="47">
        <v>0</v>
      </c>
      <c r="BX181" s="47">
        <v>0</v>
      </c>
      <c r="BY181" s="47">
        <v>0</v>
      </c>
      <c r="BZ181" s="47">
        <v>0</v>
      </c>
      <c r="CA181" s="47">
        <v>0</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v>
      </c>
      <c r="DL181" s="47">
        <v>0</v>
      </c>
      <c r="DM181" s="47">
        <v>0</v>
      </c>
      <c r="DN181" s="47">
        <v>0</v>
      </c>
      <c r="DO181" s="47">
        <v>0</v>
      </c>
      <c r="DP181" s="47">
        <v>0</v>
      </c>
      <c r="DQ181" s="47">
        <v>0</v>
      </c>
      <c r="DR181" s="47">
        <v>0</v>
      </c>
      <c r="DS181" s="47">
        <v>0</v>
      </c>
      <c r="DT181" s="47">
        <v>0</v>
      </c>
      <c r="DU181" s="47">
        <v>0</v>
      </c>
      <c r="DV181" s="47">
        <v>0</v>
      </c>
      <c r="DW181" s="47">
        <v>0</v>
      </c>
      <c r="DX181" s="47">
        <v>0</v>
      </c>
      <c r="DY181" s="47">
        <v>0</v>
      </c>
      <c r="DZ181" s="47">
        <v>0</v>
      </c>
      <c r="EA181" s="47">
        <v>0</v>
      </c>
      <c r="EB181" s="47"/>
      <c r="EC181" s="47">
        <v>0.9</v>
      </c>
      <c r="ZZ181" t="s">
        <v>2472</v>
      </c>
    </row>
    <row r="182" spans="1:702" x14ac:dyDescent="0.25">
      <c r="A182" s="47" t="s">
        <v>951</v>
      </c>
      <c r="B182" s="47" t="s">
        <v>153</v>
      </c>
      <c r="C182" s="47" t="s">
        <v>157</v>
      </c>
      <c r="D182" s="47" t="s">
        <v>2662</v>
      </c>
      <c r="E182" s="47" t="s">
        <v>952</v>
      </c>
      <c r="F182" s="47" t="s">
        <v>953</v>
      </c>
      <c r="G182" s="47" t="s">
        <v>954</v>
      </c>
      <c r="H182" s="47" t="s">
        <v>698</v>
      </c>
      <c r="I182" s="47" t="s">
        <v>699</v>
      </c>
      <c r="J182" s="47" t="str">
        <f>=IFERROR(VLOOKUP(H182&amp;I182,Table_Fonctions!A:G,6,FALSE),"")</f>
        <v>0</v>
      </c>
      <c r="K182" s="47" t="s">
        <v>2605</v>
      </c>
      <c r="L182" s="47" t="str">
        <f>=IFERROR(VLOOKUP(H182&amp;I182,Table_Fonctions!A:G,7,FALSE),K182)</f>
        <v/>
      </c>
      <c r="M182" s="47" t="str">
        <f>=IF(OR(LEFT(D182, 3)="TJ ", LEFT(D182, 4)="CPH "), "OUI", "NON")</f>
        <v/>
      </c>
      <c r="N182" s="47" t="s">
        <v>955</v>
      </c>
      <c r="O182" s="47"/>
      <c r="P182" s="47">
        <v>1</v>
      </c>
      <c r="Q182" s="47">
        <v>1</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1</v>
      </c>
      <c r="BU182" s="47">
        <v>0</v>
      </c>
      <c r="BV182" s="47">
        <v>0</v>
      </c>
      <c r="BW182" s="47">
        <v>0</v>
      </c>
      <c r="BX182" s="47">
        <v>0</v>
      </c>
      <c r="BY182" s="47">
        <v>0</v>
      </c>
      <c r="BZ182" s="47">
        <v>0</v>
      </c>
      <c r="CA182" s="47">
        <v>0</v>
      </c>
      <c r="CB182" s="47">
        <v>0</v>
      </c>
      <c r="CC182" s="47">
        <v>0</v>
      </c>
      <c r="CD182" s="47">
        <v>0</v>
      </c>
      <c r="CE182" s="47">
        <v>0</v>
      </c>
      <c r="CF182" s="47">
        <v>0</v>
      </c>
      <c r="CG182" s="47">
        <v>0.3</v>
      </c>
      <c r="CH182" s="47">
        <v>0</v>
      </c>
      <c r="CI182" s="47">
        <v>0.7</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v>0</v>
      </c>
      <c r="EA182" s="47">
        <v>0</v>
      </c>
      <c r="EB182" s="47"/>
      <c r="EC182" s="47">
        <v>1</v>
      </c>
      <c r="ZZ182" t="s">
        <v>2472</v>
      </c>
    </row>
    <row r="183" spans="1:702" x14ac:dyDescent="0.25">
      <c r="A183" s="47" t="s">
        <v>956</v>
      </c>
      <c r="B183" s="47" t="s">
        <v>153</v>
      </c>
      <c r="C183" s="47" t="s">
        <v>157</v>
      </c>
      <c r="D183" s="47" t="s">
        <v>2663</v>
      </c>
      <c r="E183" s="47" t="s">
        <v>957</v>
      </c>
      <c r="F183" s="47" t="s">
        <v>958</v>
      </c>
      <c r="G183" s="47" t="s">
        <v>959</v>
      </c>
      <c r="H183" s="47" t="s">
        <v>698</v>
      </c>
      <c r="I183" s="47" t="s">
        <v>705</v>
      </c>
      <c r="J183" s="47" t="str">
        <f>=IFERROR(VLOOKUP(H183&amp;I183,Table_Fonctions!A:G,6,FALSE),"")</f>
        <v>0</v>
      </c>
      <c r="K183" s="47" t="s">
        <v>2607</v>
      </c>
      <c r="L183" s="47" t="str">
        <f>=IFERROR(VLOOKUP(H183&amp;I183,Table_Fonctions!A:G,7,FALSE),K183)</f>
        <v/>
      </c>
      <c r="M183" s="47" t="str">
        <f>=IF(OR(LEFT(D183, 3)="TJ ", LEFT(D183, 4)="CPH "), "OUI", "NON")</f>
        <v/>
      </c>
      <c r="N183" s="47" t="s">
        <v>960</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1</v>
      </c>
      <c r="BU183" s="47">
        <v>0.5</v>
      </c>
      <c r="BV183" s="47">
        <v>0</v>
      </c>
      <c r="BW183" s="47">
        <v>0</v>
      </c>
      <c r="BX183" s="47">
        <v>0</v>
      </c>
      <c r="BY183" s="47">
        <v>0</v>
      </c>
      <c r="BZ183" s="47">
        <v>0</v>
      </c>
      <c r="CA183" s="47">
        <v>0.5</v>
      </c>
      <c r="CB183" s="47">
        <v>0</v>
      </c>
      <c r="CC183" s="47">
        <v>0</v>
      </c>
      <c r="CD183" s="47">
        <v>0</v>
      </c>
      <c r="CE183" s="47">
        <v>0</v>
      </c>
      <c r="CF183" s="47">
        <v>0</v>
      </c>
      <c r="CG183" s="47">
        <v>0</v>
      </c>
      <c r="CH183" s="47">
        <v>0</v>
      </c>
      <c r="CI183" s="47">
        <v>0</v>
      </c>
      <c r="CJ183" s="47">
        <v>0</v>
      </c>
      <c r="CK183" s="47">
        <v>0</v>
      </c>
      <c r="CL183" s="47">
        <v>0</v>
      </c>
      <c r="CM183" s="47">
        <v>0</v>
      </c>
      <c r="CN183" s="47">
        <v>0</v>
      </c>
      <c r="CO183" s="47">
        <v>0</v>
      </c>
      <c r="CP183" s="47">
        <v>0</v>
      </c>
      <c r="CQ183" s="47">
        <v>0</v>
      </c>
      <c r="CR183" s="47">
        <v>0</v>
      </c>
      <c r="CS183" s="47">
        <v>0</v>
      </c>
      <c r="CT183" s="47">
        <v>0</v>
      </c>
      <c r="CU183" s="47">
        <v>0</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v>0</v>
      </c>
      <c r="EA183" s="47">
        <v>0</v>
      </c>
      <c r="EB183" s="47"/>
      <c r="EC183" s="47">
        <v>1</v>
      </c>
      <c r="ZZ183" t="s">
        <v>2472</v>
      </c>
    </row>
    <row r="184" spans="1:702" x14ac:dyDescent="0.25">
      <c r="A184" s="47" t="s">
        <v>961</v>
      </c>
      <c r="B184" s="47" t="s">
        <v>153</v>
      </c>
      <c r="C184" s="47" t="s">
        <v>157</v>
      </c>
      <c r="D184" s="47" t="s">
        <v>2664</v>
      </c>
      <c r="E184" s="47" t="s">
        <v>962</v>
      </c>
      <c r="F184" s="47" t="s">
        <v>963</v>
      </c>
      <c r="G184" s="47" t="s">
        <v>964</v>
      </c>
      <c r="H184" s="47" t="s">
        <v>698</v>
      </c>
      <c r="I184" s="47" t="s">
        <v>727</v>
      </c>
      <c r="J184" s="47" t="str">
        <f>=IFERROR(VLOOKUP(H184&amp;I184,Table_Fonctions!A:G,6,FALSE),"")</f>
        <v>0</v>
      </c>
      <c r="K184" s="47" t="s">
        <v>2607</v>
      </c>
      <c r="L184" s="47" t="str">
        <f>=IFERROR(VLOOKUP(H184&amp;I184,Table_Fonctions!A:G,7,FALSE),K184)</f>
        <v/>
      </c>
      <c r="M184" s="47" t="str">
        <f>=IF(OR(LEFT(D184, 3)="TJ ", LEFT(D184, 4)="CPH "), "OUI", "NON")</f>
        <v/>
      </c>
      <c r="N184" s="47" t="s">
        <v>916</v>
      </c>
      <c r="O184" s="47"/>
      <c r="P184" s="47">
        <v>1</v>
      </c>
      <c r="Q184" s="47">
        <v>1</v>
      </c>
      <c r="R184" s="47">
        <v>0</v>
      </c>
      <c r="S184" s="47">
        <f>=ROUND(BQ184-(BR184+BS184),3)</f>
      </c>
      <c r="T184" s="47">
        <f>=ROUND(CK184-(CL184+CM184+CN184+CO184+CP184),3)</f>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1</v>
      </c>
      <c r="AK184" s="47">
        <v>0</v>
      </c>
      <c r="AL184" s="47">
        <v>0</v>
      </c>
      <c r="AM184" s="47">
        <v>0</v>
      </c>
      <c r="AN184" s="47">
        <v>0</v>
      </c>
      <c r="AO184" s="47">
        <v>0</v>
      </c>
      <c r="AP184" s="47">
        <v>0</v>
      </c>
      <c r="AQ184" s="47">
        <v>0</v>
      </c>
      <c r="AR184" s="47">
        <v>0</v>
      </c>
      <c r="AS184" s="47">
        <v>0</v>
      </c>
      <c r="AT184" s="47">
        <v>0</v>
      </c>
      <c r="AU184" s="47">
        <v>0</v>
      </c>
      <c r="AV184" s="47">
        <v>0</v>
      </c>
      <c r="AW184" s="47">
        <v>0</v>
      </c>
      <c r="AX184" s="47">
        <v>0</v>
      </c>
      <c r="AY184" s="47">
        <v>0</v>
      </c>
      <c r="AZ184" s="47">
        <v>0</v>
      </c>
      <c r="BA184" s="47">
        <v>0</v>
      </c>
      <c r="BB184" s="47">
        <v>0</v>
      </c>
      <c r="BC184" s="47">
        <v>0</v>
      </c>
      <c r="BD184" s="47">
        <v>0</v>
      </c>
      <c r="BE184" s="47">
        <v>0</v>
      </c>
      <c r="BF184" s="47">
        <v>0</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v>
      </c>
      <c r="DV184" s="47">
        <v>0</v>
      </c>
      <c r="DW184" s="47">
        <v>0</v>
      </c>
      <c r="DX184" s="47">
        <v>0</v>
      </c>
      <c r="DY184" s="47">
        <v>0</v>
      </c>
      <c r="DZ184" s="47">
        <v>0</v>
      </c>
      <c r="EA184" s="47">
        <v>0</v>
      </c>
      <c r="EB184" s="47"/>
      <c r="EC184" s="47">
        <v>1</v>
      </c>
      <c r="ZZ184" t="s">
        <v>2472</v>
      </c>
    </row>
    <row r="185" spans="1:702" x14ac:dyDescent="0.25">
      <c r="A185" s="47" t="s">
        <v>965</v>
      </c>
      <c r="B185" s="47" t="s">
        <v>153</v>
      </c>
      <c r="C185" s="47" t="s">
        <v>157</v>
      </c>
      <c r="D185" s="47" t="s">
        <v>2665</v>
      </c>
      <c r="E185" s="47" t="s">
        <v>966</v>
      </c>
      <c r="F185" s="47" t="s">
        <v>967</v>
      </c>
      <c r="G185" s="47" t="s">
        <v>968</v>
      </c>
      <c r="H185" s="47" t="s">
        <v>698</v>
      </c>
      <c r="I185" s="47" t="s">
        <v>727</v>
      </c>
      <c r="J185" s="47" t="str">
        <f>=IFERROR(VLOOKUP(H185&amp;I185,Table_Fonctions!A:G,6,FALSE),"")</f>
        <v>0</v>
      </c>
      <c r="K185" s="47" t="s">
        <v>2607</v>
      </c>
      <c r="L185" s="47" t="str">
        <f>=IFERROR(VLOOKUP(H185&amp;I185,Table_Fonctions!A:G,7,FALSE),K185)</f>
        <v/>
      </c>
      <c r="M185" s="47" t="str">
        <f>=IF(OR(LEFT(D185, 3)="TJ ", LEFT(D185, 4)="CPH "), "OUI", "NON")</f>
        <v/>
      </c>
      <c r="N185" s="47" t="s">
        <v>969</v>
      </c>
      <c r="O185" s="47"/>
      <c r="P185" s="47">
        <v>0.8</v>
      </c>
      <c r="Q185" s="47">
        <v>0</v>
      </c>
      <c r="R185" s="47">
        <v>0.8</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v>0</v>
      </c>
      <c r="EA185" s="47">
        <v>0</v>
      </c>
      <c r="EB185" s="47"/>
      <c r="EC185" s="47">
        <v>0.8</v>
      </c>
      <c r="ZZ185" t="s">
        <v>2472</v>
      </c>
    </row>
    <row r="186" spans="1:702" x14ac:dyDescent="0.25">
      <c r="A186" s="47" t="s">
        <v>970</v>
      </c>
      <c r="B186" s="47" t="s">
        <v>153</v>
      </c>
      <c r="C186" s="47" t="s">
        <v>157</v>
      </c>
      <c r="D186" s="47" t="s">
        <v>2666</v>
      </c>
      <c r="E186" s="47" t="s">
        <v>971</v>
      </c>
      <c r="F186" s="47" t="s">
        <v>972</v>
      </c>
      <c r="G186" s="47" t="s">
        <v>973</v>
      </c>
      <c r="H186" s="47" t="s">
        <v>698</v>
      </c>
      <c r="I186" s="47" t="s">
        <v>705</v>
      </c>
      <c r="J186" s="47" t="str">
        <f>=IFERROR(VLOOKUP(H186&amp;I186,Table_Fonctions!A:G,6,FALSE),"")</f>
        <v>0</v>
      </c>
      <c r="K186" s="47" t="s">
        <v>2607</v>
      </c>
      <c r="L186" s="47" t="str">
        <f>=IFERROR(VLOOKUP(H186&amp;I186,Table_Fonctions!A:G,7,FALSE),K186)</f>
        <v/>
      </c>
      <c r="M186" s="47" t="str">
        <f>=IF(OR(LEFT(D186, 3)="TJ ", LEFT(D186, 4)="CPH "), "OUI", "NON")</f>
        <v/>
      </c>
      <c r="N186" s="47" t="s">
        <v>974</v>
      </c>
      <c r="O186" s="47"/>
      <c r="P186" s="47">
        <v>1</v>
      </c>
      <c r="Q186" s="47">
        <v>0</v>
      </c>
      <c r="R186" s="47">
        <v>1</v>
      </c>
      <c r="S186" s="47">
        <f>=ROUND(BQ186-(BR186+BS186),3)</f>
      </c>
      <c r="T186" s="47">
        <f>=ROUND(CK186-(CL186+CM186+CN186+CO186+CP186),3)</f>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0</v>
      </c>
      <c r="CZ186" s="47">
        <v>0</v>
      </c>
      <c r="DA186" s="47">
        <v>0</v>
      </c>
      <c r="DB186" s="47">
        <v>0</v>
      </c>
      <c r="DC186" s="47">
        <v>0</v>
      </c>
      <c r="DD186" s="47">
        <v>0</v>
      </c>
      <c r="DE186" s="47">
        <v>0</v>
      </c>
      <c r="DF186" s="47">
        <v>0</v>
      </c>
      <c r="DG186" s="47">
        <v>0</v>
      </c>
      <c r="DH186" s="47">
        <v>0</v>
      </c>
      <c r="DI186" s="47">
        <v>0</v>
      </c>
      <c r="DJ186" s="47">
        <v>0</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v>0</v>
      </c>
      <c r="EA186" s="47">
        <v>0</v>
      </c>
      <c r="EB186" s="47"/>
      <c r="EC186" s="47">
        <v>1</v>
      </c>
      <c r="ZZ186" t="s">
        <v>2472</v>
      </c>
    </row>
    <row r="187" spans="1:702" x14ac:dyDescent="0.25">
      <c r="A187" s="47" t="s">
        <v>975</v>
      </c>
      <c r="B187" s="47" t="s">
        <v>153</v>
      </c>
      <c r="C187" s="47" t="s">
        <v>157</v>
      </c>
      <c r="D187" s="47" t="s">
        <v>2667</v>
      </c>
      <c r="E187" s="47" t="s">
        <v>976</v>
      </c>
      <c r="F187" s="47" t="s">
        <v>977</v>
      </c>
      <c r="G187" s="47" t="s">
        <v>978</v>
      </c>
      <c r="H187" s="47" t="s">
        <v>698</v>
      </c>
      <c r="I187" s="47" t="s">
        <v>699</v>
      </c>
      <c r="J187" s="47" t="str">
        <f>=IFERROR(VLOOKUP(H187&amp;I187,Table_Fonctions!A:G,6,FALSE),"")</f>
        <v>0</v>
      </c>
      <c r="K187" s="47" t="s">
        <v>2605</v>
      </c>
      <c r="L187" s="47" t="str">
        <f>=IFERROR(VLOOKUP(H187&amp;I187,Table_Fonctions!A:G,7,FALSE),K187)</f>
        <v/>
      </c>
      <c r="M187" s="47" t="str">
        <f>=IF(OR(LEFT(D187, 3)="TJ ", LEFT(D187, 4)="CPH "), "OUI", "NON")</f>
        <v/>
      </c>
      <c r="N187" s="47" t="s">
        <v>979</v>
      </c>
      <c r="O187" s="47"/>
      <c r="P187" s="47">
        <v>1</v>
      </c>
      <c r="Q187" s="47">
        <v>1</v>
      </c>
      <c r="R187" s="47">
        <v>0</v>
      </c>
      <c r="S187" s="47">
        <f>=ROUND(BQ187-(BR187+BS187),3)</f>
      </c>
      <c r="T187" s="47">
        <f>=ROUND(CK187-(CL187+CM187+CN187+CO187+CP187),3)</f>
      </c>
      <c r="U187" s="47">
        <v>0</v>
      </c>
      <c r="V187" s="47">
        <v>0</v>
      </c>
      <c r="W187" s="47">
        <v>0</v>
      </c>
      <c r="X187" s="47">
        <v>0</v>
      </c>
      <c r="Y187" s="47">
        <v>0</v>
      </c>
      <c r="Z187" s="47">
        <v>0</v>
      </c>
      <c r="AA187" s="47">
        <v>0</v>
      </c>
      <c r="AB187" s="47">
        <v>0</v>
      </c>
      <c r="AC187" s="47">
        <v>0</v>
      </c>
      <c r="AD187" s="47">
        <v>0</v>
      </c>
      <c r="AE187" s="47">
        <v>0</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1</v>
      </c>
      <c r="BU187" s="47">
        <v>0</v>
      </c>
      <c r="BV187" s="47">
        <v>0</v>
      </c>
      <c r="BW187" s="47">
        <v>0</v>
      </c>
      <c r="BX187" s="47">
        <v>0</v>
      </c>
      <c r="BY187" s="47">
        <v>0</v>
      </c>
      <c r="BZ187" s="47">
        <v>0</v>
      </c>
      <c r="CA187" s="47">
        <v>0</v>
      </c>
      <c r="CB187" s="47">
        <v>0</v>
      </c>
      <c r="CC187" s="47">
        <v>0</v>
      </c>
      <c r="CD187" s="47">
        <v>0</v>
      </c>
      <c r="CE187" s="47">
        <v>0</v>
      </c>
      <c r="CF187" s="47">
        <v>0</v>
      </c>
      <c r="CG187" s="47">
        <v>1</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v>0</v>
      </c>
      <c r="EA187" s="47">
        <v>0</v>
      </c>
      <c r="EB187" s="47"/>
      <c r="EC187" s="47">
        <v>1</v>
      </c>
      <c r="ZZ187" t="s">
        <v>2472</v>
      </c>
    </row>
    <row r="188" spans="1:702" x14ac:dyDescent="0.25">
      <c r="A188" s="47" t="s">
        <v>980</v>
      </c>
      <c r="B188" s="47" t="s">
        <v>153</v>
      </c>
      <c r="C188" s="47" t="s">
        <v>157</v>
      </c>
      <c r="D188" s="47" t="s">
        <v>2668</v>
      </c>
      <c r="E188" s="47" t="s">
        <v>981</v>
      </c>
      <c r="F188" s="47" t="s">
        <v>982</v>
      </c>
      <c r="G188" s="47" t="s">
        <v>983</v>
      </c>
      <c r="H188" s="47" t="s">
        <v>698</v>
      </c>
      <c r="I188" s="47" t="s">
        <v>727</v>
      </c>
      <c r="J188" s="47" t="str">
        <f>=IFERROR(VLOOKUP(H188&amp;I188,Table_Fonctions!A:G,6,FALSE),"")</f>
        <v>0</v>
      </c>
      <c r="K188" s="47" t="s">
        <v>2607</v>
      </c>
      <c r="L188" s="47" t="str">
        <f>=IFERROR(VLOOKUP(H188&amp;I188,Table_Fonctions!A:G,7,FALSE),K188)</f>
        <v/>
      </c>
      <c r="M188" s="47" t="str">
        <f>=IF(OR(LEFT(D188, 3)="TJ ", LEFT(D188, 4)="CPH "), "OUI", "NON")</f>
        <v/>
      </c>
      <c r="N188" s="47" t="s">
        <v>712</v>
      </c>
      <c r="O188" s="47"/>
      <c r="P188" s="47">
        <v>1</v>
      </c>
      <c r="Q188" s="47">
        <v>0</v>
      </c>
      <c r="R188" s="47">
        <v>1</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0</v>
      </c>
      <c r="CZ188" s="47">
        <v>0</v>
      </c>
      <c r="DA188" s="47">
        <v>0</v>
      </c>
      <c r="DB188" s="47">
        <v>0</v>
      </c>
      <c r="DC188" s="47">
        <v>0</v>
      </c>
      <c r="DD188" s="47">
        <v>0</v>
      </c>
      <c r="DE188" s="47">
        <v>0</v>
      </c>
      <c r="DF188" s="47">
        <v>0</v>
      </c>
      <c r="DG188" s="47">
        <v>0</v>
      </c>
      <c r="DH188" s="47">
        <v>0</v>
      </c>
      <c r="DI188" s="47">
        <v>0</v>
      </c>
      <c r="DJ188" s="47">
        <v>0</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v>0</v>
      </c>
      <c r="EA188" s="47">
        <v>0</v>
      </c>
      <c r="EB188" s="47"/>
      <c r="EC188" s="47">
        <v>1</v>
      </c>
      <c r="ZZ188" t="s">
        <v>2472</v>
      </c>
    </row>
    <row r="189" spans="1:702" x14ac:dyDescent="0.25">
      <c r="A189" s="47" t="s">
        <v>984</v>
      </c>
      <c r="B189" s="47" t="s">
        <v>153</v>
      </c>
      <c r="C189" s="47" t="s">
        <v>157</v>
      </c>
      <c r="D189" s="47" t="s">
        <v>2669</v>
      </c>
      <c r="E189" s="47" t="s">
        <v>985</v>
      </c>
      <c r="F189" s="47" t="s">
        <v>986</v>
      </c>
      <c r="G189" s="47" t="s">
        <v>987</v>
      </c>
      <c r="H189" s="47" t="s">
        <v>698</v>
      </c>
      <c r="I189" s="47" t="s">
        <v>727</v>
      </c>
      <c r="J189" s="47" t="str">
        <f>=IFERROR(VLOOKUP(H189&amp;I189,Table_Fonctions!A:G,6,FALSE),"")</f>
        <v>0</v>
      </c>
      <c r="K189" s="47" t="s">
        <v>2607</v>
      </c>
      <c r="L189" s="47" t="str">
        <f>=IFERROR(VLOOKUP(H189&amp;I189,Table_Fonctions!A:G,7,FALSE),K189)</f>
        <v/>
      </c>
      <c r="M189" s="47" t="str">
        <f>=IF(OR(LEFT(D189, 3)="TJ ", LEFT(D189, 4)="CPH "), "OUI", "NON")</f>
        <v/>
      </c>
      <c r="N189" s="47" t="s">
        <v>168</v>
      </c>
      <c r="O189" s="47"/>
      <c r="P189" s="47">
        <v>1</v>
      </c>
      <c r="Q189" s="47">
        <v>1</v>
      </c>
      <c r="R189" s="47">
        <v>0</v>
      </c>
      <c r="S189" s="47">
        <f>=ROUND(BQ189-(BR189+BS189),3)</f>
      </c>
      <c r="T189" s="47">
        <f>=ROUND(CK189-(CL189+CM189+CN189+CO189+CP189),3)</f>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1</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v>
      </c>
      <c r="DV189" s="47">
        <v>0</v>
      </c>
      <c r="DW189" s="47">
        <v>0</v>
      </c>
      <c r="DX189" s="47">
        <v>0</v>
      </c>
      <c r="DY189" s="47">
        <v>0</v>
      </c>
      <c r="DZ189" s="47">
        <v>0</v>
      </c>
      <c r="EA189" s="47">
        <v>0</v>
      </c>
      <c r="EB189" s="47"/>
      <c r="EC189" s="47">
        <v>1</v>
      </c>
      <c r="ZZ189" t="s">
        <v>2472</v>
      </c>
    </row>
    <row r="190" spans="1:702" x14ac:dyDescent="0.25">
      <c r="A190" s="47" t="s">
        <v>988</v>
      </c>
      <c r="B190" s="47" t="s">
        <v>153</v>
      </c>
      <c r="C190" s="47" t="s">
        <v>157</v>
      </c>
      <c r="D190" s="47" t="s">
        <v>2670</v>
      </c>
      <c r="E190" s="47" t="s">
        <v>989</v>
      </c>
      <c r="F190" s="47" t="s">
        <v>990</v>
      </c>
      <c r="G190" s="47" t="s">
        <v>991</v>
      </c>
      <c r="H190" s="47" t="s">
        <v>698</v>
      </c>
      <c r="I190" s="47" t="s">
        <v>727</v>
      </c>
      <c r="J190" s="47" t="str">
        <f>=IFERROR(VLOOKUP(H190&amp;I190,Table_Fonctions!A:G,6,FALSE),"")</f>
        <v>0</v>
      </c>
      <c r="K190" s="47" t="s">
        <v>2607</v>
      </c>
      <c r="L190" s="47" t="str">
        <f>=IFERROR(VLOOKUP(H190&amp;I190,Table_Fonctions!A:G,7,FALSE),K190)</f>
        <v/>
      </c>
      <c r="M190" s="47" t="str">
        <f>=IF(OR(LEFT(D190, 3)="TJ ", LEFT(D190, 4)="CPH "), "OUI", "NON")</f>
        <v/>
      </c>
      <c r="N190" s="47" t="s">
        <v>168</v>
      </c>
      <c r="O190" s="47"/>
      <c r="P190" s="47">
        <v>1</v>
      </c>
      <c r="Q190" s="47">
        <v>0</v>
      </c>
      <c r="R190" s="47">
        <v>1</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0</v>
      </c>
      <c r="CZ190" s="47">
        <v>0</v>
      </c>
      <c r="DA190" s="47">
        <v>0</v>
      </c>
      <c r="DB190" s="47">
        <v>0</v>
      </c>
      <c r="DC190" s="47">
        <v>0</v>
      </c>
      <c r="DD190" s="47">
        <v>0</v>
      </c>
      <c r="DE190" s="47">
        <v>0</v>
      </c>
      <c r="DF190" s="47">
        <v>0</v>
      </c>
      <c r="DG190" s="47">
        <v>0</v>
      </c>
      <c r="DH190" s="47">
        <v>0</v>
      </c>
      <c r="DI190" s="47">
        <v>0</v>
      </c>
      <c r="DJ190" s="47">
        <v>0</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v>0</v>
      </c>
      <c r="EA190" s="47">
        <v>0</v>
      </c>
      <c r="EB190" s="47"/>
      <c r="EC190" s="47">
        <v>1</v>
      </c>
      <c r="ZZ190" t="s">
        <v>2472</v>
      </c>
    </row>
    <row r="191" spans="1:702" x14ac:dyDescent="0.25">
      <c r="A191" s="47" t="s">
        <v>992</v>
      </c>
      <c r="B191" s="47" t="s">
        <v>153</v>
      </c>
      <c r="C191" s="47" t="s">
        <v>157</v>
      </c>
      <c r="D191" s="47" t="s">
        <v>2671</v>
      </c>
      <c r="E191" s="47" t="s">
        <v>993</v>
      </c>
      <c r="F191" s="47" t="s">
        <v>994</v>
      </c>
      <c r="G191" s="47" t="s">
        <v>995</v>
      </c>
      <c r="H191" s="47" t="s">
        <v>698</v>
      </c>
      <c r="I191" s="47" t="s">
        <v>727</v>
      </c>
      <c r="J191" s="47" t="str">
        <f>=IFERROR(VLOOKUP(H191&amp;I191,Table_Fonctions!A:G,6,FALSE),"")</f>
        <v>0</v>
      </c>
      <c r="K191" s="47" t="s">
        <v>2607</v>
      </c>
      <c r="L191" s="47" t="str">
        <f>=IFERROR(VLOOKUP(H191&amp;I191,Table_Fonctions!A:G,7,FALSE),K191)</f>
        <v/>
      </c>
      <c r="M191" s="47" t="str">
        <f>=IF(OR(LEFT(D191, 3)="TJ ", LEFT(D191, 4)="CPH "), "OUI", "NON")</f>
        <v/>
      </c>
      <c r="N191" s="47" t="s">
        <v>836</v>
      </c>
      <c r="O191" s="47"/>
      <c r="P191" s="47">
        <v>1</v>
      </c>
      <c r="Q191" s="47">
        <v>1</v>
      </c>
      <c r="R191" s="47">
        <v>0</v>
      </c>
      <c r="S191" s="47">
        <f>=ROUND(BQ191-(BR191+BS191),3)</f>
      </c>
      <c r="T191" s="47">
        <f>=ROUND(CK191-(CL191+CM191+CN191+CO191+CP191),3)</f>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v>
      </c>
      <c r="AK191" s="47">
        <v>0</v>
      </c>
      <c r="AL191" s="47">
        <v>0</v>
      </c>
      <c r="AM191" s="47">
        <v>0</v>
      </c>
      <c r="AN191" s="47">
        <v>0</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v>
      </c>
      <c r="BI191" s="47">
        <v>0</v>
      </c>
      <c r="BJ191" s="47">
        <v>0</v>
      </c>
      <c r="BK191" s="47">
        <v>0</v>
      </c>
      <c r="BL191" s="47">
        <v>0</v>
      </c>
      <c r="BM191" s="47">
        <v>0</v>
      </c>
      <c r="BN191" s="47">
        <v>0</v>
      </c>
      <c r="BO191" s="47">
        <v>0</v>
      </c>
      <c r="BP191" s="47">
        <v>0</v>
      </c>
      <c r="BQ191" s="47">
        <v>0</v>
      </c>
      <c r="BR191" s="47">
        <v>0</v>
      </c>
      <c r="BS191" s="47">
        <v>0</v>
      </c>
      <c r="BT191" s="47">
        <v>1</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v>
      </c>
      <c r="CZ191" s="47">
        <v>0</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c r="DU191" s="47">
        <v>0</v>
      </c>
      <c r="DV191" s="47">
        <v>0</v>
      </c>
      <c r="DW191" s="47">
        <v>0</v>
      </c>
      <c r="DX191" s="47">
        <v>0</v>
      </c>
      <c r="DY191" s="47">
        <v>0</v>
      </c>
      <c r="DZ191" s="47">
        <v>0</v>
      </c>
      <c r="EA191" s="47">
        <v>0</v>
      </c>
      <c r="EB191" s="47"/>
      <c r="EC191" s="47">
        <v>1</v>
      </c>
      <c r="ZZ191" t="s">
        <v>2472</v>
      </c>
    </row>
    <row r="192" spans="1:702" x14ac:dyDescent="0.25">
      <c r="A192" s="47" t="s">
        <v>996</v>
      </c>
      <c r="B192" s="47" t="s">
        <v>153</v>
      </c>
      <c r="C192" s="47" t="s">
        <v>157</v>
      </c>
      <c r="D192" s="47" t="s">
        <v>2672</v>
      </c>
      <c r="E192" s="47" t="s">
        <v>997</v>
      </c>
      <c r="F192" s="47" t="s">
        <v>998</v>
      </c>
      <c r="G192" s="47" t="s">
        <v>999</v>
      </c>
      <c r="H192" s="47" t="s">
        <v>698</v>
      </c>
      <c r="I192" s="47" t="s">
        <v>727</v>
      </c>
      <c r="J192" s="47" t="str">
        <f>=IFERROR(VLOOKUP(H192&amp;I192,Table_Fonctions!A:G,6,FALSE),"")</f>
        <v>0</v>
      </c>
      <c r="K192" s="47" t="s">
        <v>2607</v>
      </c>
      <c r="L192" s="47" t="str">
        <f>=IFERROR(VLOOKUP(H192&amp;I192,Table_Fonctions!A:G,7,FALSE),K192)</f>
        <v/>
      </c>
      <c r="M192" s="47" t="str">
        <f>=IF(OR(LEFT(D192, 3)="TJ ", LEFT(D192, 4)="CPH "), "OUI", "NON")</f>
        <v/>
      </c>
      <c r="N192" s="47" t="s">
        <v>1000</v>
      </c>
      <c r="O192" s="47"/>
      <c r="P192" s="47">
        <v>1</v>
      </c>
      <c r="Q192" s="47">
        <v>0</v>
      </c>
      <c r="R192" s="47">
        <v>1</v>
      </c>
      <c r="S192" s="47">
        <f>=ROUND(BQ192-(BR192+BS192),3)</f>
      </c>
      <c r="T192" s="47">
        <f>=ROUND(CK192-(CL192+CM192+CN192+CO192+CP192),3)</f>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v>
      </c>
      <c r="CL192" s="47">
        <v>0</v>
      </c>
      <c r="CM192" s="47">
        <v>0</v>
      </c>
      <c r="CN192" s="47">
        <v>0</v>
      </c>
      <c r="CO192" s="47">
        <v>0</v>
      </c>
      <c r="CP192" s="47">
        <v>0</v>
      </c>
      <c r="CQ192" s="47">
        <v>0</v>
      </c>
      <c r="CR192" s="47">
        <v>0</v>
      </c>
      <c r="CS192" s="47">
        <v>0</v>
      </c>
      <c r="CT192" s="47">
        <v>0</v>
      </c>
      <c r="CU192" s="47">
        <v>0</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c r="DU192" s="47">
        <v>0</v>
      </c>
      <c r="DV192" s="47">
        <v>0</v>
      </c>
      <c r="DW192" s="47">
        <v>0</v>
      </c>
      <c r="DX192" s="47">
        <v>0</v>
      </c>
      <c r="DY192" s="47">
        <v>0</v>
      </c>
      <c r="DZ192" s="47">
        <v>0</v>
      </c>
      <c r="EA192" s="47">
        <v>0</v>
      </c>
      <c r="EB192" s="47"/>
      <c r="EC192" s="47">
        <v>1</v>
      </c>
      <c r="ZZ192" t="s">
        <v>2472</v>
      </c>
    </row>
    <row r="193" spans="1:702" x14ac:dyDescent="0.25">
      <c r="A193" s="47" t="s">
        <v>1001</v>
      </c>
      <c r="B193" s="47" t="s">
        <v>153</v>
      </c>
      <c r="C193" s="47" t="s">
        <v>157</v>
      </c>
      <c r="D193" s="47" t="s">
        <v>2673</v>
      </c>
      <c r="E193" s="47" t="s">
        <v>1002</v>
      </c>
      <c r="F193" s="47" t="s">
        <v>1003</v>
      </c>
      <c r="G193" s="47" t="s">
        <v>1004</v>
      </c>
      <c r="H193" s="47" t="s">
        <v>698</v>
      </c>
      <c r="I193" s="47" t="s">
        <v>727</v>
      </c>
      <c r="J193" s="47" t="str">
        <f>=IFERROR(VLOOKUP(H193&amp;I193,Table_Fonctions!A:G,6,FALSE),"")</f>
        <v>0</v>
      </c>
      <c r="K193" s="47" t="s">
        <v>2607</v>
      </c>
      <c r="L193" s="47" t="str">
        <f>=IFERROR(VLOOKUP(H193&amp;I193,Table_Fonctions!A:G,7,FALSE),K193)</f>
        <v/>
      </c>
      <c r="M193" s="47" t="str">
        <f>=IF(OR(LEFT(D193, 3)="TJ ", LEFT(D193, 4)="CPH "), "OUI", "NON")</f>
        <v/>
      </c>
      <c r="N193" s="47" t="s">
        <v>763</v>
      </c>
      <c r="O193" s="47"/>
      <c r="P193" s="47">
        <v>1</v>
      </c>
      <c r="Q193" s="47">
        <v>1</v>
      </c>
      <c r="R193" s="47">
        <v>0</v>
      </c>
      <c r="S193" s="47">
        <f>=ROUND(BQ193-(BR193+BS193),3)</f>
      </c>
      <c r="T193" s="47">
        <f>=ROUND(CK193-(CL193+CM193+CN193+CO193+CP193),3)</f>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v>
      </c>
      <c r="AK193" s="47">
        <v>0</v>
      </c>
      <c r="AL193" s="47">
        <v>0</v>
      </c>
      <c r="AM193" s="47">
        <v>0</v>
      </c>
      <c r="AN193" s="47">
        <v>0</v>
      </c>
      <c r="AO193" s="47">
        <v>0</v>
      </c>
      <c r="AP193" s="47">
        <v>0</v>
      </c>
      <c r="AQ193" s="47">
        <v>0</v>
      </c>
      <c r="AR193" s="47">
        <v>0</v>
      </c>
      <c r="AS193" s="47">
        <v>1</v>
      </c>
      <c r="AT193" s="47">
        <v>0</v>
      </c>
      <c r="AU193" s="47">
        <v>0</v>
      </c>
      <c r="AV193" s="47">
        <v>0</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c r="DU193" s="47">
        <v>0</v>
      </c>
      <c r="DV193" s="47">
        <v>0</v>
      </c>
      <c r="DW193" s="47">
        <v>0</v>
      </c>
      <c r="DX193" s="47">
        <v>0</v>
      </c>
      <c r="DY193" s="47">
        <v>0</v>
      </c>
      <c r="DZ193" s="47">
        <v>0</v>
      </c>
      <c r="EA193" s="47">
        <v>0</v>
      </c>
      <c r="EB193" s="47"/>
      <c r="EC193" s="47">
        <v>1</v>
      </c>
      <c r="ZZ193" t="s">
        <v>2472</v>
      </c>
    </row>
    <row r="194" spans="1:702" x14ac:dyDescent="0.25">
      <c r="A194" s="47" t="s">
        <v>1005</v>
      </c>
      <c r="B194" s="47" t="s">
        <v>153</v>
      </c>
      <c r="C194" s="47" t="s">
        <v>157</v>
      </c>
      <c r="D194" s="47" t="s">
        <v>2674</v>
      </c>
      <c r="E194" s="47" t="s">
        <v>1006</v>
      </c>
      <c r="F194" s="47" t="s">
        <v>1007</v>
      </c>
      <c r="G194" s="47" t="s">
        <v>1008</v>
      </c>
      <c r="H194" s="47" t="s">
        <v>698</v>
      </c>
      <c r="I194" s="47" t="s">
        <v>727</v>
      </c>
      <c r="J194" s="47" t="str">
        <f>=IFERROR(VLOOKUP(H194&amp;I194,Table_Fonctions!A:G,6,FALSE),"")</f>
        <v>0</v>
      </c>
      <c r="K194" s="47" t="s">
        <v>2607</v>
      </c>
      <c r="L194" s="47" t="str">
        <f>=IFERROR(VLOOKUP(H194&amp;I194,Table_Fonctions!A:G,7,FALSE),K194)</f>
        <v/>
      </c>
      <c r="M194" s="47" t="str">
        <f>=IF(OR(LEFT(D194, 3)="TJ ", LEFT(D194, 4)="CPH "), "OUI", "NON")</f>
        <v/>
      </c>
      <c r="N194" s="47" t="s">
        <v>168</v>
      </c>
      <c r="O194" s="47"/>
      <c r="P194" s="47">
        <v>0.8</v>
      </c>
      <c r="Q194" s="47">
        <v>0.8</v>
      </c>
      <c r="R194" s="47">
        <v>0</v>
      </c>
      <c r="S194" s="47">
        <f>=ROUND(BQ194-(BR194+BS194),3)</f>
      </c>
      <c r="T194" s="47">
        <f>=ROUND(CK194-(CL194+CM194+CN194+CO194+CP194),3)</f>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0.8</v>
      </c>
      <c r="AK194" s="47">
        <v>0</v>
      </c>
      <c r="AL194" s="47">
        <v>0</v>
      </c>
      <c r="AM194" s="47">
        <v>0</v>
      </c>
      <c r="AN194" s="47">
        <v>0</v>
      </c>
      <c r="AO194" s="47">
        <v>0</v>
      </c>
      <c r="AP194" s="47">
        <v>0</v>
      </c>
      <c r="AQ194" s="47">
        <v>0</v>
      </c>
      <c r="AR194" s="47">
        <v>0</v>
      </c>
      <c r="AS194" s="47">
        <v>0</v>
      </c>
      <c r="AT194" s="47">
        <v>0</v>
      </c>
      <c r="AU194" s="47">
        <v>0</v>
      </c>
      <c r="AV194" s="47">
        <v>0</v>
      </c>
      <c r="AW194" s="47">
        <v>0</v>
      </c>
      <c r="AX194" s="47">
        <v>0</v>
      </c>
      <c r="AY194" s="47">
        <v>0</v>
      </c>
      <c r="AZ194" s="47">
        <v>0</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c r="DU194" s="47">
        <v>0</v>
      </c>
      <c r="DV194" s="47">
        <v>0</v>
      </c>
      <c r="DW194" s="47">
        <v>0</v>
      </c>
      <c r="DX194" s="47">
        <v>0</v>
      </c>
      <c r="DY194" s="47">
        <v>0</v>
      </c>
      <c r="DZ194" s="47">
        <v>0</v>
      </c>
      <c r="EA194" s="47">
        <v>0</v>
      </c>
      <c r="EB194" s="47"/>
      <c r="EC194" s="47">
        <v>0.8</v>
      </c>
      <c r="ZZ194" t="s">
        <v>2472</v>
      </c>
    </row>
    <row r="195" spans="1:702" x14ac:dyDescent="0.25">
      <c r="A195" s="47" t="s">
        <v>1009</v>
      </c>
      <c r="B195" s="47" t="s">
        <v>153</v>
      </c>
      <c r="C195" s="47" t="s">
        <v>157</v>
      </c>
      <c r="D195" s="47" t="s">
        <v>2675</v>
      </c>
      <c r="E195" s="47" t="s">
        <v>1010</v>
      </c>
      <c r="F195" s="47" t="s">
        <v>1011</v>
      </c>
      <c r="G195" s="47" t="s">
        <v>1012</v>
      </c>
      <c r="H195" s="47" t="s">
        <v>698</v>
      </c>
      <c r="I195" s="47" t="s">
        <v>727</v>
      </c>
      <c r="J195" s="47" t="str">
        <f>=IFERROR(VLOOKUP(H195&amp;I195,Table_Fonctions!A:G,6,FALSE),"")</f>
        <v>0</v>
      </c>
      <c r="K195" s="47" t="s">
        <v>2607</v>
      </c>
      <c r="L195" s="47" t="str">
        <f>=IFERROR(VLOOKUP(H195&amp;I195,Table_Fonctions!A:G,7,FALSE),K195)</f>
        <v/>
      </c>
      <c r="M195" s="47" t="str">
        <f>=IF(OR(LEFT(D195, 3)="TJ ", LEFT(D195, 4)="CPH "), "OUI", "NON")</f>
        <v/>
      </c>
      <c r="N195" s="47" t="s">
        <v>1013</v>
      </c>
      <c r="O195" s="47"/>
      <c r="P195" s="47">
        <v>0.8</v>
      </c>
      <c r="Q195" s="47">
        <v>0.8</v>
      </c>
      <c r="R195" s="47">
        <v>0</v>
      </c>
      <c r="S195" s="47">
        <f>=ROUND(BQ195-(BR195+BS195),3)</f>
      </c>
      <c r="T195" s="47">
        <f>=ROUND(CK195-(CL195+CM195+CN195+CO195+CP195),3)</f>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0.72</v>
      </c>
      <c r="AT195" s="47">
        <v>0</v>
      </c>
      <c r="AU195" s="47">
        <v>0.24</v>
      </c>
      <c r="AV195" s="47">
        <v>0.48</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0.08</v>
      </c>
      <c r="CZ195" s="47">
        <v>0</v>
      </c>
      <c r="DA195" s="47">
        <v>0</v>
      </c>
      <c r="DB195" s="47">
        <v>0</v>
      </c>
      <c r="DC195" s="47">
        <v>0</v>
      </c>
      <c r="DD195" s="47">
        <v>0</v>
      </c>
      <c r="DE195" s="47">
        <v>0.08</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c r="DU195" s="47">
        <v>0</v>
      </c>
      <c r="DV195" s="47">
        <v>0</v>
      </c>
      <c r="DW195" s="47">
        <v>0</v>
      </c>
      <c r="DX195" s="47">
        <v>0</v>
      </c>
      <c r="DY195" s="47">
        <v>0</v>
      </c>
      <c r="DZ195" s="47">
        <v>0</v>
      </c>
      <c r="EA195" s="47">
        <v>0</v>
      </c>
      <c r="EB195" s="47"/>
      <c r="EC195" s="47">
        <v>0.8</v>
      </c>
      <c r="ZZ195" t="s">
        <v>2472</v>
      </c>
    </row>
    <row r="196" spans="1:702" x14ac:dyDescent="0.25">
      <c r="A196" s="47" t="s">
        <v>1014</v>
      </c>
      <c r="B196" s="47" t="s">
        <v>153</v>
      </c>
      <c r="C196" s="47" t="s">
        <v>157</v>
      </c>
      <c r="D196" s="47" t="s">
        <v>2676</v>
      </c>
      <c r="E196" s="47" t="s">
        <v>1015</v>
      </c>
      <c r="F196" s="47" t="s">
        <v>1016</v>
      </c>
      <c r="G196" s="47" t="s">
        <v>1017</v>
      </c>
      <c r="H196" s="47" t="s">
        <v>698</v>
      </c>
      <c r="I196" s="47" t="s">
        <v>727</v>
      </c>
      <c r="J196" s="47" t="str">
        <f>=IFERROR(VLOOKUP(H196&amp;I196,Table_Fonctions!A:G,6,FALSE),"")</f>
        <v>0</v>
      </c>
      <c r="K196" s="47" t="s">
        <v>2607</v>
      </c>
      <c r="L196" s="47" t="str">
        <f>=IFERROR(VLOOKUP(H196&amp;I196,Table_Fonctions!A:G,7,FALSE),K196)</f>
        <v/>
      </c>
      <c r="M196" s="47" t="str">
        <f>=IF(OR(LEFT(D196, 3)="TJ ", LEFT(D196, 4)="CPH "), "OUI", "NON")</f>
        <v/>
      </c>
      <c r="N196" s="47" t="s">
        <v>942</v>
      </c>
      <c r="O196" s="47"/>
      <c r="P196" s="47">
        <v>1</v>
      </c>
      <c r="Q196" s="47">
        <v>1</v>
      </c>
      <c r="R196" s="47">
        <v>0</v>
      </c>
      <c r="S196" s="47">
        <f>=ROUND(BQ196-(BR196+BS196),3)</f>
      </c>
      <c r="T196" s="47">
        <f>=ROUND(CK196-(CL196+CM196+CN196+CO196+CP196),3)</f>
      </c>
      <c r="U196" s="47">
        <v>0</v>
      </c>
      <c r="V196" s="47">
        <v>0</v>
      </c>
      <c r="W196" s="47">
        <v>0</v>
      </c>
      <c r="X196" s="47">
        <v>0</v>
      </c>
      <c r="Y196" s="47">
        <v>0</v>
      </c>
      <c r="Z196" s="47">
        <v>0</v>
      </c>
      <c r="AA196" s="47">
        <v>0</v>
      </c>
      <c r="AB196" s="47">
        <v>0</v>
      </c>
      <c r="AC196" s="47">
        <v>0</v>
      </c>
      <c r="AD196" s="47">
        <v>0</v>
      </c>
      <c r="AE196" s="47">
        <v>0</v>
      </c>
      <c r="AF196" s="47">
        <v>0</v>
      </c>
      <c r="AG196" s="47">
        <v>0</v>
      </c>
      <c r="AH196" s="47">
        <v>0</v>
      </c>
      <c r="AI196" s="47">
        <v>0</v>
      </c>
      <c r="AJ196" s="47">
        <v>1</v>
      </c>
      <c r="AK196" s="47">
        <v>0</v>
      </c>
      <c r="AL196" s="47">
        <v>0</v>
      </c>
      <c r="AM196" s="47">
        <v>0</v>
      </c>
      <c r="AN196" s="47">
        <v>0</v>
      </c>
      <c r="AO196" s="47">
        <v>0</v>
      </c>
      <c r="AP196" s="47">
        <v>0</v>
      </c>
      <c r="AQ196" s="47">
        <v>0</v>
      </c>
      <c r="AR196" s="47">
        <v>0</v>
      </c>
      <c r="AS196" s="47">
        <v>0</v>
      </c>
      <c r="AT196" s="47">
        <v>0</v>
      </c>
      <c r="AU196" s="47">
        <v>0</v>
      </c>
      <c r="AV196" s="47">
        <v>0</v>
      </c>
      <c r="AW196" s="47">
        <v>0</v>
      </c>
      <c r="AX196" s="47">
        <v>0</v>
      </c>
      <c r="AY196" s="47">
        <v>0</v>
      </c>
      <c r="AZ196" s="47">
        <v>0</v>
      </c>
      <c r="BA196" s="47">
        <v>0</v>
      </c>
      <c r="BB196" s="47">
        <v>0</v>
      </c>
      <c r="BC196" s="47">
        <v>0</v>
      </c>
      <c r="BD196" s="47">
        <v>0</v>
      </c>
      <c r="BE196" s="47">
        <v>0</v>
      </c>
      <c r="BF196" s="47">
        <v>0</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c r="DU196" s="47">
        <v>0</v>
      </c>
      <c r="DV196" s="47">
        <v>0</v>
      </c>
      <c r="DW196" s="47">
        <v>0</v>
      </c>
      <c r="DX196" s="47">
        <v>0</v>
      </c>
      <c r="DY196" s="47">
        <v>0</v>
      </c>
      <c r="DZ196" s="47">
        <v>0</v>
      </c>
      <c r="EA196" s="47">
        <v>0</v>
      </c>
      <c r="EB196" s="47"/>
      <c r="EC196" s="47">
        <v>1</v>
      </c>
      <c r="ZZ196" t="s">
        <v>2472</v>
      </c>
    </row>
    <row r="197" spans="1:702" x14ac:dyDescent="0.25">
      <c r="A197" s="47" t="s">
        <v>1018</v>
      </c>
      <c r="B197" s="47" t="s">
        <v>153</v>
      </c>
      <c r="C197" s="47" t="s">
        <v>157</v>
      </c>
      <c r="D197" s="47" t="s">
        <v>2677</v>
      </c>
      <c r="E197" s="47" t="s">
        <v>1019</v>
      </c>
      <c r="F197" s="47" t="s">
        <v>1020</v>
      </c>
      <c r="G197" s="47" t="s">
        <v>1021</v>
      </c>
      <c r="H197" s="47" t="s">
        <v>698</v>
      </c>
      <c r="I197" s="47" t="s">
        <v>727</v>
      </c>
      <c r="J197" s="47" t="str">
        <f>=IFERROR(VLOOKUP(H197&amp;I197,Table_Fonctions!A:G,6,FALSE),"")</f>
        <v>0</v>
      </c>
      <c r="K197" s="47" t="s">
        <v>2607</v>
      </c>
      <c r="L197" s="47" t="str">
        <f>=IFERROR(VLOOKUP(H197&amp;I197,Table_Fonctions!A:G,7,FALSE),K197)</f>
        <v/>
      </c>
      <c r="M197" s="47" t="str">
        <f>=IF(OR(LEFT(D197, 3)="TJ ", LEFT(D197, 4)="CPH "), "OUI", "NON")</f>
        <v/>
      </c>
      <c r="N197" s="47" t="s">
        <v>168</v>
      </c>
      <c r="O197" s="47"/>
      <c r="P197" s="47">
        <v>1</v>
      </c>
      <c r="Q197" s="47">
        <v>0</v>
      </c>
      <c r="R197" s="47">
        <v>1</v>
      </c>
      <c r="S197" s="47">
        <f>=ROUND(BQ197-(BR197+BS197),3)</f>
      </c>
      <c r="T197" s="47">
        <f>=ROUND(CK197-(CL197+CM197+CN197+CO197+CP197),3)</f>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c r="DU197" s="47">
        <v>0</v>
      </c>
      <c r="DV197" s="47">
        <v>0</v>
      </c>
      <c r="DW197" s="47">
        <v>0</v>
      </c>
      <c r="DX197" s="47">
        <v>0</v>
      </c>
      <c r="DY197" s="47">
        <v>0</v>
      </c>
      <c r="DZ197" s="47">
        <v>0</v>
      </c>
      <c r="EA197" s="47">
        <v>0</v>
      </c>
      <c r="EB197" s="47"/>
      <c r="EC197" s="47">
        <v>1</v>
      </c>
      <c r="ZZ197" t="s">
        <v>2472</v>
      </c>
    </row>
    <row r="198" spans="1:702" x14ac:dyDescent="0.25">
      <c r="A198" s="47" t="s">
        <v>1022</v>
      </c>
      <c r="B198" s="47" t="s">
        <v>153</v>
      </c>
      <c r="C198" s="47" t="s">
        <v>157</v>
      </c>
      <c r="D198" s="47" t="s">
        <v>2678</v>
      </c>
      <c r="E198" s="47" t="s">
        <v>1023</v>
      </c>
      <c r="F198" s="47" t="s">
        <v>1024</v>
      </c>
      <c r="G198" s="47" t="s">
        <v>1025</v>
      </c>
      <c r="H198" s="47" t="s">
        <v>698</v>
      </c>
      <c r="I198" s="47" t="s">
        <v>727</v>
      </c>
      <c r="J198" s="47" t="str">
        <f>=IFERROR(VLOOKUP(H198&amp;I198,Table_Fonctions!A:G,6,FALSE),"")</f>
        <v>0</v>
      </c>
      <c r="K198" s="47" t="s">
        <v>2607</v>
      </c>
      <c r="L198" s="47" t="str">
        <f>=IFERROR(VLOOKUP(H198&amp;I198,Table_Fonctions!A:G,7,FALSE),K198)</f>
        <v/>
      </c>
      <c r="M198" s="47" t="str">
        <f>=IF(OR(LEFT(D198, 3)="TJ ", LEFT(D198, 4)="CPH "), "OUI", "NON")</f>
        <v/>
      </c>
      <c r="N198" s="47" t="s">
        <v>753</v>
      </c>
      <c r="O198" s="47"/>
      <c r="P198" s="47">
        <v>1</v>
      </c>
      <c r="Q198" s="47">
        <v>1</v>
      </c>
      <c r="R198" s="47">
        <v>0</v>
      </c>
      <c r="S198" s="47">
        <f>=ROUND(BQ198-(BR198+BS198),3)</f>
      </c>
      <c r="T198" s="47">
        <f>=ROUND(CK198-(CL198+CM198+CN198+CO198+CP198),3)</f>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1</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c r="DU198" s="47">
        <v>0</v>
      </c>
      <c r="DV198" s="47">
        <v>0</v>
      </c>
      <c r="DW198" s="47">
        <v>0</v>
      </c>
      <c r="DX198" s="47">
        <v>0</v>
      </c>
      <c r="DY198" s="47">
        <v>0</v>
      </c>
      <c r="DZ198" s="47">
        <v>0</v>
      </c>
      <c r="EA198" s="47">
        <v>0</v>
      </c>
      <c r="EB198" s="47"/>
      <c r="EC198" s="47">
        <v>1</v>
      </c>
      <c r="ZZ198" t="s">
        <v>2472</v>
      </c>
    </row>
    <row r="199" spans="1:702" x14ac:dyDescent="0.25">
      <c r="A199" s="47" t="s">
        <v>1026</v>
      </c>
      <c r="B199" s="47" t="s">
        <v>153</v>
      </c>
      <c r="C199" s="47" t="s">
        <v>157</v>
      </c>
      <c r="D199" s="47" t="s">
        <v>2679</v>
      </c>
      <c r="E199" s="47" t="s">
        <v>1027</v>
      </c>
      <c r="F199" s="47" t="s">
        <v>1028</v>
      </c>
      <c r="G199" s="47" t="s">
        <v>1029</v>
      </c>
      <c r="H199" s="47" t="s">
        <v>698</v>
      </c>
      <c r="I199" s="47" t="s">
        <v>727</v>
      </c>
      <c r="J199" s="47" t="str">
        <f>=IFERROR(VLOOKUP(H199&amp;I199,Table_Fonctions!A:G,6,FALSE),"")</f>
        <v>0</v>
      </c>
      <c r="K199" s="47" t="s">
        <v>2607</v>
      </c>
      <c r="L199" s="47" t="str">
        <f>=IFERROR(VLOOKUP(H199&amp;I199,Table_Fonctions!A:G,7,FALSE),K199)</f>
        <v/>
      </c>
      <c r="M199" s="47" t="str">
        <f>=IF(OR(LEFT(D199, 3)="TJ ", LEFT(D199, 4)="CPH "), "OUI", "NON")</f>
        <v/>
      </c>
      <c r="N199" s="47" t="s">
        <v>763</v>
      </c>
      <c r="O199" s="47"/>
      <c r="P199" s="47">
        <v>0.8</v>
      </c>
      <c r="Q199" s="47">
        <v>0</v>
      </c>
      <c r="R199" s="47">
        <v>0.8</v>
      </c>
      <c r="S199" s="47">
        <f>=ROUND(BQ199-(BR199+BS199),3)</f>
      </c>
      <c r="T199" s="47">
        <f>=ROUND(CK199-(CL199+CM199+CN199+CO199+CP199),3)</f>
      </c>
      <c r="U199" s="47">
        <v>0</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c r="DU199" s="47">
        <v>0</v>
      </c>
      <c r="DV199" s="47">
        <v>0</v>
      </c>
      <c r="DW199" s="47">
        <v>0</v>
      </c>
      <c r="DX199" s="47">
        <v>0</v>
      </c>
      <c r="DY199" s="47">
        <v>0</v>
      </c>
      <c r="DZ199" s="47">
        <v>0</v>
      </c>
      <c r="EA199" s="47">
        <v>0</v>
      </c>
      <c r="EB199" s="47"/>
      <c r="EC199" s="47">
        <v>0.8</v>
      </c>
      <c r="ZZ199" t="s">
        <v>2472</v>
      </c>
    </row>
    <row r="200" spans="1:702" x14ac:dyDescent="0.25">
      <c r="A200" s="47" t="s">
        <v>1030</v>
      </c>
      <c r="B200" s="47" t="s">
        <v>153</v>
      </c>
      <c r="C200" s="47" t="s">
        <v>157</v>
      </c>
      <c r="D200" s="47" t="s">
        <v>2680</v>
      </c>
      <c r="E200" s="47" t="s">
        <v>1031</v>
      </c>
      <c r="F200" s="47" t="s">
        <v>1032</v>
      </c>
      <c r="G200" s="47" t="s">
        <v>1033</v>
      </c>
      <c r="H200" s="47" t="s">
        <v>698</v>
      </c>
      <c r="I200" s="47" t="s">
        <v>705</v>
      </c>
      <c r="J200" s="47" t="str">
        <f>=IFERROR(VLOOKUP(H200&amp;I200,Table_Fonctions!A:G,6,FALSE),"")</f>
        <v>0</v>
      </c>
      <c r="K200" s="47" t="s">
        <v>2607</v>
      </c>
      <c r="L200" s="47" t="str">
        <f>=IFERROR(VLOOKUP(H200&amp;I200,Table_Fonctions!A:G,7,FALSE),K200)</f>
        <v/>
      </c>
      <c r="M200" s="47" t="str">
        <f>=IF(OR(LEFT(D200, 3)="TJ ", LEFT(D200, 4)="CPH "), "OUI", "NON")</f>
        <v/>
      </c>
      <c r="N200" s="47" t="s">
        <v>1034</v>
      </c>
      <c r="O200" s="47"/>
      <c r="P200" s="47">
        <v>1</v>
      </c>
      <c r="Q200" s="47">
        <v>0</v>
      </c>
      <c r="R200" s="47">
        <v>1</v>
      </c>
      <c r="S200" s="47">
        <f>=ROUND(BQ200-(BR200+BS200),3)</f>
      </c>
      <c r="T200" s="47">
        <f>=ROUND(CK200-(CL200+CM200+CN200+CO200+CP200),3)</f>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c r="DU200" s="47">
        <v>0</v>
      </c>
      <c r="DV200" s="47">
        <v>0</v>
      </c>
      <c r="DW200" s="47">
        <v>0</v>
      </c>
      <c r="DX200" s="47">
        <v>0</v>
      </c>
      <c r="DY200" s="47">
        <v>0</v>
      </c>
      <c r="DZ200" s="47">
        <v>0</v>
      </c>
      <c r="EA200" s="47">
        <v>0</v>
      </c>
      <c r="EB200" s="47"/>
      <c r="EC200" s="47">
        <v>1</v>
      </c>
      <c r="ZZ200" t="s">
        <v>2472</v>
      </c>
    </row>
    <row r="201" spans="1:702" x14ac:dyDescent="0.25">
      <c r="A201" s="47" t="s">
        <v>1035</v>
      </c>
      <c r="B201" s="47" t="s">
        <v>153</v>
      </c>
      <c r="C201" s="47" t="s">
        <v>157</v>
      </c>
      <c r="D201" s="47" t="s">
        <v>2681</v>
      </c>
      <c r="E201" s="47" t="s">
        <v>1036</v>
      </c>
      <c r="F201" s="47" t="s">
        <v>1037</v>
      </c>
      <c r="G201" s="47" t="s">
        <v>1038</v>
      </c>
      <c r="H201" s="47" t="s">
        <v>698</v>
      </c>
      <c r="I201" s="47" t="s">
        <v>727</v>
      </c>
      <c r="J201" s="47" t="str">
        <f>=IFERROR(VLOOKUP(H201&amp;I201,Table_Fonctions!A:G,6,FALSE),"")</f>
        <v>0</v>
      </c>
      <c r="K201" s="47" t="s">
        <v>2607</v>
      </c>
      <c r="L201" s="47" t="str">
        <f>=IFERROR(VLOOKUP(H201&amp;I201,Table_Fonctions!A:G,7,FALSE),K201)</f>
        <v/>
      </c>
      <c r="M201" s="47" t="str">
        <f>=IF(OR(LEFT(D201, 3)="TJ ", LEFT(D201, 4)="CPH "), "OUI", "NON")</f>
        <v/>
      </c>
      <c r="N201" s="47" t="s">
        <v>1039</v>
      </c>
      <c r="O201" s="47"/>
      <c r="P201" s="47">
        <v>0.8</v>
      </c>
      <c r="Q201" s="47">
        <v>0</v>
      </c>
      <c r="R201" s="47">
        <v>0.8</v>
      </c>
      <c r="S201" s="47">
        <f>=ROUND(BQ201-(BR201+BS201),3)</f>
      </c>
      <c r="T201" s="47">
        <f>=ROUND(CK201-(CL201+CM201+CN201+CO201+CP201),3)</f>
      </c>
      <c r="U201" s="47">
        <v>0</v>
      </c>
      <c r="V201" s="47">
        <v>0</v>
      </c>
      <c r="W201" s="47">
        <v>0</v>
      </c>
      <c r="X201" s="47">
        <v>0</v>
      </c>
      <c r="Y201" s="47">
        <v>0</v>
      </c>
      <c r="Z201" s="47">
        <v>0</v>
      </c>
      <c r="AA201" s="47">
        <v>0</v>
      </c>
      <c r="AB201" s="47">
        <v>0</v>
      </c>
      <c r="AC201" s="47">
        <v>0</v>
      </c>
      <c r="AD201" s="47">
        <v>0</v>
      </c>
      <c r="AE201" s="47">
        <v>0</v>
      </c>
      <c r="AF201" s="47">
        <v>0</v>
      </c>
      <c r="AG201" s="47">
        <v>0</v>
      </c>
      <c r="AH201" s="47">
        <v>0</v>
      </c>
      <c r="AI201" s="47">
        <v>0</v>
      </c>
      <c r="AJ201" s="47">
        <v>0</v>
      </c>
      <c r="AK201" s="47">
        <v>0</v>
      </c>
      <c r="AL201" s="47">
        <v>0</v>
      </c>
      <c r="AM201" s="47">
        <v>0</v>
      </c>
      <c r="AN201" s="47">
        <v>0</v>
      </c>
      <c r="AO201" s="47">
        <v>0</v>
      </c>
      <c r="AP201" s="47">
        <v>0</v>
      </c>
      <c r="AQ201" s="47">
        <v>0</v>
      </c>
      <c r="AR201" s="47">
        <v>0</v>
      </c>
      <c r="AS201" s="47">
        <v>0</v>
      </c>
      <c r="AT201" s="47">
        <v>0</v>
      </c>
      <c r="AU201" s="47">
        <v>0</v>
      </c>
      <c r="AV201" s="47">
        <v>0</v>
      </c>
      <c r="AW201" s="47">
        <v>0</v>
      </c>
      <c r="AX201" s="47">
        <v>0</v>
      </c>
      <c r="AY201" s="47">
        <v>0</v>
      </c>
      <c r="AZ201" s="47">
        <v>0</v>
      </c>
      <c r="BA201" s="47">
        <v>0</v>
      </c>
      <c r="BB201" s="47">
        <v>0</v>
      </c>
      <c r="BC201" s="47">
        <v>0</v>
      </c>
      <c r="BD201" s="47">
        <v>0</v>
      </c>
      <c r="BE201" s="47">
        <v>0</v>
      </c>
      <c r="BF201" s="47">
        <v>0</v>
      </c>
      <c r="BG201" s="47">
        <v>0</v>
      </c>
      <c r="BH201" s="47">
        <v>0</v>
      </c>
      <c r="BI201" s="47">
        <v>0</v>
      </c>
      <c r="BJ201" s="47">
        <v>0</v>
      </c>
      <c r="BK201" s="47">
        <v>0</v>
      </c>
      <c r="BL201" s="47">
        <v>0</v>
      </c>
      <c r="BM201" s="47">
        <v>0</v>
      </c>
      <c r="BN201" s="47">
        <v>0</v>
      </c>
      <c r="BO201" s="47">
        <v>0</v>
      </c>
      <c r="BP201" s="47">
        <v>0</v>
      </c>
      <c r="BQ201" s="47">
        <v>0</v>
      </c>
      <c r="BR201" s="47">
        <v>0</v>
      </c>
      <c r="BS201" s="47">
        <v>0</v>
      </c>
      <c r="BT201" s="47">
        <v>0</v>
      </c>
      <c r="BU201" s="47">
        <v>0</v>
      </c>
      <c r="BV201" s="47">
        <v>0</v>
      </c>
      <c r="BW201" s="47">
        <v>0</v>
      </c>
      <c r="BX201" s="47">
        <v>0</v>
      </c>
      <c r="BY201" s="47">
        <v>0</v>
      </c>
      <c r="BZ201" s="47">
        <v>0</v>
      </c>
      <c r="CA201" s="47">
        <v>0</v>
      </c>
      <c r="CB201" s="47">
        <v>0</v>
      </c>
      <c r="CC201" s="47">
        <v>0</v>
      </c>
      <c r="CD201" s="47">
        <v>0</v>
      </c>
      <c r="CE201" s="47">
        <v>0</v>
      </c>
      <c r="CF201" s="47">
        <v>0</v>
      </c>
      <c r="CG201" s="47">
        <v>0</v>
      </c>
      <c r="CH201" s="47">
        <v>0</v>
      </c>
      <c r="CI201" s="47">
        <v>0</v>
      </c>
      <c r="CJ201" s="47">
        <v>0</v>
      </c>
      <c r="CK201" s="47">
        <v>0</v>
      </c>
      <c r="CL201" s="47">
        <v>0</v>
      </c>
      <c r="CM201" s="47">
        <v>0</v>
      </c>
      <c r="CN201" s="47">
        <v>0</v>
      </c>
      <c r="CO201" s="47">
        <v>0</v>
      </c>
      <c r="CP201" s="47">
        <v>0</v>
      </c>
      <c r="CQ201" s="47">
        <v>0</v>
      </c>
      <c r="CR201" s="47">
        <v>0</v>
      </c>
      <c r="CS201" s="47">
        <v>0</v>
      </c>
      <c r="CT201" s="47">
        <v>0</v>
      </c>
      <c r="CU201" s="47">
        <v>0</v>
      </c>
      <c r="CV201" s="47">
        <v>0</v>
      </c>
      <c r="CW201" s="47">
        <v>0</v>
      </c>
      <c r="CX201" s="47">
        <v>0</v>
      </c>
      <c r="CY201" s="47">
        <v>0</v>
      </c>
      <c r="CZ201" s="47">
        <v>0</v>
      </c>
      <c r="DA201" s="47">
        <v>0</v>
      </c>
      <c r="DB201" s="47">
        <v>0</v>
      </c>
      <c r="DC201" s="47">
        <v>0</v>
      </c>
      <c r="DD201" s="47">
        <v>0</v>
      </c>
      <c r="DE201" s="47">
        <v>0</v>
      </c>
      <c r="DF201" s="47">
        <v>0</v>
      </c>
      <c r="DG201" s="47">
        <v>0</v>
      </c>
      <c r="DH201" s="47">
        <v>0</v>
      </c>
      <c r="DI201" s="47">
        <v>0</v>
      </c>
      <c r="DJ201" s="47">
        <v>0</v>
      </c>
      <c r="DK201" s="47">
        <v>0</v>
      </c>
      <c r="DL201" s="47">
        <v>0</v>
      </c>
      <c r="DM201" s="47">
        <v>0</v>
      </c>
      <c r="DN201" s="47">
        <v>0</v>
      </c>
      <c r="DO201" s="47">
        <v>0</v>
      </c>
      <c r="DP201" s="47">
        <v>0</v>
      </c>
      <c r="DQ201" s="47">
        <v>0</v>
      </c>
      <c r="DR201" s="47">
        <v>0</v>
      </c>
      <c r="DS201" s="47">
        <v>0</v>
      </c>
      <c r="DT201" s="47">
        <v>0</v>
      </c>
      <c r="DU201" s="47">
        <v>0</v>
      </c>
      <c r="DV201" s="47">
        <v>0</v>
      </c>
      <c r="DW201" s="47">
        <v>0</v>
      </c>
      <c r="DX201" s="47">
        <v>0</v>
      </c>
      <c r="DY201" s="47">
        <v>0</v>
      </c>
      <c r="DZ201" s="47">
        <v>0</v>
      </c>
      <c r="EA201" s="47">
        <v>0</v>
      </c>
      <c r="EB201" s="47"/>
      <c r="EC201" s="47">
        <v>0.8</v>
      </c>
      <c r="ZZ201" t="s">
        <v>2472</v>
      </c>
    </row>
    <row r="202" spans="1:702" x14ac:dyDescent="0.25">
      <c r="A202" s="47" t="s">
        <v>1040</v>
      </c>
      <c r="B202" s="47" t="s">
        <v>153</v>
      </c>
      <c r="C202" s="47" t="s">
        <v>157</v>
      </c>
      <c r="D202" s="47" t="s">
        <v>2682</v>
      </c>
      <c r="E202" s="47" t="s">
        <v>1041</v>
      </c>
      <c r="F202" s="47" t="s">
        <v>1042</v>
      </c>
      <c r="G202" s="47" t="s">
        <v>1043</v>
      </c>
      <c r="H202" s="47" t="s">
        <v>698</v>
      </c>
      <c r="I202" s="47" t="s">
        <v>738</v>
      </c>
      <c r="J202" s="47" t="str">
        <f>=IFERROR(VLOOKUP(H202&amp;I202,Table_Fonctions!A:G,6,FALSE),"")</f>
        <v>0</v>
      </c>
      <c r="K202" s="47" t="s">
        <v>2607</v>
      </c>
      <c r="L202" s="47" t="str">
        <f>=IFERROR(VLOOKUP(H202&amp;I202,Table_Fonctions!A:G,7,FALSE),K202)</f>
        <v/>
      </c>
      <c r="M202" s="47" t="str">
        <f>=IF(OR(LEFT(D202, 3)="TJ ", LEFT(D202, 4)="CPH "), "OUI", "NON")</f>
        <v/>
      </c>
      <c r="N202" s="47" t="s">
        <v>763</v>
      </c>
      <c r="O202" s="47"/>
      <c r="P202" s="47">
        <v>1</v>
      </c>
      <c r="Q202" s="47">
        <v>1</v>
      </c>
      <c r="R202" s="47">
        <v>0</v>
      </c>
      <c r="S202" s="47">
        <f>=ROUND(BQ202-(BR202+BS202),3)</f>
      </c>
      <c r="T202" s="47">
        <f>=ROUND(CK202-(CL202+CM202+CN202+CO202+CP202),3)</f>
      </c>
      <c r="U202" s="47">
        <v>0</v>
      </c>
      <c r="V202" s="47">
        <v>0</v>
      </c>
      <c r="W202" s="47">
        <v>0</v>
      </c>
      <c r="X202" s="47">
        <v>0</v>
      </c>
      <c r="Y202" s="47">
        <v>0</v>
      </c>
      <c r="Z202" s="47">
        <v>0</v>
      </c>
      <c r="AA202" s="47">
        <v>0</v>
      </c>
      <c r="AB202" s="47">
        <v>0</v>
      </c>
      <c r="AC202" s="47">
        <v>0</v>
      </c>
      <c r="AD202" s="47">
        <v>0</v>
      </c>
      <c r="AE202" s="47">
        <v>0</v>
      </c>
      <c r="AF202" s="47">
        <v>0</v>
      </c>
      <c r="AG202" s="47">
        <v>0</v>
      </c>
      <c r="AH202" s="47">
        <v>0</v>
      </c>
      <c r="AI202" s="47">
        <v>0</v>
      </c>
      <c r="AJ202" s="47">
        <v>0</v>
      </c>
      <c r="AK202" s="47">
        <v>0</v>
      </c>
      <c r="AL202" s="47">
        <v>0</v>
      </c>
      <c r="AM202" s="47">
        <v>0</v>
      </c>
      <c r="AN202" s="47">
        <v>0</v>
      </c>
      <c r="AO202" s="47">
        <v>0</v>
      </c>
      <c r="AP202" s="47">
        <v>0</v>
      </c>
      <c r="AQ202" s="47">
        <v>0</v>
      </c>
      <c r="AR202" s="47">
        <v>0</v>
      </c>
      <c r="AS202" s="47">
        <v>0</v>
      </c>
      <c r="AT202" s="47">
        <v>0</v>
      </c>
      <c r="AU202" s="47">
        <v>0</v>
      </c>
      <c r="AV202" s="47">
        <v>0</v>
      </c>
      <c r="AW202" s="47">
        <v>0</v>
      </c>
      <c r="AX202" s="47">
        <v>0</v>
      </c>
      <c r="AY202" s="47">
        <v>0</v>
      </c>
      <c r="AZ202" s="47">
        <v>0</v>
      </c>
      <c r="BA202" s="47">
        <v>0</v>
      </c>
      <c r="BB202" s="47">
        <v>0</v>
      </c>
      <c r="BC202" s="47">
        <v>0</v>
      </c>
      <c r="BD202" s="47">
        <v>0</v>
      </c>
      <c r="BE202" s="47">
        <v>0</v>
      </c>
      <c r="BF202" s="47">
        <v>0</v>
      </c>
      <c r="BG202" s="47">
        <v>0</v>
      </c>
      <c r="BH202" s="47">
        <v>0</v>
      </c>
      <c r="BI202" s="47">
        <v>0</v>
      </c>
      <c r="BJ202" s="47">
        <v>0</v>
      </c>
      <c r="BK202" s="47">
        <v>0</v>
      </c>
      <c r="BL202" s="47">
        <v>0</v>
      </c>
      <c r="BM202" s="47">
        <v>0</v>
      </c>
      <c r="BN202" s="47">
        <v>0</v>
      </c>
      <c r="BO202" s="47">
        <v>0</v>
      </c>
      <c r="BP202" s="47">
        <v>0</v>
      </c>
      <c r="BQ202" s="47">
        <v>0</v>
      </c>
      <c r="BR202" s="47">
        <v>0</v>
      </c>
      <c r="BS202" s="47">
        <v>0</v>
      </c>
      <c r="BT202" s="47">
        <v>0</v>
      </c>
      <c r="BU202" s="47">
        <v>0</v>
      </c>
      <c r="BV202" s="47">
        <v>0</v>
      </c>
      <c r="BW202" s="47">
        <v>0</v>
      </c>
      <c r="BX202" s="47">
        <v>0</v>
      </c>
      <c r="BY202" s="47">
        <v>0</v>
      </c>
      <c r="BZ202" s="47">
        <v>0</v>
      </c>
      <c r="CA202" s="47">
        <v>0</v>
      </c>
      <c r="CB202" s="47">
        <v>0</v>
      </c>
      <c r="CC202" s="47">
        <v>0</v>
      </c>
      <c r="CD202" s="47">
        <v>0</v>
      </c>
      <c r="CE202" s="47">
        <v>0</v>
      </c>
      <c r="CF202" s="47">
        <v>0</v>
      </c>
      <c r="CG202" s="47">
        <v>0</v>
      </c>
      <c r="CH202" s="47">
        <v>0</v>
      </c>
      <c r="CI202" s="47">
        <v>0</v>
      </c>
      <c r="CJ202" s="47">
        <v>0</v>
      </c>
      <c r="CK202" s="47">
        <v>0</v>
      </c>
      <c r="CL202" s="47">
        <v>0</v>
      </c>
      <c r="CM202" s="47">
        <v>0</v>
      </c>
      <c r="CN202" s="47">
        <v>0</v>
      </c>
      <c r="CO202" s="47">
        <v>0</v>
      </c>
      <c r="CP202" s="47">
        <v>0</v>
      </c>
      <c r="CQ202" s="47">
        <v>0</v>
      </c>
      <c r="CR202" s="47">
        <v>0</v>
      </c>
      <c r="CS202" s="47">
        <v>0</v>
      </c>
      <c r="CT202" s="47">
        <v>0</v>
      </c>
      <c r="CU202" s="47">
        <v>0</v>
      </c>
      <c r="CV202" s="47">
        <v>0</v>
      </c>
      <c r="CW202" s="47">
        <v>0</v>
      </c>
      <c r="CX202" s="47">
        <v>0</v>
      </c>
      <c r="CY202" s="47">
        <v>1</v>
      </c>
      <c r="CZ202" s="47">
        <v>0</v>
      </c>
      <c r="DA202" s="47">
        <v>0</v>
      </c>
      <c r="DB202" s="47">
        <v>0</v>
      </c>
      <c r="DC202" s="47">
        <v>0.2</v>
      </c>
      <c r="DD202" s="47">
        <v>0</v>
      </c>
      <c r="DE202" s="47">
        <v>0.8</v>
      </c>
      <c r="DF202" s="47">
        <v>0</v>
      </c>
      <c r="DG202" s="47">
        <v>0</v>
      </c>
      <c r="DH202" s="47">
        <v>0</v>
      </c>
      <c r="DI202" s="47">
        <v>0</v>
      </c>
      <c r="DJ202" s="47">
        <v>0</v>
      </c>
      <c r="DK202" s="47">
        <v>0</v>
      </c>
      <c r="DL202" s="47">
        <v>0</v>
      </c>
      <c r="DM202" s="47">
        <v>0</v>
      </c>
      <c r="DN202" s="47">
        <v>0</v>
      </c>
      <c r="DO202" s="47">
        <v>0</v>
      </c>
      <c r="DP202" s="47">
        <v>0</v>
      </c>
      <c r="DQ202" s="47">
        <v>0</v>
      </c>
      <c r="DR202" s="47">
        <v>0</v>
      </c>
      <c r="DS202" s="47">
        <v>0</v>
      </c>
      <c r="DT202" s="47">
        <v>0</v>
      </c>
      <c r="DU202" s="47">
        <v>0</v>
      </c>
      <c r="DV202" s="47">
        <v>0</v>
      </c>
      <c r="DW202" s="47">
        <v>0</v>
      </c>
      <c r="DX202" s="47">
        <v>0</v>
      </c>
      <c r="DY202" s="47">
        <v>0</v>
      </c>
      <c r="DZ202" s="47">
        <v>0</v>
      </c>
      <c r="EA202" s="47">
        <v>0</v>
      </c>
      <c r="EB202" s="47"/>
      <c r="EC202" s="47">
        <v>1</v>
      </c>
      <c r="ZZ202" t="s">
        <v>2472</v>
      </c>
    </row>
    <row r="203" spans="1:702" x14ac:dyDescent="0.25">
      <c r="A203" s="47" t="s">
        <v>1044</v>
      </c>
      <c r="B203" s="47" t="s">
        <v>153</v>
      </c>
      <c r="C203" s="47" t="s">
        <v>157</v>
      </c>
      <c r="D203" s="47" t="s">
        <v>2683</v>
      </c>
      <c r="E203" s="47" t="s">
        <v>1045</v>
      </c>
      <c r="F203" s="47" t="s">
        <v>1046</v>
      </c>
      <c r="G203" s="47" t="s">
        <v>1047</v>
      </c>
      <c r="H203" s="47" t="s">
        <v>698</v>
      </c>
      <c r="I203" s="47" t="s">
        <v>705</v>
      </c>
      <c r="J203" s="47" t="str">
        <f>=IFERROR(VLOOKUP(H203&amp;I203,Table_Fonctions!A:G,6,FALSE),"")</f>
        <v>0</v>
      </c>
      <c r="K203" s="47" t="s">
        <v>2607</v>
      </c>
      <c r="L203" s="47" t="str">
        <f>=IFERROR(VLOOKUP(H203&amp;I203,Table_Fonctions!A:G,7,FALSE),K203)</f>
        <v/>
      </c>
      <c r="M203" s="47" t="str">
        <f>=IF(OR(LEFT(D203, 3)="TJ ", LEFT(D203, 4)="CPH "), "OUI", "NON")</f>
        <v/>
      </c>
      <c r="N203" s="47" t="s">
        <v>1048</v>
      </c>
      <c r="O203" s="47"/>
      <c r="P203" s="47">
        <v>1</v>
      </c>
      <c r="Q203" s="47">
        <v>0</v>
      </c>
      <c r="R203" s="47">
        <v>1</v>
      </c>
      <c r="S203" s="47">
        <f>=ROUND(BQ203-(BR203+BS203),3)</f>
      </c>
      <c r="T203" s="47">
        <f>=ROUND(CK203-(CL203+CM203+CN203+CO203+CP203),3)</f>
      </c>
      <c r="U203" s="47">
        <v>0</v>
      </c>
      <c r="V203" s="47">
        <v>0</v>
      </c>
      <c r="W203" s="47">
        <v>0</v>
      </c>
      <c r="X203" s="47">
        <v>0</v>
      </c>
      <c r="Y203" s="47">
        <v>0</v>
      </c>
      <c r="Z203" s="47">
        <v>0</v>
      </c>
      <c r="AA203" s="47">
        <v>0</v>
      </c>
      <c r="AB203" s="47">
        <v>0</v>
      </c>
      <c r="AC203" s="47">
        <v>0</v>
      </c>
      <c r="AD203" s="47">
        <v>0</v>
      </c>
      <c r="AE203" s="47">
        <v>0</v>
      </c>
      <c r="AF203" s="47">
        <v>0</v>
      </c>
      <c r="AG203" s="47">
        <v>0</v>
      </c>
      <c r="AH203" s="47">
        <v>0</v>
      </c>
      <c r="AI203" s="47">
        <v>0</v>
      </c>
      <c r="AJ203" s="47">
        <v>0</v>
      </c>
      <c r="AK203" s="47">
        <v>0</v>
      </c>
      <c r="AL203" s="47">
        <v>0</v>
      </c>
      <c r="AM203" s="47">
        <v>0</v>
      </c>
      <c r="AN203" s="47">
        <v>0</v>
      </c>
      <c r="AO203" s="47">
        <v>0</v>
      </c>
      <c r="AP203" s="47">
        <v>0</v>
      </c>
      <c r="AQ203" s="47">
        <v>0</v>
      </c>
      <c r="AR203" s="47">
        <v>0</v>
      </c>
      <c r="AS203" s="47">
        <v>0</v>
      </c>
      <c r="AT203" s="47">
        <v>0</v>
      </c>
      <c r="AU203" s="47">
        <v>0</v>
      </c>
      <c r="AV203" s="47">
        <v>0</v>
      </c>
      <c r="AW203" s="47">
        <v>0</v>
      </c>
      <c r="AX203" s="47">
        <v>0</v>
      </c>
      <c r="AY203" s="47">
        <v>0</v>
      </c>
      <c r="AZ203" s="47">
        <v>0</v>
      </c>
      <c r="BA203" s="47">
        <v>0</v>
      </c>
      <c r="BB203" s="47">
        <v>0</v>
      </c>
      <c r="BC203" s="47">
        <v>0</v>
      </c>
      <c r="BD203" s="47">
        <v>0</v>
      </c>
      <c r="BE203" s="47">
        <v>0</v>
      </c>
      <c r="BF203" s="47">
        <v>0</v>
      </c>
      <c r="BG203" s="47">
        <v>0</v>
      </c>
      <c r="BH203" s="47">
        <v>0</v>
      </c>
      <c r="BI203" s="47">
        <v>0</v>
      </c>
      <c r="BJ203" s="47">
        <v>0</v>
      </c>
      <c r="BK203" s="47">
        <v>0</v>
      </c>
      <c r="BL203" s="47">
        <v>0</v>
      </c>
      <c r="BM203" s="47">
        <v>0</v>
      </c>
      <c r="BN203" s="47">
        <v>0</v>
      </c>
      <c r="BO203" s="47">
        <v>0</v>
      </c>
      <c r="BP203" s="47">
        <v>0</v>
      </c>
      <c r="BQ203" s="47">
        <v>0</v>
      </c>
      <c r="BR203" s="47">
        <v>0</v>
      </c>
      <c r="BS203" s="47">
        <v>0</v>
      </c>
      <c r="BT203" s="47">
        <v>0</v>
      </c>
      <c r="BU203" s="47">
        <v>0</v>
      </c>
      <c r="BV203" s="47">
        <v>0</v>
      </c>
      <c r="BW203" s="47">
        <v>0</v>
      </c>
      <c r="BX203" s="47">
        <v>0</v>
      </c>
      <c r="BY203" s="47">
        <v>0</v>
      </c>
      <c r="BZ203" s="47">
        <v>0</v>
      </c>
      <c r="CA203" s="47">
        <v>0</v>
      </c>
      <c r="CB203" s="47">
        <v>0</v>
      </c>
      <c r="CC203" s="47">
        <v>0</v>
      </c>
      <c r="CD203" s="47">
        <v>0</v>
      </c>
      <c r="CE203" s="47">
        <v>0</v>
      </c>
      <c r="CF203" s="47">
        <v>0</v>
      </c>
      <c r="CG203" s="47">
        <v>0</v>
      </c>
      <c r="CH203" s="47">
        <v>0</v>
      </c>
      <c r="CI203" s="47">
        <v>0</v>
      </c>
      <c r="CJ203" s="47">
        <v>0</v>
      </c>
      <c r="CK203" s="47">
        <v>0</v>
      </c>
      <c r="CL203" s="47">
        <v>0</v>
      </c>
      <c r="CM203" s="47">
        <v>0</v>
      </c>
      <c r="CN203" s="47">
        <v>0</v>
      </c>
      <c r="CO203" s="47">
        <v>0</v>
      </c>
      <c r="CP203" s="47">
        <v>0</v>
      </c>
      <c r="CQ203" s="47">
        <v>0</v>
      </c>
      <c r="CR203" s="47">
        <v>0</v>
      </c>
      <c r="CS203" s="47">
        <v>0</v>
      </c>
      <c r="CT203" s="47">
        <v>0</v>
      </c>
      <c r="CU203" s="47">
        <v>0</v>
      </c>
      <c r="CV203" s="47">
        <v>0</v>
      </c>
      <c r="CW203" s="47">
        <v>0</v>
      </c>
      <c r="CX203" s="47">
        <v>0</v>
      </c>
      <c r="CY203" s="47">
        <v>0</v>
      </c>
      <c r="CZ203" s="47">
        <v>0</v>
      </c>
      <c r="DA203" s="47">
        <v>0</v>
      </c>
      <c r="DB203" s="47">
        <v>0</v>
      </c>
      <c r="DC203" s="47">
        <v>0</v>
      </c>
      <c r="DD203" s="47">
        <v>0</v>
      </c>
      <c r="DE203" s="47">
        <v>0</v>
      </c>
      <c r="DF203" s="47">
        <v>0</v>
      </c>
      <c r="DG203" s="47">
        <v>0</v>
      </c>
      <c r="DH203" s="47">
        <v>0</v>
      </c>
      <c r="DI203" s="47">
        <v>0</v>
      </c>
      <c r="DJ203" s="47">
        <v>0</v>
      </c>
      <c r="DK203" s="47">
        <v>0</v>
      </c>
      <c r="DL203" s="47">
        <v>0</v>
      </c>
      <c r="DM203" s="47">
        <v>0</v>
      </c>
      <c r="DN203" s="47">
        <v>0</v>
      </c>
      <c r="DO203" s="47">
        <v>0</v>
      </c>
      <c r="DP203" s="47">
        <v>0</v>
      </c>
      <c r="DQ203" s="47">
        <v>0</v>
      </c>
      <c r="DR203" s="47">
        <v>0</v>
      </c>
      <c r="DS203" s="47">
        <v>0</v>
      </c>
      <c r="DT203" s="47">
        <v>0</v>
      </c>
      <c r="DU203" s="47">
        <v>0</v>
      </c>
      <c r="DV203" s="47">
        <v>0</v>
      </c>
      <c r="DW203" s="47">
        <v>0</v>
      </c>
      <c r="DX203" s="47">
        <v>0</v>
      </c>
      <c r="DY203" s="47">
        <v>0</v>
      </c>
      <c r="DZ203" s="47">
        <v>0</v>
      </c>
      <c r="EA203" s="47">
        <v>0</v>
      </c>
      <c r="EB203" s="47"/>
      <c r="EC203" s="47">
        <v>1</v>
      </c>
      <c r="ZZ203" t="s">
        <v>2472</v>
      </c>
    </row>
    <row r="204" spans="1:702" x14ac:dyDescent="0.25">
      <c r="A204" s="47" t="s">
        <v>1049</v>
      </c>
      <c r="B204" s="47" t="s">
        <v>153</v>
      </c>
      <c r="C204" s="47" t="s">
        <v>157</v>
      </c>
      <c r="D204" s="47" t="s">
        <v>2684</v>
      </c>
      <c r="E204" s="47" t="s">
        <v>1050</v>
      </c>
      <c r="F204" s="47" t="s">
        <v>1051</v>
      </c>
      <c r="G204" s="47" t="s">
        <v>1052</v>
      </c>
      <c r="H204" s="47" t="s">
        <v>698</v>
      </c>
      <c r="I204" s="47" t="s">
        <v>727</v>
      </c>
      <c r="J204" s="47" t="str">
        <f>=IFERROR(VLOOKUP(H204&amp;I204,Table_Fonctions!A:G,6,FALSE),"")</f>
        <v>0</v>
      </c>
      <c r="K204" s="47" t="s">
        <v>2607</v>
      </c>
      <c r="L204" s="47" t="str">
        <f>=IFERROR(VLOOKUP(H204&amp;I204,Table_Fonctions!A:G,7,FALSE),K204)</f>
        <v/>
      </c>
      <c r="M204" s="47" t="str">
        <f>=IF(OR(LEFT(D204, 3)="TJ ", LEFT(D204, 4)="CPH "), "OUI", "NON")</f>
        <v/>
      </c>
      <c r="N204" s="47" t="s">
        <v>1053</v>
      </c>
      <c r="O204" s="47"/>
      <c r="P204" s="47">
        <v>1</v>
      </c>
      <c r="Q204" s="47">
        <v>1</v>
      </c>
      <c r="R204" s="47">
        <v>0</v>
      </c>
      <c r="S204" s="47">
        <f>=ROUND(BQ204-(BR204+BS204),3)</f>
      </c>
      <c r="T204" s="47">
        <f>=ROUND(CK204-(CL204+CM204+CN204+CO204+CP204),3)</f>
      </c>
      <c r="U204" s="47">
        <v>0</v>
      </c>
      <c r="V204" s="47">
        <v>0</v>
      </c>
      <c r="W204" s="47">
        <v>0</v>
      </c>
      <c r="X204" s="47">
        <v>0</v>
      </c>
      <c r="Y204" s="47">
        <v>0</v>
      </c>
      <c r="Z204" s="47">
        <v>0</v>
      </c>
      <c r="AA204" s="47">
        <v>0</v>
      </c>
      <c r="AB204" s="47">
        <v>0</v>
      </c>
      <c r="AC204" s="47">
        <v>0</v>
      </c>
      <c r="AD204" s="47">
        <v>0</v>
      </c>
      <c r="AE204" s="47">
        <v>0</v>
      </c>
      <c r="AF204" s="47">
        <v>0</v>
      </c>
      <c r="AG204" s="47">
        <v>0</v>
      </c>
      <c r="AH204" s="47">
        <v>0</v>
      </c>
      <c r="AI204" s="47">
        <v>0</v>
      </c>
      <c r="AJ204" s="47">
        <v>0</v>
      </c>
      <c r="AK204" s="47">
        <v>0</v>
      </c>
      <c r="AL204" s="47">
        <v>0</v>
      </c>
      <c r="AM204" s="47">
        <v>0</v>
      </c>
      <c r="AN204" s="47">
        <v>0</v>
      </c>
      <c r="AO204" s="47">
        <v>0</v>
      </c>
      <c r="AP204" s="47">
        <v>0</v>
      </c>
      <c r="AQ204" s="47">
        <v>0</v>
      </c>
      <c r="AR204" s="47">
        <v>0</v>
      </c>
      <c r="AS204" s="47">
        <v>0</v>
      </c>
      <c r="AT204" s="47">
        <v>0</v>
      </c>
      <c r="AU204" s="47">
        <v>0</v>
      </c>
      <c r="AV204" s="47">
        <v>0</v>
      </c>
      <c r="AW204" s="47">
        <v>0</v>
      </c>
      <c r="AX204" s="47">
        <v>0</v>
      </c>
      <c r="AY204" s="47">
        <v>0</v>
      </c>
      <c r="AZ204" s="47">
        <v>0</v>
      </c>
      <c r="BA204" s="47">
        <v>0</v>
      </c>
      <c r="BB204" s="47">
        <v>0</v>
      </c>
      <c r="BC204" s="47">
        <v>0</v>
      </c>
      <c r="BD204" s="47">
        <v>0</v>
      </c>
      <c r="BE204" s="47">
        <v>0</v>
      </c>
      <c r="BF204" s="47">
        <v>0</v>
      </c>
      <c r="BG204" s="47">
        <v>0</v>
      </c>
      <c r="BH204" s="47">
        <v>0</v>
      </c>
      <c r="BI204" s="47">
        <v>0</v>
      </c>
      <c r="BJ204" s="47">
        <v>0</v>
      </c>
      <c r="BK204" s="47">
        <v>0</v>
      </c>
      <c r="BL204" s="47">
        <v>0</v>
      </c>
      <c r="BM204" s="47">
        <v>0</v>
      </c>
      <c r="BN204" s="47">
        <v>0</v>
      </c>
      <c r="BO204" s="47">
        <v>0</v>
      </c>
      <c r="BP204" s="47">
        <v>0</v>
      </c>
      <c r="BQ204" s="47">
        <v>0</v>
      </c>
      <c r="BR204" s="47">
        <v>0</v>
      </c>
      <c r="BS204" s="47">
        <v>0</v>
      </c>
      <c r="BT204" s="47">
        <v>0</v>
      </c>
      <c r="BU204" s="47">
        <v>0</v>
      </c>
      <c r="BV204" s="47">
        <v>0</v>
      </c>
      <c r="BW204" s="47">
        <v>0</v>
      </c>
      <c r="BX204" s="47">
        <v>0</v>
      </c>
      <c r="BY204" s="47">
        <v>0</v>
      </c>
      <c r="BZ204" s="47">
        <v>0</v>
      </c>
      <c r="CA204" s="47">
        <v>0</v>
      </c>
      <c r="CB204" s="47">
        <v>0</v>
      </c>
      <c r="CC204" s="47">
        <v>0</v>
      </c>
      <c r="CD204" s="47">
        <v>0</v>
      </c>
      <c r="CE204" s="47">
        <v>0</v>
      </c>
      <c r="CF204" s="47">
        <v>0</v>
      </c>
      <c r="CG204" s="47">
        <v>0</v>
      </c>
      <c r="CH204" s="47">
        <v>0</v>
      </c>
      <c r="CI204" s="47">
        <v>0</v>
      </c>
      <c r="CJ204" s="47">
        <v>0</v>
      </c>
      <c r="CK204" s="47">
        <v>0</v>
      </c>
      <c r="CL204" s="47">
        <v>0</v>
      </c>
      <c r="CM204" s="47">
        <v>0</v>
      </c>
      <c r="CN204" s="47">
        <v>0</v>
      </c>
      <c r="CO204" s="47">
        <v>0</v>
      </c>
      <c r="CP204" s="47">
        <v>0</v>
      </c>
      <c r="CQ204" s="47">
        <v>0</v>
      </c>
      <c r="CR204" s="47">
        <v>0</v>
      </c>
      <c r="CS204" s="47">
        <v>0</v>
      </c>
      <c r="CT204" s="47">
        <v>0</v>
      </c>
      <c r="CU204" s="47">
        <v>0</v>
      </c>
      <c r="CV204" s="47">
        <v>0</v>
      </c>
      <c r="CW204" s="47">
        <v>0</v>
      </c>
      <c r="CX204" s="47">
        <v>0</v>
      </c>
      <c r="CY204" s="47">
        <v>1</v>
      </c>
      <c r="CZ204" s="47">
        <v>0</v>
      </c>
      <c r="DA204" s="47">
        <v>0</v>
      </c>
      <c r="DB204" s="47">
        <v>0</v>
      </c>
      <c r="DC204" s="47">
        <v>0</v>
      </c>
      <c r="DD204" s="47">
        <v>0</v>
      </c>
      <c r="DE204" s="47">
        <v>0</v>
      </c>
      <c r="DF204" s="47">
        <v>0</v>
      </c>
      <c r="DG204" s="47">
        <v>1</v>
      </c>
      <c r="DH204" s="47">
        <v>0</v>
      </c>
      <c r="DI204" s="47">
        <v>0</v>
      </c>
      <c r="DJ204" s="47">
        <v>0</v>
      </c>
      <c r="DK204" s="47">
        <v>0</v>
      </c>
      <c r="DL204" s="47">
        <v>0</v>
      </c>
      <c r="DM204" s="47">
        <v>0</v>
      </c>
      <c r="DN204" s="47">
        <v>0</v>
      </c>
      <c r="DO204" s="47">
        <v>0</v>
      </c>
      <c r="DP204" s="47">
        <v>0</v>
      </c>
      <c r="DQ204" s="47">
        <v>0</v>
      </c>
      <c r="DR204" s="47">
        <v>0</v>
      </c>
      <c r="DS204" s="47">
        <v>0</v>
      </c>
      <c r="DT204" s="47">
        <v>0</v>
      </c>
      <c r="DU204" s="47">
        <v>0</v>
      </c>
      <c r="DV204" s="47">
        <v>0</v>
      </c>
      <c r="DW204" s="47">
        <v>0</v>
      </c>
      <c r="DX204" s="47">
        <v>0.3077</v>
      </c>
      <c r="DY204" s="47">
        <v>0</v>
      </c>
      <c r="DZ204" s="47">
        <v>0</v>
      </c>
      <c r="EA204" s="47">
        <v>0.3077</v>
      </c>
      <c r="EB204" s="47"/>
      <c r="EC204" s="47">
        <v>1</v>
      </c>
      <c r="ZZ204" t="s">
        <v>2472</v>
      </c>
    </row>
    <row r="205" spans="1:702" x14ac:dyDescent="0.25">
      <c r="A205" s="47" t="s">
        <v>1054</v>
      </c>
      <c r="B205" s="47" t="s">
        <v>153</v>
      </c>
      <c r="C205" s="47" t="s">
        <v>157</v>
      </c>
      <c r="D205" s="47" t="s">
        <v>2685</v>
      </c>
      <c r="E205" s="47" t="s">
        <v>1055</v>
      </c>
      <c r="F205" s="47" t="s">
        <v>1056</v>
      </c>
      <c r="G205" s="47" t="s">
        <v>1057</v>
      </c>
      <c r="H205" s="47" t="s">
        <v>698</v>
      </c>
      <c r="I205" s="47" t="s">
        <v>705</v>
      </c>
      <c r="J205" s="47" t="str">
        <f>=IFERROR(VLOOKUP(H205&amp;I205,Table_Fonctions!A:G,6,FALSE),"")</f>
        <v>0</v>
      </c>
      <c r="K205" s="47" t="s">
        <v>2607</v>
      </c>
      <c r="L205" s="47" t="str">
        <f>=IFERROR(VLOOKUP(H205&amp;I205,Table_Fonctions!A:G,7,FALSE),K205)</f>
        <v/>
      </c>
      <c r="M205" s="47" t="str">
        <f>=IF(OR(LEFT(D205, 3)="TJ ", LEFT(D205, 4)="CPH "), "OUI", "NON")</f>
        <v/>
      </c>
      <c r="N205" s="47" t="s">
        <v>1058</v>
      </c>
      <c r="O205" s="47"/>
      <c r="P205" s="47">
        <v>0.8</v>
      </c>
      <c r="Q205" s="47">
        <v>0</v>
      </c>
      <c r="R205" s="47">
        <v>0.8</v>
      </c>
      <c r="S205" s="47">
        <f>=ROUND(BQ205-(BR205+BS205),3)</f>
      </c>
      <c r="T205" s="47">
        <f>=ROUND(CK205-(CL205+CM205+CN205+CO205+CP205),3)</f>
      </c>
      <c r="U205" s="47">
        <v>0</v>
      </c>
      <c r="V205" s="47">
        <v>0</v>
      </c>
      <c r="W205" s="47">
        <v>0</v>
      </c>
      <c r="X205" s="47">
        <v>0</v>
      </c>
      <c r="Y205" s="47">
        <v>0</v>
      </c>
      <c r="Z205" s="47">
        <v>0</v>
      </c>
      <c r="AA205" s="47">
        <v>0</v>
      </c>
      <c r="AB205" s="47">
        <v>0</v>
      </c>
      <c r="AC205" s="47">
        <v>0</v>
      </c>
      <c r="AD205" s="47">
        <v>0</v>
      </c>
      <c r="AE205" s="47">
        <v>0</v>
      </c>
      <c r="AF205" s="47">
        <v>0</v>
      </c>
      <c r="AG205" s="47">
        <v>0</v>
      </c>
      <c r="AH205" s="47">
        <v>0</v>
      </c>
      <c r="AI205" s="47">
        <v>0</v>
      </c>
      <c r="AJ205" s="47">
        <v>0</v>
      </c>
      <c r="AK205" s="47">
        <v>0</v>
      </c>
      <c r="AL205" s="47">
        <v>0</v>
      </c>
      <c r="AM205" s="47">
        <v>0</v>
      </c>
      <c r="AN205" s="47">
        <v>0</v>
      </c>
      <c r="AO205" s="47">
        <v>0</v>
      </c>
      <c r="AP205" s="47">
        <v>0</v>
      </c>
      <c r="AQ205" s="47">
        <v>0</v>
      </c>
      <c r="AR205" s="47">
        <v>0</v>
      </c>
      <c r="AS205" s="47">
        <v>0</v>
      </c>
      <c r="AT205" s="47">
        <v>0</v>
      </c>
      <c r="AU205" s="47">
        <v>0</v>
      </c>
      <c r="AV205" s="47">
        <v>0</v>
      </c>
      <c r="AW205" s="47">
        <v>0</v>
      </c>
      <c r="AX205" s="47">
        <v>0</v>
      </c>
      <c r="AY205" s="47">
        <v>0</v>
      </c>
      <c r="AZ205" s="47">
        <v>0</v>
      </c>
      <c r="BA205" s="47">
        <v>0</v>
      </c>
      <c r="BB205" s="47">
        <v>0</v>
      </c>
      <c r="BC205" s="47">
        <v>0</v>
      </c>
      <c r="BD205" s="47">
        <v>0</v>
      </c>
      <c r="BE205" s="47">
        <v>0</v>
      </c>
      <c r="BF205" s="47">
        <v>0</v>
      </c>
      <c r="BG205" s="47">
        <v>0</v>
      </c>
      <c r="BH205" s="47">
        <v>0</v>
      </c>
      <c r="BI205" s="47">
        <v>0</v>
      </c>
      <c r="BJ205" s="47">
        <v>0</v>
      </c>
      <c r="BK205" s="47">
        <v>0</v>
      </c>
      <c r="BL205" s="47">
        <v>0</v>
      </c>
      <c r="BM205" s="47">
        <v>0</v>
      </c>
      <c r="BN205" s="47">
        <v>0</v>
      </c>
      <c r="BO205" s="47">
        <v>0</v>
      </c>
      <c r="BP205" s="47">
        <v>0</v>
      </c>
      <c r="BQ205" s="47">
        <v>0</v>
      </c>
      <c r="BR205" s="47">
        <v>0</v>
      </c>
      <c r="BS205" s="47">
        <v>0</v>
      </c>
      <c r="BT205" s="47">
        <v>0</v>
      </c>
      <c r="BU205" s="47">
        <v>0</v>
      </c>
      <c r="BV205" s="47">
        <v>0</v>
      </c>
      <c r="BW205" s="47">
        <v>0</v>
      </c>
      <c r="BX205" s="47">
        <v>0</v>
      </c>
      <c r="BY205" s="47">
        <v>0</v>
      </c>
      <c r="BZ205" s="47">
        <v>0</v>
      </c>
      <c r="CA205" s="47">
        <v>0</v>
      </c>
      <c r="CB205" s="47">
        <v>0</v>
      </c>
      <c r="CC205" s="47">
        <v>0</v>
      </c>
      <c r="CD205" s="47">
        <v>0</v>
      </c>
      <c r="CE205" s="47">
        <v>0</v>
      </c>
      <c r="CF205" s="47">
        <v>0</v>
      </c>
      <c r="CG205" s="47">
        <v>0</v>
      </c>
      <c r="CH205" s="47">
        <v>0</v>
      </c>
      <c r="CI205" s="47">
        <v>0</v>
      </c>
      <c r="CJ205" s="47">
        <v>0</v>
      </c>
      <c r="CK205" s="47">
        <v>0</v>
      </c>
      <c r="CL205" s="47">
        <v>0</v>
      </c>
      <c r="CM205" s="47">
        <v>0</v>
      </c>
      <c r="CN205" s="47">
        <v>0</v>
      </c>
      <c r="CO205" s="47">
        <v>0</v>
      </c>
      <c r="CP205" s="47">
        <v>0</v>
      </c>
      <c r="CQ205" s="47">
        <v>0</v>
      </c>
      <c r="CR205" s="47">
        <v>0</v>
      </c>
      <c r="CS205" s="47">
        <v>0</v>
      </c>
      <c r="CT205" s="47">
        <v>0</v>
      </c>
      <c r="CU205" s="47">
        <v>0</v>
      </c>
      <c r="CV205" s="47">
        <v>0</v>
      </c>
      <c r="CW205" s="47">
        <v>0</v>
      </c>
      <c r="CX205" s="47">
        <v>0</v>
      </c>
      <c r="CY205" s="47">
        <v>0</v>
      </c>
      <c r="CZ205" s="47">
        <v>0</v>
      </c>
      <c r="DA205" s="47">
        <v>0</v>
      </c>
      <c r="DB205" s="47">
        <v>0</v>
      </c>
      <c r="DC205" s="47">
        <v>0</v>
      </c>
      <c r="DD205" s="47">
        <v>0</v>
      </c>
      <c r="DE205" s="47">
        <v>0</v>
      </c>
      <c r="DF205" s="47">
        <v>0</v>
      </c>
      <c r="DG205" s="47">
        <v>0</v>
      </c>
      <c r="DH205" s="47">
        <v>0</v>
      </c>
      <c r="DI205" s="47">
        <v>0</v>
      </c>
      <c r="DJ205" s="47">
        <v>0</v>
      </c>
      <c r="DK205" s="47">
        <v>0</v>
      </c>
      <c r="DL205" s="47">
        <v>0</v>
      </c>
      <c r="DM205" s="47">
        <v>0</v>
      </c>
      <c r="DN205" s="47">
        <v>0</v>
      </c>
      <c r="DO205" s="47">
        <v>0</v>
      </c>
      <c r="DP205" s="47">
        <v>0</v>
      </c>
      <c r="DQ205" s="47">
        <v>0</v>
      </c>
      <c r="DR205" s="47">
        <v>0</v>
      </c>
      <c r="DS205" s="47">
        <v>0</v>
      </c>
      <c r="DT205" s="47">
        <v>0</v>
      </c>
      <c r="DU205" s="47">
        <v>0</v>
      </c>
      <c r="DV205" s="47">
        <v>0</v>
      </c>
      <c r="DW205" s="47">
        <v>0</v>
      </c>
      <c r="DX205" s="47">
        <v>0</v>
      </c>
      <c r="DY205" s="47">
        <v>0</v>
      </c>
      <c r="DZ205" s="47">
        <v>0</v>
      </c>
      <c r="EA205" s="47">
        <v>0</v>
      </c>
      <c r="EB205" s="47"/>
      <c r="EC205" s="47">
        <v>0.8</v>
      </c>
      <c r="ZZ205" t="s">
        <v>2472</v>
      </c>
    </row>
    <row r="206" spans="1:702" x14ac:dyDescent="0.25">
      <c r="A206" s="47" t="s">
        <v>1059</v>
      </c>
      <c r="B206" s="47" t="s">
        <v>153</v>
      </c>
      <c r="C206" s="47" t="s">
        <v>157</v>
      </c>
      <c r="D206" s="47" t="s">
        <v>2686</v>
      </c>
      <c r="E206" s="47" t="s">
        <v>1060</v>
      </c>
      <c r="F206" s="47" t="s">
        <v>1061</v>
      </c>
      <c r="G206" s="47" t="s">
        <v>1062</v>
      </c>
      <c r="H206" s="47" t="s">
        <v>698</v>
      </c>
      <c r="I206" s="47" t="s">
        <v>727</v>
      </c>
      <c r="J206" s="47" t="str">
        <f>=IFERROR(VLOOKUP(H206&amp;I206,Table_Fonctions!A:G,6,FALSE),"")</f>
        <v>0</v>
      </c>
      <c r="K206" s="47" t="s">
        <v>2607</v>
      </c>
      <c r="L206" s="47" t="str">
        <f>=IFERROR(VLOOKUP(H206&amp;I206,Table_Fonctions!A:G,7,FALSE),K206)</f>
        <v/>
      </c>
      <c r="M206" s="47" t="str">
        <f>=IF(OR(LEFT(D206, 3)="TJ ", LEFT(D206, 4)="CPH "), "OUI", "NON")</f>
        <v/>
      </c>
      <c r="N206" s="47" t="s">
        <v>763</v>
      </c>
      <c r="O206" s="47"/>
      <c r="P206" s="47">
        <v>1</v>
      </c>
      <c r="Q206" s="47">
        <v>0</v>
      </c>
      <c r="R206" s="47">
        <v>1</v>
      </c>
      <c r="S206" s="47">
        <f>=ROUND(BQ206-(BR206+BS206),3)</f>
      </c>
      <c r="T206" s="47">
        <f>=ROUND(CK206-(CL206+CM206+CN206+CO206+CP206),3)</f>
      </c>
      <c r="U206" s="47">
        <v>0</v>
      </c>
      <c r="V206" s="47">
        <v>0</v>
      </c>
      <c r="W206" s="47">
        <v>0</v>
      </c>
      <c r="X206" s="47">
        <v>0</v>
      </c>
      <c r="Y206" s="47">
        <v>0</v>
      </c>
      <c r="Z206" s="47">
        <v>0</v>
      </c>
      <c r="AA206" s="47">
        <v>0</v>
      </c>
      <c r="AB206" s="47">
        <v>0</v>
      </c>
      <c r="AC206" s="47">
        <v>0</v>
      </c>
      <c r="AD206" s="47">
        <v>0</v>
      </c>
      <c r="AE206" s="47">
        <v>0</v>
      </c>
      <c r="AF206" s="47">
        <v>0</v>
      </c>
      <c r="AG206" s="47">
        <v>0</v>
      </c>
      <c r="AH206" s="47">
        <v>0</v>
      </c>
      <c r="AI206" s="47">
        <v>0</v>
      </c>
      <c r="AJ206" s="47">
        <v>0</v>
      </c>
      <c r="AK206" s="47">
        <v>0</v>
      </c>
      <c r="AL206" s="47">
        <v>0</v>
      </c>
      <c r="AM206" s="47">
        <v>0</v>
      </c>
      <c r="AN206" s="47">
        <v>0</v>
      </c>
      <c r="AO206" s="47">
        <v>0</v>
      </c>
      <c r="AP206" s="47">
        <v>0</v>
      </c>
      <c r="AQ206" s="47">
        <v>0</v>
      </c>
      <c r="AR206" s="47">
        <v>0</v>
      </c>
      <c r="AS206" s="47">
        <v>0</v>
      </c>
      <c r="AT206" s="47">
        <v>0</v>
      </c>
      <c r="AU206" s="47">
        <v>0</v>
      </c>
      <c r="AV206" s="47">
        <v>0</v>
      </c>
      <c r="AW206" s="47">
        <v>0</v>
      </c>
      <c r="AX206" s="47">
        <v>0</v>
      </c>
      <c r="AY206" s="47">
        <v>0</v>
      </c>
      <c r="AZ206" s="47">
        <v>0</v>
      </c>
      <c r="BA206" s="47">
        <v>0</v>
      </c>
      <c r="BB206" s="47">
        <v>0</v>
      </c>
      <c r="BC206" s="47">
        <v>0</v>
      </c>
      <c r="BD206" s="47">
        <v>0</v>
      </c>
      <c r="BE206" s="47">
        <v>0</v>
      </c>
      <c r="BF206" s="47">
        <v>0</v>
      </c>
      <c r="BG206" s="47">
        <v>0</v>
      </c>
      <c r="BH206" s="47">
        <v>0</v>
      </c>
      <c r="BI206" s="47">
        <v>0</v>
      </c>
      <c r="BJ206" s="47">
        <v>0</v>
      </c>
      <c r="BK206" s="47">
        <v>0</v>
      </c>
      <c r="BL206" s="47">
        <v>0</v>
      </c>
      <c r="BM206" s="47">
        <v>0</v>
      </c>
      <c r="BN206" s="47">
        <v>0</v>
      </c>
      <c r="BO206" s="47">
        <v>0</v>
      </c>
      <c r="BP206" s="47">
        <v>0</v>
      </c>
      <c r="BQ206" s="47">
        <v>0</v>
      </c>
      <c r="BR206" s="47">
        <v>0</v>
      </c>
      <c r="BS206" s="47">
        <v>0</v>
      </c>
      <c r="BT206" s="47">
        <v>0</v>
      </c>
      <c r="BU206" s="47">
        <v>0</v>
      </c>
      <c r="BV206" s="47">
        <v>0</v>
      </c>
      <c r="BW206" s="47">
        <v>0</v>
      </c>
      <c r="BX206" s="47">
        <v>0</v>
      </c>
      <c r="BY206" s="47">
        <v>0</v>
      </c>
      <c r="BZ206" s="47">
        <v>0</v>
      </c>
      <c r="CA206" s="47">
        <v>0</v>
      </c>
      <c r="CB206" s="47">
        <v>0</v>
      </c>
      <c r="CC206" s="47">
        <v>0</v>
      </c>
      <c r="CD206" s="47">
        <v>0</v>
      </c>
      <c r="CE206" s="47">
        <v>0</v>
      </c>
      <c r="CF206" s="47">
        <v>0</v>
      </c>
      <c r="CG206" s="47">
        <v>0</v>
      </c>
      <c r="CH206" s="47">
        <v>0</v>
      </c>
      <c r="CI206" s="47">
        <v>0</v>
      </c>
      <c r="CJ206" s="47">
        <v>0</v>
      </c>
      <c r="CK206" s="47">
        <v>0</v>
      </c>
      <c r="CL206" s="47">
        <v>0</v>
      </c>
      <c r="CM206" s="47">
        <v>0</v>
      </c>
      <c r="CN206" s="47">
        <v>0</v>
      </c>
      <c r="CO206" s="47">
        <v>0</v>
      </c>
      <c r="CP206" s="47">
        <v>0</v>
      </c>
      <c r="CQ206" s="47">
        <v>0</v>
      </c>
      <c r="CR206" s="47">
        <v>0</v>
      </c>
      <c r="CS206" s="47">
        <v>0</v>
      </c>
      <c r="CT206" s="47">
        <v>0</v>
      </c>
      <c r="CU206" s="47">
        <v>0</v>
      </c>
      <c r="CV206" s="47">
        <v>0</v>
      </c>
      <c r="CW206" s="47">
        <v>0</v>
      </c>
      <c r="CX206" s="47">
        <v>0</v>
      </c>
      <c r="CY206" s="47">
        <v>0</v>
      </c>
      <c r="CZ206" s="47">
        <v>0</v>
      </c>
      <c r="DA206" s="47">
        <v>0</v>
      </c>
      <c r="DB206" s="47">
        <v>0</v>
      </c>
      <c r="DC206" s="47">
        <v>0</v>
      </c>
      <c r="DD206" s="47">
        <v>0</v>
      </c>
      <c r="DE206" s="47">
        <v>0</v>
      </c>
      <c r="DF206" s="47">
        <v>0</v>
      </c>
      <c r="DG206" s="47">
        <v>0</v>
      </c>
      <c r="DH206" s="47">
        <v>0</v>
      </c>
      <c r="DI206" s="47">
        <v>0</v>
      </c>
      <c r="DJ206" s="47">
        <v>0</v>
      </c>
      <c r="DK206" s="47">
        <v>0</v>
      </c>
      <c r="DL206" s="47">
        <v>0</v>
      </c>
      <c r="DM206" s="47">
        <v>0</v>
      </c>
      <c r="DN206" s="47">
        <v>0</v>
      </c>
      <c r="DO206" s="47">
        <v>0</v>
      </c>
      <c r="DP206" s="47">
        <v>0</v>
      </c>
      <c r="DQ206" s="47">
        <v>0</v>
      </c>
      <c r="DR206" s="47">
        <v>0</v>
      </c>
      <c r="DS206" s="47">
        <v>0</v>
      </c>
      <c r="DT206" s="47">
        <v>0</v>
      </c>
      <c r="DU206" s="47">
        <v>0</v>
      </c>
      <c r="DV206" s="47">
        <v>0</v>
      </c>
      <c r="DW206" s="47">
        <v>0</v>
      </c>
      <c r="DX206" s="47">
        <v>0</v>
      </c>
      <c r="DY206" s="47">
        <v>0</v>
      </c>
      <c r="DZ206" s="47">
        <v>0</v>
      </c>
      <c r="EA206" s="47">
        <v>0</v>
      </c>
      <c r="EB206" s="47"/>
      <c r="EC206" s="47">
        <v>1</v>
      </c>
      <c r="ZZ206" t="s">
        <v>2472</v>
      </c>
    </row>
    <row r="207" spans="1:702" x14ac:dyDescent="0.25">
      <c r="A207" s="47" t="s">
        <v>1063</v>
      </c>
      <c r="B207" s="47" t="s">
        <v>153</v>
      </c>
      <c r="C207" s="47" t="s">
        <v>157</v>
      </c>
      <c r="D207" s="47" t="s">
        <v>2687</v>
      </c>
      <c r="E207" s="47" t="s">
        <v>1064</v>
      </c>
      <c r="F207" s="47" t="s">
        <v>1065</v>
      </c>
      <c r="G207" s="47" t="s">
        <v>1066</v>
      </c>
      <c r="H207" s="47" t="s">
        <v>698</v>
      </c>
      <c r="I207" s="47" t="s">
        <v>705</v>
      </c>
      <c r="J207" s="47" t="str">
        <f>=IFERROR(VLOOKUP(H207&amp;I207,Table_Fonctions!A:G,6,FALSE),"")</f>
        <v>0</v>
      </c>
      <c r="K207" s="47" t="s">
        <v>2607</v>
      </c>
      <c r="L207" s="47" t="str">
        <f>=IFERROR(VLOOKUP(H207&amp;I207,Table_Fonctions!A:G,7,FALSE),K207)</f>
        <v/>
      </c>
      <c r="M207" s="47" t="str">
        <f>=IF(OR(LEFT(D207, 3)="TJ ", LEFT(D207, 4)="CPH "), "OUI", "NON")</f>
        <v/>
      </c>
      <c r="N207" s="47" t="s">
        <v>717</v>
      </c>
      <c r="O207" s="47"/>
      <c r="P207" s="47">
        <v>1</v>
      </c>
      <c r="Q207" s="47">
        <v>0</v>
      </c>
      <c r="R207" s="47">
        <v>1</v>
      </c>
      <c r="S207" s="47">
        <f>=ROUND(BQ207-(BR207+BS207),3)</f>
      </c>
      <c r="T207" s="47">
        <f>=ROUND(CK207-(CL207+CM207+CN207+CO207+CP207),3)</f>
      </c>
      <c r="U207" s="47">
        <v>0</v>
      </c>
      <c r="V207" s="47">
        <v>0</v>
      </c>
      <c r="W207" s="47">
        <v>0</v>
      </c>
      <c r="X207" s="47">
        <v>0</v>
      </c>
      <c r="Y207" s="47">
        <v>0</v>
      </c>
      <c r="Z207" s="47">
        <v>0</v>
      </c>
      <c r="AA207" s="47">
        <v>0</v>
      </c>
      <c r="AB207" s="47">
        <v>0</v>
      </c>
      <c r="AC207" s="47">
        <v>0</v>
      </c>
      <c r="AD207" s="47">
        <v>0</v>
      </c>
      <c r="AE207" s="47">
        <v>0</v>
      </c>
      <c r="AF207" s="47">
        <v>0</v>
      </c>
      <c r="AG207" s="47">
        <v>0</v>
      </c>
      <c r="AH207" s="47">
        <v>0</v>
      </c>
      <c r="AI207" s="47">
        <v>0</v>
      </c>
      <c r="AJ207" s="47">
        <v>0</v>
      </c>
      <c r="AK207" s="47">
        <v>0</v>
      </c>
      <c r="AL207" s="47">
        <v>0</v>
      </c>
      <c r="AM207" s="47">
        <v>0</v>
      </c>
      <c r="AN207" s="47">
        <v>0</v>
      </c>
      <c r="AO207" s="47">
        <v>0</v>
      </c>
      <c r="AP207" s="47">
        <v>0</v>
      </c>
      <c r="AQ207" s="47">
        <v>0</v>
      </c>
      <c r="AR207" s="47">
        <v>0</v>
      </c>
      <c r="AS207" s="47">
        <v>0</v>
      </c>
      <c r="AT207" s="47">
        <v>0</v>
      </c>
      <c r="AU207" s="47">
        <v>0</v>
      </c>
      <c r="AV207" s="47">
        <v>0</v>
      </c>
      <c r="AW207" s="47">
        <v>0</v>
      </c>
      <c r="AX207" s="47">
        <v>0</v>
      </c>
      <c r="AY207" s="47">
        <v>0</v>
      </c>
      <c r="AZ207" s="47">
        <v>0</v>
      </c>
      <c r="BA207" s="47">
        <v>0</v>
      </c>
      <c r="BB207" s="47">
        <v>0</v>
      </c>
      <c r="BC207" s="47">
        <v>0</v>
      </c>
      <c r="BD207" s="47">
        <v>0</v>
      </c>
      <c r="BE207" s="47">
        <v>0</v>
      </c>
      <c r="BF207" s="47">
        <v>0</v>
      </c>
      <c r="BG207" s="47">
        <v>0</v>
      </c>
      <c r="BH207" s="47">
        <v>0</v>
      </c>
      <c r="BI207" s="47">
        <v>0</v>
      </c>
      <c r="BJ207" s="47">
        <v>0</v>
      </c>
      <c r="BK207" s="47">
        <v>0</v>
      </c>
      <c r="BL207" s="47">
        <v>0</v>
      </c>
      <c r="BM207" s="47">
        <v>0</v>
      </c>
      <c r="BN207" s="47">
        <v>0</v>
      </c>
      <c r="BO207" s="47">
        <v>0</v>
      </c>
      <c r="BP207" s="47">
        <v>0</v>
      </c>
      <c r="BQ207" s="47">
        <v>0</v>
      </c>
      <c r="BR207" s="47">
        <v>0</v>
      </c>
      <c r="BS207" s="47">
        <v>0</v>
      </c>
      <c r="BT207" s="47">
        <v>0</v>
      </c>
      <c r="BU207" s="47">
        <v>0</v>
      </c>
      <c r="BV207" s="47">
        <v>0</v>
      </c>
      <c r="BW207" s="47">
        <v>0</v>
      </c>
      <c r="BX207" s="47">
        <v>0</v>
      </c>
      <c r="BY207" s="47">
        <v>0</v>
      </c>
      <c r="BZ207" s="47">
        <v>0</v>
      </c>
      <c r="CA207" s="47">
        <v>0</v>
      </c>
      <c r="CB207" s="47">
        <v>0</v>
      </c>
      <c r="CC207" s="47">
        <v>0</v>
      </c>
      <c r="CD207" s="47">
        <v>0</v>
      </c>
      <c r="CE207" s="47">
        <v>0</v>
      </c>
      <c r="CF207" s="47">
        <v>0</v>
      </c>
      <c r="CG207" s="47">
        <v>0</v>
      </c>
      <c r="CH207" s="47">
        <v>0</v>
      </c>
      <c r="CI207" s="47">
        <v>0</v>
      </c>
      <c r="CJ207" s="47">
        <v>0</v>
      </c>
      <c r="CK207" s="47">
        <v>0</v>
      </c>
      <c r="CL207" s="47">
        <v>0</v>
      </c>
      <c r="CM207" s="47">
        <v>0</v>
      </c>
      <c r="CN207" s="47">
        <v>0</v>
      </c>
      <c r="CO207" s="47">
        <v>0</v>
      </c>
      <c r="CP207" s="47">
        <v>0</v>
      </c>
      <c r="CQ207" s="47">
        <v>0</v>
      </c>
      <c r="CR207" s="47">
        <v>0</v>
      </c>
      <c r="CS207" s="47">
        <v>0</v>
      </c>
      <c r="CT207" s="47">
        <v>0</v>
      </c>
      <c r="CU207" s="47">
        <v>0</v>
      </c>
      <c r="CV207" s="47">
        <v>0</v>
      </c>
      <c r="CW207" s="47">
        <v>0</v>
      </c>
      <c r="CX207" s="47">
        <v>0</v>
      </c>
      <c r="CY207" s="47">
        <v>0</v>
      </c>
      <c r="CZ207" s="47">
        <v>0</v>
      </c>
      <c r="DA207" s="47">
        <v>0</v>
      </c>
      <c r="DB207" s="47">
        <v>0</v>
      </c>
      <c r="DC207" s="47">
        <v>0</v>
      </c>
      <c r="DD207" s="47">
        <v>0</v>
      </c>
      <c r="DE207" s="47">
        <v>0</v>
      </c>
      <c r="DF207" s="47">
        <v>0</v>
      </c>
      <c r="DG207" s="47">
        <v>0</v>
      </c>
      <c r="DH207" s="47">
        <v>0</v>
      </c>
      <c r="DI207" s="47">
        <v>0</v>
      </c>
      <c r="DJ207" s="47">
        <v>0</v>
      </c>
      <c r="DK207" s="47">
        <v>0</v>
      </c>
      <c r="DL207" s="47">
        <v>0</v>
      </c>
      <c r="DM207" s="47">
        <v>0</v>
      </c>
      <c r="DN207" s="47">
        <v>0</v>
      </c>
      <c r="DO207" s="47">
        <v>0</v>
      </c>
      <c r="DP207" s="47">
        <v>0</v>
      </c>
      <c r="DQ207" s="47">
        <v>0</v>
      </c>
      <c r="DR207" s="47">
        <v>0</v>
      </c>
      <c r="DS207" s="47">
        <v>0</v>
      </c>
      <c r="DT207" s="47">
        <v>0</v>
      </c>
      <c r="DU207" s="47">
        <v>0</v>
      </c>
      <c r="DV207" s="47">
        <v>0</v>
      </c>
      <c r="DW207" s="47">
        <v>0</v>
      </c>
      <c r="DX207" s="47">
        <v>0</v>
      </c>
      <c r="DY207" s="47">
        <v>0</v>
      </c>
      <c r="DZ207" s="47">
        <v>0</v>
      </c>
      <c r="EA207" s="47">
        <v>0</v>
      </c>
      <c r="EB207" s="47"/>
      <c r="EC207" s="47">
        <v>1</v>
      </c>
      <c r="ZZ207" t="s">
        <v>2472</v>
      </c>
    </row>
    <row r="208" spans="1:702" x14ac:dyDescent="0.25">
      <c r="A208" s="47" t="s">
        <v>1067</v>
      </c>
      <c r="B208" s="47" t="s">
        <v>153</v>
      </c>
      <c r="C208" s="47" t="s">
        <v>157</v>
      </c>
      <c r="D208" s="47" t="s">
        <v>2688</v>
      </c>
      <c r="E208" s="47" t="s">
        <v>1068</v>
      </c>
      <c r="F208" s="47" t="s">
        <v>1069</v>
      </c>
      <c r="G208" s="47" t="s">
        <v>1070</v>
      </c>
      <c r="H208" s="47" t="s">
        <v>698</v>
      </c>
      <c r="I208" s="47" t="s">
        <v>705</v>
      </c>
      <c r="J208" s="47" t="str">
        <f>=IFERROR(VLOOKUP(H208&amp;I208,Table_Fonctions!A:G,6,FALSE),"")</f>
        <v>0</v>
      </c>
      <c r="K208" s="47" t="s">
        <v>2607</v>
      </c>
      <c r="L208" s="47" t="str">
        <f>=IFERROR(VLOOKUP(H208&amp;I208,Table_Fonctions!A:G,7,FALSE),K208)</f>
        <v/>
      </c>
      <c r="M208" s="47" t="str">
        <f>=IF(OR(LEFT(D208, 3)="TJ ", LEFT(D208, 4)="CPH "), "OUI", "NON")</f>
        <v/>
      </c>
      <c r="N208" s="47" t="s">
        <v>1071</v>
      </c>
      <c r="O208" s="47"/>
      <c r="P208" s="47">
        <v>1</v>
      </c>
      <c r="Q208" s="47">
        <v>0</v>
      </c>
      <c r="R208" s="47">
        <v>1</v>
      </c>
      <c r="S208" s="47">
        <f>=ROUND(BQ208-(BR208+BS208),3)</f>
      </c>
      <c r="T208" s="47">
        <f>=ROUND(CK208-(CL208+CM208+CN208+CO208+CP208),3)</f>
      </c>
      <c r="U208" s="47">
        <v>0</v>
      </c>
      <c r="V208" s="47">
        <v>0</v>
      </c>
      <c r="W208" s="47">
        <v>0</v>
      </c>
      <c r="X208" s="47">
        <v>0</v>
      </c>
      <c r="Y208" s="47">
        <v>0</v>
      </c>
      <c r="Z208" s="47">
        <v>0</v>
      </c>
      <c r="AA208" s="47">
        <v>0</v>
      </c>
      <c r="AB208" s="47">
        <v>0</v>
      </c>
      <c r="AC208" s="47">
        <v>0</v>
      </c>
      <c r="AD208" s="47">
        <v>0</v>
      </c>
      <c r="AE208" s="47">
        <v>0</v>
      </c>
      <c r="AF208" s="47">
        <v>0</v>
      </c>
      <c r="AG208" s="47">
        <v>0</v>
      </c>
      <c r="AH208" s="47">
        <v>0</v>
      </c>
      <c r="AI208" s="47">
        <v>0</v>
      </c>
      <c r="AJ208" s="47">
        <v>0</v>
      </c>
      <c r="AK208" s="47">
        <v>0</v>
      </c>
      <c r="AL208" s="47">
        <v>0</v>
      </c>
      <c r="AM208" s="47">
        <v>0</v>
      </c>
      <c r="AN208" s="47">
        <v>0</v>
      </c>
      <c r="AO208" s="47">
        <v>0</v>
      </c>
      <c r="AP208" s="47">
        <v>0</v>
      </c>
      <c r="AQ208" s="47">
        <v>0</v>
      </c>
      <c r="AR208" s="47">
        <v>0</v>
      </c>
      <c r="AS208" s="47">
        <v>0</v>
      </c>
      <c r="AT208" s="47">
        <v>0</v>
      </c>
      <c r="AU208" s="47">
        <v>0</v>
      </c>
      <c r="AV208" s="47">
        <v>0</v>
      </c>
      <c r="AW208" s="47">
        <v>0</v>
      </c>
      <c r="AX208" s="47">
        <v>0</v>
      </c>
      <c r="AY208" s="47">
        <v>0</v>
      </c>
      <c r="AZ208" s="47">
        <v>0</v>
      </c>
      <c r="BA208" s="47">
        <v>0</v>
      </c>
      <c r="BB208" s="47">
        <v>0</v>
      </c>
      <c r="BC208" s="47">
        <v>0</v>
      </c>
      <c r="BD208" s="47">
        <v>0</v>
      </c>
      <c r="BE208" s="47">
        <v>0</v>
      </c>
      <c r="BF208" s="47">
        <v>0</v>
      </c>
      <c r="BG208" s="47">
        <v>0</v>
      </c>
      <c r="BH208" s="47">
        <v>0</v>
      </c>
      <c r="BI208" s="47">
        <v>0</v>
      </c>
      <c r="BJ208" s="47">
        <v>0</v>
      </c>
      <c r="BK208" s="47">
        <v>0</v>
      </c>
      <c r="BL208" s="47">
        <v>0</v>
      </c>
      <c r="BM208" s="47">
        <v>0</v>
      </c>
      <c r="BN208" s="47">
        <v>0</v>
      </c>
      <c r="BO208" s="47">
        <v>0</v>
      </c>
      <c r="BP208" s="47">
        <v>0</v>
      </c>
      <c r="BQ208" s="47">
        <v>0</v>
      </c>
      <c r="BR208" s="47">
        <v>0</v>
      </c>
      <c r="BS208" s="47">
        <v>0</v>
      </c>
      <c r="BT208" s="47">
        <v>0</v>
      </c>
      <c r="BU208" s="47">
        <v>0</v>
      </c>
      <c r="BV208" s="47">
        <v>0</v>
      </c>
      <c r="BW208" s="47">
        <v>0</v>
      </c>
      <c r="BX208" s="47">
        <v>0</v>
      </c>
      <c r="BY208" s="47">
        <v>0</v>
      </c>
      <c r="BZ208" s="47">
        <v>0</v>
      </c>
      <c r="CA208" s="47">
        <v>0</v>
      </c>
      <c r="CB208" s="47">
        <v>0</v>
      </c>
      <c r="CC208" s="47">
        <v>0</v>
      </c>
      <c r="CD208" s="47">
        <v>0</v>
      </c>
      <c r="CE208" s="47">
        <v>0</v>
      </c>
      <c r="CF208" s="47">
        <v>0</v>
      </c>
      <c r="CG208" s="47">
        <v>0</v>
      </c>
      <c r="CH208" s="47">
        <v>0</v>
      </c>
      <c r="CI208" s="47">
        <v>0</v>
      </c>
      <c r="CJ208" s="47">
        <v>0</v>
      </c>
      <c r="CK208" s="47">
        <v>0</v>
      </c>
      <c r="CL208" s="47">
        <v>0</v>
      </c>
      <c r="CM208" s="47">
        <v>0</v>
      </c>
      <c r="CN208" s="47">
        <v>0</v>
      </c>
      <c r="CO208" s="47">
        <v>0</v>
      </c>
      <c r="CP208" s="47">
        <v>0</v>
      </c>
      <c r="CQ208" s="47">
        <v>0</v>
      </c>
      <c r="CR208" s="47">
        <v>0</v>
      </c>
      <c r="CS208" s="47">
        <v>0</v>
      </c>
      <c r="CT208" s="47">
        <v>0</v>
      </c>
      <c r="CU208" s="47">
        <v>0</v>
      </c>
      <c r="CV208" s="47">
        <v>0</v>
      </c>
      <c r="CW208" s="47">
        <v>0</v>
      </c>
      <c r="CX208" s="47">
        <v>0</v>
      </c>
      <c r="CY208" s="47">
        <v>0</v>
      </c>
      <c r="CZ208" s="47">
        <v>0</v>
      </c>
      <c r="DA208" s="47">
        <v>0</v>
      </c>
      <c r="DB208" s="47">
        <v>0</v>
      </c>
      <c r="DC208" s="47">
        <v>0</v>
      </c>
      <c r="DD208" s="47">
        <v>0</v>
      </c>
      <c r="DE208" s="47">
        <v>0</v>
      </c>
      <c r="DF208" s="47">
        <v>0</v>
      </c>
      <c r="DG208" s="47">
        <v>0</v>
      </c>
      <c r="DH208" s="47">
        <v>0</v>
      </c>
      <c r="DI208" s="47">
        <v>0</v>
      </c>
      <c r="DJ208" s="47">
        <v>0</v>
      </c>
      <c r="DK208" s="47">
        <v>0</v>
      </c>
      <c r="DL208" s="47">
        <v>0</v>
      </c>
      <c r="DM208" s="47">
        <v>0</v>
      </c>
      <c r="DN208" s="47">
        <v>0</v>
      </c>
      <c r="DO208" s="47">
        <v>0</v>
      </c>
      <c r="DP208" s="47">
        <v>0</v>
      </c>
      <c r="DQ208" s="47">
        <v>0</v>
      </c>
      <c r="DR208" s="47">
        <v>0</v>
      </c>
      <c r="DS208" s="47">
        <v>0</v>
      </c>
      <c r="DT208" s="47">
        <v>0</v>
      </c>
      <c r="DU208" s="47">
        <v>0</v>
      </c>
      <c r="DV208" s="47">
        <v>0</v>
      </c>
      <c r="DW208" s="47">
        <v>0</v>
      </c>
      <c r="DX208" s="47">
        <v>0</v>
      </c>
      <c r="DY208" s="47">
        <v>0</v>
      </c>
      <c r="DZ208" s="47">
        <v>0</v>
      </c>
      <c r="EA208" s="47">
        <v>0</v>
      </c>
      <c r="EB208" s="47"/>
      <c r="EC208" s="47">
        <v>1</v>
      </c>
      <c r="ZZ208" t="s">
        <v>2472</v>
      </c>
    </row>
    <row r="209" spans="1:702" x14ac:dyDescent="0.25">
      <c r="A209" s="47" t="s">
        <v>1072</v>
      </c>
      <c r="B209" s="47" t="s">
        <v>153</v>
      </c>
      <c r="C209" s="47" t="s">
        <v>157</v>
      </c>
      <c r="D209" s="47" t="s">
        <v>2689</v>
      </c>
      <c r="E209" s="47" t="s">
        <v>1073</v>
      </c>
      <c r="F209" s="47" t="s">
        <v>1074</v>
      </c>
      <c r="G209" s="47" t="s">
        <v>1075</v>
      </c>
      <c r="H209" s="47" t="s">
        <v>698</v>
      </c>
      <c r="I209" s="47" t="s">
        <v>727</v>
      </c>
      <c r="J209" s="47" t="str">
        <f>=IFERROR(VLOOKUP(H209&amp;I209,Table_Fonctions!A:G,6,FALSE),"")</f>
        <v>0</v>
      </c>
      <c r="K209" s="47" t="s">
        <v>2607</v>
      </c>
      <c r="L209" s="47" t="str">
        <f>=IFERROR(VLOOKUP(H209&amp;I209,Table_Fonctions!A:G,7,FALSE),K209)</f>
        <v/>
      </c>
      <c r="M209" s="47" t="str">
        <f>=IF(OR(LEFT(D209, 3)="TJ ", LEFT(D209, 4)="CPH "), "OUI", "NON")</f>
        <v/>
      </c>
      <c r="N209" s="47" t="s">
        <v>1076</v>
      </c>
      <c r="O209" s="47"/>
      <c r="P209" s="47">
        <v>1</v>
      </c>
      <c r="Q209" s="47">
        <v>1</v>
      </c>
      <c r="R209" s="47">
        <v>0</v>
      </c>
      <c r="S209" s="47">
        <f>=ROUND(BQ209-(BR209+BS209),3)</f>
      </c>
      <c r="T209" s="47">
        <f>=ROUND(CK209-(CL209+CM209+CN209+CO209+CP209),3)</f>
      </c>
      <c r="U209" s="47">
        <v>0</v>
      </c>
      <c r="V209" s="47">
        <v>0</v>
      </c>
      <c r="W209" s="47">
        <v>0</v>
      </c>
      <c r="X209" s="47">
        <v>0</v>
      </c>
      <c r="Y209" s="47">
        <v>0</v>
      </c>
      <c r="Z209" s="47">
        <v>0</v>
      </c>
      <c r="AA209" s="47">
        <v>0</v>
      </c>
      <c r="AB209" s="47">
        <v>0</v>
      </c>
      <c r="AC209" s="47">
        <v>0</v>
      </c>
      <c r="AD209" s="47">
        <v>0</v>
      </c>
      <c r="AE209" s="47">
        <v>0</v>
      </c>
      <c r="AF209" s="47">
        <v>0</v>
      </c>
      <c r="AG209" s="47">
        <v>0</v>
      </c>
      <c r="AH209" s="47">
        <v>0</v>
      </c>
      <c r="AI209" s="47">
        <v>0</v>
      </c>
      <c r="AJ209" s="47">
        <v>0</v>
      </c>
      <c r="AK209" s="47">
        <v>0</v>
      </c>
      <c r="AL209" s="47">
        <v>0</v>
      </c>
      <c r="AM209" s="47">
        <v>0</v>
      </c>
      <c r="AN209" s="47">
        <v>0</v>
      </c>
      <c r="AO209" s="47">
        <v>0</v>
      </c>
      <c r="AP209" s="47">
        <v>0</v>
      </c>
      <c r="AQ209" s="47">
        <v>0</v>
      </c>
      <c r="AR209" s="47">
        <v>0</v>
      </c>
      <c r="AS209" s="47">
        <v>1</v>
      </c>
      <c r="AT209" s="47">
        <v>0</v>
      </c>
      <c r="AU209" s="47">
        <v>0</v>
      </c>
      <c r="AV209" s="47">
        <v>0</v>
      </c>
      <c r="AW209" s="47">
        <v>0</v>
      </c>
      <c r="AX209" s="47">
        <v>0</v>
      </c>
      <c r="AY209" s="47">
        <v>0</v>
      </c>
      <c r="AZ209" s="47">
        <v>0</v>
      </c>
      <c r="BA209" s="47">
        <v>0</v>
      </c>
      <c r="BB209" s="47">
        <v>0</v>
      </c>
      <c r="BC209" s="47">
        <v>0</v>
      </c>
      <c r="BD209" s="47">
        <v>0</v>
      </c>
      <c r="BE209" s="47">
        <v>0</v>
      </c>
      <c r="BF209" s="47">
        <v>0</v>
      </c>
      <c r="BG209" s="47">
        <v>0</v>
      </c>
      <c r="BH209" s="47">
        <v>0</v>
      </c>
      <c r="BI209" s="47">
        <v>0</v>
      </c>
      <c r="BJ209" s="47">
        <v>0</v>
      </c>
      <c r="BK209" s="47">
        <v>0</v>
      </c>
      <c r="BL209" s="47">
        <v>0</v>
      </c>
      <c r="BM209" s="47">
        <v>0</v>
      </c>
      <c r="BN209" s="47">
        <v>0</v>
      </c>
      <c r="BO209" s="47">
        <v>0</v>
      </c>
      <c r="BP209" s="47">
        <v>0</v>
      </c>
      <c r="BQ209" s="47">
        <v>0</v>
      </c>
      <c r="BR209" s="47">
        <v>0</v>
      </c>
      <c r="BS209" s="47">
        <v>0</v>
      </c>
      <c r="BT209" s="47">
        <v>0</v>
      </c>
      <c r="BU209" s="47">
        <v>0</v>
      </c>
      <c r="BV209" s="47">
        <v>0</v>
      </c>
      <c r="BW209" s="47">
        <v>0</v>
      </c>
      <c r="BX209" s="47">
        <v>0</v>
      </c>
      <c r="BY209" s="47">
        <v>0</v>
      </c>
      <c r="BZ209" s="47">
        <v>0</v>
      </c>
      <c r="CA209" s="47">
        <v>0</v>
      </c>
      <c r="CB209" s="47">
        <v>0</v>
      </c>
      <c r="CC209" s="47">
        <v>0</v>
      </c>
      <c r="CD209" s="47">
        <v>0</v>
      </c>
      <c r="CE209" s="47">
        <v>0</v>
      </c>
      <c r="CF209" s="47">
        <v>0</v>
      </c>
      <c r="CG209" s="47">
        <v>0</v>
      </c>
      <c r="CH209" s="47">
        <v>0</v>
      </c>
      <c r="CI209" s="47">
        <v>0</v>
      </c>
      <c r="CJ209" s="47">
        <v>0</v>
      </c>
      <c r="CK209" s="47">
        <v>0</v>
      </c>
      <c r="CL209" s="47">
        <v>0</v>
      </c>
      <c r="CM209" s="47">
        <v>0</v>
      </c>
      <c r="CN209" s="47">
        <v>0</v>
      </c>
      <c r="CO209" s="47">
        <v>0</v>
      </c>
      <c r="CP209" s="47">
        <v>0</v>
      </c>
      <c r="CQ209" s="47">
        <v>0</v>
      </c>
      <c r="CR209" s="47">
        <v>0</v>
      </c>
      <c r="CS209" s="47">
        <v>0</v>
      </c>
      <c r="CT209" s="47">
        <v>0</v>
      </c>
      <c r="CU209" s="47">
        <v>0</v>
      </c>
      <c r="CV209" s="47">
        <v>0</v>
      </c>
      <c r="CW209" s="47">
        <v>0</v>
      </c>
      <c r="CX209" s="47">
        <v>0</v>
      </c>
      <c r="CY209" s="47">
        <v>0</v>
      </c>
      <c r="CZ209" s="47">
        <v>0</v>
      </c>
      <c r="DA209" s="47">
        <v>0</v>
      </c>
      <c r="DB209" s="47">
        <v>0</v>
      </c>
      <c r="DC209" s="47">
        <v>0</v>
      </c>
      <c r="DD209" s="47">
        <v>0</v>
      </c>
      <c r="DE209" s="47">
        <v>0</v>
      </c>
      <c r="DF209" s="47">
        <v>0</v>
      </c>
      <c r="DG209" s="47">
        <v>0</v>
      </c>
      <c r="DH209" s="47">
        <v>0</v>
      </c>
      <c r="DI209" s="47">
        <v>0</v>
      </c>
      <c r="DJ209" s="47">
        <v>0</v>
      </c>
      <c r="DK209" s="47">
        <v>0</v>
      </c>
      <c r="DL209" s="47">
        <v>0</v>
      </c>
      <c r="DM209" s="47">
        <v>0</v>
      </c>
      <c r="DN209" s="47">
        <v>0</v>
      </c>
      <c r="DO209" s="47">
        <v>0</v>
      </c>
      <c r="DP209" s="47">
        <v>0</v>
      </c>
      <c r="DQ209" s="47">
        <v>0</v>
      </c>
      <c r="DR209" s="47">
        <v>0</v>
      </c>
      <c r="DS209" s="47">
        <v>0</v>
      </c>
      <c r="DT209" s="47">
        <v>0</v>
      </c>
      <c r="DU209" s="47">
        <v>0</v>
      </c>
      <c r="DV209" s="47">
        <v>0</v>
      </c>
      <c r="DW209" s="47">
        <v>0</v>
      </c>
      <c r="DX209" s="47">
        <v>0</v>
      </c>
      <c r="DY209" s="47">
        <v>0</v>
      </c>
      <c r="DZ209" s="47">
        <v>0</v>
      </c>
      <c r="EA209" s="47">
        <v>0</v>
      </c>
      <c r="EB209" s="47"/>
      <c r="EC209" s="47">
        <v>1</v>
      </c>
      <c r="ZZ209" t="s">
        <v>2472</v>
      </c>
    </row>
    <row r="210" spans="1:702" x14ac:dyDescent="0.25">
      <c r="A210" s="47" t="s">
        <v>1077</v>
      </c>
      <c r="B210" s="47" t="s">
        <v>153</v>
      </c>
      <c r="C210" s="47" t="s">
        <v>157</v>
      </c>
      <c r="D210" s="47" t="s">
        <v>2690</v>
      </c>
      <c r="E210" s="47" t="s">
        <v>1078</v>
      </c>
      <c r="F210" s="47" t="s">
        <v>1079</v>
      </c>
      <c r="G210" s="47" t="s">
        <v>1080</v>
      </c>
      <c r="H210" s="47" t="s">
        <v>698</v>
      </c>
      <c r="I210" s="47" t="s">
        <v>705</v>
      </c>
      <c r="J210" s="47" t="str">
        <f>=IFERROR(VLOOKUP(H210&amp;I210,Table_Fonctions!A:G,6,FALSE),"")</f>
        <v>0</v>
      </c>
      <c r="K210" s="47" t="s">
        <v>2607</v>
      </c>
      <c r="L210" s="47" t="str">
        <f>=IFERROR(VLOOKUP(H210&amp;I210,Table_Fonctions!A:G,7,FALSE),K210)</f>
        <v/>
      </c>
      <c r="M210" s="47" t="str">
        <f>=IF(OR(LEFT(D210, 3)="TJ ", LEFT(D210, 4)="CPH "), "OUI", "NON")</f>
        <v/>
      </c>
      <c r="N210" s="47" t="s">
        <v>902</v>
      </c>
      <c r="O210" s="47"/>
      <c r="P210" s="47">
        <v>0.8</v>
      </c>
      <c r="Q210" s="47">
        <v>0</v>
      </c>
      <c r="R210" s="47">
        <v>0.8</v>
      </c>
      <c r="S210" s="47">
        <f>=ROUND(BQ210-(BR210+BS210),3)</f>
      </c>
      <c r="T210" s="47">
        <f>=ROUND(CK210-(CL210+CM210+CN210+CO210+CP210),3)</f>
      </c>
      <c r="U210" s="47">
        <v>0</v>
      </c>
      <c r="V210" s="47">
        <v>0</v>
      </c>
      <c r="W210" s="47">
        <v>0</v>
      </c>
      <c r="X210" s="47">
        <v>0</v>
      </c>
      <c r="Y210" s="47">
        <v>0</v>
      </c>
      <c r="Z210" s="47">
        <v>0</v>
      </c>
      <c r="AA210" s="47">
        <v>0</v>
      </c>
      <c r="AB210" s="47">
        <v>0</v>
      </c>
      <c r="AC210" s="47">
        <v>0</v>
      </c>
      <c r="AD210" s="47">
        <v>0</v>
      </c>
      <c r="AE210" s="47">
        <v>0</v>
      </c>
      <c r="AF210" s="47">
        <v>0</v>
      </c>
      <c r="AG210" s="47">
        <v>0</v>
      </c>
      <c r="AH210" s="47">
        <v>0</v>
      </c>
      <c r="AI210" s="47">
        <v>0</v>
      </c>
      <c r="AJ210" s="47">
        <v>0</v>
      </c>
      <c r="AK210" s="47">
        <v>0</v>
      </c>
      <c r="AL210" s="47">
        <v>0</v>
      </c>
      <c r="AM210" s="47">
        <v>0</v>
      </c>
      <c r="AN210" s="47">
        <v>0</v>
      </c>
      <c r="AO210" s="47">
        <v>0</v>
      </c>
      <c r="AP210" s="47">
        <v>0</v>
      </c>
      <c r="AQ210" s="47">
        <v>0</v>
      </c>
      <c r="AR210" s="47">
        <v>0</v>
      </c>
      <c r="AS210" s="47">
        <v>0</v>
      </c>
      <c r="AT210" s="47">
        <v>0</v>
      </c>
      <c r="AU210" s="47">
        <v>0</v>
      </c>
      <c r="AV210" s="47">
        <v>0</v>
      </c>
      <c r="AW210" s="47">
        <v>0</v>
      </c>
      <c r="AX210" s="47">
        <v>0</v>
      </c>
      <c r="AY210" s="47">
        <v>0</v>
      </c>
      <c r="AZ210" s="47">
        <v>0</v>
      </c>
      <c r="BA210" s="47">
        <v>0</v>
      </c>
      <c r="BB210" s="47">
        <v>0</v>
      </c>
      <c r="BC210" s="47">
        <v>0</v>
      </c>
      <c r="BD210" s="47">
        <v>0</v>
      </c>
      <c r="BE210" s="47">
        <v>0</v>
      </c>
      <c r="BF210" s="47">
        <v>0</v>
      </c>
      <c r="BG210" s="47">
        <v>0</v>
      </c>
      <c r="BH210" s="47">
        <v>0</v>
      </c>
      <c r="BI210" s="47">
        <v>0</v>
      </c>
      <c r="BJ210" s="47">
        <v>0</v>
      </c>
      <c r="BK210" s="47">
        <v>0</v>
      </c>
      <c r="BL210" s="47">
        <v>0</v>
      </c>
      <c r="BM210" s="47">
        <v>0</v>
      </c>
      <c r="BN210" s="47">
        <v>0</v>
      </c>
      <c r="BO210" s="47">
        <v>0</v>
      </c>
      <c r="BP210" s="47">
        <v>0</v>
      </c>
      <c r="BQ210" s="47">
        <v>0</v>
      </c>
      <c r="BR210" s="47">
        <v>0</v>
      </c>
      <c r="BS210" s="47">
        <v>0</v>
      </c>
      <c r="BT210" s="47">
        <v>0</v>
      </c>
      <c r="BU210" s="47">
        <v>0</v>
      </c>
      <c r="BV210" s="47">
        <v>0</v>
      </c>
      <c r="BW210" s="47">
        <v>0</v>
      </c>
      <c r="BX210" s="47">
        <v>0</v>
      </c>
      <c r="BY210" s="47">
        <v>0</v>
      </c>
      <c r="BZ210" s="47">
        <v>0</v>
      </c>
      <c r="CA210" s="47">
        <v>0</v>
      </c>
      <c r="CB210" s="47">
        <v>0</v>
      </c>
      <c r="CC210" s="47">
        <v>0</v>
      </c>
      <c r="CD210" s="47">
        <v>0</v>
      </c>
      <c r="CE210" s="47">
        <v>0</v>
      </c>
      <c r="CF210" s="47">
        <v>0</v>
      </c>
      <c r="CG210" s="47">
        <v>0</v>
      </c>
      <c r="CH210" s="47">
        <v>0</v>
      </c>
      <c r="CI210" s="47">
        <v>0</v>
      </c>
      <c r="CJ210" s="47">
        <v>0</v>
      </c>
      <c r="CK210" s="47">
        <v>0</v>
      </c>
      <c r="CL210" s="47">
        <v>0</v>
      </c>
      <c r="CM210" s="47">
        <v>0</v>
      </c>
      <c r="CN210" s="47">
        <v>0</v>
      </c>
      <c r="CO210" s="47">
        <v>0</v>
      </c>
      <c r="CP210" s="47">
        <v>0</v>
      </c>
      <c r="CQ210" s="47">
        <v>0</v>
      </c>
      <c r="CR210" s="47">
        <v>0</v>
      </c>
      <c r="CS210" s="47">
        <v>0</v>
      </c>
      <c r="CT210" s="47">
        <v>0</v>
      </c>
      <c r="CU210" s="47">
        <v>0</v>
      </c>
      <c r="CV210" s="47">
        <v>0</v>
      </c>
      <c r="CW210" s="47">
        <v>0</v>
      </c>
      <c r="CX210" s="47">
        <v>0</v>
      </c>
      <c r="CY210" s="47">
        <v>0</v>
      </c>
      <c r="CZ210" s="47">
        <v>0</v>
      </c>
      <c r="DA210" s="47">
        <v>0</v>
      </c>
      <c r="DB210" s="47">
        <v>0</v>
      </c>
      <c r="DC210" s="47">
        <v>0</v>
      </c>
      <c r="DD210" s="47">
        <v>0</v>
      </c>
      <c r="DE210" s="47">
        <v>0</v>
      </c>
      <c r="DF210" s="47">
        <v>0</v>
      </c>
      <c r="DG210" s="47">
        <v>0</v>
      </c>
      <c r="DH210" s="47">
        <v>0</v>
      </c>
      <c r="DI210" s="47">
        <v>0</v>
      </c>
      <c r="DJ210" s="47">
        <v>0</v>
      </c>
      <c r="DK210" s="47">
        <v>0</v>
      </c>
      <c r="DL210" s="47">
        <v>0</v>
      </c>
      <c r="DM210" s="47">
        <v>0</v>
      </c>
      <c r="DN210" s="47">
        <v>0</v>
      </c>
      <c r="DO210" s="47">
        <v>0</v>
      </c>
      <c r="DP210" s="47">
        <v>0</v>
      </c>
      <c r="DQ210" s="47">
        <v>0</v>
      </c>
      <c r="DR210" s="47">
        <v>0</v>
      </c>
      <c r="DS210" s="47">
        <v>0</v>
      </c>
      <c r="DT210" s="47">
        <v>0</v>
      </c>
      <c r="DU210" s="47">
        <v>0</v>
      </c>
      <c r="DV210" s="47">
        <v>0</v>
      </c>
      <c r="DW210" s="47">
        <v>0</v>
      </c>
      <c r="DX210" s="47">
        <v>0</v>
      </c>
      <c r="DY210" s="47">
        <v>0</v>
      </c>
      <c r="DZ210" s="47">
        <v>0</v>
      </c>
      <c r="EA210" s="47">
        <v>0</v>
      </c>
      <c r="EB210" s="47"/>
      <c r="EC210" s="47">
        <v>0.8</v>
      </c>
      <c r="ZZ210" t="s">
        <v>2472</v>
      </c>
    </row>
    <row r="211" spans="1:702" x14ac:dyDescent="0.25">
      <c r="A211" s="47" t="s">
        <v>1081</v>
      </c>
      <c r="B211" s="47" t="s">
        <v>153</v>
      </c>
      <c r="C211" s="47" t="s">
        <v>157</v>
      </c>
      <c r="D211" s="47" t="s">
        <v>2691</v>
      </c>
      <c r="E211" s="47" t="s">
        <v>1082</v>
      </c>
      <c r="F211" s="47" t="s">
        <v>1083</v>
      </c>
      <c r="G211" s="47" t="s">
        <v>1084</v>
      </c>
      <c r="H211" s="47" t="s">
        <v>698</v>
      </c>
      <c r="I211" s="47" t="s">
        <v>727</v>
      </c>
      <c r="J211" s="47" t="str">
        <f>=IFERROR(VLOOKUP(H211&amp;I211,Table_Fonctions!A:G,6,FALSE),"")</f>
        <v>0</v>
      </c>
      <c r="K211" s="47" t="s">
        <v>2607</v>
      </c>
      <c r="L211" s="47" t="str">
        <f>=IFERROR(VLOOKUP(H211&amp;I211,Table_Fonctions!A:G,7,FALSE),K211)</f>
        <v/>
      </c>
      <c r="M211" s="47" t="str">
        <f>=IF(OR(LEFT(D211, 3)="TJ ", LEFT(D211, 4)="CPH "), "OUI", "NON")</f>
        <v/>
      </c>
      <c r="N211" s="47" t="s">
        <v>1085</v>
      </c>
      <c r="O211" s="47"/>
      <c r="P211" s="47">
        <v>1</v>
      </c>
      <c r="Q211" s="47">
        <v>1</v>
      </c>
      <c r="R211" s="47">
        <v>0</v>
      </c>
      <c r="S211" s="47">
        <f>=ROUND(BQ211-(BR211+BS211),3)</f>
      </c>
      <c r="T211" s="47">
        <f>=ROUND(CK211-(CL211+CM211+CN211+CO211+CP211),3)</f>
      </c>
      <c r="U211" s="47">
        <v>0</v>
      </c>
      <c r="V211" s="47">
        <v>0</v>
      </c>
      <c r="W211" s="47">
        <v>0</v>
      </c>
      <c r="X211" s="47">
        <v>0</v>
      </c>
      <c r="Y211" s="47">
        <v>0</v>
      </c>
      <c r="Z211" s="47">
        <v>0</v>
      </c>
      <c r="AA211" s="47">
        <v>0</v>
      </c>
      <c r="AB211" s="47">
        <v>0</v>
      </c>
      <c r="AC211" s="47">
        <v>0</v>
      </c>
      <c r="AD211" s="47">
        <v>0</v>
      </c>
      <c r="AE211" s="47">
        <v>0</v>
      </c>
      <c r="AF211" s="47">
        <v>0</v>
      </c>
      <c r="AG211" s="47">
        <v>0</v>
      </c>
      <c r="AH211" s="47">
        <v>0</v>
      </c>
      <c r="AI211" s="47">
        <v>0</v>
      </c>
      <c r="AJ211" s="47">
        <v>0</v>
      </c>
      <c r="AK211" s="47">
        <v>0</v>
      </c>
      <c r="AL211" s="47">
        <v>0</v>
      </c>
      <c r="AM211" s="47">
        <v>0</v>
      </c>
      <c r="AN211" s="47">
        <v>0</v>
      </c>
      <c r="AO211" s="47">
        <v>0</v>
      </c>
      <c r="AP211" s="47">
        <v>0</v>
      </c>
      <c r="AQ211" s="47">
        <v>0</v>
      </c>
      <c r="AR211" s="47">
        <v>0</v>
      </c>
      <c r="AS211" s="47">
        <v>1</v>
      </c>
      <c r="AT211" s="47">
        <v>0</v>
      </c>
      <c r="AU211" s="47">
        <v>0</v>
      </c>
      <c r="AV211" s="47">
        <v>0</v>
      </c>
      <c r="AW211" s="47">
        <v>0</v>
      </c>
      <c r="AX211" s="47">
        <v>0</v>
      </c>
      <c r="AY211" s="47">
        <v>0</v>
      </c>
      <c r="AZ211" s="47">
        <v>0</v>
      </c>
      <c r="BA211" s="47">
        <v>0</v>
      </c>
      <c r="BB211" s="47">
        <v>0</v>
      </c>
      <c r="BC211" s="47">
        <v>0</v>
      </c>
      <c r="BD211" s="47">
        <v>0</v>
      </c>
      <c r="BE211" s="47">
        <v>0</v>
      </c>
      <c r="BF211" s="47">
        <v>0</v>
      </c>
      <c r="BG211" s="47">
        <v>0</v>
      </c>
      <c r="BH211" s="47">
        <v>0</v>
      </c>
      <c r="BI211" s="47">
        <v>0</v>
      </c>
      <c r="BJ211" s="47">
        <v>0</v>
      </c>
      <c r="BK211" s="47">
        <v>0</v>
      </c>
      <c r="BL211" s="47">
        <v>0</v>
      </c>
      <c r="BM211" s="47">
        <v>0</v>
      </c>
      <c r="BN211" s="47">
        <v>0</v>
      </c>
      <c r="BO211" s="47">
        <v>0</v>
      </c>
      <c r="BP211" s="47">
        <v>0</v>
      </c>
      <c r="BQ211" s="47">
        <v>0</v>
      </c>
      <c r="BR211" s="47">
        <v>0</v>
      </c>
      <c r="BS211" s="47">
        <v>0</v>
      </c>
      <c r="BT211" s="47">
        <v>0</v>
      </c>
      <c r="BU211" s="47">
        <v>0</v>
      </c>
      <c r="BV211" s="47">
        <v>0</v>
      </c>
      <c r="BW211" s="47">
        <v>0</v>
      </c>
      <c r="BX211" s="47">
        <v>0</v>
      </c>
      <c r="BY211" s="47">
        <v>0</v>
      </c>
      <c r="BZ211" s="47">
        <v>0</v>
      </c>
      <c r="CA211" s="47">
        <v>0</v>
      </c>
      <c r="CB211" s="47">
        <v>0</v>
      </c>
      <c r="CC211" s="47">
        <v>0</v>
      </c>
      <c r="CD211" s="47">
        <v>0</v>
      </c>
      <c r="CE211" s="47">
        <v>0</v>
      </c>
      <c r="CF211" s="47">
        <v>0</v>
      </c>
      <c r="CG211" s="47">
        <v>0</v>
      </c>
      <c r="CH211" s="47">
        <v>0</v>
      </c>
      <c r="CI211" s="47">
        <v>0</v>
      </c>
      <c r="CJ211" s="47">
        <v>0</v>
      </c>
      <c r="CK211" s="47">
        <v>0</v>
      </c>
      <c r="CL211" s="47">
        <v>0</v>
      </c>
      <c r="CM211" s="47">
        <v>0</v>
      </c>
      <c r="CN211" s="47">
        <v>0</v>
      </c>
      <c r="CO211" s="47">
        <v>0</v>
      </c>
      <c r="CP211" s="47">
        <v>0</v>
      </c>
      <c r="CQ211" s="47">
        <v>0</v>
      </c>
      <c r="CR211" s="47">
        <v>0</v>
      </c>
      <c r="CS211" s="47">
        <v>0</v>
      </c>
      <c r="CT211" s="47">
        <v>0</v>
      </c>
      <c r="CU211" s="47">
        <v>0</v>
      </c>
      <c r="CV211" s="47">
        <v>0</v>
      </c>
      <c r="CW211" s="47">
        <v>0</v>
      </c>
      <c r="CX211" s="47">
        <v>0</v>
      </c>
      <c r="CY211" s="47">
        <v>0</v>
      </c>
      <c r="CZ211" s="47">
        <v>0</v>
      </c>
      <c r="DA211" s="47">
        <v>0</v>
      </c>
      <c r="DB211" s="47">
        <v>0</v>
      </c>
      <c r="DC211" s="47">
        <v>0</v>
      </c>
      <c r="DD211" s="47">
        <v>0</v>
      </c>
      <c r="DE211" s="47">
        <v>0</v>
      </c>
      <c r="DF211" s="47">
        <v>0</v>
      </c>
      <c r="DG211" s="47">
        <v>0</v>
      </c>
      <c r="DH211" s="47">
        <v>0</v>
      </c>
      <c r="DI211" s="47">
        <v>0</v>
      </c>
      <c r="DJ211" s="47">
        <v>0</v>
      </c>
      <c r="DK211" s="47">
        <v>0</v>
      </c>
      <c r="DL211" s="47">
        <v>0</v>
      </c>
      <c r="DM211" s="47">
        <v>0</v>
      </c>
      <c r="DN211" s="47">
        <v>0</v>
      </c>
      <c r="DO211" s="47">
        <v>0</v>
      </c>
      <c r="DP211" s="47">
        <v>0</v>
      </c>
      <c r="DQ211" s="47">
        <v>0</v>
      </c>
      <c r="DR211" s="47">
        <v>0</v>
      </c>
      <c r="DS211" s="47">
        <v>0</v>
      </c>
      <c r="DT211" s="47">
        <v>0</v>
      </c>
      <c r="DU211" s="47">
        <v>0</v>
      </c>
      <c r="DV211" s="47">
        <v>0</v>
      </c>
      <c r="DW211" s="47">
        <v>0</v>
      </c>
      <c r="DX211" s="47">
        <v>0</v>
      </c>
      <c r="DY211" s="47">
        <v>0</v>
      </c>
      <c r="DZ211" s="47">
        <v>0</v>
      </c>
      <c r="EA211" s="47">
        <v>0</v>
      </c>
      <c r="EB211" s="47"/>
      <c r="EC211" s="47">
        <v>1</v>
      </c>
      <c r="ZZ211" t="s">
        <v>2472</v>
      </c>
    </row>
    <row r="212" spans="1:702" x14ac:dyDescent="0.25">
      <c r="A212" s="47" t="s">
        <v>1086</v>
      </c>
      <c r="B212" s="47" t="s">
        <v>153</v>
      </c>
      <c r="C212" s="47" t="s">
        <v>157</v>
      </c>
      <c r="D212" s="47" t="s">
        <v>2692</v>
      </c>
      <c r="E212" s="47" t="s">
        <v>1087</v>
      </c>
      <c r="F212" s="47" t="s">
        <v>1088</v>
      </c>
      <c r="G212" s="47" t="s">
        <v>1089</v>
      </c>
      <c r="H212" s="47" t="s">
        <v>698</v>
      </c>
      <c r="I212" s="47" t="s">
        <v>727</v>
      </c>
      <c r="J212" s="47" t="str">
        <f>=IFERROR(VLOOKUP(H212&amp;I212,Table_Fonctions!A:G,6,FALSE),"")</f>
        <v>0</v>
      </c>
      <c r="K212" s="47" t="s">
        <v>2607</v>
      </c>
      <c r="L212" s="47" t="str">
        <f>=IFERROR(VLOOKUP(H212&amp;I212,Table_Fonctions!A:G,7,FALSE),K212)</f>
        <v/>
      </c>
      <c r="M212" s="47" t="str">
        <f>=IF(OR(LEFT(D212, 3)="TJ ", LEFT(D212, 4)="CPH "), "OUI", "NON")</f>
        <v/>
      </c>
      <c r="N212" s="47" t="s">
        <v>1090</v>
      </c>
      <c r="O212" s="47"/>
      <c r="P212" s="47">
        <v>0.8</v>
      </c>
      <c r="Q212" s="47">
        <v>0</v>
      </c>
      <c r="R212" s="47">
        <v>0.8</v>
      </c>
      <c r="S212" s="47">
        <f>=ROUND(BQ212-(BR212+BS212),3)</f>
      </c>
      <c r="T212" s="47">
        <f>=ROUND(CK212-(CL212+CM212+CN212+CO212+CP212),3)</f>
      </c>
      <c r="U212" s="47">
        <v>0</v>
      </c>
      <c r="V212" s="47">
        <v>0</v>
      </c>
      <c r="W212" s="47">
        <v>0</v>
      </c>
      <c r="X212" s="47">
        <v>0</v>
      </c>
      <c r="Y212" s="47">
        <v>0</v>
      </c>
      <c r="Z212" s="47">
        <v>0</v>
      </c>
      <c r="AA212" s="47">
        <v>0</v>
      </c>
      <c r="AB212" s="47">
        <v>0</v>
      </c>
      <c r="AC212" s="47">
        <v>0</v>
      </c>
      <c r="AD212" s="47">
        <v>0</v>
      </c>
      <c r="AE212" s="47">
        <v>0</v>
      </c>
      <c r="AF212" s="47">
        <v>0</v>
      </c>
      <c r="AG212" s="47">
        <v>0</v>
      </c>
      <c r="AH212" s="47">
        <v>0</v>
      </c>
      <c r="AI212" s="47">
        <v>0</v>
      </c>
      <c r="AJ212" s="47">
        <v>0</v>
      </c>
      <c r="AK212" s="47">
        <v>0</v>
      </c>
      <c r="AL212" s="47">
        <v>0</v>
      </c>
      <c r="AM212" s="47">
        <v>0</v>
      </c>
      <c r="AN212" s="47">
        <v>0</v>
      </c>
      <c r="AO212" s="47">
        <v>0</v>
      </c>
      <c r="AP212" s="47">
        <v>0</v>
      </c>
      <c r="AQ212" s="47">
        <v>0</v>
      </c>
      <c r="AR212" s="47">
        <v>0</v>
      </c>
      <c r="AS212" s="47">
        <v>0</v>
      </c>
      <c r="AT212" s="47">
        <v>0</v>
      </c>
      <c r="AU212" s="47">
        <v>0</v>
      </c>
      <c r="AV212" s="47">
        <v>0</v>
      </c>
      <c r="AW212" s="47">
        <v>0</v>
      </c>
      <c r="AX212" s="47">
        <v>0</v>
      </c>
      <c r="AY212" s="47">
        <v>0</v>
      </c>
      <c r="AZ212" s="47">
        <v>0</v>
      </c>
      <c r="BA212" s="47">
        <v>0</v>
      </c>
      <c r="BB212" s="47">
        <v>0</v>
      </c>
      <c r="BC212" s="47">
        <v>0</v>
      </c>
      <c r="BD212" s="47">
        <v>0</v>
      </c>
      <c r="BE212" s="47">
        <v>0</v>
      </c>
      <c r="BF212" s="47">
        <v>0</v>
      </c>
      <c r="BG212" s="47">
        <v>0</v>
      </c>
      <c r="BH212" s="47">
        <v>0</v>
      </c>
      <c r="BI212" s="47">
        <v>0</v>
      </c>
      <c r="BJ212" s="47">
        <v>0</v>
      </c>
      <c r="BK212" s="47">
        <v>0</v>
      </c>
      <c r="BL212" s="47">
        <v>0</v>
      </c>
      <c r="BM212" s="47">
        <v>0</v>
      </c>
      <c r="BN212" s="47">
        <v>0</v>
      </c>
      <c r="BO212" s="47">
        <v>0</v>
      </c>
      <c r="BP212" s="47">
        <v>0</v>
      </c>
      <c r="BQ212" s="47">
        <v>0</v>
      </c>
      <c r="BR212" s="47">
        <v>0</v>
      </c>
      <c r="BS212" s="47">
        <v>0</v>
      </c>
      <c r="BT212" s="47">
        <v>0</v>
      </c>
      <c r="BU212" s="47">
        <v>0</v>
      </c>
      <c r="BV212" s="47">
        <v>0</v>
      </c>
      <c r="BW212" s="47">
        <v>0</v>
      </c>
      <c r="BX212" s="47">
        <v>0</v>
      </c>
      <c r="BY212" s="47">
        <v>0</v>
      </c>
      <c r="BZ212" s="47">
        <v>0</v>
      </c>
      <c r="CA212" s="47">
        <v>0</v>
      </c>
      <c r="CB212" s="47">
        <v>0</v>
      </c>
      <c r="CC212" s="47">
        <v>0</v>
      </c>
      <c r="CD212" s="47">
        <v>0</v>
      </c>
      <c r="CE212" s="47">
        <v>0</v>
      </c>
      <c r="CF212" s="47">
        <v>0</v>
      </c>
      <c r="CG212" s="47">
        <v>0</v>
      </c>
      <c r="CH212" s="47">
        <v>0</v>
      </c>
      <c r="CI212" s="47">
        <v>0</v>
      </c>
      <c r="CJ212" s="47">
        <v>0</v>
      </c>
      <c r="CK212" s="47">
        <v>0</v>
      </c>
      <c r="CL212" s="47">
        <v>0</v>
      </c>
      <c r="CM212" s="47">
        <v>0</v>
      </c>
      <c r="CN212" s="47">
        <v>0</v>
      </c>
      <c r="CO212" s="47">
        <v>0</v>
      </c>
      <c r="CP212" s="47">
        <v>0</v>
      </c>
      <c r="CQ212" s="47">
        <v>0</v>
      </c>
      <c r="CR212" s="47">
        <v>0</v>
      </c>
      <c r="CS212" s="47">
        <v>0</v>
      </c>
      <c r="CT212" s="47">
        <v>0</v>
      </c>
      <c r="CU212" s="47">
        <v>0</v>
      </c>
      <c r="CV212" s="47">
        <v>0</v>
      </c>
      <c r="CW212" s="47">
        <v>0</v>
      </c>
      <c r="CX212" s="47">
        <v>0</v>
      </c>
      <c r="CY212" s="47">
        <v>0</v>
      </c>
      <c r="CZ212" s="47">
        <v>0</v>
      </c>
      <c r="DA212" s="47">
        <v>0</v>
      </c>
      <c r="DB212" s="47">
        <v>0</v>
      </c>
      <c r="DC212" s="47">
        <v>0</v>
      </c>
      <c r="DD212" s="47">
        <v>0</v>
      </c>
      <c r="DE212" s="47">
        <v>0</v>
      </c>
      <c r="DF212" s="47">
        <v>0</v>
      </c>
      <c r="DG212" s="47">
        <v>0</v>
      </c>
      <c r="DH212" s="47">
        <v>0</v>
      </c>
      <c r="DI212" s="47">
        <v>0</v>
      </c>
      <c r="DJ212" s="47">
        <v>0</v>
      </c>
      <c r="DK212" s="47">
        <v>0</v>
      </c>
      <c r="DL212" s="47">
        <v>0</v>
      </c>
      <c r="DM212" s="47">
        <v>0</v>
      </c>
      <c r="DN212" s="47">
        <v>0</v>
      </c>
      <c r="DO212" s="47">
        <v>0</v>
      </c>
      <c r="DP212" s="47">
        <v>0</v>
      </c>
      <c r="DQ212" s="47">
        <v>0</v>
      </c>
      <c r="DR212" s="47">
        <v>0</v>
      </c>
      <c r="DS212" s="47">
        <v>0</v>
      </c>
      <c r="DT212" s="47">
        <v>0</v>
      </c>
      <c r="DU212" s="47">
        <v>0</v>
      </c>
      <c r="DV212" s="47">
        <v>0</v>
      </c>
      <c r="DW212" s="47">
        <v>0</v>
      </c>
      <c r="DX212" s="47">
        <v>0</v>
      </c>
      <c r="DY212" s="47">
        <v>0</v>
      </c>
      <c r="DZ212" s="47">
        <v>0</v>
      </c>
      <c r="EA212" s="47">
        <v>0</v>
      </c>
      <c r="EB212" s="47"/>
      <c r="EC212" s="47">
        <v>0.8</v>
      </c>
      <c r="ZZ212" t="s">
        <v>2472</v>
      </c>
    </row>
    <row r="213" spans="1:702" x14ac:dyDescent="0.25">
      <c r="A213" s="47" t="s">
        <v>1091</v>
      </c>
      <c r="B213" s="47" t="s">
        <v>153</v>
      </c>
      <c r="C213" s="47" t="s">
        <v>157</v>
      </c>
      <c r="D213" s="47" t="s">
        <v>2693</v>
      </c>
      <c r="E213" s="47" t="s">
        <v>1092</v>
      </c>
      <c r="F213" s="47" t="s">
        <v>1093</v>
      </c>
      <c r="G213" s="47" t="s">
        <v>1094</v>
      </c>
      <c r="H213" s="47" t="s">
        <v>698</v>
      </c>
      <c r="I213" s="47" t="s">
        <v>727</v>
      </c>
      <c r="J213" s="47" t="str">
        <f>=IFERROR(VLOOKUP(H213&amp;I213,Table_Fonctions!A:G,6,FALSE),"")</f>
        <v>0</v>
      </c>
      <c r="K213" s="47" t="s">
        <v>2607</v>
      </c>
      <c r="L213" s="47" t="str">
        <f>=IFERROR(VLOOKUP(H213&amp;I213,Table_Fonctions!A:G,7,FALSE),K213)</f>
        <v/>
      </c>
      <c r="M213" s="47" t="str">
        <f>=IF(OR(LEFT(D213, 3)="TJ ", LEFT(D213, 4)="CPH "), "OUI", "NON")</f>
        <v/>
      </c>
      <c r="N213" s="47" t="s">
        <v>1095</v>
      </c>
      <c r="O213" s="47"/>
      <c r="P213" s="47">
        <v>1</v>
      </c>
      <c r="Q213" s="47">
        <v>0</v>
      </c>
      <c r="R213" s="47">
        <v>1</v>
      </c>
      <c r="S213" s="47">
        <f>=ROUND(BQ213-(BR213+BS213),3)</f>
      </c>
      <c r="T213" s="47">
        <f>=ROUND(CK213-(CL213+CM213+CN213+CO213+CP213),3)</f>
      </c>
      <c r="U213" s="47">
        <v>0</v>
      </c>
      <c r="V213" s="47">
        <v>0</v>
      </c>
      <c r="W213" s="47">
        <v>0</v>
      </c>
      <c r="X213" s="47">
        <v>0</v>
      </c>
      <c r="Y213" s="47">
        <v>0</v>
      </c>
      <c r="Z213" s="47">
        <v>0</v>
      </c>
      <c r="AA213" s="47">
        <v>0</v>
      </c>
      <c r="AB213" s="47">
        <v>0</v>
      </c>
      <c r="AC213" s="47">
        <v>0</v>
      </c>
      <c r="AD213" s="47">
        <v>0</v>
      </c>
      <c r="AE213" s="47">
        <v>0</v>
      </c>
      <c r="AF213" s="47">
        <v>0</v>
      </c>
      <c r="AG213" s="47">
        <v>0</v>
      </c>
      <c r="AH213" s="47">
        <v>0</v>
      </c>
      <c r="AI213" s="47">
        <v>0</v>
      </c>
      <c r="AJ213" s="47">
        <v>0</v>
      </c>
      <c r="AK213" s="47">
        <v>0</v>
      </c>
      <c r="AL213" s="47">
        <v>0</v>
      </c>
      <c r="AM213" s="47">
        <v>0</v>
      </c>
      <c r="AN213" s="47">
        <v>0</v>
      </c>
      <c r="AO213" s="47">
        <v>0</v>
      </c>
      <c r="AP213" s="47">
        <v>0</v>
      </c>
      <c r="AQ213" s="47">
        <v>0</v>
      </c>
      <c r="AR213" s="47">
        <v>0</v>
      </c>
      <c r="AS213" s="47">
        <v>0</v>
      </c>
      <c r="AT213" s="47">
        <v>0</v>
      </c>
      <c r="AU213" s="47">
        <v>0</v>
      </c>
      <c r="AV213" s="47">
        <v>0</v>
      </c>
      <c r="AW213" s="47">
        <v>0</v>
      </c>
      <c r="AX213" s="47">
        <v>0</v>
      </c>
      <c r="AY213" s="47">
        <v>0</v>
      </c>
      <c r="AZ213" s="47">
        <v>0</v>
      </c>
      <c r="BA213" s="47">
        <v>0</v>
      </c>
      <c r="BB213" s="47">
        <v>0</v>
      </c>
      <c r="BC213" s="47">
        <v>0</v>
      </c>
      <c r="BD213" s="47">
        <v>0</v>
      </c>
      <c r="BE213" s="47">
        <v>0</v>
      </c>
      <c r="BF213" s="47">
        <v>0</v>
      </c>
      <c r="BG213" s="47">
        <v>0</v>
      </c>
      <c r="BH213" s="47">
        <v>0</v>
      </c>
      <c r="BI213" s="47">
        <v>0</v>
      </c>
      <c r="BJ213" s="47">
        <v>0</v>
      </c>
      <c r="BK213" s="47">
        <v>0</v>
      </c>
      <c r="BL213" s="47">
        <v>0</v>
      </c>
      <c r="BM213" s="47">
        <v>0</v>
      </c>
      <c r="BN213" s="47">
        <v>0</v>
      </c>
      <c r="BO213" s="47">
        <v>0</v>
      </c>
      <c r="BP213" s="47">
        <v>0</v>
      </c>
      <c r="BQ213" s="47">
        <v>0</v>
      </c>
      <c r="BR213" s="47">
        <v>0</v>
      </c>
      <c r="BS213" s="47">
        <v>0</v>
      </c>
      <c r="BT213" s="47">
        <v>0</v>
      </c>
      <c r="BU213" s="47">
        <v>0</v>
      </c>
      <c r="BV213" s="47">
        <v>0</v>
      </c>
      <c r="BW213" s="47">
        <v>0</v>
      </c>
      <c r="BX213" s="47">
        <v>0</v>
      </c>
      <c r="BY213" s="47">
        <v>0</v>
      </c>
      <c r="BZ213" s="47">
        <v>0</v>
      </c>
      <c r="CA213" s="47">
        <v>0</v>
      </c>
      <c r="CB213" s="47">
        <v>0</v>
      </c>
      <c r="CC213" s="47">
        <v>0</v>
      </c>
      <c r="CD213" s="47">
        <v>0</v>
      </c>
      <c r="CE213" s="47">
        <v>0</v>
      </c>
      <c r="CF213" s="47">
        <v>0</v>
      </c>
      <c r="CG213" s="47">
        <v>0</v>
      </c>
      <c r="CH213" s="47">
        <v>0</v>
      </c>
      <c r="CI213" s="47">
        <v>0</v>
      </c>
      <c r="CJ213" s="47">
        <v>0</v>
      </c>
      <c r="CK213" s="47">
        <v>0</v>
      </c>
      <c r="CL213" s="47">
        <v>0</v>
      </c>
      <c r="CM213" s="47">
        <v>0</v>
      </c>
      <c r="CN213" s="47">
        <v>0</v>
      </c>
      <c r="CO213" s="47">
        <v>0</v>
      </c>
      <c r="CP213" s="47">
        <v>0</v>
      </c>
      <c r="CQ213" s="47">
        <v>0</v>
      </c>
      <c r="CR213" s="47">
        <v>0</v>
      </c>
      <c r="CS213" s="47">
        <v>0</v>
      </c>
      <c r="CT213" s="47">
        <v>0</v>
      </c>
      <c r="CU213" s="47">
        <v>0</v>
      </c>
      <c r="CV213" s="47">
        <v>0</v>
      </c>
      <c r="CW213" s="47">
        <v>0</v>
      </c>
      <c r="CX213" s="47">
        <v>0</v>
      </c>
      <c r="CY213" s="47">
        <v>0</v>
      </c>
      <c r="CZ213" s="47">
        <v>0</v>
      </c>
      <c r="DA213" s="47">
        <v>0</v>
      </c>
      <c r="DB213" s="47">
        <v>0</v>
      </c>
      <c r="DC213" s="47">
        <v>0</v>
      </c>
      <c r="DD213" s="47">
        <v>0</v>
      </c>
      <c r="DE213" s="47">
        <v>0</v>
      </c>
      <c r="DF213" s="47">
        <v>0</v>
      </c>
      <c r="DG213" s="47">
        <v>0</v>
      </c>
      <c r="DH213" s="47">
        <v>0</v>
      </c>
      <c r="DI213" s="47">
        <v>0</v>
      </c>
      <c r="DJ213" s="47">
        <v>0</v>
      </c>
      <c r="DK213" s="47">
        <v>0</v>
      </c>
      <c r="DL213" s="47">
        <v>0</v>
      </c>
      <c r="DM213" s="47">
        <v>0</v>
      </c>
      <c r="DN213" s="47">
        <v>0</v>
      </c>
      <c r="DO213" s="47">
        <v>0</v>
      </c>
      <c r="DP213" s="47">
        <v>0</v>
      </c>
      <c r="DQ213" s="47">
        <v>0</v>
      </c>
      <c r="DR213" s="47">
        <v>0</v>
      </c>
      <c r="DS213" s="47">
        <v>0</v>
      </c>
      <c r="DT213" s="47">
        <v>0</v>
      </c>
      <c r="DU213" s="47">
        <v>0</v>
      </c>
      <c r="DV213" s="47">
        <v>0</v>
      </c>
      <c r="DW213" s="47">
        <v>0</v>
      </c>
      <c r="DX213" s="47">
        <v>0</v>
      </c>
      <c r="DY213" s="47">
        <v>0</v>
      </c>
      <c r="DZ213" s="47">
        <v>0</v>
      </c>
      <c r="EA213" s="47">
        <v>0</v>
      </c>
      <c r="EB213" s="47"/>
      <c r="EC213" s="47">
        <v>1</v>
      </c>
      <c r="ZZ213" t="s">
        <v>2472</v>
      </c>
    </row>
    <row r="214" spans="1:702" x14ac:dyDescent="0.25">
      <c r="A214" s="47" t="s">
        <v>1096</v>
      </c>
      <c r="B214" s="47" t="s">
        <v>153</v>
      </c>
      <c r="C214" s="47" t="s">
        <v>157</v>
      </c>
      <c r="D214" s="47" t="s">
        <v>2694</v>
      </c>
      <c r="E214" s="47" t="s">
        <v>1097</v>
      </c>
      <c r="F214" s="47" t="s">
        <v>1098</v>
      </c>
      <c r="G214" s="47" t="s">
        <v>1099</v>
      </c>
      <c r="H214" s="47" t="s">
        <v>698</v>
      </c>
      <c r="I214" s="47" t="s">
        <v>738</v>
      </c>
      <c r="J214" s="47" t="str">
        <f>=IFERROR(VLOOKUP(H214&amp;I214,Table_Fonctions!A:G,6,FALSE),"")</f>
        <v>0</v>
      </c>
      <c r="K214" s="47" t="s">
        <v>2607</v>
      </c>
      <c r="L214" s="47" t="str">
        <f>=IFERROR(VLOOKUP(H214&amp;I214,Table_Fonctions!A:G,7,FALSE),K214)</f>
        <v/>
      </c>
      <c r="M214" s="47" t="str">
        <f>=IF(OR(LEFT(D214, 3)="TJ ", LEFT(D214, 4)="CPH "), "OUI", "NON")</f>
        <v/>
      </c>
      <c r="N214" s="47" t="s">
        <v>1100</v>
      </c>
      <c r="O214" s="47"/>
      <c r="P214" s="47">
        <v>1</v>
      </c>
      <c r="Q214" s="47">
        <v>0</v>
      </c>
      <c r="R214" s="47">
        <v>1</v>
      </c>
      <c r="S214" s="47">
        <f>=ROUND(BQ214-(BR214+BS214),3)</f>
      </c>
      <c r="T214" s="47">
        <f>=ROUND(CK214-(CL214+CM214+CN214+CO214+CP214),3)</f>
      </c>
      <c r="U214" s="47">
        <v>0</v>
      </c>
      <c r="V214" s="47">
        <v>0</v>
      </c>
      <c r="W214" s="47">
        <v>0</v>
      </c>
      <c r="X214" s="47">
        <v>0</v>
      </c>
      <c r="Y214" s="47">
        <v>0</v>
      </c>
      <c r="Z214" s="47">
        <v>0</v>
      </c>
      <c r="AA214" s="47">
        <v>0</v>
      </c>
      <c r="AB214" s="47">
        <v>0</v>
      </c>
      <c r="AC214" s="47">
        <v>0</v>
      </c>
      <c r="AD214" s="47">
        <v>0</v>
      </c>
      <c r="AE214" s="47">
        <v>0</v>
      </c>
      <c r="AF214" s="47">
        <v>0</v>
      </c>
      <c r="AG214" s="47">
        <v>0</v>
      </c>
      <c r="AH214" s="47">
        <v>0</v>
      </c>
      <c r="AI214" s="47">
        <v>0</v>
      </c>
      <c r="AJ214" s="47">
        <v>0</v>
      </c>
      <c r="AK214" s="47">
        <v>0</v>
      </c>
      <c r="AL214" s="47">
        <v>0</v>
      </c>
      <c r="AM214" s="47">
        <v>0</v>
      </c>
      <c r="AN214" s="47">
        <v>0</v>
      </c>
      <c r="AO214" s="47">
        <v>0</v>
      </c>
      <c r="AP214" s="47">
        <v>0</v>
      </c>
      <c r="AQ214" s="47">
        <v>0</v>
      </c>
      <c r="AR214" s="47">
        <v>0</v>
      </c>
      <c r="AS214" s="47">
        <v>0</v>
      </c>
      <c r="AT214" s="47">
        <v>0</v>
      </c>
      <c r="AU214" s="47">
        <v>0</v>
      </c>
      <c r="AV214" s="47">
        <v>0</v>
      </c>
      <c r="AW214" s="47">
        <v>0</v>
      </c>
      <c r="AX214" s="47">
        <v>0</v>
      </c>
      <c r="AY214" s="47">
        <v>0</v>
      </c>
      <c r="AZ214" s="47">
        <v>0</v>
      </c>
      <c r="BA214" s="47">
        <v>0</v>
      </c>
      <c r="BB214" s="47">
        <v>0</v>
      </c>
      <c r="BC214" s="47">
        <v>0</v>
      </c>
      <c r="BD214" s="47">
        <v>0</v>
      </c>
      <c r="BE214" s="47">
        <v>0</v>
      </c>
      <c r="BF214" s="47">
        <v>0</v>
      </c>
      <c r="BG214" s="47">
        <v>0</v>
      </c>
      <c r="BH214" s="47">
        <v>0</v>
      </c>
      <c r="BI214" s="47">
        <v>0</v>
      </c>
      <c r="BJ214" s="47">
        <v>0</v>
      </c>
      <c r="BK214" s="47">
        <v>0</v>
      </c>
      <c r="BL214" s="47">
        <v>0</v>
      </c>
      <c r="BM214" s="47">
        <v>0</v>
      </c>
      <c r="BN214" s="47">
        <v>0</v>
      </c>
      <c r="BO214" s="47">
        <v>0</v>
      </c>
      <c r="BP214" s="47">
        <v>0</v>
      </c>
      <c r="BQ214" s="47">
        <v>0</v>
      </c>
      <c r="BR214" s="47">
        <v>0</v>
      </c>
      <c r="BS214" s="47">
        <v>0</v>
      </c>
      <c r="BT214" s="47">
        <v>0</v>
      </c>
      <c r="BU214" s="47">
        <v>0</v>
      </c>
      <c r="BV214" s="47">
        <v>0</v>
      </c>
      <c r="BW214" s="47">
        <v>0</v>
      </c>
      <c r="BX214" s="47">
        <v>0</v>
      </c>
      <c r="BY214" s="47">
        <v>0</v>
      </c>
      <c r="BZ214" s="47">
        <v>0</v>
      </c>
      <c r="CA214" s="47">
        <v>0</v>
      </c>
      <c r="CB214" s="47">
        <v>0</v>
      </c>
      <c r="CC214" s="47">
        <v>0</v>
      </c>
      <c r="CD214" s="47">
        <v>0</v>
      </c>
      <c r="CE214" s="47">
        <v>0</v>
      </c>
      <c r="CF214" s="47">
        <v>0</v>
      </c>
      <c r="CG214" s="47">
        <v>0</v>
      </c>
      <c r="CH214" s="47">
        <v>0</v>
      </c>
      <c r="CI214" s="47">
        <v>0</v>
      </c>
      <c r="CJ214" s="47">
        <v>0</v>
      </c>
      <c r="CK214" s="47">
        <v>0</v>
      </c>
      <c r="CL214" s="47">
        <v>0</v>
      </c>
      <c r="CM214" s="47">
        <v>0</v>
      </c>
      <c r="CN214" s="47">
        <v>0</v>
      </c>
      <c r="CO214" s="47">
        <v>0</v>
      </c>
      <c r="CP214" s="47">
        <v>0</v>
      </c>
      <c r="CQ214" s="47">
        <v>0</v>
      </c>
      <c r="CR214" s="47">
        <v>0</v>
      </c>
      <c r="CS214" s="47">
        <v>0</v>
      </c>
      <c r="CT214" s="47">
        <v>0</v>
      </c>
      <c r="CU214" s="47">
        <v>0</v>
      </c>
      <c r="CV214" s="47">
        <v>0</v>
      </c>
      <c r="CW214" s="47">
        <v>0</v>
      </c>
      <c r="CX214" s="47">
        <v>0</v>
      </c>
      <c r="CY214" s="47">
        <v>0</v>
      </c>
      <c r="CZ214" s="47">
        <v>0</v>
      </c>
      <c r="DA214" s="47">
        <v>0</v>
      </c>
      <c r="DB214" s="47">
        <v>0</v>
      </c>
      <c r="DC214" s="47">
        <v>0</v>
      </c>
      <c r="DD214" s="47">
        <v>0</v>
      </c>
      <c r="DE214" s="47">
        <v>0</v>
      </c>
      <c r="DF214" s="47">
        <v>0</v>
      </c>
      <c r="DG214" s="47">
        <v>0</v>
      </c>
      <c r="DH214" s="47">
        <v>0</v>
      </c>
      <c r="DI214" s="47">
        <v>0</v>
      </c>
      <c r="DJ214" s="47">
        <v>0</v>
      </c>
      <c r="DK214" s="47">
        <v>0</v>
      </c>
      <c r="DL214" s="47">
        <v>0</v>
      </c>
      <c r="DM214" s="47">
        <v>0</v>
      </c>
      <c r="DN214" s="47">
        <v>0</v>
      </c>
      <c r="DO214" s="47">
        <v>0</v>
      </c>
      <c r="DP214" s="47">
        <v>0</v>
      </c>
      <c r="DQ214" s="47">
        <v>0</v>
      </c>
      <c r="DR214" s="47">
        <v>0</v>
      </c>
      <c r="DS214" s="47">
        <v>0</v>
      </c>
      <c r="DT214" s="47">
        <v>0</v>
      </c>
      <c r="DU214" s="47">
        <v>0</v>
      </c>
      <c r="DV214" s="47">
        <v>0</v>
      </c>
      <c r="DW214" s="47">
        <v>0</v>
      </c>
      <c r="DX214" s="47">
        <v>0</v>
      </c>
      <c r="DY214" s="47">
        <v>0</v>
      </c>
      <c r="DZ214" s="47">
        <v>0</v>
      </c>
      <c r="EA214" s="47">
        <v>0</v>
      </c>
      <c r="EB214" s="47"/>
      <c r="EC214" s="47">
        <v>1</v>
      </c>
      <c r="ZZ214" t="s">
        <v>2472</v>
      </c>
    </row>
    <row r="215" spans="1:702" x14ac:dyDescent="0.25">
      <c r="A215" s="47" t="s">
        <v>1101</v>
      </c>
      <c r="B215" s="47" t="s">
        <v>153</v>
      </c>
      <c r="C215" s="47" t="s">
        <v>157</v>
      </c>
      <c r="D215" s="47" t="s">
        <v>2695</v>
      </c>
      <c r="E215" s="47" t="s">
        <v>1102</v>
      </c>
      <c r="F215" s="47" t="s">
        <v>1103</v>
      </c>
      <c r="G215" s="47" t="s">
        <v>1104</v>
      </c>
      <c r="H215" s="47" t="s">
        <v>698</v>
      </c>
      <c r="I215" s="47" t="s">
        <v>727</v>
      </c>
      <c r="J215" s="47" t="str">
        <f>=IFERROR(VLOOKUP(H215&amp;I215,Table_Fonctions!A:G,6,FALSE),"")</f>
        <v>0</v>
      </c>
      <c r="K215" s="47" t="s">
        <v>2607</v>
      </c>
      <c r="L215" s="47" t="str">
        <f>=IFERROR(VLOOKUP(H215&amp;I215,Table_Fonctions!A:G,7,FALSE),K215)</f>
        <v/>
      </c>
      <c r="M215" s="47" t="str">
        <f>=IF(OR(LEFT(D215, 3)="TJ ", LEFT(D215, 4)="CPH "), "OUI", "NON")</f>
        <v/>
      </c>
      <c r="N215" s="47" t="s">
        <v>836</v>
      </c>
      <c r="O215" s="47"/>
      <c r="P215" s="47">
        <v>1</v>
      </c>
      <c r="Q215" s="47">
        <v>1</v>
      </c>
      <c r="R215" s="47">
        <v>0</v>
      </c>
      <c r="S215" s="47">
        <f>=ROUND(BQ215-(BR215+BS215),3)</f>
      </c>
      <c r="T215" s="47">
        <f>=ROUND(CK215-(CL215+CM215+CN215+CO215+CP215),3)</f>
      </c>
      <c r="U215" s="47">
        <v>0</v>
      </c>
      <c r="V215" s="47">
        <v>0</v>
      </c>
      <c r="W215" s="47">
        <v>0</v>
      </c>
      <c r="X215" s="47">
        <v>0</v>
      </c>
      <c r="Y215" s="47">
        <v>0</v>
      </c>
      <c r="Z215" s="47">
        <v>0</v>
      </c>
      <c r="AA215" s="47">
        <v>0</v>
      </c>
      <c r="AB215" s="47">
        <v>0</v>
      </c>
      <c r="AC215" s="47">
        <v>0</v>
      </c>
      <c r="AD215" s="47">
        <v>0</v>
      </c>
      <c r="AE215" s="47">
        <v>0</v>
      </c>
      <c r="AF215" s="47">
        <v>0</v>
      </c>
      <c r="AG215" s="47">
        <v>0</v>
      </c>
      <c r="AH215" s="47">
        <v>0</v>
      </c>
      <c r="AI215" s="47">
        <v>0</v>
      </c>
      <c r="AJ215" s="47">
        <v>0</v>
      </c>
      <c r="AK215" s="47">
        <v>0</v>
      </c>
      <c r="AL215" s="47">
        <v>0</v>
      </c>
      <c r="AM215" s="47">
        <v>0</v>
      </c>
      <c r="AN215" s="47">
        <v>0</v>
      </c>
      <c r="AO215" s="47">
        <v>0</v>
      </c>
      <c r="AP215" s="47">
        <v>0</v>
      </c>
      <c r="AQ215" s="47">
        <v>0</v>
      </c>
      <c r="AR215" s="47">
        <v>0</v>
      </c>
      <c r="AS215" s="47">
        <v>0</v>
      </c>
      <c r="AT215" s="47">
        <v>0</v>
      </c>
      <c r="AU215" s="47">
        <v>0</v>
      </c>
      <c r="AV215" s="47">
        <v>0</v>
      </c>
      <c r="AW215" s="47">
        <v>0</v>
      </c>
      <c r="AX215" s="47">
        <v>0</v>
      </c>
      <c r="AY215" s="47">
        <v>0</v>
      </c>
      <c r="AZ215" s="47">
        <v>0</v>
      </c>
      <c r="BA215" s="47">
        <v>0</v>
      </c>
      <c r="BB215" s="47">
        <v>0</v>
      </c>
      <c r="BC215" s="47">
        <v>0</v>
      </c>
      <c r="BD215" s="47">
        <v>0</v>
      </c>
      <c r="BE215" s="47">
        <v>0</v>
      </c>
      <c r="BF215" s="47">
        <v>0</v>
      </c>
      <c r="BG215" s="47">
        <v>0</v>
      </c>
      <c r="BH215" s="47">
        <v>0</v>
      </c>
      <c r="BI215" s="47">
        <v>0</v>
      </c>
      <c r="BJ215" s="47">
        <v>0</v>
      </c>
      <c r="BK215" s="47">
        <v>0</v>
      </c>
      <c r="BL215" s="47">
        <v>0</v>
      </c>
      <c r="BM215" s="47">
        <v>0</v>
      </c>
      <c r="BN215" s="47">
        <v>0</v>
      </c>
      <c r="BO215" s="47">
        <v>0</v>
      </c>
      <c r="BP215" s="47">
        <v>0</v>
      </c>
      <c r="BQ215" s="47">
        <v>1</v>
      </c>
      <c r="BR215" s="47">
        <v>0</v>
      </c>
      <c r="BS215" s="47">
        <v>0</v>
      </c>
      <c r="BT215" s="47">
        <v>0</v>
      </c>
      <c r="BU215" s="47">
        <v>0</v>
      </c>
      <c r="BV215" s="47">
        <v>0</v>
      </c>
      <c r="BW215" s="47">
        <v>0</v>
      </c>
      <c r="BX215" s="47">
        <v>0</v>
      </c>
      <c r="BY215" s="47">
        <v>0</v>
      </c>
      <c r="BZ215" s="47">
        <v>0</v>
      </c>
      <c r="CA215" s="47">
        <v>0</v>
      </c>
      <c r="CB215" s="47">
        <v>0</v>
      </c>
      <c r="CC215" s="47">
        <v>0</v>
      </c>
      <c r="CD215" s="47">
        <v>0</v>
      </c>
      <c r="CE215" s="47">
        <v>0</v>
      </c>
      <c r="CF215" s="47">
        <v>0</v>
      </c>
      <c r="CG215" s="47">
        <v>0</v>
      </c>
      <c r="CH215" s="47">
        <v>0</v>
      </c>
      <c r="CI215" s="47">
        <v>0</v>
      </c>
      <c r="CJ215" s="47">
        <v>0</v>
      </c>
      <c r="CK215" s="47">
        <v>0</v>
      </c>
      <c r="CL215" s="47">
        <v>0</v>
      </c>
      <c r="CM215" s="47">
        <v>0</v>
      </c>
      <c r="CN215" s="47">
        <v>0</v>
      </c>
      <c r="CO215" s="47">
        <v>0</v>
      </c>
      <c r="CP215" s="47">
        <v>0</v>
      </c>
      <c r="CQ215" s="47">
        <v>0</v>
      </c>
      <c r="CR215" s="47">
        <v>0</v>
      </c>
      <c r="CS215" s="47">
        <v>0</v>
      </c>
      <c r="CT215" s="47">
        <v>0</v>
      </c>
      <c r="CU215" s="47">
        <v>0</v>
      </c>
      <c r="CV215" s="47">
        <v>0</v>
      </c>
      <c r="CW215" s="47">
        <v>0</v>
      </c>
      <c r="CX215" s="47">
        <v>0</v>
      </c>
      <c r="CY215" s="47">
        <v>0</v>
      </c>
      <c r="CZ215" s="47">
        <v>0</v>
      </c>
      <c r="DA215" s="47">
        <v>0</v>
      </c>
      <c r="DB215" s="47">
        <v>0</v>
      </c>
      <c r="DC215" s="47">
        <v>0</v>
      </c>
      <c r="DD215" s="47">
        <v>0</v>
      </c>
      <c r="DE215" s="47">
        <v>0</v>
      </c>
      <c r="DF215" s="47">
        <v>0</v>
      </c>
      <c r="DG215" s="47">
        <v>0</v>
      </c>
      <c r="DH215" s="47">
        <v>0</v>
      </c>
      <c r="DI215" s="47">
        <v>0</v>
      </c>
      <c r="DJ215" s="47">
        <v>0</v>
      </c>
      <c r="DK215" s="47">
        <v>0</v>
      </c>
      <c r="DL215" s="47">
        <v>0</v>
      </c>
      <c r="DM215" s="47">
        <v>0</v>
      </c>
      <c r="DN215" s="47">
        <v>0</v>
      </c>
      <c r="DO215" s="47">
        <v>0</v>
      </c>
      <c r="DP215" s="47">
        <v>0</v>
      </c>
      <c r="DQ215" s="47">
        <v>0</v>
      </c>
      <c r="DR215" s="47">
        <v>0</v>
      </c>
      <c r="DS215" s="47">
        <v>0</v>
      </c>
      <c r="DT215" s="47">
        <v>0</v>
      </c>
      <c r="DU215" s="47">
        <v>0</v>
      </c>
      <c r="DV215" s="47">
        <v>0</v>
      </c>
      <c r="DW215" s="47">
        <v>0</v>
      </c>
      <c r="DX215" s="47">
        <v>0</v>
      </c>
      <c r="DY215" s="47">
        <v>0</v>
      </c>
      <c r="DZ215" s="47">
        <v>0</v>
      </c>
      <c r="EA215" s="47">
        <v>0</v>
      </c>
      <c r="EB215" s="47"/>
      <c r="EC215" s="47">
        <v>1</v>
      </c>
      <c r="ZZ215" t="s">
        <v>2472</v>
      </c>
    </row>
    <row r="216" spans="1:702" x14ac:dyDescent="0.25">
      <c r="A216" s="47" t="s">
        <v>1105</v>
      </c>
      <c r="B216" s="47" t="s">
        <v>153</v>
      </c>
      <c r="C216" s="47" t="s">
        <v>157</v>
      </c>
      <c r="D216" s="47" t="s">
        <v>2696</v>
      </c>
      <c r="E216" s="47" t="s">
        <v>1106</v>
      </c>
      <c r="F216" s="47" t="s">
        <v>1107</v>
      </c>
      <c r="G216" s="47" t="s">
        <v>1108</v>
      </c>
      <c r="H216" s="47" t="s">
        <v>698</v>
      </c>
      <c r="I216" s="47" t="s">
        <v>727</v>
      </c>
      <c r="J216" s="47" t="str">
        <f>=IFERROR(VLOOKUP(H216&amp;I216,Table_Fonctions!A:G,6,FALSE),"")</f>
        <v>0</v>
      </c>
      <c r="K216" s="47" t="s">
        <v>2607</v>
      </c>
      <c r="L216" s="47" t="str">
        <f>=IFERROR(VLOOKUP(H216&amp;I216,Table_Fonctions!A:G,7,FALSE),K216)</f>
        <v/>
      </c>
      <c r="M216" s="47" t="str">
        <f>=IF(OR(LEFT(D216, 3)="TJ ", LEFT(D216, 4)="CPH "), "OUI", "NON")</f>
        <v/>
      </c>
      <c r="N216" s="47" t="s">
        <v>722</v>
      </c>
      <c r="O216" s="47"/>
      <c r="P216" s="47">
        <v>1</v>
      </c>
      <c r="Q216" s="47">
        <v>0</v>
      </c>
      <c r="R216" s="47">
        <v>1</v>
      </c>
      <c r="S216" s="47">
        <f>=ROUND(BQ216-(BR216+BS216),3)</f>
      </c>
      <c r="T216" s="47">
        <f>=ROUND(CK216-(CL216+CM216+CN216+CO216+CP216),3)</f>
      </c>
      <c r="U216" s="47">
        <v>0</v>
      </c>
      <c r="V216" s="47">
        <v>0</v>
      </c>
      <c r="W216" s="47">
        <v>0</v>
      </c>
      <c r="X216" s="47">
        <v>0</v>
      </c>
      <c r="Y216" s="47">
        <v>0</v>
      </c>
      <c r="Z216" s="47">
        <v>0</v>
      </c>
      <c r="AA216" s="47">
        <v>0</v>
      </c>
      <c r="AB216" s="47">
        <v>0</v>
      </c>
      <c r="AC216" s="47">
        <v>0</v>
      </c>
      <c r="AD216" s="47">
        <v>0</v>
      </c>
      <c r="AE216" s="47">
        <v>0</v>
      </c>
      <c r="AF216" s="47">
        <v>0</v>
      </c>
      <c r="AG216" s="47">
        <v>0</v>
      </c>
      <c r="AH216" s="47">
        <v>0</v>
      </c>
      <c r="AI216" s="47">
        <v>0</v>
      </c>
      <c r="AJ216" s="47">
        <v>0</v>
      </c>
      <c r="AK216" s="47">
        <v>0</v>
      </c>
      <c r="AL216" s="47">
        <v>0</v>
      </c>
      <c r="AM216" s="47">
        <v>0</v>
      </c>
      <c r="AN216" s="47">
        <v>0</v>
      </c>
      <c r="AO216" s="47">
        <v>0</v>
      </c>
      <c r="AP216" s="47">
        <v>0</v>
      </c>
      <c r="AQ216" s="47">
        <v>0</v>
      </c>
      <c r="AR216" s="47">
        <v>0</v>
      </c>
      <c r="AS216" s="47">
        <v>0</v>
      </c>
      <c r="AT216" s="47">
        <v>0</v>
      </c>
      <c r="AU216" s="47">
        <v>0</v>
      </c>
      <c r="AV216" s="47">
        <v>0</v>
      </c>
      <c r="AW216" s="47">
        <v>0</v>
      </c>
      <c r="AX216" s="47">
        <v>0</v>
      </c>
      <c r="AY216" s="47">
        <v>0</v>
      </c>
      <c r="AZ216" s="47">
        <v>0</v>
      </c>
      <c r="BA216" s="47">
        <v>0</v>
      </c>
      <c r="BB216" s="47">
        <v>0</v>
      </c>
      <c r="BC216" s="47">
        <v>0</v>
      </c>
      <c r="BD216" s="47">
        <v>0</v>
      </c>
      <c r="BE216" s="47">
        <v>0</v>
      </c>
      <c r="BF216" s="47">
        <v>0</v>
      </c>
      <c r="BG216" s="47">
        <v>0</v>
      </c>
      <c r="BH216" s="47">
        <v>0</v>
      </c>
      <c r="BI216" s="47">
        <v>0</v>
      </c>
      <c r="BJ216" s="47">
        <v>0</v>
      </c>
      <c r="BK216" s="47">
        <v>0</v>
      </c>
      <c r="BL216" s="47">
        <v>0</v>
      </c>
      <c r="BM216" s="47">
        <v>0</v>
      </c>
      <c r="BN216" s="47">
        <v>0</v>
      </c>
      <c r="BO216" s="47">
        <v>0</v>
      </c>
      <c r="BP216" s="47">
        <v>0</v>
      </c>
      <c r="BQ216" s="47">
        <v>0</v>
      </c>
      <c r="BR216" s="47">
        <v>0</v>
      </c>
      <c r="BS216" s="47">
        <v>0</v>
      </c>
      <c r="BT216" s="47">
        <v>0</v>
      </c>
      <c r="BU216" s="47">
        <v>0</v>
      </c>
      <c r="BV216" s="47">
        <v>0</v>
      </c>
      <c r="BW216" s="47">
        <v>0</v>
      </c>
      <c r="BX216" s="47">
        <v>0</v>
      </c>
      <c r="BY216" s="47">
        <v>0</v>
      </c>
      <c r="BZ216" s="47">
        <v>0</v>
      </c>
      <c r="CA216" s="47">
        <v>0</v>
      </c>
      <c r="CB216" s="47">
        <v>0</v>
      </c>
      <c r="CC216" s="47">
        <v>0</v>
      </c>
      <c r="CD216" s="47">
        <v>0</v>
      </c>
      <c r="CE216" s="47">
        <v>0</v>
      </c>
      <c r="CF216" s="47">
        <v>0</v>
      </c>
      <c r="CG216" s="47">
        <v>0</v>
      </c>
      <c r="CH216" s="47">
        <v>0</v>
      </c>
      <c r="CI216" s="47">
        <v>0</v>
      </c>
      <c r="CJ216" s="47">
        <v>0</v>
      </c>
      <c r="CK216" s="47">
        <v>0</v>
      </c>
      <c r="CL216" s="47">
        <v>0</v>
      </c>
      <c r="CM216" s="47">
        <v>0</v>
      </c>
      <c r="CN216" s="47">
        <v>0</v>
      </c>
      <c r="CO216" s="47">
        <v>0</v>
      </c>
      <c r="CP216" s="47">
        <v>0</v>
      </c>
      <c r="CQ216" s="47">
        <v>0</v>
      </c>
      <c r="CR216" s="47">
        <v>0</v>
      </c>
      <c r="CS216" s="47">
        <v>0</v>
      </c>
      <c r="CT216" s="47">
        <v>0</v>
      </c>
      <c r="CU216" s="47">
        <v>0</v>
      </c>
      <c r="CV216" s="47">
        <v>0</v>
      </c>
      <c r="CW216" s="47">
        <v>0</v>
      </c>
      <c r="CX216" s="47">
        <v>0</v>
      </c>
      <c r="CY216" s="47">
        <v>0</v>
      </c>
      <c r="CZ216" s="47">
        <v>0</v>
      </c>
      <c r="DA216" s="47">
        <v>0</v>
      </c>
      <c r="DB216" s="47">
        <v>0</v>
      </c>
      <c r="DC216" s="47">
        <v>0</v>
      </c>
      <c r="DD216" s="47">
        <v>0</v>
      </c>
      <c r="DE216" s="47">
        <v>0</v>
      </c>
      <c r="DF216" s="47">
        <v>0</v>
      </c>
      <c r="DG216" s="47">
        <v>0</v>
      </c>
      <c r="DH216" s="47">
        <v>0</v>
      </c>
      <c r="DI216" s="47">
        <v>0</v>
      </c>
      <c r="DJ216" s="47">
        <v>0</v>
      </c>
      <c r="DK216" s="47">
        <v>0</v>
      </c>
      <c r="DL216" s="47">
        <v>0</v>
      </c>
      <c r="DM216" s="47">
        <v>0</v>
      </c>
      <c r="DN216" s="47">
        <v>0</v>
      </c>
      <c r="DO216" s="47">
        <v>0</v>
      </c>
      <c r="DP216" s="47">
        <v>0</v>
      </c>
      <c r="DQ216" s="47">
        <v>0</v>
      </c>
      <c r="DR216" s="47">
        <v>0</v>
      </c>
      <c r="DS216" s="47">
        <v>0</v>
      </c>
      <c r="DT216" s="47">
        <v>0</v>
      </c>
      <c r="DU216" s="47">
        <v>0</v>
      </c>
      <c r="DV216" s="47">
        <v>0</v>
      </c>
      <c r="DW216" s="47">
        <v>0</v>
      </c>
      <c r="DX216" s="47">
        <v>0</v>
      </c>
      <c r="DY216" s="47">
        <v>0</v>
      </c>
      <c r="DZ216" s="47">
        <v>0</v>
      </c>
      <c r="EA216" s="47">
        <v>0</v>
      </c>
      <c r="EB216" s="47"/>
      <c r="EC216" s="47">
        <v>1</v>
      </c>
      <c r="ZZ216" t="s">
        <v>2472</v>
      </c>
    </row>
    <row r="217" spans="1:702" x14ac:dyDescent="0.25">
      <c r="A217" s="47" t="s">
        <v>1109</v>
      </c>
      <c r="B217" s="47" t="s">
        <v>153</v>
      </c>
      <c r="C217" s="47" t="s">
        <v>157</v>
      </c>
      <c r="D217" s="47" t="s">
        <v>2697</v>
      </c>
      <c r="E217" s="47" t="s">
        <v>1110</v>
      </c>
      <c r="F217" s="47" t="s">
        <v>1111</v>
      </c>
      <c r="G217" s="47" t="s">
        <v>1112</v>
      </c>
      <c r="H217" s="47" t="s">
        <v>698</v>
      </c>
      <c r="I217" s="47" t="s">
        <v>727</v>
      </c>
      <c r="J217" s="47" t="str">
        <f>=IFERROR(VLOOKUP(H217&amp;I217,Table_Fonctions!A:G,6,FALSE),"")</f>
        <v>0</v>
      </c>
      <c r="K217" s="47" t="s">
        <v>2607</v>
      </c>
      <c r="L217" s="47" t="str">
        <f>=IFERROR(VLOOKUP(H217&amp;I217,Table_Fonctions!A:G,7,FALSE),K217)</f>
        <v/>
      </c>
      <c r="M217" s="47" t="str">
        <f>=IF(OR(LEFT(D217, 3)="TJ ", LEFT(D217, 4)="CPH "), "OUI", "NON")</f>
        <v/>
      </c>
      <c r="N217" s="47" t="s">
        <v>1113</v>
      </c>
      <c r="O217" s="47"/>
      <c r="P217" s="47">
        <v>1</v>
      </c>
      <c r="Q217" s="47">
        <v>0</v>
      </c>
      <c r="R217" s="47">
        <v>1</v>
      </c>
      <c r="S217" s="47">
        <f>=ROUND(BQ217-(BR217+BS217),3)</f>
      </c>
      <c r="T217" s="47">
        <f>=ROUND(CK217-(CL217+CM217+CN217+CO217+CP217),3)</f>
      </c>
      <c r="U217" s="47">
        <v>0</v>
      </c>
      <c r="V217" s="47">
        <v>0</v>
      </c>
      <c r="W217" s="47">
        <v>0</v>
      </c>
      <c r="X217" s="47">
        <v>0</v>
      </c>
      <c r="Y217" s="47">
        <v>0</v>
      </c>
      <c r="Z217" s="47">
        <v>0</v>
      </c>
      <c r="AA217" s="47">
        <v>0</v>
      </c>
      <c r="AB217" s="47">
        <v>0</v>
      </c>
      <c r="AC217" s="47">
        <v>0</v>
      </c>
      <c r="AD217" s="47">
        <v>0</v>
      </c>
      <c r="AE217" s="47">
        <v>0</v>
      </c>
      <c r="AF217" s="47">
        <v>0</v>
      </c>
      <c r="AG217" s="47">
        <v>0</v>
      </c>
      <c r="AH217" s="47">
        <v>0</v>
      </c>
      <c r="AI217" s="47">
        <v>0</v>
      </c>
      <c r="AJ217" s="47">
        <v>0</v>
      </c>
      <c r="AK217" s="47">
        <v>0</v>
      </c>
      <c r="AL217" s="47">
        <v>0</v>
      </c>
      <c r="AM217" s="47">
        <v>0</v>
      </c>
      <c r="AN217" s="47">
        <v>0</v>
      </c>
      <c r="AO217" s="47">
        <v>0</v>
      </c>
      <c r="AP217" s="47">
        <v>0</v>
      </c>
      <c r="AQ217" s="47">
        <v>0</v>
      </c>
      <c r="AR217" s="47">
        <v>0</v>
      </c>
      <c r="AS217" s="47">
        <v>0</v>
      </c>
      <c r="AT217" s="47">
        <v>0</v>
      </c>
      <c r="AU217" s="47">
        <v>0</v>
      </c>
      <c r="AV217" s="47">
        <v>0</v>
      </c>
      <c r="AW217" s="47">
        <v>0</v>
      </c>
      <c r="AX217" s="47">
        <v>0</v>
      </c>
      <c r="AY217" s="47">
        <v>0</v>
      </c>
      <c r="AZ217" s="47">
        <v>0</v>
      </c>
      <c r="BA217" s="47">
        <v>0</v>
      </c>
      <c r="BB217" s="47">
        <v>0</v>
      </c>
      <c r="BC217" s="47">
        <v>0</v>
      </c>
      <c r="BD217" s="47">
        <v>0</v>
      </c>
      <c r="BE217" s="47">
        <v>0</v>
      </c>
      <c r="BF217" s="47">
        <v>0</v>
      </c>
      <c r="BG217" s="47">
        <v>0</v>
      </c>
      <c r="BH217" s="47">
        <v>0</v>
      </c>
      <c r="BI217" s="47">
        <v>0</v>
      </c>
      <c r="BJ217" s="47">
        <v>0</v>
      </c>
      <c r="BK217" s="47">
        <v>0</v>
      </c>
      <c r="BL217" s="47">
        <v>0</v>
      </c>
      <c r="BM217" s="47">
        <v>0</v>
      </c>
      <c r="BN217" s="47">
        <v>0</v>
      </c>
      <c r="BO217" s="47">
        <v>0</v>
      </c>
      <c r="BP217" s="47">
        <v>0</v>
      </c>
      <c r="BQ217" s="47">
        <v>0</v>
      </c>
      <c r="BR217" s="47">
        <v>0</v>
      </c>
      <c r="BS217" s="47">
        <v>0</v>
      </c>
      <c r="BT217" s="47">
        <v>0</v>
      </c>
      <c r="BU217" s="47">
        <v>0</v>
      </c>
      <c r="BV217" s="47">
        <v>0</v>
      </c>
      <c r="BW217" s="47">
        <v>0</v>
      </c>
      <c r="BX217" s="47">
        <v>0</v>
      </c>
      <c r="BY217" s="47">
        <v>0</v>
      </c>
      <c r="BZ217" s="47">
        <v>0</v>
      </c>
      <c r="CA217" s="47">
        <v>0</v>
      </c>
      <c r="CB217" s="47">
        <v>0</v>
      </c>
      <c r="CC217" s="47">
        <v>0</v>
      </c>
      <c r="CD217" s="47">
        <v>0</v>
      </c>
      <c r="CE217" s="47">
        <v>0</v>
      </c>
      <c r="CF217" s="47">
        <v>0</v>
      </c>
      <c r="CG217" s="47">
        <v>0</v>
      </c>
      <c r="CH217" s="47">
        <v>0</v>
      </c>
      <c r="CI217" s="47">
        <v>0</v>
      </c>
      <c r="CJ217" s="47">
        <v>0</v>
      </c>
      <c r="CK217" s="47">
        <v>0</v>
      </c>
      <c r="CL217" s="47">
        <v>0</v>
      </c>
      <c r="CM217" s="47">
        <v>0</v>
      </c>
      <c r="CN217" s="47">
        <v>0</v>
      </c>
      <c r="CO217" s="47">
        <v>0</v>
      </c>
      <c r="CP217" s="47">
        <v>0</v>
      </c>
      <c r="CQ217" s="47">
        <v>0</v>
      </c>
      <c r="CR217" s="47">
        <v>0</v>
      </c>
      <c r="CS217" s="47">
        <v>0</v>
      </c>
      <c r="CT217" s="47">
        <v>0</v>
      </c>
      <c r="CU217" s="47">
        <v>0</v>
      </c>
      <c r="CV217" s="47">
        <v>0</v>
      </c>
      <c r="CW217" s="47">
        <v>0</v>
      </c>
      <c r="CX217" s="47">
        <v>0</v>
      </c>
      <c r="CY217" s="47">
        <v>0</v>
      </c>
      <c r="CZ217" s="47">
        <v>0</v>
      </c>
      <c r="DA217" s="47">
        <v>0</v>
      </c>
      <c r="DB217" s="47">
        <v>0</v>
      </c>
      <c r="DC217" s="47">
        <v>0</v>
      </c>
      <c r="DD217" s="47">
        <v>0</v>
      </c>
      <c r="DE217" s="47">
        <v>0</v>
      </c>
      <c r="DF217" s="47">
        <v>0</v>
      </c>
      <c r="DG217" s="47">
        <v>0</v>
      </c>
      <c r="DH217" s="47">
        <v>0</v>
      </c>
      <c r="DI217" s="47">
        <v>0</v>
      </c>
      <c r="DJ217" s="47">
        <v>0</v>
      </c>
      <c r="DK217" s="47">
        <v>0</v>
      </c>
      <c r="DL217" s="47">
        <v>0</v>
      </c>
      <c r="DM217" s="47">
        <v>0</v>
      </c>
      <c r="DN217" s="47">
        <v>0</v>
      </c>
      <c r="DO217" s="47">
        <v>0</v>
      </c>
      <c r="DP217" s="47">
        <v>0</v>
      </c>
      <c r="DQ217" s="47">
        <v>0</v>
      </c>
      <c r="DR217" s="47">
        <v>0</v>
      </c>
      <c r="DS217" s="47">
        <v>0</v>
      </c>
      <c r="DT217" s="47">
        <v>0</v>
      </c>
      <c r="DU217" s="47">
        <v>0</v>
      </c>
      <c r="DV217" s="47">
        <v>0</v>
      </c>
      <c r="DW217" s="47">
        <v>0</v>
      </c>
      <c r="DX217" s="47">
        <v>0</v>
      </c>
      <c r="DY217" s="47">
        <v>0</v>
      </c>
      <c r="DZ217" s="47">
        <v>0</v>
      </c>
      <c r="EA217" s="47">
        <v>0</v>
      </c>
      <c r="EB217" s="47"/>
      <c r="EC217" s="47">
        <v>1</v>
      </c>
      <c r="ZZ217" t="s">
        <v>2472</v>
      </c>
    </row>
    <row r="218" spans="1:702" x14ac:dyDescent="0.25">
      <c r="A218" s="47" t="s">
        <v>1114</v>
      </c>
      <c r="B218" s="47" t="s">
        <v>153</v>
      </c>
      <c r="C218" s="47" t="s">
        <v>157</v>
      </c>
      <c r="D218" s="47" t="s">
        <v>2698</v>
      </c>
      <c r="E218" s="47" t="s">
        <v>1115</v>
      </c>
      <c r="F218" s="47" t="s">
        <v>1116</v>
      </c>
      <c r="G218" s="47" t="s">
        <v>1117</v>
      </c>
      <c r="H218" s="47" t="s">
        <v>698</v>
      </c>
      <c r="I218" s="47" t="s">
        <v>705</v>
      </c>
      <c r="J218" s="47" t="str">
        <f>=IFERROR(VLOOKUP(H218&amp;I218,Table_Fonctions!A:G,6,FALSE),"")</f>
        <v>0</v>
      </c>
      <c r="K218" s="47" t="s">
        <v>2607</v>
      </c>
      <c r="L218" s="47" t="str">
        <f>=IFERROR(VLOOKUP(H218&amp;I218,Table_Fonctions!A:G,7,FALSE),K218)</f>
        <v/>
      </c>
      <c r="M218" s="47" t="str">
        <f>=IF(OR(LEFT(D218, 3)="TJ ", LEFT(D218, 4)="CPH "), "OUI", "NON")</f>
        <v/>
      </c>
      <c r="N218" s="47" t="s">
        <v>1118</v>
      </c>
      <c r="O218" s="47"/>
      <c r="P218" s="47">
        <v>1</v>
      </c>
      <c r="Q218" s="47">
        <v>0</v>
      </c>
      <c r="R218" s="47">
        <v>1</v>
      </c>
      <c r="S218" s="47">
        <f>=ROUND(BQ218-(BR218+BS218),3)</f>
      </c>
      <c r="T218" s="47">
        <f>=ROUND(CK218-(CL218+CM218+CN218+CO218+CP218),3)</f>
      </c>
      <c r="U218" s="47">
        <v>0</v>
      </c>
      <c r="V218" s="47">
        <v>0</v>
      </c>
      <c r="W218" s="47">
        <v>0</v>
      </c>
      <c r="X218" s="47">
        <v>0</v>
      </c>
      <c r="Y218" s="47">
        <v>0</v>
      </c>
      <c r="Z218" s="47">
        <v>0</v>
      </c>
      <c r="AA218" s="47">
        <v>0</v>
      </c>
      <c r="AB218" s="47">
        <v>0</v>
      </c>
      <c r="AC218" s="47">
        <v>0</v>
      </c>
      <c r="AD218" s="47">
        <v>0</v>
      </c>
      <c r="AE218" s="47">
        <v>0</v>
      </c>
      <c r="AF218" s="47">
        <v>0</v>
      </c>
      <c r="AG218" s="47">
        <v>0</v>
      </c>
      <c r="AH218" s="47">
        <v>0</v>
      </c>
      <c r="AI218" s="47">
        <v>0</v>
      </c>
      <c r="AJ218" s="47">
        <v>0</v>
      </c>
      <c r="AK218" s="47">
        <v>0</v>
      </c>
      <c r="AL218" s="47">
        <v>0</v>
      </c>
      <c r="AM218" s="47">
        <v>0</v>
      </c>
      <c r="AN218" s="47">
        <v>0</v>
      </c>
      <c r="AO218" s="47">
        <v>0</v>
      </c>
      <c r="AP218" s="47">
        <v>0</v>
      </c>
      <c r="AQ218" s="47">
        <v>0</v>
      </c>
      <c r="AR218" s="47">
        <v>0</v>
      </c>
      <c r="AS218" s="47">
        <v>0</v>
      </c>
      <c r="AT218" s="47">
        <v>0</v>
      </c>
      <c r="AU218" s="47">
        <v>0</v>
      </c>
      <c r="AV218" s="47">
        <v>0</v>
      </c>
      <c r="AW218" s="47">
        <v>0</v>
      </c>
      <c r="AX218" s="47">
        <v>0</v>
      </c>
      <c r="AY218" s="47">
        <v>0</v>
      </c>
      <c r="AZ218" s="47">
        <v>0</v>
      </c>
      <c r="BA218" s="47">
        <v>0</v>
      </c>
      <c r="BB218" s="47">
        <v>0</v>
      </c>
      <c r="BC218" s="47">
        <v>0</v>
      </c>
      <c r="BD218" s="47">
        <v>0</v>
      </c>
      <c r="BE218" s="47">
        <v>0</v>
      </c>
      <c r="BF218" s="47">
        <v>0</v>
      </c>
      <c r="BG218" s="47">
        <v>0</v>
      </c>
      <c r="BH218" s="47">
        <v>0</v>
      </c>
      <c r="BI218" s="47">
        <v>0</v>
      </c>
      <c r="BJ218" s="47">
        <v>0</v>
      </c>
      <c r="BK218" s="47">
        <v>0</v>
      </c>
      <c r="BL218" s="47">
        <v>0</v>
      </c>
      <c r="BM218" s="47">
        <v>0</v>
      </c>
      <c r="BN218" s="47">
        <v>0</v>
      </c>
      <c r="BO218" s="47">
        <v>0</v>
      </c>
      <c r="BP218" s="47">
        <v>0</v>
      </c>
      <c r="BQ218" s="47">
        <v>0</v>
      </c>
      <c r="BR218" s="47">
        <v>0</v>
      </c>
      <c r="BS218" s="47">
        <v>0</v>
      </c>
      <c r="BT218" s="47">
        <v>0</v>
      </c>
      <c r="BU218" s="47">
        <v>0</v>
      </c>
      <c r="BV218" s="47">
        <v>0</v>
      </c>
      <c r="BW218" s="47">
        <v>0</v>
      </c>
      <c r="BX218" s="47">
        <v>0</v>
      </c>
      <c r="BY218" s="47">
        <v>0</v>
      </c>
      <c r="BZ218" s="47">
        <v>0</v>
      </c>
      <c r="CA218" s="47">
        <v>0</v>
      </c>
      <c r="CB218" s="47">
        <v>0</v>
      </c>
      <c r="CC218" s="47">
        <v>0</v>
      </c>
      <c r="CD218" s="47">
        <v>0</v>
      </c>
      <c r="CE218" s="47">
        <v>0</v>
      </c>
      <c r="CF218" s="47">
        <v>0</v>
      </c>
      <c r="CG218" s="47">
        <v>0</v>
      </c>
      <c r="CH218" s="47">
        <v>0</v>
      </c>
      <c r="CI218" s="47">
        <v>0</v>
      </c>
      <c r="CJ218" s="47">
        <v>0</v>
      </c>
      <c r="CK218" s="47">
        <v>0</v>
      </c>
      <c r="CL218" s="47">
        <v>0</v>
      </c>
      <c r="CM218" s="47">
        <v>0</v>
      </c>
      <c r="CN218" s="47">
        <v>0</v>
      </c>
      <c r="CO218" s="47">
        <v>0</v>
      </c>
      <c r="CP218" s="47">
        <v>0</v>
      </c>
      <c r="CQ218" s="47">
        <v>0</v>
      </c>
      <c r="CR218" s="47">
        <v>0</v>
      </c>
      <c r="CS218" s="47">
        <v>0</v>
      </c>
      <c r="CT218" s="47">
        <v>0</v>
      </c>
      <c r="CU218" s="47">
        <v>0</v>
      </c>
      <c r="CV218" s="47">
        <v>0</v>
      </c>
      <c r="CW218" s="47">
        <v>0</v>
      </c>
      <c r="CX218" s="47">
        <v>0</v>
      </c>
      <c r="CY218" s="47">
        <v>0</v>
      </c>
      <c r="CZ218" s="47">
        <v>0</v>
      </c>
      <c r="DA218" s="47">
        <v>0</v>
      </c>
      <c r="DB218" s="47">
        <v>0</v>
      </c>
      <c r="DC218" s="47">
        <v>0</v>
      </c>
      <c r="DD218" s="47">
        <v>0</v>
      </c>
      <c r="DE218" s="47">
        <v>0</v>
      </c>
      <c r="DF218" s="47">
        <v>0</v>
      </c>
      <c r="DG218" s="47">
        <v>0</v>
      </c>
      <c r="DH218" s="47">
        <v>0</v>
      </c>
      <c r="DI218" s="47">
        <v>0</v>
      </c>
      <c r="DJ218" s="47">
        <v>0</v>
      </c>
      <c r="DK218" s="47">
        <v>0</v>
      </c>
      <c r="DL218" s="47">
        <v>0</v>
      </c>
      <c r="DM218" s="47">
        <v>0</v>
      </c>
      <c r="DN218" s="47">
        <v>0</v>
      </c>
      <c r="DO218" s="47">
        <v>0</v>
      </c>
      <c r="DP218" s="47">
        <v>0</v>
      </c>
      <c r="DQ218" s="47">
        <v>0</v>
      </c>
      <c r="DR218" s="47">
        <v>0</v>
      </c>
      <c r="DS218" s="47">
        <v>0</v>
      </c>
      <c r="DT218" s="47">
        <v>0</v>
      </c>
      <c r="DU218" s="47">
        <v>0</v>
      </c>
      <c r="DV218" s="47">
        <v>0</v>
      </c>
      <c r="DW218" s="47">
        <v>0</v>
      </c>
      <c r="DX218" s="47">
        <v>0</v>
      </c>
      <c r="DY218" s="47">
        <v>0</v>
      </c>
      <c r="DZ218" s="47">
        <v>0</v>
      </c>
      <c r="EA218" s="47">
        <v>0</v>
      </c>
      <c r="EB218" s="47"/>
      <c r="EC218" s="47">
        <v>1</v>
      </c>
      <c r="ZZ218" t="s">
        <v>2472</v>
      </c>
    </row>
    <row r="219" spans="1:702" x14ac:dyDescent="0.25">
      <c r="A219" s="47" t="s">
        <v>1119</v>
      </c>
      <c r="B219" s="47" t="s">
        <v>153</v>
      </c>
      <c r="C219" s="47" t="s">
        <v>157</v>
      </c>
      <c r="D219" s="47" t="s">
        <v>2699</v>
      </c>
      <c r="E219" s="47" t="s">
        <v>1120</v>
      </c>
      <c r="F219" s="47" t="s">
        <v>1121</v>
      </c>
      <c r="G219" s="47" t="s">
        <v>1122</v>
      </c>
      <c r="H219" s="47" t="s">
        <v>698</v>
      </c>
      <c r="I219" s="47" t="s">
        <v>727</v>
      </c>
      <c r="J219" s="47" t="str">
        <f>=IFERROR(VLOOKUP(H219&amp;I219,Table_Fonctions!A:G,6,FALSE),"")</f>
        <v>0</v>
      </c>
      <c r="K219" s="47" t="s">
        <v>2607</v>
      </c>
      <c r="L219" s="47" t="str">
        <f>=IFERROR(VLOOKUP(H219&amp;I219,Table_Fonctions!A:G,7,FALSE),K219)</f>
        <v/>
      </c>
      <c r="M219" s="47" t="str">
        <f>=IF(OR(LEFT(D219, 3)="TJ ", LEFT(D219, 4)="CPH "), "OUI", "NON")</f>
        <v/>
      </c>
      <c r="N219" s="47" t="s">
        <v>849</v>
      </c>
      <c r="O219" s="47"/>
      <c r="P219" s="47">
        <v>1</v>
      </c>
      <c r="Q219" s="47">
        <v>0</v>
      </c>
      <c r="R219" s="47">
        <v>1</v>
      </c>
      <c r="S219" s="47">
        <f>=ROUND(BQ219-(BR219+BS219),3)</f>
      </c>
      <c r="T219" s="47">
        <f>=ROUND(CK219-(CL219+CM219+CN219+CO219+CP219),3)</f>
      </c>
      <c r="U219" s="47">
        <v>0</v>
      </c>
      <c r="V219" s="47">
        <v>0</v>
      </c>
      <c r="W219" s="47">
        <v>0</v>
      </c>
      <c r="X219" s="47">
        <v>0</v>
      </c>
      <c r="Y219" s="47">
        <v>0</v>
      </c>
      <c r="Z219" s="47">
        <v>0</v>
      </c>
      <c r="AA219" s="47">
        <v>0</v>
      </c>
      <c r="AB219" s="47">
        <v>0</v>
      </c>
      <c r="AC219" s="47">
        <v>0</v>
      </c>
      <c r="AD219" s="47">
        <v>0</v>
      </c>
      <c r="AE219" s="47">
        <v>0</v>
      </c>
      <c r="AF219" s="47">
        <v>0</v>
      </c>
      <c r="AG219" s="47">
        <v>0</v>
      </c>
      <c r="AH219" s="47">
        <v>0</v>
      </c>
      <c r="AI219" s="47">
        <v>0</v>
      </c>
      <c r="AJ219" s="47">
        <v>0</v>
      </c>
      <c r="AK219" s="47">
        <v>0</v>
      </c>
      <c r="AL219" s="47">
        <v>0</v>
      </c>
      <c r="AM219" s="47">
        <v>0</v>
      </c>
      <c r="AN219" s="47">
        <v>0</v>
      </c>
      <c r="AO219" s="47">
        <v>0</v>
      </c>
      <c r="AP219" s="47">
        <v>0</v>
      </c>
      <c r="AQ219" s="47">
        <v>0</v>
      </c>
      <c r="AR219" s="47">
        <v>0</v>
      </c>
      <c r="AS219" s="47">
        <v>0</v>
      </c>
      <c r="AT219" s="47">
        <v>0</v>
      </c>
      <c r="AU219" s="47">
        <v>0</v>
      </c>
      <c r="AV219" s="47">
        <v>0</v>
      </c>
      <c r="AW219" s="47">
        <v>0</v>
      </c>
      <c r="AX219" s="47">
        <v>0</v>
      </c>
      <c r="AY219" s="47">
        <v>0</v>
      </c>
      <c r="AZ219" s="47">
        <v>0</v>
      </c>
      <c r="BA219" s="47">
        <v>0</v>
      </c>
      <c r="BB219" s="47">
        <v>0</v>
      </c>
      <c r="BC219" s="47">
        <v>0</v>
      </c>
      <c r="BD219" s="47">
        <v>0</v>
      </c>
      <c r="BE219" s="47">
        <v>0</v>
      </c>
      <c r="BF219" s="47">
        <v>0</v>
      </c>
      <c r="BG219" s="47">
        <v>0</v>
      </c>
      <c r="BH219" s="47">
        <v>0</v>
      </c>
      <c r="BI219" s="47">
        <v>0</v>
      </c>
      <c r="BJ219" s="47">
        <v>0</v>
      </c>
      <c r="BK219" s="47">
        <v>0</v>
      </c>
      <c r="BL219" s="47">
        <v>0</v>
      </c>
      <c r="BM219" s="47">
        <v>0</v>
      </c>
      <c r="BN219" s="47">
        <v>0</v>
      </c>
      <c r="BO219" s="47">
        <v>0</v>
      </c>
      <c r="BP219" s="47">
        <v>0</v>
      </c>
      <c r="BQ219" s="47">
        <v>0</v>
      </c>
      <c r="BR219" s="47">
        <v>0</v>
      </c>
      <c r="BS219" s="47">
        <v>0</v>
      </c>
      <c r="BT219" s="47">
        <v>0</v>
      </c>
      <c r="BU219" s="47">
        <v>0</v>
      </c>
      <c r="BV219" s="47">
        <v>0</v>
      </c>
      <c r="BW219" s="47">
        <v>0</v>
      </c>
      <c r="BX219" s="47">
        <v>0</v>
      </c>
      <c r="BY219" s="47">
        <v>0</v>
      </c>
      <c r="BZ219" s="47">
        <v>0</v>
      </c>
      <c r="CA219" s="47">
        <v>0</v>
      </c>
      <c r="CB219" s="47">
        <v>0</v>
      </c>
      <c r="CC219" s="47">
        <v>0</v>
      </c>
      <c r="CD219" s="47">
        <v>0</v>
      </c>
      <c r="CE219" s="47">
        <v>0</v>
      </c>
      <c r="CF219" s="47">
        <v>0</v>
      </c>
      <c r="CG219" s="47">
        <v>0</v>
      </c>
      <c r="CH219" s="47">
        <v>0</v>
      </c>
      <c r="CI219" s="47">
        <v>0</v>
      </c>
      <c r="CJ219" s="47">
        <v>0</v>
      </c>
      <c r="CK219" s="47">
        <v>0</v>
      </c>
      <c r="CL219" s="47">
        <v>0</v>
      </c>
      <c r="CM219" s="47">
        <v>0</v>
      </c>
      <c r="CN219" s="47">
        <v>0</v>
      </c>
      <c r="CO219" s="47">
        <v>0</v>
      </c>
      <c r="CP219" s="47">
        <v>0</v>
      </c>
      <c r="CQ219" s="47">
        <v>0</v>
      </c>
      <c r="CR219" s="47">
        <v>0</v>
      </c>
      <c r="CS219" s="47">
        <v>0</v>
      </c>
      <c r="CT219" s="47">
        <v>0</v>
      </c>
      <c r="CU219" s="47">
        <v>0</v>
      </c>
      <c r="CV219" s="47">
        <v>0</v>
      </c>
      <c r="CW219" s="47">
        <v>0</v>
      </c>
      <c r="CX219" s="47">
        <v>0</v>
      </c>
      <c r="CY219" s="47">
        <v>0</v>
      </c>
      <c r="CZ219" s="47">
        <v>0</v>
      </c>
      <c r="DA219" s="47">
        <v>0</v>
      </c>
      <c r="DB219" s="47">
        <v>0</v>
      </c>
      <c r="DC219" s="47">
        <v>0</v>
      </c>
      <c r="DD219" s="47">
        <v>0</v>
      </c>
      <c r="DE219" s="47">
        <v>0</v>
      </c>
      <c r="DF219" s="47">
        <v>0</v>
      </c>
      <c r="DG219" s="47">
        <v>0</v>
      </c>
      <c r="DH219" s="47">
        <v>0</v>
      </c>
      <c r="DI219" s="47">
        <v>0</v>
      </c>
      <c r="DJ219" s="47">
        <v>0</v>
      </c>
      <c r="DK219" s="47">
        <v>0</v>
      </c>
      <c r="DL219" s="47">
        <v>0</v>
      </c>
      <c r="DM219" s="47">
        <v>0</v>
      </c>
      <c r="DN219" s="47">
        <v>0</v>
      </c>
      <c r="DO219" s="47">
        <v>0</v>
      </c>
      <c r="DP219" s="47">
        <v>0</v>
      </c>
      <c r="DQ219" s="47">
        <v>0</v>
      </c>
      <c r="DR219" s="47">
        <v>0</v>
      </c>
      <c r="DS219" s="47">
        <v>0</v>
      </c>
      <c r="DT219" s="47">
        <v>0</v>
      </c>
      <c r="DU219" s="47">
        <v>0</v>
      </c>
      <c r="DV219" s="47">
        <v>0</v>
      </c>
      <c r="DW219" s="47">
        <v>0</v>
      </c>
      <c r="DX219" s="47">
        <v>0</v>
      </c>
      <c r="DY219" s="47">
        <v>0</v>
      </c>
      <c r="DZ219" s="47">
        <v>0</v>
      </c>
      <c r="EA219" s="47">
        <v>0</v>
      </c>
      <c r="EB219" s="47"/>
      <c r="EC219" s="47">
        <v>1</v>
      </c>
      <c r="ZZ219" t="s">
        <v>2472</v>
      </c>
    </row>
    <row r="220" spans="1:702" x14ac:dyDescent="0.25">
      <c r="A220" s="47" t="s">
        <v>1123</v>
      </c>
      <c r="B220" s="47" t="s">
        <v>153</v>
      </c>
      <c r="C220" s="47" t="s">
        <v>157</v>
      </c>
      <c r="D220" s="47" t="s">
        <v>2700</v>
      </c>
      <c r="E220" s="47" t="s">
        <v>1124</v>
      </c>
      <c r="F220" s="47" t="s">
        <v>1125</v>
      </c>
      <c r="G220" s="47" t="s">
        <v>1126</v>
      </c>
      <c r="H220" s="47" t="s">
        <v>698</v>
      </c>
      <c r="I220" s="47" t="s">
        <v>705</v>
      </c>
      <c r="J220" s="47" t="str">
        <f>=IFERROR(VLOOKUP(H220&amp;I220,Table_Fonctions!A:G,6,FALSE),"")</f>
        <v>0</v>
      </c>
      <c r="K220" s="47" t="s">
        <v>2607</v>
      </c>
      <c r="L220" s="47" t="str">
        <f>=IFERROR(VLOOKUP(H220&amp;I220,Table_Fonctions!A:G,7,FALSE),K220)</f>
        <v/>
      </c>
      <c r="M220" s="47" t="str">
        <f>=IF(OR(LEFT(D220, 3)="TJ ", LEFT(D220, 4)="CPH "), "OUI", "NON")</f>
        <v/>
      </c>
      <c r="N220" s="47" t="s">
        <v>1127</v>
      </c>
      <c r="O220" s="47"/>
      <c r="P220" s="47">
        <v>1</v>
      </c>
      <c r="Q220" s="47">
        <v>0</v>
      </c>
      <c r="R220" s="47">
        <v>1</v>
      </c>
      <c r="S220" s="47">
        <f>=ROUND(BQ220-(BR220+BS220),3)</f>
      </c>
      <c r="T220" s="47">
        <f>=ROUND(CK220-(CL220+CM220+CN220+CO220+CP220),3)</f>
      </c>
      <c r="U220" s="47">
        <v>0</v>
      </c>
      <c r="V220" s="47">
        <v>0</v>
      </c>
      <c r="W220" s="47">
        <v>0</v>
      </c>
      <c r="X220" s="47">
        <v>0</v>
      </c>
      <c r="Y220" s="47">
        <v>0</v>
      </c>
      <c r="Z220" s="47">
        <v>0</v>
      </c>
      <c r="AA220" s="47">
        <v>0</v>
      </c>
      <c r="AB220" s="47">
        <v>0</v>
      </c>
      <c r="AC220" s="47">
        <v>0</v>
      </c>
      <c r="AD220" s="47">
        <v>0</v>
      </c>
      <c r="AE220" s="47">
        <v>0</v>
      </c>
      <c r="AF220" s="47">
        <v>0</v>
      </c>
      <c r="AG220" s="47">
        <v>0</v>
      </c>
      <c r="AH220" s="47">
        <v>0</v>
      </c>
      <c r="AI220" s="47">
        <v>0</v>
      </c>
      <c r="AJ220" s="47">
        <v>0</v>
      </c>
      <c r="AK220" s="47">
        <v>0</v>
      </c>
      <c r="AL220" s="47">
        <v>0</v>
      </c>
      <c r="AM220" s="47">
        <v>0</v>
      </c>
      <c r="AN220" s="47">
        <v>0</v>
      </c>
      <c r="AO220" s="47">
        <v>0</v>
      </c>
      <c r="AP220" s="47">
        <v>0</v>
      </c>
      <c r="AQ220" s="47">
        <v>0</v>
      </c>
      <c r="AR220" s="47">
        <v>0</v>
      </c>
      <c r="AS220" s="47">
        <v>0</v>
      </c>
      <c r="AT220" s="47">
        <v>0</v>
      </c>
      <c r="AU220" s="47">
        <v>0</v>
      </c>
      <c r="AV220" s="47">
        <v>0</v>
      </c>
      <c r="AW220" s="47">
        <v>0</v>
      </c>
      <c r="AX220" s="47">
        <v>0</v>
      </c>
      <c r="AY220" s="47">
        <v>0</v>
      </c>
      <c r="AZ220" s="47">
        <v>0</v>
      </c>
      <c r="BA220" s="47">
        <v>0</v>
      </c>
      <c r="BB220" s="47">
        <v>0</v>
      </c>
      <c r="BC220" s="47">
        <v>0</v>
      </c>
      <c r="BD220" s="47">
        <v>0</v>
      </c>
      <c r="BE220" s="47">
        <v>0</v>
      </c>
      <c r="BF220" s="47">
        <v>0</v>
      </c>
      <c r="BG220" s="47">
        <v>0</v>
      </c>
      <c r="BH220" s="47">
        <v>0</v>
      </c>
      <c r="BI220" s="47">
        <v>0</v>
      </c>
      <c r="BJ220" s="47">
        <v>0</v>
      </c>
      <c r="BK220" s="47">
        <v>0</v>
      </c>
      <c r="BL220" s="47">
        <v>0</v>
      </c>
      <c r="BM220" s="47">
        <v>0</v>
      </c>
      <c r="BN220" s="47">
        <v>0</v>
      </c>
      <c r="BO220" s="47">
        <v>0</v>
      </c>
      <c r="BP220" s="47">
        <v>0</v>
      </c>
      <c r="BQ220" s="47">
        <v>0</v>
      </c>
      <c r="BR220" s="47">
        <v>0</v>
      </c>
      <c r="BS220" s="47">
        <v>0</v>
      </c>
      <c r="BT220" s="47">
        <v>0</v>
      </c>
      <c r="BU220" s="47">
        <v>0</v>
      </c>
      <c r="BV220" s="47">
        <v>0</v>
      </c>
      <c r="BW220" s="47">
        <v>0</v>
      </c>
      <c r="BX220" s="47">
        <v>0</v>
      </c>
      <c r="BY220" s="47">
        <v>0</v>
      </c>
      <c r="BZ220" s="47">
        <v>0</v>
      </c>
      <c r="CA220" s="47">
        <v>0</v>
      </c>
      <c r="CB220" s="47">
        <v>0</v>
      </c>
      <c r="CC220" s="47">
        <v>0</v>
      </c>
      <c r="CD220" s="47">
        <v>0</v>
      </c>
      <c r="CE220" s="47">
        <v>0</v>
      </c>
      <c r="CF220" s="47">
        <v>0</v>
      </c>
      <c r="CG220" s="47">
        <v>0</v>
      </c>
      <c r="CH220" s="47">
        <v>0</v>
      </c>
      <c r="CI220" s="47">
        <v>0</v>
      </c>
      <c r="CJ220" s="47">
        <v>0</v>
      </c>
      <c r="CK220" s="47">
        <v>0</v>
      </c>
      <c r="CL220" s="47">
        <v>0</v>
      </c>
      <c r="CM220" s="47">
        <v>0</v>
      </c>
      <c r="CN220" s="47">
        <v>0</v>
      </c>
      <c r="CO220" s="47">
        <v>0</v>
      </c>
      <c r="CP220" s="47">
        <v>0</v>
      </c>
      <c r="CQ220" s="47">
        <v>0</v>
      </c>
      <c r="CR220" s="47">
        <v>0</v>
      </c>
      <c r="CS220" s="47">
        <v>0</v>
      </c>
      <c r="CT220" s="47">
        <v>0</v>
      </c>
      <c r="CU220" s="47">
        <v>0</v>
      </c>
      <c r="CV220" s="47">
        <v>0</v>
      </c>
      <c r="CW220" s="47">
        <v>0</v>
      </c>
      <c r="CX220" s="47">
        <v>0</v>
      </c>
      <c r="CY220" s="47">
        <v>0</v>
      </c>
      <c r="CZ220" s="47">
        <v>0</v>
      </c>
      <c r="DA220" s="47">
        <v>0</v>
      </c>
      <c r="DB220" s="47">
        <v>0</v>
      </c>
      <c r="DC220" s="47">
        <v>0</v>
      </c>
      <c r="DD220" s="47">
        <v>0</v>
      </c>
      <c r="DE220" s="47">
        <v>0</v>
      </c>
      <c r="DF220" s="47">
        <v>0</v>
      </c>
      <c r="DG220" s="47">
        <v>0</v>
      </c>
      <c r="DH220" s="47">
        <v>0</v>
      </c>
      <c r="DI220" s="47">
        <v>0</v>
      </c>
      <c r="DJ220" s="47">
        <v>0</v>
      </c>
      <c r="DK220" s="47">
        <v>0</v>
      </c>
      <c r="DL220" s="47">
        <v>0</v>
      </c>
      <c r="DM220" s="47">
        <v>0</v>
      </c>
      <c r="DN220" s="47">
        <v>0</v>
      </c>
      <c r="DO220" s="47">
        <v>0</v>
      </c>
      <c r="DP220" s="47">
        <v>0</v>
      </c>
      <c r="DQ220" s="47">
        <v>0</v>
      </c>
      <c r="DR220" s="47">
        <v>0</v>
      </c>
      <c r="DS220" s="47">
        <v>0</v>
      </c>
      <c r="DT220" s="47">
        <v>0</v>
      </c>
      <c r="DU220" s="47">
        <v>0</v>
      </c>
      <c r="DV220" s="47">
        <v>0</v>
      </c>
      <c r="DW220" s="47">
        <v>0</v>
      </c>
      <c r="DX220" s="47">
        <v>0</v>
      </c>
      <c r="DY220" s="47">
        <v>0</v>
      </c>
      <c r="DZ220" s="47">
        <v>0</v>
      </c>
      <c r="EA220" s="47">
        <v>0</v>
      </c>
      <c r="EB220" s="47"/>
      <c r="EC220" s="47">
        <v>1</v>
      </c>
      <c r="ZZ220" t="s">
        <v>2472</v>
      </c>
    </row>
    <row r="221" spans="1:702" x14ac:dyDescent="0.25">
      <c r="A221" s="47" t="s">
        <v>1128</v>
      </c>
      <c r="B221" s="47" t="s">
        <v>153</v>
      </c>
      <c r="C221" s="47" t="s">
        <v>157</v>
      </c>
      <c r="D221" s="47" t="s">
        <v>2701</v>
      </c>
      <c r="E221" s="47" t="s">
        <v>1129</v>
      </c>
      <c r="F221" s="47" t="s">
        <v>1130</v>
      </c>
      <c r="G221" s="47" t="s">
        <v>1131</v>
      </c>
      <c r="H221" s="47" t="s">
        <v>698</v>
      </c>
      <c r="I221" s="47" t="s">
        <v>727</v>
      </c>
      <c r="J221" s="47" t="str">
        <f>=IFERROR(VLOOKUP(H221&amp;I221,Table_Fonctions!A:G,6,FALSE),"")</f>
        <v>0</v>
      </c>
      <c r="K221" s="47" t="s">
        <v>2607</v>
      </c>
      <c r="L221" s="47" t="str">
        <f>=IFERROR(VLOOKUP(H221&amp;I221,Table_Fonctions!A:G,7,FALSE),K221)</f>
        <v/>
      </c>
      <c r="M221" s="47" t="str">
        <f>=IF(OR(LEFT(D221, 3)="TJ ", LEFT(D221, 4)="CPH "), "OUI", "NON")</f>
        <v/>
      </c>
      <c r="N221" s="47" t="s">
        <v>1132</v>
      </c>
      <c r="O221" s="47"/>
      <c r="P221" s="47">
        <v>1</v>
      </c>
      <c r="Q221" s="47">
        <v>0</v>
      </c>
      <c r="R221" s="47">
        <v>1</v>
      </c>
      <c r="S221" s="47">
        <f>=ROUND(BQ221-(BR221+BS221),3)</f>
      </c>
      <c r="T221" s="47">
        <f>=ROUND(CK221-(CL221+CM221+CN221+CO221+CP221),3)</f>
      </c>
      <c r="U221" s="47">
        <v>0</v>
      </c>
      <c r="V221" s="47">
        <v>0</v>
      </c>
      <c r="W221" s="47">
        <v>0</v>
      </c>
      <c r="X221" s="47">
        <v>0</v>
      </c>
      <c r="Y221" s="47">
        <v>0</v>
      </c>
      <c r="Z221" s="47">
        <v>0</v>
      </c>
      <c r="AA221" s="47">
        <v>0</v>
      </c>
      <c r="AB221" s="47">
        <v>0</v>
      </c>
      <c r="AC221" s="47">
        <v>0</v>
      </c>
      <c r="AD221" s="47">
        <v>0</v>
      </c>
      <c r="AE221" s="47">
        <v>0</v>
      </c>
      <c r="AF221" s="47">
        <v>0</v>
      </c>
      <c r="AG221" s="47">
        <v>0</v>
      </c>
      <c r="AH221" s="47">
        <v>0</v>
      </c>
      <c r="AI221" s="47">
        <v>0</v>
      </c>
      <c r="AJ221" s="47">
        <v>0</v>
      </c>
      <c r="AK221" s="47">
        <v>0</v>
      </c>
      <c r="AL221" s="47">
        <v>0</v>
      </c>
      <c r="AM221" s="47">
        <v>0</v>
      </c>
      <c r="AN221" s="47">
        <v>0</v>
      </c>
      <c r="AO221" s="47">
        <v>0</v>
      </c>
      <c r="AP221" s="47">
        <v>0</v>
      </c>
      <c r="AQ221" s="47">
        <v>0</v>
      </c>
      <c r="AR221" s="47">
        <v>0</v>
      </c>
      <c r="AS221" s="47">
        <v>0</v>
      </c>
      <c r="AT221" s="47">
        <v>0</v>
      </c>
      <c r="AU221" s="47">
        <v>0</v>
      </c>
      <c r="AV221" s="47">
        <v>0</v>
      </c>
      <c r="AW221" s="47">
        <v>0</v>
      </c>
      <c r="AX221" s="47">
        <v>0</v>
      </c>
      <c r="AY221" s="47">
        <v>0</v>
      </c>
      <c r="AZ221" s="47">
        <v>0</v>
      </c>
      <c r="BA221" s="47">
        <v>0</v>
      </c>
      <c r="BB221" s="47">
        <v>0</v>
      </c>
      <c r="BC221" s="47">
        <v>0</v>
      </c>
      <c r="BD221" s="47">
        <v>0</v>
      </c>
      <c r="BE221" s="47">
        <v>0</v>
      </c>
      <c r="BF221" s="47">
        <v>0</v>
      </c>
      <c r="BG221" s="47">
        <v>0</v>
      </c>
      <c r="BH221" s="47">
        <v>0</v>
      </c>
      <c r="BI221" s="47">
        <v>0</v>
      </c>
      <c r="BJ221" s="47">
        <v>0</v>
      </c>
      <c r="BK221" s="47">
        <v>0</v>
      </c>
      <c r="BL221" s="47">
        <v>0</v>
      </c>
      <c r="BM221" s="47">
        <v>0</v>
      </c>
      <c r="BN221" s="47">
        <v>0</v>
      </c>
      <c r="BO221" s="47">
        <v>0</v>
      </c>
      <c r="BP221" s="47">
        <v>0</v>
      </c>
      <c r="BQ221" s="47">
        <v>0</v>
      </c>
      <c r="BR221" s="47">
        <v>0</v>
      </c>
      <c r="BS221" s="47">
        <v>0</v>
      </c>
      <c r="BT221" s="47">
        <v>0</v>
      </c>
      <c r="BU221" s="47">
        <v>0</v>
      </c>
      <c r="BV221" s="47">
        <v>0</v>
      </c>
      <c r="BW221" s="47">
        <v>0</v>
      </c>
      <c r="BX221" s="47">
        <v>0</v>
      </c>
      <c r="BY221" s="47">
        <v>0</v>
      </c>
      <c r="BZ221" s="47">
        <v>0</v>
      </c>
      <c r="CA221" s="47">
        <v>0</v>
      </c>
      <c r="CB221" s="47">
        <v>0</v>
      </c>
      <c r="CC221" s="47">
        <v>0</v>
      </c>
      <c r="CD221" s="47">
        <v>0</v>
      </c>
      <c r="CE221" s="47">
        <v>0</v>
      </c>
      <c r="CF221" s="47">
        <v>0</v>
      </c>
      <c r="CG221" s="47">
        <v>0</v>
      </c>
      <c r="CH221" s="47">
        <v>0</v>
      </c>
      <c r="CI221" s="47">
        <v>0</v>
      </c>
      <c r="CJ221" s="47">
        <v>0</v>
      </c>
      <c r="CK221" s="47">
        <v>0</v>
      </c>
      <c r="CL221" s="47">
        <v>0</v>
      </c>
      <c r="CM221" s="47">
        <v>0</v>
      </c>
      <c r="CN221" s="47">
        <v>0</v>
      </c>
      <c r="CO221" s="47">
        <v>0</v>
      </c>
      <c r="CP221" s="47">
        <v>0</v>
      </c>
      <c r="CQ221" s="47">
        <v>0</v>
      </c>
      <c r="CR221" s="47">
        <v>0</v>
      </c>
      <c r="CS221" s="47">
        <v>0</v>
      </c>
      <c r="CT221" s="47">
        <v>0</v>
      </c>
      <c r="CU221" s="47">
        <v>0</v>
      </c>
      <c r="CV221" s="47">
        <v>0</v>
      </c>
      <c r="CW221" s="47">
        <v>0</v>
      </c>
      <c r="CX221" s="47">
        <v>0</v>
      </c>
      <c r="CY221" s="47">
        <v>0</v>
      </c>
      <c r="CZ221" s="47">
        <v>0</v>
      </c>
      <c r="DA221" s="47">
        <v>0</v>
      </c>
      <c r="DB221" s="47">
        <v>0</v>
      </c>
      <c r="DC221" s="47">
        <v>0</v>
      </c>
      <c r="DD221" s="47">
        <v>0</v>
      </c>
      <c r="DE221" s="47">
        <v>0</v>
      </c>
      <c r="DF221" s="47">
        <v>0</v>
      </c>
      <c r="DG221" s="47">
        <v>0</v>
      </c>
      <c r="DH221" s="47">
        <v>0</v>
      </c>
      <c r="DI221" s="47">
        <v>0</v>
      </c>
      <c r="DJ221" s="47">
        <v>0</v>
      </c>
      <c r="DK221" s="47">
        <v>0</v>
      </c>
      <c r="DL221" s="47">
        <v>0</v>
      </c>
      <c r="DM221" s="47">
        <v>0</v>
      </c>
      <c r="DN221" s="47">
        <v>0</v>
      </c>
      <c r="DO221" s="47">
        <v>0</v>
      </c>
      <c r="DP221" s="47">
        <v>0</v>
      </c>
      <c r="DQ221" s="47">
        <v>0</v>
      </c>
      <c r="DR221" s="47">
        <v>0</v>
      </c>
      <c r="DS221" s="47">
        <v>0</v>
      </c>
      <c r="DT221" s="47">
        <v>0</v>
      </c>
      <c r="DU221" s="47">
        <v>0</v>
      </c>
      <c r="DV221" s="47">
        <v>0</v>
      </c>
      <c r="DW221" s="47">
        <v>0</v>
      </c>
      <c r="DX221" s="47">
        <v>0</v>
      </c>
      <c r="DY221" s="47">
        <v>0</v>
      </c>
      <c r="DZ221" s="47">
        <v>0</v>
      </c>
      <c r="EA221" s="47">
        <v>0</v>
      </c>
      <c r="EB221" s="47"/>
      <c r="EC221" s="47">
        <v>1</v>
      </c>
      <c r="ZZ221" t="s">
        <v>2472</v>
      </c>
    </row>
    <row r="222" spans="1:702" x14ac:dyDescent="0.25">
      <c r="A222" s="47" t="s">
        <v>1133</v>
      </c>
      <c r="B222" s="47" t="s">
        <v>153</v>
      </c>
      <c r="C222" s="47" t="s">
        <v>157</v>
      </c>
      <c r="D222" s="47" t="s">
        <v>2702</v>
      </c>
      <c r="E222" s="47" t="s">
        <v>1134</v>
      </c>
      <c r="F222" s="47" t="s">
        <v>1135</v>
      </c>
      <c r="G222" s="47" t="s">
        <v>1136</v>
      </c>
      <c r="H222" s="47" t="s">
        <v>698</v>
      </c>
      <c r="I222" s="47" t="s">
        <v>727</v>
      </c>
      <c r="J222" s="47" t="str">
        <f>=IFERROR(VLOOKUP(H222&amp;I222,Table_Fonctions!A:G,6,FALSE),"")</f>
        <v>0</v>
      </c>
      <c r="K222" s="47" t="s">
        <v>2607</v>
      </c>
      <c r="L222" s="47" t="str">
        <f>=IFERROR(VLOOKUP(H222&amp;I222,Table_Fonctions!A:G,7,FALSE),K222)</f>
        <v/>
      </c>
      <c r="M222" s="47" t="str">
        <f>=IF(OR(LEFT(D222, 3)="TJ ", LEFT(D222, 4)="CPH "), "OUI", "NON")</f>
        <v/>
      </c>
      <c r="N222" s="47" t="s">
        <v>1137</v>
      </c>
      <c r="O222" s="47"/>
      <c r="P222" s="47">
        <v>1</v>
      </c>
      <c r="Q222" s="47">
        <v>1</v>
      </c>
      <c r="R222" s="47">
        <v>0</v>
      </c>
      <c r="S222" s="47">
        <f>=ROUND(BQ222-(BR222+BS222),3)</f>
      </c>
      <c r="T222" s="47">
        <f>=ROUND(CK222-(CL222+CM222+CN222+CO222+CP222),3)</f>
      </c>
      <c r="U222" s="47">
        <v>0</v>
      </c>
      <c r="V222" s="47">
        <v>0</v>
      </c>
      <c r="W222" s="47">
        <v>0</v>
      </c>
      <c r="X222" s="47">
        <v>0</v>
      </c>
      <c r="Y222" s="47">
        <v>0</v>
      </c>
      <c r="Z222" s="47">
        <v>0</v>
      </c>
      <c r="AA222" s="47">
        <v>0</v>
      </c>
      <c r="AB222" s="47">
        <v>0</v>
      </c>
      <c r="AC222" s="47">
        <v>0</v>
      </c>
      <c r="AD222" s="47">
        <v>0</v>
      </c>
      <c r="AE222" s="47">
        <v>0</v>
      </c>
      <c r="AF222" s="47">
        <v>0</v>
      </c>
      <c r="AG222" s="47">
        <v>0</v>
      </c>
      <c r="AH222" s="47">
        <v>0</v>
      </c>
      <c r="AI222" s="47">
        <v>0</v>
      </c>
      <c r="AJ222" s="47">
        <v>0</v>
      </c>
      <c r="AK222" s="47">
        <v>0</v>
      </c>
      <c r="AL222" s="47">
        <v>0</v>
      </c>
      <c r="AM222" s="47">
        <v>0</v>
      </c>
      <c r="AN222" s="47">
        <v>0</v>
      </c>
      <c r="AO222" s="47">
        <v>0</v>
      </c>
      <c r="AP222" s="47">
        <v>0</v>
      </c>
      <c r="AQ222" s="47">
        <v>0</v>
      </c>
      <c r="AR222" s="47">
        <v>0</v>
      </c>
      <c r="AS222" s="47">
        <v>0</v>
      </c>
      <c r="AT222" s="47">
        <v>0</v>
      </c>
      <c r="AU222" s="47">
        <v>0</v>
      </c>
      <c r="AV222" s="47">
        <v>0</v>
      </c>
      <c r="AW222" s="47">
        <v>0</v>
      </c>
      <c r="AX222" s="47">
        <v>0</v>
      </c>
      <c r="AY222" s="47">
        <v>0</v>
      </c>
      <c r="AZ222" s="47">
        <v>0</v>
      </c>
      <c r="BA222" s="47">
        <v>0</v>
      </c>
      <c r="BB222" s="47">
        <v>0</v>
      </c>
      <c r="BC222" s="47">
        <v>0</v>
      </c>
      <c r="BD222" s="47">
        <v>0</v>
      </c>
      <c r="BE222" s="47">
        <v>0</v>
      </c>
      <c r="BF222" s="47">
        <v>0</v>
      </c>
      <c r="BG222" s="47">
        <v>0</v>
      </c>
      <c r="BH222" s="47">
        <v>0</v>
      </c>
      <c r="BI222" s="47">
        <v>0</v>
      </c>
      <c r="BJ222" s="47">
        <v>0</v>
      </c>
      <c r="BK222" s="47">
        <v>0</v>
      </c>
      <c r="BL222" s="47">
        <v>0</v>
      </c>
      <c r="BM222" s="47">
        <v>0</v>
      </c>
      <c r="BN222" s="47">
        <v>0</v>
      </c>
      <c r="BO222" s="47">
        <v>0</v>
      </c>
      <c r="BP222" s="47">
        <v>0</v>
      </c>
      <c r="BQ222" s="47">
        <v>0</v>
      </c>
      <c r="BR222" s="47">
        <v>0</v>
      </c>
      <c r="BS222" s="47">
        <v>0</v>
      </c>
      <c r="BT222" s="47">
        <v>1</v>
      </c>
      <c r="BU222" s="47">
        <v>0</v>
      </c>
      <c r="BV222" s="47">
        <v>0</v>
      </c>
      <c r="BW222" s="47">
        <v>0</v>
      </c>
      <c r="BX222" s="47">
        <v>0</v>
      </c>
      <c r="BY222" s="47">
        <v>0</v>
      </c>
      <c r="BZ222" s="47">
        <v>0</v>
      </c>
      <c r="CA222" s="47">
        <v>0</v>
      </c>
      <c r="CB222" s="47">
        <v>0</v>
      </c>
      <c r="CC222" s="47">
        <v>0</v>
      </c>
      <c r="CD222" s="47">
        <v>0</v>
      </c>
      <c r="CE222" s="47">
        <v>0</v>
      </c>
      <c r="CF222" s="47">
        <v>0</v>
      </c>
      <c r="CG222" s="47">
        <v>0</v>
      </c>
      <c r="CH222" s="47">
        <v>0</v>
      </c>
      <c r="CI222" s="47">
        <v>0</v>
      </c>
      <c r="CJ222" s="47">
        <v>0</v>
      </c>
      <c r="CK222" s="47">
        <v>0</v>
      </c>
      <c r="CL222" s="47">
        <v>0</v>
      </c>
      <c r="CM222" s="47">
        <v>0</v>
      </c>
      <c r="CN222" s="47">
        <v>0</v>
      </c>
      <c r="CO222" s="47">
        <v>0</v>
      </c>
      <c r="CP222" s="47">
        <v>0</v>
      </c>
      <c r="CQ222" s="47">
        <v>0</v>
      </c>
      <c r="CR222" s="47">
        <v>0</v>
      </c>
      <c r="CS222" s="47">
        <v>0</v>
      </c>
      <c r="CT222" s="47">
        <v>0</v>
      </c>
      <c r="CU222" s="47">
        <v>0</v>
      </c>
      <c r="CV222" s="47">
        <v>0</v>
      </c>
      <c r="CW222" s="47">
        <v>0</v>
      </c>
      <c r="CX222" s="47">
        <v>0</v>
      </c>
      <c r="CY222" s="47">
        <v>0</v>
      </c>
      <c r="CZ222" s="47">
        <v>0</v>
      </c>
      <c r="DA222" s="47">
        <v>0</v>
      </c>
      <c r="DB222" s="47">
        <v>0</v>
      </c>
      <c r="DC222" s="47">
        <v>0</v>
      </c>
      <c r="DD222" s="47">
        <v>0</v>
      </c>
      <c r="DE222" s="47">
        <v>0</v>
      </c>
      <c r="DF222" s="47">
        <v>0</v>
      </c>
      <c r="DG222" s="47">
        <v>0</v>
      </c>
      <c r="DH222" s="47">
        <v>0</v>
      </c>
      <c r="DI222" s="47">
        <v>0</v>
      </c>
      <c r="DJ222" s="47">
        <v>0</v>
      </c>
      <c r="DK222" s="47">
        <v>0</v>
      </c>
      <c r="DL222" s="47">
        <v>0</v>
      </c>
      <c r="DM222" s="47">
        <v>0</v>
      </c>
      <c r="DN222" s="47">
        <v>0</v>
      </c>
      <c r="DO222" s="47">
        <v>0</v>
      </c>
      <c r="DP222" s="47">
        <v>0</v>
      </c>
      <c r="DQ222" s="47">
        <v>0</v>
      </c>
      <c r="DR222" s="47">
        <v>0</v>
      </c>
      <c r="DS222" s="47">
        <v>0</v>
      </c>
      <c r="DT222" s="47">
        <v>0</v>
      </c>
      <c r="DU222" s="47">
        <v>0</v>
      </c>
      <c r="DV222" s="47">
        <v>0</v>
      </c>
      <c r="DW222" s="47">
        <v>0</v>
      </c>
      <c r="DX222" s="47">
        <v>0</v>
      </c>
      <c r="DY222" s="47">
        <v>0</v>
      </c>
      <c r="DZ222" s="47">
        <v>0</v>
      </c>
      <c r="EA222" s="47">
        <v>0</v>
      </c>
      <c r="EB222" s="47"/>
      <c r="EC222" s="47">
        <v>1</v>
      </c>
      <c r="ZZ222" t="s">
        <v>2472</v>
      </c>
    </row>
    <row r="223" spans="1:702" x14ac:dyDescent="0.25">
      <c r="A223" s="47" t="s">
        <v>1138</v>
      </c>
      <c r="B223" s="47" t="s">
        <v>153</v>
      </c>
      <c r="C223" s="47" t="s">
        <v>157</v>
      </c>
      <c r="D223" s="47" t="s">
        <v>2703</v>
      </c>
      <c r="E223" s="47" t="s">
        <v>1139</v>
      </c>
      <c r="F223" s="47" t="s">
        <v>1140</v>
      </c>
      <c r="G223" s="47" t="s">
        <v>1141</v>
      </c>
      <c r="H223" s="47" t="s">
        <v>698</v>
      </c>
      <c r="I223" s="47" t="s">
        <v>727</v>
      </c>
      <c r="J223" s="47" t="str">
        <f>=IFERROR(VLOOKUP(H223&amp;I223,Table_Fonctions!A:G,6,FALSE),"")</f>
        <v>0</v>
      </c>
      <c r="K223" s="47" t="s">
        <v>2607</v>
      </c>
      <c r="L223" s="47" t="str">
        <f>=IFERROR(VLOOKUP(H223&amp;I223,Table_Fonctions!A:G,7,FALSE),K223)</f>
        <v/>
      </c>
      <c r="M223" s="47" t="str">
        <f>=IF(OR(LEFT(D223, 3)="TJ ", LEFT(D223, 4)="CPH "), "OUI", "NON")</f>
        <v/>
      </c>
      <c r="N223" s="47" t="s">
        <v>712</v>
      </c>
      <c r="O223" s="47"/>
      <c r="P223" s="47">
        <v>1</v>
      </c>
      <c r="Q223" s="47">
        <v>0</v>
      </c>
      <c r="R223" s="47">
        <v>1</v>
      </c>
      <c r="S223" s="47">
        <f>=ROUND(BQ223-(BR223+BS223),3)</f>
      </c>
      <c r="T223" s="47">
        <f>=ROUND(CK223-(CL223+CM223+CN223+CO223+CP223),3)</f>
      </c>
      <c r="U223" s="47">
        <v>0</v>
      </c>
      <c r="V223" s="47">
        <v>0</v>
      </c>
      <c r="W223" s="47">
        <v>0</v>
      </c>
      <c r="X223" s="47">
        <v>0</v>
      </c>
      <c r="Y223" s="47">
        <v>0</v>
      </c>
      <c r="Z223" s="47">
        <v>0</v>
      </c>
      <c r="AA223" s="47">
        <v>0</v>
      </c>
      <c r="AB223" s="47">
        <v>0</v>
      </c>
      <c r="AC223" s="47">
        <v>0</v>
      </c>
      <c r="AD223" s="47">
        <v>0</v>
      </c>
      <c r="AE223" s="47">
        <v>0</v>
      </c>
      <c r="AF223" s="47">
        <v>0</v>
      </c>
      <c r="AG223" s="47">
        <v>0</v>
      </c>
      <c r="AH223" s="47">
        <v>0</v>
      </c>
      <c r="AI223" s="47">
        <v>0</v>
      </c>
      <c r="AJ223" s="47">
        <v>0</v>
      </c>
      <c r="AK223" s="47">
        <v>0</v>
      </c>
      <c r="AL223" s="47">
        <v>0</v>
      </c>
      <c r="AM223" s="47">
        <v>0</v>
      </c>
      <c r="AN223" s="47">
        <v>0</v>
      </c>
      <c r="AO223" s="47">
        <v>0</v>
      </c>
      <c r="AP223" s="47">
        <v>0</v>
      </c>
      <c r="AQ223" s="47">
        <v>0</v>
      </c>
      <c r="AR223" s="47">
        <v>0</v>
      </c>
      <c r="AS223" s="47">
        <v>0</v>
      </c>
      <c r="AT223" s="47">
        <v>0</v>
      </c>
      <c r="AU223" s="47">
        <v>0</v>
      </c>
      <c r="AV223" s="47">
        <v>0</v>
      </c>
      <c r="AW223" s="47">
        <v>0</v>
      </c>
      <c r="AX223" s="47">
        <v>0</v>
      </c>
      <c r="AY223" s="47">
        <v>0</v>
      </c>
      <c r="AZ223" s="47">
        <v>0</v>
      </c>
      <c r="BA223" s="47">
        <v>0</v>
      </c>
      <c r="BB223" s="47">
        <v>0</v>
      </c>
      <c r="BC223" s="47">
        <v>0</v>
      </c>
      <c r="BD223" s="47">
        <v>0</v>
      </c>
      <c r="BE223" s="47">
        <v>0</v>
      </c>
      <c r="BF223" s="47">
        <v>0</v>
      </c>
      <c r="BG223" s="47">
        <v>0</v>
      </c>
      <c r="BH223" s="47">
        <v>0</v>
      </c>
      <c r="BI223" s="47">
        <v>0</v>
      </c>
      <c r="BJ223" s="47">
        <v>0</v>
      </c>
      <c r="BK223" s="47">
        <v>0</v>
      </c>
      <c r="BL223" s="47">
        <v>0</v>
      </c>
      <c r="BM223" s="47">
        <v>0</v>
      </c>
      <c r="BN223" s="47">
        <v>0</v>
      </c>
      <c r="BO223" s="47">
        <v>0</v>
      </c>
      <c r="BP223" s="47">
        <v>0</v>
      </c>
      <c r="BQ223" s="47">
        <v>0</v>
      </c>
      <c r="BR223" s="47">
        <v>0</v>
      </c>
      <c r="BS223" s="47">
        <v>0</v>
      </c>
      <c r="BT223" s="47">
        <v>0</v>
      </c>
      <c r="BU223" s="47">
        <v>0</v>
      </c>
      <c r="BV223" s="47">
        <v>0</v>
      </c>
      <c r="BW223" s="47">
        <v>0</v>
      </c>
      <c r="BX223" s="47">
        <v>0</v>
      </c>
      <c r="BY223" s="47">
        <v>0</v>
      </c>
      <c r="BZ223" s="47">
        <v>0</v>
      </c>
      <c r="CA223" s="47">
        <v>0</v>
      </c>
      <c r="CB223" s="47">
        <v>0</v>
      </c>
      <c r="CC223" s="47">
        <v>0</v>
      </c>
      <c r="CD223" s="47">
        <v>0</v>
      </c>
      <c r="CE223" s="47">
        <v>0</v>
      </c>
      <c r="CF223" s="47">
        <v>0</v>
      </c>
      <c r="CG223" s="47">
        <v>0</v>
      </c>
      <c r="CH223" s="47">
        <v>0</v>
      </c>
      <c r="CI223" s="47">
        <v>0</v>
      </c>
      <c r="CJ223" s="47">
        <v>0</v>
      </c>
      <c r="CK223" s="47">
        <v>0</v>
      </c>
      <c r="CL223" s="47">
        <v>0</v>
      </c>
      <c r="CM223" s="47">
        <v>0</v>
      </c>
      <c r="CN223" s="47">
        <v>0</v>
      </c>
      <c r="CO223" s="47">
        <v>0</v>
      </c>
      <c r="CP223" s="47">
        <v>0</v>
      </c>
      <c r="CQ223" s="47">
        <v>0</v>
      </c>
      <c r="CR223" s="47">
        <v>0</v>
      </c>
      <c r="CS223" s="47">
        <v>0</v>
      </c>
      <c r="CT223" s="47">
        <v>0</v>
      </c>
      <c r="CU223" s="47">
        <v>0</v>
      </c>
      <c r="CV223" s="47">
        <v>0</v>
      </c>
      <c r="CW223" s="47">
        <v>0</v>
      </c>
      <c r="CX223" s="47">
        <v>0</v>
      </c>
      <c r="CY223" s="47">
        <v>0</v>
      </c>
      <c r="CZ223" s="47">
        <v>0</v>
      </c>
      <c r="DA223" s="47">
        <v>0</v>
      </c>
      <c r="DB223" s="47">
        <v>0</v>
      </c>
      <c r="DC223" s="47">
        <v>0</v>
      </c>
      <c r="DD223" s="47">
        <v>0</v>
      </c>
      <c r="DE223" s="47">
        <v>0</v>
      </c>
      <c r="DF223" s="47">
        <v>0</v>
      </c>
      <c r="DG223" s="47">
        <v>0</v>
      </c>
      <c r="DH223" s="47">
        <v>0</v>
      </c>
      <c r="DI223" s="47">
        <v>0</v>
      </c>
      <c r="DJ223" s="47">
        <v>0</v>
      </c>
      <c r="DK223" s="47">
        <v>0</v>
      </c>
      <c r="DL223" s="47">
        <v>0</v>
      </c>
      <c r="DM223" s="47">
        <v>0</v>
      </c>
      <c r="DN223" s="47">
        <v>0</v>
      </c>
      <c r="DO223" s="47">
        <v>0</v>
      </c>
      <c r="DP223" s="47">
        <v>0</v>
      </c>
      <c r="DQ223" s="47">
        <v>0</v>
      </c>
      <c r="DR223" s="47">
        <v>0</v>
      </c>
      <c r="DS223" s="47">
        <v>0</v>
      </c>
      <c r="DT223" s="47">
        <v>0</v>
      </c>
      <c r="DU223" s="47">
        <v>0</v>
      </c>
      <c r="DV223" s="47">
        <v>0</v>
      </c>
      <c r="DW223" s="47">
        <v>0</v>
      </c>
      <c r="DX223" s="47">
        <v>0</v>
      </c>
      <c r="DY223" s="47">
        <v>0</v>
      </c>
      <c r="DZ223" s="47">
        <v>0</v>
      </c>
      <c r="EA223" s="47">
        <v>0</v>
      </c>
      <c r="EB223" s="47"/>
      <c r="EC223" s="47">
        <v>1</v>
      </c>
      <c r="ZZ223" t="s">
        <v>2472</v>
      </c>
    </row>
    <row r="224" spans="1:702" x14ac:dyDescent="0.25">
      <c r="A224" s="47" t="s">
        <v>1142</v>
      </c>
      <c r="B224" s="47" t="s">
        <v>153</v>
      </c>
      <c r="C224" s="47" t="s">
        <v>157</v>
      </c>
      <c r="D224" s="47" t="s">
        <v>2704</v>
      </c>
      <c r="E224" s="47" t="s">
        <v>1143</v>
      </c>
      <c r="F224" s="47" t="s">
        <v>1144</v>
      </c>
      <c r="G224" s="47" t="s">
        <v>1145</v>
      </c>
      <c r="H224" s="47" t="s">
        <v>698</v>
      </c>
      <c r="I224" s="47" t="s">
        <v>727</v>
      </c>
      <c r="J224" s="47" t="str">
        <f>=IFERROR(VLOOKUP(H224&amp;I224,Table_Fonctions!A:G,6,FALSE),"")</f>
        <v>0</v>
      </c>
      <c r="K224" s="47" t="s">
        <v>2607</v>
      </c>
      <c r="L224" s="47" t="str">
        <f>=IFERROR(VLOOKUP(H224&amp;I224,Table_Fonctions!A:G,7,FALSE),K224)</f>
        <v/>
      </c>
      <c r="M224" s="47" t="str">
        <f>=IF(OR(LEFT(D224, 3)="TJ ", LEFT(D224, 4)="CPH "), "OUI", "NON")</f>
        <v/>
      </c>
      <c r="N224" s="47" t="s">
        <v>728</v>
      </c>
      <c r="O224" s="47"/>
      <c r="P224" s="47">
        <v>1</v>
      </c>
      <c r="Q224" s="47">
        <v>1</v>
      </c>
      <c r="R224" s="47">
        <v>0</v>
      </c>
      <c r="S224" s="47">
        <f>=ROUND(BQ224-(BR224+BS224),3)</f>
      </c>
      <c r="T224" s="47">
        <f>=ROUND(CK224-(CL224+CM224+CN224+CO224+CP224),3)</f>
      </c>
      <c r="U224" s="47">
        <v>0</v>
      </c>
      <c r="V224" s="47">
        <v>0</v>
      </c>
      <c r="W224" s="47">
        <v>0</v>
      </c>
      <c r="X224" s="47">
        <v>0</v>
      </c>
      <c r="Y224" s="47">
        <v>0</v>
      </c>
      <c r="Z224" s="47">
        <v>0</v>
      </c>
      <c r="AA224" s="47">
        <v>0</v>
      </c>
      <c r="AB224" s="47">
        <v>0</v>
      </c>
      <c r="AC224" s="47">
        <v>0</v>
      </c>
      <c r="AD224" s="47">
        <v>0</v>
      </c>
      <c r="AE224" s="47">
        <v>0</v>
      </c>
      <c r="AF224" s="47">
        <v>0</v>
      </c>
      <c r="AG224" s="47">
        <v>0</v>
      </c>
      <c r="AH224" s="47">
        <v>0</v>
      </c>
      <c r="AI224" s="47">
        <v>0</v>
      </c>
      <c r="AJ224" s="47">
        <v>0</v>
      </c>
      <c r="AK224" s="47">
        <v>0</v>
      </c>
      <c r="AL224" s="47">
        <v>0</v>
      </c>
      <c r="AM224" s="47">
        <v>0</v>
      </c>
      <c r="AN224" s="47">
        <v>0</v>
      </c>
      <c r="AO224" s="47">
        <v>0</v>
      </c>
      <c r="AP224" s="47">
        <v>0</v>
      </c>
      <c r="AQ224" s="47">
        <v>0</v>
      </c>
      <c r="AR224" s="47">
        <v>0</v>
      </c>
      <c r="AS224" s="47">
        <v>0</v>
      </c>
      <c r="AT224" s="47">
        <v>0</v>
      </c>
      <c r="AU224" s="47">
        <v>0</v>
      </c>
      <c r="AV224" s="47">
        <v>0</v>
      </c>
      <c r="AW224" s="47">
        <v>0</v>
      </c>
      <c r="AX224" s="47">
        <v>0</v>
      </c>
      <c r="AY224" s="47">
        <v>0</v>
      </c>
      <c r="AZ224" s="47">
        <v>0</v>
      </c>
      <c r="BA224" s="47">
        <v>0</v>
      </c>
      <c r="BB224" s="47">
        <v>0</v>
      </c>
      <c r="BC224" s="47">
        <v>0</v>
      </c>
      <c r="BD224" s="47">
        <v>0</v>
      </c>
      <c r="BE224" s="47">
        <v>0</v>
      </c>
      <c r="BF224" s="47">
        <v>0</v>
      </c>
      <c r="BG224" s="47">
        <v>0</v>
      </c>
      <c r="BH224" s="47">
        <v>0</v>
      </c>
      <c r="BI224" s="47">
        <v>0</v>
      </c>
      <c r="BJ224" s="47">
        <v>0</v>
      </c>
      <c r="BK224" s="47">
        <v>0</v>
      </c>
      <c r="BL224" s="47">
        <v>0</v>
      </c>
      <c r="BM224" s="47">
        <v>1</v>
      </c>
      <c r="BN224" s="47">
        <v>0</v>
      </c>
      <c r="BO224" s="47">
        <v>0</v>
      </c>
      <c r="BP224" s="47">
        <v>0</v>
      </c>
      <c r="BQ224" s="47">
        <v>0</v>
      </c>
      <c r="BR224" s="47">
        <v>0</v>
      </c>
      <c r="BS224" s="47">
        <v>0</v>
      </c>
      <c r="BT224" s="47">
        <v>0</v>
      </c>
      <c r="BU224" s="47">
        <v>0</v>
      </c>
      <c r="BV224" s="47">
        <v>0</v>
      </c>
      <c r="BW224" s="47">
        <v>0</v>
      </c>
      <c r="BX224" s="47">
        <v>0</v>
      </c>
      <c r="BY224" s="47">
        <v>0</v>
      </c>
      <c r="BZ224" s="47">
        <v>0</v>
      </c>
      <c r="CA224" s="47">
        <v>0</v>
      </c>
      <c r="CB224" s="47">
        <v>0</v>
      </c>
      <c r="CC224" s="47">
        <v>0</v>
      </c>
      <c r="CD224" s="47">
        <v>0</v>
      </c>
      <c r="CE224" s="47">
        <v>0</v>
      </c>
      <c r="CF224" s="47">
        <v>0</v>
      </c>
      <c r="CG224" s="47">
        <v>0</v>
      </c>
      <c r="CH224" s="47">
        <v>0</v>
      </c>
      <c r="CI224" s="47">
        <v>0</v>
      </c>
      <c r="CJ224" s="47">
        <v>0</v>
      </c>
      <c r="CK224" s="47">
        <v>0</v>
      </c>
      <c r="CL224" s="47">
        <v>0</v>
      </c>
      <c r="CM224" s="47">
        <v>0</v>
      </c>
      <c r="CN224" s="47">
        <v>0</v>
      </c>
      <c r="CO224" s="47">
        <v>0</v>
      </c>
      <c r="CP224" s="47">
        <v>0</v>
      </c>
      <c r="CQ224" s="47">
        <v>0</v>
      </c>
      <c r="CR224" s="47">
        <v>0</v>
      </c>
      <c r="CS224" s="47">
        <v>0</v>
      </c>
      <c r="CT224" s="47">
        <v>0</v>
      </c>
      <c r="CU224" s="47">
        <v>0</v>
      </c>
      <c r="CV224" s="47">
        <v>0</v>
      </c>
      <c r="CW224" s="47">
        <v>0</v>
      </c>
      <c r="CX224" s="47">
        <v>0</v>
      </c>
      <c r="CY224" s="47">
        <v>0</v>
      </c>
      <c r="CZ224" s="47">
        <v>0</v>
      </c>
      <c r="DA224" s="47">
        <v>0</v>
      </c>
      <c r="DB224" s="47">
        <v>0</v>
      </c>
      <c r="DC224" s="47">
        <v>0</v>
      </c>
      <c r="DD224" s="47">
        <v>0</v>
      </c>
      <c r="DE224" s="47">
        <v>0</v>
      </c>
      <c r="DF224" s="47">
        <v>0</v>
      </c>
      <c r="DG224" s="47">
        <v>0</v>
      </c>
      <c r="DH224" s="47">
        <v>0</v>
      </c>
      <c r="DI224" s="47">
        <v>0</v>
      </c>
      <c r="DJ224" s="47">
        <v>0</v>
      </c>
      <c r="DK224" s="47">
        <v>0</v>
      </c>
      <c r="DL224" s="47">
        <v>0</v>
      </c>
      <c r="DM224" s="47">
        <v>0</v>
      </c>
      <c r="DN224" s="47">
        <v>0</v>
      </c>
      <c r="DO224" s="47">
        <v>0</v>
      </c>
      <c r="DP224" s="47">
        <v>0</v>
      </c>
      <c r="DQ224" s="47">
        <v>0</v>
      </c>
      <c r="DR224" s="47">
        <v>0</v>
      </c>
      <c r="DS224" s="47">
        <v>0</v>
      </c>
      <c r="DT224" s="47">
        <v>0</v>
      </c>
      <c r="DU224" s="47">
        <v>0</v>
      </c>
      <c r="DV224" s="47">
        <v>0</v>
      </c>
      <c r="DW224" s="47">
        <v>0</v>
      </c>
      <c r="DX224" s="47">
        <v>0</v>
      </c>
      <c r="DY224" s="47">
        <v>0</v>
      </c>
      <c r="DZ224" s="47">
        <v>0</v>
      </c>
      <c r="EA224" s="47">
        <v>0</v>
      </c>
      <c r="EB224" s="47"/>
      <c r="EC224" s="47">
        <v>1</v>
      </c>
      <c r="ZZ224" t="s">
        <v>2472</v>
      </c>
    </row>
    <row r="225" spans="1:702" x14ac:dyDescent="0.25">
      <c r="A225" s="47" t="s">
        <v>1146</v>
      </c>
      <c r="B225" s="47" t="s">
        <v>153</v>
      </c>
      <c r="C225" s="47" t="s">
        <v>157</v>
      </c>
      <c r="D225" s="47" t="s">
        <v>2705</v>
      </c>
      <c r="E225" s="47" t="s">
        <v>1147</v>
      </c>
      <c r="F225" s="47" t="s">
        <v>1148</v>
      </c>
      <c r="G225" s="47" t="s">
        <v>1149</v>
      </c>
      <c r="H225" s="47" t="s">
        <v>698</v>
      </c>
      <c r="I225" s="47" t="s">
        <v>727</v>
      </c>
      <c r="J225" s="47" t="str">
        <f>=IFERROR(VLOOKUP(H225&amp;I225,Table_Fonctions!A:G,6,FALSE),"")</f>
        <v>0</v>
      </c>
      <c r="K225" s="47" t="s">
        <v>2607</v>
      </c>
      <c r="L225" s="47" t="str">
        <f>=IFERROR(VLOOKUP(H225&amp;I225,Table_Fonctions!A:G,7,FALSE),K225)</f>
        <v/>
      </c>
      <c r="M225" s="47" t="str">
        <f>=IF(OR(LEFT(D225, 3)="TJ ", LEFT(D225, 4)="CPH "), "OUI", "NON")</f>
        <v/>
      </c>
      <c r="N225" s="47" t="s">
        <v>1150</v>
      </c>
      <c r="O225" s="47"/>
      <c r="P225" s="47">
        <v>1</v>
      </c>
      <c r="Q225" s="47">
        <v>1</v>
      </c>
      <c r="R225" s="47">
        <v>0</v>
      </c>
      <c r="S225" s="47">
        <f>=ROUND(BQ225-(BR225+BS225),3)</f>
      </c>
      <c r="T225" s="47">
        <f>=ROUND(CK225-(CL225+CM225+CN225+CO225+CP225),3)</f>
      </c>
      <c r="U225" s="47">
        <v>0</v>
      </c>
      <c r="V225" s="47">
        <v>0</v>
      </c>
      <c r="W225" s="47">
        <v>0</v>
      </c>
      <c r="X225" s="47">
        <v>0</v>
      </c>
      <c r="Y225" s="47">
        <v>0</v>
      </c>
      <c r="Z225" s="47">
        <v>0</v>
      </c>
      <c r="AA225" s="47">
        <v>0</v>
      </c>
      <c r="AB225" s="47">
        <v>0</v>
      </c>
      <c r="AC225" s="47">
        <v>0</v>
      </c>
      <c r="AD225" s="47">
        <v>0</v>
      </c>
      <c r="AE225" s="47">
        <v>0</v>
      </c>
      <c r="AF225" s="47">
        <v>0</v>
      </c>
      <c r="AG225" s="47">
        <v>0</v>
      </c>
      <c r="AH225" s="47">
        <v>0</v>
      </c>
      <c r="AI225" s="47">
        <v>0</v>
      </c>
      <c r="AJ225" s="47">
        <v>0</v>
      </c>
      <c r="AK225" s="47">
        <v>0</v>
      </c>
      <c r="AL225" s="47">
        <v>0</v>
      </c>
      <c r="AM225" s="47">
        <v>0</v>
      </c>
      <c r="AN225" s="47">
        <v>0</v>
      </c>
      <c r="AO225" s="47">
        <v>0</v>
      </c>
      <c r="AP225" s="47">
        <v>0</v>
      </c>
      <c r="AQ225" s="47">
        <v>0</v>
      </c>
      <c r="AR225" s="47">
        <v>0</v>
      </c>
      <c r="AS225" s="47">
        <v>1</v>
      </c>
      <c r="AT225" s="47">
        <v>0</v>
      </c>
      <c r="AU225" s="47">
        <v>0</v>
      </c>
      <c r="AV225" s="47">
        <v>0</v>
      </c>
      <c r="AW225" s="47">
        <v>0</v>
      </c>
      <c r="AX225" s="47">
        <v>0</v>
      </c>
      <c r="AY225" s="47">
        <v>0</v>
      </c>
      <c r="AZ225" s="47">
        <v>0</v>
      </c>
      <c r="BA225" s="47">
        <v>0</v>
      </c>
      <c r="BB225" s="47">
        <v>0</v>
      </c>
      <c r="BC225" s="47">
        <v>0</v>
      </c>
      <c r="BD225" s="47">
        <v>0</v>
      </c>
      <c r="BE225" s="47">
        <v>0</v>
      </c>
      <c r="BF225" s="47">
        <v>0</v>
      </c>
      <c r="BG225" s="47">
        <v>0</v>
      </c>
      <c r="BH225" s="47">
        <v>0</v>
      </c>
      <c r="BI225" s="47">
        <v>0</v>
      </c>
      <c r="BJ225" s="47">
        <v>0</v>
      </c>
      <c r="BK225" s="47">
        <v>0</v>
      </c>
      <c r="BL225" s="47">
        <v>0</v>
      </c>
      <c r="BM225" s="47">
        <v>0</v>
      </c>
      <c r="BN225" s="47">
        <v>0</v>
      </c>
      <c r="BO225" s="47">
        <v>0</v>
      </c>
      <c r="BP225" s="47">
        <v>0</v>
      </c>
      <c r="BQ225" s="47">
        <v>0</v>
      </c>
      <c r="BR225" s="47">
        <v>0</v>
      </c>
      <c r="BS225" s="47">
        <v>0</v>
      </c>
      <c r="BT225" s="47">
        <v>0</v>
      </c>
      <c r="BU225" s="47">
        <v>0</v>
      </c>
      <c r="BV225" s="47">
        <v>0</v>
      </c>
      <c r="BW225" s="47">
        <v>0</v>
      </c>
      <c r="BX225" s="47">
        <v>0</v>
      </c>
      <c r="BY225" s="47">
        <v>0</v>
      </c>
      <c r="BZ225" s="47">
        <v>0</v>
      </c>
      <c r="CA225" s="47">
        <v>0</v>
      </c>
      <c r="CB225" s="47">
        <v>0</v>
      </c>
      <c r="CC225" s="47">
        <v>0</v>
      </c>
      <c r="CD225" s="47">
        <v>0</v>
      </c>
      <c r="CE225" s="47">
        <v>0</v>
      </c>
      <c r="CF225" s="47">
        <v>0</v>
      </c>
      <c r="CG225" s="47">
        <v>0</v>
      </c>
      <c r="CH225" s="47">
        <v>0</v>
      </c>
      <c r="CI225" s="47">
        <v>0</v>
      </c>
      <c r="CJ225" s="47">
        <v>0</v>
      </c>
      <c r="CK225" s="47">
        <v>0</v>
      </c>
      <c r="CL225" s="47">
        <v>0</v>
      </c>
      <c r="CM225" s="47">
        <v>0</v>
      </c>
      <c r="CN225" s="47">
        <v>0</v>
      </c>
      <c r="CO225" s="47">
        <v>0</v>
      </c>
      <c r="CP225" s="47">
        <v>0</v>
      </c>
      <c r="CQ225" s="47">
        <v>0</v>
      </c>
      <c r="CR225" s="47">
        <v>0</v>
      </c>
      <c r="CS225" s="47">
        <v>0</v>
      </c>
      <c r="CT225" s="47">
        <v>0</v>
      </c>
      <c r="CU225" s="47">
        <v>0</v>
      </c>
      <c r="CV225" s="47">
        <v>0</v>
      </c>
      <c r="CW225" s="47">
        <v>0</v>
      </c>
      <c r="CX225" s="47">
        <v>0</v>
      </c>
      <c r="CY225" s="47">
        <v>0</v>
      </c>
      <c r="CZ225" s="47">
        <v>0</v>
      </c>
      <c r="DA225" s="47">
        <v>0</v>
      </c>
      <c r="DB225" s="47">
        <v>0</v>
      </c>
      <c r="DC225" s="47">
        <v>0</v>
      </c>
      <c r="DD225" s="47">
        <v>0</v>
      </c>
      <c r="DE225" s="47">
        <v>0</v>
      </c>
      <c r="DF225" s="47">
        <v>0</v>
      </c>
      <c r="DG225" s="47">
        <v>0</v>
      </c>
      <c r="DH225" s="47">
        <v>0</v>
      </c>
      <c r="DI225" s="47">
        <v>0</v>
      </c>
      <c r="DJ225" s="47">
        <v>0</v>
      </c>
      <c r="DK225" s="47">
        <v>0</v>
      </c>
      <c r="DL225" s="47">
        <v>0</v>
      </c>
      <c r="DM225" s="47">
        <v>0</v>
      </c>
      <c r="DN225" s="47">
        <v>0</v>
      </c>
      <c r="DO225" s="47">
        <v>0</v>
      </c>
      <c r="DP225" s="47">
        <v>0</v>
      </c>
      <c r="DQ225" s="47">
        <v>0</v>
      </c>
      <c r="DR225" s="47">
        <v>0</v>
      </c>
      <c r="DS225" s="47">
        <v>0</v>
      </c>
      <c r="DT225" s="47">
        <v>0</v>
      </c>
      <c r="DU225" s="47">
        <v>0</v>
      </c>
      <c r="DV225" s="47">
        <v>0</v>
      </c>
      <c r="DW225" s="47">
        <v>0</v>
      </c>
      <c r="DX225" s="47">
        <v>0</v>
      </c>
      <c r="DY225" s="47">
        <v>0</v>
      </c>
      <c r="DZ225" s="47">
        <v>0</v>
      </c>
      <c r="EA225" s="47">
        <v>0</v>
      </c>
      <c r="EB225" s="47"/>
      <c r="EC225" s="47">
        <v>1</v>
      </c>
      <c r="ZZ225" t="s">
        <v>2472</v>
      </c>
    </row>
    <row r="226" spans="1:702" x14ac:dyDescent="0.25">
      <c r="A226" s="47" t="s">
        <v>1151</v>
      </c>
      <c r="B226" s="47" t="s">
        <v>153</v>
      </c>
      <c r="C226" s="47" t="s">
        <v>157</v>
      </c>
      <c r="D226" s="47" t="s">
        <v>2706</v>
      </c>
      <c r="E226" s="47" t="s">
        <v>1152</v>
      </c>
      <c r="F226" s="47" t="s">
        <v>1153</v>
      </c>
      <c r="G226" s="47" t="s">
        <v>1154</v>
      </c>
      <c r="H226" s="47" t="s">
        <v>698</v>
      </c>
      <c r="I226" s="47" t="s">
        <v>705</v>
      </c>
      <c r="J226" s="47" t="str">
        <f>=IFERROR(VLOOKUP(H226&amp;I226,Table_Fonctions!A:G,6,FALSE),"")</f>
        <v>0</v>
      </c>
      <c r="K226" s="47" t="s">
        <v>2607</v>
      </c>
      <c r="L226" s="47" t="str">
        <f>=IFERROR(VLOOKUP(H226&amp;I226,Table_Fonctions!A:G,7,FALSE),K226)</f>
        <v/>
      </c>
      <c r="M226" s="47" t="str">
        <f>=IF(OR(LEFT(D226, 3)="TJ ", LEFT(D226, 4)="CPH "), "OUI", "NON")</f>
        <v/>
      </c>
      <c r="N226" s="47" t="s">
        <v>1155</v>
      </c>
      <c r="O226" s="47"/>
      <c r="P226" s="47">
        <v>0.8</v>
      </c>
      <c r="Q226" s="47">
        <v>0</v>
      </c>
      <c r="R226" s="47">
        <v>0.8</v>
      </c>
      <c r="S226" s="47">
        <f>=ROUND(BQ226-(BR226+BS226),3)</f>
      </c>
      <c r="T226" s="47">
        <f>=ROUND(CK226-(CL226+CM226+CN226+CO226+CP226),3)</f>
      </c>
      <c r="U226" s="47">
        <v>0</v>
      </c>
      <c r="V226" s="47">
        <v>0</v>
      </c>
      <c r="W226" s="47">
        <v>0</v>
      </c>
      <c r="X226" s="47">
        <v>0</v>
      </c>
      <c r="Y226" s="47">
        <v>0</v>
      </c>
      <c r="Z226" s="47">
        <v>0</v>
      </c>
      <c r="AA226" s="47">
        <v>0</v>
      </c>
      <c r="AB226" s="47">
        <v>0</v>
      </c>
      <c r="AC226" s="47">
        <v>0</v>
      </c>
      <c r="AD226" s="47">
        <v>0</v>
      </c>
      <c r="AE226" s="47">
        <v>0</v>
      </c>
      <c r="AF226" s="47">
        <v>0</v>
      </c>
      <c r="AG226" s="47">
        <v>0</v>
      </c>
      <c r="AH226" s="47">
        <v>0</v>
      </c>
      <c r="AI226" s="47">
        <v>0</v>
      </c>
      <c r="AJ226" s="47">
        <v>0</v>
      </c>
      <c r="AK226" s="47">
        <v>0</v>
      </c>
      <c r="AL226" s="47">
        <v>0</v>
      </c>
      <c r="AM226" s="47">
        <v>0</v>
      </c>
      <c r="AN226" s="47">
        <v>0</v>
      </c>
      <c r="AO226" s="47">
        <v>0</v>
      </c>
      <c r="AP226" s="47">
        <v>0</v>
      </c>
      <c r="AQ226" s="47">
        <v>0</v>
      </c>
      <c r="AR226" s="47">
        <v>0</v>
      </c>
      <c r="AS226" s="47">
        <v>0</v>
      </c>
      <c r="AT226" s="47">
        <v>0</v>
      </c>
      <c r="AU226" s="47">
        <v>0</v>
      </c>
      <c r="AV226" s="47">
        <v>0</v>
      </c>
      <c r="AW226" s="47">
        <v>0</v>
      </c>
      <c r="AX226" s="47">
        <v>0</v>
      </c>
      <c r="AY226" s="47">
        <v>0</v>
      </c>
      <c r="AZ226" s="47">
        <v>0</v>
      </c>
      <c r="BA226" s="47">
        <v>0</v>
      </c>
      <c r="BB226" s="47">
        <v>0</v>
      </c>
      <c r="BC226" s="47">
        <v>0</v>
      </c>
      <c r="BD226" s="47">
        <v>0</v>
      </c>
      <c r="BE226" s="47">
        <v>0</v>
      </c>
      <c r="BF226" s="47">
        <v>0</v>
      </c>
      <c r="BG226" s="47">
        <v>0</v>
      </c>
      <c r="BH226" s="47">
        <v>0</v>
      </c>
      <c r="BI226" s="47">
        <v>0</v>
      </c>
      <c r="BJ226" s="47">
        <v>0</v>
      </c>
      <c r="BK226" s="47">
        <v>0</v>
      </c>
      <c r="BL226" s="47">
        <v>0</v>
      </c>
      <c r="BM226" s="47">
        <v>0</v>
      </c>
      <c r="BN226" s="47">
        <v>0</v>
      </c>
      <c r="BO226" s="47">
        <v>0</v>
      </c>
      <c r="BP226" s="47">
        <v>0</v>
      </c>
      <c r="BQ226" s="47">
        <v>0</v>
      </c>
      <c r="BR226" s="47">
        <v>0</v>
      </c>
      <c r="BS226" s="47">
        <v>0</v>
      </c>
      <c r="BT226" s="47">
        <v>0</v>
      </c>
      <c r="BU226" s="47">
        <v>0</v>
      </c>
      <c r="BV226" s="47">
        <v>0</v>
      </c>
      <c r="BW226" s="47">
        <v>0</v>
      </c>
      <c r="BX226" s="47">
        <v>0</v>
      </c>
      <c r="BY226" s="47">
        <v>0</v>
      </c>
      <c r="BZ226" s="47">
        <v>0</v>
      </c>
      <c r="CA226" s="47">
        <v>0</v>
      </c>
      <c r="CB226" s="47">
        <v>0</v>
      </c>
      <c r="CC226" s="47">
        <v>0</v>
      </c>
      <c r="CD226" s="47">
        <v>0</v>
      </c>
      <c r="CE226" s="47">
        <v>0</v>
      </c>
      <c r="CF226" s="47">
        <v>0</v>
      </c>
      <c r="CG226" s="47">
        <v>0</v>
      </c>
      <c r="CH226" s="47">
        <v>0</v>
      </c>
      <c r="CI226" s="47">
        <v>0</v>
      </c>
      <c r="CJ226" s="47">
        <v>0</v>
      </c>
      <c r="CK226" s="47">
        <v>0</v>
      </c>
      <c r="CL226" s="47">
        <v>0</v>
      </c>
      <c r="CM226" s="47">
        <v>0</v>
      </c>
      <c r="CN226" s="47">
        <v>0</v>
      </c>
      <c r="CO226" s="47">
        <v>0</v>
      </c>
      <c r="CP226" s="47">
        <v>0</v>
      </c>
      <c r="CQ226" s="47">
        <v>0</v>
      </c>
      <c r="CR226" s="47">
        <v>0</v>
      </c>
      <c r="CS226" s="47">
        <v>0</v>
      </c>
      <c r="CT226" s="47">
        <v>0</v>
      </c>
      <c r="CU226" s="47">
        <v>0</v>
      </c>
      <c r="CV226" s="47">
        <v>0</v>
      </c>
      <c r="CW226" s="47">
        <v>0</v>
      </c>
      <c r="CX226" s="47">
        <v>0</v>
      </c>
      <c r="CY226" s="47">
        <v>0</v>
      </c>
      <c r="CZ226" s="47">
        <v>0</v>
      </c>
      <c r="DA226" s="47">
        <v>0</v>
      </c>
      <c r="DB226" s="47">
        <v>0</v>
      </c>
      <c r="DC226" s="47">
        <v>0</v>
      </c>
      <c r="DD226" s="47">
        <v>0</v>
      </c>
      <c r="DE226" s="47">
        <v>0</v>
      </c>
      <c r="DF226" s="47">
        <v>0</v>
      </c>
      <c r="DG226" s="47">
        <v>0</v>
      </c>
      <c r="DH226" s="47">
        <v>0</v>
      </c>
      <c r="DI226" s="47">
        <v>0</v>
      </c>
      <c r="DJ226" s="47">
        <v>0</v>
      </c>
      <c r="DK226" s="47">
        <v>0</v>
      </c>
      <c r="DL226" s="47">
        <v>0</v>
      </c>
      <c r="DM226" s="47">
        <v>0</v>
      </c>
      <c r="DN226" s="47">
        <v>0</v>
      </c>
      <c r="DO226" s="47">
        <v>0</v>
      </c>
      <c r="DP226" s="47">
        <v>0</v>
      </c>
      <c r="DQ226" s="47">
        <v>0</v>
      </c>
      <c r="DR226" s="47">
        <v>0</v>
      </c>
      <c r="DS226" s="47">
        <v>0</v>
      </c>
      <c r="DT226" s="47">
        <v>0</v>
      </c>
      <c r="DU226" s="47">
        <v>0</v>
      </c>
      <c r="DV226" s="47">
        <v>0</v>
      </c>
      <c r="DW226" s="47">
        <v>0</v>
      </c>
      <c r="DX226" s="47">
        <v>0</v>
      </c>
      <c r="DY226" s="47">
        <v>0</v>
      </c>
      <c r="DZ226" s="47">
        <v>0</v>
      </c>
      <c r="EA226" s="47">
        <v>0</v>
      </c>
      <c r="EB226" s="47"/>
      <c r="EC226" s="47">
        <v>0.8</v>
      </c>
      <c r="ZZ226" t="s">
        <v>2472</v>
      </c>
    </row>
    <row r="227" spans="1:702" x14ac:dyDescent="0.25">
      <c r="A227" s="47" t="s">
        <v>1156</v>
      </c>
      <c r="B227" s="47" t="s">
        <v>153</v>
      </c>
      <c r="C227" s="47" t="s">
        <v>157</v>
      </c>
      <c r="D227" s="47" t="s">
        <v>2707</v>
      </c>
      <c r="E227" s="47" t="s">
        <v>1157</v>
      </c>
      <c r="F227" s="47" t="s">
        <v>1158</v>
      </c>
      <c r="G227" s="47" t="s">
        <v>1159</v>
      </c>
      <c r="H227" s="47" t="s">
        <v>698</v>
      </c>
      <c r="I227" s="47" t="s">
        <v>727</v>
      </c>
      <c r="J227" s="47" t="str">
        <f>=IFERROR(VLOOKUP(H227&amp;I227,Table_Fonctions!A:G,6,FALSE),"")</f>
        <v>0</v>
      </c>
      <c r="K227" s="47" t="s">
        <v>2607</v>
      </c>
      <c r="L227" s="47" t="str">
        <f>=IFERROR(VLOOKUP(H227&amp;I227,Table_Fonctions!A:G,7,FALSE),K227)</f>
        <v/>
      </c>
      <c r="M227" s="47" t="str">
        <f>=IF(OR(LEFT(D227, 3)="TJ ", LEFT(D227, 4)="CPH "), "OUI", "NON")</f>
        <v/>
      </c>
      <c r="N227" s="47" t="s">
        <v>1118</v>
      </c>
      <c r="O227" s="47"/>
      <c r="P227" s="47">
        <v>1</v>
      </c>
      <c r="Q227" s="47">
        <v>1</v>
      </c>
      <c r="R227" s="47">
        <v>0</v>
      </c>
      <c r="S227" s="47">
        <f>=ROUND(BQ227-(BR227+BS227),3)</f>
      </c>
      <c r="T227" s="47">
        <f>=ROUND(CK227-(CL227+CM227+CN227+CO227+CP227),3)</f>
      </c>
      <c r="U227" s="47">
        <v>0</v>
      </c>
      <c r="V227" s="47">
        <v>0</v>
      </c>
      <c r="W227" s="47">
        <v>0</v>
      </c>
      <c r="X227" s="47">
        <v>0</v>
      </c>
      <c r="Y227" s="47">
        <v>0</v>
      </c>
      <c r="Z227" s="47">
        <v>0</v>
      </c>
      <c r="AA227" s="47">
        <v>0</v>
      </c>
      <c r="AB227" s="47">
        <v>0</v>
      </c>
      <c r="AC227" s="47">
        <v>0</v>
      </c>
      <c r="AD227" s="47">
        <v>0</v>
      </c>
      <c r="AE227" s="47">
        <v>0</v>
      </c>
      <c r="AF227" s="47">
        <v>0</v>
      </c>
      <c r="AG227" s="47">
        <v>0</v>
      </c>
      <c r="AH227" s="47">
        <v>0</v>
      </c>
      <c r="AI227" s="47">
        <v>0</v>
      </c>
      <c r="AJ227" s="47">
        <v>0</v>
      </c>
      <c r="AK227" s="47">
        <v>0</v>
      </c>
      <c r="AL227" s="47">
        <v>0</v>
      </c>
      <c r="AM227" s="47">
        <v>0</v>
      </c>
      <c r="AN227" s="47">
        <v>0</v>
      </c>
      <c r="AO227" s="47">
        <v>0</v>
      </c>
      <c r="AP227" s="47">
        <v>0</v>
      </c>
      <c r="AQ227" s="47">
        <v>0</v>
      </c>
      <c r="AR227" s="47">
        <v>0</v>
      </c>
      <c r="AS227" s="47">
        <v>0</v>
      </c>
      <c r="AT227" s="47">
        <v>0</v>
      </c>
      <c r="AU227" s="47">
        <v>0</v>
      </c>
      <c r="AV227" s="47">
        <v>0</v>
      </c>
      <c r="AW227" s="47">
        <v>0</v>
      </c>
      <c r="AX227" s="47">
        <v>0</v>
      </c>
      <c r="AY227" s="47">
        <v>0</v>
      </c>
      <c r="AZ227" s="47">
        <v>0</v>
      </c>
      <c r="BA227" s="47">
        <v>0</v>
      </c>
      <c r="BB227" s="47">
        <v>0</v>
      </c>
      <c r="BC227" s="47">
        <v>0</v>
      </c>
      <c r="BD227" s="47">
        <v>0</v>
      </c>
      <c r="BE227" s="47">
        <v>0</v>
      </c>
      <c r="BF227" s="47">
        <v>0</v>
      </c>
      <c r="BG227" s="47">
        <v>0</v>
      </c>
      <c r="BH227" s="47">
        <v>0</v>
      </c>
      <c r="BI227" s="47">
        <v>0</v>
      </c>
      <c r="BJ227" s="47">
        <v>0</v>
      </c>
      <c r="BK227" s="47">
        <v>0</v>
      </c>
      <c r="BL227" s="47">
        <v>0</v>
      </c>
      <c r="BM227" s="47">
        <v>0</v>
      </c>
      <c r="BN227" s="47">
        <v>0</v>
      </c>
      <c r="BO227" s="47">
        <v>0</v>
      </c>
      <c r="BP227" s="47">
        <v>0</v>
      </c>
      <c r="BQ227" s="47">
        <v>0</v>
      </c>
      <c r="BR227" s="47">
        <v>0</v>
      </c>
      <c r="BS227" s="47">
        <v>0</v>
      </c>
      <c r="BT227" s="47">
        <v>0</v>
      </c>
      <c r="BU227" s="47">
        <v>0</v>
      </c>
      <c r="BV227" s="47">
        <v>0</v>
      </c>
      <c r="BW227" s="47">
        <v>0</v>
      </c>
      <c r="BX227" s="47">
        <v>0</v>
      </c>
      <c r="BY227" s="47">
        <v>0</v>
      </c>
      <c r="BZ227" s="47">
        <v>0</v>
      </c>
      <c r="CA227" s="47">
        <v>0</v>
      </c>
      <c r="CB227" s="47">
        <v>0</v>
      </c>
      <c r="CC227" s="47">
        <v>0</v>
      </c>
      <c r="CD227" s="47">
        <v>0</v>
      </c>
      <c r="CE227" s="47">
        <v>0</v>
      </c>
      <c r="CF227" s="47">
        <v>0</v>
      </c>
      <c r="CG227" s="47">
        <v>0</v>
      </c>
      <c r="CH227" s="47">
        <v>0</v>
      </c>
      <c r="CI227" s="47">
        <v>0</v>
      </c>
      <c r="CJ227" s="47">
        <v>0</v>
      </c>
      <c r="CK227" s="47">
        <v>0</v>
      </c>
      <c r="CL227" s="47">
        <v>0</v>
      </c>
      <c r="CM227" s="47">
        <v>0</v>
      </c>
      <c r="CN227" s="47">
        <v>0</v>
      </c>
      <c r="CO227" s="47">
        <v>0</v>
      </c>
      <c r="CP227" s="47">
        <v>0</v>
      </c>
      <c r="CQ227" s="47">
        <v>1</v>
      </c>
      <c r="CR227" s="47">
        <v>0</v>
      </c>
      <c r="CS227" s="47">
        <v>0</v>
      </c>
      <c r="CT227" s="47">
        <v>0</v>
      </c>
      <c r="CU227" s="47">
        <v>0</v>
      </c>
      <c r="CV227" s="47">
        <v>0</v>
      </c>
      <c r="CW227" s="47">
        <v>0</v>
      </c>
      <c r="CX227" s="47">
        <v>0</v>
      </c>
      <c r="CY227" s="47">
        <v>0</v>
      </c>
      <c r="CZ227" s="47">
        <v>0</v>
      </c>
      <c r="DA227" s="47">
        <v>0</v>
      </c>
      <c r="DB227" s="47">
        <v>0</v>
      </c>
      <c r="DC227" s="47">
        <v>0</v>
      </c>
      <c r="DD227" s="47">
        <v>0</v>
      </c>
      <c r="DE227" s="47">
        <v>0</v>
      </c>
      <c r="DF227" s="47">
        <v>0</v>
      </c>
      <c r="DG227" s="47">
        <v>0</v>
      </c>
      <c r="DH227" s="47">
        <v>0</v>
      </c>
      <c r="DI227" s="47">
        <v>0</v>
      </c>
      <c r="DJ227" s="47">
        <v>0</v>
      </c>
      <c r="DK227" s="47">
        <v>0</v>
      </c>
      <c r="DL227" s="47">
        <v>0</v>
      </c>
      <c r="DM227" s="47">
        <v>0</v>
      </c>
      <c r="DN227" s="47">
        <v>0</v>
      </c>
      <c r="DO227" s="47">
        <v>0</v>
      </c>
      <c r="DP227" s="47">
        <v>0</v>
      </c>
      <c r="DQ227" s="47">
        <v>0</v>
      </c>
      <c r="DR227" s="47">
        <v>0</v>
      </c>
      <c r="DS227" s="47">
        <v>0</v>
      </c>
      <c r="DT227" s="47">
        <v>0</v>
      </c>
      <c r="DU227" s="47">
        <v>0</v>
      </c>
      <c r="DV227" s="47">
        <v>0</v>
      </c>
      <c r="DW227" s="47">
        <v>0</v>
      </c>
      <c r="DX227" s="47">
        <v>0</v>
      </c>
      <c r="DY227" s="47">
        <v>0</v>
      </c>
      <c r="DZ227" s="47">
        <v>0</v>
      </c>
      <c r="EA227" s="47">
        <v>0</v>
      </c>
      <c r="EB227" s="47"/>
      <c r="EC227" s="47">
        <v>1</v>
      </c>
      <c r="ZZ227" t="s">
        <v>2472</v>
      </c>
    </row>
    <row r="228" spans="1:702" x14ac:dyDescent="0.25">
      <c r="A228" s="47" t="s">
        <v>1160</v>
      </c>
      <c r="B228" s="47" t="s">
        <v>153</v>
      </c>
      <c r="C228" s="47" t="s">
        <v>157</v>
      </c>
      <c r="D228" s="47" t="s">
        <v>2708</v>
      </c>
      <c r="E228" s="47" t="s">
        <v>1161</v>
      </c>
      <c r="F228" s="47" t="s">
        <v>1162</v>
      </c>
      <c r="G228" s="47" t="s">
        <v>1163</v>
      </c>
      <c r="H228" s="47" t="s">
        <v>698</v>
      </c>
      <c r="I228" s="47" t="s">
        <v>705</v>
      </c>
      <c r="J228" s="47" t="str">
        <f>=IFERROR(VLOOKUP(H228&amp;I228,Table_Fonctions!A:G,6,FALSE),"")</f>
        <v>0</v>
      </c>
      <c r="K228" s="47" t="s">
        <v>2607</v>
      </c>
      <c r="L228" s="47" t="str">
        <f>=IFERROR(VLOOKUP(H228&amp;I228,Table_Fonctions!A:G,7,FALSE),K228)</f>
        <v/>
      </c>
      <c r="M228" s="47" t="str">
        <f>=IF(OR(LEFT(D228, 3)="TJ ", LEFT(D228, 4)="CPH "), "OUI", "NON")</f>
        <v/>
      </c>
      <c r="N228" s="47" t="s">
        <v>1164</v>
      </c>
      <c r="O228" s="47"/>
      <c r="P228" s="47">
        <v>0.8</v>
      </c>
      <c r="Q228" s="47">
        <v>0</v>
      </c>
      <c r="R228" s="47">
        <v>0.8</v>
      </c>
      <c r="S228" s="47">
        <f>=ROUND(BQ228-(BR228+BS228),3)</f>
      </c>
      <c r="T228" s="47">
        <f>=ROUND(CK228-(CL228+CM228+CN228+CO228+CP228),3)</f>
      </c>
      <c r="U228" s="47">
        <v>0</v>
      </c>
      <c r="V228" s="47">
        <v>0</v>
      </c>
      <c r="W228" s="47">
        <v>0</v>
      </c>
      <c r="X228" s="47">
        <v>0</v>
      </c>
      <c r="Y228" s="47">
        <v>0</v>
      </c>
      <c r="Z228" s="47">
        <v>0</v>
      </c>
      <c r="AA228" s="47">
        <v>0</v>
      </c>
      <c r="AB228" s="47">
        <v>0</v>
      </c>
      <c r="AC228" s="47">
        <v>0</v>
      </c>
      <c r="AD228" s="47">
        <v>0</v>
      </c>
      <c r="AE228" s="47">
        <v>0</v>
      </c>
      <c r="AF228" s="47">
        <v>0</v>
      </c>
      <c r="AG228" s="47">
        <v>0</v>
      </c>
      <c r="AH228" s="47">
        <v>0</v>
      </c>
      <c r="AI228" s="47">
        <v>0</v>
      </c>
      <c r="AJ228" s="47">
        <v>0</v>
      </c>
      <c r="AK228" s="47">
        <v>0</v>
      </c>
      <c r="AL228" s="47">
        <v>0</v>
      </c>
      <c r="AM228" s="47">
        <v>0</v>
      </c>
      <c r="AN228" s="47">
        <v>0</v>
      </c>
      <c r="AO228" s="47">
        <v>0</v>
      </c>
      <c r="AP228" s="47">
        <v>0</v>
      </c>
      <c r="AQ228" s="47">
        <v>0</v>
      </c>
      <c r="AR228" s="47">
        <v>0</v>
      </c>
      <c r="AS228" s="47">
        <v>0</v>
      </c>
      <c r="AT228" s="47">
        <v>0</v>
      </c>
      <c r="AU228" s="47">
        <v>0</v>
      </c>
      <c r="AV228" s="47">
        <v>0</v>
      </c>
      <c r="AW228" s="47">
        <v>0</v>
      </c>
      <c r="AX228" s="47">
        <v>0</v>
      </c>
      <c r="AY228" s="47">
        <v>0</v>
      </c>
      <c r="AZ228" s="47">
        <v>0</v>
      </c>
      <c r="BA228" s="47">
        <v>0</v>
      </c>
      <c r="BB228" s="47">
        <v>0</v>
      </c>
      <c r="BC228" s="47">
        <v>0</v>
      </c>
      <c r="BD228" s="47">
        <v>0</v>
      </c>
      <c r="BE228" s="47">
        <v>0</v>
      </c>
      <c r="BF228" s="47">
        <v>0</v>
      </c>
      <c r="BG228" s="47">
        <v>0</v>
      </c>
      <c r="BH228" s="47">
        <v>0</v>
      </c>
      <c r="BI228" s="47">
        <v>0</v>
      </c>
      <c r="BJ228" s="47">
        <v>0</v>
      </c>
      <c r="BK228" s="47">
        <v>0</v>
      </c>
      <c r="BL228" s="47">
        <v>0</v>
      </c>
      <c r="BM228" s="47">
        <v>0</v>
      </c>
      <c r="BN228" s="47">
        <v>0</v>
      </c>
      <c r="BO228" s="47">
        <v>0</v>
      </c>
      <c r="BP228" s="47">
        <v>0</v>
      </c>
      <c r="BQ228" s="47">
        <v>0</v>
      </c>
      <c r="BR228" s="47">
        <v>0</v>
      </c>
      <c r="BS228" s="47">
        <v>0</v>
      </c>
      <c r="BT228" s="47">
        <v>0</v>
      </c>
      <c r="BU228" s="47">
        <v>0</v>
      </c>
      <c r="BV228" s="47">
        <v>0</v>
      </c>
      <c r="BW228" s="47">
        <v>0</v>
      </c>
      <c r="BX228" s="47">
        <v>0</v>
      </c>
      <c r="BY228" s="47">
        <v>0</v>
      </c>
      <c r="BZ228" s="47">
        <v>0</v>
      </c>
      <c r="CA228" s="47">
        <v>0</v>
      </c>
      <c r="CB228" s="47">
        <v>0</v>
      </c>
      <c r="CC228" s="47">
        <v>0</v>
      </c>
      <c r="CD228" s="47">
        <v>0</v>
      </c>
      <c r="CE228" s="47">
        <v>0</v>
      </c>
      <c r="CF228" s="47">
        <v>0</v>
      </c>
      <c r="CG228" s="47">
        <v>0</v>
      </c>
      <c r="CH228" s="47">
        <v>0</v>
      </c>
      <c r="CI228" s="47">
        <v>0</v>
      </c>
      <c r="CJ228" s="47">
        <v>0</v>
      </c>
      <c r="CK228" s="47">
        <v>0</v>
      </c>
      <c r="CL228" s="47">
        <v>0</v>
      </c>
      <c r="CM228" s="47">
        <v>0</v>
      </c>
      <c r="CN228" s="47">
        <v>0</v>
      </c>
      <c r="CO228" s="47">
        <v>0</v>
      </c>
      <c r="CP228" s="47">
        <v>0</v>
      </c>
      <c r="CQ228" s="47">
        <v>0</v>
      </c>
      <c r="CR228" s="47">
        <v>0</v>
      </c>
      <c r="CS228" s="47">
        <v>0</v>
      </c>
      <c r="CT228" s="47">
        <v>0</v>
      </c>
      <c r="CU228" s="47">
        <v>0</v>
      </c>
      <c r="CV228" s="47">
        <v>0</v>
      </c>
      <c r="CW228" s="47">
        <v>0</v>
      </c>
      <c r="CX228" s="47">
        <v>0</v>
      </c>
      <c r="CY228" s="47">
        <v>0</v>
      </c>
      <c r="CZ228" s="47">
        <v>0</v>
      </c>
      <c r="DA228" s="47">
        <v>0</v>
      </c>
      <c r="DB228" s="47">
        <v>0</v>
      </c>
      <c r="DC228" s="47">
        <v>0</v>
      </c>
      <c r="DD228" s="47">
        <v>0</v>
      </c>
      <c r="DE228" s="47">
        <v>0</v>
      </c>
      <c r="DF228" s="47">
        <v>0</v>
      </c>
      <c r="DG228" s="47">
        <v>0</v>
      </c>
      <c r="DH228" s="47">
        <v>0</v>
      </c>
      <c r="DI228" s="47">
        <v>0</v>
      </c>
      <c r="DJ228" s="47">
        <v>0</v>
      </c>
      <c r="DK228" s="47">
        <v>0</v>
      </c>
      <c r="DL228" s="47">
        <v>0</v>
      </c>
      <c r="DM228" s="47">
        <v>0</v>
      </c>
      <c r="DN228" s="47">
        <v>0</v>
      </c>
      <c r="DO228" s="47">
        <v>0</v>
      </c>
      <c r="DP228" s="47">
        <v>0</v>
      </c>
      <c r="DQ228" s="47">
        <v>0</v>
      </c>
      <c r="DR228" s="47">
        <v>0</v>
      </c>
      <c r="DS228" s="47">
        <v>0</v>
      </c>
      <c r="DT228" s="47">
        <v>0</v>
      </c>
      <c r="DU228" s="47">
        <v>0</v>
      </c>
      <c r="DV228" s="47">
        <v>0</v>
      </c>
      <c r="DW228" s="47">
        <v>0</v>
      </c>
      <c r="DX228" s="47">
        <v>0</v>
      </c>
      <c r="DY228" s="47">
        <v>0</v>
      </c>
      <c r="DZ228" s="47">
        <v>0</v>
      </c>
      <c r="EA228" s="47">
        <v>0</v>
      </c>
      <c r="EB228" s="47"/>
      <c r="EC228" s="47">
        <v>0.8</v>
      </c>
      <c r="ZZ228" t="s">
        <v>2472</v>
      </c>
    </row>
    <row r="229" spans="1:702" x14ac:dyDescent="0.25">
      <c r="A229" s="47" t="s">
        <v>1165</v>
      </c>
      <c r="B229" s="47" t="s">
        <v>153</v>
      </c>
      <c r="C229" s="47" t="s">
        <v>157</v>
      </c>
      <c r="D229" s="47" t="s">
        <v>2709</v>
      </c>
      <c r="E229" s="47" t="s">
        <v>1166</v>
      </c>
      <c r="F229" s="47" t="s">
        <v>1167</v>
      </c>
      <c r="G229" s="47" t="s">
        <v>1168</v>
      </c>
      <c r="H229" s="47" t="s">
        <v>698</v>
      </c>
      <c r="I229" s="47" t="s">
        <v>705</v>
      </c>
      <c r="J229" s="47" t="str">
        <f>=IFERROR(VLOOKUP(H229&amp;I229,Table_Fonctions!A:G,6,FALSE),"")</f>
        <v>0</v>
      </c>
      <c r="K229" s="47" t="s">
        <v>2607</v>
      </c>
      <c r="L229" s="47" t="str">
        <f>=IFERROR(VLOOKUP(H229&amp;I229,Table_Fonctions!A:G,7,FALSE),K229)</f>
        <v/>
      </c>
      <c r="M229" s="47" t="str">
        <f>=IF(OR(LEFT(D229, 3)="TJ ", LEFT(D229, 4)="CPH "), "OUI", "NON")</f>
        <v/>
      </c>
      <c r="N229" s="47" t="s">
        <v>1085</v>
      </c>
      <c r="O229" s="47"/>
      <c r="P229" s="47">
        <v>0.9</v>
      </c>
      <c r="Q229" s="47">
        <v>0</v>
      </c>
      <c r="R229" s="47">
        <v>0.9</v>
      </c>
      <c r="S229" s="47">
        <f>=ROUND(BQ229-(BR229+BS229),3)</f>
      </c>
      <c r="T229" s="47">
        <f>=ROUND(CK229-(CL229+CM229+CN229+CO229+CP229),3)</f>
      </c>
      <c r="U229" s="47">
        <v>0</v>
      </c>
      <c r="V229" s="47">
        <v>0</v>
      </c>
      <c r="W229" s="47">
        <v>0</v>
      </c>
      <c r="X229" s="47">
        <v>0</v>
      </c>
      <c r="Y229" s="47">
        <v>0</v>
      </c>
      <c r="Z229" s="47">
        <v>0</v>
      </c>
      <c r="AA229" s="47">
        <v>0</v>
      </c>
      <c r="AB229" s="47">
        <v>0</v>
      </c>
      <c r="AC229" s="47">
        <v>0</v>
      </c>
      <c r="AD229" s="47">
        <v>0</v>
      </c>
      <c r="AE229" s="47">
        <v>0</v>
      </c>
      <c r="AF229" s="47">
        <v>0</v>
      </c>
      <c r="AG229" s="47">
        <v>0</v>
      </c>
      <c r="AH229" s="47">
        <v>0</v>
      </c>
      <c r="AI229" s="47">
        <v>0</v>
      </c>
      <c r="AJ229" s="47">
        <v>0</v>
      </c>
      <c r="AK229" s="47">
        <v>0</v>
      </c>
      <c r="AL229" s="47">
        <v>0</v>
      </c>
      <c r="AM229" s="47">
        <v>0</v>
      </c>
      <c r="AN229" s="47">
        <v>0</v>
      </c>
      <c r="AO229" s="47">
        <v>0</v>
      </c>
      <c r="AP229" s="47">
        <v>0</v>
      </c>
      <c r="AQ229" s="47">
        <v>0</v>
      </c>
      <c r="AR229" s="47">
        <v>0</v>
      </c>
      <c r="AS229" s="47">
        <v>0</v>
      </c>
      <c r="AT229" s="47">
        <v>0</v>
      </c>
      <c r="AU229" s="47">
        <v>0</v>
      </c>
      <c r="AV229" s="47">
        <v>0</v>
      </c>
      <c r="AW229" s="47">
        <v>0</v>
      </c>
      <c r="AX229" s="47">
        <v>0</v>
      </c>
      <c r="AY229" s="47">
        <v>0</v>
      </c>
      <c r="AZ229" s="47">
        <v>0</v>
      </c>
      <c r="BA229" s="47">
        <v>0</v>
      </c>
      <c r="BB229" s="47">
        <v>0</v>
      </c>
      <c r="BC229" s="47">
        <v>0</v>
      </c>
      <c r="BD229" s="47">
        <v>0</v>
      </c>
      <c r="BE229" s="47">
        <v>0</v>
      </c>
      <c r="BF229" s="47">
        <v>0</v>
      </c>
      <c r="BG229" s="47">
        <v>0</v>
      </c>
      <c r="BH229" s="47">
        <v>0</v>
      </c>
      <c r="BI229" s="47">
        <v>0</v>
      </c>
      <c r="BJ229" s="47">
        <v>0</v>
      </c>
      <c r="BK229" s="47">
        <v>0</v>
      </c>
      <c r="BL229" s="47">
        <v>0</v>
      </c>
      <c r="BM229" s="47">
        <v>0</v>
      </c>
      <c r="BN229" s="47">
        <v>0</v>
      </c>
      <c r="BO229" s="47">
        <v>0</v>
      </c>
      <c r="BP229" s="47">
        <v>0</v>
      </c>
      <c r="BQ229" s="47">
        <v>0</v>
      </c>
      <c r="BR229" s="47">
        <v>0</v>
      </c>
      <c r="BS229" s="47">
        <v>0</v>
      </c>
      <c r="BT229" s="47">
        <v>0</v>
      </c>
      <c r="BU229" s="47">
        <v>0</v>
      </c>
      <c r="BV229" s="47">
        <v>0</v>
      </c>
      <c r="BW229" s="47">
        <v>0</v>
      </c>
      <c r="BX229" s="47">
        <v>0</v>
      </c>
      <c r="BY229" s="47">
        <v>0</v>
      </c>
      <c r="BZ229" s="47">
        <v>0</v>
      </c>
      <c r="CA229" s="47">
        <v>0</v>
      </c>
      <c r="CB229" s="47">
        <v>0</v>
      </c>
      <c r="CC229" s="47">
        <v>0</v>
      </c>
      <c r="CD229" s="47">
        <v>0</v>
      </c>
      <c r="CE229" s="47">
        <v>0</v>
      </c>
      <c r="CF229" s="47">
        <v>0</v>
      </c>
      <c r="CG229" s="47">
        <v>0</v>
      </c>
      <c r="CH229" s="47">
        <v>0</v>
      </c>
      <c r="CI229" s="47">
        <v>0</v>
      </c>
      <c r="CJ229" s="47">
        <v>0</v>
      </c>
      <c r="CK229" s="47">
        <v>0</v>
      </c>
      <c r="CL229" s="47">
        <v>0</v>
      </c>
      <c r="CM229" s="47">
        <v>0</v>
      </c>
      <c r="CN229" s="47">
        <v>0</v>
      </c>
      <c r="CO229" s="47">
        <v>0</v>
      </c>
      <c r="CP229" s="47">
        <v>0</v>
      </c>
      <c r="CQ229" s="47">
        <v>0</v>
      </c>
      <c r="CR229" s="47">
        <v>0</v>
      </c>
      <c r="CS229" s="47">
        <v>0</v>
      </c>
      <c r="CT229" s="47">
        <v>0</v>
      </c>
      <c r="CU229" s="47">
        <v>0</v>
      </c>
      <c r="CV229" s="47">
        <v>0</v>
      </c>
      <c r="CW229" s="47">
        <v>0</v>
      </c>
      <c r="CX229" s="47">
        <v>0</v>
      </c>
      <c r="CY229" s="47">
        <v>0</v>
      </c>
      <c r="CZ229" s="47">
        <v>0</v>
      </c>
      <c r="DA229" s="47">
        <v>0</v>
      </c>
      <c r="DB229" s="47">
        <v>0</v>
      </c>
      <c r="DC229" s="47">
        <v>0</v>
      </c>
      <c r="DD229" s="47">
        <v>0</v>
      </c>
      <c r="DE229" s="47">
        <v>0</v>
      </c>
      <c r="DF229" s="47">
        <v>0</v>
      </c>
      <c r="DG229" s="47">
        <v>0</v>
      </c>
      <c r="DH229" s="47">
        <v>0</v>
      </c>
      <c r="DI229" s="47">
        <v>0</v>
      </c>
      <c r="DJ229" s="47">
        <v>0</v>
      </c>
      <c r="DK229" s="47">
        <v>0</v>
      </c>
      <c r="DL229" s="47">
        <v>0</v>
      </c>
      <c r="DM229" s="47">
        <v>0</v>
      </c>
      <c r="DN229" s="47">
        <v>0</v>
      </c>
      <c r="DO229" s="47">
        <v>0</v>
      </c>
      <c r="DP229" s="47">
        <v>0</v>
      </c>
      <c r="DQ229" s="47">
        <v>0</v>
      </c>
      <c r="DR229" s="47">
        <v>0</v>
      </c>
      <c r="DS229" s="47">
        <v>0</v>
      </c>
      <c r="DT229" s="47">
        <v>0</v>
      </c>
      <c r="DU229" s="47">
        <v>0</v>
      </c>
      <c r="DV229" s="47">
        <v>0</v>
      </c>
      <c r="DW229" s="47">
        <v>0</v>
      </c>
      <c r="DX229" s="47">
        <v>0</v>
      </c>
      <c r="DY229" s="47">
        <v>0</v>
      </c>
      <c r="DZ229" s="47">
        <v>0</v>
      </c>
      <c r="EA229" s="47">
        <v>0</v>
      </c>
      <c r="EB229" s="47"/>
      <c r="EC229" s="47">
        <v>0.9</v>
      </c>
      <c r="ZZ229" t="s">
        <v>2472</v>
      </c>
    </row>
    <row r="230" spans="1:702" x14ac:dyDescent="0.25">
      <c r="A230" s="47" t="s">
        <v>1169</v>
      </c>
      <c r="B230" s="47" t="s">
        <v>153</v>
      </c>
      <c r="C230" s="47" t="s">
        <v>157</v>
      </c>
      <c r="D230" s="47" t="s">
        <v>2710</v>
      </c>
      <c r="E230" s="47" t="s">
        <v>1170</v>
      </c>
      <c r="F230" s="47" t="s">
        <v>1171</v>
      </c>
      <c r="G230" s="47" t="s">
        <v>1172</v>
      </c>
      <c r="H230" s="47" t="s">
        <v>698</v>
      </c>
      <c r="I230" s="47" t="s">
        <v>727</v>
      </c>
      <c r="J230" s="47" t="str">
        <f>=IFERROR(VLOOKUP(H230&amp;I230,Table_Fonctions!A:G,6,FALSE),"")</f>
        <v>0</v>
      </c>
      <c r="K230" s="47" t="s">
        <v>2607</v>
      </c>
      <c r="L230" s="47" t="str">
        <f>=IFERROR(VLOOKUP(H230&amp;I230,Table_Fonctions!A:G,7,FALSE),K230)</f>
        <v/>
      </c>
      <c r="M230" s="47" t="str">
        <f>=IF(OR(LEFT(D230, 3)="TJ ", LEFT(D230, 4)="CPH "), "OUI", "NON")</f>
        <v/>
      </c>
      <c r="N230" s="47" t="s">
        <v>1173</v>
      </c>
      <c r="O230" s="47"/>
      <c r="P230" s="47">
        <v>0.8</v>
      </c>
      <c r="Q230" s="47">
        <v>0</v>
      </c>
      <c r="R230" s="47">
        <v>0.8</v>
      </c>
      <c r="S230" s="47">
        <f>=ROUND(BQ230-(BR230+BS230),3)</f>
      </c>
      <c r="T230" s="47">
        <f>=ROUND(CK230-(CL230+CM230+CN230+CO230+CP230),3)</f>
      </c>
      <c r="U230" s="47">
        <v>0</v>
      </c>
      <c r="V230" s="47">
        <v>0</v>
      </c>
      <c r="W230" s="47">
        <v>0</v>
      </c>
      <c r="X230" s="47">
        <v>0</v>
      </c>
      <c r="Y230" s="47">
        <v>0</v>
      </c>
      <c r="Z230" s="47">
        <v>0</v>
      </c>
      <c r="AA230" s="47">
        <v>0</v>
      </c>
      <c r="AB230" s="47">
        <v>0</v>
      </c>
      <c r="AC230" s="47">
        <v>0</v>
      </c>
      <c r="AD230" s="47">
        <v>0</v>
      </c>
      <c r="AE230" s="47">
        <v>0</v>
      </c>
      <c r="AF230" s="47">
        <v>0</v>
      </c>
      <c r="AG230" s="47">
        <v>0</v>
      </c>
      <c r="AH230" s="47">
        <v>0</v>
      </c>
      <c r="AI230" s="47">
        <v>0</v>
      </c>
      <c r="AJ230" s="47">
        <v>0</v>
      </c>
      <c r="AK230" s="47">
        <v>0</v>
      </c>
      <c r="AL230" s="47">
        <v>0</v>
      </c>
      <c r="AM230" s="47">
        <v>0</v>
      </c>
      <c r="AN230" s="47">
        <v>0</v>
      </c>
      <c r="AO230" s="47">
        <v>0</v>
      </c>
      <c r="AP230" s="47">
        <v>0</v>
      </c>
      <c r="AQ230" s="47">
        <v>0</v>
      </c>
      <c r="AR230" s="47">
        <v>0</v>
      </c>
      <c r="AS230" s="47">
        <v>0</v>
      </c>
      <c r="AT230" s="47">
        <v>0</v>
      </c>
      <c r="AU230" s="47">
        <v>0</v>
      </c>
      <c r="AV230" s="47">
        <v>0</v>
      </c>
      <c r="AW230" s="47">
        <v>0</v>
      </c>
      <c r="AX230" s="47">
        <v>0</v>
      </c>
      <c r="AY230" s="47">
        <v>0</v>
      </c>
      <c r="AZ230" s="47">
        <v>0</v>
      </c>
      <c r="BA230" s="47">
        <v>0</v>
      </c>
      <c r="BB230" s="47">
        <v>0</v>
      </c>
      <c r="BC230" s="47">
        <v>0</v>
      </c>
      <c r="BD230" s="47">
        <v>0</v>
      </c>
      <c r="BE230" s="47">
        <v>0</v>
      </c>
      <c r="BF230" s="47">
        <v>0</v>
      </c>
      <c r="BG230" s="47">
        <v>0</v>
      </c>
      <c r="BH230" s="47">
        <v>0</v>
      </c>
      <c r="BI230" s="47">
        <v>0</v>
      </c>
      <c r="BJ230" s="47">
        <v>0</v>
      </c>
      <c r="BK230" s="47">
        <v>0</v>
      </c>
      <c r="BL230" s="47">
        <v>0</v>
      </c>
      <c r="BM230" s="47">
        <v>0</v>
      </c>
      <c r="BN230" s="47">
        <v>0</v>
      </c>
      <c r="BO230" s="47">
        <v>0</v>
      </c>
      <c r="BP230" s="47">
        <v>0</v>
      </c>
      <c r="BQ230" s="47">
        <v>0</v>
      </c>
      <c r="BR230" s="47">
        <v>0</v>
      </c>
      <c r="BS230" s="47">
        <v>0</v>
      </c>
      <c r="BT230" s="47">
        <v>0</v>
      </c>
      <c r="BU230" s="47">
        <v>0</v>
      </c>
      <c r="BV230" s="47">
        <v>0</v>
      </c>
      <c r="BW230" s="47">
        <v>0</v>
      </c>
      <c r="BX230" s="47">
        <v>0</v>
      </c>
      <c r="BY230" s="47">
        <v>0</v>
      </c>
      <c r="BZ230" s="47">
        <v>0</v>
      </c>
      <c r="CA230" s="47">
        <v>0</v>
      </c>
      <c r="CB230" s="47">
        <v>0</v>
      </c>
      <c r="CC230" s="47">
        <v>0</v>
      </c>
      <c r="CD230" s="47">
        <v>0</v>
      </c>
      <c r="CE230" s="47">
        <v>0</v>
      </c>
      <c r="CF230" s="47">
        <v>0</v>
      </c>
      <c r="CG230" s="47">
        <v>0</v>
      </c>
      <c r="CH230" s="47">
        <v>0</v>
      </c>
      <c r="CI230" s="47">
        <v>0</v>
      </c>
      <c r="CJ230" s="47">
        <v>0</v>
      </c>
      <c r="CK230" s="47">
        <v>0</v>
      </c>
      <c r="CL230" s="47">
        <v>0</v>
      </c>
      <c r="CM230" s="47">
        <v>0</v>
      </c>
      <c r="CN230" s="47">
        <v>0</v>
      </c>
      <c r="CO230" s="47">
        <v>0</v>
      </c>
      <c r="CP230" s="47">
        <v>0</v>
      </c>
      <c r="CQ230" s="47">
        <v>0</v>
      </c>
      <c r="CR230" s="47">
        <v>0</v>
      </c>
      <c r="CS230" s="47">
        <v>0</v>
      </c>
      <c r="CT230" s="47">
        <v>0</v>
      </c>
      <c r="CU230" s="47">
        <v>0</v>
      </c>
      <c r="CV230" s="47">
        <v>0</v>
      </c>
      <c r="CW230" s="47">
        <v>0</v>
      </c>
      <c r="CX230" s="47">
        <v>0</v>
      </c>
      <c r="CY230" s="47">
        <v>0</v>
      </c>
      <c r="CZ230" s="47">
        <v>0</v>
      </c>
      <c r="DA230" s="47">
        <v>0</v>
      </c>
      <c r="DB230" s="47">
        <v>0</v>
      </c>
      <c r="DC230" s="47">
        <v>0</v>
      </c>
      <c r="DD230" s="47">
        <v>0</v>
      </c>
      <c r="DE230" s="47">
        <v>0</v>
      </c>
      <c r="DF230" s="47">
        <v>0</v>
      </c>
      <c r="DG230" s="47">
        <v>0</v>
      </c>
      <c r="DH230" s="47">
        <v>0</v>
      </c>
      <c r="DI230" s="47">
        <v>0</v>
      </c>
      <c r="DJ230" s="47">
        <v>0</v>
      </c>
      <c r="DK230" s="47">
        <v>0</v>
      </c>
      <c r="DL230" s="47">
        <v>0</v>
      </c>
      <c r="DM230" s="47">
        <v>0</v>
      </c>
      <c r="DN230" s="47">
        <v>0</v>
      </c>
      <c r="DO230" s="47">
        <v>0</v>
      </c>
      <c r="DP230" s="47">
        <v>0</v>
      </c>
      <c r="DQ230" s="47">
        <v>0</v>
      </c>
      <c r="DR230" s="47">
        <v>0</v>
      </c>
      <c r="DS230" s="47">
        <v>0</v>
      </c>
      <c r="DT230" s="47">
        <v>0</v>
      </c>
      <c r="DU230" s="47">
        <v>0</v>
      </c>
      <c r="DV230" s="47">
        <v>0</v>
      </c>
      <c r="DW230" s="47">
        <v>0</v>
      </c>
      <c r="DX230" s="47">
        <v>0</v>
      </c>
      <c r="DY230" s="47">
        <v>0</v>
      </c>
      <c r="DZ230" s="47">
        <v>0</v>
      </c>
      <c r="EA230" s="47">
        <v>0</v>
      </c>
      <c r="EB230" s="47"/>
      <c r="EC230" s="47">
        <v>0.8</v>
      </c>
      <c r="ZZ230" t="s">
        <v>2472</v>
      </c>
    </row>
    <row r="231" spans="1:702" x14ac:dyDescent="0.25">
      <c r="A231" s="47" t="s">
        <v>1174</v>
      </c>
      <c r="B231" s="47" t="s">
        <v>153</v>
      </c>
      <c r="C231" s="47" t="s">
        <v>157</v>
      </c>
      <c r="D231" s="47" t="s">
        <v>2711</v>
      </c>
      <c r="E231" s="47" t="s">
        <v>1175</v>
      </c>
      <c r="F231" s="47" t="s">
        <v>1176</v>
      </c>
      <c r="G231" s="47" t="s">
        <v>1177</v>
      </c>
      <c r="H231" s="47" t="s">
        <v>698</v>
      </c>
      <c r="I231" s="47" t="s">
        <v>705</v>
      </c>
      <c r="J231" s="47" t="str">
        <f>=IFERROR(VLOOKUP(H231&amp;I231,Table_Fonctions!A:G,6,FALSE),"")</f>
        <v>0</v>
      </c>
      <c r="K231" s="47" t="s">
        <v>2607</v>
      </c>
      <c r="L231" s="47" t="str">
        <f>=IFERROR(VLOOKUP(H231&amp;I231,Table_Fonctions!A:G,7,FALSE),K231)</f>
        <v/>
      </c>
      <c r="M231" s="47" t="str">
        <f>=IF(OR(LEFT(D231, 3)="TJ ", LEFT(D231, 4)="CPH "), "OUI", "NON")</f>
        <v/>
      </c>
      <c r="N231" s="47" t="s">
        <v>777</v>
      </c>
      <c r="O231" s="47"/>
      <c r="P231" s="47">
        <v>1</v>
      </c>
      <c r="Q231" s="47">
        <v>0</v>
      </c>
      <c r="R231" s="47">
        <v>1</v>
      </c>
      <c r="S231" s="47">
        <f>=ROUND(BQ231-(BR231+BS231),3)</f>
      </c>
      <c r="T231" s="47">
        <f>=ROUND(CK231-(CL231+CM231+CN231+CO231+CP231),3)</f>
      </c>
      <c r="U231" s="47">
        <v>0</v>
      </c>
      <c r="V231" s="47">
        <v>0</v>
      </c>
      <c r="W231" s="47">
        <v>0</v>
      </c>
      <c r="X231" s="47">
        <v>0</v>
      </c>
      <c r="Y231" s="47">
        <v>0</v>
      </c>
      <c r="Z231" s="47">
        <v>0</v>
      </c>
      <c r="AA231" s="47">
        <v>0</v>
      </c>
      <c r="AB231" s="47">
        <v>0</v>
      </c>
      <c r="AC231" s="47">
        <v>0</v>
      </c>
      <c r="AD231" s="47">
        <v>0</v>
      </c>
      <c r="AE231" s="47">
        <v>0</v>
      </c>
      <c r="AF231" s="47">
        <v>0</v>
      </c>
      <c r="AG231" s="47">
        <v>0</v>
      </c>
      <c r="AH231" s="47">
        <v>0</v>
      </c>
      <c r="AI231" s="47">
        <v>0</v>
      </c>
      <c r="AJ231" s="47">
        <v>0</v>
      </c>
      <c r="AK231" s="47">
        <v>0</v>
      </c>
      <c r="AL231" s="47">
        <v>0</v>
      </c>
      <c r="AM231" s="47">
        <v>0</v>
      </c>
      <c r="AN231" s="47">
        <v>0</v>
      </c>
      <c r="AO231" s="47">
        <v>0</v>
      </c>
      <c r="AP231" s="47">
        <v>0</v>
      </c>
      <c r="AQ231" s="47">
        <v>0</v>
      </c>
      <c r="AR231" s="47">
        <v>0</v>
      </c>
      <c r="AS231" s="47">
        <v>0</v>
      </c>
      <c r="AT231" s="47">
        <v>0</v>
      </c>
      <c r="AU231" s="47">
        <v>0</v>
      </c>
      <c r="AV231" s="47">
        <v>0</v>
      </c>
      <c r="AW231" s="47">
        <v>0</v>
      </c>
      <c r="AX231" s="47">
        <v>0</v>
      </c>
      <c r="AY231" s="47">
        <v>0</v>
      </c>
      <c r="AZ231" s="47">
        <v>0</v>
      </c>
      <c r="BA231" s="47">
        <v>0</v>
      </c>
      <c r="BB231" s="47">
        <v>0</v>
      </c>
      <c r="BC231" s="47">
        <v>0</v>
      </c>
      <c r="BD231" s="47">
        <v>0</v>
      </c>
      <c r="BE231" s="47">
        <v>0</v>
      </c>
      <c r="BF231" s="47">
        <v>0</v>
      </c>
      <c r="BG231" s="47">
        <v>0</v>
      </c>
      <c r="BH231" s="47">
        <v>0</v>
      </c>
      <c r="BI231" s="47">
        <v>0</v>
      </c>
      <c r="BJ231" s="47">
        <v>0</v>
      </c>
      <c r="BK231" s="47">
        <v>0</v>
      </c>
      <c r="BL231" s="47">
        <v>0</v>
      </c>
      <c r="BM231" s="47">
        <v>0</v>
      </c>
      <c r="BN231" s="47">
        <v>0</v>
      </c>
      <c r="BO231" s="47">
        <v>0</v>
      </c>
      <c r="BP231" s="47">
        <v>0</v>
      </c>
      <c r="BQ231" s="47">
        <v>0</v>
      </c>
      <c r="BR231" s="47">
        <v>0</v>
      </c>
      <c r="BS231" s="47">
        <v>0</v>
      </c>
      <c r="BT231" s="47">
        <v>0</v>
      </c>
      <c r="BU231" s="47">
        <v>0</v>
      </c>
      <c r="BV231" s="47">
        <v>0</v>
      </c>
      <c r="BW231" s="47">
        <v>0</v>
      </c>
      <c r="BX231" s="47">
        <v>0</v>
      </c>
      <c r="BY231" s="47">
        <v>0</v>
      </c>
      <c r="BZ231" s="47">
        <v>0</v>
      </c>
      <c r="CA231" s="47">
        <v>0</v>
      </c>
      <c r="CB231" s="47">
        <v>0</v>
      </c>
      <c r="CC231" s="47">
        <v>0</v>
      </c>
      <c r="CD231" s="47">
        <v>0</v>
      </c>
      <c r="CE231" s="47">
        <v>0</v>
      </c>
      <c r="CF231" s="47">
        <v>0</v>
      </c>
      <c r="CG231" s="47">
        <v>0</v>
      </c>
      <c r="CH231" s="47">
        <v>0</v>
      </c>
      <c r="CI231" s="47">
        <v>0</v>
      </c>
      <c r="CJ231" s="47">
        <v>0</v>
      </c>
      <c r="CK231" s="47">
        <v>0</v>
      </c>
      <c r="CL231" s="47">
        <v>0</v>
      </c>
      <c r="CM231" s="47">
        <v>0</v>
      </c>
      <c r="CN231" s="47">
        <v>0</v>
      </c>
      <c r="CO231" s="47">
        <v>0</v>
      </c>
      <c r="CP231" s="47">
        <v>0</v>
      </c>
      <c r="CQ231" s="47">
        <v>0</v>
      </c>
      <c r="CR231" s="47">
        <v>0</v>
      </c>
      <c r="CS231" s="47">
        <v>0</v>
      </c>
      <c r="CT231" s="47">
        <v>0</v>
      </c>
      <c r="CU231" s="47">
        <v>0</v>
      </c>
      <c r="CV231" s="47">
        <v>0</v>
      </c>
      <c r="CW231" s="47">
        <v>0</v>
      </c>
      <c r="CX231" s="47">
        <v>0</v>
      </c>
      <c r="CY231" s="47">
        <v>0</v>
      </c>
      <c r="CZ231" s="47">
        <v>0</v>
      </c>
      <c r="DA231" s="47">
        <v>0</v>
      </c>
      <c r="DB231" s="47">
        <v>0</v>
      </c>
      <c r="DC231" s="47">
        <v>0</v>
      </c>
      <c r="DD231" s="47">
        <v>0</v>
      </c>
      <c r="DE231" s="47">
        <v>0</v>
      </c>
      <c r="DF231" s="47">
        <v>0</v>
      </c>
      <c r="DG231" s="47">
        <v>0</v>
      </c>
      <c r="DH231" s="47">
        <v>0</v>
      </c>
      <c r="DI231" s="47">
        <v>0</v>
      </c>
      <c r="DJ231" s="47">
        <v>0</v>
      </c>
      <c r="DK231" s="47">
        <v>0</v>
      </c>
      <c r="DL231" s="47">
        <v>0</v>
      </c>
      <c r="DM231" s="47">
        <v>0</v>
      </c>
      <c r="DN231" s="47">
        <v>0</v>
      </c>
      <c r="DO231" s="47">
        <v>0</v>
      </c>
      <c r="DP231" s="47">
        <v>0</v>
      </c>
      <c r="DQ231" s="47">
        <v>0</v>
      </c>
      <c r="DR231" s="47">
        <v>0</v>
      </c>
      <c r="DS231" s="47">
        <v>0</v>
      </c>
      <c r="DT231" s="47">
        <v>0</v>
      </c>
      <c r="DU231" s="47">
        <v>0</v>
      </c>
      <c r="DV231" s="47">
        <v>0</v>
      </c>
      <c r="DW231" s="47">
        <v>0</v>
      </c>
      <c r="DX231" s="47">
        <v>0</v>
      </c>
      <c r="DY231" s="47">
        <v>0</v>
      </c>
      <c r="DZ231" s="47">
        <v>0</v>
      </c>
      <c r="EA231" s="47">
        <v>0</v>
      </c>
      <c r="EB231" s="47"/>
      <c r="EC231" s="47">
        <v>1</v>
      </c>
      <c r="ZZ231" t="s">
        <v>2472</v>
      </c>
    </row>
    <row r="232" spans="1:702" x14ac:dyDescent="0.25">
      <c r="A232" s="47" t="s">
        <v>1178</v>
      </c>
      <c r="B232" s="47" t="s">
        <v>153</v>
      </c>
      <c r="C232" s="47" t="s">
        <v>157</v>
      </c>
      <c r="D232" s="47" t="s">
        <v>2712</v>
      </c>
      <c r="E232" s="47" t="s">
        <v>1179</v>
      </c>
      <c r="F232" s="47" t="s">
        <v>1180</v>
      </c>
      <c r="G232" s="47" t="s">
        <v>1181</v>
      </c>
      <c r="H232" s="47" t="s">
        <v>698</v>
      </c>
      <c r="I232" s="47" t="s">
        <v>727</v>
      </c>
      <c r="J232" s="47" t="str">
        <f>=IFERROR(VLOOKUP(H232&amp;I232,Table_Fonctions!A:G,6,FALSE),"")</f>
        <v>0</v>
      </c>
      <c r="K232" s="47" t="s">
        <v>2607</v>
      </c>
      <c r="L232" s="47" t="str">
        <f>=IFERROR(VLOOKUP(H232&amp;I232,Table_Fonctions!A:G,7,FALSE),K232)</f>
        <v/>
      </c>
      <c r="M232" s="47" t="str">
        <f>=IF(OR(LEFT(D232, 3)="TJ ", LEFT(D232, 4)="CPH "), "OUI", "NON")</f>
        <v/>
      </c>
      <c r="N232" s="47" t="s">
        <v>728</v>
      </c>
      <c r="O232" s="47"/>
      <c r="P232" s="47">
        <v>1</v>
      </c>
      <c r="Q232" s="47">
        <v>0</v>
      </c>
      <c r="R232" s="47">
        <v>1</v>
      </c>
      <c r="S232" s="47">
        <f>=ROUND(BQ232-(BR232+BS232),3)</f>
      </c>
      <c r="T232" s="47">
        <f>=ROUND(CK232-(CL232+CM232+CN232+CO232+CP232),3)</f>
      </c>
      <c r="U232" s="47">
        <v>0</v>
      </c>
      <c r="V232" s="47">
        <v>0</v>
      </c>
      <c r="W232" s="47">
        <v>0</v>
      </c>
      <c r="X232" s="47">
        <v>0</v>
      </c>
      <c r="Y232" s="47">
        <v>0</v>
      </c>
      <c r="Z232" s="47">
        <v>0</v>
      </c>
      <c r="AA232" s="47">
        <v>0</v>
      </c>
      <c r="AB232" s="47">
        <v>0</v>
      </c>
      <c r="AC232" s="47">
        <v>0</v>
      </c>
      <c r="AD232" s="47">
        <v>0</v>
      </c>
      <c r="AE232" s="47">
        <v>0</v>
      </c>
      <c r="AF232" s="47">
        <v>0</v>
      </c>
      <c r="AG232" s="47">
        <v>0</v>
      </c>
      <c r="AH232" s="47">
        <v>0</v>
      </c>
      <c r="AI232" s="47">
        <v>0</v>
      </c>
      <c r="AJ232" s="47">
        <v>0</v>
      </c>
      <c r="AK232" s="47">
        <v>0</v>
      </c>
      <c r="AL232" s="47">
        <v>0</v>
      </c>
      <c r="AM232" s="47">
        <v>0</v>
      </c>
      <c r="AN232" s="47">
        <v>0</v>
      </c>
      <c r="AO232" s="47">
        <v>0</v>
      </c>
      <c r="AP232" s="47">
        <v>0</v>
      </c>
      <c r="AQ232" s="47">
        <v>0</v>
      </c>
      <c r="AR232" s="47">
        <v>0</v>
      </c>
      <c r="AS232" s="47">
        <v>0</v>
      </c>
      <c r="AT232" s="47">
        <v>0</v>
      </c>
      <c r="AU232" s="47">
        <v>0</v>
      </c>
      <c r="AV232" s="47">
        <v>0</v>
      </c>
      <c r="AW232" s="47">
        <v>0</v>
      </c>
      <c r="AX232" s="47">
        <v>0</v>
      </c>
      <c r="AY232" s="47">
        <v>0</v>
      </c>
      <c r="AZ232" s="47">
        <v>0</v>
      </c>
      <c r="BA232" s="47">
        <v>0</v>
      </c>
      <c r="BB232" s="47">
        <v>0</v>
      </c>
      <c r="BC232" s="47">
        <v>0</v>
      </c>
      <c r="BD232" s="47">
        <v>0</v>
      </c>
      <c r="BE232" s="47">
        <v>0</v>
      </c>
      <c r="BF232" s="47">
        <v>0</v>
      </c>
      <c r="BG232" s="47">
        <v>0</v>
      </c>
      <c r="BH232" s="47">
        <v>0</v>
      </c>
      <c r="BI232" s="47">
        <v>0</v>
      </c>
      <c r="BJ232" s="47">
        <v>0</v>
      </c>
      <c r="BK232" s="47">
        <v>0</v>
      </c>
      <c r="BL232" s="47">
        <v>0</v>
      </c>
      <c r="BM232" s="47">
        <v>0</v>
      </c>
      <c r="BN232" s="47">
        <v>0</v>
      </c>
      <c r="BO232" s="47">
        <v>0</v>
      </c>
      <c r="BP232" s="47">
        <v>0</v>
      </c>
      <c r="BQ232" s="47">
        <v>0</v>
      </c>
      <c r="BR232" s="47">
        <v>0</v>
      </c>
      <c r="BS232" s="47">
        <v>0</v>
      </c>
      <c r="BT232" s="47">
        <v>0</v>
      </c>
      <c r="BU232" s="47">
        <v>0</v>
      </c>
      <c r="BV232" s="47">
        <v>0</v>
      </c>
      <c r="BW232" s="47">
        <v>0</v>
      </c>
      <c r="BX232" s="47">
        <v>0</v>
      </c>
      <c r="BY232" s="47">
        <v>0</v>
      </c>
      <c r="BZ232" s="47">
        <v>0</v>
      </c>
      <c r="CA232" s="47">
        <v>0</v>
      </c>
      <c r="CB232" s="47">
        <v>0</v>
      </c>
      <c r="CC232" s="47">
        <v>0</v>
      </c>
      <c r="CD232" s="47">
        <v>0</v>
      </c>
      <c r="CE232" s="47">
        <v>0</v>
      </c>
      <c r="CF232" s="47">
        <v>0</v>
      </c>
      <c r="CG232" s="47">
        <v>0</v>
      </c>
      <c r="CH232" s="47">
        <v>0</v>
      </c>
      <c r="CI232" s="47">
        <v>0</v>
      </c>
      <c r="CJ232" s="47">
        <v>0</v>
      </c>
      <c r="CK232" s="47">
        <v>0</v>
      </c>
      <c r="CL232" s="47">
        <v>0</v>
      </c>
      <c r="CM232" s="47">
        <v>0</v>
      </c>
      <c r="CN232" s="47">
        <v>0</v>
      </c>
      <c r="CO232" s="47">
        <v>0</v>
      </c>
      <c r="CP232" s="47">
        <v>0</v>
      </c>
      <c r="CQ232" s="47">
        <v>0</v>
      </c>
      <c r="CR232" s="47">
        <v>0</v>
      </c>
      <c r="CS232" s="47">
        <v>0</v>
      </c>
      <c r="CT232" s="47">
        <v>0</v>
      </c>
      <c r="CU232" s="47">
        <v>0</v>
      </c>
      <c r="CV232" s="47">
        <v>0</v>
      </c>
      <c r="CW232" s="47">
        <v>0</v>
      </c>
      <c r="CX232" s="47">
        <v>0</v>
      </c>
      <c r="CY232" s="47">
        <v>0</v>
      </c>
      <c r="CZ232" s="47">
        <v>0</v>
      </c>
      <c r="DA232" s="47">
        <v>0</v>
      </c>
      <c r="DB232" s="47">
        <v>0</v>
      </c>
      <c r="DC232" s="47">
        <v>0</v>
      </c>
      <c r="DD232" s="47">
        <v>0</v>
      </c>
      <c r="DE232" s="47">
        <v>0</v>
      </c>
      <c r="DF232" s="47">
        <v>0</v>
      </c>
      <c r="DG232" s="47">
        <v>0</v>
      </c>
      <c r="DH232" s="47">
        <v>0</v>
      </c>
      <c r="DI232" s="47">
        <v>0</v>
      </c>
      <c r="DJ232" s="47">
        <v>0</v>
      </c>
      <c r="DK232" s="47">
        <v>0</v>
      </c>
      <c r="DL232" s="47">
        <v>0</v>
      </c>
      <c r="DM232" s="47">
        <v>0</v>
      </c>
      <c r="DN232" s="47">
        <v>0</v>
      </c>
      <c r="DO232" s="47">
        <v>0</v>
      </c>
      <c r="DP232" s="47">
        <v>0</v>
      </c>
      <c r="DQ232" s="47">
        <v>0</v>
      </c>
      <c r="DR232" s="47">
        <v>0</v>
      </c>
      <c r="DS232" s="47">
        <v>0</v>
      </c>
      <c r="DT232" s="47">
        <v>0</v>
      </c>
      <c r="DU232" s="47">
        <v>0</v>
      </c>
      <c r="DV232" s="47">
        <v>0</v>
      </c>
      <c r="DW232" s="47">
        <v>0</v>
      </c>
      <c r="DX232" s="47">
        <v>0</v>
      </c>
      <c r="DY232" s="47">
        <v>0</v>
      </c>
      <c r="DZ232" s="47">
        <v>0</v>
      </c>
      <c r="EA232" s="47">
        <v>0</v>
      </c>
      <c r="EB232" s="47"/>
      <c r="EC232" s="47">
        <v>1</v>
      </c>
      <c r="ZZ232" t="s">
        <v>2472</v>
      </c>
    </row>
    <row r="233" spans="1:702" x14ac:dyDescent="0.25">
      <c r="A233" s="47" t="s">
        <v>1182</v>
      </c>
      <c r="B233" s="47" t="s">
        <v>153</v>
      </c>
      <c r="C233" s="47" t="s">
        <v>157</v>
      </c>
      <c r="D233" s="47" t="s">
        <v>2713</v>
      </c>
      <c r="E233" s="47" t="s">
        <v>1183</v>
      </c>
      <c r="F233" s="47" t="s">
        <v>1184</v>
      </c>
      <c r="G233" s="47" t="s">
        <v>1185</v>
      </c>
      <c r="H233" s="47" t="s">
        <v>698</v>
      </c>
      <c r="I233" s="47" t="s">
        <v>727</v>
      </c>
      <c r="J233" s="47" t="str">
        <f>=IFERROR(VLOOKUP(H233&amp;I233,Table_Fonctions!A:G,6,FALSE),"")</f>
        <v>0</v>
      </c>
      <c r="K233" s="47" t="s">
        <v>2607</v>
      </c>
      <c r="L233" s="47" t="str">
        <f>=IFERROR(VLOOKUP(H233&amp;I233,Table_Fonctions!A:G,7,FALSE),K233)</f>
        <v/>
      </c>
      <c r="M233" s="47" t="str">
        <f>=IF(OR(LEFT(D233, 3)="TJ ", LEFT(D233, 4)="CPH "), "OUI", "NON")</f>
        <v/>
      </c>
      <c r="N233" s="47" t="s">
        <v>902</v>
      </c>
      <c r="O233" s="47"/>
      <c r="P233" s="47">
        <v>1</v>
      </c>
      <c r="Q233" s="47">
        <v>1</v>
      </c>
      <c r="R233" s="47">
        <v>0</v>
      </c>
      <c r="S233" s="47">
        <f>=ROUND(BQ233-(BR233+BS233),3)</f>
      </c>
      <c r="T233" s="47">
        <f>=ROUND(CK233-(CL233+CM233+CN233+CO233+CP233),3)</f>
      </c>
      <c r="U233" s="47">
        <v>0</v>
      </c>
      <c r="V233" s="47">
        <v>0</v>
      </c>
      <c r="W233" s="47">
        <v>0</v>
      </c>
      <c r="X233" s="47">
        <v>0</v>
      </c>
      <c r="Y233" s="47">
        <v>0</v>
      </c>
      <c r="Z233" s="47">
        <v>0</v>
      </c>
      <c r="AA233" s="47">
        <v>0</v>
      </c>
      <c r="AB233" s="47">
        <v>0</v>
      </c>
      <c r="AC233" s="47">
        <v>0</v>
      </c>
      <c r="AD233" s="47">
        <v>0</v>
      </c>
      <c r="AE233" s="47">
        <v>0</v>
      </c>
      <c r="AF233" s="47">
        <v>0</v>
      </c>
      <c r="AG233" s="47">
        <v>0</v>
      </c>
      <c r="AH233" s="47">
        <v>0</v>
      </c>
      <c r="AI233" s="47">
        <v>0</v>
      </c>
      <c r="AJ233" s="47">
        <v>0</v>
      </c>
      <c r="AK233" s="47">
        <v>0</v>
      </c>
      <c r="AL233" s="47">
        <v>0</v>
      </c>
      <c r="AM233" s="47">
        <v>0</v>
      </c>
      <c r="AN233" s="47">
        <v>0</v>
      </c>
      <c r="AO233" s="47">
        <v>0</v>
      </c>
      <c r="AP233" s="47">
        <v>0</v>
      </c>
      <c r="AQ233" s="47">
        <v>0</v>
      </c>
      <c r="AR233" s="47">
        <v>0</v>
      </c>
      <c r="AS233" s="47">
        <v>1</v>
      </c>
      <c r="AT233" s="47">
        <v>0</v>
      </c>
      <c r="AU233" s="47">
        <v>0</v>
      </c>
      <c r="AV233" s="47">
        <v>0</v>
      </c>
      <c r="AW233" s="47">
        <v>0</v>
      </c>
      <c r="AX233" s="47">
        <v>0</v>
      </c>
      <c r="AY233" s="47">
        <v>0</v>
      </c>
      <c r="AZ233" s="47">
        <v>0</v>
      </c>
      <c r="BA233" s="47">
        <v>0</v>
      </c>
      <c r="BB233" s="47">
        <v>0</v>
      </c>
      <c r="BC233" s="47">
        <v>0</v>
      </c>
      <c r="BD233" s="47">
        <v>0</v>
      </c>
      <c r="BE233" s="47">
        <v>0</v>
      </c>
      <c r="BF233" s="47">
        <v>0</v>
      </c>
      <c r="BG233" s="47">
        <v>0</v>
      </c>
      <c r="BH233" s="47">
        <v>0</v>
      </c>
      <c r="BI233" s="47">
        <v>0</v>
      </c>
      <c r="BJ233" s="47">
        <v>0</v>
      </c>
      <c r="BK233" s="47">
        <v>0</v>
      </c>
      <c r="BL233" s="47">
        <v>0</v>
      </c>
      <c r="BM233" s="47">
        <v>0</v>
      </c>
      <c r="BN233" s="47">
        <v>0</v>
      </c>
      <c r="BO233" s="47">
        <v>0</v>
      </c>
      <c r="BP233" s="47">
        <v>0</v>
      </c>
      <c r="BQ233" s="47">
        <v>0</v>
      </c>
      <c r="BR233" s="47">
        <v>0</v>
      </c>
      <c r="BS233" s="47">
        <v>0</v>
      </c>
      <c r="BT233" s="47">
        <v>0</v>
      </c>
      <c r="BU233" s="47">
        <v>0</v>
      </c>
      <c r="BV233" s="47">
        <v>0</v>
      </c>
      <c r="BW233" s="47">
        <v>0</v>
      </c>
      <c r="BX233" s="47">
        <v>0</v>
      </c>
      <c r="BY233" s="47">
        <v>0</v>
      </c>
      <c r="BZ233" s="47">
        <v>0</v>
      </c>
      <c r="CA233" s="47">
        <v>0</v>
      </c>
      <c r="CB233" s="47">
        <v>0</v>
      </c>
      <c r="CC233" s="47">
        <v>0</v>
      </c>
      <c r="CD233" s="47">
        <v>0</v>
      </c>
      <c r="CE233" s="47">
        <v>0</v>
      </c>
      <c r="CF233" s="47">
        <v>0</v>
      </c>
      <c r="CG233" s="47">
        <v>0</v>
      </c>
      <c r="CH233" s="47">
        <v>0</v>
      </c>
      <c r="CI233" s="47">
        <v>0</v>
      </c>
      <c r="CJ233" s="47">
        <v>0</v>
      </c>
      <c r="CK233" s="47">
        <v>0</v>
      </c>
      <c r="CL233" s="47">
        <v>0</v>
      </c>
      <c r="CM233" s="47">
        <v>0</v>
      </c>
      <c r="CN233" s="47">
        <v>0</v>
      </c>
      <c r="CO233" s="47">
        <v>0</v>
      </c>
      <c r="CP233" s="47">
        <v>0</v>
      </c>
      <c r="CQ233" s="47">
        <v>0</v>
      </c>
      <c r="CR233" s="47">
        <v>0</v>
      </c>
      <c r="CS233" s="47">
        <v>0</v>
      </c>
      <c r="CT233" s="47">
        <v>0</v>
      </c>
      <c r="CU233" s="47">
        <v>0</v>
      </c>
      <c r="CV233" s="47">
        <v>0</v>
      </c>
      <c r="CW233" s="47">
        <v>0</v>
      </c>
      <c r="CX233" s="47">
        <v>0</v>
      </c>
      <c r="CY233" s="47">
        <v>0</v>
      </c>
      <c r="CZ233" s="47">
        <v>0</v>
      </c>
      <c r="DA233" s="47">
        <v>0</v>
      </c>
      <c r="DB233" s="47">
        <v>0</v>
      </c>
      <c r="DC233" s="47">
        <v>0</v>
      </c>
      <c r="DD233" s="47">
        <v>0</v>
      </c>
      <c r="DE233" s="47">
        <v>0</v>
      </c>
      <c r="DF233" s="47">
        <v>0</v>
      </c>
      <c r="DG233" s="47">
        <v>0</v>
      </c>
      <c r="DH233" s="47">
        <v>0</v>
      </c>
      <c r="DI233" s="47">
        <v>0</v>
      </c>
      <c r="DJ233" s="47">
        <v>0</v>
      </c>
      <c r="DK233" s="47">
        <v>0</v>
      </c>
      <c r="DL233" s="47">
        <v>0</v>
      </c>
      <c r="DM233" s="47">
        <v>0</v>
      </c>
      <c r="DN233" s="47">
        <v>0</v>
      </c>
      <c r="DO233" s="47">
        <v>0</v>
      </c>
      <c r="DP233" s="47">
        <v>0</v>
      </c>
      <c r="DQ233" s="47">
        <v>0</v>
      </c>
      <c r="DR233" s="47">
        <v>0</v>
      </c>
      <c r="DS233" s="47">
        <v>0</v>
      </c>
      <c r="DT233" s="47">
        <v>0</v>
      </c>
      <c r="DU233" s="47">
        <v>0</v>
      </c>
      <c r="DV233" s="47">
        <v>0</v>
      </c>
      <c r="DW233" s="47">
        <v>0</v>
      </c>
      <c r="DX233" s="47">
        <v>0</v>
      </c>
      <c r="DY233" s="47">
        <v>0</v>
      </c>
      <c r="DZ233" s="47">
        <v>0</v>
      </c>
      <c r="EA233" s="47">
        <v>0</v>
      </c>
      <c r="EB233" s="47"/>
      <c r="EC233" s="47">
        <v>1</v>
      </c>
      <c r="ZZ233" t="s">
        <v>2472</v>
      </c>
    </row>
    <row r="234" spans="1:702" x14ac:dyDescent="0.25">
      <c r="A234" s="47" t="s">
        <v>1186</v>
      </c>
      <c r="B234" s="47" t="s">
        <v>153</v>
      </c>
      <c r="C234" s="47" t="s">
        <v>157</v>
      </c>
      <c r="D234" s="47" t="s">
        <v>2714</v>
      </c>
      <c r="E234" s="47" t="s">
        <v>1187</v>
      </c>
      <c r="F234" s="47" t="s">
        <v>1188</v>
      </c>
      <c r="G234" s="47" t="s">
        <v>1189</v>
      </c>
      <c r="H234" s="47" t="s">
        <v>698</v>
      </c>
      <c r="I234" s="47" t="s">
        <v>727</v>
      </c>
      <c r="J234" s="47" t="str">
        <f>=IFERROR(VLOOKUP(H234&amp;I234,Table_Fonctions!A:G,6,FALSE),"")</f>
        <v>0</v>
      </c>
      <c r="K234" s="47" t="s">
        <v>2607</v>
      </c>
      <c r="L234" s="47" t="str">
        <f>=IFERROR(VLOOKUP(H234&amp;I234,Table_Fonctions!A:G,7,FALSE),K234)</f>
        <v/>
      </c>
      <c r="M234" s="47" t="str">
        <f>=IF(OR(LEFT(D234, 3)="TJ ", LEFT(D234, 4)="CPH "), "OUI", "NON")</f>
        <v/>
      </c>
      <c r="N234" s="47" t="s">
        <v>942</v>
      </c>
      <c r="O234" s="47"/>
      <c r="P234" s="47">
        <v>1</v>
      </c>
      <c r="Q234" s="47">
        <v>1</v>
      </c>
      <c r="R234" s="47">
        <v>0</v>
      </c>
      <c r="S234" s="47">
        <f>=ROUND(BQ234-(BR234+BS234),3)</f>
      </c>
      <c r="T234" s="47">
        <f>=ROUND(CK234-(CL234+CM234+CN234+CO234+CP234),3)</f>
      </c>
      <c r="U234" s="47">
        <v>0</v>
      </c>
      <c r="V234" s="47">
        <v>0</v>
      </c>
      <c r="W234" s="47">
        <v>0</v>
      </c>
      <c r="X234" s="47">
        <v>0</v>
      </c>
      <c r="Y234" s="47">
        <v>0</v>
      </c>
      <c r="Z234" s="47">
        <v>0</v>
      </c>
      <c r="AA234" s="47">
        <v>0</v>
      </c>
      <c r="AB234" s="47">
        <v>0</v>
      </c>
      <c r="AC234" s="47">
        <v>0</v>
      </c>
      <c r="AD234" s="47">
        <v>0</v>
      </c>
      <c r="AE234" s="47">
        <v>0</v>
      </c>
      <c r="AF234" s="47">
        <v>0</v>
      </c>
      <c r="AG234" s="47">
        <v>0</v>
      </c>
      <c r="AH234" s="47">
        <v>0</v>
      </c>
      <c r="AI234" s="47">
        <v>0</v>
      </c>
      <c r="AJ234" s="47">
        <v>0</v>
      </c>
      <c r="AK234" s="47">
        <v>0</v>
      </c>
      <c r="AL234" s="47">
        <v>0</v>
      </c>
      <c r="AM234" s="47">
        <v>0</v>
      </c>
      <c r="AN234" s="47">
        <v>0</v>
      </c>
      <c r="AO234" s="47">
        <v>0</v>
      </c>
      <c r="AP234" s="47">
        <v>0</v>
      </c>
      <c r="AQ234" s="47">
        <v>0</v>
      </c>
      <c r="AR234" s="47">
        <v>0</v>
      </c>
      <c r="AS234" s="47">
        <v>0</v>
      </c>
      <c r="AT234" s="47">
        <v>0</v>
      </c>
      <c r="AU234" s="47">
        <v>0</v>
      </c>
      <c r="AV234" s="47">
        <v>0</v>
      </c>
      <c r="AW234" s="47">
        <v>0</v>
      </c>
      <c r="AX234" s="47">
        <v>0</v>
      </c>
      <c r="AY234" s="47">
        <v>0</v>
      </c>
      <c r="AZ234" s="47">
        <v>0</v>
      </c>
      <c r="BA234" s="47">
        <v>0</v>
      </c>
      <c r="BB234" s="47">
        <v>0</v>
      </c>
      <c r="BC234" s="47">
        <v>0</v>
      </c>
      <c r="BD234" s="47">
        <v>0</v>
      </c>
      <c r="BE234" s="47">
        <v>0</v>
      </c>
      <c r="BF234" s="47">
        <v>0</v>
      </c>
      <c r="BG234" s="47">
        <v>0</v>
      </c>
      <c r="BH234" s="47">
        <v>0</v>
      </c>
      <c r="BI234" s="47">
        <v>0</v>
      </c>
      <c r="BJ234" s="47">
        <v>0</v>
      </c>
      <c r="BK234" s="47">
        <v>0</v>
      </c>
      <c r="BL234" s="47">
        <v>0</v>
      </c>
      <c r="BM234" s="47">
        <v>1</v>
      </c>
      <c r="BN234" s="47">
        <v>0</v>
      </c>
      <c r="BO234" s="47">
        <v>0</v>
      </c>
      <c r="BP234" s="47">
        <v>0</v>
      </c>
      <c r="BQ234" s="47">
        <v>0</v>
      </c>
      <c r="BR234" s="47">
        <v>0</v>
      </c>
      <c r="BS234" s="47">
        <v>0</v>
      </c>
      <c r="BT234" s="47">
        <v>0</v>
      </c>
      <c r="BU234" s="47">
        <v>0</v>
      </c>
      <c r="BV234" s="47">
        <v>0</v>
      </c>
      <c r="BW234" s="47">
        <v>0</v>
      </c>
      <c r="BX234" s="47">
        <v>0</v>
      </c>
      <c r="BY234" s="47">
        <v>0</v>
      </c>
      <c r="BZ234" s="47">
        <v>0</v>
      </c>
      <c r="CA234" s="47">
        <v>0</v>
      </c>
      <c r="CB234" s="47">
        <v>0</v>
      </c>
      <c r="CC234" s="47">
        <v>0</v>
      </c>
      <c r="CD234" s="47">
        <v>0</v>
      </c>
      <c r="CE234" s="47">
        <v>0</v>
      </c>
      <c r="CF234" s="47">
        <v>0</v>
      </c>
      <c r="CG234" s="47">
        <v>0</v>
      </c>
      <c r="CH234" s="47">
        <v>0</v>
      </c>
      <c r="CI234" s="47">
        <v>0</v>
      </c>
      <c r="CJ234" s="47">
        <v>0</v>
      </c>
      <c r="CK234" s="47">
        <v>0</v>
      </c>
      <c r="CL234" s="47">
        <v>0</v>
      </c>
      <c r="CM234" s="47">
        <v>0</v>
      </c>
      <c r="CN234" s="47">
        <v>0</v>
      </c>
      <c r="CO234" s="47">
        <v>0</v>
      </c>
      <c r="CP234" s="47">
        <v>0</v>
      </c>
      <c r="CQ234" s="47">
        <v>0</v>
      </c>
      <c r="CR234" s="47">
        <v>0</v>
      </c>
      <c r="CS234" s="47">
        <v>0</v>
      </c>
      <c r="CT234" s="47">
        <v>0</v>
      </c>
      <c r="CU234" s="47">
        <v>0</v>
      </c>
      <c r="CV234" s="47">
        <v>0</v>
      </c>
      <c r="CW234" s="47">
        <v>0</v>
      </c>
      <c r="CX234" s="47">
        <v>0</v>
      </c>
      <c r="CY234" s="47">
        <v>0</v>
      </c>
      <c r="CZ234" s="47">
        <v>0</v>
      </c>
      <c r="DA234" s="47">
        <v>0</v>
      </c>
      <c r="DB234" s="47">
        <v>0</v>
      </c>
      <c r="DC234" s="47">
        <v>0</v>
      </c>
      <c r="DD234" s="47">
        <v>0</v>
      </c>
      <c r="DE234" s="47">
        <v>0</v>
      </c>
      <c r="DF234" s="47">
        <v>0</v>
      </c>
      <c r="DG234" s="47">
        <v>0</v>
      </c>
      <c r="DH234" s="47">
        <v>0</v>
      </c>
      <c r="DI234" s="47">
        <v>0</v>
      </c>
      <c r="DJ234" s="47">
        <v>0</v>
      </c>
      <c r="DK234" s="47">
        <v>0</v>
      </c>
      <c r="DL234" s="47">
        <v>0</v>
      </c>
      <c r="DM234" s="47">
        <v>0</v>
      </c>
      <c r="DN234" s="47">
        <v>0</v>
      </c>
      <c r="DO234" s="47">
        <v>0</v>
      </c>
      <c r="DP234" s="47">
        <v>0</v>
      </c>
      <c r="DQ234" s="47">
        <v>0</v>
      </c>
      <c r="DR234" s="47">
        <v>0</v>
      </c>
      <c r="DS234" s="47">
        <v>0</v>
      </c>
      <c r="DT234" s="47">
        <v>0</v>
      </c>
      <c r="DU234" s="47">
        <v>0</v>
      </c>
      <c r="DV234" s="47">
        <v>0</v>
      </c>
      <c r="DW234" s="47">
        <v>0</v>
      </c>
      <c r="DX234" s="47">
        <v>0</v>
      </c>
      <c r="DY234" s="47">
        <v>0</v>
      </c>
      <c r="DZ234" s="47">
        <v>0</v>
      </c>
      <c r="EA234" s="47">
        <v>0</v>
      </c>
      <c r="EB234" s="47"/>
      <c r="EC234" s="47">
        <v>1</v>
      </c>
      <c r="ZZ234" t="s">
        <v>2472</v>
      </c>
    </row>
    <row r="235" spans="1:702" x14ac:dyDescent="0.25">
      <c r="A235" s="47" t="s">
        <v>1190</v>
      </c>
      <c r="B235" s="47" t="s">
        <v>153</v>
      </c>
      <c r="C235" s="47" t="s">
        <v>157</v>
      </c>
      <c r="D235" s="47" t="s">
        <v>2715</v>
      </c>
      <c r="E235" s="47" t="s">
        <v>1191</v>
      </c>
      <c r="F235" s="47" t="s">
        <v>1192</v>
      </c>
      <c r="G235" s="47" t="s">
        <v>1193</v>
      </c>
      <c r="H235" s="47" t="s">
        <v>698</v>
      </c>
      <c r="I235" s="47" t="s">
        <v>727</v>
      </c>
      <c r="J235" s="47" t="str">
        <f>=IFERROR(VLOOKUP(H235&amp;I235,Table_Fonctions!A:G,6,FALSE),"")</f>
        <v>0</v>
      </c>
      <c r="K235" s="47" t="s">
        <v>2607</v>
      </c>
      <c r="L235" s="47" t="str">
        <f>=IFERROR(VLOOKUP(H235&amp;I235,Table_Fonctions!A:G,7,FALSE),K235)</f>
        <v/>
      </c>
      <c r="M235" s="47" t="str">
        <f>=IF(OR(LEFT(D235, 3)="TJ ", LEFT(D235, 4)="CPH "), "OUI", "NON")</f>
        <v/>
      </c>
      <c r="N235" s="47" t="s">
        <v>836</v>
      </c>
      <c r="O235" s="47"/>
      <c r="P235" s="47">
        <v>1</v>
      </c>
      <c r="Q235" s="47">
        <v>0</v>
      </c>
      <c r="R235" s="47">
        <v>1</v>
      </c>
      <c r="S235" s="47">
        <f>=ROUND(BQ235-(BR235+BS235),3)</f>
      </c>
      <c r="T235" s="47">
        <f>=ROUND(CK235-(CL235+CM235+CN235+CO235+CP235),3)</f>
      </c>
      <c r="U235" s="47">
        <v>0</v>
      </c>
      <c r="V235" s="47">
        <v>0</v>
      </c>
      <c r="W235" s="47">
        <v>0</v>
      </c>
      <c r="X235" s="47">
        <v>0</v>
      </c>
      <c r="Y235" s="47">
        <v>0</v>
      </c>
      <c r="Z235" s="47">
        <v>0</v>
      </c>
      <c r="AA235" s="47">
        <v>0</v>
      </c>
      <c r="AB235" s="47">
        <v>0</v>
      </c>
      <c r="AC235" s="47">
        <v>0</v>
      </c>
      <c r="AD235" s="47">
        <v>0</v>
      </c>
      <c r="AE235" s="47">
        <v>0</v>
      </c>
      <c r="AF235" s="47">
        <v>0</v>
      </c>
      <c r="AG235" s="47">
        <v>0</v>
      </c>
      <c r="AH235" s="47">
        <v>0</v>
      </c>
      <c r="AI235" s="47">
        <v>0</v>
      </c>
      <c r="AJ235" s="47">
        <v>0</v>
      </c>
      <c r="AK235" s="47">
        <v>0</v>
      </c>
      <c r="AL235" s="47">
        <v>0</v>
      </c>
      <c r="AM235" s="47">
        <v>0</v>
      </c>
      <c r="AN235" s="47">
        <v>0</v>
      </c>
      <c r="AO235" s="47">
        <v>0</v>
      </c>
      <c r="AP235" s="47">
        <v>0</v>
      </c>
      <c r="AQ235" s="47">
        <v>0</v>
      </c>
      <c r="AR235" s="47">
        <v>0</v>
      </c>
      <c r="AS235" s="47">
        <v>0</v>
      </c>
      <c r="AT235" s="47">
        <v>0</v>
      </c>
      <c r="AU235" s="47">
        <v>0</v>
      </c>
      <c r="AV235" s="47">
        <v>0</v>
      </c>
      <c r="AW235" s="47">
        <v>0</v>
      </c>
      <c r="AX235" s="47">
        <v>0</v>
      </c>
      <c r="AY235" s="47">
        <v>0</v>
      </c>
      <c r="AZ235" s="47">
        <v>0</v>
      </c>
      <c r="BA235" s="47">
        <v>0</v>
      </c>
      <c r="BB235" s="47">
        <v>0</v>
      </c>
      <c r="BC235" s="47">
        <v>0</v>
      </c>
      <c r="BD235" s="47">
        <v>0</v>
      </c>
      <c r="BE235" s="47">
        <v>0</v>
      </c>
      <c r="BF235" s="47">
        <v>0</v>
      </c>
      <c r="BG235" s="47">
        <v>0</v>
      </c>
      <c r="BH235" s="47">
        <v>0</v>
      </c>
      <c r="BI235" s="47">
        <v>0</v>
      </c>
      <c r="BJ235" s="47">
        <v>0</v>
      </c>
      <c r="BK235" s="47">
        <v>0</v>
      </c>
      <c r="BL235" s="47">
        <v>0</v>
      </c>
      <c r="BM235" s="47">
        <v>0</v>
      </c>
      <c r="BN235" s="47">
        <v>0</v>
      </c>
      <c r="BO235" s="47">
        <v>0</v>
      </c>
      <c r="BP235" s="47">
        <v>0</v>
      </c>
      <c r="BQ235" s="47">
        <v>0</v>
      </c>
      <c r="BR235" s="47">
        <v>0</v>
      </c>
      <c r="BS235" s="47">
        <v>0</v>
      </c>
      <c r="BT235" s="47">
        <v>0</v>
      </c>
      <c r="BU235" s="47">
        <v>0</v>
      </c>
      <c r="BV235" s="47">
        <v>0</v>
      </c>
      <c r="BW235" s="47">
        <v>0</v>
      </c>
      <c r="BX235" s="47">
        <v>0</v>
      </c>
      <c r="BY235" s="47">
        <v>0</v>
      </c>
      <c r="BZ235" s="47">
        <v>0</v>
      </c>
      <c r="CA235" s="47">
        <v>0</v>
      </c>
      <c r="CB235" s="47">
        <v>0</v>
      </c>
      <c r="CC235" s="47">
        <v>0</v>
      </c>
      <c r="CD235" s="47">
        <v>0</v>
      </c>
      <c r="CE235" s="47">
        <v>0</v>
      </c>
      <c r="CF235" s="47">
        <v>0</v>
      </c>
      <c r="CG235" s="47">
        <v>0</v>
      </c>
      <c r="CH235" s="47">
        <v>0</v>
      </c>
      <c r="CI235" s="47">
        <v>0</v>
      </c>
      <c r="CJ235" s="47">
        <v>0</v>
      </c>
      <c r="CK235" s="47">
        <v>0</v>
      </c>
      <c r="CL235" s="47">
        <v>0</v>
      </c>
      <c r="CM235" s="47">
        <v>0</v>
      </c>
      <c r="CN235" s="47">
        <v>0</v>
      </c>
      <c r="CO235" s="47">
        <v>0</v>
      </c>
      <c r="CP235" s="47">
        <v>0</v>
      </c>
      <c r="CQ235" s="47">
        <v>0</v>
      </c>
      <c r="CR235" s="47">
        <v>0</v>
      </c>
      <c r="CS235" s="47">
        <v>0</v>
      </c>
      <c r="CT235" s="47">
        <v>0</v>
      </c>
      <c r="CU235" s="47">
        <v>0</v>
      </c>
      <c r="CV235" s="47">
        <v>0</v>
      </c>
      <c r="CW235" s="47">
        <v>0</v>
      </c>
      <c r="CX235" s="47">
        <v>0</v>
      </c>
      <c r="CY235" s="47">
        <v>0</v>
      </c>
      <c r="CZ235" s="47">
        <v>0</v>
      </c>
      <c r="DA235" s="47">
        <v>0</v>
      </c>
      <c r="DB235" s="47">
        <v>0</v>
      </c>
      <c r="DC235" s="47">
        <v>0</v>
      </c>
      <c r="DD235" s="47">
        <v>0</v>
      </c>
      <c r="DE235" s="47">
        <v>0</v>
      </c>
      <c r="DF235" s="47">
        <v>0</v>
      </c>
      <c r="DG235" s="47">
        <v>0</v>
      </c>
      <c r="DH235" s="47">
        <v>0</v>
      </c>
      <c r="DI235" s="47">
        <v>0</v>
      </c>
      <c r="DJ235" s="47">
        <v>0</v>
      </c>
      <c r="DK235" s="47">
        <v>0</v>
      </c>
      <c r="DL235" s="47">
        <v>0</v>
      </c>
      <c r="DM235" s="47">
        <v>0</v>
      </c>
      <c r="DN235" s="47">
        <v>0</v>
      </c>
      <c r="DO235" s="47">
        <v>0</v>
      </c>
      <c r="DP235" s="47">
        <v>0</v>
      </c>
      <c r="DQ235" s="47">
        <v>0</v>
      </c>
      <c r="DR235" s="47">
        <v>0</v>
      </c>
      <c r="DS235" s="47">
        <v>0</v>
      </c>
      <c r="DT235" s="47">
        <v>0</v>
      </c>
      <c r="DU235" s="47">
        <v>0</v>
      </c>
      <c r="DV235" s="47">
        <v>0</v>
      </c>
      <c r="DW235" s="47">
        <v>0</v>
      </c>
      <c r="DX235" s="47">
        <v>0</v>
      </c>
      <c r="DY235" s="47">
        <v>0</v>
      </c>
      <c r="DZ235" s="47">
        <v>0</v>
      </c>
      <c r="EA235" s="47">
        <v>0</v>
      </c>
      <c r="EB235" s="47"/>
      <c r="EC235" s="47">
        <v>1</v>
      </c>
      <c r="ZZ235" t="s">
        <v>2472</v>
      </c>
    </row>
    <row r="236" spans="1:702" x14ac:dyDescent="0.25">
      <c r="A236" s="47" t="s">
        <v>1194</v>
      </c>
      <c r="B236" s="47" t="s">
        <v>153</v>
      </c>
      <c r="C236" s="47" t="s">
        <v>157</v>
      </c>
      <c r="D236" s="47" t="s">
        <v>2716</v>
      </c>
      <c r="E236" s="47" t="s">
        <v>1195</v>
      </c>
      <c r="F236" s="47" t="s">
        <v>1196</v>
      </c>
      <c r="G236" s="47" t="s">
        <v>1197</v>
      </c>
      <c r="H236" s="47" t="s">
        <v>698</v>
      </c>
      <c r="I236" s="47" t="s">
        <v>727</v>
      </c>
      <c r="J236" s="47" t="str">
        <f>=IFERROR(VLOOKUP(H236&amp;I236,Table_Fonctions!A:G,6,FALSE),"")</f>
        <v>0</v>
      </c>
      <c r="K236" s="47" t="s">
        <v>2607</v>
      </c>
      <c r="L236" s="47" t="str">
        <f>=IFERROR(VLOOKUP(H236&amp;I236,Table_Fonctions!A:G,7,FALSE),K236)</f>
        <v/>
      </c>
      <c r="M236" s="47" t="str">
        <f>=IF(OR(LEFT(D236, 3)="TJ ", LEFT(D236, 4)="CPH "), "OUI", "NON")</f>
        <v/>
      </c>
      <c r="N236" s="47" t="s">
        <v>1085</v>
      </c>
      <c r="O236" s="47"/>
      <c r="P236" s="47">
        <v>1</v>
      </c>
      <c r="Q236" s="47">
        <v>0</v>
      </c>
      <c r="R236" s="47">
        <v>1</v>
      </c>
      <c r="S236" s="47">
        <f>=ROUND(BQ236-(BR236+BS236),3)</f>
      </c>
      <c r="T236" s="47">
        <f>=ROUND(CK236-(CL236+CM236+CN236+CO236+CP236),3)</f>
      </c>
      <c r="U236" s="47">
        <v>0</v>
      </c>
      <c r="V236" s="47">
        <v>0</v>
      </c>
      <c r="W236" s="47">
        <v>0</v>
      </c>
      <c r="X236" s="47">
        <v>0</v>
      </c>
      <c r="Y236" s="47">
        <v>0</v>
      </c>
      <c r="Z236" s="47">
        <v>0</v>
      </c>
      <c r="AA236" s="47">
        <v>0</v>
      </c>
      <c r="AB236" s="47">
        <v>0</v>
      </c>
      <c r="AC236" s="47">
        <v>0</v>
      </c>
      <c r="AD236" s="47">
        <v>0</v>
      </c>
      <c r="AE236" s="47">
        <v>0</v>
      </c>
      <c r="AF236" s="47">
        <v>0</v>
      </c>
      <c r="AG236" s="47">
        <v>0</v>
      </c>
      <c r="AH236" s="47">
        <v>0</v>
      </c>
      <c r="AI236" s="47">
        <v>0</v>
      </c>
      <c r="AJ236" s="47">
        <v>0</v>
      </c>
      <c r="AK236" s="47">
        <v>0</v>
      </c>
      <c r="AL236" s="47">
        <v>0</v>
      </c>
      <c r="AM236" s="47">
        <v>0</v>
      </c>
      <c r="AN236" s="47">
        <v>0</v>
      </c>
      <c r="AO236" s="47">
        <v>0</v>
      </c>
      <c r="AP236" s="47">
        <v>0</v>
      </c>
      <c r="AQ236" s="47">
        <v>0</v>
      </c>
      <c r="AR236" s="47">
        <v>0</v>
      </c>
      <c r="AS236" s="47">
        <v>0</v>
      </c>
      <c r="AT236" s="47">
        <v>0</v>
      </c>
      <c r="AU236" s="47">
        <v>0</v>
      </c>
      <c r="AV236" s="47">
        <v>0</v>
      </c>
      <c r="AW236" s="47">
        <v>0</v>
      </c>
      <c r="AX236" s="47">
        <v>0</v>
      </c>
      <c r="AY236" s="47">
        <v>0</v>
      </c>
      <c r="AZ236" s="47">
        <v>0</v>
      </c>
      <c r="BA236" s="47">
        <v>0</v>
      </c>
      <c r="BB236" s="47">
        <v>0</v>
      </c>
      <c r="BC236" s="47">
        <v>0</v>
      </c>
      <c r="BD236" s="47">
        <v>0</v>
      </c>
      <c r="BE236" s="47">
        <v>0</v>
      </c>
      <c r="BF236" s="47">
        <v>0</v>
      </c>
      <c r="BG236" s="47">
        <v>0</v>
      </c>
      <c r="BH236" s="47">
        <v>0</v>
      </c>
      <c r="BI236" s="47">
        <v>0</v>
      </c>
      <c r="BJ236" s="47">
        <v>0</v>
      </c>
      <c r="BK236" s="47">
        <v>0</v>
      </c>
      <c r="BL236" s="47">
        <v>0</v>
      </c>
      <c r="BM236" s="47">
        <v>0</v>
      </c>
      <c r="BN236" s="47">
        <v>0</v>
      </c>
      <c r="BO236" s="47">
        <v>0</v>
      </c>
      <c r="BP236" s="47">
        <v>0</v>
      </c>
      <c r="BQ236" s="47">
        <v>0</v>
      </c>
      <c r="BR236" s="47">
        <v>0</v>
      </c>
      <c r="BS236" s="47">
        <v>0</v>
      </c>
      <c r="BT236" s="47">
        <v>0</v>
      </c>
      <c r="BU236" s="47">
        <v>0</v>
      </c>
      <c r="BV236" s="47">
        <v>0</v>
      </c>
      <c r="BW236" s="47">
        <v>0</v>
      </c>
      <c r="BX236" s="47">
        <v>0</v>
      </c>
      <c r="BY236" s="47">
        <v>0</v>
      </c>
      <c r="BZ236" s="47">
        <v>0</v>
      </c>
      <c r="CA236" s="47">
        <v>0</v>
      </c>
      <c r="CB236" s="47">
        <v>0</v>
      </c>
      <c r="CC236" s="47">
        <v>0</v>
      </c>
      <c r="CD236" s="47">
        <v>0</v>
      </c>
      <c r="CE236" s="47">
        <v>0</v>
      </c>
      <c r="CF236" s="47">
        <v>0</v>
      </c>
      <c r="CG236" s="47">
        <v>0</v>
      </c>
      <c r="CH236" s="47">
        <v>0</v>
      </c>
      <c r="CI236" s="47">
        <v>0</v>
      </c>
      <c r="CJ236" s="47">
        <v>0</v>
      </c>
      <c r="CK236" s="47">
        <v>0</v>
      </c>
      <c r="CL236" s="47">
        <v>0</v>
      </c>
      <c r="CM236" s="47">
        <v>0</v>
      </c>
      <c r="CN236" s="47">
        <v>0</v>
      </c>
      <c r="CO236" s="47">
        <v>0</v>
      </c>
      <c r="CP236" s="47">
        <v>0</v>
      </c>
      <c r="CQ236" s="47">
        <v>0</v>
      </c>
      <c r="CR236" s="47">
        <v>0</v>
      </c>
      <c r="CS236" s="47">
        <v>0</v>
      </c>
      <c r="CT236" s="47">
        <v>0</v>
      </c>
      <c r="CU236" s="47">
        <v>0</v>
      </c>
      <c r="CV236" s="47">
        <v>0</v>
      </c>
      <c r="CW236" s="47">
        <v>0</v>
      </c>
      <c r="CX236" s="47">
        <v>0</v>
      </c>
      <c r="CY236" s="47">
        <v>0</v>
      </c>
      <c r="CZ236" s="47">
        <v>0</v>
      </c>
      <c r="DA236" s="47">
        <v>0</v>
      </c>
      <c r="DB236" s="47">
        <v>0</v>
      </c>
      <c r="DC236" s="47">
        <v>0</v>
      </c>
      <c r="DD236" s="47">
        <v>0</v>
      </c>
      <c r="DE236" s="47">
        <v>0</v>
      </c>
      <c r="DF236" s="47">
        <v>0</v>
      </c>
      <c r="DG236" s="47">
        <v>0</v>
      </c>
      <c r="DH236" s="47">
        <v>0</v>
      </c>
      <c r="DI236" s="47">
        <v>0</v>
      </c>
      <c r="DJ236" s="47">
        <v>0</v>
      </c>
      <c r="DK236" s="47">
        <v>0</v>
      </c>
      <c r="DL236" s="47">
        <v>0</v>
      </c>
      <c r="DM236" s="47">
        <v>0</v>
      </c>
      <c r="DN236" s="47">
        <v>0</v>
      </c>
      <c r="DO236" s="47">
        <v>0</v>
      </c>
      <c r="DP236" s="47">
        <v>0</v>
      </c>
      <c r="DQ236" s="47">
        <v>0</v>
      </c>
      <c r="DR236" s="47">
        <v>0</v>
      </c>
      <c r="DS236" s="47">
        <v>0</v>
      </c>
      <c r="DT236" s="47">
        <v>0</v>
      </c>
      <c r="DU236" s="47">
        <v>0</v>
      </c>
      <c r="DV236" s="47">
        <v>0</v>
      </c>
      <c r="DW236" s="47">
        <v>0</v>
      </c>
      <c r="DX236" s="47">
        <v>0</v>
      </c>
      <c r="DY236" s="47">
        <v>0</v>
      </c>
      <c r="DZ236" s="47">
        <v>0</v>
      </c>
      <c r="EA236" s="47">
        <v>0</v>
      </c>
      <c r="EB236" s="47"/>
      <c r="EC236" s="47">
        <v>1</v>
      </c>
      <c r="ZZ236" t="s">
        <v>2472</v>
      </c>
    </row>
    <row r="237" spans="1:702" x14ac:dyDescent="0.25">
      <c r="A237" s="47" t="s">
        <v>1198</v>
      </c>
      <c r="B237" s="47" t="s">
        <v>153</v>
      </c>
      <c r="C237" s="47" t="s">
        <v>157</v>
      </c>
      <c r="D237" s="47" t="s">
        <v>2717</v>
      </c>
      <c r="E237" s="47" t="s">
        <v>1199</v>
      </c>
      <c r="F237" s="47" t="s">
        <v>1200</v>
      </c>
      <c r="G237" s="47" t="s">
        <v>1201</v>
      </c>
      <c r="H237" s="47" t="s">
        <v>698</v>
      </c>
      <c r="I237" s="47" t="s">
        <v>705</v>
      </c>
      <c r="J237" s="47" t="str">
        <f>=IFERROR(VLOOKUP(H237&amp;I237,Table_Fonctions!A:G,6,FALSE),"")</f>
        <v>0</v>
      </c>
      <c r="K237" s="47" t="s">
        <v>2607</v>
      </c>
      <c r="L237" s="47" t="str">
        <f>=IFERROR(VLOOKUP(H237&amp;I237,Table_Fonctions!A:G,7,FALSE),K237)</f>
        <v/>
      </c>
      <c r="M237" s="47" t="str">
        <f>=IF(OR(LEFT(D237, 3)="TJ ", LEFT(D237, 4)="CPH "), "OUI", "NON")</f>
        <v/>
      </c>
      <c r="N237" s="47" t="s">
        <v>1202</v>
      </c>
      <c r="O237" s="47"/>
      <c r="P237" s="47">
        <v>0.8</v>
      </c>
      <c r="Q237" s="47">
        <v>0</v>
      </c>
      <c r="R237" s="47">
        <v>0.8</v>
      </c>
      <c r="S237" s="47">
        <f>=ROUND(BQ237-(BR237+BS237),3)</f>
      </c>
      <c r="T237" s="47">
        <f>=ROUND(CK237-(CL237+CM237+CN237+CO237+CP237),3)</f>
      </c>
      <c r="U237" s="47">
        <v>0</v>
      </c>
      <c r="V237" s="47">
        <v>0</v>
      </c>
      <c r="W237" s="47">
        <v>0</v>
      </c>
      <c r="X237" s="47">
        <v>0</v>
      </c>
      <c r="Y237" s="47">
        <v>0</v>
      </c>
      <c r="Z237" s="47">
        <v>0</v>
      </c>
      <c r="AA237" s="47">
        <v>0</v>
      </c>
      <c r="AB237" s="47">
        <v>0</v>
      </c>
      <c r="AC237" s="47">
        <v>0</v>
      </c>
      <c r="AD237" s="47">
        <v>0</v>
      </c>
      <c r="AE237" s="47">
        <v>0</v>
      </c>
      <c r="AF237" s="47">
        <v>0</v>
      </c>
      <c r="AG237" s="47">
        <v>0</v>
      </c>
      <c r="AH237" s="47">
        <v>0</v>
      </c>
      <c r="AI237" s="47">
        <v>0</v>
      </c>
      <c r="AJ237" s="47">
        <v>0</v>
      </c>
      <c r="AK237" s="47">
        <v>0</v>
      </c>
      <c r="AL237" s="47">
        <v>0</v>
      </c>
      <c r="AM237" s="47">
        <v>0</v>
      </c>
      <c r="AN237" s="47">
        <v>0</v>
      </c>
      <c r="AO237" s="47">
        <v>0</v>
      </c>
      <c r="AP237" s="47">
        <v>0</v>
      </c>
      <c r="AQ237" s="47">
        <v>0</v>
      </c>
      <c r="AR237" s="47">
        <v>0</v>
      </c>
      <c r="AS237" s="47">
        <v>0</v>
      </c>
      <c r="AT237" s="47">
        <v>0</v>
      </c>
      <c r="AU237" s="47">
        <v>0</v>
      </c>
      <c r="AV237" s="47">
        <v>0</v>
      </c>
      <c r="AW237" s="47">
        <v>0</v>
      </c>
      <c r="AX237" s="47">
        <v>0</v>
      </c>
      <c r="AY237" s="47">
        <v>0</v>
      </c>
      <c r="AZ237" s="47">
        <v>0</v>
      </c>
      <c r="BA237" s="47">
        <v>0</v>
      </c>
      <c r="BB237" s="47">
        <v>0</v>
      </c>
      <c r="BC237" s="47">
        <v>0</v>
      </c>
      <c r="BD237" s="47">
        <v>0</v>
      </c>
      <c r="BE237" s="47">
        <v>0</v>
      </c>
      <c r="BF237" s="47">
        <v>0</v>
      </c>
      <c r="BG237" s="47">
        <v>0</v>
      </c>
      <c r="BH237" s="47">
        <v>0</v>
      </c>
      <c r="BI237" s="47">
        <v>0</v>
      </c>
      <c r="BJ237" s="47">
        <v>0</v>
      </c>
      <c r="BK237" s="47">
        <v>0</v>
      </c>
      <c r="BL237" s="47">
        <v>0</v>
      </c>
      <c r="BM237" s="47">
        <v>0</v>
      </c>
      <c r="BN237" s="47">
        <v>0</v>
      </c>
      <c r="BO237" s="47">
        <v>0</v>
      </c>
      <c r="BP237" s="47">
        <v>0</v>
      </c>
      <c r="BQ237" s="47">
        <v>0</v>
      </c>
      <c r="BR237" s="47">
        <v>0</v>
      </c>
      <c r="BS237" s="47">
        <v>0</v>
      </c>
      <c r="BT237" s="47">
        <v>0</v>
      </c>
      <c r="BU237" s="47">
        <v>0</v>
      </c>
      <c r="BV237" s="47">
        <v>0</v>
      </c>
      <c r="BW237" s="47">
        <v>0</v>
      </c>
      <c r="BX237" s="47">
        <v>0</v>
      </c>
      <c r="BY237" s="47">
        <v>0</v>
      </c>
      <c r="BZ237" s="47">
        <v>0</v>
      </c>
      <c r="CA237" s="47">
        <v>0</v>
      </c>
      <c r="CB237" s="47">
        <v>0</v>
      </c>
      <c r="CC237" s="47">
        <v>0</v>
      </c>
      <c r="CD237" s="47">
        <v>0</v>
      </c>
      <c r="CE237" s="47">
        <v>0</v>
      </c>
      <c r="CF237" s="47">
        <v>0</v>
      </c>
      <c r="CG237" s="47">
        <v>0</v>
      </c>
      <c r="CH237" s="47">
        <v>0</v>
      </c>
      <c r="CI237" s="47">
        <v>0</v>
      </c>
      <c r="CJ237" s="47">
        <v>0</v>
      </c>
      <c r="CK237" s="47">
        <v>0</v>
      </c>
      <c r="CL237" s="47">
        <v>0</v>
      </c>
      <c r="CM237" s="47">
        <v>0</v>
      </c>
      <c r="CN237" s="47">
        <v>0</v>
      </c>
      <c r="CO237" s="47">
        <v>0</v>
      </c>
      <c r="CP237" s="47">
        <v>0</v>
      </c>
      <c r="CQ237" s="47">
        <v>0</v>
      </c>
      <c r="CR237" s="47">
        <v>0</v>
      </c>
      <c r="CS237" s="47">
        <v>0</v>
      </c>
      <c r="CT237" s="47">
        <v>0</v>
      </c>
      <c r="CU237" s="47">
        <v>0</v>
      </c>
      <c r="CV237" s="47">
        <v>0</v>
      </c>
      <c r="CW237" s="47">
        <v>0</v>
      </c>
      <c r="CX237" s="47">
        <v>0</v>
      </c>
      <c r="CY237" s="47">
        <v>0</v>
      </c>
      <c r="CZ237" s="47">
        <v>0</v>
      </c>
      <c r="DA237" s="47">
        <v>0</v>
      </c>
      <c r="DB237" s="47">
        <v>0</v>
      </c>
      <c r="DC237" s="47">
        <v>0</v>
      </c>
      <c r="DD237" s="47">
        <v>0</v>
      </c>
      <c r="DE237" s="47">
        <v>0</v>
      </c>
      <c r="DF237" s="47">
        <v>0</v>
      </c>
      <c r="DG237" s="47">
        <v>0</v>
      </c>
      <c r="DH237" s="47">
        <v>0</v>
      </c>
      <c r="DI237" s="47">
        <v>0</v>
      </c>
      <c r="DJ237" s="47">
        <v>0</v>
      </c>
      <c r="DK237" s="47">
        <v>0</v>
      </c>
      <c r="DL237" s="47">
        <v>0</v>
      </c>
      <c r="DM237" s="47">
        <v>0</v>
      </c>
      <c r="DN237" s="47">
        <v>0</v>
      </c>
      <c r="DO237" s="47">
        <v>0</v>
      </c>
      <c r="DP237" s="47">
        <v>0</v>
      </c>
      <c r="DQ237" s="47">
        <v>0</v>
      </c>
      <c r="DR237" s="47">
        <v>0</v>
      </c>
      <c r="DS237" s="47">
        <v>0</v>
      </c>
      <c r="DT237" s="47">
        <v>0</v>
      </c>
      <c r="DU237" s="47">
        <v>0</v>
      </c>
      <c r="DV237" s="47">
        <v>0</v>
      </c>
      <c r="DW237" s="47">
        <v>0</v>
      </c>
      <c r="DX237" s="47">
        <v>0</v>
      </c>
      <c r="DY237" s="47">
        <v>0</v>
      </c>
      <c r="DZ237" s="47">
        <v>0</v>
      </c>
      <c r="EA237" s="47">
        <v>0</v>
      </c>
      <c r="EB237" s="47"/>
      <c r="EC237" s="47">
        <v>0.8</v>
      </c>
      <c r="ZZ237" t="s">
        <v>2472</v>
      </c>
    </row>
    <row r="238" spans="1:702" x14ac:dyDescent="0.25">
      <c r="A238" s="47" t="s">
        <v>1203</v>
      </c>
      <c r="B238" s="47" t="s">
        <v>153</v>
      </c>
      <c r="C238" s="47" t="s">
        <v>157</v>
      </c>
      <c r="D238" s="47" t="s">
        <v>2718</v>
      </c>
      <c r="E238" s="47" t="s">
        <v>1204</v>
      </c>
      <c r="F238" s="47" t="s">
        <v>1205</v>
      </c>
      <c r="G238" s="47" t="s">
        <v>1206</v>
      </c>
      <c r="H238" s="47" t="s">
        <v>698</v>
      </c>
      <c r="I238" s="47" t="s">
        <v>727</v>
      </c>
      <c r="J238" s="47" t="str">
        <f>=IFERROR(VLOOKUP(H238&amp;I238,Table_Fonctions!A:G,6,FALSE),"")</f>
        <v>0</v>
      </c>
      <c r="K238" s="47" t="s">
        <v>2607</v>
      </c>
      <c r="L238" s="47" t="str">
        <f>=IFERROR(VLOOKUP(H238&amp;I238,Table_Fonctions!A:G,7,FALSE),K238)</f>
        <v/>
      </c>
      <c r="M238" s="47" t="str">
        <f>=IF(OR(LEFT(D238, 3)="TJ ", LEFT(D238, 4)="CPH "), "OUI", "NON")</f>
        <v/>
      </c>
      <c r="N238" s="47" t="s">
        <v>836</v>
      </c>
      <c r="O238" s="47"/>
      <c r="P238" s="47">
        <v>1</v>
      </c>
      <c r="Q238" s="47">
        <v>1</v>
      </c>
      <c r="R238" s="47">
        <v>0</v>
      </c>
      <c r="S238" s="47">
        <f>=ROUND(BQ238-(BR238+BS238),3)</f>
      </c>
      <c r="T238" s="47">
        <f>=ROUND(CK238-(CL238+CM238+CN238+CO238+CP238),3)</f>
      </c>
      <c r="U238" s="47">
        <v>0</v>
      </c>
      <c r="V238" s="47">
        <v>0</v>
      </c>
      <c r="W238" s="47">
        <v>0</v>
      </c>
      <c r="X238" s="47">
        <v>0</v>
      </c>
      <c r="Y238" s="47">
        <v>0</v>
      </c>
      <c r="Z238" s="47">
        <v>0</v>
      </c>
      <c r="AA238" s="47">
        <v>0</v>
      </c>
      <c r="AB238" s="47">
        <v>0</v>
      </c>
      <c r="AC238" s="47">
        <v>0</v>
      </c>
      <c r="AD238" s="47">
        <v>0</v>
      </c>
      <c r="AE238" s="47">
        <v>0</v>
      </c>
      <c r="AF238" s="47">
        <v>0</v>
      </c>
      <c r="AG238" s="47">
        <v>0</v>
      </c>
      <c r="AH238" s="47">
        <v>0</v>
      </c>
      <c r="AI238" s="47">
        <v>0</v>
      </c>
      <c r="AJ238" s="47">
        <v>0</v>
      </c>
      <c r="AK238" s="47">
        <v>0</v>
      </c>
      <c r="AL238" s="47">
        <v>0</v>
      </c>
      <c r="AM238" s="47">
        <v>0</v>
      </c>
      <c r="AN238" s="47">
        <v>0</v>
      </c>
      <c r="AO238" s="47">
        <v>0</v>
      </c>
      <c r="AP238" s="47">
        <v>0</v>
      </c>
      <c r="AQ238" s="47">
        <v>0</v>
      </c>
      <c r="AR238" s="47">
        <v>0</v>
      </c>
      <c r="AS238" s="47">
        <v>1</v>
      </c>
      <c r="AT238" s="47">
        <v>0</v>
      </c>
      <c r="AU238" s="47">
        <v>0</v>
      </c>
      <c r="AV238" s="47">
        <v>0</v>
      </c>
      <c r="AW238" s="47">
        <v>0</v>
      </c>
      <c r="AX238" s="47">
        <v>0</v>
      </c>
      <c r="AY238" s="47">
        <v>0</v>
      </c>
      <c r="AZ238" s="47">
        <v>0</v>
      </c>
      <c r="BA238" s="47">
        <v>0</v>
      </c>
      <c r="BB238" s="47">
        <v>0</v>
      </c>
      <c r="BC238" s="47">
        <v>0</v>
      </c>
      <c r="BD238" s="47">
        <v>0</v>
      </c>
      <c r="BE238" s="47">
        <v>0</v>
      </c>
      <c r="BF238" s="47">
        <v>0</v>
      </c>
      <c r="BG238" s="47">
        <v>0</v>
      </c>
      <c r="BH238" s="47">
        <v>0</v>
      </c>
      <c r="BI238" s="47">
        <v>0</v>
      </c>
      <c r="BJ238" s="47">
        <v>0</v>
      </c>
      <c r="BK238" s="47">
        <v>0</v>
      </c>
      <c r="BL238" s="47">
        <v>0</v>
      </c>
      <c r="BM238" s="47">
        <v>0</v>
      </c>
      <c r="BN238" s="47">
        <v>0</v>
      </c>
      <c r="BO238" s="47">
        <v>0</v>
      </c>
      <c r="BP238" s="47">
        <v>0</v>
      </c>
      <c r="BQ238" s="47">
        <v>0</v>
      </c>
      <c r="BR238" s="47">
        <v>0</v>
      </c>
      <c r="BS238" s="47">
        <v>0</v>
      </c>
      <c r="BT238" s="47">
        <v>0</v>
      </c>
      <c r="BU238" s="47">
        <v>0</v>
      </c>
      <c r="BV238" s="47">
        <v>0</v>
      </c>
      <c r="BW238" s="47">
        <v>0</v>
      </c>
      <c r="BX238" s="47">
        <v>0</v>
      </c>
      <c r="BY238" s="47">
        <v>0</v>
      </c>
      <c r="BZ238" s="47">
        <v>0</v>
      </c>
      <c r="CA238" s="47">
        <v>0</v>
      </c>
      <c r="CB238" s="47">
        <v>0</v>
      </c>
      <c r="CC238" s="47">
        <v>0</v>
      </c>
      <c r="CD238" s="47">
        <v>0</v>
      </c>
      <c r="CE238" s="47">
        <v>0</v>
      </c>
      <c r="CF238" s="47">
        <v>0</v>
      </c>
      <c r="CG238" s="47">
        <v>0</v>
      </c>
      <c r="CH238" s="47">
        <v>0</v>
      </c>
      <c r="CI238" s="47">
        <v>0</v>
      </c>
      <c r="CJ238" s="47">
        <v>0</v>
      </c>
      <c r="CK238" s="47">
        <v>0</v>
      </c>
      <c r="CL238" s="47">
        <v>0</v>
      </c>
      <c r="CM238" s="47">
        <v>0</v>
      </c>
      <c r="CN238" s="47">
        <v>0</v>
      </c>
      <c r="CO238" s="47">
        <v>0</v>
      </c>
      <c r="CP238" s="47">
        <v>0</v>
      </c>
      <c r="CQ238" s="47">
        <v>0</v>
      </c>
      <c r="CR238" s="47">
        <v>0</v>
      </c>
      <c r="CS238" s="47">
        <v>0</v>
      </c>
      <c r="CT238" s="47">
        <v>0</v>
      </c>
      <c r="CU238" s="47">
        <v>0</v>
      </c>
      <c r="CV238" s="47">
        <v>0</v>
      </c>
      <c r="CW238" s="47">
        <v>0</v>
      </c>
      <c r="CX238" s="47">
        <v>0</v>
      </c>
      <c r="CY238" s="47">
        <v>0</v>
      </c>
      <c r="CZ238" s="47">
        <v>0</v>
      </c>
      <c r="DA238" s="47">
        <v>0</v>
      </c>
      <c r="DB238" s="47">
        <v>0</v>
      </c>
      <c r="DC238" s="47">
        <v>0</v>
      </c>
      <c r="DD238" s="47">
        <v>0</v>
      </c>
      <c r="DE238" s="47">
        <v>0</v>
      </c>
      <c r="DF238" s="47">
        <v>0</v>
      </c>
      <c r="DG238" s="47">
        <v>0</v>
      </c>
      <c r="DH238" s="47">
        <v>0</v>
      </c>
      <c r="DI238" s="47">
        <v>0</v>
      </c>
      <c r="DJ238" s="47">
        <v>0</v>
      </c>
      <c r="DK238" s="47">
        <v>0</v>
      </c>
      <c r="DL238" s="47">
        <v>0</v>
      </c>
      <c r="DM238" s="47">
        <v>0</v>
      </c>
      <c r="DN238" s="47">
        <v>0</v>
      </c>
      <c r="DO238" s="47">
        <v>0</v>
      </c>
      <c r="DP238" s="47">
        <v>0</v>
      </c>
      <c r="DQ238" s="47">
        <v>0</v>
      </c>
      <c r="DR238" s="47">
        <v>0</v>
      </c>
      <c r="DS238" s="47">
        <v>0</v>
      </c>
      <c r="DT238" s="47">
        <v>0</v>
      </c>
      <c r="DU238" s="47">
        <v>0</v>
      </c>
      <c r="DV238" s="47">
        <v>0</v>
      </c>
      <c r="DW238" s="47">
        <v>0</v>
      </c>
      <c r="DX238" s="47">
        <v>0</v>
      </c>
      <c r="DY238" s="47">
        <v>0</v>
      </c>
      <c r="DZ238" s="47">
        <v>0</v>
      </c>
      <c r="EA238" s="47">
        <v>0</v>
      </c>
      <c r="EB238" s="47"/>
      <c r="EC238" s="47">
        <v>1</v>
      </c>
      <c r="ZZ238" t="s">
        <v>2472</v>
      </c>
    </row>
    <row r="239" spans="1:702" x14ac:dyDescent="0.25">
      <c r="A239" s="47" t="s">
        <v>1207</v>
      </c>
      <c r="B239" s="47" t="s">
        <v>153</v>
      </c>
      <c r="C239" s="47" t="s">
        <v>157</v>
      </c>
      <c r="D239" s="47" t="s">
        <v>2719</v>
      </c>
      <c r="E239" s="47" t="s">
        <v>1208</v>
      </c>
      <c r="F239" s="47" t="s">
        <v>1209</v>
      </c>
      <c r="G239" s="47" t="s">
        <v>1210</v>
      </c>
      <c r="H239" s="47" t="s">
        <v>698</v>
      </c>
      <c r="I239" s="47" t="s">
        <v>1211</v>
      </c>
      <c r="J239" s="47" t="str">
        <f>=IFERROR(VLOOKUP(H239&amp;I239,Table_Fonctions!A:G,6,FALSE),"")</f>
        <v>0</v>
      </c>
      <c r="K239" s="47" t="s">
        <v>2605</v>
      </c>
      <c r="L239" s="47" t="str">
        <f>=IFERROR(VLOOKUP(H239&amp;I239,Table_Fonctions!A:G,7,FALSE),K239)</f>
        <v/>
      </c>
      <c r="M239" s="47" t="str">
        <f>=IF(OR(LEFT(D239, 3)="TJ ", LEFT(D239, 4)="CPH "), "OUI", "NON")</f>
        <v/>
      </c>
      <c r="N239" s="47" t="s">
        <v>907</v>
      </c>
      <c r="O239" s="47"/>
      <c r="P239" s="47">
        <v>1</v>
      </c>
      <c r="Q239" s="47">
        <v>1</v>
      </c>
      <c r="R239" s="47">
        <v>0</v>
      </c>
      <c r="S239" s="47">
        <f>=ROUND(BQ239-(BR239+BS239),3)</f>
      </c>
      <c r="T239" s="47">
        <f>=ROUND(CK239-(CL239+CM239+CN239+CO239+CP239),3)</f>
      </c>
      <c r="U239" s="47">
        <v>0</v>
      </c>
      <c r="V239" s="47">
        <v>0</v>
      </c>
      <c r="W239" s="47">
        <v>0</v>
      </c>
      <c r="X239" s="47">
        <v>0</v>
      </c>
      <c r="Y239" s="47">
        <v>0</v>
      </c>
      <c r="Z239" s="47">
        <v>0</v>
      </c>
      <c r="AA239" s="47">
        <v>0</v>
      </c>
      <c r="AB239" s="47">
        <v>0</v>
      </c>
      <c r="AC239" s="47">
        <v>0</v>
      </c>
      <c r="AD239" s="47">
        <v>0</v>
      </c>
      <c r="AE239" s="47">
        <v>0</v>
      </c>
      <c r="AF239" s="47">
        <v>0</v>
      </c>
      <c r="AG239" s="47">
        <v>0</v>
      </c>
      <c r="AH239" s="47">
        <v>0</v>
      </c>
      <c r="AI239" s="47">
        <v>0</v>
      </c>
      <c r="AJ239" s="47">
        <v>0</v>
      </c>
      <c r="AK239" s="47">
        <v>0</v>
      </c>
      <c r="AL239" s="47">
        <v>0</v>
      </c>
      <c r="AM239" s="47">
        <v>0</v>
      </c>
      <c r="AN239" s="47">
        <v>0</v>
      </c>
      <c r="AO239" s="47">
        <v>0</v>
      </c>
      <c r="AP239" s="47">
        <v>0</v>
      </c>
      <c r="AQ239" s="47">
        <v>0</v>
      </c>
      <c r="AR239" s="47">
        <v>0</v>
      </c>
      <c r="AS239" s="47">
        <v>0</v>
      </c>
      <c r="AT239" s="47">
        <v>0</v>
      </c>
      <c r="AU239" s="47">
        <v>0</v>
      </c>
      <c r="AV239" s="47">
        <v>0</v>
      </c>
      <c r="AW239" s="47">
        <v>0</v>
      </c>
      <c r="AX239" s="47">
        <v>0</v>
      </c>
      <c r="AY239" s="47">
        <v>0</v>
      </c>
      <c r="AZ239" s="47">
        <v>0</v>
      </c>
      <c r="BA239" s="47">
        <v>0</v>
      </c>
      <c r="BB239" s="47">
        <v>0</v>
      </c>
      <c r="BC239" s="47">
        <v>0</v>
      </c>
      <c r="BD239" s="47">
        <v>0</v>
      </c>
      <c r="BE239" s="47">
        <v>0</v>
      </c>
      <c r="BF239" s="47">
        <v>0</v>
      </c>
      <c r="BG239" s="47">
        <v>0</v>
      </c>
      <c r="BH239" s="47">
        <v>0</v>
      </c>
      <c r="BI239" s="47">
        <v>0</v>
      </c>
      <c r="BJ239" s="47">
        <v>0</v>
      </c>
      <c r="BK239" s="47">
        <v>0</v>
      </c>
      <c r="BL239" s="47">
        <v>0</v>
      </c>
      <c r="BM239" s="47">
        <v>0</v>
      </c>
      <c r="BN239" s="47">
        <v>0</v>
      </c>
      <c r="BO239" s="47">
        <v>0</v>
      </c>
      <c r="BP239" s="47">
        <v>0</v>
      </c>
      <c r="BQ239" s="47">
        <v>0</v>
      </c>
      <c r="BR239" s="47">
        <v>0</v>
      </c>
      <c r="BS239" s="47">
        <v>0</v>
      </c>
      <c r="BT239" s="47">
        <v>1</v>
      </c>
      <c r="BU239" s="47">
        <v>0</v>
      </c>
      <c r="BV239" s="47">
        <v>0</v>
      </c>
      <c r="BW239" s="47">
        <v>0</v>
      </c>
      <c r="BX239" s="47">
        <v>0</v>
      </c>
      <c r="BY239" s="47">
        <v>0</v>
      </c>
      <c r="BZ239" s="47">
        <v>1</v>
      </c>
      <c r="CA239" s="47">
        <v>0</v>
      </c>
      <c r="CB239" s="47">
        <v>0</v>
      </c>
      <c r="CC239" s="47">
        <v>0</v>
      </c>
      <c r="CD239" s="47">
        <v>0</v>
      </c>
      <c r="CE239" s="47">
        <v>0</v>
      </c>
      <c r="CF239" s="47">
        <v>0</v>
      </c>
      <c r="CG239" s="47">
        <v>0</v>
      </c>
      <c r="CH239" s="47">
        <v>0</v>
      </c>
      <c r="CI239" s="47">
        <v>0</v>
      </c>
      <c r="CJ239" s="47">
        <v>0</v>
      </c>
      <c r="CK239" s="47">
        <v>0</v>
      </c>
      <c r="CL239" s="47">
        <v>0</v>
      </c>
      <c r="CM239" s="47">
        <v>0</v>
      </c>
      <c r="CN239" s="47">
        <v>0</v>
      </c>
      <c r="CO239" s="47">
        <v>0</v>
      </c>
      <c r="CP239" s="47">
        <v>0</v>
      </c>
      <c r="CQ239" s="47">
        <v>0</v>
      </c>
      <c r="CR239" s="47">
        <v>0</v>
      </c>
      <c r="CS239" s="47">
        <v>0</v>
      </c>
      <c r="CT239" s="47">
        <v>0</v>
      </c>
      <c r="CU239" s="47">
        <v>0</v>
      </c>
      <c r="CV239" s="47">
        <v>0</v>
      </c>
      <c r="CW239" s="47">
        <v>0</v>
      </c>
      <c r="CX239" s="47">
        <v>0</v>
      </c>
      <c r="CY239" s="47">
        <v>0</v>
      </c>
      <c r="CZ239" s="47">
        <v>0</v>
      </c>
      <c r="DA239" s="47">
        <v>0</v>
      </c>
      <c r="DB239" s="47">
        <v>0</v>
      </c>
      <c r="DC239" s="47">
        <v>0</v>
      </c>
      <c r="DD239" s="47">
        <v>0</v>
      </c>
      <c r="DE239" s="47">
        <v>0</v>
      </c>
      <c r="DF239" s="47">
        <v>0</v>
      </c>
      <c r="DG239" s="47">
        <v>0</v>
      </c>
      <c r="DH239" s="47">
        <v>0</v>
      </c>
      <c r="DI239" s="47">
        <v>0</v>
      </c>
      <c r="DJ239" s="47">
        <v>0</v>
      </c>
      <c r="DK239" s="47">
        <v>0</v>
      </c>
      <c r="DL239" s="47">
        <v>0</v>
      </c>
      <c r="DM239" s="47">
        <v>0</v>
      </c>
      <c r="DN239" s="47">
        <v>0</v>
      </c>
      <c r="DO239" s="47">
        <v>0</v>
      </c>
      <c r="DP239" s="47">
        <v>0</v>
      </c>
      <c r="DQ239" s="47">
        <v>0</v>
      </c>
      <c r="DR239" s="47">
        <v>0</v>
      </c>
      <c r="DS239" s="47">
        <v>0</v>
      </c>
      <c r="DT239" s="47">
        <v>0</v>
      </c>
      <c r="DU239" s="47">
        <v>0</v>
      </c>
      <c r="DV239" s="47">
        <v>0</v>
      </c>
      <c r="DW239" s="47">
        <v>0</v>
      </c>
      <c r="DX239" s="47">
        <v>0</v>
      </c>
      <c r="DY239" s="47">
        <v>0</v>
      </c>
      <c r="DZ239" s="47">
        <v>0</v>
      </c>
      <c r="EA239" s="47">
        <v>0</v>
      </c>
      <c r="EB239" s="47"/>
      <c r="EC239" s="47">
        <v>1</v>
      </c>
      <c r="ZZ239" t="s">
        <v>2472</v>
      </c>
    </row>
    <row r="240" spans="1:702" x14ac:dyDescent="0.25">
      <c r="A240" s="47" t="s">
        <v>1212</v>
      </c>
      <c r="B240" s="47" t="s">
        <v>153</v>
      </c>
      <c r="C240" s="47" t="s">
        <v>157</v>
      </c>
      <c r="D240" s="47" t="s">
        <v>2720</v>
      </c>
      <c r="E240" s="47" t="s">
        <v>1213</v>
      </c>
      <c r="F240" s="47" t="s">
        <v>1214</v>
      </c>
      <c r="G240" s="47" t="s">
        <v>1215</v>
      </c>
      <c r="H240" s="47" t="s">
        <v>698</v>
      </c>
      <c r="I240" s="47" t="s">
        <v>711</v>
      </c>
      <c r="J240" s="47" t="str">
        <f>=IFERROR(VLOOKUP(H240&amp;I240,Table_Fonctions!A:G,6,FALSE),"")</f>
        <v>0</v>
      </c>
      <c r="K240" s="47" t="s">
        <v>2605</v>
      </c>
      <c r="L240" s="47" t="str">
        <f>=IFERROR(VLOOKUP(H240&amp;I240,Table_Fonctions!A:G,7,FALSE),K240)</f>
        <v/>
      </c>
      <c r="M240" s="47" t="str">
        <f>=IF(OR(LEFT(D240, 3)="TJ ", LEFT(D240, 4)="CPH "), "OUI", "NON")</f>
        <v/>
      </c>
      <c r="N240" s="47" t="s">
        <v>1216</v>
      </c>
      <c r="O240" s="47"/>
      <c r="P240" s="47">
        <v>1</v>
      </c>
      <c r="Q240" s="47">
        <v>1</v>
      </c>
      <c r="R240" s="47">
        <v>0</v>
      </c>
      <c r="S240" s="47">
        <f>=ROUND(BQ240-(BR240+BS240),3)</f>
      </c>
      <c r="T240" s="47">
        <f>=ROUND(CK240-(CL240+CM240+CN240+CO240+CP240),3)</f>
      </c>
      <c r="U240" s="47">
        <v>0</v>
      </c>
      <c r="V240" s="47">
        <v>0</v>
      </c>
      <c r="W240" s="47">
        <v>0</v>
      </c>
      <c r="X240" s="47">
        <v>0</v>
      </c>
      <c r="Y240" s="47">
        <v>0</v>
      </c>
      <c r="Z240" s="47">
        <v>0</v>
      </c>
      <c r="AA240" s="47">
        <v>0</v>
      </c>
      <c r="AB240" s="47">
        <v>0</v>
      </c>
      <c r="AC240" s="47">
        <v>0</v>
      </c>
      <c r="AD240" s="47">
        <v>0</v>
      </c>
      <c r="AE240" s="47">
        <v>0</v>
      </c>
      <c r="AF240" s="47">
        <v>0</v>
      </c>
      <c r="AG240" s="47">
        <v>0</v>
      </c>
      <c r="AH240" s="47">
        <v>0</v>
      </c>
      <c r="AI240" s="47">
        <v>0</v>
      </c>
      <c r="AJ240" s="47">
        <v>0</v>
      </c>
      <c r="AK240" s="47">
        <v>0</v>
      </c>
      <c r="AL240" s="47">
        <v>0</v>
      </c>
      <c r="AM240" s="47">
        <v>0</v>
      </c>
      <c r="AN240" s="47">
        <v>0</v>
      </c>
      <c r="AO240" s="47">
        <v>0</v>
      </c>
      <c r="AP240" s="47">
        <v>0</v>
      </c>
      <c r="AQ240" s="47">
        <v>0</v>
      </c>
      <c r="AR240" s="47">
        <v>0</v>
      </c>
      <c r="AS240" s="47">
        <v>0</v>
      </c>
      <c r="AT240" s="47">
        <v>0</v>
      </c>
      <c r="AU240" s="47">
        <v>0</v>
      </c>
      <c r="AV240" s="47">
        <v>0</v>
      </c>
      <c r="AW240" s="47">
        <v>0</v>
      </c>
      <c r="AX240" s="47">
        <v>0</v>
      </c>
      <c r="AY240" s="47">
        <v>0</v>
      </c>
      <c r="AZ240" s="47">
        <v>0</v>
      </c>
      <c r="BA240" s="47">
        <v>0</v>
      </c>
      <c r="BB240" s="47">
        <v>0</v>
      </c>
      <c r="BC240" s="47">
        <v>0</v>
      </c>
      <c r="BD240" s="47">
        <v>0</v>
      </c>
      <c r="BE240" s="47">
        <v>0</v>
      </c>
      <c r="BF240" s="47">
        <v>0</v>
      </c>
      <c r="BG240" s="47">
        <v>0</v>
      </c>
      <c r="BH240" s="47">
        <v>0</v>
      </c>
      <c r="BI240" s="47">
        <v>0</v>
      </c>
      <c r="BJ240" s="47">
        <v>0</v>
      </c>
      <c r="BK240" s="47">
        <v>0</v>
      </c>
      <c r="BL240" s="47">
        <v>0</v>
      </c>
      <c r="BM240" s="47">
        <v>0</v>
      </c>
      <c r="BN240" s="47">
        <v>0</v>
      </c>
      <c r="BO240" s="47">
        <v>0</v>
      </c>
      <c r="BP240" s="47">
        <v>0</v>
      </c>
      <c r="BQ240" s="47">
        <v>1</v>
      </c>
      <c r="BR240" s="47">
        <v>1</v>
      </c>
      <c r="BS240" s="47">
        <v>0</v>
      </c>
      <c r="BT240" s="47">
        <v>0</v>
      </c>
      <c r="BU240" s="47">
        <v>0</v>
      </c>
      <c r="BV240" s="47">
        <v>0</v>
      </c>
      <c r="BW240" s="47">
        <v>0</v>
      </c>
      <c r="BX240" s="47">
        <v>0</v>
      </c>
      <c r="BY240" s="47">
        <v>0</v>
      </c>
      <c r="BZ240" s="47">
        <v>0</v>
      </c>
      <c r="CA240" s="47">
        <v>0</v>
      </c>
      <c r="CB240" s="47">
        <v>0</v>
      </c>
      <c r="CC240" s="47">
        <v>0</v>
      </c>
      <c r="CD240" s="47">
        <v>0</v>
      </c>
      <c r="CE240" s="47">
        <v>0</v>
      </c>
      <c r="CF240" s="47">
        <v>0</v>
      </c>
      <c r="CG240" s="47">
        <v>0</v>
      </c>
      <c r="CH240" s="47">
        <v>0</v>
      </c>
      <c r="CI240" s="47">
        <v>0</v>
      </c>
      <c r="CJ240" s="47">
        <v>0</v>
      </c>
      <c r="CK240" s="47">
        <v>0</v>
      </c>
      <c r="CL240" s="47">
        <v>0</v>
      </c>
      <c r="CM240" s="47">
        <v>0</v>
      </c>
      <c r="CN240" s="47">
        <v>0</v>
      </c>
      <c r="CO240" s="47">
        <v>0</v>
      </c>
      <c r="CP240" s="47">
        <v>0</v>
      </c>
      <c r="CQ240" s="47">
        <v>0</v>
      </c>
      <c r="CR240" s="47">
        <v>0</v>
      </c>
      <c r="CS240" s="47">
        <v>0</v>
      </c>
      <c r="CT240" s="47">
        <v>0</v>
      </c>
      <c r="CU240" s="47">
        <v>0</v>
      </c>
      <c r="CV240" s="47">
        <v>0</v>
      </c>
      <c r="CW240" s="47">
        <v>0</v>
      </c>
      <c r="CX240" s="47">
        <v>0</v>
      </c>
      <c r="CY240" s="47">
        <v>0</v>
      </c>
      <c r="CZ240" s="47">
        <v>0</v>
      </c>
      <c r="DA240" s="47">
        <v>0</v>
      </c>
      <c r="DB240" s="47">
        <v>0</v>
      </c>
      <c r="DC240" s="47">
        <v>0</v>
      </c>
      <c r="DD240" s="47">
        <v>0</v>
      </c>
      <c r="DE240" s="47">
        <v>0</v>
      </c>
      <c r="DF240" s="47">
        <v>0</v>
      </c>
      <c r="DG240" s="47">
        <v>0</v>
      </c>
      <c r="DH240" s="47">
        <v>0</v>
      </c>
      <c r="DI240" s="47">
        <v>0</v>
      </c>
      <c r="DJ240" s="47">
        <v>0</v>
      </c>
      <c r="DK240" s="47">
        <v>0</v>
      </c>
      <c r="DL240" s="47">
        <v>0</v>
      </c>
      <c r="DM240" s="47">
        <v>0</v>
      </c>
      <c r="DN240" s="47">
        <v>0</v>
      </c>
      <c r="DO240" s="47">
        <v>0</v>
      </c>
      <c r="DP240" s="47">
        <v>0</v>
      </c>
      <c r="DQ240" s="47">
        <v>0</v>
      </c>
      <c r="DR240" s="47">
        <v>0</v>
      </c>
      <c r="DS240" s="47">
        <v>0</v>
      </c>
      <c r="DT240" s="47">
        <v>0</v>
      </c>
      <c r="DU240" s="47">
        <v>0</v>
      </c>
      <c r="DV240" s="47">
        <v>0</v>
      </c>
      <c r="DW240" s="47">
        <v>0</v>
      </c>
      <c r="DX240" s="47">
        <v>0</v>
      </c>
      <c r="DY240" s="47">
        <v>0</v>
      </c>
      <c r="DZ240" s="47">
        <v>0</v>
      </c>
      <c r="EA240" s="47">
        <v>0</v>
      </c>
      <c r="EB240" s="47"/>
      <c r="EC240" s="47">
        <v>1</v>
      </c>
      <c r="ZZ240" t="s">
        <v>2472</v>
      </c>
    </row>
    <row r="241" spans="1:702" x14ac:dyDescent="0.25">
      <c r="A241" s="47" t="s">
        <v>1217</v>
      </c>
      <c r="B241" s="47" t="s">
        <v>153</v>
      </c>
      <c r="C241" s="47" t="s">
        <v>157</v>
      </c>
      <c r="D241" s="47" t="s">
        <v>2721</v>
      </c>
      <c r="E241" s="47" t="s">
        <v>1218</v>
      </c>
      <c r="F241" s="47" t="s">
        <v>1219</v>
      </c>
      <c r="G241" s="47" t="s">
        <v>1220</v>
      </c>
      <c r="H241" s="47" t="s">
        <v>698</v>
      </c>
      <c r="I241" s="47" t="s">
        <v>727</v>
      </c>
      <c r="J241" s="47" t="str">
        <f>=IFERROR(VLOOKUP(H241&amp;I241,Table_Fonctions!A:G,6,FALSE),"")</f>
        <v>0</v>
      </c>
      <c r="K241" s="47" t="s">
        <v>2607</v>
      </c>
      <c r="L241" s="47" t="str">
        <f>=IFERROR(VLOOKUP(H241&amp;I241,Table_Fonctions!A:G,7,FALSE),K241)</f>
        <v/>
      </c>
      <c r="M241" s="47" t="str">
        <f>=IF(OR(LEFT(D241, 3)="TJ ", LEFT(D241, 4)="CPH "), "OUI", "NON")</f>
        <v/>
      </c>
      <c r="N241" s="47" t="s">
        <v>782</v>
      </c>
      <c r="O241" s="47"/>
      <c r="P241" s="47">
        <v>1</v>
      </c>
      <c r="Q241" s="47">
        <v>0</v>
      </c>
      <c r="R241" s="47">
        <v>1</v>
      </c>
      <c r="S241" s="47">
        <f>=ROUND(BQ241-(BR241+BS241),3)</f>
      </c>
      <c r="T241" s="47">
        <f>=ROUND(CK241-(CL241+CM241+CN241+CO241+CP241),3)</f>
      </c>
      <c r="U241" s="47">
        <v>0</v>
      </c>
      <c r="V241" s="47">
        <v>0</v>
      </c>
      <c r="W241" s="47">
        <v>0</v>
      </c>
      <c r="X241" s="47">
        <v>0</v>
      </c>
      <c r="Y241" s="47">
        <v>0</v>
      </c>
      <c r="Z241" s="47">
        <v>0</v>
      </c>
      <c r="AA241" s="47">
        <v>0</v>
      </c>
      <c r="AB241" s="47">
        <v>0</v>
      </c>
      <c r="AC241" s="47">
        <v>0</v>
      </c>
      <c r="AD241" s="47">
        <v>0</v>
      </c>
      <c r="AE241" s="47">
        <v>0</v>
      </c>
      <c r="AF241" s="47">
        <v>0</v>
      </c>
      <c r="AG241" s="47">
        <v>0</v>
      </c>
      <c r="AH241" s="47">
        <v>0</v>
      </c>
      <c r="AI241" s="47">
        <v>0</v>
      </c>
      <c r="AJ241" s="47">
        <v>0</v>
      </c>
      <c r="AK241" s="47">
        <v>0</v>
      </c>
      <c r="AL241" s="47">
        <v>0</v>
      </c>
      <c r="AM241" s="47">
        <v>0</v>
      </c>
      <c r="AN241" s="47">
        <v>0</v>
      </c>
      <c r="AO241" s="47">
        <v>0</v>
      </c>
      <c r="AP241" s="47">
        <v>0</v>
      </c>
      <c r="AQ241" s="47">
        <v>0</v>
      </c>
      <c r="AR241" s="47">
        <v>0</v>
      </c>
      <c r="AS241" s="47">
        <v>0</v>
      </c>
      <c r="AT241" s="47">
        <v>0</v>
      </c>
      <c r="AU241" s="47">
        <v>0</v>
      </c>
      <c r="AV241" s="47">
        <v>0</v>
      </c>
      <c r="AW241" s="47">
        <v>0</v>
      </c>
      <c r="AX241" s="47">
        <v>0</v>
      </c>
      <c r="AY241" s="47">
        <v>0</v>
      </c>
      <c r="AZ241" s="47">
        <v>0</v>
      </c>
      <c r="BA241" s="47">
        <v>0</v>
      </c>
      <c r="BB241" s="47">
        <v>0</v>
      </c>
      <c r="BC241" s="47">
        <v>0</v>
      </c>
      <c r="BD241" s="47">
        <v>0</v>
      </c>
      <c r="BE241" s="47">
        <v>0</v>
      </c>
      <c r="BF241" s="47">
        <v>0</v>
      </c>
      <c r="BG241" s="47">
        <v>0</v>
      </c>
      <c r="BH241" s="47">
        <v>0</v>
      </c>
      <c r="BI241" s="47">
        <v>0</v>
      </c>
      <c r="BJ241" s="47">
        <v>0</v>
      </c>
      <c r="BK241" s="47">
        <v>0</v>
      </c>
      <c r="BL241" s="47">
        <v>0</v>
      </c>
      <c r="BM241" s="47">
        <v>0</v>
      </c>
      <c r="BN241" s="47">
        <v>0</v>
      </c>
      <c r="BO241" s="47">
        <v>0</v>
      </c>
      <c r="BP241" s="47">
        <v>0</v>
      </c>
      <c r="BQ241" s="47">
        <v>0</v>
      </c>
      <c r="BR241" s="47">
        <v>0</v>
      </c>
      <c r="BS241" s="47">
        <v>0</v>
      </c>
      <c r="BT241" s="47">
        <v>0</v>
      </c>
      <c r="BU241" s="47">
        <v>0</v>
      </c>
      <c r="BV241" s="47">
        <v>0</v>
      </c>
      <c r="BW241" s="47">
        <v>0</v>
      </c>
      <c r="BX241" s="47">
        <v>0</v>
      </c>
      <c r="BY241" s="47">
        <v>0</v>
      </c>
      <c r="BZ241" s="47">
        <v>0</v>
      </c>
      <c r="CA241" s="47">
        <v>0</v>
      </c>
      <c r="CB241" s="47">
        <v>0</v>
      </c>
      <c r="CC241" s="47">
        <v>0</v>
      </c>
      <c r="CD241" s="47">
        <v>0</v>
      </c>
      <c r="CE241" s="47">
        <v>0</v>
      </c>
      <c r="CF241" s="47">
        <v>0</v>
      </c>
      <c r="CG241" s="47">
        <v>0</v>
      </c>
      <c r="CH241" s="47">
        <v>0</v>
      </c>
      <c r="CI241" s="47">
        <v>0</v>
      </c>
      <c r="CJ241" s="47">
        <v>0</v>
      </c>
      <c r="CK241" s="47">
        <v>0</v>
      </c>
      <c r="CL241" s="47">
        <v>0</v>
      </c>
      <c r="CM241" s="47">
        <v>0</v>
      </c>
      <c r="CN241" s="47">
        <v>0</v>
      </c>
      <c r="CO241" s="47">
        <v>0</v>
      </c>
      <c r="CP241" s="47">
        <v>0</v>
      </c>
      <c r="CQ241" s="47">
        <v>0</v>
      </c>
      <c r="CR241" s="47">
        <v>0</v>
      </c>
      <c r="CS241" s="47">
        <v>0</v>
      </c>
      <c r="CT241" s="47">
        <v>0</v>
      </c>
      <c r="CU241" s="47">
        <v>0</v>
      </c>
      <c r="CV241" s="47">
        <v>0</v>
      </c>
      <c r="CW241" s="47">
        <v>0</v>
      </c>
      <c r="CX241" s="47">
        <v>0</v>
      </c>
      <c r="CY241" s="47">
        <v>0</v>
      </c>
      <c r="CZ241" s="47">
        <v>0</v>
      </c>
      <c r="DA241" s="47">
        <v>0</v>
      </c>
      <c r="DB241" s="47">
        <v>0</v>
      </c>
      <c r="DC241" s="47">
        <v>0</v>
      </c>
      <c r="DD241" s="47">
        <v>0</v>
      </c>
      <c r="DE241" s="47">
        <v>0</v>
      </c>
      <c r="DF241" s="47">
        <v>0</v>
      </c>
      <c r="DG241" s="47">
        <v>0</v>
      </c>
      <c r="DH241" s="47">
        <v>0</v>
      </c>
      <c r="DI241" s="47">
        <v>0</v>
      </c>
      <c r="DJ241" s="47">
        <v>0</v>
      </c>
      <c r="DK241" s="47">
        <v>0</v>
      </c>
      <c r="DL241" s="47">
        <v>0</v>
      </c>
      <c r="DM241" s="47">
        <v>0</v>
      </c>
      <c r="DN241" s="47">
        <v>0</v>
      </c>
      <c r="DO241" s="47">
        <v>0</v>
      </c>
      <c r="DP241" s="47">
        <v>0</v>
      </c>
      <c r="DQ241" s="47">
        <v>0</v>
      </c>
      <c r="DR241" s="47">
        <v>0</v>
      </c>
      <c r="DS241" s="47">
        <v>0</v>
      </c>
      <c r="DT241" s="47">
        <v>0</v>
      </c>
      <c r="DU241" s="47">
        <v>0</v>
      </c>
      <c r="DV241" s="47">
        <v>0</v>
      </c>
      <c r="DW241" s="47">
        <v>0</v>
      </c>
      <c r="DX241" s="47">
        <v>0</v>
      </c>
      <c r="DY241" s="47">
        <v>0</v>
      </c>
      <c r="DZ241" s="47">
        <v>0</v>
      </c>
      <c r="EA241" s="47">
        <v>0</v>
      </c>
      <c r="EB241" s="47"/>
      <c r="EC241" s="47">
        <v>1</v>
      </c>
      <c r="ZZ241" t="s">
        <v>2472</v>
      </c>
    </row>
    <row r="242" spans="1:702" x14ac:dyDescent="0.25">
      <c r="A242" s="47" t="s">
        <v>1221</v>
      </c>
      <c r="B242" s="47" t="s">
        <v>153</v>
      </c>
      <c r="C242" s="47" t="s">
        <v>157</v>
      </c>
      <c r="D242" s="47" t="s">
        <v>2722</v>
      </c>
      <c r="E242" s="47" t="s">
        <v>1222</v>
      </c>
      <c r="F242" s="47" t="s">
        <v>1223</v>
      </c>
      <c r="G242" s="47" t="s">
        <v>1224</v>
      </c>
      <c r="H242" s="47" t="s">
        <v>698</v>
      </c>
      <c r="I242" s="47" t="s">
        <v>705</v>
      </c>
      <c r="J242" s="47" t="str">
        <f>=IFERROR(VLOOKUP(H242&amp;I242,Table_Fonctions!A:G,6,FALSE),"")</f>
        <v>0</v>
      </c>
      <c r="K242" s="47" t="s">
        <v>2607</v>
      </c>
      <c r="L242" s="47" t="str">
        <f>=IFERROR(VLOOKUP(H242&amp;I242,Table_Fonctions!A:G,7,FALSE),K242)</f>
        <v/>
      </c>
      <c r="M242" s="47" t="str">
        <f>=IF(OR(LEFT(D242, 3)="TJ ", LEFT(D242, 4)="CPH "), "OUI", "NON")</f>
        <v/>
      </c>
      <c r="N242" s="47" t="s">
        <v>876</v>
      </c>
      <c r="O242" s="47"/>
      <c r="P242" s="47">
        <v>1</v>
      </c>
      <c r="Q242" s="47">
        <v>0</v>
      </c>
      <c r="R242" s="47">
        <v>1</v>
      </c>
      <c r="S242" s="47">
        <f>=ROUND(BQ242-(BR242+BS242),3)</f>
      </c>
      <c r="T242" s="47">
        <f>=ROUND(CK242-(CL242+CM242+CN242+CO242+CP242),3)</f>
      </c>
      <c r="U242" s="47">
        <v>0</v>
      </c>
      <c r="V242" s="47">
        <v>0</v>
      </c>
      <c r="W242" s="47">
        <v>0</v>
      </c>
      <c r="X242" s="47">
        <v>0</v>
      </c>
      <c r="Y242" s="47">
        <v>0</v>
      </c>
      <c r="Z242" s="47">
        <v>0</v>
      </c>
      <c r="AA242" s="47">
        <v>0</v>
      </c>
      <c r="AB242" s="47">
        <v>0</v>
      </c>
      <c r="AC242" s="47">
        <v>0</v>
      </c>
      <c r="AD242" s="47">
        <v>0</v>
      </c>
      <c r="AE242" s="47">
        <v>0</v>
      </c>
      <c r="AF242" s="47">
        <v>0</v>
      </c>
      <c r="AG242" s="47">
        <v>0</v>
      </c>
      <c r="AH242" s="47">
        <v>0</v>
      </c>
      <c r="AI242" s="47">
        <v>0</v>
      </c>
      <c r="AJ242" s="47">
        <v>0</v>
      </c>
      <c r="AK242" s="47">
        <v>0</v>
      </c>
      <c r="AL242" s="47">
        <v>0</v>
      </c>
      <c r="AM242" s="47">
        <v>0</v>
      </c>
      <c r="AN242" s="47">
        <v>0</v>
      </c>
      <c r="AO242" s="47">
        <v>0</v>
      </c>
      <c r="AP242" s="47">
        <v>0</v>
      </c>
      <c r="AQ242" s="47">
        <v>0</v>
      </c>
      <c r="AR242" s="47">
        <v>0</v>
      </c>
      <c r="AS242" s="47">
        <v>0</v>
      </c>
      <c r="AT242" s="47">
        <v>0</v>
      </c>
      <c r="AU242" s="47">
        <v>0</v>
      </c>
      <c r="AV242" s="47">
        <v>0</v>
      </c>
      <c r="AW242" s="47">
        <v>0</v>
      </c>
      <c r="AX242" s="47">
        <v>0</v>
      </c>
      <c r="AY242" s="47">
        <v>0</v>
      </c>
      <c r="AZ242" s="47">
        <v>0</v>
      </c>
      <c r="BA242" s="47">
        <v>0</v>
      </c>
      <c r="BB242" s="47">
        <v>0</v>
      </c>
      <c r="BC242" s="47">
        <v>0</v>
      </c>
      <c r="BD242" s="47">
        <v>0</v>
      </c>
      <c r="BE242" s="47">
        <v>0</v>
      </c>
      <c r="BF242" s="47">
        <v>0</v>
      </c>
      <c r="BG242" s="47">
        <v>0</v>
      </c>
      <c r="BH242" s="47">
        <v>0</v>
      </c>
      <c r="BI242" s="47">
        <v>0</v>
      </c>
      <c r="BJ242" s="47">
        <v>0</v>
      </c>
      <c r="BK242" s="47">
        <v>0</v>
      </c>
      <c r="BL242" s="47">
        <v>0</v>
      </c>
      <c r="BM242" s="47">
        <v>0</v>
      </c>
      <c r="BN242" s="47">
        <v>0</v>
      </c>
      <c r="BO242" s="47">
        <v>0</v>
      </c>
      <c r="BP242" s="47">
        <v>0</v>
      </c>
      <c r="BQ242" s="47">
        <v>0</v>
      </c>
      <c r="BR242" s="47">
        <v>0</v>
      </c>
      <c r="BS242" s="47">
        <v>0</v>
      </c>
      <c r="BT242" s="47">
        <v>0</v>
      </c>
      <c r="BU242" s="47">
        <v>0</v>
      </c>
      <c r="BV242" s="47">
        <v>0</v>
      </c>
      <c r="BW242" s="47">
        <v>0</v>
      </c>
      <c r="BX242" s="47">
        <v>0</v>
      </c>
      <c r="BY242" s="47">
        <v>0</v>
      </c>
      <c r="BZ242" s="47">
        <v>0</v>
      </c>
      <c r="CA242" s="47">
        <v>0</v>
      </c>
      <c r="CB242" s="47">
        <v>0</v>
      </c>
      <c r="CC242" s="47">
        <v>0</v>
      </c>
      <c r="CD242" s="47">
        <v>0</v>
      </c>
      <c r="CE242" s="47">
        <v>0</v>
      </c>
      <c r="CF242" s="47">
        <v>0</v>
      </c>
      <c r="CG242" s="47">
        <v>0</v>
      </c>
      <c r="CH242" s="47">
        <v>0</v>
      </c>
      <c r="CI242" s="47">
        <v>0</v>
      </c>
      <c r="CJ242" s="47">
        <v>0</v>
      </c>
      <c r="CK242" s="47">
        <v>0</v>
      </c>
      <c r="CL242" s="47">
        <v>0</v>
      </c>
      <c r="CM242" s="47">
        <v>0</v>
      </c>
      <c r="CN242" s="47">
        <v>0</v>
      </c>
      <c r="CO242" s="47">
        <v>0</v>
      </c>
      <c r="CP242" s="47">
        <v>0</v>
      </c>
      <c r="CQ242" s="47">
        <v>0</v>
      </c>
      <c r="CR242" s="47">
        <v>0</v>
      </c>
      <c r="CS242" s="47">
        <v>0</v>
      </c>
      <c r="CT242" s="47">
        <v>0</v>
      </c>
      <c r="CU242" s="47">
        <v>0</v>
      </c>
      <c r="CV242" s="47">
        <v>0</v>
      </c>
      <c r="CW242" s="47">
        <v>0</v>
      </c>
      <c r="CX242" s="47">
        <v>0</v>
      </c>
      <c r="CY242" s="47">
        <v>0</v>
      </c>
      <c r="CZ242" s="47">
        <v>0</v>
      </c>
      <c r="DA242" s="47">
        <v>0</v>
      </c>
      <c r="DB242" s="47">
        <v>0</v>
      </c>
      <c r="DC242" s="47">
        <v>0</v>
      </c>
      <c r="DD242" s="47">
        <v>0</v>
      </c>
      <c r="DE242" s="47">
        <v>0</v>
      </c>
      <c r="DF242" s="47">
        <v>0</v>
      </c>
      <c r="DG242" s="47">
        <v>0</v>
      </c>
      <c r="DH242" s="47">
        <v>0</v>
      </c>
      <c r="DI242" s="47">
        <v>0</v>
      </c>
      <c r="DJ242" s="47">
        <v>0</v>
      </c>
      <c r="DK242" s="47">
        <v>0</v>
      </c>
      <c r="DL242" s="47">
        <v>0</v>
      </c>
      <c r="DM242" s="47">
        <v>0</v>
      </c>
      <c r="DN242" s="47">
        <v>0</v>
      </c>
      <c r="DO242" s="47">
        <v>0</v>
      </c>
      <c r="DP242" s="47">
        <v>0</v>
      </c>
      <c r="DQ242" s="47">
        <v>0</v>
      </c>
      <c r="DR242" s="47">
        <v>0</v>
      </c>
      <c r="DS242" s="47">
        <v>0</v>
      </c>
      <c r="DT242" s="47">
        <v>0</v>
      </c>
      <c r="DU242" s="47">
        <v>0</v>
      </c>
      <c r="DV242" s="47">
        <v>0</v>
      </c>
      <c r="DW242" s="47">
        <v>0</v>
      </c>
      <c r="DX242" s="47">
        <v>0</v>
      </c>
      <c r="DY242" s="47">
        <v>0</v>
      </c>
      <c r="DZ242" s="47">
        <v>0</v>
      </c>
      <c r="EA242" s="47">
        <v>0</v>
      </c>
      <c r="EB242" s="47"/>
      <c r="EC242" s="47">
        <v>1</v>
      </c>
      <c r="ZZ242" t="s">
        <v>2472</v>
      </c>
    </row>
    <row r="243" spans="1:702" x14ac:dyDescent="0.25">
      <c r="A243" s="47" t="s">
        <v>1225</v>
      </c>
      <c r="B243" s="47" t="s">
        <v>153</v>
      </c>
      <c r="C243" s="47" t="s">
        <v>157</v>
      </c>
      <c r="D243" s="47" t="s">
        <v>2723</v>
      </c>
      <c r="E243" s="47" t="s">
        <v>1226</v>
      </c>
      <c r="F243" s="47" t="s">
        <v>1227</v>
      </c>
      <c r="G243" s="47" t="s">
        <v>1228</v>
      </c>
      <c r="H243" s="47" t="s">
        <v>698</v>
      </c>
      <c r="I243" s="47" t="s">
        <v>705</v>
      </c>
      <c r="J243" s="47" t="str">
        <f>=IFERROR(VLOOKUP(H243&amp;I243,Table_Fonctions!A:G,6,FALSE),"")</f>
        <v>0</v>
      </c>
      <c r="K243" s="47" t="s">
        <v>2607</v>
      </c>
      <c r="L243" s="47" t="str">
        <f>=IFERROR(VLOOKUP(H243&amp;I243,Table_Fonctions!A:G,7,FALSE),K243)</f>
        <v/>
      </c>
      <c r="M243" s="47" t="str">
        <f>=IF(OR(LEFT(D243, 3)="TJ ", LEFT(D243, 4)="CPH "), "OUI", "NON")</f>
        <v/>
      </c>
      <c r="N243" s="47" t="s">
        <v>717</v>
      </c>
      <c r="O243" s="47"/>
      <c r="P243" s="47">
        <v>1</v>
      </c>
      <c r="Q243" s="47">
        <v>0</v>
      </c>
      <c r="R243" s="47">
        <v>1</v>
      </c>
      <c r="S243" s="47">
        <f>=ROUND(BQ243-(BR243+BS243),3)</f>
      </c>
      <c r="T243" s="47">
        <f>=ROUND(CK243-(CL243+CM243+CN243+CO243+CP243),3)</f>
      </c>
      <c r="U243" s="47">
        <v>0</v>
      </c>
      <c r="V243" s="47">
        <v>0</v>
      </c>
      <c r="W243" s="47">
        <v>0</v>
      </c>
      <c r="X243" s="47">
        <v>0</v>
      </c>
      <c r="Y243" s="47">
        <v>0</v>
      </c>
      <c r="Z243" s="47">
        <v>0</v>
      </c>
      <c r="AA243" s="47">
        <v>0</v>
      </c>
      <c r="AB243" s="47">
        <v>0</v>
      </c>
      <c r="AC243" s="47">
        <v>0</v>
      </c>
      <c r="AD243" s="47">
        <v>0</v>
      </c>
      <c r="AE243" s="47">
        <v>0</v>
      </c>
      <c r="AF243" s="47">
        <v>0</v>
      </c>
      <c r="AG243" s="47">
        <v>0</v>
      </c>
      <c r="AH243" s="47">
        <v>0</v>
      </c>
      <c r="AI243" s="47">
        <v>0</v>
      </c>
      <c r="AJ243" s="47">
        <v>0</v>
      </c>
      <c r="AK243" s="47">
        <v>0</v>
      </c>
      <c r="AL243" s="47">
        <v>0</v>
      </c>
      <c r="AM243" s="47">
        <v>0</v>
      </c>
      <c r="AN243" s="47">
        <v>0</v>
      </c>
      <c r="AO243" s="47">
        <v>0</v>
      </c>
      <c r="AP243" s="47">
        <v>0</v>
      </c>
      <c r="AQ243" s="47">
        <v>0</v>
      </c>
      <c r="AR243" s="47">
        <v>0</v>
      </c>
      <c r="AS243" s="47">
        <v>0</v>
      </c>
      <c r="AT243" s="47">
        <v>0</v>
      </c>
      <c r="AU243" s="47">
        <v>0</v>
      </c>
      <c r="AV243" s="47">
        <v>0</v>
      </c>
      <c r="AW243" s="47">
        <v>0</v>
      </c>
      <c r="AX243" s="47">
        <v>0</v>
      </c>
      <c r="AY243" s="47">
        <v>0</v>
      </c>
      <c r="AZ243" s="47">
        <v>0</v>
      </c>
      <c r="BA243" s="47">
        <v>0</v>
      </c>
      <c r="BB243" s="47">
        <v>0</v>
      </c>
      <c r="BC243" s="47">
        <v>0</v>
      </c>
      <c r="BD243" s="47">
        <v>0</v>
      </c>
      <c r="BE243" s="47">
        <v>0</v>
      </c>
      <c r="BF243" s="47">
        <v>0</v>
      </c>
      <c r="BG243" s="47">
        <v>0</v>
      </c>
      <c r="BH243" s="47">
        <v>0</v>
      </c>
      <c r="BI243" s="47">
        <v>0</v>
      </c>
      <c r="BJ243" s="47">
        <v>0</v>
      </c>
      <c r="BK243" s="47">
        <v>0</v>
      </c>
      <c r="BL243" s="47">
        <v>0</v>
      </c>
      <c r="BM243" s="47">
        <v>0</v>
      </c>
      <c r="BN243" s="47">
        <v>0</v>
      </c>
      <c r="BO243" s="47">
        <v>0</v>
      </c>
      <c r="BP243" s="47">
        <v>0</v>
      </c>
      <c r="BQ243" s="47">
        <v>0</v>
      </c>
      <c r="BR243" s="47">
        <v>0</v>
      </c>
      <c r="BS243" s="47">
        <v>0</v>
      </c>
      <c r="BT243" s="47">
        <v>0</v>
      </c>
      <c r="BU243" s="47">
        <v>0</v>
      </c>
      <c r="BV243" s="47">
        <v>0</v>
      </c>
      <c r="BW243" s="47">
        <v>0</v>
      </c>
      <c r="BX243" s="47">
        <v>0</v>
      </c>
      <c r="BY243" s="47">
        <v>0</v>
      </c>
      <c r="BZ243" s="47">
        <v>0</v>
      </c>
      <c r="CA243" s="47">
        <v>0</v>
      </c>
      <c r="CB243" s="47">
        <v>0</v>
      </c>
      <c r="CC243" s="47">
        <v>0</v>
      </c>
      <c r="CD243" s="47">
        <v>0</v>
      </c>
      <c r="CE243" s="47">
        <v>0</v>
      </c>
      <c r="CF243" s="47">
        <v>0</v>
      </c>
      <c r="CG243" s="47">
        <v>0</v>
      </c>
      <c r="CH243" s="47">
        <v>0</v>
      </c>
      <c r="CI243" s="47">
        <v>0</v>
      </c>
      <c r="CJ243" s="47">
        <v>0</v>
      </c>
      <c r="CK243" s="47">
        <v>0</v>
      </c>
      <c r="CL243" s="47">
        <v>0</v>
      </c>
      <c r="CM243" s="47">
        <v>0</v>
      </c>
      <c r="CN243" s="47">
        <v>0</v>
      </c>
      <c r="CO243" s="47">
        <v>0</v>
      </c>
      <c r="CP243" s="47">
        <v>0</v>
      </c>
      <c r="CQ243" s="47">
        <v>0</v>
      </c>
      <c r="CR243" s="47">
        <v>0</v>
      </c>
      <c r="CS243" s="47">
        <v>0</v>
      </c>
      <c r="CT243" s="47">
        <v>0</v>
      </c>
      <c r="CU243" s="47">
        <v>0</v>
      </c>
      <c r="CV243" s="47">
        <v>0</v>
      </c>
      <c r="CW243" s="47">
        <v>0</v>
      </c>
      <c r="CX243" s="47">
        <v>0</v>
      </c>
      <c r="CY243" s="47">
        <v>0</v>
      </c>
      <c r="CZ243" s="47">
        <v>0</v>
      </c>
      <c r="DA243" s="47">
        <v>0</v>
      </c>
      <c r="DB243" s="47">
        <v>0</v>
      </c>
      <c r="DC243" s="47">
        <v>0</v>
      </c>
      <c r="DD243" s="47">
        <v>0</v>
      </c>
      <c r="DE243" s="47">
        <v>0</v>
      </c>
      <c r="DF243" s="47">
        <v>0</v>
      </c>
      <c r="DG243" s="47">
        <v>0</v>
      </c>
      <c r="DH243" s="47">
        <v>0</v>
      </c>
      <c r="DI243" s="47">
        <v>0</v>
      </c>
      <c r="DJ243" s="47">
        <v>0</v>
      </c>
      <c r="DK243" s="47">
        <v>0</v>
      </c>
      <c r="DL243" s="47">
        <v>0</v>
      </c>
      <c r="DM243" s="47">
        <v>0</v>
      </c>
      <c r="DN243" s="47">
        <v>0</v>
      </c>
      <c r="DO243" s="47">
        <v>0</v>
      </c>
      <c r="DP243" s="47">
        <v>0</v>
      </c>
      <c r="DQ243" s="47">
        <v>0</v>
      </c>
      <c r="DR243" s="47">
        <v>0</v>
      </c>
      <c r="DS243" s="47">
        <v>0</v>
      </c>
      <c r="DT243" s="47">
        <v>0</v>
      </c>
      <c r="DU243" s="47">
        <v>0</v>
      </c>
      <c r="DV243" s="47">
        <v>0</v>
      </c>
      <c r="DW243" s="47">
        <v>0</v>
      </c>
      <c r="DX243" s="47">
        <v>0</v>
      </c>
      <c r="DY243" s="47">
        <v>0</v>
      </c>
      <c r="DZ243" s="47">
        <v>0</v>
      </c>
      <c r="EA243" s="47">
        <v>0</v>
      </c>
      <c r="EB243" s="47"/>
      <c r="EC243" s="47">
        <v>1</v>
      </c>
      <c r="ZZ243" t="s">
        <v>2472</v>
      </c>
    </row>
    <row r="244" spans="1:702" x14ac:dyDescent="0.25">
      <c r="A244" s="47" t="s">
        <v>1229</v>
      </c>
      <c r="B244" s="47" t="s">
        <v>153</v>
      </c>
      <c r="C244" s="47" t="s">
        <v>157</v>
      </c>
      <c r="D244" s="47" t="s">
        <v>2724</v>
      </c>
      <c r="E244" s="47" t="s">
        <v>1230</v>
      </c>
      <c r="F244" s="47" t="s">
        <v>1231</v>
      </c>
      <c r="G244" s="47" t="s">
        <v>1232</v>
      </c>
      <c r="H244" s="47" t="s">
        <v>698</v>
      </c>
      <c r="I244" s="47" t="s">
        <v>705</v>
      </c>
      <c r="J244" s="47" t="str">
        <f>=IFERROR(VLOOKUP(H244&amp;I244,Table_Fonctions!A:G,6,FALSE),"")</f>
        <v>0</v>
      </c>
      <c r="K244" s="47" t="s">
        <v>2607</v>
      </c>
      <c r="L244" s="47" t="str">
        <f>=IFERROR(VLOOKUP(H244&amp;I244,Table_Fonctions!A:G,7,FALSE),K244)</f>
        <v/>
      </c>
      <c r="M244" s="47" t="str">
        <f>=IF(OR(LEFT(D244, 3)="TJ ", LEFT(D244, 4)="CPH "), "OUI", "NON")</f>
        <v/>
      </c>
      <c r="N244" s="47" t="s">
        <v>1233</v>
      </c>
      <c r="O244" s="47"/>
      <c r="P244" s="47">
        <v>0.9</v>
      </c>
      <c r="Q244" s="47">
        <v>0</v>
      </c>
      <c r="R244" s="47">
        <v>0.9</v>
      </c>
      <c r="S244" s="47">
        <f>=ROUND(BQ244-(BR244+BS244),3)</f>
      </c>
      <c r="T244" s="47">
        <f>=ROUND(CK244-(CL244+CM244+CN244+CO244+CP244),3)</f>
      </c>
      <c r="U244" s="47">
        <v>0</v>
      </c>
      <c r="V244" s="47">
        <v>0</v>
      </c>
      <c r="W244" s="47">
        <v>0</v>
      </c>
      <c r="X244" s="47">
        <v>0</v>
      </c>
      <c r="Y244" s="47">
        <v>0</v>
      </c>
      <c r="Z244" s="47">
        <v>0</v>
      </c>
      <c r="AA244" s="47">
        <v>0</v>
      </c>
      <c r="AB244" s="47">
        <v>0</v>
      </c>
      <c r="AC244" s="47">
        <v>0</v>
      </c>
      <c r="AD244" s="47">
        <v>0</v>
      </c>
      <c r="AE244" s="47">
        <v>0</v>
      </c>
      <c r="AF244" s="47">
        <v>0</v>
      </c>
      <c r="AG244" s="47">
        <v>0</v>
      </c>
      <c r="AH244" s="47">
        <v>0</v>
      </c>
      <c r="AI244" s="47">
        <v>0</v>
      </c>
      <c r="AJ244" s="47">
        <v>0</v>
      </c>
      <c r="AK244" s="47">
        <v>0</v>
      </c>
      <c r="AL244" s="47">
        <v>0</v>
      </c>
      <c r="AM244" s="47">
        <v>0</v>
      </c>
      <c r="AN244" s="47">
        <v>0</v>
      </c>
      <c r="AO244" s="47">
        <v>0</v>
      </c>
      <c r="AP244" s="47">
        <v>0</v>
      </c>
      <c r="AQ244" s="47">
        <v>0</v>
      </c>
      <c r="AR244" s="47">
        <v>0</v>
      </c>
      <c r="AS244" s="47">
        <v>0</v>
      </c>
      <c r="AT244" s="47">
        <v>0</v>
      </c>
      <c r="AU244" s="47">
        <v>0</v>
      </c>
      <c r="AV244" s="47">
        <v>0</v>
      </c>
      <c r="AW244" s="47">
        <v>0</v>
      </c>
      <c r="AX244" s="47">
        <v>0</v>
      </c>
      <c r="AY244" s="47">
        <v>0</v>
      </c>
      <c r="AZ244" s="47">
        <v>0</v>
      </c>
      <c r="BA244" s="47">
        <v>0</v>
      </c>
      <c r="BB244" s="47">
        <v>0</v>
      </c>
      <c r="BC244" s="47">
        <v>0</v>
      </c>
      <c r="BD244" s="47">
        <v>0</v>
      </c>
      <c r="BE244" s="47">
        <v>0</v>
      </c>
      <c r="BF244" s="47">
        <v>0</v>
      </c>
      <c r="BG244" s="47">
        <v>0</v>
      </c>
      <c r="BH244" s="47">
        <v>0</v>
      </c>
      <c r="BI244" s="47">
        <v>0</v>
      </c>
      <c r="BJ244" s="47">
        <v>0</v>
      </c>
      <c r="BK244" s="47">
        <v>0</v>
      </c>
      <c r="BL244" s="47">
        <v>0</v>
      </c>
      <c r="BM244" s="47">
        <v>0</v>
      </c>
      <c r="BN244" s="47">
        <v>0</v>
      </c>
      <c r="BO244" s="47">
        <v>0</v>
      </c>
      <c r="BP244" s="47">
        <v>0</v>
      </c>
      <c r="BQ244" s="47">
        <v>0</v>
      </c>
      <c r="BR244" s="47">
        <v>0</v>
      </c>
      <c r="BS244" s="47">
        <v>0</v>
      </c>
      <c r="BT244" s="47">
        <v>0</v>
      </c>
      <c r="BU244" s="47">
        <v>0</v>
      </c>
      <c r="BV244" s="47">
        <v>0</v>
      </c>
      <c r="BW244" s="47">
        <v>0</v>
      </c>
      <c r="BX244" s="47">
        <v>0</v>
      </c>
      <c r="BY244" s="47">
        <v>0</v>
      </c>
      <c r="BZ244" s="47">
        <v>0</v>
      </c>
      <c r="CA244" s="47">
        <v>0</v>
      </c>
      <c r="CB244" s="47">
        <v>0</v>
      </c>
      <c r="CC244" s="47">
        <v>0</v>
      </c>
      <c r="CD244" s="47">
        <v>0</v>
      </c>
      <c r="CE244" s="47">
        <v>0</v>
      </c>
      <c r="CF244" s="47">
        <v>0</v>
      </c>
      <c r="CG244" s="47">
        <v>0</v>
      </c>
      <c r="CH244" s="47">
        <v>0</v>
      </c>
      <c r="CI244" s="47">
        <v>0</v>
      </c>
      <c r="CJ244" s="47">
        <v>0</v>
      </c>
      <c r="CK244" s="47">
        <v>0</v>
      </c>
      <c r="CL244" s="47">
        <v>0</v>
      </c>
      <c r="CM244" s="47">
        <v>0</v>
      </c>
      <c r="CN244" s="47">
        <v>0</v>
      </c>
      <c r="CO244" s="47">
        <v>0</v>
      </c>
      <c r="CP244" s="47">
        <v>0</v>
      </c>
      <c r="CQ244" s="47">
        <v>0</v>
      </c>
      <c r="CR244" s="47">
        <v>0</v>
      </c>
      <c r="CS244" s="47">
        <v>0</v>
      </c>
      <c r="CT244" s="47">
        <v>0</v>
      </c>
      <c r="CU244" s="47">
        <v>0</v>
      </c>
      <c r="CV244" s="47">
        <v>0</v>
      </c>
      <c r="CW244" s="47">
        <v>0</v>
      </c>
      <c r="CX244" s="47">
        <v>0</v>
      </c>
      <c r="CY244" s="47">
        <v>0</v>
      </c>
      <c r="CZ244" s="47">
        <v>0</v>
      </c>
      <c r="DA244" s="47">
        <v>0</v>
      </c>
      <c r="DB244" s="47">
        <v>0</v>
      </c>
      <c r="DC244" s="47">
        <v>0</v>
      </c>
      <c r="DD244" s="47">
        <v>0</v>
      </c>
      <c r="DE244" s="47">
        <v>0</v>
      </c>
      <c r="DF244" s="47">
        <v>0</v>
      </c>
      <c r="DG244" s="47">
        <v>0</v>
      </c>
      <c r="DH244" s="47">
        <v>0</v>
      </c>
      <c r="DI244" s="47">
        <v>0</v>
      </c>
      <c r="DJ244" s="47">
        <v>0</v>
      </c>
      <c r="DK244" s="47">
        <v>0</v>
      </c>
      <c r="DL244" s="47">
        <v>0</v>
      </c>
      <c r="DM244" s="47">
        <v>0</v>
      </c>
      <c r="DN244" s="47">
        <v>0</v>
      </c>
      <c r="DO244" s="47">
        <v>0</v>
      </c>
      <c r="DP244" s="47">
        <v>0</v>
      </c>
      <c r="DQ244" s="47">
        <v>0</v>
      </c>
      <c r="DR244" s="47">
        <v>0</v>
      </c>
      <c r="DS244" s="47">
        <v>0</v>
      </c>
      <c r="DT244" s="47">
        <v>0</v>
      </c>
      <c r="DU244" s="47">
        <v>0</v>
      </c>
      <c r="DV244" s="47">
        <v>0</v>
      </c>
      <c r="DW244" s="47">
        <v>0</v>
      </c>
      <c r="DX244" s="47">
        <v>0</v>
      </c>
      <c r="DY244" s="47">
        <v>0</v>
      </c>
      <c r="DZ244" s="47">
        <v>0</v>
      </c>
      <c r="EA244" s="47">
        <v>0</v>
      </c>
      <c r="EB244" s="47"/>
      <c r="EC244" s="47">
        <v>0.9</v>
      </c>
      <c r="ZZ244" t="s">
        <v>2472</v>
      </c>
    </row>
    <row r="245" spans="1:702" x14ac:dyDescent="0.25">
      <c r="A245" s="47" t="s">
        <v>1234</v>
      </c>
      <c r="B245" s="47" t="s">
        <v>153</v>
      </c>
      <c r="C245" s="47" t="s">
        <v>157</v>
      </c>
      <c r="D245" s="47" t="s">
        <v>2725</v>
      </c>
      <c r="E245" s="47" t="s">
        <v>1235</v>
      </c>
      <c r="F245" s="47" t="s">
        <v>1236</v>
      </c>
      <c r="G245" s="47" t="s">
        <v>1237</v>
      </c>
      <c r="H245" s="47" t="s">
        <v>698</v>
      </c>
      <c r="I245" s="47" t="s">
        <v>727</v>
      </c>
      <c r="J245" s="47" t="str">
        <f>=IFERROR(VLOOKUP(H245&amp;I245,Table_Fonctions!A:G,6,FALSE),"")</f>
        <v>0</v>
      </c>
      <c r="K245" s="47" t="s">
        <v>2607</v>
      </c>
      <c r="L245" s="47" t="str">
        <f>=IFERROR(VLOOKUP(H245&amp;I245,Table_Fonctions!A:G,7,FALSE),K245)</f>
        <v/>
      </c>
      <c r="M245" s="47" t="str">
        <f>=IF(OR(LEFT(D245, 3)="TJ ", LEFT(D245, 4)="CPH "), "OUI", "NON")</f>
        <v/>
      </c>
      <c r="N245" s="47" t="s">
        <v>1238</v>
      </c>
      <c r="O245" s="47"/>
      <c r="P245" s="47">
        <v>0.9</v>
      </c>
      <c r="Q245" s="47">
        <v>0.9</v>
      </c>
      <c r="R245" s="47">
        <v>0</v>
      </c>
      <c r="S245" s="47">
        <f>=ROUND(BQ245-(BR245+BS245),3)</f>
      </c>
      <c r="T245" s="47">
        <f>=ROUND(CK245-(CL245+CM245+CN245+CO245+CP245),3)</f>
      </c>
      <c r="U245" s="47">
        <v>0</v>
      </c>
      <c r="V245" s="47">
        <v>0</v>
      </c>
      <c r="W245" s="47">
        <v>0</v>
      </c>
      <c r="X245" s="47">
        <v>0</v>
      </c>
      <c r="Y245" s="47">
        <v>0</v>
      </c>
      <c r="Z245" s="47">
        <v>0</v>
      </c>
      <c r="AA245" s="47">
        <v>0</v>
      </c>
      <c r="AB245" s="47">
        <v>0</v>
      </c>
      <c r="AC245" s="47">
        <v>0</v>
      </c>
      <c r="AD245" s="47">
        <v>0</v>
      </c>
      <c r="AE245" s="47">
        <v>0</v>
      </c>
      <c r="AF245" s="47">
        <v>0</v>
      </c>
      <c r="AG245" s="47">
        <v>0</v>
      </c>
      <c r="AH245" s="47">
        <v>0</v>
      </c>
      <c r="AI245" s="47">
        <v>0</v>
      </c>
      <c r="AJ245" s="47">
        <v>0</v>
      </c>
      <c r="AK245" s="47">
        <v>0</v>
      </c>
      <c r="AL245" s="47">
        <v>0</v>
      </c>
      <c r="AM245" s="47">
        <v>0</v>
      </c>
      <c r="AN245" s="47">
        <v>0</v>
      </c>
      <c r="AO245" s="47">
        <v>0</v>
      </c>
      <c r="AP245" s="47">
        <v>0</v>
      </c>
      <c r="AQ245" s="47">
        <v>0</v>
      </c>
      <c r="AR245" s="47">
        <v>0</v>
      </c>
      <c r="AS245" s="47">
        <v>0</v>
      </c>
      <c r="AT245" s="47">
        <v>0</v>
      </c>
      <c r="AU245" s="47">
        <v>0</v>
      </c>
      <c r="AV245" s="47">
        <v>0</v>
      </c>
      <c r="AW245" s="47">
        <v>0</v>
      </c>
      <c r="AX245" s="47">
        <v>0</v>
      </c>
      <c r="AY245" s="47">
        <v>0</v>
      </c>
      <c r="AZ245" s="47">
        <v>0</v>
      </c>
      <c r="BA245" s="47">
        <v>0</v>
      </c>
      <c r="BB245" s="47">
        <v>0</v>
      </c>
      <c r="BC245" s="47">
        <v>0</v>
      </c>
      <c r="BD245" s="47">
        <v>0</v>
      </c>
      <c r="BE245" s="47">
        <v>0</v>
      </c>
      <c r="BF245" s="47">
        <v>0</v>
      </c>
      <c r="BG245" s="47">
        <v>0</v>
      </c>
      <c r="BH245" s="47">
        <v>0</v>
      </c>
      <c r="BI245" s="47">
        <v>0</v>
      </c>
      <c r="BJ245" s="47">
        <v>0</v>
      </c>
      <c r="BK245" s="47">
        <v>0</v>
      </c>
      <c r="BL245" s="47">
        <v>0</v>
      </c>
      <c r="BM245" s="47">
        <v>0</v>
      </c>
      <c r="BN245" s="47">
        <v>0</v>
      </c>
      <c r="BO245" s="47">
        <v>0</v>
      </c>
      <c r="BP245" s="47">
        <v>0</v>
      </c>
      <c r="BQ245" s="47">
        <v>0</v>
      </c>
      <c r="BR245" s="47">
        <v>0</v>
      </c>
      <c r="BS245" s="47">
        <v>0</v>
      </c>
      <c r="BT245" s="47">
        <v>0</v>
      </c>
      <c r="BU245" s="47">
        <v>0</v>
      </c>
      <c r="BV245" s="47">
        <v>0</v>
      </c>
      <c r="BW245" s="47">
        <v>0</v>
      </c>
      <c r="BX245" s="47">
        <v>0</v>
      </c>
      <c r="BY245" s="47">
        <v>0</v>
      </c>
      <c r="BZ245" s="47">
        <v>0</v>
      </c>
      <c r="CA245" s="47">
        <v>0</v>
      </c>
      <c r="CB245" s="47">
        <v>0</v>
      </c>
      <c r="CC245" s="47">
        <v>0</v>
      </c>
      <c r="CD245" s="47">
        <v>0</v>
      </c>
      <c r="CE245" s="47">
        <v>0</v>
      </c>
      <c r="CF245" s="47">
        <v>0</v>
      </c>
      <c r="CG245" s="47">
        <v>0</v>
      </c>
      <c r="CH245" s="47">
        <v>0</v>
      </c>
      <c r="CI245" s="47">
        <v>0</v>
      </c>
      <c r="CJ245" s="47">
        <v>0</v>
      </c>
      <c r="CK245" s="47">
        <v>0</v>
      </c>
      <c r="CL245" s="47">
        <v>0</v>
      </c>
      <c r="CM245" s="47">
        <v>0</v>
      </c>
      <c r="CN245" s="47">
        <v>0</v>
      </c>
      <c r="CO245" s="47">
        <v>0</v>
      </c>
      <c r="CP245" s="47">
        <v>0</v>
      </c>
      <c r="CQ245" s="47">
        <v>0</v>
      </c>
      <c r="CR245" s="47">
        <v>0</v>
      </c>
      <c r="CS245" s="47">
        <v>0</v>
      </c>
      <c r="CT245" s="47">
        <v>0</v>
      </c>
      <c r="CU245" s="47">
        <v>0</v>
      </c>
      <c r="CV245" s="47">
        <v>0.9</v>
      </c>
      <c r="CW245" s="47">
        <v>0</v>
      </c>
      <c r="CX245" s="47">
        <v>0</v>
      </c>
      <c r="CY245" s="47">
        <v>0</v>
      </c>
      <c r="CZ245" s="47">
        <v>0</v>
      </c>
      <c r="DA245" s="47">
        <v>0</v>
      </c>
      <c r="DB245" s="47">
        <v>0</v>
      </c>
      <c r="DC245" s="47">
        <v>0</v>
      </c>
      <c r="DD245" s="47">
        <v>0</v>
      </c>
      <c r="DE245" s="47">
        <v>0</v>
      </c>
      <c r="DF245" s="47">
        <v>0</v>
      </c>
      <c r="DG245" s="47">
        <v>0</v>
      </c>
      <c r="DH245" s="47">
        <v>0</v>
      </c>
      <c r="DI245" s="47">
        <v>0</v>
      </c>
      <c r="DJ245" s="47">
        <v>0</v>
      </c>
      <c r="DK245" s="47">
        <v>0</v>
      </c>
      <c r="DL245" s="47">
        <v>0</v>
      </c>
      <c r="DM245" s="47">
        <v>0</v>
      </c>
      <c r="DN245" s="47">
        <v>0</v>
      </c>
      <c r="DO245" s="47">
        <v>0</v>
      </c>
      <c r="DP245" s="47">
        <v>0</v>
      </c>
      <c r="DQ245" s="47">
        <v>0</v>
      </c>
      <c r="DR245" s="47">
        <v>0</v>
      </c>
      <c r="DS245" s="47">
        <v>0</v>
      </c>
      <c r="DT245" s="47">
        <v>0</v>
      </c>
      <c r="DU245" s="47">
        <v>0</v>
      </c>
      <c r="DV245" s="47">
        <v>0</v>
      </c>
      <c r="DW245" s="47">
        <v>0</v>
      </c>
      <c r="DX245" s="47">
        <v>0</v>
      </c>
      <c r="DY245" s="47">
        <v>0</v>
      </c>
      <c r="DZ245" s="47">
        <v>0</v>
      </c>
      <c r="EA245" s="47">
        <v>0</v>
      </c>
      <c r="EB245" s="47"/>
      <c r="EC245" s="47">
        <v>0.9</v>
      </c>
      <c r="ZZ245" t="s">
        <v>2472</v>
      </c>
    </row>
    <row r="246" spans="1:702" x14ac:dyDescent="0.25">
      <c r="A246" s="47" t="s">
        <v>1239</v>
      </c>
      <c r="B246" s="47" t="s">
        <v>153</v>
      </c>
      <c r="C246" s="47" t="s">
        <v>157</v>
      </c>
      <c r="D246" s="47" t="s">
        <v>2726</v>
      </c>
      <c r="E246" s="47" t="s">
        <v>1240</v>
      </c>
      <c r="F246" s="47" t="s">
        <v>1241</v>
      </c>
      <c r="G246" s="47" t="s">
        <v>1242</v>
      </c>
      <c r="H246" s="47" t="s">
        <v>698</v>
      </c>
      <c r="I246" s="47" t="s">
        <v>727</v>
      </c>
      <c r="J246" s="47" t="str">
        <f>=IFERROR(VLOOKUP(H246&amp;I246,Table_Fonctions!A:G,6,FALSE),"")</f>
        <v>0</v>
      </c>
      <c r="K246" s="47" t="s">
        <v>2607</v>
      </c>
      <c r="L246" s="47" t="str">
        <f>=IFERROR(VLOOKUP(H246&amp;I246,Table_Fonctions!A:G,7,FALSE),K246)</f>
        <v/>
      </c>
      <c r="M246" s="47" t="str">
        <f>=IF(OR(LEFT(D246, 3)="TJ ", LEFT(D246, 4)="CPH "), "OUI", "NON")</f>
        <v/>
      </c>
      <c r="N246" s="47" t="s">
        <v>1243</v>
      </c>
      <c r="O246" s="47"/>
      <c r="P246" s="47">
        <v>0.8</v>
      </c>
      <c r="Q246" s="47">
        <v>0.8</v>
      </c>
      <c r="R246" s="47">
        <v>0</v>
      </c>
      <c r="S246" s="47">
        <f>=ROUND(BQ246-(BR246+BS246),3)</f>
      </c>
      <c r="T246" s="47">
        <f>=ROUND(CK246-(CL246+CM246+CN246+CO246+CP246),3)</f>
      </c>
      <c r="U246" s="47">
        <v>0</v>
      </c>
      <c r="V246" s="47">
        <v>0</v>
      </c>
      <c r="W246" s="47">
        <v>0</v>
      </c>
      <c r="X246" s="47">
        <v>0</v>
      </c>
      <c r="Y246" s="47">
        <v>0</v>
      </c>
      <c r="Z246" s="47">
        <v>0</v>
      </c>
      <c r="AA246" s="47">
        <v>0</v>
      </c>
      <c r="AB246" s="47">
        <v>0</v>
      </c>
      <c r="AC246" s="47">
        <v>0</v>
      </c>
      <c r="AD246" s="47">
        <v>0</v>
      </c>
      <c r="AE246" s="47">
        <v>0</v>
      </c>
      <c r="AF246" s="47">
        <v>0</v>
      </c>
      <c r="AG246" s="47">
        <v>0</v>
      </c>
      <c r="AH246" s="47">
        <v>0</v>
      </c>
      <c r="AI246" s="47">
        <v>0</v>
      </c>
      <c r="AJ246" s="47">
        <v>0.8</v>
      </c>
      <c r="AK246" s="47">
        <v>0</v>
      </c>
      <c r="AL246" s="47">
        <v>0</v>
      </c>
      <c r="AM246" s="47">
        <v>0</v>
      </c>
      <c r="AN246" s="47">
        <v>0</v>
      </c>
      <c r="AO246" s="47">
        <v>0</v>
      </c>
      <c r="AP246" s="47">
        <v>0</v>
      </c>
      <c r="AQ246" s="47">
        <v>0</v>
      </c>
      <c r="AR246" s="47">
        <v>0</v>
      </c>
      <c r="AS246" s="47">
        <v>0</v>
      </c>
      <c r="AT246" s="47">
        <v>0</v>
      </c>
      <c r="AU246" s="47">
        <v>0</v>
      </c>
      <c r="AV246" s="47">
        <v>0</v>
      </c>
      <c r="AW246" s="47">
        <v>0</v>
      </c>
      <c r="AX246" s="47">
        <v>0</v>
      </c>
      <c r="AY246" s="47">
        <v>0</v>
      </c>
      <c r="AZ246" s="47">
        <v>0</v>
      </c>
      <c r="BA246" s="47">
        <v>0</v>
      </c>
      <c r="BB246" s="47">
        <v>0</v>
      </c>
      <c r="BC246" s="47">
        <v>0</v>
      </c>
      <c r="BD246" s="47">
        <v>0</v>
      </c>
      <c r="BE246" s="47">
        <v>0</v>
      </c>
      <c r="BF246" s="47">
        <v>0</v>
      </c>
      <c r="BG246" s="47">
        <v>0</v>
      </c>
      <c r="BH246" s="47">
        <v>0</v>
      </c>
      <c r="BI246" s="47">
        <v>0</v>
      </c>
      <c r="BJ246" s="47">
        <v>0</v>
      </c>
      <c r="BK246" s="47">
        <v>0</v>
      </c>
      <c r="BL246" s="47">
        <v>0</v>
      </c>
      <c r="BM246" s="47">
        <v>0</v>
      </c>
      <c r="BN246" s="47">
        <v>0</v>
      </c>
      <c r="BO246" s="47">
        <v>0</v>
      </c>
      <c r="BP246" s="47">
        <v>0</v>
      </c>
      <c r="BQ246" s="47">
        <v>0</v>
      </c>
      <c r="BR246" s="47">
        <v>0</v>
      </c>
      <c r="BS246" s="47">
        <v>0</v>
      </c>
      <c r="BT246" s="47">
        <v>0</v>
      </c>
      <c r="BU246" s="47">
        <v>0</v>
      </c>
      <c r="BV246" s="47">
        <v>0</v>
      </c>
      <c r="BW246" s="47">
        <v>0</v>
      </c>
      <c r="BX246" s="47">
        <v>0</v>
      </c>
      <c r="BY246" s="47">
        <v>0</v>
      </c>
      <c r="BZ246" s="47">
        <v>0</v>
      </c>
      <c r="CA246" s="47">
        <v>0</v>
      </c>
      <c r="CB246" s="47">
        <v>0</v>
      </c>
      <c r="CC246" s="47">
        <v>0</v>
      </c>
      <c r="CD246" s="47">
        <v>0</v>
      </c>
      <c r="CE246" s="47">
        <v>0</v>
      </c>
      <c r="CF246" s="47">
        <v>0</v>
      </c>
      <c r="CG246" s="47">
        <v>0</v>
      </c>
      <c r="CH246" s="47">
        <v>0</v>
      </c>
      <c r="CI246" s="47">
        <v>0</v>
      </c>
      <c r="CJ246" s="47">
        <v>0</v>
      </c>
      <c r="CK246" s="47">
        <v>0</v>
      </c>
      <c r="CL246" s="47">
        <v>0</v>
      </c>
      <c r="CM246" s="47">
        <v>0</v>
      </c>
      <c r="CN246" s="47">
        <v>0</v>
      </c>
      <c r="CO246" s="47">
        <v>0</v>
      </c>
      <c r="CP246" s="47">
        <v>0</v>
      </c>
      <c r="CQ246" s="47">
        <v>0</v>
      </c>
      <c r="CR246" s="47">
        <v>0</v>
      </c>
      <c r="CS246" s="47">
        <v>0</v>
      </c>
      <c r="CT246" s="47">
        <v>0</v>
      </c>
      <c r="CU246" s="47">
        <v>0</v>
      </c>
      <c r="CV246" s="47">
        <v>0</v>
      </c>
      <c r="CW246" s="47">
        <v>0</v>
      </c>
      <c r="CX246" s="47">
        <v>0</v>
      </c>
      <c r="CY246" s="47">
        <v>0</v>
      </c>
      <c r="CZ246" s="47">
        <v>0</v>
      </c>
      <c r="DA246" s="47">
        <v>0</v>
      </c>
      <c r="DB246" s="47">
        <v>0</v>
      </c>
      <c r="DC246" s="47">
        <v>0</v>
      </c>
      <c r="DD246" s="47">
        <v>0</v>
      </c>
      <c r="DE246" s="47">
        <v>0</v>
      </c>
      <c r="DF246" s="47">
        <v>0</v>
      </c>
      <c r="DG246" s="47">
        <v>0</v>
      </c>
      <c r="DH246" s="47">
        <v>0</v>
      </c>
      <c r="DI246" s="47">
        <v>0</v>
      </c>
      <c r="DJ246" s="47">
        <v>0</v>
      </c>
      <c r="DK246" s="47">
        <v>0</v>
      </c>
      <c r="DL246" s="47">
        <v>0</v>
      </c>
      <c r="DM246" s="47">
        <v>0</v>
      </c>
      <c r="DN246" s="47">
        <v>0</v>
      </c>
      <c r="DO246" s="47">
        <v>0</v>
      </c>
      <c r="DP246" s="47">
        <v>0</v>
      </c>
      <c r="DQ246" s="47">
        <v>0</v>
      </c>
      <c r="DR246" s="47">
        <v>0</v>
      </c>
      <c r="DS246" s="47">
        <v>0</v>
      </c>
      <c r="DT246" s="47">
        <v>0</v>
      </c>
      <c r="DU246" s="47">
        <v>0</v>
      </c>
      <c r="DV246" s="47">
        <v>0</v>
      </c>
      <c r="DW246" s="47">
        <v>0</v>
      </c>
      <c r="DX246" s="47">
        <v>0</v>
      </c>
      <c r="DY246" s="47">
        <v>0</v>
      </c>
      <c r="DZ246" s="47">
        <v>0</v>
      </c>
      <c r="EA246" s="47">
        <v>0</v>
      </c>
      <c r="EB246" s="47"/>
      <c r="EC246" s="47">
        <v>0.8</v>
      </c>
      <c r="ZZ246" t="s">
        <v>2472</v>
      </c>
    </row>
    <row r="247" spans="1:702" x14ac:dyDescent="0.25">
      <c r="A247" s="47" t="s">
        <v>1244</v>
      </c>
      <c r="B247" s="47" t="s">
        <v>153</v>
      </c>
      <c r="C247" s="47" t="s">
        <v>157</v>
      </c>
      <c r="D247" s="47" t="s">
        <v>2727</v>
      </c>
      <c r="E247" s="47" t="s">
        <v>1245</v>
      </c>
      <c r="F247" s="47" t="s">
        <v>1246</v>
      </c>
      <c r="G247" s="47" t="s">
        <v>1247</v>
      </c>
      <c r="H247" s="47" t="s">
        <v>698</v>
      </c>
      <c r="I247" s="47" t="s">
        <v>705</v>
      </c>
      <c r="J247" s="47" t="str">
        <f>=IFERROR(VLOOKUP(H247&amp;I247,Table_Fonctions!A:G,6,FALSE),"")</f>
        <v>0</v>
      </c>
      <c r="K247" s="47" t="s">
        <v>2607</v>
      </c>
      <c r="L247" s="47" t="str">
        <f>=IFERROR(VLOOKUP(H247&amp;I247,Table_Fonctions!A:G,7,FALSE),K247)</f>
        <v/>
      </c>
      <c r="M247" s="47" t="str">
        <f>=IF(OR(LEFT(D247, 3)="TJ ", LEFT(D247, 4)="CPH "), "OUI", "NON")</f>
        <v/>
      </c>
      <c r="N247" s="47" t="s">
        <v>1053</v>
      </c>
      <c r="O247" s="47"/>
      <c r="P247" s="47">
        <v>1</v>
      </c>
      <c r="Q247" s="47">
        <v>0</v>
      </c>
      <c r="R247" s="47">
        <v>1</v>
      </c>
      <c r="S247" s="47">
        <f>=ROUND(BQ247-(BR247+BS247),3)</f>
      </c>
      <c r="T247" s="47">
        <f>=ROUND(CK247-(CL247+CM247+CN247+CO247+CP247),3)</f>
      </c>
      <c r="U247" s="47">
        <v>0</v>
      </c>
      <c r="V247" s="47">
        <v>0</v>
      </c>
      <c r="W247" s="47">
        <v>0</v>
      </c>
      <c r="X247" s="47">
        <v>0</v>
      </c>
      <c r="Y247" s="47">
        <v>0</v>
      </c>
      <c r="Z247" s="47">
        <v>0</v>
      </c>
      <c r="AA247" s="47">
        <v>0</v>
      </c>
      <c r="AB247" s="47">
        <v>0</v>
      </c>
      <c r="AC247" s="47">
        <v>0</v>
      </c>
      <c r="AD247" s="47">
        <v>0</v>
      </c>
      <c r="AE247" s="47">
        <v>0</v>
      </c>
      <c r="AF247" s="47">
        <v>0</v>
      </c>
      <c r="AG247" s="47">
        <v>0</v>
      </c>
      <c r="AH247" s="47">
        <v>0</v>
      </c>
      <c r="AI247" s="47">
        <v>0</v>
      </c>
      <c r="AJ247" s="47">
        <v>0</v>
      </c>
      <c r="AK247" s="47">
        <v>0</v>
      </c>
      <c r="AL247" s="47">
        <v>0</v>
      </c>
      <c r="AM247" s="47">
        <v>0</v>
      </c>
      <c r="AN247" s="47">
        <v>0</v>
      </c>
      <c r="AO247" s="47">
        <v>0</v>
      </c>
      <c r="AP247" s="47">
        <v>0</v>
      </c>
      <c r="AQ247" s="47">
        <v>0</v>
      </c>
      <c r="AR247" s="47">
        <v>0</v>
      </c>
      <c r="AS247" s="47">
        <v>0</v>
      </c>
      <c r="AT247" s="47">
        <v>0</v>
      </c>
      <c r="AU247" s="47">
        <v>0</v>
      </c>
      <c r="AV247" s="47">
        <v>0</v>
      </c>
      <c r="AW247" s="47">
        <v>0</v>
      </c>
      <c r="AX247" s="47">
        <v>0</v>
      </c>
      <c r="AY247" s="47">
        <v>0</v>
      </c>
      <c r="AZ247" s="47">
        <v>0</v>
      </c>
      <c r="BA247" s="47">
        <v>0</v>
      </c>
      <c r="BB247" s="47">
        <v>0</v>
      </c>
      <c r="BC247" s="47">
        <v>0</v>
      </c>
      <c r="BD247" s="47">
        <v>0</v>
      </c>
      <c r="BE247" s="47">
        <v>0</v>
      </c>
      <c r="BF247" s="47">
        <v>0</v>
      </c>
      <c r="BG247" s="47">
        <v>0</v>
      </c>
      <c r="BH247" s="47">
        <v>0</v>
      </c>
      <c r="BI247" s="47">
        <v>0</v>
      </c>
      <c r="BJ247" s="47">
        <v>0</v>
      </c>
      <c r="BK247" s="47">
        <v>0</v>
      </c>
      <c r="BL247" s="47">
        <v>0</v>
      </c>
      <c r="BM247" s="47">
        <v>0</v>
      </c>
      <c r="BN247" s="47">
        <v>0</v>
      </c>
      <c r="BO247" s="47">
        <v>0</v>
      </c>
      <c r="BP247" s="47">
        <v>0</v>
      </c>
      <c r="BQ247" s="47">
        <v>0</v>
      </c>
      <c r="BR247" s="47">
        <v>0</v>
      </c>
      <c r="BS247" s="47">
        <v>0</v>
      </c>
      <c r="BT247" s="47">
        <v>0</v>
      </c>
      <c r="BU247" s="47">
        <v>0</v>
      </c>
      <c r="BV247" s="47">
        <v>0</v>
      </c>
      <c r="BW247" s="47">
        <v>0</v>
      </c>
      <c r="BX247" s="47">
        <v>0</v>
      </c>
      <c r="BY247" s="47">
        <v>0</v>
      </c>
      <c r="BZ247" s="47">
        <v>0</v>
      </c>
      <c r="CA247" s="47">
        <v>0</v>
      </c>
      <c r="CB247" s="47">
        <v>0</v>
      </c>
      <c r="CC247" s="47">
        <v>0</v>
      </c>
      <c r="CD247" s="47">
        <v>0</v>
      </c>
      <c r="CE247" s="47">
        <v>0</v>
      </c>
      <c r="CF247" s="47">
        <v>0</v>
      </c>
      <c r="CG247" s="47">
        <v>0</v>
      </c>
      <c r="CH247" s="47">
        <v>0</v>
      </c>
      <c r="CI247" s="47">
        <v>0</v>
      </c>
      <c r="CJ247" s="47">
        <v>0</v>
      </c>
      <c r="CK247" s="47">
        <v>0</v>
      </c>
      <c r="CL247" s="47">
        <v>0</v>
      </c>
      <c r="CM247" s="47">
        <v>0</v>
      </c>
      <c r="CN247" s="47">
        <v>0</v>
      </c>
      <c r="CO247" s="47">
        <v>0</v>
      </c>
      <c r="CP247" s="47">
        <v>0</v>
      </c>
      <c r="CQ247" s="47">
        <v>0</v>
      </c>
      <c r="CR247" s="47">
        <v>0</v>
      </c>
      <c r="CS247" s="47">
        <v>0</v>
      </c>
      <c r="CT247" s="47">
        <v>0</v>
      </c>
      <c r="CU247" s="47">
        <v>0</v>
      </c>
      <c r="CV247" s="47">
        <v>0</v>
      </c>
      <c r="CW247" s="47">
        <v>0</v>
      </c>
      <c r="CX247" s="47">
        <v>0</v>
      </c>
      <c r="CY247" s="47">
        <v>0</v>
      </c>
      <c r="CZ247" s="47">
        <v>0</v>
      </c>
      <c r="DA247" s="47">
        <v>0</v>
      </c>
      <c r="DB247" s="47">
        <v>0</v>
      </c>
      <c r="DC247" s="47">
        <v>0</v>
      </c>
      <c r="DD247" s="47">
        <v>0</v>
      </c>
      <c r="DE247" s="47">
        <v>0</v>
      </c>
      <c r="DF247" s="47">
        <v>0</v>
      </c>
      <c r="DG247" s="47">
        <v>0</v>
      </c>
      <c r="DH247" s="47">
        <v>0</v>
      </c>
      <c r="DI247" s="47">
        <v>0</v>
      </c>
      <c r="DJ247" s="47">
        <v>0</v>
      </c>
      <c r="DK247" s="47">
        <v>0</v>
      </c>
      <c r="DL247" s="47">
        <v>0</v>
      </c>
      <c r="DM247" s="47">
        <v>0</v>
      </c>
      <c r="DN247" s="47">
        <v>0</v>
      </c>
      <c r="DO247" s="47">
        <v>0</v>
      </c>
      <c r="DP247" s="47">
        <v>0</v>
      </c>
      <c r="DQ247" s="47">
        <v>0</v>
      </c>
      <c r="DR247" s="47">
        <v>0</v>
      </c>
      <c r="DS247" s="47">
        <v>0</v>
      </c>
      <c r="DT247" s="47">
        <v>0</v>
      </c>
      <c r="DU247" s="47">
        <v>0</v>
      </c>
      <c r="DV247" s="47">
        <v>0</v>
      </c>
      <c r="DW247" s="47">
        <v>0</v>
      </c>
      <c r="DX247" s="47">
        <v>0</v>
      </c>
      <c r="DY247" s="47">
        <v>0</v>
      </c>
      <c r="DZ247" s="47">
        <v>0</v>
      </c>
      <c r="EA247" s="47">
        <v>0</v>
      </c>
      <c r="EB247" s="47"/>
      <c r="EC247" s="47">
        <v>1</v>
      </c>
      <c r="ZZ247" t="s">
        <v>2472</v>
      </c>
    </row>
    <row r="248" spans="1:702" x14ac:dyDescent="0.25">
      <c r="A248" s="47" t="s">
        <v>1248</v>
      </c>
      <c r="B248" s="47" t="s">
        <v>153</v>
      </c>
      <c r="C248" s="47" t="s">
        <v>157</v>
      </c>
      <c r="D248" s="47" t="s">
        <v>2728</v>
      </c>
      <c r="E248" s="47" t="s">
        <v>1249</v>
      </c>
      <c r="F248" s="47" t="s">
        <v>1250</v>
      </c>
      <c r="G248" s="47" t="s">
        <v>1251</v>
      </c>
      <c r="H248" s="47" t="s">
        <v>698</v>
      </c>
      <c r="I248" s="47" t="s">
        <v>1252</v>
      </c>
      <c r="J248" s="47" t="str">
        <f>=IFERROR(VLOOKUP(H248&amp;I248,Table_Fonctions!A:G,6,FALSE),"")</f>
        <v>0</v>
      </c>
      <c r="K248" s="47" t="s">
        <v>2605</v>
      </c>
      <c r="L248" s="47" t="str">
        <f>=IFERROR(VLOOKUP(H248&amp;I248,Table_Fonctions!A:G,7,FALSE),K248)</f>
        <v/>
      </c>
      <c r="M248" s="47" t="str">
        <f>=IF(OR(LEFT(D248, 3)="TJ ", LEFT(D248, 4)="CPH "), "OUI", "NON")</f>
        <v/>
      </c>
      <c r="N248" s="47" t="s">
        <v>1243</v>
      </c>
      <c r="O248" s="47"/>
      <c r="P248" s="47">
        <v>1</v>
      </c>
      <c r="Q248" s="47">
        <v>1</v>
      </c>
      <c r="R248" s="47">
        <v>0</v>
      </c>
      <c r="S248" s="47">
        <f>=ROUND(BQ248-(BR248+BS248),3)</f>
      </c>
      <c r="T248" s="47">
        <f>=ROUND(CK248-(CL248+CM248+CN248+CO248+CP248),3)</f>
      </c>
      <c r="U248" s="47">
        <v>0</v>
      </c>
      <c r="V248" s="47">
        <v>0</v>
      </c>
      <c r="W248" s="47">
        <v>0</v>
      </c>
      <c r="X248" s="47">
        <v>0</v>
      </c>
      <c r="Y248" s="47">
        <v>0</v>
      </c>
      <c r="Z248" s="47">
        <v>0</v>
      </c>
      <c r="AA248" s="47">
        <v>0</v>
      </c>
      <c r="AB248" s="47">
        <v>0</v>
      </c>
      <c r="AC248" s="47">
        <v>0</v>
      </c>
      <c r="AD248" s="47">
        <v>0</v>
      </c>
      <c r="AE248" s="47">
        <v>0</v>
      </c>
      <c r="AF248" s="47">
        <v>0</v>
      </c>
      <c r="AG248" s="47">
        <v>0</v>
      </c>
      <c r="AH248" s="47">
        <v>0</v>
      </c>
      <c r="AI248" s="47">
        <v>0</v>
      </c>
      <c r="AJ248" s="47">
        <v>0</v>
      </c>
      <c r="AK248" s="47">
        <v>0</v>
      </c>
      <c r="AL248" s="47">
        <v>0</v>
      </c>
      <c r="AM248" s="47">
        <v>0</v>
      </c>
      <c r="AN248" s="47">
        <v>0</v>
      </c>
      <c r="AO248" s="47">
        <v>0</v>
      </c>
      <c r="AP248" s="47">
        <v>0</v>
      </c>
      <c r="AQ248" s="47">
        <v>0</v>
      </c>
      <c r="AR248" s="47">
        <v>0</v>
      </c>
      <c r="AS248" s="47">
        <v>0</v>
      </c>
      <c r="AT248" s="47">
        <v>0</v>
      </c>
      <c r="AU248" s="47">
        <v>0</v>
      </c>
      <c r="AV248" s="47">
        <v>0</v>
      </c>
      <c r="AW248" s="47">
        <v>0</v>
      </c>
      <c r="AX248" s="47">
        <v>0</v>
      </c>
      <c r="AY248" s="47">
        <v>0</v>
      </c>
      <c r="AZ248" s="47">
        <v>0</v>
      </c>
      <c r="BA248" s="47">
        <v>0</v>
      </c>
      <c r="BB248" s="47">
        <v>0</v>
      </c>
      <c r="BC248" s="47">
        <v>0</v>
      </c>
      <c r="BD248" s="47">
        <v>0</v>
      </c>
      <c r="BE248" s="47">
        <v>0</v>
      </c>
      <c r="BF248" s="47">
        <v>0</v>
      </c>
      <c r="BG248" s="47">
        <v>0</v>
      </c>
      <c r="BH248" s="47">
        <v>0</v>
      </c>
      <c r="BI248" s="47">
        <v>0</v>
      </c>
      <c r="BJ248" s="47">
        <v>0</v>
      </c>
      <c r="BK248" s="47">
        <v>0</v>
      </c>
      <c r="BL248" s="47">
        <v>0</v>
      </c>
      <c r="BM248" s="47">
        <v>0</v>
      </c>
      <c r="BN248" s="47">
        <v>0</v>
      </c>
      <c r="BO248" s="47">
        <v>0</v>
      </c>
      <c r="BP248" s="47">
        <v>0</v>
      </c>
      <c r="BQ248" s="47">
        <v>0</v>
      </c>
      <c r="BR248" s="47">
        <v>0</v>
      </c>
      <c r="BS248" s="47">
        <v>0</v>
      </c>
      <c r="BT248" s="47">
        <v>1</v>
      </c>
      <c r="BU248" s="47">
        <v>0</v>
      </c>
      <c r="BV248" s="47">
        <v>0</v>
      </c>
      <c r="BW248" s="47">
        <v>0</v>
      </c>
      <c r="BX248" s="47">
        <v>0</v>
      </c>
      <c r="BY248" s="47">
        <v>0</v>
      </c>
      <c r="BZ248" s="47">
        <v>0</v>
      </c>
      <c r="CA248" s="47">
        <v>0</v>
      </c>
      <c r="CB248" s="47">
        <v>0</v>
      </c>
      <c r="CC248" s="47">
        <v>0</v>
      </c>
      <c r="CD248" s="47">
        <v>0.5</v>
      </c>
      <c r="CE248" s="47">
        <v>0</v>
      </c>
      <c r="CF248" s="47">
        <v>0</v>
      </c>
      <c r="CG248" s="47">
        <v>0</v>
      </c>
      <c r="CH248" s="47">
        <v>0</v>
      </c>
      <c r="CI248" s="47">
        <v>0.5</v>
      </c>
      <c r="CJ248" s="47">
        <v>0</v>
      </c>
      <c r="CK248" s="47">
        <v>0</v>
      </c>
      <c r="CL248" s="47">
        <v>0</v>
      </c>
      <c r="CM248" s="47">
        <v>0</v>
      </c>
      <c r="CN248" s="47">
        <v>0</v>
      </c>
      <c r="CO248" s="47">
        <v>0</v>
      </c>
      <c r="CP248" s="47">
        <v>0</v>
      </c>
      <c r="CQ248" s="47">
        <v>0</v>
      </c>
      <c r="CR248" s="47">
        <v>0</v>
      </c>
      <c r="CS248" s="47">
        <v>0</v>
      </c>
      <c r="CT248" s="47">
        <v>0</v>
      </c>
      <c r="CU248" s="47">
        <v>0</v>
      </c>
      <c r="CV248" s="47">
        <v>0</v>
      </c>
      <c r="CW248" s="47">
        <v>0</v>
      </c>
      <c r="CX248" s="47">
        <v>0</v>
      </c>
      <c r="CY248" s="47">
        <v>0</v>
      </c>
      <c r="CZ248" s="47">
        <v>0</v>
      </c>
      <c r="DA248" s="47">
        <v>0</v>
      </c>
      <c r="DB248" s="47">
        <v>0</v>
      </c>
      <c r="DC248" s="47">
        <v>0</v>
      </c>
      <c r="DD248" s="47">
        <v>0</v>
      </c>
      <c r="DE248" s="47">
        <v>0</v>
      </c>
      <c r="DF248" s="47">
        <v>0</v>
      </c>
      <c r="DG248" s="47">
        <v>0</v>
      </c>
      <c r="DH248" s="47">
        <v>0</v>
      </c>
      <c r="DI248" s="47">
        <v>0</v>
      </c>
      <c r="DJ248" s="47">
        <v>0</v>
      </c>
      <c r="DK248" s="47">
        <v>0</v>
      </c>
      <c r="DL248" s="47">
        <v>0</v>
      </c>
      <c r="DM248" s="47">
        <v>0</v>
      </c>
      <c r="DN248" s="47">
        <v>0</v>
      </c>
      <c r="DO248" s="47">
        <v>0</v>
      </c>
      <c r="DP248" s="47">
        <v>0</v>
      </c>
      <c r="DQ248" s="47">
        <v>0</v>
      </c>
      <c r="DR248" s="47">
        <v>0</v>
      </c>
      <c r="DS248" s="47">
        <v>0</v>
      </c>
      <c r="DT248" s="47">
        <v>0</v>
      </c>
      <c r="DU248" s="47">
        <v>0</v>
      </c>
      <c r="DV248" s="47">
        <v>0</v>
      </c>
      <c r="DW248" s="47">
        <v>0</v>
      </c>
      <c r="DX248" s="47">
        <v>0</v>
      </c>
      <c r="DY248" s="47">
        <v>0</v>
      </c>
      <c r="DZ248" s="47">
        <v>0</v>
      </c>
      <c r="EA248" s="47">
        <v>0</v>
      </c>
      <c r="EB248" s="47"/>
      <c r="EC248" s="47">
        <v>1</v>
      </c>
      <c r="ZZ248" t="s">
        <v>2472</v>
      </c>
    </row>
    <row r="249" spans="1:702" x14ac:dyDescent="0.25">
      <c r="A249" s="47" t="s">
        <v>1253</v>
      </c>
      <c r="B249" s="47" t="s">
        <v>153</v>
      </c>
      <c r="C249" s="47" t="s">
        <v>157</v>
      </c>
      <c r="D249" s="47" t="s">
        <v>2729</v>
      </c>
      <c r="E249" s="47" t="s">
        <v>1254</v>
      </c>
      <c r="F249" s="47" t="s">
        <v>1255</v>
      </c>
      <c r="G249" s="47" t="s">
        <v>1256</v>
      </c>
      <c r="H249" s="47" t="s">
        <v>698</v>
      </c>
      <c r="I249" s="47" t="s">
        <v>727</v>
      </c>
      <c r="J249" s="47" t="str">
        <f>=IFERROR(VLOOKUP(H249&amp;I249,Table_Fonctions!A:G,6,FALSE),"")</f>
        <v>0</v>
      </c>
      <c r="K249" s="47" t="s">
        <v>2607</v>
      </c>
      <c r="L249" s="47" t="str">
        <f>=IFERROR(VLOOKUP(H249&amp;I249,Table_Fonctions!A:G,7,FALSE),K249)</f>
        <v/>
      </c>
      <c r="M249" s="47" t="str">
        <f>=IF(OR(LEFT(D249, 3)="TJ ", LEFT(D249, 4)="CPH "), "OUI", "NON")</f>
        <v/>
      </c>
      <c r="N249" s="47" t="s">
        <v>753</v>
      </c>
      <c r="O249" s="47"/>
      <c r="P249" s="47">
        <v>0.8</v>
      </c>
      <c r="Q249" s="47">
        <v>0</v>
      </c>
      <c r="R249" s="47">
        <v>0.8</v>
      </c>
      <c r="S249" s="47">
        <f>=ROUND(BQ249-(BR249+BS249),3)</f>
      </c>
      <c r="T249" s="47">
        <f>=ROUND(CK249-(CL249+CM249+CN249+CO249+CP249),3)</f>
      </c>
      <c r="U249" s="47">
        <v>0</v>
      </c>
      <c r="V249" s="47">
        <v>0</v>
      </c>
      <c r="W249" s="47">
        <v>0</v>
      </c>
      <c r="X249" s="47">
        <v>0</v>
      </c>
      <c r="Y249" s="47">
        <v>0</v>
      </c>
      <c r="Z249" s="47">
        <v>0</v>
      </c>
      <c r="AA249" s="47">
        <v>0</v>
      </c>
      <c r="AB249" s="47">
        <v>0</v>
      </c>
      <c r="AC249" s="47">
        <v>0</v>
      </c>
      <c r="AD249" s="47">
        <v>0</v>
      </c>
      <c r="AE249" s="47">
        <v>0</v>
      </c>
      <c r="AF249" s="47">
        <v>0</v>
      </c>
      <c r="AG249" s="47">
        <v>0</v>
      </c>
      <c r="AH249" s="47">
        <v>0</v>
      </c>
      <c r="AI249" s="47">
        <v>0</v>
      </c>
      <c r="AJ249" s="47">
        <v>0</v>
      </c>
      <c r="AK249" s="47">
        <v>0</v>
      </c>
      <c r="AL249" s="47">
        <v>0</v>
      </c>
      <c r="AM249" s="47">
        <v>0</v>
      </c>
      <c r="AN249" s="47">
        <v>0</v>
      </c>
      <c r="AO249" s="47">
        <v>0</v>
      </c>
      <c r="AP249" s="47">
        <v>0</v>
      </c>
      <c r="AQ249" s="47">
        <v>0</v>
      </c>
      <c r="AR249" s="47">
        <v>0</v>
      </c>
      <c r="AS249" s="47">
        <v>0</v>
      </c>
      <c r="AT249" s="47">
        <v>0</v>
      </c>
      <c r="AU249" s="47">
        <v>0</v>
      </c>
      <c r="AV249" s="47">
        <v>0</v>
      </c>
      <c r="AW249" s="47">
        <v>0</v>
      </c>
      <c r="AX249" s="47">
        <v>0</v>
      </c>
      <c r="AY249" s="47">
        <v>0</v>
      </c>
      <c r="AZ249" s="47">
        <v>0</v>
      </c>
      <c r="BA249" s="47">
        <v>0</v>
      </c>
      <c r="BB249" s="47">
        <v>0</v>
      </c>
      <c r="BC249" s="47">
        <v>0</v>
      </c>
      <c r="BD249" s="47">
        <v>0</v>
      </c>
      <c r="BE249" s="47">
        <v>0</v>
      </c>
      <c r="BF249" s="47">
        <v>0</v>
      </c>
      <c r="BG249" s="47">
        <v>0</v>
      </c>
      <c r="BH249" s="47">
        <v>0</v>
      </c>
      <c r="BI249" s="47">
        <v>0</v>
      </c>
      <c r="BJ249" s="47">
        <v>0</v>
      </c>
      <c r="BK249" s="47">
        <v>0</v>
      </c>
      <c r="BL249" s="47">
        <v>0</v>
      </c>
      <c r="BM249" s="47">
        <v>0</v>
      </c>
      <c r="BN249" s="47">
        <v>0</v>
      </c>
      <c r="BO249" s="47">
        <v>0</v>
      </c>
      <c r="BP249" s="47">
        <v>0</v>
      </c>
      <c r="BQ249" s="47">
        <v>0</v>
      </c>
      <c r="BR249" s="47">
        <v>0</v>
      </c>
      <c r="BS249" s="47">
        <v>0</v>
      </c>
      <c r="BT249" s="47">
        <v>0</v>
      </c>
      <c r="BU249" s="47">
        <v>0</v>
      </c>
      <c r="BV249" s="47">
        <v>0</v>
      </c>
      <c r="BW249" s="47">
        <v>0</v>
      </c>
      <c r="BX249" s="47">
        <v>0</v>
      </c>
      <c r="BY249" s="47">
        <v>0</v>
      </c>
      <c r="BZ249" s="47">
        <v>0</v>
      </c>
      <c r="CA249" s="47">
        <v>0</v>
      </c>
      <c r="CB249" s="47">
        <v>0</v>
      </c>
      <c r="CC249" s="47">
        <v>0</v>
      </c>
      <c r="CD249" s="47">
        <v>0</v>
      </c>
      <c r="CE249" s="47">
        <v>0</v>
      </c>
      <c r="CF249" s="47">
        <v>0</v>
      </c>
      <c r="CG249" s="47">
        <v>0</v>
      </c>
      <c r="CH249" s="47">
        <v>0</v>
      </c>
      <c r="CI249" s="47">
        <v>0</v>
      </c>
      <c r="CJ249" s="47">
        <v>0</v>
      </c>
      <c r="CK249" s="47">
        <v>0</v>
      </c>
      <c r="CL249" s="47">
        <v>0</v>
      </c>
      <c r="CM249" s="47">
        <v>0</v>
      </c>
      <c r="CN249" s="47">
        <v>0</v>
      </c>
      <c r="CO249" s="47">
        <v>0</v>
      </c>
      <c r="CP249" s="47">
        <v>0</v>
      </c>
      <c r="CQ249" s="47">
        <v>0</v>
      </c>
      <c r="CR249" s="47">
        <v>0</v>
      </c>
      <c r="CS249" s="47">
        <v>0</v>
      </c>
      <c r="CT249" s="47">
        <v>0</v>
      </c>
      <c r="CU249" s="47">
        <v>0</v>
      </c>
      <c r="CV249" s="47">
        <v>0</v>
      </c>
      <c r="CW249" s="47">
        <v>0</v>
      </c>
      <c r="CX249" s="47">
        <v>0</v>
      </c>
      <c r="CY249" s="47">
        <v>0</v>
      </c>
      <c r="CZ249" s="47">
        <v>0</v>
      </c>
      <c r="DA249" s="47">
        <v>0</v>
      </c>
      <c r="DB249" s="47">
        <v>0</v>
      </c>
      <c r="DC249" s="47">
        <v>0</v>
      </c>
      <c r="DD249" s="47">
        <v>0</v>
      </c>
      <c r="DE249" s="47">
        <v>0</v>
      </c>
      <c r="DF249" s="47">
        <v>0</v>
      </c>
      <c r="DG249" s="47">
        <v>0</v>
      </c>
      <c r="DH249" s="47">
        <v>0</v>
      </c>
      <c r="DI249" s="47">
        <v>0</v>
      </c>
      <c r="DJ249" s="47">
        <v>0</v>
      </c>
      <c r="DK249" s="47">
        <v>0</v>
      </c>
      <c r="DL249" s="47">
        <v>0</v>
      </c>
      <c r="DM249" s="47">
        <v>0</v>
      </c>
      <c r="DN249" s="47">
        <v>0</v>
      </c>
      <c r="DO249" s="47">
        <v>0</v>
      </c>
      <c r="DP249" s="47">
        <v>0</v>
      </c>
      <c r="DQ249" s="47">
        <v>0</v>
      </c>
      <c r="DR249" s="47">
        <v>0</v>
      </c>
      <c r="DS249" s="47">
        <v>0</v>
      </c>
      <c r="DT249" s="47">
        <v>0</v>
      </c>
      <c r="DU249" s="47">
        <v>0</v>
      </c>
      <c r="DV249" s="47">
        <v>0</v>
      </c>
      <c r="DW249" s="47">
        <v>0</v>
      </c>
      <c r="DX249" s="47">
        <v>0</v>
      </c>
      <c r="DY249" s="47">
        <v>0</v>
      </c>
      <c r="DZ249" s="47">
        <v>0</v>
      </c>
      <c r="EA249" s="47">
        <v>0</v>
      </c>
      <c r="EB249" s="47"/>
      <c r="EC249" s="47">
        <v>0.8</v>
      </c>
      <c r="ZZ249" t="s">
        <v>2472</v>
      </c>
    </row>
    <row r="250" spans="1:702" x14ac:dyDescent="0.25">
      <c r="A250" s="47" t="s">
        <v>1257</v>
      </c>
      <c r="B250" s="47" t="s">
        <v>153</v>
      </c>
      <c r="C250" s="47" t="s">
        <v>157</v>
      </c>
      <c r="D250" s="47" t="s">
        <v>2730</v>
      </c>
      <c r="E250" s="47" t="s">
        <v>1258</v>
      </c>
      <c r="F250" s="47" t="s">
        <v>1259</v>
      </c>
      <c r="G250" s="47" t="s">
        <v>1260</v>
      </c>
      <c r="H250" s="47" t="s">
        <v>698</v>
      </c>
      <c r="I250" s="47" t="s">
        <v>727</v>
      </c>
      <c r="J250" s="47" t="str">
        <f>=IFERROR(VLOOKUP(H250&amp;I250,Table_Fonctions!A:G,6,FALSE),"")</f>
        <v>0</v>
      </c>
      <c r="K250" s="47" t="s">
        <v>2607</v>
      </c>
      <c r="L250" s="47" t="str">
        <f>=IFERROR(VLOOKUP(H250&amp;I250,Table_Fonctions!A:G,7,FALSE),K250)</f>
        <v/>
      </c>
      <c r="M250" s="47" t="str">
        <f>=IF(OR(LEFT(D250, 3)="TJ ", LEFT(D250, 4)="CPH "), "OUI", "NON")</f>
        <v/>
      </c>
      <c r="N250" s="47" t="s">
        <v>1261</v>
      </c>
      <c r="O250" s="47"/>
      <c r="P250" s="47">
        <v>0.8</v>
      </c>
      <c r="Q250" s="47">
        <v>0.8</v>
      </c>
      <c r="R250" s="47">
        <v>0</v>
      </c>
      <c r="S250" s="47">
        <f>=ROUND(BQ250-(BR250+BS250),3)</f>
      </c>
      <c r="T250" s="47">
        <f>=ROUND(CK250-(CL250+CM250+CN250+CO250+CP250),3)</f>
      </c>
      <c r="U250" s="47">
        <v>0</v>
      </c>
      <c r="V250" s="47">
        <v>0</v>
      </c>
      <c r="W250" s="47">
        <v>0</v>
      </c>
      <c r="X250" s="47">
        <v>0</v>
      </c>
      <c r="Y250" s="47">
        <v>0</v>
      </c>
      <c r="Z250" s="47">
        <v>0</v>
      </c>
      <c r="AA250" s="47">
        <v>0</v>
      </c>
      <c r="AB250" s="47">
        <v>0</v>
      </c>
      <c r="AC250" s="47">
        <v>0</v>
      </c>
      <c r="AD250" s="47">
        <v>0</v>
      </c>
      <c r="AE250" s="47">
        <v>0</v>
      </c>
      <c r="AF250" s="47">
        <v>0</v>
      </c>
      <c r="AG250" s="47">
        <v>0</v>
      </c>
      <c r="AH250" s="47">
        <v>0</v>
      </c>
      <c r="AI250" s="47">
        <v>0</v>
      </c>
      <c r="AJ250" s="47">
        <v>0</v>
      </c>
      <c r="AK250" s="47">
        <v>0</v>
      </c>
      <c r="AL250" s="47">
        <v>0</v>
      </c>
      <c r="AM250" s="47">
        <v>0</v>
      </c>
      <c r="AN250" s="47">
        <v>0</v>
      </c>
      <c r="AO250" s="47">
        <v>0</v>
      </c>
      <c r="AP250" s="47">
        <v>0</v>
      </c>
      <c r="AQ250" s="47">
        <v>0</v>
      </c>
      <c r="AR250" s="47">
        <v>0</v>
      </c>
      <c r="AS250" s="47">
        <v>0.8</v>
      </c>
      <c r="AT250" s="47">
        <v>0</v>
      </c>
      <c r="AU250" s="47">
        <v>0</v>
      </c>
      <c r="AV250" s="47">
        <v>0</v>
      </c>
      <c r="AW250" s="47">
        <v>0</v>
      </c>
      <c r="AX250" s="47">
        <v>0</v>
      </c>
      <c r="AY250" s="47">
        <v>0</v>
      </c>
      <c r="AZ250" s="47">
        <v>0</v>
      </c>
      <c r="BA250" s="47">
        <v>0</v>
      </c>
      <c r="BB250" s="47">
        <v>0</v>
      </c>
      <c r="BC250" s="47">
        <v>0</v>
      </c>
      <c r="BD250" s="47">
        <v>0</v>
      </c>
      <c r="BE250" s="47">
        <v>0</v>
      </c>
      <c r="BF250" s="47">
        <v>0</v>
      </c>
      <c r="BG250" s="47">
        <v>0</v>
      </c>
      <c r="BH250" s="47">
        <v>0</v>
      </c>
      <c r="BI250" s="47">
        <v>0</v>
      </c>
      <c r="BJ250" s="47">
        <v>0</v>
      </c>
      <c r="BK250" s="47">
        <v>0</v>
      </c>
      <c r="BL250" s="47">
        <v>0</v>
      </c>
      <c r="BM250" s="47">
        <v>0</v>
      </c>
      <c r="BN250" s="47">
        <v>0</v>
      </c>
      <c r="BO250" s="47">
        <v>0</v>
      </c>
      <c r="BP250" s="47">
        <v>0</v>
      </c>
      <c r="BQ250" s="47">
        <v>0</v>
      </c>
      <c r="BR250" s="47">
        <v>0</v>
      </c>
      <c r="BS250" s="47">
        <v>0</v>
      </c>
      <c r="BT250" s="47">
        <v>0</v>
      </c>
      <c r="BU250" s="47">
        <v>0</v>
      </c>
      <c r="BV250" s="47">
        <v>0</v>
      </c>
      <c r="BW250" s="47">
        <v>0</v>
      </c>
      <c r="BX250" s="47">
        <v>0</v>
      </c>
      <c r="BY250" s="47">
        <v>0</v>
      </c>
      <c r="BZ250" s="47">
        <v>0</v>
      </c>
      <c r="CA250" s="47">
        <v>0</v>
      </c>
      <c r="CB250" s="47">
        <v>0</v>
      </c>
      <c r="CC250" s="47">
        <v>0</v>
      </c>
      <c r="CD250" s="47">
        <v>0</v>
      </c>
      <c r="CE250" s="47">
        <v>0</v>
      </c>
      <c r="CF250" s="47">
        <v>0</v>
      </c>
      <c r="CG250" s="47">
        <v>0</v>
      </c>
      <c r="CH250" s="47">
        <v>0</v>
      </c>
      <c r="CI250" s="47">
        <v>0</v>
      </c>
      <c r="CJ250" s="47">
        <v>0</v>
      </c>
      <c r="CK250" s="47">
        <v>0</v>
      </c>
      <c r="CL250" s="47">
        <v>0</v>
      </c>
      <c r="CM250" s="47">
        <v>0</v>
      </c>
      <c r="CN250" s="47">
        <v>0</v>
      </c>
      <c r="CO250" s="47">
        <v>0</v>
      </c>
      <c r="CP250" s="47">
        <v>0</v>
      </c>
      <c r="CQ250" s="47">
        <v>0</v>
      </c>
      <c r="CR250" s="47">
        <v>0</v>
      </c>
      <c r="CS250" s="47">
        <v>0</v>
      </c>
      <c r="CT250" s="47">
        <v>0</v>
      </c>
      <c r="CU250" s="47">
        <v>0</v>
      </c>
      <c r="CV250" s="47">
        <v>0</v>
      </c>
      <c r="CW250" s="47">
        <v>0</v>
      </c>
      <c r="CX250" s="47">
        <v>0</v>
      </c>
      <c r="CY250" s="47">
        <v>0</v>
      </c>
      <c r="CZ250" s="47">
        <v>0</v>
      </c>
      <c r="DA250" s="47">
        <v>0</v>
      </c>
      <c r="DB250" s="47">
        <v>0</v>
      </c>
      <c r="DC250" s="47">
        <v>0</v>
      </c>
      <c r="DD250" s="47">
        <v>0</v>
      </c>
      <c r="DE250" s="47">
        <v>0</v>
      </c>
      <c r="DF250" s="47">
        <v>0</v>
      </c>
      <c r="DG250" s="47">
        <v>0</v>
      </c>
      <c r="DH250" s="47">
        <v>0</v>
      </c>
      <c r="DI250" s="47">
        <v>0</v>
      </c>
      <c r="DJ250" s="47">
        <v>0</v>
      </c>
      <c r="DK250" s="47">
        <v>0</v>
      </c>
      <c r="DL250" s="47">
        <v>0</v>
      </c>
      <c r="DM250" s="47">
        <v>0</v>
      </c>
      <c r="DN250" s="47">
        <v>0</v>
      </c>
      <c r="DO250" s="47">
        <v>0</v>
      </c>
      <c r="DP250" s="47">
        <v>0</v>
      </c>
      <c r="DQ250" s="47">
        <v>0</v>
      </c>
      <c r="DR250" s="47">
        <v>0</v>
      </c>
      <c r="DS250" s="47">
        <v>0</v>
      </c>
      <c r="DT250" s="47">
        <v>0</v>
      </c>
      <c r="DU250" s="47">
        <v>0</v>
      </c>
      <c r="DV250" s="47">
        <v>0</v>
      </c>
      <c r="DW250" s="47">
        <v>0</v>
      </c>
      <c r="DX250" s="47">
        <v>0</v>
      </c>
      <c r="DY250" s="47">
        <v>0</v>
      </c>
      <c r="DZ250" s="47">
        <v>0</v>
      </c>
      <c r="EA250" s="47">
        <v>0</v>
      </c>
      <c r="EB250" s="47"/>
      <c r="EC250" s="47">
        <v>0.8</v>
      </c>
      <c r="ZZ250" t="s">
        <v>2472</v>
      </c>
    </row>
    <row r="251" spans="1:702" x14ac:dyDescent="0.25">
      <c r="A251" s="47" t="s">
        <v>1262</v>
      </c>
      <c r="B251" s="47" t="s">
        <v>153</v>
      </c>
      <c r="C251" s="47" t="s">
        <v>157</v>
      </c>
      <c r="D251" s="47" t="s">
        <v>2731</v>
      </c>
      <c r="E251" s="47" t="s">
        <v>1263</v>
      </c>
      <c r="F251" s="47" t="s">
        <v>1264</v>
      </c>
      <c r="G251" s="47" t="s">
        <v>1265</v>
      </c>
      <c r="H251" s="47" t="s">
        <v>698</v>
      </c>
      <c r="I251" s="47" t="s">
        <v>727</v>
      </c>
      <c r="J251" s="47" t="str">
        <f>=IFERROR(VLOOKUP(H251&amp;I251,Table_Fonctions!A:G,6,FALSE),"")</f>
        <v>0</v>
      </c>
      <c r="K251" s="47" t="s">
        <v>2607</v>
      </c>
      <c r="L251" s="47" t="str">
        <f>=IFERROR(VLOOKUP(H251&amp;I251,Table_Fonctions!A:G,7,FALSE),K251)</f>
        <v/>
      </c>
      <c r="M251" s="47" t="str">
        <f>=IF(OR(LEFT(D251, 3)="TJ ", LEFT(D251, 4)="CPH "), "OUI", "NON")</f>
        <v/>
      </c>
      <c r="N251" s="47" t="s">
        <v>1039</v>
      </c>
      <c r="O251" s="47"/>
      <c r="P251" s="47">
        <v>0.8</v>
      </c>
      <c r="Q251" s="47">
        <v>0</v>
      </c>
      <c r="R251" s="47">
        <v>0.8</v>
      </c>
      <c r="S251" s="47">
        <f>=ROUND(BQ251-(BR251+BS251),3)</f>
      </c>
      <c r="T251" s="47">
        <f>=ROUND(CK251-(CL251+CM251+CN251+CO251+CP251),3)</f>
      </c>
      <c r="U251" s="47">
        <v>0</v>
      </c>
      <c r="V251" s="47">
        <v>0</v>
      </c>
      <c r="W251" s="47">
        <v>0</v>
      </c>
      <c r="X251" s="47">
        <v>0</v>
      </c>
      <c r="Y251" s="47">
        <v>0</v>
      </c>
      <c r="Z251" s="47">
        <v>0</v>
      </c>
      <c r="AA251" s="47">
        <v>0</v>
      </c>
      <c r="AB251" s="47">
        <v>0</v>
      </c>
      <c r="AC251" s="47">
        <v>0</v>
      </c>
      <c r="AD251" s="47">
        <v>0</v>
      </c>
      <c r="AE251" s="47">
        <v>0</v>
      </c>
      <c r="AF251" s="47">
        <v>0</v>
      </c>
      <c r="AG251" s="47">
        <v>0</v>
      </c>
      <c r="AH251" s="47">
        <v>0</v>
      </c>
      <c r="AI251" s="47">
        <v>0</v>
      </c>
      <c r="AJ251" s="47">
        <v>0</v>
      </c>
      <c r="AK251" s="47">
        <v>0</v>
      </c>
      <c r="AL251" s="47">
        <v>0</v>
      </c>
      <c r="AM251" s="47">
        <v>0</v>
      </c>
      <c r="AN251" s="47">
        <v>0</v>
      </c>
      <c r="AO251" s="47">
        <v>0</v>
      </c>
      <c r="AP251" s="47">
        <v>0</v>
      </c>
      <c r="AQ251" s="47">
        <v>0</v>
      </c>
      <c r="AR251" s="47">
        <v>0</v>
      </c>
      <c r="AS251" s="47">
        <v>0</v>
      </c>
      <c r="AT251" s="47">
        <v>0</v>
      </c>
      <c r="AU251" s="47">
        <v>0</v>
      </c>
      <c r="AV251" s="47">
        <v>0</v>
      </c>
      <c r="AW251" s="47">
        <v>0</v>
      </c>
      <c r="AX251" s="47">
        <v>0</v>
      </c>
      <c r="AY251" s="47">
        <v>0</v>
      </c>
      <c r="AZ251" s="47">
        <v>0</v>
      </c>
      <c r="BA251" s="47">
        <v>0</v>
      </c>
      <c r="BB251" s="47">
        <v>0</v>
      </c>
      <c r="BC251" s="47">
        <v>0</v>
      </c>
      <c r="BD251" s="47">
        <v>0</v>
      </c>
      <c r="BE251" s="47">
        <v>0</v>
      </c>
      <c r="BF251" s="47">
        <v>0</v>
      </c>
      <c r="BG251" s="47">
        <v>0</v>
      </c>
      <c r="BH251" s="47">
        <v>0</v>
      </c>
      <c r="BI251" s="47">
        <v>0</v>
      </c>
      <c r="BJ251" s="47">
        <v>0</v>
      </c>
      <c r="BK251" s="47">
        <v>0</v>
      </c>
      <c r="BL251" s="47">
        <v>0</v>
      </c>
      <c r="BM251" s="47">
        <v>0</v>
      </c>
      <c r="BN251" s="47">
        <v>0</v>
      </c>
      <c r="BO251" s="47">
        <v>0</v>
      </c>
      <c r="BP251" s="47">
        <v>0</v>
      </c>
      <c r="BQ251" s="47">
        <v>0</v>
      </c>
      <c r="BR251" s="47">
        <v>0</v>
      </c>
      <c r="BS251" s="47">
        <v>0</v>
      </c>
      <c r="BT251" s="47">
        <v>0</v>
      </c>
      <c r="BU251" s="47">
        <v>0</v>
      </c>
      <c r="BV251" s="47">
        <v>0</v>
      </c>
      <c r="BW251" s="47">
        <v>0</v>
      </c>
      <c r="BX251" s="47">
        <v>0</v>
      </c>
      <c r="BY251" s="47">
        <v>0</v>
      </c>
      <c r="BZ251" s="47">
        <v>0</v>
      </c>
      <c r="CA251" s="47">
        <v>0</v>
      </c>
      <c r="CB251" s="47">
        <v>0</v>
      </c>
      <c r="CC251" s="47">
        <v>0</v>
      </c>
      <c r="CD251" s="47">
        <v>0</v>
      </c>
      <c r="CE251" s="47">
        <v>0</v>
      </c>
      <c r="CF251" s="47">
        <v>0</v>
      </c>
      <c r="CG251" s="47">
        <v>0</v>
      </c>
      <c r="CH251" s="47">
        <v>0</v>
      </c>
      <c r="CI251" s="47">
        <v>0</v>
      </c>
      <c r="CJ251" s="47">
        <v>0</v>
      </c>
      <c r="CK251" s="47">
        <v>0</v>
      </c>
      <c r="CL251" s="47">
        <v>0</v>
      </c>
      <c r="CM251" s="47">
        <v>0</v>
      </c>
      <c r="CN251" s="47">
        <v>0</v>
      </c>
      <c r="CO251" s="47">
        <v>0</v>
      </c>
      <c r="CP251" s="47">
        <v>0</v>
      </c>
      <c r="CQ251" s="47">
        <v>0</v>
      </c>
      <c r="CR251" s="47">
        <v>0</v>
      </c>
      <c r="CS251" s="47">
        <v>0</v>
      </c>
      <c r="CT251" s="47">
        <v>0</v>
      </c>
      <c r="CU251" s="47">
        <v>0</v>
      </c>
      <c r="CV251" s="47">
        <v>0</v>
      </c>
      <c r="CW251" s="47">
        <v>0</v>
      </c>
      <c r="CX251" s="47">
        <v>0</v>
      </c>
      <c r="CY251" s="47">
        <v>0</v>
      </c>
      <c r="CZ251" s="47">
        <v>0</v>
      </c>
      <c r="DA251" s="47">
        <v>0</v>
      </c>
      <c r="DB251" s="47">
        <v>0</v>
      </c>
      <c r="DC251" s="47">
        <v>0</v>
      </c>
      <c r="DD251" s="47">
        <v>0</v>
      </c>
      <c r="DE251" s="47">
        <v>0</v>
      </c>
      <c r="DF251" s="47">
        <v>0</v>
      </c>
      <c r="DG251" s="47">
        <v>0</v>
      </c>
      <c r="DH251" s="47">
        <v>0</v>
      </c>
      <c r="DI251" s="47">
        <v>0</v>
      </c>
      <c r="DJ251" s="47">
        <v>0</v>
      </c>
      <c r="DK251" s="47">
        <v>0</v>
      </c>
      <c r="DL251" s="47">
        <v>0</v>
      </c>
      <c r="DM251" s="47">
        <v>0</v>
      </c>
      <c r="DN251" s="47">
        <v>0</v>
      </c>
      <c r="DO251" s="47">
        <v>0</v>
      </c>
      <c r="DP251" s="47">
        <v>0</v>
      </c>
      <c r="DQ251" s="47">
        <v>0</v>
      </c>
      <c r="DR251" s="47">
        <v>0</v>
      </c>
      <c r="DS251" s="47">
        <v>0</v>
      </c>
      <c r="DT251" s="47">
        <v>0</v>
      </c>
      <c r="DU251" s="47">
        <v>0</v>
      </c>
      <c r="DV251" s="47">
        <v>0</v>
      </c>
      <c r="DW251" s="47">
        <v>0</v>
      </c>
      <c r="DX251" s="47">
        <v>0</v>
      </c>
      <c r="DY251" s="47">
        <v>0</v>
      </c>
      <c r="DZ251" s="47">
        <v>0</v>
      </c>
      <c r="EA251" s="47">
        <v>0</v>
      </c>
      <c r="EB251" s="47"/>
      <c r="EC251" s="47">
        <v>0.8</v>
      </c>
      <c r="ZZ251" t="s">
        <v>2472</v>
      </c>
    </row>
    <row r="252" spans="1:702" x14ac:dyDescent="0.25">
      <c r="A252" s="47" t="s">
        <v>1266</v>
      </c>
      <c r="B252" s="47" t="s">
        <v>153</v>
      </c>
      <c r="C252" s="47" t="s">
        <v>157</v>
      </c>
      <c r="D252" s="47" t="s">
        <v>2732</v>
      </c>
      <c r="E252" s="47" t="s">
        <v>1267</v>
      </c>
      <c r="F252" s="47" t="s">
        <v>1268</v>
      </c>
      <c r="G252" s="47" t="s">
        <v>1269</v>
      </c>
      <c r="H252" s="47" t="s">
        <v>698</v>
      </c>
      <c r="I252" s="47" t="s">
        <v>2733</v>
      </c>
      <c r="J252" s="47" t="str">
        <f>=IFERROR(VLOOKUP(H252&amp;I252,Table_Fonctions!A:G,6,FALSE),"")</f>
        <v>0</v>
      </c>
      <c r="K252" s="47" t="s">
        <v>2605</v>
      </c>
      <c r="L252" s="47" t="str">
        <f>=IFERROR(VLOOKUP(H252&amp;I252,Table_Fonctions!A:G,7,FALSE),K252)</f>
        <v/>
      </c>
      <c r="M252" s="47" t="str">
        <f>=IF(OR(LEFT(D252, 3)="TJ ", LEFT(D252, 4)="CPH "), "OUI", "NON")</f>
        <v/>
      </c>
      <c r="N252" s="47" t="s">
        <v>717</v>
      </c>
      <c r="O252" s="47"/>
      <c r="P252" s="47">
        <v>1</v>
      </c>
      <c r="Q252" s="47">
        <v>1</v>
      </c>
      <c r="R252" s="47">
        <v>0</v>
      </c>
      <c r="S252" s="47">
        <f>=ROUND(BQ252-(BR252+BS252),3)</f>
      </c>
      <c r="T252" s="47">
        <f>=ROUND(CK252-(CL252+CM252+CN252+CO252+CP252),3)</f>
      </c>
      <c r="U252" s="47">
        <v>0</v>
      </c>
      <c r="V252" s="47">
        <v>0</v>
      </c>
      <c r="W252" s="47">
        <v>0</v>
      </c>
      <c r="X252" s="47">
        <v>0</v>
      </c>
      <c r="Y252" s="47">
        <v>0</v>
      </c>
      <c r="Z252" s="47">
        <v>0</v>
      </c>
      <c r="AA252" s="47">
        <v>0</v>
      </c>
      <c r="AB252" s="47">
        <v>0</v>
      </c>
      <c r="AC252" s="47">
        <v>0</v>
      </c>
      <c r="AD252" s="47">
        <v>0</v>
      </c>
      <c r="AE252" s="47">
        <v>0</v>
      </c>
      <c r="AF252" s="47">
        <v>0</v>
      </c>
      <c r="AG252" s="47">
        <v>0</v>
      </c>
      <c r="AH252" s="47">
        <v>0</v>
      </c>
      <c r="AI252" s="47">
        <v>0</v>
      </c>
      <c r="AJ252" s="47">
        <v>0</v>
      </c>
      <c r="AK252" s="47">
        <v>0</v>
      </c>
      <c r="AL252" s="47">
        <v>0</v>
      </c>
      <c r="AM252" s="47">
        <v>0</v>
      </c>
      <c r="AN252" s="47">
        <v>0</v>
      </c>
      <c r="AO252" s="47">
        <v>0</v>
      </c>
      <c r="AP252" s="47">
        <v>0</v>
      </c>
      <c r="AQ252" s="47">
        <v>0</v>
      </c>
      <c r="AR252" s="47">
        <v>0</v>
      </c>
      <c r="AS252" s="47">
        <v>0</v>
      </c>
      <c r="AT252" s="47">
        <v>0</v>
      </c>
      <c r="AU252" s="47">
        <v>0</v>
      </c>
      <c r="AV252" s="47">
        <v>0</v>
      </c>
      <c r="AW252" s="47">
        <v>0</v>
      </c>
      <c r="AX252" s="47">
        <v>0</v>
      </c>
      <c r="AY252" s="47">
        <v>0</v>
      </c>
      <c r="AZ252" s="47">
        <v>0</v>
      </c>
      <c r="BA252" s="47">
        <v>0</v>
      </c>
      <c r="BB252" s="47">
        <v>0</v>
      </c>
      <c r="BC252" s="47">
        <v>0</v>
      </c>
      <c r="BD252" s="47">
        <v>0</v>
      </c>
      <c r="BE252" s="47">
        <v>0</v>
      </c>
      <c r="BF252" s="47">
        <v>0</v>
      </c>
      <c r="BG252" s="47">
        <v>0</v>
      </c>
      <c r="BH252" s="47">
        <v>0</v>
      </c>
      <c r="BI252" s="47">
        <v>0</v>
      </c>
      <c r="BJ252" s="47">
        <v>0</v>
      </c>
      <c r="BK252" s="47">
        <v>0</v>
      </c>
      <c r="BL252" s="47">
        <v>0</v>
      </c>
      <c r="BM252" s="47">
        <v>1</v>
      </c>
      <c r="BN252" s="47">
        <v>0</v>
      </c>
      <c r="BO252" s="47">
        <v>1</v>
      </c>
      <c r="BP252" s="47">
        <v>0</v>
      </c>
      <c r="BQ252" s="47">
        <v>0</v>
      </c>
      <c r="BR252" s="47">
        <v>0</v>
      </c>
      <c r="BS252" s="47">
        <v>0</v>
      </c>
      <c r="BT252" s="47">
        <v>0</v>
      </c>
      <c r="BU252" s="47">
        <v>0</v>
      </c>
      <c r="BV252" s="47">
        <v>0</v>
      </c>
      <c r="BW252" s="47">
        <v>0</v>
      </c>
      <c r="BX252" s="47">
        <v>0</v>
      </c>
      <c r="BY252" s="47">
        <v>0</v>
      </c>
      <c r="BZ252" s="47">
        <v>0</v>
      </c>
      <c r="CA252" s="47">
        <v>0</v>
      </c>
      <c r="CB252" s="47">
        <v>0</v>
      </c>
      <c r="CC252" s="47">
        <v>0</v>
      </c>
      <c r="CD252" s="47">
        <v>0</v>
      </c>
      <c r="CE252" s="47">
        <v>0</v>
      </c>
      <c r="CF252" s="47">
        <v>0</v>
      </c>
      <c r="CG252" s="47">
        <v>0</v>
      </c>
      <c r="CH252" s="47">
        <v>0</v>
      </c>
      <c r="CI252" s="47">
        <v>0</v>
      </c>
      <c r="CJ252" s="47">
        <v>0</v>
      </c>
      <c r="CK252" s="47">
        <v>0</v>
      </c>
      <c r="CL252" s="47">
        <v>0</v>
      </c>
      <c r="CM252" s="47">
        <v>0</v>
      </c>
      <c r="CN252" s="47">
        <v>0</v>
      </c>
      <c r="CO252" s="47">
        <v>0</v>
      </c>
      <c r="CP252" s="47">
        <v>0</v>
      </c>
      <c r="CQ252" s="47">
        <v>0</v>
      </c>
      <c r="CR252" s="47">
        <v>0</v>
      </c>
      <c r="CS252" s="47">
        <v>0</v>
      </c>
      <c r="CT252" s="47">
        <v>0</v>
      </c>
      <c r="CU252" s="47">
        <v>0</v>
      </c>
      <c r="CV252" s="47">
        <v>0</v>
      </c>
      <c r="CW252" s="47">
        <v>0</v>
      </c>
      <c r="CX252" s="47">
        <v>0</v>
      </c>
      <c r="CY252" s="47">
        <v>0</v>
      </c>
      <c r="CZ252" s="47">
        <v>0</v>
      </c>
      <c r="DA252" s="47">
        <v>0</v>
      </c>
      <c r="DB252" s="47">
        <v>0</v>
      </c>
      <c r="DC252" s="47">
        <v>0</v>
      </c>
      <c r="DD252" s="47">
        <v>0</v>
      </c>
      <c r="DE252" s="47">
        <v>0</v>
      </c>
      <c r="DF252" s="47">
        <v>0</v>
      </c>
      <c r="DG252" s="47">
        <v>0</v>
      </c>
      <c r="DH252" s="47">
        <v>0</v>
      </c>
      <c r="DI252" s="47">
        <v>0</v>
      </c>
      <c r="DJ252" s="47">
        <v>0</v>
      </c>
      <c r="DK252" s="47">
        <v>0</v>
      </c>
      <c r="DL252" s="47">
        <v>0</v>
      </c>
      <c r="DM252" s="47">
        <v>0</v>
      </c>
      <c r="DN252" s="47">
        <v>0</v>
      </c>
      <c r="DO252" s="47">
        <v>0</v>
      </c>
      <c r="DP252" s="47">
        <v>0</v>
      </c>
      <c r="DQ252" s="47">
        <v>0</v>
      </c>
      <c r="DR252" s="47">
        <v>0</v>
      </c>
      <c r="DS252" s="47">
        <v>0</v>
      </c>
      <c r="DT252" s="47">
        <v>0</v>
      </c>
      <c r="DU252" s="47">
        <v>0</v>
      </c>
      <c r="DV252" s="47">
        <v>0</v>
      </c>
      <c r="DW252" s="47">
        <v>0</v>
      </c>
      <c r="DX252" s="47">
        <v>0</v>
      </c>
      <c r="DY252" s="47">
        <v>0</v>
      </c>
      <c r="DZ252" s="47">
        <v>0</v>
      </c>
      <c r="EA252" s="47">
        <v>0</v>
      </c>
      <c r="EB252" s="47"/>
      <c r="EC252" s="47">
        <v>1</v>
      </c>
      <c r="ZZ252" t="s">
        <v>2472</v>
      </c>
    </row>
    <row r="253" spans="1:702" x14ac:dyDescent="0.25">
      <c r="A253" s="47" t="s">
        <v>1271</v>
      </c>
      <c r="B253" s="47" t="s">
        <v>153</v>
      </c>
      <c r="C253" s="47" t="s">
        <v>157</v>
      </c>
      <c r="D253" s="47" t="s">
        <v>2734</v>
      </c>
      <c r="E253" s="47" t="s">
        <v>1272</v>
      </c>
      <c r="F253" s="47" t="s">
        <v>1273</v>
      </c>
      <c r="G253" s="47" t="s">
        <v>1274</v>
      </c>
      <c r="H253" s="47" t="s">
        <v>698</v>
      </c>
      <c r="I253" s="47" t="s">
        <v>705</v>
      </c>
      <c r="J253" s="47" t="str">
        <f>=IFERROR(VLOOKUP(H253&amp;I253,Table_Fonctions!A:G,6,FALSE),"")</f>
        <v>0</v>
      </c>
      <c r="K253" s="47" t="s">
        <v>2607</v>
      </c>
      <c r="L253" s="47" t="str">
        <f>=IFERROR(VLOOKUP(H253&amp;I253,Table_Fonctions!A:G,7,FALSE),K253)</f>
        <v/>
      </c>
      <c r="M253" s="47" t="str">
        <f>=IF(OR(LEFT(D253, 3)="TJ ", LEFT(D253, 4)="CPH "), "OUI", "NON")</f>
        <v/>
      </c>
      <c r="N253" s="47" t="s">
        <v>1076</v>
      </c>
      <c r="O253" s="47"/>
      <c r="P253" s="47">
        <v>1</v>
      </c>
      <c r="Q253" s="47">
        <v>0</v>
      </c>
      <c r="R253" s="47">
        <v>1</v>
      </c>
      <c r="S253" s="47">
        <f>=ROUND(BQ253-(BR253+BS253),3)</f>
      </c>
      <c r="T253" s="47">
        <f>=ROUND(CK253-(CL253+CM253+CN253+CO253+CP253),3)</f>
      </c>
      <c r="U253" s="47">
        <v>0</v>
      </c>
      <c r="V253" s="47">
        <v>0</v>
      </c>
      <c r="W253" s="47">
        <v>0</v>
      </c>
      <c r="X253" s="47">
        <v>0</v>
      </c>
      <c r="Y253" s="47">
        <v>0</v>
      </c>
      <c r="Z253" s="47">
        <v>0</v>
      </c>
      <c r="AA253" s="47">
        <v>0</v>
      </c>
      <c r="AB253" s="47">
        <v>0</v>
      </c>
      <c r="AC253" s="47">
        <v>0</v>
      </c>
      <c r="AD253" s="47">
        <v>0</v>
      </c>
      <c r="AE253" s="47">
        <v>0</v>
      </c>
      <c r="AF253" s="47">
        <v>0</v>
      </c>
      <c r="AG253" s="47">
        <v>0</v>
      </c>
      <c r="AH253" s="47">
        <v>0</v>
      </c>
      <c r="AI253" s="47">
        <v>0</v>
      </c>
      <c r="AJ253" s="47">
        <v>0</v>
      </c>
      <c r="AK253" s="47">
        <v>0</v>
      </c>
      <c r="AL253" s="47">
        <v>0</v>
      </c>
      <c r="AM253" s="47">
        <v>0</v>
      </c>
      <c r="AN253" s="47">
        <v>0</v>
      </c>
      <c r="AO253" s="47">
        <v>0</v>
      </c>
      <c r="AP253" s="47">
        <v>0</v>
      </c>
      <c r="AQ253" s="47">
        <v>0</v>
      </c>
      <c r="AR253" s="47">
        <v>0</v>
      </c>
      <c r="AS253" s="47">
        <v>0</v>
      </c>
      <c r="AT253" s="47">
        <v>0</v>
      </c>
      <c r="AU253" s="47">
        <v>0</v>
      </c>
      <c r="AV253" s="47">
        <v>0</v>
      </c>
      <c r="AW253" s="47">
        <v>0</v>
      </c>
      <c r="AX253" s="47">
        <v>0</v>
      </c>
      <c r="AY253" s="47">
        <v>0</v>
      </c>
      <c r="AZ253" s="47">
        <v>0</v>
      </c>
      <c r="BA253" s="47">
        <v>0</v>
      </c>
      <c r="BB253" s="47">
        <v>0</v>
      </c>
      <c r="BC253" s="47">
        <v>0</v>
      </c>
      <c r="BD253" s="47">
        <v>0</v>
      </c>
      <c r="BE253" s="47">
        <v>0</v>
      </c>
      <c r="BF253" s="47">
        <v>0</v>
      </c>
      <c r="BG253" s="47">
        <v>0</v>
      </c>
      <c r="BH253" s="47">
        <v>0</v>
      </c>
      <c r="BI253" s="47">
        <v>0</v>
      </c>
      <c r="BJ253" s="47">
        <v>0</v>
      </c>
      <c r="BK253" s="47">
        <v>0</v>
      </c>
      <c r="BL253" s="47">
        <v>0</v>
      </c>
      <c r="BM253" s="47">
        <v>0</v>
      </c>
      <c r="BN253" s="47">
        <v>0</v>
      </c>
      <c r="BO253" s="47">
        <v>0</v>
      </c>
      <c r="BP253" s="47">
        <v>0</v>
      </c>
      <c r="BQ253" s="47">
        <v>0</v>
      </c>
      <c r="BR253" s="47">
        <v>0</v>
      </c>
      <c r="BS253" s="47">
        <v>0</v>
      </c>
      <c r="BT253" s="47">
        <v>0</v>
      </c>
      <c r="BU253" s="47">
        <v>0</v>
      </c>
      <c r="BV253" s="47">
        <v>0</v>
      </c>
      <c r="BW253" s="47">
        <v>0</v>
      </c>
      <c r="BX253" s="47">
        <v>0</v>
      </c>
      <c r="BY253" s="47">
        <v>0</v>
      </c>
      <c r="BZ253" s="47">
        <v>0</v>
      </c>
      <c r="CA253" s="47">
        <v>0</v>
      </c>
      <c r="CB253" s="47">
        <v>0</v>
      </c>
      <c r="CC253" s="47">
        <v>0</v>
      </c>
      <c r="CD253" s="47">
        <v>0</v>
      </c>
      <c r="CE253" s="47">
        <v>0</v>
      </c>
      <c r="CF253" s="47">
        <v>0</v>
      </c>
      <c r="CG253" s="47">
        <v>0</v>
      </c>
      <c r="CH253" s="47">
        <v>0</v>
      </c>
      <c r="CI253" s="47">
        <v>0</v>
      </c>
      <c r="CJ253" s="47">
        <v>0</v>
      </c>
      <c r="CK253" s="47">
        <v>0</v>
      </c>
      <c r="CL253" s="47">
        <v>0</v>
      </c>
      <c r="CM253" s="47">
        <v>0</v>
      </c>
      <c r="CN253" s="47">
        <v>0</v>
      </c>
      <c r="CO253" s="47">
        <v>0</v>
      </c>
      <c r="CP253" s="47">
        <v>0</v>
      </c>
      <c r="CQ253" s="47">
        <v>0</v>
      </c>
      <c r="CR253" s="47">
        <v>0</v>
      </c>
      <c r="CS253" s="47">
        <v>0</v>
      </c>
      <c r="CT253" s="47">
        <v>0</v>
      </c>
      <c r="CU253" s="47">
        <v>0</v>
      </c>
      <c r="CV253" s="47">
        <v>0</v>
      </c>
      <c r="CW253" s="47">
        <v>0</v>
      </c>
      <c r="CX253" s="47">
        <v>0</v>
      </c>
      <c r="CY253" s="47">
        <v>0</v>
      </c>
      <c r="CZ253" s="47">
        <v>0</v>
      </c>
      <c r="DA253" s="47">
        <v>0</v>
      </c>
      <c r="DB253" s="47">
        <v>0</v>
      </c>
      <c r="DC253" s="47">
        <v>0</v>
      </c>
      <c r="DD253" s="47">
        <v>0</v>
      </c>
      <c r="DE253" s="47">
        <v>0</v>
      </c>
      <c r="DF253" s="47">
        <v>0</v>
      </c>
      <c r="DG253" s="47">
        <v>0</v>
      </c>
      <c r="DH253" s="47">
        <v>0</v>
      </c>
      <c r="DI253" s="47">
        <v>0</v>
      </c>
      <c r="DJ253" s="47">
        <v>0</v>
      </c>
      <c r="DK253" s="47">
        <v>0</v>
      </c>
      <c r="DL253" s="47">
        <v>0</v>
      </c>
      <c r="DM253" s="47">
        <v>0</v>
      </c>
      <c r="DN253" s="47">
        <v>0</v>
      </c>
      <c r="DO253" s="47">
        <v>0</v>
      </c>
      <c r="DP253" s="47">
        <v>0</v>
      </c>
      <c r="DQ253" s="47">
        <v>0</v>
      </c>
      <c r="DR253" s="47">
        <v>0</v>
      </c>
      <c r="DS253" s="47">
        <v>0</v>
      </c>
      <c r="DT253" s="47">
        <v>0</v>
      </c>
      <c r="DU253" s="47">
        <v>0</v>
      </c>
      <c r="DV253" s="47">
        <v>0</v>
      </c>
      <c r="DW253" s="47">
        <v>0</v>
      </c>
      <c r="DX253" s="47">
        <v>0</v>
      </c>
      <c r="DY253" s="47">
        <v>0</v>
      </c>
      <c r="DZ253" s="47">
        <v>0</v>
      </c>
      <c r="EA253" s="47">
        <v>0</v>
      </c>
      <c r="EB253" s="47"/>
      <c r="EC253" s="47">
        <v>1</v>
      </c>
      <c r="ZZ253" t="s">
        <v>2472</v>
      </c>
    </row>
    <row r="254" spans="1:702" x14ac:dyDescent="0.25">
      <c r="A254" s="47" t="s">
        <v>1275</v>
      </c>
      <c r="B254" s="47" t="s">
        <v>153</v>
      </c>
      <c r="C254" s="47" t="s">
        <v>157</v>
      </c>
      <c r="D254" s="47" t="s">
        <v>2735</v>
      </c>
      <c r="E254" s="47" t="s">
        <v>1276</v>
      </c>
      <c r="F254" s="47" t="s">
        <v>1277</v>
      </c>
      <c r="G254" s="47" t="s">
        <v>1278</v>
      </c>
      <c r="H254" s="47" t="s">
        <v>698</v>
      </c>
      <c r="I254" s="47" t="s">
        <v>738</v>
      </c>
      <c r="J254" s="47" t="str">
        <f>=IFERROR(VLOOKUP(H254&amp;I254,Table_Fonctions!A:G,6,FALSE),"")</f>
        <v>0</v>
      </c>
      <c r="K254" s="47" t="s">
        <v>2607</v>
      </c>
      <c r="L254" s="47" t="str">
        <f>=IFERROR(VLOOKUP(H254&amp;I254,Table_Fonctions!A:G,7,FALSE),K254)</f>
        <v/>
      </c>
      <c r="M254" s="47" t="str">
        <f>=IF(OR(LEFT(D254, 3)="TJ ", LEFT(D254, 4)="CPH "), "OUI", "NON")</f>
        <v/>
      </c>
      <c r="N254" s="47" t="s">
        <v>593</v>
      </c>
      <c r="O254" s="47"/>
      <c r="P254" s="47">
        <v>1</v>
      </c>
      <c r="Q254" s="47">
        <v>0</v>
      </c>
      <c r="R254" s="47">
        <v>1</v>
      </c>
      <c r="S254" s="47">
        <f>=ROUND(BQ254-(BR254+BS254),3)</f>
      </c>
      <c r="T254" s="47">
        <f>=ROUND(CK254-(CL254+CM254+CN254+CO254+CP254),3)</f>
      </c>
      <c r="U254" s="47">
        <v>0</v>
      </c>
      <c r="V254" s="47">
        <v>0</v>
      </c>
      <c r="W254" s="47">
        <v>0</v>
      </c>
      <c r="X254" s="47">
        <v>0</v>
      </c>
      <c r="Y254" s="47">
        <v>0</v>
      </c>
      <c r="Z254" s="47">
        <v>0</v>
      </c>
      <c r="AA254" s="47">
        <v>0</v>
      </c>
      <c r="AB254" s="47">
        <v>0</v>
      </c>
      <c r="AC254" s="47">
        <v>0</v>
      </c>
      <c r="AD254" s="47">
        <v>0</v>
      </c>
      <c r="AE254" s="47">
        <v>0</v>
      </c>
      <c r="AF254" s="47">
        <v>0</v>
      </c>
      <c r="AG254" s="47">
        <v>0</v>
      </c>
      <c r="AH254" s="47">
        <v>0</v>
      </c>
      <c r="AI254" s="47">
        <v>0</v>
      </c>
      <c r="AJ254" s="47">
        <v>0</v>
      </c>
      <c r="AK254" s="47">
        <v>0</v>
      </c>
      <c r="AL254" s="47">
        <v>0</v>
      </c>
      <c r="AM254" s="47">
        <v>0</v>
      </c>
      <c r="AN254" s="47">
        <v>0</v>
      </c>
      <c r="AO254" s="47">
        <v>0</v>
      </c>
      <c r="AP254" s="47">
        <v>0</v>
      </c>
      <c r="AQ254" s="47">
        <v>0</v>
      </c>
      <c r="AR254" s="47">
        <v>0</v>
      </c>
      <c r="AS254" s="47">
        <v>0</v>
      </c>
      <c r="AT254" s="47">
        <v>0</v>
      </c>
      <c r="AU254" s="47">
        <v>0</v>
      </c>
      <c r="AV254" s="47">
        <v>0</v>
      </c>
      <c r="AW254" s="47">
        <v>0</v>
      </c>
      <c r="AX254" s="47">
        <v>0</v>
      </c>
      <c r="AY254" s="47">
        <v>0</v>
      </c>
      <c r="AZ254" s="47">
        <v>0</v>
      </c>
      <c r="BA254" s="47">
        <v>0</v>
      </c>
      <c r="BB254" s="47">
        <v>0</v>
      </c>
      <c r="BC254" s="47">
        <v>0</v>
      </c>
      <c r="BD254" s="47">
        <v>0</v>
      </c>
      <c r="BE254" s="47">
        <v>0</v>
      </c>
      <c r="BF254" s="47">
        <v>0</v>
      </c>
      <c r="BG254" s="47">
        <v>0</v>
      </c>
      <c r="BH254" s="47">
        <v>0</v>
      </c>
      <c r="BI254" s="47">
        <v>0</v>
      </c>
      <c r="BJ254" s="47">
        <v>0</v>
      </c>
      <c r="BK254" s="47">
        <v>0</v>
      </c>
      <c r="BL254" s="47">
        <v>0</v>
      </c>
      <c r="BM254" s="47">
        <v>0</v>
      </c>
      <c r="BN254" s="47">
        <v>0</v>
      </c>
      <c r="BO254" s="47">
        <v>0</v>
      </c>
      <c r="BP254" s="47">
        <v>0</v>
      </c>
      <c r="BQ254" s="47">
        <v>0</v>
      </c>
      <c r="BR254" s="47">
        <v>0</v>
      </c>
      <c r="BS254" s="47">
        <v>0</v>
      </c>
      <c r="BT254" s="47">
        <v>0</v>
      </c>
      <c r="BU254" s="47">
        <v>0</v>
      </c>
      <c r="BV254" s="47">
        <v>0</v>
      </c>
      <c r="BW254" s="47">
        <v>0</v>
      </c>
      <c r="BX254" s="47">
        <v>0</v>
      </c>
      <c r="BY254" s="47">
        <v>0</v>
      </c>
      <c r="BZ254" s="47">
        <v>0</v>
      </c>
      <c r="CA254" s="47">
        <v>0</v>
      </c>
      <c r="CB254" s="47">
        <v>0</v>
      </c>
      <c r="CC254" s="47">
        <v>0</v>
      </c>
      <c r="CD254" s="47">
        <v>0</v>
      </c>
      <c r="CE254" s="47">
        <v>0</v>
      </c>
      <c r="CF254" s="47">
        <v>0</v>
      </c>
      <c r="CG254" s="47">
        <v>0</v>
      </c>
      <c r="CH254" s="47">
        <v>0</v>
      </c>
      <c r="CI254" s="47">
        <v>0</v>
      </c>
      <c r="CJ254" s="47">
        <v>0</v>
      </c>
      <c r="CK254" s="47">
        <v>0</v>
      </c>
      <c r="CL254" s="47">
        <v>0</v>
      </c>
      <c r="CM254" s="47">
        <v>0</v>
      </c>
      <c r="CN254" s="47">
        <v>0</v>
      </c>
      <c r="CO254" s="47">
        <v>0</v>
      </c>
      <c r="CP254" s="47">
        <v>0</v>
      </c>
      <c r="CQ254" s="47">
        <v>0</v>
      </c>
      <c r="CR254" s="47">
        <v>0</v>
      </c>
      <c r="CS254" s="47">
        <v>0</v>
      </c>
      <c r="CT254" s="47">
        <v>0</v>
      </c>
      <c r="CU254" s="47">
        <v>0</v>
      </c>
      <c r="CV254" s="47">
        <v>0</v>
      </c>
      <c r="CW254" s="47">
        <v>0</v>
      </c>
      <c r="CX254" s="47">
        <v>0</v>
      </c>
      <c r="CY254" s="47">
        <v>0</v>
      </c>
      <c r="CZ254" s="47">
        <v>0</v>
      </c>
      <c r="DA254" s="47">
        <v>0</v>
      </c>
      <c r="DB254" s="47">
        <v>0</v>
      </c>
      <c r="DC254" s="47">
        <v>0</v>
      </c>
      <c r="DD254" s="47">
        <v>0</v>
      </c>
      <c r="DE254" s="47">
        <v>0</v>
      </c>
      <c r="DF254" s="47">
        <v>0</v>
      </c>
      <c r="DG254" s="47">
        <v>0</v>
      </c>
      <c r="DH254" s="47">
        <v>0</v>
      </c>
      <c r="DI254" s="47">
        <v>0</v>
      </c>
      <c r="DJ254" s="47">
        <v>0</v>
      </c>
      <c r="DK254" s="47">
        <v>0</v>
      </c>
      <c r="DL254" s="47">
        <v>0</v>
      </c>
      <c r="DM254" s="47">
        <v>0</v>
      </c>
      <c r="DN254" s="47">
        <v>0</v>
      </c>
      <c r="DO254" s="47">
        <v>0</v>
      </c>
      <c r="DP254" s="47">
        <v>0</v>
      </c>
      <c r="DQ254" s="47">
        <v>0</v>
      </c>
      <c r="DR254" s="47">
        <v>0</v>
      </c>
      <c r="DS254" s="47">
        <v>0</v>
      </c>
      <c r="DT254" s="47">
        <v>0</v>
      </c>
      <c r="DU254" s="47">
        <v>0</v>
      </c>
      <c r="DV254" s="47">
        <v>0</v>
      </c>
      <c r="DW254" s="47">
        <v>0</v>
      </c>
      <c r="DX254" s="47">
        <v>0</v>
      </c>
      <c r="DY254" s="47">
        <v>0</v>
      </c>
      <c r="DZ254" s="47">
        <v>0</v>
      </c>
      <c r="EA254" s="47">
        <v>0</v>
      </c>
      <c r="EB254" s="47"/>
      <c r="EC254" s="47">
        <v>1</v>
      </c>
      <c r="ZZ254" t="s">
        <v>2472</v>
      </c>
    </row>
    <row r="255" spans="1:702" x14ac:dyDescent="0.25">
      <c r="A255" s="47" t="s">
        <v>1279</v>
      </c>
      <c r="B255" s="47" t="s">
        <v>153</v>
      </c>
      <c r="C255" s="47" t="s">
        <v>157</v>
      </c>
      <c r="D255" s="47" t="s">
        <v>2736</v>
      </c>
      <c r="E255" s="47" t="s">
        <v>1280</v>
      </c>
      <c r="F255" s="47" t="s">
        <v>1281</v>
      </c>
      <c r="G255" s="47" t="s">
        <v>1282</v>
      </c>
      <c r="H255" s="47" t="s">
        <v>698</v>
      </c>
      <c r="I255" s="47" t="s">
        <v>727</v>
      </c>
      <c r="J255" s="47" t="str">
        <f>=IFERROR(VLOOKUP(H255&amp;I255,Table_Fonctions!A:G,6,FALSE),"")</f>
        <v>0</v>
      </c>
      <c r="K255" s="47" t="s">
        <v>2607</v>
      </c>
      <c r="L255" s="47" t="str">
        <f>=IFERROR(VLOOKUP(H255&amp;I255,Table_Fonctions!A:G,7,FALSE),K255)</f>
        <v/>
      </c>
      <c r="M255" s="47" t="str">
        <f>=IF(OR(LEFT(D255, 3)="TJ ", LEFT(D255, 4)="CPH "), "OUI", "NON")</f>
        <v/>
      </c>
      <c r="N255" s="47" t="s">
        <v>593</v>
      </c>
      <c r="O255" s="47"/>
      <c r="P255" s="47">
        <v>1</v>
      </c>
      <c r="Q255" s="47">
        <v>0</v>
      </c>
      <c r="R255" s="47">
        <v>1</v>
      </c>
      <c r="S255" s="47">
        <f>=ROUND(BQ255-(BR255+BS255),3)</f>
      </c>
      <c r="T255" s="47">
        <f>=ROUND(CK255-(CL255+CM255+CN255+CO255+CP255),3)</f>
      </c>
      <c r="U255" s="47">
        <v>0</v>
      </c>
      <c r="V255" s="47">
        <v>0</v>
      </c>
      <c r="W255" s="47">
        <v>0</v>
      </c>
      <c r="X255" s="47">
        <v>0</v>
      </c>
      <c r="Y255" s="47">
        <v>0</v>
      </c>
      <c r="Z255" s="47">
        <v>0</v>
      </c>
      <c r="AA255" s="47">
        <v>0</v>
      </c>
      <c r="AB255" s="47">
        <v>0</v>
      </c>
      <c r="AC255" s="47">
        <v>0</v>
      </c>
      <c r="AD255" s="47">
        <v>0</v>
      </c>
      <c r="AE255" s="47">
        <v>0</v>
      </c>
      <c r="AF255" s="47">
        <v>0</v>
      </c>
      <c r="AG255" s="47">
        <v>0</v>
      </c>
      <c r="AH255" s="47">
        <v>0</v>
      </c>
      <c r="AI255" s="47">
        <v>0</v>
      </c>
      <c r="AJ255" s="47">
        <v>0</v>
      </c>
      <c r="AK255" s="47">
        <v>0</v>
      </c>
      <c r="AL255" s="47">
        <v>0</v>
      </c>
      <c r="AM255" s="47">
        <v>0</v>
      </c>
      <c r="AN255" s="47">
        <v>0</v>
      </c>
      <c r="AO255" s="47">
        <v>0</v>
      </c>
      <c r="AP255" s="47">
        <v>0</v>
      </c>
      <c r="AQ255" s="47">
        <v>0</v>
      </c>
      <c r="AR255" s="47">
        <v>0</v>
      </c>
      <c r="AS255" s="47">
        <v>0</v>
      </c>
      <c r="AT255" s="47">
        <v>0</v>
      </c>
      <c r="AU255" s="47">
        <v>0</v>
      </c>
      <c r="AV255" s="47">
        <v>0</v>
      </c>
      <c r="AW255" s="47">
        <v>0</v>
      </c>
      <c r="AX255" s="47">
        <v>0</v>
      </c>
      <c r="AY255" s="47">
        <v>0</v>
      </c>
      <c r="AZ255" s="47">
        <v>0</v>
      </c>
      <c r="BA255" s="47">
        <v>0</v>
      </c>
      <c r="BB255" s="47">
        <v>0</v>
      </c>
      <c r="BC255" s="47">
        <v>0</v>
      </c>
      <c r="BD255" s="47">
        <v>0</v>
      </c>
      <c r="BE255" s="47">
        <v>0</v>
      </c>
      <c r="BF255" s="47">
        <v>0</v>
      </c>
      <c r="BG255" s="47">
        <v>0</v>
      </c>
      <c r="BH255" s="47">
        <v>0</v>
      </c>
      <c r="BI255" s="47">
        <v>0</v>
      </c>
      <c r="BJ255" s="47">
        <v>0</v>
      </c>
      <c r="BK255" s="47">
        <v>0</v>
      </c>
      <c r="BL255" s="47">
        <v>0</v>
      </c>
      <c r="BM255" s="47">
        <v>0</v>
      </c>
      <c r="BN255" s="47">
        <v>0</v>
      </c>
      <c r="BO255" s="47">
        <v>0</v>
      </c>
      <c r="BP255" s="47">
        <v>0</v>
      </c>
      <c r="BQ255" s="47">
        <v>0</v>
      </c>
      <c r="BR255" s="47">
        <v>0</v>
      </c>
      <c r="BS255" s="47">
        <v>0</v>
      </c>
      <c r="BT255" s="47">
        <v>0</v>
      </c>
      <c r="BU255" s="47">
        <v>0</v>
      </c>
      <c r="BV255" s="47">
        <v>0</v>
      </c>
      <c r="BW255" s="47">
        <v>0</v>
      </c>
      <c r="BX255" s="47">
        <v>0</v>
      </c>
      <c r="BY255" s="47">
        <v>0</v>
      </c>
      <c r="BZ255" s="47">
        <v>0</v>
      </c>
      <c r="CA255" s="47">
        <v>0</v>
      </c>
      <c r="CB255" s="47">
        <v>0</v>
      </c>
      <c r="CC255" s="47">
        <v>0</v>
      </c>
      <c r="CD255" s="47">
        <v>0</v>
      </c>
      <c r="CE255" s="47">
        <v>0</v>
      </c>
      <c r="CF255" s="47">
        <v>0</v>
      </c>
      <c r="CG255" s="47">
        <v>0</v>
      </c>
      <c r="CH255" s="47">
        <v>0</v>
      </c>
      <c r="CI255" s="47">
        <v>0</v>
      </c>
      <c r="CJ255" s="47">
        <v>0</v>
      </c>
      <c r="CK255" s="47">
        <v>0</v>
      </c>
      <c r="CL255" s="47">
        <v>0</v>
      </c>
      <c r="CM255" s="47">
        <v>0</v>
      </c>
      <c r="CN255" s="47">
        <v>0</v>
      </c>
      <c r="CO255" s="47">
        <v>0</v>
      </c>
      <c r="CP255" s="47">
        <v>0</v>
      </c>
      <c r="CQ255" s="47">
        <v>0</v>
      </c>
      <c r="CR255" s="47">
        <v>0</v>
      </c>
      <c r="CS255" s="47">
        <v>0</v>
      </c>
      <c r="CT255" s="47">
        <v>0</v>
      </c>
      <c r="CU255" s="47">
        <v>0</v>
      </c>
      <c r="CV255" s="47">
        <v>0</v>
      </c>
      <c r="CW255" s="47">
        <v>0</v>
      </c>
      <c r="CX255" s="47">
        <v>0</v>
      </c>
      <c r="CY255" s="47">
        <v>0</v>
      </c>
      <c r="CZ255" s="47">
        <v>0</v>
      </c>
      <c r="DA255" s="47">
        <v>0</v>
      </c>
      <c r="DB255" s="47">
        <v>0</v>
      </c>
      <c r="DC255" s="47">
        <v>0</v>
      </c>
      <c r="DD255" s="47">
        <v>0</v>
      </c>
      <c r="DE255" s="47">
        <v>0</v>
      </c>
      <c r="DF255" s="47">
        <v>0</v>
      </c>
      <c r="DG255" s="47">
        <v>0</v>
      </c>
      <c r="DH255" s="47">
        <v>0</v>
      </c>
      <c r="DI255" s="47">
        <v>0</v>
      </c>
      <c r="DJ255" s="47">
        <v>0</v>
      </c>
      <c r="DK255" s="47">
        <v>0</v>
      </c>
      <c r="DL255" s="47">
        <v>0</v>
      </c>
      <c r="DM255" s="47">
        <v>0</v>
      </c>
      <c r="DN255" s="47">
        <v>0</v>
      </c>
      <c r="DO255" s="47">
        <v>0</v>
      </c>
      <c r="DP255" s="47">
        <v>0</v>
      </c>
      <c r="DQ255" s="47">
        <v>0</v>
      </c>
      <c r="DR255" s="47">
        <v>0</v>
      </c>
      <c r="DS255" s="47">
        <v>0</v>
      </c>
      <c r="DT255" s="47">
        <v>0</v>
      </c>
      <c r="DU255" s="47">
        <v>0</v>
      </c>
      <c r="DV255" s="47">
        <v>0</v>
      </c>
      <c r="DW255" s="47">
        <v>0</v>
      </c>
      <c r="DX255" s="47">
        <v>0</v>
      </c>
      <c r="DY255" s="47">
        <v>0</v>
      </c>
      <c r="DZ255" s="47">
        <v>0</v>
      </c>
      <c r="EA255" s="47">
        <v>0</v>
      </c>
      <c r="EB255" s="47"/>
      <c r="EC255" s="47">
        <v>1</v>
      </c>
      <c r="ZZ255" t="s">
        <v>2472</v>
      </c>
    </row>
    <row r="256" spans="1:702" x14ac:dyDescent="0.25">
      <c r="A256" s="47" t="s">
        <v>1283</v>
      </c>
      <c r="B256" s="47" t="s">
        <v>153</v>
      </c>
      <c r="C256" s="47" t="s">
        <v>157</v>
      </c>
      <c r="D256" s="47" t="s">
        <v>2737</v>
      </c>
      <c r="E256" s="47" t="s">
        <v>1284</v>
      </c>
      <c r="F256" s="47" t="s">
        <v>1285</v>
      </c>
      <c r="G256" s="47" t="s">
        <v>1286</v>
      </c>
      <c r="H256" s="47" t="s">
        <v>698</v>
      </c>
      <c r="I256" s="47" t="s">
        <v>705</v>
      </c>
      <c r="J256" s="47" t="str">
        <f>=IFERROR(VLOOKUP(H256&amp;I256,Table_Fonctions!A:G,6,FALSE),"")</f>
        <v>0</v>
      </c>
      <c r="K256" s="47" t="s">
        <v>2607</v>
      </c>
      <c r="L256" s="47" t="str">
        <f>=IFERROR(VLOOKUP(H256&amp;I256,Table_Fonctions!A:G,7,FALSE),K256)</f>
        <v/>
      </c>
      <c r="M256" s="47" t="str">
        <f>=IF(OR(LEFT(D256, 3)="TJ ", LEFT(D256, 4)="CPH "), "OUI", "NON")</f>
        <v/>
      </c>
      <c r="N256" s="47" t="s">
        <v>960</v>
      </c>
      <c r="O256" s="47"/>
      <c r="P256" s="47">
        <v>1</v>
      </c>
      <c r="Q256" s="47">
        <v>0</v>
      </c>
      <c r="R256" s="47">
        <v>1</v>
      </c>
      <c r="S256" s="47">
        <f>=ROUND(BQ256-(BR256+BS256),3)</f>
      </c>
      <c r="T256" s="47">
        <f>=ROUND(CK256-(CL256+CM256+CN256+CO256+CP256),3)</f>
      </c>
      <c r="U256" s="47">
        <v>0</v>
      </c>
      <c r="V256" s="47">
        <v>0</v>
      </c>
      <c r="W256" s="47">
        <v>0</v>
      </c>
      <c r="X256" s="47">
        <v>0</v>
      </c>
      <c r="Y256" s="47">
        <v>0</v>
      </c>
      <c r="Z256" s="47">
        <v>0</v>
      </c>
      <c r="AA256" s="47">
        <v>0</v>
      </c>
      <c r="AB256" s="47">
        <v>0</v>
      </c>
      <c r="AC256" s="47">
        <v>0</v>
      </c>
      <c r="AD256" s="47">
        <v>0</v>
      </c>
      <c r="AE256" s="47">
        <v>0</v>
      </c>
      <c r="AF256" s="47">
        <v>0</v>
      </c>
      <c r="AG256" s="47">
        <v>0</v>
      </c>
      <c r="AH256" s="47">
        <v>0</v>
      </c>
      <c r="AI256" s="47">
        <v>0</v>
      </c>
      <c r="AJ256" s="47">
        <v>0</v>
      </c>
      <c r="AK256" s="47">
        <v>0</v>
      </c>
      <c r="AL256" s="47">
        <v>0</v>
      </c>
      <c r="AM256" s="47">
        <v>0</v>
      </c>
      <c r="AN256" s="47">
        <v>0</v>
      </c>
      <c r="AO256" s="47">
        <v>0</v>
      </c>
      <c r="AP256" s="47">
        <v>0</v>
      </c>
      <c r="AQ256" s="47">
        <v>0</v>
      </c>
      <c r="AR256" s="47">
        <v>0</v>
      </c>
      <c r="AS256" s="47">
        <v>0</v>
      </c>
      <c r="AT256" s="47">
        <v>0</v>
      </c>
      <c r="AU256" s="47">
        <v>0</v>
      </c>
      <c r="AV256" s="47">
        <v>0</v>
      </c>
      <c r="AW256" s="47">
        <v>0</v>
      </c>
      <c r="AX256" s="47">
        <v>0</v>
      </c>
      <c r="AY256" s="47">
        <v>0</v>
      </c>
      <c r="AZ256" s="47">
        <v>0</v>
      </c>
      <c r="BA256" s="47">
        <v>0</v>
      </c>
      <c r="BB256" s="47">
        <v>0</v>
      </c>
      <c r="BC256" s="47">
        <v>0</v>
      </c>
      <c r="BD256" s="47">
        <v>0</v>
      </c>
      <c r="BE256" s="47">
        <v>0</v>
      </c>
      <c r="BF256" s="47">
        <v>0</v>
      </c>
      <c r="BG256" s="47">
        <v>0</v>
      </c>
      <c r="BH256" s="47">
        <v>0</v>
      </c>
      <c r="BI256" s="47">
        <v>0</v>
      </c>
      <c r="BJ256" s="47">
        <v>0</v>
      </c>
      <c r="BK256" s="47">
        <v>0</v>
      </c>
      <c r="BL256" s="47">
        <v>0</v>
      </c>
      <c r="BM256" s="47">
        <v>0</v>
      </c>
      <c r="BN256" s="47">
        <v>0</v>
      </c>
      <c r="BO256" s="47">
        <v>0</v>
      </c>
      <c r="BP256" s="47">
        <v>0</v>
      </c>
      <c r="BQ256" s="47">
        <v>0</v>
      </c>
      <c r="BR256" s="47">
        <v>0</v>
      </c>
      <c r="BS256" s="47">
        <v>0</v>
      </c>
      <c r="BT256" s="47">
        <v>0</v>
      </c>
      <c r="BU256" s="47">
        <v>0</v>
      </c>
      <c r="BV256" s="47">
        <v>0</v>
      </c>
      <c r="BW256" s="47">
        <v>0</v>
      </c>
      <c r="BX256" s="47">
        <v>0</v>
      </c>
      <c r="BY256" s="47">
        <v>0</v>
      </c>
      <c r="BZ256" s="47">
        <v>0</v>
      </c>
      <c r="CA256" s="47">
        <v>0</v>
      </c>
      <c r="CB256" s="47">
        <v>0</v>
      </c>
      <c r="CC256" s="47">
        <v>0</v>
      </c>
      <c r="CD256" s="47">
        <v>0</v>
      </c>
      <c r="CE256" s="47">
        <v>0</v>
      </c>
      <c r="CF256" s="47">
        <v>0</v>
      </c>
      <c r="CG256" s="47">
        <v>0</v>
      </c>
      <c r="CH256" s="47">
        <v>0</v>
      </c>
      <c r="CI256" s="47">
        <v>0</v>
      </c>
      <c r="CJ256" s="47">
        <v>0</v>
      </c>
      <c r="CK256" s="47">
        <v>0</v>
      </c>
      <c r="CL256" s="47">
        <v>0</v>
      </c>
      <c r="CM256" s="47">
        <v>0</v>
      </c>
      <c r="CN256" s="47">
        <v>0</v>
      </c>
      <c r="CO256" s="47">
        <v>0</v>
      </c>
      <c r="CP256" s="47">
        <v>0</v>
      </c>
      <c r="CQ256" s="47">
        <v>0</v>
      </c>
      <c r="CR256" s="47">
        <v>0</v>
      </c>
      <c r="CS256" s="47">
        <v>0</v>
      </c>
      <c r="CT256" s="47">
        <v>0</v>
      </c>
      <c r="CU256" s="47">
        <v>0</v>
      </c>
      <c r="CV256" s="47">
        <v>0</v>
      </c>
      <c r="CW256" s="47">
        <v>0</v>
      </c>
      <c r="CX256" s="47">
        <v>0</v>
      </c>
      <c r="CY256" s="47">
        <v>0</v>
      </c>
      <c r="CZ256" s="47">
        <v>0</v>
      </c>
      <c r="DA256" s="47">
        <v>0</v>
      </c>
      <c r="DB256" s="47">
        <v>0</v>
      </c>
      <c r="DC256" s="47">
        <v>0</v>
      </c>
      <c r="DD256" s="47">
        <v>0</v>
      </c>
      <c r="DE256" s="47">
        <v>0</v>
      </c>
      <c r="DF256" s="47">
        <v>0</v>
      </c>
      <c r="DG256" s="47">
        <v>0</v>
      </c>
      <c r="DH256" s="47">
        <v>0</v>
      </c>
      <c r="DI256" s="47">
        <v>0</v>
      </c>
      <c r="DJ256" s="47">
        <v>0</v>
      </c>
      <c r="DK256" s="47">
        <v>0</v>
      </c>
      <c r="DL256" s="47">
        <v>0</v>
      </c>
      <c r="DM256" s="47">
        <v>0</v>
      </c>
      <c r="DN256" s="47">
        <v>0</v>
      </c>
      <c r="DO256" s="47">
        <v>0</v>
      </c>
      <c r="DP256" s="47">
        <v>0</v>
      </c>
      <c r="DQ256" s="47">
        <v>0</v>
      </c>
      <c r="DR256" s="47">
        <v>0</v>
      </c>
      <c r="DS256" s="47">
        <v>0</v>
      </c>
      <c r="DT256" s="47">
        <v>0</v>
      </c>
      <c r="DU256" s="47">
        <v>0</v>
      </c>
      <c r="DV256" s="47">
        <v>0</v>
      </c>
      <c r="DW256" s="47">
        <v>0</v>
      </c>
      <c r="DX256" s="47">
        <v>0</v>
      </c>
      <c r="DY256" s="47">
        <v>0</v>
      </c>
      <c r="DZ256" s="47">
        <v>0</v>
      </c>
      <c r="EA256" s="47">
        <v>0</v>
      </c>
      <c r="EB256" s="47"/>
      <c r="EC256" s="47">
        <v>1</v>
      </c>
      <c r="ZZ256" t="s">
        <v>2472</v>
      </c>
    </row>
    <row r="257" spans="1:702" x14ac:dyDescent="0.25">
      <c r="A257" s="47" t="s">
        <v>1287</v>
      </c>
      <c r="B257" s="47" t="s">
        <v>153</v>
      </c>
      <c r="C257" s="47" t="s">
        <v>157</v>
      </c>
      <c r="D257" s="47" t="s">
        <v>2738</v>
      </c>
      <c r="E257" s="47" t="s">
        <v>1288</v>
      </c>
      <c r="F257" s="47" t="s">
        <v>1289</v>
      </c>
      <c r="G257" s="47" t="s">
        <v>1290</v>
      </c>
      <c r="H257" s="47" t="s">
        <v>698</v>
      </c>
      <c r="I257" s="47" t="s">
        <v>727</v>
      </c>
      <c r="J257" s="47" t="str">
        <f>=IFERROR(VLOOKUP(H257&amp;I257,Table_Fonctions!A:G,6,FALSE),"")</f>
        <v>0</v>
      </c>
      <c r="K257" s="47" t="s">
        <v>2607</v>
      </c>
      <c r="L257" s="47" t="str">
        <f>=IFERROR(VLOOKUP(H257&amp;I257,Table_Fonctions!A:G,7,FALSE),K257)</f>
        <v/>
      </c>
      <c r="M257" s="47" t="str">
        <f>=IF(OR(LEFT(D257, 3)="TJ ", LEFT(D257, 4)="CPH "), "OUI", "NON")</f>
        <v/>
      </c>
      <c r="N257" s="47" t="s">
        <v>175</v>
      </c>
      <c r="O257" s="47"/>
      <c r="P257" s="47">
        <v>1</v>
      </c>
      <c r="Q257" s="47">
        <v>1</v>
      </c>
      <c r="R257" s="47">
        <v>0</v>
      </c>
      <c r="S257" s="47">
        <f>=ROUND(BQ257-(BR257+BS257),3)</f>
      </c>
      <c r="T257" s="47">
        <f>=ROUND(CK257-(CL257+CM257+CN257+CO257+CP257),3)</f>
      </c>
      <c r="U257" s="47">
        <v>0</v>
      </c>
      <c r="V257" s="47">
        <v>0</v>
      </c>
      <c r="W257" s="47">
        <v>0</v>
      </c>
      <c r="X257" s="47">
        <v>0</v>
      </c>
      <c r="Y257" s="47">
        <v>0</v>
      </c>
      <c r="Z257" s="47">
        <v>0</v>
      </c>
      <c r="AA257" s="47">
        <v>0</v>
      </c>
      <c r="AB257" s="47">
        <v>0</v>
      </c>
      <c r="AC257" s="47">
        <v>0</v>
      </c>
      <c r="AD257" s="47">
        <v>0</v>
      </c>
      <c r="AE257" s="47">
        <v>0</v>
      </c>
      <c r="AF257" s="47">
        <v>0</v>
      </c>
      <c r="AG257" s="47">
        <v>0</v>
      </c>
      <c r="AH257" s="47">
        <v>0</v>
      </c>
      <c r="AI257" s="47">
        <v>0</v>
      </c>
      <c r="AJ257" s="47">
        <v>0</v>
      </c>
      <c r="AK257" s="47">
        <v>0</v>
      </c>
      <c r="AL257" s="47">
        <v>0</v>
      </c>
      <c r="AM257" s="47">
        <v>0</v>
      </c>
      <c r="AN257" s="47">
        <v>0</v>
      </c>
      <c r="AO257" s="47">
        <v>0</v>
      </c>
      <c r="AP257" s="47">
        <v>0</v>
      </c>
      <c r="AQ257" s="47">
        <v>0</v>
      </c>
      <c r="AR257" s="47">
        <v>0</v>
      </c>
      <c r="AS257" s="47">
        <v>1</v>
      </c>
      <c r="AT257" s="47">
        <v>0</v>
      </c>
      <c r="AU257" s="47">
        <v>0</v>
      </c>
      <c r="AV257" s="47">
        <v>0</v>
      </c>
      <c r="AW257" s="47">
        <v>0</v>
      </c>
      <c r="AX257" s="47">
        <v>0</v>
      </c>
      <c r="AY257" s="47">
        <v>0</v>
      </c>
      <c r="AZ257" s="47">
        <v>0</v>
      </c>
      <c r="BA257" s="47">
        <v>0</v>
      </c>
      <c r="BB257" s="47">
        <v>0</v>
      </c>
      <c r="BC257" s="47">
        <v>0</v>
      </c>
      <c r="BD257" s="47">
        <v>0</v>
      </c>
      <c r="BE257" s="47">
        <v>0</v>
      </c>
      <c r="BF257" s="47">
        <v>0</v>
      </c>
      <c r="BG257" s="47">
        <v>0</v>
      </c>
      <c r="BH257" s="47">
        <v>0</v>
      </c>
      <c r="BI257" s="47">
        <v>0</v>
      </c>
      <c r="BJ257" s="47">
        <v>0</v>
      </c>
      <c r="BK257" s="47">
        <v>0</v>
      </c>
      <c r="BL257" s="47">
        <v>0</v>
      </c>
      <c r="BM257" s="47">
        <v>0</v>
      </c>
      <c r="BN257" s="47">
        <v>0</v>
      </c>
      <c r="BO257" s="47">
        <v>0</v>
      </c>
      <c r="BP257" s="47">
        <v>0</v>
      </c>
      <c r="BQ257" s="47">
        <v>0</v>
      </c>
      <c r="BR257" s="47">
        <v>0</v>
      </c>
      <c r="BS257" s="47">
        <v>0</v>
      </c>
      <c r="BT257" s="47">
        <v>0</v>
      </c>
      <c r="BU257" s="47">
        <v>0</v>
      </c>
      <c r="BV257" s="47">
        <v>0</v>
      </c>
      <c r="BW257" s="47">
        <v>0</v>
      </c>
      <c r="BX257" s="47">
        <v>0</v>
      </c>
      <c r="BY257" s="47">
        <v>0</v>
      </c>
      <c r="BZ257" s="47">
        <v>0</v>
      </c>
      <c r="CA257" s="47">
        <v>0</v>
      </c>
      <c r="CB257" s="47">
        <v>0</v>
      </c>
      <c r="CC257" s="47">
        <v>0</v>
      </c>
      <c r="CD257" s="47">
        <v>0</v>
      </c>
      <c r="CE257" s="47">
        <v>0</v>
      </c>
      <c r="CF257" s="47">
        <v>0</v>
      </c>
      <c r="CG257" s="47">
        <v>0</v>
      </c>
      <c r="CH257" s="47">
        <v>0</v>
      </c>
      <c r="CI257" s="47">
        <v>0</v>
      </c>
      <c r="CJ257" s="47">
        <v>0</v>
      </c>
      <c r="CK257" s="47">
        <v>0</v>
      </c>
      <c r="CL257" s="47">
        <v>0</v>
      </c>
      <c r="CM257" s="47">
        <v>0</v>
      </c>
      <c r="CN257" s="47">
        <v>0</v>
      </c>
      <c r="CO257" s="47">
        <v>0</v>
      </c>
      <c r="CP257" s="47">
        <v>0</v>
      </c>
      <c r="CQ257" s="47">
        <v>0</v>
      </c>
      <c r="CR257" s="47">
        <v>0</v>
      </c>
      <c r="CS257" s="47">
        <v>0</v>
      </c>
      <c r="CT257" s="47">
        <v>0</v>
      </c>
      <c r="CU257" s="47">
        <v>0</v>
      </c>
      <c r="CV257" s="47">
        <v>0</v>
      </c>
      <c r="CW257" s="47">
        <v>0</v>
      </c>
      <c r="CX257" s="47">
        <v>0</v>
      </c>
      <c r="CY257" s="47">
        <v>0</v>
      </c>
      <c r="CZ257" s="47">
        <v>0</v>
      </c>
      <c r="DA257" s="47">
        <v>0</v>
      </c>
      <c r="DB257" s="47">
        <v>0</v>
      </c>
      <c r="DC257" s="47">
        <v>0</v>
      </c>
      <c r="DD257" s="47">
        <v>0</v>
      </c>
      <c r="DE257" s="47">
        <v>0</v>
      </c>
      <c r="DF257" s="47">
        <v>0</v>
      </c>
      <c r="DG257" s="47">
        <v>0</v>
      </c>
      <c r="DH257" s="47">
        <v>0</v>
      </c>
      <c r="DI257" s="47">
        <v>0</v>
      </c>
      <c r="DJ257" s="47">
        <v>0</v>
      </c>
      <c r="DK257" s="47">
        <v>0</v>
      </c>
      <c r="DL257" s="47">
        <v>0</v>
      </c>
      <c r="DM257" s="47">
        <v>0</v>
      </c>
      <c r="DN257" s="47">
        <v>0</v>
      </c>
      <c r="DO257" s="47">
        <v>0</v>
      </c>
      <c r="DP257" s="47">
        <v>0</v>
      </c>
      <c r="DQ257" s="47">
        <v>0</v>
      </c>
      <c r="DR257" s="47">
        <v>0</v>
      </c>
      <c r="DS257" s="47">
        <v>0</v>
      </c>
      <c r="DT257" s="47">
        <v>0</v>
      </c>
      <c r="DU257" s="47">
        <v>0</v>
      </c>
      <c r="DV257" s="47">
        <v>0</v>
      </c>
      <c r="DW257" s="47">
        <v>0</v>
      </c>
      <c r="DX257" s="47">
        <v>0</v>
      </c>
      <c r="DY257" s="47">
        <v>0</v>
      </c>
      <c r="DZ257" s="47">
        <v>0</v>
      </c>
      <c r="EA257" s="47">
        <v>0</v>
      </c>
      <c r="EB257" s="47"/>
      <c r="EC257" s="47">
        <v>1</v>
      </c>
      <c r="ZZ257" t="s">
        <v>2472</v>
      </c>
    </row>
    <row r="258" spans="1:702" x14ac:dyDescent="0.25">
      <c r="A258" s="47" t="s">
        <v>1291</v>
      </c>
      <c r="B258" s="47" t="s">
        <v>153</v>
      </c>
      <c r="C258" s="47" t="s">
        <v>157</v>
      </c>
      <c r="D258" s="47" t="s">
        <v>2739</v>
      </c>
      <c r="E258" s="47" t="s">
        <v>1292</v>
      </c>
      <c r="F258" s="47" t="s">
        <v>1293</v>
      </c>
      <c r="G258" s="47" t="s">
        <v>1294</v>
      </c>
      <c r="H258" s="47" t="s">
        <v>698</v>
      </c>
      <c r="I258" s="47" t="s">
        <v>727</v>
      </c>
      <c r="J258" s="47" t="str">
        <f>=IFERROR(VLOOKUP(H258&amp;I258,Table_Fonctions!A:G,6,FALSE),"")</f>
        <v>0</v>
      </c>
      <c r="K258" s="47" t="s">
        <v>2607</v>
      </c>
      <c r="L258" s="47" t="str">
        <f>=IFERROR(VLOOKUP(H258&amp;I258,Table_Fonctions!A:G,7,FALSE),K258)</f>
        <v/>
      </c>
      <c r="M258" s="47" t="str">
        <f>=IF(OR(LEFT(D258, 3)="TJ ", LEFT(D258, 4)="CPH "), "OUI", "NON")</f>
        <v/>
      </c>
      <c r="N258" s="47" t="s">
        <v>806</v>
      </c>
      <c r="O258" s="47"/>
      <c r="P258" s="47">
        <v>1</v>
      </c>
      <c r="Q258" s="47">
        <v>0</v>
      </c>
      <c r="R258" s="47">
        <v>1</v>
      </c>
      <c r="S258" s="47">
        <f>=ROUND(BQ258-(BR258+BS258),3)</f>
      </c>
      <c r="T258" s="47">
        <f>=ROUND(CK258-(CL258+CM258+CN258+CO258+CP258),3)</f>
      </c>
      <c r="U258" s="47">
        <v>0</v>
      </c>
      <c r="V258" s="47">
        <v>0</v>
      </c>
      <c r="W258" s="47">
        <v>0</v>
      </c>
      <c r="X258" s="47">
        <v>0</v>
      </c>
      <c r="Y258" s="47">
        <v>0</v>
      </c>
      <c r="Z258" s="47">
        <v>0</v>
      </c>
      <c r="AA258" s="47">
        <v>0</v>
      </c>
      <c r="AB258" s="47">
        <v>0</v>
      </c>
      <c r="AC258" s="47">
        <v>0</v>
      </c>
      <c r="AD258" s="47">
        <v>0</v>
      </c>
      <c r="AE258" s="47">
        <v>0</v>
      </c>
      <c r="AF258" s="47">
        <v>0</v>
      </c>
      <c r="AG258" s="47">
        <v>0</v>
      </c>
      <c r="AH258" s="47">
        <v>0</v>
      </c>
      <c r="AI258" s="47">
        <v>0</v>
      </c>
      <c r="AJ258" s="47">
        <v>0</v>
      </c>
      <c r="AK258" s="47">
        <v>0</v>
      </c>
      <c r="AL258" s="47">
        <v>0</v>
      </c>
      <c r="AM258" s="47">
        <v>0</v>
      </c>
      <c r="AN258" s="47">
        <v>0</v>
      </c>
      <c r="AO258" s="47">
        <v>0</v>
      </c>
      <c r="AP258" s="47">
        <v>0</v>
      </c>
      <c r="AQ258" s="47">
        <v>0</v>
      </c>
      <c r="AR258" s="47">
        <v>0</v>
      </c>
      <c r="AS258" s="47">
        <v>0</v>
      </c>
      <c r="AT258" s="47">
        <v>0</v>
      </c>
      <c r="AU258" s="47">
        <v>0</v>
      </c>
      <c r="AV258" s="47">
        <v>0</v>
      </c>
      <c r="AW258" s="47">
        <v>0</v>
      </c>
      <c r="AX258" s="47">
        <v>0</v>
      </c>
      <c r="AY258" s="47">
        <v>0</v>
      </c>
      <c r="AZ258" s="47">
        <v>0</v>
      </c>
      <c r="BA258" s="47">
        <v>0</v>
      </c>
      <c r="BB258" s="47">
        <v>0</v>
      </c>
      <c r="BC258" s="47">
        <v>0</v>
      </c>
      <c r="BD258" s="47">
        <v>0</v>
      </c>
      <c r="BE258" s="47">
        <v>0</v>
      </c>
      <c r="BF258" s="47">
        <v>0</v>
      </c>
      <c r="BG258" s="47">
        <v>0</v>
      </c>
      <c r="BH258" s="47">
        <v>0</v>
      </c>
      <c r="BI258" s="47">
        <v>0</v>
      </c>
      <c r="BJ258" s="47">
        <v>0</v>
      </c>
      <c r="BK258" s="47">
        <v>0</v>
      </c>
      <c r="BL258" s="47">
        <v>0</v>
      </c>
      <c r="BM258" s="47">
        <v>0</v>
      </c>
      <c r="BN258" s="47">
        <v>0</v>
      </c>
      <c r="BO258" s="47">
        <v>0</v>
      </c>
      <c r="BP258" s="47">
        <v>0</v>
      </c>
      <c r="BQ258" s="47">
        <v>0</v>
      </c>
      <c r="BR258" s="47">
        <v>0</v>
      </c>
      <c r="BS258" s="47">
        <v>0</v>
      </c>
      <c r="BT258" s="47">
        <v>0</v>
      </c>
      <c r="BU258" s="47">
        <v>0</v>
      </c>
      <c r="BV258" s="47">
        <v>0</v>
      </c>
      <c r="BW258" s="47">
        <v>0</v>
      </c>
      <c r="BX258" s="47">
        <v>0</v>
      </c>
      <c r="BY258" s="47">
        <v>0</v>
      </c>
      <c r="BZ258" s="47">
        <v>0</v>
      </c>
      <c r="CA258" s="47">
        <v>0</v>
      </c>
      <c r="CB258" s="47">
        <v>0</v>
      </c>
      <c r="CC258" s="47">
        <v>0</v>
      </c>
      <c r="CD258" s="47">
        <v>0</v>
      </c>
      <c r="CE258" s="47">
        <v>0</v>
      </c>
      <c r="CF258" s="47">
        <v>0</v>
      </c>
      <c r="CG258" s="47">
        <v>0</v>
      </c>
      <c r="CH258" s="47">
        <v>0</v>
      </c>
      <c r="CI258" s="47">
        <v>0</v>
      </c>
      <c r="CJ258" s="47">
        <v>0</v>
      </c>
      <c r="CK258" s="47">
        <v>0</v>
      </c>
      <c r="CL258" s="47">
        <v>0</v>
      </c>
      <c r="CM258" s="47">
        <v>0</v>
      </c>
      <c r="CN258" s="47">
        <v>0</v>
      </c>
      <c r="CO258" s="47">
        <v>0</v>
      </c>
      <c r="CP258" s="47">
        <v>0</v>
      </c>
      <c r="CQ258" s="47">
        <v>0</v>
      </c>
      <c r="CR258" s="47">
        <v>0</v>
      </c>
      <c r="CS258" s="47">
        <v>0</v>
      </c>
      <c r="CT258" s="47">
        <v>0</v>
      </c>
      <c r="CU258" s="47">
        <v>0</v>
      </c>
      <c r="CV258" s="47">
        <v>0</v>
      </c>
      <c r="CW258" s="47">
        <v>0</v>
      </c>
      <c r="CX258" s="47">
        <v>0</v>
      </c>
      <c r="CY258" s="47">
        <v>0</v>
      </c>
      <c r="CZ258" s="47">
        <v>0</v>
      </c>
      <c r="DA258" s="47">
        <v>0</v>
      </c>
      <c r="DB258" s="47">
        <v>0</v>
      </c>
      <c r="DC258" s="47">
        <v>0</v>
      </c>
      <c r="DD258" s="47">
        <v>0</v>
      </c>
      <c r="DE258" s="47">
        <v>0</v>
      </c>
      <c r="DF258" s="47">
        <v>0</v>
      </c>
      <c r="DG258" s="47">
        <v>0</v>
      </c>
      <c r="DH258" s="47">
        <v>0</v>
      </c>
      <c r="DI258" s="47">
        <v>0</v>
      </c>
      <c r="DJ258" s="47">
        <v>0</v>
      </c>
      <c r="DK258" s="47">
        <v>0</v>
      </c>
      <c r="DL258" s="47">
        <v>0</v>
      </c>
      <c r="DM258" s="47">
        <v>0</v>
      </c>
      <c r="DN258" s="47">
        <v>0</v>
      </c>
      <c r="DO258" s="47">
        <v>0</v>
      </c>
      <c r="DP258" s="47">
        <v>0</v>
      </c>
      <c r="DQ258" s="47">
        <v>0</v>
      </c>
      <c r="DR258" s="47">
        <v>0</v>
      </c>
      <c r="DS258" s="47">
        <v>0</v>
      </c>
      <c r="DT258" s="47">
        <v>0</v>
      </c>
      <c r="DU258" s="47">
        <v>0</v>
      </c>
      <c r="DV258" s="47">
        <v>0</v>
      </c>
      <c r="DW258" s="47">
        <v>0</v>
      </c>
      <c r="DX258" s="47">
        <v>0</v>
      </c>
      <c r="DY258" s="47">
        <v>0</v>
      </c>
      <c r="DZ258" s="47">
        <v>0</v>
      </c>
      <c r="EA258" s="47">
        <v>0</v>
      </c>
      <c r="EB258" s="47"/>
      <c r="EC258" s="47">
        <v>1</v>
      </c>
      <c r="ZZ258" t="s">
        <v>2472</v>
      </c>
    </row>
    <row r="259" spans="1:702" x14ac:dyDescent="0.25">
      <c r="A259" s="47" t="s">
        <v>1295</v>
      </c>
      <c r="B259" s="47" t="s">
        <v>153</v>
      </c>
      <c r="C259" s="47" t="s">
        <v>157</v>
      </c>
      <c r="D259" s="47" t="s">
        <v>2740</v>
      </c>
      <c r="E259" s="47" t="s">
        <v>1296</v>
      </c>
      <c r="F259" s="47" t="s">
        <v>1297</v>
      </c>
      <c r="G259" s="47" t="s">
        <v>1298</v>
      </c>
      <c r="H259" s="47" t="s">
        <v>698</v>
      </c>
      <c r="I259" s="47" t="s">
        <v>738</v>
      </c>
      <c r="J259" s="47" t="str">
        <f>=IFERROR(VLOOKUP(H259&amp;I259,Table_Fonctions!A:G,6,FALSE),"")</f>
        <v>0</v>
      </c>
      <c r="K259" s="47" t="s">
        <v>2607</v>
      </c>
      <c r="L259" s="47" t="str">
        <f>=IFERROR(VLOOKUP(H259&amp;I259,Table_Fonctions!A:G,7,FALSE),K259)</f>
        <v/>
      </c>
      <c r="M259" s="47" t="str">
        <f>=IF(OR(LEFT(D259, 3)="TJ ", LEFT(D259, 4)="CPH "), "OUI", "NON")</f>
        <v/>
      </c>
      <c r="N259" s="47" t="s">
        <v>1299</v>
      </c>
      <c r="O259" s="47"/>
      <c r="P259" s="47">
        <v>1</v>
      </c>
      <c r="Q259" s="47">
        <v>1</v>
      </c>
      <c r="R259" s="47">
        <v>0</v>
      </c>
      <c r="S259" s="47">
        <f>=ROUND(BQ259-(BR259+BS259),3)</f>
      </c>
      <c r="T259" s="47">
        <f>=ROUND(CK259-(CL259+CM259+CN259+CO259+CP259),3)</f>
      </c>
      <c r="U259" s="47">
        <v>1</v>
      </c>
      <c r="V259" s="47">
        <v>0</v>
      </c>
      <c r="W259" s="47">
        <v>0</v>
      </c>
      <c r="X259" s="47">
        <v>0</v>
      </c>
      <c r="Y259" s="47">
        <v>0</v>
      </c>
      <c r="Z259" s="47">
        <v>0</v>
      </c>
      <c r="AA259" s="47">
        <v>0</v>
      </c>
      <c r="AB259" s="47">
        <v>0</v>
      </c>
      <c r="AC259" s="47">
        <v>0</v>
      </c>
      <c r="AD259" s="47">
        <v>0</v>
      </c>
      <c r="AE259" s="47">
        <v>0</v>
      </c>
      <c r="AF259" s="47">
        <v>0</v>
      </c>
      <c r="AG259" s="47">
        <v>0</v>
      </c>
      <c r="AH259" s="47">
        <v>0</v>
      </c>
      <c r="AI259" s="47">
        <v>0</v>
      </c>
      <c r="AJ259" s="47">
        <v>0</v>
      </c>
      <c r="AK259" s="47">
        <v>0</v>
      </c>
      <c r="AL259" s="47">
        <v>0</v>
      </c>
      <c r="AM259" s="47">
        <v>0</v>
      </c>
      <c r="AN259" s="47">
        <v>0</v>
      </c>
      <c r="AO259" s="47">
        <v>0</v>
      </c>
      <c r="AP259" s="47">
        <v>0</v>
      </c>
      <c r="AQ259" s="47">
        <v>0</v>
      </c>
      <c r="AR259" s="47">
        <v>0</v>
      </c>
      <c r="AS259" s="47">
        <v>0</v>
      </c>
      <c r="AT259" s="47">
        <v>0</v>
      </c>
      <c r="AU259" s="47">
        <v>0</v>
      </c>
      <c r="AV259" s="47">
        <v>0</v>
      </c>
      <c r="AW259" s="47">
        <v>0</v>
      </c>
      <c r="AX259" s="47">
        <v>0</v>
      </c>
      <c r="AY259" s="47">
        <v>0</v>
      </c>
      <c r="AZ259" s="47">
        <v>0</v>
      </c>
      <c r="BA259" s="47">
        <v>0</v>
      </c>
      <c r="BB259" s="47">
        <v>0</v>
      </c>
      <c r="BC259" s="47">
        <v>0</v>
      </c>
      <c r="BD259" s="47">
        <v>0</v>
      </c>
      <c r="BE259" s="47">
        <v>0</v>
      </c>
      <c r="BF259" s="47">
        <v>0</v>
      </c>
      <c r="BG259" s="47">
        <v>0</v>
      </c>
      <c r="BH259" s="47">
        <v>0</v>
      </c>
      <c r="BI259" s="47">
        <v>0</v>
      </c>
      <c r="BJ259" s="47">
        <v>0</v>
      </c>
      <c r="BK259" s="47">
        <v>0</v>
      </c>
      <c r="BL259" s="47">
        <v>0</v>
      </c>
      <c r="BM259" s="47">
        <v>0</v>
      </c>
      <c r="BN259" s="47">
        <v>0</v>
      </c>
      <c r="BO259" s="47">
        <v>0</v>
      </c>
      <c r="BP259" s="47">
        <v>0</v>
      </c>
      <c r="BQ259" s="47">
        <v>0</v>
      </c>
      <c r="BR259" s="47">
        <v>0</v>
      </c>
      <c r="BS259" s="47">
        <v>0</v>
      </c>
      <c r="BT259" s="47">
        <v>0</v>
      </c>
      <c r="BU259" s="47">
        <v>0</v>
      </c>
      <c r="BV259" s="47">
        <v>0</v>
      </c>
      <c r="BW259" s="47">
        <v>0</v>
      </c>
      <c r="BX259" s="47">
        <v>0</v>
      </c>
      <c r="BY259" s="47">
        <v>0</v>
      </c>
      <c r="BZ259" s="47">
        <v>0</v>
      </c>
      <c r="CA259" s="47">
        <v>0</v>
      </c>
      <c r="CB259" s="47">
        <v>0</v>
      </c>
      <c r="CC259" s="47">
        <v>0</v>
      </c>
      <c r="CD259" s="47">
        <v>0</v>
      </c>
      <c r="CE259" s="47">
        <v>0</v>
      </c>
      <c r="CF259" s="47">
        <v>0</v>
      </c>
      <c r="CG259" s="47">
        <v>0</v>
      </c>
      <c r="CH259" s="47">
        <v>0</v>
      </c>
      <c r="CI259" s="47">
        <v>0</v>
      </c>
      <c r="CJ259" s="47">
        <v>0</v>
      </c>
      <c r="CK259" s="47">
        <v>0</v>
      </c>
      <c r="CL259" s="47">
        <v>0</v>
      </c>
      <c r="CM259" s="47">
        <v>0</v>
      </c>
      <c r="CN259" s="47">
        <v>0</v>
      </c>
      <c r="CO259" s="47">
        <v>0</v>
      </c>
      <c r="CP259" s="47">
        <v>0</v>
      </c>
      <c r="CQ259" s="47">
        <v>0</v>
      </c>
      <c r="CR259" s="47">
        <v>0</v>
      </c>
      <c r="CS259" s="47">
        <v>0</v>
      </c>
      <c r="CT259" s="47">
        <v>0</v>
      </c>
      <c r="CU259" s="47">
        <v>0</v>
      </c>
      <c r="CV259" s="47">
        <v>0</v>
      </c>
      <c r="CW259" s="47">
        <v>0</v>
      </c>
      <c r="CX259" s="47">
        <v>0</v>
      </c>
      <c r="CY259" s="47">
        <v>0</v>
      </c>
      <c r="CZ259" s="47">
        <v>0</v>
      </c>
      <c r="DA259" s="47">
        <v>0</v>
      </c>
      <c r="DB259" s="47">
        <v>0</v>
      </c>
      <c r="DC259" s="47">
        <v>0</v>
      </c>
      <c r="DD259" s="47">
        <v>0</v>
      </c>
      <c r="DE259" s="47">
        <v>0</v>
      </c>
      <c r="DF259" s="47">
        <v>0</v>
      </c>
      <c r="DG259" s="47">
        <v>0</v>
      </c>
      <c r="DH259" s="47">
        <v>0</v>
      </c>
      <c r="DI259" s="47">
        <v>0</v>
      </c>
      <c r="DJ259" s="47">
        <v>0</v>
      </c>
      <c r="DK259" s="47">
        <v>0</v>
      </c>
      <c r="DL259" s="47">
        <v>0</v>
      </c>
      <c r="DM259" s="47">
        <v>0</v>
      </c>
      <c r="DN259" s="47">
        <v>0</v>
      </c>
      <c r="DO259" s="47">
        <v>0</v>
      </c>
      <c r="DP259" s="47">
        <v>0</v>
      </c>
      <c r="DQ259" s="47">
        <v>0</v>
      </c>
      <c r="DR259" s="47">
        <v>0</v>
      </c>
      <c r="DS259" s="47">
        <v>0</v>
      </c>
      <c r="DT259" s="47">
        <v>0</v>
      </c>
      <c r="DU259" s="47">
        <v>0</v>
      </c>
      <c r="DV259" s="47">
        <v>0</v>
      </c>
      <c r="DW259" s="47">
        <v>0</v>
      </c>
      <c r="DX259" s="47">
        <v>0</v>
      </c>
      <c r="DY259" s="47">
        <v>0</v>
      </c>
      <c r="DZ259" s="47">
        <v>0</v>
      </c>
      <c r="EA259" s="47">
        <v>0</v>
      </c>
      <c r="EB259" s="47"/>
      <c r="EC259" s="47">
        <v>1</v>
      </c>
      <c r="ZZ259" t="s">
        <v>2472</v>
      </c>
    </row>
    <row r="260" spans="1:702" x14ac:dyDescent="0.25">
      <c r="A260" s="47" t="s">
        <v>1300</v>
      </c>
      <c r="B260" s="47" t="s">
        <v>153</v>
      </c>
      <c r="C260" s="47" t="s">
        <v>157</v>
      </c>
      <c r="D260" s="47" t="s">
        <v>2741</v>
      </c>
      <c r="E260" s="47" t="s">
        <v>1301</v>
      </c>
      <c r="F260" s="47" t="s">
        <v>1302</v>
      </c>
      <c r="G260" s="47" t="s">
        <v>1303</v>
      </c>
      <c r="H260" s="47" t="s">
        <v>698</v>
      </c>
      <c r="I260" s="47" t="s">
        <v>727</v>
      </c>
      <c r="J260" s="47" t="str">
        <f>=IFERROR(VLOOKUP(H260&amp;I260,Table_Fonctions!A:G,6,FALSE),"")</f>
        <v>0</v>
      </c>
      <c r="K260" s="47" t="s">
        <v>2607</v>
      </c>
      <c r="L260" s="47" t="str">
        <f>=IFERROR(VLOOKUP(H260&amp;I260,Table_Fonctions!A:G,7,FALSE),K260)</f>
        <v/>
      </c>
      <c r="M260" s="47" t="str">
        <f>=IF(OR(LEFT(D260, 3)="TJ ", LEFT(D260, 4)="CPH "), "OUI", "NON")</f>
        <v/>
      </c>
      <c r="N260" s="47" t="s">
        <v>1304</v>
      </c>
      <c r="O260" s="47"/>
      <c r="P260" s="47">
        <v>1</v>
      </c>
      <c r="Q260" s="47">
        <v>1</v>
      </c>
      <c r="R260" s="47">
        <v>0</v>
      </c>
      <c r="S260" s="47">
        <f>=ROUND(BQ260-(BR260+BS260),3)</f>
      </c>
      <c r="T260" s="47">
        <f>=ROUND(CK260-(CL260+CM260+CN260+CO260+CP260),3)</f>
      </c>
      <c r="U260" s="47">
        <v>0</v>
      </c>
      <c r="V260" s="47">
        <v>0</v>
      </c>
      <c r="W260" s="47">
        <v>0</v>
      </c>
      <c r="X260" s="47">
        <v>0</v>
      </c>
      <c r="Y260" s="47">
        <v>0</v>
      </c>
      <c r="Z260" s="47">
        <v>0</v>
      </c>
      <c r="AA260" s="47">
        <v>0</v>
      </c>
      <c r="AB260" s="47">
        <v>0</v>
      </c>
      <c r="AC260" s="47">
        <v>0</v>
      </c>
      <c r="AD260" s="47">
        <v>0</v>
      </c>
      <c r="AE260" s="47">
        <v>0</v>
      </c>
      <c r="AF260" s="47">
        <v>0</v>
      </c>
      <c r="AG260" s="47">
        <v>0</v>
      </c>
      <c r="AH260" s="47">
        <v>0</v>
      </c>
      <c r="AI260" s="47">
        <v>0</v>
      </c>
      <c r="AJ260" s="47">
        <v>1</v>
      </c>
      <c r="AK260" s="47">
        <v>0</v>
      </c>
      <c r="AL260" s="47">
        <v>0</v>
      </c>
      <c r="AM260" s="47">
        <v>0</v>
      </c>
      <c r="AN260" s="47">
        <v>0</v>
      </c>
      <c r="AO260" s="47">
        <v>0</v>
      </c>
      <c r="AP260" s="47">
        <v>0</v>
      </c>
      <c r="AQ260" s="47">
        <v>0</v>
      </c>
      <c r="AR260" s="47">
        <v>0</v>
      </c>
      <c r="AS260" s="47">
        <v>0</v>
      </c>
      <c r="AT260" s="47">
        <v>0</v>
      </c>
      <c r="AU260" s="47">
        <v>0</v>
      </c>
      <c r="AV260" s="47">
        <v>0</v>
      </c>
      <c r="AW260" s="47">
        <v>0</v>
      </c>
      <c r="AX260" s="47">
        <v>0</v>
      </c>
      <c r="AY260" s="47">
        <v>0</v>
      </c>
      <c r="AZ260" s="47">
        <v>0</v>
      </c>
      <c r="BA260" s="47">
        <v>0</v>
      </c>
      <c r="BB260" s="47">
        <v>0</v>
      </c>
      <c r="BC260" s="47">
        <v>0</v>
      </c>
      <c r="BD260" s="47">
        <v>0</v>
      </c>
      <c r="BE260" s="47">
        <v>0</v>
      </c>
      <c r="BF260" s="47">
        <v>0</v>
      </c>
      <c r="BG260" s="47">
        <v>0</v>
      </c>
      <c r="BH260" s="47">
        <v>0</v>
      </c>
      <c r="BI260" s="47">
        <v>0</v>
      </c>
      <c r="BJ260" s="47">
        <v>0</v>
      </c>
      <c r="BK260" s="47">
        <v>0</v>
      </c>
      <c r="BL260" s="47">
        <v>0</v>
      </c>
      <c r="BM260" s="47">
        <v>0</v>
      </c>
      <c r="BN260" s="47">
        <v>0</v>
      </c>
      <c r="BO260" s="47">
        <v>0</v>
      </c>
      <c r="BP260" s="47">
        <v>0</v>
      </c>
      <c r="BQ260" s="47">
        <v>0</v>
      </c>
      <c r="BR260" s="47">
        <v>0</v>
      </c>
      <c r="BS260" s="47">
        <v>0</v>
      </c>
      <c r="BT260" s="47">
        <v>0</v>
      </c>
      <c r="BU260" s="47">
        <v>0</v>
      </c>
      <c r="BV260" s="47">
        <v>0</v>
      </c>
      <c r="BW260" s="47">
        <v>0</v>
      </c>
      <c r="BX260" s="47">
        <v>0</v>
      </c>
      <c r="BY260" s="47">
        <v>0</v>
      </c>
      <c r="BZ260" s="47">
        <v>0</v>
      </c>
      <c r="CA260" s="47">
        <v>0</v>
      </c>
      <c r="CB260" s="47">
        <v>0</v>
      </c>
      <c r="CC260" s="47">
        <v>0</v>
      </c>
      <c r="CD260" s="47">
        <v>0</v>
      </c>
      <c r="CE260" s="47">
        <v>0</v>
      </c>
      <c r="CF260" s="47">
        <v>0</v>
      </c>
      <c r="CG260" s="47">
        <v>0</v>
      </c>
      <c r="CH260" s="47">
        <v>0</v>
      </c>
      <c r="CI260" s="47">
        <v>0</v>
      </c>
      <c r="CJ260" s="47">
        <v>0</v>
      </c>
      <c r="CK260" s="47">
        <v>0</v>
      </c>
      <c r="CL260" s="47">
        <v>0</v>
      </c>
      <c r="CM260" s="47">
        <v>0</v>
      </c>
      <c r="CN260" s="47">
        <v>0</v>
      </c>
      <c r="CO260" s="47">
        <v>0</v>
      </c>
      <c r="CP260" s="47">
        <v>0</v>
      </c>
      <c r="CQ260" s="47">
        <v>0</v>
      </c>
      <c r="CR260" s="47">
        <v>0</v>
      </c>
      <c r="CS260" s="47">
        <v>0</v>
      </c>
      <c r="CT260" s="47">
        <v>0</v>
      </c>
      <c r="CU260" s="47">
        <v>0</v>
      </c>
      <c r="CV260" s="47">
        <v>0</v>
      </c>
      <c r="CW260" s="47">
        <v>0</v>
      </c>
      <c r="CX260" s="47">
        <v>0</v>
      </c>
      <c r="CY260" s="47">
        <v>0</v>
      </c>
      <c r="CZ260" s="47">
        <v>0</v>
      </c>
      <c r="DA260" s="47">
        <v>0</v>
      </c>
      <c r="DB260" s="47">
        <v>0</v>
      </c>
      <c r="DC260" s="47">
        <v>0</v>
      </c>
      <c r="DD260" s="47">
        <v>0</v>
      </c>
      <c r="DE260" s="47">
        <v>0</v>
      </c>
      <c r="DF260" s="47">
        <v>0</v>
      </c>
      <c r="DG260" s="47">
        <v>0</v>
      </c>
      <c r="DH260" s="47">
        <v>0</v>
      </c>
      <c r="DI260" s="47">
        <v>0</v>
      </c>
      <c r="DJ260" s="47">
        <v>0</v>
      </c>
      <c r="DK260" s="47">
        <v>0</v>
      </c>
      <c r="DL260" s="47">
        <v>0</v>
      </c>
      <c r="DM260" s="47">
        <v>0</v>
      </c>
      <c r="DN260" s="47">
        <v>0</v>
      </c>
      <c r="DO260" s="47">
        <v>0</v>
      </c>
      <c r="DP260" s="47">
        <v>0</v>
      </c>
      <c r="DQ260" s="47">
        <v>0</v>
      </c>
      <c r="DR260" s="47">
        <v>0</v>
      </c>
      <c r="DS260" s="47">
        <v>0</v>
      </c>
      <c r="DT260" s="47">
        <v>0</v>
      </c>
      <c r="DU260" s="47">
        <v>0</v>
      </c>
      <c r="DV260" s="47">
        <v>0</v>
      </c>
      <c r="DW260" s="47">
        <v>0</v>
      </c>
      <c r="DX260" s="47">
        <v>0</v>
      </c>
      <c r="DY260" s="47">
        <v>0</v>
      </c>
      <c r="DZ260" s="47">
        <v>0</v>
      </c>
      <c r="EA260" s="47">
        <v>0</v>
      </c>
      <c r="EB260" s="47"/>
      <c r="EC260" s="47">
        <v>1</v>
      </c>
      <c r="ZZ260" t="s">
        <v>2472</v>
      </c>
    </row>
    <row r="261" spans="1:702" x14ac:dyDescent="0.25">
      <c r="A261" s="47" t="s">
        <v>1305</v>
      </c>
      <c r="B261" s="47" t="s">
        <v>153</v>
      </c>
      <c r="C261" s="47" t="s">
        <v>157</v>
      </c>
      <c r="D261" s="47" t="s">
        <v>2742</v>
      </c>
      <c r="E261" s="47" t="s">
        <v>1306</v>
      </c>
      <c r="F261" s="47" t="s">
        <v>1307</v>
      </c>
      <c r="G261" s="47" t="s">
        <v>1308</v>
      </c>
      <c r="H261" s="47" t="s">
        <v>698</v>
      </c>
      <c r="I261" s="47" t="s">
        <v>727</v>
      </c>
      <c r="J261" s="47" t="str">
        <f>=IFERROR(VLOOKUP(H261&amp;I261,Table_Fonctions!A:G,6,FALSE),"")</f>
        <v>0</v>
      </c>
      <c r="K261" s="47" t="s">
        <v>2607</v>
      </c>
      <c r="L261" s="47" t="str">
        <f>=IFERROR(VLOOKUP(H261&amp;I261,Table_Fonctions!A:G,7,FALSE),K261)</f>
        <v/>
      </c>
      <c r="M261" s="47" t="str">
        <f>=IF(OR(LEFT(D261, 3)="TJ ", LEFT(D261, 4)="CPH "), "OUI", "NON")</f>
        <v/>
      </c>
      <c r="N261" s="47" t="s">
        <v>1309</v>
      </c>
      <c r="O261" s="47"/>
      <c r="P261" s="47">
        <v>1</v>
      </c>
      <c r="Q261" s="47">
        <v>0</v>
      </c>
      <c r="R261" s="47">
        <v>1</v>
      </c>
      <c r="S261" s="47">
        <f>=ROUND(BQ261-(BR261+BS261),3)</f>
      </c>
      <c r="T261" s="47">
        <f>=ROUND(CK261-(CL261+CM261+CN261+CO261+CP261),3)</f>
      </c>
      <c r="U261" s="47">
        <v>0</v>
      </c>
      <c r="V261" s="47">
        <v>0</v>
      </c>
      <c r="W261" s="47">
        <v>0</v>
      </c>
      <c r="X261" s="47">
        <v>0</v>
      </c>
      <c r="Y261" s="47">
        <v>0</v>
      </c>
      <c r="Z261" s="47">
        <v>0</v>
      </c>
      <c r="AA261" s="47">
        <v>0</v>
      </c>
      <c r="AB261" s="47">
        <v>0</v>
      </c>
      <c r="AC261" s="47">
        <v>0</v>
      </c>
      <c r="AD261" s="47">
        <v>0</v>
      </c>
      <c r="AE261" s="47">
        <v>0</v>
      </c>
      <c r="AF261" s="47">
        <v>0</v>
      </c>
      <c r="AG261" s="47">
        <v>0</v>
      </c>
      <c r="AH261" s="47">
        <v>0</v>
      </c>
      <c r="AI261" s="47">
        <v>0</v>
      </c>
      <c r="AJ261" s="47">
        <v>0</v>
      </c>
      <c r="AK261" s="47">
        <v>0</v>
      </c>
      <c r="AL261" s="47">
        <v>0</v>
      </c>
      <c r="AM261" s="47">
        <v>0</v>
      </c>
      <c r="AN261" s="47">
        <v>0</v>
      </c>
      <c r="AO261" s="47">
        <v>0</v>
      </c>
      <c r="AP261" s="47">
        <v>0</v>
      </c>
      <c r="AQ261" s="47">
        <v>0</v>
      </c>
      <c r="AR261" s="47">
        <v>0</v>
      </c>
      <c r="AS261" s="47">
        <v>0</v>
      </c>
      <c r="AT261" s="47">
        <v>0</v>
      </c>
      <c r="AU261" s="47">
        <v>0</v>
      </c>
      <c r="AV261" s="47">
        <v>0</v>
      </c>
      <c r="AW261" s="47">
        <v>0</v>
      </c>
      <c r="AX261" s="47">
        <v>0</v>
      </c>
      <c r="AY261" s="47">
        <v>0</v>
      </c>
      <c r="AZ261" s="47">
        <v>0</v>
      </c>
      <c r="BA261" s="47">
        <v>0</v>
      </c>
      <c r="BB261" s="47">
        <v>0</v>
      </c>
      <c r="BC261" s="47">
        <v>0</v>
      </c>
      <c r="BD261" s="47">
        <v>0</v>
      </c>
      <c r="BE261" s="47">
        <v>0</v>
      </c>
      <c r="BF261" s="47">
        <v>0</v>
      </c>
      <c r="BG261" s="47">
        <v>0</v>
      </c>
      <c r="BH261" s="47">
        <v>0</v>
      </c>
      <c r="BI261" s="47">
        <v>0</v>
      </c>
      <c r="BJ261" s="47">
        <v>0</v>
      </c>
      <c r="BK261" s="47">
        <v>0</v>
      </c>
      <c r="BL261" s="47">
        <v>0</v>
      </c>
      <c r="BM261" s="47">
        <v>0</v>
      </c>
      <c r="BN261" s="47">
        <v>0</v>
      </c>
      <c r="BO261" s="47">
        <v>0</v>
      </c>
      <c r="BP261" s="47">
        <v>0</v>
      </c>
      <c r="BQ261" s="47">
        <v>0</v>
      </c>
      <c r="BR261" s="47">
        <v>0</v>
      </c>
      <c r="BS261" s="47">
        <v>0</v>
      </c>
      <c r="BT261" s="47">
        <v>0</v>
      </c>
      <c r="BU261" s="47">
        <v>0</v>
      </c>
      <c r="BV261" s="47">
        <v>0</v>
      </c>
      <c r="BW261" s="47">
        <v>0</v>
      </c>
      <c r="BX261" s="47">
        <v>0</v>
      </c>
      <c r="BY261" s="47">
        <v>0</v>
      </c>
      <c r="BZ261" s="47">
        <v>0</v>
      </c>
      <c r="CA261" s="47">
        <v>0</v>
      </c>
      <c r="CB261" s="47">
        <v>0</v>
      </c>
      <c r="CC261" s="47">
        <v>0</v>
      </c>
      <c r="CD261" s="47">
        <v>0</v>
      </c>
      <c r="CE261" s="47">
        <v>0</v>
      </c>
      <c r="CF261" s="47">
        <v>0</v>
      </c>
      <c r="CG261" s="47">
        <v>0</v>
      </c>
      <c r="CH261" s="47">
        <v>0</v>
      </c>
      <c r="CI261" s="47">
        <v>0</v>
      </c>
      <c r="CJ261" s="47">
        <v>0</v>
      </c>
      <c r="CK261" s="47">
        <v>0</v>
      </c>
      <c r="CL261" s="47">
        <v>0</v>
      </c>
      <c r="CM261" s="47">
        <v>0</v>
      </c>
      <c r="CN261" s="47">
        <v>0</v>
      </c>
      <c r="CO261" s="47">
        <v>0</v>
      </c>
      <c r="CP261" s="47">
        <v>0</v>
      </c>
      <c r="CQ261" s="47">
        <v>0</v>
      </c>
      <c r="CR261" s="47">
        <v>0</v>
      </c>
      <c r="CS261" s="47">
        <v>0</v>
      </c>
      <c r="CT261" s="47">
        <v>0</v>
      </c>
      <c r="CU261" s="47">
        <v>0</v>
      </c>
      <c r="CV261" s="47">
        <v>0</v>
      </c>
      <c r="CW261" s="47">
        <v>0</v>
      </c>
      <c r="CX261" s="47">
        <v>0</v>
      </c>
      <c r="CY261" s="47">
        <v>0</v>
      </c>
      <c r="CZ261" s="47">
        <v>0</v>
      </c>
      <c r="DA261" s="47">
        <v>0</v>
      </c>
      <c r="DB261" s="47">
        <v>0</v>
      </c>
      <c r="DC261" s="47">
        <v>0</v>
      </c>
      <c r="DD261" s="47">
        <v>0</v>
      </c>
      <c r="DE261" s="47">
        <v>0</v>
      </c>
      <c r="DF261" s="47">
        <v>0</v>
      </c>
      <c r="DG261" s="47">
        <v>0</v>
      </c>
      <c r="DH261" s="47">
        <v>0</v>
      </c>
      <c r="DI261" s="47">
        <v>0</v>
      </c>
      <c r="DJ261" s="47">
        <v>0</v>
      </c>
      <c r="DK261" s="47">
        <v>0</v>
      </c>
      <c r="DL261" s="47">
        <v>0</v>
      </c>
      <c r="DM261" s="47">
        <v>0</v>
      </c>
      <c r="DN261" s="47">
        <v>0</v>
      </c>
      <c r="DO261" s="47">
        <v>0</v>
      </c>
      <c r="DP261" s="47">
        <v>0</v>
      </c>
      <c r="DQ261" s="47">
        <v>0</v>
      </c>
      <c r="DR261" s="47">
        <v>0</v>
      </c>
      <c r="DS261" s="47">
        <v>0</v>
      </c>
      <c r="DT261" s="47">
        <v>0</v>
      </c>
      <c r="DU261" s="47">
        <v>0</v>
      </c>
      <c r="DV261" s="47">
        <v>0</v>
      </c>
      <c r="DW261" s="47">
        <v>0</v>
      </c>
      <c r="DX261" s="47">
        <v>0</v>
      </c>
      <c r="DY261" s="47">
        <v>0</v>
      </c>
      <c r="DZ261" s="47">
        <v>0</v>
      </c>
      <c r="EA261" s="47">
        <v>0</v>
      </c>
      <c r="EB261" s="47"/>
      <c r="EC261" s="47">
        <v>1</v>
      </c>
      <c r="ZZ261" t="s">
        <v>2472</v>
      </c>
    </row>
    <row r="262" spans="1:702" x14ac:dyDescent="0.25">
      <c r="A262" s="47" t="s">
        <v>1310</v>
      </c>
      <c r="B262" s="47" t="s">
        <v>153</v>
      </c>
      <c r="C262" s="47" t="s">
        <v>157</v>
      </c>
      <c r="D262" s="47" t="s">
        <v>2743</v>
      </c>
      <c r="E262" s="47" t="s">
        <v>1311</v>
      </c>
      <c r="F262" s="47" t="s">
        <v>1312</v>
      </c>
      <c r="G262" s="47" t="s">
        <v>1313</v>
      </c>
      <c r="H262" s="47" t="s">
        <v>698</v>
      </c>
      <c r="I262" s="47" t="s">
        <v>711</v>
      </c>
      <c r="J262" s="47" t="str">
        <f>=IFERROR(VLOOKUP(H262&amp;I262,Table_Fonctions!A:G,6,FALSE),"")</f>
        <v>0</v>
      </c>
      <c r="K262" s="47" t="s">
        <v>2605</v>
      </c>
      <c r="L262" s="47" t="str">
        <f>=IFERROR(VLOOKUP(H262&amp;I262,Table_Fonctions!A:G,7,FALSE),K262)</f>
        <v/>
      </c>
      <c r="M262" s="47" t="str">
        <f>=IF(OR(LEFT(D262, 3)="TJ ", LEFT(D262, 4)="CPH "), "OUI", "NON")</f>
        <v/>
      </c>
      <c r="N262" s="47" t="s">
        <v>1071</v>
      </c>
      <c r="O262" s="47"/>
      <c r="P262" s="47">
        <v>1</v>
      </c>
      <c r="Q262" s="47">
        <v>1</v>
      </c>
      <c r="R262" s="47">
        <v>0</v>
      </c>
      <c r="S262" s="47">
        <f>=ROUND(BQ262-(BR262+BS262),3)</f>
      </c>
      <c r="T262" s="47">
        <f>=ROUND(CK262-(CL262+CM262+CN262+CO262+CP262),3)</f>
      </c>
      <c r="U262" s="47">
        <v>0</v>
      </c>
      <c r="V262" s="47">
        <v>0</v>
      </c>
      <c r="W262" s="47">
        <v>0</v>
      </c>
      <c r="X262" s="47">
        <v>0</v>
      </c>
      <c r="Y262" s="47">
        <v>0</v>
      </c>
      <c r="Z262" s="47">
        <v>0</v>
      </c>
      <c r="AA262" s="47">
        <v>0</v>
      </c>
      <c r="AB262" s="47">
        <v>0</v>
      </c>
      <c r="AC262" s="47">
        <v>0</v>
      </c>
      <c r="AD262" s="47">
        <v>0</v>
      </c>
      <c r="AE262" s="47">
        <v>0</v>
      </c>
      <c r="AF262" s="47">
        <v>0</v>
      </c>
      <c r="AG262" s="47">
        <v>0</v>
      </c>
      <c r="AH262" s="47">
        <v>0</v>
      </c>
      <c r="AI262" s="47">
        <v>0</v>
      </c>
      <c r="AJ262" s="47">
        <v>0</v>
      </c>
      <c r="AK262" s="47">
        <v>0</v>
      </c>
      <c r="AL262" s="47">
        <v>0</v>
      </c>
      <c r="AM262" s="47">
        <v>0</v>
      </c>
      <c r="AN262" s="47">
        <v>0</v>
      </c>
      <c r="AO262" s="47">
        <v>0</v>
      </c>
      <c r="AP262" s="47">
        <v>0</v>
      </c>
      <c r="AQ262" s="47">
        <v>0</v>
      </c>
      <c r="AR262" s="47">
        <v>0</v>
      </c>
      <c r="AS262" s="47">
        <v>0</v>
      </c>
      <c r="AT262" s="47">
        <v>0</v>
      </c>
      <c r="AU262" s="47">
        <v>0</v>
      </c>
      <c r="AV262" s="47">
        <v>0</v>
      </c>
      <c r="AW262" s="47">
        <v>0</v>
      </c>
      <c r="AX262" s="47">
        <v>0</v>
      </c>
      <c r="AY262" s="47">
        <v>0</v>
      </c>
      <c r="AZ262" s="47">
        <v>0</v>
      </c>
      <c r="BA262" s="47">
        <v>0</v>
      </c>
      <c r="BB262" s="47">
        <v>0</v>
      </c>
      <c r="BC262" s="47">
        <v>0</v>
      </c>
      <c r="BD262" s="47">
        <v>0</v>
      </c>
      <c r="BE262" s="47">
        <v>0</v>
      </c>
      <c r="BF262" s="47">
        <v>0</v>
      </c>
      <c r="BG262" s="47">
        <v>0</v>
      </c>
      <c r="BH262" s="47">
        <v>0</v>
      </c>
      <c r="BI262" s="47">
        <v>0</v>
      </c>
      <c r="BJ262" s="47">
        <v>0</v>
      </c>
      <c r="BK262" s="47">
        <v>0</v>
      </c>
      <c r="BL262" s="47">
        <v>0</v>
      </c>
      <c r="BM262" s="47">
        <v>1</v>
      </c>
      <c r="BN262" s="47">
        <v>1</v>
      </c>
      <c r="BO262" s="47">
        <v>0</v>
      </c>
      <c r="BP262" s="47">
        <v>0</v>
      </c>
      <c r="BQ262" s="47">
        <v>0</v>
      </c>
      <c r="BR262" s="47">
        <v>0</v>
      </c>
      <c r="BS262" s="47">
        <v>0</v>
      </c>
      <c r="BT262" s="47">
        <v>0</v>
      </c>
      <c r="BU262" s="47">
        <v>0</v>
      </c>
      <c r="BV262" s="47">
        <v>0</v>
      </c>
      <c r="BW262" s="47">
        <v>0</v>
      </c>
      <c r="BX262" s="47">
        <v>0</v>
      </c>
      <c r="BY262" s="47">
        <v>0</v>
      </c>
      <c r="BZ262" s="47">
        <v>0</v>
      </c>
      <c r="CA262" s="47">
        <v>0</v>
      </c>
      <c r="CB262" s="47">
        <v>0</v>
      </c>
      <c r="CC262" s="47">
        <v>0</v>
      </c>
      <c r="CD262" s="47">
        <v>0</v>
      </c>
      <c r="CE262" s="47">
        <v>0</v>
      </c>
      <c r="CF262" s="47">
        <v>0</v>
      </c>
      <c r="CG262" s="47">
        <v>0</v>
      </c>
      <c r="CH262" s="47">
        <v>0</v>
      </c>
      <c r="CI262" s="47">
        <v>0</v>
      </c>
      <c r="CJ262" s="47">
        <v>0</v>
      </c>
      <c r="CK262" s="47">
        <v>0</v>
      </c>
      <c r="CL262" s="47">
        <v>0</v>
      </c>
      <c r="CM262" s="47">
        <v>0</v>
      </c>
      <c r="CN262" s="47">
        <v>0</v>
      </c>
      <c r="CO262" s="47">
        <v>0</v>
      </c>
      <c r="CP262" s="47">
        <v>0</v>
      </c>
      <c r="CQ262" s="47">
        <v>0</v>
      </c>
      <c r="CR262" s="47">
        <v>0</v>
      </c>
      <c r="CS262" s="47">
        <v>0</v>
      </c>
      <c r="CT262" s="47">
        <v>0</v>
      </c>
      <c r="CU262" s="47">
        <v>0</v>
      </c>
      <c r="CV262" s="47">
        <v>0</v>
      </c>
      <c r="CW262" s="47">
        <v>0</v>
      </c>
      <c r="CX262" s="47">
        <v>0</v>
      </c>
      <c r="CY262" s="47">
        <v>0</v>
      </c>
      <c r="CZ262" s="47">
        <v>0</v>
      </c>
      <c r="DA262" s="47">
        <v>0</v>
      </c>
      <c r="DB262" s="47">
        <v>0</v>
      </c>
      <c r="DC262" s="47">
        <v>0</v>
      </c>
      <c r="DD262" s="47">
        <v>0</v>
      </c>
      <c r="DE262" s="47">
        <v>0</v>
      </c>
      <c r="DF262" s="47">
        <v>0</v>
      </c>
      <c r="DG262" s="47">
        <v>0</v>
      </c>
      <c r="DH262" s="47">
        <v>0</v>
      </c>
      <c r="DI262" s="47">
        <v>0</v>
      </c>
      <c r="DJ262" s="47">
        <v>0</v>
      </c>
      <c r="DK262" s="47">
        <v>0</v>
      </c>
      <c r="DL262" s="47">
        <v>0</v>
      </c>
      <c r="DM262" s="47">
        <v>0</v>
      </c>
      <c r="DN262" s="47">
        <v>0</v>
      </c>
      <c r="DO262" s="47">
        <v>0</v>
      </c>
      <c r="DP262" s="47">
        <v>0</v>
      </c>
      <c r="DQ262" s="47">
        <v>0</v>
      </c>
      <c r="DR262" s="47">
        <v>0</v>
      </c>
      <c r="DS262" s="47">
        <v>0</v>
      </c>
      <c r="DT262" s="47">
        <v>0</v>
      </c>
      <c r="DU262" s="47">
        <v>0</v>
      </c>
      <c r="DV262" s="47">
        <v>0</v>
      </c>
      <c r="DW262" s="47">
        <v>0</v>
      </c>
      <c r="DX262" s="47">
        <v>0</v>
      </c>
      <c r="DY262" s="47">
        <v>0</v>
      </c>
      <c r="DZ262" s="47">
        <v>0</v>
      </c>
      <c r="EA262" s="47">
        <v>0</v>
      </c>
      <c r="EB262" s="47"/>
      <c r="EC262" s="47">
        <v>1</v>
      </c>
      <c r="ZZ262" t="s">
        <v>2472</v>
      </c>
    </row>
    <row r="263" spans="1:702" x14ac:dyDescent="0.25">
      <c r="A263" s="47" t="s">
        <v>1314</v>
      </c>
      <c r="B263" s="47" t="s">
        <v>153</v>
      </c>
      <c r="C263" s="47" t="s">
        <v>157</v>
      </c>
      <c r="D263" s="47" t="s">
        <v>2744</v>
      </c>
      <c r="E263" s="47" t="s">
        <v>1315</v>
      </c>
      <c r="F263" s="47" t="s">
        <v>1316</v>
      </c>
      <c r="G263" s="47" t="s">
        <v>1317</v>
      </c>
      <c r="H263" s="47" t="s">
        <v>698</v>
      </c>
      <c r="I263" s="47" t="s">
        <v>727</v>
      </c>
      <c r="J263" s="47" t="str">
        <f>=IFERROR(VLOOKUP(H263&amp;I263,Table_Fonctions!A:G,6,FALSE),"")</f>
        <v>0</v>
      </c>
      <c r="K263" s="47" t="s">
        <v>2607</v>
      </c>
      <c r="L263" s="47" t="str">
        <f>=IFERROR(VLOOKUP(H263&amp;I263,Table_Fonctions!A:G,7,FALSE),K263)</f>
        <v/>
      </c>
      <c r="M263" s="47" t="str">
        <f>=IF(OR(LEFT(D263, 3)="TJ ", LEFT(D263, 4)="CPH "), "OUI", "NON")</f>
        <v/>
      </c>
      <c r="N263" s="47" t="s">
        <v>849</v>
      </c>
      <c r="O263" s="47"/>
      <c r="P263" s="47">
        <v>1</v>
      </c>
      <c r="Q263" s="47">
        <v>0</v>
      </c>
      <c r="R263" s="47">
        <v>1</v>
      </c>
      <c r="S263" s="47">
        <f>=ROUND(BQ263-(BR263+BS263),3)</f>
      </c>
      <c r="T263" s="47">
        <f>=ROUND(CK263-(CL263+CM263+CN263+CO263+CP263),3)</f>
      </c>
      <c r="U263" s="47">
        <v>0</v>
      </c>
      <c r="V263" s="47">
        <v>0</v>
      </c>
      <c r="W263" s="47">
        <v>0</v>
      </c>
      <c r="X263" s="47">
        <v>0</v>
      </c>
      <c r="Y263" s="47">
        <v>0</v>
      </c>
      <c r="Z263" s="47">
        <v>0</v>
      </c>
      <c r="AA263" s="47">
        <v>0</v>
      </c>
      <c r="AB263" s="47">
        <v>0</v>
      </c>
      <c r="AC263" s="47">
        <v>0</v>
      </c>
      <c r="AD263" s="47">
        <v>0</v>
      </c>
      <c r="AE263" s="47">
        <v>0</v>
      </c>
      <c r="AF263" s="47">
        <v>0</v>
      </c>
      <c r="AG263" s="47">
        <v>0</v>
      </c>
      <c r="AH263" s="47">
        <v>0</v>
      </c>
      <c r="AI263" s="47">
        <v>0</v>
      </c>
      <c r="AJ263" s="47">
        <v>0</v>
      </c>
      <c r="AK263" s="47">
        <v>0</v>
      </c>
      <c r="AL263" s="47">
        <v>0</v>
      </c>
      <c r="AM263" s="47">
        <v>0</v>
      </c>
      <c r="AN263" s="47">
        <v>0</v>
      </c>
      <c r="AO263" s="47">
        <v>0</v>
      </c>
      <c r="AP263" s="47">
        <v>0</v>
      </c>
      <c r="AQ263" s="47">
        <v>0</v>
      </c>
      <c r="AR263" s="47">
        <v>0</v>
      </c>
      <c r="AS263" s="47">
        <v>0</v>
      </c>
      <c r="AT263" s="47">
        <v>0</v>
      </c>
      <c r="AU263" s="47">
        <v>0</v>
      </c>
      <c r="AV263" s="47">
        <v>0</v>
      </c>
      <c r="AW263" s="47">
        <v>0</v>
      </c>
      <c r="AX263" s="47">
        <v>0</v>
      </c>
      <c r="AY263" s="47">
        <v>0</v>
      </c>
      <c r="AZ263" s="47">
        <v>0</v>
      </c>
      <c r="BA263" s="47">
        <v>0</v>
      </c>
      <c r="BB263" s="47">
        <v>0</v>
      </c>
      <c r="BC263" s="47">
        <v>0</v>
      </c>
      <c r="BD263" s="47">
        <v>0</v>
      </c>
      <c r="BE263" s="47">
        <v>0</v>
      </c>
      <c r="BF263" s="47">
        <v>0</v>
      </c>
      <c r="BG263" s="47">
        <v>0</v>
      </c>
      <c r="BH263" s="47">
        <v>0</v>
      </c>
      <c r="BI263" s="47">
        <v>0</v>
      </c>
      <c r="BJ263" s="47">
        <v>0</v>
      </c>
      <c r="BK263" s="47">
        <v>0</v>
      </c>
      <c r="BL263" s="47">
        <v>0</v>
      </c>
      <c r="BM263" s="47">
        <v>0</v>
      </c>
      <c r="BN263" s="47">
        <v>0</v>
      </c>
      <c r="BO263" s="47">
        <v>0</v>
      </c>
      <c r="BP263" s="47">
        <v>0</v>
      </c>
      <c r="BQ263" s="47">
        <v>0</v>
      </c>
      <c r="BR263" s="47">
        <v>0</v>
      </c>
      <c r="BS263" s="47">
        <v>0</v>
      </c>
      <c r="BT263" s="47">
        <v>0</v>
      </c>
      <c r="BU263" s="47">
        <v>0</v>
      </c>
      <c r="BV263" s="47">
        <v>0</v>
      </c>
      <c r="BW263" s="47">
        <v>0</v>
      </c>
      <c r="BX263" s="47">
        <v>0</v>
      </c>
      <c r="BY263" s="47">
        <v>0</v>
      </c>
      <c r="BZ263" s="47">
        <v>0</v>
      </c>
      <c r="CA263" s="47">
        <v>0</v>
      </c>
      <c r="CB263" s="47">
        <v>0</v>
      </c>
      <c r="CC263" s="47">
        <v>0</v>
      </c>
      <c r="CD263" s="47">
        <v>0</v>
      </c>
      <c r="CE263" s="47">
        <v>0</v>
      </c>
      <c r="CF263" s="47">
        <v>0</v>
      </c>
      <c r="CG263" s="47">
        <v>0</v>
      </c>
      <c r="CH263" s="47">
        <v>0</v>
      </c>
      <c r="CI263" s="47">
        <v>0</v>
      </c>
      <c r="CJ263" s="47">
        <v>0</v>
      </c>
      <c r="CK263" s="47">
        <v>0</v>
      </c>
      <c r="CL263" s="47">
        <v>0</v>
      </c>
      <c r="CM263" s="47">
        <v>0</v>
      </c>
      <c r="CN263" s="47">
        <v>0</v>
      </c>
      <c r="CO263" s="47">
        <v>0</v>
      </c>
      <c r="CP263" s="47">
        <v>0</v>
      </c>
      <c r="CQ263" s="47">
        <v>0</v>
      </c>
      <c r="CR263" s="47">
        <v>0</v>
      </c>
      <c r="CS263" s="47">
        <v>0</v>
      </c>
      <c r="CT263" s="47">
        <v>0</v>
      </c>
      <c r="CU263" s="47">
        <v>0</v>
      </c>
      <c r="CV263" s="47">
        <v>0</v>
      </c>
      <c r="CW263" s="47">
        <v>0</v>
      </c>
      <c r="CX263" s="47">
        <v>0</v>
      </c>
      <c r="CY263" s="47">
        <v>0</v>
      </c>
      <c r="CZ263" s="47">
        <v>0</v>
      </c>
      <c r="DA263" s="47">
        <v>0</v>
      </c>
      <c r="DB263" s="47">
        <v>0</v>
      </c>
      <c r="DC263" s="47">
        <v>0</v>
      </c>
      <c r="DD263" s="47">
        <v>0</v>
      </c>
      <c r="DE263" s="47">
        <v>0</v>
      </c>
      <c r="DF263" s="47">
        <v>0</v>
      </c>
      <c r="DG263" s="47">
        <v>0</v>
      </c>
      <c r="DH263" s="47">
        <v>0</v>
      </c>
      <c r="DI263" s="47">
        <v>0</v>
      </c>
      <c r="DJ263" s="47">
        <v>0</v>
      </c>
      <c r="DK263" s="47">
        <v>0</v>
      </c>
      <c r="DL263" s="47">
        <v>0</v>
      </c>
      <c r="DM263" s="47">
        <v>0</v>
      </c>
      <c r="DN263" s="47">
        <v>0</v>
      </c>
      <c r="DO263" s="47">
        <v>0</v>
      </c>
      <c r="DP263" s="47">
        <v>0</v>
      </c>
      <c r="DQ263" s="47">
        <v>0</v>
      </c>
      <c r="DR263" s="47">
        <v>0</v>
      </c>
      <c r="DS263" s="47">
        <v>0</v>
      </c>
      <c r="DT263" s="47">
        <v>0</v>
      </c>
      <c r="DU263" s="47">
        <v>0</v>
      </c>
      <c r="DV263" s="47">
        <v>0</v>
      </c>
      <c r="DW263" s="47">
        <v>0</v>
      </c>
      <c r="DX263" s="47">
        <v>0</v>
      </c>
      <c r="DY263" s="47">
        <v>0</v>
      </c>
      <c r="DZ263" s="47">
        <v>0</v>
      </c>
      <c r="EA263" s="47">
        <v>0</v>
      </c>
      <c r="EB263" s="47"/>
      <c r="EC263" s="47">
        <v>1</v>
      </c>
      <c r="ZZ263" t="s">
        <v>2472</v>
      </c>
    </row>
    <row r="264" spans="1:702" x14ac:dyDescent="0.25">
      <c r="A264" s="47" t="s">
        <v>1318</v>
      </c>
      <c r="B264" s="47" t="s">
        <v>153</v>
      </c>
      <c r="C264" s="47" t="s">
        <v>157</v>
      </c>
      <c r="D264" s="47" t="s">
        <v>2745</v>
      </c>
      <c r="E264" s="47" t="s">
        <v>1319</v>
      </c>
      <c r="F264" s="47" t="s">
        <v>1320</v>
      </c>
      <c r="G264" s="47" t="s">
        <v>1321</v>
      </c>
      <c r="H264" s="47" t="s">
        <v>698</v>
      </c>
      <c r="I264" s="47" t="s">
        <v>738</v>
      </c>
      <c r="J264" s="47" t="str">
        <f>=IFERROR(VLOOKUP(H264&amp;I264,Table_Fonctions!A:G,6,FALSE),"")</f>
        <v>0</v>
      </c>
      <c r="K264" s="47" t="s">
        <v>2607</v>
      </c>
      <c r="L264" s="47" t="str">
        <f>=IFERROR(VLOOKUP(H264&amp;I264,Table_Fonctions!A:G,7,FALSE),K264)</f>
        <v/>
      </c>
      <c r="M264" s="47" t="str">
        <f>=IF(OR(LEFT(D264, 3)="TJ ", LEFT(D264, 4)="CPH "), "OUI", "NON")</f>
        <v/>
      </c>
      <c r="N264" s="47" t="s">
        <v>1322</v>
      </c>
      <c r="O264" s="47"/>
      <c r="P264" s="47">
        <v>1</v>
      </c>
      <c r="Q264" s="47">
        <v>1</v>
      </c>
      <c r="R264" s="47">
        <v>0</v>
      </c>
      <c r="S264" s="47">
        <f>=ROUND(BQ264-(BR264+BS264),3)</f>
      </c>
      <c r="T264" s="47">
        <f>=ROUND(CK264-(CL264+CM264+CN264+CO264+CP264),3)</f>
      </c>
      <c r="U264" s="47">
        <v>1</v>
      </c>
      <c r="V264" s="47">
        <v>0</v>
      </c>
      <c r="W264" s="47">
        <v>0</v>
      </c>
      <c r="X264" s="47">
        <v>0</v>
      </c>
      <c r="Y264" s="47">
        <v>0</v>
      </c>
      <c r="Z264" s="47">
        <v>0</v>
      </c>
      <c r="AA264" s="47">
        <v>0</v>
      </c>
      <c r="AB264" s="47">
        <v>0</v>
      </c>
      <c r="AC264" s="47">
        <v>0</v>
      </c>
      <c r="AD264" s="47">
        <v>0</v>
      </c>
      <c r="AE264" s="47">
        <v>0</v>
      </c>
      <c r="AF264" s="47">
        <v>0</v>
      </c>
      <c r="AG264" s="47">
        <v>0</v>
      </c>
      <c r="AH264" s="47">
        <v>0</v>
      </c>
      <c r="AI264" s="47">
        <v>0</v>
      </c>
      <c r="AJ264" s="47">
        <v>0</v>
      </c>
      <c r="AK264" s="47">
        <v>0</v>
      </c>
      <c r="AL264" s="47">
        <v>0</v>
      </c>
      <c r="AM264" s="47">
        <v>0</v>
      </c>
      <c r="AN264" s="47">
        <v>0</v>
      </c>
      <c r="AO264" s="47">
        <v>0</v>
      </c>
      <c r="AP264" s="47">
        <v>0</v>
      </c>
      <c r="AQ264" s="47">
        <v>0</v>
      </c>
      <c r="AR264" s="47">
        <v>0</v>
      </c>
      <c r="AS264" s="47">
        <v>0</v>
      </c>
      <c r="AT264" s="47">
        <v>0</v>
      </c>
      <c r="AU264" s="47">
        <v>0</v>
      </c>
      <c r="AV264" s="47">
        <v>0</v>
      </c>
      <c r="AW264" s="47">
        <v>0</v>
      </c>
      <c r="AX264" s="47">
        <v>0</v>
      </c>
      <c r="AY264" s="47">
        <v>0</v>
      </c>
      <c r="AZ264" s="47">
        <v>0</v>
      </c>
      <c r="BA264" s="47">
        <v>0</v>
      </c>
      <c r="BB264" s="47">
        <v>0</v>
      </c>
      <c r="BC264" s="47">
        <v>0</v>
      </c>
      <c r="BD264" s="47">
        <v>0</v>
      </c>
      <c r="BE264" s="47">
        <v>0</v>
      </c>
      <c r="BF264" s="47">
        <v>0</v>
      </c>
      <c r="BG264" s="47">
        <v>0</v>
      </c>
      <c r="BH264" s="47">
        <v>0</v>
      </c>
      <c r="BI264" s="47">
        <v>0</v>
      </c>
      <c r="BJ264" s="47">
        <v>0</v>
      </c>
      <c r="BK264" s="47">
        <v>0</v>
      </c>
      <c r="BL264" s="47">
        <v>0</v>
      </c>
      <c r="BM264" s="47">
        <v>0</v>
      </c>
      <c r="BN264" s="47">
        <v>0</v>
      </c>
      <c r="BO264" s="47">
        <v>0</v>
      </c>
      <c r="BP264" s="47">
        <v>0</v>
      </c>
      <c r="BQ264" s="47">
        <v>0</v>
      </c>
      <c r="BR264" s="47">
        <v>0</v>
      </c>
      <c r="BS264" s="47">
        <v>0</v>
      </c>
      <c r="BT264" s="47">
        <v>0</v>
      </c>
      <c r="BU264" s="47">
        <v>0</v>
      </c>
      <c r="BV264" s="47">
        <v>0</v>
      </c>
      <c r="BW264" s="47">
        <v>0</v>
      </c>
      <c r="BX264" s="47">
        <v>0</v>
      </c>
      <c r="BY264" s="47">
        <v>0</v>
      </c>
      <c r="BZ264" s="47">
        <v>0</v>
      </c>
      <c r="CA264" s="47">
        <v>0</v>
      </c>
      <c r="CB264" s="47">
        <v>0</v>
      </c>
      <c r="CC264" s="47">
        <v>0</v>
      </c>
      <c r="CD264" s="47">
        <v>0</v>
      </c>
      <c r="CE264" s="47">
        <v>0</v>
      </c>
      <c r="CF264" s="47">
        <v>0</v>
      </c>
      <c r="CG264" s="47">
        <v>0</v>
      </c>
      <c r="CH264" s="47">
        <v>0</v>
      </c>
      <c r="CI264" s="47">
        <v>0</v>
      </c>
      <c r="CJ264" s="47">
        <v>0</v>
      </c>
      <c r="CK264" s="47">
        <v>0</v>
      </c>
      <c r="CL264" s="47">
        <v>0</v>
      </c>
      <c r="CM264" s="47">
        <v>0</v>
      </c>
      <c r="CN264" s="47">
        <v>0</v>
      </c>
      <c r="CO264" s="47">
        <v>0</v>
      </c>
      <c r="CP264" s="47">
        <v>0</v>
      </c>
      <c r="CQ264" s="47">
        <v>0</v>
      </c>
      <c r="CR264" s="47">
        <v>0</v>
      </c>
      <c r="CS264" s="47">
        <v>0</v>
      </c>
      <c r="CT264" s="47">
        <v>0</v>
      </c>
      <c r="CU264" s="47">
        <v>0</v>
      </c>
      <c r="CV264" s="47">
        <v>0</v>
      </c>
      <c r="CW264" s="47">
        <v>0</v>
      </c>
      <c r="CX264" s="47">
        <v>0</v>
      </c>
      <c r="CY264" s="47">
        <v>0</v>
      </c>
      <c r="CZ264" s="47">
        <v>0</v>
      </c>
      <c r="DA264" s="47">
        <v>0</v>
      </c>
      <c r="DB264" s="47">
        <v>0</v>
      </c>
      <c r="DC264" s="47">
        <v>0</v>
      </c>
      <c r="DD264" s="47">
        <v>0</v>
      </c>
      <c r="DE264" s="47">
        <v>0</v>
      </c>
      <c r="DF264" s="47">
        <v>0</v>
      </c>
      <c r="DG264" s="47">
        <v>0</v>
      </c>
      <c r="DH264" s="47">
        <v>0</v>
      </c>
      <c r="DI264" s="47">
        <v>0</v>
      </c>
      <c r="DJ264" s="47">
        <v>0</v>
      </c>
      <c r="DK264" s="47">
        <v>0</v>
      </c>
      <c r="DL264" s="47">
        <v>0</v>
      </c>
      <c r="DM264" s="47">
        <v>0</v>
      </c>
      <c r="DN264" s="47">
        <v>0</v>
      </c>
      <c r="DO264" s="47">
        <v>0</v>
      </c>
      <c r="DP264" s="47">
        <v>0</v>
      </c>
      <c r="DQ264" s="47">
        <v>0</v>
      </c>
      <c r="DR264" s="47">
        <v>0</v>
      </c>
      <c r="DS264" s="47">
        <v>0</v>
      </c>
      <c r="DT264" s="47">
        <v>0</v>
      </c>
      <c r="DU264" s="47">
        <v>0</v>
      </c>
      <c r="DV264" s="47">
        <v>0</v>
      </c>
      <c r="DW264" s="47">
        <v>0</v>
      </c>
      <c r="DX264" s="47">
        <v>0</v>
      </c>
      <c r="DY264" s="47">
        <v>0</v>
      </c>
      <c r="DZ264" s="47">
        <v>0</v>
      </c>
      <c r="EA264" s="47">
        <v>0</v>
      </c>
      <c r="EB264" s="47"/>
      <c r="EC264" s="47">
        <v>1</v>
      </c>
      <c r="ZZ264" t="s">
        <v>2472</v>
      </c>
    </row>
    <row r="265" spans="1:702" x14ac:dyDescent="0.25">
      <c r="A265" s="47" t="s">
        <v>1323</v>
      </c>
      <c r="B265" s="47" t="s">
        <v>153</v>
      </c>
      <c r="C265" s="47" t="s">
        <v>157</v>
      </c>
      <c r="D265" s="47" t="s">
        <v>2746</v>
      </c>
      <c r="E265" s="47" t="s">
        <v>1324</v>
      </c>
      <c r="F265" s="47" t="s">
        <v>1325</v>
      </c>
      <c r="G265" s="47" t="s">
        <v>1326</v>
      </c>
      <c r="H265" s="47" t="s">
        <v>698</v>
      </c>
      <c r="I265" s="47" t="s">
        <v>738</v>
      </c>
      <c r="J265" s="47" t="str">
        <f>=IFERROR(VLOOKUP(H265&amp;I265,Table_Fonctions!A:G,6,FALSE),"")</f>
        <v>0</v>
      </c>
      <c r="K265" s="47" t="s">
        <v>2607</v>
      </c>
      <c r="L265" s="47" t="str">
        <f>=IFERROR(VLOOKUP(H265&amp;I265,Table_Fonctions!A:G,7,FALSE),K265)</f>
        <v/>
      </c>
      <c r="M265" s="47" t="str">
        <f>=IF(OR(LEFT(D265, 3)="TJ ", LEFT(D265, 4)="CPH "), "OUI", "NON")</f>
        <v/>
      </c>
      <c r="N265" s="47" t="s">
        <v>1327</v>
      </c>
      <c r="O265" s="47"/>
      <c r="P265" s="47">
        <v>0.8</v>
      </c>
      <c r="Q265" s="47">
        <v>0.8</v>
      </c>
      <c r="R265" s="47">
        <v>0</v>
      </c>
      <c r="S265" s="47">
        <f>=ROUND(BQ265-(BR265+BS265),3)</f>
      </c>
      <c r="T265" s="47">
        <f>=ROUND(CK265-(CL265+CM265+CN265+CO265+CP265),3)</f>
      </c>
      <c r="U265" s="47">
        <v>0.8</v>
      </c>
      <c r="V265" s="47">
        <v>0</v>
      </c>
      <c r="W265" s="47">
        <v>0</v>
      </c>
      <c r="X265" s="47">
        <v>0</v>
      </c>
      <c r="Y265" s="47">
        <v>0</v>
      </c>
      <c r="Z265" s="47">
        <v>0</v>
      </c>
      <c r="AA265" s="47">
        <v>0</v>
      </c>
      <c r="AB265" s="47">
        <v>0</v>
      </c>
      <c r="AC265" s="47">
        <v>0</v>
      </c>
      <c r="AD265" s="47">
        <v>0</v>
      </c>
      <c r="AE265" s="47">
        <v>0</v>
      </c>
      <c r="AF265" s="47">
        <v>0</v>
      </c>
      <c r="AG265" s="47">
        <v>0</v>
      </c>
      <c r="AH265" s="47">
        <v>0</v>
      </c>
      <c r="AI265" s="47">
        <v>0</v>
      </c>
      <c r="AJ265" s="47">
        <v>0</v>
      </c>
      <c r="AK265" s="47">
        <v>0</v>
      </c>
      <c r="AL265" s="47">
        <v>0</v>
      </c>
      <c r="AM265" s="47">
        <v>0</v>
      </c>
      <c r="AN265" s="47">
        <v>0</v>
      </c>
      <c r="AO265" s="47">
        <v>0</v>
      </c>
      <c r="AP265" s="47">
        <v>0</v>
      </c>
      <c r="AQ265" s="47">
        <v>0</v>
      </c>
      <c r="AR265" s="47">
        <v>0</v>
      </c>
      <c r="AS265" s="47">
        <v>0</v>
      </c>
      <c r="AT265" s="47">
        <v>0</v>
      </c>
      <c r="AU265" s="47">
        <v>0</v>
      </c>
      <c r="AV265" s="47">
        <v>0</v>
      </c>
      <c r="AW265" s="47">
        <v>0</v>
      </c>
      <c r="AX265" s="47">
        <v>0</v>
      </c>
      <c r="AY265" s="47">
        <v>0</v>
      </c>
      <c r="AZ265" s="47">
        <v>0</v>
      </c>
      <c r="BA265" s="47">
        <v>0</v>
      </c>
      <c r="BB265" s="47">
        <v>0</v>
      </c>
      <c r="BC265" s="47">
        <v>0</v>
      </c>
      <c r="BD265" s="47">
        <v>0</v>
      </c>
      <c r="BE265" s="47">
        <v>0</v>
      </c>
      <c r="BF265" s="47">
        <v>0</v>
      </c>
      <c r="BG265" s="47">
        <v>0</v>
      </c>
      <c r="BH265" s="47">
        <v>0</v>
      </c>
      <c r="BI265" s="47">
        <v>0</v>
      </c>
      <c r="BJ265" s="47">
        <v>0</v>
      </c>
      <c r="BK265" s="47">
        <v>0</v>
      </c>
      <c r="BL265" s="47">
        <v>0</v>
      </c>
      <c r="BM265" s="47">
        <v>0</v>
      </c>
      <c r="BN265" s="47">
        <v>0</v>
      </c>
      <c r="BO265" s="47">
        <v>0</v>
      </c>
      <c r="BP265" s="47">
        <v>0</v>
      </c>
      <c r="BQ265" s="47">
        <v>0</v>
      </c>
      <c r="BR265" s="47">
        <v>0</v>
      </c>
      <c r="BS265" s="47">
        <v>0</v>
      </c>
      <c r="BT265" s="47">
        <v>0</v>
      </c>
      <c r="BU265" s="47">
        <v>0</v>
      </c>
      <c r="BV265" s="47">
        <v>0</v>
      </c>
      <c r="BW265" s="47">
        <v>0</v>
      </c>
      <c r="BX265" s="47">
        <v>0</v>
      </c>
      <c r="BY265" s="47">
        <v>0</v>
      </c>
      <c r="BZ265" s="47">
        <v>0</v>
      </c>
      <c r="CA265" s="47">
        <v>0</v>
      </c>
      <c r="CB265" s="47">
        <v>0</v>
      </c>
      <c r="CC265" s="47">
        <v>0</v>
      </c>
      <c r="CD265" s="47">
        <v>0</v>
      </c>
      <c r="CE265" s="47">
        <v>0</v>
      </c>
      <c r="CF265" s="47">
        <v>0</v>
      </c>
      <c r="CG265" s="47">
        <v>0</v>
      </c>
      <c r="CH265" s="47">
        <v>0</v>
      </c>
      <c r="CI265" s="47">
        <v>0</v>
      </c>
      <c r="CJ265" s="47">
        <v>0</v>
      </c>
      <c r="CK265" s="47">
        <v>0</v>
      </c>
      <c r="CL265" s="47">
        <v>0</v>
      </c>
      <c r="CM265" s="47">
        <v>0</v>
      </c>
      <c r="CN265" s="47">
        <v>0</v>
      </c>
      <c r="CO265" s="47">
        <v>0</v>
      </c>
      <c r="CP265" s="47">
        <v>0</v>
      </c>
      <c r="CQ265" s="47">
        <v>0</v>
      </c>
      <c r="CR265" s="47">
        <v>0</v>
      </c>
      <c r="CS265" s="47">
        <v>0</v>
      </c>
      <c r="CT265" s="47">
        <v>0</v>
      </c>
      <c r="CU265" s="47">
        <v>0</v>
      </c>
      <c r="CV265" s="47">
        <v>0</v>
      </c>
      <c r="CW265" s="47">
        <v>0</v>
      </c>
      <c r="CX265" s="47">
        <v>0</v>
      </c>
      <c r="CY265" s="47">
        <v>0</v>
      </c>
      <c r="CZ265" s="47">
        <v>0</v>
      </c>
      <c r="DA265" s="47">
        <v>0</v>
      </c>
      <c r="DB265" s="47">
        <v>0</v>
      </c>
      <c r="DC265" s="47">
        <v>0</v>
      </c>
      <c r="DD265" s="47">
        <v>0</v>
      </c>
      <c r="DE265" s="47">
        <v>0</v>
      </c>
      <c r="DF265" s="47">
        <v>0</v>
      </c>
      <c r="DG265" s="47">
        <v>0</v>
      </c>
      <c r="DH265" s="47">
        <v>0</v>
      </c>
      <c r="DI265" s="47">
        <v>0</v>
      </c>
      <c r="DJ265" s="47">
        <v>0</v>
      </c>
      <c r="DK265" s="47">
        <v>0</v>
      </c>
      <c r="DL265" s="47">
        <v>0</v>
      </c>
      <c r="DM265" s="47">
        <v>0</v>
      </c>
      <c r="DN265" s="47">
        <v>0</v>
      </c>
      <c r="DO265" s="47">
        <v>0</v>
      </c>
      <c r="DP265" s="47">
        <v>0</v>
      </c>
      <c r="DQ265" s="47">
        <v>0</v>
      </c>
      <c r="DR265" s="47">
        <v>0</v>
      </c>
      <c r="DS265" s="47">
        <v>0</v>
      </c>
      <c r="DT265" s="47">
        <v>0</v>
      </c>
      <c r="DU265" s="47">
        <v>0</v>
      </c>
      <c r="DV265" s="47">
        <v>0</v>
      </c>
      <c r="DW265" s="47">
        <v>0</v>
      </c>
      <c r="DX265" s="47">
        <v>0</v>
      </c>
      <c r="DY265" s="47">
        <v>0</v>
      </c>
      <c r="DZ265" s="47">
        <v>0</v>
      </c>
      <c r="EA265" s="47">
        <v>0</v>
      </c>
      <c r="EB265" s="47"/>
      <c r="EC265" s="47">
        <v>0.8</v>
      </c>
      <c r="ZZ265" t="s">
        <v>2472</v>
      </c>
    </row>
    <row r="266" spans="1:702" x14ac:dyDescent="0.25">
      <c r="A266" s="47" t="s">
        <v>1328</v>
      </c>
      <c r="B266" s="47" t="s">
        <v>153</v>
      </c>
      <c r="C266" s="47" t="s">
        <v>157</v>
      </c>
      <c r="D266" s="47" t="s">
        <v>2747</v>
      </c>
      <c r="E266" s="47" t="s">
        <v>1329</v>
      </c>
      <c r="F266" s="47" t="s">
        <v>1330</v>
      </c>
      <c r="G266" s="47" t="s">
        <v>1331</v>
      </c>
      <c r="H266" s="47" t="s">
        <v>698</v>
      </c>
      <c r="I266" s="47" t="s">
        <v>727</v>
      </c>
      <c r="J266" s="47" t="str">
        <f>=IFERROR(VLOOKUP(H266&amp;I266,Table_Fonctions!A:G,6,FALSE),"")</f>
        <v>0</v>
      </c>
      <c r="K266" s="47" t="s">
        <v>2607</v>
      </c>
      <c r="L266" s="47" t="str">
        <f>=IFERROR(VLOOKUP(H266&amp;I266,Table_Fonctions!A:G,7,FALSE),K266)</f>
        <v/>
      </c>
      <c r="M266" s="47" t="str">
        <f>=IF(OR(LEFT(D266, 3)="TJ ", LEFT(D266, 4)="CPH "), "OUI", "NON")</f>
        <v/>
      </c>
      <c r="N266" s="47" t="s">
        <v>1332</v>
      </c>
      <c r="O266" s="47"/>
      <c r="P266" s="47">
        <v>1</v>
      </c>
      <c r="Q266" s="47">
        <v>1</v>
      </c>
      <c r="R266" s="47">
        <v>0</v>
      </c>
      <c r="S266" s="47">
        <f>=ROUND(BQ266-(BR266+BS266),3)</f>
      </c>
      <c r="T266" s="47">
        <f>=ROUND(CK266-(CL266+CM266+CN266+CO266+CP266),3)</f>
      </c>
      <c r="U266" s="47">
        <v>0</v>
      </c>
      <c r="V266" s="47">
        <v>0</v>
      </c>
      <c r="W266" s="47">
        <v>0</v>
      </c>
      <c r="X266" s="47">
        <v>0</v>
      </c>
      <c r="Y266" s="47">
        <v>0</v>
      </c>
      <c r="Z266" s="47">
        <v>0</v>
      </c>
      <c r="AA266" s="47">
        <v>0</v>
      </c>
      <c r="AB266" s="47">
        <v>0</v>
      </c>
      <c r="AC266" s="47">
        <v>0</v>
      </c>
      <c r="AD266" s="47">
        <v>0</v>
      </c>
      <c r="AE266" s="47">
        <v>0</v>
      </c>
      <c r="AF266" s="47">
        <v>0</v>
      </c>
      <c r="AG266" s="47">
        <v>0</v>
      </c>
      <c r="AH266" s="47">
        <v>0</v>
      </c>
      <c r="AI266" s="47">
        <v>0</v>
      </c>
      <c r="AJ266" s="47">
        <v>0</v>
      </c>
      <c r="AK266" s="47">
        <v>0</v>
      </c>
      <c r="AL266" s="47">
        <v>0</v>
      </c>
      <c r="AM266" s="47">
        <v>0</v>
      </c>
      <c r="AN266" s="47">
        <v>0</v>
      </c>
      <c r="AO266" s="47">
        <v>0</v>
      </c>
      <c r="AP266" s="47">
        <v>0</v>
      </c>
      <c r="AQ266" s="47">
        <v>0</v>
      </c>
      <c r="AR266" s="47">
        <v>0</v>
      </c>
      <c r="AS266" s="47">
        <v>0</v>
      </c>
      <c r="AT266" s="47">
        <v>0</v>
      </c>
      <c r="AU266" s="47">
        <v>0</v>
      </c>
      <c r="AV266" s="47">
        <v>0</v>
      </c>
      <c r="AW266" s="47">
        <v>0</v>
      </c>
      <c r="AX266" s="47">
        <v>0</v>
      </c>
      <c r="AY266" s="47">
        <v>0</v>
      </c>
      <c r="AZ266" s="47">
        <v>0</v>
      </c>
      <c r="BA266" s="47">
        <v>0</v>
      </c>
      <c r="BB266" s="47">
        <v>0</v>
      </c>
      <c r="BC266" s="47">
        <v>0</v>
      </c>
      <c r="BD266" s="47">
        <v>0</v>
      </c>
      <c r="BE266" s="47">
        <v>0</v>
      </c>
      <c r="BF266" s="47">
        <v>0</v>
      </c>
      <c r="BG266" s="47">
        <v>0</v>
      </c>
      <c r="BH266" s="47">
        <v>0</v>
      </c>
      <c r="BI266" s="47">
        <v>0</v>
      </c>
      <c r="BJ266" s="47">
        <v>0</v>
      </c>
      <c r="BK266" s="47">
        <v>0</v>
      </c>
      <c r="BL266" s="47">
        <v>0</v>
      </c>
      <c r="BM266" s="47">
        <v>0</v>
      </c>
      <c r="BN266" s="47">
        <v>0</v>
      </c>
      <c r="BO266" s="47">
        <v>0</v>
      </c>
      <c r="BP266" s="47">
        <v>0</v>
      </c>
      <c r="BQ266" s="47">
        <v>0</v>
      </c>
      <c r="BR266" s="47">
        <v>0</v>
      </c>
      <c r="BS266" s="47">
        <v>0</v>
      </c>
      <c r="BT266" s="47">
        <v>0</v>
      </c>
      <c r="BU266" s="47">
        <v>0</v>
      </c>
      <c r="BV266" s="47">
        <v>0</v>
      </c>
      <c r="BW266" s="47">
        <v>0</v>
      </c>
      <c r="BX266" s="47">
        <v>0</v>
      </c>
      <c r="BY266" s="47">
        <v>0</v>
      </c>
      <c r="BZ266" s="47">
        <v>0</v>
      </c>
      <c r="CA266" s="47">
        <v>0</v>
      </c>
      <c r="CB266" s="47">
        <v>0</v>
      </c>
      <c r="CC266" s="47">
        <v>0</v>
      </c>
      <c r="CD266" s="47">
        <v>0</v>
      </c>
      <c r="CE266" s="47">
        <v>0</v>
      </c>
      <c r="CF266" s="47">
        <v>0</v>
      </c>
      <c r="CG266" s="47">
        <v>0</v>
      </c>
      <c r="CH266" s="47">
        <v>0</v>
      </c>
      <c r="CI266" s="47">
        <v>0</v>
      </c>
      <c r="CJ266" s="47">
        <v>0</v>
      </c>
      <c r="CK266" s="47">
        <v>0</v>
      </c>
      <c r="CL266" s="47">
        <v>0</v>
      </c>
      <c r="CM266" s="47">
        <v>0</v>
      </c>
      <c r="CN266" s="47">
        <v>0</v>
      </c>
      <c r="CO266" s="47">
        <v>0</v>
      </c>
      <c r="CP266" s="47">
        <v>0</v>
      </c>
      <c r="CQ266" s="47">
        <v>0</v>
      </c>
      <c r="CR266" s="47">
        <v>0</v>
      </c>
      <c r="CS266" s="47">
        <v>0</v>
      </c>
      <c r="CT266" s="47">
        <v>0</v>
      </c>
      <c r="CU266" s="47">
        <v>0</v>
      </c>
      <c r="CV266" s="47">
        <v>1</v>
      </c>
      <c r="CW266" s="47">
        <v>0</v>
      </c>
      <c r="CX266" s="47">
        <v>0</v>
      </c>
      <c r="CY266" s="47">
        <v>0</v>
      </c>
      <c r="CZ266" s="47">
        <v>0</v>
      </c>
      <c r="DA266" s="47">
        <v>0</v>
      </c>
      <c r="DB266" s="47">
        <v>0</v>
      </c>
      <c r="DC266" s="47">
        <v>0</v>
      </c>
      <c r="DD266" s="47">
        <v>0</v>
      </c>
      <c r="DE266" s="47">
        <v>0</v>
      </c>
      <c r="DF266" s="47">
        <v>0</v>
      </c>
      <c r="DG266" s="47">
        <v>0</v>
      </c>
      <c r="DH266" s="47">
        <v>0</v>
      </c>
      <c r="DI266" s="47">
        <v>0</v>
      </c>
      <c r="DJ266" s="47">
        <v>0</v>
      </c>
      <c r="DK266" s="47">
        <v>0</v>
      </c>
      <c r="DL266" s="47">
        <v>0</v>
      </c>
      <c r="DM266" s="47">
        <v>0</v>
      </c>
      <c r="DN266" s="47">
        <v>0</v>
      </c>
      <c r="DO266" s="47">
        <v>0</v>
      </c>
      <c r="DP266" s="47">
        <v>0</v>
      </c>
      <c r="DQ266" s="47">
        <v>0</v>
      </c>
      <c r="DR266" s="47">
        <v>0</v>
      </c>
      <c r="DS266" s="47">
        <v>0</v>
      </c>
      <c r="DT266" s="47">
        <v>0</v>
      </c>
      <c r="DU266" s="47">
        <v>0</v>
      </c>
      <c r="DV266" s="47">
        <v>0</v>
      </c>
      <c r="DW266" s="47">
        <v>0</v>
      </c>
      <c r="DX266" s="47">
        <v>0</v>
      </c>
      <c r="DY266" s="47">
        <v>0</v>
      </c>
      <c r="DZ266" s="47">
        <v>0</v>
      </c>
      <c r="EA266" s="47">
        <v>0</v>
      </c>
      <c r="EB266" s="47"/>
      <c r="EC266" s="47">
        <v>1</v>
      </c>
      <c r="ZZ266" t="s">
        <v>2472</v>
      </c>
    </row>
    <row r="267" spans="1:702" x14ac:dyDescent="0.25">
      <c r="A267" s="47" t="s">
        <v>1333</v>
      </c>
      <c r="B267" s="47" t="s">
        <v>153</v>
      </c>
      <c r="C267" s="47" t="s">
        <v>157</v>
      </c>
      <c r="D267" s="47" t="s">
        <v>2748</v>
      </c>
      <c r="E267" s="47" t="s">
        <v>1334</v>
      </c>
      <c r="F267" s="47" t="s">
        <v>1335</v>
      </c>
      <c r="G267" s="47" t="s">
        <v>1336</v>
      </c>
      <c r="H267" s="47" t="s">
        <v>698</v>
      </c>
      <c r="I267" s="47" t="s">
        <v>727</v>
      </c>
      <c r="J267" s="47" t="str">
        <f>=IFERROR(VLOOKUP(H267&amp;I267,Table_Fonctions!A:G,6,FALSE),"")</f>
        <v>0</v>
      </c>
      <c r="K267" s="47" t="s">
        <v>2607</v>
      </c>
      <c r="L267" s="47" t="str">
        <f>=IFERROR(VLOOKUP(H267&amp;I267,Table_Fonctions!A:G,7,FALSE),K267)</f>
        <v/>
      </c>
      <c r="M267" s="47" t="str">
        <f>=IF(OR(LEFT(D267, 3)="TJ ", LEFT(D267, 4)="CPH "), "OUI", "NON")</f>
        <v/>
      </c>
      <c r="N267" s="47" t="s">
        <v>836</v>
      </c>
      <c r="O267" s="47"/>
      <c r="P267" s="47">
        <v>1</v>
      </c>
      <c r="Q267" s="47">
        <v>0</v>
      </c>
      <c r="R267" s="47">
        <v>1</v>
      </c>
      <c r="S267" s="47">
        <f>=ROUND(BQ267-(BR267+BS267),3)</f>
      </c>
      <c r="T267" s="47">
        <f>=ROUND(CK267-(CL267+CM267+CN267+CO267+CP267),3)</f>
      </c>
      <c r="U267" s="47">
        <v>0</v>
      </c>
      <c r="V267" s="47">
        <v>0</v>
      </c>
      <c r="W267" s="47">
        <v>0</v>
      </c>
      <c r="X267" s="47">
        <v>0</v>
      </c>
      <c r="Y267" s="47">
        <v>0</v>
      </c>
      <c r="Z267" s="47">
        <v>0</v>
      </c>
      <c r="AA267" s="47">
        <v>0</v>
      </c>
      <c r="AB267" s="47">
        <v>0</v>
      </c>
      <c r="AC267" s="47">
        <v>0</v>
      </c>
      <c r="AD267" s="47">
        <v>0</v>
      </c>
      <c r="AE267" s="47">
        <v>0</v>
      </c>
      <c r="AF267" s="47">
        <v>0</v>
      </c>
      <c r="AG267" s="47">
        <v>0</v>
      </c>
      <c r="AH267" s="47">
        <v>0</v>
      </c>
      <c r="AI267" s="47">
        <v>0</v>
      </c>
      <c r="AJ267" s="47">
        <v>0</v>
      </c>
      <c r="AK267" s="47">
        <v>0</v>
      </c>
      <c r="AL267" s="47">
        <v>0</v>
      </c>
      <c r="AM267" s="47">
        <v>0</v>
      </c>
      <c r="AN267" s="47">
        <v>0</v>
      </c>
      <c r="AO267" s="47">
        <v>0</v>
      </c>
      <c r="AP267" s="47">
        <v>0</v>
      </c>
      <c r="AQ267" s="47">
        <v>0</v>
      </c>
      <c r="AR267" s="47">
        <v>0</v>
      </c>
      <c r="AS267" s="47">
        <v>0</v>
      </c>
      <c r="AT267" s="47">
        <v>0</v>
      </c>
      <c r="AU267" s="47">
        <v>0</v>
      </c>
      <c r="AV267" s="47">
        <v>0</v>
      </c>
      <c r="AW267" s="47">
        <v>0</v>
      </c>
      <c r="AX267" s="47">
        <v>0</v>
      </c>
      <c r="AY267" s="47">
        <v>0</v>
      </c>
      <c r="AZ267" s="47">
        <v>0</v>
      </c>
      <c r="BA267" s="47">
        <v>0</v>
      </c>
      <c r="BB267" s="47">
        <v>0</v>
      </c>
      <c r="BC267" s="47">
        <v>0</v>
      </c>
      <c r="BD267" s="47">
        <v>0</v>
      </c>
      <c r="BE267" s="47">
        <v>0</v>
      </c>
      <c r="BF267" s="47">
        <v>0</v>
      </c>
      <c r="BG267" s="47">
        <v>0</v>
      </c>
      <c r="BH267" s="47">
        <v>0</v>
      </c>
      <c r="BI267" s="47">
        <v>0</v>
      </c>
      <c r="BJ267" s="47">
        <v>0</v>
      </c>
      <c r="BK267" s="47">
        <v>0</v>
      </c>
      <c r="BL267" s="47">
        <v>0</v>
      </c>
      <c r="BM267" s="47">
        <v>0</v>
      </c>
      <c r="BN267" s="47">
        <v>0</v>
      </c>
      <c r="BO267" s="47">
        <v>0</v>
      </c>
      <c r="BP267" s="47">
        <v>0</v>
      </c>
      <c r="BQ267" s="47">
        <v>0</v>
      </c>
      <c r="BR267" s="47">
        <v>0</v>
      </c>
      <c r="BS267" s="47">
        <v>0</v>
      </c>
      <c r="BT267" s="47">
        <v>0</v>
      </c>
      <c r="BU267" s="47">
        <v>0</v>
      </c>
      <c r="BV267" s="47">
        <v>0</v>
      </c>
      <c r="BW267" s="47">
        <v>0</v>
      </c>
      <c r="BX267" s="47">
        <v>0</v>
      </c>
      <c r="BY267" s="47">
        <v>0</v>
      </c>
      <c r="BZ267" s="47">
        <v>0</v>
      </c>
      <c r="CA267" s="47">
        <v>0</v>
      </c>
      <c r="CB267" s="47">
        <v>0</v>
      </c>
      <c r="CC267" s="47">
        <v>0</v>
      </c>
      <c r="CD267" s="47">
        <v>0</v>
      </c>
      <c r="CE267" s="47">
        <v>0</v>
      </c>
      <c r="CF267" s="47">
        <v>0</v>
      </c>
      <c r="CG267" s="47">
        <v>0</v>
      </c>
      <c r="CH267" s="47">
        <v>0</v>
      </c>
      <c r="CI267" s="47">
        <v>0</v>
      </c>
      <c r="CJ267" s="47">
        <v>0</v>
      </c>
      <c r="CK267" s="47">
        <v>0</v>
      </c>
      <c r="CL267" s="47">
        <v>0</v>
      </c>
      <c r="CM267" s="47">
        <v>0</v>
      </c>
      <c r="CN267" s="47">
        <v>0</v>
      </c>
      <c r="CO267" s="47">
        <v>0</v>
      </c>
      <c r="CP267" s="47">
        <v>0</v>
      </c>
      <c r="CQ267" s="47">
        <v>0</v>
      </c>
      <c r="CR267" s="47">
        <v>0</v>
      </c>
      <c r="CS267" s="47">
        <v>0</v>
      </c>
      <c r="CT267" s="47">
        <v>0</v>
      </c>
      <c r="CU267" s="47">
        <v>0</v>
      </c>
      <c r="CV267" s="47">
        <v>0</v>
      </c>
      <c r="CW267" s="47">
        <v>0</v>
      </c>
      <c r="CX267" s="47">
        <v>0</v>
      </c>
      <c r="CY267" s="47">
        <v>0</v>
      </c>
      <c r="CZ267" s="47">
        <v>0</v>
      </c>
      <c r="DA267" s="47">
        <v>0</v>
      </c>
      <c r="DB267" s="47">
        <v>0</v>
      </c>
      <c r="DC267" s="47">
        <v>0</v>
      </c>
      <c r="DD267" s="47">
        <v>0</v>
      </c>
      <c r="DE267" s="47">
        <v>0</v>
      </c>
      <c r="DF267" s="47">
        <v>0</v>
      </c>
      <c r="DG267" s="47">
        <v>0</v>
      </c>
      <c r="DH267" s="47">
        <v>0</v>
      </c>
      <c r="DI267" s="47">
        <v>0</v>
      </c>
      <c r="DJ267" s="47">
        <v>0</v>
      </c>
      <c r="DK267" s="47">
        <v>0</v>
      </c>
      <c r="DL267" s="47">
        <v>0</v>
      </c>
      <c r="DM267" s="47">
        <v>0</v>
      </c>
      <c r="DN267" s="47">
        <v>0</v>
      </c>
      <c r="DO267" s="47">
        <v>0</v>
      </c>
      <c r="DP267" s="47">
        <v>0</v>
      </c>
      <c r="DQ267" s="47">
        <v>0</v>
      </c>
      <c r="DR267" s="47">
        <v>0</v>
      </c>
      <c r="DS267" s="47">
        <v>0</v>
      </c>
      <c r="DT267" s="47">
        <v>0</v>
      </c>
      <c r="DU267" s="47">
        <v>0</v>
      </c>
      <c r="DV267" s="47">
        <v>0</v>
      </c>
      <c r="DW267" s="47">
        <v>0</v>
      </c>
      <c r="DX267" s="47">
        <v>0</v>
      </c>
      <c r="DY267" s="47">
        <v>0</v>
      </c>
      <c r="DZ267" s="47">
        <v>0</v>
      </c>
      <c r="EA267" s="47">
        <v>0</v>
      </c>
      <c r="EB267" s="47"/>
      <c r="EC267" s="47">
        <v>1</v>
      </c>
      <c r="ZZ267" t="s">
        <v>2472</v>
      </c>
    </row>
    <row r="268" spans="1:702" x14ac:dyDescent="0.25">
      <c r="A268" s="47" t="s">
        <v>1337</v>
      </c>
      <c r="B268" s="47" t="s">
        <v>153</v>
      </c>
      <c r="C268" s="47" t="s">
        <v>157</v>
      </c>
      <c r="D268" s="47" t="s">
        <v>2749</v>
      </c>
      <c r="E268" s="47" t="s">
        <v>1338</v>
      </c>
      <c r="F268" s="47" t="s">
        <v>1339</v>
      </c>
      <c r="G268" s="47" t="s">
        <v>1340</v>
      </c>
      <c r="H268" s="47" t="s">
        <v>698</v>
      </c>
      <c r="I268" s="47" t="s">
        <v>705</v>
      </c>
      <c r="J268" s="47" t="str">
        <f>=IFERROR(VLOOKUP(H268&amp;I268,Table_Fonctions!A:G,6,FALSE),"")</f>
        <v>0</v>
      </c>
      <c r="K268" s="47" t="s">
        <v>2607</v>
      </c>
      <c r="L268" s="47" t="str">
        <f>=IFERROR(VLOOKUP(H268&amp;I268,Table_Fonctions!A:G,7,FALSE),K268)</f>
        <v/>
      </c>
      <c r="M268" s="47" t="str">
        <f>=IF(OR(LEFT(D268, 3)="TJ ", LEFT(D268, 4)="CPH "), "OUI", "NON")</f>
        <v/>
      </c>
      <c r="N268" s="47" t="s">
        <v>960</v>
      </c>
      <c r="O268" s="47"/>
      <c r="P268" s="47">
        <v>1</v>
      </c>
      <c r="Q268" s="47">
        <v>0</v>
      </c>
      <c r="R268" s="47">
        <v>1</v>
      </c>
      <c r="S268" s="47">
        <f>=ROUND(BQ268-(BR268+BS268),3)</f>
      </c>
      <c r="T268" s="47">
        <f>=ROUND(CK268-(CL268+CM268+CN268+CO268+CP268),3)</f>
      </c>
      <c r="U268" s="47">
        <v>0</v>
      </c>
      <c r="V268" s="47">
        <v>0</v>
      </c>
      <c r="W268" s="47">
        <v>0</v>
      </c>
      <c r="X268" s="47">
        <v>0</v>
      </c>
      <c r="Y268" s="47">
        <v>0</v>
      </c>
      <c r="Z268" s="47">
        <v>0</v>
      </c>
      <c r="AA268" s="47">
        <v>0</v>
      </c>
      <c r="AB268" s="47">
        <v>0</v>
      </c>
      <c r="AC268" s="47">
        <v>0</v>
      </c>
      <c r="AD268" s="47">
        <v>0</v>
      </c>
      <c r="AE268" s="47">
        <v>0</v>
      </c>
      <c r="AF268" s="47">
        <v>0</v>
      </c>
      <c r="AG268" s="47">
        <v>0</v>
      </c>
      <c r="AH268" s="47">
        <v>0</v>
      </c>
      <c r="AI268" s="47">
        <v>0</v>
      </c>
      <c r="AJ268" s="47">
        <v>0</v>
      </c>
      <c r="AK268" s="47">
        <v>0</v>
      </c>
      <c r="AL268" s="47">
        <v>0</v>
      </c>
      <c r="AM268" s="47">
        <v>0</v>
      </c>
      <c r="AN268" s="47">
        <v>0</v>
      </c>
      <c r="AO268" s="47">
        <v>0</v>
      </c>
      <c r="AP268" s="47">
        <v>0</v>
      </c>
      <c r="AQ268" s="47">
        <v>0</v>
      </c>
      <c r="AR268" s="47">
        <v>0</v>
      </c>
      <c r="AS268" s="47">
        <v>0</v>
      </c>
      <c r="AT268" s="47">
        <v>0</v>
      </c>
      <c r="AU268" s="47">
        <v>0</v>
      </c>
      <c r="AV268" s="47">
        <v>0</v>
      </c>
      <c r="AW268" s="47">
        <v>0</v>
      </c>
      <c r="AX268" s="47">
        <v>0</v>
      </c>
      <c r="AY268" s="47">
        <v>0</v>
      </c>
      <c r="AZ268" s="47">
        <v>0</v>
      </c>
      <c r="BA268" s="47">
        <v>0</v>
      </c>
      <c r="BB268" s="47">
        <v>0</v>
      </c>
      <c r="BC268" s="47">
        <v>0</v>
      </c>
      <c r="BD268" s="47">
        <v>0</v>
      </c>
      <c r="BE268" s="47">
        <v>0</v>
      </c>
      <c r="BF268" s="47">
        <v>0</v>
      </c>
      <c r="BG268" s="47">
        <v>0</v>
      </c>
      <c r="BH268" s="47">
        <v>0</v>
      </c>
      <c r="BI268" s="47">
        <v>0</v>
      </c>
      <c r="BJ268" s="47">
        <v>0</v>
      </c>
      <c r="BK268" s="47">
        <v>0</v>
      </c>
      <c r="BL268" s="47">
        <v>0</v>
      </c>
      <c r="BM268" s="47">
        <v>0</v>
      </c>
      <c r="BN268" s="47">
        <v>0</v>
      </c>
      <c r="BO268" s="47">
        <v>0</v>
      </c>
      <c r="BP268" s="47">
        <v>0</v>
      </c>
      <c r="BQ268" s="47">
        <v>0</v>
      </c>
      <c r="BR268" s="47">
        <v>0</v>
      </c>
      <c r="BS268" s="47">
        <v>0</v>
      </c>
      <c r="BT268" s="47">
        <v>0</v>
      </c>
      <c r="BU268" s="47">
        <v>0</v>
      </c>
      <c r="BV268" s="47">
        <v>0</v>
      </c>
      <c r="BW268" s="47">
        <v>0</v>
      </c>
      <c r="BX268" s="47">
        <v>0</v>
      </c>
      <c r="BY268" s="47">
        <v>0</v>
      </c>
      <c r="BZ268" s="47">
        <v>0</v>
      </c>
      <c r="CA268" s="47">
        <v>0</v>
      </c>
      <c r="CB268" s="47">
        <v>0</v>
      </c>
      <c r="CC268" s="47">
        <v>0</v>
      </c>
      <c r="CD268" s="47">
        <v>0</v>
      </c>
      <c r="CE268" s="47">
        <v>0</v>
      </c>
      <c r="CF268" s="47">
        <v>0</v>
      </c>
      <c r="CG268" s="47">
        <v>0</v>
      </c>
      <c r="CH268" s="47">
        <v>0</v>
      </c>
      <c r="CI268" s="47">
        <v>0</v>
      </c>
      <c r="CJ268" s="47">
        <v>0</v>
      </c>
      <c r="CK268" s="47">
        <v>0</v>
      </c>
      <c r="CL268" s="47">
        <v>0</v>
      </c>
      <c r="CM268" s="47">
        <v>0</v>
      </c>
      <c r="CN268" s="47">
        <v>0</v>
      </c>
      <c r="CO268" s="47">
        <v>0</v>
      </c>
      <c r="CP268" s="47">
        <v>0</v>
      </c>
      <c r="CQ268" s="47">
        <v>0</v>
      </c>
      <c r="CR268" s="47">
        <v>0</v>
      </c>
      <c r="CS268" s="47">
        <v>0</v>
      </c>
      <c r="CT268" s="47">
        <v>0</v>
      </c>
      <c r="CU268" s="47">
        <v>0</v>
      </c>
      <c r="CV268" s="47">
        <v>0</v>
      </c>
      <c r="CW268" s="47">
        <v>0</v>
      </c>
      <c r="CX268" s="47">
        <v>0</v>
      </c>
      <c r="CY268" s="47">
        <v>0</v>
      </c>
      <c r="CZ268" s="47">
        <v>0</v>
      </c>
      <c r="DA268" s="47">
        <v>0</v>
      </c>
      <c r="DB268" s="47">
        <v>0</v>
      </c>
      <c r="DC268" s="47">
        <v>0</v>
      </c>
      <c r="DD268" s="47">
        <v>0</v>
      </c>
      <c r="DE268" s="47">
        <v>0</v>
      </c>
      <c r="DF268" s="47">
        <v>0</v>
      </c>
      <c r="DG268" s="47">
        <v>0</v>
      </c>
      <c r="DH268" s="47">
        <v>0</v>
      </c>
      <c r="DI268" s="47">
        <v>0</v>
      </c>
      <c r="DJ268" s="47">
        <v>0</v>
      </c>
      <c r="DK268" s="47">
        <v>0</v>
      </c>
      <c r="DL268" s="47">
        <v>0</v>
      </c>
      <c r="DM268" s="47">
        <v>0</v>
      </c>
      <c r="DN268" s="47">
        <v>0</v>
      </c>
      <c r="DO268" s="47">
        <v>0</v>
      </c>
      <c r="DP268" s="47">
        <v>0</v>
      </c>
      <c r="DQ268" s="47">
        <v>0</v>
      </c>
      <c r="DR268" s="47">
        <v>0</v>
      </c>
      <c r="DS268" s="47">
        <v>0</v>
      </c>
      <c r="DT268" s="47">
        <v>0</v>
      </c>
      <c r="DU268" s="47">
        <v>0</v>
      </c>
      <c r="DV268" s="47">
        <v>0</v>
      </c>
      <c r="DW268" s="47">
        <v>0</v>
      </c>
      <c r="DX268" s="47">
        <v>0</v>
      </c>
      <c r="DY268" s="47">
        <v>0</v>
      </c>
      <c r="DZ268" s="47">
        <v>0</v>
      </c>
      <c r="EA268" s="47">
        <v>0</v>
      </c>
      <c r="EB268" s="47"/>
      <c r="EC268" s="47">
        <v>1</v>
      </c>
      <c r="ZZ268" t="s">
        <v>2472</v>
      </c>
    </row>
    <row r="269" spans="1:702" x14ac:dyDescent="0.25">
      <c r="A269" s="47" t="s">
        <v>1341</v>
      </c>
      <c r="B269" s="47" t="s">
        <v>153</v>
      </c>
      <c r="C269" s="47" t="s">
        <v>157</v>
      </c>
      <c r="D269" s="47" t="s">
        <v>2750</v>
      </c>
      <c r="E269" s="47" t="s">
        <v>1342</v>
      </c>
      <c r="F269" s="47" t="s">
        <v>1343</v>
      </c>
      <c r="G269" s="47" t="s">
        <v>1344</v>
      </c>
      <c r="H269" s="47" t="s">
        <v>698</v>
      </c>
      <c r="I269" s="47" t="s">
        <v>705</v>
      </c>
      <c r="J269" s="47" t="str">
        <f>=IFERROR(VLOOKUP(H269&amp;I269,Table_Fonctions!A:G,6,FALSE),"")</f>
        <v>0</v>
      </c>
      <c r="K269" s="47" t="s">
        <v>2607</v>
      </c>
      <c r="L269" s="47" t="str">
        <f>=IFERROR(VLOOKUP(H269&amp;I269,Table_Fonctions!A:G,7,FALSE),K269)</f>
        <v/>
      </c>
      <c r="M269" s="47" t="str">
        <f>=IF(OR(LEFT(D269, 3)="TJ ", LEFT(D269, 4)="CPH "), "OUI", "NON")</f>
        <v/>
      </c>
      <c r="N269" s="47" t="s">
        <v>1345</v>
      </c>
      <c r="O269" s="47"/>
      <c r="P269" s="47">
        <v>1</v>
      </c>
      <c r="Q269" s="47">
        <v>0</v>
      </c>
      <c r="R269" s="47">
        <v>1</v>
      </c>
      <c r="S269" s="47">
        <f>=ROUND(BQ269-(BR269+BS269),3)</f>
      </c>
      <c r="T269" s="47">
        <f>=ROUND(CK269-(CL269+CM269+CN269+CO269+CP269),3)</f>
      </c>
      <c r="U269" s="47">
        <v>0</v>
      </c>
      <c r="V269" s="47">
        <v>0</v>
      </c>
      <c r="W269" s="47">
        <v>0</v>
      </c>
      <c r="X269" s="47">
        <v>0</v>
      </c>
      <c r="Y269" s="47">
        <v>0</v>
      </c>
      <c r="Z269" s="47">
        <v>0</v>
      </c>
      <c r="AA269" s="47">
        <v>0</v>
      </c>
      <c r="AB269" s="47">
        <v>0</v>
      </c>
      <c r="AC269" s="47">
        <v>0</v>
      </c>
      <c r="AD269" s="47">
        <v>0</v>
      </c>
      <c r="AE269" s="47">
        <v>0</v>
      </c>
      <c r="AF269" s="47">
        <v>0</v>
      </c>
      <c r="AG269" s="47">
        <v>0</v>
      </c>
      <c r="AH269" s="47">
        <v>0</v>
      </c>
      <c r="AI269" s="47">
        <v>0</v>
      </c>
      <c r="AJ269" s="47">
        <v>0</v>
      </c>
      <c r="AK269" s="47">
        <v>0</v>
      </c>
      <c r="AL269" s="47">
        <v>0</v>
      </c>
      <c r="AM269" s="47">
        <v>0</v>
      </c>
      <c r="AN269" s="47">
        <v>0</v>
      </c>
      <c r="AO269" s="47">
        <v>0</v>
      </c>
      <c r="AP269" s="47">
        <v>0</v>
      </c>
      <c r="AQ269" s="47">
        <v>0</v>
      </c>
      <c r="AR269" s="47">
        <v>0</v>
      </c>
      <c r="AS269" s="47">
        <v>0</v>
      </c>
      <c r="AT269" s="47">
        <v>0</v>
      </c>
      <c r="AU269" s="47">
        <v>0</v>
      </c>
      <c r="AV269" s="47">
        <v>0</v>
      </c>
      <c r="AW269" s="47">
        <v>0</v>
      </c>
      <c r="AX269" s="47">
        <v>0</v>
      </c>
      <c r="AY269" s="47">
        <v>0</v>
      </c>
      <c r="AZ269" s="47">
        <v>0</v>
      </c>
      <c r="BA269" s="47">
        <v>0</v>
      </c>
      <c r="BB269" s="47">
        <v>0</v>
      </c>
      <c r="BC269" s="47">
        <v>0</v>
      </c>
      <c r="BD269" s="47">
        <v>0</v>
      </c>
      <c r="BE269" s="47">
        <v>0</v>
      </c>
      <c r="BF269" s="47">
        <v>0</v>
      </c>
      <c r="BG269" s="47">
        <v>0</v>
      </c>
      <c r="BH269" s="47">
        <v>0</v>
      </c>
      <c r="BI269" s="47">
        <v>0</v>
      </c>
      <c r="BJ269" s="47">
        <v>0</v>
      </c>
      <c r="BK269" s="47">
        <v>0</v>
      </c>
      <c r="BL269" s="47">
        <v>0</v>
      </c>
      <c r="BM269" s="47">
        <v>0</v>
      </c>
      <c r="BN269" s="47">
        <v>0</v>
      </c>
      <c r="BO269" s="47">
        <v>0</v>
      </c>
      <c r="BP269" s="47">
        <v>0</v>
      </c>
      <c r="BQ269" s="47">
        <v>0</v>
      </c>
      <c r="BR269" s="47">
        <v>0</v>
      </c>
      <c r="BS269" s="47">
        <v>0</v>
      </c>
      <c r="BT269" s="47">
        <v>0</v>
      </c>
      <c r="BU269" s="47">
        <v>0</v>
      </c>
      <c r="BV269" s="47">
        <v>0</v>
      </c>
      <c r="BW269" s="47">
        <v>0</v>
      </c>
      <c r="BX269" s="47">
        <v>0</v>
      </c>
      <c r="BY269" s="47">
        <v>0</v>
      </c>
      <c r="BZ269" s="47">
        <v>0</v>
      </c>
      <c r="CA269" s="47">
        <v>0</v>
      </c>
      <c r="CB269" s="47">
        <v>0</v>
      </c>
      <c r="CC269" s="47">
        <v>0</v>
      </c>
      <c r="CD269" s="47">
        <v>0</v>
      </c>
      <c r="CE269" s="47">
        <v>0</v>
      </c>
      <c r="CF269" s="47">
        <v>0</v>
      </c>
      <c r="CG269" s="47">
        <v>0</v>
      </c>
      <c r="CH269" s="47">
        <v>0</v>
      </c>
      <c r="CI269" s="47">
        <v>0</v>
      </c>
      <c r="CJ269" s="47">
        <v>0</v>
      </c>
      <c r="CK269" s="47">
        <v>0</v>
      </c>
      <c r="CL269" s="47">
        <v>0</v>
      </c>
      <c r="CM269" s="47">
        <v>0</v>
      </c>
      <c r="CN269" s="47">
        <v>0</v>
      </c>
      <c r="CO269" s="47">
        <v>0</v>
      </c>
      <c r="CP269" s="47">
        <v>0</v>
      </c>
      <c r="CQ269" s="47">
        <v>0</v>
      </c>
      <c r="CR269" s="47">
        <v>0</v>
      </c>
      <c r="CS269" s="47">
        <v>0</v>
      </c>
      <c r="CT269" s="47">
        <v>0</v>
      </c>
      <c r="CU269" s="47">
        <v>0</v>
      </c>
      <c r="CV269" s="47">
        <v>0</v>
      </c>
      <c r="CW269" s="47">
        <v>0</v>
      </c>
      <c r="CX269" s="47">
        <v>0</v>
      </c>
      <c r="CY269" s="47">
        <v>0</v>
      </c>
      <c r="CZ269" s="47">
        <v>0</v>
      </c>
      <c r="DA269" s="47">
        <v>0</v>
      </c>
      <c r="DB269" s="47">
        <v>0</v>
      </c>
      <c r="DC269" s="47">
        <v>0</v>
      </c>
      <c r="DD269" s="47">
        <v>0</v>
      </c>
      <c r="DE269" s="47">
        <v>0</v>
      </c>
      <c r="DF269" s="47">
        <v>0</v>
      </c>
      <c r="DG269" s="47">
        <v>0</v>
      </c>
      <c r="DH269" s="47">
        <v>0</v>
      </c>
      <c r="DI269" s="47">
        <v>0</v>
      </c>
      <c r="DJ269" s="47">
        <v>0</v>
      </c>
      <c r="DK269" s="47">
        <v>0</v>
      </c>
      <c r="DL269" s="47">
        <v>0</v>
      </c>
      <c r="DM269" s="47">
        <v>0</v>
      </c>
      <c r="DN269" s="47">
        <v>0</v>
      </c>
      <c r="DO269" s="47">
        <v>0</v>
      </c>
      <c r="DP269" s="47">
        <v>0</v>
      </c>
      <c r="DQ269" s="47">
        <v>0</v>
      </c>
      <c r="DR269" s="47">
        <v>0</v>
      </c>
      <c r="DS269" s="47">
        <v>0</v>
      </c>
      <c r="DT269" s="47">
        <v>0</v>
      </c>
      <c r="DU269" s="47">
        <v>0</v>
      </c>
      <c r="DV269" s="47">
        <v>0</v>
      </c>
      <c r="DW269" s="47">
        <v>0</v>
      </c>
      <c r="DX269" s="47">
        <v>0</v>
      </c>
      <c r="DY269" s="47">
        <v>0</v>
      </c>
      <c r="DZ269" s="47">
        <v>0</v>
      </c>
      <c r="EA269" s="47">
        <v>0</v>
      </c>
      <c r="EB269" s="47"/>
      <c r="EC269" s="47">
        <v>1</v>
      </c>
      <c r="ZZ269" t="s">
        <v>2472</v>
      </c>
    </row>
    <row r="270" spans="1:702" x14ac:dyDescent="0.25">
      <c r="A270" s="47" t="s">
        <v>1346</v>
      </c>
      <c r="B270" s="47" t="s">
        <v>153</v>
      </c>
      <c r="C270" s="47" t="s">
        <v>157</v>
      </c>
      <c r="D270" s="47" t="s">
        <v>2751</v>
      </c>
      <c r="E270" s="47" t="s">
        <v>1347</v>
      </c>
      <c r="F270" s="47" t="s">
        <v>1348</v>
      </c>
      <c r="G270" s="47" t="s">
        <v>1349</v>
      </c>
      <c r="H270" s="47" t="s">
        <v>698</v>
      </c>
      <c r="I270" s="47" t="s">
        <v>727</v>
      </c>
      <c r="J270" s="47" t="str">
        <f>=IFERROR(VLOOKUP(H270&amp;I270,Table_Fonctions!A:G,6,FALSE),"")</f>
        <v>0</v>
      </c>
      <c r="K270" s="47" t="s">
        <v>2607</v>
      </c>
      <c r="L270" s="47" t="str">
        <f>=IFERROR(VLOOKUP(H270&amp;I270,Table_Fonctions!A:G,7,FALSE),K270)</f>
        <v/>
      </c>
      <c r="M270" s="47" t="str">
        <f>=IF(OR(LEFT(D270, 3)="TJ ", LEFT(D270, 4)="CPH "), "OUI", "NON")</f>
        <v/>
      </c>
      <c r="N270" s="47" t="s">
        <v>1350</v>
      </c>
      <c r="O270" s="47"/>
      <c r="P270" s="47">
        <v>1</v>
      </c>
      <c r="Q270" s="47">
        <v>1</v>
      </c>
      <c r="R270" s="47">
        <v>0</v>
      </c>
      <c r="S270" s="47">
        <f>=ROUND(BQ270-(BR270+BS270),3)</f>
      </c>
      <c r="T270" s="47">
        <f>=ROUND(CK270-(CL270+CM270+CN270+CO270+CP270),3)</f>
      </c>
      <c r="U270" s="47">
        <v>0</v>
      </c>
      <c r="V270" s="47">
        <v>0</v>
      </c>
      <c r="W270" s="47">
        <v>0</v>
      </c>
      <c r="X270" s="47">
        <v>0</v>
      </c>
      <c r="Y270" s="47">
        <v>0</v>
      </c>
      <c r="Z270" s="47">
        <v>0</v>
      </c>
      <c r="AA270" s="47">
        <v>0</v>
      </c>
      <c r="AB270" s="47">
        <v>0</v>
      </c>
      <c r="AC270" s="47">
        <v>0</v>
      </c>
      <c r="AD270" s="47">
        <v>0</v>
      </c>
      <c r="AE270" s="47">
        <v>0</v>
      </c>
      <c r="AF270" s="47">
        <v>0</v>
      </c>
      <c r="AG270" s="47">
        <v>0</v>
      </c>
      <c r="AH270" s="47">
        <v>0</v>
      </c>
      <c r="AI270" s="47">
        <v>0</v>
      </c>
      <c r="AJ270" s="47">
        <v>0</v>
      </c>
      <c r="AK270" s="47">
        <v>0</v>
      </c>
      <c r="AL270" s="47">
        <v>0</v>
      </c>
      <c r="AM270" s="47">
        <v>0</v>
      </c>
      <c r="AN270" s="47">
        <v>0</v>
      </c>
      <c r="AO270" s="47">
        <v>0</v>
      </c>
      <c r="AP270" s="47">
        <v>0</v>
      </c>
      <c r="AQ270" s="47">
        <v>0</v>
      </c>
      <c r="AR270" s="47">
        <v>0</v>
      </c>
      <c r="AS270" s="47">
        <v>0</v>
      </c>
      <c r="AT270" s="47">
        <v>0</v>
      </c>
      <c r="AU270" s="47">
        <v>0</v>
      </c>
      <c r="AV270" s="47">
        <v>0</v>
      </c>
      <c r="AW270" s="47">
        <v>0</v>
      </c>
      <c r="AX270" s="47">
        <v>0</v>
      </c>
      <c r="AY270" s="47">
        <v>0</v>
      </c>
      <c r="AZ270" s="47">
        <v>0</v>
      </c>
      <c r="BA270" s="47">
        <v>0</v>
      </c>
      <c r="BB270" s="47">
        <v>0</v>
      </c>
      <c r="BC270" s="47">
        <v>0</v>
      </c>
      <c r="BD270" s="47">
        <v>0</v>
      </c>
      <c r="BE270" s="47">
        <v>0</v>
      </c>
      <c r="BF270" s="47">
        <v>0</v>
      </c>
      <c r="BG270" s="47">
        <v>0</v>
      </c>
      <c r="BH270" s="47">
        <v>0</v>
      </c>
      <c r="BI270" s="47">
        <v>0</v>
      </c>
      <c r="BJ270" s="47">
        <v>0</v>
      </c>
      <c r="BK270" s="47">
        <v>0</v>
      </c>
      <c r="BL270" s="47">
        <v>0</v>
      </c>
      <c r="BM270" s="47">
        <v>0</v>
      </c>
      <c r="BN270" s="47">
        <v>0</v>
      </c>
      <c r="BO270" s="47">
        <v>0</v>
      </c>
      <c r="BP270" s="47">
        <v>0</v>
      </c>
      <c r="BQ270" s="47">
        <v>0</v>
      </c>
      <c r="BR270" s="47">
        <v>0</v>
      </c>
      <c r="BS270" s="47">
        <v>0</v>
      </c>
      <c r="BT270" s="47">
        <v>0</v>
      </c>
      <c r="BU270" s="47">
        <v>0</v>
      </c>
      <c r="BV270" s="47">
        <v>0</v>
      </c>
      <c r="BW270" s="47">
        <v>0</v>
      </c>
      <c r="BX270" s="47">
        <v>0</v>
      </c>
      <c r="BY270" s="47">
        <v>0</v>
      </c>
      <c r="BZ270" s="47">
        <v>0</v>
      </c>
      <c r="CA270" s="47">
        <v>0</v>
      </c>
      <c r="CB270" s="47">
        <v>0</v>
      </c>
      <c r="CC270" s="47">
        <v>0</v>
      </c>
      <c r="CD270" s="47">
        <v>0</v>
      </c>
      <c r="CE270" s="47">
        <v>0</v>
      </c>
      <c r="CF270" s="47">
        <v>0</v>
      </c>
      <c r="CG270" s="47">
        <v>0</v>
      </c>
      <c r="CH270" s="47">
        <v>0</v>
      </c>
      <c r="CI270" s="47">
        <v>0</v>
      </c>
      <c r="CJ270" s="47">
        <v>0</v>
      </c>
      <c r="CK270" s="47">
        <v>0</v>
      </c>
      <c r="CL270" s="47">
        <v>0</v>
      </c>
      <c r="CM270" s="47">
        <v>0</v>
      </c>
      <c r="CN270" s="47">
        <v>0</v>
      </c>
      <c r="CO270" s="47">
        <v>0</v>
      </c>
      <c r="CP270" s="47">
        <v>0</v>
      </c>
      <c r="CQ270" s="47">
        <v>0</v>
      </c>
      <c r="CR270" s="47">
        <v>0</v>
      </c>
      <c r="CS270" s="47">
        <v>0</v>
      </c>
      <c r="CT270" s="47">
        <v>0</v>
      </c>
      <c r="CU270" s="47">
        <v>0</v>
      </c>
      <c r="CV270" s="47">
        <v>0</v>
      </c>
      <c r="CW270" s="47">
        <v>0</v>
      </c>
      <c r="CX270" s="47">
        <v>0</v>
      </c>
      <c r="CY270" s="47">
        <v>1</v>
      </c>
      <c r="CZ270" s="47">
        <v>0</v>
      </c>
      <c r="DA270" s="47">
        <v>0</v>
      </c>
      <c r="DB270" s="47">
        <v>0</v>
      </c>
      <c r="DC270" s="47">
        <v>0</v>
      </c>
      <c r="DD270" s="47">
        <v>0</v>
      </c>
      <c r="DE270" s="47">
        <v>0</v>
      </c>
      <c r="DF270" s="47">
        <v>0</v>
      </c>
      <c r="DG270" s="47">
        <v>1</v>
      </c>
      <c r="DH270" s="47">
        <v>0</v>
      </c>
      <c r="DI270" s="47">
        <v>0</v>
      </c>
      <c r="DJ270" s="47">
        <v>0</v>
      </c>
      <c r="DK270" s="47">
        <v>0</v>
      </c>
      <c r="DL270" s="47">
        <v>0</v>
      </c>
      <c r="DM270" s="47">
        <v>0</v>
      </c>
      <c r="DN270" s="47">
        <v>0</v>
      </c>
      <c r="DO270" s="47">
        <v>0</v>
      </c>
      <c r="DP270" s="47">
        <v>0</v>
      </c>
      <c r="DQ270" s="47">
        <v>0</v>
      </c>
      <c r="DR270" s="47">
        <v>0</v>
      </c>
      <c r="DS270" s="47">
        <v>0</v>
      </c>
      <c r="DT270" s="47">
        <v>0</v>
      </c>
      <c r="DU270" s="47">
        <v>0</v>
      </c>
      <c r="DV270" s="47">
        <v>0</v>
      </c>
      <c r="DW270" s="47">
        <v>0</v>
      </c>
      <c r="DX270" s="47">
        <v>0</v>
      </c>
      <c r="DY270" s="47">
        <v>0</v>
      </c>
      <c r="DZ270" s="47">
        <v>0</v>
      </c>
      <c r="EA270" s="47">
        <v>0</v>
      </c>
      <c r="EB270" s="47"/>
      <c r="EC270" s="47">
        <v>1</v>
      </c>
      <c r="ZZ270" t="s">
        <v>2472</v>
      </c>
    </row>
    <row r="271" spans="1:702" x14ac:dyDescent="0.25">
      <c r="A271" s="47" t="s">
        <v>1351</v>
      </c>
      <c r="B271" s="47" t="s">
        <v>153</v>
      </c>
      <c r="C271" s="47" t="s">
        <v>157</v>
      </c>
      <c r="D271" s="47" t="s">
        <v>2752</v>
      </c>
      <c r="E271" s="47" t="s">
        <v>1352</v>
      </c>
      <c r="F271" s="47" t="s">
        <v>1353</v>
      </c>
      <c r="G271" s="47" t="s">
        <v>1354</v>
      </c>
      <c r="H271" s="47" t="s">
        <v>698</v>
      </c>
      <c r="I271" s="47" t="s">
        <v>727</v>
      </c>
      <c r="J271" s="47" t="str">
        <f>=IFERROR(VLOOKUP(H271&amp;I271,Table_Fonctions!A:G,6,FALSE),"")</f>
        <v>0</v>
      </c>
      <c r="K271" s="47" t="s">
        <v>2607</v>
      </c>
      <c r="L271" s="47" t="str">
        <f>=IFERROR(VLOOKUP(H271&amp;I271,Table_Fonctions!A:G,7,FALSE),K271)</f>
        <v/>
      </c>
      <c r="M271" s="47" t="str">
        <f>=IF(OR(LEFT(D271, 3)="TJ ", LEFT(D271, 4)="CPH "), "OUI", "NON")</f>
        <v/>
      </c>
      <c r="N271" s="47" t="s">
        <v>772</v>
      </c>
      <c r="O271" s="47"/>
      <c r="P271" s="47">
        <v>1</v>
      </c>
      <c r="Q271" s="47">
        <v>0</v>
      </c>
      <c r="R271" s="47">
        <v>1</v>
      </c>
      <c r="S271" s="47">
        <f>=ROUND(BQ271-(BR271+BS271),3)</f>
      </c>
      <c r="T271" s="47">
        <f>=ROUND(CK271-(CL271+CM271+CN271+CO271+CP271),3)</f>
      </c>
      <c r="U271" s="47">
        <v>0</v>
      </c>
      <c r="V271" s="47">
        <v>0</v>
      </c>
      <c r="W271" s="47">
        <v>0</v>
      </c>
      <c r="X271" s="47">
        <v>0</v>
      </c>
      <c r="Y271" s="47">
        <v>0</v>
      </c>
      <c r="Z271" s="47">
        <v>0</v>
      </c>
      <c r="AA271" s="47">
        <v>0</v>
      </c>
      <c r="AB271" s="47">
        <v>0</v>
      </c>
      <c r="AC271" s="47">
        <v>0</v>
      </c>
      <c r="AD271" s="47">
        <v>0</v>
      </c>
      <c r="AE271" s="47">
        <v>0</v>
      </c>
      <c r="AF271" s="47">
        <v>0</v>
      </c>
      <c r="AG271" s="47">
        <v>0</v>
      </c>
      <c r="AH271" s="47">
        <v>0</v>
      </c>
      <c r="AI271" s="47">
        <v>0</v>
      </c>
      <c r="AJ271" s="47">
        <v>0</v>
      </c>
      <c r="AK271" s="47">
        <v>0</v>
      </c>
      <c r="AL271" s="47">
        <v>0</v>
      </c>
      <c r="AM271" s="47">
        <v>0</v>
      </c>
      <c r="AN271" s="47">
        <v>0</v>
      </c>
      <c r="AO271" s="47">
        <v>0</v>
      </c>
      <c r="AP271" s="47">
        <v>0</v>
      </c>
      <c r="AQ271" s="47">
        <v>0</v>
      </c>
      <c r="AR271" s="47">
        <v>0</v>
      </c>
      <c r="AS271" s="47">
        <v>0</v>
      </c>
      <c r="AT271" s="47">
        <v>0</v>
      </c>
      <c r="AU271" s="47">
        <v>0</v>
      </c>
      <c r="AV271" s="47">
        <v>0</v>
      </c>
      <c r="AW271" s="47">
        <v>0</v>
      </c>
      <c r="AX271" s="47">
        <v>0</v>
      </c>
      <c r="AY271" s="47">
        <v>0</v>
      </c>
      <c r="AZ271" s="47">
        <v>0</v>
      </c>
      <c r="BA271" s="47">
        <v>0</v>
      </c>
      <c r="BB271" s="47">
        <v>0</v>
      </c>
      <c r="BC271" s="47">
        <v>0</v>
      </c>
      <c r="BD271" s="47">
        <v>0</v>
      </c>
      <c r="BE271" s="47">
        <v>0</v>
      </c>
      <c r="BF271" s="47">
        <v>0</v>
      </c>
      <c r="BG271" s="47">
        <v>0</v>
      </c>
      <c r="BH271" s="47">
        <v>0</v>
      </c>
      <c r="BI271" s="47">
        <v>0</v>
      </c>
      <c r="BJ271" s="47">
        <v>0</v>
      </c>
      <c r="BK271" s="47">
        <v>0</v>
      </c>
      <c r="BL271" s="47">
        <v>0</v>
      </c>
      <c r="BM271" s="47">
        <v>0</v>
      </c>
      <c r="BN271" s="47">
        <v>0</v>
      </c>
      <c r="BO271" s="47">
        <v>0</v>
      </c>
      <c r="BP271" s="47">
        <v>0</v>
      </c>
      <c r="BQ271" s="47">
        <v>0</v>
      </c>
      <c r="BR271" s="47">
        <v>0</v>
      </c>
      <c r="BS271" s="47">
        <v>0</v>
      </c>
      <c r="BT271" s="47">
        <v>0</v>
      </c>
      <c r="BU271" s="47">
        <v>0</v>
      </c>
      <c r="BV271" s="47">
        <v>0</v>
      </c>
      <c r="BW271" s="47">
        <v>0</v>
      </c>
      <c r="BX271" s="47">
        <v>0</v>
      </c>
      <c r="BY271" s="47">
        <v>0</v>
      </c>
      <c r="BZ271" s="47">
        <v>0</v>
      </c>
      <c r="CA271" s="47">
        <v>0</v>
      </c>
      <c r="CB271" s="47">
        <v>0</v>
      </c>
      <c r="CC271" s="47">
        <v>0</v>
      </c>
      <c r="CD271" s="47">
        <v>0</v>
      </c>
      <c r="CE271" s="47">
        <v>0</v>
      </c>
      <c r="CF271" s="47">
        <v>0</v>
      </c>
      <c r="CG271" s="47">
        <v>0</v>
      </c>
      <c r="CH271" s="47">
        <v>0</v>
      </c>
      <c r="CI271" s="47">
        <v>0</v>
      </c>
      <c r="CJ271" s="47">
        <v>0</v>
      </c>
      <c r="CK271" s="47">
        <v>0</v>
      </c>
      <c r="CL271" s="47">
        <v>0</v>
      </c>
      <c r="CM271" s="47">
        <v>0</v>
      </c>
      <c r="CN271" s="47">
        <v>0</v>
      </c>
      <c r="CO271" s="47">
        <v>0</v>
      </c>
      <c r="CP271" s="47">
        <v>0</v>
      </c>
      <c r="CQ271" s="47">
        <v>0</v>
      </c>
      <c r="CR271" s="47">
        <v>0</v>
      </c>
      <c r="CS271" s="47">
        <v>0</v>
      </c>
      <c r="CT271" s="47">
        <v>0</v>
      </c>
      <c r="CU271" s="47">
        <v>0</v>
      </c>
      <c r="CV271" s="47">
        <v>0</v>
      </c>
      <c r="CW271" s="47">
        <v>0</v>
      </c>
      <c r="CX271" s="47">
        <v>0</v>
      </c>
      <c r="CY271" s="47">
        <v>0</v>
      </c>
      <c r="CZ271" s="47">
        <v>0</v>
      </c>
      <c r="DA271" s="47">
        <v>0</v>
      </c>
      <c r="DB271" s="47">
        <v>0</v>
      </c>
      <c r="DC271" s="47">
        <v>0</v>
      </c>
      <c r="DD271" s="47">
        <v>0</v>
      </c>
      <c r="DE271" s="47">
        <v>0</v>
      </c>
      <c r="DF271" s="47">
        <v>0</v>
      </c>
      <c r="DG271" s="47">
        <v>0</v>
      </c>
      <c r="DH271" s="47">
        <v>0</v>
      </c>
      <c r="DI271" s="47">
        <v>0</v>
      </c>
      <c r="DJ271" s="47">
        <v>0</v>
      </c>
      <c r="DK271" s="47">
        <v>0</v>
      </c>
      <c r="DL271" s="47">
        <v>0</v>
      </c>
      <c r="DM271" s="47">
        <v>0</v>
      </c>
      <c r="DN271" s="47">
        <v>0</v>
      </c>
      <c r="DO271" s="47">
        <v>0</v>
      </c>
      <c r="DP271" s="47">
        <v>0</v>
      </c>
      <c r="DQ271" s="47">
        <v>0</v>
      </c>
      <c r="DR271" s="47">
        <v>0</v>
      </c>
      <c r="DS271" s="47">
        <v>0</v>
      </c>
      <c r="DT271" s="47">
        <v>0</v>
      </c>
      <c r="DU271" s="47">
        <v>0</v>
      </c>
      <c r="DV271" s="47">
        <v>0</v>
      </c>
      <c r="DW271" s="47">
        <v>0</v>
      </c>
      <c r="DX271" s="47">
        <v>0</v>
      </c>
      <c r="DY271" s="47">
        <v>0</v>
      </c>
      <c r="DZ271" s="47">
        <v>0</v>
      </c>
      <c r="EA271" s="47">
        <v>0</v>
      </c>
      <c r="EB271" s="47"/>
      <c r="EC271" s="47">
        <v>1</v>
      </c>
      <c r="ZZ271" t="s">
        <v>2472</v>
      </c>
    </row>
    <row r="272" spans="1:702" x14ac:dyDescent="0.25">
      <c r="A272" s="47" t="s">
        <v>1355</v>
      </c>
      <c r="B272" s="47" t="s">
        <v>153</v>
      </c>
      <c r="C272" s="47" t="s">
        <v>157</v>
      </c>
      <c r="D272" s="47" t="s">
        <v>2753</v>
      </c>
      <c r="E272" s="47" t="s">
        <v>1356</v>
      </c>
      <c r="F272" s="47" t="s">
        <v>1357</v>
      </c>
      <c r="G272" s="47" t="s">
        <v>1358</v>
      </c>
      <c r="H272" s="47" t="s">
        <v>698</v>
      </c>
      <c r="I272" s="47" t="s">
        <v>727</v>
      </c>
      <c r="J272" s="47" t="str">
        <f>=IFERROR(VLOOKUP(H272&amp;I272,Table_Fonctions!A:G,6,FALSE),"")</f>
        <v>0</v>
      </c>
      <c r="K272" s="47" t="s">
        <v>2607</v>
      </c>
      <c r="L272" s="47" t="str">
        <f>=IFERROR(VLOOKUP(H272&amp;I272,Table_Fonctions!A:G,7,FALSE),K272)</f>
        <v/>
      </c>
      <c r="M272" s="47" t="str">
        <f>=IF(OR(LEFT(D272, 3)="TJ ", LEFT(D272, 4)="CPH "), "OUI", "NON")</f>
        <v/>
      </c>
      <c r="N272" s="47" t="s">
        <v>1113</v>
      </c>
      <c r="O272" s="47"/>
      <c r="P272" s="47">
        <v>0.8</v>
      </c>
      <c r="Q272" s="47">
        <v>0</v>
      </c>
      <c r="R272" s="47">
        <v>0.8</v>
      </c>
      <c r="S272" s="47">
        <f>=ROUND(BQ272-(BR272+BS272),3)</f>
      </c>
      <c r="T272" s="47">
        <f>=ROUND(CK272-(CL272+CM272+CN272+CO272+CP272),3)</f>
      </c>
      <c r="U272" s="47">
        <v>0</v>
      </c>
      <c r="V272" s="47">
        <v>0</v>
      </c>
      <c r="W272" s="47">
        <v>0</v>
      </c>
      <c r="X272" s="47">
        <v>0</v>
      </c>
      <c r="Y272" s="47">
        <v>0</v>
      </c>
      <c r="Z272" s="47">
        <v>0</v>
      </c>
      <c r="AA272" s="47">
        <v>0</v>
      </c>
      <c r="AB272" s="47">
        <v>0</v>
      </c>
      <c r="AC272" s="47">
        <v>0</v>
      </c>
      <c r="AD272" s="47">
        <v>0</v>
      </c>
      <c r="AE272" s="47">
        <v>0</v>
      </c>
      <c r="AF272" s="47">
        <v>0</v>
      </c>
      <c r="AG272" s="47">
        <v>0</v>
      </c>
      <c r="AH272" s="47">
        <v>0</v>
      </c>
      <c r="AI272" s="47">
        <v>0</v>
      </c>
      <c r="AJ272" s="47">
        <v>0</v>
      </c>
      <c r="AK272" s="47">
        <v>0</v>
      </c>
      <c r="AL272" s="47">
        <v>0</v>
      </c>
      <c r="AM272" s="47">
        <v>0</v>
      </c>
      <c r="AN272" s="47">
        <v>0</v>
      </c>
      <c r="AO272" s="47">
        <v>0</v>
      </c>
      <c r="AP272" s="47">
        <v>0</v>
      </c>
      <c r="AQ272" s="47">
        <v>0</v>
      </c>
      <c r="AR272" s="47">
        <v>0</v>
      </c>
      <c r="AS272" s="47">
        <v>0</v>
      </c>
      <c r="AT272" s="47">
        <v>0</v>
      </c>
      <c r="AU272" s="47">
        <v>0</v>
      </c>
      <c r="AV272" s="47">
        <v>0</v>
      </c>
      <c r="AW272" s="47">
        <v>0</v>
      </c>
      <c r="AX272" s="47">
        <v>0</v>
      </c>
      <c r="AY272" s="47">
        <v>0</v>
      </c>
      <c r="AZ272" s="47">
        <v>0</v>
      </c>
      <c r="BA272" s="47">
        <v>0</v>
      </c>
      <c r="BB272" s="47">
        <v>0</v>
      </c>
      <c r="BC272" s="47">
        <v>0</v>
      </c>
      <c r="BD272" s="47">
        <v>0</v>
      </c>
      <c r="BE272" s="47">
        <v>0</v>
      </c>
      <c r="BF272" s="47">
        <v>0</v>
      </c>
      <c r="BG272" s="47">
        <v>0</v>
      </c>
      <c r="BH272" s="47">
        <v>0</v>
      </c>
      <c r="BI272" s="47">
        <v>0</v>
      </c>
      <c r="BJ272" s="47">
        <v>0</v>
      </c>
      <c r="BK272" s="47">
        <v>0</v>
      </c>
      <c r="BL272" s="47">
        <v>0</v>
      </c>
      <c r="BM272" s="47">
        <v>0</v>
      </c>
      <c r="BN272" s="47">
        <v>0</v>
      </c>
      <c r="BO272" s="47">
        <v>0</v>
      </c>
      <c r="BP272" s="47">
        <v>0</v>
      </c>
      <c r="BQ272" s="47">
        <v>0</v>
      </c>
      <c r="BR272" s="47">
        <v>0</v>
      </c>
      <c r="BS272" s="47">
        <v>0</v>
      </c>
      <c r="BT272" s="47">
        <v>0</v>
      </c>
      <c r="BU272" s="47">
        <v>0</v>
      </c>
      <c r="BV272" s="47">
        <v>0</v>
      </c>
      <c r="BW272" s="47">
        <v>0</v>
      </c>
      <c r="BX272" s="47">
        <v>0</v>
      </c>
      <c r="BY272" s="47">
        <v>0</v>
      </c>
      <c r="BZ272" s="47">
        <v>0</v>
      </c>
      <c r="CA272" s="47">
        <v>0</v>
      </c>
      <c r="CB272" s="47">
        <v>0</v>
      </c>
      <c r="CC272" s="47">
        <v>0</v>
      </c>
      <c r="CD272" s="47">
        <v>0</v>
      </c>
      <c r="CE272" s="47">
        <v>0</v>
      </c>
      <c r="CF272" s="47">
        <v>0</v>
      </c>
      <c r="CG272" s="47">
        <v>0</v>
      </c>
      <c r="CH272" s="47">
        <v>0</v>
      </c>
      <c r="CI272" s="47">
        <v>0</v>
      </c>
      <c r="CJ272" s="47">
        <v>0</v>
      </c>
      <c r="CK272" s="47">
        <v>0</v>
      </c>
      <c r="CL272" s="47">
        <v>0</v>
      </c>
      <c r="CM272" s="47">
        <v>0</v>
      </c>
      <c r="CN272" s="47">
        <v>0</v>
      </c>
      <c r="CO272" s="47">
        <v>0</v>
      </c>
      <c r="CP272" s="47">
        <v>0</v>
      </c>
      <c r="CQ272" s="47">
        <v>0</v>
      </c>
      <c r="CR272" s="47">
        <v>0</v>
      </c>
      <c r="CS272" s="47">
        <v>0</v>
      </c>
      <c r="CT272" s="47">
        <v>0</v>
      </c>
      <c r="CU272" s="47">
        <v>0</v>
      </c>
      <c r="CV272" s="47">
        <v>0</v>
      </c>
      <c r="CW272" s="47">
        <v>0</v>
      </c>
      <c r="CX272" s="47">
        <v>0</v>
      </c>
      <c r="CY272" s="47">
        <v>0</v>
      </c>
      <c r="CZ272" s="47">
        <v>0</v>
      </c>
      <c r="DA272" s="47">
        <v>0</v>
      </c>
      <c r="DB272" s="47">
        <v>0</v>
      </c>
      <c r="DC272" s="47">
        <v>0</v>
      </c>
      <c r="DD272" s="47">
        <v>0</v>
      </c>
      <c r="DE272" s="47">
        <v>0</v>
      </c>
      <c r="DF272" s="47">
        <v>0</v>
      </c>
      <c r="DG272" s="47">
        <v>0</v>
      </c>
      <c r="DH272" s="47">
        <v>0</v>
      </c>
      <c r="DI272" s="47">
        <v>0</v>
      </c>
      <c r="DJ272" s="47">
        <v>0</v>
      </c>
      <c r="DK272" s="47">
        <v>0</v>
      </c>
      <c r="DL272" s="47">
        <v>0</v>
      </c>
      <c r="DM272" s="47">
        <v>0</v>
      </c>
      <c r="DN272" s="47">
        <v>0</v>
      </c>
      <c r="DO272" s="47">
        <v>0</v>
      </c>
      <c r="DP272" s="47">
        <v>0</v>
      </c>
      <c r="DQ272" s="47">
        <v>0</v>
      </c>
      <c r="DR272" s="47">
        <v>0</v>
      </c>
      <c r="DS272" s="47">
        <v>0</v>
      </c>
      <c r="DT272" s="47">
        <v>0</v>
      </c>
      <c r="DU272" s="47">
        <v>0</v>
      </c>
      <c r="DV272" s="47">
        <v>0</v>
      </c>
      <c r="DW272" s="47">
        <v>0</v>
      </c>
      <c r="DX272" s="47">
        <v>0</v>
      </c>
      <c r="DY272" s="47">
        <v>0</v>
      </c>
      <c r="DZ272" s="47">
        <v>0</v>
      </c>
      <c r="EA272" s="47">
        <v>0</v>
      </c>
      <c r="EB272" s="47"/>
      <c r="EC272" s="47">
        <v>0.8</v>
      </c>
      <c r="ZZ272" t="s">
        <v>2472</v>
      </c>
    </row>
    <row r="273" spans="1:702" x14ac:dyDescent="0.25">
      <c r="A273" s="47" t="s">
        <v>1359</v>
      </c>
      <c r="B273" s="47" t="s">
        <v>153</v>
      </c>
      <c r="C273" s="47" t="s">
        <v>157</v>
      </c>
      <c r="D273" s="47" t="s">
        <v>2754</v>
      </c>
      <c r="E273" s="47" t="s">
        <v>1360</v>
      </c>
      <c r="F273" s="47" t="s">
        <v>1361</v>
      </c>
      <c r="G273" s="47" t="s">
        <v>1362</v>
      </c>
      <c r="H273" s="47" t="s">
        <v>698</v>
      </c>
      <c r="I273" s="47" t="s">
        <v>727</v>
      </c>
      <c r="J273" s="47" t="str">
        <f>=IFERROR(VLOOKUP(H273&amp;I273,Table_Fonctions!A:G,6,FALSE),"")</f>
        <v>0</v>
      </c>
      <c r="K273" s="47" t="s">
        <v>2607</v>
      </c>
      <c r="L273" s="47" t="str">
        <f>=IFERROR(VLOOKUP(H273&amp;I273,Table_Fonctions!A:G,7,FALSE),K273)</f>
        <v/>
      </c>
      <c r="M273" s="47" t="str">
        <f>=IF(OR(LEFT(D273, 3)="TJ ", LEFT(D273, 4)="CPH "), "OUI", "NON")</f>
        <v/>
      </c>
      <c r="N273" s="47" t="s">
        <v>1363</v>
      </c>
      <c r="O273" s="47"/>
      <c r="P273" s="47">
        <v>1</v>
      </c>
      <c r="Q273" s="47">
        <v>0</v>
      </c>
      <c r="R273" s="47">
        <v>1</v>
      </c>
      <c r="S273" s="47">
        <f>=ROUND(BQ273-(BR273+BS273),3)</f>
      </c>
      <c r="T273" s="47">
        <f>=ROUND(CK273-(CL273+CM273+CN273+CO273+CP273),3)</f>
      </c>
      <c r="U273" s="47">
        <v>0</v>
      </c>
      <c r="V273" s="47">
        <v>0</v>
      </c>
      <c r="W273" s="47">
        <v>0</v>
      </c>
      <c r="X273" s="47">
        <v>0</v>
      </c>
      <c r="Y273" s="47">
        <v>0</v>
      </c>
      <c r="Z273" s="47">
        <v>0</v>
      </c>
      <c r="AA273" s="47">
        <v>0</v>
      </c>
      <c r="AB273" s="47">
        <v>0</v>
      </c>
      <c r="AC273" s="47">
        <v>0</v>
      </c>
      <c r="AD273" s="47">
        <v>0</v>
      </c>
      <c r="AE273" s="47">
        <v>0</v>
      </c>
      <c r="AF273" s="47">
        <v>0</v>
      </c>
      <c r="AG273" s="47">
        <v>0</v>
      </c>
      <c r="AH273" s="47">
        <v>0</v>
      </c>
      <c r="AI273" s="47">
        <v>0</v>
      </c>
      <c r="AJ273" s="47">
        <v>0</v>
      </c>
      <c r="AK273" s="47">
        <v>0</v>
      </c>
      <c r="AL273" s="47">
        <v>0</v>
      </c>
      <c r="AM273" s="47">
        <v>0</v>
      </c>
      <c r="AN273" s="47">
        <v>0</v>
      </c>
      <c r="AO273" s="47">
        <v>0</v>
      </c>
      <c r="AP273" s="47">
        <v>0</v>
      </c>
      <c r="AQ273" s="47">
        <v>0</v>
      </c>
      <c r="AR273" s="47">
        <v>0</v>
      </c>
      <c r="AS273" s="47">
        <v>0</v>
      </c>
      <c r="AT273" s="47">
        <v>0</v>
      </c>
      <c r="AU273" s="47">
        <v>0</v>
      </c>
      <c r="AV273" s="47">
        <v>0</v>
      </c>
      <c r="AW273" s="47">
        <v>0</v>
      </c>
      <c r="AX273" s="47">
        <v>0</v>
      </c>
      <c r="AY273" s="47">
        <v>0</v>
      </c>
      <c r="AZ273" s="47">
        <v>0</v>
      </c>
      <c r="BA273" s="47">
        <v>0</v>
      </c>
      <c r="BB273" s="47">
        <v>0</v>
      </c>
      <c r="BC273" s="47">
        <v>0</v>
      </c>
      <c r="BD273" s="47">
        <v>0</v>
      </c>
      <c r="BE273" s="47">
        <v>0</v>
      </c>
      <c r="BF273" s="47">
        <v>0</v>
      </c>
      <c r="BG273" s="47">
        <v>0</v>
      </c>
      <c r="BH273" s="47">
        <v>0</v>
      </c>
      <c r="BI273" s="47">
        <v>0</v>
      </c>
      <c r="BJ273" s="47">
        <v>0</v>
      </c>
      <c r="BK273" s="47">
        <v>0</v>
      </c>
      <c r="BL273" s="47">
        <v>0</v>
      </c>
      <c r="BM273" s="47">
        <v>0</v>
      </c>
      <c r="BN273" s="47">
        <v>0</v>
      </c>
      <c r="BO273" s="47">
        <v>0</v>
      </c>
      <c r="BP273" s="47">
        <v>0</v>
      </c>
      <c r="BQ273" s="47">
        <v>0</v>
      </c>
      <c r="BR273" s="47">
        <v>0</v>
      </c>
      <c r="BS273" s="47">
        <v>0</v>
      </c>
      <c r="BT273" s="47">
        <v>0</v>
      </c>
      <c r="BU273" s="47">
        <v>0</v>
      </c>
      <c r="BV273" s="47">
        <v>0</v>
      </c>
      <c r="BW273" s="47">
        <v>0</v>
      </c>
      <c r="BX273" s="47">
        <v>0</v>
      </c>
      <c r="BY273" s="47">
        <v>0</v>
      </c>
      <c r="BZ273" s="47">
        <v>0</v>
      </c>
      <c r="CA273" s="47">
        <v>0</v>
      </c>
      <c r="CB273" s="47">
        <v>0</v>
      </c>
      <c r="CC273" s="47">
        <v>0</v>
      </c>
      <c r="CD273" s="47">
        <v>0</v>
      </c>
      <c r="CE273" s="47">
        <v>0</v>
      </c>
      <c r="CF273" s="47">
        <v>0</v>
      </c>
      <c r="CG273" s="47">
        <v>0</v>
      </c>
      <c r="CH273" s="47">
        <v>0</v>
      </c>
      <c r="CI273" s="47">
        <v>0</v>
      </c>
      <c r="CJ273" s="47">
        <v>0</v>
      </c>
      <c r="CK273" s="47">
        <v>0</v>
      </c>
      <c r="CL273" s="47">
        <v>0</v>
      </c>
      <c r="CM273" s="47">
        <v>0</v>
      </c>
      <c r="CN273" s="47">
        <v>0</v>
      </c>
      <c r="CO273" s="47">
        <v>0</v>
      </c>
      <c r="CP273" s="47">
        <v>0</v>
      </c>
      <c r="CQ273" s="47">
        <v>0</v>
      </c>
      <c r="CR273" s="47">
        <v>0</v>
      </c>
      <c r="CS273" s="47">
        <v>0</v>
      </c>
      <c r="CT273" s="47">
        <v>0</v>
      </c>
      <c r="CU273" s="47">
        <v>0</v>
      </c>
      <c r="CV273" s="47">
        <v>0</v>
      </c>
      <c r="CW273" s="47">
        <v>0</v>
      </c>
      <c r="CX273" s="47">
        <v>0</v>
      </c>
      <c r="CY273" s="47">
        <v>0</v>
      </c>
      <c r="CZ273" s="47">
        <v>0</v>
      </c>
      <c r="DA273" s="47">
        <v>0</v>
      </c>
      <c r="DB273" s="47">
        <v>0</v>
      </c>
      <c r="DC273" s="47">
        <v>0</v>
      </c>
      <c r="DD273" s="47">
        <v>0</v>
      </c>
      <c r="DE273" s="47">
        <v>0</v>
      </c>
      <c r="DF273" s="47">
        <v>0</v>
      </c>
      <c r="DG273" s="47">
        <v>0</v>
      </c>
      <c r="DH273" s="47">
        <v>0</v>
      </c>
      <c r="DI273" s="47">
        <v>0</v>
      </c>
      <c r="DJ273" s="47">
        <v>0</v>
      </c>
      <c r="DK273" s="47">
        <v>0</v>
      </c>
      <c r="DL273" s="47">
        <v>0</v>
      </c>
      <c r="DM273" s="47">
        <v>0</v>
      </c>
      <c r="DN273" s="47">
        <v>0</v>
      </c>
      <c r="DO273" s="47">
        <v>0</v>
      </c>
      <c r="DP273" s="47">
        <v>0</v>
      </c>
      <c r="DQ273" s="47">
        <v>0</v>
      </c>
      <c r="DR273" s="47">
        <v>0</v>
      </c>
      <c r="DS273" s="47">
        <v>0</v>
      </c>
      <c r="DT273" s="47">
        <v>0</v>
      </c>
      <c r="DU273" s="47">
        <v>0</v>
      </c>
      <c r="DV273" s="47">
        <v>0</v>
      </c>
      <c r="DW273" s="47">
        <v>0</v>
      </c>
      <c r="DX273" s="47">
        <v>0</v>
      </c>
      <c r="DY273" s="47">
        <v>0</v>
      </c>
      <c r="DZ273" s="47">
        <v>0</v>
      </c>
      <c r="EA273" s="47">
        <v>0</v>
      </c>
      <c r="EB273" s="47"/>
      <c r="EC273" s="47">
        <v>1</v>
      </c>
      <c r="ZZ273" t="s">
        <v>2472</v>
      </c>
    </row>
    <row r="274" spans="1:702" x14ac:dyDescent="0.25">
      <c r="A274" s="47" t="s">
        <v>1364</v>
      </c>
      <c r="B274" s="47" t="s">
        <v>153</v>
      </c>
      <c r="C274" s="47" t="s">
        <v>157</v>
      </c>
      <c r="D274" s="47" t="s">
        <v>2755</v>
      </c>
      <c r="E274" s="47" t="s">
        <v>1365</v>
      </c>
      <c r="F274" s="47" t="s">
        <v>1366</v>
      </c>
      <c r="G274" s="47" t="s">
        <v>1367</v>
      </c>
      <c r="H274" s="47" t="s">
        <v>698</v>
      </c>
      <c r="I274" s="47" t="s">
        <v>727</v>
      </c>
      <c r="J274" s="47" t="str">
        <f>=IFERROR(VLOOKUP(H274&amp;I274,Table_Fonctions!A:G,6,FALSE),"")</f>
        <v>0</v>
      </c>
      <c r="K274" s="47" t="s">
        <v>2607</v>
      </c>
      <c r="L274" s="47" t="str">
        <f>=IFERROR(VLOOKUP(H274&amp;I274,Table_Fonctions!A:G,7,FALSE),K274)</f>
        <v/>
      </c>
      <c r="M274" s="47" t="str">
        <f>=IF(OR(LEFT(D274, 3)="TJ ", LEFT(D274, 4)="CPH "), "OUI", "NON")</f>
        <v/>
      </c>
      <c r="N274" s="47" t="s">
        <v>1368</v>
      </c>
      <c r="O274" s="47"/>
      <c r="P274" s="47">
        <v>0.8</v>
      </c>
      <c r="Q274" s="47">
        <v>0.8</v>
      </c>
      <c r="R274" s="47">
        <v>0</v>
      </c>
      <c r="S274" s="47">
        <f>=ROUND(BQ274-(BR274+BS274),3)</f>
      </c>
      <c r="T274" s="47">
        <f>=ROUND(CK274-(CL274+CM274+CN274+CO274+CP274),3)</f>
      </c>
      <c r="U274" s="47">
        <v>0</v>
      </c>
      <c r="V274" s="47">
        <v>0</v>
      </c>
      <c r="W274" s="47">
        <v>0</v>
      </c>
      <c r="X274" s="47">
        <v>0</v>
      </c>
      <c r="Y274" s="47">
        <v>0</v>
      </c>
      <c r="Z274" s="47">
        <v>0</v>
      </c>
      <c r="AA274" s="47">
        <v>0</v>
      </c>
      <c r="AB274" s="47">
        <v>0</v>
      </c>
      <c r="AC274" s="47">
        <v>0</v>
      </c>
      <c r="AD274" s="47">
        <v>0</v>
      </c>
      <c r="AE274" s="47">
        <v>0</v>
      </c>
      <c r="AF274" s="47">
        <v>0</v>
      </c>
      <c r="AG274" s="47">
        <v>0</v>
      </c>
      <c r="AH274" s="47">
        <v>0</v>
      </c>
      <c r="AI274" s="47">
        <v>0</v>
      </c>
      <c r="AJ274" s="47">
        <v>0.8</v>
      </c>
      <c r="AK274" s="47">
        <v>0</v>
      </c>
      <c r="AL274" s="47">
        <v>0</v>
      </c>
      <c r="AM274" s="47">
        <v>0</v>
      </c>
      <c r="AN274" s="47">
        <v>0</v>
      </c>
      <c r="AO274" s="47">
        <v>0</v>
      </c>
      <c r="AP274" s="47">
        <v>0</v>
      </c>
      <c r="AQ274" s="47">
        <v>0</v>
      </c>
      <c r="AR274" s="47">
        <v>0</v>
      </c>
      <c r="AS274" s="47">
        <v>0</v>
      </c>
      <c r="AT274" s="47">
        <v>0</v>
      </c>
      <c r="AU274" s="47">
        <v>0</v>
      </c>
      <c r="AV274" s="47">
        <v>0</v>
      </c>
      <c r="AW274" s="47">
        <v>0</v>
      </c>
      <c r="AX274" s="47">
        <v>0</v>
      </c>
      <c r="AY274" s="47">
        <v>0</v>
      </c>
      <c r="AZ274" s="47">
        <v>0</v>
      </c>
      <c r="BA274" s="47">
        <v>0</v>
      </c>
      <c r="BB274" s="47">
        <v>0</v>
      </c>
      <c r="BC274" s="47">
        <v>0</v>
      </c>
      <c r="BD274" s="47">
        <v>0</v>
      </c>
      <c r="BE274" s="47">
        <v>0</v>
      </c>
      <c r="BF274" s="47">
        <v>0</v>
      </c>
      <c r="BG274" s="47">
        <v>0</v>
      </c>
      <c r="BH274" s="47">
        <v>0</v>
      </c>
      <c r="BI274" s="47">
        <v>0</v>
      </c>
      <c r="BJ274" s="47">
        <v>0</v>
      </c>
      <c r="BK274" s="47">
        <v>0</v>
      </c>
      <c r="BL274" s="47">
        <v>0</v>
      </c>
      <c r="BM274" s="47">
        <v>0</v>
      </c>
      <c r="BN274" s="47">
        <v>0</v>
      </c>
      <c r="BO274" s="47">
        <v>0</v>
      </c>
      <c r="BP274" s="47">
        <v>0</v>
      </c>
      <c r="BQ274" s="47">
        <v>0</v>
      </c>
      <c r="BR274" s="47">
        <v>0</v>
      </c>
      <c r="BS274" s="47">
        <v>0</v>
      </c>
      <c r="BT274" s="47">
        <v>0</v>
      </c>
      <c r="BU274" s="47">
        <v>0</v>
      </c>
      <c r="BV274" s="47">
        <v>0</v>
      </c>
      <c r="BW274" s="47">
        <v>0</v>
      </c>
      <c r="BX274" s="47">
        <v>0</v>
      </c>
      <c r="BY274" s="47">
        <v>0</v>
      </c>
      <c r="BZ274" s="47">
        <v>0</v>
      </c>
      <c r="CA274" s="47">
        <v>0</v>
      </c>
      <c r="CB274" s="47">
        <v>0</v>
      </c>
      <c r="CC274" s="47">
        <v>0</v>
      </c>
      <c r="CD274" s="47">
        <v>0</v>
      </c>
      <c r="CE274" s="47">
        <v>0</v>
      </c>
      <c r="CF274" s="47">
        <v>0</v>
      </c>
      <c r="CG274" s="47">
        <v>0</v>
      </c>
      <c r="CH274" s="47">
        <v>0</v>
      </c>
      <c r="CI274" s="47">
        <v>0</v>
      </c>
      <c r="CJ274" s="47">
        <v>0</v>
      </c>
      <c r="CK274" s="47">
        <v>0</v>
      </c>
      <c r="CL274" s="47">
        <v>0</v>
      </c>
      <c r="CM274" s="47">
        <v>0</v>
      </c>
      <c r="CN274" s="47">
        <v>0</v>
      </c>
      <c r="CO274" s="47">
        <v>0</v>
      </c>
      <c r="CP274" s="47">
        <v>0</v>
      </c>
      <c r="CQ274" s="47">
        <v>0</v>
      </c>
      <c r="CR274" s="47">
        <v>0</v>
      </c>
      <c r="CS274" s="47">
        <v>0</v>
      </c>
      <c r="CT274" s="47">
        <v>0</v>
      </c>
      <c r="CU274" s="47">
        <v>0</v>
      </c>
      <c r="CV274" s="47">
        <v>0</v>
      </c>
      <c r="CW274" s="47">
        <v>0</v>
      </c>
      <c r="CX274" s="47">
        <v>0</v>
      </c>
      <c r="CY274" s="47">
        <v>0</v>
      </c>
      <c r="CZ274" s="47">
        <v>0</v>
      </c>
      <c r="DA274" s="47">
        <v>0</v>
      </c>
      <c r="DB274" s="47">
        <v>0</v>
      </c>
      <c r="DC274" s="47">
        <v>0</v>
      </c>
      <c r="DD274" s="47">
        <v>0</v>
      </c>
      <c r="DE274" s="47">
        <v>0</v>
      </c>
      <c r="DF274" s="47">
        <v>0</v>
      </c>
      <c r="DG274" s="47">
        <v>0</v>
      </c>
      <c r="DH274" s="47">
        <v>0</v>
      </c>
      <c r="DI274" s="47">
        <v>0</v>
      </c>
      <c r="DJ274" s="47">
        <v>0</v>
      </c>
      <c r="DK274" s="47">
        <v>0</v>
      </c>
      <c r="DL274" s="47">
        <v>0</v>
      </c>
      <c r="DM274" s="47">
        <v>0</v>
      </c>
      <c r="DN274" s="47">
        <v>0</v>
      </c>
      <c r="DO274" s="47">
        <v>0</v>
      </c>
      <c r="DP274" s="47">
        <v>0</v>
      </c>
      <c r="DQ274" s="47">
        <v>0</v>
      </c>
      <c r="DR274" s="47">
        <v>0</v>
      </c>
      <c r="DS274" s="47">
        <v>0</v>
      </c>
      <c r="DT274" s="47">
        <v>0</v>
      </c>
      <c r="DU274" s="47">
        <v>0</v>
      </c>
      <c r="DV274" s="47">
        <v>0</v>
      </c>
      <c r="DW274" s="47">
        <v>0</v>
      </c>
      <c r="DX274" s="47">
        <v>0</v>
      </c>
      <c r="DY274" s="47">
        <v>0</v>
      </c>
      <c r="DZ274" s="47">
        <v>0</v>
      </c>
      <c r="EA274" s="47">
        <v>0</v>
      </c>
      <c r="EB274" s="47"/>
      <c r="EC274" s="47">
        <v>0.8</v>
      </c>
      <c r="ZZ274" t="s">
        <v>2472</v>
      </c>
    </row>
    <row r="275" spans="1:702" x14ac:dyDescent="0.25">
      <c r="A275" s="47" t="s">
        <v>1369</v>
      </c>
      <c r="B275" s="47" t="s">
        <v>153</v>
      </c>
      <c r="C275" s="47" t="s">
        <v>157</v>
      </c>
      <c r="D275" s="47" t="s">
        <v>2756</v>
      </c>
      <c r="E275" s="47" t="s">
        <v>1370</v>
      </c>
      <c r="F275" s="47" t="s">
        <v>1371</v>
      </c>
      <c r="G275" s="47" t="s">
        <v>1372</v>
      </c>
      <c r="H275" s="47" t="s">
        <v>698</v>
      </c>
      <c r="I275" s="47" t="s">
        <v>699</v>
      </c>
      <c r="J275" s="47" t="str">
        <f>=IFERROR(VLOOKUP(H275&amp;I275,Table_Fonctions!A:G,6,FALSE),"")</f>
        <v>0</v>
      </c>
      <c r="K275" s="47" t="s">
        <v>2605</v>
      </c>
      <c r="L275" s="47" t="str">
        <f>=IFERROR(VLOOKUP(H275&amp;I275,Table_Fonctions!A:G,7,FALSE),K275)</f>
        <v/>
      </c>
      <c r="M275" s="47" t="str">
        <f>=IF(OR(LEFT(D275, 3)="TJ ", LEFT(D275, 4)="CPH "), "OUI", "NON")</f>
        <v/>
      </c>
      <c r="N275" s="47" t="s">
        <v>1071</v>
      </c>
      <c r="O275" s="47"/>
      <c r="P275" s="47">
        <v>1</v>
      </c>
      <c r="Q275" s="47">
        <v>1</v>
      </c>
      <c r="R275" s="47">
        <v>0</v>
      </c>
      <c r="S275" s="47">
        <f>=ROUND(BQ275-(BR275+BS275),3)</f>
      </c>
      <c r="T275" s="47">
        <f>=ROUND(CK275-(CL275+CM275+CN275+CO275+CP275),3)</f>
      </c>
      <c r="U275" s="47">
        <v>0</v>
      </c>
      <c r="V275" s="47">
        <v>0</v>
      </c>
      <c r="W275" s="47">
        <v>0</v>
      </c>
      <c r="X275" s="47">
        <v>0</v>
      </c>
      <c r="Y275" s="47">
        <v>0</v>
      </c>
      <c r="Z275" s="47">
        <v>0</v>
      </c>
      <c r="AA275" s="47">
        <v>0</v>
      </c>
      <c r="AB275" s="47">
        <v>0</v>
      </c>
      <c r="AC275" s="47">
        <v>0</v>
      </c>
      <c r="AD275" s="47">
        <v>0</v>
      </c>
      <c r="AE275" s="47">
        <v>0</v>
      </c>
      <c r="AF275" s="47">
        <v>0</v>
      </c>
      <c r="AG275" s="47">
        <v>0</v>
      </c>
      <c r="AH275" s="47">
        <v>0</v>
      </c>
      <c r="AI275" s="47">
        <v>0</v>
      </c>
      <c r="AJ275" s="47">
        <v>0</v>
      </c>
      <c r="AK275" s="47">
        <v>0</v>
      </c>
      <c r="AL275" s="47">
        <v>0</v>
      </c>
      <c r="AM275" s="47">
        <v>0</v>
      </c>
      <c r="AN275" s="47">
        <v>0</v>
      </c>
      <c r="AO275" s="47">
        <v>0</v>
      </c>
      <c r="AP275" s="47">
        <v>0</v>
      </c>
      <c r="AQ275" s="47">
        <v>0</v>
      </c>
      <c r="AR275" s="47">
        <v>0</v>
      </c>
      <c r="AS275" s="47">
        <v>0</v>
      </c>
      <c r="AT275" s="47">
        <v>0</v>
      </c>
      <c r="AU275" s="47">
        <v>0</v>
      </c>
      <c r="AV275" s="47">
        <v>0</v>
      </c>
      <c r="AW275" s="47">
        <v>0</v>
      </c>
      <c r="AX275" s="47">
        <v>0</v>
      </c>
      <c r="AY275" s="47">
        <v>0</v>
      </c>
      <c r="AZ275" s="47">
        <v>0</v>
      </c>
      <c r="BA275" s="47">
        <v>0</v>
      </c>
      <c r="BB275" s="47">
        <v>0</v>
      </c>
      <c r="BC275" s="47">
        <v>0</v>
      </c>
      <c r="BD275" s="47">
        <v>0</v>
      </c>
      <c r="BE275" s="47">
        <v>0</v>
      </c>
      <c r="BF275" s="47">
        <v>0</v>
      </c>
      <c r="BG275" s="47">
        <v>0</v>
      </c>
      <c r="BH275" s="47">
        <v>0</v>
      </c>
      <c r="BI275" s="47">
        <v>0</v>
      </c>
      <c r="BJ275" s="47">
        <v>0</v>
      </c>
      <c r="BK275" s="47">
        <v>0</v>
      </c>
      <c r="BL275" s="47">
        <v>0</v>
      </c>
      <c r="BM275" s="47">
        <v>0</v>
      </c>
      <c r="BN275" s="47">
        <v>0</v>
      </c>
      <c r="BO275" s="47">
        <v>0</v>
      </c>
      <c r="BP275" s="47">
        <v>0</v>
      </c>
      <c r="BQ275" s="47">
        <v>0</v>
      </c>
      <c r="BR275" s="47">
        <v>0</v>
      </c>
      <c r="BS275" s="47">
        <v>0</v>
      </c>
      <c r="BT275" s="47">
        <v>1</v>
      </c>
      <c r="BU275" s="47">
        <v>0</v>
      </c>
      <c r="BV275" s="47">
        <v>0</v>
      </c>
      <c r="BW275" s="47">
        <v>0</v>
      </c>
      <c r="BX275" s="47">
        <v>0</v>
      </c>
      <c r="BY275" s="47">
        <v>0</v>
      </c>
      <c r="BZ275" s="47">
        <v>0</v>
      </c>
      <c r="CA275" s="47">
        <v>0.8</v>
      </c>
      <c r="CB275" s="47">
        <v>0</v>
      </c>
      <c r="CC275" s="47">
        <v>0</v>
      </c>
      <c r="CD275" s="47">
        <v>0</v>
      </c>
      <c r="CE275" s="47">
        <v>0</v>
      </c>
      <c r="CF275" s="47">
        <v>0</v>
      </c>
      <c r="CG275" s="47">
        <v>0</v>
      </c>
      <c r="CH275" s="47">
        <v>0.2</v>
      </c>
      <c r="CI275" s="47">
        <v>0</v>
      </c>
      <c r="CJ275" s="47">
        <v>0</v>
      </c>
      <c r="CK275" s="47">
        <v>0</v>
      </c>
      <c r="CL275" s="47">
        <v>0</v>
      </c>
      <c r="CM275" s="47">
        <v>0</v>
      </c>
      <c r="CN275" s="47">
        <v>0</v>
      </c>
      <c r="CO275" s="47">
        <v>0</v>
      </c>
      <c r="CP275" s="47">
        <v>0</v>
      </c>
      <c r="CQ275" s="47">
        <v>0</v>
      </c>
      <c r="CR275" s="47">
        <v>0</v>
      </c>
      <c r="CS275" s="47">
        <v>0</v>
      </c>
      <c r="CT275" s="47">
        <v>0</v>
      </c>
      <c r="CU275" s="47">
        <v>0</v>
      </c>
      <c r="CV275" s="47">
        <v>0</v>
      </c>
      <c r="CW275" s="47">
        <v>0</v>
      </c>
      <c r="CX275" s="47">
        <v>0</v>
      </c>
      <c r="CY275" s="47">
        <v>0</v>
      </c>
      <c r="CZ275" s="47">
        <v>0</v>
      </c>
      <c r="DA275" s="47">
        <v>0</v>
      </c>
      <c r="DB275" s="47">
        <v>0</v>
      </c>
      <c r="DC275" s="47">
        <v>0</v>
      </c>
      <c r="DD275" s="47">
        <v>0</v>
      </c>
      <c r="DE275" s="47">
        <v>0</v>
      </c>
      <c r="DF275" s="47">
        <v>0</v>
      </c>
      <c r="DG275" s="47">
        <v>0</v>
      </c>
      <c r="DH275" s="47">
        <v>0</v>
      </c>
      <c r="DI275" s="47">
        <v>0</v>
      </c>
      <c r="DJ275" s="47">
        <v>0</v>
      </c>
      <c r="DK275" s="47">
        <v>0</v>
      </c>
      <c r="DL275" s="47">
        <v>0</v>
      </c>
      <c r="DM275" s="47">
        <v>0</v>
      </c>
      <c r="DN275" s="47">
        <v>0</v>
      </c>
      <c r="DO275" s="47">
        <v>0</v>
      </c>
      <c r="DP275" s="47">
        <v>0</v>
      </c>
      <c r="DQ275" s="47">
        <v>0</v>
      </c>
      <c r="DR275" s="47">
        <v>0</v>
      </c>
      <c r="DS275" s="47">
        <v>0</v>
      </c>
      <c r="DT275" s="47">
        <v>0</v>
      </c>
      <c r="DU275" s="47">
        <v>0</v>
      </c>
      <c r="DV275" s="47">
        <v>0</v>
      </c>
      <c r="DW275" s="47">
        <v>0</v>
      </c>
      <c r="DX275" s="47">
        <v>0</v>
      </c>
      <c r="DY275" s="47">
        <v>0</v>
      </c>
      <c r="DZ275" s="47">
        <v>0</v>
      </c>
      <c r="EA275" s="47">
        <v>0</v>
      </c>
      <c r="EB275" s="47"/>
      <c r="EC275" s="47">
        <v>1</v>
      </c>
      <c r="ZZ275" t="s">
        <v>2472</v>
      </c>
    </row>
    <row r="276" spans="1:702" x14ac:dyDescent="0.25">
      <c r="A276" s="47" t="s">
        <v>1373</v>
      </c>
      <c r="B276" s="47" t="s">
        <v>153</v>
      </c>
      <c r="C276" s="47" t="s">
        <v>157</v>
      </c>
      <c r="D276" s="47" t="s">
        <v>2757</v>
      </c>
      <c r="E276" s="47" t="s">
        <v>1374</v>
      </c>
      <c r="F276" s="47" t="s">
        <v>1375</v>
      </c>
      <c r="G276" s="47" t="s">
        <v>1376</v>
      </c>
      <c r="H276" s="47" t="s">
        <v>698</v>
      </c>
      <c r="I276" s="47" t="s">
        <v>711</v>
      </c>
      <c r="J276" s="47" t="str">
        <f>=IFERROR(VLOOKUP(H276&amp;I276,Table_Fonctions!A:G,6,FALSE),"")</f>
        <v>0</v>
      </c>
      <c r="K276" s="47" t="s">
        <v>2605</v>
      </c>
      <c r="L276" s="47" t="str">
        <f>=IFERROR(VLOOKUP(H276&amp;I276,Table_Fonctions!A:G,7,FALSE),K276)</f>
        <v/>
      </c>
      <c r="M276" s="47" t="str">
        <f>=IF(OR(LEFT(D276, 3)="TJ ", LEFT(D276, 4)="CPH "), "OUI", "NON")</f>
        <v/>
      </c>
      <c r="N276" s="47" t="s">
        <v>1377</v>
      </c>
      <c r="O276" s="47"/>
      <c r="P276" s="47">
        <v>1</v>
      </c>
      <c r="Q276" s="47">
        <v>1</v>
      </c>
      <c r="R276" s="47">
        <v>0</v>
      </c>
      <c r="S276" s="47">
        <f>=ROUND(BQ276-(BR276+BS276),3)</f>
      </c>
      <c r="T276" s="47">
        <f>=ROUND(CK276-(CL276+CM276+CN276+CO276+CP276),3)</f>
      </c>
      <c r="U276" s="47">
        <v>0</v>
      </c>
      <c r="V276" s="47">
        <v>0</v>
      </c>
      <c r="W276" s="47">
        <v>0</v>
      </c>
      <c r="X276" s="47">
        <v>0</v>
      </c>
      <c r="Y276" s="47">
        <v>0</v>
      </c>
      <c r="Z276" s="47">
        <v>0</v>
      </c>
      <c r="AA276" s="47">
        <v>0</v>
      </c>
      <c r="AB276" s="47">
        <v>0</v>
      </c>
      <c r="AC276" s="47">
        <v>0</v>
      </c>
      <c r="AD276" s="47">
        <v>0</v>
      </c>
      <c r="AE276" s="47">
        <v>0</v>
      </c>
      <c r="AF276" s="47">
        <v>0</v>
      </c>
      <c r="AG276" s="47">
        <v>0</v>
      </c>
      <c r="AH276" s="47">
        <v>0</v>
      </c>
      <c r="AI276" s="47">
        <v>0</v>
      </c>
      <c r="AJ276" s="47">
        <v>0</v>
      </c>
      <c r="AK276" s="47">
        <v>0</v>
      </c>
      <c r="AL276" s="47">
        <v>0</v>
      </c>
      <c r="AM276" s="47">
        <v>0</v>
      </c>
      <c r="AN276" s="47">
        <v>0</v>
      </c>
      <c r="AO276" s="47">
        <v>0</v>
      </c>
      <c r="AP276" s="47">
        <v>0</v>
      </c>
      <c r="AQ276" s="47">
        <v>0</v>
      </c>
      <c r="AR276" s="47">
        <v>0</v>
      </c>
      <c r="AS276" s="47">
        <v>1</v>
      </c>
      <c r="AT276" s="47">
        <v>0.2</v>
      </c>
      <c r="AU276" s="47">
        <v>0.8</v>
      </c>
      <c r="AV276" s="47">
        <v>0</v>
      </c>
      <c r="AW276" s="47">
        <v>0</v>
      </c>
      <c r="AX276" s="47">
        <v>0</v>
      </c>
      <c r="AY276" s="47">
        <v>0</v>
      </c>
      <c r="AZ276" s="47">
        <v>0</v>
      </c>
      <c r="BA276" s="47">
        <v>0</v>
      </c>
      <c r="BB276" s="47">
        <v>0</v>
      </c>
      <c r="BC276" s="47">
        <v>0</v>
      </c>
      <c r="BD276" s="47">
        <v>0</v>
      </c>
      <c r="BE276" s="47">
        <v>0</v>
      </c>
      <c r="BF276" s="47">
        <v>0</v>
      </c>
      <c r="BG276" s="47">
        <v>0</v>
      </c>
      <c r="BH276" s="47">
        <v>0</v>
      </c>
      <c r="BI276" s="47">
        <v>0</v>
      </c>
      <c r="BJ276" s="47">
        <v>0</v>
      </c>
      <c r="BK276" s="47">
        <v>0</v>
      </c>
      <c r="BL276" s="47">
        <v>0</v>
      </c>
      <c r="BM276" s="47">
        <v>0</v>
      </c>
      <c r="BN276" s="47">
        <v>0</v>
      </c>
      <c r="BO276" s="47">
        <v>0</v>
      </c>
      <c r="BP276" s="47">
        <v>0</v>
      </c>
      <c r="BQ276" s="47">
        <v>0</v>
      </c>
      <c r="BR276" s="47">
        <v>0</v>
      </c>
      <c r="BS276" s="47">
        <v>0</v>
      </c>
      <c r="BT276" s="47">
        <v>0</v>
      </c>
      <c r="BU276" s="47">
        <v>0</v>
      </c>
      <c r="BV276" s="47">
        <v>0</v>
      </c>
      <c r="BW276" s="47">
        <v>0</v>
      </c>
      <c r="BX276" s="47">
        <v>0</v>
      </c>
      <c r="BY276" s="47">
        <v>0</v>
      </c>
      <c r="BZ276" s="47">
        <v>0</v>
      </c>
      <c r="CA276" s="47">
        <v>0</v>
      </c>
      <c r="CB276" s="47">
        <v>0</v>
      </c>
      <c r="CC276" s="47">
        <v>0</v>
      </c>
      <c r="CD276" s="47">
        <v>0</v>
      </c>
      <c r="CE276" s="47">
        <v>0</v>
      </c>
      <c r="CF276" s="47">
        <v>0</v>
      </c>
      <c r="CG276" s="47">
        <v>0</v>
      </c>
      <c r="CH276" s="47">
        <v>0</v>
      </c>
      <c r="CI276" s="47">
        <v>0</v>
      </c>
      <c r="CJ276" s="47">
        <v>0</v>
      </c>
      <c r="CK276" s="47">
        <v>0</v>
      </c>
      <c r="CL276" s="47">
        <v>0</v>
      </c>
      <c r="CM276" s="47">
        <v>0</v>
      </c>
      <c r="CN276" s="47">
        <v>0</v>
      </c>
      <c r="CO276" s="47">
        <v>0</v>
      </c>
      <c r="CP276" s="47">
        <v>0</v>
      </c>
      <c r="CQ276" s="47">
        <v>0</v>
      </c>
      <c r="CR276" s="47">
        <v>0</v>
      </c>
      <c r="CS276" s="47">
        <v>0</v>
      </c>
      <c r="CT276" s="47">
        <v>0</v>
      </c>
      <c r="CU276" s="47">
        <v>0</v>
      </c>
      <c r="CV276" s="47">
        <v>0</v>
      </c>
      <c r="CW276" s="47">
        <v>0</v>
      </c>
      <c r="CX276" s="47">
        <v>0</v>
      </c>
      <c r="CY276" s="47">
        <v>0</v>
      </c>
      <c r="CZ276" s="47">
        <v>0</v>
      </c>
      <c r="DA276" s="47">
        <v>0</v>
      </c>
      <c r="DB276" s="47">
        <v>0</v>
      </c>
      <c r="DC276" s="47">
        <v>0</v>
      </c>
      <c r="DD276" s="47">
        <v>0</v>
      </c>
      <c r="DE276" s="47">
        <v>0</v>
      </c>
      <c r="DF276" s="47">
        <v>0</v>
      </c>
      <c r="DG276" s="47">
        <v>0</v>
      </c>
      <c r="DH276" s="47">
        <v>0</v>
      </c>
      <c r="DI276" s="47">
        <v>0</v>
      </c>
      <c r="DJ276" s="47">
        <v>0</v>
      </c>
      <c r="DK276" s="47">
        <v>0</v>
      </c>
      <c r="DL276" s="47">
        <v>0</v>
      </c>
      <c r="DM276" s="47">
        <v>0</v>
      </c>
      <c r="DN276" s="47">
        <v>0</v>
      </c>
      <c r="DO276" s="47">
        <v>0</v>
      </c>
      <c r="DP276" s="47">
        <v>0</v>
      </c>
      <c r="DQ276" s="47">
        <v>0</v>
      </c>
      <c r="DR276" s="47">
        <v>0</v>
      </c>
      <c r="DS276" s="47">
        <v>0</v>
      </c>
      <c r="DT276" s="47">
        <v>0</v>
      </c>
      <c r="DU276" s="47">
        <v>0</v>
      </c>
      <c r="DV276" s="47">
        <v>0</v>
      </c>
      <c r="DW276" s="47">
        <v>0</v>
      </c>
      <c r="DX276" s="47">
        <v>0</v>
      </c>
      <c r="DY276" s="47">
        <v>0</v>
      </c>
      <c r="DZ276" s="47">
        <v>0</v>
      </c>
      <c r="EA276" s="47">
        <v>0</v>
      </c>
      <c r="EB276" s="47"/>
      <c r="EC276" s="47">
        <v>1</v>
      </c>
      <c r="ZZ276" t="s">
        <v>2472</v>
      </c>
    </row>
    <row r="277" spans="1:702" x14ac:dyDescent="0.25">
      <c r="A277" s="47" t="s">
        <v>1378</v>
      </c>
      <c r="B277" s="47" t="s">
        <v>153</v>
      </c>
      <c r="C277" s="47" t="s">
        <v>157</v>
      </c>
      <c r="D277" s="47" t="s">
        <v>2758</v>
      </c>
      <c r="E277" s="47" t="s">
        <v>1379</v>
      </c>
      <c r="F277" s="47" t="s">
        <v>1380</v>
      </c>
      <c r="G277" s="47" t="s">
        <v>1381</v>
      </c>
      <c r="H277" s="47" t="s">
        <v>698</v>
      </c>
      <c r="I277" s="47" t="s">
        <v>727</v>
      </c>
      <c r="J277" s="47" t="str">
        <f>=IFERROR(VLOOKUP(H277&amp;I277,Table_Fonctions!A:G,6,FALSE),"")</f>
        <v>0</v>
      </c>
      <c r="K277" s="47" t="s">
        <v>2607</v>
      </c>
      <c r="L277" s="47" t="str">
        <f>=IFERROR(VLOOKUP(H277&amp;I277,Table_Fonctions!A:G,7,FALSE),K277)</f>
        <v/>
      </c>
      <c r="M277" s="47" t="str">
        <f>=IF(OR(LEFT(D277, 3)="TJ ", LEFT(D277, 4)="CPH "), "OUI", "NON")</f>
        <v/>
      </c>
      <c r="N277" s="47" t="s">
        <v>1013</v>
      </c>
      <c r="O277" s="47"/>
      <c r="P277" s="47">
        <v>1</v>
      </c>
      <c r="Q277" s="47">
        <v>0</v>
      </c>
      <c r="R277" s="47">
        <v>1</v>
      </c>
      <c r="S277" s="47">
        <f>=ROUND(BQ277-(BR277+BS277),3)</f>
      </c>
      <c r="T277" s="47">
        <f>=ROUND(CK277-(CL277+CM277+CN277+CO277+CP277),3)</f>
      </c>
      <c r="U277" s="47">
        <v>0</v>
      </c>
      <c r="V277" s="47">
        <v>0</v>
      </c>
      <c r="W277" s="47">
        <v>0</v>
      </c>
      <c r="X277" s="47">
        <v>0</v>
      </c>
      <c r="Y277" s="47">
        <v>0</v>
      </c>
      <c r="Z277" s="47">
        <v>0</v>
      </c>
      <c r="AA277" s="47">
        <v>0</v>
      </c>
      <c r="AB277" s="47">
        <v>0</v>
      </c>
      <c r="AC277" s="47">
        <v>0</v>
      </c>
      <c r="AD277" s="47">
        <v>0</v>
      </c>
      <c r="AE277" s="47">
        <v>0</v>
      </c>
      <c r="AF277" s="47">
        <v>0</v>
      </c>
      <c r="AG277" s="47">
        <v>0</v>
      </c>
      <c r="AH277" s="47">
        <v>0</v>
      </c>
      <c r="AI277" s="47">
        <v>0</v>
      </c>
      <c r="AJ277" s="47">
        <v>0</v>
      </c>
      <c r="AK277" s="47">
        <v>0</v>
      </c>
      <c r="AL277" s="47">
        <v>0</v>
      </c>
      <c r="AM277" s="47">
        <v>0</v>
      </c>
      <c r="AN277" s="47">
        <v>0</v>
      </c>
      <c r="AO277" s="47">
        <v>0</v>
      </c>
      <c r="AP277" s="47">
        <v>0</v>
      </c>
      <c r="AQ277" s="47">
        <v>0</v>
      </c>
      <c r="AR277" s="47">
        <v>0</v>
      </c>
      <c r="AS277" s="47">
        <v>0</v>
      </c>
      <c r="AT277" s="47">
        <v>0</v>
      </c>
      <c r="AU277" s="47">
        <v>0</v>
      </c>
      <c r="AV277" s="47">
        <v>0</v>
      </c>
      <c r="AW277" s="47">
        <v>0</v>
      </c>
      <c r="AX277" s="47">
        <v>0</v>
      </c>
      <c r="AY277" s="47">
        <v>0</v>
      </c>
      <c r="AZ277" s="47">
        <v>0</v>
      </c>
      <c r="BA277" s="47">
        <v>0</v>
      </c>
      <c r="BB277" s="47">
        <v>0</v>
      </c>
      <c r="BC277" s="47">
        <v>0</v>
      </c>
      <c r="BD277" s="47">
        <v>0</v>
      </c>
      <c r="BE277" s="47">
        <v>0</v>
      </c>
      <c r="BF277" s="47">
        <v>0</v>
      </c>
      <c r="BG277" s="47">
        <v>0</v>
      </c>
      <c r="BH277" s="47">
        <v>0</v>
      </c>
      <c r="BI277" s="47">
        <v>0</v>
      </c>
      <c r="BJ277" s="47">
        <v>0</v>
      </c>
      <c r="BK277" s="47">
        <v>0</v>
      </c>
      <c r="BL277" s="47">
        <v>0</v>
      </c>
      <c r="BM277" s="47">
        <v>0</v>
      </c>
      <c r="BN277" s="47">
        <v>0</v>
      </c>
      <c r="BO277" s="47">
        <v>0</v>
      </c>
      <c r="BP277" s="47">
        <v>0</v>
      </c>
      <c r="BQ277" s="47">
        <v>0</v>
      </c>
      <c r="BR277" s="47">
        <v>0</v>
      </c>
      <c r="BS277" s="47">
        <v>0</v>
      </c>
      <c r="BT277" s="47">
        <v>0</v>
      </c>
      <c r="BU277" s="47">
        <v>0</v>
      </c>
      <c r="BV277" s="47">
        <v>0</v>
      </c>
      <c r="BW277" s="47">
        <v>0</v>
      </c>
      <c r="BX277" s="47">
        <v>0</v>
      </c>
      <c r="BY277" s="47">
        <v>0</v>
      </c>
      <c r="BZ277" s="47">
        <v>0</v>
      </c>
      <c r="CA277" s="47">
        <v>0</v>
      </c>
      <c r="CB277" s="47">
        <v>0</v>
      </c>
      <c r="CC277" s="47">
        <v>0</v>
      </c>
      <c r="CD277" s="47">
        <v>0</v>
      </c>
      <c r="CE277" s="47">
        <v>0</v>
      </c>
      <c r="CF277" s="47">
        <v>0</v>
      </c>
      <c r="CG277" s="47">
        <v>0</v>
      </c>
      <c r="CH277" s="47">
        <v>0</v>
      </c>
      <c r="CI277" s="47">
        <v>0</v>
      </c>
      <c r="CJ277" s="47">
        <v>0</v>
      </c>
      <c r="CK277" s="47">
        <v>0</v>
      </c>
      <c r="CL277" s="47">
        <v>0</v>
      </c>
      <c r="CM277" s="47">
        <v>0</v>
      </c>
      <c r="CN277" s="47">
        <v>0</v>
      </c>
      <c r="CO277" s="47">
        <v>0</v>
      </c>
      <c r="CP277" s="47">
        <v>0</v>
      </c>
      <c r="CQ277" s="47">
        <v>0</v>
      </c>
      <c r="CR277" s="47">
        <v>0</v>
      </c>
      <c r="CS277" s="47">
        <v>0</v>
      </c>
      <c r="CT277" s="47">
        <v>0</v>
      </c>
      <c r="CU277" s="47">
        <v>0</v>
      </c>
      <c r="CV277" s="47">
        <v>0</v>
      </c>
      <c r="CW277" s="47">
        <v>0</v>
      </c>
      <c r="CX277" s="47">
        <v>0</v>
      </c>
      <c r="CY277" s="47">
        <v>0</v>
      </c>
      <c r="CZ277" s="47">
        <v>0</v>
      </c>
      <c r="DA277" s="47">
        <v>0</v>
      </c>
      <c r="DB277" s="47">
        <v>0</v>
      </c>
      <c r="DC277" s="47">
        <v>0</v>
      </c>
      <c r="DD277" s="47">
        <v>0</v>
      </c>
      <c r="DE277" s="47">
        <v>0</v>
      </c>
      <c r="DF277" s="47">
        <v>0</v>
      </c>
      <c r="DG277" s="47">
        <v>0</v>
      </c>
      <c r="DH277" s="47">
        <v>0</v>
      </c>
      <c r="DI277" s="47">
        <v>0</v>
      </c>
      <c r="DJ277" s="47">
        <v>0</v>
      </c>
      <c r="DK277" s="47">
        <v>0</v>
      </c>
      <c r="DL277" s="47">
        <v>0</v>
      </c>
      <c r="DM277" s="47">
        <v>0</v>
      </c>
      <c r="DN277" s="47">
        <v>0</v>
      </c>
      <c r="DO277" s="47">
        <v>0</v>
      </c>
      <c r="DP277" s="47">
        <v>0</v>
      </c>
      <c r="DQ277" s="47">
        <v>0</v>
      </c>
      <c r="DR277" s="47">
        <v>0</v>
      </c>
      <c r="DS277" s="47">
        <v>0</v>
      </c>
      <c r="DT277" s="47">
        <v>0</v>
      </c>
      <c r="DU277" s="47">
        <v>0</v>
      </c>
      <c r="DV277" s="47">
        <v>0</v>
      </c>
      <c r="DW277" s="47">
        <v>0</v>
      </c>
      <c r="DX277" s="47">
        <v>0</v>
      </c>
      <c r="DY277" s="47">
        <v>0</v>
      </c>
      <c r="DZ277" s="47">
        <v>0</v>
      </c>
      <c r="EA277" s="47">
        <v>0</v>
      </c>
      <c r="EB277" s="47"/>
      <c r="EC277" s="47">
        <v>1</v>
      </c>
      <c r="ZZ277" t="s">
        <v>2472</v>
      </c>
    </row>
    <row r="278" spans="1:702" x14ac:dyDescent="0.25">
      <c r="A278" s="47" t="s">
        <v>1382</v>
      </c>
      <c r="B278" s="47" t="s">
        <v>153</v>
      </c>
      <c r="C278" s="47" t="s">
        <v>157</v>
      </c>
      <c r="D278" s="47" t="s">
        <v>2759</v>
      </c>
      <c r="E278" s="47" t="s">
        <v>1383</v>
      </c>
      <c r="F278" s="47" t="s">
        <v>1384</v>
      </c>
      <c r="G278" s="47" t="s">
        <v>1385</v>
      </c>
      <c r="H278" s="47" t="s">
        <v>698</v>
      </c>
      <c r="I278" s="47" t="s">
        <v>727</v>
      </c>
      <c r="J278" s="47" t="str">
        <f>=IFERROR(VLOOKUP(H278&amp;I278,Table_Fonctions!A:G,6,FALSE),"")</f>
        <v>0</v>
      </c>
      <c r="K278" s="47" t="s">
        <v>2607</v>
      </c>
      <c r="L278" s="47" t="str">
        <f>=IFERROR(VLOOKUP(H278&amp;I278,Table_Fonctions!A:G,7,FALSE),K278)</f>
        <v/>
      </c>
      <c r="M278" s="47" t="str">
        <f>=IF(OR(LEFT(D278, 3)="TJ ", LEFT(D278, 4)="CPH "), "OUI", "NON")</f>
        <v/>
      </c>
      <c r="N278" s="47" t="s">
        <v>929</v>
      </c>
      <c r="O278" s="47"/>
      <c r="P278" s="47">
        <v>1</v>
      </c>
      <c r="Q278" s="47">
        <v>1</v>
      </c>
      <c r="R278" s="47">
        <v>0</v>
      </c>
      <c r="S278" s="47">
        <f>=ROUND(BQ278-(BR278+BS278),3)</f>
      </c>
      <c r="T278" s="47">
        <f>=ROUND(CK278-(CL278+CM278+CN278+CO278+CP278),3)</f>
      </c>
      <c r="U278" s="47">
        <v>0</v>
      </c>
      <c r="V278" s="47">
        <v>0</v>
      </c>
      <c r="W278" s="47">
        <v>0</v>
      </c>
      <c r="X278" s="47">
        <v>0</v>
      </c>
      <c r="Y278" s="47">
        <v>0</v>
      </c>
      <c r="Z278" s="47">
        <v>0</v>
      </c>
      <c r="AA278" s="47">
        <v>0</v>
      </c>
      <c r="AB278" s="47">
        <v>0</v>
      </c>
      <c r="AC278" s="47">
        <v>0</v>
      </c>
      <c r="AD278" s="47">
        <v>0</v>
      </c>
      <c r="AE278" s="47">
        <v>0</v>
      </c>
      <c r="AF278" s="47">
        <v>0</v>
      </c>
      <c r="AG278" s="47">
        <v>0</v>
      </c>
      <c r="AH278" s="47">
        <v>0</v>
      </c>
      <c r="AI278" s="47">
        <v>0</v>
      </c>
      <c r="AJ278" s="47">
        <v>0</v>
      </c>
      <c r="AK278" s="47">
        <v>0</v>
      </c>
      <c r="AL278" s="47">
        <v>0</v>
      </c>
      <c r="AM278" s="47">
        <v>0</v>
      </c>
      <c r="AN278" s="47">
        <v>0</v>
      </c>
      <c r="AO278" s="47">
        <v>0</v>
      </c>
      <c r="AP278" s="47">
        <v>0</v>
      </c>
      <c r="AQ278" s="47">
        <v>0</v>
      </c>
      <c r="AR278" s="47">
        <v>0</v>
      </c>
      <c r="AS278" s="47">
        <v>1</v>
      </c>
      <c r="AT278" s="47">
        <v>0</v>
      </c>
      <c r="AU278" s="47">
        <v>0</v>
      </c>
      <c r="AV278" s="47">
        <v>0</v>
      </c>
      <c r="AW278" s="47">
        <v>0</v>
      </c>
      <c r="AX278" s="47">
        <v>0</v>
      </c>
      <c r="AY278" s="47">
        <v>0</v>
      </c>
      <c r="AZ278" s="47">
        <v>0</v>
      </c>
      <c r="BA278" s="47">
        <v>0</v>
      </c>
      <c r="BB278" s="47">
        <v>0</v>
      </c>
      <c r="BC278" s="47">
        <v>0</v>
      </c>
      <c r="BD278" s="47">
        <v>0</v>
      </c>
      <c r="BE278" s="47">
        <v>0</v>
      </c>
      <c r="BF278" s="47">
        <v>0</v>
      </c>
      <c r="BG278" s="47">
        <v>0</v>
      </c>
      <c r="BH278" s="47">
        <v>0</v>
      </c>
      <c r="BI278" s="47">
        <v>0</v>
      </c>
      <c r="BJ278" s="47">
        <v>0</v>
      </c>
      <c r="BK278" s="47">
        <v>0</v>
      </c>
      <c r="BL278" s="47">
        <v>0</v>
      </c>
      <c r="BM278" s="47">
        <v>0</v>
      </c>
      <c r="BN278" s="47">
        <v>0</v>
      </c>
      <c r="BO278" s="47">
        <v>0</v>
      </c>
      <c r="BP278" s="47">
        <v>0</v>
      </c>
      <c r="BQ278" s="47">
        <v>0</v>
      </c>
      <c r="BR278" s="47">
        <v>0</v>
      </c>
      <c r="BS278" s="47">
        <v>0</v>
      </c>
      <c r="BT278" s="47">
        <v>0</v>
      </c>
      <c r="BU278" s="47">
        <v>0</v>
      </c>
      <c r="BV278" s="47">
        <v>0</v>
      </c>
      <c r="BW278" s="47">
        <v>0</v>
      </c>
      <c r="BX278" s="47">
        <v>0</v>
      </c>
      <c r="BY278" s="47">
        <v>0</v>
      </c>
      <c r="BZ278" s="47">
        <v>0</v>
      </c>
      <c r="CA278" s="47">
        <v>0</v>
      </c>
      <c r="CB278" s="47">
        <v>0</v>
      </c>
      <c r="CC278" s="47">
        <v>0</v>
      </c>
      <c r="CD278" s="47">
        <v>0</v>
      </c>
      <c r="CE278" s="47">
        <v>0</v>
      </c>
      <c r="CF278" s="47">
        <v>0</v>
      </c>
      <c r="CG278" s="47">
        <v>0</v>
      </c>
      <c r="CH278" s="47">
        <v>0</v>
      </c>
      <c r="CI278" s="47">
        <v>0</v>
      </c>
      <c r="CJ278" s="47">
        <v>0</v>
      </c>
      <c r="CK278" s="47">
        <v>0</v>
      </c>
      <c r="CL278" s="47">
        <v>0</v>
      </c>
      <c r="CM278" s="47">
        <v>0</v>
      </c>
      <c r="CN278" s="47">
        <v>0</v>
      </c>
      <c r="CO278" s="47">
        <v>0</v>
      </c>
      <c r="CP278" s="47">
        <v>0</v>
      </c>
      <c r="CQ278" s="47">
        <v>0</v>
      </c>
      <c r="CR278" s="47">
        <v>0</v>
      </c>
      <c r="CS278" s="47">
        <v>0</v>
      </c>
      <c r="CT278" s="47">
        <v>0</v>
      </c>
      <c r="CU278" s="47">
        <v>0</v>
      </c>
      <c r="CV278" s="47">
        <v>0</v>
      </c>
      <c r="CW278" s="47">
        <v>0</v>
      </c>
      <c r="CX278" s="47">
        <v>0</v>
      </c>
      <c r="CY278" s="47">
        <v>0</v>
      </c>
      <c r="CZ278" s="47">
        <v>0</v>
      </c>
      <c r="DA278" s="47">
        <v>0</v>
      </c>
      <c r="DB278" s="47">
        <v>0</v>
      </c>
      <c r="DC278" s="47">
        <v>0</v>
      </c>
      <c r="DD278" s="47">
        <v>0</v>
      </c>
      <c r="DE278" s="47">
        <v>0</v>
      </c>
      <c r="DF278" s="47">
        <v>0</v>
      </c>
      <c r="DG278" s="47">
        <v>0</v>
      </c>
      <c r="DH278" s="47">
        <v>0</v>
      </c>
      <c r="DI278" s="47">
        <v>0</v>
      </c>
      <c r="DJ278" s="47">
        <v>0</v>
      </c>
      <c r="DK278" s="47">
        <v>0</v>
      </c>
      <c r="DL278" s="47">
        <v>0</v>
      </c>
      <c r="DM278" s="47">
        <v>0</v>
      </c>
      <c r="DN278" s="47">
        <v>0</v>
      </c>
      <c r="DO278" s="47">
        <v>0</v>
      </c>
      <c r="DP278" s="47">
        <v>0</v>
      </c>
      <c r="DQ278" s="47">
        <v>0</v>
      </c>
      <c r="DR278" s="47">
        <v>0</v>
      </c>
      <c r="DS278" s="47">
        <v>0</v>
      </c>
      <c r="DT278" s="47">
        <v>0</v>
      </c>
      <c r="DU278" s="47">
        <v>0</v>
      </c>
      <c r="DV278" s="47">
        <v>0</v>
      </c>
      <c r="DW278" s="47">
        <v>0</v>
      </c>
      <c r="DX278" s="47">
        <v>0</v>
      </c>
      <c r="DY278" s="47">
        <v>0</v>
      </c>
      <c r="DZ278" s="47">
        <v>0</v>
      </c>
      <c r="EA278" s="47">
        <v>0</v>
      </c>
      <c r="EB278" s="47"/>
      <c r="EC278" s="47">
        <v>1</v>
      </c>
      <c r="ZZ278" t="s">
        <v>2472</v>
      </c>
    </row>
    <row r="279" spans="1:702" x14ac:dyDescent="0.25">
      <c r="A279" s="47" t="s">
        <v>1386</v>
      </c>
      <c r="B279" s="47" t="s">
        <v>153</v>
      </c>
      <c r="C279" s="47" t="s">
        <v>157</v>
      </c>
      <c r="D279" s="47" t="s">
        <v>2760</v>
      </c>
      <c r="E279" s="47" t="s">
        <v>1387</v>
      </c>
      <c r="F279" s="47" t="s">
        <v>1388</v>
      </c>
      <c r="G279" s="47" t="s">
        <v>1389</v>
      </c>
      <c r="H279" s="47" t="s">
        <v>698</v>
      </c>
      <c r="I279" s="47" t="s">
        <v>705</v>
      </c>
      <c r="J279" s="47" t="str">
        <f>=IFERROR(VLOOKUP(H279&amp;I279,Table_Fonctions!A:G,6,FALSE),"")</f>
        <v>0</v>
      </c>
      <c r="K279" s="47" t="s">
        <v>2607</v>
      </c>
      <c r="L279" s="47" t="str">
        <f>=IFERROR(VLOOKUP(H279&amp;I279,Table_Fonctions!A:G,7,FALSE),K279)</f>
        <v/>
      </c>
      <c r="M279" s="47" t="str">
        <f>=IF(OR(LEFT(D279, 3)="TJ ", LEFT(D279, 4)="CPH "), "OUI", "NON")</f>
        <v/>
      </c>
      <c r="N279" s="47" t="s">
        <v>1390</v>
      </c>
      <c r="O279" s="47"/>
      <c r="P279" s="47">
        <v>1</v>
      </c>
      <c r="Q279" s="47">
        <v>0</v>
      </c>
      <c r="R279" s="47">
        <v>1</v>
      </c>
      <c r="S279" s="47">
        <f>=ROUND(BQ279-(BR279+BS279),3)</f>
      </c>
      <c r="T279" s="47">
        <f>=ROUND(CK279-(CL279+CM279+CN279+CO279+CP279),3)</f>
      </c>
      <c r="U279" s="47">
        <v>0</v>
      </c>
      <c r="V279" s="47">
        <v>0</v>
      </c>
      <c r="W279" s="47">
        <v>0</v>
      </c>
      <c r="X279" s="47">
        <v>0</v>
      </c>
      <c r="Y279" s="47">
        <v>0</v>
      </c>
      <c r="Z279" s="47">
        <v>0</v>
      </c>
      <c r="AA279" s="47">
        <v>0</v>
      </c>
      <c r="AB279" s="47">
        <v>0</v>
      </c>
      <c r="AC279" s="47">
        <v>0</v>
      </c>
      <c r="AD279" s="47">
        <v>0</v>
      </c>
      <c r="AE279" s="47">
        <v>0</v>
      </c>
      <c r="AF279" s="47">
        <v>0</v>
      </c>
      <c r="AG279" s="47">
        <v>0</v>
      </c>
      <c r="AH279" s="47">
        <v>0</v>
      </c>
      <c r="AI279" s="47">
        <v>0</v>
      </c>
      <c r="AJ279" s="47">
        <v>0</v>
      </c>
      <c r="AK279" s="47">
        <v>0</v>
      </c>
      <c r="AL279" s="47">
        <v>0</v>
      </c>
      <c r="AM279" s="47">
        <v>0</v>
      </c>
      <c r="AN279" s="47">
        <v>0</v>
      </c>
      <c r="AO279" s="47">
        <v>0</v>
      </c>
      <c r="AP279" s="47">
        <v>0</v>
      </c>
      <c r="AQ279" s="47">
        <v>0</v>
      </c>
      <c r="AR279" s="47">
        <v>0</v>
      </c>
      <c r="AS279" s="47">
        <v>0</v>
      </c>
      <c r="AT279" s="47">
        <v>0</v>
      </c>
      <c r="AU279" s="47">
        <v>0</v>
      </c>
      <c r="AV279" s="47">
        <v>0</v>
      </c>
      <c r="AW279" s="47">
        <v>0</v>
      </c>
      <c r="AX279" s="47">
        <v>0</v>
      </c>
      <c r="AY279" s="47">
        <v>0</v>
      </c>
      <c r="AZ279" s="47">
        <v>0</v>
      </c>
      <c r="BA279" s="47">
        <v>0</v>
      </c>
      <c r="BB279" s="47">
        <v>0</v>
      </c>
      <c r="BC279" s="47">
        <v>0</v>
      </c>
      <c r="BD279" s="47">
        <v>0</v>
      </c>
      <c r="BE279" s="47">
        <v>0</v>
      </c>
      <c r="BF279" s="47">
        <v>0</v>
      </c>
      <c r="BG279" s="47">
        <v>0</v>
      </c>
      <c r="BH279" s="47">
        <v>0</v>
      </c>
      <c r="BI279" s="47">
        <v>0</v>
      </c>
      <c r="BJ279" s="47">
        <v>0</v>
      </c>
      <c r="BK279" s="47">
        <v>0</v>
      </c>
      <c r="BL279" s="47">
        <v>0</v>
      </c>
      <c r="BM279" s="47">
        <v>0</v>
      </c>
      <c r="BN279" s="47">
        <v>0</v>
      </c>
      <c r="BO279" s="47">
        <v>0</v>
      </c>
      <c r="BP279" s="47">
        <v>0</v>
      </c>
      <c r="BQ279" s="47">
        <v>0</v>
      </c>
      <c r="BR279" s="47">
        <v>0</v>
      </c>
      <c r="BS279" s="47">
        <v>0</v>
      </c>
      <c r="BT279" s="47">
        <v>0</v>
      </c>
      <c r="BU279" s="47">
        <v>0</v>
      </c>
      <c r="BV279" s="47">
        <v>0</v>
      </c>
      <c r="BW279" s="47">
        <v>0</v>
      </c>
      <c r="BX279" s="47">
        <v>0</v>
      </c>
      <c r="BY279" s="47">
        <v>0</v>
      </c>
      <c r="BZ279" s="47">
        <v>0</v>
      </c>
      <c r="CA279" s="47">
        <v>0</v>
      </c>
      <c r="CB279" s="47">
        <v>0</v>
      </c>
      <c r="CC279" s="47">
        <v>0</v>
      </c>
      <c r="CD279" s="47">
        <v>0</v>
      </c>
      <c r="CE279" s="47">
        <v>0</v>
      </c>
      <c r="CF279" s="47">
        <v>0</v>
      </c>
      <c r="CG279" s="47">
        <v>0</v>
      </c>
      <c r="CH279" s="47">
        <v>0</v>
      </c>
      <c r="CI279" s="47">
        <v>0</v>
      </c>
      <c r="CJ279" s="47">
        <v>0</v>
      </c>
      <c r="CK279" s="47">
        <v>0</v>
      </c>
      <c r="CL279" s="47">
        <v>0</v>
      </c>
      <c r="CM279" s="47">
        <v>0</v>
      </c>
      <c r="CN279" s="47">
        <v>0</v>
      </c>
      <c r="CO279" s="47">
        <v>0</v>
      </c>
      <c r="CP279" s="47">
        <v>0</v>
      </c>
      <c r="CQ279" s="47">
        <v>0</v>
      </c>
      <c r="CR279" s="47">
        <v>0</v>
      </c>
      <c r="CS279" s="47">
        <v>0</v>
      </c>
      <c r="CT279" s="47">
        <v>0</v>
      </c>
      <c r="CU279" s="47">
        <v>0</v>
      </c>
      <c r="CV279" s="47">
        <v>0</v>
      </c>
      <c r="CW279" s="47">
        <v>0</v>
      </c>
      <c r="CX279" s="47">
        <v>0</v>
      </c>
      <c r="CY279" s="47">
        <v>0</v>
      </c>
      <c r="CZ279" s="47">
        <v>0</v>
      </c>
      <c r="DA279" s="47">
        <v>0</v>
      </c>
      <c r="DB279" s="47">
        <v>0</v>
      </c>
      <c r="DC279" s="47">
        <v>0</v>
      </c>
      <c r="DD279" s="47">
        <v>0</v>
      </c>
      <c r="DE279" s="47">
        <v>0</v>
      </c>
      <c r="DF279" s="47">
        <v>0</v>
      </c>
      <c r="DG279" s="47">
        <v>0</v>
      </c>
      <c r="DH279" s="47">
        <v>0</v>
      </c>
      <c r="DI279" s="47">
        <v>0</v>
      </c>
      <c r="DJ279" s="47">
        <v>0</v>
      </c>
      <c r="DK279" s="47">
        <v>0</v>
      </c>
      <c r="DL279" s="47">
        <v>0</v>
      </c>
      <c r="DM279" s="47">
        <v>0</v>
      </c>
      <c r="DN279" s="47">
        <v>0</v>
      </c>
      <c r="DO279" s="47">
        <v>0</v>
      </c>
      <c r="DP279" s="47">
        <v>0</v>
      </c>
      <c r="DQ279" s="47">
        <v>0</v>
      </c>
      <c r="DR279" s="47">
        <v>0</v>
      </c>
      <c r="DS279" s="47">
        <v>0</v>
      </c>
      <c r="DT279" s="47">
        <v>0</v>
      </c>
      <c r="DU279" s="47">
        <v>0</v>
      </c>
      <c r="DV279" s="47">
        <v>0</v>
      </c>
      <c r="DW279" s="47">
        <v>0</v>
      </c>
      <c r="DX279" s="47">
        <v>0</v>
      </c>
      <c r="DY279" s="47">
        <v>0</v>
      </c>
      <c r="DZ279" s="47">
        <v>0</v>
      </c>
      <c r="EA279" s="47">
        <v>0</v>
      </c>
      <c r="EB279" s="47"/>
      <c r="EC279" s="47">
        <v>1</v>
      </c>
      <c r="ZZ279" t="s">
        <v>2472</v>
      </c>
    </row>
    <row r="280" spans="1:702" x14ac:dyDescent="0.25">
      <c r="A280" s="47" t="s">
        <v>1391</v>
      </c>
      <c r="B280" s="47" t="s">
        <v>153</v>
      </c>
      <c r="C280" s="47" t="s">
        <v>157</v>
      </c>
      <c r="D280" s="47" t="s">
        <v>2761</v>
      </c>
      <c r="E280" s="47" t="s">
        <v>1392</v>
      </c>
      <c r="F280" s="47" t="s">
        <v>1393</v>
      </c>
      <c r="G280" s="47" t="s">
        <v>1394</v>
      </c>
      <c r="H280" s="47" t="s">
        <v>698</v>
      </c>
      <c r="I280" s="47" t="s">
        <v>705</v>
      </c>
      <c r="J280" s="47" t="str">
        <f>=IFERROR(VLOOKUP(H280&amp;I280,Table_Fonctions!A:G,6,FALSE),"")</f>
        <v>0</v>
      </c>
      <c r="K280" s="47" t="s">
        <v>2607</v>
      </c>
      <c r="L280" s="47" t="str">
        <f>=IFERROR(VLOOKUP(H280&amp;I280,Table_Fonctions!A:G,7,FALSE),K280)</f>
        <v/>
      </c>
      <c r="M280" s="47" t="str">
        <f>=IF(OR(LEFT(D280, 3)="TJ ", LEFT(D280, 4)="CPH "), "OUI", "NON")</f>
        <v/>
      </c>
      <c r="N280" s="47" t="s">
        <v>1085</v>
      </c>
      <c r="O280" s="47"/>
      <c r="P280" s="47">
        <v>1</v>
      </c>
      <c r="Q280" s="47">
        <v>0</v>
      </c>
      <c r="R280" s="47">
        <v>1</v>
      </c>
      <c r="S280" s="47">
        <f>=ROUND(BQ280-(BR280+BS280),3)</f>
      </c>
      <c r="T280" s="47">
        <f>=ROUND(CK280-(CL280+CM280+CN280+CO280+CP280),3)</f>
      </c>
      <c r="U280" s="47">
        <v>0</v>
      </c>
      <c r="V280" s="47">
        <v>0</v>
      </c>
      <c r="W280" s="47">
        <v>0</v>
      </c>
      <c r="X280" s="47">
        <v>0</v>
      </c>
      <c r="Y280" s="47">
        <v>0</v>
      </c>
      <c r="Z280" s="47">
        <v>0</v>
      </c>
      <c r="AA280" s="47">
        <v>0</v>
      </c>
      <c r="AB280" s="47">
        <v>0</v>
      </c>
      <c r="AC280" s="47">
        <v>0</v>
      </c>
      <c r="AD280" s="47">
        <v>0</v>
      </c>
      <c r="AE280" s="47">
        <v>0</v>
      </c>
      <c r="AF280" s="47">
        <v>0</v>
      </c>
      <c r="AG280" s="47">
        <v>0</v>
      </c>
      <c r="AH280" s="47">
        <v>0</v>
      </c>
      <c r="AI280" s="47">
        <v>0</v>
      </c>
      <c r="AJ280" s="47">
        <v>0</v>
      </c>
      <c r="AK280" s="47">
        <v>0</v>
      </c>
      <c r="AL280" s="47">
        <v>0</v>
      </c>
      <c r="AM280" s="47">
        <v>0</v>
      </c>
      <c r="AN280" s="47">
        <v>0</v>
      </c>
      <c r="AO280" s="47">
        <v>0</v>
      </c>
      <c r="AP280" s="47">
        <v>0</v>
      </c>
      <c r="AQ280" s="47">
        <v>0</v>
      </c>
      <c r="AR280" s="47">
        <v>0</v>
      </c>
      <c r="AS280" s="47">
        <v>0</v>
      </c>
      <c r="AT280" s="47">
        <v>0</v>
      </c>
      <c r="AU280" s="47">
        <v>0</v>
      </c>
      <c r="AV280" s="47">
        <v>0</v>
      </c>
      <c r="AW280" s="47">
        <v>0</v>
      </c>
      <c r="AX280" s="47">
        <v>0</v>
      </c>
      <c r="AY280" s="47">
        <v>0</v>
      </c>
      <c r="AZ280" s="47">
        <v>0</v>
      </c>
      <c r="BA280" s="47">
        <v>0</v>
      </c>
      <c r="BB280" s="47">
        <v>0</v>
      </c>
      <c r="BC280" s="47">
        <v>0</v>
      </c>
      <c r="BD280" s="47">
        <v>0</v>
      </c>
      <c r="BE280" s="47">
        <v>0</v>
      </c>
      <c r="BF280" s="47">
        <v>0</v>
      </c>
      <c r="BG280" s="47">
        <v>0</v>
      </c>
      <c r="BH280" s="47">
        <v>0</v>
      </c>
      <c r="BI280" s="47">
        <v>0</v>
      </c>
      <c r="BJ280" s="47">
        <v>0</v>
      </c>
      <c r="BK280" s="47">
        <v>0</v>
      </c>
      <c r="BL280" s="47">
        <v>0</v>
      </c>
      <c r="BM280" s="47">
        <v>0</v>
      </c>
      <c r="BN280" s="47">
        <v>0</v>
      </c>
      <c r="BO280" s="47">
        <v>0</v>
      </c>
      <c r="BP280" s="47">
        <v>0</v>
      </c>
      <c r="BQ280" s="47">
        <v>0</v>
      </c>
      <c r="BR280" s="47">
        <v>0</v>
      </c>
      <c r="BS280" s="47">
        <v>0</v>
      </c>
      <c r="BT280" s="47">
        <v>0</v>
      </c>
      <c r="BU280" s="47">
        <v>0</v>
      </c>
      <c r="BV280" s="47">
        <v>0</v>
      </c>
      <c r="BW280" s="47">
        <v>0</v>
      </c>
      <c r="BX280" s="47">
        <v>0</v>
      </c>
      <c r="BY280" s="47">
        <v>0</v>
      </c>
      <c r="BZ280" s="47">
        <v>0</v>
      </c>
      <c r="CA280" s="47">
        <v>0</v>
      </c>
      <c r="CB280" s="47">
        <v>0</v>
      </c>
      <c r="CC280" s="47">
        <v>0</v>
      </c>
      <c r="CD280" s="47">
        <v>0</v>
      </c>
      <c r="CE280" s="47">
        <v>0</v>
      </c>
      <c r="CF280" s="47">
        <v>0</v>
      </c>
      <c r="CG280" s="47">
        <v>0</v>
      </c>
      <c r="CH280" s="47">
        <v>0</v>
      </c>
      <c r="CI280" s="47">
        <v>0</v>
      </c>
      <c r="CJ280" s="47">
        <v>0</v>
      </c>
      <c r="CK280" s="47">
        <v>0</v>
      </c>
      <c r="CL280" s="47">
        <v>0</v>
      </c>
      <c r="CM280" s="47">
        <v>0</v>
      </c>
      <c r="CN280" s="47">
        <v>0</v>
      </c>
      <c r="CO280" s="47">
        <v>0</v>
      </c>
      <c r="CP280" s="47">
        <v>0</v>
      </c>
      <c r="CQ280" s="47">
        <v>0</v>
      </c>
      <c r="CR280" s="47">
        <v>0</v>
      </c>
      <c r="CS280" s="47">
        <v>0</v>
      </c>
      <c r="CT280" s="47">
        <v>0</v>
      </c>
      <c r="CU280" s="47">
        <v>0</v>
      </c>
      <c r="CV280" s="47">
        <v>0</v>
      </c>
      <c r="CW280" s="47">
        <v>0</v>
      </c>
      <c r="CX280" s="47">
        <v>0</v>
      </c>
      <c r="CY280" s="47">
        <v>0</v>
      </c>
      <c r="CZ280" s="47">
        <v>0</v>
      </c>
      <c r="DA280" s="47">
        <v>0</v>
      </c>
      <c r="DB280" s="47">
        <v>0</v>
      </c>
      <c r="DC280" s="47">
        <v>0</v>
      </c>
      <c r="DD280" s="47">
        <v>0</v>
      </c>
      <c r="DE280" s="47">
        <v>0</v>
      </c>
      <c r="DF280" s="47">
        <v>0</v>
      </c>
      <c r="DG280" s="47">
        <v>0</v>
      </c>
      <c r="DH280" s="47">
        <v>0</v>
      </c>
      <c r="DI280" s="47">
        <v>0</v>
      </c>
      <c r="DJ280" s="47">
        <v>0</v>
      </c>
      <c r="DK280" s="47">
        <v>0</v>
      </c>
      <c r="DL280" s="47">
        <v>0</v>
      </c>
      <c r="DM280" s="47">
        <v>0</v>
      </c>
      <c r="DN280" s="47">
        <v>0</v>
      </c>
      <c r="DO280" s="47">
        <v>0</v>
      </c>
      <c r="DP280" s="47">
        <v>0</v>
      </c>
      <c r="DQ280" s="47">
        <v>0</v>
      </c>
      <c r="DR280" s="47">
        <v>0</v>
      </c>
      <c r="DS280" s="47">
        <v>0</v>
      </c>
      <c r="DT280" s="47">
        <v>0</v>
      </c>
      <c r="DU280" s="47">
        <v>0</v>
      </c>
      <c r="DV280" s="47">
        <v>0</v>
      </c>
      <c r="DW280" s="47">
        <v>0</v>
      </c>
      <c r="DX280" s="47">
        <v>0</v>
      </c>
      <c r="DY280" s="47">
        <v>0</v>
      </c>
      <c r="DZ280" s="47">
        <v>0</v>
      </c>
      <c r="EA280" s="47">
        <v>0</v>
      </c>
      <c r="EB280" s="47"/>
      <c r="EC280" s="47">
        <v>1</v>
      </c>
      <c r="ZZ280" t="s">
        <v>2472</v>
      </c>
    </row>
    <row r="281" spans="1:702" x14ac:dyDescent="0.25">
      <c r="A281" s="47" t="s">
        <v>1395</v>
      </c>
      <c r="B281" s="47" t="s">
        <v>153</v>
      </c>
      <c r="C281" s="47" t="s">
        <v>157</v>
      </c>
      <c r="D281" s="47" t="s">
        <v>2762</v>
      </c>
      <c r="E281" s="47" t="s">
        <v>1396</v>
      </c>
      <c r="F281" s="47" t="s">
        <v>1397</v>
      </c>
      <c r="G281" s="47" t="s">
        <v>1398</v>
      </c>
      <c r="H281" s="47" t="s">
        <v>698</v>
      </c>
      <c r="I281" s="47" t="s">
        <v>2763</v>
      </c>
      <c r="J281" s="47" t="str">
        <f>=IFERROR(VLOOKUP(H281&amp;I281,Table_Fonctions!A:G,6,FALSE),"")</f>
        <v>0</v>
      </c>
      <c r="K281" s="47" t="s">
        <v>2632</v>
      </c>
      <c r="L281" s="47" t="str">
        <f>=IFERROR(VLOOKUP(H281&amp;I281,Table_Fonctions!A:G,7,FALSE),K281)</f>
        <v/>
      </c>
      <c r="M281" s="47" t="str">
        <f>=IF(OR(LEFT(D281, 3)="TJ ", LEFT(D281, 4)="CPH "), "OUI", "NON")</f>
        <v/>
      </c>
      <c r="N281" s="47" t="s">
        <v>1400</v>
      </c>
      <c r="O281" s="47"/>
      <c r="P281" s="47">
        <v>1</v>
      </c>
      <c r="Q281" s="47">
        <v>1</v>
      </c>
      <c r="R281" s="47">
        <v>0</v>
      </c>
      <c r="S281" s="47">
        <f>=ROUND(BQ281-(BR281+BS281),3)</f>
      </c>
      <c r="T281" s="47">
        <f>=ROUND(CK281-(CL281+CM281+CN281+CO281+CP281),3)</f>
      </c>
      <c r="U281" s="47">
        <v>1</v>
      </c>
      <c r="V281" s="47">
        <v>0</v>
      </c>
      <c r="W281" s="47">
        <v>0</v>
      </c>
      <c r="X281" s="47">
        <v>0</v>
      </c>
      <c r="Y281" s="47">
        <v>0</v>
      </c>
      <c r="Z281" s="47">
        <v>0</v>
      </c>
      <c r="AA281" s="47">
        <v>0</v>
      </c>
      <c r="AB281" s="47">
        <v>0</v>
      </c>
      <c r="AC281" s="47">
        <v>0</v>
      </c>
      <c r="AD281" s="47">
        <v>0</v>
      </c>
      <c r="AE281" s="47">
        <v>0</v>
      </c>
      <c r="AF281" s="47">
        <v>0</v>
      </c>
      <c r="AG281" s="47">
        <v>0</v>
      </c>
      <c r="AH281" s="47">
        <v>0</v>
      </c>
      <c r="AI281" s="47">
        <v>0</v>
      </c>
      <c r="AJ281" s="47">
        <v>0</v>
      </c>
      <c r="AK281" s="47">
        <v>0</v>
      </c>
      <c r="AL281" s="47">
        <v>0</v>
      </c>
      <c r="AM281" s="47">
        <v>0</v>
      </c>
      <c r="AN281" s="47">
        <v>0</v>
      </c>
      <c r="AO281" s="47">
        <v>0</v>
      </c>
      <c r="AP281" s="47">
        <v>0</v>
      </c>
      <c r="AQ281" s="47">
        <v>0</v>
      </c>
      <c r="AR281" s="47">
        <v>0</v>
      </c>
      <c r="AS281" s="47">
        <v>0</v>
      </c>
      <c r="AT281" s="47">
        <v>0</v>
      </c>
      <c r="AU281" s="47">
        <v>0</v>
      </c>
      <c r="AV281" s="47">
        <v>0</v>
      </c>
      <c r="AW281" s="47">
        <v>0</v>
      </c>
      <c r="AX281" s="47">
        <v>0</v>
      </c>
      <c r="AY281" s="47">
        <v>0</v>
      </c>
      <c r="AZ281" s="47">
        <v>0</v>
      </c>
      <c r="BA281" s="47">
        <v>0</v>
      </c>
      <c r="BB281" s="47">
        <v>0</v>
      </c>
      <c r="BC281" s="47">
        <v>0</v>
      </c>
      <c r="BD281" s="47">
        <v>0</v>
      </c>
      <c r="BE281" s="47">
        <v>0</v>
      </c>
      <c r="BF281" s="47">
        <v>0</v>
      </c>
      <c r="BG281" s="47">
        <v>0</v>
      </c>
      <c r="BH281" s="47">
        <v>0</v>
      </c>
      <c r="BI281" s="47">
        <v>0</v>
      </c>
      <c r="BJ281" s="47">
        <v>0</v>
      </c>
      <c r="BK281" s="47">
        <v>0</v>
      </c>
      <c r="BL281" s="47">
        <v>0</v>
      </c>
      <c r="BM281" s="47">
        <v>0</v>
      </c>
      <c r="BN281" s="47">
        <v>0</v>
      </c>
      <c r="BO281" s="47">
        <v>0</v>
      </c>
      <c r="BP281" s="47">
        <v>0</v>
      </c>
      <c r="BQ281" s="47">
        <v>0</v>
      </c>
      <c r="BR281" s="47">
        <v>0</v>
      </c>
      <c r="BS281" s="47">
        <v>0</v>
      </c>
      <c r="BT281" s="47">
        <v>0</v>
      </c>
      <c r="BU281" s="47">
        <v>0</v>
      </c>
      <c r="BV281" s="47">
        <v>0</v>
      </c>
      <c r="BW281" s="47">
        <v>0</v>
      </c>
      <c r="BX281" s="47">
        <v>0</v>
      </c>
      <c r="BY281" s="47">
        <v>0</v>
      </c>
      <c r="BZ281" s="47">
        <v>0</v>
      </c>
      <c r="CA281" s="47">
        <v>0</v>
      </c>
      <c r="CB281" s="47">
        <v>0</v>
      </c>
      <c r="CC281" s="47">
        <v>0</v>
      </c>
      <c r="CD281" s="47">
        <v>0</v>
      </c>
      <c r="CE281" s="47">
        <v>0</v>
      </c>
      <c r="CF281" s="47">
        <v>0</v>
      </c>
      <c r="CG281" s="47">
        <v>0</v>
      </c>
      <c r="CH281" s="47">
        <v>0</v>
      </c>
      <c r="CI281" s="47">
        <v>0</v>
      </c>
      <c r="CJ281" s="47">
        <v>0</v>
      </c>
      <c r="CK281" s="47">
        <v>0</v>
      </c>
      <c r="CL281" s="47">
        <v>0</v>
      </c>
      <c r="CM281" s="47">
        <v>0</v>
      </c>
      <c r="CN281" s="47">
        <v>0</v>
      </c>
      <c r="CO281" s="47">
        <v>0</v>
      </c>
      <c r="CP281" s="47">
        <v>0</v>
      </c>
      <c r="CQ281" s="47">
        <v>0</v>
      </c>
      <c r="CR281" s="47">
        <v>0</v>
      </c>
      <c r="CS281" s="47">
        <v>0</v>
      </c>
      <c r="CT281" s="47">
        <v>0</v>
      </c>
      <c r="CU281" s="47">
        <v>0</v>
      </c>
      <c r="CV281" s="47">
        <v>0</v>
      </c>
      <c r="CW281" s="47">
        <v>0</v>
      </c>
      <c r="CX281" s="47">
        <v>0</v>
      </c>
      <c r="CY281" s="47">
        <v>0</v>
      </c>
      <c r="CZ281" s="47">
        <v>0</v>
      </c>
      <c r="DA281" s="47">
        <v>0</v>
      </c>
      <c r="DB281" s="47">
        <v>0</v>
      </c>
      <c r="DC281" s="47">
        <v>0</v>
      </c>
      <c r="DD281" s="47">
        <v>0</v>
      </c>
      <c r="DE281" s="47">
        <v>0</v>
      </c>
      <c r="DF281" s="47">
        <v>0</v>
      </c>
      <c r="DG281" s="47">
        <v>0</v>
      </c>
      <c r="DH281" s="47">
        <v>0</v>
      </c>
      <c r="DI281" s="47">
        <v>0</v>
      </c>
      <c r="DJ281" s="47">
        <v>0</v>
      </c>
      <c r="DK281" s="47">
        <v>0</v>
      </c>
      <c r="DL281" s="47">
        <v>0</v>
      </c>
      <c r="DM281" s="47">
        <v>0</v>
      </c>
      <c r="DN281" s="47">
        <v>0</v>
      </c>
      <c r="DO281" s="47">
        <v>0</v>
      </c>
      <c r="DP281" s="47">
        <v>0</v>
      </c>
      <c r="DQ281" s="47">
        <v>0</v>
      </c>
      <c r="DR281" s="47">
        <v>0</v>
      </c>
      <c r="DS281" s="47">
        <v>0</v>
      </c>
      <c r="DT281" s="47">
        <v>0</v>
      </c>
      <c r="DU281" s="47">
        <v>0</v>
      </c>
      <c r="DV281" s="47">
        <v>0</v>
      </c>
      <c r="DW281" s="47">
        <v>0</v>
      </c>
      <c r="DX281" s="47">
        <v>0</v>
      </c>
      <c r="DY281" s="47">
        <v>0</v>
      </c>
      <c r="DZ281" s="47">
        <v>0</v>
      </c>
      <c r="EA281" s="47">
        <v>0</v>
      </c>
      <c r="EB281" s="47"/>
      <c r="EC281" s="47">
        <v>1</v>
      </c>
      <c r="ZZ281" t="s">
        <v>2472</v>
      </c>
    </row>
    <row r="282" spans="1:702" x14ac:dyDescent="0.25">
      <c r="A282" s="47" t="s">
        <v>1401</v>
      </c>
      <c r="B282" s="47" t="s">
        <v>153</v>
      </c>
      <c r="C282" s="47" t="s">
        <v>157</v>
      </c>
      <c r="D282" s="47" t="s">
        <v>2764</v>
      </c>
      <c r="E282" s="47" t="s">
        <v>1402</v>
      </c>
      <c r="F282" s="47" t="s">
        <v>1403</v>
      </c>
      <c r="G282" s="47" t="s">
        <v>1404</v>
      </c>
      <c r="H282" s="47" t="s">
        <v>698</v>
      </c>
      <c r="I282" s="47" t="s">
        <v>727</v>
      </c>
      <c r="J282" s="47" t="str">
        <f>=IFERROR(VLOOKUP(H282&amp;I282,Table_Fonctions!A:G,6,FALSE),"")</f>
        <v>0</v>
      </c>
      <c r="K282" s="47" t="s">
        <v>2607</v>
      </c>
      <c r="L282" s="47" t="str">
        <f>=IFERROR(VLOOKUP(H282&amp;I282,Table_Fonctions!A:G,7,FALSE),K282)</f>
        <v/>
      </c>
      <c r="M282" s="47" t="str">
        <f>=IF(OR(LEFT(D282, 3)="TJ ", LEFT(D282, 4)="CPH "), "OUI", "NON")</f>
        <v/>
      </c>
      <c r="N282" s="47" t="s">
        <v>728</v>
      </c>
      <c r="O282" s="47"/>
      <c r="P282" s="47">
        <v>1</v>
      </c>
      <c r="Q282" s="47">
        <v>1</v>
      </c>
      <c r="R282" s="47">
        <v>0</v>
      </c>
      <c r="S282" s="47">
        <f>=ROUND(BQ282-(BR282+BS282),3)</f>
      </c>
      <c r="T282" s="47">
        <f>=ROUND(CK282-(CL282+CM282+CN282+CO282+CP282),3)</f>
      </c>
      <c r="U282" s="47">
        <v>0</v>
      </c>
      <c r="V282" s="47">
        <v>0</v>
      </c>
      <c r="W282" s="47">
        <v>0</v>
      </c>
      <c r="X282" s="47">
        <v>0</v>
      </c>
      <c r="Y282" s="47">
        <v>0</v>
      </c>
      <c r="Z282" s="47">
        <v>0</v>
      </c>
      <c r="AA282" s="47">
        <v>0</v>
      </c>
      <c r="AB282" s="47">
        <v>0</v>
      </c>
      <c r="AC282" s="47">
        <v>0</v>
      </c>
      <c r="AD282" s="47">
        <v>0</v>
      </c>
      <c r="AE282" s="47">
        <v>0</v>
      </c>
      <c r="AF282" s="47">
        <v>0</v>
      </c>
      <c r="AG282" s="47">
        <v>0</v>
      </c>
      <c r="AH282" s="47">
        <v>0</v>
      </c>
      <c r="AI282" s="47">
        <v>0</v>
      </c>
      <c r="AJ282" s="47">
        <v>1</v>
      </c>
      <c r="AK282" s="47">
        <v>0</v>
      </c>
      <c r="AL282" s="47">
        <v>0</v>
      </c>
      <c r="AM282" s="47">
        <v>0</v>
      </c>
      <c r="AN282" s="47">
        <v>0</v>
      </c>
      <c r="AO282" s="47">
        <v>0</v>
      </c>
      <c r="AP282" s="47">
        <v>0</v>
      </c>
      <c r="AQ282" s="47">
        <v>0</v>
      </c>
      <c r="AR282" s="47">
        <v>0</v>
      </c>
      <c r="AS282" s="47">
        <v>0</v>
      </c>
      <c r="AT282" s="47">
        <v>0</v>
      </c>
      <c r="AU282" s="47">
        <v>0</v>
      </c>
      <c r="AV282" s="47">
        <v>0</v>
      </c>
      <c r="AW282" s="47">
        <v>0</v>
      </c>
      <c r="AX282" s="47">
        <v>0</v>
      </c>
      <c r="AY282" s="47">
        <v>0</v>
      </c>
      <c r="AZ282" s="47">
        <v>0</v>
      </c>
      <c r="BA282" s="47">
        <v>0</v>
      </c>
      <c r="BB282" s="47">
        <v>0</v>
      </c>
      <c r="BC282" s="47">
        <v>0</v>
      </c>
      <c r="BD282" s="47">
        <v>0</v>
      </c>
      <c r="BE282" s="47">
        <v>0</v>
      </c>
      <c r="BF282" s="47">
        <v>0</v>
      </c>
      <c r="BG282" s="47">
        <v>0</v>
      </c>
      <c r="BH282" s="47">
        <v>0</v>
      </c>
      <c r="BI282" s="47">
        <v>0</v>
      </c>
      <c r="BJ282" s="47">
        <v>0</v>
      </c>
      <c r="BK282" s="47">
        <v>0</v>
      </c>
      <c r="BL282" s="47">
        <v>0</v>
      </c>
      <c r="BM282" s="47">
        <v>0</v>
      </c>
      <c r="BN282" s="47">
        <v>0</v>
      </c>
      <c r="BO282" s="47">
        <v>0</v>
      </c>
      <c r="BP282" s="47">
        <v>0</v>
      </c>
      <c r="BQ282" s="47">
        <v>0</v>
      </c>
      <c r="BR282" s="47">
        <v>0</v>
      </c>
      <c r="BS282" s="47">
        <v>0</v>
      </c>
      <c r="BT282" s="47">
        <v>0</v>
      </c>
      <c r="BU282" s="47">
        <v>0</v>
      </c>
      <c r="BV282" s="47">
        <v>0</v>
      </c>
      <c r="BW282" s="47">
        <v>0</v>
      </c>
      <c r="BX282" s="47">
        <v>0</v>
      </c>
      <c r="BY282" s="47">
        <v>0</v>
      </c>
      <c r="BZ282" s="47">
        <v>0</v>
      </c>
      <c r="CA282" s="47">
        <v>0</v>
      </c>
      <c r="CB282" s="47">
        <v>0</v>
      </c>
      <c r="CC282" s="47">
        <v>0</v>
      </c>
      <c r="CD282" s="47">
        <v>0</v>
      </c>
      <c r="CE282" s="47">
        <v>0</v>
      </c>
      <c r="CF282" s="47">
        <v>0</v>
      </c>
      <c r="CG282" s="47">
        <v>0</v>
      </c>
      <c r="CH282" s="47">
        <v>0</v>
      </c>
      <c r="CI282" s="47">
        <v>0</v>
      </c>
      <c r="CJ282" s="47">
        <v>0</v>
      </c>
      <c r="CK282" s="47">
        <v>0</v>
      </c>
      <c r="CL282" s="47">
        <v>0</v>
      </c>
      <c r="CM282" s="47">
        <v>0</v>
      </c>
      <c r="CN282" s="47">
        <v>0</v>
      </c>
      <c r="CO282" s="47">
        <v>0</v>
      </c>
      <c r="CP282" s="47">
        <v>0</v>
      </c>
      <c r="CQ282" s="47">
        <v>0</v>
      </c>
      <c r="CR282" s="47">
        <v>0</v>
      </c>
      <c r="CS282" s="47">
        <v>0</v>
      </c>
      <c r="CT282" s="47">
        <v>0</v>
      </c>
      <c r="CU282" s="47">
        <v>0</v>
      </c>
      <c r="CV282" s="47">
        <v>0</v>
      </c>
      <c r="CW282" s="47">
        <v>0</v>
      </c>
      <c r="CX282" s="47">
        <v>0</v>
      </c>
      <c r="CY282" s="47">
        <v>0</v>
      </c>
      <c r="CZ282" s="47">
        <v>0</v>
      </c>
      <c r="DA282" s="47">
        <v>0</v>
      </c>
      <c r="DB282" s="47">
        <v>0</v>
      </c>
      <c r="DC282" s="47">
        <v>0</v>
      </c>
      <c r="DD282" s="47">
        <v>0</v>
      </c>
      <c r="DE282" s="47">
        <v>0</v>
      </c>
      <c r="DF282" s="47">
        <v>0</v>
      </c>
      <c r="DG282" s="47">
        <v>0</v>
      </c>
      <c r="DH282" s="47">
        <v>0</v>
      </c>
      <c r="DI282" s="47">
        <v>0</v>
      </c>
      <c r="DJ282" s="47">
        <v>0</v>
      </c>
      <c r="DK282" s="47">
        <v>0</v>
      </c>
      <c r="DL282" s="47">
        <v>0</v>
      </c>
      <c r="DM282" s="47">
        <v>0</v>
      </c>
      <c r="DN282" s="47">
        <v>0</v>
      </c>
      <c r="DO282" s="47">
        <v>0</v>
      </c>
      <c r="DP282" s="47">
        <v>0</v>
      </c>
      <c r="DQ282" s="47">
        <v>0</v>
      </c>
      <c r="DR282" s="47">
        <v>0</v>
      </c>
      <c r="DS282" s="47">
        <v>0</v>
      </c>
      <c r="DT282" s="47">
        <v>0</v>
      </c>
      <c r="DU282" s="47">
        <v>0</v>
      </c>
      <c r="DV282" s="47">
        <v>0</v>
      </c>
      <c r="DW282" s="47">
        <v>0</v>
      </c>
      <c r="DX282" s="47">
        <v>0</v>
      </c>
      <c r="DY282" s="47">
        <v>0</v>
      </c>
      <c r="DZ282" s="47">
        <v>0</v>
      </c>
      <c r="EA282" s="47">
        <v>0</v>
      </c>
      <c r="EB282" s="47"/>
      <c r="EC282" s="47">
        <v>1</v>
      </c>
      <c r="ZZ282" t="s">
        <v>2472</v>
      </c>
    </row>
    <row r="283" spans="1:702" x14ac:dyDescent="0.25">
      <c r="A283" s="47" t="s">
        <v>1405</v>
      </c>
      <c r="B283" s="47" t="s">
        <v>153</v>
      </c>
      <c r="C283" s="47" t="s">
        <v>157</v>
      </c>
      <c r="D283" s="47" t="s">
        <v>2765</v>
      </c>
      <c r="E283" s="47" t="s">
        <v>1406</v>
      </c>
      <c r="F283" s="47" t="s">
        <v>1407</v>
      </c>
      <c r="G283" s="47" t="s">
        <v>1408</v>
      </c>
      <c r="H283" s="47" t="s">
        <v>698</v>
      </c>
      <c r="I283" s="47" t="s">
        <v>727</v>
      </c>
      <c r="J283" s="47" t="str">
        <f>=IFERROR(VLOOKUP(H283&amp;I283,Table_Fonctions!A:G,6,FALSE),"")</f>
        <v>0</v>
      </c>
      <c r="K283" s="47" t="s">
        <v>2607</v>
      </c>
      <c r="L283" s="47" t="str">
        <f>=IFERROR(VLOOKUP(H283&amp;I283,Table_Fonctions!A:G,7,FALSE),K283)</f>
        <v/>
      </c>
      <c r="M283" s="47" t="str">
        <f>=IF(OR(LEFT(D283, 3)="TJ ", LEFT(D283, 4)="CPH "), "OUI", "NON")</f>
        <v/>
      </c>
      <c r="N283" s="47" t="s">
        <v>1409</v>
      </c>
      <c r="O283" s="47"/>
      <c r="P283" s="47">
        <v>1</v>
      </c>
      <c r="Q283" s="47">
        <v>1</v>
      </c>
      <c r="R283" s="47">
        <v>0</v>
      </c>
      <c r="S283" s="47">
        <f>=ROUND(BQ283-(BR283+BS283),3)</f>
      </c>
      <c r="T283" s="47">
        <f>=ROUND(CK283-(CL283+CM283+CN283+CO283+CP283),3)</f>
      </c>
      <c r="U283" s="47">
        <v>0</v>
      </c>
      <c r="V283" s="47">
        <v>0</v>
      </c>
      <c r="W283" s="47">
        <v>0</v>
      </c>
      <c r="X283" s="47">
        <v>0</v>
      </c>
      <c r="Y283" s="47">
        <v>0</v>
      </c>
      <c r="Z283" s="47">
        <v>0</v>
      </c>
      <c r="AA283" s="47">
        <v>0</v>
      </c>
      <c r="AB283" s="47">
        <v>0</v>
      </c>
      <c r="AC283" s="47">
        <v>0</v>
      </c>
      <c r="AD283" s="47">
        <v>0</v>
      </c>
      <c r="AE283" s="47">
        <v>0</v>
      </c>
      <c r="AF283" s="47">
        <v>0</v>
      </c>
      <c r="AG283" s="47">
        <v>0</v>
      </c>
      <c r="AH283" s="47">
        <v>0</v>
      </c>
      <c r="AI283" s="47">
        <v>0</v>
      </c>
      <c r="AJ283" s="47">
        <v>0</v>
      </c>
      <c r="AK283" s="47">
        <v>0</v>
      </c>
      <c r="AL283" s="47">
        <v>0</v>
      </c>
      <c r="AM283" s="47">
        <v>0</v>
      </c>
      <c r="AN283" s="47">
        <v>0</v>
      </c>
      <c r="AO283" s="47">
        <v>0</v>
      </c>
      <c r="AP283" s="47">
        <v>0</v>
      </c>
      <c r="AQ283" s="47">
        <v>0</v>
      </c>
      <c r="AR283" s="47">
        <v>0</v>
      </c>
      <c r="AS283" s="47">
        <v>0</v>
      </c>
      <c r="AT283" s="47">
        <v>0</v>
      </c>
      <c r="AU283" s="47">
        <v>0</v>
      </c>
      <c r="AV283" s="47">
        <v>0</v>
      </c>
      <c r="AW283" s="47">
        <v>0</v>
      </c>
      <c r="AX283" s="47">
        <v>0</v>
      </c>
      <c r="AY283" s="47">
        <v>0</v>
      </c>
      <c r="AZ283" s="47">
        <v>0</v>
      </c>
      <c r="BA283" s="47">
        <v>0</v>
      </c>
      <c r="BB283" s="47">
        <v>0</v>
      </c>
      <c r="BC283" s="47">
        <v>0</v>
      </c>
      <c r="BD283" s="47">
        <v>0</v>
      </c>
      <c r="BE283" s="47">
        <v>0</v>
      </c>
      <c r="BF283" s="47">
        <v>0</v>
      </c>
      <c r="BG283" s="47">
        <v>0</v>
      </c>
      <c r="BH283" s="47">
        <v>0</v>
      </c>
      <c r="BI283" s="47">
        <v>0</v>
      </c>
      <c r="BJ283" s="47">
        <v>0</v>
      </c>
      <c r="BK283" s="47">
        <v>0</v>
      </c>
      <c r="BL283" s="47">
        <v>0</v>
      </c>
      <c r="BM283" s="47">
        <v>0</v>
      </c>
      <c r="BN283" s="47">
        <v>0</v>
      </c>
      <c r="BO283" s="47">
        <v>0</v>
      </c>
      <c r="BP283" s="47">
        <v>0</v>
      </c>
      <c r="BQ283" s="47">
        <v>0</v>
      </c>
      <c r="BR283" s="47">
        <v>0</v>
      </c>
      <c r="BS283" s="47">
        <v>0</v>
      </c>
      <c r="BT283" s="47">
        <v>1</v>
      </c>
      <c r="BU283" s="47">
        <v>0</v>
      </c>
      <c r="BV283" s="47">
        <v>0</v>
      </c>
      <c r="BW283" s="47">
        <v>0</v>
      </c>
      <c r="BX283" s="47">
        <v>0</v>
      </c>
      <c r="BY283" s="47">
        <v>0</v>
      </c>
      <c r="BZ283" s="47">
        <v>0</v>
      </c>
      <c r="CA283" s="47">
        <v>0</v>
      </c>
      <c r="CB283" s="47">
        <v>0</v>
      </c>
      <c r="CC283" s="47">
        <v>0</v>
      </c>
      <c r="CD283" s="47">
        <v>0</v>
      </c>
      <c r="CE283" s="47">
        <v>0</v>
      </c>
      <c r="CF283" s="47">
        <v>0</v>
      </c>
      <c r="CG283" s="47">
        <v>0</v>
      </c>
      <c r="CH283" s="47">
        <v>0</v>
      </c>
      <c r="CI283" s="47">
        <v>0</v>
      </c>
      <c r="CJ283" s="47">
        <v>0</v>
      </c>
      <c r="CK283" s="47">
        <v>0</v>
      </c>
      <c r="CL283" s="47">
        <v>0</v>
      </c>
      <c r="CM283" s="47">
        <v>0</v>
      </c>
      <c r="CN283" s="47">
        <v>0</v>
      </c>
      <c r="CO283" s="47">
        <v>0</v>
      </c>
      <c r="CP283" s="47">
        <v>0</v>
      </c>
      <c r="CQ283" s="47">
        <v>0</v>
      </c>
      <c r="CR283" s="47">
        <v>0</v>
      </c>
      <c r="CS283" s="47">
        <v>0</v>
      </c>
      <c r="CT283" s="47">
        <v>0</v>
      </c>
      <c r="CU283" s="47">
        <v>0</v>
      </c>
      <c r="CV283" s="47">
        <v>0</v>
      </c>
      <c r="CW283" s="47">
        <v>0</v>
      </c>
      <c r="CX283" s="47">
        <v>0</v>
      </c>
      <c r="CY283" s="47">
        <v>0</v>
      </c>
      <c r="CZ283" s="47">
        <v>0</v>
      </c>
      <c r="DA283" s="47">
        <v>0</v>
      </c>
      <c r="DB283" s="47">
        <v>0</v>
      </c>
      <c r="DC283" s="47">
        <v>0</v>
      </c>
      <c r="DD283" s="47">
        <v>0</v>
      </c>
      <c r="DE283" s="47">
        <v>0</v>
      </c>
      <c r="DF283" s="47">
        <v>0</v>
      </c>
      <c r="DG283" s="47">
        <v>0</v>
      </c>
      <c r="DH283" s="47">
        <v>0</v>
      </c>
      <c r="DI283" s="47">
        <v>0</v>
      </c>
      <c r="DJ283" s="47">
        <v>0</v>
      </c>
      <c r="DK283" s="47">
        <v>0</v>
      </c>
      <c r="DL283" s="47">
        <v>0</v>
      </c>
      <c r="DM283" s="47">
        <v>0</v>
      </c>
      <c r="DN283" s="47">
        <v>0</v>
      </c>
      <c r="DO283" s="47">
        <v>0</v>
      </c>
      <c r="DP283" s="47">
        <v>0</v>
      </c>
      <c r="DQ283" s="47">
        <v>0</v>
      </c>
      <c r="DR283" s="47">
        <v>0</v>
      </c>
      <c r="DS283" s="47">
        <v>0</v>
      </c>
      <c r="DT283" s="47">
        <v>0</v>
      </c>
      <c r="DU283" s="47">
        <v>0</v>
      </c>
      <c r="DV283" s="47">
        <v>0</v>
      </c>
      <c r="DW283" s="47">
        <v>0</v>
      </c>
      <c r="DX283" s="47">
        <v>0</v>
      </c>
      <c r="DY283" s="47">
        <v>0</v>
      </c>
      <c r="DZ283" s="47">
        <v>0</v>
      </c>
      <c r="EA283" s="47">
        <v>0</v>
      </c>
      <c r="EB283" s="47"/>
      <c r="EC283" s="47">
        <v>1</v>
      </c>
      <c r="ZZ283" t="s">
        <v>2472</v>
      </c>
    </row>
    <row r="284" spans="1:702" x14ac:dyDescent="0.25">
      <c r="A284" s="47" t="s">
        <v>1410</v>
      </c>
      <c r="B284" s="47" t="s">
        <v>153</v>
      </c>
      <c r="C284" s="47" t="s">
        <v>157</v>
      </c>
      <c r="D284" s="47" t="s">
        <v>2766</v>
      </c>
      <c r="E284" s="47" t="s">
        <v>1411</v>
      </c>
      <c r="F284" s="47" t="s">
        <v>1412</v>
      </c>
      <c r="G284" s="47" t="s">
        <v>1413</v>
      </c>
      <c r="H284" s="47" t="s">
        <v>698</v>
      </c>
      <c r="I284" s="47" t="s">
        <v>727</v>
      </c>
      <c r="J284" s="47" t="str">
        <f>=IFERROR(VLOOKUP(H284&amp;I284,Table_Fonctions!A:G,6,FALSE),"")</f>
        <v>0</v>
      </c>
      <c r="K284" s="47" t="s">
        <v>2607</v>
      </c>
      <c r="L284" s="47" t="str">
        <f>=IFERROR(VLOOKUP(H284&amp;I284,Table_Fonctions!A:G,7,FALSE),K284)</f>
        <v/>
      </c>
      <c r="M284" s="47" t="str">
        <f>=IF(OR(LEFT(D284, 3)="TJ ", LEFT(D284, 4)="CPH "), "OUI", "NON")</f>
        <v/>
      </c>
      <c r="N284" s="47" t="s">
        <v>1414</v>
      </c>
      <c r="O284" s="47"/>
      <c r="P284" s="47">
        <v>1</v>
      </c>
      <c r="Q284" s="47">
        <v>0</v>
      </c>
      <c r="R284" s="47">
        <v>1</v>
      </c>
      <c r="S284" s="47">
        <f>=ROUND(BQ284-(BR284+BS284),3)</f>
      </c>
      <c r="T284" s="47">
        <f>=ROUND(CK284-(CL284+CM284+CN284+CO284+CP284),3)</f>
      </c>
      <c r="U284" s="47">
        <v>0</v>
      </c>
      <c r="V284" s="47">
        <v>0</v>
      </c>
      <c r="W284" s="47">
        <v>0</v>
      </c>
      <c r="X284" s="47">
        <v>0</v>
      </c>
      <c r="Y284" s="47">
        <v>0</v>
      </c>
      <c r="Z284" s="47">
        <v>0</v>
      </c>
      <c r="AA284" s="47">
        <v>0</v>
      </c>
      <c r="AB284" s="47">
        <v>0</v>
      </c>
      <c r="AC284" s="47">
        <v>0</v>
      </c>
      <c r="AD284" s="47">
        <v>0</v>
      </c>
      <c r="AE284" s="47">
        <v>0</v>
      </c>
      <c r="AF284" s="47">
        <v>0</v>
      </c>
      <c r="AG284" s="47">
        <v>0</v>
      </c>
      <c r="AH284" s="47">
        <v>0</v>
      </c>
      <c r="AI284" s="47">
        <v>0</v>
      </c>
      <c r="AJ284" s="47">
        <v>0</v>
      </c>
      <c r="AK284" s="47">
        <v>0</v>
      </c>
      <c r="AL284" s="47">
        <v>0</v>
      </c>
      <c r="AM284" s="47">
        <v>0</v>
      </c>
      <c r="AN284" s="47">
        <v>0</v>
      </c>
      <c r="AO284" s="47">
        <v>0</v>
      </c>
      <c r="AP284" s="47">
        <v>0</v>
      </c>
      <c r="AQ284" s="47">
        <v>0</v>
      </c>
      <c r="AR284" s="47">
        <v>0</v>
      </c>
      <c r="AS284" s="47">
        <v>0</v>
      </c>
      <c r="AT284" s="47">
        <v>0</v>
      </c>
      <c r="AU284" s="47">
        <v>0</v>
      </c>
      <c r="AV284" s="47">
        <v>0</v>
      </c>
      <c r="AW284" s="47">
        <v>0</v>
      </c>
      <c r="AX284" s="47">
        <v>0</v>
      </c>
      <c r="AY284" s="47">
        <v>0</v>
      </c>
      <c r="AZ284" s="47">
        <v>0</v>
      </c>
      <c r="BA284" s="47">
        <v>0</v>
      </c>
      <c r="BB284" s="47">
        <v>0</v>
      </c>
      <c r="BC284" s="47">
        <v>0</v>
      </c>
      <c r="BD284" s="47">
        <v>0</v>
      </c>
      <c r="BE284" s="47">
        <v>0</v>
      </c>
      <c r="BF284" s="47">
        <v>0</v>
      </c>
      <c r="BG284" s="47">
        <v>0</v>
      </c>
      <c r="BH284" s="47">
        <v>0</v>
      </c>
      <c r="BI284" s="47">
        <v>0</v>
      </c>
      <c r="BJ284" s="47">
        <v>0</v>
      </c>
      <c r="BK284" s="47">
        <v>0</v>
      </c>
      <c r="BL284" s="47">
        <v>0</v>
      </c>
      <c r="BM284" s="47">
        <v>0</v>
      </c>
      <c r="BN284" s="47">
        <v>0</v>
      </c>
      <c r="BO284" s="47">
        <v>0</v>
      </c>
      <c r="BP284" s="47">
        <v>0</v>
      </c>
      <c r="BQ284" s="47">
        <v>0</v>
      </c>
      <c r="BR284" s="47">
        <v>0</v>
      </c>
      <c r="BS284" s="47">
        <v>0</v>
      </c>
      <c r="BT284" s="47">
        <v>0</v>
      </c>
      <c r="BU284" s="47">
        <v>0</v>
      </c>
      <c r="BV284" s="47">
        <v>0</v>
      </c>
      <c r="BW284" s="47">
        <v>0</v>
      </c>
      <c r="BX284" s="47">
        <v>0</v>
      </c>
      <c r="BY284" s="47">
        <v>0</v>
      </c>
      <c r="BZ284" s="47">
        <v>0</v>
      </c>
      <c r="CA284" s="47">
        <v>0</v>
      </c>
      <c r="CB284" s="47">
        <v>0</v>
      </c>
      <c r="CC284" s="47">
        <v>0</v>
      </c>
      <c r="CD284" s="47">
        <v>0</v>
      </c>
      <c r="CE284" s="47">
        <v>0</v>
      </c>
      <c r="CF284" s="47">
        <v>0</v>
      </c>
      <c r="CG284" s="47">
        <v>0</v>
      </c>
      <c r="CH284" s="47">
        <v>0</v>
      </c>
      <c r="CI284" s="47">
        <v>0</v>
      </c>
      <c r="CJ284" s="47">
        <v>0</v>
      </c>
      <c r="CK284" s="47">
        <v>0</v>
      </c>
      <c r="CL284" s="47">
        <v>0</v>
      </c>
      <c r="CM284" s="47">
        <v>0</v>
      </c>
      <c r="CN284" s="47">
        <v>0</v>
      </c>
      <c r="CO284" s="47">
        <v>0</v>
      </c>
      <c r="CP284" s="47">
        <v>0</v>
      </c>
      <c r="CQ284" s="47">
        <v>0</v>
      </c>
      <c r="CR284" s="47">
        <v>0</v>
      </c>
      <c r="CS284" s="47">
        <v>0</v>
      </c>
      <c r="CT284" s="47">
        <v>0</v>
      </c>
      <c r="CU284" s="47">
        <v>0</v>
      </c>
      <c r="CV284" s="47">
        <v>0</v>
      </c>
      <c r="CW284" s="47">
        <v>0</v>
      </c>
      <c r="CX284" s="47">
        <v>0</v>
      </c>
      <c r="CY284" s="47">
        <v>0</v>
      </c>
      <c r="CZ284" s="47">
        <v>0</v>
      </c>
      <c r="DA284" s="47">
        <v>0</v>
      </c>
      <c r="DB284" s="47">
        <v>0</v>
      </c>
      <c r="DC284" s="47">
        <v>0</v>
      </c>
      <c r="DD284" s="47">
        <v>0</v>
      </c>
      <c r="DE284" s="47">
        <v>0</v>
      </c>
      <c r="DF284" s="47">
        <v>0</v>
      </c>
      <c r="DG284" s="47">
        <v>0</v>
      </c>
      <c r="DH284" s="47">
        <v>0</v>
      </c>
      <c r="DI284" s="47">
        <v>0</v>
      </c>
      <c r="DJ284" s="47">
        <v>0</v>
      </c>
      <c r="DK284" s="47">
        <v>0</v>
      </c>
      <c r="DL284" s="47">
        <v>0</v>
      </c>
      <c r="DM284" s="47">
        <v>0</v>
      </c>
      <c r="DN284" s="47">
        <v>0</v>
      </c>
      <c r="DO284" s="47">
        <v>0</v>
      </c>
      <c r="DP284" s="47">
        <v>0</v>
      </c>
      <c r="DQ284" s="47">
        <v>0</v>
      </c>
      <c r="DR284" s="47">
        <v>0</v>
      </c>
      <c r="DS284" s="47">
        <v>0</v>
      </c>
      <c r="DT284" s="47">
        <v>0</v>
      </c>
      <c r="DU284" s="47">
        <v>0</v>
      </c>
      <c r="DV284" s="47">
        <v>0</v>
      </c>
      <c r="DW284" s="47">
        <v>0</v>
      </c>
      <c r="DX284" s="47">
        <v>0</v>
      </c>
      <c r="DY284" s="47">
        <v>0</v>
      </c>
      <c r="DZ284" s="47">
        <v>0</v>
      </c>
      <c r="EA284" s="47">
        <v>0</v>
      </c>
      <c r="EB284" s="47"/>
      <c r="EC284" s="47">
        <v>1</v>
      </c>
      <c r="ZZ284" t="s">
        <v>2472</v>
      </c>
    </row>
    <row r="285" spans="1:702" x14ac:dyDescent="0.25">
      <c r="A285" s="47" t="s">
        <v>1415</v>
      </c>
      <c r="B285" s="47" t="s">
        <v>153</v>
      </c>
      <c r="C285" s="47" t="s">
        <v>157</v>
      </c>
      <c r="D285" s="47" t="s">
        <v>2767</v>
      </c>
      <c r="E285" s="47" t="s">
        <v>1416</v>
      </c>
      <c r="F285" s="47" t="s">
        <v>1417</v>
      </c>
      <c r="G285" s="47" t="s">
        <v>1418</v>
      </c>
      <c r="H285" s="47" t="s">
        <v>698</v>
      </c>
      <c r="I285" s="47" t="s">
        <v>705</v>
      </c>
      <c r="J285" s="47" t="str">
        <f>=IFERROR(VLOOKUP(H285&amp;I285,Table_Fonctions!A:G,6,FALSE),"")</f>
        <v>0</v>
      </c>
      <c r="K285" s="47" t="s">
        <v>2607</v>
      </c>
      <c r="L285" s="47" t="str">
        <f>=IFERROR(VLOOKUP(H285&amp;I285,Table_Fonctions!A:G,7,FALSE),K285)</f>
        <v/>
      </c>
      <c r="M285" s="47" t="str">
        <f>=IF(OR(LEFT(D285, 3)="TJ ", LEFT(D285, 4)="CPH "), "OUI", "NON")</f>
        <v/>
      </c>
      <c r="N285" s="47" t="s">
        <v>722</v>
      </c>
      <c r="O285" s="47"/>
      <c r="P285" s="47">
        <v>1</v>
      </c>
      <c r="Q285" s="47">
        <v>0</v>
      </c>
      <c r="R285" s="47">
        <v>1</v>
      </c>
      <c r="S285" s="47">
        <f>=ROUND(BQ285-(BR285+BS285),3)</f>
      </c>
      <c r="T285" s="47">
        <f>=ROUND(CK285-(CL285+CM285+CN285+CO285+CP285),3)</f>
      </c>
      <c r="U285" s="47">
        <v>0</v>
      </c>
      <c r="V285" s="47">
        <v>0</v>
      </c>
      <c r="W285" s="47">
        <v>0</v>
      </c>
      <c r="X285" s="47">
        <v>0</v>
      </c>
      <c r="Y285" s="47">
        <v>0</v>
      </c>
      <c r="Z285" s="47">
        <v>0</v>
      </c>
      <c r="AA285" s="47">
        <v>0</v>
      </c>
      <c r="AB285" s="47">
        <v>0</v>
      </c>
      <c r="AC285" s="47">
        <v>0</v>
      </c>
      <c r="AD285" s="47">
        <v>0</v>
      </c>
      <c r="AE285" s="47">
        <v>0</v>
      </c>
      <c r="AF285" s="47">
        <v>0</v>
      </c>
      <c r="AG285" s="47">
        <v>0</v>
      </c>
      <c r="AH285" s="47">
        <v>0</v>
      </c>
      <c r="AI285" s="47">
        <v>0</v>
      </c>
      <c r="AJ285" s="47">
        <v>0</v>
      </c>
      <c r="AK285" s="47">
        <v>0</v>
      </c>
      <c r="AL285" s="47">
        <v>0</v>
      </c>
      <c r="AM285" s="47">
        <v>0</v>
      </c>
      <c r="AN285" s="47">
        <v>0</v>
      </c>
      <c r="AO285" s="47">
        <v>0</v>
      </c>
      <c r="AP285" s="47">
        <v>0</v>
      </c>
      <c r="AQ285" s="47">
        <v>0</v>
      </c>
      <c r="AR285" s="47">
        <v>0</v>
      </c>
      <c r="AS285" s="47">
        <v>0</v>
      </c>
      <c r="AT285" s="47">
        <v>0</v>
      </c>
      <c r="AU285" s="47">
        <v>0</v>
      </c>
      <c r="AV285" s="47">
        <v>0</v>
      </c>
      <c r="AW285" s="47">
        <v>0</v>
      </c>
      <c r="AX285" s="47">
        <v>0</v>
      </c>
      <c r="AY285" s="47">
        <v>0</v>
      </c>
      <c r="AZ285" s="47">
        <v>0</v>
      </c>
      <c r="BA285" s="47">
        <v>0</v>
      </c>
      <c r="BB285" s="47">
        <v>0</v>
      </c>
      <c r="BC285" s="47">
        <v>0</v>
      </c>
      <c r="BD285" s="47">
        <v>0</v>
      </c>
      <c r="BE285" s="47">
        <v>0</v>
      </c>
      <c r="BF285" s="47">
        <v>0</v>
      </c>
      <c r="BG285" s="47">
        <v>0</v>
      </c>
      <c r="BH285" s="47">
        <v>0</v>
      </c>
      <c r="BI285" s="47">
        <v>0</v>
      </c>
      <c r="BJ285" s="47">
        <v>0</v>
      </c>
      <c r="BK285" s="47">
        <v>0</v>
      </c>
      <c r="BL285" s="47">
        <v>0</v>
      </c>
      <c r="BM285" s="47">
        <v>0</v>
      </c>
      <c r="BN285" s="47">
        <v>0</v>
      </c>
      <c r="BO285" s="47">
        <v>0</v>
      </c>
      <c r="BP285" s="47">
        <v>0</v>
      </c>
      <c r="BQ285" s="47">
        <v>0</v>
      </c>
      <c r="BR285" s="47">
        <v>0</v>
      </c>
      <c r="BS285" s="47">
        <v>0</v>
      </c>
      <c r="BT285" s="47">
        <v>0</v>
      </c>
      <c r="BU285" s="47">
        <v>0</v>
      </c>
      <c r="BV285" s="47">
        <v>0</v>
      </c>
      <c r="BW285" s="47">
        <v>0</v>
      </c>
      <c r="BX285" s="47">
        <v>0</v>
      </c>
      <c r="BY285" s="47">
        <v>0</v>
      </c>
      <c r="BZ285" s="47">
        <v>0</v>
      </c>
      <c r="CA285" s="47">
        <v>0</v>
      </c>
      <c r="CB285" s="47">
        <v>0</v>
      </c>
      <c r="CC285" s="47">
        <v>0</v>
      </c>
      <c r="CD285" s="47">
        <v>0</v>
      </c>
      <c r="CE285" s="47">
        <v>0</v>
      </c>
      <c r="CF285" s="47">
        <v>0</v>
      </c>
      <c r="CG285" s="47">
        <v>0</v>
      </c>
      <c r="CH285" s="47">
        <v>0</v>
      </c>
      <c r="CI285" s="47">
        <v>0</v>
      </c>
      <c r="CJ285" s="47">
        <v>0</v>
      </c>
      <c r="CK285" s="47">
        <v>0</v>
      </c>
      <c r="CL285" s="47">
        <v>0</v>
      </c>
      <c r="CM285" s="47">
        <v>0</v>
      </c>
      <c r="CN285" s="47">
        <v>0</v>
      </c>
      <c r="CO285" s="47">
        <v>0</v>
      </c>
      <c r="CP285" s="47">
        <v>0</v>
      </c>
      <c r="CQ285" s="47">
        <v>0</v>
      </c>
      <c r="CR285" s="47">
        <v>0</v>
      </c>
      <c r="CS285" s="47">
        <v>0</v>
      </c>
      <c r="CT285" s="47">
        <v>0</v>
      </c>
      <c r="CU285" s="47">
        <v>0</v>
      </c>
      <c r="CV285" s="47">
        <v>0</v>
      </c>
      <c r="CW285" s="47">
        <v>0</v>
      </c>
      <c r="CX285" s="47">
        <v>0</v>
      </c>
      <c r="CY285" s="47">
        <v>0</v>
      </c>
      <c r="CZ285" s="47">
        <v>0</v>
      </c>
      <c r="DA285" s="47">
        <v>0</v>
      </c>
      <c r="DB285" s="47">
        <v>0</v>
      </c>
      <c r="DC285" s="47">
        <v>0</v>
      </c>
      <c r="DD285" s="47">
        <v>0</v>
      </c>
      <c r="DE285" s="47">
        <v>0</v>
      </c>
      <c r="DF285" s="47">
        <v>0</v>
      </c>
      <c r="DG285" s="47">
        <v>0</v>
      </c>
      <c r="DH285" s="47">
        <v>0</v>
      </c>
      <c r="DI285" s="47">
        <v>0</v>
      </c>
      <c r="DJ285" s="47">
        <v>0</v>
      </c>
      <c r="DK285" s="47">
        <v>0</v>
      </c>
      <c r="DL285" s="47">
        <v>0</v>
      </c>
      <c r="DM285" s="47">
        <v>0</v>
      </c>
      <c r="DN285" s="47">
        <v>0</v>
      </c>
      <c r="DO285" s="47">
        <v>0</v>
      </c>
      <c r="DP285" s="47">
        <v>0</v>
      </c>
      <c r="DQ285" s="47">
        <v>0</v>
      </c>
      <c r="DR285" s="47">
        <v>0</v>
      </c>
      <c r="DS285" s="47">
        <v>0</v>
      </c>
      <c r="DT285" s="47">
        <v>0</v>
      </c>
      <c r="DU285" s="47">
        <v>0</v>
      </c>
      <c r="DV285" s="47">
        <v>0</v>
      </c>
      <c r="DW285" s="47">
        <v>0</v>
      </c>
      <c r="DX285" s="47">
        <v>0</v>
      </c>
      <c r="DY285" s="47">
        <v>0</v>
      </c>
      <c r="DZ285" s="47">
        <v>0</v>
      </c>
      <c r="EA285" s="47">
        <v>0</v>
      </c>
      <c r="EB285" s="47"/>
      <c r="EC285" s="47">
        <v>1</v>
      </c>
      <c r="ZZ285" t="s">
        <v>2472</v>
      </c>
    </row>
    <row r="286" spans="1:702" x14ac:dyDescent="0.25">
      <c r="A286" s="47" t="s">
        <v>1419</v>
      </c>
      <c r="B286" s="47" t="s">
        <v>153</v>
      </c>
      <c r="C286" s="47" t="s">
        <v>157</v>
      </c>
      <c r="D286" s="47" t="s">
        <v>2768</v>
      </c>
      <c r="E286" s="47" t="s">
        <v>1420</v>
      </c>
      <c r="F286" s="47" t="s">
        <v>1421</v>
      </c>
      <c r="G286" s="47" t="s">
        <v>1422</v>
      </c>
      <c r="H286" s="47" t="s">
        <v>698</v>
      </c>
      <c r="I286" s="47" t="s">
        <v>705</v>
      </c>
      <c r="J286" s="47" t="str">
        <f>=IFERROR(VLOOKUP(H286&amp;I286,Table_Fonctions!A:G,6,FALSE),"")</f>
        <v>0</v>
      </c>
      <c r="K286" s="47" t="s">
        <v>2607</v>
      </c>
      <c r="L286" s="47" t="str">
        <f>=IFERROR(VLOOKUP(H286&amp;I286,Table_Fonctions!A:G,7,FALSE),K286)</f>
        <v/>
      </c>
      <c r="M286" s="47" t="str">
        <f>=IF(OR(LEFT(D286, 3)="TJ ", LEFT(D286, 4)="CPH "), "OUI", "NON")</f>
        <v/>
      </c>
      <c r="N286" s="47" t="s">
        <v>1423</v>
      </c>
      <c r="O286" s="47"/>
      <c r="P286" s="47">
        <v>1</v>
      </c>
      <c r="Q286" s="47">
        <v>0</v>
      </c>
      <c r="R286" s="47">
        <v>1</v>
      </c>
      <c r="S286" s="47">
        <f>=ROUND(BQ286-(BR286+BS286),3)</f>
      </c>
      <c r="T286" s="47">
        <f>=ROUND(CK286-(CL286+CM286+CN286+CO286+CP286),3)</f>
      </c>
      <c r="U286" s="47">
        <v>0</v>
      </c>
      <c r="V286" s="47">
        <v>0</v>
      </c>
      <c r="W286" s="47">
        <v>0</v>
      </c>
      <c r="X286" s="47">
        <v>0</v>
      </c>
      <c r="Y286" s="47">
        <v>0</v>
      </c>
      <c r="Z286" s="47">
        <v>0</v>
      </c>
      <c r="AA286" s="47">
        <v>0</v>
      </c>
      <c r="AB286" s="47">
        <v>0</v>
      </c>
      <c r="AC286" s="47">
        <v>0</v>
      </c>
      <c r="AD286" s="47">
        <v>0</v>
      </c>
      <c r="AE286" s="47">
        <v>0</v>
      </c>
      <c r="AF286" s="47">
        <v>0</v>
      </c>
      <c r="AG286" s="47">
        <v>0</v>
      </c>
      <c r="AH286" s="47">
        <v>0</v>
      </c>
      <c r="AI286" s="47">
        <v>0</v>
      </c>
      <c r="AJ286" s="47">
        <v>0</v>
      </c>
      <c r="AK286" s="47">
        <v>0</v>
      </c>
      <c r="AL286" s="47">
        <v>0</v>
      </c>
      <c r="AM286" s="47">
        <v>0</v>
      </c>
      <c r="AN286" s="47">
        <v>0</v>
      </c>
      <c r="AO286" s="47">
        <v>0</v>
      </c>
      <c r="AP286" s="47">
        <v>0</v>
      </c>
      <c r="AQ286" s="47">
        <v>0</v>
      </c>
      <c r="AR286" s="47">
        <v>0</v>
      </c>
      <c r="AS286" s="47">
        <v>0</v>
      </c>
      <c r="AT286" s="47">
        <v>0</v>
      </c>
      <c r="AU286" s="47">
        <v>0</v>
      </c>
      <c r="AV286" s="47">
        <v>0</v>
      </c>
      <c r="AW286" s="47">
        <v>0</v>
      </c>
      <c r="AX286" s="47">
        <v>0</v>
      </c>
      <c r="AY286" s="47">
        <v>0</v>
      </c>
      <c r="AZ286" s="47">
        <v>0</v>
      </c>
      <c r="BA286" s="47">
        <v>0</v>
      </c>
      <c r="BB286" s="47">
        <v>0</v>
      </c>
      <c r="BC286" s="47">
        <v>0</v>
      </c>
      <c r="BD286" s="47">
        <v>0</v>
      </c>
      <c r="BE286" s="47">
        <v>0</v>
      </c>
      <c r="BF286" s="47">
        <v>0</v>
      </c>
      <c r="BG286" s="47">
        <v>0</v>
      </c>
      <c r="BH286" s="47">
        <v>0</v>
      </c>
      <c r="BI286" s="47">
        <v>0</v>
      </c>
      <c r="BJ286" s="47">
        <v>0</v>
      </c>
      <c r="BK286" s="47">
        <v>0</v>
      </c>
      <c r="BL286" s="47">
        <v>0</v>
      </c>
      <c r="BM286" s="47">
        <v>0</v>
      </c>
      <c r="BN286" s="47">
        <v>0</v>
      </c>
      <c r="BO286" s="47">
        <v>0</v>
      </c>
      <c r="BP286" s="47">
        <v>0</v>
      </c>
      <c r="BQ286" s="47">
        <v>0</v>
      </c>
      <c r="BR286" s="47">
        <v>0</v>
      </c>
      <c r="BS286" s="47">
        <v>0</v>
      </c>
      <c r="BT286" s="47">
        <v>0</v>
      </c>
      <c r="BU286" s="47">
        <v>0</v>
      </c>
      <c r="BV286" s="47">
        <v>0</v>
      </c>
      <c r="BW286" s="47">
        <v>0</v>
      </c>
      <c r="BX286" s="47">
        <v>0</v>
      </c>
      <c r="BY286" s="47">
        <v>0</v>
      </c>
      <c r="BZ286" s="47">
        <v>0</v>
      </c>
      <c r="CA286" s="47">
        <v>0</v>
      </c>
      <c r="CB286" s="47">
        <v>0</v>
      </c>
      <c r="CC286" s="47">
        <v>0</v>
      </c>
      <c r="CD286" s="47">
        <v>0</v>
      </c>
      <c r="CE286" s="47">
        <v>0</v>
      </c>
      <c r="CF286" s="47">
        <v>0</v>
      </c>
      <c r="CG286" s="47">
        <v>0</v>
      </c>
      <c r="CH286" s="47">
        <v>0</v>
      </c>
      <c r="CI286" s="47">
        <v>0</v>
      </c>
      <c r="CJ286" s="47">
        <v>0</v>
      </c>
      <c r="CK286" s="47">
        <v>0</v>
      </c>
      <c r="CL286" s="47">
        <v>0</v>
      </c>
      <c r="CM286" s="47">
        <v>0</v>
      </c>
      <c r="CN286" s="47">
        <v>0</v>
      </c>
      <c r="CO286" s="47">
        <v>0</v>
      </c>
      <c r="CP286" s="47">
        <v>0</v>
      </c>
      <c r="CQ286" s="47">
        <v>0</v>
      </c>
      <c r="CR286" s="47">
        <v>0</v>
      </c>
      <c r="CS286" s="47">
        <v>0</v>
      </c>
      <c r="CT286" s="47">
        <v>0</v>
      </c>
      <c r="CU286" s="47">
        <v>0</v>
      </c>
      <c r="CV286" s="47">
        <v>0</v>
      </c>
      <c r="CW286" s="47">
        <v>0</v>
      </c>
      <c r="CX286" s="47">
        <v>0</v>
      </c>
      <c r="CY286" s="47">
        <v>0</v>
      </c>
      <c r="CZ286" s="47">
        <v>0</v>
      </c>
      <c r="DA286" s="47">
        <v>0</v>
      </c>
      <c r="DB286" s="47">
        <v>0</v>
      </c>
      <c r="DC286" s="47">
        <v>0</v>
      </c>
      <c r="DD286" s="47">
        <v>0</v>
      </c>
      <c r="DE286" s="47">
        <v>0</v>
      </c>
      <c r="DF286" s="47">
        <v>0</v>
      </c>
      <c r="DG286" s="47">
        <v>0</v>
      </c>
      <c r="DH286" s="47">
        <v>0</v>
      </c>
      <c r="DI286" s="47">
        <v>0</v>
      </c>
      <c r="DJ286" s="47">
        <v>0</v>
      </c>
      <c r="DK286" s="47">
        <v>0</v>
      </c>
      <c r="DL286" s="47">
        <v>0</v>
      </c>
      <c r="DM286" s="47">
        <v>0</v>
      </c>
      <c r="DN286" s="47">
        <v>0</v>
      </c>
      <c r="DO286" s="47">
        <v>0</v>
      </c>
      <c r="DP286" s="47">
        <v>0</v>
      </c>
      <c r="DQ286" s="47">
        <v>0</v>
      </c>
      <c r="DR286" s="47">
        <v>0</v>
      </c>
      <c r="DS286" s="47">
        <v>0</v>
      </c>
      <c r="DT286" s="47">
        <v>0</v>
      </c>
      <c r="DU286" s="47">
        <v>0</v>
      </c>
      <c r="DV286" s="47">
        <v>0</v>
      </c>
      <c r="DW286" s="47">
        <v>0</v>
      </c>
      <c r="DX286" s="47">
        <v>0</v>
      </c>
      <c r="DY286" s="47">
        <v>0</v>
      </c>
      <c r="DZ286" s="47">
        <v>0</v>
      </c>
      <c r="EA286" s="47">
        <v>0</v>
      </c>
      <c r="EB286" s="47"/>
      <c r="EC286" s="47">
        <v>1</v>
      </c>
      <c r="ZZ286" t="s">
        <v>2472</v>
      </c>
    </row>
    <row r="287" spans="1:702" x14ac:dyDescent="0.25">
      <c r="A287" s="47" t="s">
        <v>1424</v>
      </c>
      <c r="B287" s="47" t="s">
        <v>153</v>
      </c>
      <c r="C287" s="47" t="s">
        <v>157</v>
      </c>
      <c r="D287" s="47" t="s">
        <v>2769</v>
      </c>
      <c r="E287" s="47" t="s">
        <v>1425</v>
      </c>
      <c r="F287" s="47" t="s">
        <v>1426</v>
      </c>
      <c r="G287" s="47" t="s">
        <v>1427</v>
      </c>
      <c r="H287" s="47" t="s">
        <v>698</v>
      </c>
      <c r="I287" s="47" t="s">
        <v>727</v>
      </c>
      <c r="J287" s="47" t="str">
        <f>=IFERROR(VLOOKUP(H287&amp;I287,Table_Fonctions!A:G,6,FALSE),"")</f>
        <v>0</v>
      </c>
      <c r="K287" s="47" t="s">
        <v>2607</v>
      </c>
      <c r="L287" s="47" t="str">
        <f>=IFERROR(VLOOKUP(H287&amp;I287,Table_Fonctions!A:G,7,FALSE),K287)</f>
        <v/>
      </c>
      <c r="M287" s="47" t="str">
        <f>=IF(OR(LEFT(D287, 3)="TJ ", LEFT(D287, 4)="CPH "), "OUI", "NON")</f>
        <v/>
      </c>
      <c r="N287" s="47" t="s">
        <v>1428</v>
      </c>
      <c r="O287" s="47"/>
      <c r="P287" s="47">
        <v>0.8</v>
      </c>
      <c r="Q287" s="47">
        <v>0.8</v>
      </c>
      <c r="R287" s="47">
        <v>0</v>
      </c>
      <c r="S287" s="47">
        <f>=ROUND(BQ287-(BR287+BS287),3)</f>
      </c>
      <c r="T287" s="47">
        <f>=ROUND(CK287-(CL287+CM287+CN287+CO287+CP287),3)</f>
      </c>
      <c r="U287" s="47">
        <v>0</v>
      </c>
      <c r="V287" s="47">
        <v>0</v>
      </c>
      <c r="W287" s="47">
        <v>0</v>
      </c>
      <c r="X287" s="47">
        <v>0</v>
      </c>
      <c r="Y287" s="47">
        <v>0</v>
      </c>
      <c r="Z287" s="47">
        <v>0</v>
      </c>
      <c r="AA287" s="47">
        <v>0</v>
      </c>
      <c r="AB287" s="47">
        <v>0</v>
      </c>
      <c r="AC287" s="47">
        <v>0</v>
      </c>
      <c r="AD287" s="47">
        <v>0</v>
      </c>
      <c r="AE287" s="47">
        <v>0</v>
      </c>
      <c r="AF287" s="47">
        <v>0</v>
      </c>
      <c r="AG287" s="47">
        <v>0</v>
      </c>
      <c r="AH287" s="47">
        <v>0</v>
      </c>
      <c r="AI287" s="47">
        <v>0</v>
      </c>
      <c r="AJ287" s="47">
        <v>0</v>
      </c>
      <c r="AK287" s="47">
        <v>0</v>
      </c>
      <c r="AL287" s="47">
        <v>0</v>
      </c>
      <c r="AM287" s="47">
        <v>0</v>
      </c>
      <c r="AN287" s="47">
        <v>0</v>
      </c>
      <c r="AO287" s="47">
        <v>0</v>
      </c>
      <c r="AP287" s="47">
        <v>0</v>
      </c>
      <c r="AQ287" s="47">
        <v>0</v>
      </c>
      <c r="AR287" s="47">
        <v>0</v>
      </c>
      <c r="AS287" s="47">
        <v>0</v>
      </c>
      <c r="AT287" s="47">
        <v>0</v>
      </c>
      <c r="AU287" s="47">
        <v>0</v>
      </c>
      <c r="AV287" s="47">
        <v>0</v>
      </c>
      <c r="AW287" s="47">
        <v>0</v>
      </c>
      <c r="AX287" s="47">
        <v>0</v>
      </c>
      <c r="AY287" s="47">
        <v>0</v>
      </c>
      <c r="AZ287" s="47">
        <v>0</v>
      </c>
      <c r="BA287" s="47">
        <v>0</v>
      </c>
      <c r="BB287" s="47">
        <v>0</v>
      </c>
      <c r="BC287" s="47">
        <v>0</v>
      </c>
      <c r="BD287" s="47">
        <v>0</v>
      </c>
      <c r="BE287" s="47">
        <v>0</v>
      </c>
      <c r="BF287" s="47">
        <v>0</v>
      </c>
      <c r="BG287" s="47">
        <v>0</v>
      </c>
      <c r="BH287" s="47">
        <v>0</v>
      </c>
      <c r="BI287" s="47">
        <v>0</v>
      </c>
      <c r="BJ287" s="47">
        <v>0</v>
      </c>
      <c r="BK287" s="47">
        <v>0</v>
      </c>
      <c r="BL287" s="47">
        <v>0</v>
      </c>
      <c r="BM287" s="47">
        <v>0</v>
      </c>
      <c r="BN287" s="47">
        <v>0</v>
      </c>
      <c r="BO287" s="47">
        <v>0</v>
      </c>
      <c r="BP287" s="47">
        <v>0</v>
      </c>
      <c r="BQ287" s="47">
        <v>0</v>
      </c>
      <c r="BR287" s="47">
        <v>0</v>
      </c>
      <c r="BS287" s="47">
        <v>0</v>
      </c>
      <c r="BT287" s="47">
        <v>0</v>
      </c>
      <c r="BU287" s="47">
        <v>0</v>
      </c>
      <c r="BV287" s="47">
        <v>0</v>
      </c>
      <c r="BW287" s="47">
        <v>0</v>
      </c>
      <c r="BX287" s="47">
        <v>0</v>
      </c>
      <c r="BY287" s="47">
        <v>0</v>
      </c>
      <c r="BZ287" s="47">
        <v>0</v>
      </c>
      <c r="CA287" s="47">
        <v>0</v>
      </c>
      <c r="CB287" s="47">
        <v>0</v>
      </c>
      <c r="CC287" s="47">
        <v>0</v>
      </c>
      <c r="CD287" s="47">
        <v>0</v>
      </c>
      <c r="CE287" s="47">
        <v>0</v>
      </c>
      <c r="CF287" s="47">
        <v>0</v>
      </c>
      <c r="CG287" s="47">
        <v>0</v>
      </c>
      <c r="CH287" s="47">
        <v>0</v>
      </c>
      <c r="CI287" s="47">
        <v>0</v>
      </c>
      <c r="CJ287" s="47">
        <v>0</v>
      </c>
      <c r="CK287" s="47">
        <v>0</v>
      </c>
      <c r="CL287" s="47">
        <v>0</v>
      </c>
      <c r="CM287" s="47">
        <v>0</v>
      </c>
      <c r="CN287" s="47">
        <v>0</v>
      </c>
      <c r="CO287" s="47">
        <v>0</v>
      </c>
      <c r="CP287" s="47">
        <v>0</v>
      </c>
      <c r="CQ287" s="47">
        <v>0</v>
      </c>
      <c r="CR287" s="47">
        <v>0</v>
      </c>
      <c r="CS287" s="47">
        <v>0</v>
      </c>
      <c r="CT287" s="47">
        <v>0</v>
      </c>
      <c r="CU287" s="47">
        <v>0</v>
      </c>
      <c r="CV287" s="47">
        <v>0.8</v>
      </c>
      <c r="CW287" s="47">
        <v>0</v>
      </c>
      <c r="CX287" s="47">
        <v>0</v>
      </c>
      <c r="CY287" s="47">
        <v>0</v>
      </c>
      <c r="CZ287" s="47">
        <v>0</v>
      </c>
      <c r="DA287" s="47">
        <v>0</v>
      </c>
      <c r="DB287" s="47">
        <v>0</v>
      </c>
      <c r="DC287" s="47">
        <v>0</v>
      </c>
      <c r="DD287" s="47">
        <v>0</v>
      </c>
      <c r="DE287" s="47">
        <v>0</v>
      </c>
      <c r="DF287" s="47">
        <v>0</v>
      </c>
      <c r="DG287" s="47">
        <v>0</v>
      </c>
      <c r="DH287" s="47">
        <v>0</v>
      </c>
      <c r="DI287" s="47">
        <v>0</v>
      </c>
      <c r="DJ287" s="47">
        <v>0</v>
      </c>
      <c r="DK287" s="47">
        <v>0</v>
      </c>
      <c r="DL287" s="47">
        <v>0</v>
      </c>
      <c r="DM287" s="47">
        <v>0</v>
      </c>
      <c r="DN287" s="47">
        <v>0</v>
      </c>
      <c r="DO287" s="47">
        <v>0</v>
      </c>
      <c r="DP287" s="47">
        <v>0</v>
      </c>
      <c r="DQ287" s="47">
        <v>0</v>
      </c>
      <c r="DR287" s="47">
        <v>0</v>
      </c>
      <c r="DS287" s="47">
        <v>0</v>
      </c>
      <c r="DT287" s="47">
        <v>0</v>
      </c>
      <c r="DU287" s="47">
        <v>0</v>
      </c>
      <c r="DV287" s="47">
        <v>0</v>
      </c>
      <c r="DW287" s="47">
        <v>0</v>
      </c>
      <c r="DX287" s="47">
        <v>0</v>
      </c>
      <c r="DY287" s="47">
        <v>0</v>
      </c>
      <c r="DZ287" s="47">
        <v>0</v>
      </c>
      <c r="EA287" s="47">
        <v>0</v>
      </c>
      <c r="EB287" s="47"/>
      <c r="EC287" s="47">
        <v>0.8</v>
      </c>
      <c r="ZZ287" t="s">
        <v>2472</v>
      </c>
    </row>
    <row r="288" spans="1:702" x14ac:dyDescent="0.25">
      <c r="A288" s="47" t="s">
        <v>1429</v>
      </c>
      <c r="B288" s="47" t="s">
        <v>153</v>
      </c>
      <c r="C288" s="47" t="s">
        <v>157</v>
      </c>
      <c r="D288" s="47" t="s">
        <v>2770</v>
      </c>
      <c r="E288" s="47" t="s">
        <v>1430</v>
      </c>
      <c r="F288" s="47" t="s">
        <v>1431</v>
      </c>
      <c r="G288" s="47" t="s">
        <v>1432</v>
      </c>
      <c r="H288" s="47" t="s">
        <v>698</v>
      </c>
      <c r="I288" s="47" t="s">
        <v>727</v>
      </c>
      <c r="J288" s="47" t="str">
        <f>=IFERROR(VLOOKUP(H288&amp;I288,Table_Fonctions!A:G,6,FALSE),"")</f>
        <v>0</v>
      </c>
      <c r="K288" s="47" t="s">
        <v>2607</v>
      </c>
      <c r="L288" s="47" t="str">
        <f>=IFERROR(VLOOKUP(H288&amp;I288,Table_Fonctions!A:G,7,FALSE),K288)</f>
        <v/>
      </c>
      <c r="M288" s="47" t="str">
        <f>=IF(OR(LEFT(D288, 3)="TJ ", LEFT(D288, 4)="CPH "), "OUI", "NON")</f>
        <v/>
      </c>
      <c r="N288" s="47" t="s">
        <v>763</v>
      </c>
      <c r="O288" s="47"/>
      <c r="P288" s="47">
        <v>1</v>
      </c>
      <c r="Q288" s="47">
        <v>0</v>
      </c>
      <c r="R288" s="47">
        <v>1</v>
      </c>
      <c r="S288" s="47">
        <f>=ROUND(BQ288-(BR288+BS288),3)</f>
      </c>
      <c r="T288" s="47">
        <f>=ROUND(CK288-(CL288+CM288+CN288+CO288+CP288),3)</f>
      </c>
      <c r="U288" s="47">
        <v>0</v>
      </c>
      <c r="V288" s="47">
        <v>0</v>
      </c>
      <c r="W288" s="47">
        <v>0</v>
      </c>
      <c r="X288" s="47">
        <v>0</v>
      </c>
      <c r="Y288" s="47">
        <v>0</v>
      </c>
      <c r="Z288" s="47">
        <v>0</v>
      </c>
      <c r="AA288" s="47">
        <v>0</v>
      </c>
      <c r="AB288" s="47">
        <v>0</v>
      </c>
      <c r="AC288" s="47">
        <v>0</v>
      </c>
      <c r="AD288" s="47">
        <v>0</v>
      </c>
      <c r="AE288" s="47">
        <v>0</v>
      </c>
      <c r="AF288" s="47">
        <v>0</v>
      </c>
      <c r="AG288" s="47">
        <v>0</v>
      </c>
      <c r="AH288" s="47">
        <v>0</v>
      </c>
      <c r="AI288" s="47">
        <v>0</v>
      </c>
      <c r="AJ288" s="47">
        <v>0</v>
      </c>
      <c r="AK288" s="47">
        <v>0</v>
      </c>
      <c r="AL288" s="47">
        <v>0</v>
      </c>
      <c r="AM288" s="47">
        <v>0</v>
      </c>
      <c r="AN288" s="47">
        <v>0</v>
      </c>
      <c r="AO288" s="47">
        <v>0</v>
      </c>
      <c r="AP288" s="47">
        <v>0</v>
      </c>
      <c r="AQ288" s="47">
        <v>0</v>
      </c>
      <c r="AR288" s="47">
        <v>0</v>
      </c>
      <c r="AS288" s="47">
        <v>0</v>
      </c>
      <c r="AT288" s="47">
        <v>0</v>
      </c>
      <c r="AU288" s="47">
        <v>0</v>
      </c>
      <c r="AV288" s="47">
        <v>0</v>
      </c>
      <c r="AW288" s="47">
        <v>0</v>
      </c>
      <c r="AX288" s="47">
        <v>0</v>
      </c>
      <c r="AY288" s="47">
        <v>0</v>
      </c>
      <c r="AZ288" s="47">
        <v>0</v>
      </c>
      <c r="BA288" s="47">
        <v>0</v>
      </c>
      <c r="BB288" s="47">
        <v>0</v>
      </c>
      <c r="BC288" s="47">
        <v>0</v>
      </c>
      <c r="BD288" s="47">
        <v>0</v>
      </c>
      <c r="BE288" s="47">
        <v>0</v>
      </c>
      <c r="BF288" s="47">
        <v>0</v>
      </c>
      <c r="BG288" s="47">
        <v>0</v>
      </c>
      <c r="BH288" s="47">
        <v>0</v>
      </c>
      <c r="BI288" s="47">
        <v>0</v>
      </c>
      <c r="BJ288" s="47">
        <v>0</v>
      </c>
      <c r="BK288" s="47">
        <v>0</v>
      </c>
      <c r="BL288" s="47">
        <v>0</v>
      </c>
      <c r="BM288" s="47">
        <v>0</v>
      </c>
      <c r="BN288" s="47">
        <v>0</v>
      </c>
      <c r="BO288" s="47">
        <v>0</v>
      </c>
      <c r="BP288" s="47">
        <v>0</v>
      </c>
      <c r="BQ288" s="47">
        <v>0</v>
      </c>
      <c r="BR288" s="47">
        <v>0</v>
      </c>
      <c r="BS288" s="47">
        <v>0</v>
      </c>
      <c r="BT288" s="47">
        <v>0</v>
      </c>
      <c r="BU288" s="47">
        <v>0</v>
      </c>
      <c r="BV288" s="47">
        <v>0</v>
      </c>
      <c r="BW288" s="47">
        <v>0</v>
      </c>
      <c r="BX288" s="47">
        <v>0</v>
      </c>
      <c r="BY288" s="47">
        <v>0</v>
      </c>
      <c r="BZ288" s="47">
        <v>0</v>
      </c>
      <c r="CA288" s="47">
        <v>0</v>
      </c>
      <c r="CB288" s="47">
        <v>0</v>
      </c>
      <c r="CC288" s="47">
        <v>0</v>
      </c>
      <c r="CD288" s="47">
        <v>0</v>
      </c>
      <c r="CE288" s="47">
        <v>0</v>
      </c>
      <c r="CF288" s="47">
        <v>0</v>
      </c>
      <c r="CG288" s="47">
        <v>0</v>
      </c>
      <c r="CH288" s="47">
        <v>0</v>
      </c>
      <c r="CI288" s="47">
        <v>0</v>
      </c>
      <c r="CJ288" s="47">
        <v>0</v>
      </c>
      <c r="CK288" s="47">
        <v>0</v>
      </c>
      <c r="CL288" s="47">
        <v>0</v>
      </c>
      <c r="CM288" s="47">
        <v>0</v>
      </c>
      <c r="CN288" s="47">
        <v>0</v>
      </c>
      <c r="CO288" s="47">
        <v>0</v>
      </c>
      <c r="CP288" s="47">
        <v>0</v>
      </c>
      <c r="CQ288" s="47">
        <v>0</v>
      </c>
      <c r="CR288" s="47">
        <v>0</v>
      </c>
      <c r="CS288" s="47">
        <v>0</v>
      </c>
      <c r="CT288" s="47">
        <v>0</v>
      </c>
      <c r="CU288" s="47">
        <v>0</v>
      </c>
      <c r="CV288" s="47">
        <v>0</v>
      </c>
      <c r="CW288" s="47">
        <v>0</v>
      </c>
      <c r="CX288" s="47">
        <v>0</v>
      </c>
      <c r="CY288" s="47">
        <v>0</v>
      </c>
      <c r="CZ288" s="47">
        <v>0</v>
      </c>
      <c r="DA288" s="47">
        <v>0</v>
      </c>
      <c r="DB288" s="47">
        <v>0</v>
      </c>
      <c r="DC288" s="47">
        <v>0</v>
      </c>
      <c r="DD288" s="47">
        <v>0</v>
      </c>
      <c r="DE288" s="47">
        <v>0</v>
      </c>
      <c r="DF288" s="47">
        <v>0</v>
      </c>
      <c r="DG288" s="47">
        <v>0</v>
      </c>
      <c r="DH288" s="47">
        <v>0</v>
      </c>
      <c r="DI288" s="47">
        <v>0</v>
      </c>
      <c r="DJ288" s="47">
        <v>0</v>
      </c>
      <c r="DK288" s="47">
        <v>0</v>
      </c>
      <c r="DL288" s="47">
        <v>0</v>
      </c>
      <c r="DM288" s="47">
        <v>0</v>
      </c>
      <c r="DN288" s="47">
        <v>0</v>
      </c>
      <c r="DO288" s="47">
        <v>0</v>
      </c>
      <c r="DP288" s="47">
        <v>0</v>
      </c>
      <c r="DQ288" s="47">
        <v>0</v>
      </c>
      <c r="DR288" s="47">
        <v>0</v>
      </c>
      <c r="DS288" s="47">
        <v>0</v>
      </c>
      <c r="DT288" s="47">
        <v>0</v>
      </c>
      <c r="DU288" s="47">
        <v>0</v>
      </c>
      <c r="DV288" s="47">
        <v>0</v>
      </c>
      <c r="DW288" s="47">
        <v>0</v>
      </c>
      <c r="DX288" s="47">
        <v>0</v>
      </c>
      <c r="DY288" s="47">
        <v>0</v>
      </c>
      <c r="DZ288" s="47">
        <v>0</v>
      </c>
      <c r="EA288" s="47">
        <v>0</v>
      </c>
      <c r="EB288" s="47"/>
      <c r="EC288" s="47">
        <v>1</v>
      </c>
      <c r="ZZ288" t="s">
        <v>2472</v>
      </c>
    </row>
    <row r="289" spans="1:702" x14ac:dyDescent="0.25">
      <c r="A289" s="47" t="s">
        <v>1433</v>
      </c>
      <c r="B289" s="47" t="s">
        <v>153</v>
      </c>
      <c r="C289" s="47" t="s">
        <v>157</v>
      </c>
      <c r="D289" s="47" t="s">
        <v>2771</v>
      </c>
      <c r="E289" s="47" t="s">
        <v>1434</v>
      </c>
      <c r="F289" s="47" t="s">
        <v>1435</v>
      </c>
      <c r="G289" s="47" t="s">
        <v>1436</v>
      </c>
      <c r="H289" s="47" t="s">
        <v>698</v>
      </c>
      <c r="I289" s="47" t="s">
        <v>727</v>
      </c>
      <c r="J289" s="47" t="str">
        <f>=IFERROR(VLOOKUP(H289&amp;I289,Table_Fonctions!A:G,6,FALSE),"")</f>
        <v>0</v>
      </c>
      <c r="K289" s="47" t="s">
        <v>2607</v>
      </c>
      <c r="L289" s="47" t="str">
        <f>=IFERROR(VLOOKUP(H289&amp;I289,Table_Fonctions!A:G,7,FALSE),K289)</f>
        <v/>
      </c>
      <c r="M289" s="47" t="str">
        <f>=IF(OR(LEFT(D289, 3)="TJ ", LEFT(D289, 4)="CPH "), "OUI", "NON")</f>
        <v/>
      </c>
      <c r="N289" s="47" t="s">
        <v>1437</v>
      </c>
      <c r="O289" s="47"/>
      <c r="P289" s="47">
        <v>1</v>
      </c>
      <c r="Q289" s="47">
        <v>1</v>
      </c>
      <c r="R289" s="47">
        <v>0</v>
      </c>
      <c r="S289" s="47">
        <f>=ROUND(BQ289-(BR289+BS289),3)</f>
      </c>
      <c r="T289" s="47">
        <f>=ROUND(CK289-(CL289+CM289+CN289+CO289+CP289),3)</f>
      </c>
      <c r="U289" s="47">
        <v>0</v>
      </c>
      <c r="V289" s="47">
        <v>0</v>
      </c>
      <c r="W289" s="47">
        <v>0</v>
      </c>
      <c r="X289" s="47">
        <v>0</v>
      </c>
      <c r="Y289" s="47">
        <v>0</v>
      </c>
      <c r="Z289" s="47">
        <v>0</v>
      </c>
      <c r="AA289" s="47">
        <v>0</v>
      </c>
      <c r="AB289" s="47">
        <v>0</v>
      </c>
      <c r="AC289" s="47">
        <v>0</v>
      </c>
      <c r="AD289" s="47">
        <v>0</v>
      </c>
      <c r="AE289" s="47">
        <v>0</v>
      </c>
      <c r="AF289" s="47">
        <v>0</v>
      </c>
      <c r="AG289" s="47">
        <v>0</v>
      </c>
      <c r="AH289" s="47">
        <v>0</v>
      </c>
      <c r="AI289" s="47">
        <v>0</v>
      </c>
      <c r="AJ289" s="47">
        <v>0</v>
      </c>
      <c r="AK289" s="47">
        <v>0</v>
      </c>
      <c r="AL289" s="47">
        <v>0</v>
      </c>
      <c r="AM289" s="47">
        <v>0</v>
      </c>
      <c r="AN289" s="47">
        <v>0</v>
      </c>
      <c r="AO289" s="47">
        <v>0</v>
      </c>
      <c r="AP289" s="47">
        <v>0</v>
      </c>
      <c r="AQ289" s="47">
        <v>0</v>
      </c>
      <c r="AR289" s="47">
        <v>0</v>
      </c>
      <c r="AS289" s="47">
        <v>1</v>
      </c>
      <c r="AT289" s="47">
        <v>0</v>
      </c>
      <c r="AU289" s="47">
        <v>0</v>
      </c>
      <c r="AV289" s="47">
        <v>0</v>
      </c>
      <c r="AW289" s="47">
        <v>0</v>
      </c>
      <c r="AX289" s="47">
        <v>0</v>
      </c>
      <c r="AY289" s="47">
        <v>0</v>
      </c>
      <c r="AZ289" s="47">
        <v>0</v>
      </c>
      <c r="BA289" s="47">
        <v>0</v>
      </c>
      <c r="BB289" s="47">
        <v>0</v>
      </c>
      <c r="BC289" s="47">
        <v>0</v>
      </c>
      <c r="BD289" s="47">
        <v>0</v>
      </c>
      <c r="BE289" s="47">
        <v>0</v>
      </c>
      <c r="BF289" s="47">
        <v>0</v>
      </c>
      <c r="BG289" s="47">
        <v>0</v>
      </c>
      <c r="BH289" s="47">
        <v>0</v>
      </c>
      <c r="BI289" s="47">
        <v>0</v>
      </c>
      <c r="BJ289" s="47">
        <v>0</v>
      </c>
      <c r="BK289" s="47">
        <v>0</v>
      </c>
      <c r="BL289" s="47">
        <v>0</v>
      </c>
      <c r="BM289" s="47">
        <v>0</v>
      </c>
      <c r="BN289" s="47">
        <v>0</v>
      </c>
      <c r="BO289" s="47">
        <v>0</v>
      </c>
      <c r="BP289" s="47">
        <v>0</v>
      </c>
      <c r="BQ289" s="47">
        <v>0</v>
      </c>
      <c r="BR289" s="47">
        <v>0</v>
      </c>
      <c r="BS289" s="47">
        <v>0</v>
      </c>
      <c r="BT289" s="47">
        <v>0</v>
      </c>
      <c r="BU289" s="47">
        <v>0</v>
      </c>
      <c r="BV289" s="47">
        <v>0</v>
      </c>
      <c r="BW289" s="47">
        <v>0</v>
      </c>
      <c r="BX289" s="47">
        <v>0</v>
      </c>
      <c r="BY289" s="47">
        <v>0</v>
      </c>
      <c r="BZ289" s="47">
        <v>0</v>
      </c>
      <c r="CA289" s="47">
        <v>0</v>
      </c>
      <c r="CB289" s="47">
        <v>0</v>
      </c>
      <c r="CC289" s="47">
        <v>0</v>
      </c>
      <c r="CD289" s="47">
        <v>0</v>
      </c>
      <c r="CE289" s="47">
        <v>0</v>
      </c>
      <c r="CF289" s="47">
        <v>0</v>
      </c>
      <c r="CG289" s="47">
        <v>0</v>
      </c>
      <c r="CH289" s="47">
        <v>0</v>
      </c>
      <c r="CI289" s="47">
        <v>0</v>
      </c>
      <c r="CJ289" s="47">
        <v>0</v>
      </c>
      <c r="CK289" s="47">
        <v>0</v>
      </c>
      <c r="CL289" s="47">
        <v>0</v>
      </c>
      <c r="CM289" s="47">
        <v>0</v>
      </c>
      <c r="CN289" s="47">
        <v>0</v>
      </c>
      <c r="CO289" s="47">
        <v>0</v>
      </c>
      <c r="CP289" s="47">
        <v>0</v>
      </c>
      <c r="CQ289" s="47">
        <v>0</v>
      </c>
      <c r="CR289" s="47">
        <v>0</v>
      </c>
      <c r="CS289" s="47">
        <v>0</v>
      </c>
      <c r="CT289" s="47">
        <v>0</v>
      </c>
      <c r="CU289" s="47">
        <v>0</v>
      </c>
      <c r="CV289" s="47">
        <v>0</v>
      </c>
      <c r="CW289" s="47">
        <v>0</v>
      </c>
      <c r="CX289" s="47">
        <v>0</v>
      </c>
      <c r="CY289" s="47">
        <v>0</v>
      </c>
      <c r="CZ289" s="47">
        <v>0</v>
      </c>
      <c r="DA289" s="47">
        <v>0</v>
      </c>
      <c r="DB289" s="47">
        <v>0</v>
      </c>
      <c r="DC289" s="47">
        <v>0</v>
      </c>
      <c r="DD289" s="47">
        <v>0</v>
      </c>
      <c r="DE289" s="47">
        <v>0</v>
      </c>
      <c r="DF289" s="47">
        <v>0</v>
      </c>
      <c r="DG289" s="47">
        <v>0</v>
      </c>
      <c r="DH289" s="47">
        <v>0</v>
      </c>
      <c r="DI289" s="47">
        <v>0</v>
      </c>
      <c r="DJ289" s="47">
        <v>0</v>
      </c>
      <c r="DK289" s="47">
        <v>0</v>
      </c>
      <c r="DL289" s="47">
        <v>0</v>
      </c>
      <c r="DM289" s="47">
        <v>0</v>
      </c>
      <c r="DN289" s="47">
        <v>0</v>
      </c>
      <c r="DO289" s="47">
        <v>0</v>
      </c>
      <c r="DP289" s="47">
        <v>0</v>
      </c>
      <c r="DQ289" s="47">
        <v>0</v>
      </c>
      <c r="DR289" s="47">
        <v>0</v>
      </c>
      <c r="DS289" s="47">
        <v>0</v>
      </c>
      <c r="DT289" s="47">
        <v>0</v>
      </c>
      <c r="DU289" s="47">
        <v>0</v>
      </c>
      <c r="DV289" s="47">
        <v>0</v>
      </c>
      <c r="DW289" s="47">
        <v>0</v>
      </c>
      <c r="DX289" s="47">
        <v>0</v>
      </c>
      <c r="DY289" s="47">
        <v>0</v>
      </c>
      <c r="DZ289" s="47">
        <v>0</v>
      </c>
      <c r="EA289" s="47">
        <v>0</v>
      </c>
      <c r="EB289" s="47"/>
      <c r="EC289" s="47">
        <v>1</v>
      </c>
      <c r="ZZ289" t="s">
        <v>2472</v>
      </c>
    </row>
    <row r="290" spans="1:702" x14ac:dyDescent="0.25">
      <c r="A290" s="47" t="s">
        <v>1438</v>
      </c>
      <c r="B290" s="47" t="s">
        <v>153</v>
      </c>
      <c r="C290" s="47" t="s">
        <v>157</v>
      </c>
      <c r="D290" s="47" t="s">
        <v>2772</v>
      </c>
      <c r="E290" s="47" t="s">
        <v>1439</v>
      </c>
      <c r="F290" s="47" t="s">
        <v>1440</v>
      </c>
      <c r="G290" s="47" t="s">
        <v>1441</v>
      </c>
      <c r="H290" s="47" t="s">
        <v>698</v>
      </c>
      <c r="I290" s="47" t="s">
        <v>727</v>
      </c>
      <c r="J290" s="47" t="str">
        <f>=IFERROR(VLOOKUP(H290&amp;I290,Table_Fonctions!A:G,6,FALSE),"")</f>
        <v>0</v>
      </c>
      <c r="K290" s="47" t="s">
        <v>2607</v>
      </c>
      <c r="L290" s="47" t="str">
        <f>=IFERROR(VLOOKUP(H290&amp;I290,Table_Fonctions!A:G,7,FALSE),K290)</f>
        <v/>
      </c>
      <c r="M290" s="47" t="str">
        <f>=IF(OR(LEFT(D290, 3)="TJ ", LEFT(D290, 4)="CPH "), "OUI", "NON")</f>
        <v/>
      </c>
      <c r="N290" s="47" t="s">
        <v>1442</v>
      </c>
      <c r="O290" s="47"/>
      <c r="P290" s="47">
        <v>1</v>
      </c>
      <c r="Q290" s="47">
        <v>1</v>
      </c>
      <c r="R290" s="47">
        <v>0</v>
      </c>
      <c r="S290" s="47">
        <f>=ROUND(BQ290-(BR290+BS290),3)</f>
      </c>
      <c r="T290" s="47">
        <f>=ROUND(CK290-(CL290+CM290+CN290+CO290+CP290),3)</f>
      </c>
      <c r="U290" s="47">
        <v>0</v>
      </c>
      <c r="V290" s="47">
        <v>0</v>
      </c>
      <c r="W290" s="47">
        <v>0</v>
      </c>
      <c r="X290" s="47">
        <v>0</v>
      </c>
      <c r="Y290" s="47">
        <v>0</v>
      </c>
      <c r="Z290" s="47">
        <v>0</v>
      </c>
      <c r="AA290" s="47">
        <v>0</v>
      </c>
      <c r="AB290" s="47">
        <v>0</v>
      </c>
      <c r="AC290" s="47">
        <v>0</v>
      </c>
      <c r="AD290" s="47">
        <v>0</v>
      </c>
      <c r="AE290" s="47">
        <v>0</v>
      </c>
      <c r="AF290" s="47">
        <v>0</v>
      </c>
      <c r="AG290" s="47">
        <v>0</v>
      </c>
      <c r="AH290" s="47">
        <v>0</v>
      </c>
      <c r="AI290" s="47">
        <v>0</v>
      </c>
      <c r="AJ290" s="47">
        <v>1</v>
      </c>
      <c r="AK290" s="47">
        <v>0</v>
      </c>
      <c r="AL290" s="47">
        <v>0</v>
      </c>
      <c r="AM290" s="47">
        <v>0</v>
      </c>
      <c r="AN290" s="47">
        <v>0</v>
      </c>
      <c r="AO290" s="47">
        <v>0</v>
      </c>
      <c r="AP290" s="47">
        <v>0</v>
      </c>
      <c r="AQ290" s="47">
        <v>0</v>
      </c>
      <c r="AR290" s="47">
        <v>0</v>
      </c>
      <c r="AS290" s="47">
        <v>0</v>
      </c>
      <c r="AT290" s="47">
        <v>0</v>
      </c>
      <c r="AU290" s="47">
        <v>0</v>
      </c>
      <c r="AV290" s="47">
        <v>0</v>
      </c>
      <c r="AW290" s="47">
        <v>0</v>
      </c>
      <c r="AX290" s="47">
        <v>0</v>
      </c>
      <c r="AY290" s="47">
        <v>0</v>
      </c>
      <c r="AZ290" s="47">
        <v>0</v>
      </c>
      <c r="BA290" s="47">
        <v>0</v>
      </c>
      <c r="BB290" s="47">
        <v>0</v>
      </c>
      <c r="BC290" s="47">
        <v>0</v>
      </c>
      <c r="BD290" s="47">
        <v>0</v>
      </c>
      <c r="BE290" s="47">
        <v>0</v>
      </c>
      <c r="BF290" s="47">
        <v>0</v>
      </c>
      <c r="BG290" s="47">
        <v>0</v>
      </c>
      <c r="BH290" s="47">
        <v>0</v>
      </c>
      <c r="BI290" s="47">
        <v>0</v>
      </c>
      <c r="BJ290" s="47">
        <v>0</v>
      </c>
      <c r="BK290" s="47">
        <v>0</v>
      </c>
      <c r="BL290" s="47">
        <v>0</v>
      </c>
      <c r="BM290" s="47">
        <v>0</v>
      </c>
      <c r="BN290" s="47">
        <v>0</v>
      </c>
      <c r="BO290" s="47">
        <v>0</v>
      </c>
      <c r="BP290" s="47">
        <v>0</v>
      </c>
      <c r="BQ290" s="47">
        <v>0</v>
      </c>
      <c r="BR290" s="47">
        <v>0</v>
      </c>
      <c r="BS290" s="47">
        <v>0</v>
      </c>
      <c r="BT290" s="47">
        <v>0</v>
      </c>
      <c r="BU290" s="47">
        <v>0</v>
      </c>
      <c r="BV290" s="47">
        <v>0</v>
      </c>
      <c r="BW290" s="47">
        <v>0</v>
      </c>
      <c r="BX290" s="47">
        <v>0</v>
      </c>
      <c r="BY290" s="47">
        <v>0</v>
      </c>
      <c r="BZ290" s="47">
        <v>0</v>
      </c>
      <c r="CA290" s="47">
        <v>0</v>
      </c>
      <c r="CB290" s="47">
        <v>0</v>
      </c>
      <c r="CC290" s="47">
        <v>0</v>
      </c>
      <c r="CD290" s="47">
        <v>0</v>
      </c>
      <c r="CE290" s="47">
        <v>0</v>
      </c>
      <c r="CF290" s="47">
        <v>0</v>
      </c>
      <c r="CG290" s="47">
        <v>0</v>
      </c>
      <c r="CH290" s="47">
        <v>0</v>
      </c>
      <c r="CI290" s="47">
        <v>0</v>
      </c>
      <c r="CJ290" s="47">
        <v>0</v>
      </c>
      <c r="CK290" s="47">
        <v>0</v>
      </c>
      <c r="CL290" s="47">
        <v>0</v>
      </c>
      <c r="CM290" s="47">
        <v>0</v>
      </c>
      <c r="CN290" s="47">
        <v>0</v>
      </c>
      <c r="CO290" s="47">
        <v>0</v>
      </c>
      <c r="CP290" s="47">
        <v>0</v>
      </c>
      <c r="CQ290" s="47">
        <v>0</v>
      </c>
      <c r="CR290" s="47">
        <v>0</v>
      </c>
      <c r="CS290" s="47">
        <v>0</v>
      </c>
      <c r="CT290" s="47">
        <v>0</v>
      </c>
      <c r="CU290" s="47">
        <v>0</v>
      </c>
      <c r="CV290" s="47">
        <v>0</v>
      </c>
      <c r="CW290" s="47">
        <v>0</v>
      </c>
      <c r="CX290" s="47">
        <v>0</v>
      </c>
      <c r="CY290" s="47">
        <v>0</v>
      </c>
      <c r="CZ290" s="47">
        <v>0</v>
      </c>
      <c r="DA290" s="47">
        <v>0</v>
      </c>
      <c r="DB290" s="47">
        <v>0</v>
      </c>
      <c r="DC290" s="47">
        <v>0</v>
      </c>
      <c r="DD290" s="47">
        <v>0</v>
      </c>
      <c r="DE290" s="47">
        <v>0</v>
      </c>
      <c r="DF290" s="47">
        <v>0</v>
      </c>
      <c r="DG290" s="47">
        <v>0</v>
      </c>
      <c r="DH290" s="47">
        <v>0</v>
      </c>
      <c r="DI290" s="47">
        <v>0</v>
      </c>
      <c r="DJ290" s="47">
        <v>0</v>
      </c>
      <c r="DK290" s="47">
        <v>0</v>
      </c>
      <c r="DL290" s="47">
        <v>0</v>
      </c>
      <c r="DM290" s="47">
        <v>0</v>
      </c>
      <c r="DN290" s="47">
        <v>0</v>
      </c>
      <c r="DO290" s="47">
        <v>0</v>
      </c>
      <c r="DP290" s="47">
        <v>0</v>
      </c>
      <c r="DQ290" s="47">
        <v>0</v>
      </c>
      <c r="DR290" s="47">
        <v>0</v>
      </c>
      <c r="DS290" s="47">
        <v>0</v>
      </c>
      <c r="DT290" s="47">
        <v>0</v>
      </c>
      <c r="DU290" s="47">
        <v>0</v>
      </c>
      <c r="DV290" s="47">
        <v>0</v>
      </c>
      <c r="DW290" s="47">
        <v>0</v>
      </c>
      <c r="DX290" s="47">
        <v>0</v>
      </c>
      <c r="DY290" s="47">
        <v>0</v>
      </c>
      <c r="DZ290" s="47">
        <v>0</v>
      </c>
      <c r="EA290" s="47">
        <v>0</v>
      </c>
      <c r="EB290" s="47"/>
      <c r="EC290" s="47">
        <v>1</v>
      </c>
      <c r="ZZ290" t="s">
        <v>2472</v>
      </c>
    </row>
    <row r="291" spans="1:702" x14ac:dyDescent="0.25">
      <c r="A291" s="47" t="s">
        <v>1443</v>
      </c>
      <c r="B291" s="47" t="s">
        <v>153</v>
      </c>
      <c r="C291" s="47" t="s">
        <v>157</v>
      </c>
      <c r="D291" s="47" t="s">
        <v>2773</v>
      </c>
      <c r="E291" s="47" t="s">
        <v>1444</v>
      </c>
      <c r="F291" s="47" t="s">
        <v>1445</v>
      </c>
      <c r="G291" s="47" t="s">
        <v>1446</v>
      </c>
      <c r="H291" s="47" t="s">
        <v>698</v>
      </c>
      <c r="I291" s="47" t="s">
        <v>727</v>
      </c>
      <c r="J291" s="47" t="str">
        <f>=IFERROR(VLOOKUP(H291&amp;I291,Table_Fonctions!A:G,6,FALSE),"")</f>
        <v>0</v>
      </c>
      <c r="K291" s="47" t="s">
        <v>2607</v>
      </c>
      <c r="L291" s="47" t="str">
        <f>=IFERROR(VLOOKUP(H291&amp;I291,Table_Fonctions!A:G,7,FALSE),K291)</f>
        <v/>
      </c>
      <c r="M291" s="47" t="str">
        <f>=IF(OR(LEFT(D291, 3)="TJ ", LEFT(D291, 4)="CPH "), "OUI", "NON")</f>
        <v/>
      </c>
      <c r="N291" s="47" t="s">
        <v>1368</v>
      </c>
      <c r="O291" s="47"/>
      <c r="P291" s="47">
        <v>1</v>
      </c>
      <c r="Q291" s="47">
        <v>1</v>
      </c>
      <c r="R291" s="47">
        <v>0</v>
      </c>
      <c r="S291" s="47">
        <f>=ROUND(BQ291-(BR291+BS291),3)</f>
      </c>
      <c r="T291" s="47">
        <f>=ROUND(CK291-(CL291+CM291+CN291+CO291+CP291),3)</f>
      </c>
      <c r="U291" s="47">
        <v>0</v>
      </c>
      <c r="V291" s="47">
        <v>0</v>
      </c>
      <c r="W291" s="47">
        <v>0</v>
      </c>
      <c r="X291" s="47">
        <v>0</v>
      </c>
      <c r="Y291" s="47">
        <v>0</v>
      </c>
      <c r="Z291" s="47">
        <v>0</v>
      </c>
      <c r="AA291" s="47">
        <v>0</v>
      </c>
      <c r="AB291" s="47">
        <v>0</v>
      </c>
      <c r="AC291" s="47">
        <v>0</v>
      </c>
      <c r="AD291" s="47">
        <v>0</v>
      </c>
      <c r="AE291" s="47">
        <v>0</v>
      </c>
      <c r="AF291" s="47">
        <v>0</v>
      </c>
      <c r="AG291" s="47">
        <v>0</v>
      </c>
      <c r="AH291" s="47">
        <v>0</v>
      </c>
      <c r="AI291" s="47">
        <v>0</v>
      </c>
      <c r="AJ291" s="47">
        <v>0</v>
      </c>
      <c r="AK291" s="47">
        <v>0</v>
      </c>
      <c r="AL291" s="47">
        <v>0</v>
      </c>
      <c r="AM291" s="47">
        <v>0</v>
      </c>
      <c r="AN291" s="47">
        <v>0</v>
      </c>
      <c r="AO291" s="47">
        <v>0</v>
      </c>
      <c r="AP291" s="47">
        <v>0</v>
      </c>
      <c r="AQ291" s="47">
        <v>0</v>
      </c>
      <c r="AR291" s="47">
        <v>0</v>
      </c>
      <c r="AS291" s="47">
        <v>0</v>
      </c>
      <c r="AT291" s="47">
        <v>0</v>
      </c>
      <c r="AU291" s="47">
        <v>0</v>
      </c>
      <c r="AV291" s="47">
        <v>0</v>
      </c>
      <c r="AW291" s="47">
        <v>0</v>
      </c>
      <c r="AX291" s="47">
        <v>0</v>
      </c>
      <c r="AY291" s="47">
        <v>0</v>
      </c>
      <c r="AZ291" s="47">
        <v>0</v>
      </c>
      <c r="BA291" s="47">
        <v>0</v>
      </c>
      <c r="BB291" s="47">
        <v>0</v>
      </c>
      <c r="BC291" s="47">
        <v>0</v>
      </c>
      <c r="BD291" s="47">
        <v>0</v>
      </c>
      <c r="BE291" s="47">
        <v>0</v>
      </c>
      <c r="BF291" s="47">
        <v>0</v>
      </c>
      <c r="BG291" s="47">
        <v>0</v>
      </c>
      <c r="BH291" s="47">
        <v>0</v>
      </c>
      <c r="BI291" s="47">
        <v>0</v>
      </c>
      <c r="BJ291" s="47">
        <v>0</v>
      </c>
      <c r="BK291" s="47">
        <v>0</v>
      </c>
      <c r="BL291" s="47">
        <v>0</v>
      </c>
      <c r="BM291" s="47">
        <v>0</v>
      </c>
      <c r="BN291" s="47">
        <v>0</v>
      </c>
      <c r="BO291" s="47">
        <v>0</v>
      </c>
      <c r="BP291" s="47">
        <v>0</v>
      </c>
      <c r="BQ291" s="47">
        <v>0</v>
      </c>
      <c r="BR291" s="47">
        <v>0</v>
      </c>
      <c r="BS291" s="47">
        <v>0</v>
      </c>
      <c r="BT291" s="47">
        <v>0</v>
      </c>
      <c r="BU291" s="47">
        <v>0</v>
      </c>
      <c r="BV291" s="47">
        <v>0</v>
      </c>
      <c r="BW291" s="47">
        <v>0</v>
      </c>
      <c r="BX291" s="47">
        <v>0</v>
      </c>
      <c r="BY291" s="47">
        <v>0</v>
      </c>
      <c r="BZ291" s="47">
        <v>0</v>
      </c>
      <c r="CA291" s="47">
        <v>0</v>
      </c>
      <c r="CB291" s="47">
        <v>0</v>
      </c>
      <c r="CC291" s="47">
        <v>0</v>
      </c>
      <c r="CD291" s="47">
        <v>0</v>
      </c>
      <c r="CE291" s="47">
        <v>0</v>
      </c>
      <c r="CF291" s="47">
        <v>0</v>
      </c>
      <c r="CG291" s="47">
        <v>0</v>
      </c>
      <c r="CH291" s="47">
        <v>0</v>
      </c>
      <c r="CI291" s="47">
        <v>0</v>
      </c>
      <c r="CJ291" s="47">
        <v>0</v>
      </c>
      <c r="CK291" s="47">
        <v>0</v>
      </c>
      <c r="CL291" s="47">
        <v>0</v>
      </c>
      <c r="CM291" s="47">
        <v>0</v>
      </c>
      <c r="CN291" s="47">
        <v>0</v>
      </c>
      <c r="CO291" s="47">
        <v>0</v>
      </c>
      <c r="CP291" s="47">
        <v>0</v>
      </c>
      <c r="CQ291" s="47">
        <v>0</v>
      </c>
      <c r="CR291" s="47">
        <v>0</v>
      </c>
      <c r="CS291" s="47">
        <v>0</v>
      </c>
      <c r="CT291" s="47">
        <v>0</v>
      </c>
      <c r="CU291" s="47">
        <v>0</v>
      </c>
      <c r="CV291" s="47">
        <v>1</v>
      </c>
      <c r="CW291" s="47">
        <v>0</v>
      </c>
      <c r="CX291" s="47">
        <v>0</v>
      </c>
      <c r="CY291" s="47">
        <v>0</v>
      </c>
      <c r="CZ291" s="47">
        <v>0</v>
      </c>
      <c r="DA291" s="47">
        <v>0</v>
      </c>
      <c r="DB291" s="47">
        <v>0</v>
      </c>
      <c r="DC291" s="47">
        <v>0</v>
      </c>
      <c r="DD291" s="47">
        <v>0</v>
      </c>
      <c r="DE291" s="47">
        <v>0</v>
      </c>
      <c r="DF291" s="47">
        <v>0</v>
      </c>
      <c r="DG291" s="47">
        <v>0</v>
      </c>
      <c r="DH291" s="47">
        <v>0</v>
      </c>
      <c r="DI291" s="47">
        <v>0</v>
      </c>
      <c r="DJ291" s="47">
        <v>0</v>
      </c>
      <c r="DK291" s="47">
        <v>0</v>
      </c>
      <c r="DL291" s="47">
        <v>0</v>
      </c>
      <c r="DM291" s="47">
        <v>0</v>
      </c>
      <c r="DN291" s="47">
        <v>0</v>
      </c>
      <c r="DO291" s="47">
        <v>0</v>
      </c>
      <c r="DP291" s="47">
        <v>0</v>
      </c>
      <c r="DQ291" s="47">
        <v>0</v>
      </c>
      <c r="DR291" s="47">
        <v>0</v>
      </c>
      <c r="DS291" s="47">
        <v>0</v>
      </c>
      <c r="DT291" s="47">
        <v>0</v>
      </c>
      <c r="DU291" s="47">
        <v>0</v>
      </c>
      <c r="DV291" s="47">
        <v>0</v>
      </c>
      <c r="DW291" s="47">
        <v>0</v>
      </c>
      <c r="DX291" s="47">
        <v>0</v>
      </c>
      <c r="DY291" s="47">
        <v>0</v>
      </c>
      <c r="DZ291" s="47">
        <v>0</v>
      </c>
      <c r="EA291" s="47">
        <v>0</v>
      </c>
      <c r="EB291" s="47"/>
      <c r="EC291" s="47">
        <v>1</v>
      </c>
      <c r="ZZ291" t="s">
        <v>2472</v>
      </c>
    </row>
    <row r="292" spans="1:702" x14ac:dyDescent="0.25">
      <c r="A292" s="47" t="s">
        <v>1447</v>
      </c>
      <c r="B292" s="47" t="s">
        <v>153</v>
      </c>
      <c r="C292" s="47" t="s">
        <v>157</v>
      </c>
      <c r="D292" s="47" t="s">
        <v>2774</v>
      </c>
      <c r="E292" s="47" t="s">
        <v>1448</v>
      </c>
      <c r="F292" s="47" t="s">
        <v>1449</v>
      </c>
      <c r="G292" s="47" t="s">
        <v>1450</v>
      </c>
      <c r="H292" s="47" t="s">
        <v>698</v>
      </c>
      <c r="I292" s="47" t="s">
        <v>705</v>
      </c>
      <c r="J292" s="47" t="str">
        <f>=IFERROR(VLOOKUP(H292&amp;I292,Table_Fonctions!A:G,6,FALSE),"")</f>
        <v>0</v>
      </c>
      <c r="K292" s="47" t="s">
        <v>2607</v>
      </c>
      <c r="L292" s="47" t="str">
        <f>=IFERROR(VLOOKUP(H292&amp;I292,Table_Fonctions!A:G,7,FALSE),K292)</f>
        <v/>
      </c>
      <c r="M292" s="47" t="str">
        <f>=IF(OR(LEFT(D292, 3)="TJ ", LEFT(D292, 4)="CPH "), "OUI", "NON")</f>
        <v/>
      </c>
      <c r="N292" s="47" t="s">
        <v>1451</v>
      </c>
      <c r="O292" s="47"/>
      <c r="P292" s="47">
        <v>1</v>
      </c>
      <c r="Q292" s="47">
        <v>0</v>
      </c>
      <c r="R292" s="47">
        <v>1</v>
      </c>
      <c r="S292" s="47">
        <f>=ROUND(BQ292-(BR292+BS292),3)</f>
      </c>
      <c r="T292" s="47">
        <f>=ROUND(CK292-(CL292+CM292+CN292+CO292+CP292),3)</f>
      </c>
      <c r="U292" s="47">
        <v>0</v>
      </c>
      <c r="V292" s="47">
        <v>0</v>
      </c>
      <c r="W292" s="47">
        <v>0</v>
      </c>
      <c r="X292" s="47">
        <v>0</v>
      </c>
      <c r="Y292" s="47">
        <v>0</v>
      </c>
      <c r="Z292" s="47">
        <v>0</v>
      </c>
      <c r="AA292" s="47">
        <v>0</v>
      </c>
      <c r="AB292" s="47">
        <v>0</v>
      </c>
      <c r="AC292" s="47">
        <v>0</v>
      </c>
      <c r="AD292" s="47">
        <v>0</v>
      </c>
      <c r="AE292" s="47">
        <v>0</v>
      </c>
      <c r="AF292" s="47">
        <v>0</v>
      </c>
      <c r="AG292" s="47">
        <v>0</v>
      </c>
      <c r="AH292" s="47">
        <v>0</v>
      </c>
      <c r="AI292" s="47">
        <v>0</v>
      </c>
      <c r="AJ292" s="47">
        <v>0</v>
      </c>
      <c r="AK292" s="47">
        <v>0</v>
      </c>
      <c r="AL292" s="47">
        <v>0</v>
      </c>
      <c r="AM292" s="47">
        <v>0</v>
      </c>
      <c r="AN292" s="47">
        <v>0</v>
      </c>
      <c r="AO292" s="47">
        <v>0</v>
      </c>
      <c r="AP292" s="47">
        <v>0</v>
      </c>
      <c r="AQ292" s="47">
        <v>0</v>
      </c>
      <c r="AR292" s="47">
        <v>0</v>
      </c>
      <c r="AS292" s="47">
        <v>0</v>
      </c>
      <c r="AT292" s="47">
        <v>0</v>
      </c>
      <c r="AU292" s="47">
        <v>0</v>
      </c>
      <c r="AV292" s="47">
        <v>0</v>
      </c>
      <c r="AW292" s="47">
        <v>0</v>
      </c>
      <c r="AX292" s="47">
        <v>0</v>
      </c>
      <c r="AY292" s="47">
        <v>0</v>
      </c>
      <c r="AZ292" s="47">
        <v>0</v>
      </c>
      <c r="BA292" s="47">
        <v>0</v>
      </c>
      <c r="BB292" s="47">
        <v>0</v>
      </c>
      <c r="BC292" s="47">
        <v>0</v>
      </c>
      <c r="BD292" s="47">
        <v>0</v>
      </c>
      <c r="BE292" s="47">
        <v>0</v>
      </c>
      <c r="BF292" s="47">
        <v>0</v>
      </c>
      <c r="BG292" s="47">
        <v>0</v>
      </c>
      <c r="BH292" s="47">
        <v>0</v>
      </c>
      <c r="BI292" s="47">
        <v>0</v>
      </c>
      <c r="BJ292" s="47">
        <v>0</v>
      </c>
      <c r="BK292" s="47">
        <v>0</v>
      </c>
      <c r="BL292" s="47">
        <v>0</v>
      </c>
      <c r="BM292" s="47">
        <v>0</v>
      </c>
      <c r="BN292" s="47">
        <v>0</v>
      </c>
      <c r="BO292" s="47">
        <v>0</v>
      </c>
      <c r="BP292" s="47">
        <v>0</v>
      </c>
      <c r="BQ292" s="47">
        <v>0</v>
      </c>
      <c r="BR292" s="47">
        <v>0</v>
      </c>
      <c r="BS292" s="47">
        <v>0</v>
      </c>
      <c r="BT292" s="47">
        <v>0</v>
      </c>
      <c r="BU292" s="47">
        <v>0</v>
      </c>
      <c r="BV292" s="47">
        <v>0</v>
      </c>
      <c r="BW292" s="47">
        <v>0</v>
      </c>
      <c r="BX292" s="47">
        <v>0</v>
      </c>
      <c r="BY292" s="47">
        <v>0</v>
      </c>
      <c r="BZ292" s="47">
        <v>0</v>
      </c>
      <c r="CA292" s="47">
        <v>0</v>
      </c>
      <c r="CB292" s="47">
        <v>0</v>
      </c>
      <c r="CC292" s="47">
        <v>0</v>
      </c>
      <c r="CD292" s="47">
        <v>0</v>
      </c>
      <c r="CE292" s="47">
        <v>0</v>
      </c>
      <c r="CF292" s="47">
        <v>0</v>
      </c>
      <c r="CG292" s="47">
        <v>0</v>
      </c>
      <c r="CH292" s="47">
        <v>0</v>
      </c>
      <c r="CI292" s="47">
        <v>0</v>
      </c>
      <c r="CJ292" s="47">
        <v>0</v>
      </c>
      <c r="CK292" s="47">
        <v>0</v>
      </c>
      <c r="CL292" s="47">
        <v>0</v>
      </c>
      <c r="CM292" s="47">
        <v>0</v>
      </c>
      <c r="CN292" s="47">
        <v>0</v>
      </c>
      <c r="CO292" s="47">
        <v>0</v>
      </c>
      <c r="CP292" s="47">
        <v>0</v>
      </c>
      <c r="CQ292" s="47">
        <v>0</v>
      </c>
      <c r="CR292" s="47">
        <v>0</v>
      </c>
      <c r="CS292" s="47">
        <v>0</v>
      </c>
      <c r="CT292" s="47">
        <v>0</v>
      </c>
      <c r="CU292" s="47">
        <v>0</v>
      </c>
      <c r="CV292" s="47">
        <v>0</v>
      </c>
      <c r="CW292" s="47">
        <v>0</v>
      </c>
      <c r="CX292" s="47">
        <v>0</v>
      </c>
      <c r="CY292" s="47">
        <v>0</v>
      </c>
      <c r="CZ292" s="47">
        <v>0</v>
      </c>
      <c r="DA292" s="47">
        <v>0</v>
      </c>
      <c r="DB292" s="47">
        <v>0</v>
      </c>
      <c r="DC292" s="47">
        <v>0</v>
      </c>
      <c r="DD292" s="47">
        <v>0</v>
      </c>
      <c r="DE292" s="47">
        <v>0</v>
      </c>
      <c r="DF292" s="47">
        <v>0</v>
      </c>
      <c r="DG292" s="47">
        <v>0</v>
      </c>
      <c r="DH292" s="47">
        <v>0</v>
      </c>
      <c r="DI292" s="47">
        <v>0</v>
      </c>
      <c r="DJ292" s="47">
        <v>0</v>
      </c>
      <c r="DK292" s="47">
        <v>0</v>
      </c>
      <c r="DL292" s="47">
        <v>0</v>
      </c>
      <c r="DM292" s="47">
        <v>0</v>
      </c>
      <c r="DN292" s="47">
        <v>0</v>
      </c>
      <c r="DO292" s="47">
        <v>0</v>
      </c>
      <c r="DP292" s="47">
        <v>0</v>
      </c>
      <c r="DQ292" s="47">
        <v>0</v>
      </c>
      <c r="DR292" s="47">
        <v>0</v>
      </c>
      <c r="DS292" s="47">
        <v>0</v>
      </c>
      <c r="DT292" s="47">
        <v>0</v>
      </c>
      <c r="DU292" s="47">
        <v>0</v>
      </c>
      <c r="DV292" s="47">
        <v>0</v>
      </c>
      <c r="DW292" s="47">
        <v>0</v>
      </c>
      <c r="DX292" s="47">
        <v>0</v>
      </c>
      <c r="DY292" s="47">
        <v>0</v>
      </c>
      <c r="DZ292" s="47">
        <v>0</v>
      </c>
      <c r="EA292" s="47">
        <v>0</v>
      </c>
      <c r="EB292" s="47"/>
      <c r="EC292" s="47">
        <v>1</v>
      </c>
      <c r="ZZ292" t="s">
        <v>2472</v>
      </c>
    </row>
    <row r="293" spans="1:702" x14ac:dyDescent="0.25">
      <c r="A293" s="47" t="s">
        <v>1452</v>
      </c>
      <c r="B293" s="47" t="s">
        <v>153</v>
      </c>
      <c r="C293" s="47" t="s">
        <v>157</v>
      </c>
      <c r="D293" s="47" t="s">
        <v>2775</v>
      </c>
      <c r="E293" s="47" t="s">
        <v>1453</v>
      </c>
      <c r="F293" s="47" t="s">
        <v>1454</v>
      </c>
      <c r="G293" s="47" t="s">
        <v>1455</v>
      </c>
      <c r="H293" s="47" t="s">
        <v>698</v>
      </c>
      <c r="I293" s="47" t="s">
        <v>705</v>
      </c>
      <c r="J293" s="47" t="str">
        <f>=IFERROR(VLOOKUP(H293&amp;I293,Table_Fonctions!A:G,6,FALSE),"")</f>
        <v>0</v>
      </c>
      <c r="K293" s="47" t="s">
        <v>2607</v>
      </c>
      <c r="L293" s="47" t="str">
        <f>=IFERROR(VLOOKUP(H293&amp;I293,Table_Fonctions!A:G,7,FALSE),K293)</f>
        <v/>
      </c>
      <c r="M293" s="47" t="str">
        <f>=IF(OR(LEFT(D293, 3)="TJ ", LEFT(D293, 4)="CPH "), "OUI", "NON")</f>
        <v/>
      </c>
      <c r="N293" s="47" t="s">
        <v>1456</v>
      </c>
      <c r="O293" s="47"/>
      <c r="P293" s="47">
        <v>1</v>
      </c>
      <c r="Q293" s="47">
        <v>0</v>
      </c>
      <c r="R293" s="47">
        <v>1</v>
      </c>
      <c r="S293" s="47">
        <f>=ROUND(BQ293-(BR293+BS293),3)</f>
      </c>
      <c r="T293" s="47">
        <f>=ROUND(CK293-(CL293+CM293+CN293+CO293+CP293),3)</f>
      </c>
      <c r="U293" s="47">
        <v>0</v>
      </c>
      <c r="V293" s="47">
        <v>0</v>
      </c>
      <c r="W293" s="47">
        <v>0</v>
      </c>
      <c r="X293" s="47">
        <v>0</v>
      </c>
      <c r="Y293" s="47">
        <v>0</v>
      </c>
      <c r="Z293" s="47">
        <v>0</v>
      </c>
      <c r="AA293" s="47">
        <v>0</v>
      </c>
      <c r="AB293" s="47">
        <v>0</v>
      </c>
      <c r="AC293" s="47">
        <v>0</v>
      </c>
      <c r="AD293" s="47">
        <v>0</v>
      </c>
      <c r="AE293" s="47">
        <v>0</v>
      </c>
      <c r="AF293" s="47">
        <v>0</v>
      </c>
      <c r="AG293" s="47">
        <v>0</v>
      </c>
      <c r="AH293" s="47">
        <v>0</v>
      </c>
      <c r="AI293" s="47">
        <v>0</v>
      </c>
      <c r="AJ293" s="47">
        <v>0</v>
      </c>
      <c r="AK293" s="47">
        <v>0</v>
      </c>
      <c r="AL293" s="47">
        <v>0</v>
      </c>
      <c r="AM293" s="47">
        <v>0</v>
      </c>
      <c r="AN293" s="47">
        <v>0</v>
      </c>
      <c r="AO293" s="47">
        <v>0</v>
      </c>
      <c r="AP293" s="47">
        <v>0</v>
      </c>
      <c r="AQ293" s="47">
        <v>0</v>
      </c>
      <c r="AR293" s="47">
        <v>0</v>
      </c>
      <c r="AS293" s="47">
        <v>0</v>
      </c>
      <c r="AT293" s="47">
        <v>0</v>
      </c>
      <c r="AU293" s="47">
        <v>0</v>
      </c>
      <c r="AV293" s="47">
        <v>0</v>
      </c>
      <c r="AW293" s="47">
        <v>0</v>
      </c>
      <c r="AX293" s="47">
        <v>0</v>
      </c>
      <c r="AY293" s="47">
        <v>0</v>
      </c>
      <c r="AZ293" s="47">
        <v>0</v>
      </c>
      <c r="BA293" s="47">
        <v>0</v>
      </c>
      <c r="BB293" s="47">
        <v>0</v>
      </c>
      <c r="BC293" s="47">
        <v>0</v>
      </c>
      <c r="BD293" s="47">
        <v>0</v>
      </c>
      <c r="BE293" s="47">
        <v>0</v>
      </c>
      <c r="BF293" s="47">
        <v>0</v>
      </c>
      <c r="BG293" s="47">
        <v>0</v>
      </c>
      <c r="BH293" s="47">
        <v>0</v>
      </c>
      <c r="BI293" s="47">
        <v>0</v>
      </c>
      <c r="BJ293" s="47">
        <v>0</v>
      </c>
      <c r="BK293" s="47">
        <v>0</v>
      </c>
      <c r="BL293" s="47">
        <v>0</v>
      </c>
      <c r="BM293" s="47">
        <v>0</v>
      </c>
      <c r="BN293" s="47">
        <v>0</v>
      </c>
      <c r="BO293" s="47">
        <v>0</v>
      </c>
      <c r="BP293" s="47">
        <v>0</v>
      </c>
      <c r="BQ293" s="47">
        <v>0</v>
      </c>
      <c r="BR293" s="47">
        <v>0</v>
      </c>
      <c r="BS293" s="47">
        <v>0</v>
      </c>
      <c r="BT293" s="47">
        <v>0</v>
      </c>
      <c r="BU293" s="47">
        <v>0</v>
      </c>
      <c r="BV293" s="47">
        <v>0</v>
      </c>
      <c r="BW293" s="47">
        <v>0</v>
      </c>
      <c r="BX293" s="47">
        <v>0</v>
      </c>
      <c r="BY293" s="47">
        <v>0</v>
      </c>
      <c r="BZ293" s="47">
        <v>0</v>
      </c>
      <c r="CA293" s="47">
        <v>0</v>
      </c>
      <c r="CB293" s="47">
        <v>0</v>
      </c>
      <c r="CC293" s="47">
        <v>0</v>
      </c>
      <c r="CD293" s="47">
        <v>0</v>
      </c>
      <c r="CE293" s="47">
        <v>0</v>
      </c>
      <c r="CF293" s="47">
        <v>0</v>
      </c>
      <c r="CG293" s="47">
        <v>0</v>
      </c>
      <c r="CH293" s="47">
        <v>0</v>
      </c>
      <c r="CI293" s="47">
        <v>0</v>
      </c>
      <c r="CJ293" s="47">
        <v>0</v>
      </c>
      <c r="CK293" s="47">
        <v>0</v>
      </c>
      <c r="CL293" s="47">
        <v>0</v>
      </c>
      <c r="CM293" s="47">
        <v>0</v>
      </c>
      <c r="CN293" s="47">
        <v>0</v>
      </c>
      <c r="CO293" s="47">
        <v>0</v>
      </c>
      <c r="CP293" s="47">
        <v>0</v>
      </c>
      <c r="CQ293" s="47">
        <v>0</v>
      </c>
      <c r="CR293" s="47">
        <v>0</v>
      </c>
      <c r="CS293" s="47">
        <v>0</v>
      </c>
      <c r="CT293" s="47">
        <v>0</v>
      </c>
      <c r="CU293" s="47">
        <v>0</v>
      </c>
      <c r="CV293" s="47">
        <v>0</v>
      </c>
      <c r="CW293" s="47">
        <v>0</v>
      </c>
      <c r="CX293" s="47">
        <v>0</v>
      </c>
      <c r="CY293" s="47">
        <v>0</v>
      </c>
      <c r="CZ293" s="47">
        <v>0</v>
      </c>
      <c r="DA293" s="47">
        <v>0</v>
      </c>
      <c r="DB293" s="47">
        <v>0</v>
      </c>
      <c r="DC293" s="47">
        <v>0</v>
      </c>
      <c r="DD293" s="47">
        <v>0</v>
      </c>
      <c r="DE293" s="47">
        <v>0</v>
      </c>
      <c r="DF293" s="47">
        <v>0</v>
      </c>
      <c r="DG293" s="47">
        <v>0</v>
      </c>
      <c r="DH293" s="47">
        <v>0</v>
      </c>
      <c r="DI293" s="47">
        <v>0</v>
      </c>
      <c r="DJ293" s="47">
        <v>0</v>
      </c>
      <c r="DK293" s="47">
        <v>0</v>
      </c>
      <c r="DL293" s="47">
        <v>0</v>
      </c>
      <c r="DM293" s="47">
        <v>0</v>
      </c>
      <c r="DN293" s="47">
        <v>0</v>
      </c>
      <c r="DO293" s="47">
        <v>0</v>
      </c>
      <c r="DP293" s="47">
        <v>0</v>
      </c>
      <c r="DQ293" s="47">
        <v>0</v>
      </c>
      <c r="DR293" s="47">
        <v>0</v>
      </c>
      <c r="DS293" s="47">
        <v>0</v>
      </c>
      <c r="DT293" s="47">
        <v>0</v>
      </c>
      <c r="DU293" s="47">
        <v>0</v>
      </c>
      <c r="DV293" s="47">
        <v>0</v>
      </c>
      <c r="DW293" s="47">
        <v>0</v>
      </c>
      <c r="DX293" s="47">
        <v>0</v>
      </c>
      <c r="DY293" s="47">
        <v>0</v>
      </c>
      <c r="DZ293" s="47">
        <v>0</v>
      </c>
      <c r="EA293" s="47">
        <v>0</v>
      </c>
      <c r="EB293" s="47"/>
      <c r="EC293" s="47">
        <v>1</v>
      </c>
      <c r="ZZ293" t="s">
        <v>2472</v>
      </c>
    </row>
    <row r="294" spans="1:702" x14ac:dyDescent="0.25">
      <c r="A294" s="47" t="s">
        <v>1457</v>
      </c>
      <c r="B294" s="47" t="s">
        <v>153</v>
      </c>
      <c r="C294" s="47" t="s">
        <v>157</v>
      </c>
      <c r="D294" s="47" t="s">
        <v>2776</v>
      </c>
      <c r="E294" s="47" t="s">
        <v>1458</v>
      </c>
      <c r="F294" s="47" t="s">
        <v>1459</v>
      </c>
      <c r="G294" s="47" t="s">
        <v>1460</v>
      </c>
      <c r="H294" s="47" t="s">
        <v>698</v>
      </c>
      <c r="I294" s="47" t="s">
        <v>727</v>
      </c>
      <c r="J294" s="47" t="str">
        <f>=IFERROR(VLOOKUP(H294&amp;I294,Table_Fonctions!A:G,6,FALSE),"")</f>
        <v>0</v>
      </c>
      <c r="K294" s="47" t="s">
        <v>2607</v>
      </c>
      <c r="L294" s="47" t="str">
        <f>=IFERROR(VLOOKUP(H294&amp;I294,Table_Fonctions!A:G,7,FALSE),K294)</f>
        <v/>
      </c>
      <c r="M294" s="47" t="str">
        <f>=IF(OR(LEFT(D294, 3)="TJ ", LEFT(D294, 4)="CPH "), "OUI", "NON")</f>
        <v/>
      </c>
      <c r="N294" s="47" t="s">
        <v>1155</v>
      </c>
      <c r="O294" s="47"/>
      <c r="P294" s="47">
        <v>1</v>
      </c>
      <c r="Q294" s="47">
        <v>1</v>
      </c>
      <c r="R294" s="47">
        <v>0</v>
      </c>
      <c r="S294" s="47">
        <f>=ROUND(BQ294-(BR294+BS294),3)</f>
      </c>
      <c r="T294" s="47">
        <f>=ROUND(CK294-(CL294+CM294+CN294+CO294+CP294),3)</f>
      </c>
      <c r="U294" s="47">
        <v>0</v>
      </c>
      <c r="V294" s="47">
        <v>0</v>
      </c>
      <c r="W294" s="47">
        <v>0</v>
      </c>
      <c r="X294" s="47">
        <v>0</v>
      </c>
      <c r="Y294" s="47">
        <v>0</v>
      </c>
      <c r="Z294" s="47">
        <v>0</v>
      </c>
      <c r="AA294" s="47">
        <v>0</v>
      </c>
      <c r="AB294" s="47">
        <v>0</v>
      </c>
      <c r="AC294" s="47">
        <v>0</v>
      </c>
      <c r="AD294" s="47">
        <v>0</v>
      </c>
      <c r="AE294" s="47">
        <v>0</v>
      </c>
      <c r="AF294" s="47">
        <v>0</v>
      </c>
      <c r="AG294" s="47">
        <v>0</v>
      </c>
      <c r="AH294" s="47">
        <v>0</v>
      </c>
      <c r="AI294" s="47">
        <v>0</v>
      </c>
      <c r="AJ294" s="47">
        <v>1</v>
      </c>
      <c r="AK294" s="47">
        <v>0</v>
      </c>
      <c r="AL294" s="47">
        <v>0</v>
      </c>
      <c r="AM294" s="47">
        <v>0</v>
      </c>
      <c r="AN294" s="47">
        <v>0</v>
      </c>
      <c r="AO294" s="47">
        <v>0</v>
      </c>
      <c r="AP294" s="47">
        <v>0</v>
      </c>
      <c r="AQ294" s="47">
        <v>0</v>
      </c>
      <c r="AR294" s="47">
        <v>0</v>
      </c>
      <c r="AS294" s="47">
        <v>0</v>
      </c>
      <c r="AT294" s="47">
        <v>0</v>
      </c>
      <c r="AU294" s="47">
        <v>0</v>
      </c>
      <c r="AV294" s="47">
        <v>0</v>
      </c>
      <c r="AW294" s="47">
        <v>0</v>
      </c>
      <c r="AX294" s="47">
        <v>0</v>
      </c>
      <c r="AY294" s="47">
        <v>0</v>
      </c>
      <c r="AZ294" s="47">
        <v>0</v>
      </c>
      <c r="BA294" s="47">
        <v>0</v>
      </c>
      <c r="BB294" s="47">
        <v>0</v>
      </c>
      <c r="BC294" s="47">
        <v>0</v>
      </c>
      <c r="BD294" s="47">
        <v>0</v>
      </c>
      <c r="BE294" s="47">
        <v>0</v>
      </c>
      <c r="BF294" s="47">
        <v>0</v>
      </c>
      <c r="BG294" s="47">
        <v>0</v>
      </c>
      <c r="BH294" s="47">
        <v>0</v>
      </c>
      <c r="BI294" s="47">
        <v>0</v>
      </c>
      <c r="BJ294" s="47">
        <v>0</v>
      </c>
      <c r="BK294" s="47">
        <v>0</v>
      </c>
      <c r="BL294" s="47">
        <v>0</v>
      </c>
      <c r="BM294" s="47">
        <v>0</v>
      </c>
      <c r="BN294" s="47">
        <v>0</v>
      </c>
      <c r="BO294" s="47">
        <v>0</v>
      </c>
      <c r="BP294" s="47">
        <v>0</v>
      </c>
      <c r="BQ294" s="47">
        <v>0</v>
      </c>
      <c r="BR294" s="47">
        <v>0</v>
      </c>
      <c r="BS294" s="47">
        <v>0</v>
      </c>
      <c r="BT294" s="47">
        <v>0</v>
      </c>
      <c r="BU294" s="47">
        <v>0</v>
      </c>
      <c r="BV294" s="47">
        <v>0</v>
      </c>
      <c r="BW294" s="47">
        <v>0</v>
      </c>
      <c r="BX294" s="47">
        <v>0</v>
      </c>
      <c r="BY294" s="47">
        <v>0</v>
      </c>
      <c r="BZ294" s="47">
        <v>0</v>
      </c>
      <c r="CA294" s="47">
        <v>0</v>
      </c>
      <c r="CB294" s="47">
        <v>0</v>
      </c>
      <c r="CC294" s="47">
        <v>0</v>
      </c>
      <c r="CD294" s="47">
        <v>0</v>
      </c>
      <c r="CE294" s="47">
        <v>0</v>
      </c>
      <c r="CF294" s="47">
        <v>0</v>
      </c>
      <c r="CG294" s="47">
        <v>0</v>
      </c>
      <c r="CH294" s="47">
        <v>0</v>
      </c>
      <c r="CI294" s="47">
        <v>0</v>
      </c>
      <c r="CJ294" s="47">
        <v>0</v>
      </c>
      <c r="CK294" s="47">
        <v>0</v>
      </c>
      <c r="CL294" s="47">
        <v>0</v>
      </c>
      <c r="CM294" s="47">
        <v>0</v>
      </c>
      <c r="CN294" s="47">
        <v>0</v>
      </c>
      <c r="CO294" s="47">
        <v>0</v>
      </c>
      <c r="CP294" s="47">
        <v>0</v>
      </c>
      <c r="CQ294" s="47">
        <v>0</v>
      </c>
      <c r="CR294" s="47">
        <v>0</v>
      </c>
      <c r="CS294" s="47">
        <v>0</v>
      </c>
      <c r="CT294" s="47">
        <v>0</v>
      </c>
      <c r="CU294" s="47">
        <v>0</v>
      </c>
      <c r="CV294" s="47">
        <v>0</v>
      </c>
      <c r="CW294" s="47">
        <v>0</v>
      </c>
      <c r="CX294" s="47">
        <v>0</v>
      </c>
      <c r="CY294" s="47">
        <v>0</v>
      </c>
      <c r="CZ294" s="47">
        <v>0</v>
      </c>
      <c r="DA294" s="47">
        <v>0</v>
      </c>
      <c r="DB294" s="47">
        <v>0</v>
      </c>
      <c r="DC294" s="47">
        <v>0</v>
      </c>
      <c r="DD294" s="47">
        <v>0</v>
      </c>
      <c r="DE294" s="47">
        <v>0</v>
      </c>
      <c r="DF294" s="47">
        <v>0</v>
      </c>
      <c r="DG294" s="47">
        <v>0</v>
      </c>
      <c r="DH294" s="47">
        <v>0</v>
      </c>
      <c r="DI294" s="47">
        <v>0</v>
      </c>
      <c r="DJ294" s="47">
        <v>0</v>
      </c>
      <c r="DK294" s="47">
        <v>0</v>
      </c>
      <c r="DL294" s="47">
        <v>0</v>
      </c>
      <c r="DM294" s="47">
        <v>0</v>
      </c>
      <c r="DN294" s="47">
        <v>0</v>
      </c>
      <c r="DO294" s="47">
        <v>0</v>
      </c>
      <c r="DP294" s="47">
        <v>0</v>
      </c>
      <c r="DQ294" s="47">
        <v>0</v>
      </c>
      <c r="DR294" s="47">
        <v>0</v>
      </c>
      <c r="DS294" s="47">
        <v>0</v>
      </c>
      <c r="DT294" s="47">
        <v>0</v>
      </c>
      <c r="DU294" s="47">
        <v>0</v>
      </c>
      <c r="DV294" s="47">
        <v>0</v>
      </c>
      <c r="DW294" s="47">
        <v>0</v>
      </c>
      <c r="DX294" s="47">
        <v>0</v>
      </c>
      <c r="DY294" s="47">
        <v>0</v>
      </c>
      <c r="DZ294" s="47">
        <v>0</v>
      </c>
      <c r="EA294" s="47">
        <v>0</v>
      </c>
      <c r="EB294" s="47"/>
      <c r="EC294" s="47">
        <v>1</v>
      </c>
      <c r="ZZ294" t="s">
        <v>2472</v>
      </c>
    </row>
    <row r="295" spans="1:702" x14ac:dyDescent="0.25">
      <c r="A295" s="47" t="s">
        <v>1461</v>
      </c>
      <c r="B295" s="47" t="s">
        <v>153</v>
      </c>
      <c r="C295" s="47" t="s">
        <v>157</v>
      </c>
      <c r="D295" s="47" t="s">
        <v>2777</v>
      </c>
      <c r="E295" s="47" t="s">
        <v>1462</v>
      </c>
      <c r="F295" s="47" t="s">
        <v>1463</v>
      </c>
      <c r="G295" s="47" t="s">
        <v>1464</v>
      </c>
      <c r="H295" s="47" t="s">
        <v>698</v>
      </c>
      <c r="I295" s="47" t="s">
        <v>727</v>
      </c>
      <c r="J295" s="47" t="str">
        <f>=IFERROR(VLOOKUP(H295&amp;I295,Table_Fonctions!A:G,6,FALSE),"")</f>
        <v>0</v>
      </c>
      <c r="K295" s="47" t="s">
        <v>2607</v>
      </c>
      <c r="L295" s="47" t="str">
        <f>=IFERROR(VLOOKUP(H295&amp;I295,Table_Fonctions!A:G,7,FALSE),K295)</f>
        <v/>
      </c>
      <c r="M295" s="47" t="str">
        <f>=IF(OR(LEFT(D295, 3)="TJ ", LEFT(D295, 4)="CPH "), "OUI", "NON")</f>
        <v/>
      </c>
      <c r="N295" s="47" t="s">
        <v>728</v>
      </c>
      <c r="O295" s="47"/>
      <c r="P295" s="47">
        <v>0.8</v>
      </c>
      <c r="Q295" s="47">
        <v>0</v>
      </c>
      <c r="R295" s="47">
        <v>0.8</v>
      </c>
      <c r="S295" s="47">
        <f>=ROUND(BQ295-(BR295+BS295),3)</f>
      </c>
      <c r="T295" s="47">
        <f>=ROUND(CK295-(CL295+CM295+CN295+CO295+CP295),3)</f>
      </c>
      <c r="U295" s="47">
        <v>0</v>
      </c>
      <c r="V295" s="47">
        <v>0</v>
      </c>
      <c r="W295" s="47">
        <v>0</v>
      </c>
      <c r="X295" s="47">
        <v>0</v>
      </c>
      <c r="Y295" s="47">
        <v>0</v>
      </c>
      <c r="Z295" s="47">
        <v>0</v>
      </c>
      <c r="AA295" s="47">
        <v>0</v>
      </c>
      <c r="AB295" s="47">
        <v>0</v>
      </c>
      <c r="AC295" s="47">
        <v>0</v>
      </c>
      <c r="AD295" s="47">
        <v>0</v>
      </c>
      <c r="AE295" s="47">
        <v>0</v>
      </c>
      <c r="AF295" s="47">
        <v>0</v>
      </c>
      <c r="AG295" s="47">
        <v>0</v>
      </c>
      <c r="AH295" s="47">
        <v>0</v>
      </c>
      <c r="AI295" s="47">
        <v>0</v>
      </c>
      <c r="AJ295" s="47">
        <v>0</v>
      </c>
      <c r="AK295" s="47">
        <v>0</v>
      </c>
      <c r="AL295" s="47">
        <v>0</v>
      </c>
      <c r="AM295" s="47">
        <v>0</v>
      </c>
      <c r="AN295" s="47">
        <v>0</v>
      </c>
      <c r="AO295" s="47">
        <v>0</v>
      </c>
      <c r="AP295" s="47">
        <v>0</v>
      </c>
      <c r="AQ295" s="47">
        <v>0</v>
      </c>
      <c r="AR295" s="47">
        <v>0</v>
      </c>
      <c r="AS295" s="47">
        <v>0</v>
      </c>
      <c r="AT295" s="47">
        <v>0</v>
      </c>
      <c r="AU295" s="47">
        <v>0</v>
      </c>
      <c r="AV295" s="47">
        <v>0</v>
      </c>
      <c r="AW295" s="47">
        <v>0</v>
      </c>
      <c r="AX295" s="47">
        <v>0</v>
      </c>
      <c r="AY295" s="47">
        <v>0</v>
      </c>
      <c r="AZ295" s="47">
        <v>0</v>
      </c>
      <c r="BA295" s="47">
        <v>0</v>
      </c>
      <c r="BB295" s="47">
        <v>0</v>
      </c>
      <c r="BC295" s="47">
        <v>0</v>
      </c>
      <c r="BD295" s="47">
        <v>0</v>
      </c>
      <c r="BE295" s="47">
        <v>0</v>
      </c>
      <c r="BF295" s="47">
        <v>0</v>
      </c>
      <c r="BG295" s="47">
        <v>0</v>
      </c>
      <c r="BH295" s="47">
        <v>0</v>
      </c>
      <c r="BI295" s="47">
        <v>0</v>
      </c>
      <c r="BJ295" s="47">
        <v>0</v>
      </c>
      <c r="BK295" s="47">
        <v>0</v>
      </c>
      <c r="BL295" s="47">
        <v>0</v>
      </c>
      <c r="BM295" s="47">
        <v>0</v>
      </c>
      <c r="BN295" s="47">
        <v>0</v>
      </c>
      <c r="BO295" s="47">
        <v>0</v>
      </c>
      <c r="BP295" s="47">
        <v>0</v>
      </c>
      <c r="BQ295" s="47">
        <v>0</v>
      </c>
      <c r="BR295" s="47">
        <v>0</v>
      </c>
      <c r="BS295" s="47">
        <v>0</v>
      </c>
      <c r="BT295" s="47">
        <v>0</v>
      </c>
      <c r="BU295" s="47">
        <v>0</v>
      </c>
      <c r="BV295" s="47">
        <v>0</v>
      </c>
      <c r="BW295" s="47">
        <v>0</v>
      </c>
      <c r="BX295" s="47">
        <v>0</v>
      </c>
      <c r="BY295" s="47">
        <v>0</v>
      </c>
      <c r="BZ295" s="47">
        <v>0</v>
      </c>
      <c r="CA295" s="47">
        <v>0</v>
      </c>
      <c r="CB295" s="47">
        <v>0</v>
      </c>
      <c r="CC295" s="47">
        <v>0</v>
      </c>
      <c r="CD295" s="47">
        <v>0</v>
      </c>
      <c r="CE295" s="47">
        <v>0</v>
      </c>
      <c r="CF295" s="47">
        <v>0</v>
      </c>
      <c r="CG295" s="47">
        <v>0</v>
      </c>
      <c r="CH295" s="47">
        <v>0</v>
      </c>
      <c r="CI295" s="47">
        <v>0</v>
      </c>
      <c r="CJ295" s="47">
        <v>0</v>
      </c>
      <c r="CK295" s="47">
        <v>0</v>
      </c>
      <c r="CL295" s="47">
        <v>0</v>
      </c>
      <c r="CM295" s="47">
        <v>0</v>
      </c>
      <c r="CN295" s="47">
        <v>0</v>
      </c>
      <c r="CO295" s="47">
        <v>0</v>
      </c>
      <c r="CP295" s="47">
        <v>0</v>
      </c>
      <c r="CQ295" s="47">
        <v>0</v>
      </c>
      <c r="CR295" s="47">
        <v>0</v>
      </c>
      <c r="CS295" s="47">
        <v>0</v>
      </c>
      <c r="CT295" s="47">
        <v>0</v>
      </c>
      <c r="CU295" s="47">
        <v>0</v>
      </c>
      <c r="CV295" s="47">
        <v>0</v>
      </c>
      <c r="CW295" s="47">
        <v>0</v>
      </c>
      <c r="CX295" s="47">
        <v>0</v>
      </c>
      <c r="CY295" s="47">
        <v>0</v>
      </c>
      <c r="CZ295" s="47">
        <v>0</v>
      </c>
      <c r="DA295" s="47">
        <v>0</v>
      </c>
      <c r="DB295" s="47">
        <v>0</v>
      </c>
      <c r="DC295" s="47">
        <v>0</v>
      </c>
      <c r="DD295" s="47">
        <v>0</v>
      </c>
      <c r="DE295" s="47">
        <v>0</v>
      </c>
      <c r="DF295" s="47">
        <v>0</v>
      </c>
      <c r="DG295" s="47">
        <v>0</v>
      </c>
      <c r="DH295" s="47">
        <v>0</v>
      </c>
      <c r="DI295" s="47">
        <v>0</v>
      </c>
      <c r="DJ295" s="47">
        <v>0</v>
      </c>
      <c r="DK295" s="47">
        <v>0</v>
      </c>
      <c r="DL295" s="47">
        <v>0</v>
      </c>
      <c r="DM295" s="47">
        <v>0</v>
      </c>
      <c r="DN295" s="47">
        <v>0</v>
      </c>
      <c r="DO295" s="47">
        <v>0</v>
      </c>
      <c r="DP295" s="47">
        <v>0</v>
      </c>
      <c r="DQ295" s="47">
        <v>0</v>
      </c>
      <c r="DR295" s="47">
        <v>0</v>
      </c>
      <c r="DS295" s="47">
        <v>0</v>
      </c>
      <c r="DT295" s="47">
        <v>0</v>
      </c>
      <c r="DU295" s="47">
        <v>0</v>
      </c>
      <c r="DV295" s="47">
        <v>0</v>
      </c>
      <c r="DW295" s="47">
        <v>0</v>
      </c>
      <c r="DX295" s="47">
        <v>0</v>
      </c>
      <c r="DY295" s="47">
        <v>0</v>
      </c>
      <c r="DZ295" s="47">
        <v>0</v>
      </c>
      <c r="EA295" s="47">
        <v>0</v>
      </c>
      <c r="EB295" s="47"/>
      <c r="EC295" s="47">
        <v>0.8</v>
      </c>
      <c r="ZZ295" t="s">
        <v>2472</v>
      </c>
    </row>
    <row r="296" spans="1:702" x14ac:dyDescent="0.25">
      <c r="A296" s="47" t="s">
        <v>1465</v>
      </c>
      <c r="B296" s="47" t="s">
        <v>153</v>
      </c>
      <c r="C296" s="47" t="s">
        <v>157</v>
      </c>
      <c r="D296" s="47" t="s">
        <v>2778</v>
      </c>
      <c r="E296" s="47" t="s">
        <v>1466</v>
      </c>
      <c r="F296" s="47" t="s">
        <v>1467</v>
      </c>
      <c r="G296" s="47" t="s">
        <v>1468</v>
      </c>
      <c r="H296" s="47" t="s">
        <v>698</v>
      </c>
      <c r="I296" s="47" t="s">
        <v>738</v>
      </c>
      <c r="J296" s="47" t="str">
        <f>=IFERROR(VLOOKUP(H296&amp;I296,Table_Fonctions!A:G,6,FALSE),"")</f>
        <v>0</v>
      </c>
      <c r="K296" s="47" t="s">
        <v>2607</v>
      </c>
      <c r="L296" s="47" t="str">
        <f>=IFERROR(VLOOKUP(H296&amp;I296,Table_Fonctions!A:G,7,FALSE),K296)</f>
        <v/>
      </c>
      <c r="M296" s="47" t="str">
        <f>=IF(OR(LEFT(D296, 3)="TJ ", LEFT(D296, 4)="CPH "), "OUI", "NON")</f>
        <v/>
      </c>
      <c r="N296" s="47" t="s">
        <v>1469</v>
      </c>
      <c r="O296" s="47"/>
      <c r="P296" s="47">
        <v>1</v>
      </c>
      <c r="Q296" s="47">
        <v>1</v>
      </c>
      <c r="R296" s="47">
        <v>0</v>
      </c>
      <c r="S296" s="47">
        <f>=ROUND(BQ296-(BR296+BS296),3)</f>
      </c>
      <c r="T296" s="47">
        <f>=ROUND(CK296-(CL296+CM296+CN296+CO296+CP296),3)</f>
      </c>
      <c r="U296" s="47">
        <v>1</v>
      </c>
      <c r="V296" s="47">
        <v>0</v>
      </c>
      <c r="W296" s="47">
        <v>0</v>
      </c>
      <c r="X296" s="47">
        <v>0</v>
      </c>
      <c r="Y296" s="47">
        <v>0</v>
      </c>
      <c r="Z296" s="47">
        <v>0</v>
      </c>
      <c r="AA296" s="47">
        <v>0</v>
      </c>
      <c r="AB296" s="47">
        <v>0</v>
      </c>
      <c r="AC296" s="47">
        <v>0</v>
      </c>
      <c r="AD296" s="47">
        <v>0</v>
      </c>
      <c r="AE296" s="47">
        <v>0</v>
      </c>
      <c r="AF296" s="47">
        <v>0</v>
      </c>
      <c r="AG296" s="47">
        <v>0</v>
      </c>
      <c r="AH296" s="47">
        <v>0</v>
      </c>
      <c r="AI296" s="47">
        <v>0</v>
      </c>
      <c r="AJ296" s="47">
        <v>0</v>
      </c>
      <c r="AK296" s="47">
        <v>0</v>
      </c>
      <c r="AL296" s="47">
        <v>0</v>
      </c>
      <c r="AM296" s="47">
        <v>0</v>
      </c>
      <c r="AN296" s="47">
        <v>0</v>
      </c>
      <c r="AO296" s="47">
        <v>0</v>
      </c>
      <c r="AP296" s="47">
        <v>0</v>
      </c>
      <c r="AQ296" s="47">
        <v>0</v>
      </c>
      <c r="AR296" s="47">
        <v>0</v>
      </c>
      <c r="AS296" s="47">
        <v>0</v>
      </c>
      <c r="AT296" s="47">
        <v>0</v>
      </c>
      <c r="AU296" s="47">
        <v>0</v>
      </c>
      <c r="AV296" s="47">
        <v>0</v>
      </c>
      <c r="AW296" s="47">
        <v>0</v>
      </c>
      <c r="AX296" s="47">
        <v>0</v>
      </c>
      <c r="AY296" s="47">
        <v>0</v>
      </c>
      <c r="AZ296" s="47">
        <v>0</v>
      </c>
      <c r="BA296" s="47">
        <v>0</v>
      </c>
      <c r="BB296" s="47">
        <v>0</v>
      </c>
      <c r="BC296" s="47">
        <v>0</v>
      </c>
      <c r="BD296" s="47">
        <v>0</v>
      </c>
      <c r="BE296" s="47">
        <v>0</v>
      </c>
      <c r="BF296" s="47">
        <v>0</v>
      </c>
      <c r="BG296" s="47">
        <v>0</v>
      </c>
      <c r="BH296" s="47">
        <v>0</v>
      </c>
      <c r="BI296" s="47">
        <v>0</v>
      </c>
      <c r="BJ296" s="47">
        <v>0</v>
      </c>
      <c r="BK296" s="47">
        <v>0</v>
      </c>
      <c r="BL296" s="47">
        <v>0</v>
      </c>
      <c r="BM296" s="47">
        <v>0</v>
      </c>
      <c r="BN296" s="47">
        <v>0</v>
      </c>
      <c r="BO296" s="47">
        <v>0</v>
      </c>
      <c r="BP296" s="47">
        <v>0</v>
      </c>
      <c r="BQ296" s="47">
        <v>0</v>
      </c>
      <c r="BR296" s="47">
        <v>0</v>
      </c>
      <c r="BS296" s="47">
        <v>0</v>
      </c>
      <c r="BT296" s="47">
        <v>0</v>
      </c>
      <c r="BU296" s="47">
        <v>0</v>
      </c>
      <c r="BV296" s="47">
        <v>0</v>
      </c>
      <c r="BW296" s="47">
        <v>0</v>
      </c>
      <c r="BX296" s="47">
        <v>0</v>
      </c>
      <c r="BY296" s="47">
        <v>0</v>
      </c>
      <c r="BZ296" s="47">
        <v>0</v>
      </c>
      <c r="CA296" s="47">
        <v>0</v>
      </c>
      <c r="CB296" s="47">
        <v>0</v>
      </c>
      <c r="CC296" s="47">
        <v>0</v>
      </c>
      <c r="CD296" s="47">
        <v>0</v>
      </c>
      <c r="CE296" s="47">
        <v>0</v>
      </c>
      <c r="CF296" s="47">
        <v>0</v>
      </c>
      <c r="CG296" s="47">
        <v>0</v>
      </c>
      <c r="CH296" s="47">
        <v>0</v>
      </c>
      <c r="CI296" s="47">
        <v>0</v>
      </c>
      <c r="CJ296" s="47">
        <v>0</v>
      </c>
      <c r="CK296" s="47">
        <v>0</v>
      </c>
      <c r="CL296" s="47">
        <v>0</v>
      </c>
      <c r="CM296" s="47">
        <v>0</v>
      </c>
      <c r="CN296" s="47">
        <v>0</v>
      </c>
      <c r="CO296" s="47">
        <v>0</v>
      </c>
      <c r="CP296" s="47">
        <v>0</v>
      </c>
      <c r="CQ296" s="47">
        <v>0</v>
      </c>
      <c r="CR296" s="47">
        <v>0</v>
      </c>
      <c r="CS296" s="47">
        <v>0</v>
      </c>
      <c r="CT296" s="47">
        <v>0</v>
      </c>
      <c r="CU296" s="47">
        <v>0</v>
      </c>
      <c r="CV296" s="47">
        <v>0</v>
      </c>
      <c r="CW296" s="47">
        <v>0</v>
      </c>
      <c r="CX296" s="47">
        <v>0</v>
      </c>
      <c r="CY296" s="47">
        <v>0</v>
      </c>
      <c r="CZ296" s="47">
        <v>0</v>
      </c>
      <c r="DA296" s="47">
        <v>0</v>
      </c>
      <c r="DB296" s="47">
        <v>0</v>
      </c>
      <c r="DC296" s="47">
        <v>0</v>
      </c>
      <c r="DD296" s="47">
        <v>0</v>
      </c>
      <c r="DE296" s="47">
        <v>0</v>
      </c>
      <c r="DF296" s="47">
        <v>0</v>
      </c>
      <c r="DG296" s="47">
        <v>0</v>
      </c>
      <c r="DH296" s="47">
        <v>0</v>
      </c>
      <c r="DI296" s="47">
        <v>0</v>
      </c>
      <c r="DJ296" s="47">
        <v>0</v>
      </c>
      <c r="DK296" s="47">
        <v>0</v>
      </c>
      <c r="DL296" s="47">
        <v>0</v>
      </c>
      <c r="DM296" s="47">
        <v>0</v>
      </c>
      <c r="DN296" s="47">
        <v>0</v>
      </c>
      <c r="DO296" s="47">
        <v>0</v>
      </c>
      <c r="DP296" s="47">
        <v>0</v>
      </c>
      <c r="DQ296" s="47">
        <v>0</v>
      </c>
      <c r="DR296" s="47">
        <v>0</v>
      </c>
      <c r="DS296" s="47">
        <v>0</v>
      </c>
      <c r="DT296" s="47">
        <v>0</v>
      </c>
      <c r="DU296" s="47">
        <v>0</v>
      </c>
      <c r="DV296" s="47">
        <v>0</v>
      </c>
      <c r="DW296" s="47">
        <v>0</v>
      </c>
      <c r="DX296" s="47">
        <v>0</v>
      </c>
      <c r="DY296" s="47">
        <v>0</v>
      </c>
      <c r="DZ296" s="47">
        <v>0</v>
      </c>
      <c r="EA296" s="47">
        <v>0</v>
      </c>
      <c r="EB296" s="47"/>
      <c r="EC296" s="47">
        <v>1</v>
      </c>
      <c r="ZZ296" t="s">
        <v>2472</v>
      </c>
    </row>
    <row r="297" spans="1:702" x14ac:dyDescent="0.25">
      <c r="A297" s="47" t="s">
        <v>1470</v>
      </c>
      <c r="B297" s="47" t="s">
        <v>153</v>
      </c>
      <c r="C297" s="47" t="s">
        <v>157</v>
      </c>
      <c r="D297" s="47" t="s">
        <v>2779</v>
      </c>
      <c r="E297" s="47" t="s">
        <v>1471</v>
      </c>
      <c r="F297" s="47" t="s">
        <v>1472</v>
      </c>
      <c r="G297" s="47" t="s">
        <v>1473</v>
      </c>
      <c r="H297" s="47" t="s">
        <v>698</v>
      </c>
      <c r="I297" s="47" t="s">
        <v>1474</v>
      </c>
      <c r="J297" s="47" t="str">
        <f>=IFERROR(VLOOKUP(H297&amp;I297,Table_Fonctions!A:G,6,FALSE),"")</f>
        <v>0</v>
      </c>
      <c r="K297" s="47" t="s">
        <v>2607</v>
      </c>
      <c r="L297" s="47" t="str">
        <f>=IFERROR(VLOOKUP(H297&amp;I297,Table_Fonctions!A:G,7,FALSE),K297)</f>
        <v/>
      </c>
      <c r="M297" s="47" t="str">
        <f>=IF(OR(LEFT(D297, 3)="TJ ", LEFT(D297, 4)="CPH "), "OUI", "NON")</f>
        <v/>
      </c>
      <c r="N297" s="47" t="s">
        <v>1475</v>
      </c>
      <c r="O297" s="47"/>
      <c r="P297" s="47">
        <v>1</v>
      </c>
      <c r="Q297" s="47">
        <v>0</v>
      </c>
      <c r="R297" s="47">
        <v>1</v>
      </c>
      <c r="S297" s="47">
        <f>=ROUND(BQ297-(BR297+BS297),3)</f>
      </c>
      <c r="T297" s="47">
        <f>=ROUND(CK297-(CL297+CM297+CN297+CO297+CP297),3)</f>
      </c>
      <c r="U297" s="47">
        <v>0</v>
      </c>
      <c r="V297" s="47">
        <v>0</v>
      </c>
      <c r="W297" s="47">
        <v>0</v>
      </c>
      <c r="X297" s="47">
        <v>0</v>
      </c>
      <c r="Y297" s="47">
        <v>0</v>
      </c>
      <c r="Z297" s="47">
        <v>0</v>
      </c>
      <c r="AA297" s="47">
        <v>0</v>
      </c>
      <c r="AB297" s="47">
        <v>0</v>
      </c>
      <c r="AC297" s="47">
        <v>0</v>
      </c>
      <c r="AD297" s="47">
        <v>0</v>
      </c>
      <c r="AE297" s="47">
        <v>0</v>
      </c>
      <c r="AF297" s="47">
        <v>0</v>
      </c>
      <c r="AG297" s="47">
        <v>0</v>
      </c>
      <c r="AH297" s="47">
        <v>0</v>
      </c>
      <c r="AI297" s="47">
        <v>0</v>
      </c>
      <c r="AJ297" s="47">
        <v>0</v>
      </c>
      <c r="AK297" s="47">
        <v>0</v>
      </c>
      <c r="AL297" s="47">
        <v>0</v>
      </c>
      <c r="AM297" s="47">
        <v>0</v>
      </c>
      <c r="AN297" s="47">
        <v>0</v>
      </c>
      <c r="AO297" s="47">
        <v>0</v>
      </c>
      <c r="AP297" s="47">
        <v>0</v>
      </c>
      <c r="AQ297" s="47">
        <v>0</v>
      </c>
      <c r="AR297" s="47">
        <v>0</v>
      </c>
      <c r="AS297" s="47">
        <v>0</v>
      </c>
      <c r="AT297" s="47">
        <v>0</v>
      </c>
      <c r="AU297" s="47">
        <v>0</v>
      </c>
      <c r="AV297" s="47">
        <v>0</v>
      </c>
      <c r="AW297" s="47">
        <v>0</v>
      </c>
      <c r="AX297" s="47">
        <v>0</v>
      </c>
      <c r="AY297" s="47">
        <v>0</v>
      </c>
      <c r="AZ297" s="47">
        <v>0</v>
      </c>
      <c r="BA297" s="47">
        <v>0</v>
      </c>
      <c r="BB297" s="47">
        <v>0</v>
      </c>
      <c r="BC297" s="47">
        <v>0</v>
      </c>
      <c r="BD297" s="47">
        <v>0</v>
      </c>
      <c r="BE297" s="47">
        <v>0</v>
      </c>
      <c r="BF297" s="47">
        <v>0</v>
      </c>
      <c r="BG297" s="47">
        <v>0</v>
      </c>
      <c r="BH297" s="47">
        <v>0</v>
      </c>
      <c r="BI297" s="47">
        <v>0</v>
      </c>
      <c r="BJ297" s="47">
        <v>0</v>
      </c>
      <c r="BK297" s="47">
        <v>0</v>
      </c>
      <c r="BL297" s="47">
        <v>0</v>
      </c>
      <c r="BM297" s="47">
        <v>0</v>
      </c>
      <c r="BN297" s="47">
        <v>0</v>
      </c>
      <c r="BO297" s="47">
        <v>0</v>
      </c>
      <c r="BP297" s="47">
        <v>0</v>
      </c>
      <c r="BQ297" s="47">
        <v>0</v>
      </c>
      <c r="BR297" s="47">
        <v>0</v>
      </c>
      <c r="BS297" s="47">
        <v>0</v>
      </c>
      <c r="BT297" s="47">
        <v>0</v>
      </c>
      <c r="BU297" s="47">
        <v>0</v>
      </c>
      <c r="BV297" s="47">
        <v>0</v>
      </c>
      <c r="BW297" s="47">
        <v>0</v>
      </c>
      <c r="BX297" s="47">
        <v>0</v>
      </c>
      <c r="BY297" s="47">
        <v>0</v>
      </c>
      <c r="BZ297" s="47">
        <v>0</v>
      </c>
      <c r="CA297" s="47">
        <v>0</v>
      </c>
      <c r="CB297" s="47">
        <v>0</v>
      </c>
      <c r="CC297" s="47">
        <v>0</v>
      </c>
      <c r="CD297" s="47">
        <v>0</v>
      </c>
      <c r="CE297" s="47">
        <v>0</v>
      </c>
      <c r="CF297" s="47">
        <v>0</v>
      </c>
      <c r="CG297" s="47">
        <v>0</v>
      </c>
      <c r="CH297" s="47">
        <v>0</v>
      </c>
      <c r="CI297" s="47">
        <v>0</v>
      </c>
      <c r="CJ297" s="47">
        <v>0</v>
      </c>
      <c r="CK297" s="47">
        <v>0</v>
      </c>
      <c r="CL297" s="47">
        <v>0</v>
      </c>
      <c r="CM297" s="47">
        <v>0</v>
      </c>
      <c r="CN297" s="47">
        <v>0</v>
      </c>
      <c r="CO297" s="47">
        <v>0</v>
      </c>
      <c r="CP297" s="47">
        <v>0</v>
      </c>
      <c r="CQ297" s="47">
        <v>0</v>
      </c>
      <c r="CR297" s="47">
        <v>0</v>
      </c>
      <c r="CS297" s="47">
        <v>0</v>
      </c>
      <c r="CT297" s="47">
        <v>0</v>
      </c>
      <c r="CU297" s="47">
        <v>0</v>
      </c>
      <c r="CV297" s="47">
        <v>0</v>
      </c>
      <c r="CW297" s="47">
        <v>0</v>
      </c>
      <c r="CX297" s="47">
        <v>0</v>
      </c>
      <c r="CY297" s="47">
        <v>0</v>
      </c>
      <c r="CZ297" s="47">
        <v>0</v>
      </c>
      <c r="DA297" s="47">
        <v>0</v>
      </c>
      <c r="DB297" s="47">
        <v>0</v>
      </c>
      <c r="DC297" s="47">
        <v>0</v>
      </c>
      <c r="DD297" s="47">
        <v>0</v>
      </c>
      <c r="DE297" s="47">
        <v>0</v>
      </c>
      <c r="DF297" s="47">
        <v>0</v>
      </c>
      <c r="DG297" s="47">
        <v>0</v>
      </c>
      <c r="DH297" s="47">
        <v>0</v>
      </c>
      <c r="DI297" s="47">
        <v>0</v>
      </c>
      <c r="DJ297" s="47">
        <v>0</v>
      </c>
      <c r="DK297" s="47">
        <v>0</v>
      </c>
      <c r="DL297" s="47">
        <v>0</v>
      </c>
      <c r="DM297" s="47">
        <v>0</v>
      </c>
      <c r="DN297" s="47">
        <v>0</v>
      </c>
      <c r="DO297" s="47">
        <v>0</v>
      </c>
      <c r="DP297" s="47">
        <v>0</v>
      </c>
      <c r="DQ297" s="47">
        <v>0</v>
      </c>
      <c r="DR297" s="47">
        <v>0</v>
      </c>
      <c r="DS297" s="47">
        <v>0</v>
      </c>
      <c r="DT297" s="47">
        <v>0</v>
      </c>
      <c r="DU297" s="47">
        <v>0</v>
      </c>
      <c r="DV297" s="47">
        <v>0</v>
      </c>
      <c r="DW297" s="47">
        <v>0</v>
      </c>
      <c r="DX297" s="47">
        <v>0</v>
      </c>
      <c r="DY297" s="47">
        <v>0</v>
      </c>
      <c r="DZ297" s="47">
        <v>0</v>
      </c>
      <c r="EA297" s="47">
        <v>0</v>
      </c>
      <c r="EB297" s="47"/>
      <c r="EC297" s="47">
        <v>1</v>
      </c>
      <c r="ZZ297" t="s">
        <v>2472</v>
      </c>
    </row>
    <row r="298" spans="1:702" x14ac:dyDescent="0.25">
      <c r="A298" s="47" t="s">
        <v>1476</v>
      </c>
      <c r="B298" s="47" t="s">
        <v>153</v>
      </c>
      <c r="C298" s="47" t="s">
        <v>157</v>
      </c>
      <c r="D298" s="47" t="s">
        <v>2780</v>
      </c>
      <c r="E298" s="47" t="s">
        <v>1477</v>
      </c>
      <c r="F298" s="47" t="s">
        <v>1478</v>
      </c>
      <c r="G298" s="47" t="s">
        <v>1479</v>
      </c>
      <c r="H298" s="47" t="s">
        <v>698</v>
      </c>
      <c r="I298" s="47" t="s">
        <v>705</v>
      </c>
      <c r="J298" s="47" t="str">
        <f>=IFERROR(VLOOKUP(H298&amp;I298,Table_Fonctions!A:G,6,FALSE),"")</f>
        <v>0</v>
      </c>
      <c r="K298" s="47" t="s">
        <v>2607</v>
      </c>
      <c r="L298" s="47" t="str">
        <f>=IFERROR(VLOOKUP(H298&amp;I298,Table_Fonctions!A:G,7,FALSE),K298)</f>
        <v/>
      </c>
      <c r="M298" s="47" t="str">
        <f>=IF(OR(LEFT(D298, 3)="TJ ", LEFT(D298, 4)="CPH "), "OUI", "NON")</f>
        <v/>
      </c>
      <c r="N298" s="47" t="s">
        <v>1480</v>
      </c>
      <c r="O298" s="47"/>
      <c r="P298" s="47">
        <v>0.8</v>
      </c>
      <c r="Q298" s="47">
        <v>0</v>
      </c>
      <c r="R298" s="47">
        <v>0.8</v>
      </c>
      <c r="S298" s="47">
        <f>=ROUND(BQ298-(BR298+BS298),3)</f>
      </c>
      <c r="T298" s="47">
        <f>=ROUND(CK298-(CL298+CM298+CN298+CO298+CP298),3)</f>
      </c>
      <c r="U298" s="47">
        <v>0</v>
      </c>
      <c r="V298" s="47">
        <v>0</v>
      </c>
      <c r="W298" s="47">
        <v>0</v>
      </c>
      <c r="X298" s="47">
        <v>0</v>
      </c>
      <c r="Y298" s="47">
        <v>0</v>
      </c>
      <c r="Z298" s="47">
        <v>0</v>
      </c>
      <c r="AA298" s="47">
        <v>0</v>
      </c>
      <c r="AB298" s="47">
        <v>0</v>
      </c>
      <c r="AC298" s="47">
        <v>0</v>
      </c>
      <c r="AD298" s="47">
        <v>0</v>
      </c>
      <c r="AE298" s="47">
        <v>0</v>
      </c>
      <c r="AF298" s="47">
        <v>0</v>
      </c>
      <c r="AG298" s="47">
        <v>0</v>
      </c>
      <c r="AH298" s="47">
        <v>0</v>
      </c>
      <c r="AI298" s="47">
        <v>0</v>
      </c>
      <c r="AJ298" s="47">
        <v>0</v>
      </c>
      <c r="AK298" s="47">
        <v>0</v>
      </c>
      <c r="AL298" s="47">
        <v>0</v>
      </c>
      <c r="AM298" s="47">
        <v>0</v>
      </c>
      <c r="AN298" s="47">
        <v>0</v>
      </c>
      <c r="AO298" s="47">
        <v>0</v>
      </c>
      <c r="AP298" s="47">
        <v>0</v>
      </c>
      <c r="AQ298" s="47">
        <v>0</v>
      </c>
      <c r="AR298" s="47">
        <v>0</v>
      </c>
      <c r="AS298" s="47">
        <v>0</v>
      </c>
      <c r="AT298" s="47">
        <v>0</v>
      </c>
      <c r="AU298" s="47">
        <v>0</v>
      </c>
      <c r="AV298" s="47">
        <v>0</v>
      </c>
      <c r="AW298" s="47">
        <v>0</v>
      </c>
      <c r="AX298" s="47">
        <v>0</v>
      </c>
      <c r="AY298" s="47">
        <v>0</v>
      </c>
      <c r="AZ298" s="47">
        <v>0</v>
      </c>
      <c r="BA298" s="47">
        <v>0</v>
      </c>
      <c r="BB298" s="47">
        <v>0</v>
      </c>
      <c r="BC298" s="47">
        <v>0</v>
      </c>
      <c r="BD298" s="47">
        <v>0</v>
      </c>
      <c r="BE298" s="47">
        <v>0</v>
      </c>
      <c r="BF298" s="47">
        <v>0</v>
      </c>
      <c r="BG298" s="47">
        <v>0</v>
      </c>
      <c r="BH298" s="47">
        <v>0</v>
      </c>
      <c r="BI298" s="47">
        <v>0</v>
      </c>
      <c r="BJ298" s="47">
        <v>0</v>
      </c>
      <c r="BK298" s="47">
        <v>0</v>
      </c>
      <c r="BL298" s="47">
        <v>0</v>
      </c>
      <c r="BM298" s="47">
        <v>0</v>
      </c>
      <c r="BN298" s="47">
        <v>0</v>
      </c>
      <c r="BO298" s="47">
        <v>0</v>
      </c>
      <c r="BP298" s="47">
        <v>0</v>
      </c>
      <c r="BQ298" s="47">
        <v>0</v>
      </c>
      <c r="BR298" s="47">
        <v>0</v>
      </c>
      <c r="BS298" s="47">
        <v>0</v>
      </c>
      <c r="BT298" s="47">
        <v>0</v>
      </c>
      <c r="BU298" s="47">
        <v>0</v>
      </c>
      <c r="BV298" s="47">
        <v>0</v>
      </c>
      <c r="BW298" s="47">
        <v>0</v>
      </c>
      <c r="BX298" s="47">
        <v>0</v>
      </c>
      <c r="BY298" s="47">
        <v>0</v>
      </c>
      <c r="BZ298" s="47">
        <v>0</v>
      </c>
      <c r="CA298" s="47">
        <v>0</v>
      </c>
      <c r="CB298" s="47">
        <v>0</v>
      </c>
      <c r="CC298" s="47">
        <v>0</v>
      </c>
      <c r="CD298" s="47">
        <v>0</v>
      </c>
      <c r="CE298" s="47">
        <v>0</v>
      </c>
      <c r="CF298" s="47">
        <v>0</v>
      </c>
      <c r="CG298" s="47">
        <v>0</v>
      </c>
      <c r="CH298" s="47">
        <v>0</v>
      </c>
      <c r="CI298" s="47">
        <v>0</v>
      </c>
      <c r="CJ298" s="47">
        <v>0</v>
      </c>
      <c r="CK298" s="47">
        <v>0</v>
      </c>
      <c r="CL298" s="47">
        <v>0</v>
      </c>
      <c r="CM298" s="47">
        <v>0</v>
      </c>
      <c r="CN298" s="47">
        <v>0</v>
      </c>
      <c r="CO298" s="47">
        <v>0</v>
      </c>
      <c r="CP298" s="47">
        <v>0</v>
      </c>
      <c r="CQ298" s="47">
        <v>0</v>
      </c>
      <c r="CR298" s="47">
        <v>0</v>
      </c>
      <c r="CS298" s="47">
        <v>0</v>
      </c>
      <c r="CT298" s="47">
        <v>0</v>
      </c>
      <c r="CU298" s="47">
        <v>0</v>
      </c>
      <c r="CV298" s="47">
        <v>0</v>
      </c>
      <c r="CW298" s="47">
        <v>0</v>
      </c>
      <c r="CX298" s="47">
        <v>0</v>
      </c>
      <c r="CY298" s="47">
        <v>0</v>
      </c>
      <c r="CZ298" s="47">
        <v>0</v>
      </c>
      <c r="DA298" s="47">
        <v>0</v>
      </c>
      <c r="DB298" s="47">
        <v>0</v>
      </c>
      <c r="DC298" s="47">
        <v>0</v>
      </c>
      <c r="DD298" s="47">
        <v>0</v>
      </c>
      <c r="DE298" s="47">
        <v>0</v>
      </c>
      <c r="DF298" s="47">
        <v>0</v>
      </c>
      <c r="DG298" s="47">
        <v>0</v>
      </c>
      <c r="DH298" s="47">
        <v>0</v>
      </c>
      <c r="DI298" s="47">
        <v>0</v>
      </c>
      <c r="DJ298" s="47">
        <v>0</v>
      </c>
      <c r="DK298" s="47">
        <v>0</v>
      </c>
      <c r="DL298" s="47">
        <v>0</v>
      </c>
      <c r="DM298" s="47">
        <v>0</v>
      </c>
      <c r="DN298" s="47">
        <v>0</v>
      </c>
      <c r="DO298" s="47">
        <v>0</v>
      </c>
      <c r="DP298" s="47">
        <v>0</v>
      </c>
      <c r="DQ298" s="47">
        <v>0</v>
      </c>
      <c r="DR298" s="47">
        <v>0</v>
      </c>
      <c r="DS298" s="47">
        <v>0</v>
      </c>
      <c r="DT298" s="47">
        <v>0</v>
      </c>
      <c r="DU298" s="47">
        <v>0</v>
      </c>
      <c r="DV298" s="47">
        <v>0</v>
      </c>
      <c r="DW298" s="47">
        <v>0</v>
      </c>
      <c r="DX298" s="47">
        <v>0</v>
      </c>
      <c r="DY298" s="47">
        <v>0</v>
      </c>
      <c r="DZ298" s="47">
        <v>0</v>
      </c>
      <c r="EA298" s="47">
        <v>0</v>
      </c>
      <c r="EB298" s="47"/>
      <c r="EC298" s="47">
        <v>0.8</v>
      </c>
      <c r="ZZ298" t="s">
        <v>2472</v>
      </c>
    </row>
    <row r="299" spans="1:702" x14ac:dyDescent="0.25">
      <c r="A299" s="47" t="s">
        <v>1481</v>
      </c>
      <c r="B299" s="47" t="s">
        <v>153</v>
      </c>
      <c r="C299" s="47" t="s">
        <v>157</v>
      </c>
      <c r="D299" s="47" t="s">
        <v>2781</v>
      </c>
      <c r="E299" s="47" t="s">
        <v>1482</v>
      </c>
      <c r="F299" s="47" t="s">
        <v>1483</v>
      </c>
      <c r="G299" s="47" t="s">
        <v>1484</v>
      </c>
      <c r="H299" s="47" t="s">
        <v>698</v>
      </c>
      <c r="I299" s="47" t="s">
        <v>738</v>
      </c>
      <c r="J299" s="47" t="str">
        <f>=IFERROR(VLOOKUP(H299&amp;I299,Table_Fonctions!A:G,6,FALSE),"")</f>
        <v>0</v>
      </c>
      <c r="K299" s="47" t="s">
        <v>2607</v>
      </c>
      <c r="L299" s="47" t="str">
        <f>=IFERROR(VLOOKUP(H299&amp;I299,Table_Fonctions!A:G,7,FALSE),K299)</f>
        <v/>
      </c>
      <c r="M299" s="47" t="str">
        <f>=IF(OR(LEFT(D299, 3)="TJ ", LEFT(D299, 4)="CPH "), "OUI", "NON")</f>
        <v/>
      </c>
      <c r="N299" s="47" t="s">
        <v>1485</v>
      </c>
      <c r="O299" s="47" t="s">
        <v>1486</v>
      </c>
      <c r="P299" s="47">
        <v>1</v>
      </c>
      <c r="Q299" s="47">
        <v>1</v>
      </c>
      <c r="R299" s="47">
        <v>0</v>
      </c>
      <c r="S299" s="47">
        <f>=ROUND(BQ299-(BR299+BS299),3)</f>
      </c>
      <c r="T299" s="47">
        <f>=ROUND(CK299-(CL299+CM299+CN299+CO299+CP299),3)</f>
      </c>
      <c r="U299" s="47">
        <v>0</v>
      </c>
      <c r="V299" s="47">
        <v>0</v>
      </c>
      <c r="W299" s="47">
        <v>0</v>
      </c>
      <c r="X299" s="47">
        <v>0</v>
      </c>
      <c r="Y299" s="47">
        <v>0</v>
      </c>
      <c r="Z299" s="47">
        <v>0</v>
      </c>
      <c r="AA299" s="47">
        <v>0</v>
      </c>
      <c r="AB299" s="47">
        <v>0</v>
      </c>
      <c r="AC299" s="47">
        <v>0</v>
      </c>
      <c r="AD299" s="47">
        <v>0</v>
      </c>
      <c r="AE299" s="47">
        <v>0</v>
      </c>
      <c r="AF299" s="47">
        <v>0</v>
      </c>
      <c r="AG299" s="47">
        <v>0</v>
      </c>
      <c r="AH299" s="47">
        <v>0</v>
      </c>
      <c r="AI299" s="47">
        <v>0</v>
      </c>
      <c r="AJ299" s="47">
        <v>0</v>
      </c>
      <c r="AK299" s="47">
        <v>0</v>
      </c>
      <c r="AL299" s="47">
        <v>0</v>
      </c>
      <c r="AM299" s="47">
        <v>0</v>
      </c>
      <c r="AN299" s="47">
        <v>0</v>
      </c>
      <c r="AO299" s="47">
        <v>0</v>
      </c>
      <c r="AP299" s="47">
        <v>0</v>
      </c>
      <c r="AQ299" s="47">
        <v>0</v>
      </c>
      <c r="AR299" s="47">
        <v>0</v>
      </c>
      <c r="AS299" s="47">
        <v>0</v>
      </c>
      <c r="AT299" s="47">
        <v>0</v>
      </c>
      <c r="AU299" s="47">
        <v>0</v>
      </c>
      <c r="AV299" s="47">
        <v>0</v>
      </c>
      <c r="AW299" s="47">
        <v>0</v>
      </c>
      <c r="AX299" s="47">
        <v>0</v>
      </c>
      <c r="AY299" s="47">
        <v>0</v>
      </c>
      <c r="AZ299" s="47">
        <v>0</v>
      </c>
      <c r="BA299" s="47">
        <v>0</v>
      </c>
      <c r="BB299" s="47">
        <v>0</v>
      </c>
      <c r="BC299" s="47">
        <v>0</v>
      </c>
      <c r="BD299" s="47">
        <v>0</v>
      </c>
      <c r="BE299" s="47">
        <v>0</v>
      </c>
      <c r="BF299" s="47">
        <v>0</v>
      </c>
      <c r="BG299" s="47">
        <v>0</v>
      </c>
      <c r="BH299" s="47">
        <v>0</v>
      </c>
      <c r="BI299" s="47">
        <v>0</v>
      </c>
      <c r="BJ299" s="47">
        <v>0</v>
      </c>
      <c r="BK299" s="47">
        <v>0</v>
      </c>
      <c r="BL299" s="47">
        <v>0</v>
      </c>
      <c r="BM299" s="47">
        <v>0</v>
      </c>
      <c r="BN299" s="47">
        <v>0</v>
      </c>
      <c r="BO299" s="47">
        <v>0</v>
      </c>
      <c r="BP299" s="47">
        <v>0</v>
      </c>
      <c r="BQ299" s="47">
        <v>0</v>
      </c>
      <c r="BR299" s="47">
        <v>0</v>
      </c>
      <c r="BS299" s="47">
        <v>0</v>
      </c>
      <c r="BT299" s="47">
        <v>0</v>
      </c>
      <c r="BU299" s="47">
        <v>0</v>
      </c>
      <c r="BV299" s="47">
        <v>0</v>
      </c>
      <c r="BW299" s="47">
        <v>0</v>
      </c>
      <c r="BX299" s="47">
        <v>0</v>
      </c>
      <c r="BY299" s="47">
        <v>0</v>
      </c>
      <c r="BZ299" s="47">
        <v>0</v>
      </c>
      <c r="CA299" s="47">
        <v>0</v>
      </c>
      <c r="CB299" s="47">
        <v>0</v>
      </c>
      <c r="CC299" s="47">
        <v>0</v>
      </c>
      <c r="CD299" s="47">
        <v>0</v>
      </c>
      <c r="CE299" s="47">
        <v>0</v>
      </c>
      <c r="CF299" s="47">
        <v>0</v>
      </c>
      <c r="CG299" s="47">
        <v>0</v>
      </c>
      <c r="CH299" s="47">
        <v>0</v>
      </c>
      <c r="CI299" s="47">
        <v>0</v>
      </c>
      <c r="CJ299" s="47">
        <v>0</v>
      </c>
      <c r="CK299" s="47">
        <v>0</v>
      </c>
      <c r="CL299" s="47">
        <v>0</v>
      </c>
      <c r="CM299" s="47">
        <v>0</v>
      </c>
      <c r="CN299" s="47">
        <v>0</v>
      </c>
      <c r="CO299" s="47">
        <v>0</v>
      </c>
      <c r="CP299" s="47">
        <v>0</v>
      </c>
      <c r="CQ299" s="47">
        <v>0</v>
      </c>
      <c r="CR299" s="47">
        <v>0</v>
      </c>
      <c r="CS299" s="47">
        <v>0</v>
      </c>
      <c r="CT299" s="47">
        <v>0</v>
      </c>
      <c r="CU299" s="47">
        <v>0</v>
      </c>
      <c r="CV299" s="47">
        <v>0</v>
      </c>
      <c r="CW299" s="47">
        <v>0</v>
      </c>
      <c r="CX299" s="47">
        <v>0</v>
      </c>
      <c r="CY299" s="47">
        <v>1</v>
      </c>
      <c r="CZ299" s="47">
        <v>0</v>
      </c>
      <c r="DA299" s="47">
        <v>0</v>
      </c>
      <c r="DB299" s="47">
        <v>0</v>
      </c>
      <c r="DC299" s="47">
        <v>0</v>
      </c>
      <c r="DD299" s="47">
        <v>0</v>
      </c>
      <c r="DE299" s="47">
        <v>1</v>
      </c>
      <c r="DF299" s="47">
        <v>0</v>
      </c>
      <c r="DG299" s="47">
        <v>0</v>
      </c>
      <c r="DH299" s="47">
        <v>0</v>
      </c>
      <c r="DI299" s="47">
        <v>0</v>
      </c>
      <c r="DJ299" s="47">
        <v>0</v>
      </c>
      <c r="DK299" s="47">
        <v>0</v>
      </c>
      <c r="DL299" s="47">
        <v>0</v>
      </c>
      <c r="DM299" s="47">
        <v>0</v>
      </c>
      <c r="DN299" s="47">
        <v>0</v>
      </c>
      <c r="DO299" s="47">
        <v>0</v>
      </c>
      <c r="DP299" s="47">
        <v>0</v>
      </c>
      <c r="DQ299" s="47">
        <v>0</v>
      </c>
      <c r="DR299" s="47">
        <v>0</v>
      </c>
      <c r="DS299" s="47">
        <v>0</v>
      </c>
      <c r="DT299" s="47">
        <v>0</v>
      </c>
      <c r="DU299" s="47">
        <v>0</v>
      </c>
      <c r="DV299" s="47">
        <v>0</v>
      </c>
      <c r="DW299" s="47">
        <v>0</v>
      </c>
      <c r="DX299" s="47">
        <v>0</v>
      </c>
      <c r="DY299" s="47">
        <v>0</v>
      </c>
      <c r="DZ299" s="47">
        <v>0</v>
      </c>
      <c r="EA299" s="47">
        <v>0</v>
      </c>
      <c r="EB299" s="47"/>
      <c r="EC299" s="47">
        <v>1</v>
      </c>
      <c r="ZZ299" t="s">
        <v>2472</v>
      </c>
    </row>
    <row r="300" spans="1:702" x14ac:dyDescent="0.25">
      <c r="A300" s="47" t="s">
        <v>1487</v>
      </c>
      <c r="B300" s="47" t="s">
        <v>153</v>
      </c>
      <c r="C300" s="47" t="s">
        <v>157</v>
      </c>
      <c r="D300" s="47" t="s">
        <v>2782</v>
      </c>
      <c r="E300" s="47" t="s">
        <v>1488</v>
      </c>
      <c r="F300" s="47" t="s">
        <v>1489</v>
      </c>
      <c r="G300" s="47" t="s">
        <v>1490</v>
      </c>
      <c r="H300" s="47" t="s">
        <v>698</v>
      </c>
      <c r="I300" s="47" t="s">
        <v>727</v>
      </c>
      <c r="J300" s="47" t="str">
        <f>=IFERROR(VLOOKUP(H300&amp;I300,Table_Fonctions!A:G,6,FALSE),"")</f>
        <v>0</v>
      </c>
      <c r="K300" s="47" t="s">
        <v>2607</v>
      </c>
      <c r="L300" s="47" t="str">
        <f>=IFERROR(VLOOKUP(H300&amp;I300,Table_Fonctions!A:G,7,FALSE),K300)</f>
        <v/>
      </c>
      <c r="M300" s="47" t="str">
        <f>=IF(OR(LEFT(D300, 3)="TJ ", LEFT(D300, 4)="CPH "), "OUI", "NON")</f>
        <v/>
      </c>
      <c r="N300" s="47" t="s">
        <v>739</v>
      </c>
      <c r="O300" s="47"/>
      <c r="P300" s="47">
        <v>1</v>
      </c>
      <c r="Q300" s="47">
        <v>0</v>
      </c>
      <c r="R300" s="47">
        <v>1</v>
      </c>
      <c r="S300" s="47">
        <f>=ROUND(BQ300-(BR300+BS300),3)</f>
      </c>
      <c r="T300" s="47">
        <f>=ROUND(CK300-(CL300+CM300+CN300+CO300+CP300),3)</f>
      </c>
      <c r="U300" s="47">
        <v>0</v>
      </c>
      <c r="V300" s="47">
        <v>0</v>
      </c>
      <c r="W300" s="47">
        <v>0</v>
      </c>
      <c r="X300" s="47">
        <v>0</v>
      </c>
      <c r="Y300" s="47">
        <v>0</v>
      </c>
      <c r="Z300" s="47">
        <v>0</v>
      </c>
      <c r="AA300" s="47">
        <v>0</v>
      </c>
      <c r="AB300" s="47">
        <v>0</v>
      </c>
      <c r="AC300" s="47">
        <v>0</v>
      </c>
      <c r="AD300" s="47">
        <v>0</v>
      </c>
      <c r="AE300" s="47">
        <v>0</v>
      </c>
      <c r="AF300" s="47">
        <v>0</v>
      </c>
      <c r="AG300" s="47">
        <v>0</v>
      </c>
      <c r="AH300" s="47">
        <v>0</v>
      </c>
      <c r="AI300" s="47">
        <v>0</v>
      </c>
      <c r="AJ300" s="47">
        <v>0</v>
      </c>
      <c r="AK300" s="47">
        <v>0</v>
      </c>
      <c r="AL300" s="47">
        <v>0</v>
      </c>
      <c r="AM300" s="47">
        <v>0</v>
      </c>
      <c r="AN300" s="47">
        <v>0</v>
      </c>
      <c r="AO300" s="47">
        <v>0</v>
      </c>
      <c r="AP300" s="47">
        <v>0</v>
      </c>
      <c r="AQ300" s="47">
        <v>0</v>
      </c>
      <c r="AR300" s="47">
        <v>0</v>
      </c>
      <c r="AS300" s="47">
        <v>0</v>
      </c>
      <c r="AT300" s="47">
        <v>0</v>
      </c>
      <c r="AU300" s="47">
        <v>0</v>
      </c>
      <c r="AV300" s="47">
        <v>0</v>
      </c>
      <c r="AW300" s="47">
        <v>0</v>
      </c>
      <c r="AX300" s="47">
        <v>0</v>
      </c>
      <c r="AY300" s="47">
        <v>0</v>
      </c>
      <c r="AZ300" s="47">
        <v>0</v>
      </c>
      <c r="BA300" s="47">
        <v>0</v>
      </c>
      <c r="BB300" s="47">
        <v>0</v>
      </c>
      <c r="BC300" s="47">
        <v>0</v>
      </c>
      <c r="BD300" s="47">
        <v>0</v>
      </c>
      <c r="BE300" s="47">
        <v>0</v>
      </c>
      <c r="BF300" s="47">
        <v>0</v>
      </c>
      <c r="BG300" s="47">
        <v>0</v>
      </c>
      <c r="BH300" s="47">
        <v>0</v>
      </c>
      <c r="BI300" s="47">
        <v>0</v>
      </c>
      <c r="BJ300" s="47">
        <v>0</v>
      </c>
      <c r="BK300" s="47">
        <v>0</v>
      </c>
      <c r="BL300" s="47">
        <v>0</v>
      </c>
      <c r="BM300" s="47">
        <v>0</v>
      </c>
      <c r="BN300" s="47">
        <v>0</v>
      </c>
      <c r="BO300" s="47">
        <v>0</v>
      </c>
      <c r="BP300" s="47">
        <v>0</v>
      </c>
      <c r="BQ300" s="47">
        <v>0</v>
      </c>
      <c r="BR300" s="47">
        <v>0</v>
      </c>
      <c r="BS300" s="47">
        <v>0</v>
      </c>
      <c r="BT300" s="47">
        <v>0</v>
      </c>
      <c r="BU300" s="47">
        <v>0</v>
      </c>
      <c r="BV300" s="47">
        <v>0</v>
      </c>
      <c r="BW300" s="47">
        <v>0</v>
      </c>
      <c r="BX300" s="47">
        <v>0</v>
      </c>
      <c r="BY300" s="47">
        <v>0</v>
      </c>
      <c r="BZ300" s="47">
        <v>0</v>
      </c>
      <c r="CA300" s="47">
        <v>0</v>
      </c>
      <c r="CB300" s="47">
        <v>0</v>
      </c>
      <c r="CC300" s="47">
        <v>0</v>
      </c>
      <c r="CD300" s="47">
        <v>0</v>
      </c>
      <c r="CE300" s="47">
        <v>0</v>
      </c>
      <c r="CF300" s="47">
        <v>0</v>
      </c>
      <c r="CG300" s="47">
        <v>0</v>
      </c>
      <c r="CH300" s="47">
        <v>0</v>
      </c>
      <c r="CI300" s="47">
        <v>0</v>
      </c>
      <c r="CJ300" s="47">
        <v>0</v>
      </c>
      <c r="CK300" s="47">
        <v>0</v>
      </c>
      <c r="CL300" s="47">
        <v>0</v>
      </c>
      <c r="CM300" s="47">
        <v>0</v>
      </c>
      <c r="CN300" s="47">
        <v>0</v>
      </c>
      <c r="CO300" s="47">
        <v>0</v>
      </c>
      <c r="CP300" s="47">
        <v>0</v>
      </c>
      <c r="CQ300" s="47">
        <v>0</v>
      </c>
      <c r="CR300" s="47">
        <v>0</v>
      </c>
      <c r="CS300" s="47">
        <v>0</v>
      </c>
      <c r="CT300" s="47">
        <v>0</v>
      </c>
      <c r="CU300" s="47">
        <v>0</v>
      </c>
      <c r="CV300" s="47">
        <v>0</v>
      </c>
      <c r="CW300" s="47">
        <v>0</v>
      </c>
      <c r="CX300" s="47">
        <v>0</v>
      </c>
      <c r="CY300" s="47">
        <v>0</v>
      </c>
      <c r="CZ300" s="47">
        <v>0</v>
      </c>
      <c r="DA300" s="47">
        <v>0</v>
      </c>
      <c r="DB300" s="47">
        <v>0</v>
      </c>
      <c r="DC300" s="47">
        <v>0</v>
      </c>
      <c r="DD300" s="47">
        <v>0</v>
      </c>
      <c r="DE300" s="47">
        <v>0</v>
      </c>
      <c r="DF300" s="47">
        <v>0</v>
      </c>
      <c r="DG300" s="47">
        <v>0</v>
      </c>
      <c r="DH300" s="47">
        <v>0</v>
      </c>
      <c r="DI300" s="47">
        <v>0</v>
      </c>
      <c r="DJ300" s="47">
        <v>0</v>
      </c>
      <c r="DK300" s="47">
        <v>0</v>
      </c>
      <c r="DL300" s="47">
        <v>0</v>
      </c>
      <c r="DM300" s="47">
        <v>0</v>
      </c>
      <c r="DN300" s="47">
        <v>0</v>
      </c>
      <c r="DO300" s="47">
        <v>0</v>
      </c>
      <c r="DP300" s="47">
        <v>0</v>
      </c>
      <c r="DQ300" s="47">
        <v>0</v>
      </c>
      <c r="DR300" s="47">
        <v>0</v>
      </c>
      <c r="DS300" s="47">
        <v>0</v>
      </c>
      <c r="DT300" s="47">
        <v>0</v>
      </c>
      <c r="DU300" s="47">
        <v>0</v>
      </c>
      <c r="DV300" s="47">
        <v>0</v>
      </c>
      <c r="DW300" s="47">
        <v>0</v>
      </c>
      <c r="DX300" s="47">
        <v>0</v>
      </c>
      <c r="DY300" s="47">
        <v>0</v>
      </c>
      <c r="DZ300" s="47">
        <v>0</v>
      </c>
      <c r="EA300" s="47">
        <v>0</v>
      </c>
      <c r="EB300" s="47"/>
      <c r="EC300" s="47">
        <v>1</v>
      </c>
      <c r="ZZ300" t="s">
        <v>2472</v>
      </c>
    </row>
    <row r="301" spans="1:702" x14ac:dyDescent="0.25">
      <c r="A301" s="47" t="s">
        <v>1491</v>
      </c>
      <c r="B301" s="47" t="s">
        <v>153</v>
      </c>
      <c r="C301" s="47" t="s">
        <v>157</v>
      </c>
      <c r="D301" s="47" t="s">
        <v>2783</v>
      </c>
      <c r="E301" s="47" t="s">
        <v>1492</v>
      </c>
      <c r="F301" s="47" t="s">
        <v>1493</v>
      </c>
      <c r="G301" s="47" t="s">
        <v>1494</v>
      </c>
      <c r="H301" s="47" t="s">
        <v>698</v>
      </c>
      <c r="I301" s="47" t="s">
        <v>727</v>
      </c>
      <c r="J301" s="47" t="str">
        <f>=IFERROR(VLOOKUP(H301&amp;I301,Table_Fonctions!A:G,6,FALSE),"")</f>
        <v>0</v>
      </c>
      <c r="K301" s="47" t="s">
        <v>2607</v>
      </c>
      <c r="L301" s="47" t="str">
        <f>=IFERROR(VLOOKUP(H301&amp;I301,Table_Fonctions!A:G,7,FALSE),K301)</f>
        <v/>
      </c>
      <c r="M301" s="47" t="str">
        <f>=IF(OR(LEFT(D301, 3)="TJ ", LEFT(D301, 4)="CPH "), "OUI", "NON")</f>
        <v/>
      </c>
      <c r="N301" s="47" t="s">
        <v>1495</v>
      </c>
      <c r="O301" s="47"/>
      <c r="P301" s="47">
        <v>1</v>
      </c>
      <c r="Q301" s="47">
        <v>1</v>
      </c>
      <c r="R301" s="47">
        <v>0</v>
      </c>
      <c r="S301" s="47">
        <f>=ROUND(BQ301-(BR301+BS301),3)</f>
      </c>
      <c r="T301" s="47">
        <f>=ROUND(CK301-(CL301+CM301+CN301+CO301+CP301),3)</f>
      </c>
      <c r="U301" s="47">
        <v>0</v>
      </c>
      <c r="V301" s="47">
        <v>0</v>
      </c>
      <c r="W301" s="47">
        <v>0</v>
      </c>
      <c r="X301" s="47">
        <v>0</v>
      </c>
      <c r="Y301" s="47">
        <v>0</v>
      </c>
      <c r="Z301" s="47">
        <v>0</v>
      </c>
      <c r="AA301" s="47">
        <v>0</v>
      </c>
      <c r="AB301" s="47">
        <v>0</v>
      </c>
      <c r="AC301" s="47">
        <v>0</v>
      </c>
      <c r="AD301" s="47">
        <v>0</v>
      </c>
      <c r="AE301" s="47">
        <v>0</v>
      </c>
      <c r="AF301" s="47">
        <v>0</v>
      </c>
      <c r="AG301" s="47">
        <v>0</v>
      </c>
      <c r="AH301" s="47">
        <v>0</v>
      </c>
      <c r="AI301" s="47">
        <v>0</v>
      </c>
      <c r="AJ301" s="47">
        <v>0</v>
      </c>
      <c r="AK301" s="47">
        <v>0</v>
      </c>
      <c r="AL301" s="47">
        <v>0</v>
      </c>
      <c r="AM301" s="47">
        <v>0</v>
      </c>
      <c r="AN301" s="47">
        <v>0</v>
      </c>
      <c r="AO301" s="47">
        <v>0</v>
      </c>
      <c r="AP301" s="47">
        <v>0</v>
      </c>
      <c r="AQ301" s="47">
        <v>0</v>
      </c>
      <c r="AR301" s="47">
        <v>0</v>
      </c>
      <c r="AS301" s="47">
        <v>1</v>
      </c>
      <c r="AT301" s="47">
        <v>0</v>
      </c>
      <c r="AU301" s="47">
        <v>0</v>
      </c>
      <c r="AV301" s="47">
        <v>0</v>
      </c>
      <c r="AW301" s="47">
        <v>0</v>
      </c>
      <c r="AX301" s="47">
        <v>0</v>
      </c>
      <c r="AY301" s="47">
        <v>0</v>
      </c>
      <c r="AZ301" s="47">
        <v>0</v>
      </c>
      <c r="BA301" s="47">
        <v>0</v>
      </c>
      <c r="BB301" s="47">
        <v>0</v>
      </c>
      <c r="BC301" s="47">
        <v>0</v>
      </c>
      <c r="BD301" s="47">
        <v>0</v>
      </c>
      <c r="BE301" s="47">
        <v>0</v>
      </c>
      <c r="BF301" s="47">
        <v>0</v>
      </c>
      <c r="BG301" s="47">
        <v>0</v>
      </c>
      <c r="BH301" s="47">
        <v>0</v>
      </c>
      <c r="BI301" s="47">
        <v>0</v>
      </c>
      <c r="BJ301" s="47">
        <v>0</v>
      </c>
      <c r="BK301" s="47">
        <v>0</v>
      </c>
      <c r="BL301" s="47">
        <v>0</v>
      </c>
      <c r="BM301" s="47">
        <v>0</v>
      </c>
      <c r="BN301" s="47">
        <v>0</v>
      </c>
      <c r="BO301" s="47">
        <v>0</v>
      </c>
      <c r="BP301" s="47">
        <v>0</v>
      </c>
      <c r="BQ301" s="47">
        <v>0</v>
      </c>
      <c r="BR301" s="47">
        <v>0</v>
      </c>
      <c r="BS301" s="47">
        <v>0</v>
      </c>
      <c r="BT301" s="47">
        <v>0</v>
      </c>
      <c r="BU301" s="47">
        <v>0</v>
      </c>
      <c r="BV301" s="47">
        <v>0</v>
      </c>
      <c r="BW301" s="47">
        <v>0</v>
      </c>
      <c r="BX301" s="47">
        <v>0</v>
      </c>
      <c r="BY301" s="47">
        <v>0</v>
      </c>
      <c r="BZ301" s="47">
        <v>0</v>
      </c>
      <c r="CA301" s="47">
        <v>0</v>
      </c>
      <c r="CB301" s="47">
        <v>0</v>
      </c>
      <c r="CC301" s="47">
        <v>0</v>
      </c>
      <c r="CD301" s="47">
        <v>0</v>
      </c>
      <c r="CE301" s="47">
        <v>0</v>
      </c>
      <c r="CF301" s="47">
        <v>0</v>
      </c>
      <c r="CG301" s="47">
        <v>0</v>
      </c>
      <c r="CH301" s="47">
        <v>0</v>
      </c>
      <c r="CI301" s="47">
        <v>0</v>
      </c>
      <c r="CJ301" s="47">
        <v>0</v>
      </c>
      <c r="CK301" s="47">
        <v>0</v>
      </c>
      <c r="CL301" s="47">
        <v>0</v>
      </c>
      <c r="CM301" s="47">
        <v>0</v>
      </c>
      <c r="CN301" s="47">
        <v>0</v>
      </c>
      <c r="CO301" s="47">
        <v>0</v>
      </c>
      <c r="CP301" s="47">
        <v>0</v>
      </c>
      <c r="CQ301" s="47">
        <v>0</v>
      </c>
      <c r="CR301" s="47">
        <v>0</v>
      </c>
      <c r="CS301" s="47">
        <v>0</v>
      </c>
      <c r="CT301" s="47">
        <v>0</v>
      </c>
      <c r="CU301" s="47">
        <v>0</v>
      </c>
      <c r="CV301" s="47">
        <v>0</v>
      </c>
      <c r="CW301" s="47">
        <v>0</v>
      </c>
      <c r="CX301" s="47">
        <v>0</v>
      </c>
      <c r="CY301" s="47">
        <v>0</v>
      </c>
      <c r="CZ301" s="47">
        <v>0</v>
      </c>
      <c r="DA301" s="47">
        <v>0</v>
      </c>
      <c r="DB301" s="47">
        <v>0</v>
      </c>
      <c r="DC301" s="47">
        <v>0</v>
      </c>
      <c r="DD301" s="47">
        <v>0</v>
      </c>
      <c r="DE301" s="47">
        <v>0</v>
      </c>
      <c r="DF301" s="47">
        <v>0</v>
      </c>
      <c r="DG301" s="47">
        <v>0</v>
      </c>
      <c r="DH301" s="47">
        <v>0</v>
      </c>
      <c r="DI301" s="47">
        <v>0</v>
      </c>
      <c r="DJ301" s="47">
        <v>0</v>
      </c>
      <c r="DK301" s="47">
        <v>0</v>
      </c>
      <c r="DL301" s="47">
        <v>0</v>
      </c>
      <c r="DM301" s="47">
        <v>0</v>
      </c>
      <c r="DN301" s="47">
        <v>0</v>
      </c>
      <c r="DO301" s="47">
        <v>0</v>
      </c>
      <c r="DP301" s="47">
        <v>0</v>
      </c>
      <c r="DQ301" s="47">
        <v>0</v>
      </c>
      <c r="DR301" s="47">
        <v>0</v>
      </c>
      <c r="DS301" s="47">
        <v>0</v>
      </c>
      <c r="DT301" s="47">
        <v>0</v>
      </c>
      <c r="DU301" s="47">
        <v>0</v>
      </c>
      <c r="DV301" s="47">
        <v>0</v>
      </c>
      <c r="DW301" s="47">
        <v>0</v>
      </c>
      <c r="DX301" s="47">
        <v>0</v>
      </c>
      <c r="DY301" s="47">
        <v>0</v>
      </c>
      <c r="DZ301" s="47">
        <v>0</v>
      </c>
      <c r="EA301" s="47">
        <v>0</v>
      </c>
      <c r="EB301" s="47"/>
      <c r="EC301" s="47">
        <v>1</v>
      </c>
      <c r="ZZ301" t="s">
        <v>2472</v>
      </c>
    </row>
    <row r="302" spans="1:702" x14ac:dyDescent="0.25">
      <c r="A302" s="47" t="s">
        <v>1496</v>
      </c>
      <c r="B302" s="47" t="s">
        <v>153</v>
      </c>
      <c r="C302" s="47" t="s">
        <v>157</v>
      </c>
      <c r="D302" s="47" t="s">
        <v>2784</v>
      </c>
      <c r="E302" s="47" t="s">
        <v>1497</v>
      </c>
      <c r="F302" s="47" t="s">
        <v>1498</v>
      </c>
      <c r="G302" s="47" t="s">
        <v>1499</v>
      </c>
      <c r="H302" s="47" t="s">
        <v>698</v>
      </c>
      <c r="I302" s="47" t="s">
        <v>727</v>
      </c>
      <c r="J302" s="47" t="str">
        <f>=IFERROR(VLOOKUP(H302&amp;I302,Table_Fonctions!A:G,6,FALSE),"")</f>
        <v>0</v>
      </c>
      <c r="K302" s="47" t="s">
        <v>2607</v>
      </c>
      <c r="L302" s="47" t="str">
        <f>=IFERROR(VLOOKUP(H302&amp;I302,Table_Fonctions!A:G,7,FALSE),K302)</f>
        <v/>
      </c>
      <c r="M302" s="47" t="str">
        <f>=IF(OR(LEFT(D302, 3)="TJ ", LEFT(D302, 4)="CPH "), "OUI", "NON")</f>
        <v/>
      </c>
      <c r="N302" s="47" t="s">
        <v>1500</v>
      </c>
      <c r="O302" s="47"/>
      <c r="P302" s="47">
        <v>1</v>
      </c>
      <c r="Q302" s="47">
        <v>1</v>
      </c>
      <c r="R302" s="47">
        <v>0</v>
      </c>
      <c r="S302" s="47">
        <f>=ROUND(BQ302-(BR302+BS302),3)</f>
      </c>
      <c r="T302" s="47">
        <f>=ROUND(CK302-(CL302+CM302+CN302+CO302+CP302),3)</f>
      </c>
      <c r="U302" s="47">
        <v>0</v>
      </c>
      <c r="V302" s="47">
        <v>0</v>
      </c>
      <c r="W302" s="47">
        <v>0</v>
      </c>
      <c r="X302" s="47">
        <v>0</v>
      </c>
      <c r="Y302" s="47">
        <v>0</v>
      </c>
      <c r="Z302" s="47">
        <v>0</v>
      </c>
      <c r="AA302" s="47">
        <v>0</v>
      </c>
      <c r="AB302" s="47">
        <v>0</v>
      </c>
      <c r="AC302" s="47">
        <v>0</v>
      </c>
      <c r="AD302" s="47">
        <v>0</v>
      </c>
      <c r="AE302" s="47">
        <v>0</v>
      </c>
      <c r="AF302" s="47">
        <v>0</v>
      </c>
      <c r="AG302" s="47">
        <v>0</v>
      </c>
      <c r="AH302" s="47">
        <v>0</v>
      </c>
      <c r="AI302" s="47">
        <v>0</v>
      </c>
      <c r="AJ302" s="47">
        <v>0</v>
      </c>
      <c r="AK302" s="47">
        <v>0</v>
      </c>
      <c r="AL302" s="47">
        <v>0</v>
      </c>
      <c r="AM302" s="47">
        <v>0</v>
      </c>
      <c r="AN302" s="47">
        <v>0</v>
      </c>
      <c r="AO302" s="47">
        <v>0</v>
      </c>
      <c r="AP302" s="47">
        <v>0</v>
      </c>
      <c r="AQ302" s="47">
        <v>0</v>
      </c>
      <c r="AR302" s="47">
        <v>0</v>
      </c>
      <c r="AS302" s="47">
        <v>0</v>
      </c>
      <c r="AT302" s="47">
        <v>0</v>
      </c>
      <c r="AU302" s="47">
        <v>0</v>
      </c>
      <c r="AV302" s="47">
        <v>0</v>
      </c>
      <c r="AW302" s="47">
        <v>0</v>
      </c>
      <c r="AX302" s="47">
        <v>0</v>
      </c>
      <c r="AY302" s="47">
        <v>0</v>
      </c>
      <c r="AZ302" s="47">
        <v>0</v>
      </c>
      <c r="BA302" s="47">
        <v>0</v>
      </c>
      <c r="BB302" s="47">
        <v>0</v>
      </c>
      <c r="BC302" s="47">
        <v>0</v>
      </c>
      <c r="BD302" s="47">
        <v>0</v>
      </c>
      <c r="BE302" s="47">
        <v>0</v>
      </c>
      <c r="BF302" s="47">
        <v>0</v>
      </c>
      <c r="BG302" s="47">
        <v>0</v>
      </c>
      <c r="BH302" s="47">
        <v>0</v>
      </c>
      <c r="BI302" s="47">
        <v>0</v>
      </c>
      <c r="BJ302" s="47">
        <v>0</v>
      </c>
      <c r="BK302" s="47">
        <v>0</v>
      </c>
      <c r="BL302" s="47">
        <v>0</v>
      </c>
      <c r="BM302" s="47">
        <v>0</v>
      </c>
      <c r="BN302" s="47">
        <v>0</v>
      </c>
      <c r="BO302" s="47">
        <v>0</v>
      </c>
      <c r="BP302" s="47">
        <v>0</v>
      </c>
      <c r="BQ302" s="47">
        <v>0</v>
      </c>
      <c r="BR302" s="47">
        <v>0</v>
      </c>
      <c r="BS302" s="47">
        <v>0</v>
      </c>
      <c r="BT302" s="47">
        <v>0</v>
      </c>
      <c r="BU302" s="47">
        <v>0</v>
      </c>
      <c r="BV302" s="47">
        <v>0</v>
      </c>
      <c r="BW302" s="47">
        <v>0</v>
      </c>
      <c r="BX302" s="47">
        <v>0</v>
      </c>
      <c r="BY302" s="47">
        <v>0</v>
      </c>
      <c r="BZ302" s="47">
        <v>0</v>
      </c>
      <c r="CA302" s="47">
        <v>0</v>
      </c>
      <c r="CB302" s="47">
        <v>0</v>
      </c>
      <c r="CC302" s="47">
        <v>0</v>
      </c>
      <c r="CD302" s="47">
        <v>0</v>
      </c>
      <c r="CE302" s="47">
        <v>0</v>
      </c>
      <c r="CF302" s="47">
        <v>0</v>
      </c>
      <c r="CG302" s="47">
        <v>0</v>
      </c>
      <c r="CH302" s="47">
        <v>0</v>
      </c>
      <c r="CI302" s="47">
        <v>0</v>
      </c>
      <c r="CJ302" s="47">
        <v>0</v>
      </c>
      <c r="CK302" s="47">
        <v>0</v>
      </c>
      <c r="CL302" s="47">
        <v>0</v>
      </c>
      <c r="CM302" s="47">
        <v>0</v>
      </c>
      <c r="CN302" s="47">
        <v>0</v>
      </c>
      <c r="CO302" s="47">
        <v>0</v>
      </c>
      <c r="CP302" s="47">
        <v>0</v>
      </c>
      <c r="CQ302" s="47">
        <v>0</v>
      </c>
      <c r="CR302" s="47">
        <v>0</v>
      </c>
      <c r="CS302" s="47">
        <v>0</v>
      </c>
      <c r="CT302" s="47">
        <v>0</v>
      </c>
      <c r="CU302" s="47">
        <v>0</v>
      </c>
      <c r="CV302" s="47">
        <v>1</v>
      </c>
      <c r="CW302" s="47">
        <v>0</v>
      </c>
      <c r="CX302" s="47">
        <v>0</v>
      </c>
      <c r="CY302" s="47">
        <v>0</v>
      </c>
      <c r="CZ302" s="47">
        <v>0</v>
      </c>
      <c r="DA302" s="47">
        <v>0</v>
      </c>
      <c r="DB302" s="47">
        <v>0</v>
      </c>
      <c r="DC302" s="47">
        <v>0</v>
      </c>
      <c r="DD302" s="47">
        <v>0</v>
      </c>
      <c r="DE302" s="47">
        <v>0</v>
      </c>
      <c r="DF302" s="47">
        <v>0</v>
      </c>
      <c r="DG302" s="47">
        <v>0</v>
      </c>
      <c r="DH302" s="47">
        <v>0</v>
      </c>
      <c r="DI302" s="47">
        <v>0</v>
      </c>
      <c r="DJ302" s="47">
        <v>0</v>
      </c>
      <c r="DK302" s="47">
        <v>0</v>
      </c>
      <c r="DL302" s="47">
        <v>0</v>
      </c>
      <c r="DM302" s="47">
        <v>0</v>
      </c>
      <c r="DN302" s="47">
        <v>0</v>
      </c>
      <c r="DO302" s="47">
        <v>0</v>
      </c>
      <c r="DP302" s="47">
        <v>0</v>
      </c>
      <c r="DQ302" s="47">
        <v>0</v>
      </c>
      <c r="DR302" s="47">
        <v>0</v>
      </c>
      <c r="DS302" s="47">
        <v>0</v>
      </c>
      <c r="DT302" s="47">
        <v>0</v>
      </c>
      <c r="DU302" s="47">
        <v>0</v>
      </c>
      <c r="DV302" s="47">
        <v>0</v>
      </c>
      <c r="DW302" s="47">
        <v>0</v>
      </c>
      <c r="DX302" s="47">
        <v>0</v>
      </c>
      <c r="DY302" s="47">
        <v>0</v>
      </c>
      <c r="DZ302" s="47">
        <v>0</v>
      </c>
      <c r="EA302" s="47">
        <v>0</v>
      </c>
      <c r="EB302" s="47"/>
      <c r="EC302" s="47">
        <v>1</v>
      </c>
      <c r="ZZ302" t="s">
        <v>2472</v>
      </c>
    </row>
    <row r="303" spans="1:702" x14ac:dyDescent="0.25">
      <c r="A303" s="47" t="s">
        <v>1501</v>
      </c>
      <c r="B303" s="47" t="s">
        <v>153</v>
      </c>
      <c r="C303" s="47" t="s">
        <v>157</v>
      </c>
      <c r="D303" s="47" t="s">
        <v>2785</v>
      </c>
      <c r="E303" s="47" t="s">
        <v>1502</v>
      </c>
      <c r="F303" s="47" t="s">
        <v>1503</v>
      </c>
      <c r="G303" s="47" t="s">
        <v>1504</v>
      </c>
      <c r="H303" s="47" t="s">
        <v>698</v>
      </c>
      <c r="I303" s="47" t="s">
        <v>727</v>
      </c>
      <c r="J303" s="47" t="str">
        <f>=IFERROR(VLOOKUP(H303&amp;I303,Table_Fonctions!A:G,6,FALSE),"")</f>
        <v>0</v>
      </c>
      <c r="K303" s="47" t="s">
        <v>2607</v>
      </c>
      <c r="L303" s="47" t="str">
        <f>=IFERROR(VLOOKUP(H303&amp;I303,Table_Fonctions!A:G,7,FALSE),K303)</f>
        <v/>
      </c>
      <c r="M303" s="47" t="str">
        <f>=IF(OR(LEFT(D303, 3)="TJ ", LEFT(D303, 4)="CPH "), "OUI", "NON")</f>
        <v/>
      </c>
      <c r="N303" s="47" t="s">
        <v>1090</v>
      </c>
      <c r="O303" s="47"/>
      <c r="P303" s="47">
        <v>1</v>
      </c>
      <c r="Q303" s="47">
        <v>1</v>
      </c>
      <c r="R303" s="47">
        <v>0</v>
      </c>
      <c r="S303" s="47">
        <f>=ROUND(BQ303-(BR303+BS303),3)</f>
      </c>
      <c r="T303" s="47">
        <f>=ROUND(CK303-(CL303+CM303+CN303+CO303+CP303),3)</f>
      </c>
      <c r="U303" s="47">
        <v>0</v>
      </c>
      <c r="V303" s="47">
        <v>0</v>
      </c>
      <c r="W303" s="47">
        <v>0</v>
      </c>
      <c r="X303" s="47">
        <v>0</v>
      </c>
      <c r="Y303" s="47">
        <v>0</v>
      </c>
      <c r="Z303" s="47">
        <v>0</v>
      </c>
      <c r="AA303" s="47">
        <v>0</v>
      </c>
      <c r="AB303" s="47">
        <v>0</v>
      </c>
      <c r="AC303" s="47">
        <v>0</v>
      </c>
      <c r="AD303" s="47">
        <v>0</v>
      </c>
      <c r="AE303" s="47">
        <v>0</v>
      </c>
      <c r="AF303" s="47">
        <v>0</v>
      </c>
      <c r="AG303" s="47">
        <v>0</v>
      </c>
      <c r="AH303" s="47">
        <v>0</v>
      </c>
      <c r="AI303" s="47">
        <v>0</v>
      </c>
      <c r="AJ303" s="47">
        <v>0</v>
      </c>
      <c r="AK303" s="47">
        <v>0</v>
      </c>
      <c r="AL303" s="47">
        <v>0</v>
      </c>
      <c r="AM303" s="47">
        <v>0</v>
      </c>
      <c r="AN303" s="47">
        <v>0</v>
      </c>
      <c r="AO303" s="47">
        <v>0</v>
      </c>
      <c r="AP303" s="47">
        <v>0</v>
      </c>
      <c r="AQ303" s="47">
        <v>0</v>
      </c>
      <c r="AR303" s="47">
        <v>0</v>
      </c>
      <c r="AS303" s="47">
        <v>0</v>
      </c>
      <c r="AT303" s="47">
        <v>0</v>
      </c>
      <c r="AU303" s="47">
        <v>0</v>
      </c>
      <c r="AV303" s="47">
        <v>0</v>
      </c>
      <c r="AW303" s="47">
        <v>0</v>
      </c>
      <c r="AX303" s="47">
        <v>0</v>
      </c>
      <c r="AY303" s="47">
        <v>0</v>
      </c>
      <c r="AZ303" s="47">
        <v>0</v>
      </c>
      <c r="BA303" s="47">
        <v>0</v>
      </c>
      <c r="BB303" s="47">
        <v>0</v>
      </c>
      <c r="BC303" s="47">
        <v>0</v>
      </c>
      <c r="BD303" s="47">
        <v>0</v>
      </c>
      <c r="BE303" s="47">
        <v>0</v>
      </c>
      <c r="BF303" s="47">
        <v>0</v>
      </c>
      <c r="BG303" s="47">
        <v>0</v>
      </c>
      <c r="BH303" s="47">
        <v>0</v>
      </c>
      <c r="BI303" s="47">
        <v>0</v>
      </c>
      <c r="BJ303" s="47">
        <v>0</v>
      </c>
      <c r="BK303" s="47">
        <v>0</v>
      </c>
      <c r="BL303" s="47">
        <v>0</v>
      </c>
      <c r="BM303" s="47">
        <v>0</v>
      </c>
      <c r="BN303" s="47">
        <v>0</v>
      </c>
      <c r="BO303" s="47">
        <v>0</v>
      </c>
      <c r="BP303" s="47">
        <v>0</v>
      </c>
      <c r="BQ303" s="47">
        <v>0</v>
      </c>
      <c r="BR303" s="47">
        <v>0</v>
      </c>
      <c r="BS303" s="47">
        <v>0</v>
      </c>
      <c r="BT303" s="47">
        <v>0</v>
      </c>
      <c r="BU303" s="47">
        <v>0</v>
      </c>
      <c r="BV303" s="47">
        <v>0</v>
      </c>
      <c r="BW303" s="47">
        <v>0</v>
      </c>
      <c r="BX303" s="47">
        <v>0</v>
      </c>
      <c r="BY303" s="47">
        <v>0</v>
      </c>
      <c r="BZ303" s="47">
        <v>0</v>
      </c>
      <c r="CA303" s="47">
        <v>0</v>
      </c>
      <c r="CB303" s="47">
        <v>0</v>
      </c>
      <c r="CC303" s="47">
        <v>0</v>
      </c>
      <c r="CD303" s="47">
        <v>0</v>
      </c>
      <c r="CE303" s="47">
        <v>0</v>
      </c>
      <c r="CF303" s="47">
        <v>0</v>
      </c>
      <c r="CG303" s="47">
        <v>0</v>
      </c>
      <c r="CH303" s="47">
        <v>0</v>
      </c>
      <c r="CI303" s="47">
        <v>0</v>
      </c>
      <c r="CJ303" s="47">
        <v>0</v>
      </c>
      <c r="CK303" s="47">
        <v>1</v>
      </c>
      <c r="CL303" s="47">
        <v>0</v>
      </c>
      <c r="CM303" s="47">
        <v>0</v>
      </c>
      <c r="CN303" s="47">
        <v>0</v>
      </c>
      <c r="CO303" s="47">
        <v>0</v>
      </c>
      <c r="CP303" s="47">
        <v>0</v>
      </c>
      <c r="CQ303" s="47">
        <v>0</v>
      </c>
      <c r="CR303" s="47">
        <v>0</v>
      </c>
      <c r="CS303" s="47">
        <v>0</v>
      </c>
      <c r="CT303" s="47">
        <v>0</v>
      </c>
      <c r="CU303" s="47">
        <v>0</v>
      </c>
      <c r="CV303" s="47">
        <v>0</v>
      </c>
      <c r="CW303" s="47">
        <v>0</v>
      </c>
      <c r="CX303" s="47">
        <v>0</v>
      </c>
      <c r="CY303" s="47">
        <v>0</v>
      </c>
      <c r="CZ303" s="47">
        <v>0</v>
      </c>
      <c r="DA303" s="47">
        <v>0</v>
      </c>
      <c r="DB303" s="47">
        <v>0</v>
      </c>
      <c r="DC303" s="47">
        <v>0</v>
      </c>
      <c r="DD303" s="47">
        <v>0</v>
      </c>
      <c r="DE303" s="47">
        <v>0</v>
      </c>
      <c r="DF303" s="47">
        <v>0</v>
      </c>
      <c r="DG303" s="47">
        <v>0</v>
      </c>
      <c r="DH303" s="47">
        <v>0</v>
      </c>
      <c r="DI303" s="47">
        <v>0</v>
      </c>
      <c r="DJ303" s="47">
        <v>0</v>
      </c>
      <c r="DK303" s="47">
        <v>0</v>
      </c>
      <c r="DL303" s="47">
        <v>0</v>
      </c>
      <c r="DM303" s="47">
        <v>0</v>
      </c>
      <c r="DN303" s="47">
        <v>0</v>
      </c>
      <c r="DO303" s="47">
        <v>0</v>
      </c>
      <c r="DP303" s="47">
        <v>0</v>
      </c>
      <c r="DQ303" s="47">
        <v>0</v>
      </c>
      <c r="DR303" s="47">
        <v>0</v>
      </c>
      <c r="DS303" s="47">
        <v>0</v>
      </c>
      <c r="DT303" s="47">
        <v>0</v>
      </c>
      <c r="DU303" s="47">
        <v>0</v>
      </c>
      <c r="DV303" s="47">
        <v>0</v>
      </c>
      <c r="DW303" s="47">
        <v>0</v>
      </c>
      <c r="DX303" s="47">
        <v>0</v>
      </c>
      <c r="DY303" s="47">
        <v>0</v>
      </c>
      <c r="DZ303" s="47">
        <v>0</v>
      </c>
      <c r="EA303" s="47">
        <v>0</v>
      </c>
      <c r="EB303" s="47"/>
      <c r="EC303" s="47">
        <v>1</v>
      </c>
      <c r="ZZ303" t="s">
        <v>2472</v>
      </c>
    </row>
    <row r="304" spans="1:702" x14ac:dyDescent="0.25">
      <c r="A304" s="47" t="s">
        <v>1505</v>
      </c>
      <c r="B304" s="47" t="s">
        <v>153</v>
      </c>
      <c r="C304" s="47" t="s">
        <v>157</v>
      </c>
      <c r="D304" s="47" t="s">
        <v>2786</v>
      </c>
      <c r="E304" s="47" t="s">
        <v>1506</v>
      </c>
      <c r="F304" s="47" t="s">
        <v>1507</v>
      </c>
      <c r="G304" s="47" t="s">
        <v>1508</v>
      </c>
      <c r="H304" s="47" t="s">
        <v>698</v>
      </c>
      <c r="I304" s="47" t="s">
        <v>699</v>
      </c>
      <c r="J304" s="47" t="str">
        <f>=IFERROR(VLOOKUP(H304&amp;I304,Table_Fonctions!A:G,6,FALSE),"")</f>
        <v>0</v>
      </c>
      <c r="K304" s="47" t="s">
        <v>2605</v>
      </c>
      <c r="L304" s="47" t="str">
        <f>=IFERROR(VLOOKUP(H304&amp;I304,Table_Fonctions!A:G,7,FALSE),K304)</f>
        <v/>
      </c>
      <c r="M304" s="47" t="str">
        <f>=IF(OR(LEFT(D304, 3)="TJ ", LEFT(D304, 4)="CPH "), "OUI", "NON")</f>
        <v/>
      </c>
      <c r="N304" s="47" t="s">
        <v>1085</v>
      </c>
      <c r="O304" s="47"/>
      <c r="P304" s="47">
        <v>1</v>
      </c>
      <c r="Q304" s="47">
        <v>1</v>
      </c>
      <c r="R304" s="47">
        <v>0</v>
      </c>
      <c r="S304" s="47">
        <f>=ROUND(BQ304-(BR304+BS304),3)</f>
      </c>
      <c r="T304" s="47">
        <f>=ROUND(CK304-(CL304+CM304+CN304+CO304+CP304),3)</f>
      </c>
      <c r="U304" s="47">
        <v>0</v>
      </c>
      <c r="V304" s="47">
        <v>0</v>
      </c>
      <c r="W304" s="47">
        <v>0</v>
      </c>
      <c r="X304" s="47">
        <v>0</v>
      </c>
      <c r="Y304" s="47">
        <v>0</v>
      </c>
      <c r="Z304" s="47">
        <v>0</v>
      </c>
      <c r="AA304" s="47">
        <v>0</v>
      </c>
      <c r="AB304" s="47">
        <v>0</v>
      </c>
      <c r="AC304" s="47">
        <v>0</v>
      </c>
      <c r="AD304" s="47">
        <v>0</v>
      </c>
      <c r="AE304" s="47">
        <v>0</v>
      </c>
      <c r="AF304" s="47">
        <v>0</v>
      </c>
      <c r="AG304" s="47">
        <v>0</v>
      </c>
      <c r="AH304" s="47">
        <v>0</v>
      </c>
      <c r="AI304" s="47">
        <v>0</v>
      </c>
      <c r="AJ304" s="47">
        <v>0</v>
      </c>
      <c r="AK304" s="47">
        <v>0</v>
      </c>
      <c r="AL304" s="47">
        <v>0</v>
      </c>
      <c r="AM304" s="47">
        <v>0</v>
      </c>
      <c r="AN304" s="47">
        <v>0</v>
      </c>
      <c r="AO304" s="47">
        <v>0</v>
      </c>
      <c r="AP304" s="47">
        <v>0</v>
      </c>
      <c r="AQ304" s="47">
        <v>0</v>
      </c>
      <c r="AR304" s="47">
        <v>0</v>
      </c>
      <c r="AS304" s="47">
        <v>0</v>
      </c>
      <c r="AT304" s="47">
        <v>0</v>
      </c>
      <c r="AU304" s="47">
        <v>0</v>
      </c>
      <c r="AV304" s="47">
        <v>0</v>
      </c>
      <c r="AW304" s="47">
        <v>0</v>
      </c>
      <c r="AX304" s="47">
        <v>0</v>
      </c>
      <c r="AY304" s="47">
        <v>0</v>
      </c>
      <c r="AZ304" s="47">
        <v>0</v>
      </c>
      <c r="BA304" s="47">
        <v>0</v>
      </c>
      <c r="BB304" s="47">
        <v>0</v>
      </c>
      <c r="BC304" s="47">
        <v>0</v>
      </c>
      <c r="BD304" s="47">
        <v>0</v>
      </c>
      <c r="BE304" s="47">
        <v>0</v>
      </c>
      <c r="BF304" s="47">
        <v>0</v>
      </c>
      <c r="BG304" s="47">
        <v>0</v>
      </c>
      <c r="BH304" s="47">
        <v>0</v>
      </c>
      <c r="BI304" s="47">
        <v>0</v>
      </c>
      <c r="BJ304" s="47">
        <v>0</v>
      </c>
      <c r="BK304" s="47">
        <v>0</v>
      </c>
      <c r="BL304" s="47">
        <v>0</v>
      </c>
      <c r="BM304" s="47">
        <v>0</v>
      </c>
      <c r="BN304" s="47">
        <v>0</v>
      </c>
      <c r="BO304" s="47">
        <v>0</v>
      </c>
      <c r="BP304" s="47">
        <v>0</v>
      </c>
      <c r="BQ304" s="47">
        <v>0</v>
      </c>
      <c r="BR304" s="47">
        <v>0</v>
      </c>
      <c r="BS304" s="47">
        <v>0</v>
      </c>
      <c r="BT304" s="47">
        <v>1</v>
      </c>
      <c r="BU304" s="47">
        <v>0</v>
      </c>
      <c r="BV304" s="47">
        <v>0</v>
      </c>
      <c r="BW304" s="47">
        <v>0</v>
      </c>
      <c r="BX304" s="47">
        <v>0</v>
      </c>
      <c r="BY304" s="47">
        <v>0</v>
      </c>
      <c r="BZ304" s="47">
        <v>0</v>
      </c>
      <c r="CA304" s="47">
        <v>0</v>
      </c>
      <c r="CB304" s="47">
        <v>0</v>
      </c>
      <c r="CC304" s="47">
        <v>0.5</v>
      </c>
      <c r="CD304" s="47">
        <v>0</v>
      </c>
      <c r="CE304" s="47">
        <v>0</v>
      </c>
      <c r="CF304" s="47">
        <v>0.5</v>
      </c>
      <c r="CG304" s="47">
        <v>0</v>
      </c>
      <c r="CH304" s="47">
        <v>0</v>
      </c>
      <c r="CI304" s="47">
        <v>0</v>
      </c>
      <c r="CJ304" s="47">
        <v>0</v>
      </c>
      <c r="CK304" s="47">
        <v>0</v>
      </c>
      <c r="CL304" s="47">
        <v>0</v>
      </c>
      <c r="CM304" s="47">
        <v>0</v>
      </c>
      <c r="CN304" s="47">
        <v>0</v>
      </c>
      <c r="CO304" s="47">
        <v>0</v>
      </c>
      <c r="CP304" s="47">
        <v>0</v>
      </c>
      <c r="CQ304" s="47">
        <v>0</v>
      </c>
      <c r="CR304" s="47">
        <v>0</v>
      </c>
      <c r="CS304" s="47">
        <v>0</v>
      </c>
      <c r="CT304" s="47">
        <v>0</v>
      </c>
      <c r="CU304" s="47">
        <v>0</v>
      </c>
      <c r="CV304" s="47">
        <v>0</v>
      </c>
      <c r="CW304" s="47">
        <v>0</v>
      </c>
      <c r="CX304" s="47">
        <v>0</v>
      </c>
      <c r="CY304" s="47">
        <v>0</v>
      </c>
      <c r="CZ304" s="47">
        <v>0</v>
      </c>
      <c r="DA304" s="47">
        <v>0</v>
      </c>
      <c r="DB304" s="47">
        <v>0</v>
      </c>
      <c r="DC304" s="47">
        <v>0</v>
      </c>
      <c r="DD304" s="47">
        <v>0</v>
      </c>
      <c r="DE304" s="47">
        <v>0</v>
      </c>
      <c r="DF304" s="47">
        <v>0</v>
      </c>
      <c r="DG304" s="47">
        <v>0</v>
      </c>
      <c r="DH304" s="47">
        <v>0</v>
      </c>
      <c r="DI304" s="47">
        <v>0</v>
      </c>
      <c r="DJ304" s="47">
        <v>0</v>
      </c>
      <c r="DK304" s="47">
        <v>0</v>
      </c>
      <c r="DL304" s="47">
        <v>0</v>
      </c>
      <c r="DM304" s="47">
        <v>0</v>
      </c>
      <c r="DN304" s="47">
        <v>0</v>
      </c>
      <c r="DO304" s="47">
        <v>0</v>
      </c>
      <c r="DP304" s="47">
        <v>0</v>
      </c>
      <c r="DQ304" s="47">
        <v>0</v>
      </c>
      <c r="DR304" s="47">
        <v>0</v>
      </c>
      <c r="DS304" s="47">
        <v>0</v>
      </c>
      <c r="DT304" s="47">
        <v>0</v>
      </c>
      <c r="DU304" s="47">
        <v>0</v>
      </c>
      <c r="DV304" s="47">
        <v>0</v>
      </c>
      <c r="DW304" s="47">
        <v>0</v>
      </c>
      <c r="DX304" s="47">
        <v>0</v>
      </c>
      <c r="DY304" s="47">
        <v>0</v>
      </c>
      <c r="DZ304" s="47">
        <v>0</v>
      </c>
      <c r="EA304" s="47">
        <v>0</v>
      </c>
      <c r="EB304" s="47"/>
      <c r="EC304" s="47">
        <v>1</v>
      </c>
      <c r="ZZ304" t="s">
        <v>2472</v>
      </c>
    </row>
    <row r="305" spans="1:702" x14ac:dyDescent="0.25">
      <c r="A305" s="47" t="s">
        <v>1509</v>
      </c>
      <c r="B305" s="47" t="s">
        <v>153</v>
      </c>
      <c r="C305" s="47" t="s">
        <v>157</v>
      </c>
      <c r="D305" s="47" t="s">
        <v>2787</v>
      </c>
      <c r="E305" s="47" t="s">
        <v>1510</v>
      </c>
      <c r="F305" s="47" t="s">
        <v>1511</v>
      </c>
      <c r="G305" s="47" t="s">
        <v>1512</v>
      </c>
      <c r="H305" s="47" t="s">
        <v>698</v>
      </c>
      <c r="I305" s="47" t="s">
        <v>727</v>
      </c>
      <c r="J305" s="47" t="str">
        <f>=IFERROR(VLOOKUP(H305&amp;I305,Table_Fonctions!A:G,6,FALSE),"")</f>
        <v>0</v>
      </c>
      <c r="K305" s="47" t="s">
        <v>2607</v>
      </c>
      <c r="L305" s="47" t="str">
        <f>=IFERROR(VLOOKUP(H305&amp;I305,Table_Fonctions!A:G,7,FALSE),K305)</f>
        <v/>
      </c>
      <c r="M305" s="47" t="str">
        <f>=IF(OR(LEFT(D305, 3)="TJ ", LEFT(D305, 4)="CPH "), "OUI", "NON")</f>
        <v/>
      </c>
      <c r="N305" s="47" t="s">
        <v>1243</v>
      </c>
      <c r="O305" s="47"/>
      <c r="P305" s="47">
        <v>0.8</v>
      </c>
      <c r="Q305" s="47">
        <v>0</v>
      </c>
      <c r="R305" s="47">
        <v>0.8</v>
      </c>
      <c r="S305" s="47">
        <f>=ROUND(BQ305-(BR305+BS305),3)</f>
      </c>
      <c r="T305" s="47">
        <f>=ROUND(CK305-(CL305+CM305+CN305+CO305+CP305),3)</f>
      </c>
      <c r="U305" s="47">
        <v>0</v>
      </c>
      <c r="V305" s="47">
        <v>0</v>
      </c>
      <c r="W305" s="47">
        <v>0</v>
      </c>
      <c r="X305" s="47">
        <v>0</v>
      </c>
      <c r="Y305" s="47">
        <v>0</v>
      </c>
      <c r="Z305" s="47">
        <v>0</v>
      </c>
      <c r="AA305" s="47">
        <v>0</v>
      </c>
      <c r="AB305" s="47">
        <v>0</v>
      </c>
      <c r="AC305" s="47">
        <v>0</v>
      </c>
      <c r="AD305" s="47">
        <v>0</v>
      </c>
      <c r="AE305" s="47">
        <v>0</v>
      </c>
      <c r="AF305" s="47">
        <v>0</v>
      </c>
      <c r="AG305" s="47">
        <v>0</v>
      </c>
      <c r="AH305" s="47">
        <v>0</v>
      </c>
      <c r="AI305" s="47">
        <v>0</v>
      </c>
      <c r="AJ305" s="47">
        <v>0</v>
      </c>
      <c r="AK305" s="47">
        <v>0</v>
      </c>
      <c r="AL305" s="47">
        <v>0</v>
      </c>
      <c r="AM305" s="47">
        <v>0</v>
      </c>
      <c r="AN305" s="47">
        <v>0</v>
      </c>
      <c r="AO305" s="47">
        <v>0</v>
      </c>
      <c r="AP305" s="47">
        <v>0</v>
      </c>
      <c r="AQ305" s="47">
        <v>0</v>
      </c>
      <c r="AR305" s="47">
        <v>0</v>
      </c>
      <c r="AS305" s="47">
        <v>0</v>
      </c>
      <c r="AT305" s="47">
        <v>0</v>
      </c>
      <c r="AU305" s="47">
        <v>0</v>
      </c>
      <c r="AV305" s="47">
        <v>0</v>
      </c>
      <c r="AW305" s="47">
        <v>0</v>
      </c>
      <c r="AX305" s="47">
        <v>0</v>
      </c>
      <c r="AY305" s="47">
        <v>0</v>
      </c>
      <c r="AZ305" s="47">
        <v>0</v>
      </c>
      <c r="BA305" s="47">
        <v>0</v>
      </c>
      <c r="BB305" s="47">
        <v>0</v>
      </c>
      <c r="BC305" s="47">
        <v>0</v>
      </c>
      <c r="BD305" s="47">
        <v>0</v>
      </c>
      <c r="BE305" s="47">
        <v>0</v>
      </c>
      <c r="BF305" s="47">
        <v>0</v>
      </c>
      <c r="BG305" s="47">
        <v>0</v>
      </c>
      <c r="BH305" s="47">
        <v>0</v>
      </c>
      <c r="BI305" s="47">
        <v>0</v>
      </c>
      <c r="BJ305" s="47">
        <v>0</v>
      </c>
      <c r="BK305" s="47">
        <v>0</v>
      </c>
      <c r="BL305" s="47">
        <v>0</v>
      </c>
      <c r="BM305" s="47">
        <v>0</v>
      </c>
      <c r="BN305" s="47">
        <v>0</v>
      </c>
      <c r="BO305" s="47">
        <v>0</v>
      </c>
      <c r="BP305" s="47">
        <v>0</v>
      </c>
      <c r="BQ305" s="47">
        <v>0</v>
      </c>
      <c r="BR305" s="47">
        <v>0</v>
      </c>
      <c r="BS305" s="47">
        <v>0</v>
      </c>
      <c r="BT305" s="47">
        <v>0</v>
      </c>
      <c r="BU305" s="47">
        <v>0</v>
      </c>
      <c r="BV305" s="47">
        <v>0</v>
      </c>
      <c r="BW305" s="47">
        <v>0</v>
      </c>
      <c r="BX305" s="47">
        <v>0</v>
      </c>
      <c r="BY305" s="47">
        <v>0</v>
      </c>
      <c r="BZ305" s="47">
        <v>0</v>
      </c>
      <c r="CA305" s="47">
        <v>0</v>
      </c>
      <c r="CB305" s="47">
        <v>0</v>
      </c>
      <c r="CC305" s="47">
        <v>0</v>
      </c>
      <c r="CD305" s="47">
        <v>0</v>
      </c>
      <c r="CE305" s="47">
        <v>0</v>
      </c>
      <c r="CF305" s="47">
        <v>0</v>
      </c>
      <c r="CG305" s="47">
        <v>0</v>
      </c>
      <c r="CH305" s="47">
        <v>0</v>
      </c>
      <c r="CI305" s="47">
        <v>0</v>
      </c>
      <c r="CJ305" s="47">
        <v>0</v>
      </c>
      <c r="CK305" s="47">
        <v>0</v>
      </c>
      <c r="CL305" s="47">
        <v>0</v>
      </c>
      <c r="CM305" s="47">
        <v>0</v>
      </c>
      <c r="CN305" s="47">
        <v>0</v>
      </c>
      <c r="CO305" s="47">
        <v>0</v>
      </c>
      <c r="CP305" s="47">
        <v>0</v>
      </c>
      <c r="CQ305" s="47">
        <v>0</v>
      </c>
      <c r="CR305" s="47">
        <v>0</v>
      </c>
      <c r="CS305" s="47">
        <v>0</v>
      </c>
      <c r="CT305" s="47">
        <v>0</v>
      </c>
      <c r="CU305" s="47">
        <v>0</v>
      </c>
      <c r="CV305" s="47">
        <v>0</v>
      </c>
      <c r="CW305" s="47">
        <v>0</v>
      </c>
      <c r="CX305" s="47">
        <v>0</v>
      </c>
      <c r="CY305" s="47">
        <v>0</v>
      </c>
      <c r="CZ305" s="47">
        <v>0</v>
      </c>
      <c r="DA305" s="47">
        <v>0</v>
      </c>
      <c r="DB305" s="47">
        <v>0</v>
      </c>
      <c r="DC305" s="47">
        <v>0</v>
      </c>
      <c r="DD305" s="47">
        <v>0</v>
      </c>
      <c r="DE305" s="47">
        <v>0</v>
      </c>
      <c r="DF305" s="47">
        <v>0</v>
      </c>
      <c r="DG305" s="47">
        <v>0</v>
      </c>
      <c r="DH305" s="47">
        <v>0</v>
      </c>
      <c r="DI305" s="47">
        <v>0</v>
      </c>
      <c r="DJ305" s="47">
        <v>0</v>
      </c>
      <c r="DK305" s="47">
        <v>0</v>
      </c>
      <c r="DL305" s="47">
        <v>0</v>
      </c>
      <c r="DM305" s="47">
        <v>0</v>
      </c>
      <c r="DN305" s="47">
        <v>0</v>
      </c>
      <c r="DO305" s="47">
        <v>0</v>
      </c>
      <c r="DP305" s="47">
        <v>0</v>
      </c>
      <c r="DQ305" s="47">
        <v>0</v>
      </c>
      <c r="DR305" s="47">
        <v>0</v>
      </c>
      <c r="DS305" s="47">
        <v>0</v>
      </c>
      <c r="DT305" s="47">
        <v>0</v>
      </c>
      <c r="DU305" s="47">
        <v>0</v>
      </c>
      <c r="DV305" s="47">
        <v>0</v>
      </c>
      <c r="DW305" s="47">
        <v>0</v>
      </c>
      <c r="DX305" s="47">
        <v>0</v>
      </c>
      <c r="DY305" s="47">
        <v>0</v>
      </c>
      <c r="DZ305" s="47">
        <v>0</v>
      </c>
      <c r="EA305" s="47">
        <v>0</v>
      </c>
      <c r="EB305" s="47"/>
      <c r="EC305" s="47">
        <v>0.8</v>
      </c>
      <c r="ZZ305" t="s">
        <v>2472</v>
      </c>
    </row>
    <row r="306" spans="1:702" x14ac:dyDescent="0.25">
      <c r="A306" s="47" t="s">
        <v>1513</v>
      </c>
      <c r="B306" s="47" t="s">
        <v>153</v>
      </c>
      <c r="C306" s="47" t="s">
        <v>157</v>
      </c>
      <c r="D306" s="47" t="s">
        <v>2788</v>
      </c>
      <c r="E306" s="47" t="s">
        <v>1514</v>
      </c>
      <c r="F306" s="47" t="s">
        <v>1515</v>
      </c>
      <c r="G306" s="47" t="s">
        <v>1516</v>
      </c>
      <c r="H306" s="47" t="s">
        <v>698</v>
      </c>
      <c r="I306" s="47" t="s">
        <v>705</v>
      </c>
      <c r="J306" s="47" t="str">
        <f>=IFERROR(VLOOKUP(H306&amp;I306,Table_Fonctions!A:G,6,FALSE),"")</f>
        <v>0</v>
      </c>
      <c r="K306" s="47" t="s">
        <v>2607</v>
      </c>
      <c r="L306" s="47" t="str">
        <f>=IFERROR(VLOOKUP(H306&amp;I306,Table_Fonctions!A:G,7,FALSE),K306)</f>
        <v/>
      </c>
      <c r="M306" s="47" t="str">
        <f>=IF(OR(LEFT(D306, 3)="TJ ", LEFT(D306, 4)="CPH "), "OUI", "NON")</f>
        <v/>
      </c>
      <c r="N306" s="47" t="s">
        <v>722</v>
      </c>
      <c r="O306" s="47"/>
      <c r="P306" s="47">
        <v>1</v>
      </c>
      <c r="Q306" s="47">
        <v>0</v>
      </c>
      <c r="R306" s="47">
        <v>1</v>
      </c>
      <c r="S306" s="47">
        <f>=ROUND(BQ306-(BR306+BS306),3)</f>
      </c>
      <c r="T306" s="47">
        <f>=ROUND(CK306-(CL306+CM306+CN306+CO306+CP306),3)</f>
      </c>
      <c r="U306" s="47">
        <v>0</v>
      </c>
      <c r="V306" s="47">
        <v>0</v>
      </c>
      <c r="W306" s="47">
        <v>0</v>
      </c>
      <c r="X306" s="47">
        <v>0</v>
      </c>
      <c r="Y306" s="47">
        <v>0</v>
      </c>
      <c r="Z306" s="47">
        <v>0</v>
      </c>
      <c r="AA306" s="47">
        <v>0</v>
      </c>
      <c r="AB306" s="47">
        <v>0</v>
      </c>
      <c r="AC306" s="47">
        <v>0</v>
      </c>
      <c r="AD306" s="47">
        <v>0</v>
      </c>
      <c r="AE306" s="47">
        <v>0</v>
      </c>
      <c r="AF306" s="47">
        <v>0</v>
      </c>
      <c r="AG306" s="47">
        <v>0</v>
      </c>
      <c r="AH306" s="47">
        <v>0</v>
      </c>
      <c r="AI306" s="47">
        <v>0</v>
      </c>
      <c r="AJ306" s="47">
        <v>0</v>
      </c>
      <c r="AK306" s="47">
        <v>0</v>
      </c>
      <c r="AL306" s="47">
        <v>0</v>
      </c>
      <c r="AM306" s="47">
        <v>0</v>
      </c>
      <c r="AN306" s="47">
        <v>0</v>
      </c>
      <c r="AO306" s="47">
        <v>0</v>
      </c>
      <c r="AP306" s="47">
        <v>0</v>
      </c>
      <c r="AQ306" s="47">
        <v>0</v>
      </c>
      <c r="AR306" s="47">
        <v>0</v>
      </c>
      <c r="AS306" s="47">
        <v>0</v>
      </c>
      <c r="AT306" s="47">
        <v>0</v>
      </c>
      <c r="AU306" s="47">
        <v>0</v>
      </c>
      <c r="AV306" s="47">
        <v>0</v>
      </c>
      <c r="AW306" s="47">
        <v>0</v>
      </c>
      <c r="AX306" s="47">
        <v>0</v>
      </c>
      <c r="AY306" s="47">
        <v>0</v>
      </c>
      <c r="AZ306" s="47">
        <v>0</v>
      </c>
      <c r="BA306" s="47">
        <v>0</v>
      </c>
      <c r="BB306" s="47">
        <v>0</v>
      </c>
      <c r="BC306" s="47">
        <v>0</v>
      </c>
      <c r="BD306" s="47">
        <v>0</v>
      </c>
      <c r="BE306" s="47">
        <v>0</v>
      </c>
      <c r="BF306" s="47">
        <v>0</v>
      </c>
      <c r="BG306" s="47">
        <v>0</v>
      </c>
      <c r="BH306" s="47">
        <v>0</v>
      </c>
      <c r="BI306" s="47">
        <v>0</v>
      </c>
      <c r="BJ306" s="47">
        <v>0</v>
      </c>
      <c r="BK306" s="47">
        <v>0</v>
      </c>
      <c r="BL306" s="47">
        <v>0</v>
      </c>
      <c r="BM306" s="47">
        <v>0</v>
      </c>
      <c r="BN306" s="47">
        <v>0</v>
      </c>
      <c r="BO306" s="47">
        <v>0</v>
      </c>
      <c r="BP306" s="47">
        <v>0</v>
      </c>
      <c r="BQ306" s="47">
        <v>0</v>
      </c>
      <c r="BR306" s="47">
        <v>0</v>
      </c>
      <c r="BS306" s="47">
        <v>0</v>
      </c>
      <c r="BT306" s="47">
        <v>0</v>
      </c>
      <c r="BU306" s="47">
        <v>0</v>
      </c>
      <c r="BV306" s="47">
        <v>0</v>
      </c>
      <c r="BW306" s="47">
        <v>0</v>
      </c>
      <c r="BX306" s="47">
        <v>0</v>
      </c>
      <c r="BY306" s="47">
        <v>0</v>
      </c>
      <c r="BZ306" s="47">
        <v>0</v>
      </c>
      <c r="CA306" s="47">
        <v>0</v>
      </c>
      <c r="CB306" s="47">
        <v>0</v>
      </c>
      <c r="CC306" s="47">
        <v>0</v>
      </c>
      <c r="CD306" s="47">
        <v>0</v>
      </c>
      <c r="CE306" s="47">
        <v>0</v>
      </c>
      <c r="CF306" s="47">
        <v>0</v>
      </c>
      <c r="CG306" s="47">
        <v>0</v>
      </c>
      <c r="CH306" s="47">
        <v>0</v>
      </c>
      <c r="CI306" s="47">
        <v>0</v>
      </c>
      <c r="CJ306" s="47">
        <v>0</v>
      </c>
      <c r="CK306" s="47">
        <v>0</v>
      </c>
      <c r="CL306" s="47">
        <v>0</v>
      </c>
      <c r="CM306" s="47">
        <v>0</v>
      </c>
      <c r="CN306" s="47">
        <v>0</v>
      </c>
      <c r="CO306" s="47">
        <v>0</v>
      </c>
      <c r="CP306" s="47">
        <v>0</v>
      </c>
      <c r="CQ306" s="47">
        <v>0</v>
      </c>
      <c r="CR306" s="47">
        <v>0</v>
      </c>
      <c r="CS306" s="47">
        <v>0</v>
      </c>
      <c r="CT306" s="47">
        <v>0</v>
      </c>
      <c r="CU306" s="47">
        <v>0</v>
      </c>
      <c r="CV306" s="47">
        <v>0</v>
      </c>
      <c r="CW306" s="47">
        <v>0</v>
      </c>
      <c r="CX306" s="47">
        <v>0</v>
      </c>
      <c r="CY306" s="47">
        <v>0</v>
      </c>
      <c r="CZ306" s="47">
        <v>0</v>
      </c>
      <c r="DA306" s="47">
        <v>0</v>
      </c>
      <c r="DB306" s="47">
        <v>0</v>
      </c>
      <c r="DC306" s="47">
        <v>0</v>
      </c>
      <c r="DD306" s="47">
        <v>0</v>
      </c>
      <c r="DE306" s="47">
        <v>0</v>
      </c>
      <c r="DF306" s="47">
        <v>0</v>
      </c>
      <c r="DG306" s="47">
        <v>0</v>
      </c>
      <c r="DH306" s="47">
        <v>0</v>
      </c>
      <c r="DI306" s="47">
        <v>0</v>
      </c>
      <c r="DJ306" s="47">
        <v>0</v>
      </c>
      <c r="DK306" s="47">
        <v>0</v>
      </c>
      <c r="DL306" s="47">
        <v>0</v>
      </c>
      <c r="DM306" s="47">
        <v>0</v>
      </c>
      <c r="DN306" s="47">
        <v>0</v>
      </c>
      <c r="DO306" s="47">
        <v>0</v>
      </c>
      <c r="DP306" s="47">
        <v>0</v>
      </c>
      <c r="DQ306" s="47">
        <v>0</v>
      </c>
      <c r="DR306" s="47">
        <v>0</v>
      </c>
      <c r="DS306" s="47">
        <v>0</v>
      </c>
      <c r="DT306" s="47">
        <v>0</v>
      </c>
      <c r="DU306" s="47">
        <v>0</v>
      </c>
      <c r="DV306" s="47">
        <v>0</v>
      </c>
      <c r="DW306" s="47">
        <v>0</v>
      </c>
      <c r="DX306" s="47">
        <v>0</v>
      </c>
      <c r="DY306" s="47">
        <v>0</v>
      </c>
      <c r="DZ306" s="47">
        <v>0</v>
      </c>
      <c r="EA306" s="47">
        <v>0</v>
      </c>
      <c r="EB306" s="47"/>
      <c r="EC306" s="47">
        <v>1</v>
      </c>
      <c r="ZZ306" t="s">
        <v>2472</v>
      </c>
    </row>
    <row r="307" spans="1:702" x14ac:dyDescent="0.25">
      <c r="A307" s="47" t="s">
        <v>1517</v>
      </c>
      <c r="B307" s="47" t="s">
        <v>153</v>
      </c>
      <c r="C307" s="47" t="s">
        <v>157</v>
      </c>
      <c r="D307" s="47" t="s">
        <v>2789</v>
      </c>
      <c r="E307" s="47" t="s">
        <v>1518</v>
      </c>
      <c r="F307" s="47" t="s">
        <v>1519</v>
      </c>
      <c r="G307" s="47" t="s">
        <v>1520</v>
      </c>
      <c r="H307" s="47" t="s">
        <v>698</v>
      </c>
      <c r="I307" s="47" t="s">
        <v>738</v>
      </c>
      <c r="J307" s="47" t="str">
        <f>=IFERROR(VLOOKUP(H307&amp;I307,Table_Fonctions!A:G,6,FALSE),"")</f>
        <v>0</v>
      </c>
      <c r="K307" s="47" t="s">
        <v>2607</v>
      </c>
      <c r="L307" s="47" t="str">
        <f>=IFERROR(VLOOKUP(H307&amp;I307,Table_Fonctions!A:G,7,FALSE),K307)</f>
        <v/>
      </c>
      <c r="M307" s="47" t="str">
        <f>=IF(OR(LEFT(D307, 3)="TJ ", LEFT(D307, 4)="CPH "), "OUI", "NON")</f>
        <v/>
      </c>
      <c r="N307" s="47" t="s">
        <v>163</v>
      </c>
      <c r="O307" s="47"/>
      <c r="P307" s="47">
        <v>1</v>
      </c>
      <c r="Q307" s="47">
        <v>1</v>
      </c>
      <c r="R307" s="47">
        <v>0</v>
      </c>
      <c r="S307" s="47">
        <f>=ROUND(BQ307-(BR307+BS307),3)</f>
      </c>
      <c r="T307" s="47">
        <f>=ROUND(CK307-(CL307+CM307+CN307+CO307+CP307),3)</f>
      </c>
      <c r="U307" s="47">
        <v>1</v>
      </c>
      <c r="V307" s="47">
        <v>0</v>
      </c>
      <c r="W307" s="47">
        <v>0</v>
      </c>
      <c r="X307" s="47">
        <v>0</v>
      </c>
      <c r="Y307" s="47">
        <v>0</v>
      </c>
      <c r="Z307" s="47">
        <v>0</v>
      </c>
      <c r="AA307" s="47">
        <v>0</v>
      </c>
      <c r="AB307" s="47">
        <v>0</v>
      </c>
      <c r="AC307" s="47">
        <v>0</v>
      </c>
      <c r="AD307" s="47">
        <v>0</v>
      </c>
      <c r="AE307" s="47">
        <v>0</v>
      </c>
      <c r="AF307" s="47">
        <v>0</v>
      </c>
      <c r="AG307" s="47">
        <v>0</v>
      </c>
      <c r="AH307" s="47">
        <v>0</v>
      </c>
      <c r="AI307" s="47">
        <v>0</v>
      </c>
      <c r="AJ307" s="47">
        <v>0</v>
      </c>
      <c r="AK307" s="47">
        <v>0</v>
      </c>
      <c r="AL307" s="47">
        <v>0</v>
      </c>
      <c r="AM307" s="47">
        <v>0</v>
      </c>
      <c r="AN307" s="47">
        <v>0</v>
      </c>
      <c r="AO307" s="47">
        <v>0</v>
      </c>
      <c r="AP307" s="47">
        <v>0</v>
      </c>
      <c r="AQ307" s="47">
        <v>0</v>
      </c>
      <c r="AR307" s="47">
        <v>0</v>
      </c>
      <c r="AS307" s="47">
        <v>0</v>
      </c>
      <c r="AT307" s="47">
        <v>0</v>
      </c>
      <c r="AU307" s="47">
        <v>0</v>
      </c>
      <c r="AV307" s="47">
        <v>0</v>
      </c>
      <c r="AW307" s="47">
        <v>0</v>
      </c>
      <c r="AX307" s="47">
        <v>0</v>
      </c>
      <c r="AY307" s="47">
        <v>0</v>
      </c>
      <c r="AZ307" s="47">
        <v>0</v>
      </c>
      <c r="BA307" s="47">
        <v>0</v>
      </c>
      <c r="BB307" s="47">
        <v>0</v>
      </c>
      <c r="BC307" s="47">
        <v>0</v>
      </c>
      <c r="BD307" s="47">
        <v>0</v>
      </c>
      <c r="BE307" s="47">
        <v>0</v>
      </c>
      <c r="BF307" s="47">
        <v>0</v>
      </c>
      <c r="BG307" s="47">
        <v>0</v>
      </c>
      <c r="BH307" s="47">
        <v>0</v>
      </c>
      <c r="BI307" s="47">
        <v>0</v>
      </c>
      <c r="BJ307" s="47">
        <v>0</v>
      </c>
      <c r="BK307" s="47">
        <v>0</v>
      </c>
      <c r="BL307" s="47">
        <v>0</v>
      </c>
      <c r="BM307" s="47">
        <v>0</v>
      </c>
      <c r="BN307" s="47">
        <v>0</v>
      </c>
      <c r="BO307" s="47">
        <v>0</v>
      </c>
      <c r="BP307" s="47">
        <v>0</v>
      </c>
      <c r="BQ307" s="47">
        <v>0</v>
      </c>
      <c r="BR307" s="47">
        <v>0</v>
      </c>
      <c r="BS307" s="47">
        <v>0</v>
      </c>
      <c r="BT307" s="47">
        <v>0</v>
      </c>
      <c r="BU307" s="47">
        <v>0</v>
      </c>
      <c r="BV307" s="47">
        <v>0</v>
      </c>
      <c r="BW307" s="47">
        <v>0</v>
      </c>
      <c r="BX307" s="47">
        <v>0</v>
      </c>
      <c r="BY307" s="47">
        <v>0</v>
      </c>
      <c r="BZ307" s="47">
        <v>0</v>
      </c>
      <c r="CA307" s="47">
        <v>0</v>
      </c>
      <c r="CB307" s="47">
        <v>0</v>
      </c>
      <c r="CC307" s="47">
        <v>0</v>
      </c>
      <c r="CD307" s="47">
        <v>0</v>
      </c>
      <c r="CE307" s="47">
        <v>0</v>
      </c>
      <c r="CF307" s="47">
        <v>0</v>
      </c>
      <c r="CG307" s="47">
        <v>0</v>
      </c>
      <c r="CH307" s="47">
        <v>0</v>
      </c>
      <c r="CI307" s="47">
        <v>0</v>
      </c>
      <c r="CJ307" s="47">
        <v>0</v>
      </c>
      <c r="CK307" s="47">
        <v>0</v>
      </c>
      <c r="CL307" s="47">
        <v>0</v>
      </c>
      <c r="CM307" s="47">
        <v>0</v>
      </c>
      <c r="CN307" s="47">
        <v>0</v>
      </c>
      <c r="CO307" s="47">
        <v>0</v>
      </c>
      <c r="CP307" s="47">
        <v>0</v>
      </c>
      <c r="CQ307" s="47">
        <v>0</v>
      </c>
      <c r="CR307" s="47">
        <v>0</v>
      </c>
      <c r="CS307" s="47">
        <v>0</v>
      </c>
      <c r="CT307" s="47">
        <v>0</v>
      </c>
      <c r="CU307" s="47">
        <v>0</v>
      </c>
      <c r="CV307" s="47">
        <v>0</v>
      </c>
      <c r="CW307" s="47">
        <v>0</v>
      </c>
      <c r="CX307" s="47">
        <v>0</v>
      </c>
      <c r="CY307" s="47">
        <v>0</v>
      </c>
      <c r="CZ307" s="47">
        <v>0</v>
      </c>
      <c r="DA307" s="47">
        <v>0</v>
      </c>
      <c r="DB307" s="47">
        <v>0</v>
      </c>
      <c r="DC307" s="47">
        <v>0</v>
      </c>
      <c r="DD307" s="47">
        <v>0</v>
      </c>
      <c r="DE307" s="47">
        <v>0</v>
      </c>
      <c r="DF307" s="47">
        <v>0</v>
      </c>
      <c r="DG307" s="47">
        <v>0</v>
      </c>
      <c r="DH307" s="47">
        <v>0</v>
      </c>
      <c r="DI307" s="47">
        <v>0</v>
      </c>
      <c r="DJ307" s="47">
        <v>0</v>
      </c>
      <c r="DK307" s="47">
        <v>0</v>
      </c>
      <c r="DL307" s="47">
        <v>0</v>
      </c>
      <c r="DM307" s="47">
        <v>0</v>
      </c>
      <c r="DN307" s="47">
        <v>0</v>
      </c>
      <c r="DO307" s="47">
        <v>0</v>
      </c>
      <c r="DP307" s="47">
        <v>0</v>
      </c>
      <c r="DQ307" s="47">
        <v>0</v>
      </c>
      <c r="DR307" s="47">
        <v>0</v>
      </c>
      <c r="DS307" s="47">
        <v>0</v>
      </c>
      <c r="DT307" s="47">
        <v>0</v>
      </c>
      <c r="DU307" s="47">
        <v>0</v>
      </c>
      <c r="DV307" s="47">
        <v>0</v>
      </c>
      <c r="DW307" s="47">
        <v>0</v>
      </c>
      <c r="DX307" s="47">
        <v>0</v>
      </c>
      <c r="DY307" s="47">
        <v>0</v>
      </c>
      <c r="DZ307" s="47">
        <v>0</v>
      </c>
      <c r="EA307" s="47">
        <v>0</v>
      </c>
      <c r="EB307" s="47"/>
      <c r="EC307" s="47">
        <v>1</v>
      </c>
      <c r="ZZ307" t="s">
        <v>2472</v>
      </c>
    </row>
    <row r="308" spans="1:702" x14ac:dyDescent="0.25">
      <c r="A308" s="47" t="s">
        <v>1521</v>
      </c>
      <c r="B308" s="47" t="s">
        <v>153</v>
      </c>
      <c r="C308" s="47" t="s">
        <v>157</v>
      </c>
      <c r="D308" s="47" t="s">
        <v>2790</v>
      </c>
      <c r="E308" s="47" t="s">
        <v>1522</v>
      </c>
      <c r="F308" s="47" t="s">
        <v>1523</v>
      </c>
      <c r="G308" s="47" t="s">
        <v>1524</v>
      </c>
      <c r="H308" s="47" t="s">
        <v>698</v>
      </c>
      <c r="I308" s="47" t="s">
        <v>705</v>
      </c>
      <c r="J308" s="47" t="str">
        <f>=IFERROR(VLOOKUP(H308&amp;I308,Table_Fonctions!A:G,6,FALSE),"")</f>
        <v>0</v>
      </c>
      <c r="K308" s="47" t="s">
        <v>2607</v>
      </c>
      <c r="L308" s="47" t="str">
        <f>=IFERROR(VLOOKUP(H308&amp;I308,Table_Fonctions!A:G,7,FALSE),K308)</f>
        <v/>
      </c>
      <c r="M308" s="47" t="str">
        <f>=IF(OR(LEFT(D308, 3)="TJ ", LEFT(D308, 4)="CPH "), "OUI", "NON")</f>
        <v/>
      </c>
      <c r="N308" s="47" t="s">
        <v>1525</v>
      </c>
      <c r="O308" s="47"/>
      <c r="P308" s="47">
        <v>1</v>
      </c>
      <c r="Q308" s="47">
        <v>0</v>
      </c>
      <c r="R308" s="47">
        <v>1</v>
      </c>
      <c r="S308" s="47">
        <f>=ROUND(BQ308-(BR308+BS308),3)</f>
      </c>
      <c r="T308" s="47">
        <f>=ROUND(CK308-(CL308+CM308+CN308+CO308+CP308),3)</f>
      </c>
      <c r="U308" s="47">
        <v>0</v>
      </c>
      <c r="V308" s="47">
        <v>0</v>
      </c>
      <c r="W308" s="47">
        <v>0</v>
      </c>
      <c r="X308" s="47">
        <v>0</v>
      </c>
      <c r="Y308" s="47">
        <v>0</v>
      </c>
      <c r="Z308" s="47">
        <v>0</v>
      </c>
      <c r="AA308" s="47">
        <v>0</v>
      </c>
      <c r="AB308" s="47">
        <v>0</v>
      </c>
      <c r="AC308" s="47">
        <v>0</v>
      </c>
      <c r="AD308" s="47">
        <v>0</v>
      </c>
      <c r="AE308" s="47">
        <v>0</v>
      </c>
      <c r="AF308" s="47">
        <v>0</v>
      </c>
      <c r="AG308" s="47">
        <v>0</v>
      </c>
      <c r="AH308" s="47">
        <v>0</v>
      </c>
      <c r="AI308" s="47">
        <v>0</v>
      </c>
      <c r="AJ308" s="47">
        <v>0</v>
      </c>
      <c r="AK308" s="47">
        <v>0</v>
      </c>
      <c r="AL308" s="47">
        <v>0</v>
      </c>
      <c r="AM308" s="47">
        <v>0</v>
      </c>
      <c r="AN308" s="47">
        <v>0</v>
      </c>
      <c r="AO308" s="47">
        <v>0</v>
      </c>
      <c r="AP308" s="47">
        <v>0</v>
      </c>
      <c r="AQ308" s="47">
        <v>0</v>
      </c>
      <c r="AR308" s="47">
        <v>0</v>
      </c>
      <c r="AS308" s="47">
        <v>0</v>
      </c>
      <c r="AT308" s="47">
        <v>0</v>
      </c>
      <c r="AU308" s="47">
        <v>0</v>
      </c>
      <c r="AV308" s="47">
        <v>0</v>
      </c>
      <c r="AW308" s="47">
        <v>0</v>
      </c>
      <c r="AX308" s="47">
        <v>0</v>
      </c>
      <c r="AY308" s="47">
        <v>0</v>
      </c>
      <c r="AZ308" s="47">
        <v>0</v>
      </c>
      <c r="BA308" s="47">
        <v>0</v>
      </c>
      <c r="BB308" s="47">
        <v>0</v>
      </c>
      <c r="BC308" s="47">
        <v>0</v>
      </c>
      <c r="BD308" s="47">
        <v>0</v>
      </c>
      <c r="BE308" s="47">
        <v>0</v>
      </c>
      <c r="BF308" s="47">
        <v>0</v>
      </c>
      <c r="BG308" s="47">
        <v>0</v>
      </c>
      <c r="BH308" s="47">
        <v>0</v>
      </c>
      <c r="BI308" s="47">
        <v>0</v>
      </c>
      <c r="BJ308" s="47">
        <v>0</v>
      </c>
      <c r="BK308" s="47">
        <v>0</v>
      </c>
      <c r="BL308" s="47">
        <v>0</v>
      </c>
      <c r="BM308" s="47">
        <v>0</v>
      </c>
      <c r="BN308" s="47">
        <v>0</v>
      </c>
      <c r="BO308" s="47">
        <v>0</v>
      </c>
      <c r="BP308" s="47">
        <v>0</v>
      </c>
      <c r="BQ308" s="47">
        <v>0</v>
      </c>
      <c r="BR308" s="47">
        <v>0</v>
      </c>
      <c r="BS308" s="47">
        <v>0</v>
      </c>
      <c r="BT308" s="47">
        <v>0</v>
      </c>
      <c r="BU308" s="47">
        <v>0</v>
      </c>
      <c r="BV308" s="47">
        <v>0</v>
      </c>
      <c r="BW308" s="47">
        <v>0</v>
      </c>
      <c r="BX308" s="47">
        <v>0</v>
      </c>
      <c r="BY308" s="47">
        <v>0</v>
      </c>
      <c r="BZ308" s="47">
        <v>0</v>
      </c>
      <c r="CA308" s="47">
        <v>0</v>
      </c>
      <c r="CB308" s="47">
        <v>0</v>
      </c>
      <c r="CC308" s="47">
        <v>0</v>
      </c>
      <c r="CD308" s="47">
        <v>0</v>
      </c>
      <c r="CE308" s="47">
        <v>0</v>
      </c>
      <c r="CF308" s="47">
        <v>0</v>
      </c>
      <c r="CG308" s="47">
        <v>0</v>
      </c>
      <c r="CH308" s="47">
        <v>0</v>
      </c>
      <c r="CI308" s="47">
        <v>0</v>
      </c>
      <c r="CJ308" s="47">
        <v>0</v>
      </c>
      <c r="CK308" s="47">
        <v>0</v>
      </c>
      <c r="CL308" s="47">
        <v>0</v>
      </c>
      <c r="CM308" s="47">
        <v>0</v>
      </c>
      <c r="CN308" s="47">
        <v>0</v>
      </c>
      <c r="CO308" s="47">
        <v>0</v>
      </c>
      <c r="CP308" s="47">
        <v>0</v>
      </c>
      <c r="CQ308" s="47">
        <v>0</v>
      </c>
      <c r="CR308" s="47">
        <v>0</v>
      </c>
      <c r="CS308" s="47">
        <v>0</v>
      </c>
      <c r="CT308" s="47">
        <v>0</v>
      </c>
      <c r="CU308" s="47">
        <v>0</v>
      </c>
      <c r="CV308" s="47">
        <v>0</v>
      </c>
      <c r="CW308" s="47">
        <v>0</v>
      </c>
      <c r="CX308" s="47">
        <v>0</v>
      </c>
      <c r="CY308" s="47">
        <v>0</v>
      </c>
      <c r="CZ308" s="47">
        <v>0</v>
      </c>
      <c r="DA308" s="47">
        <v>0</v>
      </c>
      <c r="DB308" s="47">
        <v>0</v>
      </c>
      <c r="DC308" s="47">
        <v>0</v>
      </c>
      <c r="DD308" s="47">
        <v>0</v>
      </c>
      <c r="DE308" s="47">
        <v>0</v>
      </c>
      <c r="DF308" s="47">
        <v>0</v>
      </c>
      <c r="DG308" s="47">
        <v>0</v>
      </c>
      <c r="DH308" s="47">
        <v>0</v>
      </c>
      <c r="DI308" s="47">
        <v>0</v>
      </c>
      <c r="DJ308" s="47">
        <v>0</v>
      </c>
      <c r="DK308" s="47">
        <v>0</v>
      </c>
      <c r="DL308" s="47">
        <v>0</v>
      </c>
      <c r="DM308" s="47">
        <v>0</v>
      </c>
      <c r="DN308" s="47">
        <v>0</v>
      </c>
      <c r="DO308" s="47">
        <v>0</v>
      </c>
      <c r="DP308" s="47">
        <v>0</v>
      </c>
      <c r="DQ308" s="47">
        <v>0</v>
      </c>
      <c r="DR308" s="47">
        <v>0</v>
      </c>
      <c r="DS308" s="47">
        <v>0</v>
      </c>
      <c r="DT308" s="47">
        <v>0</v>
      </c>
      <c r="DU308" s="47">
        <v>0</v>
      </c>
      <c r="DV308" s="47">
        <v>0</v>
      </c>
      <c r="DW308" s="47">
        <v>0</v>
      </c>
      <c r="DX308" s="47">
        <v>0</v>
      </c>
      <c r="DY308" s="47">
        <v>0</v>
      </c>
      <c r="DZ308" s="47">
        <v>0</v>
      </c>
      <c r="EA308" s="47">
        <v>0</v>
      </c>
      <c r="EB308" s="47"/>
      <c r="EC308" s="47">
        <v>1</v>
      </c>
      <c r="ZZ308" t="s">
        <v>2472</v>
      </c>
    </row>
    <row r="309" spans="1:702" x14ac:dyDescent="0.25">
      <c r="A309" s="47" t="s">
        <v>1526</v>
      </c>
      <c r="B309" s="47" t="s">
        <v>153</v>
      </c>
      <c r="C309" s="47" t="s">
        <v>157</v>
      </c>
      <c r="D309" s="47" t="s">
        <v>2791</v>
      </c>
      <c r="E309" s="47" t="s">
        <v>1527</v>
      </c>
      <c r="F309" s="47" t="s">
        <v>1528</v>
      </c>
      <c r="G309" s="47" t="s">
        <v>1529</v>
      </c>
      <c r="H309" s="47" t="s">
        <v>698</v>
      </c>
      <c r="I309" s="47" t="s">
        <v>705</v>
      </c>
      <c r="J309" s="47" t="str">
        <f>=IFERROR(VLOOKUP(H309&amp;I309,Table_Fonctions!A:G,6,FALSE),"")</f>
        <v>0</v>
      </c>
      <c r="K309" s="47" t="s">
        <v>2607</v>
      </c>
      <c r="L309" s="47" t="str">
        <f>=IFERROR(VLOOKUP(H309&amp;I309,Table_Fonctions!A:G,7,FALSE),K309)</f>
        <v/>
      </c>
      <c r="M309" s="47" t="str">
        <f>=IF(OR(LEFT(D309, 3)="TJ ", LEFT(D309, 4)="CPH "), "OUI", "NON")</f>
        <v/>
      </c>
      <c r="N309" s="47" t="s">
        <v>722</v>
      </c>
      <c r="O309" s="47"/>
      <c r="P309" s="47">
        <v>1</v>
      </c>
      <c r="Q309" s="47">
        <v>0</v>
      </c>
      <c r="R309" s="47">
        <v>1</v>
      </c>
      <c r="S309" s="47">
        <f>=ROUND(BQ309-(BR309+BS309),3)</f>
      </c>
      <c r="T309" s="47">
        <f>=ROUND(CK309-(CL309+CM309+CN309+CO309+CP309),3)</f>
      </c>
      <c r="U309" s="47">
        <v>0</v>
      </c>
      <c r="V309" s="47">
        <v>0</v>
      </c>
      <c r="W309" s="47">
        <v>0</v>
      </c>
      <c r="X309" s="47">
        <v>0</v>
      </c>
      <c r="Y309" s="47">
        <v>0</v>
      </c>
      <c r="Z309" s="47">
        <v>0</v>
      </c>
      <c r="AA309" s="47">
        <v>0</v>
      </c>
      <c r="AB309" s="47">
        <v>0</v>
      </c>
      <c r="AC309" s="47">
        <v>0</v>
      </c>
      <c r="AD309" s="47">
        <v>0</v>
      </c>
      <c r="AE309" s="47">
        <v>0</v>
      </c>
      <c r="AF309" s="47">
        <v>0</v>
      </c>
      <c r="AG309" s="47">
        <v>0</v>
      </c>
      <c r="AH309" s="47">
        <v>0</v>
      </c>
      <c r="AI309" s="47">
        <v>0</v>
      </c>
      <c r="AJ309" s="47">
        <v>0</v>
      </c>
      <c r="AK309" s="47">
        <v>0</v>
      </c>
      <c r="AL309" s="47">
        <v>0</v>
      </c>
      <c r="AM309" s="47">
        <v>0</v>
      </c>
      <c r="AN309" s="47">
        <v>0</v>
      </c>
      <c r="AO309" s="47">
        <v>0</v>
      </c>
      <c r="AP309" s="47">
        <v>0</v>
      </c>
      <c r="AQ309" s="47">
        <v>0</v>
      </c>
      <c r="AR309" s="47">
        <v>0</v>
      </c>
      <c r="AS309" s="47">
        <v>0</v>
      </c>
      <c r="AT309" s="47">
        <v>0</v>
      </c>
      <c r="AU309" s="47">
        <v>0</v>
      </c>
      <c r="AV309" s="47">
        <v>0</v>
      </c>
      <c r="AW309" s="47">
        <v>0</v>
      </c>
      <c r="AX309" s="47">
        <v>0</v>
      </c>
      <c r="AY309" s="47">
        <v>0</v>
      </c>
      <c r="AZ309" s="47">
        <v>0</v>
      </c>
      <c r="BA309" s="47">
        <v>0</v>
      </c>
      <c r="BB309" s="47">
        <v>0</v>
      </c>
      <c r="BC309" s="47">
        <v>0</v>
      </c>
      <c r="BD309" s="47">
        <v>0</v>
      </c>
      <c r="BE309" s="47">
        <v>0</v>
      </c>
      <c r="BF309" s="47">
        <v>0</v>
      </c>
      <c r="BG309" s="47">
        <v>0</v>
      </c>
      <c r="BH309" s="47">
        <v>0</v>
      </c>
      <c r="BI309" s="47">
        <v>0</v>
      </c>
      <c r="BJ309" s="47">
        <v>0</v>
      </c>
      <c r="BK309" s="47">
        <v>0</v>
      </c>
      <c r="BL309" s="47">
        <v>0</v>
      </c>
      <c r="BM309" s="47">
        <v>0</v>
      </c>
      <c r="BN309" s="47">
        <v>0</v>
      </c>
      <c r="BO309" s="47">
        <v>0</v>
      </c>
      <c r="BP309" s="47">
        <v>0</v>
      </c>
      <c r="BQ309" s="47">
        <v>0</v>
      </c>
      <c r="BR309" s="47">
        <v>0</v>
      </c>
      <c r="BS309" s="47">
        <v>0</v>
      </c>
      <c r="BT309" s="47">
        <v>0</v>
      </c>
      <c r="BU309" s="47">
        <v>0</v>
      </c>
      <c r="BV309" s="47">
        <v>0</v>
      </c>
      <c r="BW309" s="47">
        <v>0</v>
      </c>
      <c r="BX309" s="47">
        <v>0</v>
      </c>
      <c r="BY309" s="47">
        <v>0</v>
      </c>
      <c r="BZ309" s="47">
        <v>0</v>
      </c>
      <c r="CA309" s="47">
        <v>0</v>
      </c>
      <c r="CB309" s="47">
        <v>0</v>
      </c>
      <c r="CC309" s="47">
        <v>0</v>
      </c>
      <c r="CD309" s="47">
        <v>0</v>
      </c>
      <c r="CE309" s="47">
        <v>0</v>
      </c>
      <c r="CF309" s="47">
        <v>0</v>
      </c>
      <c r="CG309" s="47">
        <v>0</v>
      </c>
      <c r="CH309" s="47">
        <v>0</v>
      </c>
      <c r="CI309" s="47">
        <v>0</v>
      </c>
      <c r="CJ309" s="47">
        <v>0</v>
      </c>
      <c r="CK309" s="47">
        <v>0</v>
      </c>
      <c r="CL309" s="47">
        <v>0</v>
      </c>
      <c r="CM309" s="47">
        <v>0</v>
      </c>
      <c r="CN309" s="47">
        <v>0</v>
      </c>
      <c r="CO309" s="47">
        <v>0</v>
      </c>
      <c r="CP309" s="47">
        <v>0</v>
      </c>
      <c r="CQ309" s="47">
        <v>0</v>
      </c>
      <c r="CR309" s="47">
        <v>0</v>
      </c>
      <c r="CS309" s="47">
        <v>0</v>
      </c>
      <c r="CT309" s="47">
        <v>0</v>
      </c>
      <c r="CU309" s="47">
        <v>0</v>
      </c>
      <c r="CV309" s="47">
        <v>0</v>
      </c>
      <c r="CW309" s="47">
        <v>0</v>
      </c>
      <c r="CX309" s="47">
        <v>0</v>
      </c>
      <c r="CY309" s="47">
        <v>0</v>
      </c>
      <c r="CZ309" s="47">
        <v>0</v>
      </c>
      <c r="DA309" s="47">
        <v>0</v>
      </c>
      <c r="DB309" s="47">
        <v>0</v>
      </c>
      <c r="DC309" s="47">
        <v>0</v>
      </c>
      <c r="DD309" s="47">
        <v>0</v>
      </c>
      <c r="DE309" s="47">
        <v>0</v>
      </c>
      <c r="DF309" s="47">
        <v>0</v>
      </c>
      <c r="DG309" s="47">
        <v>0</v>
      </c>
      <c r="DH309" s="47">
        <v>0</v>
      </c>
      <c r="DI309" s="47">
        <v>0</v>
      </c>
      <c r="DJ309" s="47">
        <v>0</v>
      </c>
      <c r="DK309" s="47">
        <v>0</v>
      </c>
      <c r="DL309" s="47">
        <v>0</v>
      </c>
      <c r="DM309" s="47">
        <v>0</v>
      </c>
      <c r="DN309" s="47">
        <v>0</v>
      </c>
      <c r="DO309" s="47">
        <v>0</v>
      </c>
      <c r="DP309" s="47">
        <v>0</v>
      </c>
      <c r="DQ309" s="47">
        <v>0</v>
      </c>
      <c r="DR309" s="47">
        <v>0</v>
      </c>
      <c r="DS309" s="47">
        <v>0</v>
      </c>
      <c r="DT309" s="47">
        <v>0</v>
      </c>
      <c r="DU309" s="47">
        <v>0</v>
      </c>
      <c r="DV309" s="47">
        <v>0</v>
      </c>
      <c r="DW309" s="47">
        <v>0</v>
      </c>
      <c r="DX309" s="47">
        <v>0</v>
      </c>
      <c r="DY309" s="47">
        <v>0</v>
      </c>
      <c r="DZ309" s="47">
        <v>0</v>
      </c>
      <c r="EA309" s="47">
        <v>0</v>
      </c>
      <c r="EB309" s="47"/>
      <c r="EC309" s="47">
        <v>1</v>
      </c>
      <c r="ZZ309" t="s">
        <v>2472</v>
      </c>
    </row>
    <row r="310" spans="1:702" x14ac:dyDescent="0.25">
      <c r="A310" s="47" t="s">
        <v>1530</v>
      </c>
      <c r="B310" s="47" t="s">
        <v>153</v>
      </c>
      <c r="C310" s="47" t="s">
        <v>157</v>
      </c>
      <c r="D310" s="47" t="s">
        <v>2792</v>
      </c>
      <c r="E310" s="47" t="s">
        <v>1531</v>
      </c>
      <c r="F310" s="47" t="s">
        <v>1532</v>
      </c>
      <c r="G310" s="47" t="s">
        <v>1533</v>
      </c>
      <c r="H310" s="47" t="s">
        <v>698</v>
      </c>
      <c r="I310" s="47" t="s">
        <v>705</v>
      </c>
      <c r="J310" s="47" t="str">
        <f>=IFERROR(VLOOKUP(H310&amp;I310,Table_Fonctions!A:G,6,FALSE),"")</f>
        <v>0</v>
      </c>
      <c r="K310" s="47" t="s">
        <v>2607</v>
      </c>
      <c r="L310" s="47" t="str">
        <f>=IFERROR(VLOOKUP(H310&amp;I310,Table_Fonctions!A:G,7,FALSE),K310)</f>
        <v/>
      </c>
      <c r="M310" s="47" t="str">
        <f>=IF(OR(LEFT(D310, 3)="TJ ", LEFT(D310, 4)="CPH "), "OUI", "NON")</f>
        <v/>
      </c>
      <c r="N310" s="47" t="s">
        <v>722</v>
      </c>
      <c r="O310" s="47"/>
      <c r="P310" s="47">
        <v>1</v>
      </c>
      <c r="Q310" s="47">
        <v>0</v>
      </c>
      <c r="R310" s="47">
        <v>1</v>
      </c>
      <c r="S310" s="47">
        <f>=ROUND(BQ310-(BR310+BS310),3)</f>
      </c>
      <c r="T310" s="47">
        <f>=ROUND(CK310-(CL310+CM310+CN310+CO310+CP310),3)</f>
      </c>
      <c r="U310" s="47">
        <v>0</v>
      </c>
      <c r="V310" s="47">
        <v>0</v>
      </c>
      <c r="W310" s="47">
        <v>0</v>
      </c>
      <c r="X310" s="47">
        <v>0</v>
      </c>
      <c r="Y310" s="47">
        <v>0</v>
      </c>
      <c r="Z310" s="47">
        <v>0</v>
      </c>
      <c r="AA310" s="47">
        <v>0</v>
      </c>
      <c r="AB310" s="47">
        <v>0</v>
      </c>
      <c r="AC310" s="47">
        <v>0</v>
      </c>
      <c r="AD310" s="47">
        <v>0</v>
      </c>
      <c r="AE310" s="47">
        <v>0</v>
      </c>
      <c r="AF310" s="47">
        <v>0</v>
      </c>
      <c r="AG310" s="47">
        <v>0</v>
      </c>
      <c r="AH310" s="47">
        <v>0</v>
      </c>
      <c r="AI310" s="47">
        <v>0</v>
      </c>
      <c r="AJ310" s="47">
        <v>0</v>
      </c>
      <c r="AK310" s="47">
        <v>0</v>
      </c>
      <c r="AL310" s="47">
        <v>0</v>
      </c>
      <c r="AM310" s="47">
        <v>0</v>
      </c>
      <c r="AN310" s="47">
        <v>0</v>
      </c>
      <c r="AO310" s="47">
        <v>0</v>
      </c>
      <c r="AP310" s="47">
        <v>0</v>
      </c>
      <c r="AQ310" s="47">
        <v>0</v>
      </c>
      <c r="AR310" s="47">
        <v>0</v>
      </c>
      <c r="AS310" s="47">
        <v>0</v>
      </c>
      <c r="AT310" s="47">
        <v>0</v>
      </c>
      <c r="AU310" s="47">
        <v>0</v>
      </c>
      <c r="AV310" s="47">
        <v>0</v>
      </c>
      <c r="AW310" s="47">
        <v>0</v>
      </c>
      <c r="AX310" s="47">
        <v>0</v>
      </c>
      <c r="AY310" s="47">
        <v>0</v>
      </c>
      <c r="AZ310" s="47">
        <v>0</v>
      </c>
      <c r="BA310" s="47">
        <v>0</v>
      </c>
      <c r="BB310" s="47">
        <v>0</v>
      </c>
      <c r="BC310" s="47">
        <v>0</v>
      </c>
      <c r="BD310" s="47">
        <v>0</v>
      </c>
      <c r="BE310" s="47">
        <v>0</v>
      </c>
      <c r="BF310" s="47">
        <v>0</v>
      </c>
      <c r="BG310" s="47">
        <v>0</v>
      </c>
      <c r="BH310" s="47">
        <v>0</v>
      </c>
      <c r="BI310" s="47">
        <v>0</v>
      </c>
      <c r="BJ310" s="47">
        <v>0</v>
      </c>
      <c r="BK310" s="47">
        <v>0</v>
      </c>
      <c r="BL310" s="47">
        <v>0</v>
      </c>
      <c r="BM310" s="47">
        <v>0</v>
      </c>
      <c r="BN310" s="47">
        <v>0</v>
      </c>
      <c r="BO310" s="47">
        <v>0</v>
      </c>
      <c r="BP310" s="47">
        <v>0</v>
      </c>
      <c r="BQ310" s="47">
        <v>0</v>
      </c>
      <c r="BR310" s="47">
        <v>0</v>
      </c>
      <c r="BS310" s="47">
        <v>0</v>
      </c>
      <c r="BT310" s="47">
        <v>0</v>
      </c>
      <c r="BU310" s="47">
        <v>0</v>
      </c>
      <c r="BV310" s="47">
        <v>0</v>
      </c>
      <c r="BW310" s="47">
        <v>0</v>
      </c>
      <c r="BX310" s="47">
        <v>0</v>
      </c>
      <c r="BY310" s="47">
        <v>0</v>
      </c>
      <c r="BZ310" s="47">
        <v>0</v>
      </c>
      <c r="CA310" s="47">
        <v>0</v>
      </c>
      <c r="CB310" s="47">
        <v>0</v>
      </c>
      <c r="CC310" s="47">
        <v>0</v>
      </c>
      <c r="CD310" s="47">
        <v>0</v>
      </c>
      <c r="CE310" s="47">
        <v>0</v>
      </c>
      <c r="CF310" s="47">
        <v>0</v>
      </c>
      <c r="CG310" s="47">
        <v>0</v>
      </c>
      <c r="CH310" s="47">
        <v>0</v>
      </c>
      <c r="CI310" s="47">
        <v>0</v>
      </c>
      <c r="CJ310" s="47">
        <v>0</v>
      </c>
      <c r="CK310" s="47">
        <v>0</v>
      </c>
      <c r="CL310" s="47">
        <v>0</v>
      </c>
      <c r="CM310" s="47">
        <v>0</v>
      </c>
      <c r="CN310" s="47">
        <v>0</v>
      </c>
      <c r="CO310" s="47">
        <v>0</v>
      </c>
      <c r="CP310" s="47">
        <v>0</v>
      </c>
      <c r="CQ310" s="47">
        <v>0</v>
      </c>
      <c r="CR310" s="47">
        <v>0</v>
      </c>
      <c r="CS310" s="47">
        <v>0</v>
      </c>
      <c r="CT310" s="47">
        <v>0</v>
      </c>
      <c r="CU310" s="47">
        <v>0</v>
      </c>
      <c r="CV310" s="47">
        <v>0</v>
      </c>
      <c r="CW310" s="47">
        <v>0</v>
      </c>
      <c r="CX310" s="47">
        <v>0</v>
      </c>
      <c r="CY310" s="47">
        <v>0</v>
      </c>
      <c r="CZ310" s="47">
        <v>0</v>
      </c>
      <c r="DA310" s="47">
        <v>0</v>
      </c>
      <c r="DB310" s="47">
        <v>0</v>
      </c>
      <c r="DC310" s="47">
        <v>0</v>
      </c>
      <c r="DD310" s="47">
        <v>0</v>
      </c>
      <c r="DE310" s="47">
        <v>0</v>
      </c>
      <c r="DF310" s="47">
        <v>0</v>
      </c>
      <c r="DG310" s="47">
        <v>0</v>
      </c>
      <c r="DH310" s="47">
        <v>0</v>
      </c>
      <c r="DI310" s="47">
        <v>0</v>
      </c>
      <c r="DJ310" s="47">
        <v>0</v>
      </c>
      <c r="DK310" s="47">
        <v>0</v>
      </c>
      <c r="DL310" s="47">
        <v>0</v>
      </c>
      <c r="DM310" s="47">
        <v>0</v>
      </c>
      <c r="DN310" s="47">
        <v>0</v>
      </c>
      <c r="DO310" s="47">
        <v>0</v>
      </c>
      <c r="DP310" s="47">
        <v>0</v>
      </c>
      <c r="DQ310" s="47">
        <v>0</v>
      </c>
      <c r="DR310" s="47">
        <v>0</v>
      </c>
      <c r="DS310" s="47">
        <v>0</v>
      </c>
      <c r="DT310" s="47">
        <v>0</v>
      </c>
      <c r="DU310" s="47">
        <v>0</v>
      </c>
      <c r="DV310" s="47">
        <v>0</v>
      </c>
      <c r="DW310" s="47">
        <v>0</v>
      </c>
      <c r="DX310" s="47">
        <v>0</v>
      </c>
      <c r="DY310" s="47">
        <v>0</v>
      </c>
      <c r="DZ310" s="47">
        <v>0</v>
      </c>
      <c r="EA310" s="47">
        <v>0</v>
      </c>
      <c r="EB310" s="47"/>
      <c r="EC310" s="47">
        <v>1</v>
      </c>
      <c r="ZZ310" t="s">
        <v>2472</v>
      </c>
    </row>
    <row r="311" spans="1:702" x14ac:dyDescent="0.25">
      <c r="A311" s="47" t="s">
        <v>1534</v>
      </c>
      <c r="B311" s="47" t="s">
        <v>153</v>
      </c>
      <c r="C311" s="47" t="s">
        <v>157</v>
      </c>
      <c r="D311" s="47" t="s">
        <v>2793</v>
      </c>
      <c r="E311" s="47" t="s">
        <v>1535</v>
      </c>
      <c r="F311" s="47" t="s">
        <v>1536</v>
      </c>
      <c r="G311" s="47" t="s">
        <v>1537</v>
      </c>
      <c r="H311" s="47" t="s">
        <v>698</v>
      </c>
      <c r="I311" s="47" t="s">
        <v>727</v>
      </c>
      <c r="J311" s="47" t="str">
        <f>=IFERROR(VLOOKUP(H311&amp;I311,Table_Fonctions!A:G,6,FALSE),"")</f>
        <v>0</v>
      </c>
      <c r="K311" s="47" t="s">
        <v>2607</v>
      </c>
      <c r="L311" s="47" t="str">
        <f>=IFERROR(VLOOKUP(H311&amp;I311,Table_Fonctions!A:G,7,FALSE),K311)</f>
        <v/>
      </c>
      <c r="M311" s="47" t="str">
        <f>=IF(OR(LEFT(D311, 3)="TJ ", LEFT(D311, 4)="CPH "), "OUI", "NON")</f>
        <v/>
      </c>
      <c r="N311" s="47" t="s">
        <v>593</v>
      </c>
      <c r="O311" s="47"/>
      <c r="P311" s="47">
        <v>1</v>
      </c>
      <c r="Q311" s="47">
        <v>1</v>
      </c>
      <c r="R311" s="47">
        <v>0</v>
      </c>
      <c r="S311" s="47">
        <f>=ROUND(BQ311-(BR311+BS311),3)</f>
      </c>
      <c r="T311" s="47">
        <f>=ROUND(CK311-(CL311+CM311+CN311+CO311+CP311),3)</f>
      </c>
      <c r="U311" s="47">
        <v>0</v>
      </c>
      <c r="V311" s="47">
        <v>0</v>
      </c>
      <c r="W311" s="47">
        <v>0</v>
      </c>
      <c r="X311" s="47">
        <v>0</v>
      </c>
      <c r="Y311" s="47">
        <v>0</v>
      </c>
      <c r="Z311" s="47">
        <v>0</v>
      </c>
      <c r="AA311" s="47">
        <v>0</v>
      </c>
      <c r="AB311" s="47">
        <v>0</v>
      </c>
      <c r="AC311" s="47">
        <v>0</v>
      </c>
      <c r="AD311" s="47">
        <v>0</v>
      </c>
      <c r="AE311" s="47">
        <v>0</v>
      </c>
      <c r="AF311" s="47">
        <v>0</v>
      </c>
      <c r="AG311" s="47">
        <v>0</v>
      </c>
      <c r="AH311" s="47">
        <v>0</v>
      </c>
      <c r="AI311" s="47">
        <v>0</v>
      </c>
      <c r="AJ311" s="47">
        <v>0</v>
      </c>
      <c r="AK311" s="47">
        <v>0</v>
      </c>
      <c r="AL311" s="47">
        <v>0</v>
      </c>
      <c r="AM311" s="47">
        <v>0</v>
      </c>
      <c r="AN311" s="47">
        <v>0</v>
      </c>
      <c r="AO311" s="47">
        <v>0</v>
      </c>
      <c r="AP311" s="47">
        <v>0</v>
      </c>
      <c r="AQ311" s="47">
        <v>0</v>
      </c>
      <c r="AR311" s="47">
        <v>0</v>
      </c>
      <c r="AS311" s="47">
        <v>1</v>
      </c>
      <c r="AT311" s="47">
        <v>0</v>
      </c>
      <c r="AU311" s="47">
        <v>0</v>
      </c>
      <c r="AV311" s="47">
        <v>0</v>
      </c>
      <c r="AW311" s="47">
        <v>0</v>
      </c>
      <c r="AX311" s="47">
        <v>0</v>
      </c>
      <c r="AY311" s="47">
        <v>0</v>
      </c>
      <c r="AZ311" s="47">
        <v>0</v>
      </c>
      <c r="BA311" s="47">
        <v>0</v>
      </c>
      <c r="BB311" s="47">
        <v>0</v>
      </c>
      <c r="BC311" s="47">
        <v>0</v>
      </c>
      <c r="BD311" s="47">
        <v>0</v>
      </c>
      <c r="BE311" s="47">
        <v>0</v>
      </c>
      <c r="BF311" s="47">
        <v>0</v>
      </c>
      <c r="BG311" s="47">
        <v>0</v>
      </c>
      <c r="BH311" s="47">
        <v>0</v>
      </c>
      <c r="BI311" s="47">
        <v>0</v>
      </c>
      <c r="BJ311" s="47">
        <v>0</v>
      </c>
      <c r="BK311" s="47">
        <v>0</v>
      </c>
      <c r="BL311" s="47">
        <v>0</v>
      </c>
      <c r="BM311" s="47">
        <v>0</v>
      </c>
      <c r="BN311" s="47">
        <v>0</v>
      </c>
      <c r="BO311" s="47">
        <v>0</v>
      </c>
      <c r="BP311" s="47">
        <v>0</v>
      </c>
      <c r="BQ311" s="47">
        <v>0</v>
      </c>
      <c r="BR311" s="47">
        <v>0</v>
      </c>
      <c r="BS311" s="47">
        <v>0</v>
      </c>
      <c r="BT311" s="47">
        <v>0</v>
      </c>
      <c r="BU311" s="47">
        <v>0</v>
      </c>
      <c r="BV311" s="47">
        <v>0</v>
      </c>
      <c r="BW311" s="47">
        <v>0</v>
      </c>
      <c r="BX311" s="47">
        <v>0</v>
      </c>
      <c r="BY311" s="47">
        <v>0</v>
      </c>
      <c r="BZ311" s="47">
        <v>0</v>
      </c>
      <c r="CA311" s="47">
        <v>0</v>
      </c>
      <c r="CB311" s="47">
        <v>0</v>
      </c>
      <c r="CC311" s="47">
        <v>0</v>
      </c>
      <c r="CD311" s="47">
        <v>0</v>
      </c>
      <c r="CE311" s="47">
        <v>0</v>
      </c>
      <c r="CF311" s="47">
        <v>0</v>
      </c>
      <c r="CG311" s="47">
        <v>0</v>
      </c>
      <c r="CH311" s="47">
        <v>0</v>
      </c>
      <c r="CI311" s="47">
        <v>0</v>
      </c>
      <c r="CJ311" s="47">
        <v>0</v>
      </c>
      <c r="CK311" s="47">
        <v>0</v>
      </c>
      <c r="CL311" s="47">
        <v>0</v>
      </c>
      <c r="CM311" s="47">
        <v>0</v>
      </c>
      <c r="CN311" s="47">
        <v>0</v>
      </c>
      <c r="CO311" s="47">
        <v>0</v>
      </c>
      <c r="CP311" s="47">
        <v>0</v>
      </c>
      <c r="CQ311" s="47">
        <v>0</v>
      </c>
      <c r="CR311" s="47">
        <v>0</v>
      </c>
      <c r="CS311" s="47">
        <v>0</v>
      </c>
      <c r="CT311" s="47">
        <v>0</v>
      </c>
      <c r="CU311" s="47">
        <v>0</v>
      </c>
      <c r="CV311" s="47">
        <v>0</v>
      </c>
      <c r="CW311" s="47">
        <v>0</v>
      </c>
      <c r="CX311" s="47">
        <v>0</v>
      </c>
      <c r="CY311" s="47">
        <v>0</v>
      </c>
      <c r="CZ311" s="47">
        <v>0</v>
      </c>
      <c r="DA311" s="47">
        <v>0</v>
      </c>
      <c r="DB311" s="47">
        <v>0</v>
      </c>
      <c r="DC311" s="47">
        <v>0</v>
      </c>
      <c r="DD311" s="47">
        <v>0</v>
      </c>
      <c r="DE311" s="47">
        <v>0</v>
      </c>
      <c r="DF311" s="47">
        <v>0</v>
      </c>
      <c r="DG311" s="47">
        <v>0</v>
      </c>
      <c r="DH311" s="47">
        <v>0</v>
      </c>
      <c r="DI311" s="47">
        <v>0</v>
      </c>
      <c r="DJ311" s="47">
        <v>0</v>
      </c>
      <c r="DK311" s="47">
        <v>0</v>
      </c>
      <c r="DL311" s="47">
        <v>0</v>
      </c>
      <c r="DM311" s="47">
        <v>0</v>
      </c>
      <c r="DN311" s="47">
        <v>0</v>
      </c>
      <c r="DO311" s="47">
        <v>0</v>
      </c>
      <c r="DP311" s="47">
        <v>0</v>
      </c>
      <c r="DQ311" s="47">
        <v>0</v>
      </c>
      <c r="DR311" s="47">
        <v>0</v>
      </c>
      <c r="DS311" s="47">
        <v>0</v>
      </c>
      <c r="DT311" s="47">
        <v>0</v>
      </c>
      <c r="DU311" s="47">
        <v>0</v>
      </c>
      <c r="DV311" s="47">
        <v>0</v>
      </c>
      <c r="DW311" s="47">
        <v>0</v>
      </c>
      <c r="DX311" s="47">
        <v>0</v>
      </c>
      <c r="DY311" s="47">
        <v>0</v>
      </c>
      <c r="DZ311" s="47">
        <v>0</v>
      </c>
      <c r="EA311" s="47">
        <v>0</v>
      </c>
      <c r="EB311" s="47"/>
      <c r="EC311" s="47">
        <v>1</v>
      </c>
      <c r="ZZ311" t="s">
        <v>2472</v>
      </c>
    </row>
    <row r="312" spans="1:702" x14ac:dyDescent="0.25">
      <c r="A312" s="47" t="s">
        <v>1538</v>
      </c>
      <c r="B312" s="47" t="s">
        <v>153</v>
      </c>
      <c r="C312" s="47" t="s">
        <v>157</v>
      </c>
      <c r="D312" s="47" t="s">
        <v>2794</v>
      </c>
      <c r="E312" s="47" t="s">
        <v>1539</v>
      </c>
      <c r="F312" s="47" t="s">
        <v>1540</v>
      </c>
      <c r="G312" s="47" t="s">
        <v>1541</v>
      </c>
      <c r="H312" s="47" t="s">
        <v>698</v>
      </c>
      <c r="I312" s="47" t="s">
        <v>699</v>
      </c>
      <c r="J312" s="47" t="str">
        <f>=IFERROR(VLOOKUP(H312&amp;I312,Table_Fonctions!A:G,6,FALSE),"")</f>
        <v>0</v>
      </c>
      <c r="K312" s="47" t="s">
        <v>2605</v>
      </c>
      <c r="L312" s="47" t="str">
        <f>=IFERROR(VLOOKUP(H312&amp;I312,Table_Fonctions!A:G,7,FALSE),K312)</f>
        <v/>
      </c>
      <c r="M312" s="47" t="str">
        <f>=IF(OR(LEFT(D312, 3)="TJ ", LEFT(D312, 4)="CPH "), "OUI", "NON")</f>
        <v/>
      </c>
      <c r="N312" s="47" t="s">
        <v>1542</v>
      </c>
      <c r="O312" s="47"/>
      <c r="P312" s="47">
        <v>0.6</v>
      </c>
      <c r="Q312" s="47">
        <v>0.6</v>
      </c>
      <c r="R312" s="47">
        <v>0</v>
      </c>
      <c r="S312" s="47">
        <f>=ROUND(BQ312-(BR312+BS312),3)</f>
      </c>
      <c r="T312" s="47">
        <f>=ROUND(CK312-(CL312+CM312+CN312+CO312+CP312),3)</f>
      </c>
      <c r="U312" s="47">
        <v>0</v>
      </c>
      <c r="V312" s="47">
        <v>0</v>
      </c>
      <c r="W312" s="47">
        <v>0</v>
      </c>
      <c r="X312" s="47">
        <v>0</v>
      </c>
      <c r="Y312" s="47">
        <v>0</v>
      </c>
      <c r="Z312" s="47">
        <v>0</v>
      </c>
      <c r="AA312" s="47">
        <v>0</v>
      </c>
      <c r="AB312" s="47">
        <v>0</v>
      </c>
      <c r="AC312" s="47">
        <v>0</v>
      </c>
      <c r="AD312" s="47">
        <v>0</v>
      </c>
      <c r="AE312" s="47">
        <v>0</v>
      </c>
      <c r="AF312" s="47">
        <v>0</v>
      </c>
      <c r="AG312" s="47">
        <v>0</v>
      </c>
      <c r="AH312" s="47">
        <v>0</v>
      </c>
      <c r="AI312" s="47">
        <v>0</v>
      </c>
      <c r="AJ312" s="47">
        <v>0</v>
      </c>
      <c r="AK312" s="47">
        <v>0</v>
      </c>
      <c r="AL312" s="47">
        <v>0</v>
      </c>
      <c r="AM312" s="47">
        <v>0</v>
      </c>
      <c r="AN312" s="47">
        <v>0</v>
      </c>
      <c r="AO312" s="47">
        <v>0</v>
      </c>
      <c r="AP312" s="47">
        <v>0</v>
      </c>
      <c r="AQ312" s="47">
        <v>0</v>
      </c>
      <c r="AR312" s="47">
        <v>0</v>
      </c>
      <c r="AS312" s="47">
        <v>0</v>
      </c>
      <c r="AT312" s="47">
        <v>0</v>
      </c>
      <c r="AU312" s="47">
        <v>0</v>
      </c>
      <c r="AV312" s="47">
        <v>0</v>
      </c>
      <c r="AW312" s="47">
        <v>0</v>
      </c>
      <c r="AX312" s="47">
        <v>0</v>
      </c>
      <c r="AY312" s="47">
        <v>0</v>
      </c>
      <c r="AZ312" s="47">
        <v>0</v>
      </c>
      <c r="BA312" s="47">
        <v>0</v>
      </c>
      <c r="BB312" s="47">
        <v>0</v>
      </c>
      <c r="BC312" s="47">
        <v>0</v>
      </c>
      <c r="BD312" s="47">
        <v>0</v>
      </c>
      <c r="BE312" s="47">
        <v>0</v>
      </c>
      <c r="BF312" s="47">
        <v>0</v>
      </c>
      <c r="BG312" s="47">
        <v>0</v>
      </c>
      <c r="BH312" s="47">
        <v>0</v>
      </c>
      <c r="BI312" s="47">
        <v>0</v>
      </c>
      <c r="BJ312" s="47">
        <v>0</v>
      </c>
      <c r="BK312" s="47">
        <v>0</v>
      </c>
      <c r="BL312" s="47">
        <v>0</v>
      </c>
      <c r="BM312" s="47">
        <v>0</v>
      </c>
      <c r="BN312" s="47">
        <v>0</v>
      </c>
      <c r="BO312" s="47">
        <v>0</v>
      </c>
      <c r="BP312" s="47">
        <v>0</v>
      </c>
      <c r="BQ312" s="47">
        <v>0</v>
      </c>
      <c r="BR312" s="47">
        <v>0</v>
      </c>
      <c r="BS312" s="47">
        <v>0</v>
      </c>
      <c r="BT312" s="47">
        <v>0.6</v>
      </c>
      <c r="BU312" s="47">
        <v>0</v>
      </c>
      <c r="BV312" s="47">
        <v>0</v>
      </c>
      <c r="BW312" s="47">
        <v>0</v>
      </c>
      <c r="BX312" s="47">
        <v>0</v>
      </c>
      <c r="BY312" s="47">
        <v>0</v>
      </c>
      <c r="BZ312" s="47">
        <v>0.24</v>
      </c>
      <c r="CA312" s="47">
        <v>0.18</v>
      </c>
      <c r="CB312" s="47">
        <v>0</v>
      </c>
      <c r="CC312" s="47">
        <v>0</v>
      </c>
      <c r="CD312" s="47">
        <v>0</v>
      </c>
      <c r="CE312" s="47">
        <v>0.18</v>
      </c>
      <c r="CF312" s="47">
        <v>0</v>
      </c>
      <c r="CG312" s="47">
        <v>0</v>
      </c>
      <c r="CH312" s="47">
        <v>0</v>
      </c>
      <c r="CI312" s="47">
        <v>0</v>
      </c>
      <c r="CJ312" s="47">
        <v>0</v>
      </c>
      <c r="CK312" s="47">
        <v>0</v>
      </c>
      <c r="CL312" s="47">
        <v>0</v>
      </c>
      <c r="CM312" s="47">
        <v>0</v>
      </c>
      <c r="CN312" s="47">
        <v>0</v>
      </c>
      <c r="CO312" s="47">
        <v>0</v>
      </c>
      <c r="CP312" s="47">
        <v>0</v>
      </c>
      <c r="CQ312" s="47">
        <v>0</v>
      </c>
      <c r="CR312" s="47">
        <v>0</v>
      </c>
      <c r="CS312" s="47">
        <v>0</v>
      </c>
      <c r="CT312" s="47">
        <v>0</v>
      </c>
      <c r="CU312" s="47">
        <v>0</v>
      </c>
      <c r="CV312" s="47">
        <v>0</v>
      </c>
      <c r="CW312" s="47">
        <v>0</v>
      </c>
      <c r="CX312" s="47">
        <v>0</v>
      </c>
      <c r="CY312" s="47">
        <v>0</v>
      </c>
      <c r="CZ312" s="47">
        <v>0</v>
      </c>
      <c r="DA312" s="47">
        <v>0</v>
      </c>
      <c r="DB312" s="47">
        <v>0</v>
      </c>
      <c r="DC312" s="47">
        <v>0</v>
      </c>
      <c r="DD312" s="47">
        <v>0</v>
      </c>
      <c r="DE312" s="47">
        <v>0</v>
      </c>
      <c r="DF312" s="47">
        <v>0</v>
      </c>
      <c r="DG312" s="47">
        <v>0</v>
      </c>
      <c r="DH312" s="47">
        <v>0</v>
      </c>
      <c r="DI312" s="47">
        <v>0</v>
      </c>
      <c r="DJ312" s="47">
        <v>0</v>
      </c>
      <c r="DK312" s="47">
        <v>0</v>
      </c>
      <c r="DL312" s="47">
        <v>0</v>
      </c>
      <c r="DM312" s="47">
        <v>0</v>
      </c>
      <c r="DN312" s="47">
        <v>0</v>
      </c>
      <c r="DO312" s="47">
        <v>0</v>
      </c>
      <c r="DP312" s="47">
        <v>0</v>
      </c>
      <c r="DQ312" s="47">
        <v>0</v>
      </c>
      <c r="DR312" s="47">
        <v>0</v>
      </c>
      <c r="DS312" s="47">
        <v>0</v>
      </c>
      <c r="DT312" s="47">
        <v>0</v>
      </c>
      <c r="DU312" s="47">
        <v>0</v>
      </c>
      <c r="DV312" s="47">
        <v>0</v>
      </c>
      <c r="DW312" s="47">
        <v>0</v>
      </c>
      <c r="DX312" s="47">
        <v>0</v>
      </c>
      <c r="DY312" s="47">
        <v>0</v>
      </c>
      <c r="DZ312" s="47">
        <v>0</v>
      </c>
      <c r="EA312" s="47">
        <v>0</v>
      </c>
      <c r="EB312" s="47"/>
      <c r="EC312" s="47">
        <v>0.6</v>
      </c>
      <c r="ZZ312" t="s">
        <v>2472</v>
      </c>
    </row>
    <row r="313" spans="1:702" x14ac:dyDescent="0.25">
      <c r="A313" s="47" t="s">
        <v>1543</v>
      </c>
      <c r="B313" s="47" t="s">
        <v>153</v>
      </c>
      <c r="C313" s="47" t="s">
        <v>157</v>
      </c>
      <c r="D313" s="47" t="s">
        <v>2795</v>
      </c>
      <c r="E313" s="47" t="s">
        <v>1544</v>
      </c>
      <c r="F313" s="47" t="s">
        <v>1545</v>
      </c>
      <c r="G313" s="47" t="s">
        <v>1546</v>
      </c>
      <c r="H313" s="47" t="s">
        <v>698</v>
      </c>
      <c r="I313" s="47" t="s">
        <v>727</v>
      </c>
      <c r="J313" s="47" t="str">
        <f>=IFERROR(VLOOKUP(H313&amp;I313,Table_Fonctions!A:G,6,FALSE),"")</f>
        <v>0</v>
      </c>
      <c r="K313" s="47" t="s">
        <v>2607</v>
      </c>
      <c r="L313" s="47" t="str">
        <f>=IFERROR(VLOOKUP(H313&amp;I313,Table_Fonctions!A:G,7,FALSE),K313)</f>
        <v/>
      </c>
      <c r="M313" s="47" t="str">
        <f>=IF(OR(LEFT(D313, 3)="TJ ", LEFT(D313, 4)="CPH "), "OUI", "NON")</f>
        <v/>
      </c>
      <c r="N313" s="47" t="s">
        <v>1547</v>
      </c>
      <c r="O313" s="47"/>
      <c r="P313" s="47">
        <v>1</v>
      </c>
      <c r="Q313" s="47">
        <v>0</v>
      </c>
      <c r="R313" s="47">
        <v>1</v>
      </c>
      <c r="S313" s="47">
        <f>=ROUND(BQ313-(BR313+BS313),3)</f>
      </c>
      <c r="T313" s="47">
        <f>=ROUND(CK313-(CL313+CM313+CN313+CO313+CP313),3)</f>
      </c>
      <c r="U313" s="47">
        <v>0</v>
      </c>
      <c r="V313" s="47">
        <v>0</v>
      </c>
      <c r="W313" s="47">
        <v>0</v>
      </c>
      <c r="X313" s="47">
        <v>0</v>
      </c>
      <c r="Y313" s="47">
        <v>0</v>
      </c>
      <c r="Z313" s="47">
        <v>0</v>
      </c>
      <c r="AA313" s="47">
        <v>0</v>
      </c>
      <c r="AB313" s="47">
        <v>0</v>
      </c>
      <c r="AC313" s="47">
        <v>0</v>
      </c>
      <c r="AD313" s="47">
        <v>0</v>
      </c>
      <c r="AE313" s="47">
        <v>0</v>
      </c>
      <c r="AF313" s="47">
        <v>0</v>
      </c>
      <c r="AG313" s="47">
        <v>0</v>
      </c>
      <c r="AH313" s="47">
        <v>0</v>
      </c>
      <c r="AI313" s="47">
        <v>0</v>
      </c>
      <c r="AJ313" s="47">
        <v>0</v>
      </c>
      <c r="AK313" s="47">
        <v>0</v>
      </c>
      <c r="AL313" s="47">
        <v>0</v>
      </c>
      <c r="AM313" s="47">
        <v>0</v>
      </c>
      <c r="AN313" s="47">
        <v>0</v>
      </c>
      <c r="AO313" s="47">
        <v>0</v>
      </c>
      <c r="AP313" s="47">
        <v>0</v>
      </c>
      <c r="AQ313" s="47">
        <v>0</v>
      </c>
      <c r="AR313" s="47">
        <v>0</v>
      </c>
      <c r="AS313" s="47">
        <v>0</v>
      </c>
      <c r="AT313" s="47">
        <v>0</v>
      </c>
      <c r="AU313" s="47">
        <v>0</v>
      </c>
      <c r="AV313" s="47">
        <v>0</v>
      </c>
      <c r="AW313" s="47">
        <v>0</v>
      </c>
      <c r="AX313" s="47">
        <v>0</v>
      </c>
      <c r="AY313" s="47">
        <v>0</v>
      </c>
      <c r="AZ313" s="47">
        <v>0</v>
      </c>
      <c r="BA313" s="47">
        <v>0</v>
      </c>
      <c r="BB313" s="47">
        <v>0</v>
      </c>
      <c r="BC313" s="47">
        <v>0</v>
      </c>
      <c r="BD313" s="47">
        <v>0</v>
      </c>
      <c r="BE313" s="47">
        <v>0</v>
      </c>
      <c r="BF313" s="47">
        <v>0</v>
      </c>
      <c r="BG313" s="47">
        <v>0</v>
      </c>
      <c r="BH313" s="47">
        <v>0</v>
      </c>
      <c r="BI313" s="47">
        <v>0</v>
      </c>
      <c r="BJ313" s="47">
        <v>0</v>
      </c>
      <c r="BK313" s="47">
        <v>0</v>
      </c>
      <c r="BL313" s="47">
        <v>0</v>
      </c>
      <c r="BM313" s="47">
        <v>0</v>
      </c>
      <c r="BN313" s="47">
        <v>0</v>
      </c>
      <c r="BO313" s="47">
        <v>0</v>
      </c>
      <c r="BP313" s="47">
        <v>0</v>
      </c>
      <c r="BQ313" s="47">
        <v>0</v>
      </c>
      <c r="BR313" s="47">
        <v>0</v>
      </c>
      <c r="BS313" s="47">
        <v>0</v>
      </c>
      <c r="BT313" s="47">
        <v>0</v>
      </c>
      <c r="BU313" s="47">
        <v>0</v>
      </c>
      <c r="BV313" s="47">
        <v>0</v>
      </c>
      <c r="BW313" s="47">
        <v>0</v>
      </c>
      <c r="BX313" s="47">
        <v>0</v>
      </c>
      <c r="BY313" s="47">
        <v>0</v>
      </c>
      <c r="BZ313" s="47">
        <v>0</v>
      </c>
      <c r="CA313" s="47">
        <v>0</v>
      </c>
      <c r="CB313" s="47">
        <v>0</v>
      </c>
      <c r="CC313" s="47">
        <v>0</v>
      </c>
      <c r="CD313" s="47">
        <v>0</v>
      </c>
      <c r="CE313" s="47">
        <v>0</v>
      </c>
      <c r="CF313" s="47">
        <v>0</v>
      </c>
      <c r="CG313" s="47">
        <v>0</v>
      </c>
      <c r="CH313" s="47">
        <v>0</v>
      </c>
      <c r="CI313" s="47">
        <v>0</v>
      </c>
      <c r="CJ313" s="47">
        <v>0</v>
      </c>
      <c r="CK313" s="47">
        <v>0</v>
      </c>
      <c r="CL313" s="47">
        <v>0</v>
      </c>
      <c r="CM313" s="47">
        <v>0</v>
      </c>
      <c r="CN313" s="47">
        <v>0</v>
      </c>
      <c r="CO313" s="47">
        <v>0</v>
      </c>
      <c r="CP313" s="47">
        <v>0</v>
      </c>
      <c r="CQ313" s="47">
        <v>0</v>
      </c>
      <c r="CR313" s="47">
        <v>0</v>
      </c>
      <c r="CS313" s="47">
        <v>0</v>
      </c>
      <c r="CT313" s="47">
        <v>0</v>
      </c>
      <c r="CU313" s="47">
        <v>0</v>
      </c>
      <c r="CV313" s="47">
        <v>0</v>
      </c>
      <c r="CW313" s="47">
        <v>0</v>
      </c>
      <c r="CX313" s="47">
        <v>0</v>
      </c>
      <c r="CY313" s="47">
        <v>0</v>
      </c>
      <c r="CZ313" s="47">
        <v>0</v>
      </c>
      <c r="DA313" s="47">
        <v>0</v>
      </c>
      <c r="DB313" s="47">
        <v>0</v>
      </c>
      <c r="DC313" s="47">
        <v>0</v>
      </c>
      <c r="DD313" s="47">
        <v>0</v>
      </c>
      <c r="DE313" s="47">
        <v>0</v>
      </c>
      <c r="DF313" s="47">
        <v>0</v>
      </c>
      <c r="DG313" s="47">
        <v>0</v>
      </c>
      <c r="DH313" s="47">
        <v>0</v>
      </c>
      <c r="DI313" s="47">
        <v>0</v>
      </c>
      <c r="DJ313" s="47">
        <v>0</v>
      </c>
      <c r="DK313" s="47">
        <v>0</v>
      </c>
      <c r="DL313" s="47">
        <v>0</v>
      </c>
      <c r="DM313" s="47">
        <v>0</v>
      </c>
      <c r="DN313" s="47">
        <v>0</v>
      </c>
      <c r="DO313" s="47">
        <v>0</v>
      </c>
      <c r="DP313" s="47">
        <v>0</v>
      </c>
      <c r="DQ313" s="47">
        <v>0</v>
      </c>
      <c r="DR313" s="47">
        <v>0</v>
      </c>
      <c r="DS313" s="47">
        <v>0</v>
      </c>
      <c r="DT313" s="47">
        <v>0</v>
      </c>
      <c r="DU313" s="47">
        <v>0</v>
      </c>
      <c r="DV313" s="47">
        <v>0</v>
      </c>
      <c r="DW313" s="47">
        <v>0</v>
      </c>
      <c r="DX313" s="47">
        <v>0</v>
      </c>
      <c r="DY313" s="47">
        <v>0</v>
      </c>
      <c r="DZ313" s="47">
        <v>0</v>
      </c>
      <c r="EA313" s="47">
        <v>0</v>
      </c>
      <c r="EB313" s="47"/>
      <c r="EC313" s="47">
        <v>1</v>
      </c>
      <c r="ZZ313" t="s">
        <v>2472</v>
      </c>
    </row>
    <row r="314" spans="1:702" x14ac:dyDescent="0.25">
      <c r="A314" s="47" t="s">
        <v>1548</v>
      </c>
      <c r="B314" s="47" t="s">
        <v>153</v>
      </c>
      <c r="C314" s="47" t="s">
        <v>157</v>
      </c>
      <c r="D314" s="47" t="s">
        <v>2796</v>
      </c>
      <c r="E314" s="47" t="s">
        <v>1549</v>
      </c>
      <c r="F314" s="47" t="s">
        <v>1550</v>
      </c>
      <c r="G314" s="47" t="s">
        <v>1551</v>
      </c>
      <c r="H314" s="47" t="s">
        <v>698</v>
      </c>
      <c r="I314" s="47" t="s">
        <v>705</v>
      </c>
      <c r="J314" s="47" t="str">
        <f>=IFERROR(VLOOKUP(H314&amp;I314,Table_Fonctions!A:G,6,FALSE),"")</f>
        <v>0</v>
      </c>
      <c r="K314" s="47" t="s">
        <v>2607</v>
      </c>
      <c r="L314" s="47" t="str">
        <f>=IFERROR(VLOOKUP(H314&amp;I314,Table_Fonctions!A:G,7,FALSE),K314)</f>
        <v/>
      </c>
      <c r="M314" s="47" t="str">
        <f>=IF(OR(LEFT(D314, 3)="TJ ", LEFT(D314, 4)="CPH "), "OUI", "NON")</f>
        <v/>
      </c>
      <c r="N314" s="47" t="s">
        <v>1173</v>
      </c>
      <c r="O314" s="47"/>
      <c r="P314" s="47">
        <v>1</v>
      </c>
      <c r="Q314" s="47">
        <v>0</v>
      </c>
      <c r="R314" s="47">
        <v>1</v>
      </c>
      <c r="S314" s="47">
        <f>=ROUND(BQ314-(BR314+BS314),3)</f>
      </c>
      <c r="T314" s="47">
        <f>=ROUND(CK314-(CL314+CM314+CN314+CO314+CP314),3)</f>
      </c>
      <c r="U314" s="47">
        <v>0</v>
      </c>
      <c r="V314" s="47">
        <v>0</v>
      </c>
      <c r="W314" s="47">
        <v>0</v>
      </c>
      <c r="X314" s="47">
        <v>0</v>
      </c>
      <c r="Y314" s="47">
        <v>0</v>
      </c>
      <c r="Z314" s="47">
        <v>0</v>
      </c>
      <c r="AA314" s="47">
        <v>0</v>
      </c>
      <c r="AB314" s="47">
        <v>0</v>
      </c>
      <c r="AC314" s="47">
        <v>0</v>
      </c>
      <c r="AD314" s="47">
        <v>0</v>
      </c>
      <c r="AE314" s="47">
        <v>0</v>
      </c>
      <c r="AF314" s="47">
        <v>0</v>
      </c>
      <c r="AG314" s="47">
        <v>0</v>
      </c>
      <c r="AH314" s="47">
        <v>0</v>
      </c>
      <c r="AI314" s="47">
        <v>0</v>
      </c>
      <c r="AJ314" s="47">
        <v>0</v>
      </c>
      <c r="AK314" s="47">
        <v>0</v>
      </c>
      <c r="AL314" s="47">
        <v>0</v>
      </c>
      <c r="AM314" s="47">
        <v>0</v>
      </c>
      <c r="AN314" s="47">
        <v>0</v>
      </c>
      <c r="AO314" s="47">
        <v>0</v>
      </c>
      <c r="AP314" s="47">
        <v>0</v>
      </c>
      <c r="AQ314" s="47">
        <v>0</v>
      </c>
      <c r="AR314" s="47">
        <v>0</v>
      </c>
      <c r="AS314" s="47">
        <v>0</v>
      </c>
      <c r="AT314" s="47">
        <v>0</v>
      </c>
      <c r="AU314" s="47">
        <v>0</v>
      </c>
      <c r="AV314" s="47">
        <v>0</v>
      </c>
      <c r="AW314" s="47">
        <v>0</v>
      </c>
      <c r="AX314" s="47">
        <v>0</v>
      </c>
      <c r="AY314" s="47">
        <v>0</v>
      </c>
      <c r="AZ314" s="47">
        <v>0</v>
      </c>
      <c r="BA314" s="47">
        <v>0</v>
      </c>
      <c r="BB314" s="47">
        <v>0</v>
      </c>
      <c r="BC314" s="47">
        <v>0</v>
      </c>
      <c r="BD314" s="47">
        <v>0</v>
      </c>
      <c r="BE314" s="47">
        <v>0</v>
      </c>
      <c r="BF314" s="47">
        <v>0</v>
      </c>
      <c r="BG314" s="47">
        <v>0</v>
      </c>
      <c r="BH314" s="47">
        <v>0</v>
      </c>
      <c r="BI314" s="47">
        <v>0</v>
      </c>
      <c r="BJ314" s="47">
        <v>0</v>
      </c>
      <c r="BK314" s="47">
        <v>0</v>
      </c>
      <c r="BL314" s="47">
        <v>0</v>
      </c>
      <c r="BM314" s="47">
        <v>0</v>
      </c>
      <c r="BN314" s="47">
        <v>0</v>
      </c>
      <c r="BO314" s="47">
        <v>0</v>
      </c>
      <c r="BP314" s="47">
        <v>0</v>
      </c>
      <c r="BQ314" s="47">
        <v>0</v>
      </c>
      <c r="BR314" s="47">
        <v>0</v>
      </c>
      <c r="BS314" s="47">
        <v>0</v>
      </c>
      <c r="BT314" s="47">
        <v>0</v>
      </c>
      <c r="BU314" s="47">
        <v>0</v>
      </c>
      <c r="BV314" s="47">
        <v>0</v>
      </c>
      <c r="BW314" s="47">
        <v>0</v>
      </c>
      <c r="BX314" s="47">
        <v>0</v>
      </c>
      <c r="BY314" s="47">
        <v>0</v>
      </c>
      <c r="BZ314" s="47">
        <v>0</v>
      </c>
      <c r="CA314" s="47">
        <v>0</v>
      </c>
      <c r="CB314" s="47">
        <v>0</v>
      </c>
      <c r="CC314" s="47">
        <v>0</v>
      </c>
      <c r="CD314" s="47">
        <v>0</v>
      </c>
      <c r="CE314" s="47">
        <v>0</v>
      </c>
      <c r="CF314" s="47">
        <v>0</v>
      </c>
      <c r="CG314" s="47">
        <v>0</v>
      </c>
      <c r="CH314" s="47">
        <v>0</v>
      </c>
      <c r="CI314" s="47">
        <v>0</v>
      </c>
      <c r="CJ314" s="47">
        <v>0</v>
      </c>
      <c r="CK314" s="47">
        <v>0</v>
      </c>
      <c r="CL314" s="47">
        <v>0</v>
      </c>
      <c r="CM314" s="47">
        <v>0</v>
      </c>
      <c r="CN314" s="47">
        <v>0</v>
      </c>
      <c r="CO314" s="47">
        <v>0</v>
      </c>
      <c r="CP314" s="47">
        <v>0</v>
      </c>
      <c r="CQ314" s="47">
        <v>0</v>
      </c>
      <c r="CR314" s="47">
        <v>0</v>
      </c>
      <c r="CS314" s="47">
        <v>0</v>
      </c>
      <c r="CT314" s="47">
        <v>0</v>
      </c>
      <c r="CU314" s="47">
        <v>0</v>
      </c>
      <c r="CV314" s="47">
        <v>0</v>
      </c>
      <c r="CW314" s="47">
        <v>0</v>
      </c>
      <c r="CX314" s="47">
        <v>0</v>
      </c>
      <c r="CY314" s="47">
        <v>0</v>
      </c>
      <c r="CZ314" s="47">
        <v>0</v>
      </c>
      <c r="DA314" s="47">
        <v>0</v>
      </c>
      <c r="DB314" s="47">
        <v>0</v>
      </c>
      <c r="DC314" s="47">
        <v>0</v>
      </c>
      <c r="DD314" s="47">
        <v>0</v>
      </c>
      <c r="DE314" s="47">
        <v>0</v>
      </c>
      <c r="DF314" s="47">
        <v>0</v>
      </c>
      <c r="DG314" s="47">
        <v>0</v>
      </c>
      <c r="DH314" s="47">
        <v>0</v>
      </c>
      <c r="DI314" s="47">
        <v>0</v>
      </c>
      <c r="DJ314" s="47">
        <v>0</v>
      </c>
      <c r="DK314" s="47">
        <v>0</v>
      </c>
      <c r="DL314" s="47">
        <v>0</v>
      </c>
      <c r="DM314" s="47">
        <v>0</v>
      </c>
      <c r="DN314" s="47">
        <v>0</v>
      </c>
      <c r="DO314" s="47">
        <v>0</v>
      </c>
      <c r="DP314" s="47">
        <v>0</v>
      </c>
      <c r="DQ314" s="47">
        <v>0</v>
      </c>
      <c r="DR314" s="47">
        <v>0</v>
      </c>
      <c r="DS314" s="47">
        <v>0</v>
      </c>
      <c r="DT314" s="47">
        <v>0</v>
      </c>
      <c r="DU314" s="47">
        <v>0</v>
      </c>
      <c r="DV314" s="47">
        <v>0</v>
      </c>
      <c r="DW314" s="47">
        <v>0</v>
      </c>
      <c r="DX314" s="47">
        <v>0</v>
      </c>
      <c r="DY314" s="47">
        <v>0</v>
      </c>
      <c r="DZ314" s="47">
        <v>0</v>
      </c>
      <c r="EA314" s="47">
        <v>0</v>
      </c>
      <c r="EB314" s="47"/>
      <c r="EC314" s="47">
        <v>1</v>
      </c>
      <c r="ZZ314" t="s">
        <v>2472</v>
      </c>
    </row>
    <row r="315" spans="1:702" x14ac:dyDescent="0.25">
      <c r="A315" s="47" t="s">
        <v>1552</v>
      </c>
      <c r="B315" s="47" t="s">
        <v>153</v>
      </c>
      <c r="C315" s="47" t="s">
        <v>157</v>
      </c>
      <c r="D315" s="47" t="s">
        <v>2797</v>
      </c>
      <c r="E315" s="47" t="s">
        <v>1553</v>
      </c>
      <c r="F315" s="47" t="s">
        <v>1554</v>
      </c>
      <c r="G315" s="47" t="s">
        <v>1555</v>
      </c>
      <c r="H315" s="47" t="s">
        <v>698</v>
      </c>
      <c r="I315" s="47" t="s">
        <v>727</v>
      </c>
      <c r="J315" s="47" t="str">
        <f>=IFERROR(VLOOKUP(H315&amp;I315,Table_Fonctions!A:G,6,FALSE),"")</f>
        <v>0</v>
      </c>
      <c r="K315" s="47" t="s">
        <v>2607</v>
      </c>
      <c r="L315" s="47" t="str">
        <f>=IFERROR(VLOOKUP(H315&amp;I315,Table_Fonctions!A:G,7,FALSE),K315)</f>
        <v/>
      </c>
      <c r="M315" s="47" t="str">
        <f>=IF(OR(LEFT(D315, 3)="TJ ", LEFT(D315, 4)="CPH "), "OUI", "NON")</f>
        <v/>
      </c>
      <c r="N315" s="47" t="s">
        <v>836</v>
      </c>
      <c r="O315" s="47"/>
      <c r="P315" s="47">
        <v>1</v>
      </c>
      <c r="Q315" s="47">
        <v>1</v>
      </c>
      <c r="R315" s="47">
        <v>0</v>
      </c>
      <c r="S315" s="47">
        <f>=ROUND(BQ315-(BR315+BS315),3)</f>
      </c>
      <c r="T315" s="47">
        <f>=ROUND(CK315-(CL315+CM315+CN315+CO315+CP315),3)</f>
      </c>
      <c r="U315" s="47">
        <v>0</v>
      </c>
      <c r="V315" s="47">
        <v>0</v>
      </c>
      <c r="W315" s="47">
        <v>0</v>
      </c>
      <c r="X315" s="47">
        <v>0</v>
      </c>
      <c r="Y315" s="47">
        <v>0</v>
      </c>
      <c r="Z315" s="47">
        <v>0</v>
      </c>
      <c r="AA315" s="47">
        <v>0</v>
      </c>
      <c r="AB315" s="47">
        <v>0</v>
      </c>
      <c r="AC315" s="47">
        <v>0</v>
      </c>
      <c r="AD315" s="47">
        <v>0</v>
      </c>
      <c r="AE315" s="47">
        <v>0</v>
      </c>
      <c r="AF315" s="47">
        <v>0</v>
      </c>
      <c r="AG315" s="47">
        <v>0</v>
      </c>
      <c r="AH315" s="47">
        <v>0</v>
      </c>
      <c r="AI315" s="47">
        <v>0</v>
      </c>
      <c r="AJ315" s="47">
        <v>0</v>
      </c>
      <c r="AK315" s="47">
        <v>0</v>
      </c>
      <c r="AL315" s="47">
        <v>0</v>
      </c>
      <c r="AM315" s="47">
        <v>0</v>
      </c>
      <c r="AN315" s="47">
        <v>0</v>
      </c>
      <c r="AO315" s="47">
        <v>0</v>
      </c>
      <c r="AP315" s="47">
        <v>0</v>
      </c>
      <c r="AQ315" s="47">
        <v>0</v>
      </c>
      <c r="AR315" s="47">
        <v>0</v>
      </c>
      <c r="AS315" s="47">
        <v>0</v>
      </c>
      <c r="AT315" s="47">
        <v>0</v>
      </c>
      <c r="AU315" s="47">
        <v>0</v>
      </c>
      <c r="AV315" s="47">
        <v>0</v>
      </c>
      <c r="AW315" s="47">
        <v>0</v>
      </c>
      <c r="AX315" s="47">
        <v>0</v>
      </c>
      <c r="AY315" s="47">
        <v>0</v>
      </c>
      <c r="AZ315" s="47">
        <v>0</v>
      </c>
      <c r="BA315" s="47">
        <v>0</v>
      </c>
      <c r="BB315" s="47">
        <v>0</v>
      </c>
      <c r="BC315" s="47">
        <v>0</v>
      </c>
      <c r="BD315" s="47">
        <v>0</v>
      </c>
      <c r="BE315" s="47">
        <v>0</v>
      </c>
      <c r="BF315" s="47">
        <v>0</v>
      </c>
      <c r="BG315" s="47">
        <v>0</v>
      </c>
      <c r="BH315" s="47">
        <v>0</v>
      </c>
      <c r="BI315" s="47">
        <v>0</v>
      </c>
      <c r="BJ315" s="47">
        <v>0</v>
      </c>
      <c r="BK315" s="47">
        <v>0</v>
      </c>
      <c r="BL315" s="47">
        <v>0</v>
      </c>
      <c r="BM315" s="47">
        <v>0</v>
      </c>
      <c r="BN315" s="47">
        <v>0</v>
      </c>
      <c r="BO315" s="47">
        <v>0</v>
      </c>
      <c r="BP315" s="47">
        <v>0</v>
      </c>
      <c r="BQ315" s="47">
        <v>0</v>
      </c>
      <c r="BR315" s="47">
        <v>0</v>
      </c>
      <c r="BS315" s="47">
        <v>0</v>
      </c>
      <c r="BT315" s="47">
        <v>1</v>
      </c>
      <c r="BU315" s="47">
        <v>0</v>
      </c>
      <c r="BV315" s="47">
        <v>0</v>
      </c>
      <c r="BW315" s="47">
        <v>0</v>
      </c>
      <c r="BX315" s="47">
        <v>0</v>
      </c>
      <c r="BY315" s="47">
        <v>0</v>
      </c>
      <c r="BZ315" s="47">
        <v>0</v>
      </c>
      <c r="CA315" s="47">
        <v>0</v>
      </c>
      <c r="CB315" s="47">
        <v>0</v>
      </c>
      <c r="CC315" s="47">
        <v>0</v>
      </c>
      <c r="CD315" s="47">
        <v>0</v>
      </c>
      <c r="CE315" s="47">
        <v>0</v>
      </c>
      <c r="CF315" s="47">
        <v>0</v>
      </c>
      <c r="CG315" s="47">
        <v>0</v>
      </c>
      <c r="CH315" s="47">
        <v>0</v>
      </c>
      <c r="CI315" s="47">
        <v>0</v>
      </c>
      <c r="CJ315" s="47">
        <v>0</v>
      </c>
      <c r="CK315" s="47">
        <v>0</v>
      </c>
      <c r="CL315" s="47">
        <v>0</v>
      </c>
      <c r="CM315" s="47">
        <v>0</v>
      </c>
      <c r="CN315" s="47">
        <v>0</v>
      </c>
      <c r="CO315" s="47">
        <v>0</v>
      </c>
      <c r="CP315" s="47">
        <v>0</v>
      </c>
      <c r="CQ315" s="47">
        <v>0</v>
      </c>
      <c r="CR315" s="47">
        <v>0</v>
      </c>
      <c r="CS315" s="47">
        <v>0</v>
      </c>
      <c r="CT315" s="47">
        <v>0</v>
      </c>
      <c r="CU315" s="47">
        <v>0</v>
      </c>
      <c r="CV315" s="47">
        <v>0</v>
      </c>
      <c r="CW315" s="47">
        <v>0</v>
      </c>
      <c r="CX315" s="47">
        <v>0</v>
      </c>
      <c r="CY315" s="47">
        <v>0</v>
      </c>
      <c r="CZ315" s="47">
        <v>0</v>
      </c>
      <c r="DA315" s="47">
        <v>0</v>
      </c>
      <c r="DB315" s="47">
        <v>0</v>
      </c>
      <c r="DC315" s="47">
        <v>0</v>
      </c>
      <c r="DD315" s="47">
        <v>0</v>
      </c>
      <c r="DE315" s="47">
        <v>0</v>
      </c>
      <c r="DF315" s="47">
        <v>0</v>
      </c>
      <c r="DG315" s="47">
        <v>0</v>
      </c>
      <c r="DH315" s="47">
        <v>0</v>
      </c>
      <c r="DI315" s="47">
        <v>0</v>
      </c>
      <c r="DJ315" s="47">
        <v>0</v>
      </c>
      <c r="DK315" s="47">
        <v>0</v>
      </c>
      <c r="DL315" s="47">
        <v>0</v>
      </c>
      <c r="DM315" s="47">
        <v>0</v>
      </c>
      <c r="DN315" s="47">
        <v>0</v>
      </c>
      <c r="DO315" s="47">
        <v>0</v>
      </c>
      <c r="DP315" s="47">
        <v>0</v>
      </c>
      <c r="DQ315" s="47">
        <v>0</v>
      </c>
      <c r="DR315" s="47">
        <v>0</v>
      </c>
      <c r="DS315" s="47">
        <v>0</v>
      </c>
      <c r="DT315" s="47">
        <v>0</v>
      </c>
      <c r="DU315" s="47">
        <v>0</v>
      </c>
      <c r="DV315" s="47">
        <v>0</v>
      </c>
      <c r="DW315" s="47">
        <v>0</v>
      </c>
      <c r="DX315" s="47">
        <v>0</v>
      </c>
      <c r="DY315" s="47">
        <v>0</v>
      </c>
      <c r="DZ315" s="47">
        <v>0</v>
      </c>
      <c r="EA315" s="47">
        <v>0</v>
      </c>
      <c r="EB315" s="47"/>
      <c r="EC315" s="47">
        <v>1</v>
      </c>
      <c r="ZZ315" t="s">
        <v>2472</v>
      </c>
    </row>
    <row r="316" spans="1:702" x14ac:dyDescent="0.25">
      <c r="A316" s="47" t="s">
        <v>1556</v>
      </c>
      <c r="B316" s="47" t="s">
        <v>153</v>
      </c>
      <c r="C316" s="47" t="s">
        <v>157</v>
      </c>
      <c r="D316" s="47" t="s">
        <v>2798</v>
      </c>
      <c r="E316" s="47" t="s">
        <v>1557</v>
      </c>
      <c r="F316" s="47" t="s">
        <v>1558</v>
      </c>
      <c r="G316" s="47" t="s">
        <v>1559</v>
      </c>
      <c r="H316" s="47" t="s">
        <v>698</v>
      </c>
      <c r="I316" s="47" t="s">
        <v>727</v>
      </c>
      <c r="J316" s="47" t="str">
        <f>=IFERROR(VLOOKUP(H316&amp;I316,Table_Fonctions!A:G,6,FALSE),"")</f>
        <v>0</v>
      </c>
      <c r="K316" s="47" t="s">
        <v>2607</v>
      </c>
      <c r="L316" s="47" t="str">
        <f>=IFERROR(VLOOKUP(H316&amp;I316,Table_Fonctions!A:G,7,FALSE),K316)</f>
        <v/>
      </c>
      <c r="M316" s="47" t="str">
        <f>=IF(OR(LEFT(D316, 3)="TJ ", LEFT(D316, 4)="CPH "), "OUI", "NON")</f>
        <v/>
      </c>
      <c r="N316" s="47" t="s">
        <v>836</v>
      </c>
      <c r="O316" s="47"/>
      <c r="P316" s="47">
        <v>1</v>
      </c>
      <c r="Q316" s="47">
        <v>1</v>
      </c>
      <c r="R316" s="47">
        <v>0</v>
      </c>
      <c r="S316" s="47">
        <f>=ROUND(BQ316-(BR316+BS316),3)</f>
      </c>
      <c r="T316" s="47">
        <f>=ROUND(CK316-(CL316+CM316+CN316+CO316+CP316),3)</f>
      </c>
      <c r="U316" s="47">
        <v>0</v>
      </c>
      <c r="V316" s="47">
        <v>0</v>
      </c>
      <c r="W316" s="47">
        <v>0</v>
      </c>
      <c r="X316" s="47">
        <v>0</v>
      </c>
      <c r="Y316" s="47">
        <v>0</v>
      </c>
      <c r="Z316" s="47">
        <v>0</v>
      </c>
      <c r="AA316" s="47">
        <v>0</v>
      </c>
      <c r="AB316" s="47">
        <v>0</v>
      </c>
      <c r="AC316" s="47">
        <v>0</v>
      </c>
      <c r="AD316" s="47">
        <v>0</v>
      </c>
      <c r="AE316" s="47">
        <v>0</v>
      </c>
      <c r="AF316" s="47">
        <v>0</v>
      </c>
      <c r="AG316" s="47">
        <v>0</v>
      </c>
      <c r="AH316" s="47">
        <v>0</v>
      </c>
      <c r="AI316" s="47">
        <v>0</v>
      </c>
      <c r="AJ316" s="47">
        <v>0</v>
      </c>
      <c r="AK316" s="47">
        <v>0</v>
      </c>
      <c r="AL316" s="47">
        <v>0</v>
      </c>
      <c r="AM316" s="47">
        <v>0</v>
      </c>
      <c r="AN316" s="47">
        <v>0</v>
      </c>
      <c r="AO316" s="47">
        <v>0</v>
      </c>
      <c r="AP316" s="47">
        <v>0</v>
      </c>
      <c r="AQ316" s="47">
        <v>0</v>
      </c>
      <c r="AR316" s="47">
        <v>0</v>
      </c>
      <c r="AS316" s="47">
        <v>0</v>
      </c>
      <c r="AT316" s="47">
        <v>0</v>
      </c>
      <c r="AU316" s="47">
        <v>0</v>
      </c>
      <c r="AV316" s="47">
        <v>0</v>
      </c>
      <c r="AW316" s="47">
        <v>0</v>
      </c>
      <c r="AX316" s="47">
        <v>0</v>
      </c>
      <c r="AY316" s="47">
        <v>0</v>
      </c>
      <c r="AZ316" s="47">
        <v>0</v>
      </c>
      <c r="BA316" s="47">
        <v>0</v>
      </c>
      <c r="BB316" s="47">
        <v>0</v>
      </c>
      <c r="BC316" s="47">
        <v>0</v>
      </c>
      <c r="BD316" s="47">
        <v>0</v>
      </c>
      <c r="BE316" s="47">
        <v>0</v>
      </c>
      <c r="BF316" s="47">
        <v>0</v>
      </c>
      <c r="BG316" s="47">
        <v>0</v>
      </c>
      <c r="BH316" s="47">
        <v>0</v>
      </c>
      <c r="BI316" s="47">
        <v>0</v>
      </c>
      <c r="BJ316" s="47">
        <v>0</v>
      </c>
      <c r="BK316" s="47">
        <v>0</v>
      </c>
      <c r="BL316" s="47">
        <v>0</v>
      </c>
      <c r="BM316" s="47">
        <v>0</v>
      </c>
      <c r="BN316" s="47">
        <v>0</v>
      </c>
      <c r="BO316" s="47">
        <v>0</v>
      </c>
      <c r="BP316" s="47">
        <v>0</v>
      </c>
      <c r="BQ316" s="47">
        <v>0</v>
      </c>
      <c r="BR316" s="47">
        <v>0</v>
      </c>
      <c r="BS316" s="47">
        <v>0</v>
      </c>
      <c r="BT316" s="47">
        <v>0</v>
      </c>
      <c r="BU316" s="47">
        <v>0</v>
      </c>
      <c r="BV316" s="47">
        <v>0</v>
      </c>
      <c r="BW316" s="47">
        <v>0</v>
      </c>
      <c r="BX316" s="47">
        <v>0</v>
      </c>
      <c r="BY316" s="47">
        <v>0</v>
      </c>
      <c r="BZ316" s="47">
        <v>0</v>
      </c>
      <c r="CA316" s="47">
        <v>0</v>
      </c>
      <c r="CB316" s="47">
        <v>0</v>
      </c>
      <c r="CC316" s="47">
        <v>0</v>
      </c>
      <c r="CD316" s="47">
        <v>0</v>
      </c>
      <c r="CE316" s="47">
        <v>0</v>
      </c>
      <c r="CF316" s="47">
        <v>0</v>
      </c>
      <c r="CG316" s="47">
        <v>0</v>
      </c>
      <c r="CH316" s="47">
        <v>0</v>
      </c>
      <c r="CI316" s="47">
        <v>0</v>
      </c>
      <c r="CJ316" s="47">
        <v>0</v>
      </c>
      <c r="CK316" s="47">
        <v>0</v>
      </c>
      <c r="CL316" s="47">
        <v>0</v>
      </c>
      <c r="CM316" s="47">
        <v>0</v>
      </c>
      <c r="CN316" s="47">
        <v>0</v>
      </c>
      <c r="CO316" s="47">
        <v>0</v>
      </c>
      <c r="CP316" s="47">
        <v>0</v>
      </c>
      <c r="CQ316" s="47">
        <v>1</v>
      </c>
      <c r="CR316" s="47">
        <v>0</v>
      </c>
      <c r="CS316" s="47">
        <v>0</v>
      </c>
      <c r="CT316" s="47">
        <v>0</v>
      </c>
      <c r="CU316" s="47">
        <v>0</v>
      </c>
      <c r="CV316" s="47">
        <v>0</v>
      </c>
      <c r="CW316" s="47">
        <v>0</v>
      </c>
      <c r="CX316" s="47">
        <v>0</v>
      </c>
      <c r="CY316" s="47">
        <v>0</v>
      </c>
      <c r="CZ316" s="47">
        <v>0</v>
      </c>
      <c r="DA316" s="47">
        <v>0</v>
      </c>
      <c r="DB316" s="47">
        <v>0</v>
      </c>
      <c r="DC316" s="47">
        <v>0</v>
      </c>
      <c r="DD316" s="47">
        <v>0</v>
      </c>
      <c r="DE316" s="47">
        <v>0</v>
      </c>
      <c r="DF316" s="47">
        <v>0</v>
      </c>
      <c r="DG316" s="47">
        <v>0</v>
      </c>
      <c r="DH316" s="47">
        <v>0</v>
      </c>
      <c r="DI316" s="47">
        <v>0</v>
      </c>
      <c r="DJ316" s="47">
        <v>0</v>
      </c>
      <c r="DK316" s="47">
        <v>0</v>
      </c>
      <c r="DL316" s="47">
        <v>0</v>
      </c>
      <c r="DM316" s="47">
        <v>0</v>
      </c>
      <c r="DN316" s="47">
        <v>0</v>
      </c>
      <c r="DO316" s="47">
        <v>0</v>
      </c>
      <c r="DP316" s="47">
        <v>0</v>
      </c>
      <c r="DQ316" s="47">
        <v>0</v>
      </c>
      <c r="DR316" s="47">
        <v>0</v>
      </c>
      <c r="DS316" s="47">
        <v>0</v>
      </c>
      <c r="DT316" s="47">
        <v>0</v>
      </c>
      <c r="DU316" s="47">
        <v>0</v>
      </c>
      <c r="DV316" s="47">
        <v>0</v>
      </c>
      <c r="DW316" s="47">
        <v>0</v>
      </c>
      <c r="DX316" s="47">
        <v>0</v>
      </c>
      <c r="DY316" s="47">
        <v>0</v>
      </c>
      <c r="DZ316" s="47">
        <v>0</v>
      </c>
      <c r="EA316" s="47">
        <v>0</v>
      </c>
      <c r="EB316" s="47"/>
      <c r="EC316" s="47">
        <v>1</v>
      </c>
      <c r="ZZ316" t="s">
        <v>2472</v>
      </c>
    </row>
    <row r="317" spans="1:702" x14ac:dyDescent="0.25">
      <c r="A317" s="47" t="s">
        <v>1560</v>
      </c>
      <c r="B317" s="47" t="s">
        <v>153</v>
      </c>
      <c r="C317" s="47" t="s">
        <v>157</v>
      </c>
      <c r="D317" s="47" t="s">
        <v>2799</v>
      </c>
      <c r="E317" s="47" t="s">
        <v>1561</v>
      </c>
      <c r="F317" s="47" t="s">
        <v>1562</v>
      </c>
      <c r="G317" s="47" t="s">
        <v>1563</v>
      </c>
      <c r="H317" s="47" t="s">
        <v>698</v>
      </c>
      <c r="I317" s="47" t="s">
        <v>705</v>
      </c>
      <c r="J317" s="47" t="str">
        <f>=IFERROR(VLOOKUP(H317&amp;I317,Table_Fonctions!A:G,6,FALSE),"")</f>
        <v>0</v>
      </c>
      <c r="K317" s="47" t="s">
        <v>2607</v>
      </c>
      <c r="L317" s="47" t="str">
        <f>=IFERROR(VLOOKUP(H317&amp;I317,Table_Fonctions!A:G,7,FALSE),K317)</f>
        <v/>
      </c>
      <c r="M317" s="47" t="str">
        <f>=IF(OR(LEFT(D317, 3)="TJ ", LEFT(D317, 4)="CPH "), "OUI", "NON")</f>
        <v/>
      </c>
      <c r="N317" s="47" t="s">
        <v>1564</v>
      </c>
      <c r="O317" s="47"/>
      <c r="P317" s="47">
        <v>1</v>
      </c>
      <c r="Q317" s="47">
        <v>0</v>
      </c>
      <c r="R317" s="47">
        <v>1</v>
      </c>
      <c r="S317" s="47">
        <f>=ROUND(BQ317-(BR317+BS317),3)</f>
      </c>
      <c r="T317" s="47">
        <f>=ROUND(CK317-(CL317+CM317+CN317+CO317+CP317),3)</f>
      </c>
      <c r="U317" s="47">
        <v>0</v>
      </c>
      <c r="V317" s="47">
        <v>0</v>
      </c>
      <c r="W317" s="47">
        <v>0</v>
      </c>
      <c r="X317" s="47">
        <v>0</v>
      </c>
      <c r="Y317" s="47">
        <v>0</v>
      </c>
      <c r="Z317" s="47">
        <v>0</v>
      </c>
      <c r="AA317" s="47">
        <v>0</v>
      </c>
      <c r="AB317" s="47">
        <v>0</v>
      </c>
      <c r="AC317" s="47">
        <v>0</v>
      </c>
      <c r="AD317" s="47">
        <v>0</v>
      </c>
      <c r="AE317" s="47">
        <v>0</v>
      </c>
      <c r="AF317" s="47">
        <v>0</v>
      </c>
      <c r="AG317" s="47">
        <v>0</v>
      </c>
      <c r="AH317" s="47">
        <v>0</v>
      </c>
      <c r="AI317" s="47">
        <v>0</v>
      </c>
      <c r="AJ317" s="47">
        <v>0</v>
      </c>
      <c r="AK317" s="47">
        <v>0</v>
      </c>
      <c r="AL317" s="47">
        <v>0</v>
      </c>
      <c r="AM317" s="47">
        <v>0</v>
      </c>
      <c r="AN317" s="47">
        <v>0</v>
      </c>
      <c r="AO317" s="47">
        <v>0</v>
      </c>
      <c r="AP317" s="47">
        <v>0</v>
      </c>
      <c r="AQ317" s="47">
        <v>0</v>
      </c>
      <c r="AR317" s="47">
        <v>0</v>
      </c>
      <c r="AS317" s="47">
        <v>0</v>
      </c>
      <c r="AT317" s="47">
        <v>0</v>
      </c>
      <c r="AU317" s="47">
        <v>0</v>
      </c>
      <c r="AV317" s="47">
        <v>0</v>
      </c>
      <c r="AW317" s="47">
        <v>0</v>
      </c>
      <c r="AX317" s="47">
        <v>0</v>
      </c>
      <c r="AY317" s="47">
        <v>0</v>
      </c>
      <c r="AZ317" s="47">
        <v>0</v>
      </c>
      <c r="BA317" s="47">
        <v>0</v>
      </c>
      <c r="BB317" s="47">
        <v>0</v>
      </c>
      <c r="BC317" s="47">
        <v>0</v>
      </c>
      <c r="BD317" s="47">
        <v>0</v>
      </c>
      <c r="BE317" s="47">
        <v>0</v>
      </c>
      <c r="BF317" s="47">
        <v>0</v>
      </c>
      <c r="BG317" s="47">
        <v>0</v>
      </c>
      <c r="BH317" s="47">
        <v>0</v>
      </c>
      <c r="BI317" s="47">
        <v>0</v>
      </c>
      <c r="BJ317" s="47">
        <v>0</v>
      </c>
      <c r="BK317" s="47">
        <v>0</v>
      </c>
      <c r="BL317" s="47">
        <v>0</v>
      </c>
      <c r="BM317" s="47">
        <v>0</v>
      </c>
      <c r="BN317" s="47">
        <v>0</v>
      </c>
      <c r="BO317" s="47">
        <v>0</v>
      </c>
      <c r="BP317" s="47">
        <v>0</v>
      </c>
      <c r="BQ317" s="47">
        <v>0</v>
      </c>
      <c r="BR317" s="47">
        <v>0</v>
      </c>
      <c r="BS317" s="47">
        <v>0</v>
      </c>
      <c r="BT317" s="47">
        <v>0</v>
      </c>
      <c r="BU317" s="47">
        <v>0</v>
      </c>
      <c r="BV317" s="47">
        <v>0</v>
      </c>
      <c r="BW317" s="47">
        <v>0</v>
      </c>
      <c r="BX317" s="47">
        <v>0</v>
      </c>
      <c r="BY317" s="47">
        <v>0</v>
      </c>
      <c r="BZ317" s="47">
        <v>0</v>
      </c>
      <c r="CA317" s="47">
        <v>0</v>
      </c>
      <c r="CB317" s="47">
        <v>0</v>
      </c>
      <c r="CC317" s="47">
        <v>0</v>
      </c>
      <c r="CD317" s="47">
        <v>0</v>
      </c>
      <c r="CE317" s="47">
        <v>0</v>
      </c>
      <c r="CF317" s="47">
        <v>0</v>
      </c>
      <c r="CG317" s="47">
        <v>0</v>
      </c>
      <c r="CH317" s="47">
        <v>0</v>
      </c>
      <c r="CI317" s="47">
        <v>0</v>
      </c>
      <c r="CJ317" s="47">
        <v>0</v>
      </c>
      <c r="CK317" s="47">
        <v>0</v>
      </c>
      <c r="CL317" s="47">
        <v>0</v>
      </c>
      <c r="CM317" s="47">
        <v>0</v>
      </c>
      <c r="CN317" s="47">
        <v>0</v>
      </c>
      <c r="CO317" s="47">
        <v>0</v>
      </c>
      <c r="CP317" s="47">
        <v>0</v>
      </c>
      <c r="CQ317" s="47">
        <v>0</v>
      </c>
      <c r="CR317" s="47">
        <v>0</v>
      </c>
      <c r="CS317" s="47">
        <v>0</v>
      </c>
      <c r="CT317" s="47">
        <v>0</v>
      </c>
      <c r="CU317" s="47">
        <v>0</v>
      </c>
      <c r="CV317" s="47">
        <v>0</v>
      </c>
      <c r="CW317" s="47">
        <v>0</v>
      </c>
      <c r="CX317" s="47">
        <v>0</v>
      </c>
      <c r="CY317" s="47">
        <v>0</v>
      </c>
      <c r="CZ317" s="47">
        <v>0</v>
      </c>
      <c r="DA317" s="47">
        <v>0</v>
      </c>
      <c r="DB317" s="47">
        <v>0</v>
      </c>
      <c r="DC317" s="47">
        <v>0</v>
      </c>
      <c r="DD317" s="47">
        <v>0</v>
      </c>
      <c r="DE317" s="47">
        <v>0</v>
      </c>
      <c r="DF317" s="47">
        <v>0</v>
      </c>
      <c r="DG317" s="47">
        <v>0</v>
      </c>
      <c r="DH317" s="47">
        <v>0</v>
      </c>
      <c r="DI317" s="47">
        <v>0</v>
      </c>
      <c r="DJ317" s="47">
        <v>0</v>
      </c>
      <c r="DK317" s="47">
        <v>0</v>
      </c>
      <c r="DL317" s="47">
        <v>0</v>
      </c>
      <c r="DM317" s="47">
        <v>0</v>
      </c>
      <c r="DN317" s="47">
        <v>0</v>
      </c>
      <c r="DO317" s="47">
        <v>0</v>
      </c>
      <c r="DP317" s="47">
        <v>0</v>
      </c>
      <c r="DQ317" s="47">
        <v>0</v>
      </c>
      <c r="DR317" s="47">
        <v>0</v>
      </c>
      <c r="DS317" s="47">
        <v>0</v>
      </c>
      <c r="DT317" s="47">
        <v>0</v>
      </c>
      <c r="DU317" s="47">
        <v>0</v>
      </c>
      <c r="DV317" s="47">
        <v>0</v>
      </c>
      <c r="DW317" s="47">
        <v>0</v>
      </c>
      <c r="DX317" s="47">
        <v>0</v>
      </c>
      <c r="DY317" s="47">
        <v>0</v>
      </c>
      <c r="DZ317" s="47">
        <v>0</v>
      </c>
      <c r="EA317" s="47">
        <v>0</v>
      </c>
      <c r="EB317" s="47"/>
      <c r="EC317" s="47">
        <v>1</v>
      </c>
      <c r="ZZ317" t="s">
        <v>2472</v>
      </c>
    </row>
    <row r="318" spans="1:702" x14ac:dyDescent="0.25">
      <c r="A318" s="47" t="s">
        <v>1565</v>
      </c>
      <c r="B318" s="47" t="s">
        <v>153</v>
      </c>
      <c r="C318" s="47" t="s">
        <v>157</v>
      </c>
      <c r="D318" s="47" t="s">
        <v>2800</v>
      </c>
      <c r="E318" s="47" t="s">
        <v>1566</v>
      </c>
      <c r="F318" s="47" t="s">
        <v>1567</v>
      </c>
      <c r="G318" s="47" t="s">
        <v>1568</v>
      </c>
      <c r="H318" s="47" t="s">
        <v>698</v>
      </c>
      <c r="I318" s="47" t="s">
        <v>727</v>
      </c>
      <c r="J318" s="47" t="str">
        <f>=IFERROR(VLOOKUP(H318&amp;I318,Table_Fonctions!A:G,6,FALSE),"")</f>
        <v>0</v>
      </c>
      <c r="K318" s="47" t="s">
        <v>2607</v>
      </c>
      <c r="L318" s="47" t="str">
        <f>=IFERROR(VLOOKUP(H318&amp;I318,Table_Fonctions!A:G,7,FALSE),K318)</f>
        <v/>
      </c>
      <c r="M318" s="47" t="str">
        <f>=IF(OR(LEFT(D318, 3)="TJ ", LEFT(D318, 4)="CPH "), "OUI", "NON")</f>
        <v/>
      </c>
      <c r="N318" s="47" t="s">
        <v>763</v>
      </c>
      <c r="O318" s="47"/>
      <c r="P318" s="47">
        <v>1</v>
      </c>
      <c r="Q318" s="47">
        <v>0</v>
      </c>
      <c r="R318" s="47">
        <v>1</v>
      </c>
      <c r="S318" s="47">
        <f>=ROUND(BQ318-(BR318+BS318),3)</f>
      </c>
      <c r="T318" s="47">
        <f>=ROUND(CK318-(CL318+CM318+CN318+CO318+CP318),3)</f>
      </c>
      <c r="U318" s="47">
        <v>0</v>
      </c>
      <c r="V318" s="47">
        <v>0</v>
      </c>
      <c r="W318" s="47">
        <v>0</v>
      </c>
      <c r="X318" s="47">
        <v>0</v>
      </c>
      <c r="Y318" s="47">
        <v>0</v>
      </c>
      <c r="Z318" s="47">
        <v>0</v>
      </c>
      <c r="AA318" s="47">
        <v>0</v>
      </c>
      <c r="AB318" s="47">
        <v>0</v>
      </c>
      <c r="AC318" s="47">
        <v>0</v>
      </c>
      <c r="AD318" s="47">
        <v>0</v>
      </c>
      <c r="AE318" s="47">
        <v>0</v>
      </c>
      <c r="AF318" s="47">
        <v>0</v>
      </c>
      <c r="AG318" s="47">
        <v>0</v>
      </c>
      <c r="AH318" s="47">
        <v>0</v>
      </c>
      <c r="AI318" s="47">
        <v>0</v>
      </c>
      <c r="AJ318" s="47">
        <v>0</v>
      </c>
      <c r="AK318" s="47">
        <v>0</v>
      </c>
      <c r="AL318" s="47">
        <v>0</v>
      </c>
      <c r="AM318" s="47">
        <v>0</v>
      </c>
      <c r="AN318" s="47">
        <v>0</v>
      </c>
      <c r="AO318" s="47">
        <v>0</v>
      </c>
      <c r="AP318" s="47">
        <v>0</v>
      </c>
      <c r="AQ318" s="47">
        <v>0</v>
      </c>
      <c r="AR318" s="47">
        <v>0</v>
      </c>
      <c r="AS318" s="47">
        <v>0</v>
      </c>
      <c r="AT318" s="47">
        <v>0</v>
      </c>
      <c r="AU318" s="47">
        <v>0</v>
      </c>
      <c r="AV318" s="47">
        <v>0</v>
      </c>
      <c r="AW318" s="47">
        <v>0</v>
      </c>
      <c r="AX318" s="47">
        <v>0</v>
      </c>
      <c r="AY318" s="47">
        <v>0</v>
      </c>
      <c r="AZ318" s="47">
        <v>0</v>
      </c>
      <c r="BA318" s="47">
        <v>0</v>
      </c>
      <c r="BB318" s="47">
        <v>0</v>
      </c>
      <c r="BC318" s="47">
        <v>0</v>
      </c>
      <c r="BD318" s="47">
        <v>0</v>
      </c>
      <c r="BE318" s="47">
        <v>0</v>
      </c>
      <c r="BF318" s="47">
        <v>0</v>
      </c>
      <c r="BG318" s="47">
        <v>0</v>
      </c>
      <c r="BH318" s="47">
        <v>0</v>
      </c>
      <c r="BI318" s="47">
        <v>0</v>
      </c>
      <c r="BJ318" s="47">
        <v>0</v>
      </c>
      <c r="BK318" s="47">
        <v>0</v>
      </c>
      <c r="BL318" s="47">
        <v>0</v>
      </c>
      <c r="BM318" s="47">
        <v>0</v>
      </c>
      <c r="BN318" s="47">
        <v>0</v>
      </c>
      <c r="BO318" s="47">
        <v>0</v>
      </c>
      <c r="BP318" s="47">
        <v>0</v>
      </c>
      <c r="BQ318" s="47">
        <v>0</v>
      </c>
      <c r="BR318" s="47">
        <v>0</v>
      </c>
      <c r="BS318" s="47">
        <v>0</v>
      </c>
      <c r="BT318" s="47">
        <v>0</v>
      </c>
      <c r="BU318" s="47">
        <v>0</v>
      </c>
      <c r="BV318" s="47">
        <v>0</v>
      </c>
      <c r="BW318" s="47">
        <v>0</v>
      </c>
      <c r="BX318" s="47">
        <v>0</v>
      </c>
      <c r="BY318" s="47">
        <v>0</v>
      </c>
      <c r="BZ318" s="47">
        <v>0</v>
      </c>
      <c r="CA318" s="47">
        <v>0</v>
      </c>
      <c r="CB318" s="47">
        <v>0</v>
      </c>
      <c r="CC318" s="47">
        <v>0</v>
      </c>
      <c r="CD318" s="47">
        <v>0</v>
      </c>
      <c r="CE318" s="47">
        <v>0</v>
      </c>
      <c r="CF318" s="47">
        <v>0</v>
      </c>
      <c r="CG318" s="47">
        <v>0</v>
      </c>
      <c r="CH318" s="47">
        <v>0</v>
      </c>
      <c r="CI318" s="47">
        <v>0</v>
      </c>
      <c r="CJ318" s="47">
        <v>0</v>
      </c>
      <c r="CK318" s="47">
        <v>0</v>
      </c>
      <c r="CL318" s="47">
        <v>0</v>
      </c>
      <c r="CM318" s="47">
        <v>0</v>
      </c>
      <c r="CN318" s="47">
        <v>0</v>
      </c>
      <c r="CO318" s="47">
        <v>0</v>
      </c>
      <c r="CP318" s="47">
        <v>0</v>
      </c>
      <c r="CQ318" s="47">
        <v>0</v>
      </c>
      <c r="CR318" s="47">
        <v>0</v>
      </c>
      <c r="CS318" s="47">
        <v>0</v>
      </c>
      <c r="CT318" s="47">
        <v>0</v>
      </c>
      <c r="CU318" s="47">
        <v>0</v>
      </c>
      <c r="CV318" s="47">
        <v>0</v>
      </c>
      <c r="CW318" s="47">
        <v>0</v>
      </c>
      <c r="CX318" s="47">
        <v>0</v>
      </c>
      <c r="CY318" s="47">
        <v>0</v>
      </c>
      <c r="CZ318" s="47">
        <v>0</v>
      </c>
      <c r="DA318" s="47">
        <v>0</v>
      </c>
      <c r="DB318" s="47">
        <v>0</v>
      </c>
      <c r="DC318" s="47">
        <v>0</v>
      </c>
      <c r="DD318" s="47">
        <v>0</v>
      </c>
      <c r="DE318" s="47">
        <v>0</v>
      </c>
      <c r="DF318" s="47">
        <v>0</v>
      </c>
      <c r="DG318" s="47">
        <v>0</v>
      </c>
      <c r="DH318" s="47">
        <v>0</v>
      </c>
      <c r="DI318" s="47">
        <v>0</v>
      </c>
      <c r="DJ318" s="47">
        <v>0</v>
      </c>
      <c r="DK318" s="47">
        <v>0</v>
      </c>
      <c r="DL318" s="47">
        <v>0</v>
      </c>
      <c r="DM318" s="47">
        <v>0</v>
      </c>
      <c r="DN318" s="47">
        <v>0</v>
      </c>
      <c r="DO318" s="47">
        <v>0</v>
      </c>
      <c r="DP318" s="47">
        <v>0</v>
      </c>
      <c r="DQ318" s="47">
        <v>0</v>
      </c>
      <c r="DR318" s="47">
        <v>0</v>
      </c>
      <c r="DS318" s="47">
        <v>0</v>
      </c>
      <c r="DT318" s="47">
        <v>0</v>
      </c>
      <c r="DU318" s="47">
        <v>0</v>
      </c>
      <c r="DV318" s="47">
        <v>0</v>
      </c>
      <c r="DW318" s="47">
        <v>0</v>
      </c>
      <c r="DX318" s="47">
        <v>0</v>
      </c>
      <c r="DY318" s="47">
        <v>0</v>
      </c>
      <c r="DZ318" s="47">
        <v>0</v>
      </c>
      <c r="EA318" s="47">
        <v>0</v>
      </c>
      <c r="EB318" s="47"/>
      <c r="EC318" s="47">
        <v>1</v>
      </c>
      <c r="ZZ318" t="s">
        <v>2472</v>
      </c>
    </row>
    <row r="319" spans="1:702" x14ac:dyDescent="0.25">
      <c r="A319" s="47" t="s">
        <v>1569</v>
      </c>
      <c r="B319" s="47" t="s">
        <v>153</v>
      </c>
      <c r="C319" s="47" t="s">
        <v>157</v>
      </c>
      <c r="D319" s="47" t="s">
        <v>2801</v>
      </c>
      <c r="E319" s="47" t="s">
        <v>1570</v>
      </c>
      <c r="F319" s="47" t="s">
        <v>1571</v>
      </c>
      <c r="G319" s="47" t="s">
        <v>1572</v>
      </c>
      <c r="H319" s="47" t="s">
        <v>698</v>
      </c>
      <c r="I319" s="47" t="s">
        <v>727</v>
      </c>
      <c r="J319" s="47" t="str">
        <f>=IFERROR(VLOOKUP(H319&amp;I319,Table_Fonctions!A:G,6,FALSE),"")</f>
        <v>0</v>
      </c>
      <c r="K319" s="47" t="s">
        <v>2607</v>
      </c>
      <c r="L319" s="47" t="str">
        <f>=IFERROR(VLOOKUP(H319&amp;I319,Table_Fonctions!A:G,7,FALSE),K319)</f>
        <v/>
      </c>
      <c r="M319" s="47" t="str">
        <f>=IF(OR(LEFT(D319, 3)="TJ ", LEFT(D319, 4)="CPH "), "OUI", "NON")</f>
        <v/>
      </c>
      <c r="N319" s="47" t="s">
        <v>1000</v>
      </c>
      <c r="O319" s="47"/>
      <c r="P319" s="47">
        <v>1</v>
      </c>
      <c r="Q319" s="47">
        <v>0</v>
      </c>
      <c r="R319" s="47">
        <v>1</v>
      </c>
      <c r="S319" s="47">
        <f>=ROUND(BQ319-(BR319+BS319),3)</f>
      </c>
      <c r="T319" s="47">
        <f>=ROUND(CK319-(CL319+CM319+CN319+CO319+CP319),3)</f>
      </c>
      <c r="U319" s="47">
        <v>0</v>
      </c>
      <c r="V319" s="47">
        <v>0</v>
      </c>
      <c r="W319" s="47">
        <v>0</v>
      </c>
      <c r="X319" s="47">
        <v>0</v>
      </c>
      <c r="Y319" s="47">
        <v>0</v>
      </c>
      <c r="Z319" s="47">
        <v>0</v>
      </c>
      <c r="AA319" s="47">
        <v>0</v>
      </c>
      <c r="AB319" s="47">
        <v>0</v>
      </c>
      <c r="AC319" s="47">
        <v>0</v>
      </c>
      <c r="AD319" s="47">
        <v>0</v>
      </c>
      <c r="AE319" s="47">
        <v>0</v>
      </c>
      <c r="AF319" s="47">
        <v>0</v>
      </c>
      <c r="AG319" s="47">
        <v>0</v>
      </c>
      <c r="AH319" s="47">
        <v>0</v>
      </c>
      <c r="AI319" s="47">
        <v>0</v>
      </c>
      <c r="AJ319" s="47">
        <v>0</v>
      </c>
      <c r="AK319" s="47">
        <v>0</v>
      </c>
      <c r="AL319" s="47">
        <v>0</v>
      </c>
      <c r="AM319" s="47">
        <v>0</v>
      </c>
      <c r="AN319" s="47">
        <v>0</v>
      </c>
      <c r="AO319" s="47">
        <v>0</v>
      </c>
      <c r="AP319" s="47">
        <v>0</v>
      </c>
      <c r="AQ319" s="47">
        <v>0</v>
      </c>
      <c r="AR319" s="47">
        <v>0</v>
      </c>
      <c r="AS319" s="47">
        <v>0</v>
      </c>
      <c r="AT319" s="47">
        <v>0</v>
      </c>
      <c r="AU319" s="47">
        <v>0</v>
      </c>
      <c r="AV319" s="47">
        <v>0</v>
      </c>
      <c r="AW319" s="47">
        <v>0</v>
      </c>
      <c r="AX319" s="47">
        <v>0</v>
      </c>
      <c r="AY319" s="47">
        <v>0</v>
      </c>
      <c r="AZ319" s="47">
        <v>0</v>
      </c>
      <c r="BA319" s="47">
        <v>0</v>
      </c>
      <c r="BB319" s="47">
        <v>0</v>
      </c>
      <c r="BC319" s="47">
        <v>0</v>
      </c>
      <c r="BD319" s="47">
        <v>0</v>
      </c>
      <c r="BE319" s="47">
        <v>0</v>
      </c>
      <c r="BF319" s="47">
        <v>0</v>
      </c>
      <c r="BG319" s="47">
        <v>0</v>
      </c>
      <c r="BH319" s="47">
        <v>0</v>
      </c>
      <c r="BI319" s="47">
        <v>0</v>
      </c>
      <c r="BJ319" s="47">
        <v>0</v>
      </c>
      <c r="BK319" s="47">
        <v>0</v>
      </c>
      <c r="BL319" s="47">
        <v>0</v>
      </c>
      <c r="BM319" s="47">
        <v>0</v>
      </c>
      <c r="BN319" s="47">
        <v>0</v>
      </c>
      <c r="BO319" s="47">
        <v>0</v>
      </c>
      <c r="BP319" s="47">
        <v>0</v>
      </c>
      <c r="BQ319" s="47">
        <v>0</v>
      </c>
      <c r="BR319" s="47">
        <v>0</v>
      </c>
      <c r="BS319" s="47">
        <v>0</v>
      </c>
      <c r="BT319" s="47">
        <v>0</v>
      </c>
      <c r="BU319" s="47">
        <v>0</v>
      </c>
      <c r="BV319" s="47">
        <v>0</v>
      </c>
      <c r="BW319" s="47">
        <v>0</v>
      </c>
      <c r="BX319" s="47">
        <v>0</v>
      </c>
      <c r="BY319" s="47">
        <v>0</v>
      </c>
      <c r="BZ319" s="47">
        <v>0</v>
      </c>
      <c r="CA319" s="47">
        <v>0</v>
      </c>
      <c r="CB319" s="47">
        <v>0</v>
      </c>
      <c r="CC319" s="47">
        <v>0</v>
      </c>
      <c r="CD319" s="47">
        <v>0</v>
      </c>
      <c r="CE319" s="47">
        <v>0</v>
      </c>
      <c r="CF319" s="47">
        <v>0</v>
      </c>
      <c r="CG319" s="47">
        <v>0</v>
      </c>
      <c r="CH319" s="47">
        <v>0</v>
      </c>
      <c r="CI319" s="47">
        <v>0</v>
      </c>
      <c r="CJ319" s="47">
        <v>0</v>
      </c>
      <c r="CK319" s="47">
        <v>0</v>
      </c>
      <c r="CL319" s="47">
        <v>0</v>
      </c>
      <c r="CM319" s="47">
        <v>0</v>
      </c>
      <c r="CN319" s="47">
        <v>0</v>
      </c>
      <c r="CO319" s="47">
        <v>0</v>
      </c>
      <c r="CP319" s="47">
        <v>0</v>
      </c>
      <c r="CQ319" s="47">
        <v>0</v>
      </c>
      <c r="CR319" s="47">
        <v>0</v>
      </c>
      <c r="CS319" s="47">
        <v>0</v>
      </c>
      <c r="CT319" s="47">
        <v>0</v>
      </c>
      <c r="CU319" s="47">
        <v>0</v>
      </c>
      <c r="CV319" s="47">
        <v>0</v>
      </c>
      <c r="CW319" s="47">
        <v>0</v>
      </c>
      <c r="CX319" s="47">
        <v>0</v>
      </c>
      <c r="CY319" s="47">
        <v>0</v>
      </c>
      <c r="CZ319" s="47">
        <v>0</v>
      </c>
      <c r="DA319" s="47">
        <v>0</v>
      </c>
      <c r="DB319" s="47">
        <v>0</v>
      </c>
      <c r="DC319" s="47">
        <v>0</v>
      </c>
      <c r="DD319" s="47">
        <v>0</v>
      </c>
      <c r="DE319" s="47">
        <v>0</v>
      </c>
      <c r="DF319" s="47">
        <v>0</v>
      </c>
      <c r="DG319" s="47">
        <v>0</v>
      </c>
      <c r="DH319" s="47">
        <v>0</v>
      </c>
      <c r="DI319" s="47">
        <v>0</v>
      </c>
      <c r="DJ319" s="47">
        <v>0</v>
      </c>
      <c r="DK319" s="47">
        <v>0</v>
      </c>
      <c r="DL319" s="47">
        <v>0</v>
      </c>
      <c r="DM319" s="47">
        <v>0</v>
      </c>
      <c r="DN319" s="47">
        <v>0</v>
      </c>
      <c r="DO319" s="47">
        <v>0</v>
      </c>
      <c r="DP319" s="47">
        <v>0</v>
      </c>
      <c r="DQ319" s="47">
        <v>0</v>
      </c>
      <c r="DR319" s="47">
        <v>0</v>
      </c>
      <c r="DS319" s="47">
        <v>0</v>
      </c>
      <c r="DT319" s="47">
        <v>0</v>
      </c>
      <c r="DU319" s="47">
        <v>0</v>
      </c>
      <c r="DV319" s="47">
        <v>0</v>
      </c>
      <c r="DW319" s="47">
        <v>0</v>
      </c>
      <c r="DX319" s="47">
        <v>0</v>
      </c>
      <c r="DY319" s="47">
        <v>0</v>
      </c>
      <c r="DZ319" s="47">
        <v>0</v>
      </c>
      <c r="EA319" s="47">
        <v>0</v>
      </c>
      <c r="EB319" s="47"/>
      <c r="EC319" s="47">
        <v>1</v>
      </c>
      <c r="ZZ319" t="s">
        <v>2472</v>
      </c>
    </row>
    <row r="320" spans="1:702" x14ac:dyDescent="0.25">
      <c r="A320" s="47" t="s">
        <v>1573</v>
      </c>
      <c r="B320" s="47" t="s">
        <v>153</v>
      </c>
      <c r="C320" s="47" t="s">
        <v>157</v>
      </c>
      <c r="D320" s="47" t="s">
        <v>2802</v>
      </c>
      <c r="E320" s="47" t="s">
        <v>1574</v>
      </c>
      <c r="F320" s="47" t="s">
        <v>1575</v>
      </c>
      <c r="G320" s="47" t="s">
        <v>1576</v>
      </c>
      <c r="H320" s="47" t="s">
        <v>698</v>
      </c>
      <c r="I320" s="47" t="s">
        <v>705</v>
      </c>
      <c r="J320" s="47" t="str">
        <f>=IFERROR(VLOOKUP(H320&amp;I320,Table_Fonctions!A:G,6,FALSE),"")</f>
        <v>0</v>
      </c>
      <c r="K320" s="47" t="s">
        <v>2607</v>
      </c>
      <c r="L320" s="47" t="str">
        <f>=IFERROR(VLOOKUP(H320&amp;I320,Table_Fonctions!A:G,7,FALSE),K320)</f>
        <v/>
      </c>
      <c r="M320" s="47" t="str">
        <f>=IF(OR(LEFT(D320, 3)="TJ ", LEFT(D320, 4)="CPH "), "OUI", "NON")</f>
        <v/>
      </c>
      <c r="N320" s="47" t="s">
        <v>1577</v>
      </c>
      <c r="O320" s="47"/>
      <c r="P320" s="47">
        <v>0.8</v>
      </c>
      <c r="Q320" s="47">
        <v>0</v>
      </c>
      <c r="R320" s="47">
        <v>0.8</v>
      </c>
      <c r="S320" s="47">
        <f>=ROUND(BQ320-(BR320+BS320),3)</f>
      </c>
      <c r="T320" s="47">
        <f>=ROUND(CK320-(CL320+CM320+CN320+CO320+CP320),3)</f>
      </c>
      <c r="U320" s="47">
        <v>0</v>
      </c>
      <c r="V320" s="47">
        <v>0</v>
      </c>
      <c r="W320" s="47">
        <v>0</v>
      </c>
      <c r="X320" s="47">
        <v>0</v>
      </c>
      <c r="Y320" s="47">
        <v>0</v>
      </c>
      <c r="Z320" s="47">
        <v>0</v>
      </c>
      <c r="AA320" s="47">
        <v>0</v>
      </c>
      <c r="AB320" s="47">
        <v>0</v>
      </c>
      <c r="AC320" s="47">
        <v>0</v>
      </c>
      <c r="AD320" s="47">
        <v>0</v>
      </c>
      <c r="AE320" s="47">
        <v>0</v>
      </c>
      <c r="AF320" s="47">
        <v>0</v>
      </c>
      <c r="AG320" s="47">
        <v>0</v>
      </c>
      <c r="AH320" s="47">
        <v>0</v>
      </c>
      <c r="AI320" s="47">
        <v>0</v>
      </c>
      <c r="AJ320" s="47">
        <v>0</v>
      </c>
      <c r="AK320" s="47">
        <v>0</v>
      </c>
      <c r="AL320" s="47">
        <v>0</v>
      </c>
      <c r="AM320" s="47">
        <v>0</v>
      </c>
      <c r="AN320" s="47">
        <v>0</v>
      </c>
      <c r="AO320" s="47">
        <v>0</v>
      </c>
      <c r="AP320" s="47">
        <v>0</v>
      </c>
      <c r="AQ320" s="47">
        <v>0</v>
      </c>
      <c r="AR320" s="47">
        <v>0</v>
      </c>
      <c r="AS320" s="47">
        <v>0</v>
      </c>
      <c r="AT320" s="47">
        <v>0</v>
      </c>
      <c r="AU320" s="47">
        <v>0</v>
      </c>
      <c r="AV320" s="47">
        <v>0</v>
      </c>
      <c r="AW320" s="47">
        <v>0</v>
      </c>
      <c r="AX320" s="47">
        <v>0</v>
      </c>
      <c r="AY320" s="47">
        <v>0</v>
      </c>
      <c r="AZ320" s="47">
        <v>0</v>
      </c>
      <c r="BA320" s="47">
        <v>0</v>
      </c>
      <c r="BB320" s="47">
        <v>0</v>
      </c>
      <c r="BC320" s="47">
        <v>0</v>
      </c>
      <c r="BD320" s="47">
        <v>0</v>
      </c>
      <c r="BE320" s="47">
        <v>0</v>
      </c>
      <c r="BF320" s="47">
        <v>0</v>
      </c>
      <c r="BG320" s="47">
        <v>0</v>
      </c>
      <c r="BH320" s="47">
        <v>0</v>
      </c>
      <c r="BI320" s="47">
        <v>0</v>
      </c>
      <c r="BJ320" s="47">
        <v>0</v>
      </c>
      <c r="BK320" s="47">
        <v>0</v>
      </c>
      <c r="BL320" s="47">
        <v>0</v>
      </c>
      <c r="BM320" s="47">
        <v>0</v>
      </c>
      <c r="BN320" s="47">
        <v>0</v>
      </c>
      <c r="BO320" s="47">
        <v>0</v>
      </c>
      <c r="BP320" s="47">
        <v>0</v>
      </c>
      <c r="BQ320" s="47">
        <v>0</v>
      </c>
      <c r="BR320" s="47">
        <v>0</v>
      </c>
      <c r="BS320" s="47">
        <v>0</v>
      </c>
      <c r="BT320" s="47">
        <v>0</v>
      </c>
      <c r="BU320" s="47">
        <v>0</v>
      </c>
      <c r="BV320" s="47">
        <v>0</v>
      </c>
      <c r="BW320" s="47">
        <v>0</v>
      </c>
      <c r="BX320" s="47">
        <v>0</v>
      </c>
      <c r="BY320" s="47">
        <v>0</v>
      </c>
      <c r="BZ320" s="47">
        <v>0</v>
      </c>
      <c r="CA320" s="47">
        <v>0</v>
      </c>
      <c r="CB320" s="47">
        <v>0</v>
      </c>
      <c r="CC320" s="47">
        <v>0</v>
      </c>
      <c r="CD320" s="47">
        <v>0</v>
      </c>
      <c r="CE320" s="47">
        <v>0</v>
      </c>
      <c r="CF320" s="47">
        <v>0</v>
      </c>
      <c r="CG320" s="47">
        <v>0</v>
      </c>
      <c r="CH320" s="47">
        <v>0</v>
      </c>
      <c r="CI320" s="47">
        <v>0</v>
      </c>
      <c r="CJ320" s="47">
        <v>0</v>
      </c>
      <c r="CK320" s="47">
        <v>0</v>
      </c>
      <c r="CL320" s="47">
        <v>0</v>
      </c>
      <c r="CM320" s="47">
        <v>0</v>
      </c>
      <c r="CN320" s="47">
        <v>0</v>
      </c>
      <c r="CO320" s="47">
        <v>0</v>
      </c>
      <c r="CP320" s="47">
        <v>0</v>
      </c>
      <c r="CQ320" s="47">
        <v>0</v>
      </c>
      <c r="CR320" s="47">
        <v>0</v>
      </c>
      <c r="CS320" s="47">
        <v>0</v>
      </c>
      <c r="CT320" s="47">
        <v>0</v>
      </c>
      <c r="CU320" s="47">
        <v>0</v>
      </c>
      <c r="CV320" s="47">
        <v>0</v>
      </c>
      <c r="CW320" s="47">
        <v>0</v>
      </c>
      <c r="CX320" s="47">
        <v>0</v>
      </c>
      <c r="CY320" s="47">
        <v>0</v>
      </c>
      <c r="CZ320" s="47">
        <v>0</v>
      </c>
      <c r="DA320" s="47">
        <v>0</v>
      </c>
      <c r="DB320" s="47">
        <v>0</v>
      </c>
      <c r="DC320" s="47">
        <v>0</v>
      </c>
      <c r="DD320" s="47">
        <v>0</v>
      </c>
      <c r="DE320" s="47">
        <v>0</v>
      </c>
      <c r="DF320" s="47">
        <v>0</v>
      </c>
      <c r="DG320" s="47">
        <v>0</v>
      </c>
      <c r="DH320" s="47">
        <v>0</v>
      </c>
      <c r="DI320" s="47">
        <v>0</v>
      </c>
      <c r="DJ320" s="47">
        <v>0</v>
      </c>
      <c r="DK320" s="47">
        <v>0</v>
      </c>
      <c r="DL320" s="47">
        <v>0</v>
      </c>
      <c r="DM320" s="47">
        <v>0</v>
      </c>
      <c r="DN320" s="47">
        <v>0</v>
      </c>
      <c r="DO320" s="47">
        <v>0</v>
      </c>
      <c r="DP320" s="47">
        <v>0</v>
      </c>
      <c r="DQ320" s="47">
        <v>0</v>
      </c>
      <c r="DR320" s="47">
        <v>0</v>
      </c>
      <c r="DS320" s="47">
        <v>0</v>
      </c>
      <c r="DT320" s="47">
        <v>0</v>
      </c>
      <c r="DU320" s="47">
        <v>0</v>
      </c>
      <c r="DV320" s="47">
        <v>0</v>
      </c>
      <c r="DW320" s="47">
        <v>0</v>
      </c>
      <c r="DX320" s="47">
        <v>0</v>
      </c>
      <c r="DY320" s="47">
        <v>0</v>
      </c>
      <c r="DZ320" s="47">
        <v>0</v>
      </c>
      <c r="EA320" s="47">
        <v>0</v>
      </c>
      <c r="EB320" s="47"/>
      <c r="EC320" s="47">
        <v>0.8</v>
      </c>
      <c r="ZZ320" t="s">
        <v>2472</v>
      </c>
    </row>
    <row r="321" spans="1:702" x14ac:dyDescent="0.25">
      <c r="A321" s="47" t="s">
        <v>1578</v>
      </c>
      <c r="B321" s="47" t="s">
        <v>153</v>
      </c>
      <c r="C321" s="47" t="s">
        <v>157</v>
      </c>
      <c r="D321" s="47" t="s">
        <v>2803</v>
      </c>
      <c r="E321" s="47" t="s">
        <v>1579</v>
      </c>
      <c r="F321" s="47" t="s">
        <v>1580</v>
      </c>
      <c r="G321" s="47" t="s">
        <v>1581</v>
      </c>
      <c r="H321" s="47" t="s">
        <v>698</v>
      </c>
      <c r="I321" s="47" t="s">
        <v>727</v>
      </c>
      <c r="J321" s="47" t="str">
        <f>=IFERROR(VLOOKUP(H321&amp;I321,Table_Fonctions!A:G,6,FALSE),"")</f>
        <v>0</v>
      </c>
      <c r="K321" s="47" t="s">
        <v>2607</v>
      </c>
      <c r="L321" s="47" t="str">
        <f>=IFERROR(VLOOKUP(H321&amp;I321,Table_Fonctions!A:G,7,FALSE),K321)</f>
        <v/>
      </c>
      <c r="M321" s="47" t="str">
        <f>=IF(OR(LEFT(D321, 3)="TJ ", LEFT(D321, 4)="CPH "), "OUI", "NON")</f>
        <v/>
      </c>
      <c r="N321" s="47" t="s">
        <v>739</v>
      </c>
      <c r="O321" s="47"/>
      <c r="P321" s="47">
        <v>1</v>
      </c>
      <c r="Q321" s="47">
        <v>0</v>
      </c>
      <c r="R321" s="47">
        <v>1</v>
      </c>
      <c r="S321" s="47">
        <f>=ROUND(BQ321-(BR321+BS321),3)</f>
      </c>
      <c r="T321" s="47">
        <f>=ROUND(CK321-(CL321+CM321+CN321+CO321+CP321),3)</f>
      </c>
      <c r="U321" s="47">
        <v>0</v>
      </c>
      <c r="V321" s="47">
        <v>0</v>
      </c>
      <c r="W321" s="47">
        <v>0</v>
      </c>
      <c r="X321" s="47">
        <v>0</v>
      </c>
      <c r="Y321" s="47">
        <v>0</v>
      </c>
      <c r="Z321" s="47">
        <v>0</v>
      </c>
      <c r="AA321" s="47">
        <v>0</v>
      </c>
      <c r="AB321" s="47">
        <v>0</v>
      </c>
      <c r="AC321" s="47">
        <v>0</v>
      </c>
      <c r="AD321" s="47">
        <v>0</v>
      </c>
      <c r="AE321" s="47">
        <v>0</v>
      </c>
      <c r="AF321" s="47">
        <v>0</v>
      </c>
      <c r="AG321" s="47">
        <v>0</v>
      </c>
      <c r="AH321" s="47">
        <v>0</v>
      </c>
      <c r="AI321" s="47">
        <v>0</v>
      </c>
      <c r="AJ321" s="47">
        <v>0</v>
      </c>
      <c r="AK321" s="47">
        <v>0</v>
      </c>
      <c r="AL321" s="47">
        <v>0</v>
      </c>
      <c r="AM321" s="47">
        <v>0</v>
      </c>
      <c r="AN321" s="47">
        <v>0</v>
      </c>
      <c r="AO321" s="47">
        <v>0</v>
      </c>
      <c r="AP321" s="47">
        <v>0</v>
      </c>
      <c r="AQ321" s="47">
        <v>0</v>
      </c>
      <c r="AR321" s="47">
        <v>0</v>
      </c>
      <c r="AS321" s="47">
        <v>0</v>
      </c>
      <c r="AT321" s="47">
        <v>0</v>
      </c>
      <c r="AU321" s="47">
        <v>0</v>
      </c>
      <c r="AV321" s="47">
        <v>0</v>
      </c>
      <c r="AW321" s="47">
        <v>0</v>
      </c>
      <c r="AX321" s="47">
        <v>0</v>
      </c>
      <c r="AY321" s="47">
        <v>0</v>
      </c>
      <c r="AZ321" s="47">
        <v>0</v>
      </c>
      <c r="BA321" s="47">
        <v>0</v>
      </c>
      <c r="BB321" s="47">
        <v>0</v>
      </c>
      <c r="BC321" s="47">
        <v>0</v>
      </c>
      <c r="BD321" s="47">
        <v>0</v>
      </c>
      <c r="BE321" s="47">
        <v>0</v>
      </c>
      <c r="BF321" s="47">
        <v>0</v>
      </c>
      <c r="BG321" s="47">
        <v>0</v>
      </c>
      <c r="BH321" s="47">
        <v>0</v>
      </c>
      <c r="BI321" s="47">
        <v>0</v>
      </c>
      <c r="BJ321" s="47">
        <v>0</v>
      </c>
      <c r="BK321" s="47">
        <v>0</v>
      </c>
      <c r="BL321" s="47">
        <v>0</v>
      </c>
      <c r="BM321" s="47">
        <v>0</v>
      </c>
      <c r="BN321" s="47">
        <v>0</v>
      </c>
      <c r="BO321" s="47">
        <v>0</v>
      </c>
      <c r="BP321" s="47">
        <v>0</v>
      </c>
      <c r="BQ321" s="47">
        <v>0</v>
      </c>
      <c r="BR321" s="47">
        <v>0</v>
      </c>
      <c r="BS321" s="47">
        <v>0</v>
      </c>
      <c r="BT321" s="47">
        <v>0</v>
      </c>
      <c r="BU321" s="47">
        <v>0</v>
      </c>
      <c r="BV321" s="47">
        <v>0</v>
      </c>
      <c r="BW321" s="47">
        <v>0</v>
      </c>
      <c r="BX321" s="47">
        <v>0</v>
      </c>
      <c r="BY321" s="47">
        <v>0</v>
      </c>
      <c r="BZ321" s="47">
        <v>0</v>
      </c>
      <c r="CA321" s="47">
        <v>0</v>
      </c>
      <c r="CB321" s="47">
        <v>0</v>
      </c>
      <c r="CC321" s="47">
        <v>0</v>
      </c>
      <c r="CD321" s="47">
        <v>0</v>
      </c>
      <c r="CE321" s="47">
        <v>0</v>
      </c>
      <c r="CF321" s="47">
        <v>0</v>
      </c>
      <c r="CG321" s="47">
        <v>0</v>
      </c>
      <c r="CH321" s="47">
        <v>0</v>
      </c>
      <c r="CI321" s="47">
        <v>0</v>
      </c>
      <c r="CJ321" s="47">
        <v>0</v>
      </c>
      <c r="CK321" s="47">
        <v>0</v>
      </c>
      <c r="CL321" s="47">
        <v>0</v>
      </c>
      <c r="CM321" s="47">
        <v>0</v>
      </c>
      <c r="CN321" s="47">
        <v>0</v>
      </c>
      <c r="CO321" s="47">
        <v>0</v>
      </c>
      <c r="CP321" s="47">
        <v>0</v>
      </c>
      <c r="CQ321" s="47">
        <v>0</v>
      </c>
      <c r="CR321" s="47">
        <v>0</v>
      </c>
      <c r="CS321" s="47">
        <v>0</v>
      </c>
      <c r="CT321" s="47">
        <v>0</v>
      </c>
      <c r="CU321" s="47">
        <v>0</v>
      </c>
      <c r="CV321" s="47">
        <v>0</v>
      </c>
      <c r="CW321" s="47">
        <v>0</v>
      </c>
      <c r="CX321" s="47">
        <v>0</v>
      </c>
      <c r="CY321" s="47">
        <v>0</v>
      </c>
      <c r="CZ321" s="47">
        <v>0</v>
      </c>
      <c r="DA321" s="47">
        <v>0</v>
      </c>
      <c r="DB321" s="47">
        <v>0</v>
      </c>
      <c r="DC321" s="47">
        <v>0</v>
      </c>
      <c r="DD321" s="47">
        <v>0</v>
      </c>
      <c r="DE321" s="47">
        <v>0</v>
      </c>
      <c r="DF321" s="47">
        <v>0</v>
      </c>
      <c r="DG321" s="47">
        <v>0</v>
      </c>
      <c r="DH321" s="47">
        <v>0</v>
      </c>
      <c r="DI321" s="47">
        <v>0</v>
      </c>
      <c r="DJ321" s="47">
        <v>0</v>
      </c>
      <c r="DK321" s="47">
        <v>0</v>
      </c>
      <c r="DL321" s="47">
        <v>0</v>
      </c>
      <c r="DM321" s="47">
        <v>0</v>
      </c>
      <c r="DN321" s="47">
        <v>0</v>
      </c>
      <c r="DO321" s="47">
        <v>0</v>
      </c>
      <c r="DP321" s="47">
        <v>0</v>
      </c>
      <c r="DQ321" s="47">
        <v>0</v>
      </c>
      <c r="DR321" s="47">
        <v>0</v>
      </c>
      <c r="DS321" s="47">
        <v>0</v>
      </c>
      <c r="DT321" s="47">
        <v>0</v>
      </c>
      <c r="DU321" s="47">
        <v>0</v>
      </c>
      <c r="DV321" s="47">
        <v>0</v>
      </c>
      <c r="DW321" s="47">
        <v>0</v>
      </c>
      <c r="DX321" s="47">
        <v>0</v>
      </c>
      <c r="DY321" s="47">
        <v>0</v>
      </c>
      <c r="DZ321" s="47">
        <v>0</v>
      </c>
      <c r="EA321" s="47">
        <v>0</v>
      </c>
      <c r="EB321" s="47"/>
      <c r="EC321" s="47">
        <v>1</v>
      </c>
      <c r="ZZ321" t="s">
        <v>2472</v>
      </c>
    </row>
    <row r="322" spans="1:702" x14ac:dyDescent="0.25">
      <c r="A322" s="47" t="s">
        <v>1582</v>
      </c>
      <c r="B322" s="47" t="s">
        <v>153</v>
      </c>
      <c r="C322" s="47" t="s">
        <v>157</v>
      </c>
      <c r="D322" s="47" t="s">
        <v>2804</v>
      </c>
      <c r="E322" s="47" t="s">
        <v>1583</v>
      </c>
      <c r="F322" s="47" t="s">
        <v>1584</v>
      </c>
      <c r="G322" s="47" t="s">
        <v>1585</v>
      </c>
      <c r="H322" s="47" t="s">
        <v>698</v>
      </c>
      <c r="I322" s="47" t="s">
        <v>705</v>
      </c>
      <c r="J322" s="47" t="str">
        <f>=IFERROR(VLOOKUP(H322&amp;I322,Table_Fonctions!A:G,6,FALSE),"")</f>
        <v>0</v>
      </c>
      <c r="K322" s="47" t="s">
        <v>2607</v>
      </c>
      <c r="L322" s="47" t="str">
        <f>=IFERROR(VLOOKUP(H322&amp;I322,Table_Fonctions!A:G,7,FALSE),K322)</f>
        <v/>
      </c>
      <c r="M322" s="47" t="str">
        <f>=IF(OR(LEFT(D322, 3)="TJ ", LEFT(D322, 4)="CPH "), "OUI", "NON")</f>
        <v/>
      </c>
      <c r="N322" s="47" t="s">
        <v>1586</v>
      </c>
      <c r="O322" s="47"/>
      <c r="P322" s="47">
        <v>1</v>
      </c>
      <c r="Q322" s="47">
        <v>0</v>
      </c>
      <c r="R322" s="47">
        <v>1</v>
      </c>
      <c r="S322" s="47">
        <f>=ROUND(BQ322-(BR322+BS322),3)</f>
      </c>
      <c r="T322" s="47">
        <f>=ROUND(CK322-(CL322+CM322+CN322+CO322+CP322),3)</f>
      </c>
      <c r="U322" s="47">
        <v>0</v>
      </c>
      <c r="V322" s="47">
        <v>0</v>
      </c>
      <c r="W322" s="47">
        <v>0</v>
      </c>
      <c r="X322" s="47">
        <v>0</v>
      </c>
      <c r="Y322" s="47">
        <v>0</v>
      </c>
      <c r="Z322" s="47">
        <v>0</v>
      </c>
      <c r="AA322" s="47">
        <v>0</v>
      </c>
      <c r="AB322" s="47">
        <v>0</v>
      </c>
      <c r="AC322" s="47">
        <v>0</v>
      </c>
      <c r="AD322" s="47">
        <v>0</v>
      </c>
      <c r="AE322" s="47">
        <v>0</v>
      </c>
      <c r="AF322" s="47">
        <v>0</v>
      </c>
      <c r="AG322" s="47">
        <v>0</v>
      </c>
      <c r="AH322" s="47">
        <v>0</v>
      </c>
      <c r="AI322" s="47">
        <v>0</v>
      </c>
      <c r="AJ322" s="47">
        <v>0</v>
      </c>
      <c r="AK322" s="47">
        <v>0</v>
      </c>
      <c r="AL322" s="47">
        <v>0</v>
      </c>
      <c r="AM322" s="47">
        <v>0</v>
      </c>
      <c r="AN322" s="47">
        <v>0</v>
      </c>
      <c r="AO322" s="47">
        <v>0</v>
      </c>
      <c r="AP322" s="47">
        <v>0</v>
      </c>
      <c r="AQ322" s="47">
        <v>0</v>
      </c>
      <c r="AR322" s="47">
        <v>0</v>
      </c>
      <c r="AS322" s="47">
        <v>0</v>
      </c>
      <c r="AT322" s="47">
        <v>0</v>
      </c>
      <c r="AU322" s="47">
        <v>0</v>
      </c>
      <c r="AV322" s="47">
        <v>0</v>
      </c>
      <c r="AW322" s="47">
        <v>0</v>
      </c>
      <c r="AX322" s="47">
        <v>0</v>
      </c>
      <c r="AY322" s="47">
        <v>0</v>
      </c>
      <c r="AZ322" s="47">
        <v>0</v>
      </c>
      <c r="BA322" s="47">
        <v>0</v>
      </c>
      <c r="BB322" s="47">
        <v>0</v>
      </c>
      <c r="BC322" s="47">
        <v>0</v>
      </c>
      <c r="BD322" s="47">
        <v>0</v>
      </c>
      <c r="BE322" s="47">
        <v>0</v>
      </c>
      <c r="BF322" s="47">
        <v>0</v>
      </c>
      <c r="BG322" s="47">
        <v>0</v>
      </c>
      <c r="BH322" s="47">
        <v>0</v>
      </c>
      <c r="BI322" s="47">
        <v>0</v>
      </c>
      <c r="BJ322" s="47">
        <v>0</v>
      </c>
      <c r="BK322" s="47">
        <v>0</v>
      </c>
      <c r="BL322" s="47">
        <v>0</v>
      </c>
      <c r="BM322" s="47">
        <v>0</v>
      </c>
      <c r="BN322" s="47">
        <v>0</v>
      </c>
      <c r="BO322" s="47">
        <v>0</v>
      </c>
      <c r="BP322" s="47">
        <v>0</v>
      </c>
      <c r="BQ322" s="47">
        <v>0</v>
      </c>
      <c r="BR322" s="47">
        <v>0</v>
      </c>
      <c r="BS322" s="47">
        <v>0</v>
      </c>
      <c r="BT322" s="47">
        <v>0</v>
      </c>
      <c r="BU322" s="47">
        <v>0</v>
      </c>
      <c r="BV322" s="47">
        <v>0</v>
      </c>
      <c r="BW322" s="47">
        <v>0</v>
      </c>
      <c r="BX322" s="47">
        <v>0</v>
      </c>
      <c r="BY322" s="47">
        <v>0</v>
      </c>
      <c r="BZ322" s="47">
        <v>0</v>
      </c>
      <c r="CA322" s="47">
        <v>0</v>
      </c>
      <c r="CB322" s="47">
        <v>0</v>
      </c>
      <c r="CC322" s="47">
        <v>0</v>
      </c>
      <c r="CD322" s="47">
        <v>0</v>
      </c>
      <c r="CE322" s="47">
        <v>0</v>
      </c>
      <c r="CF322" s="47">
        <v>0</v>
      </c>
      <c r="CG322" s="47">
        <v>0</v>
      </c>
      <c r="CH322" s="47">
        <v>0</v>
      </c>
      <c r="CI322" s="47">
        <v>0</v>
      </c>
      <c r="CJ322" s="47">
        <v>0</v>
      </c>
      <c r="CK322" s="47">
        <v>0</v>
      </c>
      <c r="CL322" s="47">
        <v>0</v>
      </c>
      <c r="CM322" s="47">
        <v>0</v>
      </c>
      <c r="CN322" s="47">
        <v>0</v>
      </c>
      <c r="CO322" s="47">
        <v>0</v>
      </c>
      <c r="CP322" s="47">
        <v>0</v>
      </c>
      <c r="CQ322" s="47">
        <v>0</v>
      </c>
      <c r="CR322" s="47">
        <v>0</v>
      </c>
      <c r="CS322" s="47">
        <v>0</v>
      </c>
      <c r="CT322" s="47">
        <v>0</v>
      </c>
      <c r="CU322" s="47">
        <v>0</v>
      </c>
      <c r="CV322" s="47">
        <v>0</v>
      </c>
      <c r="CW322" s="47">
        <v>0</v>
      </c>
      <c r="CX322" s="47">
        <v>0</v>
      </c>
      <c r="CY322" s="47">
        <v>0</v>
      </c>
      <c r="CZ322" s="47">
        <v>0</v>
      </c>
      <c r="DA322" s="47">
        <v>0</v>
      </c>
      <c r="DB322" s="47">
        <v>0</v>
      </c>
      <c r="DC322" s="47">
        <v>0</v>
      </c>
      <c r="DD322" s="47">
        <v>0</v>
      </c>
      <c r="DE322" s="47">
        <v>0</v>
      </c>
      <c r="DF322" s="47">
        <v>0</v>
      </c>
      <c r="DG322" s="47">
        <v>0</v>
      </c>
      <c r="DH322" s="47">
        <v>0</v>
      </c>
      <c r="DI322" s="47">
        <v>0</v>
      </c>
      <c r="DJ322" s="47">
        <v>0</v>
      </c>
      <c r="DK322" s="47">
        <v>0</v>
      </c>
      <c r="DL322" s="47">
        <v>0</v>
      </c>
      <c r="DM322" s="47">
        <v>0</v>
      </c>
      <c r="DN322" s="47">
        <v>0</v>
      </c>
      <c r="DO322" s="47">
        <v>0</v>
      </c>
      <c r="DP322" s="47">
        <v>0</v>
      </c>
      <c r="DQ322" s="47">
        <v>0</v>
      </c>
      <c r="DR322" s="47">
        <v>0</v>
      </c>
      <c r="DS322" s="47">
        <v>0</v>
      </c>
      <c r="DT322" s="47">
        <v>0</v>
      </c>
      <c r="DU322" s="47">
        <v>0</v>
      </c>
      <c r="DV322" s="47">
        <v>0</v>
      </c>
      <c r="DW322" s="47">
        <v>0</v>
      </c>
      <c r="DX322" s="47">
        <v>0</v>
      </c>
      <c r="DY322" s="47">
        <v>0</v>
      </c>
      <c r="DZ322" s="47">
        <v>0</v>
      </c>
      <c r="EA322" s="47">
        <v>0</v>
      </c>
      <c r="EB322" s="47"/>
      <c r="EC322" s="47">
        <v>1</v>
      </c>
      <c r="ZZ322" t="s">
        <v>2472</v>
      </c>
    </row>
    <row r="323" spans="1:702" x14ac:dyDescent="0.25">
      <c r="A323" s="47" t="s">
        <v>1587</v>
      </c>
      <c r="B323" s="47" t="s">
        <v>153</v>
      </c>
      <c r="C323" s="47" t="s">
        <v>157</v>
      </c>
      <c r="D323" s="47" t="s">
        <v>2805</v>
      </c>
      <c r="E323" s="47" t="s">
        <v>1588</v>
      </c>
      <c r="F323" s="47" t="s">
        <v>1589</v>
      </c>
      <c r="G323" s="47" t="s">
        <v>1590</v>
      </c>
      <c r="H323" s="47" t="s">
        <v>698</v>
      </c>
      <c r="I323" s="47" t="s">
        <v>705</v>
      </c>
      <c r="J323" s="47" t="str">
        <f>=IFERROR(VLOOKUP(H323&amp;I323,Table_Fonctions!A:G,6,FALSE),"")</f>
        <v>0</v>
      </c>
      <c r="K323" s="47" t="s">
        <v>2607</v>
      </c>
      <c r="L323" s="47" t="str">
        <f>=IFERROR(VLOOKUP(H323&amp;I323,Table_Fonctions!A:G,7,FALSE),K323)</f>
        <v/>
      </c>
      <c r="M323" s="47" t="str">
        <f>=IF(OR(LEFT(D323, 3)="TJ ", LEFT(D323, 4)="CPH "), "OUI", "NON")</f>
        <v/>
      </c>
      <c r="N323" s="47" t="s">
        <v>1071</v>
      </c>
      <c r="O323" s="47"/>
      <c r="P323" s="47">
        <v>1</v>
      </c>
      <c r="Q323" s="47">
        <v>0</v>
      </c>
      <c r="R323" s="47">
        <v>1</v>
      </c>
      <c r="S323" s="47">
        <f>=ROUND(BQ323-(BR323+BS323),3)</f>
      </c>
      <c r="T323" s="47">
        <f>=ROUND(CK323-(CL323+CM323+CN323+CO323+CP323),3)</f>
      </c>
      <c r="U323" s="47">
        <v>0</v>
      </c>
      <c r="V323" s="47">
        <v>0</v>
      </c>
      <c r="W323" s="47">
        <v>0</v>
      </c>
      <c r="X323" s="47">
        <v>0</v>
      </c>
      <c r="Y323" s="47">
        <v>0</v>
      </c>
      <c r="Z323" s="47">
        <v>0</v>
      </c>
      <c r="AA323" s="47">
        <v>0</v>
      </c>
      <c r="AB323" s="47">
        <v>0</v>
      </c>
      <c r="AC323" s="47">
        <v>0</v>
      </c>
      <c r="AD323" s="47">
        <v>0</v>
      </c>
      <c r="AE323" s="47">
        <v>0</v>
      </c>
      <c r="AF323" s="47">
        <v>0</v>
      </c>
      <c r="AG323" s="47">
        <v>0</v>
      </c>
      <c r="AH323" s="47">
        <v>0</v>
      </c>
      <c r="AI323" s="47">
        <v>0</v>
      </c>
      <c r="AJ323" s="47">
        <v>0</v>
      </c>
      <c r="AK323" s="47">
        <v>0</v>
      </c>
      <c r="AL323" s="47">
        <v>0</v>
      </c>
      <c r="AM323" s="47">
        <v>0</v>
      </c>
      <c r="AN323" s="47">
        <v>0</v>
      </c>
      <c r="AO323" s="47">
        <v>0</v>
      </c>
      <c r="AP323" s="47">
        <v>0</v>
      </c>
      <c r="AQ323" s="47">
        <v>0</v>
      </c>
      <c r="AR323" s="47">
        <v>0</v>
      </c>
      <c r="AS323" s="47">
        <v>0</v>
      </c>
      <c r="AT323" s="47">
        <v>0</v>
      </c>
      <c r="AU323" s="47">
        <v>0</v>
      </c>
      <c r="AV323" s="47">
        <v>0</v>
      </c>
      <c r="AW323" s="47">
        <v>0</v>
      </c>
      <c r="AX323" s="47">
        <v>0</v>
      </c>
      <c r="AY323" s="47">
        <v>0</v>
      </c>
      <c r="AZ323" s="47">
        <v>0</v>
      </c>
      <c r="BA323" s="47">
        <v>0</v>
      </c>
      <c r="BB323" s="47">
        <v>0</v>
      </c>
      <c r="BC323" s="47">
        <v>0</v>
      </c>
      <c r="BD323" s="47">
        <v>0</v>
      </c>
      <c r="BE323" s="47">
        <v>0</v>
      </c>
      <c r="BF323" s="47">
        <v>0</v>
      </c>
      <c r="BG323" s="47">
        <v>0</v>
      </c>
      <c r="BH323" s="47">
        <v>0</v>
      </c>
      <c r="BI323" s="47">
        <v>0</v>
      </c>
      <c r="BJ323" s="47">
        <v>0</v>
      </c>
      <c r="BK323" s="47">
        <v>0</v>
      </c>
      <c r="BL323" s="47">
        <v>0</v>
      </c>
      <c r="BM323" s="47">
        <v>0</v>
      </c>
      <c r="BN323" s="47">
        <v>0</v>
      </c>
      <c r="BO323" s="47">
        <v>0</v>
      </c>
      <c r="BP323" s="47">
        <v>0</v>
      </c>
      <c r="BQ323" s="47">
        <v>0</v>
      </c>
      <c r="BR323" s="47">
        <v>0</v>
      </c>
      <c r="BS323" s="47">
        <v>0</v>
      </c>
      <c r="BT323" s="47">
        <v>0</v>
      </c>
      <c r="BU323" s="47">
        <v>0</v>
      </c>
      <c r="BV323" s="47">
        <v>0</v>
      </c>
      <c r="BW323" s="47">
        <v>0</v>
      </c>
      <c r="BX323" s="47">
        <v>0</v>
      </c>
      <c r="BY323" s="47">
        <v>0</v>
      </c>
      <c r="BZ323" s="47">
        <v>0</v>
      </c>
      <c r="CA323" s="47">
        <v>0</v>
      </c>
      <c r="CB323" s="47">
        <v>0</v>
      </c>
      <c r="CC323" s="47">
        <v>0</v>
      </c>
      <c r="CD323" s="47">
        <v>0</v>
      </c>
      <c r="CE323" s="47">
        <v>0</v>
      </c>
      <c r="CF323" s="47">
        <v>0</v>
      </c>
      <c r="CG323" s="47">
        <v>0</v>
      </c>
      <c r="CH323" s="47">
        <v>0</v>
      </c>
      <c r="CI323" s="47">
        <v>0</v>
      </c>
      <c r="CJ323" s="47">
        <v>0</v>
      </c>
      <c r="CK323" s="47">
        <v>0</v>
      </c>
      <c r="CL323" s="47">
        <v>0</v>
      </c>
      <c r="CM323" s="47">
        <v>0</v>
      </c>
      <c r="CN323" s="47">
        <v>0</v>
      </c>
      <c r="CO323" s="47">
        <v>0</v>
      </c>
      <c r="CP323" s="47">
        <v>0</v>
      </c>
      <c r="CQ323" s="47">
        <v>0</v>
      </c>
      <c r="CR323" s="47">
        <v>0</v>
      </c>
      <c r="CS323" s="47">
        <v>0</v>
      </c>
      <c r="CT323" s="47">
        <v>0</v>
      </c>
      <c r="CU323" s="47">
        <v>0</v>
      </c>
      <c r="CV323" s="47">
        <v>0</v>
      </c>
      <c r="CW323" s="47">
        <v>0</v>
      </c>
      <c r="CX323" s="47">
        <v>0</v>
      </c>
      <c r="CY323" s="47">
        <v>0</v>
      </c>
      <c r="CZ323" s="47">
        <v>0</v>
      </c>
      <c r="DA323" s="47">
        <v>0</v>
      </c>
      <c r="DB323" s="47">
        <v>0</v>
      </c>
      <c r="DC323" s="47">
        <v>0</v>
      </c>
      <c r="DD323" s="47">
        <v>0</v>
      </c>
      <c r="DE323" s="47">
        <v>0</v>
      </c>
      <c r="DF323" s="47">
        <v>0</v>
      </c>
      <c r="DG323" s="47">
        <v>0</v>
      </c>
      <c r="DH323" s="47">
        <v>0</v>
      </c>
      <c r="DI323" s="47">
        <v>0</v>
      </c>
      <c r="DJ323" s="47">
        <v>0</v>
      </c>
      <c r="DK323" s="47">
        <v>0</v>
      </c>
      <c r="DL323" s="47">
        <v>0</v>
      </c>
      <c r="DM323" s="47">
        <v>0</v>
      </c>
      <c r="DN323" s="47">
        <v>0</v>
      </c>
      <c r="DO323" s="47">
        <v>0</v>
      </c>
      <c r="DP323" s="47">
        <v>0</v>
      </c>
      <c r="DQ323" s="47">
        <v>0</v>
      </c>
      <c r="DR323" s="47">
        <v>0</v>
      </c>
      <c r="DS323" s="47">
        <v>0</v>
      </c>
      <c r="DT323" s="47">
        <v>0</v>
      </c>
      <c r="DU323" s="47">
        <v>0</v>
      </c>
      <c r="DV323" s="47">
        <v>0</v>
      </c>
      <c r="DW323" s="47">
        <v>0</v>
      </c>
      <c r="DX323" s="47">
        <v>0</v>
      </c>
      <c r="DY323" s="47">
        <v>0</v>
      </c>
      <c r="DZ323" s="47">
        <v>0</v>
      </c>
      <c r="EA323" s="47">
        <v>0</v>
      </c>
      <c r="EB323" s="47"/>
      <c r="EC323" s="47">
        <v>1</v>
      </c>
      <c r="ZZ323" t="s">
        <v>2472</v>
      </c>
    </row>
    <row r="324" spans="1:702" x14ac:dyDescent="0.25">
      <c r="A324" s="47" t="s">
        <v>1591</v>
      </c>
      <c r="B324" s="47" t="s">
        <v>153</v>
      </c>
      <c r="C324" s="47" t="s">
        <v>157</v>
      </c>
      <c r="D324" s="47" t="s">
        <v>2806</v>
      </c>
      <c r="E324" s="47" t="s">
        <v>1592</v>
      </c>
      <c r="F324" s="47" t="s">
        <v>1593</v>
      </c>
      <c r="G324" s="47" t="s">
        <v>1594</v>
      </c>
      <c r="H324" s="47" t="s">
        <v>698</v>
      </c>
      <c r="I324" s="47" t="s">
        <v>727</v>
      </c>
      <c r="J324" s="47" t="str">
        <f>=IFERROR(VLOOKUP(H324&amp;I324,Table_Fonctions!A:G,6,FALSE),"")</f>
        <v>0</v>
      </c>
      <c r="K324" s="47" t="s">
        <v>2607</v>
      </c>
      <c r="L324" s="47" t="str">
        <f>=IFERROR(VLOOKUP(H324&amp;I324,Table_Fonctions!A:G,7,FALSE),K324)</f>
        <v/>
      </c>
      <c r="M324" s="47" t="str">
        <f>=IF(OR(LEFT(D324, 3)="TJ ", LEFT(D324, 4)="CPH "), "OUI", "NON")</f>
        <v/>
      </c>
      <c r="N324" s="47" t="s">
        <v>1547</v>
      </c>
      <c r="O324" s="47"/>
      <c r="P324" s="47">
        <v>1</v>
      </c>
      <c r="Q324" s="47">
        <v>0</v>
      </c>
      <c r="R324" s="47">
        <v>1</v>
      </c>
      <c r="S324" s="47">
        <f>=ROUND(BQ324-(BR324+BS324),3)</f>
      </c>
      <c r="T324" s="47">
        <f>=ROUND(CK324-(CL324+CM324+CN324+CO324+CP324),3)</f>
      </c>
      <c r="U324" s="47">
        <v>0</v>
      </c>
      <c r="V324" s="47">
        <v>0</v>
      </c>
      <c r="W324" s="47">
        <v>0</v>
      </c>
      <c r="X324" s="47">
        <v>0</v>
      </c>
      <c r="Y324" s="47">
        <v>0</v>
      </c>
      <c r="Z324" s="47">
        <v>0</v>
      </c>
      <c r="AA324" s="47">
        <v>0</v>
      </c>
      <c r="AB324" s="47">
        <v>0</v>
      </c>
      <c r="AC324" s="47">
        <v>0</v>
      </c>
      <c r="AD324" s="47">
        <v>0</v>
      </c>
      <c r="AE324" s="47">
        <v>0</v>
      </c>
      <c r="AF324" s="47">
        <v>0</v>
      </c>
      <c r="AG324" s="47">
        <v>0</v>
      </c>
      <c r="AH324" s="47">
        <v>0</v>
      </c>
      <c r="AI324" s="47">
        <v>0</v>
      </c>
      <c r="AJ324" s="47">
        <v>0</v>
      </c>
      <c r="AK324" s="47">
        <v>0</v>
      </c>
      <c r="AL324" s="47">
        <v>0</v>
      </c>
      <c r="AM324" s="47">
        <v>0</v>
      </c>
      <c r="AN324" s="47">
        <v>0</v>
      </c>
      <c r="AO324" s="47">
        <v>0</v>
      </c>
      <c r="AP324" s="47">
        <v>0</v>
      </c>
      <c r="AQ324" s="47">
        <v>0</v>
      </c>
      <c r="AR324" s="47">
        <v>0</v>
      </c>
      <c r="AS324" s="47">
        <v>0</v>
      </c>
      <c r="AT324" s="47">
        <v>0</v>
      </c>
      <c r="AU324" s="47">
        <v>0</v>
      </c>
      <c r="AV324" s="47">
        <v>0</v>
      </c>
      <c r="AW324" s="47">
        <v>0</v>
      </c>
      <c r="AX324" s="47">
        <v>0</v>
      </c>
      <c r="AY324" s="47">
        <v>0</v>
      </c>
      <c r="AZ324" s="47">
        <v>0</v>
      </c>
      <c r="BA324" s="47">
        <v>0</v>
      </c>
      <c r="BB324" s="47">
        <v>0</v>
      </c>
      <c r="BC324" s="47">
        <v>0</v>
      </c>
      <c r="BD324" s="47">
        <v>0</v>
      </c>
      <c r="BE324" s="47">
        <v>0</v>
      </c>
      <c r="BF324" s="47">
        <v>0</v>
      </c>
      <c r="BG324" s="47">
        <v>0</v>
      </c>
      <c r="BH324" s="47">
        <v>0</v>
      </c>
      <c r="BI324" s="47">
        <v>0</v>
      </c>
      <c r="BJ324" s="47">
        <v>0</v>
      </c>
      <c r="BK324" s="47">
        <v>0</v>
      </c>
      <c r="BL324" s="47">
        <v>0</v>
      </c>
      <c r="BM324" s="47">
        <v>0</v>
      </c>
      <c r="BN324" s="47">
        <v>0</v>
      </c>
      <c r="BO324" s="47">
        <v>0</v>
      </c>
      <c r="BP324" s="47">
        <v>0</v>
      </c>
      <c r="BQ324" s="47">
        <v>0</v>
      </c>
      <c r="BR324" s="47">
        <v>0</v>
      </c>
      <c r="BS324" s="47">
        <v>0</v>
      </c>
      <c r="BT324" s="47">
        <v>0</v>
      </c>
      <c r="BU324" s="47">
        <v>0</v>
      </c>
      <c r="BV324" s="47">
        <v>0</v>
      </c>
      <c r="BW324" s="47">
        <v>0</v>
      </c>
      <c r="BX324" s="47">
        <v>0</v>
      </c>
      <c r="BY324" s="47">
        <v>0</v>
      </c>
      <c r="BZ324" s="47">
        <v>0</v>
      </c>
      <c r="CA324" s="47">
        <v>0</v>
      </c>
      <c r="CB324" s="47">
        <v>0</v>
      </c>
      <c r="CC324" s="47">
        <v>0</v>
      </c>
      <c r="CD324" s="47">
        <v>0</v>
      </c>
      <c r="CE324" s="47">
        <v>0</v>
      </c>
      <c r="CF324" s="47">
        <v>0</v>
      </c>
      <c r="CG324" s="47">
        <v>0</v>
      </c>
      <c r="CH324" s="47">
        <v>0</v>
      </c>
      <c r="CI324" s="47">
        <v>0</v>
      </c>
      <c r="CJ324" s="47">
        <v>0</v>
      </c>
      <c r="CK324" s="47">
        <v>0</v>
      </c>
      <c r="CL324" s="47">
        <v>0</v>
      </c>
      <c r="CM324" s="47">
        <v>0</v>
      </c>
      <c r="CN324" s="47">
        <v>0</v>
      </c>
      <c r="CO324" s="47">
        <v>0</v>
      </c>
      <c r="CP324" s="47">
        <v>0</v>
      </c>
      <c r="CQ324" s="47">
        <v>0</v>
      </c>
      <c r="CR324" s="47">
        <v>0</v>
      </c>
      <c r="CS324" s="47">
        <v>0</v>
      </c>
      <c r="CT324" s="47">
        <v>0</v>
      </c>
      <c r="CU324" s="47">
        <v>0</v>
      </c>
      <c r="CV324" s="47">
        <v>0</v>
      </c>
      <c r="CW324" s="47">
        <v>0</v>
      </c>
      <c r="CX324" s="47">
        <v>0</v>
      </c>
      <c r="CY324" s="47">
        <v>0</v>
      </c>
      <c r="CZ324" s="47">
        <v>0</v>
      </c>
      <c r="DA324" s="47">
        <v>0</v>
      </c>
      <c r="DB324" s="47">
        <v>0</v>
      </c>
      <c r="DC324" s="47">
        <v>0</v>
      </c>
      <c r="DD324" s="47">
        <v>0</v>
      </c>
      <c r="DE324" s="47">
        <v>0</v>
      </c>
      <c r="DF324" s="47">
        <v>0</v>
      </c>
      <c r="DG324" s="47">
        <v>0</v>
      </c>
      <c r="DH324" s="47">
        <v>0</v>
      </c>
      <c r="DI324" s="47">
        <v>0</v>
      </c>
      <c r="DJ324" s="47">
        <v>0</v>
      </c>
      <c r="DK324" s="47">
        <v>0</v>
      </c>
      <c r="DL324" s="47">
        <v>0</v>
      </c>
      <c r="DM324" s="47">
        <v>0</v>
      </c>
      <c r="DN324" s="47">
        <v>0</v>
      </c>
      <c r="DO324" s="47">
        <v>0</v>
      </c>
      <c r="DP324" s="47">
        <v>0</v>
      </c>
      <c r="DQ324" s="47">
        <v>0</v>
      </c>
      <c r="DR324" s="47">
        <v>0</v>
      </c>
      <c r="DS324" s="47">
        <v>0</v>
      </c>
      <c r="DT324" s="47">
        <v>0</v>
      </c>
      <c r="DU324" s="47">
        <v>0</v>
      </c>
      <c r="DV324" s="47">
        <v>0</v>
      </c>
      <c r="DW324" s="47">
        <v>0</v>
      </c>
      <c r="DX324" s="47">
        <v>0</v>
      </c>
      <c r="DY324" s="47">
        <v>0</v>
      </c>
      <c r="DZ324" s="47">
        <v>0</v>
      </c>
      <c r="EA324" s="47">
        <v>0</v>
      </c>
      <c r="EB324" s="47"/>
      <c r="EC324" s="47">
        <v>1</v>
      </c>
      <c r="ZZ324" t="s">
        <v>2472</v>
      </c>
    </row>
    <row r="325" spans="1:702" x14ac:dyDescent="0.25">
      <c r="A325" s="47" t="s">
        <v>1595</v>
      </c>
      <c r="B325" s="47" t="s">
        <v>153</v>
      </c>
      <c r="C325" s="47" t="s">
        <v>157</v>
      </c>
      <c r="D325" s="47" t="s">
        <v>2807</v>
      </c>
      <c r="E325" s="47" t="s">
        <v>1596</v>
      </c>
      <c r="F325" s="47" t="s">
        <v>1597</v>
      </c>
      <c r="G325" s="47" t="s">
        <v>1598</v>
      </c>
      <c r="H325" s="47" t="s">
        <v>698</v>
      </c>
      <c r="I325" s="47" t="s">
        <v>727</v>
      </c>
      <c r="J325" s="47" t="str">
        <f>=IFERROR(VLOOKUP(H325&amp;I325,Table_Fonctions!A:G,6,FALSE),"")</f>
        <v>0</v>
      </c>
      <c r="K325" s="47" t="s">
        <v>2607</v>
      </c>
      <c r="L325" s="47" t="str">
        <f>=IFERROR(VLOOKUP(H325&amp;I325,Table_Fonctions!A:G,7,FALSE),K325)</f>
        <v/>
      </c>
      <c r="M325" s="47" t="str">
        <f>=IF(OR(LEFT(D325, 3)="TJ ", LEFT(D325, 4)="CPH "), "OUI", "NON")</f>
        <v/>
      </c>
      <c r="N325" s="47" t="s">
        <v>1309</v>
      </c>
      <c r="O325" s="47"/>
      <c r="P325" s="47">
        <v>1</v>
      </c>
      <c r="Q325" s="47">
        <v>1</v>
      </c>
      <c r="R325" s="47">
        <v>0</v>
      </c>
      <c r="S325" s="47">
        <f>=ROUND(BQ325-(BR325+BS325),3)</f>
      </c>
      <c r="T325" s="47">
        <f>=ROUND(CK325-(CL325+CM325+CN325+CO325+CP325),3)</f>
      </c>
      <c r="U325" s="47">
        <v>0</v>
      </c>
      <c r="V325" s="47">
        <v>0</v>
      </c>
      <c r="W325" s="47">
        <v>0</v>
      </c>
      <c r="X325" s="47">
        <v>0</v>
      </c>
      <c r="Y325" s="47">
        <v>0</v>
      </c>
      <c r="Z325" s="47">
        <v>0</v>
      </c>
      <c r="AA325" s="47">
        <v>0</v>
      </c>
      <c r="AB325" s="47">
        <v>0</v>
      </c>
      <c r="AC325" s="47">
        <v>0</v>
      </c>
      <c r="AD325" s="47">
        <v>0</v>
      </c>
      <c r="AE325" s="47">
        <v>0</v>
      </c>
      <c r="AF325" s="47">
        <v>0</v>
      </c>
      <c r="AG325" s="47">
        <v>0</v>
      </c>
      <c r="AH325" s="47">
        <v>0</v>
      </c>
      <c r="AI325" s="47">
        <v>0</v>
      </c>
      <c r="AJ325" s="47">
        <v>0</v>
      </c>
      <c r="AK325" s="47">
        <v>0</v>
      </c>
      <c r="AL325" s="47">
        <v>0</v>
      </c>
      <c r="AM325" s="47">
        <v>0</v>
      </c>
      <c r="AN325" s="47">
        <v>0</v>
      </c>
      <c r="AO325" s="47">
        <v>0</v>
      </c>
      <c r="AP325" s="47">
        <v>0</v>
      </c>
      <c r="AQ325" s="47">
        <v>0</v>
      </c>
      <c r="AR325" s="47">
        <v>0</v>
      </c>
      <c r="AS325" s="47">
        <v>1</v>
      </c>
      <c r="AT325" s="47">
        <v>0</v>
      </c>
      <c r="AU325" s="47">
        <v>0</v>
      </c>
      <c r="AV325" s="47">
        <v>0</v>
      </c>
      <c r="AW325" s="47">
        <v>0</v>
      </c>
      <c r="AX325" s="47">
        <v>0</v>
      </c>
      <c r="AY325" s="47">
        <v>0</v>
      </c>
      <c r="AZ325" s="47">
        <v>0</v>
      </c>
      <c r="BA325" s="47">
        <v>0</v>
      </c>
      <c r="BB325" s="47">
        <v>0</v>
      </c>
      <c r="BC325" s="47">
        <v>0</v>
      </c>
      <c r="BD325" s="47">
        <v>0</v>
      </c>
      <c r="BE325" s="47">
        <v>0</v>
      </c>
      <c r="BF325" s="47">
        <v>0</v>
      </c>
      <c r="BG325" s="47">
        <v>0</v>
      </c>
      <c r="BH325" s="47">
        <v>0</v>
      </c>
      <c r="BI325" s="47">
        <v>0</v>
      </c>
      <c r="BJ325" s="47">
        <v>0</v>
      </c>
      <c r="BK325" s="47">
        <v>0</v>
      </c>
      <c r="BL325" s="47">
        <v>0</v>
      </c>
      <c r="BM325" s="47">
        <v>0</v>
      </c>
      <c r="BN325" s="47">
        <v>0</v>
      </c>
      <c r="BO325" s="47">
        <v>0</v>
      </c>
      <c r="BP325" s="47">
        <v>0</v>
      </c>
      <c r="BQ325" s="47">
        <v>0</v>
      </c>
      <c r="BR325" s="47">
        <v>0</v>
      </c>
      <c r="BS325" s="47">
        <v>0</v>
      </c>
      <c r="BT325" s="47">
        <v>0</v>
      </c>
      <c r="BU325" s="47">
        <v>0</v>
      </c>
      <c r="BV325" s="47">
        <v>0</v>
      </c>
      <c r="BW325" s="47">
        <v>0</v>
      </c>
      <c r="BX325" s="47">
        <v>0</v>
      </c>
      <c r="BY325" s="47">
        <v>0</v>
      </c>
      <c r="BZ325" s="47">
        <v>0</v>
      </c>
      <c r="CA325" s="47">
        <v>0</v>
      </c>
      <c r="CB325" s="47">
        <v>0</v>
      </c>
      <c r="CC325" s="47">
        <v>0</v>
      </c>
      <c r="CD325" s="47">
        <v>0</v>
      </c>
      <c r="CE325" s="47">
        <v>0</v>
      </c>
      <c r="CF325" s="47">
        <v>0</v>
      </c>
      <c r="CG325" s="47">
        <v>0</v>
      </c>
      <c r="CH325" s="47">
        <v>0</v>
      </c>
      <c r="CI325" s="47">
        <v>0</v>
      </c>
      <c r="CJ325" s="47">
        <v>0</v>
      </c>
      <c r="CK325" s="47">
        <v>0</v>
      </c>
      <c r="CL325" s="47">
        <v>0</v>
      </c>
      <c r="CM325" s="47">
        <v>0</v>
      </c>
      <c r="CN325" s="47">
        <v>0</v>
      </c>
      <c r="CO325" s="47">
        <v>0</v>
      </c>
      <c r="CP325" s="47">
        <v>0</v>
      </c>
      <c r="CQ325" s="47">
        <v>0</v>
      </c>
      <c r="CR325" s="47">
        <v>0</v>
      </c>
      <c r="CS325" s="47">
        <v>0</v>
      </c>
      <c r="CT325" s="47">
        <v>0</v>
      </c>
      <c r="CU325" s="47">
        <v>0</v>
      </c>
      <c r="CV325" s="47">
        <v>0</v>
      </c>
      <c r="CW325" s="47">
        <v>0</v>
      </c>
      <c r="CX325" s="47">
        <v>0</v>
      </c>
      <c r="CY325" s="47">
        <v>0</v>
      </c>
      <c r="CZ325" s="47">
        <v>0</v>
      </c>
      <c r="DA325" s="47">
        <v>0</v>
      </c>
      <c r="DB325" s="47">
        <v>0</v>
      </c>
      <c r="DC325" s="47">
        <v>0</v>
      </c>
      <c r="DD325" s="47">
        <v>0</v>
      </c>
      <c r="DE325" s="47">
        <v>0</v>
      </c>
      <c r="DF325" s="47">
        <v>0</v>
      </c>
      <c r="DG325" s="47">
        <v>0</v>
      </c>
      <c r="DH325" s="47">
        <v>0</v>
      </c>
      <c r="DI325" s="47">
        <v>0</v>
      </c>
      <c r="DJ325" s="47">
        <v>0</v>
      </c>
      <c r="DK325" s="47">
        <v>0</v>
      </c>
      <c r="DL325" s="47">
        <v>0</v>
      </c>
      <c r="DM325" s="47">
        <v>0</v>
      </c>
      <c r="DN325" s="47">
        <v>0</v>
      </c>
      <c r="DO325" s="47">
        <v>0</v>
      </c>
      <c r="DP325" s="47">
        <v>0</v>
      </c>
      <c r="DQ325" s="47">
        <v>0</v>
      </c>
      <c r="DR325" s="47">
        <v>0</v>
      </c>
      <c r="DS325" s="47">
        <v>0</v>
      </c>
      <c r="DT325" s="47">
        <v>0</v>
      </c>
      <c r="DU325" s="47">
        <v>0</v>
      </c>
      <c r="DV325" s="47">
        <v>0</v>
      </c>
      <c r="DW325" s="47">
        <v>0</v>
      </c>
      <c r="DX325" s="47">
        <v>0</v>
      </c>
      <c r="DY325" s="47">
        <v>0</v>
      </c>
      <c r="DZ325" s="47">
        <v>0</v>
      </c>
      <c r="EA325" s="47">
        <v>0</v>
      </c>
      <c r="EB325" s="47"/>
      <c r="EC325" s="47">
        <v>1</v>
      </c>
      <c r="ZZ325" t="s">
        <v>2472</v>
      </c>
    </row>
    <row r="326" spans="1:702" x14ac:dyDescent="0.25">
      <c r="A326" s="47" t="s">
        <v>1599</v>
      </c>
      <c r="B326" s="47" t="s">
        <v>153</v>
      </c>
      <c r="C326" s="47" t="s">
        <v>157</v>
      </c>
      <c r="D326" s="47" t="s">
        <v>2808</v>
      </c>
      <c r="E326" s="47" t="s">
        <v>1600</v>
      </c>
      <c r="F326" s="47" t="s">
        <v>1601</v>
      </c>
      <c r="G326" s="47" t="s">
        <v>1602</v>
      </c>
      <c r="H326" s="47" t="s">
        <v>698</v>
      </c>
      <c r="I326" s="47" t="s">
        <v>705</v>
      </c>
      <c r="J326" s="47" t="str">
        <f>=IFERROR(VLOOKUP(H326&amp;I326,Table_Fonctions!A:G,6,FALSE),"")</f>
        <v>0</v>
      </c>
      <c r="K326" s="47" t="s">
        <v>2607</v>
      </c>
      <c r="L326" s="47" t="str">
        <f>=IFERROR(VLOOKUP(H326&amp;I326,Table_Fonctions!A:G,7,FALSE),K326)</f>
        <v/>
      </c>
      <c r="M326" s="47" t="str">
        <f>=IF(OR(LEFT(D326, 3)="TJ ", LEFT(D326, 4)="CPH "), "OUI", "NON")</f>
        <v/>
      </c>
      <c r="N326" s="47" t="s">
        <v>1603</v>
      </c>
      <c r="O326" s="47"/>
      <c r="P326" s="47">
        <v>1</v>
      </c>
      <c r="Q326" s="47">
        <v>0</v>
      </c>
      <c r="R326" s="47">
        <v>1</v>
      </c>
      <c r="S326" s="47">
        <f>=ROUND(BQ326-(BR326+BS326),3)</f>
      </c>
      <c r="T326" s="47">
        <f>=ROUND(CK326-(CL326+CM326+CN326+CO326+CP326),3)</f>
      </c>
      <c r="U326" s="47">
        <v>0</v>
      </c>
      <c r="V326" s="47">
        <v>0</v>
      </c>
      <c r="W326" s="47">
        <v>0</v>
      </c>
      <c r="X326" s="47">
        <v>0</v>
      </c>
      <c r="Y326" s="47">
        <v>0</v>
      </c>
      <c r="Z326" s="47">
        <v>0</v>
      </c>
      <c r="AA326" s="47">
        <v>0</v>
      </c>
      <c r="AB326" s="47">
        <v>0</v>
      </c>
      <c r="AC326" s="47">
        <v>0</v>
      </c>
      <c r="AD326" s="47">
        <v>0</v>
      </c>
      <c r="AE326" s="47">
        <v>0</v>
      </c>
      <c r="AF326" s="47">
        <v>0</v>
      </c>
      <c r="AG326" s="47">
        <v>0</v>
      </c>
      <c r="AH326" s="47">
        <v>0</v>
      </c>
      <c r="AI326" s="47">
        <v>0</v>
      </c>
      <c r="AJ326" s="47">
        <v>0</v>
      </c>
      <c r="AK326" s="47">
        <v>0</v>
      </c>
      <c r="AL326" s="47">
        <v>0</v>
      </c>
      <c r="AM326" s="47">
        <v>0</v>
      </c>
      <c r="AN326" s="47">
        <v>0</v>
      </c>
      <c r="AO326" s="47">
        <v>0</v>
      </c>
      <c r="AP326" s="47">
        <v>0</v>
      </c>
      <c r="AQ326" s="47">
        <v>0</v>
      </c>
      <c r="AR326" s="47">
        <v>0</v>
      </c>
      <c r="AS326" s="47">
        <v>0</v>
      </c>
      <c r="AT326" s="47">
        <v>0</v>
      </c>
      <c r="AU326" s="47">
        <v>0</v>
      </c>
      <c r="AV326" s="47">
        <v>0</v>
      </c>
      <c r="AW326" s="47">
        <v>0</v>
      </c>
      <c r="AX326" s="47">
        <v>0</v>
      </c>
      <c r="AY326" s="47">
        <v>0</v>
      </c>
      <c r="AZ326" s="47">
        <v>0</v>
      </c>
      <c r="BA326" s="47">
        <v>0</v>
      </c>
      <c r="BB326" s="47">
        <v>0</v>
      </c>
      <c r="BC326" s="47">
        <v>0</v>
      </c>
      <c r="BD326" s="47">
        <v>0</v>
      </c>
      <c r="BE326" s="47">
        <v>0</v>
      </c>
      <c r="BF326" s="47">
        <v>0</v>
      </c>
      <c r="BG326" s="47">
        <v>0</v>
      </c>
      <c r="BH326" s="47">
        <v>0</v>
      </c>
      <c r="BI326" s="47">
        <v>0</v>
      </c>
      <c r="BJ326" s="47">
        <v>0</v>
      </c>
      <c r="BK326" s="47">
        <v>0</v>
      </c>
      <c r="BL326" s="47">
        <v>0</v>
      </c>
      <c r="BM326" s="47">
        <v>0</v>
      </c>
      <c r="BN326" s="47">
        <v>0</v>
      </c>
      <c r="BO326" s="47">
        <v>0</v>
      </c>
      <c r="BP326" s="47">
        <v>0</v>
      </c>
      <c r="BQ326" s="47">
        <v>0</v>
      </c>
      <c r="BR326" s="47">
        <v>0</v>
      </c>
      <c r="BS326" s="47">
        <v>0</v>
      </c>
      <c r="BT326" s="47">
        <v>0</v>
      </c>
      <c r="BU326" s="47">
        <v>0</v>
      </c>
      <c r="BV326" s="47">
        <v>0</v>
      </c>
      <c r="BW326" s="47">
        <v>0</v>
      </c>
      <c r="BX326" s="47">
        <v>0</v>
      </c>
      <c r="BY326" s="47">
        <v>0</v>
      </c>
      <c r="BZ326" s="47">
        <v>0</v>
      </c>
      <c r="CA326" s="47">
        <v>0</v>
      </c>
      <c r="CB326" s="47">
        <v>0</v>
      </c>
      <c r="CC326" s="47">
        <v>0</v>
      </c>
      <c r="CD326" s="47">
        <v>0</v>
      </c>
      <c r="CE326" s="47">
        <v>0</v>
      </c>
      <c r="CF326" s="47">
        <v>0</v>
      </c>
      <c r="CG326" s="47">
        <v>0</v>
      </c>
      <c r="CH326" s="47">
        <v>0</v>
      </c>
      <c r="CI326" s="47">
        <v>0</v>
      </c>
      <c r="CJ326" s="47">
        <v>0</v>
      </c>
      <c r="CK326" s="47">
        <v>0</v>
      </c>
      <c r="CL326" s="47">
        <v>0</v>
      </c>
      <c r="CM326" s="47">
        <v>0</v>
      </c>
      <c r="CN326" s="47">
        <v>0</v>
      </c>
      <c r="CO326" s="47">
        <v>0</v>
      </c>
      <c r="CP326" s="47">
        <v>0</v>
      </c>
      <c r="CQ326" s="47">
        <v>0</v>
      </c>
      <c r="CR326" s="47">
        <v>0</v>
      </c>
      <c r="CS326" s="47">
        <v>0</v>
      </c>
      <c r="CT326" s="47">
        <v>0</v>
      </c>
      <c r="CU326" s="47">
        <v>0</v>
      </c>
      <c r="CV326" s="47">
        <v>0</v>
      </c>
      <c r="CW326" s="47">
        <v>0</v>
      </c>
      <c r="CX326" s="47">
        <v>0</v>
      </c>
      <c r="CY326" s="47">
        <v>0</v>
      </c>
      <c r="CZ326" s="47">
        <v>0</v>
      </c>
      <c r="DA326" s="47">
        <v>0</v>
      </c>
      <c r="DB326" s="47">
        <v>0</v>
      </c>
      <c r="DC326" s="47">
        <v>0</v>
      </c>
      <c r="DD326" s="47">
        <v>0</v>
      </c>
      <c r="DE326" s="47">
        <v>0</v>
      </c>
      <c r="DF326" s="47">
        <v>0</v>
      </c>
      <c r="DG326" s="47">
        <v>0</v>
      </c>
      <c r="DH326" s="47">
        <v>0</v>
      </c>
      <c r="DI326" s="47">
        <v>0</v>
      </c>
      <c r="DJ326" s="47">
        <v>0</v>
      </c>
      <c r="DK326" s="47">
        <v>0</v>
      </c>
      <c r="DL326" s="47">
        <v>0</v>
      </c>
      <c r="DM326" s="47">
        <v>0</v>
      </c>
      <c r="DN326" s="47">
        <v>0</v>
      </c>
      <c r="DO326" s="47">
        <v>0</v>
      </c>
      <c r="DP326" s="47">
        <v>0</v>
      </c>
      <c r="DQ326" s="47">
        <v>0</v>
      </c>
      <c r="DR326" s="47">
        <v>0</v>
      </c>
      <c r="DS326" s="47">
        <v>0</v>
      </c>
      <c r="DT326" s="47">
        <v>0</v>
      </c>
      <c r="DU326" s="47">
        <v>0</v>
      </c>
      <c r="DV326" s="47">
        <v>0</v>
      </c>
      <c r="DW326" s="47">
        <v>0</v>
      </c>
      <c r="DX326" s="47">
        <v>0</v>
      </c>
      <c r="DY326" s="47">
        <v>0</v>
      </c>
      <c r="DZ326" s="47">
        <v>0</v>
      </c>
      <c r="EA326" s="47">
        <v>0</v>
      </c>
      <c r="EB326" s="47"/>
      <c r="EC326" s="47">
        <v>1</v>
      </c>
      <c r="ZZ326" t="s">
        <v>2472</v>
      </c>
    </row>
    <row r="327" spans="1:702" x14ac:dyDescent="0.25">
      <c r="A327" s="47" t="s">
        <v>1604</v>
      </c>
      <c r="B327" s="47" t="s">
        <v>153</v>
      </c>
      <c r="C327" s="47" t="s">
        <v>157</v>
      </c>
      <c r="D327" s="47" t="s">
        <v>2809</v>
      </c>
      <c r="E327" s="47" t="s">
        <v>1605</v>
      </c>
      <c r="F327" s="47" t="s">
        <v>1606</v>
      </c>
      <c r="G327" s="47" t="s">
        <v>1607</v>
      </c>
      <c r="H327" s="47" t="s">
        <v>698</v>
      </c>
      <c r="I327" s="47" t="s">
        <v>705</v>
      </c>
      <c r="J327" s="47" t="str">
        <f>=IFERROR(VLOOKUP(H327&amp;I327,Table_Fonctions!A:G,6,FALSE),"")</f>
        <v>0</v>
      </c>
      <c r="K327" s="47" t="s">
        <v>2607</v>
      </c>
      <c r="L327" s="47" t="str">
        <f>=IFERROR(VLOOKUP(H327&amp;I327,Table_Fonctions!A:G,7,FALSE),K327)</f>
        <v/>
      </c>
      <c r="M327" s="47" t="str">
        <f>=IF(OR(LEFT(D327, 3)="TJ ", LEFT(D327, 4)="CPH "), "OUI", "NON")</f>
        <v/>
      </c>
      <c r="N327" s="47" t="s">
        <v>1608</v>
      </c>
      <c r="O327" s="47"/>
      <c r="P327" s="47">
        <v>1</v>
      </c>
      <c r="Q327" s="47">
        <v>0</v>
      </c>
      <c r="R327" s="47">
        <v>1</v>
      </c>
      <c r="S327" s="47">
        <f>=ROUND(BQ327-(BR327+BS327),3)</f>
      </c>
      <c r="T327" s="47">
        <f>=ROUND(CK327-(CL327+CM327+CN327+CO327+CP327),3)</f>
      </c>
      <c r="U327" s="47">
        <v>0</v>
      </c>
      <c r="V327" s="47">
        <v>0</v>
      </c>
      <c r="W327" s="47">
        <v>0</v>
      </c>
      <c r="X327" s="47">
        <v>0</v>
      </c>
      <c r="Y327" s="47">
        <v>0</v>
      </c>
      <c r="Z327" s="47">
        <v>0</v>
      </c>
      <c r="AA327" s="47">
        <v>0</v>
      </c>
      <c r="AB327" s="47">
        <v>0</v>
      </c>
      <c r="AC327" s="47">
        <v>0</v>
      </c>
      <c r="AD327" s="47">
        <v>0</v>
      </c>
      <c r="AE327" s="47">
        <v>0</v>
      </c>
      <c r="AF327" s="47">
        <v>0</v>
      </c>
      <c r="AG327" s="47">
        <v>0</v>
      </c>
      <c r="AH327" s="47">
        <v>0</v>
      </c>
      <c r="AI327" s="47">
        <v>0</v>
      </c>
      <c r="AJ327" s="47">
        <v>0</v>
      </c>
      <c r="AK327" s="47">
        <v>0</v>
      </c>
      <c r="AL327" s="47">
        <v>0</v>
      </c>
      <c r="AM327" s="47">
        <v>0</v>
      </c>
      <c r="AN327" s="47">
        <v>0</v>
      </c>
      <c r="AO327" s="47">
        <v>0</v>
      </c>
      <c r="AP327" s="47">
        <v>0</v>
      </c>
      <c r="AQ327" s="47">
        <v>0</v>
      </c>
      <c r="AR327" s="47">
        <v>0</v>
      </c>
      <c r="AS327" s="47">
        <v>0</v>
      </c>
      <c r="AT327" s="47">
        <v>0</v>
      </c>
      <c r="AU327" s="47">
        <v>0</v>
      </c>
      <c r="AV327" s="47">
        <v>0</v>
      </c>
      <c r="AW327" s="47">
        <v>0</v>
      </c>
      <c r="AX327" s="47">
        <v>0</v>
      </c>
      <c r="AY327" s="47">
        <v>0</v>
      </c>
      <c r="AZ327" s="47">
        <v>0</v>
      </c>
      <c r="BA327" s="47">
        <v>0</v>
      </c>
      <c r="BB327" s="47">
        <v>0</v>
      </c>
      <c r="BC327" s="47">
        <v>0</v>
      </c>
      <c r="BD327" s="47">
        <v>0</v>
      </c>
      <c r="BE327" s="47">
        <v>0</v>
      </c>
      <c r="BF327" s="47">
        <v>0</v>
      </c>
      <c r="BG327" s="47">
        <v>0</v>
      </c>
      <c r="BH327" s="47">
        <v>0</v>
      </c>
      <c r="BI327" s="47">
        <v>0</v>
      </c>
      <c r="BJ327" s="47">
        <v>0</v>
      </c>
      <c r="BK327" s="47">
        <v>0</v>
      </c>
      <c r="BL327" s="47">
        <v>0</v>
      </c>
      <c r="BM327" s="47">
        <v>0</v>
      </c>
      <c r="BN327" s="47">
        <v>0</v>
      </c>
      <c r="BO327" s="47">
        <v>0</v>
      </c>
      <c r="BP327" s="47">
        <v>0</v>
      </c>
      <c r="BQ327" s="47">
        <v>0</v>
      </c>
      <c r="BR327" s="47">
        <v>0</v>
      </c>
      <c r="BS327" s="47">
        <v>0</v>
      </c>
      <c r="BT327" s="47">
        <v>0</v>
      </c>
      <c r="BU327" s="47">
        <v>0</v>
      </c>
      <c r="BV327" s="47">
        <v>0</v>
      </c>
      <c r="BW327" s="47">
        <v>0</v>
      </c>
      <c r="BX327" s="47">
        <v>0</v>
      </c>
      <c r="BY327" s="47">
        <v>0</v>
      </c>
      <c r="BZ327" s="47">
        <v>0</v>
      </c>
      <c r="CA327" s="47">
        <v>0</v>
      </c>
      <c r="CB327" s="47">
        <v>0</v>
      </c>
      <c r="CC327" s="47">
        <v>0</v>
      </c>
      <c r="CD327" s="47">
        <v>0</v>
      </c>
      <c r="CE327" s="47">
        <v>0</v>
      </c>
      <c r="CF327" s="47">
        <v>0</v>
      </c>
      <c r="CG327" s="47">
        <v>0</v>
      </c>
      <c r="CH327" s="47">
        <v>0</v>
      </c>
      <c r="CI327" s="47">
        <v>0</v>
      </c>
      <c r="CJ327" s="47">
        <v>0</v>
      </c>
      <c r="CK327" s="47">
        <v>0</v>
      </c>
      <c r="CL327" s="47">
        <v>0</v>
      </c>
      <c r="CM327" s="47">
        <v>0</v>
      </c>
      <c r="CN327" s="47">
        <v>0</v>
      </c>
      <c r="CO327" s="47">
        <v>0</v>
      </c>
      <c r="CP327" s="47">
        <v>0</v>
      </c>
      <c r="CQ327" s="47">
        <v>0</v>
      </c>
      <c r="CR327" s="47">
        <v>0</v>
      </c>
      <c r="CS327" s="47">
        <v>0</v>
      </c>
      <c r="CT327" s="47">
        <v>0</v>
      </c>
      <c r="CU327" s="47">
        <v>0</v>
      </c>
      <c r="CV327" s="47">
        <v>0</v>
      </c>
      <c r="CW327" s="47">
        <v>0</v>
      </c>
      <c r="CX327" s="47">
        <v>0</v>
      </c>
      <c r="CY327" s="47">
        <v>0</v>
      </c>
      <c r="CZ327" s="47">
        <v>0</v>
      </c>
      <c r="DA327" s="47">
        <v>0</v>
      </c>
      <c r="DB327" s="47">
        <v>0</v>
      </c>
      <c r="DC327" s="47">
        <v>0</v>
      </c>
      <c r="DD327" s="47">
        <v>0</v>
      </c>
      <c r="DE327" s="47">
        <v>0</v>
      </c>
      <c r="DF327" s="47">
        <v>0</v>
      </c>
      <c r="DG327" s="47">
        <v>0</v>
      </c>
      <c r="DH327" s="47">
        <v>0</v>
      </c>
      <c r="DI327" s="47">
        <v>0</v>
      </c>
      <c r="DJ327" s="47">
        <v>0</v>
      </c>
      <c r="DK327" s="47">
        <v>0</v>
      </c>
      <c r="DL327" s="47">
        <v>0</v>
      </c>
      <c r="DM327" s="47">
        <v>0</v>
      </c>
      <c r="DN327" s="47">
        <v>0</v>
      </c>
      <c r="DO327" s="47">
        <v>0</v>
      </c>
      <c r="DP327" s="47">
        <v>0</v>
      </c>
      <c r="DQ327" s="47">
        <v>0</v>
      </c>
      <c r="DR327" s="47">
        <v>0</v>
      </c>
      <c r="DS327" s="47">
        <v>0</v>
      </c>
      <c r="DT327" s="47">
        <v>0</v>
      </c>
      <c r="DU327" s="47">
        <v>0</v>
      </c>
      <c r="DV327" s="47">
        <v>0</v>
      </c>
      <c r="DW327" s="47">
        <v>0</v>
      </c>
      <c r="DX327" s="47">
        <v>0</v>
      </c>
      <c r="DY327" s="47">
        <v>0</v>
      </c>
      <c r="DZ327" s="47">
        <v>0</v>
      </c>
      <c r="EA327" s="47">
        <v>0</v>
      </c>
      <c r="EB327" s="47"/>
      <c r="EC327" s="47">
        <v>1</v>
      </c>
      <c r="ZZ327" t="s">
        <v>2472</v>
      </c>
    </row>
    <row r="328" spans="1:702" x14ac:dyDescent="0.25">
      <c r="A328" s="47" t="s">
        <v>1609</v>
      </c>
      <c r="B328" s="47" t="s">
        <v>153</v>
      </c>
      <c r="C328" s="47" t="s">
        <v>157</v>
      </c>
      <c r="D328" s="47" t="s">
        <v>2810</v>
      </c>
      <c r="E328" s="47" t="s">
        <v>1610</v>
      </c>
      <c r="F328" s="47" t="s">
        <v>1611</v>
      </c>
      <c r="G328" s="47" t="s">
        <v>1612</v>
      </c>
      <c r="H328" s="47" t="s">
        <v>698</v>
      </c>
      <c r="I328" s="47" t="s">
        <v>727</v>
      </c>
      <c r="J328" s="47" t="str">
        <f>=IFERROR(VLOOKUP(H328&amp;I328,Table_Fonctions!A:G,6,FALSE),"")</f>
        <v>0</v>
      </c>
      <c r="K328" s="47" t="s">
        <v>2607</v>
      </c>
      <c r="L328" s="47" t="str">
        <f>=IFERROR(VLOOKUP(H328&amp;I328,Table_Fonctions!A:G,7,FALSE),K328)</f>
        <v/>
      </c>
      <c r="M328" s="47" t="str">
        <f>=IF(OR(LEFT(D328, 3)="TJ ", LEFT(D328, 4)="CPH "), "OUI", "NON")</f>
        <v/>
      </c>
      <c r="N328" s="47" t="s">
        <v>1613</v>
      </c>
      <c r="O328" s="47"/>
      <c r="P328" s="47">
        <v>1</v>
      </c>
      <c r="Q328" s="47">
        <v>1</v>
      </c>
      <c r="R328" s="47">
        <v>0</v>
      </c>
      <c r="S328" s="47">
        <f>=ROUND(BQ328-(BR328+BS328),3)</f>
      </c>
      <c r="T328" s="47">
        <f>=ROUND(CK328-(CL328+CM328+CN328+CO328+CP328),3)</f>
      </c>
      <c r="U328" s="47">
        <v>0</v>
      </c>
      <c r="V328" s="47">
        <v>0</v>
      </c>
      <c r="W328" s="47">
        <v>0</v>
      </c>
      <c r="X328" s="47">
        <v>0</v>
      </c>
      <c r="Y328" s="47">
        <v>0</v>
      </c>
      <c r="Z328" s="47">
        <v>0</v>
      </c>
      <c r="AA328" s="47">
        <v>0</v>
      </c>
      <c r="AB328" s="47">
        <v>0</v>
      </c>
      <c r="AC328" s="47">
        <v>0</v>
      </c>
      <c r="AD328" s="47">
        <v>0</v>
      </c>
      <c r="AE328" s="47">
        <v>0</v>
      </c>
      <c r="AF328" s="47">
        <v>0</v>
      </c>
      <c r="AG328" s="47">
        <v>0</v>
      </c>
      <c r="AH328" s="47">
        <v>0</v>
      </c>
      <c r="AI328" s="47">
        <v>0</v>
      </c>
      <c r="AJ328" s="47">
        <v>0</v>
      </c>
      <c r="AK328" s="47">
        <v>0</v>
      </c>
      <c r="AL328" s="47">
        <v>0</v>
      </c>
      <c r="AM328" s="47">
        <v>0</v>
      </c>
      <c r="AN328" s="47">
        <v>0</v>
      </c>
      <c r="AO328" s="47">
        <v>0</v>
      </c>
      <c r="AP328" s="47">
        <v>0</v>
      </c>
      <c r="AQ328" s="47">
        <v>0</v>
      </c>
      <c r="AR328" s="47">
        <v>0</v>
      </c>
      <c r="AS328" s="47">
        <v>1</v>
      </c>
      <c r="AT328" s="47">
        <v>0</v>
      </c>
      <c r="AU328" s="47">
        <v>0</v>
      </c>
      <c r="AV328" s="47">
        <v>0</v>
      </c>
      <c r="AW328" s="47">
        <v>0</v>
      </c>
      <c r="AX328" s="47">
        <v>0</v>
      </c>
      <c r="AY328" s="47">
        <v>0</v>
      </c>
      <c r="AZ328" s="47">
        <v>0</v>
      </c>
      <c r="BA328" s="47">
        <v>0</v>
      </c>
      <c r="BB328" s="47">
        <v>0</v>
      </c>
      <c r="BC328" s="47">
        <v>0</v>
      </c>
      <c r="BD328" s="47">
        <v>0</v>
      </c>
      <c r="BE328" s="47">
        <v>0</v>
      </c>
      <c r="BF328" s="47">
        <v>0</v>
      </c>
      <c r="BG328" s="47">
        <v>0</v>
      </c>
      <c r="BH328" s="47">
        <v>0</v>
      </c>
      <c r="BI328" s="47">
        <v>0</v>
      </c>
      <c r="BJ328" s="47">
        <v>0</v>
      </c>
      <c r="BK328" s="47">
        <v>0</v>
      </c>
      <c r="BL328" s="47">
        <v>0</v>
      </c>
      <c r="BM328" s="47">
        <v>0</v>
      </c>
      <c r="BN328" s="47">
        <v>0</v>
      </c>
      <c r="BO328" s="47">
        <v>0</v>
      </c>
      <c r="BP328" s="47">
        <v>0</v>
      </c>
      <c r="BQ328" s="47">
        <v>0</v>
      </c>
      <c r="BR328" s="47">
        <v>0</v>
      </c>
      <c r="BS328" s="47">
        <v>0</v>
      </c>
      <c r="BT328" s="47">
        <v>0</v>
      </c>
      <c r="BU328" s="47">
        <v>0</v>
      </c>
      <c r="BV328" s="47">
        <v>0</v>
      </c>
      <c r="BW328" s="47">
        <v>0</v>
      </c>
      <c r="BX328" s="47">
        <v>0</v>
      </c>
      <c r="BY328" s="47">
        <v>0</v>
      </c>
      <c r="BZ328" s="47">
        <v>0</v>
      </c>
      <c r="CA328" s="47">
        <v>0</v>
      </c>
      <c r="CB328" s="47">
        <v>0</v>
      </c>
      <c r="CC328" s="47">
        <v>0</v>
      </c>
      <c r="CD328" s="47">
        <v>0</v>
      </c>
      <c r="CE328" s="47">
        <v>0</v>
      </c>
      <c r="CF328" s="47">
        <v>0</v>
      </c>
      <c r="CG328" s="47">
        <v>0</v>
      </c>
      <c r="CH328" s="47">
        <v>0</v>
      </c>
      <c r="CI328" s="47">
        <v>0</v>
      </c>
      <c r="CJ328" s="47">
        <v>0</v>
      </c>
      <c r="CK328" s="47">
        <v>0</v>
      </c>
      <c r="CL328" s="47">
        <v>0</v>
      </c>
      <c r="CM328" s="47">
        <v>0</v>
      </c>
      <c r="CN328" s="47">
        <v>0</v>
      </c>
      <c r="CO328" s="47">
        <v>0</v>
      </c>
      <c r="CP328" s="47">
        <v>0</v>
      </c>
      <c r="CQ328" s="47">
        <v>0</v>
      </c>
      <c r="CR328" s="47">
        <v>0</v>
      </c>
      <c r="CS328" s="47">
        <v>0</v>
      </c>
      <c r="CT328" s="47">
        <v>0</v>
      </c>
      <c r="CU328" s="47">
        <v>0</v>
      </c>
      <c r="CV328" s="47">
        <v>0</v>
      </c>
      <c r="CW328" s="47">
        <v>0</v>
      </c>
      <c r="CX328" s="47">
        <v>0</v>
      </c>
      <c r="CY328" s="47">
        <v>0</v>
      </c>
      <c r="CZ328" s="47">
        <v>0</v>
      </c>
      <c r="DA328" s="47">
        <v>0</v>
      </c>
      <c r="DB328" s="47">
        <v>0</v>
      </c>
      <c r="DC328" s="47">
        <v>0</v>
      </c>
      <c r="DD328" s="47">
        <v>0</v>
      </c>
      <c r="DE328" s="47">
        <v>0</v>
      </c>
      <c r="DF328" s="47">
        <v>0</v>
      </c>
      <c r="DG328" s="47">
        <v>0</v>
      </c>
      <c r="DH328" s="47">
        <v>0</v>
      </c>
      <c r="DI328" s="47">
        <v>0</v>
      </c>
      <c r="DJ328" s="47">
        <v>0</v>
      </c>
      <c r="DK328" s="47">
        <v>0</v>
      </c>
      <c r="DL328" s="47">
        <v>0</v>
      </c>
      <c r="DM328" s="47">
        <v>0</v>
      </c>
      <c r="DN328" s="47">
        <v>0</v>
      </c>
      <c r="DO328" s="47">
        <v>0</v>
      </c>
      <c r="DP328" s="47">
        <v>0</v>
      </c>
      <c r="DQ328" s="47">
        <v>0</v>
      </c>
      <c r="DR328" s="47">
        <v>0</v>
      </c>
      <c r="DS328" s="47">
        <v>0</v>
      </c>
      <c r="DT328" s="47">
        <v>0</v>
      </c>
      <c r="DU328" s="47">
        <v>0</v>
      </c>
      <c r="DV328" s="47">
        <v>0</v>
      </c>
      <c r="DW328" s="47">
        <v>0</v>
      </c>
      <c r="DX328" s="47">
        <v>0</v>
      </c>
      <c r="DY328" s="47">
        <v>0</v>
      </c>
      <c r="DZ328" s="47">
        <v>0</v>
      </c>
      <c r="EA328" s="47">
        <v>0</v>
      </c>
      <c r="EB328" s="47"/>
      <c r="EC328" s="47">
        <v>1</v>
      </c>
      <c r="ZZ328" t="s">
        <v>2472</v>
      </c>
    </row>
    <row r="329" spans="1:702" x14ac:dyDescent="0.25">
      <c r="A329" s="47" t="s">
        <v>1614</v>
      </c>
      <c r="B329" s="47" t="s">
        <v>153</v>
      </c>
      <c r="C329" s="47" t="s">
        <v>157</v>
      </c>
      <c r="D329" s="47" t="s">
        <v>2811</v>
      </c>
      <c r="E329" s="47" t="s">
        <v>1615</v>
      </c>
      <c r="F329" s="47" t="s">
        <v>1616</v>
      </c>
      <c r="G329" s="47" t="s">
        <v>1617</v>
      </c>
      <c r="H329" s="47" t="s">
        <v>698</v>
      </c>
      <c r="I329" s="47" t="s">
        <v>727</v>
      </c>
      <c r="J329" s="47" t="str">
        <f>=IFERROR(VLOOKUP(H329&amp;I329,Table_Fonctions!A:G,6,FALSE),"")</f>
        <v>0</v>
      </c>
      <c r="K329" s="47" t="s">
        <v>2607</v>
      </c>
      <c r="L329" s="47" t="str">
        <f>=IFERROR(VLOOKUP(H329&amp;I329,Table_Fonctions!A:G,7,FALSE),K329)</f>
        <v/>
      </c>
      <c r="M329" s="47" t="str">
        <f>=IF(OR(LEFT(D329, 3)="TJ ", LEFT(D329, 4)="CPH "), "OUI", "NON")</f>
        <v/>
      </c>
      <c r="N329" s="47" t="s">
        <v>816</v>
      </c>
      <c r="O329" s="47"/>
      <c r="P329" s="47">
        <v>1</v>
      </c>
      <c r="Q329" s="47">
        <v>0</v>
      </c>
      <c r="R329" s="47">
        <v>1</v>
      </c>
      <c r="S329" s="47">
        <f>=ROUND(BQ329-(BR329+BS329),3)</f>
      </c>
      <c r="T329" s="47">
        <f>=ROUND(CK329-(CL329+CM329+CN329+CO329+CP329),3)</f>
      </c>
      <c r="U329" s="47">
        <v>0</v>
      </c>
      <c r="V329" s="47">
        <v>0</v>
      </c>
      <c r="W329" s="47">
        <v>0</v>
      </c>
      <c r="X329" s="47">
        <v>0</v>
      </c>
      <c r="Y329" s="47">
        <v>0</v>
      </c>
      <c r="Z329" s="47">
        <v>0</v>
      </c>
      <c r="AA329" s="47">
        <v>0</v>
      </c>
      <c r="AB329" s="47">
        <v>0</v>
      </c>
      <c r="AC329" s="47">
        <v>0</v>
      </c>
      <c r="AD329" s="47">
        <v>0</v>
      </c>
      <c r="AE329" s="47">
        <v>0</v>
      </c>
      <c r="AF329" s="47">
        <v>0</v>
      </c>
      <c r="AG329" s="47">
        <v>0</v>
      </c>
      <c r="AH329" s="47">
        <v>0</v>
      </c>
      <c r="AI329" s="47">
        <v>0</v>
      </c>
      <c r="AJ329" s="47">
        <v>0</v>
      </c>
      <c r="AK329" s="47">
        <v>0</v>
      </c>
      <c r="AL329" s="47">
        <v>0</v>
      </c>
      <c r="AM329" s="47">
        <v>0</v>
      </c>
      <c r="AN329" s="47">
        <v>0</v>
      </c>
      <c r="AO329" s="47">
        <v>0</v>
      </c>
      <c r="AP329" s="47">
        <v>0</v>
      </c>
      <c r="AQ329" s="47">
        <v>0</v>
      </c>
      <c r="AR329" s="47">
        <v>0</v>
      </c>
      <c r="AS329" s="47">
        <v>0</v>
      </c>
      <c r="AT329" s="47">
        <v>0</v>
      </c>
      <c r="AU329" s="47">
        <v>0</v>
      </c>
      <c r="AV329" s="47">
        <v>0</v>
      </c>
      <c r="AW329" s="47">
        <v>0</v>
      </c>
      <c r="AX329" s="47">
        <v>0</v>
      </c>
      <c r="AY329" s="47">
        <v>0</v>
      </c>
      <c r="AZ329" s="47">
        <v>0</v>
      </c>
      <c r="BA329" s="47">
        <v>0</v>
      </c>
      <c r="BB329" s="47">
        <v>0</v>
      </c>
      <c r="BC329" s="47">
        <v>0</v>
      </c>
      <c r="BD329" s="47">
        <v>0</v>
      </c>
      <c r="BE329" s="47">
        <v>0</v>
      </c>
      <c r="BF329" s="47">
        <v>0</v>
      </c>
      <c r="BG329" s="47">
        <v>0</v>
      </c>
      <c r="BH329" s="47">
        <v>0</v>
      </c>
      <c r="BI329" s="47">
        <v>0</v>
      </c>
      <c r="BJ329" s="47">
        <v>0</v>
      </c>
      <c r="BK329" s="47">
        <v>0</v>
      </c>
      <c r="BL329" s="47">
        <v>0</v>
      </c>
      <c r="BM329" s="47">
        <v>0</v>
      </c>
      <c r="BN329" s="47">
        <v>0</v>
      </c>
      <c r="BO329" s="47">
        <v>0</v>
      </c>
      <c r="BP329" s="47">
        <v>0</v>
      </c>
      <c r="BQ329" s="47">
        <v>0</v>
      </c>
      <c r="BR329" s="47">
        <v>0</v>
      </c>
      <c r="BS329" s="47">
        <v>0</v>
      </c>
      <c r="BT329" s="47">
        <v>0</v>
      </c>
      <c r="BU329" s="47">
        <v>0</v>
      </c>
      <c r="BV329" s="47">
        <v>0</v>
      </c>
      <c r="BW329" s="47">
        <v>0</v>
      </c>
      <c r="BX329" s="47">
        <v>0</v>
      </c>
      <c r="BY329" s="47">
        <v>0</v>
      </c>
      <c r="BZ329" s="47">
        <v>0</v>
      </c>
      <c r="CA329" s="47">
        <v>0</v>
      </c>
      <c r="CB329" s="47">
        <v>0</v>
      </c>
      <c r="CC329" s="47">
        <v>0</v>
      </c>
      <c r="CD329" s="47">
        <v>0</v>
      </c>
      <c r="CE329" s="47">
        <v>0</v>
      </c>
      <c r="CF329" s="47">
        <v>0</v>
      </c>
      <c r="CG329" s="47">
        <v>0</v>
      </c>
      <c r="CH329" s="47">
        <v>0</v>
      </c>
      <c r="CI329" s="47">
        <v>0</v>
      </c>
      <c r="CJ329" s="47">
        <v>0</v>
      </c>
      <c r="CK329" s="47">
        <v>0</v>
      </c>
      <c r="CL329" s="47">
        <v>0</v>
      </c>
      <c r="CM329" s="47">
        <v>0</v>
      </c>
      <c r="CN329" s="47">
        <v>0</v>
      </c>
      <c r="CO329" s="47">
        <v>0</v>
      </c>
      <c r="CP329" s="47">
        <v>0</v>
      </c>
      <c r="CQ329" s="47">
        <v>0</v>
      </c>
      <c r="CR329" s="47">
        <v>0</v>
      </c>
      <c r="CS329" s="47">
        <v>0</v>
      </c>
      <c r="CT329" s="47">
        <v>0</v>
      </c>
      <c r="CU329" s="47">
        <v>0</v>
      </c>
      <c r="CV329" s="47">
        <v>0</v>
      </c>
      <c r="CW329" s="47">
        <v>0</v>
      </c>
      <c r="CX329" s="47">
        <v>0</v>
      </c>
      <c r="CY329" s="47">
        <v>0</v>
      </c>
      <c r="CZ329" s="47">
        <v>0</v>
      </c>
      <c r="DA329" s="47">
        <v>0</v>
      </c>
      <c r="DB329" s="47">
        <v>0</v>
      </c>
      <c r="DC329" s="47">
        <v>0</v>
      </c>
      <c r="DD329" s="47">
        <v>0</v>
      </c>
      <c r="DE329" s="47">
        <v>0</v>
      </c>
      <c r="DF329" s="47">
        <v>0</v>
      </c>
      <c r="DG329" s="47">
        <v>0</v>
      </c>
      <c r="DH329" s="47">
        <v>0</v>
      </c>
      <c r="DI329" s="47">
        <v>0</v>
      </c>
      <c r="DJ329" s="47">
        <v>0</v>
      </c>
      <c r="DK329" s="47">
        <v>0</v>
      </c>
      <c r="DL329" s="47">
        <v>0</v>
      </c>
      <c r="DM329" s="47">
        <v>0</v>
      </c>
      <c r="DN329" s="47">
        <v>0</v>
      </c>
      <c r="DO329" s="47">
        <v>0</v>
      </c>
      <c r="DP329" s="47">
        <v>0</v>
      </c>
      <c r="DQ329" s="47">
        <v>0</v>
      </c>
      <c r="DR329" s="47">
        <v>0</v>
      </c>
      <c r="DS329" s="47">
        <v>0</v>
      </c>
      <c r="DT329" s="47">
        <v>0</v>
      </c>
      <c r="DU329" s="47">
        <v>0</v>
      </c>
      <c r="DV329" s="47">
        <v>0</v>
      </c>
      <c r="DW329" s="47">
        <v>0</v>
      </c>
      <c r="DX329" s="47">
        <v>0</v>
      </c>
      <c r="DY329" s="47">
        <v>0</v>
      </c>
      <c r="DZ329" s="47">
        <v>0</v>
      </c>
      <c r="EA329" s="47">
        <v>0</v>
      </c>
      <c r="EB329" s="47"/>
      <c r="EC329" s="47">
        <v>1</v>
      </c>
      <c r="ZZ329" t="s">
        <v>2472</v>
      </c>
    </row>
    <row r="330" spans="1:702" x14ac:dyDescent="0.25">
      <c r="A330" s="47" t="s">
        <v>1618</v>
      </c>
      <c r="B330" s="47" t="s">
        <v>153</v>
      </c>
      <c r="C330" s="47" t="s">
        <v>157</v>
      </c>
      <c r="D330" s="47" t="s">
        <v>2812</v>
      </c>
      <c r="E330" s="47" t="s">
        <v>1619</v>
      </c>
      <c r="F330" s="47" t="s">
        <v>1620</v>
      </c>
      <c r="G330" s="47" t="s">
        <v>1621</v>
      </c>
      <c r="H330" s="47" t="s">
        <v>698</v>
      </c>
      <c r="I330" s="47" t="s">
        <v>727</v>
      </c>
      <c r="J330" s="47" t="str">
        <f>=IFERROR(VLOOKUP(H330&amp;I330,Table_Fonctions!A:G,6,FALSE),"")</f>
        <v>0</v>
      </c>
      <c r="K330" s="47" t="s">
        <v>2607</v>
      </c>
      <c r="L330" s="47" t="str">
        <f>=IFERROR(VLOOKUP(H330&amp;I330,Table_Fonctions!A:G,7,FALSE),K330)</f>
        <v/>
      </c>
      <c r="M330" s="47" t="str">
        <f>=IF(OR(LEFT(D330, 3)="TJ ", LEFT(D330, 4)="CPH "), "OUI", "NON")</f>
        <v/>
      </c>
      <c r="N330" s="47" t="s">
        <v>1039</v>
      </c>
      <c r="O330" s="47"/>
      <c r="P330" s="47">
        <v>1</v>
      </c>
      <c r="Q330" s="47">
        <v>1</v>
      </c>
      <c r="R330" s="47">
        <v>0</v>
      </c>
      <c r="S330" s="47">
        <f>=ROUND(BQ330-(BR330+BS330),3)</f>
      </c>
      <c r="T330" s="47">
        <f>=ROUND(CK330-(CL330+CM330+CN330+CO330+CP330),3)</f>
      </c>
      <c r="U330" s="47">
        <v>0</v>
      </c>
      <c r="V330" s="47">
        <v>0</v>
      </c>
      <c r="W330" s="47">
        <v>0</v>
      </c>
      <c r="X330" s="47">
        <v>0</v>
      </c>
      <c r="Y330" s="47">
        <v>0</v>
      </c>
      <c r="Z330" s="47">
        <v>0</v>
      </c>
      <c r="AA330" s="47">
        <v>0</v>
      </c>
      <c r="AB330" s="47">
        <v>0</v>
      </c>
      <c r="AC330" s="47">
        <v>0</v>
      </c>
      <c r="AD330" s="47">
        <v>0</v>
      </c>
      <c r="AE330" s="47">
        <v>0</v>
      </c>
      <c r="AF330" s="47">
        <v>0</v>
      </c>
      <c r="AG330" s="47">
        <v>0</v>
      </c>
      <c r="AH330" s="47">
        <v>0</v>
      </c>
      <c r="AI330" s="47">
        <v>0</v>
      </c>
      <c r="AJ330" s="47">
        <v>0</v>
      </c>
      <c r="AK330" s="47">
        <v>0</v>
      </c>
      <c r="AL330" s="47">
        <v>0</v>
      </c>
      <c r="AM330" s="47">
        <v>0</v>
      </c>
      <c r="AN330" s="47">
        <v>0</v>
      </c>
      <c r="AO330" s="47">
        <v>0</v>
      </c>
      <c r="AP330" s="47">
        <v>0</v>
      </c>
      <c r="AQ330" s="47">
        <v>0</v>
      </c>
      <c r="AR330" s="47">
        <v>0</v>
      </c>
      <c r="AS330" s="47">
        <v>0</v>
      </c>
      <c r="AT330" s="47">
        <v>0</v>
      </c>
      <c r="AU330" s="47">
        <v>0</v>
      </c>
      <c r="AV330" s="47">
        <v>0</v>
      </c>
      <c r="AW330" s="47">
        <v>0</v>
      </c>
      <c r="AX330" s="47">
        <v>0</v>
      </c>
      <c r="AY330" s="47">
        <v>0</v>
      </c>
      <c r="AZ330" s="47">
        <v>0</v>
      </c>
      <c r="BA330" s="47">
        <v>0</v>
      </c>
      <c r="BB330" s="47">
        <v>0</v>
      </c>
      <c r="BC330" s="47">
        <v>0</v>
      </c>
      <c r="BD330" s="47">
        <v>0</v>
      </c>
      <c r="BE330" s="47">
        <v>0</v>
      </c>
      <c r="BF330" s="47">
        <v>0</v>
      </c>
      <c r="BG330" s="47">
        <v>0</v>
      </c>
      <c r="BH330" s="47">
        <v>0</v>
      </c>
      <c r="BI330" s="47">
        <v>0</v>
      </c>
      <c r="BJ330" s="47">
        <v>0</v>
      </c>
      <c r="BK330" s="47">
        <v>0</v>
      </c>
      <c r="BL330" s="47">
        <v>0</v>
      </c>
      <c r="BM330" s="47">
        <v>0</v>
      </c>
      <c r="BN330" s="47">
        <v>0</v>
      </c>
      <c r="BO330" s="47">
        <v>0</v>
      </c>
      <c r="BP330" s="47">
        <v>0</v>
      </c>
      <c r="BQ330" s="47">
        <v>0</v>
      </c>
      <c r="BR330" s="47">
        <v>0</v>
      </c>
      <c r="BS330" s="47">
        <v>0</v>
      </c>
      <c r="BT330" s="47">
        <v>0</v>
      </c>
      <c r="BU330" s="47">
        <v>0</v>
      </c>
      <c r="BV330" s="47">
        <v>0</v>
      </c>
      <c r="BW330" s="47">
        <v>0</v>
      </c>
      <c r="BX330" s="47">
        <v>0</v>
      </c>
      <c r="BY330" s="47">
        <v>0</v>
      </c>
      <c r="BZ330" s="47">
        <v>0</v>
      </c>
      <c r="CA330" s="47">
        <v>0</v>
      </c>
      <c r="CB330" s="47">
        <v>0</v>
      </c>
      <c r="CC330" s="47">
        <v>0</v>
      </c>
      <c r="CD330" s="47">
        <v>0</v>
      </c>
      <c r="CE330" s="47">
        <v>0</v>
      </c>
      <c r="CF330" s="47">
        <v>0</v>
      </c>
      <c r="CG330" s="47">
        <v>0</v>
      </c>
      <c r="CH330" s="47">
        <v>0</v>
      </c>
      <c r="CI330" s="47">
        <v>0</v>
      </c>
      <c r="CJ330" s="47">
        <v>0</v>
      </c>
      <c r="CK330" s="47">
        <v>0</v>
      </c>
      <c r="CL330" s="47">
        <v>0</v>
      </c>
      <c r="CM330" s="47">
        <v>0</v>
      </c>
      <c r="CN330" s="47">
        <v>0</v>
      </c>
      <c r="CO330" s="47">
        <v>0</v>
      </c>
      <c r="CP330" s="47">
        <v>0</v>
      </c>
      <c r="CQ330" s="47">
        <v>0</v>
      </c>
      <c r="CR330" s="47">
        <v>0</v>
      </c>
      <c r="CS330" s="47">
        <v>0</v>
      </c>
      <c r="CT330" s="47">
        <v>0</v>
      </c>
      <c r="CU330" s="47">
        <v>0</v>
      </c>
      <c r="CV330" s="47">
        <v>1</v>
      </c>
      <c r="CW330" s="47">
        <v>0</v>
      </c>
      <c r="CX330" s="47">
        <v>0</v>
      </c>
      <c r="CY330" s="47">
        <v>0</v>
      </c>
      <c r="CZ330" s="47">
        <v>0</v>
      </c>
      <c r="DA330" s="47">
        <v>0</v>
      </c>
      <c r="DB330" s="47">
        <v>0</v>
      </c>
      <c r="DC330" s="47">
        <v>0</v>
      </c>
      <c r="DD330" s="47">
        <v>0</v>
      </c>
      <c r="DE330" s="47">
        <v>0</v>
      </c>
      <c r="DF330" s="47">
        <v>0</v>
      </c>
      <c r="DG330" s="47">
        <v>0</v>
      </c>
      <c r="DH330" s="47">
        <v>0</v>
      </c>
      <c r="DI330" s="47">
        <v>0</v>
      </c>
      <c r="DJ330" s="47">
        <v>0</v>
      </c>
      <c r="DK330" s="47">
        <v>0</v>
      </c>
      <c r="DL330" s="47">
        <v>0</v>
      </c>
      <c r="DM330" s="47">
        <v>0</v>
      </c>
      <c r="DN330" s="47">
        <v>0</v>
      </c>
      <c r="DO330" s="47">
        <v>0</v>
      </c>
      <c r="DP330" s="47">
        <v>0</v>
      </c>
      <c r="DQ330" s="47">
        <v>0</v>
      </c>
      <c r="DR330" s="47">
        <v>0</v>
      </c>
      <c r="DS330" s="47">
        <v>0</v>
      </c>
      <c r="DT330" s="47">
        <v>0</v>
      </c>
      <c r="DU330" s="47">
        <v>0</v>
      </c>
      <c r="DV330" s="47">
        <v>0</v>
      </c>
      <c r="DW330" s="47">
        <v>0</v>
      </c>
      <c r="DX330" s="47">
        <v>0</v>
      </c>
      <c r="DY330" s="47">
        <v>0</v>
      </c>
      <c r="DZ330" s="47">
        <v>0</v>
      </c>
      <c r="EA330" s="47">
        <v>0</v>
      </c>
      <c r="EB330" s="47"/>
      <c r="EC330" s="47">
        <v>1</v>
      </c>
      <c r="ZZ330" t="s">
        <v>2472</v>
      </c>
    </row>
    <row r="331" spans="1:702" x14ac:dyDescent="0.25">
      <c r="A331" s="47" t="s">
        <v>1622</v>
      </c>
      <c r="B331" s="47" t="s">
        <v>153</v>
      </c>
      <c r="C331" s="47" t="s">
        <v>157</v>
      </c>
      <c r="D331" s="47" t="s">
        <v>2813</v>
      </c>
      <c r="E331" s="47" t="s">
        <v>1623</v>
      </c>
      <c r="F331" s="47" t="s">
        <v>1624</v>
      </c>
      <c r="G331" s="47" t="s">
        <v>1625</v>
      </c>
      <c r="H331" s="47" t="s">
        <v>698</v>
      </c>
      <c r="I331" s="47" t="s">
        <v>705</v>
      </c>
      <c r="J331" s="47" t="str">
        <f>=IFERROR(VLOOKUP(H331&amp;I331,Table_Fonctions!A:G,6,FALSE),"")</f>
        <v>0</v>
      </c>
      <c r="K331" s="47" t="s">
        <v>2607</v>
      </c>
      <c r="L331" s="47" t="str">
        <f>=IFERROR(VLOOKUP(H331&amp;I331,Table_Fonctions!A:G,7,FALSE),K331)</f>
        <v/>
      </c>
      <c r="M331" s="47" t="str">
        <f>=IF(OR(LEFT(D331, 3)="TJ ", LEFT(D331, 4)="CPH "), "OUI", "NON")</f>
        <v/>
      </c>
      <c r="N331" s="47" t="s">
        <v>593</v>
      </c>
      <c r="O331" s="47"/>
      <c r="P331" s="47">
        <v>1</v>
      </c>
      <c r="Q331" s="47">
        <v>0</v>
      </c>
      <c r="R331" s="47">
        <v>1</v>
      </c>
      <c r="S331" s="47">
        <f>=ROUND(BQ331-(BR331+BS331),3)</f>
      </c>
      <c r="T331" s="47">
        <f>=ROUND(CK331-(CL331+CM331+CN331+CO331+CP331),3)</f>
      </c>
      <c r="U331" s="47">
        <v>0</v>
      </c>
      <c r="V331" s="47">
        <v>0</v>
      </c>
      <c r="W331" s="47">
        <v>0</v>
      </c>
      <c r="X331" s="47">
        <v>0</v>
      </c>
      <c r="Y331" s="47">
        <v>0</v>
      </c>
      <c r="Z331" s="47">
        <v>0</v>
      </c>
      <c r="AA331" s="47">
        <v>0</v>
      </c>
      <c r="AB331" s="47">
        <v>0</v>
      </c>
      <c r="AC331" s="47">
        <v>0</v>
      </c>
      <c r="AD331" s="47">
        <v>0</v>
      </c>
      <c r="AE331" s="47">
        <v>0</v>
      </c>
      <c r="AF331" s="47">
        <v>0</v>
      </c>
      <c r="AG331" s="47">
        <v>0</v>
      </c>
      <c r="AH331" s="47">
        <v>0</v>
      </c>
      <c r="AI331" s="47">
        <v>0</v>
      </c>
      <c r="AJ331" s="47">
        <v>0</v>
      </c>
      <c r="AK331" s="47">
        <v>0</v>
      </c>
      <c r="AL331" s="47">
        <v>0</v>
      </c>
      <c r="AM331" s="47">
        <v>0</v>
      </c>
      <c r="AN331" s="47">
        <v>0</v>
      </c>
      <c r="AO331" s="47">
        <v>0</v>
      </c>
      <c r="AP331" s="47">
        <v>0</v>
      </c>
      <c r="AQ331" s="47">
        <v>0</v>
      </c>
      <c r="AR331" s="47">
        <v>0</v>
      </c>
      <c r="AS331" s="47">
        <v>0</v>
      </c>
      <c r="AT331" s="47">
        <v>0</v>
      </c>
      <c r="AU331" s="47">
        <v>0</v>
      </c>
      <c r="AV331" s="47">
        <v>0</v>
      </c>
      <c r="AW331" s="47">
        <v>0</v>
      </c>
      <c r="AX331" s="47">
        <v>0</v>
      </c>
      <c r="AY331" s="47">
        <v>0</v>
      </c>
      <c r="AZ331" s="47">
        <v>0</v>
      </c>
      <c r="BA331" s="47">
        <v>0</v>
      </c>
      <c r="BB331" s="47">
        <v>0</v>
      </c>
      <c r="BC331" s="47">
        <v>0</v>
      </c>
      <c r="BD331" s="47">
        <v>0</v>
      </c>
      <c r="BE331" s="47">
        <v>0</v>
      </c>
      <c r="BF331" s="47">
        <v>0</v>
      </c>
      <c r="BG331" s="47">
        <v>0</v>
      </c>
      <c r="BH331" s="47">
        <v>0</v>
      </c>
      <c r="BI331" s="47">
        <v>0</v>
      </c>
      <c r="BJ331" s="47">
        <v>0</v>
      </c>
      <c r="BK331" s="47">
        <v>0</v>
      </c>
      <c r="BL331" s="47">
        <v>0</v>
      </c>
      <c r="BM331" s="47">
        <v>0</v>
      </c>
      <c r="BN331" s="47">
        <v>0</v>
      </c>
      <c r="BO331" s="47">
        <v>0</v>
      </c>
      <c r="BP331" s="47">
        <v>0</v>
      </c>
      <c r="BQ331" s="47">
        <v>0</v>
      </c>
      <c r="BR331" s="47">
        <v>0</v>
      </c>
      <c r="BS331" s="47">
        <v>0</v>
      </c>
      <c r="BT331" s="47">
        <v>0</v>
      </c>
      <c r="BU331" s="47">
        <v>0</v>
      </c>
      <c r="BV331" s="47">
        <v>0</v>
      </c>
      <c r="BW331" s="47">
        <v>0</v>
      </c>
      <c r="BX331" s="47">
        <v>0</v>
      </c>
      <c r="BY331" s="47">
        <v>0</v>
      </c>
      <c r="BZ331" s="47">
        <v>0</v>
      </c>
      <c r="CA331" s="47">
        <v>0</v>
      </c>
      <c r="CB331" s="47">
        <v>0</v>
      </c>
      <c r="CC331" s="47">
        <v>0</v>
      </c>
      <c r="CD331" s="47">
        <v>0</v>
      </c>
      <c r="CE331" s="47">
        <v>0</v>
      </c>
      <c r="CF331" s="47">
        <v>0</v>
      </c>
      <c r="CG331" s="47">
        <v>0</v>
      </c>
      <c r="CH331" s="47">
        <v>0</v>
      </c>
      <c r="CI331" s="47">
        <v>0</v>
      </c>
      <c r="CJ331" s="47">
        <v>0</v>
      </c>
      <c r="CK331" s="47">
        <v>0</v>
      </c>
      <c r="CL331" s="47">
        <v>0</v>
      </c>
      <c r="CM331" s="47">
        <v>0</v>
      </c>
      <c r="CN331" s="47">
        <v>0</v>
      </c>
      <c r="CO331" s="47">
        <v>0</v>
      </c>
      <c r="CP331" s="47">
        <v>0</v>
      </c>
      <c r="CQ331" s="47">
        <v>0</v>
      </c>
      <c r="CR331" s="47">
        <v>0</v>
      </c>
      <c r="CS331" s="47">
        <v>0</v>
      </c>
      <c r="CT331" s="47">
        <v>0</v>
      </c>
      <c r="CU331" s="47">
        <v>0</v>
      </c>
      <c r="CV331" s="47">
        <v>0</v>
      </c>
      <c r="CW331" s="47">
        <v>0</v>
      </c>
      <c r="CX331" s="47">
        <v>0</v>
      </c>
      <c r="CY331" s="47">
        <v>0</v>
      </c>
      <c r="CZ331" s="47">
        <v>0</v>
      </c>
      <c r="DA331" s="47">
        <v>0</v>
      </c>
      <c r="DB331" s="47">
        <v>0</v>
      </c>
      <c r="DC331" s="47">
        <v>0</v>
      </c>
      <c r="DD331" s="47">
        <v>0</v>
      </c>
      <c r="DE331" s="47">
        <v>0</v>
      </c>
      <c r="DF331" s="47">
        <v>0</v>
      </c>
      <c r="DG331" s="47">
        <v>0</v>
      </c>
      <c r="DH331" s="47">
        <v>0</v>
      </c>
      <c r="DI331" s="47">
        <v>0</v>
      </c>
      <c r="DJ331" s="47">
        <v>0</v>
      </c>
      <c r="DK331" s="47">
        <v>0</v>
      </c>
      <c r="DL331" s="47">
        <v>0</v>
      </c>
      <c r="DM331" s="47">
        <v>0</v>
      </c>
      <c r="DN331" s="47">
        <v>0</v>
      </c>
      <c r="DO331" s="47">
        <v>0</v>
      </c>
      <c r="DP331" s="47">
        <v>0</v>
      </c>
      <c r="DQ331" s="47">
        <v>0</v>
      </c>
      <c r="DR331" s="47">
        <v>0</v>
      </c>
      <c r="DS331" s="47">
        <v>0</v>
      </c>
      <c r="DT331" s="47">
        <v>0</v>
      </c>
      <c r="DU331" s="47">
        <v>0</v>
      </c>
      <c r="DV331" s="47">
        <v>0</v>
      </c>
      <c r="DW331" s="47">
        <v>0</v>
      </c>
      <c r="DX331" s="47">
        <v>0</v>
      </c>
      <c r="DY331" s="47">
        <v>0</v>
      </c>
      <c r="DZ331" s="47">
        <v>0</v>
      </c>
      <c r="EA331" s="47">
        <v>0</v>
      </c>
      <c r="EB331" s="47"/>
      <c r="EC331" s="47">
        <v>1</v>
      </c>
      <c r="ZZ331" t="s">
        <v>2472</v>
      </c>
    </row>
    <row r="332" spans="1:702" x14ac:dyDescent="0.25">
      <c r="A332" s="47" t="s">
        <v>1626</v>
      </c>
      <c r="B332" s="47" t="s">
        <v>153</v>
      </c>
      <c r="C332" s="47" t="s">
        <v>157</v>
      </c>
      <c r="D332" s="47" t="s">
        <v>2814</v>
      </c>
      <c r="E332" s="47" t="s">
        <v>1627</v>
      </c>
      <c r="F332" s="47" t="s">
        <v>1628</v>
      </c>
      <c r="G332" s="47" t="s">
        <v>1629</v>
      </c>
      <c r="H332" s="47" t="s">
        <v>698</v>
      </c>
      <c r="I332" s="47" t="s">
        <v>727</v>
      </c>
      <c r="J332" s="47" t="str">
        <f>=IFERROR(VLOOKUP(H332&amp;I332,Table_Fonctions!A:G,6,FALSE),"")</f>
        <v>0</v>
      </c>
      <c r="K332" s="47" t="s">
        <v>2607</v>
      </c>
      <c r="L332" s="47" t="str">
        <f>=IFERROR(VLOOKUP(H332&amp;I332,Table_Fonctions!A:G,7,FALSE),K332)</f>
        <v/>
      </c>
      <c r="M332" s="47" t="str">
        <f>=IF(OR(LEFT(D332, 3)="TJ ", LEFT(D332, 4)="CPH "), "OUI", "NON")</f>
        <v/>
      </c>
      <c r="N332" s="47" t="s">
        <v>728</v>
      </c>
      <c r="O332" s="47"/>
      <c r="P332" s="47">
        <v>1</v>
      </c>
      <c r="Q332" s="47">
        <v>1</v>
      </c>
      <c r="R332" s="47">
        <v>0</v>
      </c>
      <c r="S332" s="47">
        <f>=ROUND(BQ332-(BR332+BS332),3)</f>
      </c>
      <c r="T332" s="47">
        <f>=ROUND(CK332-(CL332+CM332+CN332+CO332+CP332),3)</f>
      </c>
      <c r="U332" s="47">
        <v>0</v>
      </c>
      <c r="V332" s="47">
        <v>0</v>
      </c>
      <c r="W332" s="47">
        <v>0</v>
      </c>
      <c r="X332" s="47">
        <v>0</v>
      </c>
      <c r="Y332" s="47">
        <v>0</v>
      </c>
      <c r="Z332" s="47">
        <v>0</v>
      </c>
      <c r="AA332" s="47">
        <v>0</v>
      </c>
      <c r="AB332" s="47">
        <v>0</v>
      </c>
      <c r="AC332" s="47">
        <v>0</v>
      </c>
      <c r="AD332" s="47">
        <v>0</v>
      </c>
      <c r="AE332" s="47">
        <v>0</v>
      </c>
      <c r="AF332" s="47">
        <v>0</v>
      </c>
      <c r="AG332" s="47">
        <v>0</v>
      </c>
      <c r="AH332" s="47">
        <v>0</v>
      </c>
      <c r="AI332" s="47">
        <v>0</v>
      </c>
      <c r="AJ332" s="47">
        <v>1</v>
      </c>
      <c r="AK332" s="47">
        <v>0</v>
      </c>
      <c r="AL332" s="47">
        <v>0</v>
      </c>
      <c r="AM332" s="47">
        <v>0</v>
      </c>
      <c r="AN332" s="47">
        <v>0</v>
      </c>
      <c r="AO332" s="47">
        <v>0</v>
      </c>
      <c r="AP332" s="47">
        <v>0</v>
      </c>
      <c r="AQ332" s="47">
        <v>0</v>
      </c>
      <c r="AR332" s="47">
        <v>0</v>
      </c>
      <c r="AS332" s="47">
        <v>0</v>
      </c>
      <c r="AT332" s="47">
        <v>0</v>
      </c>
      <c r="AU332" s="47">
        <v>0</v>
      </c>
      <c r="AV332" s="47">
        <v>0</v>
      </c>
      <c r="AW332" s="47">
        <v>0</v>
      </c>
      <c r="AX332" s="47">
        <v>0</v>
      </c>
      <c r="AY332" s="47">
        <v>0</v>
      </c>
      <c r="AZ332" s="47">
        <v>0</v>
      </c>
      <c r="BA332" s="47">
        <v>0</v>
      </c>
      <c r="BB332" s="47">
        <v>0</v>
      </c>
      <c r="BC332" s="47">
        <v>0</v>
      </c>
      <c r="BD332" s="47">
        <v>0</v>
      </c>
      <c r="BE332" s="47">
        <v>0</v>
      </c>
      <c r="BF332" s="47">
        <v>0</v>
      </c>
      <c r="BG332" s="47">
        <v>0</v>
      </c>
      <c r="BH332" s="47">
        <v>0</v>
      </c>
      <c r="BI332" s="47">
        <v>0</v>
      </c>
      <c r="BJ332" s="47">
        <v>0</v>
      </c>
      <c r="BK332" s="47">
        <v>0</v>
      </c>
      <c r="BL332" s="47">
        <v>0</v>
      </c>
      <c r="BM332" s="47">
        <v>0</v>
      </c>
      <c r="BN332" s="47">
        <v>0</v>
      </c>
      <c r="BO332" s="47">
        <v>0</v>
      </c>
      <c r="BP332" s="47">
        <v>0</v>
      </c>
      <c r="BQ332" s="47">
        <v>0</v>
      </c>
      <c r="BR332" s="47">
        <v>0</v>
      </c>
      <c r="BS332" s="47">
        <v>0</v>
      </c>
      <c r="BT332" s="47">
        <v>0</v>
      </c>
      <c r="BU332" s="47">
        <v>0</v>
      </c>
      <c r="BV332" s="47">
        <v>0</v>
      </c>
      <c r="BW332" s="47">
        <v>0</v>
      </c>
      <c r="BX332" s="47">
        <v>0</v>
      </c>
      <c r="BY332" s="47">
        <v>0</v>
      </c>
      <c r="BZ332" s="47">
        <v>0</v>
      </c>
      <c r="CA332" s="47">
        <v>0</v>
      </c>
      <c r="CB332" s="47">
        <v>0</v>
      </c>
      <c r="CC332" s="47">
        <v>0</v>
      </c>
      <c r="CD332" s="47">
        <v>0</v>
      </c>
      <c r="CE332" s="47">
        <v>0</v>
      </c>
      <c r="CF332" s="47">
        <v>0</v>
      </c>
      <c r="CG332" s="47">
        <v>0</v>
      </c>
      <c r="CH332" s="47">
        <v>0</v>
      </c>
      <c r="CI332" s="47">
        <v>0</v>
      </c>
      <c r="CJ332" s="47">
        <v>0</v>
      </c>
      <c r="CK332" s="47">
        <v>0</v>
      </c>
      <c r="CL332" s="47">
        <v>0</v>
      </c>
      <c r="CM332" s="47">
        <v>0</v>
      </c>
      <c r="CN332" s="47">
        <v>0</v>
      </c>
      <c r="CO332" s="47">
        <v>0</v>
      </c>
      <c r="CP332" s="47">
        <v>0</v>
      </c>
      <c r="CQ332" s="47">
        <v>0</v>
      </c>
      <c r="CR332" s="47">
        <v>0</v>
      </c>
      <c r="CS332" s="47">
        <v>0</v>
      </c>
      <c r="CT332" s="47">
        <v>0</v>
      </c>
      <c r="CU332" s="47">
        <v>0</v>
      </c>
      <c r="CV332" s="47">
        <v>0</v>
      </c>
      <c r="CW332" s="47">
        <v>0</v>
      </c>
      <c r="CX332" s="47">
        <v>0</v>
      </c>
      <c r="CY332" s="47">
        <v>0</v>
      </c>
      <c r="CZ332" s="47">
        <v>0</v>
      </c>
      <c r="DA332" s="47">
        <v>0</v>
      </c>
      <c r="DB332" s="47">
        <v>0</v>
      </c>
      <c r="DC332" s="47">
        <v>0</v>
      </c>
      <c r="DD332" s="47">
        <v>0</v>
      </c>
      <c r="DE332" s="47">
        <v>0</v>
      </c>
      <c r="DF332" s="47">
        <v>0</v>
      </c>
      <c r="DG332" s="47">
        <v>0</v>
      </c>
      <c r="DH332" s="47">
        <v>0</v>
      </c>
      <c r="DI332" s="47">
        <v>0</v>
      </c>
      <c r="DJ332" s="47">
        <v>0</v>
      </c>
      <c r="DK332" s="47">
        <v>0</v>
      </c>
      <c r="DL332" s="47">
        <v>0</v>
      </c>
      <c r="DM332" s="47">
        <v>0</v>
      </c>
      <c r="DN332" s="47">
        <v>0</v>
      </c>
      <c r="DO332" s="47">
        <v>0</v>
      </c>
      <c r="DP332" s="47">
        <v>0</v>
      </c>
      <c r="DQ332" s="47">
        <v>0</v>
      </c>
      <c r="DR332" s="47">
        <v>0</v>
      </c>
      <c r="DS332" s="47">
        <v>0</v>
      </c>
      <c r="DT332" s="47">
        <v>0</v>
      </c>
      <c r="DU332" s="47">
        <v>0</v>
      </c>
      <c r="DV332" s="47">
        <v>0</v>
      </c>
      <c r="DW332" s="47">
        <v>0</v>
      </c>
      <c r="DX332" s="47">
        <v>0</v>
      </c>
      <c r="DY332" s="47">
        <v>0</v>
      </c>
      <c r="DZ332" s="47">
        <v>0</v>
      </c>
      <c r="EA332" s="47">
        <v>0</v>
      </c>
      <c r="EB332" s="47"/>
      <c r="EC332" s="47">
        <v>1</v>
      </c>
      <c r="ZZ332" t="s">
        <v>2472</v>
      </c>
    </row>
    <row r="333" spans="1:702" x14ac:dyDescent="0.25">
      <c r="A333" s="47" t="s">
        <v>1630</v>
      </c>
      <c r="B333" s="47" t="s">
        <v>153</v>
      </c>
      <c r="C333" s="47" t="s">
        <v>157</v>
      </c>
      <c r="D333" s="47" t="s">
        <v>2815</v>
      </c>
      <c r="E333" s="47" t="s">
        <v>1631</v>
      </c>
      <c r="F333" s="47" t="s">
        <v>1632</v>
      </c>
      <c r="G333" s="47" t="s">
        <v>1633</v>
      </c>
      <c r="H333" s="47" t="s">
        <v>698</v>
      </c>
      <c r="I333" s="47" t="s">
        <v>705</v>
      </c>
      <c r="J333" s="47" t="str">
        <f>=IFERROR(VLOOKUP(H333&amp;I333,Table_Fonctions!A:G,6,FALSE),"")</f>
        <v>0</v>
      </c>
      <c r="K333" s="47" t="s">
        <v>2607</v>
      </c>
      <c r="L333" s="47" t="str">
        <f>=IFERROR(VLOOKUP(H333&amp;I333,Table_Fonctions!A:G,7,FALSE),K333)</f>
        <v/>
      </c>
      <c r="M333" s="47" t="str">
        <f>=IF(OR(LEFT(D333, 3)="TJ ", LEFT(D333, 4)="CPH "), "OUI", "NON")</f>
        <v/>
      </c>
      <c r="N333" s="47" t="s">
        <v>791</v>
      </c>
      <c r="O333" s="47"/>
      <c r="P333" s="47">
        <v>1</v>
      </c>
      <c r="Q333" s="47">
        <v>0</v>
      </c>
      <c r="R333" s="47">
        <v>1</v>
      </c>
      <c r="S333" s="47">
        <f>=ROUND(BQ333-(BR333+BS333),3)</f>
      </c>
      <c r="T333" s="47">
        <f>=ROUND(CK333-(CL333+CM333+CN333+CO333+CP333),3)</f>
      </c>
      <c r="U333" s="47">
        <v>0</v>
      </c>
      <c r="V333" s="47">
        <v>0</v>
      </c>
      <c r="W333" s="47">
        <v>0</v>
      </c>
      <c r="X333" s="47">
        <v>0</v>
      </c>
      <c r="Y333" s="47">
        <v>0</v>
      </c>
      <c r="Z333" s="47">
        <v>0</v>
      </c>
      <c r="AA333" s="47">
        <v>0</v>
      </c>
      <c r="AB333" s="47">
        <v>0</v>
      </c>
      <c r="AC333" s="47">
        <v>0</v>
      </c>
      <c r="AD333" s="47">
        <v>0</v>
      </c>
      <c r="AE333" s="47">
        <v>0</v>
      </c>
      <c r="AF333" s="47">
        <v>0</v>
      </c>
      <c r="AG333" s="47">
        <v>0</v>
      </c>
      <c r="AH333" s="47">
        <v>0</v>
      </c>
      <c r="AI333" s="47">
        <v>0</v>
      </c>
      <c r="AJ333" s="47">
        <v>0</v>
      </c>
      <c r="AK333" s="47">
        <v>0</v>
      </c>
      <c r="AL333" s="47">
        <v>0</v>
      </c>
      <c r="AM333" s="47">
        <v>0</v>
      </c>
      <c r="AN333" s="47">
        <v>0</v>
      </c>
      <c r="AO333" s="47">
        <v>0</v>
      </c>
      <c r="AP333" s="47">
        <v>0</v>
      </c>
      <c r="AQ333" s="47">
        <v>0</v>
      </c>
      <c r="AR333" s="47">
        <v>0</v>
      </c>
      <c r="AS333" s="47">
        <v>0</v>
      </c>
      <c r="AT333" s="47">
        <v>0</v>
      </c>
      <c r="AU333" s="47">
        <v>0</v>
      </c>
      <c r="AV333" s="47">
        <v>0</v>
      </c>
      <c r="AW333" s="47">
        <v>0</v>
      </c>
      <c r="AX333" s="47">
        <v>0</v>
      </c>
      <c r="AY333" s="47">
        <v>0</v>
      </c>
      <c r="AZ333" s="47">
        <v>0</v>
      </c>
      <c r="BA333" s="47">
        <v>0</v>
      </c>
      <c r="BB333" s="47">
        <v>0</v>
      </c>
      <c r="BC333" s="47">
        <v>0</v>
      </c>
      <c r="BD333" s="47">
        <v>0</v>
      </c>
      <c r="BE333" s="47">
        <v>0</v>
      </c>
      <c r="BF333" s="47">
        <v>0</v>
      </c>
      <c r="BG333" s="47">
        <v>0</v>
      </c>
      <c r="BH333" s="47">
        <v>0</v>
      </c>
      <c r="BI333" s="47">
        <v>0</v>
      </c>
      <c r="BJ333" s="47">
        <v>0</v>
      </c>
      <c r="BK333" s="47">
        <v>0</v>
      </c>
      <c r="BL333" s="47">
        <v>0</v>
      </c>
      <c r="BM333" s="47">
        <v>0</v>
      </c>
      <c r="BN333" s="47">
        <v>0</v>
      </c>
      <c r="BO333" s="47">
        <v>0</v>
      </c>
      <c r="BP333" s="47">
        <v>0</v>
      </c>
      <c r="BQ333" s="47">
        <v>0</v>
      </c>
      <c r="BR333" s="47">
        <v>0</v>
      </c>
      <c r="BS333" s="47">
        <v>0</v>
      </c>
      <c r="BT333" s="47">
        <v>0</v>
      </c>
      <c r="BU333" s="47">
        <v>0</v>
      </c>
      <c r="BV333" s="47">
        <v>0</v>
      </c>
      <c r="BW333" s="47">
        <v>0</v>
      </c>
      <c r="BX333" s="47">
        <v>0</v>
      </c>
      <c r="BY333" s="47">
        <v>0</v>
      </c>
      <c r="BZ333" s="47">
        <v>0</v>
      </c>
      <c r="CA333" s="47">
        <v>0</v>
      </c>
      <c r="CB333" s="47">
        <v>0</v>
      </c>
      <c r="CC333" s="47">
        <v>0</v>
      </c>
      <c r="CD333" s="47">
        <v>0</v>
      </c>
      <c r="CE333" s="47">
        <v>0</v>
      </c>
      <c r="CF333" s="47">
        <v>0</v>
      </c>
      <c r="CG333" s="47">
        <v>0</v>
      </c>
      <c r="CH333" s="47">
        <v>0</v>
      </c>
      <c r="CI333" s="47">
        <v>0</v>
      </c>
      <c r="CJ333" s="47">
        <v>0</v>
      </c>
      <c r="CK333" s="47">
        <v>0</v>
      </c>
      <c r="CL333" s="47">
        <v>0</v>
      </c>
      <c r="CM333" s="47">
        <v>0</v>
      </c>
      <c r="CN333" s="47">
        <v>0</v>
      </c>
      <c r="CO333" s="47">
        <v>0</v>
      </c>
      <c r="CP333" s="47">
        <v>0</v>
      </c>
      <c r="CQ333" s="47">
        <v>0</v>
      </c>
      <c r="CR333" s="47">
        <v>0</v>
      </c>
      <c r="CS333" s="47">
        <v>0</v>
      </c>
      <c r="CT333" s="47">
        <v>0</v>
      </c>
      <c r="CU333" s="47">
        <v>0</v>
      </c>
      <c r="CV333" s="47">
        <v>0</v>
      </c>
      <c r="CW333" s="47">
        <v>0</v>
      </c>
      <c r="CX333" s="47">
        <v>0</v>
      </c>
      <c r="CY333" s="47">
        <v>0</v>
      </c>
      <c r="CZ333" s="47">
        <v>0</v>
      </c>
      <c r="DA333" s="47">
        <v>0</v>
      </c>
      <c r="DB333" s="47">
        <v>0</v>
      </c>
      <c r="DC333" s="47">
        <v>0</v>
      </c>
      <c r="DD333" s="47">
        <v>0</v>
      </c>
      <c r="DE333" s="47">
        <v>0</v>
      </c>
      <c r="DF333" s="47">
        <v>0</v>
      </c>
      <c r="DG333" s="47">
        <v>0</v>
      </c>
      <c r="DH333" s="47">
        <v>0</v>
      </c>
      <c r="DI333" s="47">
        <v>0</v>
      </c>
      <c r="DJ333" s="47">
        <v>0</v>
      </c>
      <c r="DK333" s="47">
        <v>0</v>
      </c>
      <c r="DL333" s="47">
        <v>0</v>
      </c>
      <c r="DM333" s="47">
        <v>0</v>
      </c>
      <c r="DN333" s="47">
        <v>0</v>
      </c>
      <c r="DO333" s="47">
        <v>0</v>
      </c>
      <c r="DP333" s="47">
        <v>0</v>
      </c>
      <c r="DQ333" s="47">
        <v>0</v>
      </c>
      <c r="DR333" s="47">
        <v>0</v>
      </c>
      <c r="DS333" s="47">
        <v>0</v>
      </c>
      <c r="DT333" s="47">
        <v>0</v>
      </c>
      <c r="DU333" s="47">
        <v>0</v>
      </c>
      <c r="DV333" s="47">
        <v>0</v>
      </c>
      <c r="DW333" s="47">
        <v>0</v>
      </c>
      <c r="DX333" s="47">
        <v>0</v>
      </c>
      <c r="DY333" s="47">
        <v>0</v>
      </c>
      <c r="DZ333" s="47">
        <v>0</v>
      </c>
      <c r="EA333" s="47">
        <v>0</v>
      </c>
      <c r="EB333" s="47"/>
      <c r="EC333" s="47">
        <v>1</v>
      </c>
      <c r="ZZ333" t="s">
        <v>2472</v>
      </c>
    </row>
    <row r="334" spans="1:702" x14ac:dyDescent="0.25">
      <c r="A334" s="47" t="s">
        <v>1634</v>
      </c>
      <c r="B334" s="47" t="s">
        <v>153</v>
      </c>
      <c r="C334" s="47" t="s">
        <v>157</v>
      </c>
      <c r="D334" s="47" t="s">
        <v>2816</v>
      </c>
      <c r="E334" s="47" t="s">
        <v>1635</v>
      </c>
      <c r="F334" s="47" t="s">
        <v>1636</v>
      </c>
      <c r="G334" s="47" t="s">
        <v>1637</v>
      </c>
      <c r="H334" s="47" t="s">
        <v>698</v>
      </c>
      <c r="I334" s="47" t="s">
        <v>727</v>
      </c>
      <c r="J334" s="47" t="str">
        <f>=IFERROR(VLOOKUP(H334&amp;I334,Table_Fonctions!A:G,6,FALSE),"")</f>
        <v>0</v>
      </c>
      <c r="K334" s="47" t="s">
        <v>2607</v>
      </c>
      <c r="L334" s="47" t="str">
        <f>=IFERROR(VLOOKUP(H334&amp;I334,Table_Fonctions!A:G,7,FALSE),K334)</f>
        <v/>
      </c>
      <c r="M334" s="47" t="str">
        <f>=IF(OR(LEFT(D334, 3)="TJ ", LEFT(D334, 4)="CPH "), "OUI", "NON")</f>
        <v/>
      </c>
      <c r="N334" s="47" t="s">
        <v>1309</v>
      </c>
      <c r="O334" s="47"/>
      <c r="P334" s="47">
        <v>1</v>
      </c>
      <c r="Q334" s="47">
        <v>1</v>
      </c>
      <c r="R334" s="47">
        <v>0</v>
      </c>
      <c r="S334" s="47">
        <f>=ROUND(BQ334-(BR334+BS334),3)</f>
      </c>
      <c r="T334" s="47">
        <f>=ROUND(CK334-(CL334+CM334+CN334+CO334+CP334),3)</f>
      </c>
      <c r="U334" s="47">
        <v>0</v>
      </c>
      <c r="V334" s="47">
        <v>0</v>
      </c>
      <c r="W334" s="47">
        <v>0</v>
      </c>
      <c r="X334" s="47">
        <v>0</v>
      </c>
      <c r="Y334" s="47">
        <v>0</v>
      </c>
      <c r="Z334" s="47">
        <v>0</v>
      </c>
      <c r="AA334" s="47">
        <v>0</v>
      </c>
      <c r="AB334" s="47">
        <v>0</v>
      </c>
      <c r="AC334" s="47">
        <v>0</v>
      </c>
      <c r="AD334" s="47">
        <v>0</v>
      </c>
      <c r="AE334" s="47">
        <v>0</v>
      </c>
      <c r="AF334" s="47">
        <v>0</v>
      </c>
      <c r="AG334" s="47">
        <v>0</v>
      </c>
      <c r="AH334" s="47">
        <v>0</v>
      </c>
      <c r="AI334" s="47">
        <v>0</v>
      </c>
      <c r="AJ334" s="47">
        <v>0</v>
      </c>
      <c r="AK334" s="47">
        <v>0</v>
      </c>
      <c r="AL334" s="47">
        <v>0</v>
      </c>
      <c r="AM334" s="47">
        <v>0</v>
      </c>
      <c r="AN334" s="47">
        <v>0</v>
      </c>
      <c r="AO334" s="47">
        <v>0</v>
      </c>
      <c r="AP334" s="47">
        <v>0</v>
      </c>
      <c r="AQ334" s="47">
        <v>0</v>
      </c>
      <c r="AR334" s="47">
        <v>0</v>
      </c>
      <c r="AS334" s="47">
        <v>0</v>
      </c>
      <c r="AT334" s="47">
        <v>0</v>
      </c>
      <c r="AU334" s="47">
        <v>0</v>
      </c>
      <c r="AV334" s="47">
        <v>0</v>
      </c>
      <c r="AW334" s="47">
        <v>0</v>
      </c>
      <c r="AX334" s="47">
        <v>0</v>
      </c>
      <c r="AY334" s="47">
        <v>0</v>
      </c>
      <c r="AZ334" s="47">
        <v>0</v>
      </c>
      <c r="BA334" s="47">
        <v>0</v>
      </c>
      <c r="BB334" s="47">
        <v>0</v>
      </c>
      <c r="BC334" s="47">
        <v>0</v>
      </c>
      <c r="BD334" s="47">
        <v>0</v>
      </c>
      <c r="BE334" s="47">
        <v>0</v>
      </c>
      <c r="BF334" s="47">
        <v>0</v>
      </c>
      <c r="BG334" s="47">
        <v>0</v>
      </c>
      <c r="BH334" s="47">
        <v>0</v>
      </c>
      <c r="BI334" s="47">
        <v>0</v>
      </c>
      <c r="BJ334" s="47">
        <v>0</v>
      </c>
      <c r="BK334" s="47">
        <v>0</v>
      </c>
      <c r="BL334" s="47">
        <v>0</v>
      </c>
      <c r="BM334" s="47">
        <v>0</v>
      </c>
      <c r="BN334" s="47">
        <v>0</v>
      </c>
      <c r="BO334" s="47">
        <v>0</v>
      </c>
      <c r="BP334" s="47">
        <v>0</v>
      </c>
      <c r="BQ334" s="47">
        <v>1</v>
      </c>
      <c r="BR334" s="47">
        <v>0</v>
      </c>
      <c r="BS334" s="47">
        <v>0</v>
      </c>
      <c r="BT334" s="47">
        <v>0</v>
      </c>
      <c r="BU334" s="47">
        <v>0</v>
      </c>
      <c r="BV334" s="47">
        <v>0</v>
      </c>
      <c r="BW334" s="47">
        <v>0</v>
      </c>
      <c r="BX334" s="47">
        <v>0</v>
      </c>
      <c r="BY334" s="47">
        <v>0</v>
      </c>
      <c r="BZ334" s="47">
        <v>0</v>
      </c>
      <c r="CA334" s="47">
        <v>0</v>
      </c>
      <c r="CB334" s="47">
        <v>0</v>
      </c>
      <c r="CC334" s="47">
        <v>0</v>
      </c>
      <c r="CD334" s="47">
        <v>0</v>
      </c>
      <c r="CE334" s="47">
        <v>0</v>
      </c>
      <c r="CF334" s="47">
        <v>0</v>
      </c>
      <c r="CG334" s="47">
        <v>0</v>
      </c>
      <c r="CH334" s="47">
        <v>0</v>
      </c>
      <c r="CI334" s="47">
        <v>0</v>
      </c>
      <c r="CJ334" s="47">
        <v>0</v>
      </c>
      <c r="CK334" s="47">
        <v>0</v>
      </c>
      <c r="CL334" s="47">
        <v>0</v>
      </c>
      <c r="CM334" s="47">
        <v>0</v>
      </c>
      <c r="CN334" s="47">
        <v>0</v>
      </c>
      <c r="CO334" s="47">
        <v>0</v>
      </c>
      <c r="CP334" s="47">
        <v>0</v>
      </c>
      <c r="CQ334" s="47">
        <v>0</v>
      </c>
      <c r="CR334" s="47">
        <v>0</v>
      </c>
      <c r="CS334" s="47">
        <v>0</v>
      </c>
      <c r="CT334" s="47">
        <v>0</v>
      </c>
      <c r="CU334" s="47">
        <v>0</v>
      </c>
      <c r="CV334" s="47">
        <v>0</v>
      </c>
      <c r="CW334" s="47">
        <v>0</v>
      </c>
      <c r="CX334" s="47">
        <v>0</v>
      </c>
      <c r="CY334" s="47">
        <v>0</v>
      </c>
      <c r="CZ334" s="47">
        <v>0</v>
      </c>
      <c r="DA334" s="47">
        <v>0</v>
      </c>
      <c r="DB334" s="47">
        <v>0</v>
      </c>
      <c r="DC334" s="47">
        <v>0</v>
      </c>
      <c r="DD334" s="47">
        <v>0</v>
      </c>
      <c r="DE334" s="47">
        <v>0</v>
      </c>
      <c r="DF334" s="47">
        <v>0</v>
      </c>
      <c r="DG334" s="47">
        <v>0</v>
      </c>
      <c r="DH334" s="47">
        <v>0</v>
      </c>
      <c r="DI334" s="47">
        <v>0</v>
      </c>
      <c r="DJ334" s="47">
        <v>0</v>
      </c>
      <c r="DK334" s="47">
        <v>0</v>
      </c>
      <c r="DL334" s="47">
        <v>0</v>
      </c>
      <c r="DM334" s="47">
        <v>0</v>
      </c>
      <c r="DN334" s="47">
        <v>0</v>
      </c>
      <c r="DO334" s="47">
        <v>0</v>
      </c>
      <c r="DP334" s="47">
        <v>0</v>
      </c>
      <c r="DQ334" s="47">
        <v>0</v>
      </c>
      <c r="DR334" s="47">
        <v>0</v>
      </c>
      <c r="DS334" s="47">
        <v>0</v>
      </c>
      <c r="DT334" s="47">
        <v>0</v>
      </c>
      <c r="DU334" s="47">
        <v>0</v>
      </c>
      <c r="DV334" s="47">
        <v>0</v>
      </c>
      <c r="DW334" s="47">
        <v>0</v>
      </c>
      <c r="DX334" s="47">
        <v>0</v>
      </c>
      <c r="DY334" s="47">
        <v>0</v>
      </c>
      <c r="DZ334" s="47">
        <v>0</v>
      </c>
      <c r="EA334" s="47">
        <v>0</v>
      </c>
      <c r="EB334" s="47"/>
      <c r="EC334" s="47">
        <v>1</v>
      </c>
      <c r="ZZ334" t="s">
        <v>2472</v>
      </c>
    </row>
    <row r="335" spans="1:702" x14ac:dyDescent="0.25">
      <c r="A335" s="47" t="s">
        <v>1638</v>
      </c>
      <c r="B335" s="47" t="s">
        <v>153</v>
      </c>
      <c r="C335" s="47" t="s">
        <v>157</v>
      </c>
      <c r="D335" s="47" t="s">
        <v>2817</v>
      </c>
      <c r="E335" s="47" t="s">
        <v>1639</v>
      </c>
      <c r="F335" s="47" t="s">
        <v>1640</v>
      </c>
      <c r="G335" s="47" t="s">
        <v>1641</v>
      </c>
      <c r="H335" s="47" t="s">
        <v>698</v>
      </c>
      <c r="I335" s="47" t="s">
        <v>705</v>
      </c>
      <c r="J335" s="47" t="str">
        <f>=IFERROR(VLOOKUP(H335&amp;I335,Table_Fonctions!A:G,6,FALSE),"")</f>
        <v>0</v>
      </c>
      <c r="K335" s="47" t="s">
        <v>2607</v>
      </c>
      <c r="L335" s="47" t="str">
        <f>=IFERROR(VLOOKUP(H335&amp;I335,Table_Fonctions!A:G,7,FALSE),K335)</f>
        <v/>
      </c>
      <c r="M335" s="47" t="str">
        <f>=IF(OR(LEFT(D335, 3)="TJ ", LEFT(D335, 4)="CPH "), "OUI", "NON")</f>
        <v/>
      </c>
      <c r="N335" s="47" t="s">
        <v>1642</v>
      </c>
      <c r="O335" s="47"/>
      <c r="P335" s="47">
        <v>0.8</v>
      </c>
      <c r="Q335" s="47">
        <v>0</v>
      </c>
      <c r="R335" s="47">
        <v>0.8</v>
      </c>
      <c r="S335" s="47">
        <f>=ROUND(BQ335-(BR335+BS335),3)</f>
      </c>
      <c r="T335" s="47">
        <f>=ROUND(CK335-(CL335+CM335+CN335+CO335+CP335),3)</f>
      </c>
      <c r="U335" s="47">
        <v>0</v>
      </c>
      <c r="V335" s="47">
        <v>0</v>
      </c>
      <c r="W335" s="47">
        <v>0</v>
      </c>
      <c r="X335" s="47">
        <v>0</v>
      </c>
      <c r="Y335" s="47">
        <v>0</v>
      </c>
      <c r="Z335" s="47">
        <v>0</v>
      </c>
      <c r="AA335" s="47">
        <v>0</v>
      </c>
      <c r="AB335" s="47">
        <v>0</v>
      </c>
      <c r="AC335" s="47">
        <v>0</v>
      </c>
      <c r="AD335" s="47">
        <v>0</v>
      </c>
      <c r="AE335" s="47">
        <v>0</v>
      </c>
      <c r="AF335" s="47">
        <v>0</v>
      </c>
      <c r="AG335" s="47">
        <v>0</v>
      </c>
      <c r="AH335" s="47">
        <v>0</v>
      </c>
      <c r="AI335" s="47">
        <v>0</v>
      </c>
      <c r="AJ335" s="47">
        <v>0</v>
      </c>
      <c r="AK335" s="47">
        <v>0</v>
      </c>
      <c r="AL335" s="47">
        <v>0</v>
      </c>
      <c r="AM335" s="47">
        <v>0</v>
      </c>
      <c r="AN335" s="47">
        <v>0</v>
      </c>
      <c r="AO335" s="47">
        <v>0</v>
      </c>
      <c r="AP335" s="47">
        <v>0</v>
      </c>
      <c r="AQ335" s="47">
        <v>0</v>
      </c>
      <c r="AR335" s="47">
        <v>0</v>
      </c>
      <c r="AS335" s="47">
        <v>0</v>
      </c>
      <c r="AT335" s="47">
        <v>0</v>
      </c>
      <c r="AU335" s="47">
        <v>0</v>
      </c>
      <c r="AV335" s="47">
        <v>0</v>
      </c>
      <c r="AW335" s="47">
        <v>0</v>
      </c>
      <c r="AX335" s="47">
        <v>0</v>
      </c>
      <c r="AY335" s="47">
        <v>0</v>
      </c>
      <c r="AZ335" s="47">
        <v>0</v>
      </c>
      <c r="BA335" s="47">
        <v>0</v>
      </c>
      <c r="BB335" s="47">
        <v>0</v>
      </c>
      <c r="BC335" s="47">
        <v>0</v>
      </c>
      <c r="BD335" s="47">
        <v>0</v>
      </c>
      <c r="BE335" s="47">
        <v>0</v>
      </c>
      <c r="BF335" s="47">
        <v>0</v>
      </c>
      <c r="BG335" s="47">
        <v>0</v>
      </c>
      <c r="BH335" s="47">
        <v>0</v>
      </c>
      <c r="BI335" s="47">
        <v>0</v>
      </c>
      <c r="BJ335" s="47">
        <v>0</v>
      </c>
      <c r="BK335" s="47">
        <v>0</v>
      </c>
      <c r="BL335" s="47">
        <v>0</v>
      </c>
      <c r="BM335" s="47">
        <v>0</v>
      </c>
      <c r="BN335" s="47">
        <v>0</v>
      </c>
      <c r="BO335" s="47">
        <v>0</v>
      </c>
      <c r="BP335" s="47">
        <v>0</v>
      </c>
      <c r="BQ335" s="47">
        <v>0</v>
      </c>
      <c r="BR335" s="47">
        <v>0</v>
      </c>
      <c r="BS335" s="47">
        <v>0</v>
      </c>
      <c r="BT335" s="47">
        <v>0</v>
      </c>
      <c r="BU335" s="47">
        <v>0</v>
      </c>
      <c r="BV335" s="47">
        <v>0</v>
      </c>
      <c r="BW335" s="47">
        <v>0</v>
      </c>
      <c r="BX335" s="47">
        <v>0</v>
      </c>
      <c r="BY335" s="47">
        <v>0</v>
      </c>
      <c r="BZ335" s="47">
        <v>0</v>
      </c>
      <c r="CA335" s="47">
        <v>0</v>
      </c>
      <c r="CB335" s="47">
        <v>0</v>
      </c>
      <c r="CC335" s="47">
        <v>0</v>
      </c>
      <c r="CD335" s="47">
        <v>0</v>
      </c>
      <c r="CE335" s="47">
        <v>0</v>
      </c>
      <c r="CF335" s="47">
        <v>0</v>
      </c>
      <c r="CG335" s="47">
        <v>0</v>
      </c>
      <c r="CH335" s="47">
        <v>0</v>
      </c>
      <c r="CI335" s="47">
        <v>0</v>
      </c>
      <c r="CJ335" s="47">
        <v>0</v>
      </c>
      <c r="CK335" s="47">
        <v>0</v>
      </c>
      <c r="CL335" s="47">
        <v>0</v>
      </c>
      <c r="CM335" s="47">
        <v>0</v>
      </c>
      <c r="CN335" s="47">
        <v>0</v>
      </c>
      <c r="CO335" s="47">
        <v>0</v>
      </c>
      <c r="CP335" s="47">
        <v>0</v>
      </c>
      <c r="CQ335" s="47">
        <v>0</v>
      </c>
      <c r="CR335" s="47">
        <v>0</v>
      </c>
      <c r="CS335" s="47">
        <v>0</v>
      </c>
      <c r="CT335" s="47">
        <v>0</v>
      </c>
      <c r="CU335" s="47">
        <v>0</v>
      </c>
      <c r="CV335" s="47">
        <v>0</v>
      </c>
      <c r="CW335" s="47">
        <v>0</v>
      </c>
      <c r="CX335" s="47">
        <v>0</v>
      </c>
      <c r="CY335" s="47">
        <v>0</v>
      </c>
      <c r="CZ335" s="47">
        <v>0</v>
      </c>
      <c r="DA335" s="47">
        <v>0</v>
      </c>
      <c r="DB335" s="47">
        <v>0</v>
      </c>
      <c r="DC335" s="47">
        <v>0</v>
      </c>
      <c r="DD335" s="47">
        <v>0</v>
      </c>
      <c r="DE335" s="47">
        <v>0</v>
      </c>
      <c r="DF335" s="47">
        <v>0</v>
      </c>
      <c r="DG335" s="47">
        <v>0</v>
      </c>
      <c r="DH335" s="47">
        <v>0</v>
      </c>
      <c r="DI335" s="47">
        <v>0</v>
      </c>
      <c r="DJ335" s="47">
        <v>0</v>
      </c>
      <c r="DK335" s="47">
        <v>0</v>
      </c>
      <c r="DL335" s="47">
        <v>0</v>
      </c>
      <c r="DM335" s="47">
        <v>0</v>
      </c>
      <c r="DN335" s="47">
        <v>0</v>
      </c>
      <c r="DO335" s="47">
        <v>0</v>
      </c>
      <c r="DP335" s="47">
        <v>0</v>
      </c>
      <c r="DQ335" s="47">
        <v>0</v>
      </c>
      <c r="DR335" s="47">
        <v>0</v>
      </c>
      <c r="DS335" s="47">
        <v>0</v>
      </c>
      <c r="DT335" s="47">
        <v>0</v>
      </c>
      <c r="DU335" s="47">
        <v>0</v>
      </c>
      <c r="DV335" s="47">
        <v>0</v>
      </c>
      <c r="DW335" s="47">
        <v>0</v>
      </c>
      <c r="DX335" s="47">
        <v>0</v>
      </c>
      <c r="DY335" s="47">
        <v>0</v>
      </c>
      <c r="DZ335" s="47">
        <v>0</v>
      </c>
      <c r="EA335" s="47">
        <v>0</v>
      </c>
      <c r="EB335" s="47"/>
      <c r="EC335" s="47">
        <v>0.8</v>
      </c>
      <c r="ZZ335" t="s">
        <v>2472</v>
      </c>
    </row>
    <row r="336" spans="1:702" x14ac:dyDescent="0.25">
      <c r="A336" s="47" t="s">
        <v>1643</v>
      </c>
      <c r="B336" s="47" t="s">
        <v>153</v>
      </c>
      <c r="C336" s="47" t="s">
        <v>157</v>
      </c>
      <c r="D336" s="47" t="s">
        <v>2818</v>
      </c>
      <c r="E336" s="47" t="s">
        <v>1644</v>
      </c>
      <c r="F336" s="47" t="s">
        <v>1645</v>
      </c>
      <c r="G336" s="47" t="s">
        <v>1646</v>
      </c>
      <c r="H336" s="47" t="s">
        <v>698</v>
      </c>
      <c r="I336" s="47" t="s">
        <v>705</v>
      </c>
      <c r="J336" s="47" t="str">
        <f>=IFERROR(VLOOKUP(H336&amp;I336,Table_Fonctions!A:G,6,FALSE),"")</f>
        <v>0</v>
      </c>
      <c r="K336" s="47" t="s">
        <v>2607</v>
      </c>
      <c r="L336" s="47" t="str">
        <f>=IFERROR(VLOOKUP(H336&amp;I336,Table_Fonctions!A:G,7,FALSE),K336)</f>
        <v/>
      </c>
      <c r="M336" s="47" t="str">
        <f>=IF(OR(LEFT(D336, 3)="TJ ", LEFT(D336, 4)="CPH "), "OUI", "NON")</f>
        <v/>
      </c>
      <c r="N336" s="47" t="s">
        <v>753</v>
      </c>
      <c r="O336" s="47"/>
      <c r="P336" s="47">
        <v>0.8</v>
      </c>
      <c r="Q336" s="47">
        <v>0</v>
      </c>
      <c r="R336" s="47">
        <v>0.8</v>
      </c>
      <c r="S336" s="47">
        <f>=ROUND(BQ336-(BR336+BS336),3)</f>
      </c>
      <c r="T336" s="47">
        <f>=ROUND(CK336-(CL336+CM336+CN336+CO336+CP336),3)</f>
      </c>
      <c r="U336" s="47">
        <v>0</v>
      </c>
      <c r="V336" s="47">
        <v>0</v>
      </c>
      <c r="W336" s="47">
        <v>0</v>
      </c>
      <c r="X336" s="47">
        <v>0</v>
      </c>
      <c r="Y336" s="47">
        <v>0</v>
      </c>
      <c r="Z336" s="47">
        <v>0</v>
      </c>
      <c r="AA336" s="47">
        <v>0</v>
      </c>
      <c r="AB336" s="47">
        <v>0</v>
      </c>
      <c r="AC336" s="47">
        <v>0</v>
      </c>
      <c r="AD336" s="47">
        <v>0</v>
      </c>
      <c r="AE336" s="47">
        <v>0</v>
      </c>
      <c r="AF336" s="47">
        <v>0</v>
      </c>
      <c r="AG336" s="47">
        <v>0</v>
      </c>
      <c r="AH336" s="47">
        <v>0</v>
      </c>
      <c r="AI336" s="47">
        <v>0</v>
      </c>
      <c r="AJ336" s="47">
        <v>0</v>
      </c>
      <c r="AK336" s="47">
        <v>0</v>
      </c>
      <c r="AL336" s="47">
        <v>0</v>
      </c>
      <c r="AM336" s="47">
        <v>0</v>
      </c>
      <c r="AN336" s="47">
        <v>0</v>
      </c>
      <c r="AO336" s="47">
        <v>0</v>
      </c>
      <c r="AP336" s="47">
        <v>0</v>
      </c>
      <c r="AQ336" s="47">
        <v>0</v>
      </c>
      <c r="AR336" s="47">
        <v>0</v>
      </c>
      <c r="AS336" s="47">
        <v>0</v>
      </c>
      <c r="AT336" s="47">
        <v>0</v>
      </c>
      <c r="AU336" s="47">
        <v>0</v>
      </c>
      <c r="AV336" s="47">
        <v>0</v>
      </c>
      <c r="AW336" s="47">
        <v>0</v>
      </c>
      <c r="AX336" s="47">
        <v>0</v>
      </c>
      <c r="AY336" s="47">
        <v>0</v>
      </c>
      <c r="AZ336" s="47">
        <v>0</v>
      </c>
      <c r="BA336" s="47">
        <v>0</v>
      </c>
      <c r="BB336" s="47">
        <v>0</v>
      </c>
      <c r="BC336" s="47">
        <v>0</v>
      </c>
      <c r="BD336" s="47">
        <v>0</v>
      </c>
      <c r="BE336" s="47">
        <v>0</v>
      </c>
      <c r="BF336" s="47">
        <v>0</v>
      </c>
      <c r="BG336" s="47">
        <v>0</v>
      </c>
      <c r="BH336" s="47">
        <v>0</v>
      </c>
      <c r="BI336" s="47">
        <v>0</v>
      </c>
      <c r="BJ336" s="47">
        <v>0</v>
      </c>
      <c r="BK336" s="47">
        <v>0</v>
      </c>
      <c r="BL336" s="47">
        <v>0</v>
      </c>
      <c r="BM336" s="47">
        <v>0</v>
      </c>
      <c r="BN336" s="47">
        <v>0</v>
      </c>
      <c r="BO336" s="47">
        <v>0</v>
      </c>
      <c r="BP336" s="47">
        <v>0</v>
      </c>
      <c r="BQ336" s="47">
        <v>0</v>
      </c>
      <c r="BR336" s="47">
        <v>0</v>
      </c>
      <c r="BS336" s="47">
        <v>0</v>
      </c>
      <c r="BT336" s="47">
        <v>0</v>
      </c>
      <c r="BU336" s="47">
        <v>0</v>
      </c>
      <c r="BV336" s="47">
        <v>0</v>
      </c>
      <c r="BW336" s="47">
        <v>0</v>
      </c>
      <c r="BX336" s="47">
        <v>0</v>
      </c>
      <c r="BY336" s="47">
        <v>0</v>
      </c>
      <c r="BZ336" s="47">
        <v>0</v>
      </c>
      <c r="CA336" s="47">
        <v>0</v>
      </c>
      <c r="CB336" s="47">
        <v>0</v>
      </c>
      <c r="CC336" s="47">
        <v>0</v>
      </c>
      <c r="CD336" s="47">
        <v>0</v>
      </c>
      <c r="CE336" s="47">
        <v>0</v>
      </c>
      <c r="CF336" s="47">
        <v>0</v>
      </c>
      <c r="CG336" s="47">
        <v>0</v>
      </c>
      <c r="CH336" s="47">
        <v>0</v>
      </c>
      <c r="CI336" s="47">
        <v>0</v>
      </c>
      <c r="CJ336" s="47">
        <v>0</v>
      </c>
      <c r="CK336" s="47">
        <v>0</v>
      </c>
      <c r="CL336" s="47">
        <v>0</v>
      </c>
      <c r="CM336" s="47">
        <v>0</v>
      </c>
      <c r="CN336" s="47">
        <v>0</v>
      </c>
      <c r="CO336" s="47">
        <v>0</v>
      </c>
      <c r="CP336" s="47">
        <v>0</v>
      </c>
      <c r="CQ336" s="47">
        <v>0</v>
      </c>
      <c r="CR336" s="47">
        <v>0</v>
      </c>
      <c r="CS336" s="47">
        <v>0</v>
      </c>
      <c r="CT336" s="47">
        <v>0</v>
      </c>
      <c r="CU336" s="47">
        <v>0</v>
      </c>
      <c r="CV336" s="47">
        <v>0</v>
      </c>
      <c r="CW336" s="47">
        <v>0</v>
      </c>
      <c r="CX336" s="47">
        <v>0</v>
      </c>
      <c r="CY336" s="47">
        <v>0</v>
      </c>
      <c r="CZ336" s="47">
        <v>0</v>
      </c>
      <c r="DA336" s="47">
        <v>0</v>
      </c>
      <c r="DB336" s="47">
        <v>0</v>
      </c>
      <c r="DC336" s="47">
        <v>0</v>
      </c>
      <c r="DD336" s="47">
        <v>0</v>
      </c>
      <c r="DE336" s="47">
        <v>0</v>
      </c>
      <c r="DF336" s="47">
        <v>0</v>
      </c>
      <c r="DG336" s="47">
        <v>0</v>
      </c>
      <c r="DH336" s="47">
        <v>0</v>
      </c>
      <c r="DI336" s="47">
        <v>0</v>
      </c>
      <c r="DJ336" s="47">
        <v>0</v>
      </c>
      <c r="DK336" s="47">
        <v>0</v>
      </c>
      <c r="DL336" s="47">
        <v>0</v>
      </c>
      <c r="DM336" s="47">
        <v>0</v>
      </c>
      <c r="DN336" s="47">
        <v>0</v>
      </c>
      <c r="DO336" s="47">
        <v>0</v>
      </c>
      <c r="DP336" s="47">
        <v>0</v>
      </c>
      <c r="DQ336" s="47">
        <v>0</v>
      </c>
      <c r="DR336" s="47">
        <v>0</v>
      </c>
      <c r="DS336" s="47">
        <v>0</v>
      </c>
      <c r="DT336" s="47">
        <v>0</v>
      </c>
      <c r="DU336" s="47">
        <v>0</v>
      </c>
      <c r="DV336" s="47">
        <v>0</v>
      </c>
      <c r="DW336" s="47">
        <v>0</v>
      </c>
      <c r="DX336" s="47">
        <v>0</v>
      </c>
      <c r="DY336" s="47">
        <v>0</v>
      </c>
      <c r="DZ336" s="47">
        <v>0</v>
      </c>
      <c r="EA336" s="47">
        <v>0</v>
      </c>
      <c r="EB336" s="47"/>
      <c r="EC336" s="47">
        <v>0.8</v>
      </c>
      <c r="ZZ336" t="s">
        <v>2472</v>
      </c>
    </row>
    <row r="337" spans="1:702" x14ac:dyDescent="0.25">
      <c r="A337" s="47" t="s">
        <v>1647</v>
      </c>
      <c r="B337" s="47" t="s">
        <v>153</v>
      </c>
      <c r="C337" s="47" t="s">
        <v>157</v>
      </c>
      <c r="D337" s="47" t="s">
        <v>2819</v>
      </c>
      <c r="E337" s="47" t="s">
        <v>1648</v>
      </c>
      <c r="F337" s="47" t="s">
        <v>1649</v>
      </c>
      <c r="G337" s="47" t="s">
        <v>1650</v>
      </c>
      <c r="H337" s="47" t="s">
        <v>698</v>
      </c>
      <c r="I337" s="47" t="s">
        <v>727</v>
      </c>
      <c r="J337" s="47" t="str">
        <f>=IFERROR(VLOOKUP(H337&amp;I337,Table_Fonctions!A:G,6,FALSE),"")</f>
        <v>0</v>
      </c>
      <c r="K337" s="47" t="s">
        <v>2607</v>
      </c>
      <c r="L337" s="47" t="str">
        <f>=IFERROR(VLOOKUP(H337&amp;I337,Table_Fonctions!A:G,7,FALSE),K337)</f>
        <v/>
      </c>
      <c r="M337" s="47" t="str">
        <f>=IF(OR(LEFT(D337, 3)="TJ ", LEFT(D337, 4)="CPH "), "OUI", "NON")</f>
        <v/>
      </c>
      <c r="N337" s="47" t="s">
        <v>1299</v>
      </c>
      <c r="O337" s="47"/>
      <c r="P337" s="47">
        <v>0.8</v>
      </c>
      <c r="Q337" s="47">
        <v>0.8</v>
      </c>
      <c r="R337" s="47">
        <v>0</v>
      </c>
      <c r="S337" s="47">
        <f>=ROUND(BQ337-(BR337+BS337),3)</f>
      </c>
      <c r="T337" s="47">
        <f>=ROUND(CK337-(CL337+CM337+CN337+CO337+CP337),3)</f>
      </c>
      <c r="U337" s="47">
        <v>0</v>
      </c>
      <c r="V337" s="47">
        <v>0</v>
      </c>
      <c r="W337" s="47">
        <v>0</v>
      </c>
      <c r="X337" s="47">
        <v>0</v>
      </c>
      <c r="Y337" s="47">
        <v>0</v>
      </c>
      <c r="Z337" s="47">
        <v>0</v>
      </c>
      <c r="AA337" s="47">
        <v>0</v>
      </c>
      <c r="AB337" s="47">
        <v>0</v>
      </c>
      <c r="AC337" s="47">
        <v>0</v>
      </c>
      <c r="AD337" s="47">
        <v>0</v>
      </c>
      <c r="AE337" s="47">
        <v>0</v>
      </c>
      <c r="AF337" s="47">
        <v>0</v>
      </c>
      <c r="AG337" s="47">
        <v>0</v>
      </c>
      <c r="AH337" s="47">
        <v>0</v>
      </c>
      <c r="AI337" s="47">
        <v>0</v>
      </c>
      <c r="AJ337" s="47">
        <v>0</v>
      </c>
      <c r="AK337" s="47">
        <v>0</v>
      </c>
      <c r="AL337" s="47">
        <v>0</v>
      </c>
      <c r="AM337" s="47">
        <v>0</v>
      </c>
      <c r="AN337" s="47">
        <v>0</v>
      </c>
      <c r="AO337" s="47">
        <v>0</v>
      </c>
      <c r="AP337" s="47">
        <v>0</v>
      </c>
      <c r="AQ337" s="47">
        <v>0</v>
      </c>
      <c r="AR337" s="47">
        <v>0</v>
      </c>
      <c r="AS337" s="47">
        <v>0.8</v>
      </c>
      <c r="AT337" s="47">
        <v>0</v>
      </c>
      <c r="AU337" s="47">
        <v>0</v>
      </c>
      <c r="AV337" s="47">
        <v>0</v>
      </c>
      <c r="AW337" s="47">
        <v>0</v>
      </c>
      <c r="AX337" s="47">
        <v>0</v>
      </c>
      <c r="AY337" s="47">
        <v>0</v>
      </c>
      <c r="AZ337" s="47">
        <v>0</v>
      </c>
      <c r="BA337" s="47">
        <v>0</v>
      </c>
      <c r="BB337" s="47">
        <v>0</v>
      </c>
      <c r="BC337" s="47">
        <v>0</v>
      </c>
      <c r="BD337" s="47">
        <v>0</v>
      </c>
      <c r="BE337" s="47">
        <v>0</v>
      </c>
      <c r="BF337" s="47">
        <v>0</v>
      </c>
      <c r="BG337" s="47">
        <v>0</v>
      </c>
      <c r="BH337" s="47">
        <v>0</v>
      </c>
      <c r="BI337" s="47">
        <v>0</v>
      </c>
      <c r="BJ337" s="47">
        <v>0</v>
      </c>
      <c r="BK337" s="47">
        <v>0</v>
      </c>
      <c r="BL337" s="47">
        <v>0</v>
      </c>
      <c r="BM337" s="47">
        <v>0</v>
      </c>
      <c r="BN337" s="47">
        <v>0</v>
      </c>
      <c r="BO337" s="47">
        <v>0</v>
      </c>
      <c r="BP337" s="47">
        <v>0</v>
      </c>
      <c r="BQ337" s="47">
        <v>0</v>
      </c>
      <c r="BR337" s="47">
        <v>0</v>
      </c>
      <c r="BS337" s="47">
        <v>0</v>
      </c>
      <c r="BT337" s="47">
        <v>0</v>
      </c>
      <c r="BU337" s="47">
        <v>0</v>
      </c>
      <c r="BV337" s="47">
        <v>0</v>
      </c>
      <c r="BW337" s="47">
        <v>0</v>
      </c>
      <c r="BX337" s="47">
        <v>0</v>
      </c>
      <c r="BY337" s="47">
        <v>0</v>
      </c>
      <c r="BZ337" s="47">
        <v>0</v>
      </c>
      <c r="CA337" s="47">
        <v>0</v>
      </c>
      <c r="CB337" s="47">
        <v>0</v>
      </c>
      <c r="CC337" s="47">
        <v>0</v>
      </c>
      <c r="CD337" s="47">
        <v>0</v>
      </c>
      <c r="CE337" s="47">
        <v>0</v>
      </c>
      <c r="CF337" s="47">
        <v>0</v>
      </c>
      <c r="CG337" s="47">
        <v>0</v>
      </c>
      <c r="CH337" s="47">
        <v>0</v>
      </c>
      <c r="CI337" s="47">
        <v>0</v>
      </c>
      <c r="CJ337" s="47">
        <v>0</v>
      </c>
      <c r="CK337" s="47">
        <v>0</v>
      </c>
      <c r="CL337" s="47">
        <v>0</v>
      </c>
      <c r="CM337" s="47">
        <v>0</v>
      </c>
      <c r="CN337" s="47">
        <v>0</v>
      </c>
      <c r="CO337" s="47">
        <v>0</v>
      </c>
      <c r="CP337" s="47">
        <v>0</v>
      </c>
      <c r="CQ337" s="47">
        <v>0</v>
      </c>
      <c r="CR337" s="47">
        <v>0</v>
      </c>
      <c r="CS337" s="47">
        <v>0</v>
      </c>
      <c r="CT337" s="47">
        <v>0</v>
      </c>
      <c r="CU337" s="47">
        <v>0</v>
      </c>
      <c r="CV337" s="47">
        <v>0</v>
      </c>
      <c r="CW337" s="47">
        <v>0</v>
      </c>
      <c r="CX337" s="47">
        <v>0</v>
      </c>
      <c r="CY337" s="47">
        <v>0</v>
      </c>
      <c r="CZ337" s="47">
        <v>0</v>
      </c>
      <c r="DA337" s="47">
        <v>0</v>
      </c>
      <c r="DB337" s="47">
        <v>0</v>
      </c>
      <c r="DC337" s="47">
        <v>0</v>
      </c>
      <c r="DD337" s="47">
        <v>0</v>
      </c>
      <c r="DE337" s="47">
        <v>0</v>
      </c>
      <c r="DF337" s="47">
        <v>0</v>
      </c>
      <c r="DG337" s="47">
        <v>0</v>
      </c>
      <c r="DH337" s="47">
        <v>0</v>
      </c>
      <c r="DI337" s="47">
        <v>0</v>
      </c>
      <c r="DJ337" s="47">
        <v>0</v>
      </c>
      <c r="DK337" s="47">
        <v>0</v>
      </c>
      <c r="DL337" s="47">
        <v>0</v>
      </c>
      <c r="DM337" s="47">
        <v>0</v>
      </c>
      <c r="DN337" s="47">
        <v>0</v>
      </c>
      <c r="DO337" s="47">
        <v>0</v>
      </c>
      <c r="DP337" s="47">
        <v>0</v>
      </c>
      <c r="DQ337" s="47">
        <v>0</v>
      </c>
      <c r="DR337" s="47">
        <v>0</v>
      </c>
      <c r="DS337" s="47">
        <v>0</v>
      </c>
      <c r="DT337" s="47">
        <v>0</v>
      </c>
      <c r="DU337" s="47">
        <v>0</v>
      </c>
      <c r="DV337" s="47">
        <v>0</v>
      </c>
      <c r="DW337" s="47">
        <v>0</v>
      </c>
      <c r="DX337" s="47">
        <v>0</v>
      </c>
      <c r="DY337" s="47">
        <v>0</v>
      </c>
      <c r="DZ337" s="47">
        <v>0</v>
      </c>
      <c r="EA337" s="47">
        <v>0</v>
      </c>
      <c r="EB337" s="47"/>
      <c r="EC337" s="47">
        <v>0.8</v>
      </c>
      <c r="ZZ337" t="s">
        <v>2472</v>
      </c>
    </row>
    <row r="338" spans="1:702" x14ac:dyDescent="0.25">
      <c r="A338" s="47" t="s">
        <v>1651</v>
      </c>
      <c r="B338" s="47" t="s">
        <v>153</v>
      </c>
      <c r="C338" s="47" t="s">
        <v>157</v>
      </c>
      <c r="D338" s="47" t="s">
        <v>2820</v>
      </c>
      <c r="E338" s="47" t="s">
        <v>1652</v>
      </c>
      <c r="F338" s="47" t="s">
        <v>1653</v>
      </c>
      <c r="G338" s="47" t="s">
        <v>1654</v>
      </c>
      <c r="H338" s="47" t="s">
        <v>698</v>
      </c>
      <c r="I338" s="47" t="s">
        <v>705</v>
      </c>
      <c r="J338" s="47" t="str">
        <f>=IFERROR(VLOOKUP(H338&amp;I338,Table_Fonctions!A:G,6,FALSE),"")</f>
        <v>0</v>
      </c>
      <c r="K338" s="47" t="s">
        <v>2607</v>
      </c>
      <c r="L338" s="47" t="str">
        <f>=IFERROR(VLOOKUP(H338&amp;I338,Table_Fonctions!A:G,7,FALSE),K338)</f>
        <v/>
      </c>
      <c r="M338" s="47" t="str">
        <f>=IF(OR(LEFT(D338, 3)="TJ ", LEFT(D338, 4)="CPH "), "OUI", "NON")</f>
        <v/>
      </c>
      <c r="N338" s="47" t="s">
        <v>1655</v>
      </c>
      <c r="O338" s="47"/>
      <c r="P338" s="47">
        <v>0.8</v>
      </c>
      <c r="Q338" s="47">
        <v>0</v>
      </c>
      <c r="R338" s="47">
        <v>0.8</v>
      </c>
      <c r="S338" s="47">
        <f>=ROUND(BQ338-(BR338+BS338),3)</f>
      </c>
      <c r="T338" s="47">
        <f>=ROUND(CK338-(CL338+CM338+CN338+CO338+CP338),3)</f>
      </c>
      <c r="U338" s="47">
        <v>0</v>
      </c>
      <c r="V338" s="47">
        <v>0</v>
      </c>
      <c r="W338" s="47">
        <v>0</v>
      </c>
      <c r="X338" s="47">
        <v>0</v>
      </c>
      <c r="Y338" s="47">
        <v>0</v>
      </c>
      <c r="Z338" s="47">
        <v>0</v>
      </c>
      <c r="AA338" s="47">
        <v>0</v>
      </c>
      <c r="AB338" s="47">
        <v>0</v>
      </c>
      <c r="AC338" s="47">
        <v>0</v>
      </c>
      <c r="AD338" s="47">
        <v>0</v>
      </c>
      <c r="AE338" s="47">
        <v>0</v>
      </c>
      <c r="AF338" s="47">
        <v>0</v>
      </c>
      <c r="AG338" s="47">
        <v>0</v>
      </c>
      <c r="AH338" s="47">
        <v>0</v>
      </c>
      <c r="AI338" s="47">
        <v>0</v>
      </c>
      <c r="AJ338" s="47">
        <v>0</v>
      </c>
      <c r="AK338" s="47">
        <v>0</v>
      </c>
      <c r="AL338" s="47">
        <v>0</v>
      </c>
      <c r="AM338" s="47">
        <v>0</v>
      </c>
      <c r="AN338" s="47">
        <v>0</v>
      </c>
      <c r="AO338" s="47">
        <v>0</v>
      </c>
      <c r="AP338" s="47">
        <v>0</v>
      </c>
      <c r="AQ338" s="47">
        <v>0</v>
      </c>
      <c r="AR338" s="47">
        <v>0</v>
      </c>
      <c r="AS338" s="47">
        <v>0</v>
      </c>
      <c r="AT338" s="47">
        <v>0</v>
      </c>
      <c r="AU338" s="47">
        <v>0</v>
      </c>
      <c r="AV338" s="47">
        <v>0</v>
      </c>
      <c r="AW338" s="47">
        <v>0</v>
      </c>
      <c r="AX338" s="47">
        <v>0</v>
      </c>
      <c r="AY338" s="47">
        <v>0</v>
      </c>
      <c r="AZ338" s="47">
        <v>0</v>
      </c>
      <c r="BA338" s="47">
        <v>0</v>
      </c>
      <c r="BB338" s="47">
        <v>0</v>
      </c>
      <c r="BC338" s="47">
        <v>0</v>
      </c>
      <c r="BD338" s="47">
        <v>0</v>
      </c>
      <c r="BE338" s="47">
        <v>0</v>
      </c>
      <c r="BF338" s="47">
        <v>0</v>
      </c>
      <c r="BG338" s="47">
        <v>0</v>
      </c>
      <c r="BH338" s="47">
        <v>0</v>
      </c>
      <c r="BI338" s="47">
        <v>0</v>
      </c>
      <c r="BJ338" s="47">
        <v>0</v>
      </c>
      <c r="BK338" s="47">
        <v>0</v>
      </c>
      <c r="BL338" s="47">
        <v>0</v>
      </c>
      <c r="BM338" s="47">
        <v>0</v>
      </c>
      <c r="BN338" s="47">
        <v>0</v>
      </c>
      <c r="BO338" s="47">
        <v>0</v>
      </c>
      <c r="BP338" s="47">
        <v>0</v>
      </c>
      <c r="BQ338" s="47">
        <v>0</v>
      </c>
      <c r="BR338" s="47">
        <v>0</v>
      </c>
      <c r="BS338" s="47">
        <v>0</v>
      </c>
      <c r="BT338" s="47">
        <v>0</v>
      </c>
      <c r="BU338" s="47">
        <v>0</v>
      </c>
      <c r="BV338" s="47">
        <v>0</v>
      </c>
      <c r="BW338" s="47">
        <v>0</v>
      </c>
      <c r="BX338" s="47">
        <v>0</v>
      </c>
      <c r="BY338" s="47">
        <v>0</v>
      </c>
      <c r="BZ338" s="47">
        <v>0</v>
      </c>
      <c r="CA338" s="47">
        <v>0</v>
      </c>
      <c r="CB338" s="47">
        <v>0</v>
      </c>
      <c r="CC338" s="47">
        <v>0</v>
      </c>
      <c r="CD338" s="47">
        <v>0</v>
      </c>
      <c r="CE338" s="47">
        <v>0</v>
      </c>
      <c r="CF338" s="47">
        <v>0</v>
      </c>
      <c r="CG338" s="47">
        <v>0</v>
      </c>
      <c r="CH338" s="47">
        <v>0</v>
      </c>
      <c r="CI338" s="47">
        <v>0</v>
      </c>
      <c r="CJ338" s="47">
        <v>0</v>
      </c>
      <c r="CK338" s="47">
        <v>0</v>
      </c>
      <c r="CL338" s="47">
        <v>0</v>
      </c>
      <c r="CM338" s="47">
        <v>0</v>
      </c>
      <c r="CN338" s="47">
        <v>0</v>
      </c>
      <c r="CO338" s="47">
        <v>0</v>
      </c>
      <c r="CP338" s="47">
        <v>0</v>
      </c>
      <c r="CQ338" s="47">
        <v>0</v>
      </c>
      <c r="CR338" s="47">
        <v>0</v>
      </c>
      <c r="CS338" s="47">
        <v>0</v>
      </c>
      <c r="CT338" s="47">
        <v>0</v>
      </c>
      <c r="CU338" s="47">
        <v>0</v>
      </c>
      <c r="CV338" s="47">
        <v>0</v>
      </c>
      <c r="CW338" s="47">
        <v>0</v>
      </c>
      <c r="CX338" s="47">
        <v>0</v>
      </c>
      <c r="CY338" s="47">
        <v>0</v>
      </c>
      <c r="CZ338" s="47">
        <v>0</v>
      </c>
      <c r="DA338" s="47">
        <v>0</v>
      </c>
      <c r="DB338" s="47">
        <v>0</v>
      </c>
      <c r="DC338" s="47">
        <v>0</v>
      </c>
      <c r="DD338" s="47">
        <v>0</v>
      </c>
      <c r="DE338" s="47">
        <v>0</v>
      </c>
      <c r="DF338" s="47">
        <v>0</v>
      </c>
      <c r="DG338" s="47">
        <v>0</v>
      </c>
      <c r="DH338" s="47">
        <v>0</v>
      </c>
      <c r="DI338" s="47">
        <v>0</v>
      </c>
      <c r="DJ338" s="47">
        <v>0</v>
      </c>
      <c r="DK338" s="47">
        <v>0</v>
      </c>
      <c r="DL338" s="47">
        <v>0</v>
      </c>
      <c r="DM338" s="47">
        <v>0</v>
      </c>
      <c r="DN338" s="47">
        <v>0</v>
      </c>
      <c r="DO338" s="47">
        <v>0</v>
      </c>
      <c r="DP338" s="47">
        <v>0</v>
      </c>
      <c r="DQ338" s="47">
        <v>0</v>
      </c>
      <c r="DR338" s="47">
        <v>0</v>
      </c>
      <c r="DS338" s="47">
        <v>0</v>
      </c>
      <c r="DT338" s="47">
        <v>0</v>
      </c>
      <c r="DU338" s="47">
        <v>0</v>
      </c>
      <c r="DV338" s="47">
        <v>0</v>
      </c>
      <c r="DW338" s="47">
        <v>0</v>
      </c>
      <c r="DX338" s="47">
        <v>0</v>
      </c>
      <c r="DY338" s="47">
        <v>0</v>
      </c>
      <c r="DZ338" s="47">
        <v>0</v>
      </c>
      <c r="EA338" s="47">
        <v>0</v>
      </c>
      <c r="EB338" s="47"/>
      <c r="EC338" s="47">
        <v>0.8</v>
      </c>
      <c r="ZZ338" t="s">
        <v>2472</v>
      </c>
    </row>
    <row r="339" spans="1:702" x14ac:dyDescent="0.25">
      <c r="A339" s="47" t="s">
        <v>1656</v>
      </c>
      <c r="B339" s="47" t="s">
        <v>153</v>
      </c>
      <c r="C339" s="47" t="s">
        <v>157</v>
      </c>
      <c r="D339" s="47" t="s">
        <v>2821</v>
      </c>
      <c r="E339" s="47" t="s">
        <v>1657</v>
      </c>
      <c r="F339" s="47" t="s">
        <v>1658</v>
      </c>
      <c r="G339" s="47" t="s">
        <v>1659</v>
      </c>
      <c r="H339" s="47" t="s">
        <v>698</v>
      </c>
      <c r="I339" s="47" t="s">
        <v>727</v>
      </c>
      <c r="J339" s="47" t="str">
        <f>=IFERROR(VLOOKUP(H339&amp;I339,Table_Fonctions!A:G,6,FALSE),"")</f>
        <v>0</v>
      </c>
      <c r="K339" s="47" t="s">
        <v>2607</v>
      </c>
      <c r="L339" s="47" t="str">
        <f>=IFERROR(VLOOKUP(H339&amp;I339,Table_Fonctions!A:G,7,FALSE),K339)</f>
        <v/>
      </c>
      <c r="M339" s="47" t="str">
        <f>=IF(OR(LEFT(D339, 3)="TJ ", LEFT(D339, 4)="CPH "), "OUI", "NON")</f>
        <v/>
      </c>
      <c r="N339" s="47" t="s">
        <v>1660</v>
      </c>
      <c r="O339" s="47"/>
      <c r="P339" s="47">
        <v>1</v>
      </c>
      <c r="Q339" s="47">
        <v>0</v>
      </c>
      <c r="R339" s="47">
        <v>1</v>
      </c>
      <c r="S339" s="47">
        <f>=ROUND(BQ339-(BR339+BS339),3)</f>
      </c>
      <c r="T339" s="47">
        <f>=ROUND(CK339-(CL339+CM339+CN339+CO339+CP339),3)</f>
      </c>
      <c r="U339" s="47">
        <v>0</v>
      </c>
      <c r="V339" s="47">
        <v>0</v>
      </c>
      <c r="W339" s="47">
        <v>0</v>
      </c>
      <c r="X339" s="47">
        <v>0</v>
      </c>
      <c r="Y339" s="47">
        <v>0</v>
      </c>
      <c r="Z339" s="47">
        <v>0</v>
      </c>
      <c r="AA339" s="47">
        <v>0</v>
      </c>
      <c r="AB339" s="47">
        <v>0</v>
      </c>
      <c r="AC339" s="47">
        <v>0</v>
      </c>
      <c r="AD339" s="47">
        <v>0</v>
      </c>
      <c r="AE339" s="47">
        <v>0</v>
      </c>
      <c r="AF339" s="47">
        <v>0</v>
      </c>
      <c r="AG339" s="47">
        <v>0</v>
      </c>
      <c r="AH339" s="47">
        <v>0</v>
      </c>
      <c r="AI339" s="47">
        <v>0</v>
      </c>
      <c r="AJ339" s="47">
        <v>0</v>
      </c>
      <c r="AK339" s="47">
        <v>0</v>
      </c>
      <c r="AL339" s="47">
        <v>0</v>
      </c>
      <c r="AM339" s="47">
        <v>0</v>
      </c>
      <c r="AN339" s="47">
        <v>0</v>
      </c>
      <c r="AO339" s="47">
        <v>0</v>
      </c>
      <c r="AP339" s="47">
        <v>0</v>
      </c>
      <c r="AQ339" s="47">
        <v>0</v>
      </c>
      <c r="AR339" s="47">
        <v>0</v>
      </c>
      <c r="AS339" s="47">
        <v>0</v>
      </c>
      <c r="AT339" s="47">
        <v>0</v>
      </c>
      <c r="AU339" s="47">
        <v>0</v>
      </c>
      <c r="AV339" s="47">
        <v>0</v>
      </c>
      <c r="AW339" s="47">
        <v>0</v>
      </c>
      <c r="AX339" s="47">
        <v>0</v>
      </c>
      <c r="AY339" s="47">
        <v>0</v>
      </c>
      <c r="AZ339" s="47">
        <v>0</v>
      </c>
      <c r="BA339" s="47">
        <v>0</v>
      </c>
      <c r="BB339" s="47">
        <v>0</v>
      </c>
      <c r="BC339" s="47">
        <v>0</v>
      </c>
      <c r="BD339" s="47">
        <v>0</v>
      </c>
      <c r="BE339" s="47">
        <v>0</v>
      </c>
      <c r="BF339" s="47">
        <v>0</v>
      </c>
      <c r="BG339" s="47">
        <v>0</v>
      </c>
      <c r="BH339" s="47">
        <v>0</v>
      </c>
      <c r="BI339" s="47">
        <v>0</v>
      </c>
      <c r="BJ339" s="47">
        <v>0</v>
      </c>
      <c r="BK339" s="47">
        <v>0</v>
      </c>
      <c r="BL339" s="47">
        <v>0</v>
      </c>
      <c r="BM339" s="47">
        <v>0</v>
      </c>
      <c r="BN339" s="47">
        <v>0</v>
      </c>
      <c r="BO339" s="47">
        <v>0</v>
      </c>
      <c r="BP339" s="47">
        <v>0</v>
      </c>
      <c r="BQ339" s="47">
        <v>0</v>
      </c>
      <c r="BR339" s="47">
        <v>0</v>
      </c>
      <c r="BS339" s="47">
        <v>0</v>
      </c>
      <c r="BT339" s="47">
        <v>0</v>
      </c>
      <c r="BU339" s="47">
        <v>0</v>
      </c>
      <c r="BV339" s="47">
        <v>0</v>
      </c>
      <c r="BW339" s="47">
        <v>0</v>
      </c>
      <c r="BX339" s="47">
        <v>0</v>
      </c>
      <c r="BY339" s="47">
        <v>0</v>
      </c>
      <c r="BZ339" s="47">
        <v>0</v>
      </c>
      <c r="CA339" s="47">
        <v>0</v>
      </c>
      <c r="CB339" s="47">
        <v>0</v>
      </c>
      <c r="CC339" s="47">
        <v>0</v>
      </c>
      <c r="CD339" s="47">
        <v>0</v>
      </c>
      <c r="CE339" s="47">
        <v>0</v>
      </c>
      <c r="CF339" s="47">
        <v>0</v>
      </c>
      <c r="CG339" s="47">
        <v>0</v>
      </c>
      <c r="CH339" s="47">
        <v>0</v>
      </c>
      <c r="CI339" s="47">
        <v>0</v>
      </c>
      <c r="CJ339" s="47">
        <v>0</v>
      </c>
      <c r="CK339" s="47">
        <v>0</v>
      </c>
      <c r="CL339" s="47">
        <v>0</v>
      </c>
      <c r="CM339" s="47">
        <v>0</v>
      </c>
      <c r="CN339" s="47">
        <v>0</v>
      </c>
      <c r="CO339" s="47">
        <v>0</v>
      </c>
      <c r="CP339" s="47">
        <v>0</v>
      </c>
      <c r="CQ339" s="47">
        <v>0</v>
      </c>
      <c r="CR339" s="47">
        <v>0</v>
      </c>
      <c r="CS339" s="47">
        <v>0</v>
      </c>
      <c r="CT339" s="47">
        <v>0</v>
      </c>
      <c r="CU339" s="47">
        <v>0</v>
      </c>
      <c r="CV339" s="47">
        <v>0</v>
      </c>
      <c r="CW339" s="47">
        <v>0</v>
      </c>
      <c r="CX339" s="47">
        <v>0</v>
      </c>
      <c r="CY339" s="47">
        <v>0</v>
      </c>
      <c r="CZ339" s="47">
        <v>0</v>
      </c>
      <c r="DA339" s="47">
        <v>0</v>
      </c>
      <c r="DB339" s="47">
        <v>0</v>
      </c>
      <c r="DC339" s="47">
        <v>0</v>
      </c>
      <c r="DD339" s="47">
        <v>0</v>
      </c>
      <c r="DE339" s="47">
        <v>0</v>
      </c>
      <c r="DF339" s="47">
        <v>0</v>
      </c>
      <c r="DG339" s="47">
        <v>0</v>
      </c>
      <c r="DH339" s="47">
        <v>0</v>
      </c>
      <c r="DI339" s="47">
        <v>0</v>
      </c>
      <c r="DJ339" s="47">
        <v>0</v>
      </c>
      <c r="DK339" s="47">
        <v>0</v>
      </c>
      <c r="DL339" s="47">
        <v>0</v>
      </c>
      <c r="DM339" s="47">
        <v>0</v>
      </c>
      <c r="DN339" s="47">
        <v>0</v>
      </c>
      <c r="DO339" s="47">
        <v>0</v>
      </c>
      <c r="DP339" s="47">
        <v>0</v>
      </c>
      <c r="DQ339" s="47">
        <v>0</v>
      </c>
      <c r="DR339" s="47">
        <v>0</v>
      </c>
      <c r="DS339" s="47">
        <v>0</v>
      </c>
      <c r="DT339" s="47">
        <v>0</v>
      </c>
      <c r="DU339" s="47">
        <v>0</v>
      </c>
      <c r="DV339" s="47">
        <v>0</v>
      </c>
      <c r="DW339" s="47">
        <v>0</v>
      </c>
      <c r="DX339" s="47">
        <v>0</v>
      </c>
      <c r="DY339" s="47">
        <v>0</v>
      </c>
      <c r="DZ339" s="47">
        <v>0</v>
      </c>
      <c r="EA339" s="47">
        <v>0</v>
      </c>
      <c r="EB339" s="47"/>
      <c r="EC339" s="47">
        <v>1</v>
      </c>
      <c r="ZZ339" t="s">
        <v>2472</v>
      </c>
    </row>
    <row r="340" spans="1:702" x14ac:dyDescent="0.25">
      <c r="A340" s="47" t="s">
        <v>1661</v>
      </c>
      <c r="B340" s="47" t="s">
        <v>153</v>
      </c>
      <c r="C340" s="47" t="s">
        <v>157</v>
      </c>
      <c r="D340" s="47" t="s">
        <v>2822</v>
      </c>
      <c r="E340" s="47" t="s">
        <v>1662</v>
      </c>
      <c r="F340" s="47" t="s">
        <v>1663</v>
      </c>
      <c r="G340" s="47" t="s">
        <v>1664</v>
      </c>
      <c r="H340" s="47" t="s">
        <v>698</v>
      </c>
      <c r="I340" s="47" t="s">
        <v>705</v>
      </c>
      <c r="J340" s="47" t="str">
        <f>=IFERROR(VLOOKUP(H340&amp;I340,Table_Fonctions!A:G,6,FALSE),"")</f>
        <v>0</v>
      </c>
      <c r="K340" s="47" t="s">
        <v>2607</v>
      </c>
      <c r="L340" s="47" t="str">
        <f>=IFERROR(VLOOKUP(H340&amp;I340,Table_Fonctions!A:G,7,FALSE),K340)</f>
        <v/>
      </c>
      <c r="M340" s="47" t="str">
        <f>=IF(OR(LEFT(D340, 3)="TJ ", LEFT(D340, 4)="CPH "), "OUI", "NON")</f>
        <v/>
      </c>
      <c r="N340" s="47" t="s">
        <v>1071</v>
      </c>
      <c r="O340" s="47"/>
      <c r="P340" s="47">
        <v>1</v>
      </c>
      <c r="Q340" s="47">
        <v>1</v>
      </c>
      <c r="R340" s="47">
        <v>0</v>
      </c>
      <c r="S340" s="47">
        <f>=ROUND(BQ340-(BR340+BS340),3)</f>
      </c>
      <c r="T340" s="47">
        <f>=ROUND(CK340-(CL340+CM340+CN340+CO340+CP340),3)</f>
      </c>
      <c r="U340" s="47">
        <v>0</v>
      </c>
      <c r="V340" s="47">
        <v>0</v>
      </c>
      <c r="W340" s="47">
        <v>0</v>
      </c>
      <c r="X340" s="47">
        <v>0</v>
      </c>
      <c r="Y340" s="47">
        <v>0</v>
      </c>
      <c r="Z340" s="47">
        <v>0</v>
      </c>
      <c r="AA340" s="47">
        <v>0</v>
      </c>
      <c r="AB340" s="47">
        <v>0</v>
      </c>
      <c r="AC340" s="47">
        <v>0</v>
      </c>
      <c r="AD340" s="47">
        <v>0</v>
      </c>
      <c r="AE340" s="47">
        <v>0</v>
      </c>
      <c r="AF340" s="47">
        <v>0</v>
      </c>
      <c r="AG340" s="47">
        <v>0</v>
      </c>
      <c r="AH340" s="47">
        <v>0</v>
      </c>
      <c r="AI340" s="47">
        <v>0</v>
      </c>
      <c r="AJ340" s="47">
        <v>0</v>
      </c>
      <c r="AK340" s="47">
        <v>0</v>
      </c>
      <c r="AL340" s="47">
        <v>0</v>
      </c>
      <c r="AM340" s="47">
        <v>0</v>
      </c>
      <c r="AN340" s="47">
        <v>0</v>
      </c>
      <c r="AO340" s="47">
        <v>0</v>
      </c>
      <c r="AP340" s="47">
        <v>0</v>
      </c>
      <c r="AQ340" s="47">
        <v>0</v>
      </c>
      <c r="AR340" s="47">
        <v>0</v>
      </c>
      <c r="AS340" s="47">
        <v>0</v>
      </c>
      <c r="AT340" s="47">
        <v>0</v>
      </c>
      <c r="AU340" s="47">
        <v>0</v>
      </c>
      <c r="AV340" s="47">
        <v>0</v>
      </c>
      <c r="AW340" s="47">
        <v>0</v>
      </c>
      <c r="AX340" s="47">
        <v>0</v>
      </c>
      <c r="AY340" s="47">
        <v>0</v>
      </c>
      <c r="AZ340" s="47">
        <v>0</v>
      </c>
      <c r="BA340" s="47">
        <v>0</v>
      </c>
      <c r="BB340" s="47">
        <v>0</v>
      </c>
      <c r="BC340" s="47">
        <v>0</v>
      </c>
      <c r="BD340" s="47">
        <v>0</v>
      </c>
      <c r="BE340" s="47">
        <v>0</v>
      </c>
      <c r="BF340" s="47">
        <v>0</v>
      </c>
      <c r="BG340" s="47">
        <v>0</v>
      </c>
      <c r="BH340" s="47">
        <v>0</v>
      </c>
      <c r="BI340" s="47">
        <v>0</v>
      </c>
      <c r="BJ340" s="47">
        <v>0</v>
      </c>
      <c r="BK340" s="47">
        <v>0</v>
      </c>
      <c r="BL340" s="47">
        <v>0</v>
      </c>
      <c r="BM340" s="47">
        <v>0</v>
      </c>
      <c r="BN340" s="47">
        <v>0</v>
      </c>
      <c r="BO340" s="47">
        <v>0</v>
      </c>
      <c r="BP340" s="47">
        <v>0</v>
      </c>
      <c r="BQ340" s="47">
        <v>0</v>
      </c>
      <c r="BR340" s="47">
        <v>0</v>
      </c>
      <c r="BS340" s="47">
        <v>0</v>
      </c>
      <c r="BT340" s="47">
        <v>1</v>
      </c>
      <c r="BU340" s="47">
        <v>0</v>
      </c>
      <c r="BV340" s="47">
        <v>0</v>
      </c>
      <c r="BW340" s="47">
        <v>0</v>
      </c>
      <c r="BX340" s="47">
        <v>0</v>
      </c>
      <c r="BY340" s="47">
        <v>0.3</v>
      </c>
      <c r="BZ340" s="47">
        <v>0.3</v>
      </c>
      <c r="CA340" s="47">
        <v>0</v>
      </c>
      <c r="CB340" s="47">
        <v>0</v>
      </c>
      <c r="CC340" s="47">
        <v>0.4</v>
      </c>
      <c r="CD340" s="47">
        <v>0</v>
      </c>
      <c r="CE340" s="47">
        <v>0</v>
      </c>
      <c r="CF340" s="47">
        <v>0</v>
      </c>
      <c r="CG340" s="47">
        <v>0</v>
      </c>
      <c r="CH340" s="47">
        <v>0</v>
      </c>
      <c r="CI340" s="47">
        <v>0</v>
      </c>
      <c r="CJ340" s="47">
        <v>0</v>
      </c>
      <c r="CK340" s="47">
        <v>0</v>
      </c>
      <c r="CL340" s="47">
        <v>0</v>
      </c>
      <c r="CM340" s="47">
        <v>0</v>
      </c>
      <c r="CN340" s="47">
        <v>0</v>
      </c>
      <c r="CO340" s="47">
        <v>0</v>
      </c>
      <c r="CP340" s="47">
        <v>0</v>
      </c>
      <c r="CQ340" s="47">
        <v>0</v>
      </c>
      <c r="CR340" s="47">
        <v>0</v>
      </c>
      <c r="CS340" s="47">
        <v>0</v>
      </c>
      <c r="CT340" s="47">
        <v>0</v>
      </c>
      <c r="CU340" s="47">
        <v>0</v>
      </c>
      <c r="CV340" s="47">
        <v>0</v>
      </c>
      <c r="CW340" s="47">
        <v>0</v>
      </c>
      <c r="CX340" s="47">
        <v>0</v>
      </c>
      <c r="CY340" s="47">
        <v>0</v>
      </c>
      <c r="CZ340" s="47">
        <v>0</v>
      </c>
      <c r="DA340" s="47">
        <v>0</v>
      </c>
      <c r="DB340" s="47">
        <v>0</v>
      </c>
      <c r="DC340" s="47">
        <v>0</v>
      </c>
      <c r="DD340" s="47">
        <v>0</v>
      </c>
      <c r="DE340" s="47">
        <v>0</v>
      </c>
      <c r="DF340" s="47">
        <v>0</v>
      </c>
      <c r="DG340" s="47">
        <v>0</v>
      </c>
      <c r="DH340" s="47">
        <v>0</v>
      </c>
      <c r="DI340" s="47">
        <v>0</v>
      </c>
      <c r="DJ340" s="47">
        <v>0</v>
      </c>
      <c r="DK340" s="47">
        <v>0</v>
      </c>
      <c r="DL340" s="47">
        <v>0</v>
      </c>
      <c r="DM340" s="47">
        <v>0</v>
      </c>
      <c r="DN340" s="47">
        <v>0</v>
      </c>
      <c r="DO340" s="47">
        <v>0</v>
      </c>
      <c r="DP340" s="47">
        <v>0</v>
      </c>
      <c r="DQ340" s="47">
        <v>0</v>
      </c>
      <c r="DR340" s="47">
        <v>0</v>
      </c>
      <c r="DS340" s="47">
        <v>0</v>
      </c>
      <c r="DT340" s="47">
        <v>0</v>
      </c>
      <c r="DU340" s="47">
        <v>0</v>
      </c>
      <c r="DV340" s="47">
        <v>0</v>
      </c>
      <c r="DW340" s="47">
        <v>0</v>
      </c>
      <c r="DX340" s="47">
        <v>0</v>
      </c>
      <c r="DY340" s="47">
        <v>0</v>
      </c>
      <c r="DZ340" s="47">
        <v>0</v>
      </c>
      <c r="EA340" s="47">
        <v>0</v>
      </c>
      <c r="EB340" s="47"/>
      <c r="EC340" s="47">
        <v>1</v>
      </c>
      <c r="ZZ340" t="s">
        <v>2472</v>
      </c>
    </row>
    <row r="341" spans="1:702" x14ac:dyDescent="0.25">
      <c r="A341" s="47" t="s">
        <v>1665</v>
      </c>
      <c r="B341" s="47" t="s">
        <v>153</v>
      </c>
      <c r="C341" s="47" t="s">
        <v>157</v>
      </c>
      <c r="D341" s="47" t="s">
        <v>2823</v>
      </c>
      <c r="E341" s="47" t="s">
        <v>1666</v>
      </c>
      <c r="F341" s="47" t="s">
        <v>1667</v>
      </c>
      <c r="G341" s="47" t="s">
        <v>1668</v>
      </c>
      <c r="H341" s="47" t="s">
        <v>698</v>
      </c>
      <c r="I341" s="47" t="s">
        <v>705</v>
      </c>
      <c r="J341" s="47" t="str">
        <f>=IFERROR(VLOOKUP(H341&amp;I341,Table_Fonctions!A:G,6,FALSE),"")</f>
        <v>0</v>
      </c>
      <c r="K341" s="47" t="s">
        <v>2607</v>
      </c>
      <c r="L341" s="47" t="str">
        <f>=IFERROR(VLOOKUP(H341&amp;I341,Table_Fonctions!A:G,7,FALSE),K341)</f>
        <v/>
      </c>
      <c r="M341" s="47" t="str">
        <f>=IF(OR(LEFT(D341, 3)="TJ ", LEFT(D341, 4)="CPH "), "OUI", "NON")</f>
        <v/>
      </c>
      <c r="N341" s="47" t="s">
        <v>916</v>
      </c>
      <c r="O341" s="47"/>
      <c r="P341" s="47">
        <v>0.8</v>
      </c>
      <c r="Q341" s="47">
        <v>0</v>
      </c>
      <c r="R341" s="47">
        <v>0.8</v>
      </c>
      <c r="S341" s="47">
        <f>=ROUND(BQ341-(BR341+BS341),3)</f>
      </c>
      <c r="T341" s="47">
        <f>=ROUND(CK341-(CL341+CM341+CN341+CO341+CP341),3)</f>
      </c>
      <c r="U341" s="47">
        <v>0</v>
      </c>
      <c r="V341" s="47">
        <v>0</v>
      </c>
      <c r="W341" s="47">
        <v>0</v>
      </c>
      <c r="X341" s="47">
        <v>0</v>
      </c>
      <c r="Y341" s="47">
        <v>0</v>
      </c>
      <c r="Z341" s="47">
        <v>0</v>
      </c>
      <c r="AA341" s="47">
        <v>0</v>
      </c>
      <c r="AB341" s="47">
        <v>0</v>
      </c>
      <c r="AC341" s="47">
        <v>0</v>
      </c>
      <c r="AD341" s="47">
        <v>0</v>
      </c>
      <c r="AE341" s="47">
        <v>0</v>
      </c>
      <c r="AF341" s="47">
        <v>0</v>
      </c>
      <c r="AG341" s="47">
        <v>0</v>
      </c>
      <c r="AH341" s="47">
        <v>0</v>
      </c>
      <c r="AI341" s="47">
        <v>0</v>
      </c>
      <c r="AJ341" s="47">
        <v>0</v>
      </c>
      <c r="AK341" s="47">
        <v>0</v>
      </c>
      <c r="AL341" s="47">
        <v>0</v>
      </c>
      <c r="AM341" s="47">
        <v>0</v>
      </c>
      <c r="AN341" s="47">
        <v>0</v>
      </c>
      <c r="AO341" s="47">
        <v>0</v>
      </c>
      <c r="AP341" s="47">
        <v>0</v>
      </c>
      <c r="AQ341" s="47">
        <v>0</v>
      </c>
      <c r="AR341" s="47">
        <v>0</v>
      </c>
      <c r="AS341" s="47">
        <v>0</v>
      </c>
      <c r="AT341" s="47">
        <v>0</v>
      </c>
      <c r="AU341" s="47">
        <v>0</v>
      </c>
      <c r="AV341" s="47">
        <v>0</v>
      </c>
      <c r="AW341" s="47">
        <v>0</v>
      </c>
      <c r="AX341" s="47">
        <v>0</v>
      </c>
      <c r="AY341" s="47">
        <v>0</v>
      </c>
      <c r="AZ341" s="47">
        <v>0</v>
      </c>
      <c r="BA341" s="47">
        <v>0</v>
      </c>
      <c r="BB341" s="47">
        <v>0</v>
      </c>
      <c r="BC341" s="47">
        <v>0</v>
      </c>
      <c r="BD341" s="47">
        <v>0</v>
      </c>
      <c r="BE341" s="47">
        <v>0</v>
      </c>
      <c r="BF341" s="47">
        <v>0</v>
      </c>
      <c r="BG341" s="47">
        <v>0</v>
      </c>
      <c r="BH341" s="47">
        <v>0</v>
      </c>
      <c r="BI341" s="47">
        <v>0</v>
      </c>
      <c r="BJ341" s="47">
        <v>0</v>
      </c>
      <c r="BK341" s="47">
        <v>0</v>
      </c>
      <c r="BL341" s="47">
        <v>0</v>
      </c>
      <c r="BM341" s="47">
        <v>0</v>
      </c>
      <c r="BN341" s="47">
        <v>0</v>
      </c>
      <c r="BO341" s="47">
        <v>0</v>
      </c>
      <c r="BP341" s="47">
        <v>0</v>
      </c>
      <c r="BQ341" s="47">
        <v>0</v>
      </c>
      <c r="BR341" s="47">
        <v>0</v>
      </c>
      <c r="BS341" s="47">
        <v>0</v>
      </c>
      <c r="BT341" s="47">
        <v>0</v>
      </c>
      <c r="BU341" s="47">
        <v>0</v>
      </c>
      <c r="BV341" s="47">
        <v>0</v>
      </c>
      <c r="BW341" s="47">
        <v>0</v>
      </c>
      <c r="BX341" s="47">
        <v>0</v>
      </c>
      <c r="BY341" s="47">
        <v>0</v>
      </c>
      <c r="BZ341" s="47">
        <v>0</v>
      </c>
      <c r="CA341" s="47">
        <v>0</v>
      </c>
      <c r="CB341" s="47">
        <v>0</v>
      </c>
      <c r="CC341" s="47">
        <v>0</v>
      </c>
      <c r="CD341" s="47">
        <v>0</v>
      </c>
      <c r="CE341" s="47">
        <v>0</v>
      </c>
      <c r="CF341" s="47">
        <v>0</v>
      </c>
      <c r="CG341" s="47">
        <v>0</v>
      </c>
      <c r="CH341" s="47">
        <v>0</v>
      </c>
      <c r="CI341" s="47">
        <v>0</v>
      </c>
      <c r="CJ341" s="47">
        <v>0</v>
      </c>
      <c r="CK341" s="47">
        <v>0</v>
      </c>
      <c r="CL341" s="47">
        <v>0</v>
      </c>
      <c r="CM341" s="47">
        <v>0</v>
      </c>
      <c r="CN341" s="47">
        <v>0</v>
      </c>
      <c r="CO341" s="47">
        <v>0</v>
      </c>
      <c r="CP341" s="47">
        <v>0</v>
      </c>
      <c r="CQ341" s="47">
        <v>0</v>
      </c>
      <c r="CR341" s="47">
        <v>0</v>
      </c>
      <c r="CS341" s="47">
        <v>0</v>
      </c>
      <c r="CT341" s="47">
        <v>0</v>
      </c>
      <c r="CU341" s="47">
        <v>0</v>
      </c>
      <c r="CV341" s="47">
        <v>0</v>
      </c>
      <c r="CW341" s="47">
        <v>0</v>
      </c>
      <c r="CX341" s="47">
        <v>0</v>
      </c>
      <c r="CY341" s="47">
        <v>0</v>
      </c>
      <c r="CZ341" s="47">
        <v>0</v>
      </c>
      <c r="DA341" s="47">
        <v>0</v>
      </c>
      <c r="DB341" s="47">
        <v>0</v>
      </c>
      <c r="DC341" s="47">
        <v>0</v>
      </c>
      <c r="DD341" s="47">
        <v>0</v>
      </c>
      <c r="DE341" s="47">
        <v>0</v>
      </c>
      <c r="DF341" s="47">
        <v>0</v>
      </c>
      <c r="DG341" s="47">
        <v>0</v>
      </c>
      <c r="DH341" s="47">
        <v>0</v>
      </c>
      <c r="DI341" s="47">
        <v>0</v>
      </c>
      <c r="DJ341" s="47">
        <v>0</v>
      </c>
      <c r="DK341" s="47">
        <v>0</v>
      </c>
      <c r="DL341" s="47">
        <v>0</v>
      </c>
      <c r="DM341" s="47">
        <v>0</v>
      </c>
      <c r="DN341" s="47">
        <v>0</v>
      </c>
      <c r="DO341" s="47">
        <v>0</v>
      </c>
      <c r="DP341" s="47">
        <v>0</v>
      </c>
      <c r="DQ341" s="47">
        <v>0</v>
      </c>
      <c r="DR341" s="47">
        <v>0</v>
      </c>
      <c r="DS341" s="47">
        <v>0</v>
      </c>
      <c r="DT341" s="47">
        <v>0</v>
      </c>
      <c r="DU341" s="47">
        <v>0</v>
      </c>
      <c r="DV341" s="47">
        <v>0</v>
      </c>
      <c r="DW341" s="47">
        <v>0</v>
      </c>
      <c r="DX341" s="47">
        <v>0</v>
      </c>
      <c r="DY341" s="47">
        <v>0</v>
      </c>
      <c r="DZ341" s="47">
        <v>0</v>
      </c>
      <c r="EA341" s="47">
        <v>0</v>
      </c>
      <c r="EB341" s="47"/>
      <c r="EC341" s="47">
        <v>0.8</v>
      </c>
      <c r="ZZ341" t="s">
        <v>2472</v>
      </c>
    </row>
    <row r="342" spans="1:702" x14ac:dyDescent="0.25">
      <c r="A342" s="47" t="s">
        <v>1669</v>
      </c>
      <c r="B342" s="47" t="s">
        <v>153</v>
      </c>
      <c r="C342" s="47" t="s">
        <v>157</v>
      </c>
      <c r="D342" s="47" t="s">
        <v>2824</v>
      </c>
      <c r="E342" s="47" t="s">
        <v>1670</v>
      </c>
      <c r="F342" s="47" t="s">
        <v>1671</v>
      </c>
      <c r="G342" s="47" t="s">
        <v>1672</v>
      </c>
      <c r="H342" s="47" t="s">
        <v>698</v>
      </c>
      <c r="I342" s="47" t="s">
        <v>705</v>
      </c>
      <c r="J342" s="47" t="str">
        <f>=IFERROR(VLOOKUP(H342&amp;I342,Table_Fonctions!A:G,6,FALSE),"")</f>
        <v>0</v>
      </c>
      <c r="K342" s="47" t="s">
        <v>2607</v>
      </c>
      <c r="L342" s="47" t="str">
        <f>=IFERROR(VLOOKUP(H342&amp;I342,Table_Fonctions!A:G,7,FALSE),K342)</f>
        <v/>
      </c>
      <c r="M342" s="47" t="str">
        <f>=IF(OR(LEFT(D342, 3)="TJ ", LEFT(D342, 4)="CPH "), "OUI", "NON")</f>
        <v/>
      </c>
      <c r="N342" s="47" t="s">
        <v>1603</v>
      </c>
      <c r="O342" s="47"/>
      <c r="P342" s="47">
        <v>1</v>
      </c>
      <c r="Q342" s="47">
        <v>0</v>
      </c>
      <c r="R342" s="47">
        <v>1</v>
      </c>
      <c r="S342" s="47">
        <f>=ROUND(BQ342-(BR342+BS342),3)</f>
      </c>
      <c r="T342" s="47">
        <f>=ROUND(CK342-(CL342+CM342+CN342+CO342+CP342),3)</f>
      </c>
      <c r="U342" s="47">
        <v>0</v>
      </c>
      <c r="V342" s="47">
        <v>0</v>
      </c>
      <c r="W342" s="47">
        <v>0</v>
      </c>
      <c r="X342" s="47">
        <v>0</v>
      </c>
      <c r="Y342" s="47">
        <v>0</v>
      </c>
      <c r="Z342" s="47">
        <v>0</v>
      </c>
      <c r="AA342" s="47">
        <v>0</v>
      </c>
      <c r="AB342" s="47">
        <v>0</v>
      </c>
      <c r="AC342" s="47">
        <v>0</v>
      </c>
      <c r="AD342" s="47">
        <v>0</v>
      </c>
      <c r="AE342" s="47">
        <v>0</v>
      </c>
      <c r="AF342" s="47">
        <v>0</v>
      </c>
      <c r="AG342" s="47">
        <v>0</v>
      </c>
      <c r="AH342" s="47">
        <v>0</v>
      </c>
      <c r="AI342" s="47">
        <v>0</v>
      </c>
      <c r="AJ342" s="47">
        <v>0</v>
      </c>
      <c r="AK342" s="47">
        <v>0</v>
      </c>
      <c r="AL342" s="47">
        <v>0</v>
      </c>
      <c r="AM342" s="47">
        <v>0</v>
      </c>
      <c r="AN342" s="47">
        <v>0</v>
      </c>
      <c r="AO342" s="47">
        <v>0</v>
      </c>
      <c r="AP342" s="47">
        <v>0</v>
      </c>
      <c r="AQ342" s="47">
        <v>0</v>
      </c>
      <c r="AR342" s="47">
        <v>0</v>
      </c>
      <c r="AS342" s="47">
        <v>0</v>
      </c>
      <c r="AT342" s="47">
        <v>0</v>
      </c>
      <c r="AU342" s="47">
        <v>0</v>
      </c>
      <c r="AV342" s="47">
        <v>0</v>
      </c>
      <c r="AW342" s="47">
        <v>0</v>
      </c>
      <c r="AX342" s="47">
        <v>0</v>
      </c>
      <c r="AY342" s="47">
        <v>0</v>
      </c>
      <c r="AZ342" s="47">
        <v>0</v>
      </c>
      <c r="BA342" s="47">
        <v>0</v>
      </c>
      <c r="BB342" s="47">
        <v>0</v>
      </c>
      <c r="BC342" s="47">
        <v>0</v>
      </c>
      <c r="BD342" s="47">
        <v>0</v>
      </c>
      <c r="BE342" s="47">
        <v>0</v>
      </c>
      <c r="BF342" s="47">
        <v>0</v>
      </c>
      <c r="BG342" s="47">
        <v>0</v>
      </c>
      <c r="BH342" s="47">
        <v>0</v>
      </c>
      <c r="BI342" s="47">
        <v>0</v>
      </c>
      <c r="BJ342" s="47">
        <v>0</v>
      </c>
      <c r="BK342" s="47">
        <v>0</v>
      </c>
      <c r="BL342" s="47">
        <v>0</v>
      </c>
      <c r="BM342" s="47">
        <v>0</v>
      </c>
      <c r="BN342" s="47">
        <v>0</v>
      </c>
      <c r="BO342" s="47">
        <v>0</v>
      </c>
      <c r="BP342" s="47">
        <v>0</v>
      </c>
      <c r="BQ342" s="47">
        <v>0</v>
      </c>
      <c r="BR342" s="47">
        <v>0</v>
      </c>
      <c r="BS342" s="47">
        <v>0</v>
      </c>
      <c r="BT342" s="47">
        <v>0</v>
      </c>
      <c r="BU342" s="47">
        <v>0</v>
      </c>
      <c r="BV342" s="47">
        <v>0</v>
      </c>
      <c r="BW342" s="47">
        <v>0</v>
      </c>
      <c r="BX342" s="47">
        <v>0</v>
      </c>
      <c r="BY342" s="47">
        <v>0</v>
      </c>
      <c r="BZ342" s="47">
        <v>0</v>
      </c>
      <c r="CA342" s="47">
        <v>0</v>
      </c>
      <c r="CB342" s="47">
        <v>0</v>
      </c>
      <c r="CC342" s="47">
        <v>0</v>
      </c>
      <c r="CD342" s="47">
        <v>0</v>
      </c>
      <c r="CE342" s="47">
        <v>0</v>
      </c>
      <c r="CF342" s="47">
        <v>0</v>
      </c>
      <c r="CG342" s="47">
        <v>0</v>
      </c>
      <c r="CH342" s="47">
        <v>0</v>
      </c>
      <c r="CI342" s="47">
        <v>0</v>
      </c>
      <c r="CJ342" s="47">
        <v>0</v>
      </c>
      <c r="CK342" s="47">
        <v>0</v>
      </c>
      <c r="CL342" s="47">
        <v>0</v>
      </c>
      <c r="CM342" s="47">
        <v>0</v>
      </c>
      <c r="CN342" s="47">
        <v>0</v>
      </c>
      <c r="CO342" s="47">
        <v>0</v>
      </c>
      <c r="CP342" s="47">
        <v>0</v>
      </c>
      <c r="CQ342" s="47">
        <v>0</v>
      </c>
      <c r="CR342" s="47">
        <v>0</v>
      </c>
      <c r="CS342" s="47">
        <v>0</v>
      </c>
      <c r="CT342" s="47">
        <v>0</v>
      </c>
      <c r="CU342" s="47">
        <v>0</v>
      </c>
      <c r="CV342" s="47">
        <v>0</v>
      </c>
      <c r="CW342" s="47">
        <v>0</v>
      </c>
      <c r="CX342" s="47">
        <v>0</v>
      </c>
      <c r="CY342" s="47">
        <v>0</v>
      </c>
      <c r="CZ342" s="47">
        <v>0</v>
      </c>
      <c r="DA342" s="47">
        <v>0</v>
      </c>
      <c r="DB342" s="47">
        <v>0</v>
      </c>
      <c r="DC342" s="47">
        <v>0</v>
      </c>
      <c r="DD342" s="47">
        <v>0</v>
      </c>
      <c r="DE342" s="47">
        <v>0</v>
      </c>
      <c r="DF342" s="47">
        <v>0</v>
      </c>
      <c r="DG342" s="47">
        <v>0</v>
      </c>
      <c r="DH342" s="47">
        <v>0</v>
      </c>
      <c r="DI342" s="47">
        <v>0</v>
      </c>
      <c r="DJ342" s="47">
        <v>0</v>
      </c>
      <c r="DK342" s="47">
        <v>0</v>
      </c>
      <c r="DL342" s="47">
        <v>0</v>
      </c>
      <c r="DM342" s="47">
        <v>0</v>
      </c>
      <c r="DN342" s="47">
        <v>0</v>
      </c>
      <c r="DO342" s="47">
        <v>0</v>
      </c>
      <c r="DP342" s="47">
        <v>0</v>
      </c>
      <c r="DQ342" s="47">
        <v>0</v>
      </c>
      <c r="DR342" s="47">
        <v>0</v>
      </c>
      <c r="DS342" s="47">
        <v>0</v>
      </c>
      <c r="DT342" s="47">
        <v>0</v>
      </c>
      <c r="DU342" s="47">
        <v>0</v>
      </c>
      <c r="DV342" s="47">
        <v>0</v>
      </c>
      <c r="DW342" s="47">
        <v>0</v>
      </c>
      <c r="DX342" s="47">
        <v>0</v>
      </c>
      <c r="DY342" s="47">
        <v>0</v>
      </c>
      <c r="DZ342" s="47">
        <v>0</v>
      </c>
      <c r="EA342" s="47">
        <v>0</v>
      </c>
      <c r="EB342" s="47"/>
      <c r="EC342" s="47">
        <v>1</v>
      </c>
      <c r="ZZ342" t="s">
        <v>2472</v>
      </c>
    </row>
    <row r="343" spans="1:702" x14ac:dyDescent="0.25">
      <c r="A343" s="47" t="s">
        <v>1673</v>
      </c>
      <c r="B343" s="47" t="s">
        <v>153</v>
      </c>
      <c r="C343" s="47" t="s">
        <v>157</v>
      </c>
      <c r="D343" s="47" t="s">
        <v>2825</v>
      </c>
      <c r="E343" s="47" t="s">
        <v>1674</v>
      </c>
      <c r="F343" s="47" t="s">
        <v>1675</v>
      </c>
      <c r="G343" s="47" t="s">
        <v>1676</v>
      </c>
      <c r="H343" s="47" t="s">
        <v>698</v>
      </c>
      <c r="I343" s="47" t="s">
        <v>727</v>
      </c>
      <c r="J343" s="47" t="str">
        <f>=IFERROR(VLOOKUP(H343&amp;I343,Table_Fonctions!A:G,6,FALSE),"")</f>
        <v>0</v>
      </c>
      <c r="K343" s="47" t="s">
        <v>2607</v>
      </c>
      <c r="L343" s="47" t="str">
        <f>=IFERROR(VLOOKUP(H343&amp;I343,Table_Fonctions!A:G,7,FALSE),K343)</f>
        <v/>
      </c>
      <c r="M343" s="47" t="str">
        <f>=IF(OR(LEFT(D343, 3)="TJ ", LEFT(D343, 4)="CPH "), "OUI", "NON")</f>
        <v/>
      </c>
      <c r="N343" s="47" t="s">
        <v>1113</v>
      </c>
      <c r="O343" s="47"/>
      <c r="P343" s="47">
        <v>1</v>
      </c>
      <c r="Q343" s="47">
        <v>1</v>
      </c>
      <c r="R343" s="47">
        <v>0</v>
      </c>
      <c r="S343" s="47">
        <f>=ROUND(BQ343-(BR343+BS343),3)</f>
      </c>
      <c r="T343" s="47">
        <f>=ROUND(CK343-(CL343+CM343+CN343+CO343+CP343),3)</f>
      </c>
      <c r="U343" s="47">
        <v>0</v>
      </c>
      <c r="V343" s="47">
        <v>0</v>
      </c>
      <c r="W343" s="47">
        <v>0</v>
      </c>
      <c r="X343" s="47">
        <v>0</v>
      </c>
      <c r="Y343" s="47">
        <v>0</v>
      </c>
      <c r="Z343" s="47">
        <v>0</v>
      </c>
      <c r="AA343" s="47">
        <v>0</v>
      </c>
      <c r="AB343" s="47">
        <v>0</v>
      </c>
      <c r="AC343" s="47">
        <v>0</v>
      </c>
      <c r="AD343" s="47">
        <v>0</v>
      </c>
      <c r="AE343" s="47">
        <v>0</v>
      </c>
      <c r="AF343" s="47">
        <v>0</v>
      </c>
      <c r="AG343" s="47">
        <v>0</v>
      </c>
      <c r="AH343" s="47">
        <v>0</v>
      </c>
      <c r="AI343" s="47">
        <v>0</v>
      </c>
      <c r="AJ343" s="47">
        <v>0</v>
      </c>
      <c r="AK343" s="47">
        <v>0</v>
      </c>
      <c r="AL343" s="47">
        <v>0</v>
      </c>
      <c r="AM343" s="47">
        <v>0</v>
      </c>
      <c r="AN343" s="47">
        <v>0</v>
      </c>
      <c r="AO343" s="47">
        <v>0</v>
      </c>
      <c r="AP343" s="47">
        <v>0</v>
      </c>
      <c r="AQ343" s="47">
        <v>0</v>
      </c>
      <c r="AR343" s="47">
        <v>0</v>
      </c>
      <c r="AS343" s="47">
        <v>0</v>
      </c>
      <c r="AT343" s="47">
        <v>0</v>
      </c>
      <c r="AU343" s="47">
        <v>0</v>
      </c>
      <c r="AV343" s="47">
        <v>0</v>
      </c>
      <c r="AW343" s="47">
        <v>0</v>
      </c>
      <c r="AX343" s="47">
        <v>0</v>
      </c>
      <c r="AY343" s="47">
        <v>0</v>
      </c>
      <c r="AZ343" s="47">
        <v>0</v>
      </c>
      <c r="BA343" s="47">
        <v>0</v>
      </c>
      <c r="BB343" s="47">
        <v>0</v>
      </c>
      <c r="BC343" s="47">
        <v>0</v>
      </c>
      <c r="BD343" s="47">
        <v>0</v>
      </c>
      <c r="BE343" s="47">
        <v>0</v>
      </c>
      <c r="BF343" s="47">
        <v>0</v>
      </c>
      <c r="BG343" s="47">
        <v>0</v>
      </c>
      <c r="BH343" s="47">
        <v>0</v>
      </c>
      <c r="BI343" s="47">
        <v>0</v>
      </c>
      <c r="BJ343" s="47">
        <v>0</v>
      </c>
      <c r="BK343" s="47">
        <v>0</v>
      </c>
      <c r="BL343" s="47">
        <v>0</v>
      </c>
      <c r="BM343" s="47">
        <v>1</v>
      </c>
      <c r="BN343" s="47">
        <v>0</v>
      </c>
      <c r="BO343" s="47">
        <v>0</v>
      </c>
      <c r="BP343" s="47">
        <v>0</v>
      </c>
      <c r="BQ343" s="47">
        <v>0</v>
      </c>
      <c r="BR343" s="47">
        <v>0</v>
      </c>
      <c r="BS343" s="47">
        <v>0</v>
      </c>
      <c r="BT343" s="47">
        <v>0</v>
      </c>
      <c r="BU343" s="47">
        <v>0</v>
      </c>
      <c r="BV343" s="47">
        <v>0</v>
      </c>
      <c r="BW343" s="47">
        <v>0</v>
      </c>
      <c r="BX343" s="47">
        <v>0</v>
      </c>
      <c r="BY343" s="47">
        <v>0</v>
      </c>
      <c r="BZ343" s="47">
        <v>0</v>
      </c>
      <c r="CA343" s="47">
        <v>0</v>
      </c>
      <c r="CB343" s="47">
        <v>0</v>
      </c>
      <c r="CC343" s="47">
        <v>0</v>
      </c>
      <c r="CD343" s="47">
        <v>0</v>
      </c>
      <c r="CE343" s="47">
        <v>0</v>
      </c>
      <c r="CF343" s="47">
        <v>0</v>
      </c>
      <c r="CG343" s="47">
        <v>0</v>
      </c>
      <c r="CH343" s="47">
        <v>0</v>
      </c>
      <c r="CI343" s="47">
        <v>0</v>
      </c>
      <c r="CJ343" s="47">
        <v>0</v>
      </c>
      <c r="CK343" s="47">
        <v>0</v>
      </c>
      <c r="CL343" s="47">
        <v>0</v>
      </c>
      <c r="CM343" s="47">
        <v>0</v>
      </c>
      <c r="CN343" s="47">
        <v>0</v>
      </c>
      <c r="CO343" s="47">
        <v>0</v>
      </c>
      <c r="CP343" s="47">
        <v>0</v>
      </c>
      <c r="CQ343" s="47">
        <v>0</v>
      </c>
      <c r="CR343" s="47">
        <v>0</v>
      </c>
      <c r="CS343" s="47">
        <v>0</v>
      </c>
      <c r="CT343" s="47">
        <v>0</v>
      </c>
      <c r="CU343" s="47">
        <v>0</v>
      </c>
      <c r="CV343" s="47">
        <v>0</v>
      </c>
      <c r="CW343" s="47">
        <v>0</v>
      </c>
      <c r="CX343" s="47">
        <v>0</v>
      </c>
      <c r="CY343" s="47">
        <v>0</v>
      </c>
      <c r="CZ343" s="47">
        <v>0</v>
      </c>
      <c r="DA343" s="47">
        <v>0</v>
      </c>
      <c r="DB343" s="47">
        <v>0</v>
      </c>
      <c r="DC343" s="47">
        <v>0</v>
      </c>
      <c r="DD343" s="47">
        <v>0</v>
      </c>
      <c r="DE343" s="47">
        <v>0</v>
      </c>
      <c r="DF343" s="47">
        <v>0</v>
      </c>
      <c r="DG343" s="47">
        <v>0</v>
      </c>
      <c r="DH343" s="47">
        <v>0</v>
      </c>
      <c r="DI343" s="47">
        <v>0</v>
      </c>
      <c r="DJ343" s="47">
        <v>0</v>
      </c>
      <c r="DK343" s="47">
        <v>0</v>
      </c>
      <c r="DL343" s="47">
        <v>0</v>
      </c>
      <c r="DM343" s="47">
        <v>0</v>
      </c>
      <c r="DN343" s="47">
        <v>0</v>
      </c>
      <c r="DO343" s="47">
        <v>0</v>
      </c>
      <c r="DP343" s="47">
        <v>0</v>
      </c>
      <c r="DQ343" s="47">
        <v>0</v>
      </c>
      <c r="DR343" s="47">
        <v>0</v>
      </c>
      <c r="DS343" s="47">
        <v>0</v>
      </c>
      <c r="DT343" s="47">
        <v>0</v>
      </c>
      <c r="DU343" s="47">
        <v>0</v>
      </c>
      <c r="DV343" s="47">
        <v>0</v>
      </c>
      <c r="DW343" s="47">
        <v>0</v>
      </c>
      <c r="DX343" s="47">
        <v>0</v>
      </c>
      <c r="DY343" s="47">
        <v>0</v>
      </c>
      <c r="DZ343" s="47">
        <v>0</v>
      </c>
      <c r="EA343" s="47">
        <v>0</v>
      </c>
      <c r="EB343" s="47"/>
      <c r="EC343" s="47">
        <v>1</v>
      </c>
      <c r="ZZ343" t="s">
        <v>2472</v>
      </c>
    </row>
    <row r="344" spans="1:702" x14ac:dyDescent="0.25">
      <c r="A344" s="47" t="s">
        <v>1677</v>
      </c>
      <c r="B344" s="47" t="s">
        <v>153</v>
      </c>
      <c r="C344" s="47" t="s">
        <v>157</v>
      </c>
      <c r="D344" s="47" t="s">
        <v>2826</v>
      </c>
      <c r="E344" s="47" t="s">
        <v>1678</v>
      </c>
      <c r="F344" s="47" t="s">
        <v>1679</v>
      </c>
      <c r="G344" s="47" t="s">
        <v>1680</v>
      </c>
      <c r="H344" s="47" t="s">
        <v>698</v>
      </c>
      <c r="I344" s="47" t="s">
        <v>727</v>
      </c>
      <c r="J344" s="47" t="str">
        <f>=IFERROR(VLOOKUP(H344&amp;I344,Table_Fonctions!A:G,6,FALSE),"")</f>
        <v>0</v>
      </c>
      <c r="K344" s="47" t="s">
        <v>2607</v>
      </c>
      <c r="L344" s="47" t="str">
        <f>=IFERROR(VLOOKUP(H344&amp;I344,Table_Fonctions!A:G,7,FALSE),K344)</f>
        <v/>
      </c>
      <c r="M344" s="47" t="str">
        <f>=IF(OR(LEFT(D344, 3)="TJ ", LEFT(D344, 4)="CPH "), "OUI", "NON")</f>
        <v/>
      </c>
      <c r="N344" s="47" t="s">
        <v>739</v>
      </c>
      <c r="O344" s="47"/>
      <c r="P344" s="47">
        <v>1</v>
      </c>
      <c r="Q344" s="47">
        <v>1</v>
      </c>
      <c r="R344" s="47">
        <v>0</v>
      </c>
      <c r="S344" s="47">
        <f>=ROUND(BQ344-(BR344+BS344),3)</f>
      </c>
      <c r="T344" s="47">
        <f>=ROUND(CK344-(CL344+CM344+CN344+CO344+CP344),3)</f>
      </c>
      <c r="U344" s="47">
        <v>0</v>
      </c>
      <c r="V344" s="47">
        <v>0</v>
      </c>
      <c r="W344" s="47">
        <v>0</v>
      </c>
      <c r="X344" s="47">
        <v>0</v>
      </c>
      <c r="Y344" s="47">
        <v>0</v>
      </c>
      <c r="Z344" s="47">
        <v>0</v>
      </c>
      <c r="AA344" s="47">
        <v>0</v>
      </c>
      <c r="AB344" s="47">
        <v>0</v>
      </c>
      <c r="AC344" s="47">
        <v>0</v>
      </c>
      <c r="AD344" s="47">
        <v>0</v>
      </c>
      <c r="AE344" s="47">
        <v>0</v>
      </c>
      <c r="AF344" s="47">
        <v>0</v>
      </c>
      <c r="AG344" s="47">
        <v>0</v>
      </c>
      <c r="AH344" s="47">
        <v>0</v>
      </c>
      <c r="AI344" s="47">
        <v>0</v>
      </c>
      <c r="AJ344" s="47">
        <v>0</v>
      </c>
      <c r="AK344" s="47">
        <v>0</v>
      </c>
      <c r="AL344" s="47">
        <v>0</v>
      </c>
      <c r="AM344" s="47">
        <v>0</v>
      </c>
      <c r="AN344" s="47">
        <v>0</v>
      </c>
      <c r="AO344" s="47">
        <v>0</v>
      </c>
      <c r="AP344" s="47">
        <v>0</v>
      </c>
      <c r="AQ344" s="47">
        <v>0</v>
      </c>
      <c r="AR344" s="47">
        <v>0</v>
      </c>
      <c r="AS344" s="47">
        <v>1</v>
      </c>
      <c r="AT344" s="47">
        <v>0</v>
      </c>
      <c r="AU344" s="47">
        <v>0</v>
      </c>
      <c r="AV344" s="47">
        <v>0</v>
      </c>
      <c r="AW344" s="47">
        <v>0</v>
      </c>
      <c r="AX344" s="47">
        <v>0</v>
      </c>
      <c r="AY344" s="47">
        <v>0</v>
      </c>
      <c r="AZ344" s="47">
        <v>0</v>
      </c>
      <c r="BA344" s="47">
        <v>0</v>
      </c>
      <c r="BB344" s="47">
        <v>0</v>
      </c>
      <c r="BC344" s="47">
        <v>0</v>
      </c>
      <c r="BD344" s="47">
        <v>0</v>
      </c>
      <c r="BE344" s="47">
        <v>0</v>
      </c>
      <c r="BF344" s="47">
        <v>0</v>
      </c>
      <c r="BG344" s="47">
        <v>0</v>
      </c>
      <c r="BH344" s="47">
        <v>0</v>
      </c>
      <c r="BI344" s="47">
        <v>0</v>
      </c>
      <c r="BJ344" s="47">
        <v>0</v>
      </c>
      <c r="BK344" s="47">
        <v>0</v>
      </c>
      <c r="BL344" s="47">
        <v>0</v>
      </c>
      <c r="BM344" s="47">
        <v>0</v>
      </c>
      <c r="BN344" s="47">
        <v>0</v>
      </c>
      <c r="BO344" s="47">
        <v>0</v>
      </c>
      <c r="BP344" s="47">
        <v>0</v>
      </c>
      <c r="BQ344" s="47">
        <v>0</v>
      </c>
      <c r="BR344" s="47">
        <v>0</v>
      </c>
      <c r="BS344" s="47">
        <v>0</v>
      </c>
      <c r="BT344" s="47">
        <v>0</v>
      </c>
      <c r="BU344" s="47">
        <v>0</v>
      </c>
      <c r="BV344" s="47">
        <v>0</v>
      </c>
      <c r="BW344" s="47">
        <v>0</v>
      </c>
      <c r="BX344" s="47">
        <v>0</v>
      </c>
      <c r="BY344" s="47">
        <v>0</v>
      </c>
      <c r="BZ344" s="47">
        <v>0</v>
      </c>
      <c r="CA344" s="47">
        <v>0</v>
      </c>
      <c r="CB344" s="47">
        <v>0</v>
      </c>
      <c r="CC344" s="47">
        <v>0</v>
      </c>
      <c r="CD344" s="47">
        <v>0</v>
      </c>
      <c r="CE344" s="47">
        <v>0</v>
      </c>
      <c r="CF344" s="47">
        <v>0</v>
      </c>
      <c r="CG344" s="47">
        <v>0</v>
      </c>
      <c r="CH344" s="47">
        <v>0</v>
      </c>
      <c r="CI344" s="47">
        <v>0</v>
      </c>
      <c r="CJ344" s="47">
        <v>0</v>
      </c>
      <c r="CK344" s="47">
        <v>0</v>
      </c>
      <c r="CL344" s="47">
        <v>0</v>
      </c>
      <c r="CM344" s="47">
        <v>0</v>
      </c>
      <c r="CN344" s="47">
        <v>0</v>
      </c>
      <c r="CO344" s="47">
        <v>0</v>
      </c>
      <c r="CP344" s="47">
        <v>0</v>
      </c>
      <c r="CQ344" s="47">
        <v>0</v>
      </c>
      <c r="CR344" s="47">
        <v>0</v>
      </c>
      <c r="CS344" s="47">
        <v>0</v>
      </c>
      <c r="CT344" s="47">
        <v>0</v>
      </c>
      <c r="CU344" s="47">
        <v>0</v>
      </c>
      <c r="CV344" s="47">
        <v>0</v>
      </c>
      <c r="CW344" s="47">
        <v>0</v>
      </c>
      <c r="CX344" s="47">
        <v>0</v>
      </c>
      <c r="CY344" s="47">
        <v>0</v>
      </c>
      <c r="CZ344" s="47">
        <v>0</v>
      </c>
      <c r="DA344" s="47">
        <v>0</v>
      </c>
      <c r="DB344" s="47">
        <v>0</v>
      </c>
      <c r="DC344" s="47">
        <v>0</v>
      </c>
      <c r="DD344" s="47">
        <v>0</v>
      </c>
      <c r="DE344" s="47">
        <v>0</v>
      </c>
      <c r="DF344" s="47">
        <v>0</v>
      </c>
      <c r="DG344" s="47">
        <v>0</v>
      </c>
      <c r="DH344" s="47">
        <v>0</v>
      </c>
      <c r="DI344" s="47">
        <v>0</v>
      </c>
      <c r="DJ344" s="47">
        <v>0</v>
      </c>
      <c r="DK344" s="47">
        <v>0</v>
      </c>
      <c r="DL344" s="47">
        <v>0</v>
      </c>
      <c r="DM344" s="47">
        <v>0</v>
      </c>
      <c r="DN344" s="47">
        <v>0</v>
      </c>
      <c r="DO344" s="47">
        <v>0</v>
      </c>
      <c r="DP344" s="47">
        <v>0</v>
      </c>
      <c r="DQ344" s="47">
        <v>0</v>
      </c>
      <c r="DR344" s="47">
        <v>0</v>
      </c>
      <c r="DS344" s="47">
        <v>0</v>
      </c>
      <c r="DT344" s="47">
        <v>0</v>
      </c>
      <c r="DU344" s="47">
        <v>0</v>
      </c>
      <c r="DV344" s="47">
        <v>0</v>
      </c>
      <c r="DW344" s="47">
        <v>0</v>
      </c>
      <c r="DX344" s="47">
        <v>0</v>
      </c>
      <c r="DY344" s="47">
        <v>0</v>
      </c>
      <c r="DZ344" s="47">
        <v>0</v>
      </c>
      <c r="EA344" s="47">
        <v>0</v>
      </c>
      <c r="EB344" s="47"/>
      <c r="EC344" s="47">
        <v>1</v>
      </c>
      <c r="ZZ344" t="s">
        <v>2472</v>
      </c>
    </row>
    <row r="345" spans="1:702" x14ac:dyDescent="0.25">
      <c r="A345" s="47" t="s">
        <v>1681</v>
      </c>
      <c r="B345" s="47" t="s">
        <v>153</v>
      </c>
      <c r="C345" s="47" t="s">
        <v>157</v>
      </c>
      <c r="D345" s="47" t="s">
        <v>2827</v>
      </c>
      <c r="E345" s="47" t="s">
        <v>1682</v>
      </c>
      <c r="F345" s="47" t="s">
        <v>1683</v>
      </c>
      <c r="G345" s="47" t="s">
        <v>1684</v>
      </c>
      <c r="H345" s="47" t="s">
        <v>698</v>
      </c>
      <c r="I345" s="47" t="s">
        <v>727</v>
      </c>
      <c r="J345" s="47" t="str">
        <f>=IFERROR(VLOOKUP(H345&amp;I345,Table_Fonctions!A:G,6,FALSE),"")</f>
        <v>0</v>
      </c>
      <c r="K345" s="47" t="s">
        <v>2607</v>
      </c>
      <c r="L345" s="47" t="str">
        <f>=IFERROR(VLOOKUP(H345&amp;I345,Table_Fonctions!A:G,7,FALSE),K345)</f>
        <v/>
      </c>
      <c r="M345" s="47" t="str">
        <f>=IF(OR(LEFT(D345, 3)="TJ ", LEFT(D345, 4)="CPH "), "OUI", "NON")</f>
        <v/>
      </c>
      <c r="N345" s="47" t="s">
        <v>1173</v>
      </c>
      <c r="O345" s="47"/>
      <c r="P345" s="47">
        <v>1</v>
      </c>
      <c r="Q345" s="47">
        <v>1</v>
      </c>
      <c r="R345" s="47">
        <v>0</v>
      </c>
      <c r="S345" s="47">
        <f>=ROUND(BQ345-(BR345+BS345),3)</f>
      </c>
      <c r="T345" s="47">
        <f>=ROUND(CK345-(CL345+CM345+CN345+CO345+CP345),3)</f>
      </c>
      <c r="U345" s="47">
        <v>0</v>
      </c>
      <c r="V345" s="47">
        <v>0</v>
      </c>
      <c r="W345" s="47">
        <v>0</v>
      </c>
      <c r="X345" s="47">
        <v>0</v>
      </c>
      <c r="Y345" s="47">
        <v>0</v>
      </c>
      <c r="Z345" s="47">
        <v>0</v>
      </c>
      <c r="AA345" s="47">
        <v>0</v>
      </c>
      <c r="AB345" s="47">
        <v>0</v>
      </c>
      <c r="AC345" s="47">
        <v>0</v>
      </c>
      <c r="AD345" s="47">
        <v>0</v>
      </c>
      <c r="AE345" s="47">
        <v>0</v>
      </c>
      <c r="AF345" s="47">
        <v>0</v>
      </c>
      <c r="AG345" s="47">
        <v>0</v>
      </c>
      <c r="AH345" s="47">
        <v>0</v>
      </c>
      <c r="AI345" s="47">
        <v>0</v>
      </c>
      <c r="AJ345" s="47">
        <v>0</v>
      </c>
      <c r="AK345" s="47">
        <v>0</v>
      </c>
      <c r="AL345" s="47">
        <v>0</v>
      </c>
      <c r="AM345" s="47">
        <v>0</v>
      </c>
      <c r="AN345" s="47">
        <v>0</v>
      </c>
      <c r="AO345" s="47">
        <v>0</v>
      </c>
      <c r="AP345" s="47">
        <v>0</v>
      </c>
      <c r="AQ345" s="47">
        <v>0</v>
      </c>
      <c r="AR345" s="47">
        <v>0</v>
      </c>
      <c r="AS345" s="47">
        <v>0</v>
      </c>
      <c r="AT345" s="47">
        <v>0</v>
      </c>
      <c r="AU345" s="47">
        <v>0</v>
      </c>
      <c r="AV345" s="47">
        <v>0</v>
      </c>
      <c r="AW345" s="47">
        <v>0</v>
      </c>
      <c r="AX345" s="47">
        <v>0</v>
      </c>
      <c r="AY345" s="47">
        <v>0</v>
      </c>
      <c r="AZ345" s="47">
        <v>0</v>
      </c>
      <c r="BA345" s="47">
        <v>0</v>
      </c>
      <c r="BB345" s="47">
        <v>0</v>
      </c>
      <c r="BC345" s="47">
        <v>0</v>
      </c>
      <c r="BD345" s="47">
        <v>0</v>
      </c>
      <c r="BE345" s="47">
        <v>0</v>
      </c>
      <c r="BF345" s="47">
        <v>0</v>
      </c>
      <c r="BG345" s="47">
        <v>0</v>
      </c>
      <c r="BH345" s="47">
        <v>0</v>
      </c>
      <c r="BI345" s="47">
        <v>0</v>
      </c>
      <c r="BJ345" s="47">
        <v>0</v>
      </c>
      <c r="BK345" s="47">
        <v>0</v>
      </c>
      <c r="BL345" s="47">
        <v>0</v>
      </c>
      <c r="BM345" s="47">
        <v>0</v>
      </c>
      <c r="BN345" s="47">
        <v>0</v>
      </c>
      <c r="BO345" s="47">
        <v>0</v>
      </c>
      <c r="BP345" s="47">
        <v>0</v>
      </c>
      <c r="BQ345" s="47">
        <v>0</v>
      </c>
      <c r="BR345" s="47">
        <v>0</v>
      </c>
      <c r="BS345" s="47">
        <v>0</v>
      </c>
      <c r="BT345" s="47">
        <v>1</v>
      </c>
      <c r="BU345" s="47">
        <v>0</v>
      </c>
      <c r="BV345" s="47">
        <v>0</v>
      </c>
      <c r="BW345" s="47">
        <v>0</v>
      </c>
      <c r="BX345" s="47">
        <v>0</v>
      </c>
      <c r="BY345" s="47">
        <v>0</v>
      </c>
      <c r="BZ345" s="47">
        <v>0</v>
      </c>
      <c r="CA345" s="47">
        <v>0</v>
      </c>
      <c r="CB345" s="47">
        <v>0</v>
      </c>
      <c r="CC345" s="47">
        <v>0</v>
      </c>
      <c r="CD345" s="47">
        <v>0</v>
      </c>
      <c r="CE345" s="47">
        <v>0</v>
      </c>
      <c r="CF345" s="47">
        <v>0</v>
      </c>
      <c r="CG345" s="47">
        <v>0</v>
      </c>
      <c r="CH345" s="47">
        <v>0</v>
      </c>
      <c r="CI345" s="47">
        <v>0</v>
      </c>
      <c r="CJ345" s="47">
        <v>0</v>
      </c>
      <c r="CK345" s="47">
        <v>0</v>
      </c>
      <c r="CL345" s="47">
        <v>0</v>
      </c>
      <c r="CM345" s="47">
        <v>0</v>
      </c>
      <c r="CN345" s="47">
        <v>0</v>
      </c>
      <c r="CO345" s="47">
        <v>0</v>
      </c>
      <c r="CP345" s="47">
        <v>0</v>
      </c>
      <c r="CQ345" s="47">
        <v>0</v>
      </c>
      <c r="CR345" s="47">
        <v>0</v>
      </c>
      <c r="CS345" s="47">
        <v>0</v>
      </c>
      <c r="CT345" s="47">
        <v>0</v>
      </c>
      <c r="CU345" s="47">
        <v>0</v>
      </c>
      <c r="CV345" s="47">
        <v>0</v>
      </c>
      <c r="CW345" s="47">
        <v>0</v>
      </c>
      <c r="CX345" s="47">
        <v>0</v>
      </c>
      <c r="CY345" s="47">
        <v>0</v>
      </c>
      <c r="CZ345" s="47">
        <v>0</v>
      </c>
      <c r="DA345" s="47">
        <v>0</v>
      </c>
      <c r="DB345" s="47">
        <v>0</v>
      </c>
      <c r="DC345" s="47">
        <v>0</v>
      </c>
      <c r="DD345" s="47">
        <v>0</v>
      </c>
      <c r="DE345" s="47">
        <v>0</v>
      </c>
      <c r="DF345" s="47">
        <v>0</v>
      </c>
      <c r="DG345" s="47">
        <v>0</v>
      </c>
      <c r="DH345" s="47">
        <v>0</v>
      </c>
      <c r="DI345" s="47">
        <v>0</v>
      </c>
      <c r="DJ345" s="47">
        <v>0</v>
      </c>
      <c r="DK345" s="47">
        <v>0</v>
      </c>
      <c r="DL345" s="47">
        <v>0</v>
      </c>
      <c r="DM345" s="47">
        <v>0</v>
      </c>
      <c r="DN345" s="47">
        <v>0</v>
      </c>
      <c r="DO345" s="47">
        <v>0</v>
      </c>
      <c r="DP345" s="47">
        <v>0</v>
      </c>
      <c r="DQ345" s="47">
        <v>0</v>
      </c>
      <c r="DR345" s="47">
        <v>0</v>
      </c>
      <c r="DS345" s="47">
        <v>0</v>
      </c>
      <c r="DT345" s="47">
        <v>0</v>
      </c>
      <c r="DU345" s="47">
        <v>0</v>
      </c>
      <c r="DV345" s="47">
        <v>0</v>
      </c>
      <c r="DW345" s="47">
        <v>0</v>
      </c>
      <c r="DX345" s="47">
        <v>0</v>
      </c>
      <c r="DY345" s="47">
        <v>0</v>
      </c>
      <c r="DZ345" s="47">
        <v>0</v>
      </c>
      <c r="EA345" s="47">
        <v>0</v>
      </c>
      <c r="EB345" s="47"/>
      <c r="EC345" s="47">
        <v>1</v>
      </c>
      <c r="ZZ345" t="s">
        <v>2472</v>
      </c>
    </row>
    <row r="346" spans="1:702" x14ac:dyDescent="0.25">
      <c r="A346" s="47" t="s">
        <v>1685</v>
      </c>
      <c r="B346" s="47" t="s">
        <v>153</v>
      </c>
      <c r="C346" s="47" t="s">
        <v>157</v>
      </c>
      <c r="D346" s="47" t="s">
        <v>2828</v>
      </c>
      <c r="E346" s="47" t="s">
        <v>1686</v>
      </c>
      <c r="F346" s="47" t="s">
        <v>1687</v>
      </c>
      <c r="G346" s="47" t="s">
        <v>1688</v>
      </c>
      <c r="H346" s="47" t="s">
        <v>698</v>
      </c>
      <c r="I346" s="47" t="s">
        <v>705</v>
      </c>
      <c r="J346" s="47" t="str">
        <f>=IFERROR(VLOOKUP(H346&amp;I346,Table_Fonctions!A:G,6,FALSE),"")</f>
        <v>0</v>
      </c>
      <c r="K346" s="47" t="s">
        <v>2607</v>
      </c>
      <c r="L346" s="47" t="str">
        <f>=IFERROR(VLOOKUP(H346&amp;I346,Table_Fonctions!A:G,7,FALSE),K346)</f>
        <v/>
      </c>
      <c r="M346" s="47" t="str">
        <f>=IF(OR(LEFT(D346, 3)="TJ ", LEFT(D346, 4)="CPH "), "OUI", "NON")</f>
        <v/>
      </c>
      <c r="N346" s="47" t="s">
        <v>722</v>
      </c>
      <c r="O346" s="47"/>
      <c r="P346" s="47">
        <v>1</v>
      </c>
      <c r="Q346" s="47">
        <v>0</v>
      </c>
      <c r="R346" s="47">
        <v>1</v>
      </c>
      <c r="S346" s="47">
        <f>=ROUND(BQ346-(BR346+BS346),3)</f>
      </c>
      <c r="T346" s="47">
        <f>=ROUND(CK346-(CL346+CM346+CN346+CO346+CP346),3)</f>
      </c>
      <c r="U346" s="47">
        <v>0</v>
      </c>
      <c r="V346" s="47">
        <v>0</v>
      </c>
      <c r="W346" s="47">
        <v>0</v>
      </c>
      <c r="X346" s="47">
        <v>0</v>
      </c>
      <c r="Y346" s="47">
        <v>0</v>
      </c>
      <c r="Z346" s="47">
        <v>0</v>
      </c>
      <c r="AA346" s="47">
        <v>0</v>
      </c>
      <c r="AB346" s="47">
        <v>0</v>
      </c>
      <c r="AC346" s="47">
        <v>0</v>
      </c>
      <c r="AD346" s="47">
        <v>0</v>
      </c>
      <c r="AE346" s="47">
        <v>0</v>
      </c>
      <c r="AF346" s="47">
        <v>0</v>
      </c>
      <c r="AG346" s="47">
        <v>0</v>
      </c>
      <c r="AH346" s="47">
        <v>0</v>
      </c>
      <c r="AI346" s="47">
        <v>0</v>
      </c>
      <c r="AJ346" s="47">
        <v>0</v>
      </c>
      <c r="AK346" s="47">
        <v>0</v>
      </c>
      <c r="AL346" s="47">
        <v>0</v>
      </c>
      <c r="AM346" s="47">
        <v>0</v>
      </c>
      <c r="AN346" s="47">
        <v>0</v>
      </c>
      <c r="AO346" s="47">
        <v>0</v>
      </c>
      <c r="AP346" s="47">
        <v>0</v>
      </c>
      <c r="AQ346" s="47">
        <v>0</v>
      </c>
      <c r="AR346" s="47">
        <v>0</v>
      </c>
      <c r="AS346" s="47">
        <v>0</v>
      </c>
      <c r="AT346" s="47">
        <v>0</v>
      </c>
      <c r="AU346" s="47">
        <v>0</v>
      </c>
      <c r="AV346" s="47">
        <v>0</v>
      </c>
      <c r="AW346" s="47">
        <v>0</v>
      </c>
      <c r="AX346" s="47">
        <v>0</v>
      </c>
      <c r="AY346" s="47">
        <v>0</v>
      </c>
      <c r="AZ346" s="47">
        <v>0</v>
      </c>
      <c r="BA346" s="47">
        <v>0</v>
      </c>
      <c r="BB346" s="47">
        <v>0</v>
      </c>
      <c r="BC346" s="47">
        <v>0</v>
      </c>
      <c r="BD346" s="47">
        <v>0</v>
      </c>
      <c r="BE346" s="47">
        <v>0</v>
      </c>
      <c r="BF346" s="47">
        <v>0</v>
      </c>
      <c r="BG346" s="47">
        <v>0</v>
      </c>
      <c r="BH346" s="47">
        <v>0</v>
      </c>
      <c r="BI346" s="47">
        <v>0</v>
      </c>
      <c r="BJ346" s="47">
        <v>0</v>
      </c>
      <c r="BK346" s="47">
        <v>0</v>
      </c>
      <c r="BL346" s="47">
        <v>0</v>
      </c>
      <c r="BM346" s="47">
        <v>0</v>
      </c>
      <c r="BN346" s="47">
        <v>0</v>
      </c>
      <c r="BO346" s="47">
        <v>0</v>
      </c>
      <c r="BP346" s="47">
        <v>0</v>
      </c>
      <c r="BQ346" s="47">
        <v>0</v>
      </c>
      <c r="BR346" s="47">
        <v>0</v>
      </c>
      <c r="BS346" s="47">
        <v>0</v>
      </c>
      <c r="BT346" s="47">
        <v>0</v>
      </c>
      <c r="BU346" s="47">
        <v>0</v>
      </c>
      <c r="BV346" s="47">
        <v>0</v>
      </c>
      <c r="BW346" s="47">
        <v>0</v>
      </c>
      <c r="BX346" s="47">
        <v>0</v>
      </c>
      <c r="BY346" s="47">
        <v>0</v>
      </c>
      <c r="BZ346" s="47">
        <v>0</v>
      </c>
      <c r="CA346" s="47">
        <v>0</v>
      </c>
      <c r="CB346" s="47">
        <v>0</v>
      </c>
      <c r="CC346" s="47">
        <v>0</v>
      </c>
      <c r="CD346" s="47">
        <v>0</v>
      </c>
      <c r="CE346" s="47">
        <v>0</v>
      </c>
      <c r="CF346" s="47">
        <v>0</v>
      </c>
      <c r="CG346" s="47">
        <v>0</v>
      </c>
      <c r="CH346" s="47">
        <v>0</v>
      </c>
      <c r="CI346" s="47">
        <v>0</v>
      </c>
      <c r="CJ346" s="47">
        <v>0</v>
      </c>
      <c r="CK346" s="47">
        <v>0</v>
      </c>
      <c r="CL346" s="47">
        <v>0</v>
      </c>
      <c r="CM346" s="47">
        <v>0</v>
      </c>
      <c r="CN346" s="47">
        <v>0</v>
      </c>
      <c r="CO346" s="47">
        <v>0</v>
      </c>
      <c r="CP346" s="47">
        <v>0</v>
      </c>
      <c r="CQ346" s="47">
        <v>0</v>
      </c>
      <c r="CR346" s="47">
        <v>0</v>
      </c>
      <c r="CS346" s="47">
        <v>0</v>
      </c>
      <c r="CT346" s="47">
        <v>0</v>
      </c>
      <c r="CU346" s="47">
        <v>0</v>
      </c>
      <c r="CV346" s="47">
        <v>0</v>
      </c>
      <c r="CW346" s="47">
        <v>0</v>
      </c>
      <c r="CX346" s="47">
        <v>0</v>
      </c>
      <c r="CY346" s="47">
        <v>0</v>
      </c>
      <c r="CZ346" s="47">
        <v>0</v>
      </c>
      <c r="DA346" s="47">
        <v>0</v>
      </c>
      <c r="DB346" s="47">
        <v>0</v>
      </c>
      <c r="DC346" s="47">
        <v>0</v>
      </c>
      <c r="DD346" s="47">
        <v>0</v>
      </c>
      <c r="DE346" s="47">
        <v>0</v>
      </c>
      <c r="DF346" s="47">
        <v>0</v>
      </c>
      <c r="DG346" s="47">
        <v>0</v>
      </c>
      <c r="DH346" s="47">
        <v>0</v>
      </c>
      <c r="DI346" s="47">
        <v>0</v>
      </c>
      <c r="DJ346" s="47">
        <v>0</v>
      </c>
      <c r="DK346" s="47">
        <v>0</v>
      </c>
      <c r="DL346" s="47">
        <v>0</v>
      </c>
      <c r="DM346" s="47">
        <v>0</v>
      </c>
      <c r="DN346" s="47">
        <v>0</v>
      </c>
      <c r="DO346" s="47">
        <v>0</v>
      </c>
      <c r="DP346" s="47">
        <v>0</v>
      </c>
      <c r="DQ346" s="47">
        <v>0</v>
      </c>
      <c r="DR346" s="47">
        <v>0</v>
      </c>
      <c r="DS346" s="47">
        <v>0</v>
      </c>
      <c r="DT346" s="47">
        <v>0</v>
      </c>
      <c r="DU346" s="47">
        <v>0</v>
      </c>
      <c r="DV346" s="47">
        <v>0</v>
      </c>
      <c r="DW346" s="47">
        <v>0</v>
      </c>
      <c r="DX346" s="47">
        <v>0</v>
      </c>
      <c r="DY346" s="47">
        <v>0</v>
      </c>
      <c r="DZ346" s="47">
        <v>0</v>
      </c>
      <c r="EA346" s="47">
        <v>0</v>
      </c>
      <c r="EB346" s="47"/>
      <c r="EC346" s="47">
        <v>1</v>
      </c>
      <c r="ZZ346" t="s">
        <v>2472</v>
      </c>
    </row>
    <row r="347" spans="1:702" x14ac:dyDescent="0.25">
      <c r="A347" s="47" t="s">
        <v>1689</v>
      </c>
      <c r="B347" s="47" t="s">
        <v>153</v>
      </c>
      <c r="C347" s="47" t="s">
        <v>157</v>
      </c>
      <c r="D347" s="47" t="s">
        <v>2829</v>
      </c>
      <c r="E347" s="47" t="s">
        <v>1690</v>
      </c>
      <c r="F347" s="47" t="s">
        <v>1691</v>
      </c>
      <c r="G347" s="47" t="s">
        <v>1692</v>
      </c>
      <c r="H347" s="47" t="s">
        <v>698</v>
      </c>
      <c r="I347" s="47" t="s">
        <v>727</v>
      </c>
      <c r="J347" s="47" t="str">
        <f>=IFERROR(VLOOKUP(H347&amp;I347,Table_Fonctions!A:G,6,FALSE),"")</f>
        <v>0</v>
      </c>
      <c r="K347" s="47" t="s">
        <v>2607</v>
      </c>
      <c r="L347" s="47" t="str">
        <f>=IFERROR(VLOOKUP(H347&amp;I347,Table_Fonctions!A:G,7,FALSE),K347)</f>
        <v/>
      </c>
      <c r="M347" s="47" t="str">
        <f>=IF(OR(LEFT(D347, 3)="TJ ", LEFT(D347, 4)="CPH "), "OUI", "NON")</f>
        <v/>
      </c>
      <c r="N347" s="47" t="s">
        <v>1693</v>
      </c>
      <c r="O347" s="47"/>
      <c r="P347" s="47">
        <v>1</v>
      </c>
      <c r="Q347" s="47">
        <v>1</v>
      </c>
      <c r="R347" s="47">
        <v>0</v>
      </c>
      <c r="S347" s="47">
        <f>=ROUND(BQ347-(BR347+BS347),3)</f>
      </c>
      <c r="T347" s="47">
        <f>=ROUND(CK347-(CL347+CM347+CN347+CO347+CP347),3)</f>
      </c>
      <c r="U347" s="47">
        <v>0</v>
      </c>
      <c r="V347" s="47">
        <v>0</v>
      </c>
      <c r="W347" s="47">
        <v>0</v>
      </c>
      <c r="X347" s="47">
        <v>0</v>
      </c>
      <c r="Y347" s="47">
        <v>0</v>
      </c>
      <c r="Z347" s="47">
        <v>0</v>
      </c>
      <c r="AA347" s="47">
        <v>0</v>
      </c>
      <c r="AB347" s="47">
        <v>0</v>
      </c>
      <c r="AC347" s="47">
        <v>0</v>
      </c>
      <c r="AD347" s="47">
        <v>0</v>
      </c>
      <c r="AE347" s="47">
        <v>0</v>
      </c>
      <c r="AF347" s="47">
        <v>0</v>
      </c>
      <c r="AG347" s="47">
        <v>0</v>
      </c>
      <c r="AH347" s="47">
        <v>0</v>
      </c>
      <c r="AI347" s="47">
        <v>0</v>
      </c>
      <c r="AJ347" s="47">
        <v>0</v>
      </c>
      <c r="AK347" s="47">
        <v>0</v>
      </c>
      <c r="AL347" s="47">
        <v>0</v>
      </c>
      <c r="AM347" s="47">
        <v>0</v>
      </c>
      <c r="AN347" s="47">
        <v>0</v>
      </c>
      <c r="AO347" s="47">
        <v>0</v>
      </c>
      <c r="AP347" s="47">
        <v>0</v>
      </c>
      <c r="AQ347" s="47">
        <v>0</v>
      </c>
      <c r="AR347" s="47">
        <v>0</v>
      </c>
      <c r="AS347" s="47">
        <v>0</v>
      </c>
      <c r="AT347" s="47">
        <v>0</v>
      </c>
      <c r="AU347" s="47">
        <v>0</v>
      </c>
      <c r="AV347" s="47">
        <v>0</v>
      </c>
      <c r="AW347" s="47">
        <v>0</v>
      </c>
      <c r="AX347" s="47">
        <v>0</v>
      </c>
      <c r="AY347" s="47">
        <v>0</v>
      </c>
      <c r="AZ347" s="47">
        <v>0</v>
      </c>
      <c r="BA347" s="47">
        <v>0</v>
      </c>
      <c r="BB347" s="47">
        <v>0</v>
      </c>
      <c r="BC347" s="47">
        <v>0</v>
      </c>
      <c r="BD347" s="47">
        <v>0</v>
      </c>
      <c r="BE347" s="47">
        <v>0</v>
      </c>
      <c r="BF347" s="47">
        <v>0</v>
      </c>
      <c r="BG347" s="47">
        <v>0</v>
      </c>
      <c r="BH347" s="47">
        <v>0</v>
      </c>
      <c r="BI347" s="47">
        <v>0</v>
      </c>
      <c r="BJ347" s="47">
        <v>0</v>
      </c>
      <c r="BK347" s="47">
        <v>0</v>
      </c>
      <c r="BL347" s="47">
        <v>0</v>
      </c>
      <c r="BM347" s="47">
        <v>0</v>
      </c>
      <c r="BN347" s="47">
        <v>0</v>
      </c>
      <c r="BO347" s="47">
        <v>0</v>
      </c>
      <c r="BP347" s="47">
        <v>0</v>
      </c>
      <c r="BQ347" s="47">
        <v>1</v>
      </c>
      <c r="BR347" s="47">
        <v>0.4</v>
      </c>
      <c r="BS347" s="47">
        <v>0.6</v>
      </c>
      <c r="BT347" s="47">
        <v>0</v>
      </c>
      <c r="BU347" s="47">
        <v>0</v>
      </c>
      <c r="BV347" s="47">
        <v>0</v>
      </c>
      <c r="BW347" s="47">
        <v>0</v>
      </c>
      <c r="BX347" s="47">
        <v>0</v>
      </c>
      <c r="BY347" s="47">
        <v>0</v>
      </c>
      <c r="BZ347" s="47">
        <v>0</v>
      </c>
      <c r="CA347" s="47">
        <v>0</v>
      </c>
      <c r="CB347" s="47">
        <v>0</v>
      </c>
      <c r="CC347" s="47">
        <v>0</v>
      </c>
      <c r="CD347" s="47">
        <v>0</v>
      </c>
      <c r="CE347" s="47">
        <v>0</v>
      </c>
      <c r="CF347" s="47">
        <v>0</v>
      </c>
      <c r="CG347" s="47">
        <v>0</v>
      </c>
      <c r="CH347" s="47">
        <v>0</v>
      </c>
      <c r="CI347" s="47">
        <v>0</v>
      </c>
      <c r="CJ347" s="47">
        <v>0</v>
      </c>
      <c r="CK347" s="47">
        <v>0</v>
      </c>
      <c r="CL347" s="47">
        <v>0</v>
      </c>
      <c r="CM347" s="47">
        <v>0</v>
      </c>
      <c r="CN347" s="47">
        <v>0</v>
      </c>
      <c r="CO347" s="47">
        <v>0</v>
      </c>
      <c r="CP347" s="47">
        <v>0</v>
      </c>
      <c r="CQ347" s="47">
        <v>0</v>
      </c>
      <c r="CR347" s="47">
        <v>0</v>
      </c>
      <c r="CS347" s="47">
        <v>0</v>
      </c>
      <c r="CT347" s="47">
        <v>0</v>
      </c>
      <c r="CU347" s="47">
        <v>0</v>
      </c>
      <c r="CV347" s="47">
        <v>0</v>
      </c>
      <c r="CW347" s="47">
        <v>0</v>
      </c>
      <c r="CX347" s="47">
        <v>0</v>
      </c>
      <c r="CY347" s="47">
        <v>0</v>
      </c>
      <c r="CZ347" s="47">
        <v>0</v>
      </c>
      <c r="DA347" s="47">
        <v>0</v>
      </c>
      <c r="DB347" s="47">
        <v>0</v>
      </c>
      <c r="DC347" s="47">
        <v>0</v>
      </c>
      <c r="DD347" s="47">
        <v>0</v>
      </c>
      <c r="DE347" s="47">
        <v>0</v>
      </c>
      <c r="DF347" s="47">
        <v>0</v>
      </c>
      <c r="DG347" s="47">
        <v>0</v>
      </c>
      <c r="DH347" s="47">
        <v>0</v>
      </c>
      <c r="DI347" s="47">
        <v>0</v>
      </c>
      <c r="DJ347" s="47">
        <v>0</v>
      </c>
      <c r="DK347" s="47">
        <v>0</v>
      </c>
      <c r="DL347" s="47">
        <v>0</v>
      </c>
      <c r="DM347" s="47">
        <v>0</v>
      </c>
      <c r="DN347" s="47">
        <v>0</v>
      </c>
      <c r="DO347" s="47">
        <v>0</v>
      </c>
      <c r="DP347" s="47">
        <v>0</v>
      </c>
      <c r="DQ347" s="47">
        <v>0</v>
      </c>
      <c r="DR347" s="47">
        <v>0</v>
      </c>
      <c r="DS347" s="47">
        <v>0</v>
      </c>
      <c r="DT347" s="47">
        <v>0</v>
      </c>
      <c r="DU347" s="47">
        <v>0</v>
      </c>
      <c r="DV347" s="47">
        <v>0</v>
      </c>
      <c r="DW347" s="47">
        <v>0</v>
      </c>
      <c r="DX347" s="47">
        <v>0</v>
      </c>
      <c r="DY347" s="47">
        <v>0</v>
      </c>
      <c r="DZ347" s="47">
        <v>0</v>
      </c>
      <c r="EA347" s="47">
        <v>0</v>
      </c>
      <c r="EB347" s="47"/>
      <c r="EC347" s="47">
        <v>1</v>
      </c>
      <c r="ZZ347" t="s">
        <v>2472</v>
      </c>
    </row>
    <row r="348" spans="1:702" x14ac:dyDescent="0.25">
      <c r="A348" s="47" t="s">
        <v>1694</v>
      </c>
      <c r="B348" s="47" t="s">
        <v>153</v>
      </c>
      <c r="C348" s="47" t="s">
        <v>157</v>
      </c>
      <c r="D348" s="47" t="s">
        <v>2830</v>
      </c>
      <c r="E348" s="47" t="s">
        <v>1695</v>
      </c>
      <c r="F348" s="47" t="s">
        <v>1696</v>
      </c>
      <c r="G348" s="47" t="s">
        <v>1697</v>
      </c>
      <c r="H348" s="47" t="s">
        <v>698</v>
      </c>
      <c r="I348" s="47" t="s">
        <v>727</v>
      </c>
      <c r="J348" s="47" t="str">
        <f>=IFERROR(VLOOKUP(H348&amp;I348,Table_Fonctions!A:G,6,FALSE),"")</f>
        <v>0</v>
      </c>
      <c r="K348" s="47" t="s">
        <v>2607</v>
      </c>
      <c r="L348" s="47" t="str">
        <f>=IFERROR(VLOOKUP(H348&amp;I348,Table_Fonctions!A:G,7,FALSE),K348)</f>
        <v/>
      </c>
      <c r="M348" s="47" t="str">
        <f>=IF(OR(LEFT(D348, 3)="TJ ", LEFT(D348, 4)="CPH "), "OUI", "NON")</f>
        <v/>
      </c>
      <c r="N348" s="47" t="s">
        <v>1698</v>
      </c>
      <c r="O348" s="47"/>
      <c r="P348" s="47">
        <v>1</v>
      </c>
      <c r="Q348" s="47">
        <v>1</v>
      </c>
      <c r="R348" s="47">
        <v>0</v>
      </c>
      <c r="S348" s="47">
        <f>=ROUND(BQ348-(BR348+BS348),3)</f>
      </c>
      <c r="T348" s="47">
        <f>=ROUND(CK348-(CL348+CM348+CN348+CO348+CP348),3)</f>
      </c>
      <c r="U348" s="47">
        <v>0</v>
      </c>
      <c r="V348" s="47">
        <v>0</v>
      </c>
      <c r="W348" s="47">
        <v>0</v>
      </c>
      <c r="X348" s="47">
        <v>0</v>
      </c>
      <c r="Y348" s="47">
        <v>0</v>
      </c>
      <c r="Z348" s="47">
        <v>0</v>
      </c>
      <c r="AA348" s="47">
        <v>0</v>
      </c>
      <c r="AB348" s="47">
        <v>0</v>
      </c>
      <c r="AC348" s="47">
        <v>0</v>
      </c>
      <c r="AD348" s="47">
        <v>0</v>
      </c>
      <c r="AE348" s="47">
        <v>0</v>
      </c>
      <c r="AF348" s="47">
        <v>0</v>
      </c>
      <c r="AG348" s="47">
        <v>0</v>
      </c>
      <c r="AH348" s="47">
        <v>0</v>
      </c>
      <c r="AI348" s="47">
        <v>0</v>
      </c>
      <c r="AJ348" s="47">
        <v>1</v>
      </c>
      <c r="AK348" s="47">
        <v>0</v>
      </c>
      <c r="AL348" s="47">
        <v>0</v>
      </c>
      <c r="AM348" s="47">
        <v>0</v>
      </c>
      <c r="AN348" s="47">
        <v>0</v>
      </c>
      <c r="AO348" s="47">
        <v>0</v>
      </c>
      <c r="AP348" s="47">
        <v>0</v>
      </c>
      <c r="AQ348" s="47">
        <v>0</v>
      </c>
      <c r="AR348" s="47">
        <v>0</v>
      </c>
      <c r="AS348" s="47">
        <v>0</v>
      </c>
      <c r="AT348" s="47">
        <v>0</v>
      </c>
      <c r="AU348" s="47">
        <v>0</v>
      </c>
      <c r="AV348" s="47">
        <v>0</v>
      </c>
      <c r="AW348" s="47">
        <v>0</v>
      </c>
      <c r="AX348" s="47">
        <v>0</v>
      </c>
      <c r="AY348" s="47">
        <v>0</v>
      </c>
      <c r="AZ348" s="47">
        <v>0</v>
      </c>
      <c r="BA348" s="47">
        <v>0</v>
      </c>
      <c r="BB348" s="47">
        <v>0</v>
      </c>
      <c r="BC348" s="47">
        <v>0</v>
      </c>
      <c r="BD348" s="47">
        <v>0</v>
      </c>
      <c r="BE348" s="47">
        <v>0</v>
      </c>
      <c r="BF348" s="47">
        <v>0</v>
      </c>
      <c r="BG348" s="47">
        <v>0</v>
      </c>
      <c r="BH348" s="47">
        <v>0</v>
      </c>
      <c r="BI348" s="47">
        <v>0</v>
      </c>
      <c r="BJ348" s="47">
        <v>0</v>
      </c>
      <c r="BK348" s="47">
        <v>0</v>
      </c>
      <c r="BL348" s="47">
        <v>0</v>
      </c>
      <c r="BM348" s="47">
        <v>0</v>
      </c>
      <c r="BN348" s="47">
        <v>0</v>
      </c>
      <c r="BO348" s="47">
        <v>0</v>
      </c>
      <c r="BP348" s="47">
        <v>0</v>
      </c>
      <c r="BQ348" s="47">
        <v>0</v>
      </c>
      <c r="BR348" s="47">
        <v>0</v>
      </c>
      <c r="BS348" s="47">
        <v>0</v>
      </c>
      <c r="BT348" s="47">
        <v>0</v>
      </c>
      <c r="BU348" s="47">
        <v>0</v>
      </c>
      <c r="BV348" s="47">
        <v>0</v>
      </c>
      <c r="BW348" s="47">
        <v>0</v>
      </c>
      <c r="BX348" s="47">
        <v>0</v>
      </c>
      <c r="BY348" s="47">
        <v>0</v>
      </c>
      <c r="BZ348" s="47">
        <v>0</v>
      </c>
      <c r="CA348" s="47">
        <v>0</v>
      </c>
      <c r="CB348" s="47">
        <v>0</v>
      </c>
      <c r="CC348" s="47">
        <v>0</v>
      </c>
      <c r="CD348" s="47">
        <v>0</v>
      </c>
      <c r="CE348" s="47">
        <v>0</v>
      </c>
      <c r="CF348" s="47">
        <v>0</v>
      </c>
      <c r="CG348" s="47">
        <v>0</v>
      </c>
      <c r="CH348" s="47">
        <v>0</v>
      </c>
      <c r="CI348" s="47">
        <v>0</v>
      </c>
      <c r="CJ348" s="47">
        <v>0</v>
      </c>
      <c r="CK348" s="47">
        <v>0</v>
      </c>
      <c r="CL348" s="47">
        <v>0</v>
      </c>
      <c r="CM348" s="47">
        <v>0</v>
      </c>
      <c r="CN348" s="47">
        <v>0</v>
      </c>
      <c r="CO348" s="47">
        <v>0</v>
      </c>
      <c r="CP348" s="47">
        <v>0</v>
      </c>
      <c r="CQ348" s="47">
        <v>0</v>
      </c>
      <c r="CR348" s="47">
        <v>0</v>
      </c>
      <c r="CS348" s="47">
        <v>0</v>
      </c>
      <c r="CT348" s="47">
        <v>0</v>
      </c>
      <c r="CU348" s="47">
        <v>0</v>
      </c>
      <c r="CV348" s="47">
        <v>0</v>
      </c>
      <c r="CW348" s="47">
        <v>0</v>
      </c>
      <c r="CX348" s="47">
        <v>0</v>
      </c>
      <c r="CY348" s="47">
        <v>0</v>
      </c>
      <c r="CZ348" s="47">
        <v>0</v>
      </c>
      <c r="DA348" s="47">
        <v>0</v>
      </c>
      <c r="DB348" s="47">
        <v>0</v>
      </c>
      <c r="DC348" s="47">
        <v>0</v>
      </c>
      <c r="DD348" s="47">
        <v>0</v>
      </c>
      <c r="DE348" s="47">
        <v>0</v>
      </c>
      <c r="DF348" s="47">
        <v>0</v>
      </c>
      <c r="DG348" s="47">
        <v>0</v>
      </c>
      <c r="DH348" s="47">
        <v>0</v>
      </c>
      <c r="DI348" s="47">
        <v>0</v>
      </c>
      <c r="DJ348" s="47">
        <v>0</v>
      </c>
      <c r="DK348" s="47">
        <v>0</v>
      </c>
      <c r="DL348" s="47">
        <v>0</v>
      </c>
      <c r="DM348" s="47">
        <v>0</v>
      </c>
      <c r="DN348" s="47">
        <v>0</v>
      </c>
      <c r="DO348" s="47">
        <v>0</v>
      </c>
      <c r="DP348" s="47">
        <v>0</v>
      </c>
      <c r="DQ348" s="47">
        <v>0</v>
      </c>
      <c r="DR348" s="47">
        <v>0</v>
      </c>
      <c r="DS348" s="47">
        <v>0</v>
      </c>
      <c r="DT348" s="47">
        <v>0</v>
      </c>
      <c r="DU348" s="47">
        <v>0</v>
      </c>
      <c r="DV348" s="47">
        <v>0</v>
      </c>
      <c r="DW348" s="47">
        <v>0</v>
      </c>
      <c r="DX348" s="47">
        <v>0</v>
      </c>
      <c r="DY348" s="47">
        <v>0</v>
      </c>
      <c r="DZ348" s="47">
        <v>0</v>
      </c>
      <c r="EA348" s="47">
        <v>0</v>
      </c>
      <c r="EB348" s="47"/>
      <c r="EC348" s="47">
        <v>1</v>
      </c>
      <c r="ZZ348" t="s">
        <v>2472</v>
      </c>
    </row>
    <row r="349" spans="1:702" x14ac:dyDescent="0.25">
      <c r="A349" s="47" t="s">
        <v>1699</v>
      </c>
      <c r="B349" s="47" t="s">
        <v>153</v>
      </c>
      <c r="C349" s="47" t="s">
        <v>157</v>
      </c>
      <c r="D349" s="47" t="s">
        <v>2831</v>
      </c>
      <c r="E349" s="47" t="s">
        <v>1700</v>
      </c>
      <c r="F349" s="47" t="s">
        <v>1701</v>
      </c>
      <c r="G349" s="47" t="s">
        <v>1702</v>
      </c>
      <c r="H349" s="47" t="s">
        <v>698</v>
      </c>
      <c r="I349" s="47" t="s">
        <v>727</v>
      </c>
      <c r="J349" s="47" t="str">
        <f>=IFERROR(VLOOKUP(H349&amp;I349,Table_Fonctions!A:G,6,FALSE),"")</f>
        <v>0</v>
      </c>
      <c r="K349" s="47" t="s">
        <v>2607</v>
      </c>
      <c r="L349" s="47" t="str">
        <f>=IFERROR(VLOOKUP(H349&amp;I349,Table_Fonctions!A:G,7,FALSE),K349)</f>
        <v/>
      </c>
      <c r="M349" s="47" t="str">
        <f>=IF(OR(LEFT(D349, 3)="TJ ", LEFT(D349, 4)="CPH "), "OUI", "NON")</f>
        <v/>
      </c>
      <c r="N349" s="47" t="s">
        <v>816</v>
      </c>
      <c r="O349" s="47"/>
      <c r="P349" s="47">
        <v>0.8</v>
      </c>
      <c r="Q349" s="47">
        <v>0</v>
      </c>
      <c r="R349" s="47">
        <v>0.8</v>
      </c>
      <c r="S349" s="47">
        <f>=ROUND(BQ349-(BR349+BS349),3)</f>
      </c>
      <c r="T349" s="47">
        <f>=ROUND(CK349-(CL349+CM349+CN349+CO349+CP349),3)</f>
      </c>
      <c r="U349" s="47">
        <v>0</v>
      </c>
      <c r="V349" s="47">
        <v>0</v>
      </c>
      <c r="W349" s="47">
        <v>0</v>
      </c>
      <c r="X349" s="47">
        <v>0</v>
      </c>
      <c r="Y349" s="47">
        <v>0</v>
      </c>
      <c r="Z349" s="47">
        <v>0</v>
      </c>
      <c r="AA349" s="47">
        <v>0</v>
      </c>
      <c r="AB349" s="47">
        <v>0</v>
      </c>
      <c r="AC349" s="47">
        <v>0</v>
      </c>
      <c r="AD349" s="47">
        <v>0</v>
      </c>
      <c r="AE349" s="47">
        <v>0</v>
      </c>
      <c r="AF349" s="47">
        <v>0</v>
      </c>
      <c r="AG349" s="47">
        <v>0</v>
      </c>
      <c r="AH349" s="47">
        <v>0</v>
      </c>
      <c r="AI349" s="47">
        <v>0</v>
      </c>
      <c r="AJ349" s="47">
        <v>0</v>
      </c>
      <c r="AK349" s="47">
        <v>0</v>
      </c>
      <c r="AL349" s="47">
        <v>0</v>
      </c>
      <c r="AM349" s="47">
        <v>0</v>
      </c>
      <c r="AN349" s="47">
        <v>0</v>
      </c>
      <c r="AO349" s="47">
        <v>0</v>
      </c>
      <c r="AP349" s="47">
        <v>0</v>
      </c>
      <c r="AQ349" s="47">
        <v>0</v>
      </c>
      <c r="AR349" s="47">
        <v>0</v>
      </c>
      <c r="AS349" s="47">
        <v>0</v>
      </c>
      <c r="AT349" s="47">
        <v>0</v>
      </c>
      <c r="AU349" s="47">
        <v>0</v>
      </c>
      <c r="AV349" s="47">
        <v>0</v>
      </c>
      <c r="AW349" s="47">
        <v>0</v>
      </c>
      <c r="AX349" s="47">
        <v>0</v>
      </c>
      <c r="AY349" s="47">
        <v>0</v>
      </c>
      <c r="AZ349" s="47">
        <v>0</v>
      </c>
      <c r="BA349" s="47">
        <v>0</v>
      </c>
      <c r="BB349" s="47">
        <v>0</v>
      </c>
      <c r="BC349" s="47">
        <v>0</v>
      </c>
      <c r="BD349" s="47">
        <v>0</v>
      </c>
      <c r="BE349" s="47">
        <v>0</v>
      </c>
      <c r="BF349" s="47">
        <v>0</v>
      </c>
      <c r="BG349" s="47">
        <v>0</v>
      </c>
      <c r="BH349" s="47">
        <v>0</v>
      </c>
      <c r="BI349" s="47">
        <v>0</v>
      </c>
      <c r="BJ349" s="47">
        <v>0</v>
      </c>
      <c r="BK349" s="47">
        <v>0</v>
      </c>
      <c r="BL349" s="47">
        <v>0</v>
      </c>
      <c r="BM349" s="47">
        <v>0</v>
      </c>
      <c r="BN349" s="47">
        <v>0</v>
      </c>
      <c r="BO349" s="47">
        <v>0</v>
      </c>
      <c r="BP349" s="47">
        <v>0</v>
      </c>
      <c r="BQ349" s="47">
        <v>0</v>
      </c>
      <c r="BR349" s="47">
        <v>0</v>
      </c>
      <c r="BS349" s="47">
        <v>0</v>
      </c>
      <c r="BT349" s="47">
        <v>0</v>
      </c>
      <c r="BU349" s="47">
        <v>0</v>
      </c>
      <c r="BV349" s="47">
        <v>0</v>
      </c>
      <c r="BW349" s="47">
        <v>0</v>
      </c>
      <c r="BX349" s="47">
        <v>0</v>
      </c>
      <c r="BY349" s="47">
        <v>0</v>
      </c>
      <c r="BZ349" s="47">
        <v>0</v>
      </c>
      <c r="CA349" s="47">
        <v>0</v>
      </c>
      <c r="CB349" s="47">
        <v>0</v>
      </c>
      <c r="CC349" s="47">
        <v>0</v>
      </c>
      <c r="CD349" s="47">
        <v>0</v>
      </c>
      <c r="CE349" s="47">
        <v>0</v>
      </c>
      <c r="CF349" s="47">
        <v>0</v>
      </c>
      <c r="CG349" s="47">
        <v>0</v>
      </c>
      <c r="CH349" s="47">
        <v>0</v>
      </c>
      <c r="CI349" s="47">
        <v>0</v>
      </c>
      <c r="CJ349" s="47">
        <v>0</v>
      </c>
      <c r="CK349" s="47">
        <v>0</v>
      </c>
      <c r="CL349" s="47">
        <v>0</v>
      </c>
      <c r="CM349" s="47">
        <v>0</v>
      </c>
      <c r="CN349" s="47">
        <v>0</v>
      </c>
      <c r="CO349" s="47">
        <v>0</v>
      </c>
      <c r="CP349" s="47">
        <v>0</v>
      </c>
      <c r="CQ349" s="47">
        <v>0</v>
      </c>
      <c r="CR349" s="47">
        <v>0</v>
      </c>
      <c r="CS349" s="47">
        <v>0</v>
      </c>
      <c r="CT349" s="47">
        <v>0</v>
      </c>
      <c r="CU349" s="47">
        <v>0</v>
      </c>
      <c r="CV349" s="47">
        <v>0</v>
      </c>
      <c r="CW349" s="47">
        <v>0</v>
      </c>
      <c r="CX349" s="47">
        <v>0</v>
      </c>
      <c r="CY349" s="47">
        <v>0</v>
      </c>
      <c r="CZ349" s="47">
        <v>0</v>
      </c>
      <c r="DA349" s="47">
        <v>0</v>
      </c>
      <c r="DB349" s="47">
        <v>0</v>
      </c>
      <c r="DC349" s="47">
        <v>0</v>
      </c>
      <c r="DD349" s="47">
        <v>0</v>
      </c>
      <c r="DE349" s="47">
        <v>0</v>
      </c>
      <c r="DF349" s="47">
        <v>0</v>
      </c>
      <c r="DG349" s="47">
        <v>0</v>
      </c>
      <c r="DH349" s="47">
        <v>0</v>
      </c>
      <c r="DI349" s="47">
        <v>0</v>
      </c>
      <c r="DJ349" s="47">
        <v>0</v>
      </c>
      <c r="DK349" s="47">
        <v>0</v>
      </c>
      <c r="DL349" s="47">
        <v>0</v>
      </c>
      <c r="DM349" s="47">
        <v>0</v>
      </c>
      <c r="DN349" s="47">
        <v>0</v>
      </c>
      <c r="DO349" s="47">
        <v>0</v>
      </c>
      <c r="DP349" s="47">
        <v>0</v>
      </c>
      <c r="DQ349" s="47">
        <v>0</v>
      </c>
      <c r="DR349" s="47">
        <v>0</v>
      </c>
      <c r="DS349" s="47">
        <v>0</v>
      </c>
      <c r="DT349" s="47">
        <v>0</v>
      </c>
      <c r="DU349" s="47">
        <v>0</v>
      </c>
      <c r="DV349" s="47">
        <v>0</v>
      </c>
      <c r="DW349" s="47">
        <v>0</v>
      </c>
      <c r="DX349" s="47">
        <v>0</v>
      </c>
      <c r="DY349" s="47">
        <v>0</v>
      </c>
      <c r="DZ349" s="47">
        <v>0</v>
      </c>
      <c r="EA349" s="47">
        <v>0</v>
      </c>
      <c r="EB349" s="47"/>
      <c r="EC349" s="47">
        <v>0.8</v>
      </c>
      <c r="ZZ349" t="s">
        <v>2472</v>
      </c>
    </row>
    <row r="350" spans="1:702" x14ac:dyDescent="0.25">
      <c r="A350" s="47" t="s">
        <v>1703</v>
      </c>
      <c r="B350" s="47" t="s">
        <v>153</v>
      </c>
      <c r="C350" s="47" t="s">
        <v>157</v>
      </c>
      <c r="D350" s="47" t="s">
        <v>2832</v>
      </c>
      <c r="E350" s="47" t="s">
        <v>1704</v>
      </c>
      <c r="F350" s="47" t="s">
        <v>1705</v>
      </c>
      <c r="G350" s="47" t="s">
        <v>1706</v>
      </c>
      <c r="H350" s="47" t="s">
        <v>698</v>
      </c>
      <c r="I350" s="47" t="s">
        <v>727</v>
      </c>
      <c r="J350" s="47" t="str">
        <f>=IFERROR(VLOOKUP(H350&amp;I350,Table_Fonctions!A:G,6,FALSE),"")</f>
        <v>0</v>
      </c>
      <c r="K350" s="47" t="s">
        <v>2607</v>
      </c>
      <c r="L350" s="47" t="str">
        <f>=IFERROR(VLOOKUP(H350&amp;I350,Table_Fonctions!A:G,7,FALSE),K350)</f>
        <v/>
      </c>
      <c r="M350" s="47" t="str">
        <f>=IF(OR(LEFT(D350, 3)="TJ ", LEFT(D350, 4)="CPH "), "OUI", "NON")</f>
        <v/>
      </c>
      <c r="N350" s="47" t="s">
        <v>1368</v>
      </c>
      <c r="O350" s="47"/>
      <c r="P350" s="47">
        <v>0.9</v>
      </c>
      <c r="Q350" s="47">
        <v>0</v>
      </c>
      <c r="R350" s="47">
        <v>0.9</v>
      </c>
      <c r="S350" s="47">
        <f>=ROUND(BQ350-(BR350+BS350),3)</f>
      </c>
      <c r="T350" s="47">
        <f>=ROUND(CK350-(CL350+CM350+CN350+CO350+CP350),3)</f>
      </c>
      <c r="U350" s="47">
        <v>0</v>
      </c>
      <c r="V350" s="47">
        <v>0</v>
      </c>
      <c r="W350" s="47">
        <v>0</v>
      </c>
      <c r="X350" s="47">
        <v>0</v>
      </c>
      <c r="Y350" s="47">
        <v>0</v>
      </c>
      <c r="Z350" s="47">
        <v>0</v>
      </c>
      <c r="AA350" s="47">
        <v>0</v>
      </c>
      <c r="AB350" s="47">
        <v>0</v>
      </c>
      <c r="AC350" s="47">
        <v>0</v>
      </c>
      <c r="AD350" s="47">
        <v>0</v>
      </c>
      <c r="AE350" s="47">
        <v>0</v>
      </c>
      <c r="AF350" s="47">
        <v>0</v>
      </c>
      <c r="AG350" s="47">
        <v>0</v>
      </c>
      <c r="AH350" s="47">
        <v>0</v>
      </c>
      <c r="AI350" s="47">
        <v>0</v>
      </c>
      <c r="AJ350" s="47">
        <v>0</v>
      </c>
      <c r="AK350" s="47">
        <v>0</v>
      </c>
      <c r="AL350" s="47">
        <v>0</v>
      </c>
      <c r="AM350" s="47">
        <v>0</v>
      </c>
      <c r="AN350" s="47">
        <v>0</v>
      </c>
      <c r="AO350" s="47">
        <v>0</v>
      </c>
      <c r="AP350" s="47">
        <v>0</v>
      </c>
      <c r="AQ350" s="47">
        <v>0</v>
      </c>
      <c r="AR350" s="47">
        <v>0</v>
      </c>
      <c r="AS350" s="47">
        <v>0</v>
      </c>
      <c r="AT350" s="47">
        <v>0</v>
      </c>
      <c r="AU350" s="47">
        <v>0</v>
      </c>
      <c r="AV350" s="47">
        <v>0</v>
      </c>
      <c r="AW350" s="47">
        <v>0</v>
      </c>
      <c r="AX350" s="47">
        <v>0</v>
      </c>
      <c r="AY350" s="47">
        <v>0</v>
      </c>
      <c r="AZ350" s="47">
        <v>0</v>
      </c>
      <c r="BA350" s="47">
        <v>0</v>
      </c>
      <c r="BB350" s="47">
        <v>0</v>
      </c>
      <c r="BC350" s="47">
        <v>0</v>
      </c>
      <c r="BD350" s="47">
        <v>0</v>
      </c>
      <c r="BE350" s="47">
        <v>0</v>
      </c>
      <c r="BF350" s="47">
        <v>0</v>
      </c>
      <c r="BG350" s="47">
        <v>0</v>
      </c>
      <c r="BH350" s="47">
        <v>0</v>
      </c>
      <c r="BI350" s="47">
        <v>0</v>
      </c>
      <c r="BJ350" s="47">
        <v>0</v>
      </c>
      <c r="BK350" s="47">
        <v>0</v>
      </c>
      <c r="BL350" s="47">
        <v>0</v>
      </c>
      <c r="BM350" s="47">
        <v>0</v>
      </c>
      <c r="BN350" s="47">
        <v>0</v>
      </c>
      <c r="BO350" s="47">
        <v>0</v>
      </c>
      <c r="BP350" s="47">
        <v>0</v>
      </c>
      <c r="BQ350" s="47">
        <v>0</v>
      </c>
      <c r="BR350" s="47">
        <v>0</v>
      </c>
      <c r="BS350" s="47">
        <v>0</v>
      </c>
      <c r="BT350" s="47">
        <v>0</v>
      </c>
      <c r="BU350" s="47">
        <v>0</v>
      </c>
      <c r="BV350" s="47">
        <v>0</v>
      </c>
      <c r="BW350" s="47">
        <v>0</v>
      </c>
      <c r="BX350" s="47">
        <v>0</v>
      </c>
      <c r="BY350" s="47">
        <v>0</v>
      </c>
      <c r="BZ350" s="47">
        <v>0</v>
      </c>
      <c r="CA350" s="47">
        <v>0</v>
      </c>
      <c r="CB350" s="47">
        <v>0</v>
      </c>
      <c r="CC350" s="47">
        <v>0</v>
      </c>
      <c r="CD350" s="47">
        <v>0</v>
      </c>
      <c r="CE350" s="47">
        <v>0</v>
      </c>
      <c r="CF350" s="47">
        <v>0</v>
      </c>
      <c r="CG350" s="47">
        <v>0</v>
      </c>
      <c r="CH350" s="47">
        <v>0</v>
      </c>
      <c r="CI350" s="47">
        <v>0</v>
      </c>
      <c r="CJ350" s="47">
        <v>0</v>
      </c>
      <c r="CK350" s="47">
        <v>0</v>
      </c>
      <c r="CL350" s="47">
        <v>0</v>
      </c>
      <c r="CM350" s="47">
        <v>0</v>
      </c>
      <c r="CN350" s="47">
        <v>0</v>
      </c>
      <c r="CO350" s="47">
        <v>0</v>
      </c>
      <c r="CP350" s="47">
        <v>0</v>
      </c>
      <c r="CQ350" s="47">
        <v>0</v>
      </c>
      <c r="CR350" s="47">
        <v>0</v>
      </c>
      <c r="CS350" s="47">
        <v>0</v>
      </c>
      <c r="CT350" s="47">
        <v>0</v>
      </c>
      <c r="CU350" s="47">
        <v>0</v>
      </c>
      <c r="CV350" s="47">
        <v>0</v>
      </c>
      <c r="CW350" s="47">
        <v>0</v>
      </c>
      <c r="CX350" s="47">
        <v>0</v>
      </c>
      <c r="CY350" s="47">
        <v>0</v>
      </c>
      <c r="CZ350" s="47">
        <v>0</v>
      </c>
      <c r="DA350" s="47">
        <v>0</v>
      </c>
      <c r="DB350" s="47">
        <v>0</v>
      </c>
      <c r="DC350" s="47">
        <v>0</v>
      </c>
      <c r="DD350" s="47">
        <v>0</v>
      </c>
      <c r="DE350" s="47">
        <v>0</v>
      </c>
      <c r="DF350" s="47">
        <v>0</v>
      </c>
      <c r="DG350" s="47">
        <v>0</v>
      </c>
      <c r="DH350" s="47">
        <v>0</v>
      </c>
      <c r="DI350" s="47">
        <v>0</v>
      </c>
      <c r="DJ350" s="47">
        <v>0</v>
      </c>
      <c r="DK350" s="47">
        <v>0</v>
      </c>
      <c r="DL350" s="47">
        <v>0</v>
      </c>
      <c r="DM350" s="47">
        <v>0</v>
      </c>
      <c r="DN350" s="47">
        <v>0</v>
      </c>
      <c r="DO350" s="47">
        <v>0</v>
      </c>
      <c r="DP350" s="47">
        <v>0</v>
      </c>
      <c r="DQ350" s="47">
        <v>0</v>
      </c>
      <c r="DR350" s="47">
        <v>0</v>
      </c>
      <c r="DS350" s="47">
        <v>0</v>
      </c>
      <c r="DT350" s="47">
        <v>0</v>
      </c>
      <c r="DU350" s="47">
        <v>0</v>
      </c>
      <c r="DV350" s="47">
        <v>0</v>
      </c>
      <c r="DW350" s="47">
        <v>0</v>
      </c>
      <c r="DX350" s="47">
        <v>0</v>
      </c>
      <c r="DY350" s="47">
        <v>0</v>
      </c>
      <c r="DZ350" s="47">
        <v>0</v>
      </c>
      <c r="EA350" s="47">
        <v>0</v>
      </c>
      <c r="EB350" s="47"/>
      <c r="EC350" s="47">
        <v>0.9</v>
      </c>
      <c r="ZZ350" t="s">
        <v>2472</v>
      </c>
    </row>
    <row r="351" spans="1:702" x14ac:dyDescent="0.25">
      <c r="A351" s="47" t="s">
        <v>1707</v>
      </c>
      <c r="B351" s="47" t="s">
        <v>153</v>
      </c>
      <c r="C351" s="47" t="s">
        <v>157</v>
      </c>
      <c r="D351" s="47" t="s">
        <v>2833</v>
      </c>
      <c r="E351" s="47" t="s">
        <v>1708</v>
      </c>
      <c r="F351" s="47" t="s">
        <v>1709</v>
      </c>
      <c r="G351" s="47" t="s">
        <v>1710</v>
      </c>
      <c r="H351" s="47" t="s">
        <v>698</v>
      </c>
      <c r="I351" s="47" t="s">
        <v>705</v>
      </c>
      <c r="J351" s="47" t="str">
        <f>=IFERROR(VLOOKUP(H351&amp;I351,Table_Fonctions!A:G,6,FALSE),"")</f>
        <v>0</v>
      </c>
      <c r="K351" s="47" t="s">
        <v>2607</v>
      </c>
      <c r="L351" s="47" t="str">
        <f>=IFERROR(VLOOKUP(H351&amp;I351,Table_Fonctions!A:G,7,FALSE),K351)</f>
        <v/>
      </c>
      <c r="M351" s="47" t="str">
        <f>=IF(OR(LEFT(D351, 3)="TJ ", LEFT(D351, 4)="CPH "), "OUI", "NON")</f>
        <v/>
      </c>
      <c r="N351" s="47" t="s">
        <v>722</v>
      </c>
      <c r="O351" s="47"/>
      <c r="P351" s="47">
        <v>1</v>
      </c>
      <c r="Q351" s="47">
        <v>0</v>
      </c>
      <c r="R351" s="47">
        <v>1</v>
      </c>
      <c r="S351" s="47">
        <f>=ROUND(BQ351-(BR351+BS351),3)</f>
      </c>
      <c r="T351" s="47">
        <f>=ROUND(CK351-(CL351+CM351+CN351+CO351+CP351),3)</f>
      </c>
      <c r="U351" s="47">
        <v>0</v>
      </c>
      <c r="V351" s="47">
        <v>0</v>
      </c>
      <c r="W351" s="47">
        <v>0</v>
      </c>
      <c r="X351" s="47">
        <v>0</v>
      </c>
      <c r="Y351" s="47">
        <v>0</v>
      </c>
      <c r="Z351" s="47">
        <v>0</v>
      </c>
      <c r="AA351" s="47">
        <v>0</v>
      </c>
      <c r="AB351" s="47">
        <v>0</v>
      </c>
      <c r="AC351" s="47">
        <v>0</v>
      </c>
      <c r="AD351" s="47">
        <v>0</v>
      </c>
      <c r="AE351" s="47">
        <v>0</v>
      </c>
      <c r="AF351" s="47">
        <v>0</v>
      </c>
      <c r="AG351" s="47">
        <v>0</v>
      </c>
      <c r="AH351" s="47">
        <v>0</v>
      </c>
      <c r="AI351" s="47">
        <v>0</v>
      </c>
      <c r="AJ351" s="47">
        <v>0</v>
      </c>
      <c r="AK351" s="47">
        <v>0</v>
      </c>
      <c r="AL351" s="47">
        <v>0</v>
      </c>
      <c r="AM351" s="47">
        <v>0</v>
      </c>
      <c r="AN351" s="47">
        <v>0</v>
      </c>
      <c r="AO351" s="47">
        <v>0</v>
      </c>
      <c r="AP351" s="47">
        <v>0</v>
      </c>
      <c r="AQ351" s="47">
        <v>0</v>
      </c>
      <c r="AR351" s="47">
        <v>0</v>
      </c>
      <c r="AS351" s="47">
        <v>0</v>
      </c>
      <c r="AT351" s="47">
        <v>0</v>
      </c>
      <c r="AU351" s="47">
        <v>0</v>
      </c>
      <c r="AV351" s="47">
        <v>0</v>
      </c>
      <c r="AW351" s="47">
        <v>0</v>
      </c>
      <c r="AX351" s="47">
        <v>0</v>
      </c>
      <c r="AY351" s="47">
        <v>0</v>
      </c>
      <c r="AZ351" s="47">
        <v>0</v>
      </c>
      <c r="BA351" s="47">
        <v>0</v>
      </c>
      <c r="BB351" s="47">
        <v>0</v>
      </c>
      <c r="BC351" s="47">
        <v>0</v>
      </c>
      <c r="BD351" s="47">
        <v>0</v>
      </c>
      <c r="BE351" s="47">
        <v>0</v>
      </c>
      <c r="BF351" s="47">
        <v>0</v>
      </c>
      <c r="BG351" s="47">
        <v>0</v>
      </c>
      <c r="BH351" s="47">
        <v>0</v>
      </c>
      <c r="BI351" s="47">
        <v>0</v>
      </c>
      <c r="BJ351" s="47">
        <v>0</v>
      </c>
      <c r="BK351" s="47">
        <v>0</v>
      </c>
      <c r="BL351" s="47">
        <v>0</v>
      </c>
      <c r="BM351" s="47">
        <v>0</v>
      </c>
      <c r="BN351" s="47">
        <v>0</v>
      </c>
      <c r="BO351" s="47">
        <v>0</v>
      </c>
      <c r="BP351" s="47">
        <v>0</v>
      </c>
      <c r="BQ351" s="47">
        <v>0</v>
      </c>
      <c r="BR351" s="47">
        <v>0</v>
      </c>
      <c r="BS351" s="47">
        <v>0</v>
      </c>
      <c r="BT351" s="47">
        <v>0</v>
      </c>
      <c r="BU351" s="47">
        <v>0</v>
      </c>
      <c r="BV351" s="47">
        <v>0</v>
      </c>
      <c r="BW351" s="47">
        <v>0</v>
      </c>
      <c r="BX351" s="47">
        <v>0</v>
      </c>
      <c r="BY351" s="47">
        <v>0</v>
      </c>
      <c r="BZ351" s="47">
        <v>0</v>
      </c>
      <c r="CA351" s="47">
        <v>0</v>
      </c>
      <c r="CB351" s="47">
        <v>0</v>
      </c>
      <c r="CC351" s="47">
        <v>0</v>
      </c>
      <c r="CD351" s="47">
        <v>0</v>
      </c>
      <c r="CE351" s="47">
        <v>0</v>
      </c>
      <c r="CF351" s="47">
        <v>0</v>
      </c>
      <c r="CG351" s="47">
        <v>0</v>
      </c>
      <c r="CH351" s="47">
        <v>0</v>
      </c>
      <c r="CI351" s="47">
        <v>0</v>
      </c>
      <c r="CJ351" s="47">
        <v>0</v>
      </c>
      <c r="CK351" s="47">
        <v>0</v>
      </c>
      <c r="CL351" s="47">
        <v>0</v>
      </c>
      <c r="CM351" s="47">
        <v>0</v>
      </c>
      <c r="CN351" s="47">
        <v>0</v>
      </c>
      <c r="CO351" s="47">
        <v>0</v>
      </c>
      <c r="CP351" s="47">
        <v>0</v>
      </c>
      <c r="CQ351" s="47">
        <v>0</v>
      </c>
      <c r="CR351" s="47">
        <v>0</v>
      </c>
      <c r="CS351" s="47">
        <v>0</v>
      </c>
      <c r="CT351" s="47">
        <v>0</v>
      </c>
      <c r="CU351" s="47">
        <v>0</v>
      </c>
      <c r="CV351" s="47">
        <v>0</v>
      </c>
      <c r="CW351" s="47">
        <v>0</v>
      </c>
      <c r="CX351" s="47">
        <v>0</v>
      </c>
      <c r="CY351" s="47">
        <v>0</v>
      </c>
      <c r="CZ351" s="47">
        <v>0</v>
      </c>
      <c r="DA351" s="47">
        <v>0</v>
      </c>
      <c r="DB351" s="47">
        <v>0</v>
      </c>
      <c r="DC351" s="47">
        <v>0</v>
      </c>
      <c r="DD351" s="47">
        <v>0</v>
      </c>
      <c r="DE351" s="47">
        <v>0</v>
      </c>
      <c r="DF351" s="47">
        <v>0</v>
      </c>
      <c r="DG351" s="47">
        <v>0</v>
      </c>
      <c r="DH351" s="47">
        <v>0</v>
      </c>
      <c r="DI351" s="47">
        <v>0</v>
      </c>
      <c r="DJ351" s="47">
        <v>0</v>
      </c>
      <c r="DK351" s="47">
        <v>0</v>
      </c>
      <c r="DL351" s="47">
        <v>0</v>
      </c>
      <c r="DM351" s="47">
        <v>0</v>
      </c>
      <c r="DN351" s="47">
        <v>0</v>
      </c>
      <c r="DO351" s="47">
        <v>0</v>
      </c>
      <c r="DP351" s="47">
        <v>0</v>
      </c>
      <c r="DQ351" s="47">
        <v>0</v>
      </c>
      <c r="DR351" s="47">
        <v>0</v>
      </c>
      <c r="DS351" s="47">
        <v>0</v>
      </c>
      <c r="DT351" s="47">
        <v>0</v>
      </c>
      <c r="DU351" s="47">
        <v>0</v>
      </c>
      <c r="DV351" s="47">
        <v>0</v>
      </c>
      <c r="DW351" s="47">
        <v>0</v>
      </c>
      <c r="DX351" s="47">
        <v>0</v>
      </c>
      <c r="DY351" s="47">
        <v>0</v>
      </c>
      <c r="DZ351" s="47">
        <v>0</v>
      </c>
      <c r="EA351" s="47">
        <v>0</v>
      </c>
      <c r="EB351" s="47"/>
      <c r="EC351" s="47">
        <v>1</v>
      </c>
      <c r="ZZ351" t="s">
        <v>2472</v>
      </c>
    </row>
    <row r="352" spans="1:702" x14ac:dyDescent="0.25">
      <c r="A352" s="47" t="s">
        <v>1711</v>
      </c>
      <c r="B352" s="47" t="s">
        <v>153</v>
      </c>
      <c r="C352" s="47" t="s">
        <v>157</v>
      </c>
      <c r="D352" s="47" t="s">
        <v>2834</v>
      </c>
      <c r="E352" s="47" t="s">
        <v>1712</v>
      </c>
      <c r="F352" s="47" t="s">
        <v>1713</v>
      </c>
      <c r="G352" s="47" t="s">
        <v>1714</v>
      </c>
      <c r="H352" s="47" t="s">
        <v>698</v>
      </c>
      <c r="I352" s="47" t="s">
        <v>705</v>
      </c>
      <c r="J352" s="47" t="str">
        <f>=IFERROR(VLOOKUP(H352&amp;I352,Table_Fonctions!A:G,6,FALSE),"")</f>
        <v>0</v>
      </c>
      <c r="K352" s="47" t="s">
        <v>2607</v>
      </c>
      <c r="L352" s="47" t="str">
        <f>=IFERROR(VLOOKUP(H352&amp;I352,Table_Fonctions!A:G,7,FALSE),K352)</f>
        <v/>
      </c>
      <c r="M352" s="47" t="str">
        <f>=IF(OR(LEFT(D352, 3)="TJ ", LEFT(D352, 4)="CPH "), "OUI", "NON")</f>
        <v/>
      </c>
      <c r="N352" s="47" t="s">
        <v>700</v>
      </c>
      <c r="O352" s="47"/>
      <c r="P352" s="47">
        <v>1</v>
      </c>
      <c r="Q352" s="47">
        <v>0</v>
      </c>
      <c r="R352" s="47">
        <v>1</v>
      </c>
      <c r="S352" s="47">
        <f>=ROUND(BQ352-(BR352+BS352),3)</f>
      </c>
      <c r="T352" s="47">
        <f>=ROUND(CK352-(CL352+CM352+CN352+CO352+CP352),3)</f>
      </c>
      <c r="U352" s="47">
        <v>0</v>
      </c>
      <c r="V352" s="47">
        <v>0</v>
      </c>
      <c r="W352" s="47">
        <v>0</v>
      </c>
      <c r="X352" s="47">
        <v>0</v>
      </c>
      <c r="Y352" s="47">
        <v>0</v>
      </c>
      <c r="Z352" s="47">
        <v>0</v>
      </c>
      <c r="AA352" s="47">
        <v>0</v>
      </c>
      <c r="AB352" s="47">
        <v>0</v>
      </c>
      <c r="AC352" s="47">
        <v>0</v>
      </c>
      <c r="AD352" s="47">
        <v>0</v>
      </c>
      <c r="AE352" s="47">
        <v>0</v>
      </c>
      <c r="AF352" s="47">
        <v>0</v>
      </c>
      <c r="AG352" s="47">
        <v>0</v>
      </c>
      <c r="AH352" s="47">
        <v>0</v>
      </c>
      <c r="AI352" s="47">
        <v>0</v>
      </c>
      <c r="AJ352" s="47">
        <v>0</v>
      </c>
      <c r="AK352" s="47">
        <v>0</v>
      </c>
      <c r="AL352" s="47">
        <v>0</v>
      </c>
      <c r="AM352" s="47">
        <v>0</v>
      </c>
      <c r="AN352" s="47">
        <v>0</v>
      </c>
      <c r="AO352" s="47">
        <v>0</v>
      </c>
      <c r="AP352" s="47">
        <v>0</v>
      </c>
      <c r="AQ352" s="47">
        <v>0</v>
      </c>
      <c r="AR352" s="47">
        <v>0</v>
      </c>
      <c r="AS352" s="47">
        <v>0</v>
      </c>
      <c r="AT352" s="47">
        <v>0</v>
      </c>
      <c r="AU352" s="47">
        <v>0</v>
      </c>
      <c r="AV352" s="47">
        <v>0</v>
      </c>
      <c r="AW352" s="47">
        <v>0</v>
      </c>
      <c r="AX352" s="47">
        <v>0</v>
      </c>
      <c r="AY352" s="47">
        <v>0</v>
      </c>
      <c r="AZ352" s="47">
        <v>0</v>
      </c>
      <c r="BA352" s="47">
        <v>0</v>
      </c>
      <c r="BB352" s="47">
        <v>0</v>
      </c>
      <c r="BC352" s="47">
        <v>0</v>
      </c>
      <c r="BD352" s="47">
        <v>0</v>
      </c>
      <c r="BE352" s="47">
        <v>0</v>
      </c>
      <c r="BF352" s="47">
        <v>0</v>
      </c>
      <c r="BG352" s="47">
        <v>0</v>
      </c>
      <c r="BH352" s="47">
        <v>0</v>
      </c>
      <c r="BI352" s="47">
        <v>0</v>
      </c>
      <c r="BJ352" s="47">
        <v>0</v>
      </c>
      <c r="BK352" s="47">
        <v>0</v>
      </c>
      <c r="BL352" s="47">
        <v>0</v>
      </c>
      <c r="BM352" s="47">
        <v>0</v>
      </c>
      <c r="BN352" s="47">
        <v>0</v>
      </c>
      <c r="BO352" s="47">
        <v>0</v>
      </c>
      <c r="BP352" s="47">
        <v>0</v>
      </c>
      <c r="BQ352" s="47">
        <v>0</v>
      </c>
      <c r="BR352" s="47">
        <v>0</v>
      </c>
      <c r="BS352" s="47">
        <v>0</v>
      </c>
      <c r="BT352" s="47">
        <v>0</v>
      </c>
      <c r="BU352" s="47">
        <v>0</v>
      </c>
      <c r="BV352" s="47">
        <v>0</v>
      </c>
      <c r="BW352" s="47">
        <v>0</v>
      </c>
      <c r="BX352" s="47">
        <v>0</v>
      </c>
      <c r="BY352" s="47">
        <v>0</v>
      </c>
      <c r="BZ352" s="47">
        <v>0</v>
      </c>
      <c r="CA352" s="47">
        <v>0</v>
      </c>
      <c r="CB352" s="47">
        <v>0</v>
      </c>
      <c r="CC352" s="47">
        <v>0</v>
      </c>
      <c r="CD352" s="47">
        <v>0</v>
      </c>
      <c r="CE352" s="47">
        <v>0</v>
      </c>
      <c r="CF352" s="47">
        <v>0</v>
      </c>
      <c r="CG352" s="47">
        <v>0</v>
      </c>
      <c r="CH352" s="47">
        <v>0</v>
      </c>
      <c r="CI352" s="47">
        <v>0</v>
      </c>
      <c r="CJ352" s="47">
        <v>0</v>
      </c>
      <c r="CK352" s="47">
        <v>0</v>
      </c>
      <c r="CL352" s="47">
        <v>0</v>
      </c>
      <c r="CM352" s="47">
        <v>0</v>
      </c>
      <c r="CN352" s="47">
        <v>0</v>
      </c>
      <c r="CO352" s="47">
        <v>0</v>
      </c>
      <c r="CP352" s="47">
        <v>0</v>
      </c>
      <c r="CQ352" s="47">
        <v>0</v>
      </c>
      <c r="CR352" s="47">
        <v>0</v>
      </c>
      <c r="CS352" s="47">
        <v>0</v>
      </c>
      <c r="CT352" s="47">
        <v>0</v>
      </c>
      <c r="CU352" s="47">
        <v>0</v>
      </c>
      <c r="CV352" s="47">
        <v>0</v>
      </c>
      <c r="CW352" s="47">
        <v>0</v>
      </c>
      <c r="CX352" s="47">
        <v>0</v>
      </c>
      <c r="CY352" s="47">
        <v>0</v>
      </c>
      <c r="CZ352" s="47">
        <v>0</v>
      </c>
      <c r="DA352" s="47">
        <v>0</v>
      </c>
      <c r="DB352" s="47">
        <v>0</v>
      </c>
      <c r="DC352" s="47">
        <v>0</v>
      </c>
      <c r="DD352" s="47">
        <v>0</v>
      </c>
      <c r="DE352" s="47">
        <v>0</v>
      </c>
      <c r="DF352" s="47">
        <v>0</v>
      </c>
      <c r="DG352" s="47">
        <v>0</v>
      </c>
      <c r="DH352" s="47">
        <v>0</v>
      </c>
      <c r="DI352" s="47">
        <v>0</v>
      </c>
      <c r="DJ352" s="47">
        <v>0</v>
      </c>
      <c r="DK352" s="47">
        <v>0</v>
      </c>
      <c r="DL352" s="47">
        <v>0</v>
      </c>
      <c r="DM352" s="47">
        <v>0</v>
      </c>
      <c r="DN352" s="47">
        <v>0</v>
      </c>
      <c r="DO352" s="47">
        <v>0</v>
      </c>
      <c r="DP352" s="47">
        <v>0</v>
      </c>
      <c r="DQ352" s="47">
        <v>0</v>
      </c>
      <c r="DR352" s="47">
        <v>0</v>
      </c>
      <c r="DS352" s="47">
        <v>0</v>
      </c>
      <c r="DT352" s="47">
        <v>0</v>
      </c>
      <c r="DU352" s="47">
        <v>0</v>
      </c>
      <c r="DV352" s="47">
        <v>0</v>
      </c>
      <c r="DW352" s="47">
        <v>0</v>
      </c>
      <c r="DX352" s="47">
        <v>0</v>
      </c>
      <c r="DY352" s="47">
        <v>0</v>
      </c>
      <c r="DZ352" s="47">
        <v>0</v>
      </c>
      <c r="EA352" s="47">
        <v>0</v>
      </c>
      <c r="EB352" s="47"/>
      <c r="EC352" s="47">
        <v>1</v>
      </c>
      <c r="ZZ352" t="s">
        <v>2472</v>
      </c>
    </row>
    <row r="353" spans="1:702" x14ac:dyDescent="0.25">
      <c r="A353" s="47" t="s">
        <v>1715</v>
      </c>
      <c r="B353" s="47" t="s">
        <v>153</v>
      </c>
      <c r="C353" s="47" t="s">
        <v>157</v>
      </c>
      <c r="D353" s="47" t="s">
        <v>2835</v>
      </c>
      <c r="E353" s="47" t="s">
        <v>1716</v>
      </c>
      <c r="F353" s="47" t="s">
        <v>1717</v>
      </c>
      <c r="G353" s="47" t="s">
        <v>1718</v>
      </c>
      <c r="H353" s="47" t="s">
        <v>698</v>
      </c>
      <c r="I353" s="47" t="s">
        <v>727</v>
      </c>
      <c r="J353" s="47" t="str">
        <f>=IFERROR(VLOOKUP(H353&amp;I353,Table_Fonctions!A:G,6,FALSE),"")</f>
        <v>0</v>
      </c>
      <c r="K353" s="47" t="s">
        <v>2607</v>
      </c>
      <c r="L353" s="47" t="str">
        <f>=IFERROR(VLOOKUP(H353&amp;I353,Table_Fonctions!A:G,7,FALSE),K353)</f>
        <v/>
      </c>
      <c r="M353" s="47" t="str">
        <f>=IF(OR(LEFT(D353, 3)="TJ ", LEFT(D353, 4)="CPH "), "OUI", "NON")</f>
        <v/>
      </c>
      <c r="N353" s="47" t="s">
        <v>1243</v>
      </c>
      <c r="O353" s="47"/>
      <c r="P353" s="47">
        <v>1</v>
      </c>
      <c r="Q353" s="47">
        <v>0</v>
      </c>
      <c r="R353" s="47">
        <v>1</v>
      </c>
      <c r="S353" s="47">
        <f>=ROUND(BQ353-(BR353+BS353),3)</f>
      </c>
      <c r="T353" s="47">
        <f>=ROUND(CK353-(CL353+CM353+CN353+CO353+CP353),3)</f>
      </c>
      <c r="U353" s="47">
        <v>0</v>
      </c>
      <c r="V353" s="47">
        <v>0</v>
      </c>
      <c r="W353" s="47">
        <v>0</v>
      </c>
      <c r="X353" s="47">
        <v>0</v>
      </c>
      <c r="Y353" s="47">
        <v>0</v>
      </c>
      <c r="Z353" s="47">
        <v>0</v>
      </c>
      <c r="AA353" s="47">
        <v>0</v>
      </c>
      <c r="AB353" s="47">
        <v>0</v>
      </c>
      <c r="AC353" s="47">
        <v>0</v>
      </c>
      <c r="AD353" s="47">
        <v>0</v>
      </c>
      <c r="AE353" s="47">
        <v>0</v>
      </c>
      <c r="AF353" s="47">
        <v>0</v>
      </c>
      <c r="AG353" s="47">
        <v>0</v>
      </c>
      <c r="AH353" s="47">
        <v>0</v>
      </c>
      <c r="AI353" s="47">
        <v>0</v>
      </c>
      <c r="AJ353" s="47">
        <v>0</v>
      </c>
      <c r="AK353" s="47">
        <v>0</v>
      </c>
      <c r="AL353" s="47">
        <v>0</v>
      </c>
      <c r="AM353" s="47">
        <v>0</v>
      </c>
      <c r="AN353" s="47">
        <v>0</v>
      </c>
      <c r="AO353" s="47">
        <v>0</v>
      </c>
      <c r="AP353" s="47">
        <v>0</v>
      </c>
      <c r="AQ353" s="47">
        <v>0</v>
      </c>
      <c r="AR353" s="47">
        <v>0</v>
      </c>
      <c r="AS353" s="47">
        <v>0</v>
      </c>
      <c r="AT353" s="47">
        <v>0</v>
      </c>
      <c r="AU353" s="47">
        <v>0</v>
      </c>
      <c r="AV353" s="47">
        <v>0</v>
      </c>
      <c r="AW353" s="47">
        <v>0</v>
      </c>
      <c r="AX353" s="47">
        <v>0</v>
      </c>
      <c r="AY353" s="47">
        <v>0</v>
      </c>
      <c r="AZ353" s="47">
        <v>0</v>
      </c>
      <c r="BA353" s="47">
        <v>0</v>
      </c>
      <c r="BB353" s="47">
        <v>0</v>
      </c>
      <c r="BC353" s="47">
        <v>0</v>
      </c>
      <c r="BD353" s="47">
        <v>0</v>
      </c>
      <c r="BE353" s="47">
        <v>0</v>
      </c>
      <c r="BF353" s="47">
        <v>0</v>
      </c>
      <c r="BG353" s="47">
        <v>0</v>
      </c>
      <c r="BH353" s="47">
        <v>0</v>
      </c>
      <c r="BI353" s="47">
        <v>0</v>
      </c>
      <c r="BJ353" s="47">
        <v>0</v>
      </c>
      <c r="BK353" s="47">
        <v>0</v>
      </c>
      <c r="BL353" s="47">
        <v>0</v>
      </c>
      <c r="BM353" s="47">
        <v>0</v>
      </c>
      <c r="BN353" s="47">
        <v>0</v>
      </c>
      <c r="BO353" s="47">
        <v>0</v>
      </c>
      <c r="BP353" s="47">
        <v>0</v>
      </c>
      <c r="BQ353" s="47">
        <v>0</v>
      </c>
      <c r="BR353" s="47">
        <v>0</v>
      </c>
      <c r="BS353" s="47">
        <v>0</v>
      </c>
      <c r="BT353" s="47">
        <v>0</v>
      </c>
      <c r="BU353" s="47">
        <v>0</v>
      </c>
      <c r="BV353" s="47">
        <v>0</v>
      </c>
      <c r="BW353" s="47">
        <v>0</v>
      </c>
      <c r="BX353" s="47">
        <v>0</v>
      </c>
      <c r="BY353" s="47">
        <v>0</v>
      </c>
      <c r="BZ353" s="47">
        <v>0</v>
      </c>
      <c r="CA353" s="47">
        <v>0</v>
      </c>
      <c r="CB353" s="47">
        <v>0</v>
      </c>
      <c r="CC353" s="47">
        <v>0</v>
      </c>
      <c r="CD353" s="47">
        <v>0</v>
      </c>
      <c r="CE353" s="47">
        <v>0</v>
      </c>
      <c r="CF353" s="47">
        <v>0</v>
      </c>
      <c r="CG353" s="47">
        <v>0</v>
      </c>
      <c r="CH353" s="47">
        <v>0</v>
      </c>
      <c r="CI353" s="47">
        <v>0</v>
      </c>
      <c r="CJ353" s="47">
        <v>0</v>
      </c>
      <c r="CK353" s="47">
        <v>0</v>
      </c>
      <c r="CL353" s="47">
        <v>0</v>
      </c>
      <c r="CM353" s="47">
        <v>0</v>
      </c>
      <c r="CN353" s="47">
        <v>0</v>
      </c>
      <c r="CO353" s="47">
        <v>0</v>
      </c>
      <c r="CP353" s="47">
        <v>0</v>
      </c>
      <c r="CQ353" s="47">
        <v>0</v>
      </c>
      <c r="CR353" s="47">
        <v>0</v>
      </c>
      <c r="CS353" s="47">
        <v>0</v>
      </c>
      <c r="CT353" s="47">
        <v>0</v>
      </c>
      <c r="CU353" s="47">
        <v>0</v>
      </c>
      <c r="CV353" s="47">
        <v>0</v>
      </c>
      <c r="CW353" s="47">
        <v>0</v>
      </c>
      <c r="CX353" s="47">
        <v>0</v>
      </c>
      <c r="CY353" s="47">
        <v>0</v>
      </c>
      <c r="CZ353" s="47">
        <v>0</v>
      </c>
      <c r="DA353" s="47">
        <v>0</v>
      </c>
      <c r="DB353" s="47">
        <v>0</v>
      </c>
      <c r="DC353" s="47">
        <v>0</v>
      </c>
      <c r="DD353" s="47">
        <v>0</v>
      </c>
      <c r="DE353" s="47">
        <v>0</v>
      </c>
      <c r="DF353" s="47">
        <v>0</v>
      </c>
      <c r="DG353" s="47">
        <v>0</v>
      </c>
      <c r="DH353" s="47">
        <v>0</v>
      </c>
      <c r="DI353" s="47">
        <v>0</v>
      </c>
      <c r="DJ353" s="47">
        <v>0</v>
      </c>
      <c r="DK353" s="47">
        <v>0</v>
      </c>
      <c r="DL353" s="47">
        <v>0</v>
      </c>
      <c r="DM353" s="47">
        <v>0</v>
      </c>
      <c r="DN353" s="47">
        <v>0</v>
      </c>
      <c r="DO353" s="47">
        <v>0</v>
      </c>
      <c r="DP353" s="47">
        <v>0</v>
      </c>
      <c r="DQ353" s="47">
        <v>0</v>
      </c>
      <c r="DR353" s="47">
        <v>0</v>
      </c>
      <c r="DS353" s="47">
        <v>0</v>
      </c>
      <c r="DT353" s="47">
        <v>0</v>
      </c>
      <c r="DU353" s="47">
        <v>0</v>
      </c>
      <c r="DV353" s="47">
        <v>0</v>
      </c>
      <c r="DW353" s="47">
        <v>0</v>
      </c>
      <c r="DX353" s="47">
        <v>0</v>
      </c>
      <c r="DY353" s="47">
        <v>0</v>
      </c>
      <c r="DZ353" s="47">
        <v>0</v>
      </c>
      <c r="EA353" s="47">
        <v>0</v>
      </c>
      <c r="EB353" s="47"/>
      <c r="EC353" s="47">
        <v>1</v>
      </c>
      <c r="ZZ353" t="s">
        <v>2472</v>
      </c>
    </row>
    <row r="354" spans="1:702" x14ac:dyDescent="0.25">
      <c r="A354" s="47" t="s">
        <v>1719</v>
      </c>
      <c r="B354" s="47" t="s">
        <v>153</v>
      </c>
      <c r="C354" s="47" t="s">
        <v>157</v>
      </c>
      <c r="D354" s="47" t="s">
        <v>2836</v>
      </c>
      <c r="E354" s="47" t="s">
        <v>1720</v>
      </c>
      <c r="F354" s="47" t="s">
        <v>1721</v>
      </c>
      <c r="G354" s="47" t="s">
        <v>1722</v>
      </c>
      <c r="H354" s="47" t="s">
        <v>698</v>
      </c>
      <c r="I354" s="47" t="s">
        <v>705</v>
      </c>
      <c r="J354" s="47" t="str">
        <f>=IFERROR(VLOOKUP(H354&amp;I354,Table_Fonctions!A:G,6,FALSE),"")</f>
        <v>0</v>
      </c>
      <c r="K354" s="47" t="s">
        <v>2607</v>
      </c>
      <c r="L354" s="47" t="str">
        <f>=IFERROR(VLOOKUP(H354&amp;I354,Table_Fonctions!A:G,7,FALSE),K354)</f>
        <v/>
      </c>
      <c r="M354" s="47" t="str">
        <f>=IF(OR(LEFT(D354, 3)="TJ ", LEFT(D354, 4)="CPH "), "OUI", "NON")</f>
        <v/>
      </c>
      <c r="N354" s="47" t="s">
        <v>1456</v>
      </c>
      <c r="O354" s="47"/>
      <c r="P354" s="47">
        <v>0.8</v>
      </c>
      <c r="Q354" s="47">
        <v>0</v>
      </c>
      <c r="R354" s="47">
        <v>0.8</v>
      </c>
      <c r="S354" s="47">
        <f>=ROUND(BQ354-(BR354+BS354),3)</f>
      </c>
      <c r="T354" s="47">
        <f>=ROUND(CK354-(CL354+CM354+CN354+CO354+CP354),3)</f>
      </c>
      <c r="U354" s="47">
        <v>0</v>
      </c>
      <c r="V354" s="47">
        <v>0</v>
      </c>
      <c r="W354" s="47">
        <v>0</v>
      </c>
      <c r="X354" s="47">
        <v>0</v>
      </c>
      <c r="Y354" s="47">
        <v>0</v>
      </c>
      <c r="Z354" s="47">
        <v>0</v>
      </c>
      <c r="AA354" s="47">
        <v>0</v>
      </c>
      <c r="AB354" s="47">
        <v>0</v>
      </c>
      <c r="AC354" s="47">
        <v>0</v>
      </c>
      <c r="AD354" s="47">
        <v>0</v>
      </c>
      <c r="AE354" s="47">
        <v>0</v>
      </c>
      <c r="AF354" s="47">
        <v>0</v>
      </c>
      <c r="AG354" s="47">
        <v>0</v>
      </c>
      <c r="AH354" s="47">
        <v>0</v>
      </c>
      <c r="AI354" s="47">
        <v>0</v>
      </c>
      <c r="AJ354" s="47">
        <v>0</v>
      </c>
      <c r="AK354" s="47">
        <v>0</v>
      </c>
      <c r="AL354" s="47">
        <v>0</v>
      </c>
      <c r="AM354" s="47">
        <v>0</v>
      </c>
      <c r="AN354" s="47">
        <v>0</v>
      </c>
      <c r="AO354" s="47">
        <v>0</v>
      </c>
      <c r="AP354" s="47">
        <v>0</v>
      </c>
      <c r="AQ354" s="47">
        <v>0</v>
      </c>
      <c r="AR354" s="47">
        <v>0</v>
      </c>
      <c r="AS354" s="47">
        <v>0</v>
      </c>
      <c r="AT354" s="47">
        <v>0</v>
      </c>
      <c r="AU354" s="47">
        <v>0</v>
      </c>
      <c r="AV354" s="47">
        <v>0</v>
      </c>
      <c r="AW354" s="47">
        <v>0</v>
      </c>
      <c r="AX354" s="47">
        <v>0</v>
      </c>
      <c r="AY354" s="47">
        <v>0</v>
      </c>
      <c r="AZ354" s="47">
        <v>0</v>
      </c>
      <c r="BA354" s="47">
        <v>0</v>
      </c>
      <c r="BB354" s="47">
        <v>0</v>
      </c>
      <c r="BC354" s="47">
        <v>0</v>
      </c>
      <c r="BD354" s="47">
        <v>0</v>
      </c>
      <c r="BE354" s="47">
        <v>0</v>
      </c>
      <c r="BF354" s="47">
        <v>0</v>
      </c>
      <c r="BG354" s="47">
        <v>0</v>
      </c>
      <c r="BH354" s="47">
        <v>0</v>
      </c>
      <c r="BI354" s="47">
        <v>0</v>
      </c>
      <c r="BJ354" s="47">
        <v>0</v>
      </c>
      <c r="BK354" s="47">
        <v>0</v>
      </c>
      <c r="BL354" s="47">
        <v>0</v>
      </c>
      <c r="BM354" s="47">
        <v>0</v>
      </c>
      <c r="BN354" s="47">
        <v>0</v>
      </c>
      <c r="BO354" s="47">
        <v>0</v>
      </c>
      <c r="BP354" s="47">
        <v>0</v>
      </c>
      <c r="BQ354" s="47">
        <v>0</v>
      </c>
      <c r="BR354" s="47">
        <v>0</v>
      </c>
      <c r="BS354" s="47">
        <v>0</v>
      </c>
      <c r="BT354" s="47">
        <v>0</v>
      </c>
      <c r="BU354" s="47">
        <v>0</v>
      </c>
      <c r="BV354" s="47">
        <v>0</v>
      </c>
      <c r="BW354" s="47">
        <v>0</v>
      </c>
      <c r="BX354" s="47">
        <v>0</v>
      </c>
      <c r="BY354" s="47">
        <v>0</v>
      </c>
      <c r="BZ354" s="47">
        <v>0</v>
      </c>
      <c r="CA354" s="47">
        <v>0</v>
      </c>
      <c r="CB354" s="47">
        <v>0</v>
      </c>
      <c r="CC354" s="47">
        <v>0</v>
      </c>
      <c r="CD354" s="47">
        <v>0</v>
      </c>
      <c r="CE354" s="47">
        <v>0</v>
      </c>
      <c r="CF354" s="47">
        <v>0</v>
      </c>
      <c r="CG354" s="47">
        <v>0</v>
      </c>
      <c r="CH354" s="47">
        <v>0</v>
      </c>
      <c r="CI354" s="47">
        <v>0</v>
      </c>
      <c r="CJ354" s="47">
        <v>0</v>
      </c>
      <c r="CK354" s="47">
        <v>0</v>
      </c>
      <c r="CL354" s="47">
        <v>0</v>
      </c>
      <c r="CM354" s="47">
        <v>0</v>
      </c>
      <c r="CN354" s="47">
        <v>0</v>
      </c>
      <c r="CO354" s="47">
        <v>0</v>
      </c>
      <c r="CP354" s="47">
        <v>0</v>
      </c>
      <c r="CQ354" s="47">
        <v>0</v>
      </c>
      <c r="CR354" s="47">
        <v>0</v>
      </c>
      <c r="CS354" s="47">
        <v>0</v>
      </c>
      <c r="CT354" s="47">
        <v>0</v>
      </c>
      <c r="CU354" s="47">
        <v>0</v>
      </c>
      <c r="CV354" s="47">
        <v>0</v>
      </c>
      <c r="CW354" s="47">
        <v>0</v>
      </c>
      <c r="CX354" s="47">
        <v>0</v>
      </c>
      <c r="CY354" s="47">
        <v>0</v>
      </c>
      <c r="CZ354" s="47">
        <v>0</v>
      </c>
      <c r="DA354" s="47">
        <v>0</v>
      </c>
      <c r="DB354" s="47">
        <v>0</v>
      </c>
      <c r="DC354" s="47">
        <v>0</v>
      </c>
      <c r="DD354" s="47">
        <v>0</v>
      </c>
      <c r="DE354" s="47">
        <v>0</v>
      </c>
      <c r="DF354" s="47">
        <v>0</v>
      </c>
      <c r="DG354" s="47">
        <v>0</v>
      </c>
      <c r="DH354" s="47">
        <v>0</v>
      </c>
      <c r="DI354" s="47">
        <v>0</v>
      </c>
      <c r="DJ354" s="47">
        <v>0</v>
      </c>
      <c r="DK354" s="47">
        <v>0</v>
      </c>
      <c r="DL354" s="47">
        <v>0</v>
      </c>
      <c r="DM354" s="47">
        <v>0</v>
      </c>
      <c r="DN354" s="47">
        <v>0</v>
      </c>
      <c r="DO354" s="47">
        <v>0</v>
      </c>
      <c r="DP354" s="47">
        <v>0</v>
      </c>
      <c r="DQ354" s="47">
        <v>0</v>
      </c>
      <c r="DR354" s="47">
        <v>0</v>
      </c>
      <c r="DS354" s="47">
        <v>0</v>
      </c>
      <c r="DT354" s="47">
        <v>0</v>
      </c>
      <c r="DU354" s="47">
        <v>0</v>
      </c>
      <c r="DV354" s="47">
        <v>0</v>
      </c>
      <c r="DW354" s="47">
        <v>0</v>
      </c>
      <c r="DX354" s="47">
        <v>0</v>
      </c>
      <c r="DY354" s="47">
        <v>0</v>
      </c>
      <c r="DZ354" s="47">
        <v>0</v>
      </c>
      <c r="EA354" s="47">
        <v>0</v>
      </c>
      <c r="EB354" s="47"/>
      <c r="EC354" s="47">
        <v>0.8</v>
      </c>
      <c r="ZZ354" t="s">
        <v>2472</v>
      </c>
    </row>
    <row r="355" spans="1:702" x14ac:dyDescent="0.25">
      <c r="A355" s="47" t="s">
        <v>1723</v>
      </c>
      <c r="B355" s="47" t="s">
        <v>153</v>
      </c>
      <c r="C355" s="47" t="s">
        <v>157</v>
      </c>
      <c r="D355" s="47" t="s">
        <v>2837</v>
      </c>
      <c r="E355" s="47" t="s">
        <v>1724</v>
      </c>
      <c r="F355" s="47" t="s">
        <v>1725</v>
      </c>
      <c r="G355" s="47" t="s">
        <v>1726</v>
      </c>
      <c r="H355" s="47" t="s">
        <v>698</v>
      </c>
      <c r="I355" s="47" t="s">
        <v>727</v>
      </c>
      <c r="J355" s="47" t="str">
        <f>=IFERROR(VLOOKUP(H355&amp;I355,Table_Fonctions!A:G,6,FALSE),"")</f>
        <v>0</v>
      </c>
      <c r="K355" s="47" t="s">
        <v>2607</v>
      </c>
      <c r="L355" s="47" t="str">
        <f>=IFERROR(VLOOKUP(H355&amp;I355,Table_Fonctions!A:G,7,FALSE),K355)</f>
        <v/>
      </c>
      <c r="M355" s="47" t="str">
        <f>=IF(OR(LEFT(D355, 3)="TJ ", LEFT(D355, 4)="CPH "), "OUI", "NON")</f>
        <v/>
      </c>
      <c r="N355" s="47" t="s">
        <v>722</v>
      </c>
      <c r="O355" s="47"/>
      <c r="P355" s="47">
        <v>1</v>
      </c>
      <c r="Q355" s="47">
        <v>0</v>
      </c>
      <c r="R355" s="47">
        <v>1</v>
      </c>
      <c r="S355" s="47">
        <f>=ROUND(BQ355-(BR355+BS355),3)</f>
      </c>
      <c r="T355" s="47">
        <f>=ROUND(CK355-(CL355+CM355+CN355+CO355+CP355),3)</f>
      </c>
      <c r="U355" s="47">
        <v>0</v>
      </c>
      <c r="V355" s="47">
        <v>0</v>
      </c>
      <c r="W355" s="47">
        <v>0</v>
      </c>
      <c r="X355" s="47">
        <v>0</v>
      </c>
      <c r="Y355" s="47">
        <v>0</v>
      </c>
      <c r="Z355" s="47">
        <v>0</v>
      </c>
      <c r="AA355" s="47">
        <v>0</v>
      </c>
      <c r="AB355" s="47">
        <v>0</v>
      </c>
      <c r="AC355" s="47">
        <v>0</v>
      </c>
      <c r="AD355" s="47">
        <v>0</v>
      </c>
      <c r="AE355" s="47">
        <v>0</v>
      </c>
      <c r="AF355" s="47">
        <v>0</v>
      </c>
      <c r="AG355" s="47">
        <v>0</v>
      </c>
      <c r="AH355" s="47">
        <v>0</v>
      </c>
      <c r="AI355" s="47">
        <v>0</v>
      </c>
      <c r="AJ355" s="47">
        <v>0</v>
      </c>
      <c r="AK355" s="47">
        <v>0</v>
      </c>
      <c r="AL355" s="47">
        <v>0</v>
      </c>
      <c r="AM355" s="47">
        <v>0</v>
      </c>
      <c r="AN355" s="47">
        <v>0</v>
      </c>
      <c r="AO355" s="47">
        <v>0</v>
      </c>
      <c r="AP355" s="47">
        <v>0</v>
      </c>
      <c r="AQ355" s="47">
        <v>0</v>
      </c>
      <c r="AR355" s="47">
        <v>0</v>
      </c>
      <c r="AS355" s="47">
        <v>0</v>
      </c>
      <c r="AT355" s="47">
        <v>0</v>
      </c>
      <c r="AU355" s="47">
        <v>0</v>
      </c>
      <c r="AV355" s="47">
        <v>0</v>
      </c>
      <c r="AW355" s="47">
        <v>0</v>
      </c>
      <c r="AX355" s="47">
        <v>0</v>
      </c>
      <c r="AY355" s="47">
        <v>0</v>
      </c>
      <c r="AZ355" s="47">
        <v>0</v>
      </c>
      <c r="BA355" s="47">
        <v>0</v>
      </c>
      <c r="BB355" s="47">
        <v>0</v>
      </c>
      <c r="BC355" s="47">
        <v>0</v>
      </c>
      <c r="BD355" s="47">
        <v>0</v>
      </c>
      <c r="BE355" s="47">
        <v>0</v>
      </c>
      <c r="BF355" s="47">
        <v>0</v>
      </c>
      <c r="BG355" s="47">
        <v>0</v>
      </c>
      <c r="BH355" s="47">
        <v>0</v>
      </c>
      <c r="BI355" s="47">
        <v>0</v>
      </c>
      <c r="BJ355" s="47">
        <v>0</v>
      </c>
      <c r="BK355" s="47">
        <v>0</v>
      </c>
      <c r="BL355" s="47">
        <v>0</v>
      </c>
      <c r="BM355" s="47">
        <v>0</v>
      </c>
      <c r="BN355" s="47">
        <v>0</v>
      </c>
      <c r="BO355" s="47">
        <v>0</v>
      </c>
      <c r="BP355" s="47">
        <v>0</v>
      </c>
      <c r="BQ355" s="47">
        <v>0</v>
      </c>
      <c r="BR355" s="47">
        <v>0</v>
      </c>
      <c r="BS355" s="47">
        <v>0</v>
      </c>
      <c r="BT355" s="47">
        <v>0</v>
      </c>
      <c r="BU355" s="47">
        <v>0</v>
      </c>
      <c r="BV355" s="47">
        <v>0</v>
      </c>
      <c r="BW355" s="47">
        <v>0</v>
      </c>
      <c r="BX355" s="47">
        <v>0</v>
      </c>
      <c r="BY355" s="47">
        <v>0</v>
      </c>
      <c r="BZ355" s="47">
        <v>0</v>
      </c>
      <c r="CA355" s="47">
        <v>0</v>
      </c>
      <c r="CB355" s="47">
        <v>0</v>
      </c>
      <c r="CC355" s="47">
        <v>0</v>
      </c>
      <c r="CD355" s="47">
        <v>0</v>
      </c>
      <c r="CE355" s="47">
        <v>0</v>
      </c>
      <c r="CF355" s="47">
        <v>0</v>
      </c>
      <c r="CG355" s="47">
        <v>0</v>
      </c>
      <c r="CH355" s="47">
        <v>0</v>
      </c>
      <c r="CI355" s="47">
        <v>0</v>
      </c>
      <c r="CJ355" s="47">
        <v>0</v>
      </c>
      <c r="CK355" s="47">
        <v>0</v>
      </c>
      <c r="CL355" s="47">
        <v>0</v>
      </c>
      <c r="CM355" s="47">
        <v>0</v>
      </c>
      <c r="CN355" s="47">
        <v>0</v>
      </c>
      <c r="CO355" s="47">
        <v>0</v>
      </c>
      <c r="CP355" s="47">
        <v>0</v>
      </c>
      <c r="CQ355" s="47">
        <v>0</v>
      </c>
      <c r="CR355" s="47">
        <v>0</v>
      </c>
      <c r="CS355" s="47">
        <v>0</v>
      </c>
      <c r="CT355" s="47">
        <v>0</v>
      </c>
      <c r="CU355" s="47">
        <v>0</v>
      </c>
      <c r="CV355" s="47">
        <v>0</v>
      </c>
      <c r="CW355" s="47">
        <v>0</v>
      </c>
      <c r="CX355" s="47">
        <v>0</v>
      </c>
      <c r="CY355" s="47">
        <v>0</v>
      </c>
      <c r="CZ355" s="47">
        <v>0</v>
      </c>
      <c r="DA355" s="47">
        <v>0</v>
      </c>
      <c r="DB355" s="47">
        <v>0</v>
      </c>
      <c r="DC355" s="47">
        <v>0</v>
      </c>
      <c r="DD355" s="47">
        <v>0</v>
      </c>
      <c r="DE355" s="47">
        <v>0</v>
      </c>
      <c r="DF355" s="47">
        <v>0</v>
      </c>
      <c r="DG355" s="47">
        <v>0</v>
      </c>
      <c r="DH355" s="47">
        <v>0</v>
      </c>
      <c r="DI355" s="47">
        <v>0</v>
      </c>
      <c r="DJ355" s="47">
        <v>0</v>
      </c>
      <c r="DK355" s="47">
        <v>0</v>
      </c>
      <c r="DL355" s="47">
        <v>0</v>
      </c>
      <c r="DM355" s="47">
        <v>0</v>
      </c>
      <c r="DN355" s="47">
        <v>0</v>
      </c>
      <c r="DO355" s="47">
        <v>0</v>
      </c>
      <c r="DP355" s="47">
        <v>0</v>
      </c>
      <c r="DQ355" s="47">
        <v>0</v>
      </c>
      <c r="DR355" s="47">
        <v>0</v>
      </c>
      <c r="DS355" s="47">
        <v>0</v>
      </c>
      <c r="DT355" s="47">
        <v>0</v>
      </c>
      <c r="DU355" s="47">
        <v>0</v>
      </c>
      <c r="DV355" s="47">
        <v>0</v>
      </c>
      <c r="DW355" s="47">
        <v>0</v>
      </c>
      <c r="DX355" s="47">
        <v>0</v>
      </c>
      <c r="DY355" s="47">
        <v>0</v>
      </c>
      <c r="DZ355" s="47">
        <v>0</v>
      </c>
      <c r="EA355" s="47">
        <v>0</v>
      </c>
      <c r="EB355" s="47"/>
      <c r="EC355" s="47">
        <v>1</v>
      </c>
      <c r="ZZ355" t="s">
        <v>2472</v>
      </c>
    </row>
    <row r="356" spans="1:702" x14ac:dyDescent="0.25">
      <c r="A356" s="47" t="s">
        <v>1727</v>
      </c>
      <c r="B356" s="47" t="s">
        <v>153</v>
      </c>
      <c r="C356" s="47" t="s">
        <v>157</v>
      </c>
      <c r="D356" s="47" t="s">
        <v>2838</v>
      </c>
      <c r="E356" s="47" t="s">
        <v>1728</v>
      </c>
      <c r="F356" s="47" t="s">
        <v>1729</v>
      </c>
      <c r="G356" s="47" t="s">
        <v>1730</v>
      </c>
      <c r="H356" s="47" t="s">
        <v>698</v>
      </c>
      <c r="I356" s="47" t="s">
        <v>2839</v>
      </c>
      <c r="J356" s="47" t="str">
        <f>=IFERROR(VLOOKUP(H356&amp;I356,Table_Fonctions!A:G,6,FALSE),"")</f>
        <v>0</v>
      </c>
      <c r="K356" s="47" t="s">
        <v>2632</v>
      </c>
      <c r="L356" s="47" t="str">
        <f>=IFERROR(VLOOKUP(H356&amp;I356,Table_Fonctions!A:G,7,FALSE),K356)</f>
        <v/>
      </c>
      <c r="M356" s="47" t="str">
        <f>=IF(OR(LEFT(D356, 3)="TJ ", LEFT(D356, 4)="CPH "), "OUI", "NON")</f>
        <v/>
      </c>
      <c r="N356" s="47" t="s">
        <v>782</v>
      </c>
      <c r="O356" s="47"/>
      <c r="P356" s="47">
        <v>1</v>
      </c>
      <c r="Q356" s="47">
        <v>0</v>
      </c>
      <c r="R356" s="47">
        <v>1</v>
      </c>
      <c r="S356" s="47">
        <f>=ROUND(BQ356-(BR356+BS356),3)</f>
      </c>
      <c r="T356" s="47">
        <f>=ROUND(CK356-(CL356+CM356+CN356+CO356+CP356),3)</f>
      </c>
      <c r="U356" s="47">
        <v>0</v>
      </c>
      <c r="V356" s="47">
        <v>0</v>
      </c>
      <c r="W356" s="47">
        <v>0</v>
      </c>
      <c r="X356" s="47">
        <v>0</v>
      </c>
      <c r="Y356" s="47">
        <v>0</v>
      </c>
      <c r="Z356" s="47">
        <v>0</v>
      </c>
      <c r="AA356" s="47">
        <v>0</v>
      </c>
      <c r="AB356" s="47">
        <v>0</v>
      </c>
      <c r="AC356" s="47">
        <v>0</v>
      </c>
      <c r="AD356" s="47">
        <v>0</v>
      </c>
      <c r="AE356" s="47">
        <v>0</v>
      </c>
      <c r="AF356" s="47">
        <v>0</v>
      </c>
      <c r="AG356" s="47">
        <v>0</v>
      </c>
      <c r="AH356" s="47">
        <v>0</v>
      </c>
      <c r="AI356" s="47">
        <v>0</v>
      </c>
      <c r="AJ356" s="47">
        <v>0</v>
      </c>
      <c r="AK356" s="47">
        <v>0</v>
      </c>
      <c r="AL356" s="47">
        <v>0</v>
      </c>
      <c r="AM356" s="47">
        <v>0</v>
      </c>
      <c r="AN356" s="47">
        <v>0</v>
      </c>
      <c r="AO356" s="47">
        <v>0</v>
      </c>
      <c r="AP356" s="47">
        <v>0</v>
      </c>
      <c r="AQ356" s="47">
        <v>0</v>
      </c>
      <c r="AR356" s="47">
        <v>0</v>
      </c>
      <c r="AS356" s="47">
        <v>0</v>
      </c>
      <c r="AT356" s="47">
        <v>0</v>
      </c>
      <c r="AU356" s="47">
        <v>0</v>
      </c>
      <c r="AV356" s="47">
        <v>0</v>
      </c>
      <c r="AW356" s="47">
        <v>0</v>
      </c>
      <c r="AX356" s="47">
        <v>0</v>
      </c>
      <c r="AY356" s="47">
        <v>0</v>
      </c>
      <c r="AZ356" s="47">
        <v>0</v>
      </c>
      <c r="BA356" s="47">
        <v>0</v>
      </c>
      <c r="BB356" s="47">
        <v>0</v>
      </c>
      <c r="BC356" s="47">
        <v>0</v>
      </c>
      <c r="BD356" s="47">
        <v>0</v>
      </c>
      <c r="BE356" s="47">
        <v>0</v>
      </c>
      <c r="BF356" s="47">
        <v>0</v>
      </c>
      <c r="BG356" s="47">
        <v>0</v>
      </c>
      <c r="BH356" s="47">
        <v>0</v>
      </c>
      <c r="BI356" s="47">
        <v>0</v>
      </c>
      <c r="BJ356" s="47">
        <v>0</v>
      </c>
      <c r="BK356" s="47">
        <v>0</v>
      </c>
      <c r="BL356" s="47">
        <v>0</v>
      </c>
      <c r="BM356" s="47">
        <v>0</v>
      </c>
      <c r="BN356" s="47">
        <v>0</v>
      </c>
      <c r="BO356" s="47">
        <v>0</v>
      </c>
      <c r="BP356" s="47">
        <v>0</v>
      </c>
      <c r="BQ356" s="47">
        <v>0</v>
      </c>
      <c r="BR356" s="47">
        <v>0</v>
      </c>
      <c r="BS356" s="47">
        <v>0</v>
      </c>
      <c r="BT356" s="47">
        <v>0</v>
      </c>
      <c r="BU356" s="47">
        <v>0</v>
      </c>
      <c r="BV356" s="47">
        <v>0</v>
      </c>
      <c r="BW356" s="47">
        <v>0</v>
      </c>
      <c r="BX356" s="47">
        <v>0</v>
      </c>
      <c r="BY356" s="47">
        <v>0</v>
      </c>
      <c r="BZ356" s="47">
        <v>0</v>
      </c>
      <c r="CA356" s="47">
        <v>0</v>
      </c>
      <c r="CB356" s="47">
        <v>0</v>
      </c>
      <c r="CC356" s="47">
        <v>0</v>
      </c>
      <c r="CD356" s="47">
        <v>0</v>
      </c>
      <c r="CE356" s="47">
        <v>0</v>
      </c>
      <c r="CF356" s="47">
        <v>0</v>
      </c>
      <c r="CG356" s="47">
        <v>0</v>
      </c>
      <c r="CH356" s="47">
        <v>0</v>
      </c>
      <c r="CI356" s="47">
        <v>0</v>
      </c>
      <c r="CJ356" s="47">
        <v>0</v>
      </c>
      <c r="CK356" s="47">
        <v>0</v>
      </c>
      <c r="CL356" s="47">
        <v>0</v>
      </c>
      <c r="CM356" s="47">
        <v>0</v>
      </c>
      <c r="CN356" s="47">
        <v>0</v>
      </c>
      <c r="CO356" s="47">
        <v>0</v>
      </c>
      <c r="CP356" s="47">
        <v>0</v>
      </c>
      <c r="CQ356" s="47">
        <v>0</v>
      </c>
      <c r="CR356" s="47">
        <v>0</v>
      </c>
      <c r="CS356" s="47">
        <v>0</v>
      </c>
      <c r="CT356" s="47">
        <v>0</v>
      </c>
      <c r="CU356" s="47">
        <v>0</v>
      </c>
      <c r="CV356" s="47">
        <v>0</v>
      </c>
      <c r="CW356" s="47">
        <v>0</v>
      </c>
      <c r="CX356" s="47">
        <v>0</v>
      </c>
      <c r="CY356" s="47">
        <v>0</v>
      </c>
      <c r="CZ356" s="47">
        <v>0</v>
      </c>
      <c r="DA356" s="47">
        <v>0</v>
      </c>
      <c r="DB356" s="47">
        <v>0</v>
      </c>
      <c r="DC356" s="47">
        <v>0</v>
      </c>
      <c r="DD356" s="47">
        <v>0</v>
      </c>
      <c r="DE356" s="47">
        <v>0</v>
      </c>
      <c r="DF356" s="47">
        <v>0</v>
      </c>
      <c r="DG356" s="47">
        <v>0</v>
      </c>
      <c r="DH356" s="47">
        <v>0</v>
      </c>
      <c r="DI356" s="47">
        <v>0</v>
      </c>
      <c r="DJ356" s="47">
        <v>0</v>
      </c>
      <c r="DK356" s="47">
        <v>0</v>
      </c>
      <c r="DL356" s="47">
        <v>0</v>
      </c>
      <c r="DM356" s="47">
        <v>0</v>
      </c>
      <c r="DN356" s="47">
        <v>0</v>
      </c>
      <c r="DO356" s="47">
        <v>0</v>
      </c>
      <c r="DP356" s="47">
        <v>0</v>
      </c>
      <c r="DQ356" s="47">
        <v>0</v>
      </c>
      <c r="DR356" s="47">
        <v>0</v>
      </c>
      <c r="DS356" s="47">
        <v>0</v>
      </c>
      <c r="DT356" s="47">
        <v>0</v>
      </c>
      <c r="DU356" s="47">
        <v>0</v>
      </c>
      <c r="DV356" s="47">
        <v>0</v>
      </c>
      <c r="DW356" s="47">
        <v>0</v>
      </c>
      <c r="DX356" s="47">
        <v>0</v>
      </c>
      <c r="DY356" s="47">
        <v>0</v>
      </c>
      <c r="DZ356" s="47">
        <v>0</v>
      </c>
      <c r="EA356" s="47">
        <v>0</v>
      </c>
      <c r="EB356" s="47"/>
      <c r="EC356" s="47">
        <v>1</v>
      </c>
      <c r="ZZ356" t="s">
        <v>2472</v>
      </c>
    </row>
    <row r="357" spans="1:702" x14ac:dyDescent="0.25">
      <c r="A357" s="47" t="s">
        <v>1732</v>
      </c>
      <c r="B357" s="47" t="s">
        <v>153</v>
      </c>
      <c r="C357" s="47" t="s">
        <v>157</v>
      </c>
      <c r="D357" s="47" t="s">
        <v>2840</v>
      </c>
      <c r="E357" s="47" t="s">
        <v>1733</v>
      </c>
      <c r="F357" s="47" t="s">
        <v>1734</v>
      </c>
      <c r="G357" s="47" t="s">
        <v>1735</v>
      </c>
      <c r="H357" s="47" t="s">
        <v>698</v>
      </c>
      <c r="I357" s="47" t="s">
        <v>727</v>
      </c>
      <c r="J357" s="47" t="str">
        <f>=IFERROR(VLOOKUP(H357&amp;I357,Table_Fonctions!A:G,6,FALSE),"")</f>
        <v>0</v>
      </c>
      <c r="K357" s="47" t="s">
        <v>2607</v>
      </c>
      <c r="L357" s="47" t="str">
        <f>=IFERROR(VLOOKUP(H357&amp;I357,Table_Fonctions!A:G,7,FALSE),K357)</f>
        <v/>
      </c>
      <c r="M357" s="47" t="str">
        <f>=IF(OR(LEFT(D357, 3)="TJ ", LEFT(D357, 4)="CPH "), "OUI", "NON")</f>
        <v/>
      </c>
      <c r="N357" s="47" t="s">
        <v>1736</v>
      </c>
      <c r="O357" s="47"/>
      <c r="P357" s="47">
        <v>1</v>
      </c>
      <c r="Q357" s="47">
        <v>1</v>
      </c>
      <c r="R357" s="47">
        <v>0</v>
      </c>
      <c r="S357" s="47">
        <f>=ROUND(BQ357-(BR357+BS357),3)</f>
      </c>
      <c r="T357" s="47">
        <f>=ROUND(CK357-(CL357+CM357+CN357+CO357+CP357),3)</f>
      </c>
      <c r="U357" s="47">
        <v>0</v>
      </c>
      <c r="V357" s="47">
        <v>0</v>
      </c>
      <c r="W357" s="47">
        <v>0</v>
      </c>
      <c r="X357" s="47">
        <v>0</v>
      </c>
      <c r="Y357" s="47">
        <v>0</v>
      </c>
      <c r="Z357" s="47">
        <v>0</v>
      </c>
      <c r="AA357" s="47">
        <v>0</v>
      </c>
      <c r="AB357" s="47">
        <v>0</v>
      </c>
      <c r="AC357" s="47">
        <v>0</v>
      </c>
      <c r="AD357" s="47">
        <v>0</v>
      </c>
      <c r="AE357" s="47">
        <v>0</v>
      </c>
      <c r="AF357" s="47">
        <v>0</v>
      </c>
      <c r="AG357" s="47">
        <v>0</v>
      </c>
      <c r="AH357" s="47">
        <v>0</v>
      </c>
      <c r="AI357" s="47">
        <v>0</v>
      </c>
      <c r="AJ357" s="47">
        <v>0</v>
      </c>
      <c r="AK357" s="47">
        <v>0</v>
      </c>
      <c r="AL357" s="47">
        <v>0</v>
      </c>
      <c r="AM357" s="47">
        <v>0</v>
      </c>
      <c r="AN357" s="47">
        <v>0</v>
      </c>
      <c r="AO357" s="47">
        <v>0</v>
      </c>
      <c r="AP357" s="47">
        <v>0</v>
      </c>
      <c r="AQ357" s="47">
        <v>0</v>
      </c>
      <c r="AR357" s="47">
        <v>0</v>
      </c>
      <c r="AS357" s="47">
        <v>0</v>
      </c>
      <c r="AT357" s="47">
        <v>0</v>
      </c>
      <c r="AU357" s="47">
        <v>0</v>
      </c>
      <c r="AV357" s="47">
        <v>0</v>
      </c>
      <c r="AW357" s="47">
        <v>0</v>
      </c>
      <c r="AX357" s="47">
        <v>0</v>
      </c>
      <c r="AY357" s="47">
        <v>0</v>
      </c>
      <c r="AZ357" s="47">
        <v>0</v>
      </c>
      <c r="BA357" s="47">
        <v>0</v>
      </c>
      <c r="BB357" s="47">
        <v>0</v>
      </c>
      <c r="BC357" s="47">
        <v>0</v>
      </c>
      <c r="BD357" s="47">
        <v>0</v>
      </c>
      <c r="BE357" s="47">
        <v>0</v>
      </c>
      <c r="BF357" s="47">
        <v>0</v>
      </c>
      <c r="BG357" s="47">
        <v>0</v>
      </c>
      <c r="BH357" s="47">
        <v>0</v>
      </c>
      <c r="BI357" s="47">
        <v>0</v>
      </c>
      <c r="BJ357" s="47">
        <v>0</v>
      </c>
      <c r="BK357" s="47">
        <v>0</v>
      </c>
      <c r="BL357" s="47">
        <v>0</v>
      </c>
      <c r="BM357" s="47">
        <v>0</v>
      </c>
      <c r="BN357" s="47">
        <v>0</v>
      </c>
      <c r="BO357" s="47">
        <v>0</v>
      </c>
      <c r="BP357" s="47">
        <v>0</v>
      </c>
      <c r="BQ357" s="47">
        <v>1</v>
      </c>
      <c r="BR357" s="47">
        <v>0</v>
      </c>
      <c r="BS357" s="47">
        <v>0</v>
      </c>
      <c r="BT357" s="47">
        <v>0</v>
      </c>
      <c r="BU357" s="47">
        <v>0</v>
      </c>
      <c r="BV357" s="47">
        <v>0</v>
      </c>
      <c r="BW357" s="47">
        <v>0</v>
      </c>
      <c r="BX357" s="47">
        <v>0</v>
      </c>
      <c r="BY357" s="47">
        <v>0</v>
      </c>
      <c r="BZ357" s="47">
        <v>0</v>
      </c>
      <c r="CA357" s="47">
        <v>0</v>
      </c>
      <c r="CB357" s="47">
        <v>0</v>
      </c>
      <c r="CC357" s="47">
        <v>0</v>
      </c>
      <c r="CD357" s="47">
        <v>0</v>
      </c>
      <c r="CE357" s="47">
        <v>0</v>
      </c>
      <c r="CF357" s="47">
        <v>0</v>
      </c>
      <c r="CG357" s="47">
        <v>0</v>
      </c>
      <c r="CH357" s="47">
        <v>0</v>
      </c>
      <c r="CI357" s="47">
        <v>0</v>
      </c>
      <c r="CJ357" s="47">
        <v>0</v>
      </c>
      <c r="CK357" s="47">
        <v>0</v>
      </c>
      <c r="CL357" s="47">
        <v>0</v>
      </c>
      <c r="CM357" s="47">
        <v>0</v>
      </c>
      <c r="CN357" s="47">
        <v>0</v>
      </c>
      <c r="CO357" s="47">
        <v>0</v>
      </c>
      <c r="CP357" s="47">
        <v>0</v>
      </c>
      <c r="CQ357" s="47">
        <v>0</v>
      </c>
      <c r="CR357" s="47">
        <v>0</v>
      </c>
      <c r="CS357" s="47">
        <v>0</v>
      </c>
      <c r="CT357" s="47">
        <v>0</v>
      </c>
      <c r="CU357" s="47">
        <v>0</v>
      </c>
      <c r="CV357" s="47">
        <v>0</v>
      </c>
      <c r="CW357" s="47">
        <v>0</v>
      </c>
      <c r="CX357" s="47">
        <v>0</v>
      </c>
      <c r="CY357" s="47">
        <v>0</v>
      </c>
      <c r="CZ357" s="47">
        <v>0</v>
      </c>
      <c r="DA357" s="47">
        <v>0</v>
      </c>
      <c r="DB357" s="47">
        <v>0</v>
      </c>
      <c r="DC357" s="47">
        <v>0</v>
      </c>
      <c r="DD357" s="47">
        <v>0</v>
      </c>
      <c r="DE357" s="47">
        <v>0</v>
      </c>
      <c r="DF357" s="47">
        <v>0</v>
      </c>
      <c r="DG357" s="47">
        <v>0</v>
      </c>
      <c r="DH357" s="47">
        <v>0</v>
      </c>
      <c r="DI357" s="47">
        <v>0</v>
      </c>
      <c r="DJ357" s="47">
        <v>0</v>
      </c>
      <c r="DK357" s="47">
        <v>0</v>
      </c>
      <c r="DL357" s="47">
        <v>0</v>
      </c>
      <c r="DM357" s="47">
        <v>0</v>
      </c>
      <c r="DN357" s="47">
        <v>0</v>
      </c>
      <c r="DO357" s="47">
        <v>0</v>
      </c>
      <c r="DP357" s="47">
        <v>0</v>
      </c>
      <c r="DQ357" s="47">
        <v>0</v>
      </c>
      <c r="DR357" s="47">
        <v>0</v>
      </c>
      <c r="DS357" s="47">
        <v>0</v>
      </c>
      <c r="DT357" s="47">
        <v>0</v>
      </c>
      <c r="DU357" s="47">
        <v>0</v>
      </c>
      <c r="DV357" s="47">
        <v>0</v>
      </c>
      <c r="DW357" s="47">
        <v>0</v>
      </c>
      <c r="DX357" s="47">
        <v>0</v>
      </c>
      <c r="DY357" s="47">
        <v>0</v>
      </c>
      <c r="DZ357" s="47">
        <v>0</v>
      </c>
      <c r="EA357" s="47">
        <v>0</v>
      </c>
      <c r="EB357" s="47"/>
      <c r="EC357" s="47">
        <v>1</v>
      </c>
      <c r="ZZ357" t="s">
        <v>2472</v>
      </c>
    </row>
    <row r="358" spans="1:702" x14ac:dyDescent="0.25">
      <c r="A358" s="47" t="s">
        <v>1737</v>
      </c>
      <c r="B358" s="47" t="s">
        <v>153</v>
      </c>
      <c r="C358" s="47" t="s">
        <v>157</v>
      </c>
      <c r="D358" s="47" t="s">
        <v>2841</v>
      </c>
      <c r="E358" s="47" t="s">
        <v>1738</v>
      </c>
      <c r="F358" s="47" t="s">
        <v>1739</v>
      </c>
      <c r="G358" s="47" t="s">
        <v>1740</v>
      </c>
      <c r="H358" s="47" t="s">
        <v>698</v>
      </c>
      <c r="I358" s="47" t="s">
        <v>727</v>
      </c>
      <c r="J358" s="47" t="str">
        <f>=IFERROR(VLOOKUP(H358&amp;I358,Table_Fonctions!A:G,6,FALSE),"")</f>
        <v>0</v>
      </c>
      <c r="K358" s="47" t="s">
        <v>2607</v>
      </c>
      <c r="L358" s="47" t="str">
        <f>=IFERROR(VLOOKUP(H358&amp;I358,Table_Fonctions!A:G,7,FALSE),K358)</f>
        <v/>
      </c>
      <c r="M358" s="47" t="str">
        <f>=IF(OR(LEFT(D358, 3)="TJ ", LEFT(D358, 4)="CPH "), "OUI", "NON")</f>
        <v/>
      </c>
      <c r="N358" s="47" t="s">
        <v>1741</v>
      </c>
      <c r="O358" s="47"/>
      <c r="P358" s="47">
        <v>0.8</v>
      </c>
      <c r="Q358" s="47">
        <v>0.8</v>
      </c>
      <c r="R358" s="47">
        <v>0</v>
      </c>
      <c r="S358" s="47">
        <f>=ROUND(BQ358-(BR358+BS358),3)</f>
      </c>
      <c r="T358" s="47">
        <f>=ROUND(CK358-(CL358+CM358+CN358+CO358+CP358),3)</f>
      </c>
      <c r="U358" s="47">
        <v>0</v>
      </c>
      <c r="V358" s="47">
        <v>0</v>
      </c>
      <c r="W358" s="47">
        <v>0</v>
      </c>
      <c r="X358" s="47">
        <v>0</v>
      </c>
      <c r="Y358" s="47">
        <v>0</v>
      </c>
      <c r="Z358" s="47">
        <v>0</v>
      </c>
      <c r="AA358" s="47">
        <v>0</v>
      </c>
      <c r="AB358" s="47">
        <v>0</v>
      </c>
      <c r="AC358" s="47">
        <v>0</v>
      </c>
      <c r="AD358" s="47">
        <v>0</v>
      </c>
      <c r="AE358" s="47">
        <v>0</v>
      </c>
      <c r="AF358" s="47">
        <v>0</v>
      </c>
      <c r="AG358" s="47">
        <v>0</v>
      </c>
      <c r="AH358" s="47">
        <v>0</v>
      </c>
      <c r="AI358" s="47">
        <v>0</v>
      </c>
      <c r="AJ358" s="47">
        <v>0.64</v>
      </c>
      <c r="AK358" s="47">
        <v>0.64</v>
      </c>
      <c r="AL358" s="47">
        <v>0</v>
      </c>
      <c r="AM358" s="47">
        <v>0</v>
      </c>
      <c r="AN358" s="47">
        <v>0</v>
      </c>
      <c r="AO358" s="47">
        <v>0</v>
      </c>
      <c r="AP358" s="47">
        <v>0</v>
      </c>
      <c r="AQ358" s="47">
        <v>0</v>
      </c>
      <c r="AR358" s="47">
        <v>0</v>
      </c>
      <c r="AS358" s="47">
        <v>0</v>
      </c>
      <c r="AT358" s="47">
        <v>0</v>
      </c>
      <c r="AU358" s="47">
        <v>0</v>
      </c>
      <c r="AV358" s="47">
        <v>0</v>
      </c>
      <c r="AW358" s="47">
        <v>0</v>
      </c>
      <c r="AX358" s="47">
        <v>0</v>
      </c>
      <c r="AY358" s="47">
        <v>0</v>
      </c>
      <c r="AZ358" s="47">
        <v>0</v>
      </c>
      <c r="BA358" s="47">
        <v>0</v>
      </c>
      <c r="BB358" s="47">
        <v>0</v>
      </c>
      <c r="BC358" s="47">
        <v>0</v>
      </c>
      <c r="BD358" s="47">
        <v>0</v>
      </c>
      <c r="BE358" s="47">
        <v>0</v>
      </c>
      <c r="BF358" s="47">
        <v>0</v>
      </c>
      <c r="BG358" s="47">
        <v>0</v>
      </c>
      <c r="BH358" s="47">
        <v>0</v>
      </c>
      <c r="BI358" s="47">
        <v>0</v>
      </c>
      <c r="BJ358" s="47">
        <v>0</v>
      </c>
      <c r="BK358" s="47">
        <v>0</v>
      </c>
      <c r="BL358" s="47">
        <v>0</v>
      </c>
      <c r="BM358" s="47">
        <v>0</v>
      </c>
      <c r="BN358" s="47">
        <v>0</v>
      </c>
      <c r="BO358" s="47">
        <v>0</v>
      </c>
      <c r="BP358" s="47">
        <v>0</v>
      </c>
      <c r="BQ358" s="47">
        <v>0</v>
      </c>
      <c r="BR358" s="47">
        <v>0</v>
      </c>
      <c r="BS358" s="47">
        <v>0</v>
      </c>
      <c r="BT358" s="47">
        <v>0</v>
      </c>
      <c r="BU358" s="47">
        <v>0</v>
      </c>
      <c r="BV358" s="47">
        <v>0</v>
      </c>
      <c r="BW358" s="47">
        <v>0</v>
      </c>
      <c r="BX358" s="47">
        <v>0</v>
      </c>
      <c r="BY358" s="47">
        <v>0</v>
      </c>
      <c r="BZ358" s="47">
        <v>0</v>
      </c>
      <c r="CA358" s="47">
        <v>0</v>
      </c>
      <c r="CB358" s="47">
        <v>0</v>
      </c>
      <c r="CC358" s="47">
        <v>0</v>
      </c>
      <c r="CD358" s="47">
        <v>0</v>
      </c>
      <c r="CE358" s="47">
        <v>0</v>
      </c>
      <c r="CF358" s="47">
        <v>0</v>
      </c>
      <c r="CG358" s="47">
        <v>0</v>
      </c>
      <c r="CH358" s="47">
        <v>0</v>
      </c>
      <c r="CI358" s="47">
        <v>0</v>
      </c>
      <c r="CJ358" s="47">
        <v>0</v>
      </c>
      <c r="CK358" s="47">
        <v>0</v>
      </c>
      <c r="CL358" s="47">
        <v>0</v>
      </c>
      <c r="CM358" s="47">
        <v>0</v>
      </c>
      <c r="CN358" s="47">
        <v>0</v>
      </c>
      <c r="CO358" s="47">
        <v>0</v>
      </c>
      <c r="CP358" s="47">
        <v>0</v>
      </c>
      <c r="CQ358" s="47">
        <v>0</v>
      </c>
      <c r="CR358" s="47">
        <v>0</v>
      </c>
      <c r="CS358" s="47">
        <v>0</v>
      </c>
      <c r="CT358" s="47">
        <v>0</v>
      </c>
      <c r="CU358" s="47">
        <v>0</v>
      </c>
      <c r="CV358" s="47">
        <v>0</v>
      </c>
      <c r="CW358" s="47">
        <v>0</v>
      </c>
      <c r="CX358" s="47">
        <v>0</v>
      </c>
      <c r="CY358" s="47">
        <v>0.16</v>
      </c>
      <c r="CZ358" s="47">
        <v>0</v>
      </c>
      <c r="DA358" s="47">
        <v>0.04</v>
      </c>
      <c r="DB358" s="47">
        <v>0</v>
      </c>
      <c r="DC358" s="47">
        <v>0</v>
      </c>
      <c r="DD358" s="47">
        <v>0</v>
      </c>
      <c r="DE358" s="47">
        <v>0.12</v>
      </c>
      <c r="DF358" s="47">
        <v>0</v>
      </c>
      <c r="DG358" s="47">
        <v>0</v>
      </c>
      <c r="DH358" s="47">
        <v>0</v>
      </c>
      <c r="DI358" s="47">
        <v>0</v>
      </c>
      <c r="DJ358" s="47">
        <v>0</v>
      </c>
      <c r="DK358" s="47">
        <v>0</v>
      </c>
      <c r="DL358" s="47">
        <v>0</v>
      </c>
      <c r="DM358" s="47">
        <v>0</v>
      </c>
      <c r="DN358" s="47">
        <v>0</v>
      </c>
      <c r="DO358" s="47">
        <v>0</v>
      </c>
      <c r="DP358" s="47">
        <v>0</v>
      </c>
      <c r="DQ358" s="47">
        <v>0</v>
      </c>
      <c r="DR358" s="47">
        <v>0</v>
      </c>
      <c r="DS358" s="47">
        <v>0</v>
      </c>
      <c r="DT358" s="47">
        <v>0</v>
      </c>
      <c r="DU358" s="47">
        <v>0</v>
      </c>
      <c r="DV358" s="47">
        <v>0</v>
      </c>
      <c r="DW358" s="47">
        <v>0</v>
      </c>
      <c r="DX358" s="47">
        <v>0</v>
      </c>
      <c r="DY358" s="47">
        <v>0</v>
      </c>
      <c r="DZ358" s="47">
        <v>0</v>
      </c>
      <c r="EA358" s="47">
        <v>0</v>
      </c>
      <c r="EB358" s="47"/>
      <c r="EC358" s="47">
        <v>0.8</v>
      </c>
      <c r="ZZ358" t="s">
        <v>2472</v>
      </c>
    </row>
    <row r="359" spans="1:702" x14ac:dyDescent="0.25">
      <c r="A359" s="47" t="s">
        <v>1742</v>
      </c>
      <c r="B359" s="47" t="s">
        <v>153</v>
      </c>
      <c r="C359" s="47" t="s">
        <v>157</v>
      </c>
      <c r="D359" s="47" t="s">
        <v>2842</v>
      </c>
      <c r="E359" s="47" t="s">
        <v>1743</v>
      </c>
      <c r="F359" s="47" t="s">
        <v>1744</v>
      </c>
      <c r="G359" s="47" t="s">
        <v>1745</v>
      </c>
      <c r="H359" s="47" t="s">
        <v>698</v>
      </c>
      <c r="I359" s="47" t="s">
        <v>727</v>
      </c>
      <c r="J359" s="47" t="str">
        <f>=IFERROR(VLOOKUP(H359&amp;I359,Table_Fonctions!A:G,6,FALSE),"")</f>
        <v>0</v>
      </c>
      <c r="K359" s="47" t="s">
        <v>2607</v>
      </c>
      <c r="L359" s="47" t="str">
        <f>=IFERROR(VLOOKUP(H359&amp;I359,Table_Fonctions!A:G,7,FALSE),K359)</f>
        <v/>
      </c>
      <c r="M359" s="47" t="str">
        <f>=IF(OR(LEFT(D359, 3)="TJ ", LEFT(D359, 4)="CPH "), "OUI", "NON")</f>
        <v/>
      </c>
      <c r="N359" s="47" t="s">
        <v>849</v>
      </c>
      <c r="O359" s="47"/>
      <c r="P359" s="47">
        <v>1</v>
      </c>
      <c r="Q359" s="47">
        <v>1</v>
      </c>
      <c r="R359" s="47">
        <v>0</v>
      </c>
      <c r="S359" s="47">
        <f>=ROUND(BQ359-(BR359+BS359),3)</f>
      </c>
      <c r="T359" s="47">
        <f>=ROUND(CK359-(CL359+CM359+CN359+CO359+CP359),3)</f>
      </c>
      <c r="U359" s="47">
        <v>0</v>
      </c>
      <c r="V359" s="47">
        <v>0</v>
      </c>
      <c r="W359" s="47">
        <v>0</v>
      </c>
      <c r="X359" s="47">
        <v>0</v>
      </c>
      <c r="Y359" s="47">
        <v>0</v>
      </c>
      <c r="Z359" s="47">
        <v>0</v>
      </c>
      <c r="AA359" s="47">
        <v>0</v>
      </c>
      <c r="AB359" s="47">
        <v>0</v>
      </c>
      <c r="AC359" s="47">
        <v>0</v>
      </c>
      <c r="AD359" s="47">
        <v>0</v>
      </c>
      <c r="AE359" s="47">
        <v>0</v>
      </c>
      <c r="AF359" s="47">
        <v>0</v>
      </c>
      <c r="AG359" s="47">
        <v>0</v>
      </c>
      <c r="AH359" s="47">
        <v>0</v>
      </c>
      <c r="AI359" s="47">
        <v>0</v>
      </c>
      <c r="AJ359" s="47">
        <v>0</v>
      </c>
      <c r="AK359" s="47">
        <v>0</v>
      </c>
      <c r="AL359" s="47">
        <v>0</v>
      </c>
      <c r="AM359" s="47">
        <v>0</v>
      </c>
      <c r="AN359" s="47">
        <v>0</v>
      </c>
      <c r="AO359" s="47">
        <v>0</v>
      </c>
      <c r="AP359" s="47">
        <v>0</v>
      </c>
      <c r="AQ359" s="47">
        <v>0</v>
      </c>
      <c r="AR359" s="47">
        <v>0</v>
      </c>
      <c r="AS359" s="47">
        <v>0</v>
      </c>
      <c r="AT359" s="47">
        <v>0</v>
      </c>
      <c r="AU359" s="47">
        <v>0</v>
      </c>
      <c r="AV359" s="47">
        <v>0</v>
      </c>
      <c r="AW359" s="47">
        <v>0</v>
      </c>
      <c r="AX359" s="47">
        <v>0</v>
      </c>
      <c r="AY359" s="47">
        <v>0</v>
      </c>
      <c r="AZ359" s="47">
        <v>0</v>
      </c>
      <c r="BA359" s="47">
        <v>0</v>
      </c>
      <c r="BB359" s="47">
        <v>0</v>
      </c>
      <c r="BC359" s="47">
        <v>0</v>
      </c>
      <c r="BD359" s="47">
        <v>0</v>
      </c>
      <c r="BE359" s="47">
        <v>0</v>
      </c>
      <c r="BF359" s="47">
        <v>0</v>
      </c>
      <c r="BG359" s="47">
        <v>0</v>
      </c>
      <c r="BH359" s="47">
        <v>0</v>
      </c>
      <c r="BI359" s="47">
        <v>0</v>
      </c>
      <c r="BJ359" s="47">
        <v>0</v>
      </c>
      <c r="BK359" s="47">
        <v>0</v>
      </c>
      <c r="BL359" s="47">
        <v>0</v>
      </c>
      <c r="BM359" s="47">
        <v>1</v>
      </c>
      <c r="BN359" s="47">
        <v>0</v>
      </c>
      <c r="BO359" s="47">
        <v>0</v>
      </c>
      <c r="BP359" s="47">
        <v>0</v>
      </c>
      <c r="BQ359" s="47">
        <v>0</v>
      </c>
      <c r="BR359" s="47">
        <v>0</v>
      </c>
      <c r="BS359" s="47">
        <v>0</v>
      </c>
      <c r="BT359" s="47">
        <v>0</v>
      </c>
      <c r="BU359" s="47">
        <v>0</v>
      </c>
      <c r="BV359" s="47">
        <v>0</v>
      </c>
      <c r="BW359" s="47">
        <v>0</v>
      </c>
      <c r="BX359" s="47">
        <v>0</v>
      </c>
      <c r="BY359" s="47">
        <v>0</v>
      </c>
      <c r="BZ359" s="47">
        <v>0</v>
      </c>
      <c r="CA359" s="47">
        <v>0</v>
      </c>
      <c r="CB359" s="47">
        <v>0</v>
      </c>
      <c r="CC359" s="47">
        <v>0</v>
      </c>
      <c r="CD359" s="47">
        <v>0</v>
      </c>
      <c r="CE359" s="47">
        <v>0</v>
      </c>
      <c r="CF359" s="47">
        <v>0</v>
      </c>
      <c r="CG359" s="47">
        <v>0</v>
      </c>
      <c r="CH359" s="47">
        <v>0</v>
      </c>
      <c r="CI359" s="47">
        <v>0</v>
      </c>
      <c r="CJ359" s="47">
        <v>0</v>
      </c>
      <c r="CK359" s="47">
        <v>0</v>
      </c>
      <c r="CL359" s="47">
        <v>0</v>
      </c>
      <c r="CM359" s="47">
        <v>0</v>
      </c>
      <c r="CN359" s="47">
        <v>0</v>
      </c>
      <c r="CO359" s="47">
        <v>0</v>
      </c>
      <c r="CP359" s="47">
        <v>0</v>
      </c>
      <c r="CQ359" s="47">
        <v>0</v>
      </c>
      <c r="CR359" s="47">
        <v>0</v>
      </c>
      <c r="CS359" s="47">
        <v>0</v>
      </c>
      <c r="CT359" s="47">
        <v>0</v>
      </c>
      <c r="CU359" s="47">
        <v>0</v>
      </c>
      <c r="CV359" s="47">
        <v>0</v>
      </c>
      <c r="CW359" s="47">
        <v>0</v>
      </c>
      <c r="CX359" s="47">
        <v>0</v>
      </c>
      <c r="CY359" s="47">
        <v>0</v>
      </c>
      <c r="CZ359" s="47">
        <v>0</v>
      </c>
      <c r="DA359" s="47">
        <v>0</v>
      </c>
      <c r="DB359" s="47">
        <v>0</v>
      </c>
      <c r="DC359" s="47">
        <v>0</v>
      </c>
      <c r="DD359" s="47">
        <v>0</v>
      </c>
      <c r="DE359" s="47">
        <v>0</v>
      </c>
      <c r="DF359" s="47">
        <v>0</v>
      </c>
      <c r="DG359" s="47">
        <v>0</v>
      </c>
      <c r="DH359" s="47">
        <v>0</v>
      </c>
      <c r="DI359" s="47">
        <v>0</v>
      </c>
      <c r="DJ359" s="47">
        <v>0</v>
      </c>
      <c r="DK359" s="47">
        <v>0</v>
      </c>
      <c r="DL359" s="47">
        <v>0</v>
      </c>
      <c r="DM359" s="47">
        <v>0</v>
      </c>
      <c r="DN359" s="47">
        <v>0</v>
      </c>
      <c r="DO359" s="47">
        <v>0</v>
      </c>
      <c r="DP359" s="47">
        <v>0</v>
      </c>
      <c r="DQ359" s="47">
        <v>0</v>
      </c>
      <c r="DR359" s="47">
        <v>0</v>
      </c>
      <c r="DS359" s="47">
        <v>0</v>
      </c>
      <c r="DT359" s="47">
        <v>0</v>
      </c>
      <c r="DU359" s="47">
        <v>0</v>
      </c>
      <c r="DV359" s="47">
        <v>0</v>
      </c>
      <c r="DW359" s="47">
        <v>0</v>
      </c>
      <c r="DX359" s="47">
        <v>0</v>
      </c>
      <c r="DY359" s="47">
        <v>0</v>
      </c>
      <c r="DZ359" s="47">
        <v>0</v>
      </c>
      <c r="EA359" s="47">
        <v>0</v>
      </c>
      <c r="EB359" s="47"/>
      <c r="EC359" s="47">
        <v>1</v>
      </c>
      <c r="ZZ359" t="s">
        <v>2472</v>
      </c>
    </row>
    <row r="360" spans="1:702" x14ac:dyDescent="0.25">
      <c r="A360" s="47" t="s">
        <v>1746</v>
      </c>
      <c r="B360" s="47" t="s">
        <v>153</v>
      </c>
      <c r="C360" s="47" t="s">
        <v>157</v>
      </c>
      <c r="D360" s="47" t="s">
        <v>2843</v>
      </c>
      <c r="E360" s="47" t="s">
        <v>1747</v>
      </c>
      <c r="F360" s="47" t="s">
        <v>1748</v>
      </c>
      <c r="G360" s="47" t="s">
        <v>1749</v>
      </c>
      <c r="H360" s="47" t="s">
        <v>698</v>
      </c>
      <c r="I360" s="47" t="s">
        <v>705</v>
      </c>
      <c r="J360" s="47" t="str">
        <f>=IFERROR(VLOOKUP(H360&amp;I360,Table_Fonctions!A:G,6,FALSE),"")</f>
        <v>0</v>
      </c>
      <c r="K360" s="47" t="s">
        <v>2607</v>
      </c>
      <c r="L360" s="47" t="str">
        <f>=IFERROR(VLOOKUP(H360&amp;I360,Table_Fonctions!A:G,7,FALSE),K360)</f>
        <v/>
      </c>
      <c r="M360" s="47" t="str">
        <f>=IF(OR(LEFT(D360, 3)="TJ ", LEFT(D360, 4)="CPH "), "OUI", "NON")</f>
        <v/>
      </c>
      <c r="N360" s="47" t="s">
        <v>722</v>
      </c>
      <c r="O360" s="47"/>
      <c r="P360" s="47">
        <v>1</v>
      </c>
      <c r="Q360" s="47">
        <v>0</v>
      </c>
      <c r="R360" s="47">
        <v>1</v>
      </c>
      <c r="S360" s="47">
        <f>=ROUND(BQ360-(BR360+BS360),3)</f>
      </c>
      <c r="T360" s="47">
        <f>=ROUND(CK360-(CL360+CM360+CN360+CO360+CP360),3)</f>
      </c>
      <c r="U360" s="47">
        <v>0</v>
      </c>
      <c r="V360" s="47">
        <v>0</v>
      </c>
      <c r="W360" s="47">
        <v>0</v>
      </c>
      <c r="X360" s="47">
        <v>0</v>
      </c>
      <c r="Y360" s="47">
        <v>0</v>
      </c>
      <c r="Z360" s="47">
        <v>0</v>
      </c>
      <c r="AA360" s="47">
        <v>0</v>
      </c>
      <c r="AB360" s="47">
        <v>0</v>
      </c>
      <c r="AC360" s="47">
        <v>0</v>
      </c>
      <c r="AD360" s="47">
        <v>0</v>
      </c>
      <c r="AE360" s="47">
        <v>0</v>
      </c>
      <c r="AF360" s="47">
        <v>0</v>
      </c>
      <c r="AG360" s="47">
        <v>0</v>
      </c>
      <c r="AH360" s="47">
        <v>0</v>
      </c>
      <c r="AI360" s="47">
        <v>0</v>
      </c>
      <c r="AJ360" s="47">
        <v>0</v>
      </c>
      <c r="AK360" s="47">
        <v>0</v>
      </c>
      <c r="AL360" s="47">
        <v>0</v>
      </c>
      <c r="AM360" s="47">
        <v>0</v>
      </c>
      <c r="AN360" s="47">
        <v>0</v>
      </c>
      <c r="AO360" s="47">
        <v>0</v>
      </c>
      <c r="AP360" s="47">
        <v>0</v>
      </c>
      <c r="AQ360" s="47">
        <v>0</v>
      </c>
      <c r="AR360" s="47">
        <v>0</v>
      </c>
      <c r="AS360" s="47">
        <v>0</v>
      </c>
      <c r="AT360" s="47">
        <v>0</v>
      </c>
      <c r="AU360" s="47">
        <v>0</v>
      </c>
      <c r="AV360" s="47">
        <v>0</v>
      </c>
      <c r="AW360" s="47">
        <v>0</v>
      </c>
      <c r="AX360" s="47">
        <v>0</v>
      </c>
      <c r="AY360" s="47">
        <v>0</v>
      </c>
      <c r="AZ360" s="47">
        <v>0</v>
      </c>
      <c r="BA360" s="47">
        <v>0</v>
      </c>
      <c r="BB360" s="47">
        <v>0</v>
      </c>
      <c r="BC360" s="47">
        <v>0</v>
      </c>
      <c r="BD360" s="47">
        <v>0</v>
      </c>
      <c r="BE360" s="47">
        <v>0</v>
      </c>
      <c r="BF360" s="47">
        <v>0</v>
      </c>
      <c r="BG360" s="47">
        <v>0</v>
      </c>
      <c r="BH360" s="47">
        <v>0</v>
      </c>
      <c r="BI360" s="47">
        <v>0</v>
      </c>
      <c r="BJ360" s="47">
        <v>0</v>
      </c>
      <c r="BK360" s="47">
        <v>0</v>
      </c>
      <c r="BL360" s="47">
        <v>0</v>
      </c>
      <c r="BM360" s="47">
        <v>0</v>
      </c>
      <c r="BN360" s="47">
        <v>0</v>
      </c>
      <c r="BO360" s="47">
        <v>0</v>
      </c>
      <c r="BP360" s="47">
        <v>0</v>
      </c>
      <c r="BQ360" s="47">
        <v>0</v>
      </c>
      <c r="BR360" s="47">
        <v>0</v>
      </c>
      <c r="BS360" s="47">
        <v>0</v>
      </c>
      <c r="BT360" s="47">
        <v>0</v>
      </c>
      <c r="BU360" s="47">
        <v>0</v>
      </c>
      <c r="BV360" s="47">
        <v>0</v>
      </c>
      <c r="BW360" s="47">
        <v>0</v>
      </c>
      <c r="BX360" s="47">
        <v>0</v>
      </c>
      <c r="BY360" s="47">
        <v>0</v>
      </c>
      <c r="BZ360" s="47">
        <v>0</v>
      </c>
      <c r="CA360" s="47">
        <v>0</v>
      </c>
      <c r="CB360" s="47">
        <v>0</v>
      </c>
      <c r="CC360" s="47">
        <v>0</v>
      </c>
      <c r="CD360" s="47">
        <v>0</v>
      </c>
      <c r="CE360" s="47">
        <v>0</v>
      </c>
      <c r="CF360" s="47">
        <v>0</v>
      </c>
      <c r="CG360" s="47">
        <v>0</v>
      </c>
      <c r="CH360" s="47">
        <v>0</v>
      </c>
      <c r="CI360" s="47">
        <v>0</v>
      </c>
      <c r="CJ360" s="47">
        <v>0</v>
      </c>
      <c r="CK360" s="47">
        <v>0</v>
      </c>
      <c r="CL360" s="47">
        <v>0</v>
      </c>
      <c r="CM360" s="47">
        <v>0</v>
      </c>
      <c r="CN360" s="47">
        <v>0</v>
      </c>
      <c r="CO360" s="47">
        <v>0</v>
      </c>
      <c r="CP360" s="47">
        <v>0</v>
      </c>
      <c r="CQ360" s="47">
        <v>0</v>
      </c>
      <c r="CR360" s="47">
        <v>0</v>
      </c>
      <c r="CS360" s="47">
        <v>0</v>
      </c>
      <c r="CT360" s="47">
        <v>0</v>
      </c>
      <c r="CU360" s="47">
        <v>0</v>
      </c>
      <c r="CV360" s="47">
        <v>0</v>
      </c>
      <c r="CW360" s="47">
        <v>0</v>
      </c>
      <c r="CX360" s="47">
        <v>0</v>
      </c>
      <c r="CY360" s="47">
        <v>0</v>
      </c>
      <c r="CZ360" s="47">
        <v>0</v>
      </c>
      <c r="DA360" s="47">
        <v>0</v>
      </c>
      <c r="DB360" s="47">
        <v>0</v>
      </c>
      <c r="DC360" s="47">
        <v>0</v>
      </c>
      <c r="DD360" s="47">
        <v>0</v>
      </c>
      <c r="DE360" s="47">
        <v>0</v>
      </c>
      <c r="DF360" s="47">
        <v>0</v>
      </c>
      <c r="DG360" s="47">
        <v>0</v>
      </c>
      <c r="DH360" s="47">
        <v>0</v>
      </c>
      <c r="DI360" s="47">
        <v>0</v>
      </c>
      <c r="DJ360" s="47">
        <v>0</v>
      </c>
      <c r="DK360" s="47">
        <v>0</v>
      </c>
      <c r="DL360" s="47">
        <v>0</v>
      </c>
      <c r="DM360" s="47">
        <v>0</v>
      </c>
      <c r="DN360" s="47">
        <v>0</v>
      </c>
      <c r="DO360" s="47">
        <v>0</v>
      </c>
      <c r="DP360" s="47">
        <v>0</v>
      </c>
      <c r="DQ360" s="47">
        <v>0</v>
      </c>
      <c r="DR360" s="47">
        <v>0</v>
      </c>
      <c r="DS360" s="47">
        <v>0</v>
      </c>
      <c r="DT360" s="47">
        <v>0</v>
      </c>
      <c r="DU360" s="47">
        <v>0</v>
      </c>
      <c r="DV360" s="47">
        <v>0</v>
      </c>
      <c r="DW360" s="47">
        <v>0</v>
      </c>
      <c r="DX360" s="47">
        <v>0</v>
      </c>
      <c r="DY360" s="47">
        <v>0</v>
      </c>
      <c r="DZ360" s="47">
        <v>0</v>
      </c>
      <c r="EA360" s="47">
        <v>0</v>
      </c>
      <c r="EB360" s="47"/>
      <c r="EC360" s="47">
        <v>1</v>
      </c>
      <c r="ZZ360" t="s">
        <v>2472</v>
      </c>
    </row>
    <row r="361" spans="1:702" x14ac:dyDescent="0.25">
      <c r="A361" s="47" t="s">
        <v>1750</v>
      </c>
      <c r="B361" s="47" t="s">
        <v>153</v>
      </c>
      <c r="C361" s="47" t="s">
        <v>157</v>
      </c>
      <c r="D361" s="47" t="s">
        <v>2844</v>
      </c>
      <c r="E361" s="47" t="s">
        <v>1751</v>
      </c>
      <c r="F361" s="47" t="s">
        <v>1752</v>
      </c>
      <c r="G361" s="47" t="s">
        <v>1753</v>
      </c>
      <c r="H361" s="47" t="s">
        <v>698</v>
      </c>
      <c r="I361" s="47" t="s">
        <v>727</v>
      </c>
      <c r="J361" s="47" t="str">
        <f>=IFERROR(VLOOKUP(H361&amp;I361,Table_Fonctions!A:G,6,FALSE),"")</f>
        <v>0</v>
      </c>
      <c r="K361" s="47" t="s">
        <v>2607</v>
      </c>
      <c r="L361" s="47" t="str">
        <f>=IFERROR(VLOOKUP(H361&amp;I361,Table_Fonctions!A:G,7,FALSE),K361)</f>
        <v/>
      </c>
      <c r="M361" s="47" t="str">
        <f>=IF(OR(LEFT(D361, 3)="TJ ", LEFT(D361, 4)="CPH "), "OUI", "NON")</f>
        <v/>
      </c>
      <c r="N361" s="47" t="s">
        <v>1309</v>
      </c>
      <c r="O361" s="47"/>
      <c r="P361" s="47">
        <v>1</v>
      </c>
      <c r="Q361" s="47">
        <v>0</v>
      </c>
      <c r="R361" s="47">
        <v>1</v>
      </c>
      <c r="S361" s="47">
        <f>=ROUND(BQ361-(BR361+BS361),3)</f>
      </c>
      <c r="T361" s="47">
        <f>=ROUND(CK361-(CL361+CM361+CN361+CO361+CP361),3)</f>
      </c>
      <c r="U361" s="47">
        <v>0</v>
      </c>
      <c r="V361" s="47">
        <v>0</v>
      </c>
      <c r="W361" s="47">
        <v>0</v>
      </c>
      <c r="X361" s="47">
        <v>0</v>
      </c>
      <c r="Y361" s="47">
        <v>0</v>
      </c>
      <c r="Z361" s="47">
        <v>0</v>
      </c>
      <c r="AA361" s="47">
        <v>0</v>
      </c>
      <c r="AB361" s="47">
        <v>0</v>
      </c>
      <c r="AC361" s="47">
        <v>0</v>
      </c>
      <c r="AD361" s="47">
        <v>0</v>
      </c>
      <c r="AE361" s="47">
        <v>0</v>
      </c>
      <c r="AF361" s="47">
        <v>0</v>
      </c>
      <c r="AG361" s="47">
        <v>0</v>
      </c>
      <c r="AH361" s="47">
        <v>0</v>
      </c>
      <c r="AI361" s="47">
        <v>0</v>
      </c>
      <c r="AJ361" s="47">
        <v>0</v>
      </c>
      <c r="AK361" s="47">
        <v>0</v>
      </c>
      <c r="AL361" s="47">
        <v>0</v>
      </c>
      <c r="AM361" s="47">
        <v>0</v>
      </c>
      <c r="AN361" s="47">
        <v>0</v>
      </c>
      <c r="AO361" s="47">
        <v>0</v>
      </c>
      <c r="AP361" s="47">
        <v>0</v>
      </c>
      <c r="AQ361" s="47">
        <v>0</v>
      </c>
      <c r="AR361" s="47">
        <v>0</v>
      </c>
      <c r="AS361" s="47">
        <v>0</v>
      </c>
      <c r="AT361" s="47">
        <v>0</v>
      </c>
      <c r="AU361" s="47">
        <v>0</v>
      </c>
      <c r="AV361" s="47">
        <v>0</v>
      </c>
      <c r="AW361" s="47">
        <v>0</v>
      </c>
      <c r="AX361" s="47">
        <v>0</v>
      </c>
      <c r="AY361" s="47">
        <v>0</v>
      </c>
      <c r="AZ361" s="47">
        <v>0</v>
      </c>
      <c r="BA361" s="47">
        <v>0</v>
      </c>
      <c r="BB361" s="47">
        <v>0</v>
      </c>
      <c r="BC361" s="47">
        <v>0</v>
      </c>
      <c r="BD361" s="47">
        <v>0</v>
      </c>
      <c r="BE361" s="47">
        <v>0</v>
      </c>
      <c r="BF361" s="47">
        <v>0</v>
      </c>
      <c r="BG361" s="47">
        <v>0</v>
      </c>
      <c r="BH361" s="47">
        <v>0</v>
      </c>
      <c r="BI361" s="47">
        <v>0</v>
      </c>
      <c r="BJ361" s="47">
        <v>0</v>
      </c>
      <c r="BK361" s="47">
        <v>0</v>
      </c>
      <c r="BL361" s="47">
        <v>0</v>
      </c>
      <c r="BM361" s="47">
        <v>0</v>
      </c>
      <c r="BN361" s="47">
        <v>0</v>
      </c>
      <c r="BO361" s="47">
        <v>0</v>
      </c>
      <c r="BP361" s="47">
        <v>0</v>
      </c>
      <c r="BQ361" s="47">
        <v>0</v>
      </c>
      <c r="BR361" s="47">
        <v>0</v>
      </c>
      <c r="BS361" s="47">
        <v>0</v>
      </c>
      <c r="BT361" s="47">
        <v>0</v>
      </c>
      <c r="BU361" s="47">
        <v>0</v>
      </c>
      <c r="BV361" s="47">
        <v>0</v>
      </c>
      <c r="BW361" s="47">
        <v>0</v>
      </c>
      <c r="BX361" s="47">
        <v>0</v>
      </c>
      <c r="BY361" s="47">
        <v>0</v>
      </c>
      <c r="BZ361" s="47">
        <v>0</v>
      </c>
      <c r="CA361" s="47">
        <v>0</v>
      </c>
      <c r="CB361" s="47">
        <v>0</v>
      </c>
      <c r="CC361" s="47">
        <v>0</v>
      </c>
      <c r="CD361" s="47">
        <v>0</v>
      </c>
      <c r="CE361" s="47">
        <v>0</v>
      </c>
      <c r="CF361" s="47">
        <v>0</v>
      </c>
      <c r="CG361" s="47">
        <v>0</v>
      </c>
      <c r="CH361" s="47">
        <v>0</v>
      </c>
      <c r="CI361" s="47">
        <v>0</v>
      </c>
      <c r="CJ361" s="47">
        <v>0</v>
      </c>
      <c r="CK361" s="47">
        <v>0</v>
      </c>
      <c r="CL361" s="47">
        <v>0</v>
      </c>
      <c r="CM361" s="47">
        <v>0</v>
      </c>
      <c r="CN361" s="47">
        <v>0</v>
      </c>
      <c r="CO361" s="47">
        <v>0</v>
      </c>
      <c r="CP361" s="47">
        <v>0</v>
      </c>
      <c r="CQ361" s="47">
        <v>0</v>
      </c>
      <c r="CR361" s="47">
        <v>0</v>
      </c>
      <c r="CS361" s="47">
        <v>0</v>
      </c>
      <c r="CT361" s="47">
        <v>0</v>
      </c>
      <c r="CU361" s="47">
        <v>0</v>
      </c>
      <c r="CV361" s="47">
        <v>0</v>
      </c>
      <c r="CW361" s="47">
        <v>0</v>
      </c>
      <c r="CX361" s="47">
        <v>0</v>
      </c>
      <c r="CY361" s="47">
        <v>0</v>
      </c>
      <c r="CZ361" s="47">
        <v>0</v>
      </c>
      <c r="DA361" s="47">
        <v>0</v>
      </c>
      <c r="DB361" s="47">
        <v>0</v>
      </c>
      <c r="DC361" s="47">
        <v>0</v>
      </c>
      <c r="DD361" s="47">
        <v>0</v>
      </c>
      <c r="DE361" s="47">
        <v>0</v>
      </c>
      <c r="DF361" s="47">
        <v>0</v>
      </c>
      <c r="DG361" s="47">
        <v>0</v>
      </c>
      <c r="DH361" s="47">
        <v>0</v>
      </c>
      <c r="DI361" s="47">
        <v>0</v>
      </c>
      <c r="DJ361" s="47">
        <v>0</v>
      </c>
      <c r="DK361" s="47">
        <v>0</v>
      </c>
      <c r="DL361" s="47">
        <v>0</v>
      </c>
      <c r="DM361" s="47">
        <v>0</v>
      </c>
      <c r="DN361" s="47">
        <v>0</v>
      </c>
      <c r="DO361" s="47">
        <v>0</v>
      </c>
      <c r="DP361" s="47">
        <v>0</v>
      </c>
      <c r="DQ361" s="47">
        <v>0</v>
      </c>
      <c r="DR361" s="47">
        <v>0</v>
      </c>
      <c r="DS361" s="47">
        <v>0</v>
      </c>
      <c r="DT361" s="47">
        <v>0</v>
      </c>
      <c r="DU361" s="47">
        <v>0</v>
      </c>
      <c r="DV361" s="47">
        <v>0</v>
      </c>
      <c r="DW361" s="47">
        <v>0</v>
      </c>
      <c r="DX361" s="47">
        <v>0</v>
      </c>
      <c r="DY361" s="47">
        <v>0</v>
      </c>
      <c r="DZ361" s="47">
        <v>0</v>
      </c>
      <c r="EA361" s="47">
        <v>0</v>
      </c>
      <c r="EB361" s="47"/>
      <c r="EC361" s="47">
        <v>1</v>
      </c>
      <c r="ZZ361" t="s">
        <v>2472</v>
      </c>
    </row>
    <row r="362" spans="1:702" x14ac:dyDescent="0.25">
      <c r="A362" s="47" t="s">
        <v>1754</v>
      </c>
      <c r="B362" s="47" t="s">
        <v>153</v>
      </c>
      <c r="C362" s="47" t="s">
        <v>157</v>
      </c>
      <c r="D362" s="47" t="s">
        <v>2845</v>
      </c>
      <c r="E362" s="47" t="s">
        <v>1755</v>
      </c>
      <c r="F362" s="47" t="s">
        <v>1756</v>
      </c>
      <c r="G362" s="47" t="s">
        <v>1757</v>
      </c>
      <c r="H362" s="47" t="s">
        <v>698</v>
      </c>
      <c r="I362" s="47" t="s">
        <v>705</v>
      </c>
      <c r="J362" s="47" t="str">
        <f>=IFERROR(VLOOKUP(H362&amp;I362,Table_Fonctions!A:G,6,FALSE),"")</f>
        <v>0</v>
      </c>
      <c r="K362" s="47" t="s">
        <v>2607</v>
      </c>
      <c r="L362" s="47" t="str">
        <f>=IFERROR(VLOOKUP(H362&amp;I362,Table_Fonctions!A:G,7,FALSE),K362)</f>
        <v/>
      </c>
      <c r="M362" s="47" t="str">
        <f>=IF(OR(LEFT(D362, 3)="TJ ", LEFT(D362, 4)="CPH "), "OUI", "NON")</f>
        <v/>
      </c>
      <c r="N362" s="47" t="s">
        <v>1758</v>
      </c>
      <c r="O362" s="47"/>
      <c r="P362" s="47">
        <v>0.8</v>
      </c>
      <c r="Q362" s="47">
        <v>0</v>
      </c>
      <c r="R362" s="47">
        <v>0.8</v>
      </c>
      <c r="S362" s="47">
        <f>=ROUND(BQ362-(BR362+BS362),3)</f>
      </c>
      <c r="T362" s="47">
        <f>=ROUND(CK362-(CL362+CM362+CN362+CO362+CP362),3)</f>
      </c>
      <c r="U362" s="47">
        <v>0</v>
      </c>
      <c r="V362" s="47">
        <v>0</v>
      </c>
      <c r="W362" s="47">
        <v>0</v>
      </c>
      <c r="X362" s="47">
        <v>0</v>
      </c>
      <c r="Y362" s="47">
        <v>0</v>
      </c>
      <c r="Z362" s="47">
        <v>0</v>
      </c>
      <c r="AA362" s="47">
        <v>0</v>
      </c>
      <c r="AB362" s="47">
        <v>0</v>
      </c>
      <c r="AC362" s="47">
        <v>0</v>
      </c>
      <c r="AD362" s="47">
        <v>0</v>
      </c>
      <c r="AE362" s="47">
        <v>0</v>
      </c>
      <c r="AF362" s="47">
        <v>0</v>
      </c>
      <c r="AG362" s="47">
        <v>0</v>
      </c>
      <c r="AH362" s="47">
        <v>0</v>
      </c>
      <c r="AI362" s="47">
        <v>0</v>
      </c>
      <c r="AJ362" s="47">
        <v>0</v>
      </c>
      <c r="AK362" s="47">
        <v>0</v>
      </c>
      <c r="AL362" s="47">
        <v>0</v>
      </c>
      <c r="AM362" s="47">
        <v>0</v>
      </c>
      <c r="AN362" s="47">
        <v>0</v>
      </c>
      <c r="AO362" s="47">
        <v>0</v>
      </c>
      <c r="AP362" s="47">
        <v>0</v>
      </c>
      <c r="AQ362" s="47">
        <v>0</v>
      </c>
      <c r="AR362" s="47">
        <v>0</v>
      </c>
      <c r="AS362" s="47">
        <v>0</v>
      </c>
      <c r="AT362" s="47">
        <v>0</v>
      </c>
      <c r="AU362" s="47">
        <v>0</v>
      </c>
      <c r="AV362" s="47">
        <v>0</v>
      </c>
      <c r="AW362" s="47">
        <v>0</v>
      </c>
      <c r="AX362" s="47">
        <v>0</v>
      </c>
      <c r="AY362" s="47">
        <v>0</v>
      </c>
      <c r="AZ362" s="47">
        <v>0</v>
      </c>
      <c r="BA362" s="47">
        <v>0</v>
      </c>
      <c r="BB362" s="47">
        <v>0</v>
      </c>
      <c r="BC362" s="47">
        <v>0</v>
      </c>
      <c r="BD362" s="47">
        <v>0</v>
      </c>
      <c r="BE362" s="47">
        <v>0</v>
      </c>
      <c r="BF362" s="47">
        <v>0</v>
      </c>
      <c r="BG362" s="47">
        <v>0</v>
      </c>
      <c r="BH362" s="47">
        <v>0</v>
      </c>
      <c r="BI362" s="47">
        <v>0</v>
      </c>
      <c r="BJ362" s="47">
        <v>0</v>
      </c>
      <c r="BK362" s="47">
        <v>0</v>
      </c>
      <c r="BL362" s="47">
        <v>0</v>
      </c>
      <c r="BM362" s="47">
        <v>0</v>
      </c>
      <c r="BN362" s="47">
        <v>0</v>
      </c>
      <c r="BO362" s="47">
        <v>0</v>
      </c>
      <c r="BP362" s="47">
        <v>0</v>
      </c>
      <c r="BQ362" s="47">
        <v>0</v>
      </c>
      <c r="BR362" s="47">
        <v>0</v>
      </c>
      <c r="BS362" s="47">
        <v>0</v>
      </c>
      <c r="BT362" s="47">
        <v>0</v>
      </c>
      <c r="BU362" s="47">
        <v>0</v>
      </c>
      <c r="BV362" s="47">
        <v>0</v>
      </c>
      <c r="BW362" s="47">
        <v>0</v>
      </c>
      <c r="BX362" s="47">
        <v>0</v>
      </c>
      <c r="BY362" s="47">
        <v>0</v>
      </c>
      <c r="BZ362" s="47">
        <v>0</v>
      </c>
      <c r="CA362" s="47">
        <v>0</v>
      </c>
      <c r="CB362" s="47">
        <v>0</v>
      </c>
      <c r="CC362" s="47">
        <v>0</v>
      </c>
      <c r="CD362" s="47">
        <v>0</v>
      </c>
      <c r="CE362" s="47">
        <v>0</v>
      </c>
      <c r="CF362" s="47">
        <v>0</v>
      </c>
      <c r="CG362" s="47">
        <v>0</v>
      </c>
      <c r="CH362" s="47">
        <v>0</v>
      </c>
      <c r="CI362" s="47">
        <v>0</v>
      </c>
      <c r="CJ362" s="47">
        <v>0</v>
      </c>
      <c r="CK362" s="47">
        <v>0</v>
      </c>
      <c r="CL362" s="47">
        <v>0</v>
      </c>
      <c r="CM362" s="47">
        <v>0</v>
      </c>
      <c r="CN362" s="47">
        <v>0</v>
      </c>
      <c r="CO362" s="47">
        <v>0</v>
      </c>
      <c r="CP362" s="47">
        <v>0</v>
      </c>
      <c r="CQ362" s="47">
        <v>0</v>
      </c>
      <c r="CR362" s="47">
        <v>0</v>
      </c>
      <c r="CS362" s="47">
        <v>0</v>
      </c>
      <c r="CT362" s="47">
        <v>0</v>
      </c>
      <c r="CU362" s="47">
        <v>0</v>
      </c>
      <c r="CV362" s="47">
        <v>0</v>
      </c>
      <c r="CW362" s="47">
        <v>0</v>
      </c>
      <c r="CX362" s="47">
        <v>0</v>
      </c>
      <c r="CY362" s="47">
        <v>0</v>
      </c>
      <c r="CZ362" s="47">
        <v>0</v>
      </c>
      <c r="DA362" s="47">
        <v>0</v>
      </c>
      <c r="DB362" s="47">
        <v>0</v>
      </c>
      <c r="DC362" s="47">
        <v>0</v>
      </c>
      <c r="DD362" s="47">
        <v>0</v>
      </c>
      <c r="DE362" s="47">
        <v>0</v>
      </c>
      <c r="DF362" s="47">
        <v>0</v>
      </c>
      <c r="DG362" s="47">
        <v>0</v>
      </c>
      <c r="DH362" s="47">
        <v>0</v>
      </c>
      <c r="DI362" s="47">
        <v>0</v>
      </c>
      <c r="DJ362" s="47">
        <v>0</v>
      </c>
      <c r="DK362" s="47">
        <v>0</v>
      </c>
      <c r="DL362" s="47">
        <v>0</v>
      </c>
      <c r="DM362" s="47">
        <v>0</v>
      </c>
      <c r="DN362" s="47">
        <v>0</v>
      </c>
      <c r="DO362" s="47">
        <v>0</v>
      </c>
      <c r="DP362" s="47">
        <v>0</v>
      </c>
      <c r="DQ362" s="47">
        <v>0</v>
      </c>
      <c r="DR362" s="47">
        <v>0</v>
      </c>
      <c r="DS362" s="47">
        <v>0</v>
      </c>
      <c r="DT362" s="47">
        <v>0</v>
      </c>
      <c r="DU362" s="47">
        <v>0</v>
      </c>
      <c r="DV362" s="47">
        <v>0</v>
      </c>
      <c r="DW362" s="47">
        <v>0</v>
      </c>
      <c r="DX362" s="47">
        <v>0</v>
      </c>
      <c r="DY362" s="47">
        <v>0</v>
      </c>
      <c r="DZ362" s="47">
        <v>0</v>
      </c>
      <c r="EA362" s="47">
        <v>0</v>
      </c>
      <c r="EB362" s="47"/>
      <c r="EC362" s="47">
        <v>0.8</v>
      </c>
      <c r="ZZ362" t="s">
        <v>2472</v>
      </c>
    </row>
    <row r="363" spans="1:702" x14ac:dyDescent="0.25">
      <c r="A363" s="47" t="s">
        <v>1759</v>
      </c>
      <c r="B363" s="47" t="s">
        <v>153</v>
      </c>
      <c r="C363" s="47" t="s">
        <v>157</v>
      </c>
      <c r="D363" s="47" t="s">
        <v>2846</v>
      </c>
      <c r="E363" s="47" t="s">
        <v>1760</v>
      </c>
      <c r="F363" s="47" t="s">
        <v>1761</v>
      </c>
      <c r="G363" s="47" t="s">
        <v>1762</v>
      </c>
      <c r="H363" s="47" t="s">
        <v>698</v>
      </c>
      <c r="I363" s="47" t="s">
        <v>705</v>
      </c>
      <c r="J363" s="47" t="str">
        <f>=IFERROR(VLOOKUP(H363&amp;I363,Table_Fonctions!A:G,6,FALSE),"")</f>
        <v>0</v>
      </c>
      <c r="K363" s="47" t="s">
        <v>2607</v>
      </c>
      <c r="L363" s="47" t="str">
        <f>=IFERROR(VLOOKUP(H363&amp;I363,Table_Fonctions!A:G,7,FALSE),K363)</f>
        <v/>
      </c>
      <c r="M363" s="47" t="str">
        <f>=IF(OR(LEFT(D363, 3)="TJ ", LEFT(D363, 4)="CPH "), "OUI", "NON")</f>
        <v/>
      </c>
      <c r="N363" s="47" t="s">
        <v>1085</v>
      </c>
      <c r="O363" s="47"/>
      <c r="P363" s="47">
        <v>1</v>
      </c>
      <c r="Q363" s="47">
        <v>0</v>
      </c>
      <c r="R363" s="47">
        <v>1</v>
      </c>
      <c r="S363" s="47">
        <f>=ROUND(BQ363-(BR363+BS363),3)</f>
      </c>
      <c r="T363" s="47">
        <f>=ROUND(CK363-(CL363+CM363+CN363+CO363+CP363),3)</f>
      </c>
      <c r="U363" s="47">
        <v>0</v>
      </c>
      <c r="V363" s="47">
        <v>0</v>
      </c>
      <c r="W363" s="47">
        <v>0</v>
      </c>
      <c r="X363" s="47">
        <v>0</v>
      </c>
      <c r="Y363" s="47">
        <v>0</v>
      </c>
      <c r="Z363" s="47">
        <v>0</v>
      </c>
      <c r="AA363" s="47">
        <v>0</v>
      </c>
      <c r="AB363" s="47">
        <v>0</v>
      </c>
      <c r="AC363" s="47">
        <v>0</v>
      </c>
      <c r="AD363" s="47">
        <v>0</v>
      </c>
      <c r="AE363" s="47">
        <v>0</v>
      </c>
      <c r="AF363" s="47">
        <v>0</v>
      </c>
      <c r="AG363" s="47">
        <v>0</v>
      </c>
      <c r="AH363" s="47">
        <v>0</v>
      </c>
      <c r="AI363" s="47">
        <v>0</v>
      </c>
      <c r="AJ363" s="47">
        <v>0</v>
      </c>
      <c r="AK363" s="47">
        <v>0</v>
      </c>
      <c r="AL363" s="47">
        <v>0</v>
      </c>
      <c r="AM363" s="47">
        <v>0</v>
      </c>
      <c r="AN363" s="47">
        <v>0</v>
      </c>
      <c r="AO363" s="47">
        <v>0</v>
      </c>
      <c r="AP363" s="47">
        <v>0</v>
      </c>
      <c r="AQ363" s="47">
        <v>0</v>
      </c>
      <c r="AR363" s="47">
        <v>0</v>
      </c>
      <c r="AS363" s="47">
        <v>0</v>
      </c>
      <c r="AT363" s="47">
        <v>0</v>
      </c>
      <c r="AU363" s="47">
        <v>0</v>
      </c>
      <c r="AV363" s="47">
        <v>0</v>
      </c>
      <c r="AW363" s="47">
        <v>0</v>
      </c>
      <c r="AX363" s="47">
        <v>0</v>
      </c>
      <c r="AY363" s="47">
        <v>0</v>
      </c>
      <c r="AZ363" s="47">
        <v>0</v>
      </c>
      <c r="BA363" s="47">
        <v>0</v>
      </c>
      <c r="BB363" s="47">
        <v>0</v>
      </c>
      <c r="BC363" s="47">
        <v>0</v>
      </c>
      <c r="BD363" s="47">
        <v>0</v>
      </c>
      <c r="BE363" s="47">
        <v>0</v>
      </c>
      <c r="BF363" s="47">
        <v>0</v>
      </c>
      <c r="BG363" s="47">
        <v>0</v>
      </c>
      <c r="BH363" s="47">
        <v>0</v>
      </c>
      <c r="BI363" s="47">
        <v>0</v>
      </c>
      <c r="BJ363" s="47">
        <v>0</v>
      </c>
      <c r="BK363" s="47">
        <v>0</v>
      </c>
      <c r="BL363" s="47">
        <v>0</v>
      </c>
      <c r="BM363" s="47">
        <v>0</v>
      </c>
      <c r="BN363" s="47">
        <v>0</v>
      </c>
      <c r="BO363" s="47">
        <v>0</v>
      </c>
      <c r="BP363" s="47">
        <v>0</v>
      </c>
      <c r="BQ363" s="47">
        <v>0</v>
      </c>
      <c r="BR363" s="47">
        <v>0</v>
      </c>
      <c r="BS363" s="47">
        <v>0</v>
      </c>
      <c r="BT363" s="47">
        <v>0</v>
      </c>
      <c r="BU363" s="47">
        <v>0</v>
      </c>
      <c r="BV363" s="47">
        <v>0</v>
      </c>
      <c r="BW363" s="47">
        <v>0</v>
      </c>
      <c r="BX363" s="47">
        <v>0</v>
      </c>
      <c r="BY363" s="47">
        <v>0</v>
      </c>
      <c r="BZ363" s="47">
        <v>0</v>
      </c>
      <c r="CA363" s="47">
        <v>0</v>
      </c>
      <c r="CB363" s="47">
        <v>0</v>
      </c>
      <c r="CC363" s="47">
        <v>0</v>
      </c>
      <c r="CD363" s="47">
        <v>0</v>
      </c>
      <c r="CE363" s="47">
        <v>0</v>
      </c>
      <c r="CF363" s="47">
        <v>0</v>
      </c>
      <c r="CG363" s="47">
        <v>0</v>
      </c>
      <c r="CH363" s="47">
        <v>0</v>
      </c>
      <c r="CI363" s="47">
        <v>0</v>
      </c>
      <c r="CJ363" s="47">
        <v>0</v>
      </c>
      <c r="CK363" s="47">
        <v>0</v>
      </c>
      <c r="CL363" s="47">
        <v>0</v>
      </c>
      <c r="CM363" s="47">
        <v>0</v>
      </c>
      <c r="CN363" s="47">
        <v>0</v>
      </c>
      <c r="CO363" s="47">
        <v>0</v>
      </c>
      <c r="CP363" s="47">
        <v>0</v>
      </c>
      <c r="CQ363" s="47">
        <v>0</v>
      </c>
      <c r="CR363" s="47">
        <v>0</v>
      </c>
      <c r="CS363" s="47">
        <v>0</v>
      </c>
      <c r="CT363" s="47">
        <v>0</v>
      </c>
      <c r="CU363" s="47">
        <v>0</v>
      </c>
      <c r="CV363" s="47">
        <v>0</v>
      </c>
      <c r="CW363" s="47">
        <v>0</v>
      </c>
      <c r="CX363" s="47">
        <v>0</v>
      </c>
      <c r="CY363" s="47">
        <v>0</v>
      </c>
      <c r="CZ363" s="47">
        <v>0</v>
      </c>
      <c r="DA363" s="47">
        <v>0</v>
      </c>
      <c r="DB363" s="47">
        <v>0</v>
      </c>
      <c r="DC363" s="47">
        <v>0</v>
      </c>
      <c r="DD363" s="47">
        <v>0</v>
      </c>
      <c r="DE363" s="47">
        <v>0</v>
      </c>
      <c r="DF363" s="47">
        <v>0</v>
      </c>
      <c r="DG363" s="47">
        <v>0</v>
      </c>
      <c r="DH363" s="47">
        <v>0</v>
      </c>
      <c r="DI363" s="47">
        <v>0</v>
      </c>
      <c r="DJ363" s="47">
        <v>0</v>
      </c>
      <c r="DK363" s="47">
        <v>0</v>
      </c>
      <c r="DL363" s="47">
        <v>0</v>
      </c>
      <c r="DM363" s="47">
        <v>0</v>
      </c>
      <c r="DN363" s="47">
        <v>0</v>
      </c>
      <c r="DO363" s="47">
        <v>0</v>
      </c>
      <c r="DP363" s="47">
        <v>0</v>
      </c>
      <c r="DQ363" s="47">
        <v>0</v>
      </c>
      <c r="DR363" s="47">
        <v>0</v>
      </c>
      <c r="DS363" s="47">
        <v>0</v>
      </c>
      <c r="DT363" s="47">
        <v>0</v>
      </c>
      <c r="DU363" s="47">
        <v>0</v>
      </c>
      <c r="DV363" s="47">
        <v>0</v>
      </c>
      <c r="DW363" s="47">
        <v>0</v>
      </c>
      <c r="DX363" s="47">
        <v>0</v>
      </c>
      <c r="DY363" s="47">
        <v>0</v>
      </c>
      <c r="DZ363" s="47">
        <v>0</v>
      </c>
      <c r="EA363" s="47">
        <v>0</v>
      </c>
      <c r="EB363" s="47"/>
      <c r="EC363" s="47">
        <v>1</v>
      </c>
      <c r="ZZ363" t="s">
        <v>2472</v>
      </c>
    </row>
    <row r="364" spans="1:702" x14ac:dyDescent="0.25">
      <c r="A364" s="47" t="s">
        <v>1763</v>
      </c>
      <c r="B364" s="47" t="s">
        <v>153</v>
      </c>
      <c r="C364" s="47" t="s">
        <v>157</v>
      </c>
      <c r="D364" s="47" t="s">
        <v>2847</v>
      </c>
      <c r="E364" s="47" t="s">
        <v>1764</v>
      </c>
      <c r="F364" s="47" t="s">
        <v>1765</v>
      </c>
      <c r="G364" s="47" t="s">
        <v>1766</v>
      </c>
      <c r="H364" s="47" t="s">
        <v>698</v>
      </c>
      <c r="I364" s="47" t="s">
        <v>727</v>
      </c>
      <c r="J364" s="47" t="str">
        <f>=IFERROR(VLOOKUP(H364&amp;I364,Table_Fonctions!A:G,6,FALSE),"")</f>
        <v>0</v>
      </c>
      <c r="K364" s="47" t="s">
        <v>2607</v>
      </c>
      <c r="L364" s="47" t="str">
        <f>=IFERROR(VLOOKUP(H364&amp;I364,Table_Fonctions!A:G,7,FALSE),K364)</f>
        <v/>
      </c>
      <c r="M364" s="47" t="str">
        <f>=IF(OR(LEFT(D364, 3)="TJ ", LEFT(D364, 4)="CPH "), "OUI", "NON")</f>
        <v/>
      </c>
      <c r="N364" s="47" t="s">
        <v>1414</v>
      </c>
      <c r="O364" s="47"/>
      <c r="P364" s="47">
        <v>1</v>
      </c>
      <c r="Q364" s="47">
        <v>1</v>
      </c>
      <c r="R364" s="47">
        <v>0</v>
      </c>
      <c r="S364" s="47">
        <f>=ROUND(BQ364-(BR364+BS364),3)</f>
      </c>
      <c r="T364" s="47">
        <f>=ROUND(CK364-(CL364+CM364+CN364+CO364+CP364),3)</f>
      </c>
      <c r="U364" s="47">
        <v>0</v>
      </c>
      <c r="V364" s="47">
        <v>0</v>
      </c>
      <c r="W364" s="47">
        <v>0</v>
      </c>
      <c r="X364" s="47">
        <v>0</v>
      </c>
      <c r="Y364" s="47">
        <v>0</v>
      </c>
      <c r="Z364" s="47">
        <v>0</v>
      </c>
      <c r="AA364" s="47">
        <v>0</v>
      </c>
      <c r="AB364" s="47">
        <v>0</v>
      </c>
      <c r="AC364" s="47">
        <v>0</v>
      </c>
      <c r="AD364" s="47">
        <v>0</v>
      </c>
      <c r="AE364" s="47">
        <v>0</v>
      </c>
      <c r="AF364" s="47">
        <v>0</v>
      </c>
      <c r="AG364" s="47">
        <v>0</v>
      </c>
      <c r="AH364" s="47">
        <v>0</v>
      </c>
      <c r="AI364" s="47">
        <v>0</v>
      </c>
      <c r="AJ364" s="47">
        <v>0</v>
      </c>
      <c r="AK364" s="47">
        <v>0</v>
      </c>
      <c r="AL364" s="47">
        <v>0</v>
      </c>
      <c r="AM364" s="47">
        <v>0</v>
      </c>
      <c r="AN364" s="47">
        <v>0</v>
      </c>
      <c r="AO364" s="47">
        <v>0</v>
      </c>
      <c r="AP364" s="47">
        <v>0</v>
      </c>
      <c r="AQ364" s="47">
        <v>0</v>
      </c>
      <c r="AR364" s="47">
        <v>0</v>
      </c>
      <c r="AS364" s="47">
        <v>1</v>
      </c>
      <c r="AT364" s="47">
        <v>0</v>
      </c>
      <c r="AU364" s="47">
        <v>0</v>
      </c>
      <c r="AV364" s="47">
        <v>0</v>
      </c>
      <c r="AW364" s="47">
        <v>0</v>
      </c>
      <c r="AX364" s="47">
        <v>0</v>
      </c>
      <c r="AY364" s="47">
        <v>0</v>
      </c>
      <c r="AZ364" s="47">
        <v>0</v>
      </c>
      <c r="BA364" s="47">
        <v>0</v>
      </c>
      <c r="BB364" s="47">
        <v>0</v>
      </c>
      <c r="BC364" s="47">
        <v>0</v>
      </c>
      <c r="BD364" s="47">
        <v>0</v>
      </c>
      <c r="BE364" s="47">
        <v>0</v>
      </c>
      <c r="BF364" s="47">
        <v>0</v>
      </c>
      <c r="BG364" s="47">
        <v>0</v>
      </c>
      <c r="BH364" s="47">
        <v>0</v>
      </c>
      <c r="BI364" s="47">
        <v>0</v>
      </c>
      <c r="BJ364" s="47">
        <v>0</v>
      </c>
      <c r="BK364" s="47">
        <v>0</v>
      </c>
      <c r="BL364" s="47">
        <v>0</v>
      </c>
      <c r="BM364" s="47">
        <v>0</v>
      </c>
      <c r="BN364" s="47">
        <v>0</v>
      </c>
      <c r="BO364" s="47">
        <v>0</v>
      </c>
      <c r="BP364" s="47">
        <v>0</v>
      </c>
      <c r="BQ364" s="47">
        <v>0</v>
      </c>
      <c r="BR364" s="47">
        <v>0</v>
      </c>
      <c r="BS364" s="47">
        <v>0</v>
      </c>
      <c r="BT364" s="47">
        <v>0</v>
      </c>
      <c r="BU364" s="47">
        <v>0</v>
      </c>
      <c r="BV364" s="47">
        <v>0</v>
      </c>
      <c r="BW364" s="47">
        <v>0</v>
      </c>
      <c r="BX364" s="47">
        <v>0</v>
      </c>
      <c r="BY364" s="47">
        <v>0</v>
      </c>
      <c r="BZ364" s="47">
        <v>0</v>
      </c>
      <c r="CA364" s="47">
        <v>0</v>
      </c>
      <c r="CB364" s="47">
        <v>0</v>
      </c>
      <c r="CC364" s="47">
        <v>0</v>
      </c>
      <c r="CD364" s="47">
        <v>0</v>
      </c>
      <c r="CE364" s="47">
        <v>0</v>
      </c>
      <c r="CF364" s="47">
        <v>0</v>
      </c>
      <c r="CG364" s="47">
        <v>0</v>
      </c>
      <c r="CH364" s="47">
        <v>0</v>
      </c>
      <c r="CI364" s="47">
        <v>0</v>
      </c>
      <c r="CJ364" s="47">
        <v>0</v>
      </c>
      <c r="CK364" s="47">
        <v>0</v>
      </c>
      <c r="CL364" s="47">
        <v>0</v>
      </c>
      <c r="CM364" s="47">
        <v>0</v>
      </c>
      <c r="CN364" s="47">
        <v>0</v>
      </c>
      <c r="CO364" s="47">
        <v>0</v>
      </c>
      <c r="CP364" s="47">
        <v>0</v>
      </c>
      <c r="CQ364" s="47">
        <v>0</v>
      </c>
      <c r="CR364" s="47">
        <v>0</v>
      </c>
      <c r="CS364" s="47">
        <v>0</v>
      </c>
      <c r="CT364" s="47">
        <v>0</v>
      </c>
      <c r="CU364" s="47">
        <v>0</v>
      </c>
      <c r="CV364" s="47">
        <v>0</v>
      </c>
      <c r="CW364" s="47">
        <v>0</v>
      </c>
      <c r="CX364" s="47">
        <v>0</v>
      </c>
      <c r="CY364" s="47">
        <v>0</v>
      </c>
      <c r="CZ364" s="47">
        <v>0</v>
      </c>
      <c r="DA364" s="47">
        <v>0</v>
      </c>
      <c r="DB364" s="47">
        <v>0</v>
      </c>
      <c r="DC364" s="47">
        <v>0</v>
      </c>
      <c r="DD364" s="47">
        <v>0</v>
      </c>
      <c r="DE364" s="47">
        <v>0</v>
      </c>
      <c r="DF364" s="47">
        <v>0</v>
      </c>
      <c r="DG364" s="47">
        <v>0</v>
      </c>
      <c r="DH364" s="47">
        <v>0</v>
      </c>
      <c r="DI364" s="47">
        <v>0</v>
      </c>
      <c r="DJ364" s="47">
        <v>0</v>
      </c>
      <c r="DK364" s="47">
        <v>0</v>
      </c>
      <c r="DL364" s="47">
        <v>0</v>
      </c>
      <c r="DM364" s="47">
        <v>0</v>
      </c>
      <c r="DN364" s="47">
        <v>0</v>
      </c>
      <c r="DO364" s="47">
        <v>0</v>
      </c>
      <c r="DP364" s="47">
        <v>0</v>
      </c>
      <c r="DQ364" s="47">
        <v>0</v>
      </c>
      <c r="DR364" s="47">
        <v>0</v>
      </c>
      <c r="DS364" s="47">
        <v>0</v>
      </c>
      <c r="DT364" s="47">
        <v>0</v>
      </c>
      <c r="DU364" s="47">
        <v>0</v>
      </c>
      <c r="DV364" s="47">
        <v>0</v>
      </c>
      <c r="DW364" s="47">
        <v>0</v>
      </c>
      <c r="DX364" s="47">
        <v>0</v>
      </c>
      <c r="DY364" s="47">
        <v>0</v>
      </c>
      <c r="DZ364" s="47">
        <v>0</v>
      </c>
      <c r="EA364" s="47">
        <v>0</v>
      </c>
      <c r="EB364" s="47"/>
      <c r="EC364" s="47">
        <v>1</v>
      </c>
      <c r="ZZ364" t="s">
        <v>2472</v>
      </c>
    </row>
    <row r="365" spans="1:702" x14ac:dyDescent="0.25">
      <c r="A365" s="47" t="s">
        <v>1767</v>
      </c>
      <c r="B365" s="47" t="s">
        <v>153</v>
      </c>
      <c r="C365" s="47" t="s">
        <v>157</v>
      </c>
      <c r="D365" s="47" t="s">
        <v>2848</v>
      </c>
      <c r="E365" s="47" t="s">
        <v>1768</v>
      </c>
      <c r="F365" s="47" t="s">
        <v>1769</v>
      </c>
      <c r="G365" s="47" t="s">
        <v>1770</v>
      </c>
      <c r="H365" s="47" t="s">
        <v>698</v>
      </c>
      <c r="I365" s="47" t="s">
        <v>727</v>
      </c>
      <c r="J365" s="47" t="str">
        <f>=IFERROR(VLOOKUP(H365&amp;I365,Table_Fonctions!A:G,6,FALSE),"")</f>
        <v>0</v>
      </c>
      <c r="K365" s="47" t="s">
        <v>2607</v>
      </c>
      <c r="L365" s="47" t="str">
        <f>=IFERROR(VLOOKUP(H365&amp;I365,Table_Fonctions!A:G,7,FALSE),K365)</f>
        <v/>
      </c>
      <c r="M365" s="47" t="str">
        <f>=IF(OR(LEFT(D365, 3)="TJ ", LEFT(D365, 4)="CPH "), "OUI", "NON")</f>
        <v/>
      </c>
      <c r="N365" s="47" t="s">
        <v>1771</v>
      </c>
      <c r="O365" s="47"/>
      <c r="P365" s="47">
        <v>0.5</v>
      </c>
      <c r="Q365" s="47">
        <v>0.5</v>
      </c>
      <c r="R365" s="47">
        <v>0</v>
      </c>
      <c r="S365" s="47">
        <f>=ROUND(BQ365-(BR365+BS365),3)</f>
      </c>
      <c r="T365" s="47">
        <f>=ROUND(CK365-(CL365+CM365+CN365+CO365+CP365),3)</f>
      </c>
      <c r="U365" s="47">
        <v>0</v>
      </c>
      <c r="V365" s="47">
        <v>0</v>
      </c>
      <c r="W365" s="47">
        <v>0</v>
      </c>
      <c r="X365" s="47">
        <v>0</v>
      </c>
      <c r="Y365" s="47">
        <v>0</v>
      </c>
      <c r="Z365" s="47">
        <v>0</v>
      </c>
      <c r="AA365" s="47">
        <v>0</v>
      </c>
      <c r="AB365" s="47">
        <v>0</v>
      </c>
      <c r="AC365" s="47">
        <v>0</v>
      </c>
      <c r="AD365" s="47">
        <v>0</v>
      </c>
      <c r="AE365" s="47">
        <v>0</v>
      </c>
      <c r="AF365" s="47">
        <v>0</v>
      </c>
      <c r="AG365" s="47">
        <v>0</v>
      </c>
      <c r="AH365" s="47">
        <v>0</v>
      </c>
      <c r="AI365" s="47">
        <v>0</v>
      </c>
      <c r="AJ365" s="47">
        <v>0</v>
      </c>
      <c r="AK365" s="47">
        <v>0</v>
      </c>
      <c r="AL365" s="47">
        <v>0</v>
      </c>
      <c r="AM365" s="47">
        <v>0</v>
      </c>
      <c r="AN365" s="47">
        <v>0</v>
      </c>
      <c r="AO365" s="47">
        <v>0</v>
      </c>
      <c r="AP365" s="47">
        <v>0</v>
      </c>
      <c r="AQ365" s="47">
        <v>0</v>
      </c>
      <c r="AR365" s="47">
        <v>0</v>
      </c>
      <c r="AS365" s="47">
        <v>0.5</v>
      </c>
      <c r="AT365" s="47">
        <v>0</v>
      </c>
      <c r="AU365" s="47">
        <v>0</v>
      </c>
      <c r="AV365" s="47">
        <v>0</v>
      </c>
      <c r="AW365" s="47">
        <v>0</v>
      </c>
      <c r="AX365" s="47">
        <v>0</v>
      </c>
      <c r="AY365" s="47">
        <v>0</v>
      </c>
      <c r="AZ365" s="47">
        <v>0</v>
      </c>
      <c r="BA365" s="47">
        <v>0</v>
      </c>
      <c r="BB365" s="47">
        <v>0</v>
      </c>
      <c r="BC365" s="47">
        <v>0</v>
      </c>
      <c r="BD365" s="47">
        <v>0</v>
      </c>
      <c r="BE365" s="47">
        <v>0</v>
      </c>
      <c r="BF365" s="47">
        <v>0</v>
      </c>
      <c r="BG365" s="47">
        <v>0</v>
      </c>
      <c r="BH365" s="47">
        <v>0</v>
      </c>
      <c r="BI365" s="47">
        <v>0</v>
      </c>
      <c r="BJ365" s="47">
        <v>0</v>
      </c>
      <c r="BK365" s="47">
        <v>0</v>
      </c>
      <c r="BL365" s="47">
        <v>0</v>
      </c>
      <c r="BM365" s="47">
        <v>0</v>
      </c>
      <c r="BN365" s="47">
        <v>0</v>
      </c>
      <c r="BO365" s="47">
        <v>0</v>
      </c>
      <c r="BP365" s="47">
        <v>0</v>
      </c>
      <c r="BQ365" s="47">
        <v>0</v>
      </c>
      <c r="BR365" s="47">
        <v>0</v>
      </c>
      <c r="BS365" s="47">
        <v>0</v>
      </c>
      <c r="BT365" s="47">
        <v>0</v>
      </c>
      <c r="BU365" s="47">
        <v>0</v>
      </c>
      <c r="BV365" s="47">
        <v>0</v>
      </c>
      <c r="BW365" s="47">
        <v>0</v>
      </c>
      <c r="BX365" s="47">
        <v>0</v>
      </c>
      <c r="BY365" s="47">
        <v>0</v>
      </c>
      <c r="BZ365" s="47">
        <v>0</v>
      </c>
      <c r="CA365" s="47">
        <v>0</v>
      </c>
      <c r="CB365" s="47">
        <v>0</v>
      </c>
      <c r="CC365" s="47">
        <v>0</v>
      </c>
      <c r="CD365" s="47">
        <v>0</v>
      </c>
      <c r="CE365" s="47">
        <v>0</v>
      </c>
      <c r="CF365" s="47">
        <v>0</v>
      </c>
      <c r="CG365" s="47">
        <v>0</v>
      </c>
      <c r="CH365" s="47">
        <v>0</v>
      </c>
      <c r="CI365" s="47">
        <v>0</v>
      </c>
      <c r="CJ365" s="47">
        <v>0</v>
      </c>
      <c r="CK365" s="47">
        <v>0</v>
      </c>
      <c r="CL365" s="47">
        <v>0</v>
      </c>
      <c r="CM365" s="47">
        <v>0</v>
      </c>
      <c r="CN365" s="47">
        <v>0</v>
      </c>
      <c r="CO365" s="47">
        <v>0</v>
      </c>
      <c r="CP365" s="47">
        <v>0</v>
      </c>
      <c r="CQ365" s="47">
        <v>0</v>
      </c>
      <c r="CR365" s="47">
        <v>0</v>
      </c>
      <c r="CS365" s="47">
        <v>0</v>
      </c>
      <c r="CT365" s="47">
        <v>0</v>
      </c>
      <c r="CU365" s="47">
        <v>0</v>
      </c>
      <c r="CV365" s="47">
        <v>0</v>
      </c>
      <c r="CW365" s="47">
        <v>0</v>
      </c>
      <c r="CX365" s="47">
        <v>0</v>
      </c>
      <c r="CY365" s="47">
        <v>0</v>
      </c>
      <c r="CZ365" s="47">
        <v>0</v>
      </c>
      <c r="DA365" s="47">
        <v>0</v>
      </c>
      <c r="DB365" s="47">
        <v>0</v>
      </c>
      <c r="DC365" s="47">
        <v>0</v>
      </c>
      <c r="DD365" s="47">
        <v>0</v>
      </c>
      <c r="DE365" s="47">
        <v>0</v>
      </c>
      <c r="DF365" s="47">
        <v>0</v>
      </c>
      <c r="DG365" s="47">
        <v>0</v>
      </c>
      <c r="DH365" s="47">
        <v>0</v>
      </c>
      <c r="DI365" s="47">
        <v>0</v>
      </c>
      <c r="DJ365" s="47">
        <v>0</v>
      </c>
      <c r="DK365" s="47">
        <v>0</v>
      </c>
      <c r="DL365" s="47">
        <v>0</v>
      </c>
      <c r="DM365" s="47">
        <v>0</v>
      </c>
      <c r="DN365" s="47">
        <v>0</v>
      </c>
      <c r="DO365" s="47">
        <v>0</v>
      </c>
      <c r="DP365" s="47">
        <v>0</v>
      </c>
      <c r="DQ365" s="47">
        <v>0</v>
      </c>
      <c r="DR365" s="47">
        <v>0</v>
      </c>
      <c r="DS365" s="47">
        <v>0</v>
      </c>
      <c r="DT365" s="47">
        <v>0</v>
      </c>
      <c r="DU365" s="47">
        <v>0</v>
      </c>
      <c r="DV365" s="47">
        <v>0</v>
      </c>
      <c r="DW365" s="47">
        <v>0</v>
      </c>
      <c r="DX365" s="47">
        <v>0</v>
      </c>
      <c r="DY365" s="47">
        <v>0</v>
      </c>
      <c r="DZ365" s="47">
        <v>0</v>
      </c>
      <c r="EA365" s="47">
        <v>0</v>
      </c>
      <c r="EB365" s="47"/>
      <c r="EC365" s="47">
        <v>0.5</v>
      </c>
      <c r="ZZ365" t="s">
        <v>2472</v>
      </c>
    </row>
    <row r="366" spans="1:702" x14ac:dyDescent="0.25">
      <c r="A366" s="47" t="s">
        <v>1772</v>
      </c>
      <c r="B366" s="47" t="s">
        <v>153</v>
      </c>
      <c r="C366" s="47" t="s">
        <v>157</v>
      </c>
      <c r="D366" s="47" t="s">
        <v>2849</v>
      </c>
      <c r="E366" s="47" t="s">
        <v>1773</v>
      </c>
      <c r="F366" s="47" t="s">
        <v>1774</v>
      </c>
      <c r="G366" s="47" t="s">
        <v>1775</v>
      </c>
      <c r="H366" s="47" t="s">
        <v>698</v>
      </c>
      <c r="I366" s="47" t="s">
        <v>705</v>
      </c>
      <c r="J366" s="47" t="str">
        <f>=IFERROR(VLOOKUP(H366&amp;I366,Table_Fonctions!A:G,6,FALSE),"")</f>
        <v>0</v>
      </c>
      <c r="K366" s="47" t="s">
        <v>2607</v>
      </c>
      <c r="L366" s="47" t="str">
        <f>=IFERROR(VLOOKUP(H366&amp;I366,Table_Fonctions!A:G,7,FALSE),K366)</f>
        <v/>
      </c>
      <c r="M366" s="47" t="str">
        <f>=IF(OR(LEFT(D366, 3)="TJ ", LEFT(D366, 4)="CPH "), "OUI", "NON")</f>
        <v/>
      </c>
      <c r="N366" s="47" t="s">
        <v>717</v>
      </c>
      <c r="O366" s="47"/>
      <c r="P366" s="47">
        <v>1</v>
      </c>
      <c r="Q366" s="47">
        <v>0</v>
      </c>
      <c r="R366" s="47">
        <v>1</v>
      </c>
      <c r="S366" s="47">
        <f>=ROUND(BQ366-(BR366+BS366),3)</f>
      </c>
      <c r="T366" s="47">
        <f>=ROUND(CK366-(CL366+CM366+CN366+CO366+CP366),3)</f>
      </c>
      <c r="U366" s="47">
        <v>0</v>
      </c>
      <c r="V366" s="47">
        <v>0</v>
      </c>
      <c r="W366" s="47">
        <v>0</v>
      </c>
      <c r="X366" s="47">
        <v>0</v>
      </c>
      <c r="Y366" s="47">
        <v>0</v>
      </c>
      <c r="Z366" s="47">
        <v>0</v>
      </c>
      <c r="AA366" s="47">
        <v>0</v>
      </c>
      <c r="AB366" s="47">
        <v>0</v>
      </c>
      <c r="AC366" s="47">
        <v>0</v>
      </c>
      <c r="AD366" s="47">
        <v>0</v>
      </c>
      <c r="AE366" s="47">
        <v>0</v>
      </c>
      <c r="AF366" s="47">
        <v>0</v>
      </c>
      <c r="AG366" s="47">
        <v>0</v>
      </c>
      <c r="AH366" s="47">
        <v>0</v>
      </c>
      <c r="AI366" s="47">
        <v>0</v>
      </c>
      <c r="AJ366" s="47">
        <v>0</v>
      </c>
      <c r="AK366" s="47">
        <v>0</v>
      </c>
      <c r="AL366" s="47">
        <v>0</v>
      </c>
      <c r="AM366" s="47">
        <v>0</v>
      </c>
      <c r="AN366" s="47">
        <v>0</v>
      </c>
      <c r="AO366" s="47">
        <v>0</v>
      </c>
      <c r="AP366" s="47">
        <v>0</v>
      </c>
      <c r="AQ366" s="47">
        <v>0</v>
      </c>
      <c r="AR366" s="47">
        <v>0</v>
      </c>
      <c r="AS366" s="47">
        <v>0</v>
      </c>
      <c r="AT366" s="47">
        <v>0</v>
      </c>
      <c r="AU366" s="47">
        <v>0</v>
      </c>
      <c r="AV366" s="47">
        <v>0</v>
      </c>
      <c r="AW366" s="47">
        <v>0</v>
      </c>
      <c r="AX366" s="47">
        <v>0</v>
      </c>
      <c r="AY366" s="47">
        <v>0</v>
      </c>
      <c r="AZ366" s="47">
        <v>0</v>
      </c>
      <c r="BA366" s="47">
        <v>0</v>
      </c>
      <c r="BB366" s="47">
        <v>0</v>
      </c>
      <c r="BC366" s="47">
        <v>0</v>
      </c>
      <c r="BD366" s="47">
        <v>0</v>
      </c>
      <c r="BE366" s="47">
        <v>0</v>
      </c>
      <c r="BF366" s="47">
        <v>0</v>
      </c>
      <c r="BG366" s="47">
        <v>0</v>
      </c>
      <c r="BH366" s="47">
        <v>0</v>
      </c>
      <c r="BI366" s="47">
        <v>0</v>
      </c>
      <c r="BJ366" s="47">
        <v>0</v>
      </c>
      <c r="BK366" s="47">
        <v>0</v>
      </c>
      <c r="BL366" s="47">
        <v>0</v>
      </c>
      <c r="BM366" s="47">
        <v>0</v>
      </c>
      <c r="BN366" s="47">
        <v>0</v>
      </c>
      <c r="BO366" s="47">
        <v>0</v>
      </c>
      <c r="BP366" s="47">
        <v>0</v>
      </c>
      <c r="BQ366" s="47">
        <v>0</v>
      </c>
      <c r="BR366" s="47">
        <v>0</v>
      </c>
      <c r="BS366" s="47">
        <v>0</v>
      </c>
      <c r="BT366" s="47">
        <v>0</v>
      </c>
      <c r="BU366" s="47">
        <v>0</v>
      </c>
      <c r="BV366" s="47">
        <v>0</v>
      </c>
      <c r="BW366" s="47">
        <v>0</v>
      </c>
      <c r="BX366" s="47">
        <v>0</v>
      </c>
      <c r="BY366" s="47">
        <v>0</v>
      </c>
      <c r="BZ366" s="47">
        <v>0</v>
      </c>
      <c r="CA366" s="47">
        <v>0</v>
      </c>
      <c r="CB366" s="47">
        <v>0</v>
      </c>
      <c r="CC366" s="47">
        <v>0</v>
      </c>
      <c r="CD366" s="47">
        <v>0</v>
      </c>
      <c r="CE366" s="47">
        <v>0</v>
      </c>
      <c r="CF366" s="47">
        <v>0</v>
      </c>
      <c r="CG366" s="47">
        <v>0</v>
      </c>
      <c r="CH366" s="47">
        <v>0</v>
      </c>
      <c r="CI366" s="47">
        <v>0</v>
      </c>
      <c r="CJ366" s="47">
        <v>0</v>
      </c>
      <c r="CK366" s="47">
        <v>0</v>
      </c>
      <c r="CL366" s="47">
        <v>0</v>
      </c>
      <c r="CM366" s="47">
        <v>0</v>
      </c>
      <c r="CN366" s="47">
        <v>0</v>
      </c>
      <c r="CO366" s="47">
        <v>0</v>
      </c>
      <c r="CP366" s="47">
        <v>0</v>
      </c>
      <c r="CQ366" s="47">
        <v>0</v>
      </c>
      <c r="CR366" s="47">
        <v>0</v>
      </c>
      <c r="CS366" s="47">
        <v>0</v>
      </c>
      <c r="CT366" s="47">
        <v>0</v>
      </c>
      <c r="CU366" s="47">
        <v>0</v>
      </c>
      <c r="CV366" s="47">
        <v>0</v>
      </c>
      <c r="CW366" s="47">
        <v>0</v>
      </c>
      <c r="CX366" s="47">
        <v>0</v>
      </c>
      <c r="CY366" s="47">
        <v>0</v>
      </c>
      <c r="CZ366" s="47">
        <v>0</v>
      </c>
      <c r="DA366" s="47">
        <v>0</v>
      </c>
      <c r="DB366" s="47">
        <v>0</v>
      </c>
      <c r="DC366" s="47">
        <v>0</v>
      </c>
      <c r="DD366" s="47">
        <v>0</v>
      </c>
      <c r="DE366" s="47">
        <v>0</v>
      </c>
      <c r="DF366" s="47">
        <v>0</v>
      </c>
      <c r="DG366" s="47">
        <v>0</v>
      </c>
      <c r="DH366" s="47">
        <v>0</v>
      </c>
      <c r="DI366" s="47">
        <v>0</v>
      </c>
      <c r="DJ366" s="47">
        <v>0</v>
      </c>
      <c r="DK366" s="47">
        <v>0</v>
      </c>
      <c r="DL366" s="47">
        <v>0</v>
      </c>
      <c r="DM366" s="47">
        <v>0</v>
      </c>
      <c r="DN366" s="47">
        <v>0</v>
      </c>
      <c r="DO366" s="47">
        <v>0</v>
      </c>
      <c r="DP366" s="47">
        <v>0</v>
      </c>
      <c r="DQ366" s="47">
        <v>0</v>
      </c>
      <c r="DR366" s="47">
        <v>0</v>
      </c>
      <c r="DS366" s="47">
        <v>0</v>
      </c>
      <c r="DT366" s="47">
        <v>0</v>
      </c>
      <c r="DU366" s="47">
        <v>0</v>
      </c>
      <c r="DV366" s="47">
        <v>0</v>
      </c>
      <c r="DW366" s="47">
        <v>0</v>
      </c>
      <c r="DX366" s="47">
        <v>0</v>
      </c>
      <c r="DY366" s="47">
        <v>0</v>
      </c>
      <c r="DZ366" s="47">
        <v>0</v>
      </c>
      <c r="EA366" s="47">
        <v>0</v>
      </c>
      <c r="EB366" s="47"/>
      <c r="EC366" s="47">
        <v>1</v>
      </c>
      <c r="ZZ366" t="s">
        <v>2472</v>
      </c>
    </row>
    <row r="367" spans="1:702" x14ac:dyDescent="0.25">
      <c r="A367" s="47" t="s">
        <v>1776</v>
      </c>
      <c r="B367" s="47" t="s">
        <v>153</v>
      </c>
      <c r="C367" s="47" t="s">
        <v>157</v>
      </c>
      <c r="D367" s="47" t="s">
        <v>2850</v>
      </c>
      <c r="E367" s="47" t="s">
        <v>1777</v>
      </c>
      <c r="F367" s="47" t="s">
        <v>1778</v>
      </c>
      <c r="G367" s="47" t="s">
        <v>1779</v>
      </c>
      <c r="H367" s="47" t="s">
        <v>698</v>
      </c>
      <c r="I367" s="47" t="s">
        <v>727</v>
      </c>
      <c r="J367" s="47" t="str">
        <f>=IFERROR(VLOOKUP(H367&amp;I367,Table_Fonctions!A:G,6,FALSE),"")</f>
        <v>0</v>
      </c>
      <c r="K367" s="47" t="s">
        <v>2607</v>
      </c>
      <c r="L367" s="47" t="str">
        <f>=IFERROR(VLOOKUP(H367&amp;I367,Table_Fonctions!A:G,7,FALSE),K367)</f>
        <v/>
      </c>
      <c r="M367" s="47" t="str">
        <f>=IF(OR(LEFT(D367, 3)="TJ ", LEFT(D367, 4)="CPH "), "OUI", "NON")</f>
        <v/>
      </c>
      <c r="N367" s="47" t="s">
        <v>929</v>
      </c>
      <c r="O367" s="47"/>
      <c r="P367" s="47">
        <v>1</v>
      </c>
      <c r="Q367" s="47">
        <v>0</v>
      </c>
      <c r="R367" s="47">
        <v>1</v>
      </c>
      <c r="S367" s="47">
        <f>=ROUND(BQ367-(BR367+BS367),3)</f>
      </c>
      <c r="T367" s="47">
        <f>=ROUND(CK367-(CL367+CM367+CN367+CO367+CP367),3)</f>
      </c>
      <c r="U367" s="47">
        <v>0</v>
      </c>
      <c r="V367" s="47">
        <v>0</v>
      </c>
      <c r="W367" s="47">
        <v>0</v>
      </c>
      <c r="X367" s="47">
        <v>0</v>
      </c>
      <c r="Y367" s="47">
        <v>0</v>
      </c>
      <c r="Z367" s="47">
        <v>0</v>
      </c>
      <c r="AA367" s="47">
        <v>0</v>
      </c>
      <c r="AB367" s="47">
        <v>0</v>
      </c>
      <c r="AC367" s="47">
        <v>0</v>
      </c>
      <c r="AD367" s="47">
        <v>0</v>
      </c>
      <c r="AE367" s="47">
        <v>0</v>
      </c>
      <c r="AF367" s="47">
        <v>0</v>
      </c>
      <c r="AG367" s="47">
        <v>0</v>
      </c>
      <c r="AH367" s="47">
        <v>0</v>
      </c>
      <c r="AI367" s="47">
        <v>0</v>
      </c>
      <c r="AJ367" s="47">
        <v>0</v>
      </c>
      <c r="AK367" s="47">
        <v>0</v>
      </c>
      <c r="AL367" s="47">
        <v>0</v>
      </c>
      <c r="AM367" s="47">
        <v>0</v>
      </c>
      <c r="AN367" s="47">
        <v>0</v>
      </c>
      <c r="AO367" s="47">
        <v>0</v>
      </c>
      <c r="AP367" s="47">
        <v>0</v>
      </c>
      <c r="AQ367" s="47">
        <v>0</v>
      </c>
      <c r="AR367" s="47">
        <v>0</v>
      </c>
      <c r="AS367" s="47">
        <v>0</v>
      </c>
      <c r="AT367" s="47">
        <v>0</v>
      </c>
      <c r="AU367" s="47">
        <v>0</v>
      </c>
      <c r="AV367" s="47">
        <v>0</v>
      </c>
      <c r="AW367" s="47">
        <v>0</v>
      </c>
      <c r="AX367" s="47">
        <v>0</v>
      </c>
      <c r="AY367" s="47">
        <v>0</v>
      </c>
      <c r="AZ367" s="47">
        <v>0</v>
      </c>
      <c r="BA367" s="47">
        <v>0</v>
      </c>
      <c r="BB367" s="47">
        <v>0</v>
      </c>
      <c r="BC367" s="47">
        <v>0</v>
      </c>
      <c r="BD367" s="47">
        <v>0</v>
      </c>
      <c r="BE367" s="47">
        <v>0</v>
      </c>
      <c r="BF367" s="47">
        <v>0</v>
      </c>
      <c r="BG367" s="47">
        <v>0</v>
      </c>
      <c r="BH367" s="47">
        <v>0</v>
      </c>
      <c r="BI367" s="47">
        <v>0</v>
      </c>
      <c r="BJ367" s="47">
        <v>0</v>
      </c>
      <c r="BK367" s="47">
        <v>0</v>
      </c>
      <c r="BL367" s="47">
        <v>0</v>
      </c>
      <c r="BM367" s="47">
        <v>0</v>
      </c>
      <c r="BN367" s="47">
        <v>0</v>
      </c>
      <c r="BO367" s="47">
        <v>0</v>
      </c>
      <c r="BP367" s="47">
        <v>0</v>
      </c>
      <c r="BQ367" s="47">
        <v>0</v>
      </c>
      <c r="BR367" s="47">
        <v>0</v>
      </c>
      <c r="BS367" s="47">
        <v>0</v>
      </c>
      <c r="BT367" s="47">
        <v>0</v>
      </c>
      <c r="BU367" s="47">
        <v>0</v>
      </c>
      <c r="BV367" s="47">
        <v>0</v>
      </c>
      <c r="BW367" s="47">
        <v>0</v>
      </c>
      <c r="BX367" s="47">
        <v>0</v>
      </c>
      <c r="BY367" s="47">
        <v>0</v>
      </c>
      <c r="BZ367" s="47">
        <v>0</v>
      </c>
      <c r="CA367" s="47">
        <v>0</v>
      </c>
      <c r="CB367" s="47">
        <v>0</v>
      </c>
      <c r="CC367" s="47">
        <v>0</v>
      </c>
      <c r="CD367" s="47">
        <v>0</v>
      </c>
      <c r="CE367" s="47">
        <v>0</v>
      </c>
      <c r="CF367" s="47">
        <v>0</v>
      </c>
      <c r="CG367" s="47">
        <v>0</v>
      </c>
      <c r="CH367" s="47">
        <v>0</v>
      </c>
      <c r="CI367" s="47">
        <v>0</v>
      </c>
      <c r="CJ367" s="47">
        <v>0</v>
      </c>
      <c r="CK367" s="47">
        <v>0</v>
      </c>
      <c r="CL367" s="47">
        <v>0</v>
      </c>
      <c r="CM367" s="47">
        <v>0</v>
      </c>
      <c r="CN367" s="47">
        <v>0</v>
      </c>
      <c r="CO367" s="47">
        <v>0</v>
      </c>
      <c r="CP367" s="47">
        <v>0</v>
      </c>
      <c r="CQ367" s="47">
        <v>0</v>
      </c>
      <c r="CR367" s="47">
        <v>0</v>
      </c>
      <c r="CS367" s="47">
        <v>0</v>
      </c>
      <c r="CT367" s="47">
        <v>0</v>
      </c>
      <c r="CU367" s="47">
        <v>0</v>
      </c>
      <c r="CV367" s="47">
        <v>0</v>
      </c>
      <c r="CW367" s="47">
        <v>0</v>
      </c>
      <c r="CX367" s="47">
        <v>0</v>
      </c>
      <c r="CY367" s="47">
        <v>0</v>
      </c>
      <c r="CZ367" s="47">
        <v>0</v>
      </c>
      <c r="DA367" s="47">
        <v>0</v>
      </c>
      <c r="DB367" s="47">
        <v>0</v>
      </c>
      <c r="DC367" s="47">
        <v>0</v>
      </c>
      <c r="DD367" s="47">
        <v>0</v>
      </c>
      <c r="DE367" s="47">
        <v>0</v>
      </c>
      <c r="DF367" s="47">
        <v>0</v>
      </c>
      <c r="DG367" s="47">
        <v>0</v>
      </c>
      <c r="DH367" s="47">
        <v>0</v>
      </c>
      <c r="DI367" s="47">
        <v>0</v>
      </c>
      <c r="DJ367" s="47">
        <v>0</v>
      </c>
      <c r="DK367" s="47">
        <v>0</v>
      </c>
      <c r="DL367" s="47">
        <v>0</v>
      </c>
      <c r="DM367" s="47">
        <v>0</v>
      </c>
      <c r="DN367" s="47">
        <v>0</v>
      </c>
      <c r="DO367" s="47">
        <v>0</v>
      </c>
      <c r="DP367" s="47">
        <v>0</v>
      </c>
      <c r="DQ367" s="47">
        <v>0</v>
      </c>
      <c r="DR367" s="47">
        <v>0</v>
      </c>
      <c r="DS367" s="47">
        <v>0</v>
      </c>
      <c r="DT367" s="47">
        <v>0</v>
      </c>
      <c r="DU367" s="47">
        <v>0</v>
      </c>
      <c r="DV367" s="47">
        <v>0</v>
      </c>
      <c r="DW367" s="47">
        <v>0</v>
      </c>
      <c r="DX367" s="47">
        <v>0</v>
      </c>
      <c r="DY367" s="47">
        <v>0</v>
      </c>
      <c r="DZ367" s="47">
        <v>0</v>
      </c>
      <c r="EA367" s="47">
        <v>0</v>
      </c>
      <c r="EB367" s="47"/>
      <c r="EC367" s="47">
        <v>1</v>
      </c>
      <c r="ZZ367" t="s">
        <v>2472</v>
      </c>
    </row>
    <row r="368" spans="1:702" x14ac:dyDescent="0.25">
      <c r="A368" s="47" t="s">
        <v>1780</v>
      </c>
      <c r="B368" s="47" t="s">
        <v>153</v>
      </c>
      <c r="C368" s="47" t="s">
        <v>157</v>
      </c>
      <c r="D368" s="47" t="s">
        <v>2851</v>
      </c>
      <c r="E368" s="47" t="s">
        <v>1781</v>
      </c>
      <c r="F368" s="47" t="s">
        <v>1782</v>
      </c>
      <c r="G368" s="47" t="s">
        <v>1783</v>
      </c>
      <c r="H368" s="47" t="s">
        <v>698</v>
      </c>
      <c r="I368" s="47" t="s">
        <v>738</v>
      </c>
      <c r="J368" s="47" t="str">
        <f>=IFERROR(VLOOKUP(H368&amp;I368,Table_Fonctions!A:G,6,FALSE),"")</f>
        <v>0</v>
      </c>
      <c r="K368" s="47" t="s">
        <v>2607</v>
      </c>
      <c r="L368" s="47" t="str">
        <f>=IFERROR(VLOOKUP(H368&amp;I368,Table_Fonctions!A:G,7,FALSE),K368)</f>
        <v/>
      </c>
      <c r="M368" s="47" t="str">
        <f>=IF(OR(LEFT(D368, 3)="TJ ", LEFT(D368, 4)="CPH "), "OUI", "NON")</f>
        <v/>
      </c>
      <c r="N368" s="47" t="s">
        <v>175</v>
      </c>
      <c r="O368" s="47"/>
      <c r="P368" s="47">
        <v>1</v>
      </c>
      <c r="Q368" s="47">
        <v>1</v>
      </c>
      <c r="R368" s="47">
        <v>0</v>
      </c>
      <c r="S368" s="47">
        <f>=ROUND(BQ368-(BR368+BS368),3)</f>
      </c>
      <c r="T368" s="47">
        <f>=ROUND(CK368-(CL368+CM368+CN368+CO368+CP368),3)</f>
      </c>
      <c r="U368" s="47">
        <v>1</v>
      </c>
      <c r="V368" s="47">
        <v>0</v>
      </c>
      <c r="W368" s="47">
        <v>0</v>
      </c>
      <c r="X368" s="47">
        <v>0</v>
      </c>
      <c r="Y368" s="47">
        <v>0</v>
      </c>
      <c r="Z368" s="47">
        <v>0</v>
      </c>
      <c r="AA368" s="47">
        <v>0</v>
      </c>
      <c r="AB368" s="47">
        <v>0</v>
      </c>
      <c r="AC368" s="47">
        <v>0</v>
      </c>
      <c r="AD368" s="47">
        <v>0</v>
      </c>
      <c r="AE368" s="47">
        <v>0</v>
      </c>
      <c r="AF368" s="47">
        <v>0</v>
      </c>
      <c r="AG368" s="47">
        <v>0</v>
      </c>
      <c r="AH368" s="47">
        <v>0</v>
      </c>
      <c r="AI368" s="47">
        <v>0</v>
      </c>
      <c r="AJ368" s="47">
        <v>0</v>
      </c>
      <c r="AK368" s="47">
        <v>0</v>
      </c>
      <c r="AL368" s="47">
        <v>0</v>
      </c>
      <c r="AM368" s="47">
        <v>0</v>
      </c>
      <c r="AN368" s="47">
        <v>0</v>
      </c>
      <c r="AO368" s="47">
        <v>0</v>
      </c>
      <c r="AP368" s="47">
        <v>0</v>
      </c>
      <c r="AQ368" s="47">
        <v>0</v>
      </c>
      <c r="AR368" s="47">
        <v>0</v>
      </c>
      <c r="AS368" s="47">
        <v>0</v>
      </c>
      <c r="AT368" s="47">
        <v>0</v>
      </c>
      <c r="AU368" s="47">
        <v>0</v>
      </c>
      <c r="AV368" s="47">
        <v>0</v>
      </c>
      <c r="AW368" s="47">
        <v>0</v>
      </c>
      <c r="AX368" s="47">
        <v>0</v>
      </c>
      <c r="AY368" s="47">
        <v>0</v>
      </c>
      <c r="AZ368" s="47">
        <v>0</v>
      </c>
      <c r="BA368" s="47">
        <v>0</v>
      </c>
      <c r="BB368" s="47">
        <v>0</v>
      </c>
      <c r="BC368" s="47">
        <v>0</v>
      </c>
      <c r="BD368" s="47">
        <v>0</v>
      </c>
      <c r="BE368" s="47">
        <v>0</v>
      </c>
      <c r="BF368" s="47">
        <v>0</v>
      </c>
      <c r="BG368" s="47">
        <v>0</v>
      </c>
      <c r="BH368" s="47">
        <v>0</v>
      </c>
      <c r="BI368" s="47">
        <v>0</v>
      </c>
      <c r="BJ368" s="47">
        <v>0</v>
      </c>
      <c r="BK368" s="47">
        <v>0</v>
      </c>
      <c r="BL368" s="47">
        <v>0</v>
      </c>
      <c r="BM368" s="47">
        <v>0</v>
      </c>
      <c r="BN368" s="47">
        <v>0</v>
      </c>
      <c r="BO368" s="47">
        <v>0</v>
      </c>
      <c r="BP368" s="47">
        <v>0</v>
      </c>
      <c r="BQ368" s="47">
        <v>0</v>
      </c>
      <c r="BR368" s="47">
        <v>0</v>
      </c>
      <c r="BS368" s="47">
        <v>0</v>
      </c>
      <c r="BT368" s="47">
        <v>0</v>
      </c>
      <c r="BU368" s="47">
        <v>0</v>
      </c>
      <c r="BV368" s="47">
        <v>0</v>
      </c>
      <c r="BW368" s="47">
        <v>0</v>
      </c>
      <c r="BX368" s="47">
        <v>0</v>
      </c>
      <c r="BY368" s="47">
        <v>0</v>
      </c>
      <c r="BZ368" s="47">
        <v>0</v>
      </c>
      <c r="CA368" s="47">
        <v>0</v>
      </c>
      <c r="CB368" s="47">
        <v>0</v>
      </c>
      <c r="CC368" s="47">
        <v>0</v>
      </c>
      <c r="CD368" s="47">
        <v>0</v>
      </c>
      <c r="CE368" s="47">
        <v>0</v>
      </c>
      <c r="CF368" s="47">
        <v>0</v>
      </c>
      <c r="CG368" s="47">
        <v>0</v>
      </c>
      <c r="CH368" s="47">
        <v>0</v>
      </c>
      <c r="CI368" s="47">
        <v>0</v>
      </c>
      <c r="CJ368" s="47">
        <v>0</v>
      </c>
      <c r="CK368" s="47">
        <v>0</v>
      </c>
      <c r="CL368" s="47">
        <v>0</v>
      </c>
      <c r="CM368" s="47">
        <v>0</v>
      </c>
      <c r="CN368" s="47">
        <v>0</v>
      </c>
      <c r="CO368" s="47">
        <v>0</v>
      </c>
      <c r="CP368" s="47">
        <v>0</v>
      </c>
      <c r="CQ368" s="47">
        <v>0</v>
      </c>
      <c r="CR368" s="47">
        <v>0</v>
      </c>
      <c r="CS368" s="47">
        <v>0</v>
      </c>
      <c r="CT368" s="47">
        <v>0</v>
      </c>
      <c r="CU368" s="47">
        <v>0</v>
      </c>
      <c r="CV368" s="47">
        <v>0</v>
      </c>
      <c r="CW368" s="47">
        <v>0</v>
      </c>
      <c r="CX368" s="47">
        <v>0</v>
      </c>
      <c r="CY368" s="47">
        <v>0</v>
      </c>
      <c r="CZ368" s="47">
        <v>0</v>
      </c>
      <c r="DA368" s="47">
        <v>0</v>
      </c>
      <c r="DB368" s="47">
        <v>0</v>
      </c>
      <c r="DC368" s="47">
        <v>0</v>
      </c>
      <c r="DD368" s="47">
        <v>0</v>
      </c>
      <c r="DE368" s="47">
        <v>0</v>
      </c>
      <c r="DF368" s="47">
        <v>0</v>
      </c>
      <c r="DG368" s="47">
        <v>0</v>
      </c>
      <c r="DH368" s="47">
        <v>0</v>
      </c>
      <c r="DI368" s="47">
        <v>0</v>
      </c>
      <c r="DJ368" s="47">
        <v>0</v>
      </c>
      <c r="DK368" s="47">
        <v>0</v>
      </c>
      <c r="DL368" s="47">
        <v>0</v>
      </c>
      <c r="DM368" s="47">
        <v>0</v>
      </c>
      <c r="DN368" s="47">
        <v>0</v>
      </c>
      <c r="DO368" s="47">
        <v>0</v>
      </c>
      <c r="DP368" s="47">
        <v>0</v>
      </c>
      <c r="DQ368" s="47">
        <v>0</v>
      </c>
      <c r="DR368" s="47">
        <v>0</v>
      </c>
      <c r="DS368" s="47">
        <v>0</v>
      </c>
      <c r="DT368" s="47">
        <v>0</v>
      </c>
      <c r="DU368" s="47">
        <v>0</v>
      </c>
      <c r="DV368" s="47">
        <v>0</v>
      </c>
      <c r="DW368" s="47">
        <v>0</v>
      </c>
      <c r="DX368" s="47">
        <v>0</v>
      </c>
      <c r="DY368" s="47">
        <v>0</v>
      </c>
      <c r="DZ368" s="47">
        <v>0</v>
      </c>
      <c r="EA368" s="47">
        <v>0</v>
      </c>
      <c r="EB368" s="47"/>
      <c r="EC368" s="47">
        <v>1</v>
      </c>
      <c r="ZZ368" t="s">
        <v>2472</v>
      </c>
    </row>
    <row r="369" spans="1:702" x14ac:dyDescent="0.25">
      <c r="A369" s="47" t="s">
        <v>1784</v>
      </c>
      <c r="B369" s="47" t="s">
        <v>153</v>
      </c>
      <c r="C369" s="47" t="s">
        <v>157</v>
      </c>
      <c r="D369" s="47" t="s">
        <v>2852</v>
      </c>
      <c r="E369" s="47" t="s">
        <v>1785</v>
      </c>
      <c r="F369" s="47" t="s">
        <v>1786</v>
      </c>
      <c r="G369" s="47" t="s">
        <v>1787</v>
      </c>
      <c r="H369" s="47" t="s">
        <v>698</v>
      </c>
      <c r="I369" s="47" t="s">
        <v>705</v>
      </c>
      <c r="J369" s="47" t="str">
        <f>=IFERROR(VLOOKUP(H369&amp;I369,Table_Fonctions!A:G,6,FALSE),"")</f>
        <v>0</v>
      </c>
      <c r="K369" s="47" t="s">
        <v>2607</v>
      </c>
      <c r="L369" s="47" t="str">
        <f>=IFERROR(VLOOKUP(H369&amp;I369,Table_Fonctions!A:G,7,FALSE),K369)</f>
        <v/>
      </c>
      <c r="M369" s="47" t="str">
        <f>=IF(OR(LEFT(D369, 3)="TJ ", LEFT(D369, 4)="CPH "), "OUI", "NON")</f>
        <v/>
      </c>
      <c r="N369" s="47" t="s">
        <v>717</v>
      </c>
      <c r="O369" s="47"/>
      <c r="P369" s="47">
        <v>1</v>
      </c>
      <c r="Q369" s="47">
        <v>1</v>
      </c>
      <c r="R369" s="47">
        <v>0</v>
      </c>
      <c r="S369" s="47">
        <f>=ROUND(BQ369-(BR369+BS369),3)</f>
      </c>
      <c r="T369" s="47">
        <f>=ROUND(CK369-(CL369+CM369+CN369+CO369+CP369),3)</f>
      </c>
      <c r="U369" s="47">
        <v>0</v>
      </c>
      <c r="V369" s="47">
        <v>0</v>
      </c>
      <c r="W369" s="47">
        <v>0</v>
      </c>
      <c r="X369" s="47">
        <v>0</v>
      </c>
      <c r="Y369" s="47">
        <v>0</v>
      </c>
      <c r="Z369" s="47">
        <v>0</v>
      </c>
      <c r="AA369" s="47">
        <v>0</v>
      </c>
      <c r="AB369" s="47">
        <v>0</v>
      </c>
      <c r="AC369" s="47">
        <v>0</v>
      </c>
      <c r="AD369" s="47">
        <v>0</v>
      </c>
      <c r="AE369" s="47">
        <v>0</v>
      </c>
      <c r="AF369" s="47">
        <v>0</v>
      </c>
      <c r="AG369" s="47">
        <v>0</v>
      </c>
      <c r="AH369" s="47">
        <v>0</v>
      </c>
      <c r="AI369" s="47">
        <v>0</v>
      </c>
      <c r="AJ369" s="47">
        <v>0</v>
      </c>
      <c r="AK369" s="47">
        <v>0</v>
      </c>
      <c r="AL369" s="47">
        <v>0</v>
      </c>
      <c r="AM369" s="47">
        <v>0</v>
      </c>
      <c r="AN369" s="47">
        <v>0</v>
      </c>
      <c r="AO369" s="47">
        <v>0</v>
      </c>
      <c r="AP369" s="47">
        <v>0</v>
      </c>
      <c r="AQ369" s="47">
        <v>0</v>
      </c>
      <c r="AR369" s="47">
        <v>0</v>
      </c>
      <c r="AS369" s="47">
        <v>0</v>
      </c>
      <c r="AT369" s="47">
        <v>0</v>
      </c>
      <c r="AU369" s="47">
        <v>0</v>
      </c>
      <c r="AV369" s="47">
        <v>0</v>
      </c>
      <c r="AW369" s="47">
        <v>0</v>
      </c>
      <c r="AX369" s="47">
        <v>0</v>
      </c>
      <c r="AY369" s="47">
        <v>0</v>
      </c>
      <c r="AZ369" s="47">
        <v>0</v>
      </c>
      <c r="BA369" s="47">
        <v>0</v>
      </c>
      <c r="BB369" s="47">
        <v>0</v>
      </c>
      <c r="BC369" s="47">
        <v>0</v>
      </c>
      <c r="BD369" s="47">
        <v>0</v>
      </c>
      <c r="BE369" s="47">
        <v>0</v>
      </c>
      <c r="BF369" s="47">
        <v>0</v>
      </c>
      <c r="BG369" s="47">
        <v>0</v>
      </c>
      <c r="BH369" s="47">
        <v>0</v>
      </c>
      <c r="BI369" s="47">
        <v>0</v>
      </c>
      <c r="BJ369" s="47">
        <v>0</v>
      </c>
      <c r="BK369" s="47">
        <v>0</v>
      </c>
      <c r="BL369" s="47">
        <v>0</v>
      </c>
      <c r="BM369" s="47">
        <v>0</v>
      </c>
      <c r="BN369" s="47">
        <v>0</v>
      </c>
      <c r="BO369" s="47">
        <v>0</v>
      </c>
      <c r="BP369" s="47">
        <v>0</v>
      </c>
      <c r="BQ369" s="47">
        <v>0</v>
      </c>
      <c r="BR369" s="47">
        <v>0</v>
      </c>
      <c r="BS369" s="47">
        <v>0</v>
      </c>
      <c r="BT369" s="47">
        <v>1</v>
      </c>
      <c r="BU369" s="47">
        <v>0</v>
      </c>
      <c r="BV369" s="47">
        <v>0</v>
      </c>
      <c r="BW369" s="47">
        <v>0</v>
      </c>
      <c r="BX369" s="47">
        <v>0</v>
      </c>
      <c r="BY369" s="47">
        <v>0</v>
      </c>
      <c r="BZ369" s="47">
        <v>0</v>
      </c>
      <c r="CA369" s="47">
        <v>0</v>
      </c>
      <c r="CB369" s="47">
        <v>0</v>
      </c>
      <c r="CC369" s="47">
        <v>0</v>
      </c>
      <c r="CD369" s="47">
        <v>0</v>
      </c>
      <c r="CE369" s="47">
        <v>0</v>
      </c>
      <c r="CF369" s="47">
        <v>0</v>
      </c>
      <c r="CG369" s="47">
        <v>0</v>
      </c>
      <c r="CH369" s="47">
        <v>0</v>
      </c>
      <c r="CI369" s="47">
        <v>0</v>
      </c>
      <c r="CJ369" s="47">
        <v>1</v>
      </c>
      <c r="CK369" s="47">
        <v>0</v>
      </c>
      <c r="CL369" s="47">
        <v>0</v>
      </c>
      <c r="CM369" s="47">
        <v>0</v>
      </c>
      <c r="CN369" s="47">
        <v>0</v>
      </c>
      <c r="CO369" s="47">
        <v>0</v>
      </c>
      <c r="CP369" s="47">
        <v>0</v>
      </c>
      <c r="CQ369" s="47">
        <v>0</v>
      </c>
      <c r="CR369" s="47">
        <v>0</v>
      </c>
      <c r="CS369" s="47">
        <v>0</v>
      </c>
      <c r="CT369" s="47">
        <v>0</v>
      </c>
      <c r="CU369" s="47">
        <v>0</v>
      </c>
      <c r="CV369" s="47">
        <v>0</v>
      </c>
      <c r="CW369" s="47">
        <v>0</v>
      </c>
      <c r="CX369" s="47">
        <v>0</v>
      </c>
      <c r="CY369" s="47">
        <v>0</v>
      </c>
      <c r="CZ369" s="47">
        <v>0</v>
      </c>
      <c r="DA369" s="47">
        <v>0</v>
      </c>
      <c r="DB369" s="47">
        <v>0</v>
      </c>
      <c r="DC369" s="47">
        <v>0</v>
      </c>
      <c r="DD369" s="47">
        <v>0</v>
      </c>
      <c r="DE369" s="47">
        <v>0</v>
      </c>
      <c r="DF369" s="47">
        <v>0</v>
      </c>
      <c r="DG369" s="47">
        <v>0</v>
      </c>
      <c r="DH369" s="47">
        <v>0</v>
      </c>
      <c r="DI369" s="47">
        <v>0</v>
      </c>
      <c r="DJ369" s="47">
        <v>0</v>
      </c>
      <c r="DK369" s="47">
        <v>0</v>
      </c>
      <c r="DL369" s="47">
        <v>0</v>
      </c>
      <c r="DM369" s="47">
        <v>0</v>
      </c>
      <c r="DN369" s="47">
        <v>0</v>
      </c>
      <c r="DO369" s="47">
        <v>0</v>
      </c>
      <c r="DP369" s="47">
        <v>0</v>
      </c>
      <c r="DQ369" s="47">
        <v>0</v>
      </c>
      <c r="DR369" s="47">
        <v>0</v>
      </c>
      <c r="DS369" s="47">
        <v>0</v>
      </c>
      <c r="DT369" s="47">
        <v>0</v>
      </c>
      <c r="DU369" s="47">
        <v>0</v>
      </c>
      <c r="DV369" s="47">
        <v>0</v>
      </c>
      <c r="DW369" s="47">
        <v>0</v>
      </c>
      <c r="DX369" s="47">
        <v>0</v>
      </c>
      <c r="DY369" s="47">
        <v>0</v>
      </c>
      <c r="DZ369" s="47">
        <v>0</v>
      </c>
      <c r="EA369" s="47">
        <v>0</v>
      </c>
      <c r="EB369" s="47"/>
      <c r="EC369" s="47">
        <v>1</v>
      </c>
      <c r="ZZ369" t="s">
        <v>2472</v>
      </c>
    </row>
    <row r="370" spans="1:702" x14ac:dyDescent="0.25">
      <c r="A370" s="47" t="s">
        <v>1788</v>
      </c>
      <c r="B370" s="47" t="s">
        <v>153</v>
      </c>
      <c r="C370" s="47" t="s">
        <v>157</v>
      </c>
      <c r="D370" s="47" t="s">
        <v>2853</v>
      </c>
      <c r="E370" s="47" t="s">
        <v>1789</v>
      </c>
      <c r="F370" s="47" t="s">
        <v>1790</v>
      </c>
      <c r="G370" s="47" t="s">
        <v>1791</v>
      </c>
      <c r="H370" s="47" t="s">
        <v>698</v>
      </c>
      <c r="I370" s="47" t="s">
        <v>727</v>
      </c>
      <c r="J370" s="47" t="str">
        <f>=IFERROR(VLOOKUP(H370&amp;I370,Table_Fonctions!A:G,6,FALSE),"")</f>
        <v>0</v>
      </c>
      <c r="K370" s="47" t="s">
        <v>2607</v>
      </c>
      <c r="L370" s="47" t="str">
        <f>=IFERROR(VLOOKUP(H370&amp;I370,Table_Fonctions!A:G,7,FALSE),K370)</f>
        <v/>
      </c>
      <c r="M370" s="47" t="str">
        <f>=IF(OR(LEFT(D370, 3)="TJ ", LEFT(D370, 4)="CPH "), "OUI", "NON")</f>
        <v/>
      </c>
      <c r="N370" s="47" t="s">
        <v>168</v>
      </c>
      <c r="O370" s="47"/>
      <c r="P370" s="47">
        <v>1</v>
      </c>
      <c r="Q370" s="47">
        <v>0</v>
      </c>
      <c r="R370" s="47">
        <v>1</v>
      </c>
      <c r="S370" s="47">
        <f>=ROUND(BQ370-(BR370+BS370),3)</f>
      </c>
      <c r="T370" s="47">
        <f>=ROUND(CK370-(CL370+CM370+CN370+CO370+CP370),3)</f>
      </c>
      <c r="U370" s="47">
        <v>0</v>
      </c>
      <c r="V370" s="47">
        <v>0</v>
      </c>
      <c r="W370" s="47">
        <v>0</v>
      </c>
      <c r="X370" s="47">
        <v>0</v>
      </c>
      <c r="Y370" s="47">
        <v>0</v>
      </c>
      <c r="Z370" s="47">
        <v>0</v>
      </c>
      <c r="AA370" s="47">
        <v>0</v>
      </c>
      <c r="AB370" s="47">
        <v>0</v>
      </c>
      <c r="AC370" s="47">
        <v>0</v>
      </c>
      <c r="AD370" s="47">
        <v>0</v>
      </c>
      <c r="AE370" s="47">
        <v>0</v>
      </c>
      <c r="AF370" s="47">
        <v>0</v>
      </c>
      <c r="AG370" s="47">
        <v>0</v>
      </c>
      <c r="AH370" s="47">
        <v>0</v>
      </c>
      <c r="AI370" s="47">
        <v>0</v>
      </c>
      <c r="AJ370" s="47">
        <v>0</v>
      </c>
      <c r="AK370" s="47">
        <v>0</v>
      </c>
      <c r="AL370" s="47">
        <v>0</v>
      </c>
      <c r="AM370" s="47">
        <v>0</v>
      </c>
      <c r="AN370" s="47">
        <v>0</v>
      </c>
      <c r="AO370" s="47">
        <v>0</v>
      </c>
      <c r="AP370" s="47">
        <v>0</v>
      </c>
      <c r="AQ370" s="47">
        <v>0</v>
      </c>
      <c r="AR370" s="47">
        <v>0</v>
      </c>
      <c r="AS370" s="47">
        <v>0</v>
      </c>
      <c r="AT370" s="47">
        <v>0</v>
      </c>
      <c r="AU370" s="47">
        <v>0</v>
      </c>
      <c r="AV370" s="47">
        <v>0</v>
      </c>
      <c r="AW370" s="47">
        <v>0</v>
      </c>
      <c r="AX370" s="47">
        <v>0</v>
      </c>
      <c r="AY370" s="47">
        <v>0</v>
      </c>
      <c r="AZ370" s="47">
        <v>0</v>
      </c>
      <c r="BA370" s="47">
        <v>0</v>
      </c>
      <c r="BB370" s="47">
        <v>0</v>
      </c>
      <c r="BC370" s="47">
        <v>0</v>
      </c>
      <c r="BD370" s="47">
        <v>0</v>
      </c>
      <c r="BE370" s="47">
        <v>0</v>
      </c>
      <c r="BF370" s="47">
        <v>0</v>
      </c>
      <c r="BG370" s="47">
        <v>0</v>
      </c>
      <c r="BH370" s="47">
        <v>0</v>
      </c>
      <c r="BI370" s="47">
        <v>0</v>
      </c>
      <c r="BJ370" s="47">
        <v>0</v>
      </c>
      <c r="BK370" s="47">
        <v>0</v>
      </c>
      <c r="BL370" s="47">
        <v>0</v>
      </c>
      <c r="BM370" s="47">
        <v>0</v>
      </c>
      <c r="BN370" s="47">
        <v>0</v>
      </c>
      <c r="BO370" s="47">
        <v>0</v>
      </c>
      <c r="BP370" s="47">
        <v>0</v>
      </c>
      <c r="BQ370" s="47">
        <v>0</v>
      </c>
      <c r="BR370" s="47">
        <v>0</v>
      </c>
      <c r="BS370" s="47">
        <v>0</v>
      </c>
      <c r="BT370" s="47">
        <v>0</v>
      </c>
      <c r="BU370" s="47">
        <v>0</v>
      </c>
      <c r="BV370" s="47">
        <v>0</v>
      </c>
      <c r="BW370" s="47">
        <v>0</v>
      </c>
      <c r="BX370" s="47">
        <v>0</v>
      </c>
      <c r="BY370" s="47">
        <v>0</v>
      </c>
      <c r="BZ370" s="47">
        <v>0</v>
      </c>
      <c r="CA370" s="47">
        <v>0</v>
      </c>
      <c r="CB370" s="47">
        <v>0</v>
      </c>
      <c r="CC370" s="47">
        <v>0</v>
      </c>
      <c r="CD370" s="47">
        <v>0</v>
      </c>
      <c r="CE370" s="47">
        <v>0</v>
      </c>
      <c r="CF370" s="47">
        <v>0</v>
      </c>
      <c r="CG370" s="47">
        <v>0</v>
      </c>
      <c r="CH370" s="47">
        <v>0</v>
      </c>
      <c r="CI370" s="47">
        <v>0</v>
      </c>
      <c r="CJ370" s="47">
        <v>0</v>
      </c>
      <c r="CK370" s="47">
        <v>0</v>
      </c>
      <c r="CL370" s="47">
        <v>0</v>
      </c>
      <c r="CM370" s="47">
        <v>0</v>
      </c>
      <c r="CN370" s="47">
        <v>0</v>
      </c>
      <c r="CO370" s="47">
        <v>0</v>
      </c>
      <c r="CP370" s="47">
        <v>0</v>
      </c>
      <c r="CQ370" s="47">
        <v>0</v>
      </c>
      <c r="CR370" s="47">
        <v>0</v>
      </c>
      <c r="CS370" s="47">
        <v>0</v>
      </c>
      <c r="CT370" s="47">
        <v>0</v>
      </c>
      <c r="CU370" s="47">
        <v>0</v>
      </c>
      <c r="CV370" s="47">
        <v>0</v>
      </c>
      <c r="CW370" s="47">
        <v>0</v>
      </c>
      <c r="CX370" s="47">
        <v>0</v>
      </c>
      <c r="CY370" s="47">
        <v>0</v>
      </c>
      <c r="CZ370" s="47">
        <v>0</v>
      </c>
      <c r="DA370" s="47">
        <v>0</v>
      </c>
      <c r="DB370" s="47">
        <v>0</v>
      </c>
      <c r="DC370" s="47">
        <v>0</v>
      </c>
      <c r="DD370" s="47">
        <v>0</v>
      </c>
      <c r="DE370" s="47">
        <v>0</v>
      </c>
      <c r="DF370" s="47">
        <v>0</v>
      </c>
      <c r="DG370" s="47">
        <v>0</v>
      </c>
      <c r="DH370" s="47">
        <v>0</v>
      </c>
      <c r="DI370" s="47">
        <v>0</v>
      </c>
      <c r="DJ370" s="47">
        <v>0</v>
      </c>
      <c r="DK370" s="47">
        <v>0</v>
      </c>
      <c r="DL370" s="47">
        <v>0</v>
      </c>
      <c r="DM370" s="47">
        <v>0</v>
      </c>
      <c r="DN370" s="47">
        <v>0</v>
      </c>
      <c r="DO370" s="47">
        <v>0</v>
      </c>
      <c r="DP370" s="47">
        <v>0</v>
      </c>
      <c r="DQ370" s="47">
        <v>0</v>
      </c>
      <c r="DR370" s="47">
        <v>0</v>
      </c>
      <c r="DS370" s="47">
        <v>0</v>
      </c>
      <c r="DT370" s="47">
        <v>0</v>
      </c>
      <c r="DU370" s="47">
        <v>0</v>
      </c>
      <c r="DV370" s="47">
        <v>0</v>
      </c>
      <c r="DW370" s="47">
        <v>0</v>
      </c>
      <c r="DX370" s="47">
        <v>0</v>
      </c>
      <c r="DY370" s="47">
        <v>0</v>
      </c>
      <c r="DZ370" s="47">
        <v>0</v>
      </c>
      <c r="EA370" s="47">
        <v>0</v>
      </c>
      <c r="EB370" s="47"/>
      <c r="EC370" s="47">
        <v>1</v>
      </c>
      <c r="ZZ370" t="s">
        <v>2472</v>
      </c>
    </row>
    <row r="371" spans="1:702" x14ac:dyDescent="0.25">
      <c r="A371" s="47" t="s">
        <v>1792</v>
      </c>
      <c r="B371" s="47" t="s">
        <v>153</v>
      </c>
      <c r="C371" s="47" t="s">
        <v>157</v>
      </c>
      <c r="D371" s="47" t="s">
        <v>2854</v>
      </c>
      <c r="E371" s="47" t="s">
        <v>1793</v>
      </c>
      <c r="F371" s="47" t="s">
        <v>1794</v>
      </c>
      <c r="G371" s="47" t="s">
        <v>1795</v>
      </c>
      <c r="H371" s="47" t="s">
        <v>698</v>
      </c>
      <c r="I371" s="47" t="s">
        <v>705</v>
      </c>
      <c r="J371" s="47" t="str">
        <f>=IFERROR(VLOOKUP(H371&amp;I371,Table_Fonctions!A:G,6,FALSE),"")</f>
        <v>0</v>
      </c>
      <c r="K371" s="47" t="s">
        <v>2607</v>
      </c>
      <c r="L371" s="47" t="str">
        <f>=IFERROR(VLOOKUP(H371&amp;I371,Table_Fonctions!A:G,7,FALSE),K371)</f>
        <v/>
      </c>
      <c r="M371" s="47" t="str">
        <f>=IF(OR(LEFT(D371, 3)="TJ ", LEFT(D371, 4)="CPH "), "OUI", "NON")</f>
        <v/>
      </c>
      <c r="N371" s="47" t="s">
        <v>1796</v>
      </c>
      <c r="O371" s="47"/>
      <c r="P371" s="47">
        <v>1</v>
      </c>
      <c r="Q371" s="47">
        <v>0</v>
      </c>
      <c r="R371" s="47">
        <v>1</v>
      </c>
      <c r="S371" s="47">
        <f>=ROUND(BQ371-(BR371+BS371),3)</f>
      </c>
      <c r="T371" s="47">
        <f>=ROUND(CK371-(CL371+CM371+CN371+CO371+CP371),3)</f>
      </c>
      <c r="U371" s="47">
        <v>0</v>
      </c>
      <c r="V371" s="47">
        <v>0</v>
      </c>
      <c r="W371" s="47">
        <v>0</v>
      </c>
      <c r="X371" s="47">
        <v>0</v>
      </c>
      <c r="Y371" s="47">
        <v>0</v>
      </c>
      <c r="Z371" s="47">
        <v>0</v>
      </c>
      <c r="AA371" s="47">
        <v>0</v>
      </c>
      <c r="AB371" s="47">
        <v>0</v>
      </c>
      <c r="AC371" s="47">
        <v>0</v>
      </c>
      <c r="AD371" s="47">
        <v>0</v>
      </c>
      <c r="AE371" s="47">
        <v>0</v>
      </c>
      <c r="AF371" s="47">
        <v>0</v>
      </c>
      <c r="AG371" s="47">
        <v>0</v>
      </c>
      <c r="AH371" s="47">
        <v>0</v>
      </c>
      <c r="AI371" s="47">
        <v>0</v>
      </c>
      <c r="AJ371" s="47">
        <v>0</v>
      </c>
      <c r="AK371" s="47">
        <v>0</v>
      </c>
      <c r="AL371" s="47">
        <v>0</v>
      </c>
      <c r="AM371" s="47">
        <v>0</v>
      </c>
      <c r="AN371" s="47">
        <v>0</v>
      </c>
      <c r="AO371" s="47">
        <v>0</v>
      </c>
      <c r="AP371" s="47">
        <v>0</v>
      </c>
      <c r="AQ371" s="47">
        <v>0</v>
      </c>
      <c r="AR371" s="47">
        <v>0</v>
      </c>
      <c r="AS371" s="47">
        <v>0</v>
      </c>
      <c r="AT371" s="47">
        <v>0</v>
      </c>
      <c r="AU371" s="47">
        <v>0</v>
      </c>
      <c r="AV371" s="47">
        <v>0</v>
      </c>
      <c r="AW371" s="47">
        <v>0</v>
      </c>
      <c r="AX371" s="47">
        <v>0</v>
      </c>
      <c r="AY371" s="47">
        <v>0</v>
      </c>
      <c r="AZ371" s="47">
        <v>0</v>
      </c>
      <c r="BA371" s="47">
        <v>0</v>
      </c>
      <c r="BB371" s="47">
        <v>0</v>
      </c>
      <c r="BC371" s="47">
        <v>0</v>
      </c>
      <c r="BD371" s="47">
        <v>0</v>
      </c>
      <c r="BE371" s="47">
        <v>0</v>
      </c>
      <c r="BF371" s="47">
        <v>0</v>
      </c>
      <c r="BG371" s="47">
        <v>0</v>
      </c>
      <c r="BH371" s="47">
        <v>0</v>
      </c>
      <c r="BI371" s="47">
        <v>0</v>
      </c>
      <c r="BJ371" s="47">
        <v>0</v>
      </c>
      <c r="BK371" s="47">
        <v>0</v>
      </c>
      <c r="BL371" s="47">
        <v>0</v>
      </c>
      <c r="BM371" s="47">
        <v>0</v>
      </c>
      <c r="BN371" s="47">
        <v>0</v>
      </c>
      <c r="BO371" s="47">
        <v>0</v>
      </c>
      <c r="BP371" s="47">
        <v>0</v>
      </c>
      <c r="BQ371" s="47">
        <v>0</v>
      </c>
      <c r="BR371" s="47">
        <v>0</v>
      </c>
      <c r="BS371" s="47">
        <v>0</v>
      </c>
      <c r="BT371" s="47">
        <v>0</v>
      </c>
      <c r="BU371" s="47">
        <v>0</v>
      </c>
      <c r="BV371" s="47">
        <v>0</v>
      </c>
      <c r="BW371" s="47">
        <v>0</v>
      </c>
      <c r="BX371" s="47">
        <v>0</v>
      </c>
      <c r="BY371" s="47">
        <v>0</v>
      </c>
      <c r="BZ371" s="47">
        <v>0</v>
      </c>
      <c r="CA371" s="47">
        <v>0</v>
      </c>
      <c r="CB371" s="47">
        <v>0</v>
      </c>
      <c r="CC371" s="47">
        <v>0</v>
      </c>
      <c r="CD371" s="47">
        <v>0</v>
      </c>
      <c r="CE371" s="47">
        <v>0</v>
      </c>
      <c r="CF371" s="47">
        <v>0</v>
      </c>
      <c r="CG371" s="47">
        <v>0</v>
      </c>
      <c r="CH371" s="47">
        <v>0</v>
      </c>
      <c r="CI371" s="47">
        <v>0</v>
      </c>
      <c r="CJ371" s="47">
        <v>0</v>
      </c>
      <c r="CK371" s="47">
        <v>0</v>
      </c>
      <c r="CL371" s="47">
        <v>0</v>
      </c>
      <c r="CM371" s="47">
        <v>0</v>
      </c>
      <c r="CN371" s="47">
        <v>0</v>
      </c>
      <c r="CO371" s="47">
        <v>0</v>
      </c>
      <c r="CP371" s="47">
        <v>0</v>
      </c>
      <c r="CQ371" s="47">
        <v>0</v>
      </c>
      <c r="CR371" s="47">
        <v>0</v>
      </c>
      <c r="CS371" s="47">
        <v>0</v>
      </c>
      <c r="CT371" s="47">
        <v>0</v>
      </c>
      <c r="CU371" s="47">
        <v>0</v>
      </c>
      <c r="CV371" s="47">
        <v>0</v>
      </c>
      <c r="CW371" s="47">
        <v>0</v>
      </c>
      <c r="CX371" s="47">
        <v>0</v>
      </c>
      <c r="CY371" s="47">
        <v>0</v>
      </c>
      <c r="CZ371" s="47">
        <v>0</v>
      </c>
      <c r="DA371" s="47">
        <v>0</v>
      </c>
      <c r="DB371" s="47">
        <v>0</v>
      </c>
      <c r="DC371" s="47">
        <v>0</v>
      </c>
      <c r="DD371" s="47">
        <v>0</v>
      </c>
      <c r="DE371" s="47">
        <v>0</v>
      </c>
      <c r="DF371" s="47">
        <v>0</v>
      </c>
      <c r="DG371" s="47">
        <v>0</v>
      </c>
      <c r="DH371" s="47">
        <v>0</v>
      </c>
      <c r="DI371" s="47">
        <v>0</v>
      </c>
      <c r="DJ371" s="47">
        <v>0</v>
      </c>
      <c r="DK371" s="47">
        <v>0</v>
      </c>
      <c r="DL371" s="47">
        <v>0</v>
      </c>
      <c r="DM371" s="47">
        <v>0</v>
      </c>
      <c r="DN371" s="47">
        <v>0</v>
      </c>
      <c r="DO371" s="47">
        <v>0</v>
      </c>
      <c r="DP371" s="47">
        <v>0</v>
      </c>
      <c r="DQ371" s="47">
        <v>0</v>
      </c>
      <c r="DR371" s="47">
        <v>0</v>
      </c>
      <c r="DS371" s="47">
        <v>0</v>
      </c>
      <c r="DT371" s="47">
        <v>0</v>
      </c>
      <c r="DU371" s="47">
        <v>0</v>
      </c>
      <c r="DV371" s="47">
        <v>0</v>
      </c>
      <c r="DW371" s="47">
        <v>0</v>
      </c>
      <c r="DX371" s="47">
        <v>0</v>
      </c>
      <c r="DY371" s="47">
        <v>0</v>
      </c>
      <c r="DZ371" s="47">
        <v>0</v>
      </c>
      <c r="EA371" s="47">
        <v>0</v>
      </c>
      <c r="EB371" s="47"/>
      <c r="EC371" s="47">
        <v>1</v>
      </c>
      <c r="ZZ371" t="s">
        <v>2472</v>
      </c>
    </row>
    <row r="372" spans="1:702" x14ac:dyDescent="0.25">
      <c r="A372" s="47" t="s">
        <v>1797</v>
      </c>
      <c r="B372" s="47" t="s">
        <v>153</v>
      </c>
      <c r="C372" s="47" t="s">
        <v>157</v>
      </c>
      <c r="D372" s="47" t="s">
        <v>2855</v>
      </c>
      <c r="E372" s="47" t="s">
        <v>1798</v>
      </c>
      <c r="F372" s="47" t="s">
        <v>1799</v>
      </c>
      <c r="G372" s="47" t="s">
        <v>1800</v>
      </c>
      <c r="H372" s="47" t="s">
        <v>698</v>
      </c>
      <c r="I372" s="47" t="s">
        <v>727</v>
      </c>
      <c r="J372" s="47" t="str">
        <f>=IFERROR(VLOOKUP(H372&amp;I372,Table_Fonctions!A:G,6,FALSE),"")</f>
        <v>0</v>
      </c>
      <c r="K372" s="47" t="s">
        <v>2607</v>
      </c>
      <c r="L372" s="47" t="str">
        <f>=IFERROR(VLOOKUP(H372&amp;I372,Table_Fonctions!A:G,7,FALSE),K372)</f>
        <v/>
      </c>
      <c r="M372" s="47" t="str">
        <f>=IF(OR(LEFT(D372, 3)="TJ ", LEFT(D372, 4)="CPH "), "OUI", "NON")</f>
        <v/>
      </c>
      <c r="N372" s="47" t="s">
        <v>1801</v>
      </c>
      <c r="O372" s="47"/>
      <c r="P372" s="47">
        <v>0.8</v>
      </c>
      <c r="Q372" s="47">
        <v>0.8</v>
      </c>
      <c r="R372" s="47">
        <v>0</v>
      </c>
      <c r="S372" s="47">
        <f>=ROUND(BQ372-(BR372+BS372),3)</f>
      </c>
      <c r="T372" s="47">
        <f>=ROUND(CK372-(CL372+CM372+CN372+CO372+CP372),3)</f>
      </c>
      <c r="U372" s="47">
        <v>0</v>
      </c>
      <c r="V372" s="47">
        <v>0</v>
      </c>
      <c r="W372" s="47">
        <v>0</v>
      </c>
      <c r="X372" s="47">
        <v>0</v>
      </c>
      <c r="Y372" s="47">
        <v>0</v>
      </c>
      <c r="Z372" s="47">
        <v>0</v>
      </c>
      <c r="AA372" s="47">
        <v>0</v>
      </c>
      <c r="AB372" s="47">
        <v>0</v>
      </c>
      <c r="AC372" s="47">
        <v>0</v>
      </c>
      <c r="AD372" s="47">
        <v>0</v>
      </c>
      <c r="AE372" s="47">
        <v>0</v>
      </c>
      <c r="AF372" s="47">
        <v>0</v>
      </c>
      <c r="AG372" s="47">
        <v>0</v>
      </c>
      <c r="AH372" s="47">
        <v>0</v>
      </c>
      <c r="AI372" s="47">
        <v>0</v>
      </c>
      <c r="AJ372" s="47">
        <v>0</v>
      </c>
      <c r="AK372" s="47">
        <v>0</v>
      </c>
      <c r="AL372" s="47">
        <v>0</v>
      </c>
      <c r="AM372" s="47">
        <v>0</v>
      </c>
      <c r="AN372" s="47">
        <v>0</v>
      </c>
      <c r="AO372" s="47">
        <v>0</v>
      </c>
      <c r="AP372" s="47">
        <v>0</v>
      </c>
      <c r="AQ372" s="47">
        <v>0</v>
      </c>
      <c r="AR372" s="47">
        <v>0</v>
      </c>
      <c r="AS372" s="47">
        <v>0</v>
      </c>
      <c r="AT372" s="47">
        <v>0</v>
      </c>
      <c r="AU372" s="47">
        <v>0</v>
      </c>
      <c r="AV372" s="47">
        <v>0</v>
      </c>
      <c r="AW372" s="47">
        <v>0</v>
      </c>
      <c r="AX372" s="47">
        <v>0</v>
      </c>
      <c r="AY372" s="47">
        <v>0</v>
      </c>
      <c r="AZ372" s="47">
        <v>0</v>
      </c>
      <c r="BA372" s="47">
        <v>0</v>
      </c>
      <c r="BB372" s="47">
        <v>0</v>
      </c>
      <c r="BC372" s="47">
        <v>0</v>
      </c>
      <c r="BD372" s="47">
        <v>0</v>
      </c>
      <c r="BE372" s="47">
        <v>0</v>
      </c>
      <c r="BF372" s="47">
        <v>0</v>
      </c>
      <c r="BG372" s="47">
        <v>0</v>
      </c>
      <c r="BH372" s="47">
        <v>0</v>
      </c>
      <c r="BI372" s="47">
        <v>0</v>
      </c>
      <c r="BJ372" s="47">
        <v>0</v>
      </c>
      <c r="BK372" s="47">
        <v>0</v>
      </c>
      <c r="BL372" s="47">
        <v>0</v>
      </c>
      <c r="BM372" s="47">
        <v>0</v>
      </c>
      <c r="BN372" s="47">
        <v>0</v>
      </c>
      <c r="BO372" s="47">
        <v>0</v>
      </c>
      <c r="BP372" s="47">
        <v>0</v>
      </c>
      <c r="BQ372" s="47">
        <v>0</v>
      </c>
      <c r="BR372" s="47">
        <v>0</v>
      </c>
      <c r="BS372" s="47">
        <v>0</v>
      </c>
      <c r="BT372" s="47">
        <v>0</v>
      </c>
      <c r="BU372" s="47">
        <v>0</v>
      </c>
      <c r="BV372" s="47">
        <v>0</v>
      </c>
      <c r="BW372" s="47">
        <v>0</v>
      </c>
      <c r="BX372" s="47">
        <v>0</v>
      </c>
      <c r="BY372" s="47">
        <v>0</v>
      </c>
      <c r="BZ372" s="47">
        <v>0</v>
      </c>
      <c r="CA372" s="47">
        <v>0</v>
      </c>
      <c r="CB372" s="47">
        <v>0</v>
      </c>
      <c r="CC372" s="47">
        <v>0</v>
      </c>
      <c r="CD372" s="47">
        <v>0</v>
      </c>
      <c r="CE372" s="47">
        <v>0</v>
      </c>
      <c r="CF372" s="47">
        <v>0</v>
      </c>
      <c r="CG372" s="47">
        <v>0</v>
      </c>
      <c r="CH372" s="47">
        <v>0</v>
      </c>
      <c r="CI372" s="47">
        <v>0</v>
      </c>
      <c r="CJ372" s="47">
        <v>0</v>
      </c>
      <c r="CK372" s="47">
        <v>0</v>
      </c>
      <c r="CL372" s="47">
        <v>0</v>
      </c>
      <c r="CM372" s="47">
        <v>0</v>
      </c>
      <c r="CN372" s="47">
        <v>0</v>
      </c>
      <c r="CO372" s="47">
        <v>0</v>
      </c>
      <c r="CP372" s="47">
        <v>0</v>
      </c>
      <c r="CQ372" s="47">
        <v>0</v>
      </c>
      <c r="CR372" s="47">
        <v>0</v>
      </c>
      <c r="CS372" s="47">
        <v>0</v>
      </c>
      <c r="CT372" s="47">
        <v>0</v>
      </c>
      <c r="CU372" s="47">
        <v>0</v>
      </c>
      <c r="CV372" s="47">
        <v>0</v>
      </c>
      <c r="CW372" s="47">
        <v>0</v>
      </c>
      <c r="CX372" s="47">
        <v>0</v>
      </c>
      <c r="CY372" s="47">
        <v>0.8</v>
      </c>
      <c r="CZ372" s="47">
        <v>0</v>
      </c>
      <c r="DA372" s="47">
        <v>0</v>
      </c>
      <c r="DB372" s="47">
        <v>0</v>
      </c>
      <c r="DC372" s="47">
        <v>0</v>
      </c>
      <c r="DD372" s="47">
        <v>0</v>
      </c>
      <c r="DE372" s="47">
        <v>0</v>
      </c>
      <c r="DF372" s="47">
        <v>0</v>
      </c>
      <c r="DG372" s="47">
        <v>0</v>
      </c>
      <c r="DH372" s="47">
        <v>0</v>
      </c>
      <c r="DI372" s="47">
        <v>0</v>
      </c>
      <c r="DJ372" s="47">
        <v>0</v>
      </c>
      <c r="DK372" s="47">
        <v>0</v>
      </c>
      <c r="DL372" s="47">
        <v>0</v>
      </c>
      <c r="DM372" s="47">
        <v>0</v>
      </c>
      <c r="DN372" s="47">
        <v>0</v>
      </c>
      <c r="DO372" s="47">
        <v>0</v>
      </c>
      <c r="DP372" s="47">
        <v>0</v>
      </c>
      <c r="DQ372" s="47">
        <v>0</v>
      </c>
      <c r="DR372" s="47">
        <v>0</v>
      </c>
      <c r="DS372" s="47">
        <v>0</v>
      </c>
      <c r="DT372" s="47">
        <v>0</v>
      </c>
      <c r="DU372" s="47">
        <v>0</v>
      </c>
      <c r="DV372" s="47">
        <v>0</v>
      </c>
      <c r="DW372" s="47">
        <v>0</v>
      </c>
      <c r="DX372" s="47">
        <v>0</v>
      </c>
      <c r="DY372" s="47">
        <v>0</v>
      </c>
      <c r="DZ372" s="47">
        <v>0</v>
      </c>
      <c r="EA372" s="47">
        <v>0</v>
      </c>
      <c r="EB372" s="47"/>
      <c r="EC372" s="47">
        <v>0.8</v>
      </c>
      <c r="ZZ372" t="s">
        <v>2472</v>
      </c>
    </row>
    <row r="373" spans="1:702" x14ac:dyDescent="0.25">
      <c r="A373" s="47" t="s">
        <v>1802</v>
      </c>
      <c r="B373" s="47" t="s">
        <v>153</v>
      </c>
      <c r="C373" s="47" t="s">
        <v>157</v>
      </c>
      <c r="D373" s="47" t="s">
        <v>2856</v>
      </c>
      <c r="E373" s="47" t="s">
        <v>1803</v>
      </c>
      <c r="F373" s="47" t="s">
        <v>1804</v>
      </c>
      <c r="G373" s="47" t="s">
        <v>1805</v>
      </c>
      <c r="H373" s="47" t="s">
        <v>698</v>
      </c>
      <c r="I373" s="47" t="s">
        <v>705</v>
      </c>
      <c r="J373" s="47" t="str">
        <f>=IFERROR(VLOOKUP(H373&amp;I373,Table_Fonctions!A:G,6,FALSE),"")</f>
        <v>0</v>
      </c>
      <c r="K373" s="47" t="s">
        <v>2607</v>
      </c>
      <c r="L373" s="47" t="str">
        <f>=IFERROR(VLOOKUP(H373&amp;I373,Table_Fonctions!A:G,7,FALSE),K373)</f>
        <v/>
      </c>
      <c r="M373" s="47" t="str">
        <f>=IF(OR(LEFT(D373, 3)="TJ ", LEFT(D373, 4)="CPH "), "OUI", "NON")</f>
        <v/>
      </c>
      <c r="N373" s="47" t="s">
        <v>836</v>
      </c>
      <c r="O373" s="47"/>
      <c r="P373" s="47">
        <v>0.8</v>
      </c>
      <c r="Q373" s="47">
        <v>0</v>
      </c>
      <c r="R373" s="47">
        <v>0.8</v>
      </c>
      <c r="S373" s="47">
        <f>=ROUND(BQ373-(BR373+BS373),3)</f>
      </c>
      <c r="T373" s="47">
        <f>=ROUND(CK373-(CL373+CM373+CN373+CO373+CP373),3)</f>
      </c>
      <c r="U373" s="47">
        <v>0</v>
      </c>
      <c r="V373" s="47">
        <v>0</v>
      </c>
      <c r="W373" s="47">
        <v>0</v>
      </c>
      <c r="X373" s="47">
        <v>0</v>
      </c>
      <c r="Y373" s="47">
        <v>0</v>
      </c>
      <c r="Z373" s="47">
        <v>0</v>
      </c>
      <c r="AA373" s="47">
        <v>0</v>
      </c>
      <c r="AB373" s="47">
        <v>0</v>
      </c>
      <c r="AC373" s="47">
        <v>0</v>
      </c>
      <c r="AD373" s="47">
        <v>0</v>
      </c>
      <c r="AE373" s="47">
        <v>0</v>
      </c>
      <c r="AF373" s="47">
        <v>0</v>
      </c>
      <c r="AG373" s="47">
        <v>0</v>
      </c>
      <c r="AH373" s="47">
        <v>0</v>
      </c>
      <c r="AI373" s="47">
        <v>0</v>
      </c>
      <c r="AJ373" s="47">
        <v>0</v>
      </c>
      <c r="AK373" s="47">
        <v>0</v>
      </c>
      <c r="AL373" s="47">
        <v>0</v>
      </c>
      <c r="AM373" s="47">
        <v>0</v>
      </c>
      <c r="AN373" s="47">
        <v>0</v>
      </c>
      <c r="AO373" s="47">
        <v>0</v>
      </c>
      <c r="AP373" s="47">
        <v>0</v>
      </c>
      <c r="AQ373" s="47">
        <v>0</v>
      </c>
      <c r="AR373" s="47">
        <v>0</v>
      </c>
      <c r="AS373" s="47">
        <v>0</v>
      </c>
      <c r="AT373" s="47">
        <v>0</v>
      </c>
      <c r="AU373" s="47">
        <v>0</v>
      </c>
      <c r="AV373" s="47">
        <v>0</v>
      </c>
      <c r="AW373" s="47">
        <v>0</v>
      </c>
      <c r="AX373" s="47">
        <v>0</v>
      </c>
      <c r="AY373" s="47">
        <v>0</v>
      </c>
      <c r="AZ373" s="47">
        <v>0</v>
      </c>
      <c r="BA373" s="47">
        <v>0</v>
      </c>
      <c r="BB373" s="47">
        <v>0</v>
      </c>
      <c r="BC373" s="47">
        <v>0</v>
      </c>
      <c r="BD373" s="47">
        <v>0</v>
      </c>
      <c r="BE373" s="47">
        <v>0</v>
      </c>
      <c r="BF373" s="47">
        <v>0</v>
      </c>
      <c r="BG373" s="47">
        <v>0</v>
      </c>
      <c r="BH373" s="47">
        <v>0</v>
      </c>
      <c r="BI373" s="47">
        <v>0</v>
      </c>
      <c r="BJ373" s="47">
        <v>0</v>
      </c>
      <c r="BK373" s="47">
        <v>0</v>
      </c>
      <c r="BL373" s="47">
        <v>0</v>
      </c>
      <c r="BM373" s="47">
        <v>0</v>
      </c>
      <c r="BN373" s="47">
        <v>0</v>
      </c>
      <c r="BO373" s="47">
        <v>0</v>
      </c>
      <c r="BP373" s="47">
        <v>0</v>
      </c>
      <c r="BQ373" s="47">
        <v>0</v>
      </c>
      <c r="BR373" s="47">
        <v>0</v>
      </c>
      <c r="BS373" s="47">
        <v>0</v>
      </c>
      <c r="BT373" s="47">
        <v>0</v>
      </c>
      <c r="BU373" s="47">
        <v>0</v>
      </c>
      <c r="BV373" s="47">
        <v>0</v>
      </c>
      <c r="BW373" s="47">
        <v>0</v>
      </c>
      <c r="BX373" s="47">
        <v>0</v>
      </c>
      <c r="BY373" s="47">
        <v>0</v>
      </c>
      <c r="BZ373" s="47">
        <v>0</v>
      </c>
      <c r="CA373" s="47">
        <v>0</v>
      </c>
      <c r="CB373" s="47">
        <v>0</v>
      </c>
      <c r="CC373" s="47">
        <v>0</v>
      </c>
      <c r="CD373" s="47">
        <v>0</v>
      </c>
      <c r="CE373" s="47">
        <v>0</v>
      </c>
      <c r="CF373" s="47">
        <v>0</v>
      </c>
      <c r="CG373" s="47">
        <v>0</v>
      </c>
      <c r="CH373" s="47">
        <v>0</v>
      </c>
      <c r="CI373" s="47">
        <v>0</v>
      </c>
      <c r="CJ373" s="47">
        <v>0</v>
      </c>
      <c r="CK373" s="47">
        <v>0</v>
      </c>
      <c r="CL373" s="47">
        <v>0</v>
      </c>
      <c r="CM373" s="47">
        <v>0</v>
      </c>
      <c r="CN373" s="47">
        <v>0</v>
      </c>
      <c r="CO373" s="47">
        <v>0</v>
      </c>
      <c r="CP373" s="47">
        <v>0</v>
      </c>
      <c r="CQ373" s="47">
        <v>0</v>
      </c>
      <c r="CR373" s="47">
        <v>0</v>
      </c>
      <c r="CS373" s="47">
        <v>0</v>
      </c>
      <c r="CT373" s="47">
        <v>0</v>
      </c>
      <c r="CU373" s="47">
        <v>0</v>
      </c>
      <c r="CV373" s="47">
        <v>0</v>
      </c>
      <c r="CW373" s="47">
        <v>0</v>
      </c>
      <c r="CX373" s="47">
        <v>0</v>
      </c>
      <c r="CY373" s="47">
        <v>0</v>
      </c>
      <c r="CZ373" s="47">
        <v>0</v>
      </c>
      <c r="DA373" s="47">
        <v>0</v>
      </c>
      <c r="DB373" s="47">
        <v>0</v>
      </c>
      <c r="DC373" s="47">
        <v>0</v>
      </c>
      <c r="DD373" s="47">
        <v>0</v>
      </c>
      <c r="DE373" s="47">
        <v>0</v>
      </c>
      <c r="DF373" s="47">
        <v>0</v>
      </c>
      <c r="DG373" s="47">
        <v>0</v>
      </c>
      <c r="DH373" s="47">
        <v>0</v>
      </c>
      <c r="DI373" s="47">
        <v>0</v>
      </c>
      <c r="DJ373" s="47">
        <v>0</v>
      </c>
      <c r="DK373" s="47">
        <v>0</v>
      </c>
      <c r="DL373" s="47">
        <v>0</v>
      </c>
      <c r="DM373" s="47">
        <v>0</v>
      </c>
      <c r="DN373" s="47">
        <v>0</v>
      </c>
      <c r="DO373" s="47">
        <v>0</v>
      </c>
      <c r="DP373" s="47">
        <v>0</v>
      </c>
      <c r="DQ373" s="47">
        <v>0</v>
      </c>
      <c r="DR373" s="47">
        <v>0</v>
      </c>
      <c r="DS373" s="47">
        <v>0</v>
      </c>
      <c r="DT373" s="47">
        <v>0</v>
      </c>
      <c r="DU373" s="47">
        <v>0</v>
      </c>
      <c r="DV373" s="47">
        <v>0</v>
      </c>
      <c r="DW373" s="47">
        <v>0</v>
      </c>
      <c r="DX373" s="47">
        <v>0</v>
      </c>
      <c r="DY373" s="47">
        <v>0</v>
      </c>
      <c r="DZ373" s="47">
        <v>0</v>
      </c>
      <c r="EA373" s="47">
        <v>0</v>
      </c>
      <c r="EB373" s="47"/>
      <c r="EC373" s="47">
        <v>0.8</v>
      </c>
      <c r="ZZ373" t="s">
        <v>2472</v>
      </c>
    </row>
    <row r="374" spans="1:702" x14ac:dyDescent="0.25">
      <c r="A374" s="47" t="s">
        <v>1806</v>
      </c>
      <c r="B374" s="47" t="s">
        <v>153</v>
      </c>
      <c r="C374" s="47" t="s">
        <v>157</v>
      </c>
      <c r="D374" s="47" t="s">
        <v>2857</v>
      </c>
      <c r="E374" s="47" t="s">
        <v>1807</v>
      </c>
      <c r="F374" s="47" t="s">
        <v>1808</v>
      </c>
      <c r="G374" s="47" t="s">
        <v>1809</v>
      </c>
      <c r="H374" s="47" t="s">
        <v>698</v>
      </c>
      <c r="I374" s="47" t="s">
        <v>727</v>
      </c>
      <c r="J374" s="47" t="str">
        <f>=IFERROR(VLOOKUP(H374&amp;I374,Table_Fonctions!A:G,6,FALSE),"")</f>
        <v>0</v>
      </c>
      <c r="K374" s="47" t="s">
        <v>2607</v>
      </c>
      <c r="L374" s="47" t="str">
        <f>=IFERROR(VLOOKUP(H374&amp;I374,Table_Fonctions!A:G,7,FALSE),K374)</f>
        <v/>
      </c>
      <c r="M374" s="47" t="str">
        <f>=IF(OR(LEFT(D374, 3)="TJ ", LEFT(D374, 4)="CPH "), "OUI", "NON")</f>
        <v/>
      </c>
      <c r="N374" s="47" t="s">
        <v>1810</v>
      </c>
      <c r="O374" s="47"/>
      <c r="P374" s="47">
        <v>1</v>
      </c>
      <c r="Q374" s="47">
        <v>1</v>
      </c>
      <c r="R374" s="47">
        <v>0</v>
      </c>
      <c r="S374" s="47">
        <f>=ROUND(BQ374-(BR374+BS374),3)</f>
      </c>
      <c r="T374" s="47">
        <f>=ROUND(CK374-(CL374+CM374+CN374+CO374+CP374),3)</f>
      </c>
      <c r="U374" s="47">
        <v>0</v>
      </c>
      <c r="V374" s="47">
        <v>0</v>
      </c>
      <c r="W374" s="47">
        <v>0</v>
      </c>
      <c r="X374" s="47">
        <v>0</v>
      </c>
      <c r="Y374" s="47">
        <v>0</v>
      </c>
      <c r="Z374" s="47">
        <v>0</v>
      </c>
      <c r="AA374" s="47">
        <v>0</v>
      </c>
      <c r="AB374" s="47">
        <v>0</v>
      </c>
      <c r="AC374" s="47">
        <v>0</v>
      </c>
      <c r="AD374" s="47">
        <v>0</v>
      </c>
      <c r="AE374" s="47">
        <v>0</v>
      </c>
      <c r="AF374" s="47">
        <v>0</v>
      </c>
      <c r="AG374" s="47">
        <v>0</v>
      </c>
      <c r="AH374" s="47">
        <v>0</v>
      </c>
      <c r="AI374" s="47">
        <v>0</v>
      </c>
      <c r="AJ374" s="47">
        <v>1</v>
      </c>
      <c r="AK374" s="47">
        <v>0</v>
      </c>
      <c r="AL374" s="47">
        <v>0</v>
      </c>
      <c r="AM374" s="47">
        <v>0</v>
      </c>
      <c r="AN374" s="47">
        <v>0</v>
      </c>
      <c r="AO374" s="47">
        <v>0</v>
      </c>
      <c r="AP374" s="47">
        <v>0</v>
      </c>
      <c r="AQ374" s="47">
        <v>0</v>
      </c>
      <c r="AR374" s="47">
        <v>0</v>
      </c>
      <c r="AS374" s="47">
        <v>0</v>
      </c>
      <c r="AT374" s="47">
        <v>0</v>
      </c>
      <c r="AU374" s="47">
        <v>0</v>
      </c>
      <c r="AV374" s="47">
        <v>0</v>
      </c>
      <c r="AW374" s="47">
        <v>0</v>
      </c>
      <c r="AX374" s="47">
        <v>0</v>
      </c>
      <c r="AY374" s="47">
        <v>0</v>
      </c>
      <c r="AZ374" s="47">
        <v>0</v>
      </c>
      <c r="BA374" s="47">
        <v>0</v>
      </c>
      <c r="BB374" s="47">
        <v>0</v>
      </c>
      <c r="BC374" s="47">
        <v>0</v>
      </c>
      <c r="BD374" s="47">
        <v>0</v>
      </c>
      <c r="BE374" s="47">
        <v>0</v>
      </c>
      <c r="BF374" s="47">
        <v>0</v>
      </c>
      <c r="BG374" s="47">
        <v>0</v>
      </c>
      <c r="BH374" s="47">
        <v>0</v>
      </c>
      <c r="BI374" s="47">
        <v>0</v>
      </c>
      <c r="BJ374" s="47">
        <v>0</v>
      </c>
      <c r="BK374" s="47">
        <v>0</v>
      </c>
      <c r="BL374" s="47">
        <v>0</v>
      </c>
      <c r="BM374" s="47">
        <v>0</v>
      </c>
      <c r="BN374" s="47">
        <v>0</v>
      </c>
      <c r="BO374" s="47">
        <v>0</v>
      </c>
      <c r="BP374" s="47">
        <v>0</v>
      </c>
      <c r="BQ374" s="47">
        <v>0</v>
      </c>
      <c r="BR374" s="47">
        <v>0</v>
      </c>
      <c r="BS374" s="47">
        <v>0</v>
      </c>
      <c r="BT374" s="47">
        <v>0</v>
      </c>
      <c r="BU374" s="47">
        <v>0</v>
      </c>
      <c r="BV374" s="47">
        <v>0</v>
      </c>
      <c r="BW374" s="47">
        <v>0</v>
      </c>
      <c r="BX374" s="47">
        <v>0</v>
      </c>
      <c r="BY374" s="47">
        <v>0</v>
      </c>
      <c r="BZ374" s="47">
        <v>0</v>
      </c>
      <c r="CA374" s="47">
        <v>0</v>
      </c>
      <c r="CB374" s="47">
        <v>0</v>
      </c>
      <c r="CC374" s="47">
        <v>0</v>
      </c>
      <c r="CD374" s="47">
        <v>0</v>
      </c>
      <c r="CE374" s="47">
        <v>0</v>
      </c>
      <c r="CF374" s="47">
        <v>0</v>
      </c>
      <c r="CG374" s="47">
        <v>0</v>
      </c>
      <c r="CH374" s="47">
        <v>0</v>
      </c>
      <c r="CI374" s="47">
        <v>0</v>
      </c>
      <c r="CJ374" s="47">
        <v>0</v>
      </c>
      <c r="CK374" s="47">
        <v>0</v>
      </c>
      <c r="CL374" s="47">
        <v>0</v>
      </c>
      <c r="CM374" s="47">
        <v>0</v>
      </c>
      <c r="CN374" s="47">
        <v>0</v>
      </c>
      <c r="CO374" s="47">
        <v>0</v>
      </c>
      <c r="CP374" s="47">
        <v>0</v>
      </c>
      <c r="CQ374" s="47">
        <v>0</v>
      </c>
      <c r="CR374" s="47">
        <v>0</v>
      </c>
      <c r="CS374" s="47">
        <v>0</v>
      </c>
      <c r="CT374" s="47">
        <v>0</v>
      </c>
      <c r="CU374" s="47">
        <v>0</v>
      </c>
      <c r="CV374" s="47">
        <v>0</v>
      </c>
      <c r="CW374" s="47">
        <v>0</v>
      </c>
      <c r="CX374" s="47">
        <v>0</v>
      </c>
      <c r="CY374" s="47">
        <v>0</v>
      </c>
      <c r="CZ374" s="47">
        <v>0</v>
      </c>
      <c r="DA374" s="47">
        <v>0</v>
      </c>
      <c r="DB374" s="47">
        <v>0</v>
      </c>
      <c r="DC374" s="47">
        <v>0</v>
      </c>
      <c r="DD374" s="47">
        <v>0</v>
      </c>
      <c r="DE374" s="47">
        <v>0</v>
      </c>
      <c r="DF374" s="47">
        <v>0</v>
      </c>
      <c r="DG374" s="47">
        <v>0</v>
      </c>
      <c r="DH374" s="47">
        <v>0</v>
      </c>
      <c r="DI374" s="47">
        <v>0</v>
      </c>
      <c r="DJ374" s="47">
        <v>0</v>
      </c>
      <c r="DK374" s="47">
        <v>0</v>
      </c>
      <c r="DL374" s="47">
        <v>0</v>
      </c>
      <c r="DM374" s="47">
        <v>0</v>
      </c>
      <c r="DN374" s="47">
        <v>0</v>
      </c>
      <c r="DO374" s="47">
        <v>0</v>
      </c>
      <c r="DP374" s="47">
        <v>0</v>
      </c>
      <c r="DQ374" s="47">
        <v>0</v>
      </c>
      <c r="DR374" s="47">
        <v>0</v>
      </c>
      <c r="DS374" s="47">
        <v>0</v>
      </c>
      <c r="DT374" s="47">
        <v>0</v>
      </c>
      <c r="DU374" s="47">
        <v>0</v>
      </c>
      <c r="DV374" s="47">
        <v>0</v>
      </c>
      <c r="DW374" s="47">
        <v>0</v>
      </c>
      <c r="DX374" s="47">
        <v>0</v>
      </c>
      <c r="DY374" s="47">
        <v>0</v>
      </c>
      <c r="DZ374" s="47">
        <v>0</v>
      </c>
      <c r="EA374" s="47">
        <v>0</v>
      </c>
      <c r="EB374" s="47"/>
      <c r="EC374" s="47">
        <v>1</v>
      </c>
      <c r="ZZ374" t="s">
        <v>2472</v>
      </c>
    </row>
    <row r="375" spans="1:702" x14ac:dyDescent="0.25">
      <c r="A375" s="47" t="s">
        <v>1811</v>
      </c>
      <c r="B375" s="47" t="s">
        <v>153</v>
      </c>
      <c r="C375" s="47" t="s">
        <v>157</v>
      </c>
      <c r="D375" s="47" t="s">
        <v>2858</v>
      </c>
      <c r="E375" s="47" t="s">
        <v>1812</v>
      </c>
      <c r="F375" s="47" t="s">
        <v>1813</v>
      </c>
      <c r="G375" s="47" t="s">
        <v>1814</v>
      </c>
      <c r="H375" s="47" t="s">
        <v>698</v>
      </c>
      <c r="I375" s="47" t="s">
        <v>727</v>
      </c>
      <c r="J375" s="47" t="str">
        <f>=IFERROR(VLOOKUP(H375&amp;I375,Table_Fonctions!A:G,6,FALSE),"")</f>
        <v>0</v>
      </c>
      <c r="K375" s="47" t="s">
        <v>2607</v>
      </c>
      <c r="L375" s="47" t="str">
        <f>=IFERROR(VLOOKUP(H375&amp;I375,Table_Fonctions!A:G,7,FALSE),K375)</f>
        <v/>
      </c>
      <c r="M375" s="47" t="str">
        <f>=IF(OR(LEFT(D375, 3)="TJ ", LEFT(D375, 4)="CPH "), "OUI", "NON")</f>
        <v/>
      </c>
      <c r="N375" s="47" t="s">
        <v>1815</v>
      </c>
      <c r="O375" s="47"/>
      <c r="P375" s="47">
        <v>1</v>
      </c>
      <c r="Q375" s="47">
        <v>0</v>
      </c>
      <c r="R375" s="47">
        <v>1</v>
      </c>
      <c r="S375" s="47">
        <f>=ROUND(BQ375-(BR375+BS375),3)</f>
      </c>
      <c r="T375" s="47">
        <f>=ROUND(CK375-(CL375+CM375+CN375+CO375+CP375),3)</f>
      </c>
      <c r="U375" s="47">
        <v>0</v>
      </c>
      <c r="V375" s="47">
        <v>0</v>
      </c>
      <c r="W375" s="47">
        <v>0</v>
      </c>
      <c r="X375" s="47">
        <v>0</v>
      </c>
      <c r="Y375" s="47">
        <v>0</v>
      </c>
      <c r="Z375" s="47">
        <v>0</v>
      </c>
      <c r="AA375" s="47">
        <v>0</v>
      </c>
      <c r="AB375" s="47">
        <v>0</v>
      </c>
      <c r="AC375" s="47">
        <v>0</v>
      </c>
      <c r="AD375" s="47">
        <v>0</v>
      </c>
      <c r="AE375" s="47">
        <v>0</v>
      </c>
      <c r="AF375" s="47">
        <v>0</v>
      </c>
      <c r="AG375" s="47">
        <v>0</v>
      </c>
      <c r="AH375" s="47">
        <v>0</v>
      </c>
      <c r="AI375" s="47">
        <v>0</v>
      </c>
      <c r="AJ375" s="47">
        <v>0</v>
      </c>
      <c r="AK375" s="47">
        <v>0</v>
      </c>
      <c r="AL375" s="47">
        <v>0</v>
      </c>
      <c r="AM375" s="47">
        <v>0</v>
      </c>
      <c r="AN375" s="47">
        <v>0</v>
      </c>
      <c r="AO375" s="47">
        <v>0</v>
      </c>
      <c r="AP375" s="47">
        <v>0</v>
      </c>
      <c r="AQ375" s="47">
        <v>0</v>
      </c>
      <c r="AR375" s="47">
        <v>0</v>
      </c>
      <c r="AS375" s="47">
        <v>0</v>
      </c>
      <c r="AT375" s="47">
        <v>0</v>
      </c>
      <c r="AU375" s="47">
        <v>0</v>
      </c>
      <c r="AV375" s="47">
        <v>0</v>
      </c>
      <c r="AW375" s="47">
        <v>0</v>
      </c>
      <c r="AX375" s="47">
        <v>0</v>
      </c>
      <c r="AY375" s="47">
        <v>0</v>
      </c>
      <c r="AZ375" s="47">
        <v>0</v>
      </c>
      <c r="BA375" s="47">
        <v>0</v>
      </c>
      <c r="BB375" s="47">
        <v>0</v>
      </c>
      <c r="BC375" s="47">
        <v>0</v>
      </c>
      <c r="BD375" s="47">
        <v>0</v>
      </c>
      <c r="BE375" s="47">
        <v>0</v>
      </c>
      <c r="BF375" s="47">
        <v>0</v>
      </c>
      <c r="BG375" s="47">
        <v>0</v>
      </c>
      <c r="BH375" s="47">
        <v>0</v>
      </c>
      <c r="BI375" s="47">
        <v>0</v>
      </c>
      <c r="BJ375" s="47">
        <v>0</v>
      </c>
      <c r="BK375" s="47">
        <v>0</v>
      </c>
      <c r="BL375" s="47">
        <v>0</v>
      </c>
      <c r="BM375" s="47">
        <v>0</v>
      </c>
      <c r="BN375" s="47">
        <v>0</v>
      </c>
      <c r="BO375" s="47">
        <v>0</v>
      </c>
      <c r="BP375" s="47">
        <v>0</v>
      </c>
      <c r="BQ375" s="47">
        <v>0</v>
      </c>
      <c r="BR375" s="47">
        <v>0</v>
      </c>
      <c r="BS375" s="47">
        <v>0</v>
      </c>
      <c r="BT375" s="47">
        <v>0</v>
      </c>
      <c r="BU375" s="47">
        <v>0</v>
      </c>
      <c r="BV375" s="47">
        <v>0</v>
      </c>
      <c r="BW375" s="47">
        <v>0</v>
      </c>
      <c r="BX375" s="47">
        <v>0</v>
      </c>
      <c r="BY375" s="47">
        <v>0</v>
      </c>
      <c r="BZ375" s="47">
        <v>0</v>
      </c>
      <c r="CA375" s="47">
        <v>0</v>
      </c>
      <c r="CB375" s="47">
        <v>0</v>
      </c>
      <c r="CC375" s="47">
        <v>0</v>
      </c>
      <c r="CD375" s="47">
        <v>0</v>
      </c>
      <c r="CE375" s="47">
        <v>0</v>
      </c>
      <c r="CF375" s="47">
        <v>0</v>
      </c>
      <c r="CG375" s="47">
        <v>0</v>
      </c>
      <c r="CH375" s="47">
        <v>0</v>
      </c>
      <c r="CI375" s="47">
        <v>0</v>
      </c>
      <c r="CJ375" s="47">
        <v>0</v>
      </c>
      <c r="CK375" s="47">
        <v>0</v>
      </c>
      <c r="CL375" s="47">
        <v>0</v>
      </c>
      <c r="CM375" s="47">
        <v>0</v>
      </c>
      <c r="CN375" s="47">
        <v>0</v>
      </c>
      <c r="CO375" s="47">
        <v>0</v>
      </c>
      <c r="CP375" s="47">
        <v>0</v>
      </c>
      <c r="CQ375" s="47">
        <v>0</v>
      </c>
      <c r="CR375" s="47">
        <v>0</v>
      </c>
      <c r="CS375" s="47">
        <v>0</v>
      </c>
      <c r="CT375" s="47">
        <v>0</v>
      </c>
      <c r="CU375" s="47">
        <v>0</v>
      </c>
      <c r="CV375" s="47">
        <v>0</v>
      </c>
      <c r="CW375" s="47">
        <v>0</v>
      </c>
      <c r="CX375" s="47">
        <v>0</v>
      </c>
      <c r="CY375" s="47">
        <v>0</v>
      </c>
      <c r="CZ375" s="47">
        <v>0</v>
      </c>
      <c r="DA375" s="47">
        <v>0</v>
      </c>
      <c r="DB375" s="47">
        <v>0</v>
      </c>
      <c r="DC375" s="47">
        <v>0</v>
      </c>
      <c r="DD375" s="47">
        <v>0</v>
      </c>
      <c r="DE375" s="47">
        <v>0</v>
      </c>
      <c r="DF375" s="47">
        <v>0</v>
      </c>
      <c r="DG375" s="47">
        <v>0</v>
      </c>
      <c r="DH375" s="47">
        <v>0</v>
      </c>
      <c r="DI375" s="47">
        <v>0</v>
      </c>
      <c r="DJ375" s="47">
        <v>0</v>
      </c>
      <c r="DK375" s="47">
        <v>0</v>
      </c>
      <c r="DL375" s="47">
        <v>0</v>
      </c>
      <c r="DM375" s="47">
        <v>0</v>
      </c>
      <c r="DN375" s="47">
        <v>0</v>
      </c>
      <c r="DO375" s="47">
        <v>0</v>
      </c>
      <c r="DP375" s="47">
        <v>0</v>
      </c>
      <c r="DQ375" s="47">
        <v>0</v>
      </c>
      <c r="DR375" s="47">
        <v>0</v>
      </c>
      <c r="DS375" s="47">
        <v>0</v>
      </c>
      <c r="DT375" s="47">
        <v>0</v>
      </c>
      <c r="DU375" s="47">
        <v>0</v>
      </c>
      <c r="DV375" s="47">
        <v>0</v>
      </c>
      <c r="DW375" s="47">
        <v>0</v>
      </c>
      <c r="DX375" s="47">
        <v>0</v>
      </c>
      <c r="DY375" s="47">
        <v>0</v>
      </c>
      <c r="DZ375" s="47">
        <v>0</v>
      </c>
      <c r="EA375" s="47">
        <v>0</v>
      </c>
      <c r="EB375" s="47"/>
      <c r="EC375" s="47">
        <v>1</v>
      </c>
      <c r="ZZ375" t="s">
        <v>2472</v>
      </c>
    </row>
    <row r="376" spans="1:702" x14ac:dyDescent="0.25">
      <c r="A376" s="47" t="s">
        <v>1816</v>
      </c>
      <c r="B376" s="47" t="s">
        <v>153</v>
      </c>
      <c r="C376" s="47" t="s">
        <v>157</v>
      </c>
      <c r="D376" s="47" t="s">
        <v>2859</v>
      </c>
      <c r="E376" s="47" t="s">
        <v>1817</v>
      </c>
      <c r="F376" s="47" t="s">
        <v>1818</v>
      </c>
      <c r="G376" s="47" t="s">
        <v>1819</v>
      </c>
      <c r="H376" s="47" t="s">
        <v>698</v>
      </c>
      <c r="I376" s="47" t="s">
        <v>727</v>
      </c>
      <c r="J376" s="47" t="str">
        <f>=IFERROR(VLOOKUP(H376&amp;I376,Table_Fonctions!A:G,6,FALSE),"")</f>
        <v>0</v>
      </c>
      <c r="K376" s="47" t="s">
        <v>2607</v>
      </c>
      <c r="L376" s="47" t="str">
        <f>=IFERROR(VLOOKUP(H376&amp;I376,Table_Fonctions!A:G,7,FALSE),K376)</f>
        <v/>
      </c>
      <c r="M376" s="47" t="str">
        <f>=IF(OR(LEFT(D376, 3)="TJ ", LEFT(D376, 4)="CPH "), "OUI", "NON")</f>
        <v/>
      </c>
      <c r="N376" s="47" t="s">
        <v>728</v>
      </c>
      <c r="O376" s="47"/>
      <c r="P376" s="47">
        <v>0.8</v>
      </c>
      <c r="Q376" s="47">
        <v>0</v>
      </c>
      <c r="R376" s="47">
        <v>0.8</v>
      </c>
      <c r="S376" s="47">
        <f>=ROUND(BQ376-(BR376+BS376),3)</f>
      </c>
      <c r="T376" s="47">
        <f>=ROUND(CK376-(CL376+CM376+CN376+CO376+CP376),3)</f>
      </c>
      <c r="U376" s="47">
        <v>0</v>
      </c>
      <c r="V376" s="47">
        <v>0</v>
      </c>
      <c r="W376" s="47">
        <v>0</v>
      </c>
      <c r="X376" s="47">
        <v>0</v>
      </c>
      <c r="Y376" s="47">
        <v>0</v>
      </c>
      <c r="Z376" s="47">
        <v>0</v>
      </c>
      <c r="AA376" s="47">
        <v>0</v>
      </c>
      <c r="AB376" s="47">
        <v>0</v>
      </c>
      <c r="AC376" s="47">
        <v>0</v>
      </c>
      <c r="AD376" s="47">
        <v>0</v>
      </c>
      <c r="AE376" s="47">
        <v>0</v>
      </c>
      <c r="AF376" s="47">
        <v>0</v>
      </c>
      <c r="AG376" s="47">
        <v>0</v>
      </c>
      <c r="AH376" s="47">
        <v>0</v>
      </c>
      <c r="AI376" s="47">
        <v>0</v>
      </c>
      <c r="AJ376" s="47">
        <v>0</v>
      </c>
      <c r="AK376" s="47">
        <v>0</v>
      </c>
      <c r="AL376" s="47">
        <v>0</v>
      </c>
      <c r="AM376" s="47">
        <v>0</v>
      </c>
      <c r="AN376" s="47">
        <v>0</v>
      </c>
      <c r="AO376" s="47">
        <v>0</v>
      </c>
      <c r="AP376" s="47">
        <v>0</v>
      </c>
      <c r="AQ376" s="47">
        <v>0</v>
      </c>
      <c r="AR376" s="47">
        <v>0</v>
      </c>
      <c r="AS376" s="47">
        <v>0</v>
      </c>
      <c r="AT376" s="47">
        <v>0</v>
      </c>
      <c r="AU376" s="47">
        <v>0</v>
      </c>
      <c r="AV376" s="47">
        <v>0</v>
      </c>
      <c r="AW376" s="47">
        <v>0</v>
      </c>
      <c r="AX376" s="47">
        <v>0</v>
      </c>
      <c r="AY376" s="47">
        <v>0</v>
      </c>
      <c r="AZ376" s="47">
        <v>0</v>
      </c>
      <c r="BA376" s="47">
        <v>0</v>
      </c>
      <c r="BB376" s="47">
        <v>0</v>
      </c>
      <c r="BC376" s="47">
        <v>0</v>
      </c>
      <c r="BD376" s="47">
        <v>0</v>
      </c>
      <c r="BE376" s="47">
        <v>0</v>
      </c>
      <c r="BF376" s="47">
        <v>0</v>
      </c>
      <c r="BG376" s="47">
        <v>0</v>
      </c>
      <c r="BH376" s="47">
        <v>0</v>
      </c>
      <c r="BI376" s="47">
        <v>0</v>
      </c>
      <c r="BJ376" s="47">
        <v>0</v>
      </c>
      <c r="BK376" s="47">
        <v>0</v>
      </c>
      <c r="BL376" s="47">
        <v>0</v>
      </c>
      <c r="BM376" s="47">
        <v>0</v>
      </c>
      <c r="BN376" s="47">
        <v>0</v>
      </c>
      <c r="BO376" s="47">
        <v>0</v>
      </c>
      <c r="BP376" s="47">
        <v>0</v>
      </c>
      <c r="BQ376" s="47">
        <v>0</v>
      </c>
      <c r="BR376" s="47">
        <v>0</v>
      </c>
      <c r="BS376" s="47">
        <v>0</v>
      </c>
      <c r="BT376" s="47">
        <v>0</v>
      </c>
      <c r="BU376" s="47">
        <v>0</v>
      </c>
      <c r="BV376" s="47">
        <v>0</v>
      </c>
      <c r="BW376" s="47">
        <v>0</v>
      </c>
      <c r="BX376" s="47">
        <v>0</v>
      </c>
      <c r="BY376" s="47">
        <v>0</v>
      </c>
      <c r="BZ376" s="47">
        <v>0</v>
      </c>
      <c r="CA376" s="47">
        <v>0</v>
      </c>
      <c r="CB376" s="47">
        <v>0</v>
      </c>
      <c r="CC376" s="47">
        <v>0</v>
      </c>
      <c r="CD376" s="47">
        <v>0</v>
      </c>
      <c r="CE376" s="47">
        <v>0</v>
      </c>
      <c r="CF376" s="47">
        <v>0</v>
      </c>
      <c r="CG376" s="47">
        <v>0</v>
      </c>
      <c r="CH376" s="47">
        <v>0</v>
      </c>
      <c r="CI376" s="47">
        <v>0</v>
      </c>
      <c r="CJ376" s="47">
        <v>0</v>
      </c>
      <c r="CK376" s="47">
        <v>0</v>
      </c>
      <c r="CL376" s="47">
        <v>0</v>
      </c>
      <c r="CM376" s="47">
        <v>0</v>
      </c>
      <c r="CN376" s="47">
        <v>0</v>
      </c>
      <c r="CO376" s="47">
        <v>0</v>
      </c>
      <c r="CP376" s="47">
        <v>0</v>
      </c>
      <c r="CQ376" s="47">
        <v>0</v>
      </c>
      <c r="CR376" s="47">
        <v>0</v>
      </c>
      <c r="CS376" s="47">
        <v>0</v>
      </c>
      <c r="CT376" s="47">
        <v>0</v>
      </c>
      <c r="CU376" s="47">
        <v>0</v>
      </c>
      <c r="CV376" s="47">
        <v>0</v>
      </c>
      <c r="CW376" s="47">
        <v>0</v>
      </c>
      <c r="CX376" s="47">
        <v>0</v>
      </c>
      <c r="CY376" s="47">
        <v>0</v>
      </c>
      <c r="CZ376" s="47">
        <v>0</v>
      </c>
      <c r="DA376" s="47">
        <v>0</v>
      </c>
      <c r="DB376" s="47">
        <v>0</v>
      </c>
      <c r="DC376" s="47">
        <v>0</v>
      </c>
      <c r="DD376" s="47">
        <v>0</v>
      </c>
      <c r="DE376" s="47">
        <v>0</v>
      </c>
      <c r="DF376" s="47">
        <v>0</v>
      </c>
      <c r="DG376" s="47">
        <v>0</v>
      </c>
      <c r="DH376" s="47">
        <v>0</v>
      </c>
      <c r="DI376" s="47">
        <v>0</v>
      </c>
      <c r="DJ376" s="47">
        <v>0</v>
      </c>
      <c r="DK376" s="47">
        <v>0</v>
      </c>
      <c r="DL376" s="47">
        <v>0</v>
      </c>
      <c r="DM376" s="47">
        <v>0</v>
      </c>
      <c r="DN376" s="47">
        <v>0</v>
      </c>
      <c r="DO376" s="47">
        <v>0</v>
      </c>
      <c r="DP376" s="47">
        <v>0</v>
      </c>
      <c r="DQ376" s="47">
        <v>0</v>
      </c>
      <c r="DR376" s="47">
        <v>0</v>
      </c>
      <c r="DS376" s="47">
        <v>0</v>
      </c>
      <c r="DT376" s="47">
        <v>0</v>
      </c>
      <c r="DU376" s="47">
        <v>0</v>
      </c>
      <c r="DV376" s="47">
        <v>0</v>
      </c>
      <c r="DW376" s="47">
        <v>0</v>
      </c>
      <c r="DX376" s="47">
        <v>0</v>
      </c>
      <c r="DY376" s="47">
        <v>0</v>
      </c>
      <c r="DZ376" s="47">
        <v>0</v>
      </c>
      <c r="EA376" s="47">
        <v>0</v>
      </c>
      <c r="EB376" s="47"/>
      <c r="EC376" s="47">
        <v>0.8</v>
      </c>
      <c r="ZZ376" t="s">
        <v>2472</v>
      </c>
    </row>
    <row r="377" spans="1:702" x14ac:dyDescent="0.25">
      <c r="A377" s="47" t="s">
        <v>1820</v>
      </c>
      <c r="B377" s="47" t="s">
        <v>153</v>
      </c>
      <c r="C377" s="47" t="s">
        <v>157</v>
      </c>
      <c r="D377" s="47" t="s">
        <v>2860</v>
      </c>
      <c r="E377" s="47" t="s">
        <v>1821</v>
      </c>
      <c r="F377" s="47" t="s">
        <v>1822</v>
      </c>
      <c r="G377" s="47" t="s">
        <v>1823</v>
      </c>
      <c r="H377" s="47" t="s">
        <v>698</v>
      </c>
      <c r="I377" s="47" t="s">
        <v>705</v>
      </c>
      <c r="J377" s="47" t="str">
        <f>=IFERROR(VLOOKUP(H377&amp;I377,Table_Fonctions!A:G,6,FALSE),"")</f>
        <v>0</v>
      </c>
      <c r="K377" s="47" t="s">
        <v>2607</v>
      </c>
      <c r="L377" s="47" t="str">
        <f>=IFERROR(VLOOKUP(H377&amp;I377,Table_Fonctions!A:G,7,FALSE),K377)</f>
        <v/>
      </c>
      <c r="M377" s="47" t="str">
        <f>=IF(OR(LEFT(D377, 3)="TJ ", LEFT(D377, 4)="CPH "), "OUI", "NON")</f>
        <v/>
      </c>
      <c r="N377" s="47" t="s">
        <v>1155</v>
      </c>
      <c r="O377" s="47"/>
      <c r="P377" s="47">
        <v>1</v>
      </c>
      <c r="Q377" s="47">
        <v>0</v>
      </c>
      <c r="R377" s="47">
        <v>1</v>
      </c>
      <c r="S377" s="47">
        <f>=ROUND(BQ377-(BR377+BS377),3)</f>
      </c>
      <c r="T377" s="47">
        <f>=ROUND(CK377-(CL377+CM377+CN377+CO377+CP377),3)</f>
      </c>
      <c r="U377" s="47">
        <v>0</v>
      </c>
      <c r="V377" s="47">
        <v>0</v>
      </c>
      <c r="W377" s="47">
        <v>0</v>
      </c>
      <c r="X377" s="47">
        <v>0</v>
      </c>
      <c r="Y377" s="47">
        <v>0</v>
      </c>
      <c r="Z377" s="47">
        <v>0</v>
      </c>
      <c r="AA377" s="47">
        <v>0</v>
      </c>
      <c r="AB377" s="47">
        <v>0</v>
      </c>
      <c r="AC377" s="47">
        <v>0</v>
      </c>
      <c r="AD377" s="47">
        <v>0</v>
      </c>
      <c r="AE377" s="47">
        <v>0</v>
      </c>
      <c r="AF377" s="47">
        <v>0</v>
      </c>
      <c r="AG377" s="47">
        <v>0</v>
      </c>
      <c r="AH377" s="47">
        <v>0</v>
      </c>
      <c r="AI377" s="47">
        <v>0</v>
      </c>
      <c r="AJ377" s="47">
        <v>0</v>
      </c>
      <c r="AK377" s="47">
        <v>0</v>
      </c>
      <c r="AL377" s="47">
        <v>0</v>
      </c>
      <c r="AM377" s="47">
        <v>0</v>
      </c>
      <c r="AN377" s="47">
        <v>0</v>
      </c>
      <c r="AO377" s="47">
        <v>0</v>
      </c>
      <c r="AP377" s="47">
        <v>0</v>
      </c>
      <c r="AQ377" s="47">
        <v>0</v>
      </c>
      <c r="AR377" s="47">
        <v>0</v>
      </c>
      <c r="AS377" s="47">
        <v>0</v>
      </c>
      <c r="AT377" s="47">
        <v>0</v>
      </c>
      <c r="AU377" s="47">
        <v>0</v>
      </c>
      <c r="AV377" s="47">
        <v>0</v>
      </c>
      <c r="AW377" s="47">
        <v>0</v>
      </c>
      <c r="AX377" s="47">
        <v>0</v>
      </c>
      <c r="AY377" s="47">
        <v>0</v>
      </c>
      <c r="AZ377" s="47">
        <v>0</v>
      </c>
      <c r="BA377" s="47">
        <v>0</v>
      </c>
      <c r="BB377" s="47">
        <v>0</v>
      </c>
      <c r="BC377" s="47">
        <v>0</v>
      </c>
      <c r="BD377" s="47">
        <v>0</v>
      </c>
      <c r="BE377" s="47">
        <v>0</v>
      </c>
      <c r="BF377" s="47">
        <v>0</v>
      </c>
      <c r="BG377" s="47">
        <v>0</v>
      </c>
      <c r="BH377" s="47">
        <v>0</v>
      </c>
      <c r="BI377" s="47">
        <v>0</v>
      </c>
      <c r="BJ377" s="47">
        <v>0</v>
      </c>
      <c r="BK377" s="47">
        <v>0</v>
      </c>
      <c r="BL377" s="47">
        <v>0</v>
      </c>
      <c r="BM377" s="47">
        <v>0</v>
      </c>
      <c r="BN377" s="47">
        <v>0</v>
      </c>
      <c r="BO377" s="47">
        <v>0</v>
      </c>
      <c r="BP377" s="47">
        <v>0</v>
      </c>
      <c r="BQ377" s="47">
        <v>0</v>
      </c>
      <c r="BR377" s="47">
        <v>0</v>
      </c>
      <c r="BS377" s="47">
        <v>0</v>
      </c>
      <c r="BT377" s="47">
        <v>0</v>
      </c>
      <c r="BU377" s="47">
        <v>0</v>
      </c>
      <c r="BV377" s="47">
        <v>0</v>
      </c>
      <c r="BW377" s="47">
        <v>0</v>
      </c>
      <c r="BX377" s="47">
        <v>0</v>
      </c>
      <c r="BY377" s="47">
        <v>0</v>
      </c>
      <c r="BZ377" s="47">
        <v>0</v>
      </c>
      <c r="CA377" s="47">
        <v>0</v>
      </c>
      <c r="CB377" s="47">
        <v>0</v>
      </c>
      <c r="CC377" s="47">
        <v>0</v>
      </c>
      <c r="CD377" s="47">
        <v>0</v>
      </c>
      <c r="CE377" s="47">
        <v>0</v>
      </c>
      <c r="CF377" s="47">
        <v>0</v>
      </c>
      <c r="CG377" s="47">
        <v>0</v>
      </c>
      <c r="CH377" s="47">
        <v>0</v>
      </c>
      <c r="CI377" s="47">
        <v>0</v>
      </c>
      <c r="CJ377" s="47">
        <v>0</v>
      </c>
      <c r="CK377" s="47">
        <v>0</v>
      </c>
      <c r="CL377" s="47">
        <v>0</v>
      </c>
      <c r="CM377" s="47">
        <v>0</v>
      </c>
      <c r="CN377" s="47">
        <v>0</v>
      </c>
      <c r="CO377" s="47">
        <v>0</v>
      </c>
      <c r="CP377" s="47">
        <v>0</v>
      </c>
      <c r="CQ377" s="47">
        <v>0</v>
      </c>
      <c r="CR377" s="47">
        <v>0</v>
      </c>
      <c r="CS377" s="47">
        <v>0</v>
      </c>
      <c r="CT377" s="47">
        <v>0</v>
      </c>
      <c r="CU377" s="47">
        <v>0</v>
      </c>
      <c r="CV377" s="47">
        <v>0</v>
      </c>
      <c r="CW377" s="47">
        <v>0</v>
      </c>
      <c r="CX377" s="47">
        <v>0</v>
      </c>
      <c r="CY377" s="47">
        <v>0</v>
      </c>
      <c r="CZ377" s="47">
        <v>0</v>
      </c>
      <c r="DA377" s="47">
        <v>0</v>
      </c>
      <c r="DB377" s="47">
        <v>0</v>
      </c>
      <c r="DC377" s="47">
        <v>0</v>
      </c>
      <c r="DD377" s="47">
        <v>0</v>
      </c>
      <c r="DE377" s="47">
        <v>0</v>
      </c>
      <c r="DF377" s="47">
        <v>0</v>
      </c>
      <c r="DG377" s="47">
        <v>0</v>
      </c>
      <c r="DH377" s="47">
        <v>0</v>
      </c>
      <c r="DI377" s="47">
        <v>0</v>
      </c>
      <c r="DJ377" s="47">
        <v>0</v>
      </c>
      <c r="DK377" s="47">
        <v>0</v>
      </c>
      <c r="DL377" s="47">
        <v>0</v>
      </c>
      <c r="DM377" s="47">
        <v>0</v>
      </c>
      <c r="DN377" s="47">
        <v>0</v>
      </c>
      <c r="DO377" s="47">
        <v>0</v>
      </c>
      <c r="DP377" s="47">
        <v>0</v>
      </c>
      <c r="DQ377" s="47">
        <v>0</v>
      </c>
      <c r="DR377" s="47">
        <v>0</v>
      </c>
      <c r="DS377" s="47">
        <v>0</v>
      </c>
      <c r="DT377" s="47">
        <v>0</v>
      </c>
      <c r="DU377" s="47">
        <v>0</v>
      </c>
      <c r="DV377" s="47">
        <v>0</v>
      </c>
      <c r="DW377" s="47">
        <v>0</v>
      </c>
      <c r="DX377" s="47">
        <v>0</v>
      </c>
      <c r="DY377" s="47">
        <v>0</v>
      </c>
      <c r="DZ377" s="47">
        <v>0</v>
      </c>
      <c r="EA377" s="47">
        <v>0</v>
      </c>
      <c r="EB377" s="47"/>
      <c r="EC377" s="47">
        <v>1</v>
      </c>
      <c r="ZZ377" t="s">
        <v>2472</v>
      </c>
    </row>
    <row r="378" spans="1:702" x14ac:dyDescent="0.25">
      <c r="A378" s="47" t="s">
        <v>1824</v>
      </c>
      <c r="B378" s="47" t="s">
        <v>153</v>
      </c>
      <c r="C378" s="47" t="s">
        <v>157</v>
      </c>
      <c r="D378" s="47" t="s">
        <v>2861</v>
      </c>
      <c r="E378" s="47" t="s">
        <v>1825</v>
      </c>
      <c r="F378" s="47" t="s">
        <v>1826</v>
      </c>
      <c r="G378" s="47" t="s">
        <v>1827</v>
      </c>
      <c r="H378" s="47" t="s">
        <v>698</v>
      </c>
      <c r="I378" s="47" t="s">
        <v>727</v>
      </c>
      <c r="J378" s="47" t="str">
        <f>=IFERROR(VLOOKUP(H378&amp;I378,Table_Fonctions!A:G,6,FALSE),"")</f>
        <v>0</v>
      </c>
      <c r="K378" s="47" t="s">
        <v>2607</v>
      </c>
      <c r="L378" s="47" t="str">
        <f>=IFERROR(VLOOKUP(H378&amp;I378,Table_Fonctions!A:G,7,FALSE),K378)</f>
        <v/>
      </c>
      <c r="M378" s="47" t="str">
        <f>=IF(OR(LEFT(D378, 3)="TJ ", LEFT(D378, 4)="CPH "), "OUI", "NON")</f>
        <v/>
      </c>
      <c r="N378" s="47" t="s">
        <v>1390</v>
      </c>
      <c r="O378" s="47"/>
      <c r="P378" s="47">
        <v>1</v>
      </c>
      <c r="Q378" s="47">
        <v>1</v>
      </c>
      <c r="R378" s="47">
        <v>0</v>
      </c>
      <c r="S378" s="47">
        <f>=ROUND(BQ378-(BR378+BS378),3)</f>
      </c>
      <c r="T378" s="47">
        <f>=ROUND(CK378-(CL378+CM378+CN378+CO378+CP378),3)</f>
      </c>
      <c r="U378" s="47">
        <v>0</v>
      </c>
      <c r="V378" s="47">
        <v>0</v>
      </c>
      <c r="W378" s="47">
        <v>0</v>
      </c>
      <c r="X378" s="47">
        <v>0</v>
      </c>
      <c r="Y378" s="47">
        <v>0</v>
      </c>
      <c r="Z378" s="47">
        <v>0</v>
      </c>
      <c r="AA378" s="47">
        <v>0</v>
      </c>
      <c r="AB378" s="47">
        <v>0</v>
      </c>
      <c r="AC378" s="47">
        <v>0</v>
      </c>
      <c r="AD378" s="47">
        <v>0</v>
      </c>
      <c r="AE378" s="47">
        <v>0</v>
      </c>
      <c r="AF378" s="47">
        <v>0</v>
      </c>
      <c r="AG378" s="47">
        <v>0</v>
      </c>
      <c r="AH378" s="47">
        <v>0</v>
      </c>
      <c r="AI378" s="47">
        <v>0</v>
      </c>
      <c r="AJ378" s="47">
        <v>0</v>
      </c>
      <c r="AK378" s="47">
        <v>0</v>
      </c>
      <c r="AL378" s="47">
        <v>0</v>
      </c>
      <c r="AM378" s="47">
        <v>0</v>
      </c>
      <c r="AN378" s="47">
        <v>0</v>
      </c>
      <c r="AO378" s="47">
        <v>0</v>
      </c>
      <c r="AP378" s="47">
        <v>0</v>
      </c>
      <c r="AQ378" s="47">
        <v>0</v>
      </c>
      <c r="AR378" s="47">
        <v>0</v>
      </c>
      <c r="AS378" s="47">
        <v>0</v>
      </c>
      <c r="AT378" s="47">
        <v>0</v>
      </c>
      <c r="AU378" s="47">
        <v>0</v>
      </c>
      <c r="AV378" s="47">
        <v>0</v>
      </c>
      <c r="AW378" s="47">
        <v>0</v>
      </c>
      <c r="AX378" s="47">
        <v>0</v>
      </c>
      <c r="AY378" s="47">
        <v>0</v>
      </c>
      <c r="AZ378" s="47">
        <v>0</v>
      </c>
      <c r="BA378" s="47">
        <v>0</v>
      </c>
      <c r="BB378" s="47">
        <v>0</v>
      </c>
      <c r="BC378" s="47">
        <v>0</v>
      </c>
      <c r="BD378" s="47">
        <v>0</v>
      </c>
      <c r="BE378" s="47">
        <v>0</v>
      </c>
      <c r="BF378" s="47">
        <v>0</v>
      </c>
      <c r="BG378" s="47">
        <v>0</v>
      </c>
      <c r="BH378" s="47">
        <v>0</v>
      </c>
      <c r="BI378" s="47">
        <v>0</v>
      </c>
      <c r="BJ378" s="47">
        <v>0</v>
      </c>
      <c r="BK378" s="47">
        <v>0</v>
      </c>
      <c r="BL378" s="47">
        <v>0</v>
      </c>
      <c r="BM378" s="47">
        <v>1</v>
      </c>
      <c r="BN378" s="47">
        <v>0</v>
      </c>
      <c r="BO378" s="47">
        <v>0</v>
      </c>
      <c r="BP378" s="47">
        <v>0</v>
      </c>
      <c r="BQ378" s="47">
        <v>0</v>
      </c>
      <c r="BR378" s="47">
        <v>0</v>
      </c>
      <c r="BS378" s="47">
        <v>0</v>
      </c>
      <c r="BT378" s="47">
        <v>0</v>
      </c>
      <c r="BU378" s="47">
        <v>0</v>
      </c>
      <c r="BV378" s="47">
        <v>0</v>
      </c>
      <c r="BW378" s="47">
        <v>0</v>
      </c>
      <c r="BX378" s="47">
        <v>0</v>
      </c>
      <c r="BY378" s="47">
        <v>0</v>
      </c>
      <c r="BZ378" s="47">
        <v>0</v>
      </c>
      <c r="CA378" s="47">
        <v>0</v>
      </c>
      <c r="CB378" s="47">
        <v>0</v>
      </c>
      <c r="CC378" s="47">
        <v>0</v>
      </c>
      <c r="CD378" s="47">
        <v>0</v>
      </c>
      <c r="CE378" s="47">
        <v>0</v>
      </c>
      <c r="CF378" s="47">
        <v>0</v>
      </c>
      <c r="CG378" s="47">
        <v>0</v>
      </c>
      <c r="CH378" s="47">
        <v>0</v>
      </c>
      <c r="CI378" s="47">
        <v>0</v>
      </c>
      <c r="CJ378" s="47">
        <v>0</v>
      </c>
      <c r="CK378" s="47">
        <v>0</v>
      </c>
      <c r="CL378" s="47">
        <v>0</v>
      </c>
      <c r="CM378" s="47">
        <v>0</v>
      </c>
      <c r="CN378" s="47">
        <v>0</v>
      </c>
      <c r="CO378" s="47">
        <v>0</v>
      </c>
      <c r="CP378" s="47">
        <v>0</v>
      </c>
      <c r="CQ378" s="47">
        <v>0</v>
      </c>
      <c r="CR378" s="47">
        <v>0</v>
      </c>
      <c r="CS378" s="47">
        <v>0</v>
      </c>
      <c r="CT378" s="47">
        <v>0</v>
      </c>
      <c r="CU378" s="47">
        <v>0</v>
      </c>
      <c r="CV378" s="47">
        <v>0</v>
      </c>
      <c r="CW378" s="47">
        <v>0</v>
      </c>
      <c r="CX378" s="47">
        <v>0</v>
      </c>
      <c r="CY378" s="47">
        <v>0</v>
      </c>
      <c r="CZ378" s="47">
        <v>0</v>
      </c>
      <c r="DA378" s="47">
        <v>0</v>
      </c>
      <c r="DB378" s="47">
        <v>0</v>
      </c>
      <c r="DC378" s="47">
        <v>0</v>
      </c>
      <c r="DD378" s="47">
        <v>0</v>
      </c>
      <c r="DE378" s="47">
        <v>0</v>
      </c>
      <c r="DF378" s="47">
        <v>0</v>
      </c>
      <c r="DG378" s="47">
        <v>0</v>
      </c>
      <c r="DH378" s="47">
        <v>0</v>
      </c>
      <c r="DI378" s="47">
        <v>0</v>
      </c>
      <c r="DJ378" s="47">
        <v>0</v>
      </c>
      <c r="DK378" s="47">
        <v>0</v>
      </c>
      <c r="DL378" s="47">
        <v>0</v>
      </c>
      <c r="DM378" s="47">
        <v>0</v>
      </c>
      <c r="DN378" s="47">
        <v>0</v>
      </c>
      <c r="DO378" s="47">
        <v>0</v>
      </c>
      <c r="DP378" s="47">
        <v>0</v>
      </c>
      <c r="DQ378" s="47">
        <v>0</v>
      </c>
      <c r="DR378" s="47">
        <v>0</v>
      </c>
      <c r="DS378" s="47">
        <v>0</v>
      </c>
      <c r="DT378" s="47">
        <v>0</v>
      </c>
      <c r="DU378" s="47">
        <v>0</v>
      </c>
      <c r="DV378" s="47">
        <v>0</v>
      </c>
      <c r="DW378" s="47">
        <v>0</v>
      </c>
      <c r="DX378" s="47">
        <v>0</v>
      </c>
      <c r="DY378" s="47">
        <v>0</v>
      </c>
      <c r="DZ378" s="47">
        <v>0</v>
      </c>
      <c r="EA378" s="47">
        <v>0</v>
      </c>
      <c r="EB378" s="47"/>
      <c r="EC378" s="47">
        <v>1</v>
      </c>
      <c r="ZZ378" t="s">
        <v>2472</v>
      </c>
    </row>
    <row r="379" spans="1:702" x14ac:dyDescent="0.25">
      <c r="A379" s="47" t="s">
        <v>1828</v>
      </c>
      <c r="B379" s="47" t="s">
        <v>153</v>
      </c>
      <c r="C379" s="47" t="s">
        <v>157</v>
      </c>
      <c r="D379" s="47" t="s">
        <v>2862</v>
      </c>
      <c r="E379" s="47" t="s">
        <v>1829</v>
      </c>
      <c r="F379" s="47" t="s">
        <v>1830</v>
      </c>
      <c r="G379" s="47" t="s">
        <v>1831</v>
      </c>
      <c r="H379" s="47" t="s">
        <v>698</v>
      </c>
      <c r="I379" s="47" t="s">
        <v>2863</v>
      </c>
      <c r="J379" s="47" t="str">
        <f>=IFERROR(VLOOKUP(H379&amp;I379,Table_Fonctions!A:G,6,FALSE),"")</f>
        <v>0</v>
      </c>
      <c r="K379" s="47" t="s">
        <v>2632</v>
      </c>
      <c r="L379" s="47" t="str">
        <f>=IFERROR(VLOOKUP(H379&amp;I379,Table_Fonctions!A:G,7,FALSE),K379)</f>
        <v/>
      </c>
      <c r="M379" s="47" t="str">
        <f>=IF(OR(LEFT(D379, 3)="TJ ", LEFT(D379, 4)="CPH "), "OUI", "NON")</f>
        <v/>
      </c>
      <c r="N379" s="47" t="s">
        <v>1833</v>
      </c>
      <c r="O379" s="47"/>
      <c r="P379" s="47">
        <v>1</v>
      </c>
      <c r="Q379" s="47">
        <v>1</v>
      </c>
      <c r="R379" s="47">
        <v>0</v>
      </c>
      <c r="S379" s="47">
        <f>=ROUND(BQ379-(BR379+BS379),3)</f>
      </c>
      <c r="T379" s="47">
        <f>=ROUND(CK379-(CL379+CM379+CN379+CO379+CP379),3)</f>
      </c>
      <c r="U379" s="47">
        <v>0</v>
      </c>
      <c r="V379" s="47">
        <v>0</v>
      </c>
      <c r="W379" s="47">
        <v>0</v>
      </c>
      <c r="X379" s="47">
        <v>0</v>
      </c>
      <c r="Y379" s="47">
        <v>0</v>
      </c>
      <c r="Z379" s="47">
        <v>0</v>
      </c>
      <c r="AA379" s="47">
        <v>0</v>
      </c>
      <c r="AB379" s="47">
        <v>0</v>
      </c>
      <c r="AC379" s="47">
        <v>0</v>
      </c>
      <c r="AD379" s="47">
        <v>0</v>
      </c>
      <c r="AE379" s="47">
        <v>0</v>
      </c>
      <c r="AF379" s="47">
        <v>0</v>
      </c>
      <c r="AG379" s="47">
        <v>0</v>
      </c>
      <c r="AH379" s="47">
        <v>0</v>
      </c>
      <c r="AI379" s="47">
        <v>0</v>
      </c>
      <c r="AJ379" s="47">
        <v>0</v>
      </c>
      <c r="AK379" s="47">
        <v>0</v>
      </c>
      <c r="AL379" s="47">
        <v>0</v>
      </c>
      <c r="AM379" s="47">
        <v>0</v>
      </c>
      <c r="AN379" s="47">
        <v>0</v>
      </c>
      <c r="AO379" s="47">
        <v>0</v>
      </c>
      <c r="AP379" s="47">
        <v>0</v>
      </c>
      <c r="AQ379" s="47">
        <v>0</v>
      </c>
      <c r="AR379" s="47">
        <v>0</v>
      </c>
      <c r="AS379" s="47">
        <v>0</v>
      </c>
      <c r="AT379" s="47">
        <v>0</v>
      </c>
      <c r="AU379" s="47">
        <v>0</v>
      </c>
      <c r="AV379" s="47">
        <v>0</v>
      </c>
      <c r="AW379" s="47">
        <v>0</v>
      </c>
      <c r="AX379" s="47">
        <v>0</v>
      </c>
      <c r="AY379" s="47">
        <v>0</v>
      </c>
      <c r="AZ379" s="47">
        <v>0</v>
      </c>
      <c r="BA379" s="47">
        <v>0</v>
      </c>
      <c r="BB379" s="47">
        <v>0</v>
      </c>
      <c r="BC379" s="47">
        <v>0</v>
      </c>
      <c r="BD379" s="47">
        <v>0</v>
      </c>
      <c r="BE379" s="47">
        <v>0</v>
      </c>
      <c r="BF379" s="47">
        <v>0</v>
      </c>
      <c r="BG379" s="47">
        <v>0</v>
      </c>
      <c r="BH379" s="47">
        <v>0</v>
      </c>
      <c r="BI379" s="47">
        <v>0</v>
      </c>
      <c r="BJ379" s="47">
        <v>0</v>
      </c>
      <c r="BK379" s="47">
        <v>0</v>
      </c>
      <c r="BL379" s="47">
        <v>0</v>
      </c>
      <c r="BM379" s="47">
        <v>0</v>
      </c>
      <c r="BN379" s="47">
        <v>0</v>
      </c>
      <c r="BO379" s="47">
        <v>0</v>
      </c>
      <c r="BP379" s="47">
        <v>0</v>
      </c>
      <c r="BQ379" s="47">
        <v>0</v>
      </c>
      <c r="BR379" s="47">
        <v>0</v>
      </c>
      <c r="BS379" s="47">
        <v>0</v>
      </c>
      <c r="BT379" s="47">
        <v>1</v>
      </c>
      <c r="BU379" s="47">
        <v>0</v>
      </c>
      <c r="BV379" s="47">
        <v>0.2</v>
      </c>
      <c r="BW379" s="47">
        <v>0</v>
      </c>
      <c r="BX379" s="47">
        <v>0</v>
      </c>
      <c r="BY379" s="47">
        <v>0</v>
      </c>
      <c r="BZ379" s="47">
        <v>0.8</v>
      </c>
      <c r="CA379" s="47">
        <v>0</v>
      </c>
      <c r="CB379" s="47">
        <v>0</v>
      </c>
      <c r="CC379" s="47">
        <v>0</v>
      </c>
      <c r="CD379" s="47">
        <v>0</v>
      </c>
      <c r="CE379" s="47">
        <v>0</v>
      </c>
      <c r="CF379" s="47">
        <v>0</v>
      </c>
      <c r="CG379" s="47">
        <v>0</v>
      </c>
      <c r="CH379" s="47">
        <v>0</v>
      </c>
      <c r="CI379" s="47">
        <v>0</v>
      </c>
      <c r="CJ379" s="47">
        <v>0</v>
      </c>
      <c r="CK379" s="47">
        <v>0</v>
      </c>
      <c r="CL379" s="47">
        <v>0</v>
      </c>
      <c r="CM379" s="47">
        <v>0</v>
      </c>
      <c r="CN379" s="47">
        <v>0</v>
      </c>
      <c r="CO379" s="47">
        <v>0</v>
      </c>
      <c r="CP379" s="47">
        <v>0</v>
      </c>
      <c r="CQ379" s="47">
        <v>0</v>
      </c>
      <c r="CR379" s="47">
        <v>0</v>
      </c>
      <c r="CS379" s="47">
        <v>0</v>
      </c>
      <c r="CT379" s="47">
        <v>0</v>
      </c>
      <c r="CU379" s="47">
        <v>0</v>
      </c>
      <c r="CV379" s="47">
        <v>0</v>
      </c>
      <c r="CW379" s="47">
        <v>0</v>
      </c>
      <c r="CX379" s="47">
        <v>0</v>
      </c>
      <c r="CY379" s="47">
        <v>0</v>
      </c>
      <c r="CZ379" s="47">
        <v>0</v>
      </c>
      <c r="DA379" s="47">
        <v>0</v>
      </c>
      <c r="DB379" s="47">
        <v>0</v>
      </c>
      <c r="DC379" s="47">
        <v>0</v>
      </c>
      <c r="DD379" s="47">
        <v>0</v>
      </c>
      <c r="DE379" s="47">
        <v>0</v>
      </c>
      <c r="DF379" s="47">
        <v>0</v>
      </c>
      <c r="DG379" s="47">
        <v>0</v>
      </c>
      <c r="DH379" s="47">
        <v>0</v>
      </c>
      <c r="DI379" s="47">
        <v>0</v>
      </c>
      <c r="DJ379" s="47">
        <v>0</v>
      </c>
      <c r="DK379" s="47">
        <v>0</v>
      </c>
      <c r="DL379" s="47">
        <v>0</v>
      </c>
      <c r="DM379" s="47">
        <v>0</v>
      </c>
      <c r="DN379" s="47">
        <v>0</v>
      </c>
      <c r="DO379" s="47">
        <v>0</v>
      </c>
      <c r="DP379" s="47">
        <v>0</v>
      </c>
      <c r="DQ379" s="47">
        <v>0</v>
      </c>
      <c r="DR379" s="47">
        <v>0</v>
      </c>
      <c r="DS379" s="47">
        <v>0</v>
      </c>
      <c r="DT379" s="47">
        <v>0</v>
      </c>
      <c r="DU379" s="47">
        <v>0</v>
      </c>
      <c r="DV379" s="47">
        <v>0</v>
      </c>
      <c r="DW379" s="47">
        <v>0</v>
      </c>
      <c r="DX379" s="47">
        <v>0</v>
      </c>
      <c r="DY379" s="47">
        <v>0</v>
      </c>
      <c r="DZ379" s="47">
        <v>0</v>
      </c>
      <c r="EA379" s="47">
        <v>0</v>
      </c>
      <c r="EB379" s="47"/>
      <c r="EC379" s="47">
        <v>1</v>
      </c>
      <c r="ZZ379" t="s">
        <v>2472</v>
      </c>
    </row>
    <row r="380" spans="1:702" x14ac:dyDescent="0.25">
      <c r="A380" s="47" t="s">
        <v>1834</v>
      </c>
      <c r="B380" s="47" t="s">
        <v>153</v>
      </c>
      <c r="C380" s="47" t="s">
        <v>157</v>
      </c>
      <c r="D380" s="47" t="s">
        <v>2864</v>
      </c>
      <c r="E380" s="47" t="s">
        <v>1835</v>
      </c>
      <c r="F380" s="47" t="s">
        <v>1836</v>
      </c>
      <c r="G380" s="47" t="s">
        <v>1837</v>
      </c>
      <c r="H380" s="47" t="s">
        <v>698</v>
      </c>
      <c r="I380" s="47" t="s">
        <v>705</v>
      </c>
      <c r="J380" s="47" t="str">
        <f>=IFERROR(VLOOKUP(H380&amp;I380,Table_Fonctions!A:G,6,FALSE),"")</f>
        <v>0</v>
      </c>
      <c r="K380" s="47" t="s">
        <v>2607</v>
      </c>
      <c r="L380" s="47" t="str">
        <f>=IFERROR(VLOOKUP(H380&amp;I380,Table_Fonctions!A:G,7,FALSE),K380)</f>
        <v/>
      </c>
      <c r="M380" s="47" t="str">
        <f>=IF(OR(LEFT(D380, 3)="TJ ", LEFT(D380, 4)="CPH "), "OUI", "NON")</f>
        <v/>
      </c>
      <c r="N380" s="47" t="s">
        <v>1838</v>
      </c>
      <c r="O380" s="47"/>
      <c r="P380" s="47">
        <v>0.8</v>
      </c>
      <c r="Q380" s="47">
        <v>0</v>
      </c>
      <c r="R380" s="47">
        <v>0.8</v>
      </c>
      <c r="S380" s="47">
        <f>=ROUND(BQ380-(BR380+BS380),3)</f>
      </c>
      <c r="T380" s="47">
        <f>=ROUND(CK380-(CL380+CM380+CN380+CO380+CP380),3)</f>
      </c>
      <c r="U380" s="47">
        <v>0</v>
      </c>
      <c r="V380" s="47">
        <v>0</v>
      </c>
      <c r="W380" s="47">
        <v>0</v>
      </c>
      <c r="X380" s="47">
        <v>0</v>
      </c>
      <c r="Y380" s="47">
        <v>0</v>
      </c>
      <c r="Z380" s="47">
        <v>0</v>
      </c>
      <c r="AA380" s="47">
        <v>0</v>
      </c>
      <c r="AB380" s="47">
        <v>0</v>
      </c>
      <c r="AC380" s="47">
        <v>0</v>
      </c>
      <c r="AD380" s="47">
        <v>0</v>
      </c>
      <c r="AE380" s="47">
        <v>0</v>
      </c>
      <c r="AF380" s="47">
        <v>0</v>
      </c>
      <c r="AG380" s="47">
        <v>0</v>
      </c>
      <c r="AH380" s="47">
        <v>0</v>
      </c>
      <c r="AI380" s="47">
        <v>0</v>
      </c>
      <c r="AJ380" s="47">
        <v>0</v>
      </c>
      <c r="AK380" s="47">
        <v>0</v>
      </c>
      <c r="AL380" s="47">
        <v>0</v>
      </c>
      <c r="AM380" s="47">
        <v>0</v>
      </c>
      <c r="AN380" s="47">
        <v>0</v>
      </c>
      <c r="AO380" s="47">
        <v>0</v>
      </c>
      <c r="AP380" s="47">
        <v>0</v>
      </c>
      <c r="AQ380" s="47">
        <v>0</v>
      </c>
      <c r="AR380" s="47">
        <v>0</v>
      </c>
      <c r="AS380" s="47">
        <v>0</v>
      </c>
      <c r="AT380" s="47">
        <v>0</v>
      </c>
      <c r="AU380" s="47">
        <v>0</v>
      </c>
      <c r="AV380" s="47">
        <v>0</v>
      </c>
      <c r="AW380" s="47">
        <v>0</v>
      </c>
      <c r="AX380" s="47">
        <v>0</v>
      </c>
      <c r="AY380" s="47">
        <v>0</v>
      </c>
      <c r="AZ380" s="47">
        <v>0</v>
      </c>
      <c r="BA380" s="47">
        <v>0</v>
      </c>
      <c r="BB380" s="47">
        <v>0</v>
      </c>
      <c r="BC380" s="47">
        <v>0</v>
      </c>
      <c r="BD380" s="47">
        <v>0</v>
      </c>
      <c r="BE380" s="47">
        <v>0</v>
      </c>
      <c r="BF380" s="47">
        <v>0</v>
      </c>
      <c r="BG380" s="47">
        <v>0</v>
      </c>
      <c r="BH380" s="47">
        <v>0</v>
      </c>
      <c r="BI380" s="47">
        <v>0</v>
      </c>
      <c r="BJ380" s="47">
        <v>0</v>
      </c>
      <c r="BK380" s="47">
        <v>0</v>
      </c>
      <c r="BL380" s="47">
        <v>0</v>
      </c>
      <c r="BM380" s="47">
        <v>0</v>
      </c>
      <c r="BN380" s="47">
        <v>0</v>
      </c>
      <c r="BO380" s="47">
        <v>0</v>
      </c>
      <c r="BP380" s="47">
        <v>0</v>
      </c>
      <c r="BQ380" s="47">
        <v>0</v>
      </c>
      <c r="BR380" s="47">
        <v>0</v>
      </c>
      <c r="BS380" s="47">
        <v>0</v>
      </c>
      <c r="BT380" s="47">
        <v>0</v>
      </c>
      <c r="BU380" s="47">
        <v>0</v>
      </c>
      <c r="BV380" s="47">
        <v>0</v>
      </c>
      <c r="BW380" s="47">
        <v>0</v>
      </c>
      <c r="BX380" s="47">
        <v>0</v>
      </c>
      <c r="BY380" s="47">
        <v>0</v>
      </c>
      <c r="BZ380" s="47">
        <v>0</v>
      </c>
      <c r="CA380" s="47">
        <v>0</v>
      </c>
      <c r="CB380" s="47">
        <v>0</v>
      </c>
      <c r="CC380" s="47">
        <v>0</v>
      </c>
      <c r="CD380" s="47">
        <v>0</v>
      </c>
      <c r="CE380" s="47">
        <v>0</v>
      </c>
      <c r="CF380" s="47">
        <v>0</v>
      </c>
      <c r="CG380" s="47">
        <v>0</v>
      </c>
      <c r="CH380" s="47">
        <v>0</v>
      </c>
      <c r="CI380" s="47">
        <v>0</v>
      </c>
      <c r="CJ380" s="47">
        <v>0</v>
      </c>
      <c r="CK380" s="47">
        <v>0</v>
      </c>
      <c r="CL380" s="47">
        <v>0</v>
      </c>
      <c r="CM380" s="47">
        <v>0</v>
      </c>
      <c r="CN380" s="47">
        <v>0</v>
      </c>
      <c r="CO380" s="47">
        <v>0</v>
      </c>
      <c r="CP380" s="47">
        <v>0</v>
      </c>
      <c r="CQ380" s="47">
        <v>0</v>
      </c>
      <c r="CR380" s="47">
        <v>0</v>
      </c>
      <c r="CS380" s="47">
        <v>0</v>
      </c>
      <c r="CT380" s="47">
        <v>0</v>
      </c>
      <c r="CU380" s="47">
        <v>0</v>
      </c>
      <c r="CV380" s="47">
        <v>0</v>
      </c>
      <c r="CW380" s="47">
        <v>0</v>
      </c>
      <c r="CX380" s="47">
        <v>0</v>
      </c>
      <c r="CY380" s="47">
        <v>0</v>
      </c>
      <c r="CZ380" s="47">
        <v>0</v>
      </c>
      <c r="DA380" s="47">
        <v>0</v>
      </c>
      <c r="DB380" s="47">
        <v>0</v>
      </c>
      <c r="DC380" s="47">
        <v>0</v>
      </c>
      <c r="DD380" s="47">
        <v>0</v>
      </c>
      <c r="DE380" s="47">
        <v>0</v>
      </c>
      <c r="DF380" s="47">
        <v>0</v>
      </c>
      <c r="DG380" s="47">
        <v>0</v>
      </c>
      <c r="DH380" s="47">
        <v>0</v>
      </c>
      <c r="DI380" s="47">
        <v>0</v>
      </c>
      <c r="DJ380" s="47">
        <v>0</v>
      </c>
      <c r="DK380" s="47">
        <v>0</v>
      </c>
      <c r="DL380" s="47">
        <v>0</v>
      </c>
      <c r="DM380" s="47">
        <v>0</v>
      </c>
      <c r="DN380" s="47">
        <v>0</v>
      </c>
      <c r="DO380" s="47">
        <v>0</v>
      </c>
      <c r="DP380" s="47">
        <v>0</v>
      </c>
      <c r="DQ380" s="47">
        <v>0</v>
      </c>
      <c r="DR380" s="47">
        <v>0</v>
      </c>
      <c r="DS380" s="47">
        <v>0</v>
      </c>
      <c r="DT380" s="47">
        <v>0</v>
      </c>
      <c r="DU380" s="47">
        <v>0</v>
      </c>
      <c r="DV380" s="47">
        <v>0</v>
      </c>
      <c r="DW380" s="47">
        <v>0</v>
      </c>
      <c r="DX380" s="47">
        <v>0</v>
      </c>
      <c r="DY380" s="47">
        <v>0</v>
      </c>
      <c r="DZ380" s="47">
        <v>0</v>
      </c>
      <c r="EA380" s="47">
        <v>0</v>
      </c>
      <c r="EB380" s="47"/>
      <c r="EC380" s="47">
        <v>0.8</v>
      </c>
      <c r="ZZ380" t="s">
        <v>2472</v>
      </c>
    </row>
    <row r="381" spans="1:702" x14ac:dyDescent="0.25">
      <c r="A381" s="47" t="s">
        <v>1839</v>
      </c>
      <c r="B381" s="47" t="s">
        <v>153</v>
      </c>
      <c r="C381" s="47" t="s">
        <v>157</v>
      </c>
      <c r="D381" s="47" t="s">
        <v>2865</v>
      </c>
      <c r="E381" s="47" t="s">
        <v>1840</v>
      </c>
      <c r="F381" s="47" t="s">
        <v>1841</v>
      </c>
      <c r="G381" s="47" t="s">
        <v>1842</v>
      </c>
      <c r="H381" s="47" t="s">
        <v>698</v>
      </c>
      <c r="I381" s="47" t="s">
        <v>705</v>
      </c>
      <c r="J381" s="47" t="str">
        <f>=IFERROR(VLOOKUP(H381&amp;I381,Table_Fonctions!A:G,6,FALSE),"")</f>
        <v>0</v>
      </c>
      <c r="K381" s="47" t="s">
        <v>2607</v>
      </c>
      <c r="L381" s="47" t="str">
        <f>=IFERROR(VLOOKUP(H381&amp;I381,Table_Fonctions!A:G,7,FALSE),K381)</f>
        <v/>
      </c>
      <c r="M381" s="47" t="str">
        <f>=IF(OR(LEFT(D381, 3)="TJ ", LEFT(D381, 4)="CPH "), "OUI", "NON")</f>
        <v/>
      </c>
      <c r="N381" s="47" t="s">
        <v>1843</v>
      </c>
      <c r="O381" s="47"/>
      <c r="P381" s="47">
        <v>0.9</v>
      </c>
      <c r="Q381" s="47">
        <v>0</v>
      </c>
      <c r="R381" s="47">
        <v>0.9</v>
      </c>
      <c r="S381" s="47">
        <f>=ROUND(BQ381-(BR381+BS381),3)</f>
      </c>
      <c r="T381" s="47">
        <f>=ROUND(CK381-(CL381+CM381+CN381+CO381+CP381),3)</f>
      </c>
      <c r="U381" s="47">
        <v>0</v>
      </c>
      <c r="V381" s="47">
        <v>0</v>
      </c>
      <c r="W381" s="47">
        <v>0</v>
      </c>
      <c r="X381" s="47">
        <v>0</v>
      </c>
      <c r="Y381" s="47">
        <v>0</v>
      </c>
      <c r="Z381" s="47">
        <v>0</v>
      </c>
      <c r="AA381" s="47">
        <v>0</v>
      </c>
      <c r="AB381" s="47">
        <v>0</v>
      </c>
      <c r="AC381" s="47">
        <v>0</v>
      </c>
      <c r="AD381" s="47">
        <v>0</v>
      </c>
      <c r="AE381" s="47">
        <v>0</v>
      </c>
      <c r="AF381" s="47">
        <v>0</v>
      </c>
      <c r="AG381" s="47">
        <v>0</v>
      </c>
      <c r="AH381" s="47">
        <v>0</v>
      </c>
      <c r="AI381" s="47">
        <v>0</v>
      </c>
      <c r="AJ381" s="47">
        <v>0</v>
      </c>
      <c r="AK381" s="47">
        <v>0</v>
      </c>
      <c r="AL381" s="47">
        <v>0</v>
      </c>
      <c r="AM381" s="47">
        <v>0</v>
      </c>
      <c r="AN381" s="47">
        <v>0</v>
      </c>
      <c r="AO381" s="47">
        <v>0</v>
      </c>
      <c r="AP381" s="47">
        <v>0</v>
      </c>
      <c r="AQ381" s="47">
        <v>0</v>
      </c>
      <c r="AR381" s="47">
        <v>0</v>
      </c>
      <c r="AS381" s="47">
        <v>0</v>
      </c>
      <c r="AT381" s="47">
        <v>0</v>
      </c>
      <c r="AU381" s="47">
        <v>0</v>
      </c>
      <c r="AV381" s="47">
        <v>0</v>
      </c>
      <c r="AW381" s="47">
        <v>0</v>
      </c>
      <c r="AX381" s="47">
        <v>0</v>
      </c>
      <c r="AY381" s="47">
        <v>0</v>
      </c>
      <c r="AZ381" s="47">
        <v>0</v>
      </c>
      <c r="BA381" s="47">
        <v>0</v>
      </c>
      <c r="BB381" s="47">
        <v>0</v>
      </c>
      <c r="BC381" s="47">
        <v>0</v>
      </c>
      <c r="BD381" s="47">
        <v>0</v>
      </c>
      <c r="BE381" s="47">
        <v>0</v>
      </c>
      <c r="BF381" s="47">
        <v>0</v>
      </c>
      <c r="BG381" s="47">
        <v>0</v>
      </c>
      <c r="BH381" s="47">
        <v>0</v>
      </c>
      <c r="BI381" s="47">
        <v>0</v>
      </c>
      <c r="BJ381" s="47">
        <v>0</v>
      </c>
      <c r="BK381" s="47">
        <v>0</v>
      </c>
      <c r="BL381" s="47">
        <v>0</v>
      </c>
      <c r="BM381" s="47">
        <v>0</v>
      </c>
      <c r="BN381" s="47">
        <v>0</v>
      </c>
      <c r="BO381" s="47">
        <v>0</v>
      </c>
      <c r="BP381" s="47">
        <v>0</v>
      </c>
      <c r="BQ381" s="47">
        <v>0</v>
      </c>
      <c r="BR381" s="47">
        <v>0</v>
      </c>
      <c r="BS381" s="47">
        <v>0</v>
      </c>
      <c r="BT381" s="47">
        <v>0</v>
      </c>
      <c r="BU381" s="47">
        <v>0</v>
      </c>
      <c r="BV381" s="47">
        <v>0</v>
      </c>
      <c r="BW381" s="47">
        <v>0</v>
      </c>
      <c r="BX381" s="47">
        <v>0</v>
      </c>
      <c r="BY381" s="47">
        <v>0</v>
      </c>
      <c r="BZ381" s="47">
        <v>0</v>
      </c>
      <c r="CA381" s="47">
        <v>0</v>
      </c>
      <c r="CB381" s="47">
        <v>0</v>
      </c>
      <c r="CC381" s="47">
        <v>0</v>
      </c>
      <c r="CD381" s="47">
        <v>0</v>
      </c>
      <c r="CE381" s="47">
        <v>0</v>
      </c>
      <c r="CF381" s="47">
        <v>0</v>
      </c>
      <c r="CG381" s="47">
        <v>0</v>
      </c>
      <c r="CH381" s="47">
        <v>0</v>
      </c>
      <c r="CI381" s="47">
        <v>0</v>
      </c>
      <c r="CJ381" s="47">
        <v>0</v>
      </c>
      <c r="CK381" s="47">
        <v>0</v>
      </c>
      <c r="CL381" s="47">
        <v>0</v>
      </c>
      <c r="CM381" s="47">
        <v>0</v>
      </c>
      <c r="CN381" s="47">
        <v>0</v>
      </c>
      <c r="CO381" s="47">
        <v>0</v>
      </c>
      <c r="CP381" s="47">
        <v>0</v>
      </c>
      <c r="CQ381" s="47">
        <v>0</v>
      </c>
      <c r="CR381" s="47">
        <v>0</v>
      </c>
      <c r="CS381" s="47">
        <v>0</v>
      </c>
      <c r="CT381" s="47">
        <v>0</v>
      </c>
      <c r="CU381" s="47">
        <v>0</v>
      </c>
      <c r="CV381" s="47">
        <v>0</v>
      </c>
      <c r="CW381" s="47">
        <v>0</v>
      </c>
      <c r="CX381" s="47">
        <v>0</v>
      </c>
      <c r="CY381" s="47">
        <v>0</v>
      </c>
      <c r="CZ381" s="47">
        <v>0</v>
      </c>
      <c r="DA381" s="47">
        <v>0</v>
      </c>
      <c r="DB381" s="47">
        <v>0</v>
      </c>
      <c r="DC381" s="47">
        <v>0</v>
      </c>
      <c r="DD381" s="47">
        <v>0</v>
      </c>
      <c r="DE381" s="47">
        <v>0</v>
      </c>
      <c r="DF381" s="47">
        <v>0</v>
      </c>
      <c r="DG381" s="47">
        <v>0</v>
      </c>
      <c r="DH381" s="47">
        <v>0</v>
      </c>
      <c r="DI381" s="47">
        <v>0</v>
      </c>
      <c r="DJ381" s="47">
        <v>0</v>
      </c>
      <c r="DK381" s="47">
        <v>0</v>
      </c>
      <c r="DL381" s="47">
        <v>0</v>
      </c>
      <c r="DM381" s="47">
        <v>0</v>
      </c>
      <c r="DN381" s="47">
        <v>0</v>
      </c>
      <c r="DO381" s="47">
        <v>0</v>
      </c>
      <c r="DP381" s="47">
        <v>0</v>
      </c>
      <c r="DQ381" s="47">
        <v>0</v>
      </c>
      <c r="DR381" s="47">
        <v>0</v>
      </c>
      <c r="DS381" s="47">
        <v>0</v>
      </c>
      <c r="DT381" s="47">
        <v>0</v>
      </c>
      <c r="DU381" s="47">
        <v>0</v>
      </c>
      <c r="DV381" s="47">
        <v>0</v>
      </c>
      <c r="DW381" s="47">
        <v>0</v>
      </c>
      <c r="DX381" s="47">
        <v>0</v>
      </c>
      <c r="DY381" s="47">
        <v>0</v>
      </c>
      <c r="DZ381" s="47">
        <v>0</v>
      </c>
      <c r="EA381" s="47">
        <v>0</v>
      </c>
      <c r="EB381" s="47"/>
      <c r="EC381" s="47">
        <v>0.9</v>
      </c>
      <c r="ZZ381" t="s">
        <v>2472</v>
      </c>
    </row>
    <row r="382" spans="1:702" x14ac:dyDescent="0.25">
      <c r="A382" s="47" t="s">
        <v>1844</v>
      </c>
      <c r="B382" s="47" t="s">
        <v>153</v>
      </c>
      <c r="C382" s="47" t="s">
        <v>157</v>
      </c>
      <c r="D382" s="47" t="s">
        <v>2866</v>
      </c>
      <c r="E382" s="47" t="s">
        <v>1845</v>
      </c>
      <c r="F382" s="47" t="s">
        <v>1846</v>
      </c>
      <c r="G382" s="47" t="s">
        <v>1847</v>
      </c>
      <c r="H382" s="47" t="s">
        <v>698</v>
      </c>
      <c r="I382" s="47" t="s">
        <v>738</v>
      </c>
      <c r="J382" s="47" t="str">
        <f>=IFERROR(VLOOKUP(H382&amp;I382,Table_Fonctions!A:G,6,FALSE),"")</f>
        <v>0</v>
      </c>
      <c r="K382" s="47" t="s">
        <v>2607</v>
      </c>
      <c r="L382" s="47" t="str">
        <f>=IFERROR(VLOOKUP(H382&amp;I382,Table_Fonctions!A:G,7,FALSE),K382)</f>
        <v/>
      </c>
      <c r="M382" s="47" t="str">
        <f>=IF(OR(LEFT(D382, 3)="TJ ", LEFT(D382, 4)="CPH "), "OUI", "NON")</f>
        <v/>
      </c>
      <c r="N382" s="47" t="s">
        <v>753</v>
      </c>
      <c r="O382" s="47"/>
      <c r="P382" s="47">
        <v>1</v>
      </c>
      <c r="Q382" s="47">
        <v>1</v>
      </c>
      <c r="R382" s="47">
        <v>0</v>
      </c>
      <c r="S382" s="47">
        <f>=ROUND(BQ382-(BR382+BS382),3)</f>
      </c>
      <c r="T382" s="47">
        <f>=ROUND(CK382-(CL382+CM382+CN382+CO382+CP382),3)</f>
      </c>
      <c r="U382" s="47">
        <v>1</v>
      </c>
      <c r="V382" s="47">
        <v>0</v>
      </c>
      <c r="W382" s="47">
        <v>0</v>
      </c>
      <c r="X382" s="47">
        <v>0</v>
      </c>
      <c r="Y382" s="47">
        <v>0</v>
      </c>
      <c r="Z382" s="47">
        <v>0</v>
      </c>
      <c r="AA382" s="47">
        <v>0</v>
      </c>
      <c r="AB382" s="47">
        <v>0</v>
      </c>
      <c r="AC382" s="47">
        <v>0</v>
      </c>
      <c r="AD382" s="47">
        <v>0</v>
      </c>
      <c r="AE382" s="47">
        <v>0</v>
      </c>
      <c r="AF382" s="47">
        <v>0</v>
      </c>
      <c r="AG382" s="47">
        <v>0</v>
      </c>
      <c r="AH382" s="47">
        <v>0</v>
      </c>
      <c r="AI382" s="47">
        <v>0</v>
      </c>
      <c r="AJ382" s="47">
        <v>0</v>
      </c>
      <c r="AK382" s="47">
        <v>0</v>
      </c>
      <c r="AL382" s="47">
        <v>0</v>
      </c>
      <c r="AM382" s="47">
        <v>0</v>
      </c>
      <c r="AN382" s="47">
        <v>0</v>
      </c>
      <c r="AO382" s="47">
        <v>0</v>
      </c>
      <c r="AP382" s="47">
        <v>0</v>
      </c>
      <c r="AQ382" s="47">
        <v>0</v>
      </c>
      <c r="AR382" s="47">
        <v>0</v>
      </c>
      <c r="AS382" s="47">
        <v>0</v>
      </c>
      <c r="AT382" s="47">
        <v>0</v>
      </c>
      <c r="AU382" s="47">
        <v>0</v>
      </c>
      <c r="AV382" s="47">
        <v>0</v>
      </c>
      <c r="AW382" s="47">
        <v>0</v>
      </c>
      <c r="AX382" s="47">
        <v>0</v>
      </c>
      <c r="AY382" s="47">
        <v>0</v>
      </c>
      <c r="AZ382" s="47">
        <v>0</v>
      </c>
      <c r="BA382" s="47">
        <v>0</v>
      </c>
      <c r="BB382" s="47">
        <v>0</v>
      </c>
      <c r="BC382" s="47">
        <v>0</v>
      </c>
      <c r="BD382" s="47">
        <v>0</v>
      </c>
      <c r="BE382" s="47">
        <v>0</v>
      </c>
      <c r="BF382" s="47">
        <v>0</v>
      </c>
      <c r="BG382" s="47">
        <v>0</v>
      </c>
      <c r="BH382" s="47">
        <v>0</v>
      </c>
      <c r="BI382" s="47">
        <v>0</v>
      </c>
      <c r="BJ382" s="47">
        <v>0</v>
      </c>
      <c r="BK382" s="47">
        <v>0</v>
      </c>
      <c r="BL382" s="47">
        <v>0</v>
      </c>
      <c r="BM382" s="47">
        <v>0</v>
      </c>
      <c r="BN382" s="47">
        <v>0</v>
      </c>
      <c r="BO382" s="47">
        <v>0</v>
      </c>
      <c r="BP382" s="47">
        <v>0</v>
      </c>
      <c r="BQ382" s="47">
        <v>0</v>
      </c>
      <c r="BR382" s="47">
        <v>0</v>
      </c>
      <c r="BS382" s="47">
        <v>0</v>
      </c>
      <c r="BT382" s="47">
        <v>0</v>
      </c>
      <c r="BU382" s="47">
        <v>0</v>
      </c>
      <c r="BV382" s="47">
        <v>0</v>
      </c>
      <c r="BW382" s="47">
        <v>0</v>
      </c>
      <c r="BX382" s="47">
        <v>0</v>
      </c>
      <c r="BY382" s="47">
        <v>0</v>
      </c>
      <c r="BZ382" s="47">
        <v>0</v>
      </c>
      <c r="CA382" s="47">
        <v>0</v>
      </c>
      <c r="CB382" s="47">
        <v>0</v>
      </c>
      <c r="CC382" s="47">
        <v>0</v>
      </c>
      <c r="CD382" s="47">
        <v>0</v>
      </c>
      <c r="CE382" s="47">
        <v>0</v>
      </c>
      <c r="CF382" s="47">
        <v>0</v>
      </c>
      <c r="CG382" s="47">
        <v>0</v>
      </c>
      <c r="CH382" s="47">
        <v>0</v>
      </c>
      <c r="CI382" s="47">
        <v>0</v>
      </c>
      <c r="CJ382" s="47">
        <v>0</v>
      </c>
      <c r="CK382" s="47">
        <v>0</v>
      </c>
      <c r="CL382" s="47">
        <v>0</v>
      </c>
      <c r="CM382" s="47">
        <v>0</v>
      </c>
      <c r="CN382" s="47">
        <v>0</v>
      </c>
      <c r="CO382" s="47">
        <v>0</v>
      </c>
      <c r="CP382" s="47">
        <v>0</v>
      </c>
      <c r="CQ382" s="47">
        <v>0</v>
      </c>
      <c r="CR382" s="47">
        <v>0</v>
      </c>
      <c r="CS382" s="47">
        <v>0</v>
      </c>
      <c r="CT382" s="47">
        <v>0</v>
      </c>
      <c r="CU382" s="47">
        <v>0</v>
      </c>
      <c r="CV382" s="47">
        <v>0</v>
      </c>
      <c r="CW382" s="47">
        <v>0</v>
      </c>
      <c r="CX382" s="47">
        <v>0</v>
      </c>
      <c r="CY382" s="47">
        <v>0</v>
      </c>
      <c r="CZ382" s="47">
        <v>0</v>
      </c>
      <c r="DA382" s="47">
        <v>0</v>
      </c>
      <c r="DB382" s="47">
        <v>0</v>
      </c>
      <c r="DC382" s="47">
        <v>0</v>
      </c>
      <c r="DD382" s="47">
        <v>0</v>
      </c>
      <c r="DE382" s="47">
        <v>0</v>
      </c>
      <c r="DF382" s="47">
        <v>0</v>
      </c>
      <c r="DG382" s="47">
        <v>0</v>
      </c>
      <c r="DH382" s="47">
        <v>0</v>
      </c>
      <c r="DI382" s="47">
        <v>0</v>
      </c>
      <c r="DJ382" s="47">
        <v>0</v>
      </c>
      <c r="DK382" s="47">
        <v>0</v>
      </c>
      <c r="DL382" s="47">
        <v>0</v>
      </c>
      <c r="DM382" s="47">
        <v>0</v>
      </c>
      <c r="DN382" s="47">
        <v>0</v>
      </c>
      <c r="DO382" s="47">
        <v>0</v>
      </c>
      <c r="DP382" s="47">
        <v>0</v>
      </c>
      <c r="DQ382" s="47">
        <v>0</v>
      </c>
      <c r="DR382" s="47">
        <v>0</v>
      </c>
      <c r="DS382" s="47">
        <v>0</v>
      </c>
      <c r="DT382" s="47">
        <v>0</v>
      </c>
      <c r="DU382" s="47">
        <v>0</v>
      </c>
      <c r="DV382" s="47">
        <v>0</v>
      </c>
      <c r="DW382" s="47">
        <v>0</v>
      </c>
      <c r="DX382" s="47">
        <v>0</v>
      </c>
      <c r="DY382" s="47">
        <v>0</v>
      </c>
      <c r="DZ382" s="47">
        <v>0</v>
      </c>
      <c r="EA382" s="47">
        <v>0</v>
      </c>
      <c r="EB382" s="47"/>
      <c r="EC382" s="47">
        <v>1</v>
      </c>
      <c r="ZZ382" t="s">
        <v>2472</v>
      </c>
    </row>
    <row r="383" spans="1:702" x14ac:dyDescent="0.25">
      <c r="A383" s="47" t="s">
        <v>1848</v>
      </c>
      <c r="B383" s="47" t="s">
        <v>153</v>
      </c>
      <c r="C383" s="47" t="s">
        <v>157</v>
      </c>
      <c r="D383" s="47" t="s">
        <v>2867</v>
      </c>
      <c r="E383" s="47" t="s">
        <v>1849</v>
      </c>
      <c r="F383" s="47" t="s">
        <v>1850</v>
      </c>
      <c r="G383" s="47" t="s">
        <v>1851</v>
      </c>
      <c r="H383" s="47" t="s">
        <v>698</v>
      </c>
      <c r="I383" s="47" t="s">
        <v>727</v>
      </c>
      <c r="J383" s="47" t="str">
        <f>=IFERROR(VLOOKUP(H383&amp;I383,Table_Fonctions!A:G,6,FALSE),"")</f>
        <v>0</v>
      </c>
      <c r="K383" s="47" t="s">
        <v>2607</v>
      </c>
      <c r="L383" s="47" t="str">
        <f>=IFERROR(VLOOKUP(H383&amp;I383,Table_Fonctions!A:G,7,FALSE),K383)</f>
        <v/>
      </c>
      <c r="M383" s="47" t="str">
        <f>=IF(OR(LEFT(D383, 3)="TJ ", LEFT(D383, 4)="CPH "), "OUI", "NON")</f>
        <v/>
      </c>
      <c r="N383" s="47" t="s">
        <v>753</v>
      </c>
      <c r="O383" s="47"/>
      <c r="P383" s="47">
        <v>1</v>
      </c>
      <c r="Q383" s="47">
        <v>1</v>
      </c>
      <c r="R383" s="47">
        <v>0</v>
      </c>
      <c r="S383" s="47">
        <f>=ROUND(BQ383-(BR383+BS383),3)</f>
      </c>
      <c r="T383" s="47">
        <f>=ROUND(CK383-(CL383+CM383+CN383+CO383+CP383),3)</f>
      </c>
      <c r="U383" s="47">
        <v>0</v>
      </c>
      <c r="V383" s="47">
        <v>0</v>
      </c>
      <c r="W383" s="47">
        <v>0</v>
      </c>
      <c r="X383" s="47">
        <v>0</v>
      </c>
      <c r="Y383" s="47">
        <v>0</v>
      </c>
      <c r="Z383" s="47">
        <v>0</v>
      </c>
      <c r="AA383" s="47">
        <v>0</v>
      </c>
      <c r="AB383" s="47">
        <v>0</v>
      </c>
      <c r="AC383" s="47">
        <v>0</v>
      </c>
      <c r="AD383" s="47">
        <v>0</v>
      </c>
      <c r="AE383" s="47">
        <v>0</v>
      </c>
      <c r="AF383" s="47">
        <v>0</v>
      </c>
      <c r="AG383" s="47">
        <v>0</v>
      </c>
      <c r="AH383" s="47">
        <v>0</v>
      </c>
      <c r="AI383" s="47">
        <v>0</v>
      </c>
      <c r="AJ383" s="47">
        <v>1</v>
      </c>
      <c r="AK383" s="47">
        <v>0</v>
      </c>
      <c r="AL383" s="47">
        <v>0</v>
      </c>
      <c r="AM383" s="47">
        <v>0</v>
      </c>
      <c r="AN383" s="47">
        <v>0</v>
      </c>
      <c r="AO383" s="47">
        <v>0</v>
      </c>
      <c r="AP383" s="47">
        <v>0</v>
      </c>
      <c r="AQ383" s="47">
        <v>0</v>
      </c>
      <c r="AR383" s="47">
        <v>0</v>
      </c>
      <c r="AS383" s="47">
        <v>0</v>
      </c>
      <c r="AT383" s="47">
        <v>0</v>
      </c>
      <c r="AU383" s="47">
        <v>0</v>
      </c>
      <c r="AV383" s="47">
        <v>0</v>
      </c>
      <c r="AW383" s="47">
        <v>0</v>
      </c>
      <c r="AX383" s="47">
        <v>0</v>
      </c>
      <c r="AY383" s="47">
        <v>0</v>
      </c>
      <c r="AZ383" s="47">
        <v>0</v>
      </c>
      <c r="BA383" s="47">
        <v>0</v>
      </c>
      <c r="BB383" s="47">
        <v>0</v>
      </c>
      <c r="BC383" s="47">
        <v>0</v>
      </c>
      <c r="BD383" s="47">
        <v>0</v>
      </c>
      <c r="BE383" s="47">
        <v>0</v>
      </c>
      <c r="BF383" s="47">
        <v>0</v>
      </c>
      <c r="BG383" s="47">
        <v>0</v>
      </c>
      <c r="BH383" s="47">
        <v>0</v>
      </c>
      <c r="BI383" s="47">
        <v>0</v>
      </c>
      <c r="BJ383" s="47">
        <v>0</v>
      </c>
      <c r="BK383" s="47">
        <v>0</v>
      </c>
      <c r="BL383" s="47">
        <v>0</v>
      </c>
      <c r="BM383" s="47">
        <v>0</v>
      </c>
      <c r="BN383" s="47">
        <v>0</v>
      </c>
      <c r="BO383" s="47">
        <v>0</v>
      </c>
      <c r="BP383" s="47">
        <v>0</v>
      </c>
      <c r="BQ383" s="47">
        <v>0</v>
      </c>
      <c r="BR383" s="47">
        <v>0</v>
      </c>
      <c r="BS383" s="47">
        <v>0</v>
      </c>
      <c r="BT383" s="47">
        <v>0</v>
      </c>
      <c r="BU383" s="47">
        <v>0</v>
      </c>
      <c r="BV383" s="47">
        <v>0</v>
      </c>
      <c r="BW383" s="47">
        <v>0</v>
      </c>
      <c r="BX383" s="47">
        <v>0</v>
      </c>
      <c r="BY383" s="47">
        <v>0</v>
      </c>
      <c r="BZ383" s="47">
        <v>0</v>
      </c>
      <c r="CA383" s="47">
        <v>0</v>
      </c>
      <c r="CB383" s="47">
        <v>0</v>
      </c>
      <c r="CC383" s="47">
        <v>0</v>
      </c>
      <c r="CD383" s="47">
        <v>0</v>
      </c>
      <c r="CE383" s="47">
        <v>0</v>
      </c>
      <c r="CF383" s="47">
        <v>0</v>
      </c>
      <c r="CG383" s="47">
        <v>0</v>
      </c>
      <c r="CH383" s="47">
        <v>0</v>
      </c>
      <c r="CI383" s="47">
        <v>0</v>
      </c>
      <c r="CJ383" s="47">
        <v>0</v>
      </c>
      <c r="CK383" s="47">
        <v>0</v>
      </c>
      <c r="CL383" s="47">
        <v>0</v>
      </c>
      <c r="CM383" s="47">
        <v>0</v>
      </c>
      <c r="CN383" s="47">
        <v>0</v>
      </c>
      <c r="CO383" s="47">
        <v>0</v>
      </c>
      <c r="CP383" s="47">
        <v>0</v>
      </c>
      <c r="CQ383" s="47">
        <v>0</v>
      </c>
      <c r="CR383" s="47">
        <v>0</v>
      </c>
      <c r="CS383" s="47">
        <v>0</v>
      </c>
      <c r="CT383" s="47">
        <v>0</v>
      </c>
      <c r="CU383" s="47">
        <v>0</v>
      </c>
      <c r="CV383" s="47">
        <v>0</v>
      </c>
      <c r="CW383" s="47">
        <v>0</v>
      </c>
      <c r="CX383" s="47">
        <v>0</v>
      </c>
      <c r="CY383" s="47">
        <v>0</v>
      </c>
      <c r="CZ383" s="47">
        <v>0</v>
      </c>
      <c r="DA383" s="47">
        <v>0</v>
      </c>
      <c r="DB383" s="47">
        <v>0</v>
      </c>
      <c r="DC383" s="47">
        <v>0</v>
      </c>
      <c r="DD383" s="47">
        <v>0</v>
      </c>
      <c r="DE383" s="47">
        <v>0</v>
      </c>
      <c r="DF383" s="47">
        <v>0</v>
      </c>
      <c r="DG383" s="47">
        <v>0</v>
      </c>
      <c r="DH383" s="47">
        <v>0</v>
      </c>
      <c r="DI383" s="47">
        <v>0</v>
      </c>
      <c r="DJ383" s="47">
        <v>0</v>
      </c>
      <c r="DK383" s="47">
        <v>0</v>
      </c>
      <c r="DL383" s="47">
        <v>0</v>
      </c>
      <c r="DM383" s="47">
        <v>0</v>
      </c>
      <c r="DN383" s="47">
        <v>0</v>
      </c>
      <c r="DO383" s="47">
        <v>0</v>
      </c>
      <c r="DP383" s="47">
        <v>0</v>
      </c>
      <c r="DQ383" s="47">
        <v>0</v>
      </c>
      <c r="DR383" s="47">
        <v>0</v>
      </c>
      <c r="DS383" s="47">
        <v>0</v>
      </c>
      <c r="DT383" s="47">
        <v>0</v>
      </c>
      <c r="DU383" s="47">
        <v>0</v>
      </c>
      <c r="DV383" s="47">
        <v>0</v>
      </c>
      <c r="DW383" s="47">
        <v>0</v>
      </c>
      <c r="DX383" s="47">
        <v>0</v>
      </c>
      <c r="DY383" s="47">
        <v>0</v>
      </c>
      <c r="DZ383" s="47">
        <v>0</v>
      </c>
      <c r="EA383" s="47">
        <v>0</v>
      </c>
      <c r="EB383" s="47"/>
      <c r="EC383" s="47">
        <v>1</v>
      </c>
      <c r="ZZ383" t="s">
        <v>2472</v>
      </c>
    </row>
    <row r="384" spans="1:702" x14ac:dyDescent="0.25">
      <c r="A384" s="47" t="s">
        <v>1852</v>
      </c>
      <c r="B384" s="47" t="s">
        <v>153</v>
      </c>
      <c r="C384" s="47" t="s">
        <v>157</v>
      </c>
      <c r="D384" s="47" t="s">
        <v>2868</v>
      </c>
      <c r="E384" s="47" t="s">
        <v>1853</v>
      </c>
      <c r="F384" s="47" t="s">
        <v>1854</v>
      </c>
      <c r="G384" s="47" t="s">
        <v>1855</v>
      </c>
      <c r="H384" s="47" t="s">
        <v>698</v>
      </c>
      <c r="I384" s="47" t="s">
        <v>705</v>
      </c>
      <c r="J384" s="47" t="str">
        <f>=IFERROR(VLOOKUP(H384&amp;I384,Table_Fonctions!A:G,6,FALSE),"")</f>
        <v>0</v>
      </c>
      <c r="K384" s="47" t="s">
        <v>2607</v>
      </c>
      <c r="L384" s="47" t="str">
        <f>=IFERROR(VLOOKUP(H384&amp;I384,Table_Fonctions!A:G,7,FALSE),K384)</f>
        <v/>
      </c>
      <c r="M384" s="47" t="str">
        <f>=IF(OR(LEFT(D384, 3)="TJ ", LEFT(D384, 4)="CPH "), "OUI", "NON")</f>
        <v/>
      </c>
      <c r="N384" s="47" t="s">
        <v>1856</v>
      </c>
      <c r="O384" s="47"/>
      <c r="P384" s="47">
        <v>1</v>
      </c>
      <c r="Q384" s="47">
        <v>0</v>
      </c>
      <c r="R384" s="47">
        <v>1</v>
      </c>
      <c r="S384" s="47">
        <f>=ROUND(BQ384-(BR384+BS384),3)</f>
      </c>
      <c r="T384" s="47">
        <f>=ROUND(CK384-(CL384+CM384+CN384+CO384+CP384),3)</f>
      </c>
      <c r="U384" s="47">
        <v>0</v>
      </c>
      <c r="V384" s="47">
        <v>0</v>
      </c>
      <c r="W384" s="47">
        <v>0</v>
      </c>
      <c r="X384" s="47">
        <v>0</v>
      </c>
      <c r="Y384" s="47">
        <v>0</v>
      </c>
      <c r="Z384" s="47">
        <v>0</v>
      </c>
      <c r="AA384" s="47">
        <v>0</v>
      </c>
      <c r="AB384" s="47">
        <v>0</v>
      </c>
      <c r="AC384" s="47">
        <v>0</v>
      </c>
      <c r="AD384" s="47">
        <v>0</v>
      </c>
      <c r="AE384" s="47">
        <v>0</v>
      </c>
      <c r="AF384" s="47">
        <v>0</v>
      </c>
      <c r="AG384" s="47">
        <v>0</v>
      </c>
      <c r="AH384" s="47">
        <v>0</v>
      </c>
      <c r="AI384" s="47">
        <v>0</v>
      </c>
      <c r="AJ384" s="47">
        <v>0</v>
      </c>
      <c r="AK384" s="47">
        <v>0</v>
      </c>
      <c r="AL384" s="47">
        <v>0</v>
      </c>
      <c r="AM384" s="47">
        <v>0</v>
      </c>
      <c r="AN384" s="47">
        <v>0</v>
      </c>
      <c r="AO384" s="47">
        <v>0</v>
      </c>
      <c r="AP384" s="47">
        <v>0</v>
      </c>
      <c r="AQ384" s="47">
        <v>0</v>
      </c>
      <c r="AR384" s="47">
        <v>0</v>
      </c>
      <c r="AS384" s="47">
        <v>0</v>
      </c>
      <c r="AT384" s="47">
        <v>0</v>
      </c>
      <c r="AU384" s="47">
        <v>0</v>
      </c>
      <c r="AV384" s="47">
        <v>0</v>
      </c>
      <c r="AW384" s="47">
        <v>0</v>
      </c>
      <c r="AX384" s="47">
        <v>0</v>
      </c>
      <c r="AY384" s="47">
        <v>0</v>
      </c>
      <c r="AZ384" s="47">
        <v>0</v>
      </c>
      <c r="BA384" s="47">
        <v>0</v>
      </c>
      <c r="BB384" s="47">
        <v>0</v>
      </c>
      <c r="BC384" s="47">
        <v>0</v>
      </c>
      <c r="BD384" s="47">
        <v>0</v>
      </c>
      <c r="BE384" s="47">
        <v>0</v>
      </c>
      <c r="BF384" s="47">
        <v>0</v>
      </c>
      <c r="BG384" s="47">
        <v>0</v>
      </c>
      <c r="BH384" s="47">
        <v>0</v>
      </c>
      <c r="BI384" s="47">
        <v>0</v>
      </c>
      <c r="BJ384" s="47">
        <v>0</v>
      </c>
      <c r="BK384" s="47">
        <v>0</v>
      </c>
      <c r="BL384" s="47">
        <v>0</v>
      </c>
      <c r="BM384" s="47">
        <v>0</v>
      </c>
      <c r="BN384" s="47">
        <v>0</v>
      </c>
      <c r="BO384" s="47">
        <v>0</v>
      </c>
      <c r="BP384" s="47">
        <v>0</v>
      </c>
      <c r="BQ384" s="47">
        <v>0</v>
      </c>
      <c r="BR384" s="47">
        <v>0</v>
      </c>
      <c r="BS384" s="47">
        <v>0</v>
      </c>
      <c r="BT384" s="47">
        <v>0</v>
      </c>
      <c r="BU384" s="47">
        <v>0</v>
      </c>
      <c r="BV384" s="47">
        <v>0</v>
      </c>
      <c r="BW384" s="47">
        <v>0</v>
      </c>
      <c r="BX384" s="47">
        <v>0</v>
      </c>
      <c r="BY384" s="47">
        <v>0</v>
      </c>
      <c r="BZ384" s="47">
        <v>0</v>
      </c>
      <c r="CA384" s="47">
        <v>0</v>
      </c>
      <c r="CB384" s="47">
        <v>0</v>
      </c>
      <c r="CC384" s="47">
        <v>0</v>
      </c>
      <c r="CD384" s="47">
        <v>0</v>
      </c>
      <c r="CE384" s="47">
        <v>0</v>
      </c>
      <c r="CF384" s="47">
        <v>0</v>
      </c>
      <c r="CG384" s="47">
        <v>0</v>
      </c>
      <c r="CH384" s="47">
        <v>0</v>
      </c>
      <c r="CI384" s="47">
        <v>0</v>
      </c>
      <c r="CJ384" s="47">
        <v>0</v>
      </c>
      <c r="CK384" s="47">
        <v>0</v>
      </c>
      <c r="CL384" s="47">
        <v>0</v>
      </c>
      <c r="CM384" s="47">
        <v>0</v>
      </c>
      <c r="CN384" s="47">
        <v>0</v>
      </c>
      <c r="CO384" s="47">
        <v>0</v>
      </c>
      <c r="CP384" s="47">
        <v>0</v>
      </c>
      <c r="CQ384" s="47">
        <v>0</v>
      </c>
      <c r="CR384" s="47">
        <v>0</v>
      </c>
      <c r="CS384" s="47">
        <v>0</v>
      </c>
      <c r="CT384" s="47">
        <v>0</v>
      </c>
      <c r="CU384" s="47">
        <v>0</v>
      </c>
      <c r="CV384" s="47">
        <v>0</v>
      </c>
      <c r="CW384" s="47">
        <v>0</v>
      </c>
      <c r="CX384" s="47">
        <v>0</v>
      </c>
      <c r="CY384" s="47">
        <v>0</v>
      </c>
      <c r="CZ384" s="47">
        <v>0</v>
      </c>
      <c r="DA384" s="47">
        <v>0</v>
      </c>
      <c r="DB384" s="47">
        <v>0</v>
      </c>
      <c r="DC384" s="47">
        <v>0</v>
      </c>
      <c r="DD384" s="47">
        <v>0</v>
      </c>
      <c r="DE384" s="47">
        <v>0</v>
      </c>
      <c r="DF384" s="47">
        <v>0</v>
      </c>
      <c r="DG384" s="47">
        <v>0</v>
      </c>
      <c r="DH384" s="47">
        <v>0</v>
      </c>
      <c r="DI384" s="47">
        <v>0</v>
      </c>
      <c r="DJ384" s="47">
        <v>0</v>
      </c>
      <c r="DK384" s="47">
        <v>0</v>
      </c>
      <c r="DL384" s="47">
        <v>0</v>
      </c>
      <c r="DM384" s="47">
        <v>0</v>
      </c>
      <c r="DN384" s="47">
        <v>0</v>
      </c>
      <c r="DO384" s="47">
        <v>0</v>
      </c>
      <c r="DP384" s="47">
        <v>0</v>
      </c>
      <c r="DQ384" s="47">
        <v>0</v>
      </c>
      <c r="DR384" s="47">
        <v>0</v>
      </c>
      <c r="DS384" s="47">
        <v>0</v>
      </c>
      <c r="DT384" s="47">
        <v>0</v>
      </c>
      <c r="DU384" s="47">
        <v>0</v>
      </c>
      <c r="DV384" s="47">
        <v>0</v>
      </c>
      <c r="DW384" s="47">
        <v>0</v>
      </c>
      <c r="DX384" s="47">
        <v>0</v>
      </c>
      <c r="DY384" s="47">
        <v>0</v>
      </c>
      <c r="DZ384" s="47">
        <v>0</v>
      </c>
      <c r="EA384" s="47">
        <v>0</v>
      </c>
      <c r="EB384" s="47"/>
      <c r="EC384" s="47">
        <v>1</v>
      </c>
      <c r="ZZ384" t="s">
        <v>2472</v>
      </c>
    </row>
    <row r="385" spans="1:702" x14ac:dyDescent="0.25">
      <c r="A385" s="47" t="s">
        <v>1857</v>
      </c>
      <c r="B385" s="47" t="s">
        <v>153</v>
      </c>
      <c r="C385" s="47" t="s">
        <v>157</v>
      </c>
      <c r="D385" s="47" t="s">
        <v>2869</v>
      </c>
      <c r="E385" s="47" t="s">
        <v>1858</v>
      </c>
      <c r="F385" s="47" t="s">
        <v>1859</v>
      </c>
      <c r="G385" s="47" t="s">
        <v>1860</v>
      </c>
      <c r="H385" s="47" t="s">
        <v>698</v>
      </c>
      <c r="I385" s="47" t="s">
        <v>727</v>
      </c>
      <c r="J385" s="47" t="str">
        <f>=IFERROR(VLOOKUP(H385&amp;I385,Table_Fonctions!A:G,6,FALSE),"")</f>
        <v>0</v>
      </c>
      <c r="K385" s="47" t="s">
        <v>2607</v>
      </c>
      <c r="L385" s="47" t="str">
        <f>=IFERROR(VLOOKUP(H385&amp;I385,Table_Fonctions!A:G,7,FALSE),K385)</f>
        <v/>
      </c>
      <c r="M385" s="47" t="str">
        <f>=IF(OR(LEFT(D385, 3)="TJ ", LEFT(D385, 4)="CPH "), "OUI", "NON")</f>
        <v/>
      </c>
      <c r="N385" s="47" t="s">
        <v>1861</v>
      </c>
      <c r="O385" s="47"/>
      <c r="P385" s="47">
        <v>0.9</v>
      </c>
      <c r="Q385" s="47">
        <v>0</v>
      </c>
      <c r="R385" s="47">
        <v>0.9</v>
      </c>
      <c r="S385" s="47">
        <f>=ROUND(BQ385-(BR385+BS385),3)</f>
      </c>
      <c r="T385" s="47">
        <f>=ROUND(CK385-(CL385+CM385+CN385+CO385+CP385),3)</f>
      </c>
      <c r="U385" s="47">
        <v>0</v>
      </c>
      <c r="V385" s="47">
        <v>0</v>
      </c>
      <c r="W385" s="47">
        <v>0</v>
      </c>
      <c r="X385" s="47">
        <v>0</v>
      </c>
      <c r="Y385" s="47">
        <v>0</v>
      </c>
      <c r="Z385" s="47">
        <v>0</v>
      </c>
      <c r="AA385" s="47">
        <v>0</v>
      </c>
      <c r="AB385" s="47">
        <v>0</v>
      </c>
      <c r="AC385" s="47">
        <v>0</v>
      </c>
      <c r="AD385" s="47">
        <v>0</v>
      </c>
      <c r="AE385" s="47">
        <v>0</v>
      </c>
      <c r="AF385" s="47">
        <v>0</v>
      </c>
      <c r="AG385" s="47">
        <v>0</v>
      </c>
      <c r="AH385" s="47">
        <v>0</v>
      </c>
      <c r="AI385" s="47">
        <v>0</v>
      </c>
      <c r="AJ385" s="47">
        <v>0</v>
      </c>
      <c r="AK385" s="47">
        <v>0</v>
      </c>
      <c r="AL385" s="47">
        <v>0</v>
      </c>
      <c r="AM385" s="47">
        <v>0</v>
      </c>
      <c r="AN385" s="47">
        <v>0</v>
      </c>
      <c r="AO385" s="47">
        <v>0</v>
      </c>
      <c r="AP385" s="47">
        <v>0</v>
      </c>
      <c r="AQ385" s="47">
        <v>0</v>
      </c>
      <c r="AR385" s="47">
        <v>0</v>
      </c>
      <c r="AS385" s="47">
        <v>0</v>
      </c>
      <c r="AT385" s="47">
        <v>0</v>
      </c>
      <c r="AU385" s="47">
        <v>0</v>
      </c>
      <c r="AV385" s="47">
        <v>0</v>
      </c>
      <c r="AW385" s="47">
        <v>0</v>
      </c>
      <c r="AX385" s="47">
        <v>0</v>
      </c>
      <c r="AY385" s="47">
        <v>0</v>
      </c>
      <c r="AZ385" s="47">
        <v>0</v>
      </c>
      <c r="BA385" s="47">
        <v>0</v>
      </c>
      <c r="BB385" s="47">
        <v>0</v>
      </c>
      <c r="BC385" s="47">
        <v>0</v>
      </c>
      <c r="BD385" s="47">
        <v>0</v>
      </c>
      <c r="BE385" s="47">
        <v>0</v>
      </c>
      <c r="BF385" s="47">
        <v>0</v>
      </c>
      <c r="BG385" s="47">
        <v>0</v>
      </c>
      <c r="BH385" s="47">
        <v>0</v>
      </c>
      <c r="BI385" s="47">
        <v>0</v>
      </c>
      <c r="BJ385" s="47">
        <v>0</v>
      </c>
      <c r="BK385" s="47">
        <v>0</v>
      </c>
      <c r="BL385" s="47">
        <v>0</v>
      </c>
      <c r="BM385" s="47">
        <v>0</v>
      </c>
      <c r="BN385" s="47">
        <v>0</v>
      </c>
      <c r="BO385" s="47">
        <v>0</v>
      </c>
      <c r="BP385" s="47">
        <v>0</v>
      </c>
      <c r="BQ385" s="47">
        <v>0</v>
      </c>
      <c r="BR385" s="47">
        <v>0</v>
      </c>
      <c r="BS385" s="47">
        <v>0</v>
      </c>
      <c r="BT385" s="47">
        <v>0</v>
      </c>
      <c r="BU385" s="47">
        <v>0</v>
      </c>
      <c r="BV385" s="47">
        <v>0</v>
      </c>
      <c r="BW385" s="47">
        <v>0</v>
      </c>
      <c r="BX385" s="47">
        <v>0</v>
      </c>
      <c r="BY385" s="47">
        <v>0</v>
      </c>
      <c r="BZ385" s="47">
        <v>0</v>
      </c>
      <c r="CA385" s="47">
        <v>0</v>
      </c>
      <c r="CB385" s="47">
        <v>0</v>
      </c>
      <c r="CC385" s="47">
        <v>0</v>
      </c>
      <c r="CD385" s="47">
        <v>0</v>
      </c>
      <c r="CE385" s="47">
        <v>0</v>
      </c>
      <c r="CF385" s="47">
        <v>0</v>
      </c>
      <c r="CG385" s="47">
        <v>0</v>
      </c>
      <c r="CH385" s="47">
        <v>0</v>
      </c>
      <c r="CI385" s="47">
        <v>0</v>
      </c>
      <c r="CJ385" s="47">
        <v>0</v>
      </c>
      <c r="CK385" s="47">
        <v>0</v>
      </c>
      <c r="CL385" s="47">
        <v>0</v>
      </c>
      <c r="CM385" s="47">
        <v>0</v>
      </c>
      <c r="CN385" s="47">
        <v>0</v>
      </c>
      <c r="CO385" s="47">
        <v>0</v>
      </c>
      <c r="CP385" s="47">
        <v>0</v>
      </c>
      <c r="CQ385" s="47">
        <v>0</v>
      </c>
      <c r="CR385" s="47">
        <v>0</v>
      </c>
      <c r="CS385" s="47">
        <v>0</v>
      </c>
      <c r="CT385" s="47">
        <v>0</v>
      </c>
      <c r="CU385" s="47">
        <v>0</v>
      </c>
      <c r="CV385" s="47">
        <v>0</v>
      </c>
      <c r="CW385" s="47">
        <v>0</v>
      </c>
      <c r="CX385" s="47">
        <v>0</v>
      </c>
      <c r="CY385" s="47">
        <v>0</v>
      </c>
      <c r="CZ385" s="47">
        <v>0</v>
      </c>
      <c r="DA385" s="47">
        <v>0</v>
      </c>
      <c r="DB385" s="47">
        <v>0</v>
      </c>
      <c r="DC385" s="47">
        <v>0</v>
      </c>
      <c r="DD385" s="47">
        <v>0</v>
      </c>
      <c r="DE385" s="47">
        <v>0</v>
      </c>
      <c r="DF385" s="47">
        <v>0</v>
      </c>
      <c r="DG385" s="47">
        <v>0</v>
      </c>
      <c r="DH385" s="47">
        <v>0</v>
      </c>
      <c r="DI385" s="47">
        <v>0</v>
      </c>
      <c r="DJ385" s="47">
        <v>0</v>
      </c>
      <c r="DK385" s="47">
        <v>0</v>
      </c>
      <c r="DL385" s="47">
        <v>0</v>
      </c>
      <c r="DM385" s="47">
        <v>0</v>
      </c>
      <c r="DN385" s="47">
        <v>0</v>
      </c>
      <c r="DO385" s="47">
        <v>0</v>
      </c>
      <c r="DP385" s="47">
        <v>0</v>
      </c>
      <c r="DQ385" s="47">
        <v>0</v>
      </c>
      <c r="DR385" s="47">
        <v>0</v>
      </c>
      <c r="DS385" s="47">
        <v>0</v>
      </c>
      <c r="DT385" s="47">
        <v>0</v>
      </c>
      <c r="DU385" s="47">
        <v>0</v>
      </c>
      <c r="DV385" s="47">
        <v>0</v>
      </c>
      <c r="DW385" s="47">
        <v>0</v>
      </c>
      <c r="DX385" s="47">
        <v>0</v>
      </c>
      <c r="DY385" s="47">
        <v>0</v>
      </c>
      <c r="DZ385" s="47">
        <v>0</v>
      </c>
      <c r="EA385" s="47">
        <v>0</v>
      </c>
      <c r="EB385" s="47"/>
      <c r="EC385" s="47">
        <v>0.9</v>
      </c>
      <c r="ZZ385" t="s">
        <v>2472</v>
      </c>
    </row>
    <row r="386" spans="1:702" x14ac:dyDescent="0.25">
      <c r="A386" s="47" t="s">
        <v>1862</v>
      </c>
      <c r="B386" s="47" t="s">
        <v>153</v>
      </c>
      <c r="C386" s="47" t="s">
        <v>157</v>
      </c>
      <c r="D386" s="47" t="s">
        <v>2870</v>
      </c>
      <c r="E386" s="47" t="s">
        <v>1863</v>
      </c>
      <c r="F386" s="47" t="s">
        <v>1864</v>
      </c>
      <c r="G386" s="47" t="s">
        <v>1865</v>
      </c>
      <c r="H386" s="47" t="s">
        <v>698</v>
      </c>
      <c r="I386" s="47" t="s">
        <v>727</v>
      </c>
      <c r="J386" s="47" t="str">
        <f>=IFERROR(VLOOKUP(H386&amp;I386,Table_Fonctions!A:G,6,FALSE),"")</f>
        <v>0</v>
      </c>
      <c r="K386" s="47" t="s">
        <v>2607</v>
      </c>
      <c r="L386" s="47" t="str">
        <f>=IFERROR(VLOOKUP(H386&amp;I386,Table_Fonctions!A:G,7,FALSE),K386)</f>
        <v/>
      </c>
      <c r="M386" s="47" t="str">
        <f>=IF(OR(LEFT(D386, 3)="TJ ", LEFT(D386, 4)="CPH "), "OUI", "NON")</f>
        <v/>
      </c>
      <c r="N386" s="47" t="s">
        <v>175</v>
      </c>
      <c r="O386" s="47"/>
      <c r="P386" s="47">
        <v>1</v>
      </c>
      <c r="Q386" s="47">
        <v>0</v>
      </c>
      <c r="R386" s="47">
        <v>1</v>
      </c>
      <c r="S386" s="47">
        <f>=ROUND(BQ386-(BR386+BS386),3)</f>
      </c>
      <c r="T386" s="47">
        <f>=ROUND(CK386-(CL386+CM386+CN386+CO386+CP386),3)</f>
      </c>
      <c r="U386" s="47">
        <v>0</v>
      </c>
      <c r="V386" s="47">
        <v>0</v>
      </c>
      <c r="W386" s="47">
        <v>0</v>
      </c>
      <c r="X386" s="47">
        <v>0</v>
      </c>
      <c r="Y386" s="47">
        <v>0</v>
      </c>
      <c r="Z386" s="47">
        <v>0</v>
      </c>
      <c r="AA386" s="47">
        <v>0</v>
      </c>
      <c r="AB386" s="47">
        <v>0</v>
      </c>
      <c r="AC386" s="47">
        <v>0</v>
      </c>
      <c r="AD386" s="47">
        <v>0</v>
      </c>
      <c r="AE386" s="47">
        <v>0</v>
      </c>
      <c r="AF386" s="47">
        <v>0</v>
      </c>
      <c r="AG386" s="47">
        <v>0</v>
      </c>
      <c r="AH386" s="47">
        <v>0</v>
      </c>
      <c r="AI386" s="47">
        <v>0</v>
      </c>
      <c r="AJ386" s="47">
        <v>0</v>
      </c>
      <c r="AK386" s="47">
        <v>0</v>
      </c>
      <c r="AL386" s="47">
        <v>0</v>
      </c>
      <c r="AM386" s="47">
        <v>0</v>
      </c>
      <c r="AN386" s="47">
        <v>0</v>
      </c>
      <c r="AO386" s="47">
        <v>0</v>
      </c>
      <c r="AP386" s="47">
        <v>0</v>
      </c>
      <c r="AQ386" s="47">
        <v>0</v>
      </c>
      <c r="AR386" s="47">
        <v>0</v>
      </c>
      <c r="AS386" s="47">
        <v>0</v>
      </c>
      <c r="AT386" s="47">
        <v>0</v>
      </c>
      <c r="AU386" s="47">
        <v>0</v>
      </c>
      <c r="AV386" s="47">
        <v>0</v>
      </c>
      <c r="AW386" s="47">
        <v>0</v>
      </c>
      <c r="AX386" s="47">
        <v>0</v>
      </c>
      <c r="AY386" s="47">
        <v>0</v>
      </c>
      <c r="AZ386" s="47">
        <v>0</v>
      </c>
      <c r="BA386" s="47">
        <v>0</v>
      </c>
      <c r="BB386" s="47">
        <v>0</v>
      </c>
      <c r="BC386" s="47">
        <v>0</v>
      </c>
      <c r="BD386" s="47">
        <v>0</v>
      </c>
      <c r="BE386" s="47">
        <v>0</v>
      </c>
      <c r="BF386" s="47">
        <v>0</v>
      </c>
      <c r="BG386" s="47">
        <v>0</v>
      </c>
      <c r="BH386" s="47">
        <v>0</v>
      </c>
      <c r="BI386" s="47">
        <v>0</v>
      </c>
      <c r="BJ386" s="47">
        <v>0</v>
      </c>
      <c r="BK386" s="47">
        <v>0</v>
      </c>
      <c r="BL386" s="47">
        <v>0</v>
      </c>
      <c r="BM386" s="47">
        <v>0</v>
      </c>
      <c r="BN386" s="47">
        <v>0</v>
      </c>
      <c r="BO386" s="47">
        <v>0</v>
      </c>
      <c r="BP386" s="47">
        <v>0</v>
      </c>
      <c r="BQ386" s="47">
        <v>0</v>
      </c>
      <c r="BR386" s="47">
        <v>0</v>
      </c>
      <c r="BS386" s="47">
        <v>0</v>
      </c>
      <c r="BT386" s="47">
        <v>0</v>
      </c>
      <c r="BU386" s="47">
        <v>0</v>
      </c>
      <c r="BV386" s="47">
        <v>0</v>
      </c>
      <c r="BW386" s="47">
        <v>0</v>
      </c>
      <c r="BX386" s="47">
        <v>0</v>
      </c>
      <c r="BY386" s="47">
        <v>0</v>
      </c>
      <c r="BZ386" s="47">
        <v>0</v>
      </c>
      <c r="CA386" s="47">
        <v>0</v>
      </c>
      <c r="CB386" s="47">
        <v>0</v>
      </c>
      <c r="CC386" s="47">
        <v>0</v>
      </c>
      <c r="CD386" s="47">
        <v>0</v>
      </c>
      <c r="CE386" s="47">
        <v>0</v>
      </c>
      <c r="CF386" s="47">
        <v>0</v>
      </c>
      <c r="CG386" s="47">
        <v>0</v>
      </c>
      <c r="CH386" s="47">
        <v>0</v>
      </c>
      <c r="CI386" s="47">
        <v>0</v>
      </c>
      <c r="CJ386" s="47">
        <v>0</v>
      </c>
      <c r="CK386" s="47">
        <v>0</v>
      </c>
      <c r="CL386" s="47">
        <v>0</v>
      </c>
      <c r="CM386" s="47">
        <v>0</v>
      </c>
      <c r="CN386" s="47">
        <v>0</v>
      </c>
      <c r="CO386" s="47">
        <v>0</v>
      </c>
      <c r="CP386" s="47">
        <v>0</v>
      </c>
      <c r="CQ386" s="47">
        <v>0</v>
      </c>
      <c r="CR386" s="47">
        <v>0</v>
      </c>
      <c r="CS386" s="47">
        <v>0</v>
      </c>
      <c r="CT386" s="47">
        <v>0</v>
      </c>
      <c r="CU386" s="47">
        <v>0</v>
      </c>
      <c r="CV386" s="47">
        <v>0</v>
      </c>
      <c r="CW386" s="47">
        <v>0</v>
      </c>
      <c r="CX386" s="47">
        <v>0</v>
      </c>
      <c r="CY386" s="47">
        <v>0</v>
      </c>
      <c r="CZ386" s="47">
        <v>0</v>
      </c>
      <c r="DA386" s="47">
        <v>0</v>
      </c>
      <c r="DB386" s="47">
        <v>0</v>
      </c>
      <c r="DC386" s="47">
        <v>0</v>
      </c>
      <c r="DD386" s="47">
        <v>0</v>
      </c>
      <c r="DE386" s="47">
        <v>0</v>
      </c>
      <c r="DF386" s="47">
        <v>0</v>
      </c>
      <c r="DG386" s="47">
        <v>0</v>
      </c>
      <c r="DH386" s="47">
        <v>0</v>
      </c>
      <c r="DI386" s="47">
        <v>0</v>
      </c>
      <c r="DJ386" s="47">
        <v>0</v>
      </c>
      <c r="DK386" s="47">
        <v>0</v>
      </c>
      <c r="DL386" s="47">
        <v>0</v>
      </c>
      <c r="DM386" s="47">
        <v>0</v>
      </c>
      <c r="DN386" s="47">
        <v>0</v>
      </c>
      <c r="DO386" s="47">
        <v>0</v>
      </c>
      <c r="DP386" s="47">
        <v>0</v>
      </c>
      <c r="DQ386" s="47">
        <v>0</v>
      </c>
      <c r="DR386" s="47">
        <v>0</v>
      </c>
      <c r="DS386" s="47">
        <v>0</v>
      </c>
      <c r="DT386" s="47">
        <v>0</v>
      </c>
      <c r="DU386" s="47">
        <v>0</v>
      </c>
      <c r="DV386" s="47">
        <v>0</v>
      </c>
      <c r="DW386" s="47">
        <v>0</v>
      </c>
      <c r="DX386" s="47">
        <v>0</v>
      </c>
      <c r="DY386" s="47">
        <v>0</v>
      </c>
      <c r="DZ386" s="47">
        <v>0</v>
      </c>
      <c r="EA386" s="47">
        <v>0</v>
      </c>
      <c r="EB386" s="47"/>
      <c r="EC386" s="47">
        <v>1</v>
      </c>
      <c r="ZZ386" t="s">
        <v>2472</v>
      </c>
    </row>
    <row r="387" spans="1:702" x14ac:dyDescent="0.25">
      <c r="A387" s="47" t="s">
        <v>1866</v>
      </c>
      <c r="B387" s="47" t="s">
        <v>153</v>
      </c>
      <c r="C387" s="47" t="s">
        <v>157</v>
      </c>
      <c r="D387" s="47" t="s">
        <v>2871</v>
      </c>
      <c r="E387" s="47" t="s">
        <v>1867</v>
      </c>
      <c r="F387" s="47" t="s">
        <v>1868</v>
      </c>
      <c r="G387" s="47" t="s">
        <v>1869</v>
      </c>
      <c r="H387" s="47" t="s">
        <v>698</v>
      </c>
      <c r="I387" s="47" t="s">
        <v>705</v>
      </c>
      <c r="J387" s="47" t="str">
        <f>=IFERROR(VLOOKUP(H387&amp;I387,Table_Fonctions!A:G,6,FALSE),"")</f>
        <v>0</v>
      </c>
      <c r="K387" s="47" t="s">
        <v>2607</v>
      </c>
      <c r="L387" s="47" t="str">
        <f>=IFERROR(VLOOKUP(H387&amp;I387,Table_Fonctions!A:G,7,FALSE),K387)</f>
        <v/>
      </c>
      <c r="M387" s="47" t="str">
        <f>=IF(OR(LEFT(D387, 3)="TJ ", LEFT(D387, 4)="CPH "), "OUI", "NON")</f>
        <v/>
      </c>
      <c r="N387" s="47" t="s">
        <v>722</v>
      </c>
      <c r="O387" s="47"/>
      <c r="P387" s="47">
        <v>1</v>
      </c>
      <c r="Q387" s="47">
        <v>0</v>
      </c>
      <c r="R387" s="47">
        <v>1</v>
      </c>
      <c r="S387" s="47">
        <f>=ROUND(BQ387-(BR387+BS387),3)</f>
      </c>
      <c r="T387" s="47">
        <f>=ROUND(CK387-(CL387+CM387+CN387+CO387+CP387),3)</f>
      </c>
      <c r="U387" s="47">
        <v>0</v>
      </c>
      <c r="V387" s="47">
        <v>0</v>
      </c>
      <c r="W387" s="47">
        <v>0</v>
      </c>
      <c r="X387" s="47">
        <v>0</v>
      </c>
      <c r="Y387" s="47">
        <v>0</v>
      </c>
      <c r="Z387" s="47">
        <v>0</v>
      </c>
      <c r="AA387" s="47">
        <v>0</v>
      </c>
      <c r="AB387" s="47">
        <v>0</v>
      </c>
      <c r="AC387" s="47">
        <v>0</v>
      </c>
      <c r="AD387" s="47">
        <v>0</v>
      </c>
      <c r="AE387" s="47">
        <v>0</v>
      </c>
      <c r="AF387" s="47">
        <v>0</v>
      </c>
      <c r="AG387" s="47">
        <v>0</v>
      </c>
      <c r="AH387" s="47">
        <v>0</v>
      </c>
      <c r="AI387" s="47">
        <v>0</v>
      </c>
      <c r="AJ387" s="47">
        <v>0</v>
      </c>
      <c r="AK387" s="47">
        <v>0</v>
      </c>
      <c r="AL387" s="47">
        <v>0</v>
      </c>
      <c r="AM387" s="47">
        <v>0</v>
      </c>
      <c r="AN387" s="47">
        <v>0</v>
      </c>
      <c r="AO387" s="47">
        <v>0</v>
      </c>
      <c r="AP387" s="47">
        <v>0</v>
      </c>
      <c r="AQ387" s="47">
        <v>0</v>
      </c>
      <c r="AR387" s="47">
        <v>0</v>
      </c>
      <c r="AS387" s="47">
        <v>0</v>
      </c>
      <c r="AT387" s="47">
        <v>0</v>
      </c>
      <c r="AU387" s="47">
        <v>0</v>
      </c>
      <c r="AV387" s="47">
        <v>0</v>
      </c>
      <c r="AW387" s="47">
        <v>0</v>
      </c>
      <c r="AX387" s="47">
        <v>0</v>
      </c>
      <c r="AY387" s="47">
        <v>0</v>
      </c>
      <c r="AZ387" s="47">
        <v>0</v>
      </c>
      <c r="BA387" s="47">
        <v>0</v>
      </c>
      <c r="BB387" s="47">
        <v>0</v>
      </c>
      <c r="BC387" s="47">
        <v>0</v>
      </c>
      <c r="BD387" s="47">
        <v>0</v>
      </c>
      <c r="BE387" s="47">
        <v>0</v>
      </c>
      <c r="BF387" s="47">
        <v>0</v>
      </c>
      <c r="BG387" s="47">
        <v>0</v>
      </c>
      <c r="BH387" s="47">
        <v>0</v>
      </c>
      <c r="BI387" s="47">
        <v>0</v>
      </c>
      <c r="BJ387" s="47">
        <v>0</v>
      </c>
      <c r="BK387" s="47">
        <v>0</v>
      </c>
      <c r="BL387" s="47">
        <v>0</v>
      </c>
      <c r="BM387" s="47">
        <v>0</v>
      </c>
      <c r="BN387" s="47">
        <v>0</v>
      </c>
      <c r="BO387" s="47">
        <v>0</v>
      </c>
      <c r="BP387" s="47">
        <v>0</v>
      </c>
      <c r="BQ387" s="47">
        <v>0</v>
      </c>
      <c r="BR387" s="47">
        <v>0</v>
      </c>
      <c r="BS387" s="47">
        <v>0</v>
      </c>
      <c r="BT387" s="47">
        <v>0</v>
      </c>
      <c r="BU387" s="47">
        <v>0</v>
      </c>
      <c r="BV387" s="47">
        <v>0</v>
      </c>
      <c r="BW387" s="47">
        <v>0</v>
      </c>
      <c r="BX387" s="47">
        <v>0</v>
      </c>
      <c r="BY387" s="47">
        <v>0</v>
      </c>
      <c r="BZ387" s="47">
        <v>0</v>
      </c>
      <c r="CA387" s="47">
        <v>0</v>
      </c>
      <c r="CB387" s="47">
        <v>0</v>
      </c>
      <c r="CC387" s="47">
        <v>0</v>
      </c>
      <c r="CD387" s="47">
        <v>0</v>
      </c>
      <c r="CE387" s="47">
        <v>0</v>
      </c>
      <c r="CF387" s="47">
        <v>0</v>
      </c>
      <c r="CG387" s="47">
        <v>0</v>
      </c>
      <c r="CH387" s="47">
        <v>0</v>
      </c>
      <c r="CI387" s="47">
        <v>0</v>
      </c>
      <c r="CJ387" s="47">
        <v>0</v>
      </c>
      <c r="CK387" s="47">
        <v>0</v>
      </c>
      <c r="CL387" s="47">
        <v>0</v>
      </c>
      <c r="CM387" s="47">
        <v>0</v>
      </c>
      <c r="CN387" s="47">
        <v>0</v>
      </c>
      <c r="CO387" s="47">
        <v>0</v>
      </c>
      <c r="CP387" s="47">
        <v>0</v>
      </c>
      <c r="CQ387" s="47">
        <v>0</v>
      </c>
      <c r="CR387" s="47">
        <v>0</v>
      </c>
      <c r="CS387" s="47">
        <v>0</v>
      </c>
      <c r="CT387" s="47">
        <v>0</v>
      </c>
      <c r="CU387" s="47">
        <v>0</v>
      </c>
      <c r="CV387" s="47">
        <v>0</v>
      </c>
      <c r="CW387" s="47">
        <v>0</v>
      </c>
      <c r="CX387" s="47">
        <v>0</v>
      </c>
      <c r="CY387" s="47">
        <v>0</v>
      </c>
      <c r="CZ387" s="47">
        <v>0</v>
      </c>
      <c r="DA387" s="47">
        <v>0</v>
      </c>
      <c r="DB387" s="47">
        <v>0</v>
      </c>
      <c r="DC387" s="47">
        <v>0</v>
      </c>
      <c r="DD387" s="47">
        <v>0</v>
      </c>
      <c r="DE387" s="47">
        <v>0</v>
      </c>
      <c r="DF387" s="47">
        <v>0</v>
      </c>
      <c r="DG387" s="47">
        <v>0</v>
      </c>
      <c r="DH387" s="47">
        <v>0</v>
      </c>
      <c r="DI387" s="47">
        <v>0</v>
      </c>
      <c r="DJ387" s="47">
        <v>0</v>
      </c>
      <c r="DK387" s="47">
        <v>0</v>
      </c>
      <c r="DL387" s="47">
        <v>0</v>
      </c>
      <c r="DM387" s="47">
        <v>0</v>
      </c>
      <c r="DN387" s="47">
        <v>0</v>
      </c>
      <c r="DO387" s="47">
        <v>0</v>
      </c>
      <c r="DP387" s="47">
        <v>0</v>
      </c>
      <c r="DQ387" s="47">
        <v>0</v>
      </c>
      <c r="DR387" s="47">
        <v>0</v>
      </c>
      <c r="DS387" s="47">
        <v>0</v>
      </c>
      <c r="DT387" s="47">
        <v>0</v>
      </c>
      <c r="DU387" s="47">
        <v>0</v>
      </c>
      <c r="DV387" s="47">
        <v>0</v>
      </c>
      <c r="DW387" s="47">
        <v>0</v>
      </c>
      <c r="DX387" s="47">
        <v>0</v>
      </c>
      <c r="DY387" s="47">
        <v>0</v>
      </c>
      <c r="DZ387" s="47">
        <v>0</v>
      </c>
      <c r="EA387" s="47">
        <v>0</v>
      </c>
      <c r="EB387" s="47"/>
      <c r="EC387" s="47">
        <v>1</v>
      </c>
      <c r="ZZ387" t="s">
        <v>2472</v>
      </c>
    </row>
    <row r="388" spans="1:702" x14ac:dyDescent="0.25">
      <c r="A388" s="47" t="s">
        <v>1870</v>
      </c>
      <c r="B388" s="47" t="s">
        <v>153</v>
      </c>
      <c r="C388" s="47" t="s">
        <v>157</v>
      </c>
      <c r="D388" s="47" t="s">
        <v>2872</v>
      </c>
      <c r="E388" s="47" t="s">
        <v>1871</v>
      </c>
      <c r="F388" s="47" t="s">
        <v>1872</v>
      </c>
      <c r="G388" s="47" t="s">
        <v>1873</v>
      </c>
      <c r="H388" s="47" t="s">
        <v>698</v>
      </c>
      <c r="I388" s="47" t="s">
        <v>727</v>
      </c>
      <c r="J388" s="47" t="str">
        <f>=IFERROR(VLOOKUP(H388&amp;I388,Table_Fonctions!A:G,6,FALSE),"")</f>
        <v>0</v>
      </c>
      <c r="K388" s="47" t="s">
        <v>2607</v>
      </c>
      <c r="L388" s="47" t="str">
        <f>=IFERROR(VLOOKUP(H388&amp;I388,Table_Fonctions!A:G,7,FALSE),K388)</f>
        <v/>
      </c>
      <c r="M388" s="47" t="str">
        <f>=IF(OR(LEFT(D388, 3)="TJ ", LEFT(D388, 4)="CPH "), "OUI", "NON")</f>
        <v/>
      </c>
      <c r="N388" s="47" t="s">
        <v>1053</v>
      </c>
      <c r="O388" s="47"/>
      <c r="P388" s="47">
        <v>1</v>
      </c>
      <c r="Q388" s="47">
        <v>1</v>
      </c>
      <c r="R388" s="47">
        <v>0</v>
      </c>
      <c r="S388" s="47">
        <f>=ROUND(BQ388-(BR388+BS388),3)</f>
      </c>
      <c r="T388" s="47">
        <f>=ROUND(CK388-(CL388+CM388+CN388+CO388+CP388),3)</f>
      </c>
      <c r="U388" s="47">
        <v>0</v>
      </c>
      <c r="V388" s="47">
        <v>0</v>
      </c>
      <c r="W388" s="47">
        <v>0</v>
      </c>
      <c r="X388" s="47">
        <v>0</v>
      </c>
      <c r="Y388" s="47">
        <v>0</v>
      </c>
      <c r="Z388" s="47">
        <v>0</v>
      </c>
      <c r="AA388" s="47">
        <v>0</v>
      </c>
      <c r="AB388" s="47">
        <v>0</v>
      </c>
      <c r="AC388" s="47">
        <v>0</v>
      </c>
      <c r="AD388" s="47">
        <v>0</v>
      </c>
      <c r="AE388" s="47">
        <v>0</v>
      </c>
      <c r="AF388" s="47">
        <v>0</v>
      </c>
      <c r="AG388" s="47">
        <v>0</v>
      </c>
      <c r="AH388" s="47">
        <v>0</v>
      </c>
      <c r="AI388" s="47">
        <v>0</v>
      </c>
      <c r="AJ388" s="47">
        <v>0</v>
      </c>
      <c r="AK388" s="47">
        <v>0</v>
      </c>
      <c r="AL388" s="47">
        <v>0</v>
      </c>
      <c r="AM388" s="47">
        <v>0</v>
      </c>
      <c r="AN388" s="47">
        <v>0</v>
      </c>
      <c r="AO388" s="47">
        <v>0</v>
      </c>
      <c r="AP388" s="47">
        <v>0</v>
      </c>
      <c r="AQ388" s="47">
        <v>0</v>
      </c>
      <c r="AR388" s="47">
        <v>0</v>
      </c>
      <c r="AS388" s="47">
        <v>1</v>
      </c>
      <c r="AT388" s="47">
        <v>0</v>
      </c>
      <c r="AU388" s="47">
        <v>0</v>
      </c>
      <c r="AV388" s="47">
        <v>0</v>
      </c>
      <c r="AW388" s="47">
        <v>0</v>
      </c>
      <c r="AX388" s="47">
        <v>0</v>
      </c>
      <c r="AY388" s="47">
        <v>0</v>
      </c>
      <c r="AZ388" s="47">
        <v>0</v>
      </c>
      <c r="BA388" s="47">
        <v>0</v>
      </c>
      <c r="BB388" s="47">
        <v>0</v>
      </c>
      <c r="BC388" s="47">
        <v>0</v>
      </c>
      <c r="BD388" s="47">
        <v>0</v>
      </c>
      <c r="BE388" s="47">
        <v>0</v>
      </c>
      <c r="BF388" s="47">
        <v>0</v>
      </c>
      <c r="BG388" s="47">
        <v>0</v>
      </c>
      <c r="BH388" s="47">
        <v>0</v>
      </c>
      <c r="BI388" s="47">
        <v>0</v>
      </c>
      <c r="BJ388" s="47">
        <v>0</v>
      </c>
      <c r="BK388" s="47">
        <v>0</v>
      </c>
      <c r="BL388" s="47">
        <v>0</v>
      </c>
      <c r="BM388" s="47">
        <v>0</v>
      </c>
      <c r="BN388" s="47">
        <v>0</v>
      </c>
      <c r="BO388" s="47">
        <v>0</v>
      </c>
      <c r="BP388" s="47">
        <v>0</v>
      </c>
      <c r="BQ388" s="47">
        <v>0</v>
      </c>
      <c r="BR388" s="47">
        <v>0</v>
      </c>
      <c r="BS388" s="47">
        <v>0</v>
      </c>
      <c r="BT388" s="47">
        <v>0</v>
      </c>
      <c r="BU388" s="47">
        <v>0</v>
      </c>
      <c r="BV388" s="47">
        <v>0</v>
      </c>
      <c r="BW388" s="47">
        <v>0</v>
      </c>
      <c r="BX388" s="47">
        <v>0</v>
      </c>
      <c r="BY388" s="47">
        <v>0</v>
      </c>
      <c r="BZ388" s="47">
        <v>0</v>
      </c>
      <c r="CA388" s="47">
        <v>0</v>
      </c>
      <c r="CB388" s="47">
        <v>0</v>
      </c>
      <c r="CC388" s="47">
        <v>0</v>
      </c>
      <c r="CD388" s="47">
        <v>0</v>
      </c>
      <c r="CE388" s="47">
        <v>0</v>
      </c>
      <c r="CF388" s="47">
        <v>0</v>
      </c>
      <c r="CG388" s="47">
        <v>0</v>
      </c>
      <c r="CH388" s="47">
        <v>0</v>
      </c>
      <c r="CI388" s="47">
        <v>0</v>
      </c>
      <c r="CJ388" s="47">
        <v>0</v>
      </c>
      <c r="CK388" s="47">
        <v>0</v>
      </c>
      <c r="CL388" s="47">
        <v>0</v>
      </c>
      <c r="CM388" s="47">
        <v>0</v>
      </c>
      <c r="CN388" s="47">
        <v>0</v>
      </c>
      <c r="CO388" s="47">
        <v>0</v>
      </c>
      <c r="CP388" s="47">
        <v>0</v>
      </c>
      <c r="CQ388" s="47">
        <v>0</v>
      </c>
      <c r="CR388" s="47">
        <v>0</v>
      </c>
      <c r="CS388" s="47">
        <v>0</v>
      </c>
      <c r="CT388" s="47">
        <v>0</v>
      </c>
      <c r="CU388" s="47">
        <v>0</v>
      </c>
      <c r="CV388" s="47">
        <v>0</v>
      </c>
      <c r="CW388" s="47">
        <v>0</v>
      </c>
      <c r="CX388" s="47">
        <v>0</v>
      </c>
      <c r="CY388" s="47">
        <v>0</v>
      </c>
      <c r="CZ388" s="47">
        <v>0</v>
      </c>
      <c r="DA388" s="47">
        <v>0</v>
      </c>
      <c r="DB388" s="47">
        <v>0</v>
      </c>
      <c r="DC388" s="47">
        <v>0</v>
      </c>
      <c r="DD388" s="47">
        <v>0</v>
      </c>
      <c r="DE388" s="47">
        <v>0</v>
      </c>
      <c r="DF388" s="47">
        <v>0</v>
      </c>
      <c r="DG388" s="47">
        <v>0</v>
      </c>
      <c r="DH388" s="47">
        <v>0</v>
      </c>
      <c r="DI388" s="47">
        <v>0</v>
      </c>
      <c r="DJ388" s="47">
        <v>0</v>
      </c>
      <c r="DK388" s="47">
        <v>0</v>
      </c>
      <c r="DL388" s="47">
        <v>0</v>
      </c>
      <c r="DM388" s="47">
        <v>0</v>
      </c>
      <c r="DN388" s="47">
        <v>0</v>
      </c>
      <c r="DO388" s="47">
        <v>0</v>
      </c>
      <c r="DP388" s="47">
        <v>0</v>
      </c>
      <c r="DQ388" s="47">
        <v>0</v>
      </c>
      <c r="DR388" s="47">
        <v>0</v>
      </c>
      <c r="DS388" s="47">
        <v>0</v>
      </c>
      <c r="DT388" s="47">
        <v>0</v>
      </c>
      <c r="DU388" s="47">
        <v>0</v>
      </c>
      <c r="DV388" s="47">
        <v>0</v>
      </c>
      <c r="DW388" s="47">
        <v>0</v>
      </c>
      <c r="DX388" s="47">
        <v>0</v>
      </c>
      <c r="DY388" s="47">
        <v>0</v>
      </c>
      <c r="DZ388" s="47">
        <v>0</v>
      </c>
      <c r="EA388" s="47">
        <v>0</v>
      </c>
      <c r="EB388" s="47"/>
      <c r="EC388" s="47">
        <v>1</v>
      </c>
      <c r="ZZ388" t="s">
        <v>2472</v>
      </c>
    </row>
    <row r="389" spans="1:702" x14ac:dyDescent="0.25">
      <c r="A389" s="47" t="s">
        <v>1874</v>
      </c>
      <c r="B389" s="47" t="s">
        <v>153</v>
      </c>
      <c r="C389" s="47" t="s">
        <v>157</v>
      </c>
      <c r="D389" s="47" t="s">
        <v>2873</v>
      </c>
      <c r="E389" s="47" t="s">
        <v>1875</v>
      </c>
      <c r="F389" s="47" t="s">
        <v>1876</v>
      </c>
      <c r="G389" s="47" t="s">
        <v>1877</v>
      </c>
      <c r="H389" s="47" t="s">
        <v>698</v>
      </c>
      <c r="I389" s="47" t="s">
        <v>705</v>
      </c>
      <c r="J389" s="47" t="str">
        <f>=IFERROR(VLOOKUP(H389&amp;I389,Table_Fonctions!A:G,6,FALSE),"")</f>
        <v>0</v>
      </c>
      <c r="K389" s="47" t="s">
        <v>2607</v>
      </c>
      <c r="L389" s="47" t="str">
        <f>=IFERROR(VLOOKUP(H389&amp;I389,Table_Fonctions!A:G,7,FALSE),K389)</f>
        <v/>
      </c>
      <c r="M389" s="47" t="str">
        <f>=IF(OR(LEFT(D389, 3)="TJ ", LEFT(D389, 4)="CPH "), "OUI", "NON")</f>
        <v/>
      </c>
      <c r="N389" s="47" t="s">
        <v>1878</v>
      </c>
      <c r="O389" s="47"/>
      <c r="P389" s="47">
        <v>1</v>
      </c>
      <c r="Q389" s="47">
        <v>0</v>
      </c>
      <c r="R389" s="47">
        <v>1</v>
      </c>
      <c r="S389" s="47">
        <f>=ROUND(BQ389-(BR389+BS389),3)</f>
      </c>
      <c r="T389" s="47">
        <f>=ROUND(CK389-(CL389+CM389+CN389+CO389+CP389),3)</f>
      </c>
      <c r="U389" s="47">
        <v>0</v>
      </c>
      <c r="V389" s="47">
        <v>0</v>
      </c>
      <c r="W389" s="47">
        <v>0</v>
      </c>
      <c r="X389" s="47">
        <v>0</v>
      </c>
      <c r="Y389" s="47">
        <v>0</v>
      </c>
      <c r="Z389" s="47">
        <v>0</v>
      </c>
      <c r="AA389" s="47">
        <v>0</v>
      </c>
      <c r="AB389" s="47">
        <v>0</v>
      </c>
      <c r="AC389" s="47">
        <v>0</v>
      </c>
      <c r="AD389" s="47">
        <v>0</v>
      </c>
      <c r="AE389" s="47">
        <v>0</v>
      </c>
      <c r="AF389" s="47">
        <v>0</v>
      </c>
      <c r="AG389" s="47">
        <v>0</v>
      </c>
      <c r="AH389" s="47">
        <v>0</v>
      </c>
      <c r="AI389" s="47">
        <v>0</v>
      </c>
      <c r="AJ389" s="47">
        <v>0</v>
      </c>
      <c r="AK389" s="47">
        <v>0</v>
      </c>
      <c r="AL389" s="47">
        <v>0</v>
      </c>
      <c r="AM389" s="47">
        <v>0</v>
      </c>
      <c r="AN389" s="47">
        <v>0</v>
      </c>
      <c r="AO389" s="47">
        <v>0</v>
      </c>
      <c r="AP389" s="47">
        <v>0</v>
      </c>
      <c r="AQ389" s="47">
        <v>0</v>
      </c>
      <c r="AR389" s="47">
        <v>0</v>
      </c>
      <c r="AS389" s="47">
        <v>0</v>
      </c>
      <c r="AT389" s="47">
        <v>0</v>
      </c>
      <c r="AU389" s="47">
        <v>0</v>
      </c>
      <c r="AV389" s="47">
        <v>0</v>
      </c>
      <c r="AW389" s="47">
        <v>0</v>
      </c>
      <c r="AX389" s="47">
        <v>0</v>
      </c>
      <c r="AY389" s="47">
        <v>0</v>
      </c>
      <c r="AZ389" s="47">
        <v>0</v>
      </c>
      <c r="BA389" s="47">
        <v>0</v>
      </c>
      <c r="BB389" s="47">
        <v>0</v>
      </c>
      <c r="BC389" s="47">
        <v>0</v>
      </c>
      <c r="BD389" s="47">
        <v>0</v>
      </c>
      <c r="BE389" s="47">
        <v>0</v>
      </c>
      <c r="BF389" s="47">
        <v>0</v>
      </c>
      <c r="BG389" s="47">
        <v>0</v>
      </c>
      <c r="BH389" s="47">
        <v>0</v>
      </c>
      <c r="BI389" s="47">
        <v>0</v>
      </c>
      <c r="BJ389" s="47">
        <v>0</v>
      </c>
      <c r="BK389" s="47">
        <v>0</v>
      </c>
      <c r="BL389" s="47">
        <v>0</v>
      </c>
      <c r="BM389" s="47">
        <v>0</v>
      </c>
      <c r="BN389" s="47">
        <v>0</v>
      </c>
      <c r="BO389" s="47">
        <v>0</v>
      </c>
      <c r="BP389" s="47">
        <v>0</v>
      </c>
      <c r="BQ389" s="47">
        <v>0</v>
      </c>
      <c r="BR389" s="47">
        <v>0</v>
      </c>
      <c r="BS389" s="47">
        <v>0</v>
      </c>
      <c r="BT389" s="47">
        <v>0</v>
      </c>
      <c r="BU389" s="47">
        <v>0</v>
      </c>
      <c r="BV389" s="47">
        <v>0</v>
      </c>
      <c r="BW389" s="47">
        <v>0</v>
      </c>
      <c r="BX389" s="47">
        <v>0</v>
      </c>
      <c r="BY389" s="47">
        <v>0</v>
      </c>
      <c r="BZ389" s="47">
        <v>0</v>
      </c>
      <c r="CA389" s="47">
        <v>0</v>
      </c>
      <c r="CB389" s="47">
        <v>0</v>
      </c>
      <c r="CC389" s="47">
        <v>0</v>
      </c>
      <c r="CD389" s="47">
        <v>0</v>
      </c>
      <c r="CE389" s="47">
        <v>0</v>
      </c>
      <c r="CF389" s="47">
        <v>0</v>
      </c>
      <c r="CG389" s="47">
        <v>0</v>
      </c>
      <c r="CH389" s="47">
        <v>0</v>
      </c>
      <c r="CI389" s="47">
        <v>0</v>
      </c>
      <c r="CJ389" s="47">
        <v>0</v>
      </c>
      <c r="CK389" s="47">
        <v>0</v>
      </c>
      <c r="CL389" s="47">
        <v>0</v>
      </c>
      <c r="CM389" s="47">
        <v>0</v>
      </c>
      <c r="CN389" s="47">
        <v>0</v>
      </c>
      <c r="CO389" s="47">
        <v>0</v>
      </c>
      <c r="CP389" s="47">
        <v>0</v>
      </c>
      <c r="CQ389" s="47">
        <v>0</v>
      </c>
      <c r="CR389" s="47">
        <v>0</v>
      </c>
      <c r="CS389" s="47">
        <v>0</v>
      </c>
      <c r="CT389" s="47">
        <v>0</v>
      </c>
      <c r="CU389" s="47">
        <v>0</v>
      </c>
      <c r="CV389" s="47">
        <v>0</v>
      </c>
      <c r="CW389" s="47">
        <v>0</v>
      </c>
      <c r="CX389" s="47">
        <v>0</v>
      </c>
      <c r="CY389" s="47">
        <v>0</v>
      </c>
      <c r="CZ389" s="47">
        <v>0</v>
      </c>
      <c r="DA389" s="47">
        <v>0</v>
      </c>
      <c r="DB389" s="47">
        <v>0</v>
      </c>
      <c r="DC389" s="47">
        <v>0</v>
      </c>
      <c r="DD389" s="47">
        <v>0</v>
      </c>
      <c r="DE389" s="47">
        <v>0</v>
      </c>
      <c r="DF389" s="47">
        <v>0</v>
      </c>
      <c r="DG389" s="47">
        <v>0</v>
      </c>
      <c r="DH389" s="47">
        <v>0</v>
      </c>
      <c r="DI389" s="47">
        <v>0</v>
      </c>
      <c r="DJ389" s="47">
        <v>0</v>
      </c>
      <c r="DK389" s="47">
        <v>0</v>
      </c>
      <c r="DL389" s="47">
        <v>0</v>
      </c>
      <c r="DM389" s="47">
        <v>0</v>
      </c>
      <c r="DN389" s="47">
        <v>0</v>
      </c>
      <c r="DO389" s="47">
        <v>0</v>
      </c>
      <c r="DP389" s="47">
        <v>0</v>
      </c>
      <c r="DQ389" s="47">
        <v>0</v>
      </c>
      <c r="DR389" s="47">
        <v>0</v>
      </c>
      <c r="DS389" s="47">
        <v>0</v>
      </c>
      <c r="DT389" s="47">
        <v>0</v>
      </c>
      <c r="DU389" s="47">
        <v>0</v>
      </c>
      <c r="DV389" s="47">
        <v>0</v>
      </c>
      <c r="DW389" s="47">
        <v>0</v>
      </c>
      <c r="DX389" s="47">
        <v>0</v>
      </c>
      <c r="DY389" s="47">
        <v>0</v>
      </c>
      <c r="DZ389" s="47">
        <v>0</v>
      </c>
      <c r="EA389" s="47">
        <v>0</v>
      </c>
      <c r="EB389" s="47"/>
      <c r="EC389" s="47">
        <v>1</v>
      </c>
      <c r="ZZ389" t="s">
        <v>2472</v>
      </c>
    </row>
    <row r="390" spans="1:702" x14ac:dyDescent="0.25">
      <c r="A390" s="47" t="s">
        <v>1879</v>
      </c>
      <c r="B390" s="47" t="s">
        <v>153</v>
      </c>
      <c r="C390" s="47" t="s">
        <v>157</v>
      </c>
      <c r="D390" s="47" t="s">
        <v>2874</v>
      </c>
      <c r="E390" s="47" t="s">
        <v>1880</v>
      </c>
      <c r="F390" s="47" t="s">
        <v>1881</v>
      </c>
      <c r="G390" s="47" t="s">
        <v>1882</v>
      </c>
      <c r="H390" s="47" t="s">
        <v>698</v>
      </c>
      <c r="I390" s="47" t="s">
        <v>705</v>
      </c>
      <c r="J390" s="47" t="str">
        <f>=IFERROR(VLOOKUP(H390&amp;I390,Table_Fonctions!A:G,6,FALSE),"")</f>
        <v>0</v>
      </c>
      <c r="K390" s="47" t="s">
        <v>2607</v>
      </c>
      <c r="L390" s="47" t="str">
        <f>=IFERROR(VLOOKUP(H390&amp;I390,Table_Fonctions!A:G,7,FALSE),K390)</f>
        <v/>
      </c>
      <c r="M390" s="47" t="str">
        <f>=IF(OR(LEFT(D390, 3)="TJ ", LEFT(D390, 4)="CPH "), "OUI", "NON")</f>
        <v/>
      </c>
      <c r="N390" s="47" t="s">
        <v>1883</v>
      </c>
      <c r="O390" s="47"/>
      <c r="P390" s="47">
        <v>0.8</v>
      </c>
      <c r="Q390" s="47">
        <v>0</v>
      </c>
      <c r="R390" s="47">
        <v>0.8</v>
      </c>
      <c r="S390" s="47">
        <f>=ROUND(BQ390-(BR390+BS390),3)</f>
      </c>
      <c r="T390" s="47">
        <f>=ROUND(CK390-(CL390+CM390+CN390+CO390+CP390),3)</f>
      </c>
      <c r="U390" s="47">
        <v>0</v>
      </c>
      <c r="V390" s="47">
        <v>0</v>
      </c>
      <c r="W390" s="47">
        <v>0</v>
      </c>
      <c r="X390" s="47">
        <v>0</v>
      </c>
      <c r="Y390" s="47">
        <v>0</v>
      </c>
      <c r="Z390" s="47">
        <v>0</v>
      </c>
      <c r="AA390" s="47">
        <v>0</v>
      </c>
      <c r="AB390" s="47">
        <v>0</v>
      </c>
      <c r="AC390" s="47">
        <v>0</v>
      </c>
      <c r="AD390" s="47">
        <v>0</v>
      </c>
      <c r="AE390" s="47">
        <v>0</v>
      </c>
      <c r="AF390" s="47">
        <v>0</v>
      </c>
      <c r="AG390" s="47">
        <v>0</v>
      </c>
      <c r="AH390" s="47">
        <v>0</v>
      </c>
      <c r="AI390" s="47">
        <v>0</v>
      </c>
      <c r="AJ390" s="47">
        <v>0</v>
      </c>
      <c r="AK390" s="47">
        <v>0</v>
      </c>
      <c r="AL390" s="47">
        <v>0</v>
      </c>
      <c r="AM390" s="47">
        <v>0</v>
      </c>
      <c r="AN390" s="47">
        <v>0</v>
      </c>
      <c r="AO390" s="47">
        <v>0</v>
      </c>
      <c r="AP390" s="47">
        <v>0</v>
      </c>
      <c r="AQ390" s="47">
        <v>0</v>
      </c>
      <c r="AR390" s="47">
        <v>0</v>
      </c>
      <c r="AS390" s="47">
        <v>0</v>
      </c>
      <c r="AT390" s="47">
        <v>0</v>
      </c>
      <c r="AU390" s="47">
        <v>0</v>
      </c>
      <c r="AV390" s="47">
        <v>0</v>
      </c>
      <c r="AW390" s="47">
        <v>0</v>
      </c>
      <c r="AX390" s="47">
        <v>0</v>
      </c>
      <c r="AY390" s="47">
        <v>0</v>
      </c>
      <c r="AZ390" s="47">
        <v>0</v>
      </c>
      <c r="BA390" s="47">
        <v>0</v>
      </c>
      <c r="BB390" s="47">
        <v>0</v>
      </c>
      <c r="BC390" s="47">
        <v>0</v>
      </c>
      <c r="BD390" s="47">
        <v>0</v>
      </c>
      <c r="BE390" s="47">
        <v>0</v>
      </c>
      <c r="BF390" s="47">
        <v>0</v>
      </c>
      <c r="BG390" s="47">
        <v>0</v>
      </c>
      <c r="BH390" s="47">
        <v>0</v>
      </c>
      <c r="BI390" s="47">
        <v>0</v>
      </c>
      <c r="BJ390" s="47">
        <v>0</v>
      </c>
      <c r="BK390" s="47">
        <v>0</v>
      </c>
      <c r="BL390" s="47">
        <v>0</v>
      </c>
      <c r="BM390" s="47">
        <v>0</v>
      </c>
      <c r="BN390" s="47">
        <v>0</v>
      </c>
      <c r="BO390" s="47">
        <v>0</v>
      </c>
      <c r="BP390" s="47">
        <v>0</v>
      </c>
      <c r="BQ390" s="47">
        <v>0</v>
      </c>
      <c r="BR390" s="47">
        <v>0</v>
      </c>
      <c r="BS390" s="47">
        <v>0</v>
      </c>
      <c r="BT390" s="47">
        <v>0</v>
      </c>
      <c r="BU390" s="47">
        <v>0</v>
      </c>
      <c r="BV390" s="47">
        <v>0</v>
      </c>
      <c r="BW390" s="47">
        <v>0</v>
      </c>
      <c r="BX390" s="47">
        <v>0</v>
      </c>
      <c r="BY390" s="47">
        <v>0</v>
      </c>
      <c r="BZ390" s="47">
        <v>0</v>
      </c>
      <c r="CA390" s="47">
        <v>0</v>
      </c>
      <c r="CB390" s="47">
        <v>0</v>
      </c>
      <c r="CC390" s="47">
        <v>0</v>
      </c>
      <c r="CD390" s="47">
        <v>0</v>
      </c>
      <c r="CE390" s="47">
        <v>0</v>
      </c>
      <c r="CF390" s="47">
        <v>0</v>
      </c>
      <c r="CG390" s="47">
        <v>0</v>
      </c>
      <c r="CH390" s="47">
        <v>0</v>
      </c>
      <c r="CI390" s="47">
        <v>0</v>
      </c>
      <c r="CJ390" s="47">
        <v>0</v>
      </c>
      <c r="CK390" s="47">
        <v>0</v>
      </c>
      <c r="CL390" s="47">
        <v>0</v>
      </c>
      <c r="CM390" s="47">
        <v>0</v>
      </c>
      <c r="CN390" s="47">
        <v>0</v>
      </c>
      <c r="CO390" s="47">
        <v>0</v>
      </c>
      <c r="CP390" s="47">
        <v>0</v>
      </c>
      <c r="CQ390" s="47">
        <v>0</v>
      </c>
      <c r="CR390" s="47">
        <v>0</v>
      </c>
      <c r="CS390" s="47">
        <v>0</v>
      </c>
      <c r="CT390" s="47">
        <v>0</v>
      </c>
      <c r="CU390" s="47">
        <v>0</v>
      </c>
      <c r="CV390" s="47">
        <v>0</v>
      </c>
      <c r="CW390" s="47">
        <v>0</v>
      </c>
      <c r="CX390" s="47">
        <v>0</v>
      </c>
      <c r="CY390" s="47">
        <v>0</v>
      </c>
      <c r="CZ390" s="47">
        <v>0</v>
      </c>
      <c r="DA390" s="47">
        <v>0</v>
      </c>
      <c r="DB390" s="47">
        <v>0</v>
      </c>
      <c r="DC390" s="47">
        <v>0</v>
      </c>
      <c r="DD390" s="47">
        <v>0</v>
      </c>
      <c r="DE390" s="47">
        <v>0</v>
      </c>
      <c r="DF390" s="47">
        <v>0</v>
      </c>
      <c r="DG390" s="47">
        <v>0</v>
      </c>
      <c r="DH390" s="47">
        <v>0</v>
      </c>
      <c r="DI390" s="47">
        <v>0</v>
      </c>
      <c r="DJ390" s="47">
        <v>0</v>
      </c>
      <c r="DK390" s="47">
        <v>0</v>
      </c>
      <c r="DL390" s="47">
        <v>0</v>
      </c>
      <c r="DM390" s="47">
        <v>0</v>
      </c>
      <c r="DN390" s="47">
        <v>0</v>
      </c>
      <c r="DO390" s="47">
        <v>0</v>
      </c>
      <c r="DP390" s="47">
        <v>0</v>
      </c>
      <c r="DQ390" s="47">
        <v>0</v>
      </c>
      <c r="DR390" s="47">
        <v>0</v>
      </c>
      <c r="DS390" s="47">
        <v>0</v>
      </c>
      <c r="DT390" s="47">
        <v>0</v>
      </c>
      <c r="DU390" s="47">
        <v>0</v>
      </c>
      <c r="DV390" s="47">
        <v>0</v>
      </c>
      <c r="DW390" s="47">
        <v>0</v>
      </c>
      <c r="DX390" s="47">
        <v>0</v>
      </c>
      <c r="DY390" s="47">
        <v>0</v>
      </c>
      <c r="DZ390" s="47">
        <v>0</v>
      </c>
      <c r="EA390" s="47">
        <v>0</v>
      </c>
      <c r="EB390" s="47"/>
      <c r="EC390" s="47">
        <v>0.8</v>
      </c>
      <c r="ZZ390" t="s">
        <v>2472</v>
      </c>
    </row>
    <row r="391" spans="1:702" x14ac:dyDescent="0.25">
      <c r="A391" s="47" t="s">
        <v>1884</v>
      </c>
      <c r="B391" s="47" t="s">
        <v>153</v>
      </c>
      <c r="C391" s="47" t="s">
        <v>157</v>
      </c>
      <c r="D391" s="47" t="s">
        <v>2875</v>
      </c>
      <c r="E391" s="47" t="s">
        <v>1885</v>
      </c>
      <c r="F391" s="47" t="s">
        <v>1886</v>
      </c>
      <c r="G391" s="47" t="s">
        <v>1887</v>
      </c>
      <c r="H391" s="47" t="s">
        <v>698</v>
      </c>
      <c r="I391" s="47" t="s">
        <v>705</v>
      </c>
      <c r="J391" s="47" t="str">
        <f>=IFERROR(VLOOKUP(H391&amp;I391,Table_Fonctions!A:G,6,FALSE),"")</f>
        <v>0</v>
      </c>
      <c r="K391" s="47" t="s">
        <v>2607</v>
      </c>
      <c r="L391" s="47" t="str">
        <f>=IFERROR(VLOOKUP(H391&amp;I391,Table_Fonctions!A:G,7,FALSE),K391)</f>
        <v/>
      </c>
      <c r="M391" s="47" t="str">
        <f>=IF(OR(LEFT(D391, 3)="TJ ", LEFT(D391, 4)="CPH "), "OUI", "NON")</f>
        <v/>
      </c>
      <c r="N391" s="47" t="s">
        <v>1888</v>
      </c>
      <c r="O391" s="47"/>
      <c r="P391" s="47">
        <v>1</v>
      </c>
      <c r="Q391" s="47">
        <v>0</v>
      </c>
      <c r="R391" s="47">
        <v>1</v>
      </c>
      <c r="S391" s="47">
        <f>=ROUND(BQ391-(BR391+BS391),3)</f>
      </c>
      <c r="T391" s="47">
        <f>=ROUND(CK391-(CL391+CM391+CN391+CO391+CP391),3)</f>
      </c>
      <c r="U391" s="47">
        <v>0</v>
      </c>
      <c r="V391" s="47">
        <v>0</v>
      </c>
      <c r="W391" s="47">
        <v>0</v>
      </c>
      <c r="X391" s="47">
        <v>0</v>
      </c>
      <c r="Y391" s="47">
        <v>0</v>
      </c>
      <c r="Z391" s="47">
        <v>0</v>
      </c>
      <c r="AA391" s="47">
        <v>0</v>
      </c>
      <c r="AB391" s="47">
        <v>0</v>
      </c>
      <c r="AC391" s="47">
        <v>0</v>
      </c>
      <c r="AD391" s="47">
        <v>0</v>
      </c>
      <c r="AE391" s="47">
        <v>0</v>
      </c>
      <c r="AF391" s="47">
        <v>0</v>
      </c>
      <c r="AG391" s="47">
        <v>0</v>
      </c>
      <c r="AH391" s="47">
        <v>0</v>
      </c>
      <c r="AI391" s="47">
        <v>0</v>
      </c>
      <c r="AJ391" s="47">
        <v>0</v>
      </c>
      <c r="AK391" s="47">
        <v>0</v>
      </c>
      <c r="AL391" s="47">
        <v>0</v>
      </c>
      <c r="AM391" s="47">
        <v>0</v>
      </c>
      <c r="AN391" s="47">
        <v>0</v>
      </c>
      <c r="AO391" s="47">
        <v>0</v>
      </c>
      <c r="AP391" s="47">
        <v>0</v>
      </c>
      <c r="AQ391" s="47">
        <v>0</v>
      </c>
      <c r="AR391" s="47">
        <v>0</v>
      </c>
      <c r="AS391" s="47">
        <v>0</v>
      </c>
      <c r="AT391" s="47">
        <v>0</v>
      </c>
      <c r="AU391" s="47">
        <v>0</v>
      </c>
      <c r="AV391" s="47">
        <v>0</v>
      </c>
      <c r="AW391" s="47">
        <v>0</v>
      </c>
      <c r="AX391" s="47">
        <v>0</v>
      </c>
      <c r="AY391" s="47">
        <v>0</v>
      </c>
      <c r="AZ391" s="47">
        <v>0</v>
      </c>
      <c r="BA391" s="47">
        <v>0</v>
      </c>
      <c r="BB391" s="47">
        <v>0</v>
      </c>
      <c r="BC391" s="47">
        <v>0</v>
      </c>
      <c r="BD391" s="47">
        <v>0</v>
      </c>
      <c r="BE391" s="47">
        <v>0</v>
      </c>
      <c r="BF391" s="47">
        <v>0</v>
      </c>
      <c r="BG391" s="47">
        <v>0</v>
      </c>
      <c r="BH391" s="47">
        <v>0</v>
      </c>
      <c r="BI391" s="47">
        <v>0</v>
      </c>
      <c r="BJ391" s="47">
        <v>0</v>
      </c>
      <c r="BK391" s="47">
        <v>0</v>
      </c>
      <c r="BL391" s="47">
        <v>0</v>
      </c>
      <c r="BM391" s="47">
        <v>0</v>
      </c>
      <c r="BN391" s="47">
        <v>0</v>
      </c>
      <c r="BO391" s="47">
        <v>0</v>
      </c>
      <c r="BP391" s="47">
        <v>0</v>
      </c>
      <c r="BQ391" s="47">
        <v>0</v>
      </c>
      <c r="BR391" s="47">
        <v>0</v>
      </c>
      <c r="BS391" s="47">
        <v>0</v>
      </c>
      <c r="BT391" s="47">
        <v>0</v>
      </c>
      <c r="BU391" s="47">
        <v>0</v>
      </c>
      <c r="BV391" s="47">
        <v>0</v>
      </c>
      <c r="BW391" s="47">
        <v>0</v>
      </c>
      <c r="BX391" s="47">
        <v>0</v>
      </c>
      <c r="BY391" s="47">
        <v>0</v>
      </c>
      <c r="BZ391" s="47">
        <v>0</v>
      </c>
      <c r="CA391" s="47">
        <v>0</v>
      </c>
      <c r="CB391" s="47">
        <v>0</v>
      </c>
      <c r="CC391" s="47">
        <v>0</v>
      </c>
      <c r="CD391" s="47">
        <v>0</v>
      </c>
      <c r="CE391" s="47">
        <v>0</v>
      </c>
      <c r="CF391" s="47">
        <v>0</v>
      </c>
      <c r="CG391" s="47">
        <v>0</v>
      </c>
      <c r="CH391" s="47">
        <v>0</v>
      </c>
      <c r="CI391" s="47">
        <v>0</v>
      </c>
      <c r="CJ391" s="47">
        <v>0</v>
      </c>
      <c r="CK391" s="47">
        <v>0</v>
      </c>
      <c r="CL391" s="47">
        <v>0</v>
      </c>
      <c r="CM391" s="47">
        <v>0</v>
      </c>
      <c r="CN391" s="47">
        <v>0</v>
      </c>
      <c r="CO391" s="47">
        <v>0</v>
      </c>
      <c r="CP391" s="47">
        <v>0</v>
      </c>
      <c r="CQ391" s="47">
        <v>0</v>
      </c>
      <c r="CR391" s="47">
        <v>0</v>
      </c>
      <c r="CS391" s="47">
        <v>0</v>
      </c>
      <c r="CT391" s="47">
        <v>0</v>
      </c>
      <c r="CU391" s="47">
        <v>0</v>
      </c>
      <c r="CV391" s="47">
        <v>0</v>
      </c>
      <c r="CW391" s="47">
        <v>0</v>
      </c>
      <c r="CX391" s="47">
        <v>0</v>
      </c>
      <c r="CY391" s="47">
        <v>0</v>
      </c>
      <c r="CZ391" s="47">
        <v>0</v>
      </c>
      <c r="DA391" s="47">
        <v>0</v>
      </c>
      <c r="DB391" s="47">
        <v>0</v>
      </c>
      <c r="DC391" s="47">
        <v>0</v>
      </c>
      <c r="DD391" s="47">
        <v>0</v>
      </c>
      <c r="DE391" s="47">
        <v>0</v>
      </c>
      <c r="DF391" s="47">
        <v>0</v>
      </c>
      <c r="DG391" s="47">
        <v>0</v>
      </c>
      <c r="DH391" s="47">
        <v>0</v>
      </c>
      <c r="DI391" s="47">
        <v>0</v>
      </c>
      <c r="DJ391" s="47">
        <v>0</v>
      </c>
      <c r="DK391" s="47">
        <v>0</v>
      </c>
      <c r="DL391" s="47">
        <v>0</v>
      </c>
      <c r="DM391" s="47">
        <v>0</v>
      </c>
      <c r="DN391" s="47">
        <v>0</v>
      </c>
      <c r="DO391" s="47">
        <v>0</v>
      </c>
      <c r="DP391" s="47">
        <v>0</v>
      </c>
      <c r="DQ391" s="47">
        <v>0</v>
      </c>
      <c r="DR391" s="47">
        <v>0</v>
      </c>
      <c r="DS391" s="47">
        <v>0</v>
      </c>
      <c r="DT391" s="47">
        <v>0</v>
      </c>
      <c r="DU391" s="47">
        <v>0</v>
      </c>
      <c r="DV391" s="47">
        <v>0</v>
      </c>
      <c r="DW391" s="47">
        <v>0</v>
      </c>
      <c r="DX391" s="47">
        <v>0</v>
      </c>
      <c r="DY391" s="47">
        <v>0</v>
      </c>
      <c r="DZ391" s="47">
        <v>0</v>
      </c>
      <c r="EA391" s="47">
        <v>0</v>
      </c>
      <c r="EB391" s="47"/>
      <c r="EC391" s="47">
        <v>1</v>
      </c>
      <c r="ZZ391" t="s">
        <v>2472</v>
      </c>
    </row>
    <row r="392" spans="1:702" x14ac:dyDescent="0.25">
      <c r="A392" s="47" t="s">
        <v>1889</v>
      </c>
      <c r="B392" s="47" t="s">
        <v>153</v>
      </c>
      <c r="C392" s="47" t="s">
        <v>157</v>
      </c>
      <c r="D392" s="47" t="s">
        <v>2876</v>
      </c>
      <c r="E392" s="47" t="s">
        <v>1890</v>
      </c>
      <c r="F392" s="47" t="s">
        <v>1891</v>
      </c>
      <c r="G392" s="47" t="s">
        <v>1892</v>
      </c>
      <c r="H392" s="47" t="s">
        <v>698</v>
      </c>
      <c r="I392" s="47" t="s">
        <v>705</v>
      </c>
      <c r="J392" s="47" t="str">
        <f>=IFERROR(VLOOKUP(H392&amp;I392,Table_Fonctions!A:G,6,FALSE),"")</f>
        <v>0</v>
      </c>
      <c r="K392" s="47" t="s">
        <v>2607</v>
      </c>
      <c r="L392" s="47" t="str">
        <f>=IFERROR(VLOOKUP(H392&amp;I392,Table_Fonctions!A:G,7,FALSE),K392)</f>
        <v/>
      </c>
      <c r="M392" s="47" t="str">
        <f>=IF(OR(LEFT(D392, 3)="TJ ", LEFT(D392, 4)="CPH "), "OUI", "NON")</f>
        <v/>
      </c>
      <c r="N392" s="47" t="s">
        <v>1893</v>
      </c>
      <c r="O392" s="47"/>
      <c r="P392" s="47">
        <v>1</v>
      </c>
      <c r="Q392" s="47">
        <v>0</v>
      </c>
      <c r="R392" s="47">
        <v>1</v>
      </c>
      <c r="S392" s="47">
        <f>=ROUND(BQ392-(BR392+BS392),3)</f>
      </c>
      <c r="T392" s="47">
        <f>=ROUND(CK392-(CL392+CM392+CN392+CO392+CP392),3)</f>
      </c>
      <c r="U392" s="47">
        <v>0</v>
      </c>
      <c r="V392" s="47">
        <v>0</v>
      </c>
      <c r="W392" s="47">
        <v>0</v>
      </c>
      <c r="X392" s="47">
        <v>0</v>
      </c>
      <c r="Y392" s="47">
        <v>0</v>
      </c>
      <c r="Z392" s="47">
        <v>0</v>
      </c>
      <c r="AA392" s="47">
        <v>0</v>
      </c>
      <c r="AB392" s="47">
        <v>0</v>
      </c>
      <c r="AC392" s="47">
        <v>0</v>
      </c>
      <c r="AD392" s="47">
        <v>0</v>
      </c>
      <c r="AE392" s="47">
        <v>0</v>
      </c>
      <c r="AF392" s="47">
        <v>0</v>
      </c>
      <c r="AG392" s="47">
        <v>0</v>
      </c>
      <c r="AH392" s="47">
        <v>0</v>
      </c>
      <c r="AI392" s="47">
        <v>0</v>
      </c>
      <c r="AJ392" s="47">
        <v>0</v>
      </c>
      <c r="AK392" s="47">
        <v>0</v>
      </c>
      <c r="AL392" s="47">
        <v>0</v>
      </c>
      <c r="AM392" s="47">
        <v>0</v>
      </c>
      <c r="AN392" s="47">
        <v>0</v>
      </c>
      <c r="AO392" s="47">
        <v>0</v>
      </c>
      <c r="AP392" s="47">
        <v>0</v>
      </c>
      <c r="AQ392" s="47">
        <v>0</v>
      </c>
      <c r="AR392" s="47">
        <v>0</v>
      </c>
      <c r="AS392" s="47">
        <v>0</v>
      </c>
      <c r="AT392" s="47">
        <v>0</v>
      </c>
      <c r="AU392" s="47">
        <v>0</v>
      </c>
      <c r="AV392" s="47">
        <v>0</v>
      </c>
      <c r="AW392" s="47">
        <v>0</v>
      </c>
      <c r="AX392" s="47">
        <v>0</v>
      </c>
      <c r="AY392" s="47">
        <v>0</v>
      </c>
      <c r="AZ392" s="47">
        <v>0</v>
      </c>
      <c r="BA392" s="47">
        <v>0</v>
      </c>
      <c r="BB392" s="47">
        <v>0</v>
      </c>
      <c r="BC392" s="47">
        <v>0</v>
      </c>
      <c r="BD392" s="47">
        <v>0</v>
      </c>
      <c r="BE392" s="47">
        <v>0</v>
      </c>
      <c r="BF392" s="47">
        <v>0</v>
      </c>
      <c r="BG392" s="47">
        <v>0</v>
      </c>
      <c r="BH392" s="47">
        <v>0</v>
      </c>
      <c r="BI392" s="47">
        <v>0</v>
      </c>
      <c r="BJ392" s="47">
        <v>0</v>
      </c>
      <c r="BK392" s="47">
        <v>0</v>
      </c>
      <c r="BL392" s="47">
        <v>0</v>
      </c>
      <c r="BM392" s="47">
        <v>0</v>
      </c>
      <c r="BN392" s="47">
        <v>0</v>
      </c>
      <c r="BO392" s="47">
        <v>0</v>
      </c>
      <c r="BP392" s="47">
        <v>0</v>
      </c>
      <c r="BQ392" s="47">
        <v>0</v>
      </c>
      <c r="BR392" s="47">
        <v>0</v>
      </c>
      <c r="BS392" s="47">
        <v>0</v>
      </c>
      <c r="BT392" s="47">
        <v>0</v>
      </c>
      <c r="BU392" s="47">
        <v>0</v>
      </c>
      <c r="BV392" s="47">
        <v>0</v>
      </c>
      <c r="BW392" s="47">
        <v>0</v>
      </c>
      <c r="BX392" s="47">
        <v>0</v>
      </c>
      <c r="BY392" s="47">
        <v>0</v>
      </c>
      <c r="BZ392" s="47">
        <v>0</v>
      </c>
      <c r="CA392" s="47">
        <v>0</v>
      </c>
      <c r="CB392" s="47">
        <v>0</v>
      </c>
      <c r="CC392" s="47">
        <v>0</v>
      </c>
      <c r="CD392" s="47">
        <v>0</v>
      </c>
      <c r="CE392" s="47">
        <v>0</v>
      </c>
      <c r="CF392" s="47">
        <v>0</v>
      </c>
      <c r="CG392" s="47">
        <v>0</v>
      </c>
      <c r="CH392" s="47">
        <v>0</v>
      </c>
      <c r="CI392" s="47">
        <v>0</v>
      </c>
      <c r="CJ392" s="47">
        <v>0</v>
      </c>
      <c r="CK392" s="47">
        <v>0</v>
      </c>
      <c r="CL392" s="47">
        <v>0</v>
      </c>
      <c r="CM392" s="47">
        <v>0</v>
      </c>
      <c r="CN392" s="47">
        <v>0</v>
      </c>
      <c r="CO392" s="47">
        <v>0</v>
      </c>
      <c r="CP392" s="47">
        <v>0</v>
      </c>
      <c r="CQ392" s="47">
        <v>0</v>
      </c>
      <c r="CR392" s="47">
        <v>0</v>
      </c>
      <c r="CS392" s="47">
        <v>0</v>
      </c>
      <c r="CT392" s="47">
        <v>0</v>
      </c>
      <c r="CU392" s="47">
        <v>0</v>
      </c>
      <c r="CV392" s="47">
        <v>0</v>
      </c>
      <c r="CW392" s="47">
        <v>0</v>
      </c>
      <c r="CX392" s="47">
        <v>0</v>
      </c>
      <c r="CY392" s="47">
        <v>0</v>
      </c>
      <c r="CZ392" s="47">
        <v>0</v>
      </c>
      <c r="DA392" s="47">
        <v>0</v>
      </c>
      <c r="DB392" s="47">
        <v>0</v>
      </c>
      <c r="DC392" s="47">
        <v>0</v>
      </c>
      <c r="DD392" s="47">
        <v>0</v>
      </c>
      <c r="DE392" s="47">
        <v>0</v>
      </c>
      <c r="DF392" s="47">
        <v>0</v>
      </c>
      <c r="DG392" s="47">
        <v>0</v>
      </c>
      <c r="DH392" s="47">
        <v>0</v>
      </c>
      <c r="DI392" s="47">
        <v>0</v>
      </c>
      <c r="DJ392" s="47">
        <v>0</v>
      </c>
      <c r="DK392" s="47">
        <v>0</v>
      </c>
      <c r="DL392" s="47">
        <v>0</v>
      </c>
      <c r="DM392" s="47">
        <v>0</v>
      </c>
      <c r="DN392" s="47">
        <v>0</v>
      </c>
      <c r="DO392" s="47">
        <v>0</v>
      </c>
      <c r="DP392" s="47">
        <v>0</v>
      </c>
      <c r="DQ392" s="47">
        <v>0</v>
      </c>
      <c r="DR392" s="47">
        <v>0</v>
      </c>
      <c r="DS392" s="47">
        <v>0</v>
      </c>
      <c r="DT392" s="47">
        <v>0</v>
      </c>
      <c r="DU392" s="47">
        <v>0</v>
      </c>
      <c r="DV392" s="47">
        <v>0</v>
      </c>
      <c r="DW392" s="47">
        <v>0</v>
      </c>
      <c r="DX392" s="47">
        <v>0</v>
      </c>
      <c r="DY392" s="47">
        <v>0</v>
      </c>
      <c r="DZ392" s="47">
        <v>0</v>
      </c>
      <c r="EA392" s="47">
        <v>0</v>
      </c>
      <c r="EB392" s="47"/>
      <c r="EC392" s="47">
        <v>1</v>
      </c>
      <c r="ZZ392" t="s">
        <v>2472</v>
      </c>
    </row>
    <row r="393" spans="1:702" x14ac:dyDescent="0.25">
      <c r="A393" s="47" t="s">
        <v>1894</v>
      </c>
      <c r="B393" s="47" t="s">
        <v>153</v>
      </c>
      <c r="C393" s="47" t="s">
        <v>157</v>
      </c>
      <c r="D393" s="47" t="s">
        <v>2877</v>
      </c>
      <c r="E393" s="47" t="s">
        <v>1895</v>
      </c>
      <c r="F393" s="47" t="s">
        <v>1896</v>
      </c>
      <c r="G393" s="47" t="s">
        <v>1897</v>
      </c>
      <c r="H393" s="47" t="s">
        <v>698</v>
      </c>
      <c r="I393" s="47" t="s">
        <v>2863</v>
      </c>
      <c r="J393" s="47" t="str">
        <f>=IFERROR(VLOOKUP(H393&amp;I393,Table_Fonctions!A:G,6,FALSE),"")</f>
        <v>0</v>
      </c>
      <c r="K393" s="47" t="s">
        <v>2632</v>
      </c>
      <c r="L393" s="47" t="str">
        <f>=IFERROR(VLOOKUP(H393&amp;I393,Table_Fonctions!A:G,7,FALSE),K393)</f>
        <v/>
      </c>
      <c r="M393" s="47" t="str">
        <f>=IF(OR(LEFT(D393, 3)="TJ ", LEFT(D393, 4)="CPH "), "OUI", "NON")</f>
        <v/>
      </c>
      <c r="N393" s="47" t="s">
        <v>1898</v>
      </c>
      <c r="O393" s="47"/>
      <c r="P393" s="47">
        <v>0.6</v>
      </c>
      <c r="Q393" s="47">
        <v>0.6</v>
      </c>
      <c r="R393" s="47">
        <v>0</v>
      </c>
      <c r="S393" s="47">
        <f>=ROUND(BQ393-(BR393+BS393),3)</f>
      </c>
      <c r="T393" s="47">
        <f>=ROUND(CK393-(CL393+CM393+CN393+CO393+CP393),3)</f>
      </c>
      <c r="U393" s="47">
        <v>0</v>
      </c>
      <c r="V393" s="47">
        <v>0</v>
      </c>
      <c r="W393" s="47">
        <v>0</v>
      </c>
      <c r="X393" s="47">
        <v>0</v>
      </c>
      <c r="Y393" s="47">
        <v>0</v>
      </c>
      <c r="Z393" s="47">
        <v>0</v>
      </c>
      <c r="AA393" s="47">
        <v>0</v>
      </c>
      <c r="AB393" s="47">
        <v>0</v>
      </c>
      <c r="AC393" s="47">
        <v>0</v>
      </c>
      <c r="AD393" s="47">
        <v>0</v>
      </c>
      <c r="AE393" s="47">
        <v>0</v>
      </c>
      <c r="AF393" s="47">
        <v>0</v>
      </c>
      <c r="AG393" s="47">
        <v>0</v>
      </c>
      <c r="AH393" s="47">
        <v>0</v>
      </c>
      <c r="AI393" s="47">
        <v>0</v>
      </c>
      <c r="AJ393" s="47">
        <v>0.6</v>
      </c>
      <c r="AK393" s="47">
        <v>0.6</v>
      </c>
      <c r="AL393" s="47">
        <v>0</v>
      </c>
      <c r="AM393" s="47">
        <v>0</v>
      </c>
      <c r="AN393" s="47">
        <v>0</v>
      </c>
      <c r="AO393" s="47">
        <v>0</v>
      </c>
      <c r="AP393" s="47">
        <v>0</v>
      </c>
      <c r="AQ393" s="47">
        <v>0</v>
      </c>
      <c r="AR393" s="47">
        <v>0</v>
      </c>
      <c r="AS393" s="47">
        <v>0</v>
      </c>
      <c r="AT393" s="47">
        <v>0</v>
      </c>
      <c r="AU393" s="47">
        <v>0</v>
      </c>
      <c r="AV393" s="47">
        <v>0</v>
      </c>
      <c r="AW393" s="47">
        <v>0</v>
      </c>
      <c r="AX393" s="47">
        <v>0</v>
      </c>
      <c r="AY393" s="47">
        <v>0</v>
      </c>
      <c r="AZ393" s="47">
        <v>0</v>
      </c>
      <c r="BA393" s="47">
        <v>0</v>
      </c>
      <c r="BB393" s="47">
        <v>0</v>
      </c>
      <c r="BC393" s="47">
        <v>0</v>
      </c>
      <c r="BD393" s="47">
        <v>0</v>
      </c>
      <c r="BE393" s="47">
        <v>0</v>
      </c>
      <c r="BF393" s="47">
        <v>0</v>
      </c>
      <c r="BG393" s="47">
        <v>0</v>
      </c>
      <c r="BH393" s="47">
        <v>0</v>
      </c>
      <c r="BI393" s="47">
        <v>0</v>
      </c>
      <c r="BJ393" s="47">
        <v>0</v>
      </c>
      <c r="BK393" s="47">
        <v>0</v>
      </c>
      <c r="BL393" s="47">
        <v>0</v>
      </c>
      <c r="BM393" s="47">
        <v>0</v>
      </c>
      <c r="BN393" s="47">
        <v>0</v>
      </c>
      <c r="BO393" s="47">
        <v>0</v>
      </c>
      <c r="BP393" s="47">
        <v>0</v>
      </c>
      <c r="BQ393" s="47">
        <v>0</v>
      </c>
      <c r="BR393" s="47">
        <v>0</v>
      </c>
      <c r="BS393" s="47">
        <v>0</v>
      </c>
      <c r="BT393" s="47">
        <v>0</v>
      </c>
      <c r="BU393" s="47">
        <v>0</v>
      </c>
      <c r="BV393" s="47">
        <v>0</v>
      </c>
      <c r="BW393" s="47">
        <v>0</v>
      </c>
      <c r="BX393" s="47">
        <v>0</v>
      </c>
      <c r="BY393" s="47">
        <v>0</v>
      </c>
      <c r="BZ393" s="47">
        <v>0</v>
      </c>
      <c r="CA393" s="47">
        <v>0</v>
      </c>
      <c r="CB393" s="47">
        <v>0</v>
      </c>
      <c r="CC393" s="47">
        <v>0</v>
      </c>
      <c r="CD393" s="47">
        <v>0</v>
      </c>
      <c r="CE393" s="47">
        <v>0</v>
      </c>
      <c r="CF393" s="47">
        <v>0</v>
      </c>
      <c r="CG393" s="47">
        <v>0</v>
      </c>
      <c r="CH393" s="47">
        <v>0</v>
      </c>
      <c r="CI393" s="47">
        <v>0</v>
      </c>
      <c r="CJ393" s="47">
        <v>0</v>
      </c>
      <c r="CK393" s="47">
        <v>0</v>
      </c>
      <c r="CL393" s="47">
        <v>0</v>
      </c>
      <c r="CM393" s="47">
        <v>0</v>
      </c>
      <c r="CN393" s="47">
        <v>0</v>
      </c>
      <c r="CO393" s="47">
        <v>0</v>
      </c>
      <c r="CP393" s="47">
        <v>0</v>
      </c>
      <c r="CQ393" s="47">
        <v>0</v>
      </c>
      <c r="CR393" s="47">
        <v>0</v>
      </c>
      <c r="CS393" s="47">
        <v>0</v>
      </c>
      <c r="CT393" s="47">
        <v>0</v>
      </c>
      <c r="CU393" s="47">
        <v>0</v>
      </c>
      <c r="CV393" s="47">
        <v>0</v>
      </c>
      <c r="CW393" s="47">
        <v>0</v>
      </c>
      <c r="CX393" s="47">
        <v>0</v>
      </c>
      <c r="CY393" s="47">
        <v>0</v>
      </c>
      <c r="CZ393" s="47">
        <v>0</v>
      </c>
      <c r="DA393" s="47">
        <v>0</v>
      </c>
      <c r="DB393" s="47">
        <v>0</v>
      </c>
      <c r="DC393" s="47">
        <v>0</v>
      </c>
      <c r="DD393" s="47">
        <v>0</v>
      </c>
      <c r="DE393" s="47">
        <v>0</v>
      </c>
      <c r="DF393" s="47">
        <v>0</v>
      </c>
      <c r="DG393" s="47">
        <v>0</v>
      </c>
      <c r="DH393" s="47">
        <v>0</v>
      </c>
      <c r="DI393" s="47">
        <v>0</v>
      </c>
      <c r="DJ393" s="47">
        <v>0</v>
      </c>
      <c r="DK393" s="47">
        <v>0</v>
      </c>
      <c r="DL393" s="47">
        <v>0</v>
      </c>
      <c r="DM393" s="47">
        <v>0</v>
      </c>
      <c r="DN393" s="47">
        <v>0</v>
      </c>
      <c r="DO393" s="47">
        <v>0</v>
      </c>
      <c r="DP393" s="47">
        <v>0</v>
      </c>
      <c r="DQ393" s="47">
        <v>0</v>
      </c>
      <c r="DR393" s="47">
        <v>0</v>
      </c>
      <c r="DS393" s="47">
        <v>0</v>
      </c>
      <c r="DT393" s="47">
        <v>0</v>
      </c>
      <c r="DU393" s="47">
        <v>0</v>
      </c>
      <c r="DV393" s="47">
        <v>0</v>
      </c>
      <c r="DW393" s="47">
        <v>0</v>
      </c>
      <c r="DX393" s="47">
        <v>0</v>
      </c>
      <c r="DY393" s="47">
        <v>0</v>
      </c>
      <c r="DZ393" s="47">
        <v>0</v>
      </c>
      <c r="EA393" s="47">
        <v>0</v>
      </c>
      <c r="EB393" s="47"/>
      <c r="EC393" s="47">
        <v>0.6</v>
      </c>
      <c r="ZZ393" t="s">
        <v>2472</v>
      </c>
    </row>
    <row r="394" spans="1:702" x14ac:dyDescent="0.25">
      <c r="A394" s="47" t="s">
        <v>1899</v>
      </c>
      <c r="B394" s="47" t="s">
        <v>153</v>
      </c>
      <c r="C394" s="47" t="s">
        <v>157</v>
      </c>
      <c r="D394" s="47" t="s">
        <v>2878</v>
      </c>
      <c r="E394" s="47" t="s">
        <v>1900</v>
      </c>
      <c r="F394" s="47" t="s">
        <v>1901</v>
      </c>
      <c r="G394" s="47" t="s">
        <v>1902</v>
      </c>
      <c r="H394" s="47" t="s">
        <v>698</v>
      </c>
      <c r="I394" s="47" t="s">
        <v>2631</v>
      </c>
      <c r="J394" s="47" t="str">
        <f>=IFERROR(VLOOKUP(H394&amp;I394,Table_Fonctions!A:G,6,FALSE),"")</f>
        <v>0</v>
      </c>
      <c r="K394" s="47" t="s">
        <v>2632</v>
      </c>
      <c r="L394" s="47" t="str">
        <f>=IFERROR(VLOOKUP(H394&amp;I394,Table_Fonctions!A:G,7,FALSE),K394)</f>
        <v/>
      </c>
      <c r="M394" s="47" t="str">
        <f>=IF(OR(LEFT(D394, 3)="TJ ", LEFT(D394, 4)="CPH "), "OUI", "NON")</f>
        <v/>
      </c>
      <c r="N394" s="47" t="s">
        <v>836</v>
      </c>
      <c r="O394" s="47"/>
      <c r="P394" s="47">
        <v>0.8</v>
      </c>
      <c r="Q394" s="47">
        <v>0.8</v>
      </c>
      <c r="R394" s="47">
        <v>0</v>
      </c>
      <c r="S394" s="47">
        <f>=ROUND(BQ394-(BR394+BS394),3)</f>
      </c>
      <c r="T394" s="47">
        <f>=ROUND(CK394-(CL394+CM394+CN394+CO394+CP394),3)</f>
      </c>
      <c r="U394" s="47">
        <v>0.8</v>
      </c>
      <c r="V394" s="47">
        <v>0</v>
      </c>
      <c r="W394" s="47">
        <v>0</v>
      </c>
      <c r="X394" s="47">
        <v>0</v>
      </c>
      <c r="Y394" s="47">
        <v>0</v>
      </c>
      <c r="Z394" s="47">
        <v>0</v>
      </c>
      <c r="AA394" s="47">
        <v>0</v>
      </c>
      <c r="AB394" s="47">
        <v>0</v>
      </c>
      <c r="AC394" s="47">
        <v>0</v>
      </c>
      <c r="AD394" s="47">
        <v>0</v>
      </c>
      <c r="AE394" s="47">
        <v>0</v>
      </c>
      <c r="AF394" s="47">
        <v>0</v>
      </c>
      <c r="AG394" s="47">
        <v>0</v>
      </c>
      <c r="AH394" s="47">
        <v>0</v>
      </c>
      <c r="AI394" s="47">
        <v>0</v>
      </c>
      <c r="AJ394" s="47">
        <v>0</v>
      </c>
      <c r="AK394" s="47">
        <v>0</v>
      </c>
      <c r="AL394" s="47">
        <v>0</v>
      </c>
      <c r="AM394" s="47">
        <v>0</v>
      </c>
      <c r="AN394" s="47">
        <v>0</v>
      </c>
      <c r="AO394" s="47">
        <v>0</v>
      </c>
      <c r="AP394" s="47">
        <v>0</v>
      </c>
      <c r="AQ394" s="47">
        <v>0</v>
      </c>
      <c r="AR394" s="47">
        <v>0</v>
      </c>
      <c r="AS394" s="47">
        <v>0</v>
      </c>
      <c r="AT394" s="47">
        <v>0</v>
      </c>
      <c r="AU394" s="47">
        <v>0</v>
      </c>
      <c r="AV394" s="47">
        <v>0</v>
      </c>
      <c r="AW394" s="47">
        <v>0</v>
      </c>
      <c r="AX394" s="47">
        <v>0</v>
      </c>
      <c r="AY394" s="47">
        <v>0</v>
      </c>
      <c r="AZ394" s="47">
        <v>0</v>
      </c>
      <c r="BA394" s="47">
        <v>0</v>
      </c>
      <c r="BB394" s="47">
        <v>0</v>
      </c>
      <c r="BC394" s="47">
        <v>0</v>
      </c>
      <c r="BD394" s="47">
        <v>0</v>
      </c>
      <c r="BE394" s="47">
        <v>0</v>
      </c>
      <c r="BF394" s="47">
        <v>0</v>
      </c>
      <c r="BG394" s="47">
        <v>0</v>
      </c>
      <c r="BH394" s="47">
        <v>0</v>
      </c>
      <c r="BI394" s="47">
        <v>0</v>
      </c>
      <c r="BJ394" s="47">
        <v>0</v>
      </c>
      <c r="BK394" s="47">
        <v>0</v>
      </c>
      <c r="BL394" s="47">
        <v>0</v>
      </c>
      <c r="BM394" s="47">
        <v>0</v>
      </c>
      <c r="BN394" s="47">
        <v>0</v>
      </c>
      <c r="BO394" s="47">
        <v>0</v>
      </c>
      <c r="BP394" s="47">
        <v>0</v>
      </c>
      <c r="BQ394" s="47">
        <v>0</v>
      </c>
      <c r="BR394" s="47">
        <v>0</v>
      </c>
      <c r="BS394" s="47">
        <v>0</v>
      </c>
      <c r="BT394" s="47">
        <v>0</v>
      </c>
      <c r="BU394" s="47">
        <v>0</v>
      </c>
      <c r="BV394" s="47">
        <v>0</v>
      </c>
      <c r="BW394" s="47">
        <v>0</v>
      </c>
      <c r="BX394" s="47">
        <v>0</v>
      </c>
      <c r="BY394" s="47">
        <v>0</v>
      </c>
      <c r="BZ394" s="47">
        <v>0</v>
      </c>
      <c r="CA394" s="47">
        <v>0</v>
      </c>
      <c r="CB394" s="47">
        <v>0</v>
      </c>
      <c r="CC394" s="47">
        <v>0</v>
      </c>
      <c r="CD394" s="47">
        <v>0</v>
      </c>
      <c r="CE394" s="47">
        <v>0</v>
      </c>
      <c r="CF394" s="47">
        <v>0</v>
      </c>
      <c r="CG394" s="47">
        <v>0</v>
      </c>
      <c r="CH394" s="47">
        <v>0</v>
      </c>
      <c r="CI394" s="47">
        <v>0</v>
      </c>
      <c r="CJ394" s="47">
        <v>0</v>
      </c>
      <c r="CK394" s="47">
        <v>0</v>
      </c>
      <c r="CL394" s="47">
        <v>0</v>
      </c>
      <c r="CM394" s="47">
        <v>0</v>
      </c>
      <c r="CN394" s="47">
        <v>0</v>
      </c>
      <c r="CO394" s="47">
        <v>0</v>
      </c>
      <c r="CP394" s="47">
        <v>0</v>
      </c>
      <c r="CQ394" s="47">
        <v>0</v>
      </c>
      <c r="CR394" s="47">
        <v>0</v>
      </c>
      <c r="CS394" s="47">
        <v>0</v>
      </c>
      <c r="CT394" s="47">
        <v>0</v>
      </c>
      <c r="CU394" s="47">
        <v>0</v>
      </c>
      <c r="CV394" s="47">
        <v>0</v>
      </c>
      <c r="CW394" s="47">
        <v>0</v>
      </c>
      <c r="CX394" s="47">
        <v>0</v>
      </c>
      <c r="CY394" s="47">
        <v>0</v>
      </c>
      <c r="CZ394" s="47">
        <v>0</v>
      </c>
      <c r="DA394" s="47">
        <v>0</v>
      </c>
      <c r="DB394" s="47">
        <v>0</v>
      </c>
      <c r="DC394" s="47">
        <v>0</v>
      </c>
      <c r="DD394" s="47">
        <v>0</v>
      </c>
      <c r="DE394" s="47">
        <v>0</v>
      </c>
      <c r="DF394" s="47">
        <v>0</v>
      </c>
      <c r="DG394" s="47">
        <v>0</v>
      </c>
      <c r="DH394" s="47">
        <v>0</v>
      </c>
      <c r="DI394" s="47">
        <v>0</v>
      </c>
      <c r="DJ394" s="47">
        <v>0</v>
      </c>
      <c r="DK394" s="47">
        <v>0</v>
      </c>
      <c r="DL394" s="47">
        <v>0</v>
      </c>
      <c r="DM394" s="47">
        <v>0</v>
      </c>
      <c r="DN394" s="47">
        <v>0</v>
      </c>
      <c r="DO394" s="47">
        <v>0</v>
      </c>
      <c r="DP394" s="47">
        <v>0</v>
      </c>
      <c r="DQ394" s="47">
        <v>0</v>
      </c>
      <c r="DR394" s="47">
        <v>0</v>
      </c>
      <c r="DS394" s="47">
        <v>0</v>
      </c>
      <c r="DT394" s="47">
        <v>0</v>
      </c>
      <c r="DU394" s="47">
        <v>0</v>
      </c>
      <c r="DV394" s="47">
        <v>0</v>
      </c>
      <c r="DW394" s="47">
        <v>0</v>
      </c>
      <c r="DX394" s="47">
        <v>0</v>
      </c>
      <c r="DY394" s="47">
        <v>0</v>
      </c>
      <c r="DZ394" s="47">
        <v>0</v>
      </c>
      <c r="EA394" s="47">
        <v>0</v>
      </c>
      <c r="EB394" s="47"/>
      <c r="EC394" s="47">
        <v>0.8</v>
      </c>
      <c r="ZZ394" t="s">
        <v>2472</v>
      </c>
    </row>
    <row r="395" spans="1:702" x14ac:dyDescent="0.25">
      <c r="A395" s="47" t="s">
        <v>1903</v>
      </c>
      <c r="B395" s="47" t="s">
        <v>153</v>
      </c>
      <c r="C395" s="47" t="s">
        <v>157</v>
      </c>
      <c r="D395" s="47" t="s">
        <v>2879</v>
      </c>
      <c r="E395" s="47" t="s">
        <v>1904</v>
      </c>
      <c r="F395" s="47" t="s">
        <v>1905</v>
      </c>
      <c r="G395" s="47" t="s">
        <v>1906</v>
      </c>
      <c r="H395" s="47" t="s">
        <v>698</v>
      </c>
      <c r="I395" s="47" t="s">
        <v>727</v>
      </c>
      <c r="J395" s="47" t="str">
        <f>=IFERROR(VLOOKUP(H395&amp;I395,Table_Fonctions!A:G,6,FALSE),"")</f>
        <v>0</v>
      </c>
      <c r="K395" s="47" t="s">
        <v>2607</v>
      </c>
      <c r="L395" s="47" t="str">
        <f>=IFERROR(VLOOKUP(H395&amp;I395,Table_Fonctions!A:G,7,FALSE),K395)</f>
        <v/>
      </c>
      <c r="M395" s="47" t="str">
        <f>=IF(OR(LEFT(D395, 3)="TJ ", LEFT(D395, 4)="CPH "), "OUI", "NON")</f>
        <v/>
      </c>
      <c r="N395" s="47" t="s">
        <v>916</v>
      </c>
      <c r="O395" s="47"/>
      <c r="P395" s="47">
        <v>0.8</v>
      </c>
      <c r="Q395" s="47">
        <v>0.8</v>
      </c>
      <c r="R395" s="47">
        <v>0</v>
      </c>
      <c r="S395" s="47">
        <f>=ROUND(BQ395-(BR395+BS395),3)</f>
      </c>
      <c r="T395" s="47">
        <f>=ROUND(CK395-(CL395+CM395+CN395+CO395+CP395),3)</f>
      </c>
      <c r="U395" s="47">
        <v>0</v>
      </c>
      <c r="V395" s="47">
        <v>0</v>
      </c>
      <c r="W395" s="47">
        <v>0</v>
      </c>
      <c r="X395" s="47">
        <v>0</v>
      </c>
      <c r="Y395" s="47">
        <v>0</v>
      </c>
      <c r="Z395" s="47">
        <v>0</v>
      </c>
      <c r="AA395" s="47">
        <v>0</v>
      </c>
      <c r="AB395" s="47">
        <v>0</v>
      </c>
      <c r="AC395" s="47">
        <v>0</v>
      </c>
      <c r="AD395" s="47">
        <v>0</v>
      </c>
      <c r="AE395" s="47">
        <v>0</v>
      </c>
      <c r="AF395" s="47">
        <v>0</v>
      </c>
      <c r="AG395" s="47">
        <v>0</v>
      </c>
      <c r="AH395" s="47">
        <v>0</v>
      </c>
      <c r="AI395" s="47">
        <v>0</v>
      </c>
      <c r="AJ395" s="47">
        <v>0</v>
      </c>
      <c r="AK395" s="47">
        <v>0</v>
      </c>
      <c r="AL395" s="47">
        <v>0</v>
      </c>
      <c r="AM395" s="47">
        <v>0</v>
      </c>
      <c r="AN395" s="47">
        <v>0</v>
      </c>
      <c r="AO395" s="47">
        <v>0</v>
      </c>
      <c r="AP395" s="47">
        <v>0</v>
      </c>
      <c r="AQ395" s="47">
        <v>0</v>
      </c>
      <c r="AR395" s="47">
        <v>0</v>
      </c>
      <c r="AS395" s="47">
        <v>0</v>
      </c>
      <c r="AT395" s="47">
        <v>0</v>
      </c>
      <c r="AU395" s="47">
        <v>0</v>
      </c>
      <c r="AV395" s="47">
        <v>0</v>
      </c>
      <c r="AW395" s="47">
        <v>0</v>
      </c>
      <c r="AX395" s="47">
        <v>0</v>
      </c>
      <c r="AY395" s="47">
        <v>0</v>
      </c>
      <c r="AZ395" s="47">
        <v>0</v>
      </c>
      <c r="BA395" s="47">
        <v>0</v>
      </c>
      <c r="BB395" s="47">
        <v>0</v>
      </c>
      <c r="BC395" s="47">
        <v>0</v>
      </c>
      <c r="BD395" s="47">
        <v>0</v>
      </c>
      <c r="BE395" s="47">
        <v>0</v>
      </c>
      <c r="BF395" s="47">
        <v>0</v>
      </c>
      <c r="BG395" s="47">
        <v>0</v>
      </c>
      <c r="BH395" s="47">
        <v>0</v>
      </c>
      <c r="BI395" s="47">
        <v>0</v>
      </c>
      <c r="BJ395" s="47">
        <v>0</v>
      </c>
      <c r="BK395" s="47">
        <v>0</v>
      </c>
      <c r="BL395" s="47">
        <v>0</v>
      </c>
      <c r="BM395" s="47">
        <v>0</v>
      </c>
      <c r="BN395" s="47">
        <v>0</v>
      </c>
      <c r="BO395" s="47">
        <v>0</v>
      </c>
      <c r="BP395" s="47">
        <v>0</v>
      </c>
      <c r="BQ395" s="47">
        <v>0</v>
      </c>
      <c r="BR395" s="47">
        <v>0</v>
      </c>
      <c r="BS395" s="47">
        <v>0</v>
      </c>
      <c r="BT395" s="47">
        <v>0</v>
      </c>
      <c r="BU395" s="47">
        <v>0</v>
      </c>
      <c r="BV395" s="47">
        <v>0</v>
      </c>
      <c r="BW395" s="47">
        <v>0</v>
      </c>
      <c r="BX395" s="47">
        <v>0</v>
      </c>
      <c r="BY395" s="47">
        <v>0</v>
      </c>
      <c r="BZ395" s="47">
        <v>0</v>
      </c>
      <c r="CA395" s="47">
        <v>0</v>
      </c>
      <c r="CB395" s="47">
        <v>0</v>
      </c>
      <c r="CC395" s="47">
        <v>0</v>
      </c>
      <c r="CD395" s="47">
        <v>0</v>
      </c>
      <c r="CE395" s="47">
        <v>0</v>
      </c>
      <c r="CF395" s="47">
        <v>0</v>
      </c>
      <c r="CG395" s="47">
        <v>0</v>
      </c>
      <c r="CH395" s="47">
        <v>0</v>
      </c>
      <c r="CI395" s="47">
        <v>0</v>
      </c>
      <c r="CJ395" s="47">
        <v>0</v>
      </c>
      <c r="CK395" s="47">
        <v>0.8</v>
      </c>
      <c r="CL395" s="47">
        <v>0</v>
      </c>
      <c r="CM395" s="47">
        <v>0</v>
      </c>
      <c r="CN395" s="47">
        <v>0</v>
      </c>
      <c r="CO395" s="47">
        <v>0</v>
      </c>
      <c r="CP395" s="47">
        <v>0</v>
      </c>
      <c r="CQ395" s="47">
        <v>0</v>
      </c>
      <c r="CR395" s="47">
        <v>0</v>
      </c>
      <c r="CS395" s="47">
        <v>0</v>
      </c>
      <c r="CT395" s="47">
        <v>0</v>
      </c>
      <c r="CU395" s="47">
        <v>0</v>
      </c>
      <c r="CV395" s="47">
        <v>0</v>
      </c>
      <c r="CW395" s="47">
        <v>0</v>
      </c>
      <c r="CX395" s="47">
        <v>0</v>
      </c>
      <c r="CY395" s="47">
        <v>0</v>
      </c>
      <c r="CZ395" s="47">
        <v>0</v>
      </c>
      <c r="DA395" s="47">
        <v>0</v>
      </c>
      <c r="DB395" s="47">
        <v>0</v>
      </c>
      <c r="DC395" s="47">
        <v>0</v>
      </c>
      <c r="DD395" s="47">
        <v>0</v>
      </c>
      <c r="DE395" s="47">
        <v>0</v>
      </c>
      <c r="DF395" s="47">
        <v>0</v>
      </c>
      <c r="DG395" s="47">
        <v>0</v>
      </c>
      <c r="DH395" s="47">
        <v>0</v>
      </c>
      <c r="DI395" s="47">
        <v>0</v>
      </c>
      <c r="DJ395" s="47">
        <v>0</v>
      </c>
      <c r="DK395" s="47">
        <v>0</v>
      </c>
      <c r="DL395" s="47">
        <v>0</v>
      </c>
      <c r="DM395" s="47">
        <v>0</v>
      </c>
      <c r="DN395" s="47">
        <v>0</v>
      </c>
      <c r="DO395" s="47">
        <v>0</v>
      </c>
      <c r="DP395" s="47">
        <v>0</v>
      </c>
      <c r="DQ395" s="47">
        <v>0</v>
      </c>
      <c r="DR395" s="47">
        <v>0</v>
      </c>
      <c r="DS395" s="47">
        <v>0</v>
      </c>
      <c r="DT395" s="47">
        <v>0</v>
      </c>
      <c r="DU395" s="47">
        <v>0</v>
      </c>
      <c r="DV395" s="47">
        <v>0</v>
      </c>
      <c r="DW395" s="47">
        <v>0</v>
      </c>
      <c r="DX395" s="47">
        <v>0</v>
      </c>
      <c r="DY395" s="47">
        <v>0</v>
      </c>
      <c r="DZ395" s="47">
        <v>0</v>
      </c>
      <c r="EA395" s="47">
        <v>0</v>
      </c>
      <c r="EB395" s="47"/>
      <c r="EC395" s="47">
        <v>0.8</v>
      </c>
      <c r="ZZ395" t="s">
        <v>2472</v>
      </c>
    </row>
    <row r="396" spans="1:702" x14ac:dyDescent="0.25">
      <c r="A396" s="47" t="s">
        <v>1907</v>
      </c>
      <c r="B396" s="47" t="s">
        <v>153</v>
      </c>
      <c r="C396" s="47" t="s">
        <v>157</v>
      </c>
      <c r="D396" s="47" t="s">
        <v>2880</v>
      </c>
      <c r="E396" s="47" t="s">
        <v>1908</v>
      </c>
      <c r="F396" s="47" t="s">
        <v>1909</v>
      </c>
      <c r="G396" s="47" t="s">
        <v>1910</v>
      </c>
      <c r="H396" s="47" t="s">
        <v>698</v>
      </c>
      <c r="I396" s="47" t="s">
        <v>705</v>
      </c>
      <c r="J396" s="47" t="str">
        <f>=IFERROR(VLOOKUP(H396&amp;I396,Table_Fonctions!A:G,6,FALSE),"")</f>
        <v>0</v>
      </c>
      <c r="K396" s="47" t="s">
        <v>2607</v>
      </c>
      <c r="L396" s="47" t="str">
        <f>=IFERROR(VLOOKUP(H396&amp;I396,Table_Fonctions!A:G,7,FALSE),K396)</f>
        <v/>
      </c>
      <c r="M396" s="47" t="str">
        <f>=IF(OR(LEFT(D396, 3)="TJ ", LEFT(D396, 4)="CPH "), "OUI", "NON")</f>
        <v/>
      </c>
      <c r="N396" s="47" t="s">
        <v>722</v>
      </c>
      <c r="O396" s="47"/>
      <c r="P396" s="47">
        <v>1</v>
      </c>
      <c r="Q396" s="47">
        <v>1</v>
      </c>
      <c r="R396" s="47">
        <v>0</v>
      </c>
      <c r="S396" s="47">
        <f>=ROUND(BQ396-(BR396+BS396),3)</f>
      </c>
      <c r="T396" s="47">
        <f>=ROUND(CK396-(CL396+CM396+CN396+CO396+CP396),3)</f>
      </c>
      <c r="U396" s="47">
        <v>0</v>
      </c>
      <c r="V396" s="47">
        <v>0</v>
      </c>
      <c r="W396" s="47">
        <v>0</v>
      </c>
      <c r="X396" s="47">
        <v>0</v>
      </c>
      <c r="Y396" s="47">
        <v>0</v>
      </c>
      <c r="Z396" s="47">
        <v>0</v>
      </c>
      <c r="AA396" s="47">
        <v>0</v>
      </c>
      <c r="AB396" s="47">
        <v>0</v>
      </c>
      <c r="AC396" s="47">
        <v>0</v>
      </c>
      <c r="AD396" s="47">
        <v>0</v>
      </c>
      <c r="AE396" s="47">
        <v>0</v>
      </c>
      <c r="AF396" s="47">
        <v>0</v>
      </c>
      <c r="AG396" s="47">
        <v>0</v>
      </c>
      <c r="AH396" s="47">
        <v>0</v>
      </c>
      <c r="AI396" s="47">
        <v>0</v>
      </c>
      <c r="AJ396" s="47">
        <v>0</v>
      </c>
      <c r="AK396" s="47">
        <v>0</v>
      </c>
      <c r="AL396" s="47">
        <v>0</v>
      </c>
      <c r="AM396" s="47">
        <v>0</v>
      </c>
      <c r="AN396" s="47">
        <v>0</v>
      </c>
      <c r="AO396" s="47">
        <v>0</v>
      </c>
      <c r="AP396" s="47">
        <v>0</v>
      </c>
      <c r="AQ396" s="47">
        <v>0</v>
      </c>
      <c r="AR396" s="47">
        <v>0</v>
      </c>
      <c r="AS396" s="47">
        <v>0</v>
      </c>
      <c r="AT396" s="47">
        <v>0</v>
      </c>
      <c r="AU396" s="47">
        <v>0</v>
      </c>
      <c r="AV396" s="47">
        <v>0</v>
      </c>
      <c r="AW396" s="47">
        <v>0</v>
      </c>
      <c r="AX396" s="47">
        <v>0</v>
      </c>
      <c r="AY396" s="47">
        <v>0</v>
      </c>
      <c r="AZ396" s="47">
        <v>0</v>
      </c>
      <c r="BA396" s="47">
        <v>0</v>
      </c>
      <c r="BB396" s="47">
        <v>0</v>
      </c>
      <c r="BC396" s="47">
        <v>0</v>
      </c>
      <c r="BD396" s="47">
        <v>0</v>
      </c>
      <c r="BE396" s="47">
        <v>0</v>
      </c>
      <c r="BF396" s="47">
        <v>0</v>
      </c>
      <c r="BG396" s="47">
        <v>0</v>
      </c>
      <c r="BH396" s="47">
        <v>0</v>
      </c>
      <c r="BI396" s="47">
        <v>0</v>
      </c>
      <c r="BJ396" s="47">
        <v>0</v>
      </c>
      <c r="BK396" s="47">
        <v>0</v>
      </c>
      <c r="BL396" s="47">
        <v>0</v>
      </c>
      <c r="BM396" s="47">
        <v>0</v>
      </c>
      <c r="BN396" s="47">
        <v>0</v>
      </c>
      <c r="BO396" s="47">
        <v>0</v>
      </c>
      <c r="BP396" s="47">
        <v>0</v>
      </c>
      <c r="BQ396" s="47">
        <v>0</v>
      </c>
      <c r="BR396" s="47">
        <v>0</v>
      </c>
      <c r="BS396" s="47">
        <v>0</v>
      </c>
      <c r="BT396" s="47">
        <v>1</v>
      </c>
      <c r="BU396" s="47">
        <v>0</v>
      </c>
      <c r="BV396" s="47">
        <v>0</v>
      </c>
      <c r="BW396" s="47">
        <v>0</v>
      </c>
      <c r="BX396" s="47">
        <v>0.2</v>
      </c>
      <c r="BY396" s="47">
        <v>0</v>
      </c>
      <c r="BZ396" s="47">
        <v>0</v>
      </c>
      <c r="CA396" s="47">
        <v>0</v>
      </c>
      <c r="CB396" s="47">
        <v>0.4</v>
      </c>
      <c r="CC396" s="47">
        <v>0</v>
      </c>
      <c r="CD396" s="47">
        <v>0.4</v>
      </c>
      <c r="CE396" s="47">
        <v>0</v>
      </c>
      <c r="CF396" s="47">
        <v>0</v>
      </c>
      <c r="CG396" s="47">
        <v>0</v>
      </c>
      <c r="CH396" s="47">
        <v>0</v>
      </c>
      <c r="CI396" s="47">
        <v>0</v>
      </c>
      <c r="CJ396" s="47">
        <v>0</v>
      </c>
      <c r="CK396" s="47">
        <v>0</v>
      </c>
      <c r="CL396" s="47">
        <v>0</v>
      </c>
      <c r="CM396" s="47">
        <v>0</v>
      </c>
      <c r="CN396" s="47">
        <v>0</v>
      </c>
      <c r="CO396" s="47">
        <v>0</v>
      </c>
      <c r="CP396" s="47">
        <v>0</v>
      </c>
      <c r="CQ396" s="47">
        <v>0</v>
      </c>
      <c r="CR396" s="47">
        <v>0</v>
      </c>
      <c r="CS396" s="47">
        <v>0</v>
      </c>
      <c r="CT396" s="47">
        <v>0</v>
      </c>
      <c r="CU396" s="47">
        <v>0</v>
      </c>
      <c r="CV396" s="47">
        <v>0</v>
      </c>
      <c r="CW396" s="47">
        <v>0</v>
      </c>
      <c r="CX396" s="47">
        <v>0</v>
      </c>
      <c r="CY396" s="47">
        <v>0</v>
      </c>
      <c r="CZ396" s="47">
        <v>0</v>
      </c>
      <c r="DA396" s="47">
        <v>0</v>
      </c>
      <c r="DB396" s="47">
        <v>0</v>
      </c>
      <c r="DC396" s="47">
        <v>0</v>
      </c>
      <c r="DD396" s="47">
        <v>0</v>
      </c>
      <c r="DE396" s="47">
        <v>0</v>
      </c>
      <c r="DF396" s="47">
        <v>0</v>
      </c>
      <c r="DG396" s="47">
        <v>0</v>
      </c>
      <c r="DH396" s="47">
        <v>0</v>
      </c>
      <c r="DI396" s="47">
        <v>0</v>
      </c>
      <c r="DJ396" s="47">
        <v>0</v>
      </c>
      <c r="DK396" s="47">
        <v>0</v>
      </c>
      <c r="DL396" s="47">
        <v>0</v>
      </c>
      <c r="DM396" s="47">
        <v>0</v>
      </c>
      <c r="DN396" s="47">
        <v>0</v>
      </c>
      <c r="DO396" s="47">
        <v>0</v>
      </c>
      <c r="DP396" s="47">
        <v>0</v>
      </c>
      <c r="DQ396" s="47">
        <v>0</v>
      </c>
      <c r="DR396" s="47">
        <v>0</v>
      </c>
      <c r="DS396" s="47">
        <v>0</v>
      </c>
      <c r="DT396" s="47">
        <v>0</v>
      </c>
      <c r="DU396" s="47">
        <v>0</v>
      </c>
      <c r="DV396" s="47">
        <v>0</v>
      </c>
      <c r="DW396" s="47">
        <v>0</v>
      </c>
      <c r="DX396" s="47">
        <v>0</v>
      </c>
      <c r="DY396" s="47">
        <v>0</v>
      </c>
      <c r="DZ396" s="47">
        <v>0</v>
      </c>
      <c r="EA396" s="47">
        <v>0</v>
      </c>
      <c r="EB396" s="47"/>
      <c r="EC396" s="47">
        <v>1</v>
      </c>
      <c r="ZZ396" t="s">
        <v>2472</v>
      </c>
    </row>
    <row r="397" spans="1:702" x14ac:dyDescent="0.25">
      <c r="A397" s="47" t="s">
        <v>1911</v>
      </c>
      <c r="B397" s="47" t="s">
        <v>153</v>
      </c>
      <c r="C397" s="47" t="s">
        <v>157</v>
      </c>
      <c r="D397" s="47" t="s">
        <v>2881</v>
      </c>
      <c r="E397" s="47" t="s">
        <v>1912</v>
      </c>
      <c r="F397" s="47" t="s">
        <v>1913</v>
      </c>
      <c r="G397" s="47" t="s">
        <v>1914</v>
      </c>
      <c r="H397" s="47" t="s">
        <v>698</v>
      </c>
      <c r="I397" s="47" t="s">
        <v>727</v>
      </c>
      <c r="J397" s="47" t="str">
        <f>=IFERROR(VLOOKUP(H397&amp;I397,Table_Fonctions!A:G,6,FALSE),"")</f>
        <v>0</v>
      </c>
      <c r="K397" s="47" t="s">
        <v>2607</v>
      </c>
      <c r="L397" s="47" t="str">
        <f>=IFERROR(VLOOKUP(H397&amp;I397,Table_Fonctions!A:G,7,FALSE),K397)</f>
        <v/>
      </c>
      <c r="M397" s="47" t="str">
        <f>=IF(OR(LEFT(D397, 3)="TJ ", LEFT(D397, 4)="CPH "), "OUI", "NON")</f>
        <v/>
      </c>
      <c r="N397" s="47" t="s">
        <v>1428</v>
      </c>
      <c r="O397" s="47"/>
      <c r="P397" s="47">
        <v>0.8</v>
      </c>
      <c r="Q397" s="47">
        <v>0</v>
      </c>
      <c r="R397" s="47">
        <v>0.8</v>
      </c>
      <c r="S397" s="47">
        <f>=ROUND(BQ397-(BR397+BS397),3)</f>
      </c>
      <c r="T397" s="47">
        <f>=ROUND(CK397-(CL397+CM397+CN397+CO397+CP397),3)</f>
      </c>
      <c r="U397" s="47">
        <v>0</v>
      </c>
      <c r="V397" s="47">
        <v>0</v>
      </c>
      <c r="W397" s="47">
        <v>0</v>
      </c>
      <c r="X397" s="47">
        <v>0</v>
      </c>
      <c r="Y397" s="47">
        <v>0</v>
      </c>
      <c r="Z397" s="47">
        <v>0</v>
      </c>
      <c r="AA397" s="47">
        <v>0</v>
      </c>
      <c r="AB397" s="47">
        <v>0</v>
      </c>
      <c r="AC397" s="47">
        <v>0</v>
      </c>
      <c r="AD397" s="47">
        <v>0</v>
      </c>
      <c r="AE397" s="47">
        <v>0</v>
      </c>
      <c r="AF397" s="47">
        <v>0</v>
      </c>
      <c r="AG397" s="47">
        <v>0</v>
      </c>
      <c r="AH397" s="47">
        <v>0</v>
      </c>
      <c r="AI397" s="47">
        <v>0</v>
      </c>
      <c r="AJ397" s="47">
        <v>0</v>
      </c>
      <c r="AK397" s="47">
        <v>0</v>
      </c>
      <c r="AL397" s="47">
        <v>0</v>
      </c>
      <c r="AM397" s="47">
        <v>0</v>
      </c>
      <c r="AN397" s="47">
        <v>0</v>
      </c>
      <c r="AO397" s="47">
        <v>0</v>
      </c>
      <c r="AP397" s="47">
        <v>0</v>
      </c>
      <c r="AQ397" s="47">
        <v>0</v>
      </c>
      <c r="AR397" s="47">
        <v>0</v>
      </c>
      <c r="AS397" s="47">
        <v>0</v>
      </c>
      <c r="AT397" s="47">
        <v>0</v>
      </c>
      <c r="AU397" s="47">
        <v>0</v>
      </c>
      <c r="AV397" s="47">
        <v>0</v>
      </c>
      <c r="AW397" s="47">
        <v>0</v>
      </c>
      <c r="AX397" s="47">
        <v>0</v>
      </c>
      <c r="AY397" s="47">
        <v>0</v>
      </c>
      <c r="AZ397" s="47">
        <v>0</v>
      </c>
      <c r="BA397" s="47">
        <v>0</v>
      </c>
      <c r="BB397" s="47">
        <v>0</v>
      </c>
      <c r="BC397" s="47">
        <v>0</v>
      </c>
      <c r="BD397" s="47">
        <v>0</v>
      </c>
      <c r="BE397" s="47">
        <v>0</v>
      </c>
      <c r="BF397" s="47">
        <v>0</v>
      </c>
      <c r="BG397" s="47">
        <v>0</v>
      </c>
      <c r="BH397" s="47">
        <v>0</v>
      </c>
      <c r="BI397" s="47">
        <v>0</v>
      </c>
      <c r="BJ397" s="47">
        <v>0</v>
      </c>
      <c r="BK397" s="47">
        <v>0</v>
      </c>
      <c r="BL397" s="47">
        <v>0</v>
      </c>
      <c r="BM397" s="47">
        <v>0</v>
      </c>
      <c r="BN397" s="47">
        <v>0</v>
      </c>
      <c r="BO397" s="47">
        <v>0</v>
      </c>
      <c r="BP397" s="47">
        <v>0</v>
      </c>
      <c r="BQ397" s="47">
        <v>0</v>
      </c>
      <c r="BR397" s="47">
        <v>0</v>
      </c>
      <c r="BS397" s="47">
        <v>0</v>
      </c>
      <c r="BT397" s="47">
        <v>0</v>
      </c>
      <c r="BU397" s="47">
        <v>0</v>
      </c>
      <c r="BV397" s="47">
        <v>0</v>
      </c>
      <c r="BW397" s="47">
        <v>0</v>
      </c>
      <c r="BX397" s="47">
        <v>0</v>
      </c>
      <c r="BY397" s="47">
        <v>0</v>
      </c>
      <c r="BZ397" s="47">
        <v>0</v>
      </c>
      <c r="CA397" s="47">
        <v>0</v>
      </c>
      <c r="CB397" s="47">
        <v>0</v>
      </c>
      <c r="CC397" s="47">
        <v>0</v>
      </c>
      <c r="CD397" s="47">
        <v>0</v>
      </c>
      <c r="CE397" s="47">
        <v>0</v>
      </c>
      <c r="CF397" s="47">
        <v>0</v>
      </c>
      <c r="CG397" s="47">
        <v>0</v>
      </c>
      <c r="CH397" s="47">
        <v>0</v>
      </c>
      <c r="CI397" s="47">
        <v>0</v>
      </c>
      <c r="CJ397" s="47">
        <v>0</v>
      </c>
      <c r="CK397" s="47">
        <v>0</v>
      </c>
      <c r="CL397" s="47">
        <v>0</v>
      </c>
      <c r="CM397" s="47">
        <v>0</v>
      </c>
      <c r="CN397" s="47">
        <v>0</v>
      </c>
      <c r="CO397" s="47">
        <v>0</v>
      </c>
      <c r="CP397" s="47">
        <v>0</v>
      </c>
      <c r="CQ397" s="47">
        <v>0</v>
      </c>
      <c r="CR397" s="47">
        <v>0</v>
      </c>
      <c r="CS397" s="47">
        <v>0</v>
      </c>
      <c r="CT397" s="47">
        <v>0</v>
      </c>
      <c r="CU397" s="47">
        <v>0</v>
      </c>
      <c r="CV397" s="47">
        <v>0</v>
      </c>
      <c r="CW397" s="47">
        <v>0</v>
      </c>
      <c r="CX397" s="47">
        <v>0</v>
      </c>
      <c r="CY397" s="47">
        <v>0</v>
      </c>
      <c r="CZ397" s="47">
        <v>0</v>
      </c>
      <c r="DA397" s="47">
        <v>0</v>
      </c>
      <c r="DB397" s="47">
        <v>0</v>
      </c>
      <c r="DC397" s="47">
        <v>0</v>
      </c>
      <c r="DD397" s="47">
        <v>0</v>
      </c>
      <c r="DE397" s="47">
        <v>0</v>
      </c>
      <c r="DF397" s="47">
        <v>0</v>
      </c>
      <c r="DG397" s="47">
        <v>0</v>
      </c>
      <c r="DH397" s="47">
        <v>0</v>
      </c>
      <c r="DI397" s="47">
        <v>0</v>
      </c>
      <c r="DJ397" s="47">
        <v>0</v>
      </c>
      <c r="DK397" s="47">
        <v>0</v>
      </c>
      <c r="DL397" s="47">
        <v>0</v>
      </c>
      <c r="DM397" s="47">
        <v>0</v>
      </c>
      <c r="DN397" s="47">
        <v>0</v>
      </c>
      <c r="DO397" s="47">
        <v>0</v>
      </c>
      <c r="DP397" s="47">
        <v>0</v>
      </c>
      <c r="DQ397" s="47">
        <v>0</v>
      </c>
      <c r="DR397" s="47">
        <v>0</v>
      </c>
      <c r="DS397" s="47">
        <v>0</v>
      </c>
      <c r="DT397" s="47">
        <v>0</v>
      </c>
      <c r="DU397" s="47">
        <v>0</v>
      </c>
      <c r="DV397" s="47">
        <v>0</v>
      </c>
      <c r="DW397" s="47">
        <v>0</v>
      </c>
      <c r="DX397" s="47">
        <v>0</v>
      </c>
      <c r="DY397" s="47">
        <v>0</v>
      </c>
      <c r="DZ397" s="47">
        <v>0</v>
      </c>
      <c r="EA397" s="47">
        <v>0</v>
      </c>
      <c r="EB397" s="47"/>
      <c r="EC397" s="47">
        <v>0.8</v>
      </c>
      <c r="ZZ397" t="s">
        <v>2472</v>
      </c>
    </row>
    <row r="398" spans="1:702" x14ac:dyDescent="0.25">
      <c r="A398" s="47" t="s">
        <v>1915</v>
      </c>
      <c r="B398" s="47" t="s">
        <v>153</v>
      </c>
      <c r="C398" s="47" t="s">
        <v>157</v>
      </c>
      <c r="D398" s="47" t="s">
        <v>2882</v>
      </c>
      <c r="E398" s="47" t="s">
        <v>1916</v>
      </c>
      <c r="F398" s="47" t="s">
        <v>1917</v>
      </c>
      <c r="G398" s="47" t="s">
        <v>1918</v>
      </c>
      <c r="H398" s="47" t="s">
        <v>698</v>
      </c>
      <c r="I398" s="47" t="s">
        <v>727</v>
      </c>
      <c r="J398" s="47" t="str">
        <f>=IFERROR(VLOOKUP(H398&amp;I398,Table_Fonctions!A:G,6,FALSE),"")</f>
        <v>0</v>
      </c>
      <c r="K398" s="47" t="s">
        <v>2607</v>
      </c>
      <c r="L398" s="47" t="str">
        <f>=IFERROR(VLOOKUP(H398&amp;I398,Table_Fonctions!A:G,7,FALSE),K398)</f>
        <v/>
      </c>
      <c r="M398" s="47" t="str">
        <f>=IF(OR(LEFT(D398, 3)="TJ ", LEFT(D398, 4)="CPH "), "OUI", "NON")</f>
        <v/>
      </c>
      <c r="N398" s="47" t="s">
        <v>1414</v>
      </c>
      <c r="O398" s="47"/>
      <c r="P398" s="47">
        <v>0.8</v>
      </c>
      <c r="Q398" s="47">
        <v>0</v>
      </c>
      <c r="R398" s="47">
        <v>0.8</v>
      </c>
      <c r="S398" s="47">
        <f>=ROUND(BQ398-(BR398+BS398),3)</f>
      </c>
      <c r="T398" s="47">
        <f>=ROUND(CK398-(CL398+CM398+CN398+CO398+CP398),3)</f>
      </c>
      <c r="U398" s="47">
        <v>0</v>
      </c>
      <c r="V398" s="47">
        <v>0</v>
      </c>
      <c r="W398" s="47">
        <v>0</v>
      </c>
      <c r="X398" s="47">
        <v>0</v>
      </c>
      <c r="Y398" s="47">
        <v>0</v>
      </c>
      <c r="Z398" s="47">
        <v>0</v>
      </c>
      <c r="AA398" s="47">
        <v>0</v>
      </c>
      <c r="AB398" s="47">
        <v>0</v>
      </c>
      <c r="AC398" s="47">
        <v>0</v>
      </c>
      <c r="AD398" s="47">
        <v>0</v>
      </c>
      <c r="AE398" s="47">
        <v>0</v>
      </c>
      <c r="AF398" s="47">
        <v>0</v>
      </c>
      <c r="AG398" s="47">
        <v>0</v>
      </c>
      <c r="AH398" s="47">
        <v>0</v>
      </c>
      <c r="AI398" s="47">
        <v>0</v>
      </c>
      <c r="AJ398" s="47">
        <v>0</v>
      </c>
      <c r="AK398" s="47">
        <v>0</v>
      </c>
      <c r="AL398" s="47">
        <v>0</v>
      </c>
      <c r="AM398" s="47">
        <v>0</v>
      </c>
      <c r="AN398" s="47">
        <v>0</v>
      </c>
      <c r="AO398" s="47">
        <v>0</v>
      </c>
      <c r="AP398" s="47">
        <v>0</v>
      </c>
      <c r="AQ398" s="47">
        <v>0</v>
      </c>
      <c r="AR398" s="47">
        <v>0</v>
      </c>
      <c r="AS398" s="47">
        <v>0</v>
      </c>
      <c r="AT398" s="47">
        <v>0</v>
      </c>
      <c r="AU398" s="47">
        <v>0</v>
      </c>
      <c r="AV398" s="47">
        <v>0</v>
      </c>
      <c r="AW398" s="47">
        <v>0</v>
      </c>
      <c r="AX398" s="47">
        <v>0</v>
      </c>
      <c r="AY398" s="47">
        <v>0</v>
      </c>
      <c r="AZ398" s="47">
        <v>0</v>
      </c>
      <c r="BA398" s="47">
        <v>0</v>
      </c>
      <c r="BB398" s="47">
        <v>0</v>
      </c>
      <c r="BC398" s="47">
        <v>0</v>
      </c>
      <c r="BD398" s="47">
        <v>0</v>
      </c>
      <c r="BE398" s="47">
        <v>0</v>
      </c>
      <c r="BF398" s="47">
        <v>0</v>
      </c>
      <c r="BG398" s="47">
        <v>0</v>
      </c>
      <c r="BH398" s="47">
        <v>0</v>
      </c>
      <c r="BI398" s="47">
        <v>0</v>
      </c>
      <c r="BJ398" s="47">
        <v>0</v>
      </c>
      <c r="BK398" s="47">
        <v>0</v>
      </c>
      <c r="BL398" s="47">
        <v>0</v>
      </c>
      <c r="BM398" s="47">
        <v>0</v>
      </c>
      <c r="BN398" s="47">
        <v>0</v>
      </c>
      <c r="BO398" s="47">
        <v>0</v>
      </c>
      <c r="BP398" s="47">
        <v>0</v>
      </c>
      <c r="BQ398" s="47">
        <v>0</v>
      </c>
      <c r="BR398" s="47">
        <v>0</v>
      </c>
      <c r="BS398" s="47">
        <v>0</v>
      </c>
      <c r="BT398" s="47">
        <v>0</v>
      </c>
      <c r="BU398" s="47">
        <v>0</v>
      </c>
      <c r="BV398" s="47">
        <v>0</v>
      </c>
      <c r="BW398" s="47">
        <v>0</v>
      </c>
      <c r="BX398" s="47">
        <v>0</v>
      </c>
      <c r="BY398" s="47">
        <v>0</v>
      </c>
      <c r="BZ398" s="47">
        <v>0</v>
      </c>
      <c r="CA398" s="47">
        <v>0</v>
      </c>
      <c r="CB398" s="47">
        <v>0</v>
      </c>
      <c r="CC398" s="47">
        <v>0</v>
      </c>
      <c r="CD398" s="47">
        <v>0</v>
      </c>
      <c r="CE398" s="47">
        <v>0</v>
      </c>
      <c r="CF398" s="47">
        <v>0</v>
      </c>
      <c r="CG398" s="47">
        <v>0</v>
      </c>
      <c r="CH398" s="47">
        <v>0</v>
      </c>
      <c r="CI398" s="47">
        <v>0</v>
      </c>
      <c r="CJ398" s="47">
        <v>0</v>
      </c>
      <c r="CK398" s="47">
        <v>0</v>
      </c>
      <c r="CL398" s="47">
        <v>0</v>
      </c>
      <c r="CM398" s="47">
        <v>0</v>
      </c>
      <c r="CN398" s="47">
        <v>0</v>
      </c>
      <c r="CO398" s="47">
        <v>0</v>
      </c>
      <c r="CP398" s="47">
        <v>0</v>
      </c>
      <c r="CQ398" s="47">
        <v>0</v>
      </c>
      <c r="CR398" s="47">
        <v>0</v>
      </c>
      <c r="CS398" s="47">
        <v>0</v>
      </c>
      <c r="CT398" s="47">
        <v>0</v>
      </c>
      <c r="CU398" s="47">
        <v>0</v>
      </c>
      <c r="CV398" s="47">
        <v>0</v>
      </c>
      <c r="CW398" s="47">
        <v>0</v>
      </c>
      <c r="CX398" s="47">
        <v>0</v>
      </c>
      <c r="CY398" s="47">
        <v>0</v>
      </c>
      <c r="CZ398" s="47">
        <v>0</v>
      </c>
      <c r="DA398" s="47">
        <v>0</v>
      </c>
      <c r="DB398" s="47">
        <v>0</v>
      </c>
      <c r="DC398" s="47">
        <v>0</v>
      </c>
      <c r="DD398" s="47">
        <v>0</v>
      </c>
      <c r="DE398" s="47">
        <v>0</v>
      </c>
      <c r="DF398" s="47">
        <v>0</v>
      </c>
      <c r="DG398" s="47">
        <v>0</v>
      </c>
      <c r="DH398" s="47">
        <v>0</v>
      </c>
      <c r="DI398" s="47">
        <v>0</v>
      </c>
      <c r="DJ398" s="47">
        <v>0</v>
      </c>
      <c r="DK398" s="47">
        <v>0</v>
      </c>
      <c r="DL398" s="47">
        <v>0</v>
      </c>
      <c r="DM398" s="47">
        <v>0</v>
      </c>
      <c r="DN398" s="47">
        <v>0</v>
      </c>
      <c r="DO398" s="47">
        <v>0</v>
      </c>
      <c r="DP398" s="47">
        <v>0</v>
      </c>
      <c r="DQ398" s="47">
        <v>0</v>
      </c>
      <c r="DR398" s="47">
        <v>0</v>
      </c>
      <c r="DS398" s="47">
        <v>0</v>
      </c>
      <c r="DT398" s="47">
        <v>0</v>
      </c>
      <c r="DU398" s="47">
        <v>0</v>
      </c>
      <c r="DV398" s="47">
        <v>0</v>
      </c>
      <c r="DW398" s="47">
        <v>0</v>
      </c>
      <c r="DX398" s="47">
        <v>0</v>
      </c>
      <c r="DY398" s="47">
        <v>0</v>
      </c>
      <c r="DZ398" s="47">
        <v>0</v>
      </c>
      <c r="EA398" s="47">
        <v>0</v>
      </c>
      <c r="EB398" s="47"/>
      <c r="EC398" s="47">
        <v>0.8</v>
      </c>
      <c r="ZZ398" t="s">
        <v>2472</v>
      </c>
    </row>
    <row r="399" spans="1:702" x14ac:dyDescent="0.25">
      <c r="A399" s="47" t="s">
        <v>1919</v>
      </c>
      <c r="B399" s="47" t="s">
        <v>153</v>
      </c>
      <c r="C399" s="47" t="s">
        <v>157</v>
      </c>
      <c r="D399" s="47" t="s">
        <v>2883</v>
      </c>
      <c r="E399" s="47" t="s">
        <v>1920</v>
      </c>
      <c r="F399" s="47" t="s">
        <v>1921</v>
      </c>
      <c r="G399" s="47" t="s">
        <v>1922</v>
      </c>
      <c r="H399" s="47" t="s">
        <v>698</v>
      </c>
      <c r="I399" s="47" t="s">
        <v>705</v>
      </c>
      <c r="J399" s="47" t="str">
        <f>=IFERROR(VLOOKUP(H399&amp;I399,Table_Fonctions!A:G,6,FALSE),"")</f>
        <v>0</v>
      </c>
      <c r="K399" s="47" t="s">
        <v>2607</v>
      </c>
      <c r="L399" s="47" t="str">
        <f>=IFERROR(VLOOKUP(H399&amp;I399,Table_Fonctions!A:G,7,FALSE),K399)</f>
        <v/>
      </c>
      <c r="M399" s="47" t="str">
        <f>=IF(OR(LEFT(D399, 3)="TJ ", LEFT(D399, 4)="CPH "), "OUI", "NON")</f>
        <v/>
      </c>
      <c r="N399" s="47" t="s">
        <v>836</v>
      </c>
      <c r="O399" s="47"/>
      <c r="P399" s="47">
        <v>1</v>
      </c>
      <c r="Q399" s="47">
        <v>0</v>
      </c>
      <c r="R399" s="47">
        <v>1</v>
      </c>
      <c r="S399" s="47">
        <f>=ROUND(BQ399-(BR399+BS399),3)</f>
      </c>
      <c r="T399" s="47">
        <f>=ROUND(CK399-(CL399+CM399+CN399+CO399+CP399),3)</f>
      </c>
      <c r="U399" s="47">
        <v>0</v>
      </c>
      <c r="V399" s="47">
        <v>0</v>
      </c>
      <c r="W399" s="47">
        <v>0</v>
      </c>
      <c r="X399" s="47">
        <v>0</v>
      </c>
      <c r="Y399" s="47">
        <v>0</v>
      </c>
      <c r="Z399" s="47">
        <v>0</v>
      </c>
      <c r="AA399" s="47">
        <v>0</v>
      </c>
      <c r="AB399" s="47">
        <v>0</v>
      </c>
      <c r="AC399" s="47">
        <v>0</v>
      </c>
      <c r="AD399" s="47">
        <v>0</v>
      </c>
      <c r="AE399" s="47">
        <v>0</v>
      </c>
      <c r="AF399" s="47">
        <v>0</v>
      </c>
      <c r="AG399" s="47">
        <v>0</v>
      </c>
      <c r="AH399" s="47">
        <v>0</v>
      </c>
      <c r="AI399" s="47">
        <v>0</v>
      </c>
      <c r="AJ399" s="47">
        <v>0</v>
      </c>
      <c r="AK399" s="47">
        <v>0</v>
      </c>
      <c r="AL399" s="47">
        <v>0</v>
      </c>
      <c r="AM399" s="47">
        <v>0</v>
      </c>
      <c r="AN399" s="47">
        <v>0</v>
      </c>
      <c r="AO399" s="47">
        <v>0</v>
      </c>
      <c r="AP399" s="47">
        <v>0</v>
      </c>
      <c r="AQ399" s="47">
        <v>0</v>
      </c>
      <c r="AR399" s="47">
        <v>0</v>
      </c>
      <c r="AS399" s="47">
        <v>0</v>
      </c>
      <c r="AT399" s="47">
        <v>0</v>
      </c>
      <c r="AU399" s="47">
        <v>0</v>
      </c>
      <c r="AV399" s="47">
        <v>0</v>
      </c>
      <c r="AW399" s="47">
        <v>0</v>
      </c>
      <c r="AX399" s="47">
        <v>0</v>
      </c>
      <c r="AY399" s="47">
        <v>0</v>
      </c>
      <c r="AZ399" s="47">
        <v>0</v>
      </c>
      <c r="BA399" s="47">
        <v>0</v>
      </c>
      <c r="BB399" s="47">
        <v>0</v>
      </c>
      <c r="BC399" s="47">
        <v>0</v>
      </c>
      <c r="BD399" s="47">
        <v>0</v>
      </c>
      <c r="BE399" s="47">
        <v>0</v>
      </c>
      <c r="BF399" s="47">
        <v>0</v>
      </c>
      <c r="BG399" s="47">
        <v>0</v>
      </c>
      <c r="BH399" s="47">
        <v>0</v>
      </c>
      <c r="BI399" s="47">
        <v>0</v>
      </c>
      <c r="BJ399" s="47">
        <v>0</v>
      </c>
      <c r="BK399" s="47">
        <v>0</v>
      </c>
      <c r="BL399" s="47">
        <v>0</v>
      </c>
      <c r="BM399" s="47">
        <v>0</v>
      </c>
      <c r="BN399" s="47">
        <v>0</v>
      </c>
      <c r="BO399" s="47">
        <v>0</v>
      </c>
      <c r="BP399" s="47">
        <v>0</v>
      </c>
      <c r="BQ399" s="47">
        <v>0</v>
      </c>
      <c r="BR399" s="47">
        <v>0</v>
      </c>
      <c r="BS399" s="47">
        <v>0</v>
      </c>
      <c r="BT399" s="47">
        <v>0</v>
      </c>
      <c r="BU399" s="47">
        <v>0</v>
      </c>
      <c r="BV399" s="47">
        <v>0</v>
      </c>
      <c r="BW399" s="47">
        <v>0</v>
      </c>
      <c r="BX399" s="47">
        <v>0</v>
      </c>
      <c r="BY399" s="47">
        <v>0</v>
      </c>
      <c r="BZ399" s="47">
        <v>0</v>
      </c>
      <c r="CA399" s="47">
        <v>0</v>
      </c>
      <c r="CB399" s="47">
        <v>0</v>
      </c>
      <c r="CC399" s="47">
        <v>0</v>
      </c>
      <c r="CD399" s="47">
        <v>0</v>
      </c>
      <c r="CE399" s="47">
        <v>0</v>
      </c>
      <c r="CF399" s="47">
        <v>0</v>
      </c>
      <c r="CG399" s="47">
        <v>0</v>
      </c>
      <c r="CH399" s="47">
        <v>0</v>
      </c>
      <c r="CI399" s="47">
        <v>0</v>
      </c>
      <c r="CJ399" s="47">
        <v>0</v>
      </c>
      <c r="CK399" s="47">
        <v>0</v>
      </c>
      <c r="CL399" s="47">
        <v>0</v>
      </c>
      <c r="CM399" s="47">
        <v>0</v>
      </c>
      <c r="CN399" s="47">
        <v>0</v>
      </c>
      <c r="CO399" s="47">
        <v>0</v>
      </c>
      <c r="CP399" s="47">
        <v>0</v>
      </c>
      <c r="CQ399" s="47">
        <v>0</v>
      </c>
      <c r="CR399" s="47">
        <v>0</v>
      </c>
      <c r="CS399" s="47">
        <v>0</v>
      </c>
      <c r="CT399" s="47">
        <v>0</v>
      </c>
      <c r="CU399" s="47">
        <v>0</v>
      </c>
      <c r="CV399" s="47">
        <v>0</v>
      </c>
      <c r="CW399" s="47">
        <v>0</v>
      </c>
      <c r="CX399" s="47">
        <v>0</v>
      </c>
      <c r="CY399" s="47">
        <v>0</v>
      </c>
      <c r="CZ399" s="47">
        <v>0</v>
      </c>
      <c r="DA399" s="47">
        <v>0</v>
      </c>
      <c r="DB399" s="47">
        <v>0</v>
      </c>
      <c r="DC399" s="47">
        <v>0</v>
      </c>
      <c r="DD399" s="47">
        <v>0</v>
      </c>
      <c r="DE399" s="47">
        <v>0</v>
      </c>
      <c r="DF399" s="47">
        <v>0</v>
      </c>
      <c r="DG399" s="47">
        <v>0</v>
      </c>
      <c r="DH399" s="47">
        <v>0</v>
      </c>
      <c r="DI399" s="47">
        <v>0</v>
      </c>
      <c r="DJ399" s="47">
        <v>0</v>
      </c>
      <c r="DK399" s="47">
        <v>0</v>
      </c>
      <c r="DL399" s="47">
        <v>0</v>
      </c>
      <c r="DM399" s="47">
        <v>0</v>
      </c>
      <c r="DN399" s="47">
        <v>0</v>
      </c>
      <c r="DO399" s="47">
        <v>0</v>
      </c>
      <c r="DP399" s="47">
        <v>0</v>
      </c>
      <c r="DQ399" s="47">
        <v>0</v>
      </c>
      <c r="DR399" s="47">
        <v>0</v>
      </c>
      <c r="DS399" s="47">
        <v>0</v>
      </c>
      <c r="DT399" s="47">
        <v>0</v>
      </c>
      <c r="DU399" s="47">
        <v>0</v>
      </c>
      <c r="DV399" s="47">
        <v>0</v>
      </c>
      <c r="DW399" s="47">
        <v>0</v>
      </c>
      <c r="DX399" s="47">
        <v>0</v>
      </c>
      <c r="DY399" s="47">
        <v>0</v>
      </c>
      <c r="DZ399" s="47">
        <v>0</v>
      </c>
      <c r="EA399" s="47">
        <v>0</v>
      </c>
      <c r="EB399" s="47"/>
      <c r="EC399" s="47">
        <v>1</v>
      </c>
      <c r="ZZ399" t="s">
        <v>2472</v>
      </c>
    </row>
    <row r="400" spans="1:702" x14ac:dyDescent="0.25">
      <c r="A400" s="47" t="s">
        <v>1923</v>
      </c>
      <c r="B400" s="47" t="s">
        <v>153</v>
      </c>
      <c r="C400" s="47" t="s">
        <v>157</v>
      </c>
      <c r="D400" s="47" t="s">
        <v>2884</v>
      </c>
      <c r="E400" s="47" t="s">
        <v>1924</v>
      </c>
      <c r="F400" s="47" t="s">
        <v>1925</v>
      </c>
      <c r="G400" s="47" t="s">
        <v>1926</v>
      </c>
      <c r="H400" s="47" t="s">
        <v>698</v>
      </c>
      <c r="I400" s="47" t="s">
        <v>705</v>
      </c>
      <c r="J400" s="47" t="str">
        <f>=IFERROR(VLOOKUP(H400&amp;I400,Table_Fonctions!A:G,6,FALSE),"")</f>
        <v>0</v>
      </c>
      <c r="K400" s="47" t="s">
        <v>2607</v>
      </c>
      <c r="L400" s="47" t="str">
        <f>=IFERROR(VLOOKUP(H400&amp;I400,Table_Fonctions!A:G,7,FALSE),K400)</f>
        <v/>
      </c>
      <c r="M400" s="47" t="str">
        <f>=IF(OR(LEFT(D400, 3)="TJ ", LEFT(D400, 4)="CPH "), "OUI", "NON")</f>
        <v/>
      </c>
      <c r="N400" s="47" t="s">
        <v>974</v>
      </c>
      <c r="O400" s="47"/>
      <c r="P400" s="47">
        <v>1</v>
      </c>
      <c r="Q400" s="47">
        <v>0</v>
      </c>
      <c r="R400" s="47">
        <v>1</v>
      </c>
      <c r="S400" s="47">
        <f>=ROUND(BQ400-(BR400+BS400),3)</f>
      </c>
      <c r="T400" s="47">
        <f>=ROUND(CK400-(CL400+CM400+CN400+CO400+CP400),3)</f>
      </c>
      <c r="U400" s="47">
        <v>0</v>
      </c>
      <c r="V400" s="47">
        <v>0</v>
      </c>
      <c r="W400" s="47">
        <v>0</v>
      </c>
      <c r="X400" s="47">
        <v>0</v>
      </c>
      <c r="Y400" s="47">
        <v>0</v>
      </c>
      <c r="Z400" s="47">
        <v>0</v>
      </c>
      <c r="AA400" s="47">
        <v>0</v>
      </c>
      <c r="AB400" s="47">
        <v>0</v>
      </c>
      <c r="AC400" s="47">
        <v>0</v>
      </c>
      <c r="AD400" s="47">
        <v>0</v>
      </c>
      <c r="AE400" s="47">
        <v>0</v>
      </c>
      <c r="AF400" s="47">
        <v>0</v>
      </c>
      <c r="AG400" s="47">
        <v>0</v>
      </c>
      <c r="AH400" s="47">
        <v>0</v>
      </c>
      <c r="AI400" s="47">
        <v>0</v>
      </c>
      <c r="AJ400" s="47">
        <v>0</v>
      </c>
      <c r="AK400" s="47">
        <v>0</v>
      </c>
      <c r="AL400" s="47">
        <v>0</v>
      </c>
      <c r="AM400" s="47">
        <v>0</v>
      </c>
      <c r="AN400" s="47">
        <v>0</v>
      </c>
      <c r="AO400" s="47">
        <v>0</v>
      </c>
      <c r="AP400" s="47">
        <v>0</v>
      </c>
      <c r="AQ400" s="47">
        <v>0</v>
      </c>
      <c r="AR400" s="47">
        <v>0</v>
      </c>
      <c r="AS400" s="47">
        <v>0</v>
      </c>
      <c r="AT400" s="47">
        <v>0</v>
      </c>
      <c r="AU400" s="47">
        <v>0</v>
      </c>
      <c r="AV400" s="47">
        <v>0</v>
      </c>
      <c r="AW400" s="47">
        <v>0</v>
      </c>
      <c r="AX400" s="47">
        <v>0</v>
      </c>
      <c r="AY400" s="47">
        <v>0</v>
      </c>
      <c r="AZ400" s="47">
        <v>0</v>
      </c>
      <c r="BA400" s="47">
        <v>0</v>
      </c>
      <c r="BB400" s="47">
        <v>0</v>
      </c>
      <c r="BC400" s="47">
        <v>0</v>
      </c>
      <c r="BD400" s="47">
        <v>0</v>
      </c>
      <c r="BE400" s="47">
        <v>0</v>
      </c>
      <c r="BF400" s="47">
        <v>0</v>
      </c>
      <c r="BG400" s="47">
        <v>0</v>
      </c>
      <c r="BH400" s="47">
        <v>0</v>
      </c>
      <c r="BI400" s="47">
        <v>0</v>
      </c>
      <c r="BJ400" s="47">
        <v>0</v>
      </c>
      <c r="BK400" s="47">
        <v>0</v>
      </c>
      <c r="BL400" s="47">
        <v>0</v>
      </c>
      <c r="BM400" s="47">
        <v>0</v>
      </c>
      <c r="BN400" s="47">
        <v>0</v>
      </c>
      <c r="BO400" s="47">
        <v>0</v>
      </c>
      <c r="BP400" s="47">
        <v>0</v>
      </c>
      <c r="BQ400" s="47">
        <v>0</v>
      </c>
      <c r="BR400" s="47">
        <v>0</v>
      </c>
      <c r="BS400" s="47">
        <v>0</v>
      </c>
      <c r="BT400" s="47">
        <v>0</v>
      </c>
      <c r="BU400" s="47">
        <v>0</v>
      </c>
      <c r="BV400" s="47">
        <v>0</v>
      </c>
      <c r="BW400" s="47">
        <v>0</v>
      </c>
      <c r="BX400" s="47">
        <v>0</v>
      </c>
      <c r="BY400" s="47">
        <v>0</v>
      </c>
      <c r="BZ400" s="47">
        <v>0</v>
      </c>
      <c r="CA400" s="47">
        <v>0</v>
      </c>
      <c r="CB400" s="47">
        <v>0</v>
      </c>
      <c r="CC400" s="47">
        <v>0</v>
      </c>
      <c r="CD400" s="47">
        <v>0</v>
      </c>
      <c r="CE400" s="47">
        <v>0</v>
      </c>
      <c r="CF400" s="47">
        <v>0</v>
      </c>
      <c r="CG400" s="47">
        <v>0</v>
      </c>
      <c r="CH400" s="47">
        <v>0</v>
      </c>
      <c r="CI400" s="47">
        <v>0</v>
      </c>
      <c r="CJ400" s="47">
        <v>0</v>
      </c>
      <c r="CK400" s="47">
        <v>0</v>
      </c>
      <c r="CL400" s="47">
        <v>0</v>
      </c>
      <c r="CM400" s="47">
        <v>0</v>
      </c>
      <c r="CN400" s="47">
        <v>0</v>
      </c>
      <c r="CO400" s="47">
        <v>0</v>
      </c>
      <c r="CP400" s="47">
        <v>0</v>
      </c>
      <c r="CQ400" s="47">
        <v>0</v>
      </c>
      <c r="CR400" s="47">
        <v>0</v>
      </c>
      <c r="CS400" s="47">
        <v>0</v>
      </c>
      <c r="CT400" s="47">
        <v>0</v>
      </c>
      <c r="CU400" s="47">
        <v>0</v>
      </c>
      <c r="CV400" s="47">
        <v>0</v>
      </c>
      <c r="CW400" s="47">
        <v>0</v>
      </c>
      <c r="CX400" s="47">
        <v>0</v>
      </c>
      <c r="CY400" s="47">
        <v>0</v>
      </c>
      <c r="CZ400" s="47">
        <v>0</v>
      </c>
      <c r="DA400" s="47">
        <v>0</v>
      </c>
      <c r="DB400" s="47">
        <v>0</v>
      </c>
      <c r="DC400" s="47">
        <v>0</v>
      </c>
      <c r="DD400" s="47">
        <v>0</v>
      </c>
      <c r="DE400" s="47">
        <v>0</v>
      </c>
      <c r="DF400" s="47">
        <v>0</v>
      </c>
      <c r="DG400" s="47">
        <v>0</v>
      </c>
      <c r="DH400" s="47">
        <v>0</v>
      </c>
      <c r="DI400" s="47">
        <v>0</v>
      </c>
      <c r="DJ400" s="47">
        <v>0</v>
      </c>
      <c r="DK400" s="47">
        <v>0</v>
      </c>
      <c r="DL400" s="47">
        <v>0</v>
      </c>
      <c r="DM400" s="47">
        <v>0</v>
      </c>
      <c r="DN400" s="47">
        <v>0</v>
      </c>
      <c r="DO400" s="47">
        <v>0</v>
      </c>
      <c r="DP400" s="47">
        <v>0</v>
      </c>
      <c r="DQ400" s="47">
        <v>0</v>
      </c>
      <c r="DR400" s="47">
        <v>0</v>
      </c>
      <c r="DS400" s="47">
        <v>0</v>
      </c>
      <c r="DT400" s="47">
        <v>0</v>
      </c>
      <c r="DU400" s="47">
        <v>0</v>
      </c>
      <c r="DV400" s="47">
        <v>0</v>
      </c>
      <c r="DW400" s="47">
        <v>0</v>
      </c>
      <c r="DX400" s="47">
        <v>0</v>
      </c>
      <c r="DY400" s="47">
        <v>0</v>
      </c>
      <c r="DZ400" s="47">
        <v>0</v>
      </c>
      <c r="EA400" s="47">
        <v>0</v>
      </c>
      <c r="EB400" s="47"/>
      <c r="EC400" s="47">
        <v>1</v>
      </c>
      <c r="ZZ400" t="s">
        <v>2472</v>
      </c>
    </row>
    <row r="401" spans="1:702" x14ac:dyDescent="0.25">
      <c r="A401" s="47" t="s">
        <v>1927</v>
      </c>
      <c r="B401" s="47" t="s">
        <v>153</v>
      </c>
      <c r="C401" s="47" t="s">
        <v>157</v>
      </c>
      <c r="D401" s="47" t="s">
        <v>2885</v>
      </c>
      <c r="E401" s="47" t="s">
        <v>1928</v>
      </c>
      <c r="F401" s="47" t="s">
        <v>1929</v>
      </c>
      <c r="G401" s="47" t="s">
        <v>1930</v>
      </c>
      <c r="H401" s="47" t="s">
        <v>698</v>
      </c>
      <c r="I401" s="47" t="s">
        <v>705</v>
      </c>
      <c r="J401" s="47" t="str">
        <f>=IFERROR(VLOOKUP(H401&amp;I401,Table_Fonctions!A:G,6,FALSE),"")</f>
        <v>0</v>
      </c>
      <c r="K401" s="47" t="s">
        <v>2607</v>
      </c>
      <c r="L401" s="47" t="str">
        <f>=IFERROR(VLOOKUP(H401&amp;I401,Table_Fonctions!A:G,7,FALSE),K401)</f>
        <v/>
      </c>
      <c r="M401" s="47" t="str">
        <f>=IF(OR(LEFT(D401, 3)="TJ ", LEFT(D401, 4)="CPH "), "OUI", "NON")</f>
        <v/>
      </c>
      <c r="N401" s="47" t="s">
        <v>722</v>
      </c>
      <c r="O401" s="47"/>
      <c r="P401" s="47">
        <v>1</v>
      </c>
      <c r="Q401" s="47">
        <v>0</v>
      </c>
      <c r="R401" s="47">
        <v>1</v>
      </c>
      <c r="S401" s="47">
        <f>=ROUND(BQ401-(BR401+BS401),3)</f>
      </c>
      <c r="T401" s="47">
        <f>=ROUND(CK401-(CL401+CM401+CN401+CO401+CP401),3)</f>
      </c>
      <c r="U401" s="47">
        <v>0</v>
      </c>
      <c r="V401" s="47">
        <v>0</v>
      </c>
      <c r="W401" s="47">
        <v>0</v>
      </c>
      <c r="X401" s="47">
        <v>0</v>
      </c>
      <c r="Y401" s="47">
        <v>0</v>
      </c>
      <c r="Z401" s="47">
        <v>0</v>
      </c>
      <c r="AA401" s="47">
        <v>0</v>
      </c>
      <c r="AB401" s="47">
        <v>0</v>
      </c>
      <c r="AC401" s="47">
        <v>0</v>
      </c>
      <c r="AD401" s="47">
        <v>0</v>
      </c>
      <c r="AE401" s="47">
        <v>0</v>
      </c>
      <c r="AF401" s="47">
        <v>0</v>
      </c>
      <c r="AG401" s="47">
        <v>0</v>
      </c>
      <c r="AH401" s="47">
        <v>0</v>
      </c>
      <c r="AI401" s="47">
        <v>0</v>
      </c>
      <c r="AJ401" s="47">
        <v>0</v>
      </c>
      <c r="AK401" s="47">
        <v>0</v>
      </c>
      <c r="AL401" s="47">
        <v>0</v>
      </c>
      <c r="AM401" s="47">
        <v>0</v>
      </c>
      <c r="AN401" s="47">
        <v>0</v>
      </c>
      <c r="AO401" s="47">
        <v>0</v>
      </c>
      <c r="AP401" s="47">
        <v>0</v>
      </c>
      <c r="AQ401" s="47">
        <v>0</v>
      </c>
      <c r="AR401" s="47">
        <v>0</v>
      </c>
      <c r="AS401" s="47">
        <v>0</v>
      </c>
      <c r="AT401" s="47">
        <v>0</v>
      </c>
      <c r="AU401" s="47">
        <v>0</v>
      </c>
      <c r="AV401" s="47">
        <v>0</v>
      </c>
      <c r="AW401" s="47">
        <v>0</v>
      </c>
      <c r="AX401" s="47">
        <v>0</v>
      </c>
      <c r="AY401" s="47">
        <v>0</v>
      </c>
      <c r="AZ401" s="47">
        <v>0</v>
      </c>
      <c r="BA401" s="47">
        <v>0</v>
      </c>
      <c r="BB401" s="47">
        <v>0</v>
      </c>
      <c r="BC401" s="47">
        <v>0</v>
      </c>
      <c r="BD401" s="47">
        <v>0</v>
      </c>
      <c r="BE401" s="47">
        <v>0</v>
      </c>
      <c r="BF401" s="47">
        <v>0</v>
      </c>
      <c r="BG401" s="47">
        <v>0</v>
      </c>
      <c r="BH401" s="47">
        <v>0</v>
      </c>
      <c r="BI401" s="47">
        <v>0</v>
      </c>
      <c r="BJ401" s="47">
        <v>0</v>
      </c>
      <c r="BK401" s="47">
        <v>0</v>
      </c>
      <c r="BL401" s="47">
        <v>0</v>
      </c>
      <c r="BM401" s="47">
        <v>0</v>
      </c>
      <c r="BN401" s="47">
        <v>0</v>
      </c>
      <c r="BO401" s="47">
        <v>0</v>
      </c>
      <c r="BP401" s="47">
        <v>0</v>
      </c>
      <c r="BQ401" s="47">
        <v>0</v>
      </c>
      <c r="BR401" s="47">
        <v>0</v>
      </c>
      <c r="BS401" s="47">
        <v>0</v>
      </c>
      <c r="BT401" s="47">
        <v>0</v>
      </c>
      <c r="BU401" s="47">
        <v>0</v>
      </c>
      <c r="BV401" s="47">
        <v>0</v>
      </c>
      <c r="BW401" s="47">
        <v>0</v>
      </c>
      <c r="BX401" s="47">
        <v>0</v>
      </c>
      <c r="BY401" s="47">
        <v>0</v>
      </c>
      <c r="BZ401" s="47">
        <v>0</v>
      </c>
      <c r="CA401" s="47">
        <v>0</v>
      </c>
      <c r="CB401" s="47">
        <v>0</v>
      </c>
      <c r="CC401" s="47">
        <v>0</v>
      </c>
      <c r="CD401" s="47">
        <v>0</v>
      </c>
      <c r="CE401" s="47">
        <v>0</v>
      </c>
      <c r="CF401" s="47">
        <v>0</v>
      </c>
      <c r="CG401" s="47">
        <v>0</v>
      </c>
      <c r="CH401" s="47">
        <v>0</v>
      </c>
      <c r="CI401" s="47">
        <v>0</v>
      </c>
      <c r="CJ401" s="47">
        <v>0</v>
      </c>
      <c r="CK401" s="47">
        <v>0</v>
      </c>
      <c r="CL401" s="47">
        <v>0</v>
      </c>
      <c r="CM401" s="47">
        <v>0</v>
      </c>
      <c r="CN401" s="47">
        <v>0</v>
      </c>
      <c r="CO401" s="47">
        <v>0</v>
      </c>
      <c r="CP401" s="47">
        <v>0</v>
      </c>
      <c r="CQ401" s="47">
        <v>0</v>
      </c>
      <c r="CR401" s="47">
        <v>0</v>
      </c>
      <c r="CS401" s="47">
        <v>0</v>
      </c>
      <c r="CT401" s="47">
        <v>0</v>
      </c>
      <c r="CU401" s="47">
        <v>0</v>
      </c>
      <c r="CV401" s="47">
        <v>0</v>
      </c>
      <c r="CW401" s="47">
        <v>0</v>
      </c>
      <c r="CX401" s="47">
        <v>0</v>
      </c>
      <c r="CY401" s="47">
        <v>0</v>
      </c>
      <c r="CZ401" s="47">
        <v>0</v>
      </c>
      <c r="DA401" s="47">
        <v>0</v>
      </c>
      <c r="DB401" s="47">
        <v>0</v>
      </c>
      <c r="DC401" s="47">
        <v>0</v>
      </c>
      <c r="DD401" s="47">
        <v>0</v>
      </c>
      <c r="DE401" s="47">
        <v>0</v>
      </c>
      <c r="DF401" s="47">
        <v>0</v>
      </c>
      <c r="DG401" s="47">
        <v>0</v>
      </c>
      <c r="DH401" s="47">
        <v>0</v>
      </c>
      <c r="DI401" s="47">
        <v>0</v>
      </c>
      <c r="DJ401" s="47">
        <v>0</v>
      </c>
      <c r="DK401" s="47">
        <v>0</v>
      </c>
      <c r="DL401" s="47">
        <v>0</v>
      </c>
      <c r="DM401" s="47">
        <v>0</v>
      </c>
      <c r="DN401" s="47">
        <v>0</v>
      </c>
      <c r="DO401" s="47">
        <v>0</v>
      </c>
      <c r="DP401" s="47">
        <v>0</v>
      </c>
      <c r="DQ401" s="47">
        <v>0</v>
      </c>
      <c r="DR401" s="47">
        <v>0</v>
      </c>
      <c r="DS401" s="47">
        <v>0</v>
      </c>
      <c r="DT401" s="47">
        <v>0</v>
      </c>
      <c r="DU401" s="47">
        <v>0</v>
      </c>
      <c r="DV401" s="47">
        <v>0</v>
      </c>
      <c r="DW401" s="47">
        <v>0</v>
      </c>
      <c r="DX401" s="47">
        <v>0</v>
      </c>
      <c r="DY401" s="47">
        <v>0</v>
      </c>
      <c r="DZ401" s="47">
        <v>0</v>
      </c>
      <c r="EA401" s="47">
        <v>0</v>
      </c>
      <c r="EB401" s="47"/>
      <c r="EC401" s="47">
        <v>1</v>
      </c>
      <c r="ZZ401" t="s">
        <v>2472</v>
      </c>
    </row>
    <row r="402" spans="1:702" x14ac:dyDescent="0.25">
      <c r="A402" s="47" t="s">
        <v>1931</v>
      </c>
      <c r="B402" s="47" t="s">
        <v>153</v>
      </c>
      <c r="C402" s="47" t="s">
        <v>157</v>
      </c>
      <c r="D402" s="47" t="s">
        <v>2886</v>
      </c>
      <c r="E402" s="47" t="s">
        <v>1932</v>
      </c>
      <c r="F402" s="47" t="s">
        <v>1933</v>
      </c>
      <c r="G402" s="47" t="s">
        <v>1934</v>
      </c>
      <c r="H402" s="47" t="s">
        <v>698</v>
      </c>
      <c r="I402" s="47" t="s">
        <v>727</v>
      </c>
      <c r="J402" s="47" t="str">
        <f>=IFERROR(VLOOKUP(H402&amp;I402,Table_Fonctions!A:G,6,FALSE),"")</f>
        <v>0</v>
      </c>
      <c r="K402" s="47" t="s">
        <v>2607</v>
      </c>
      <c r="L402" s="47" t="str">
        <f>=IFERROR(VLOOKUP(H402&amp;I402,Table_Fonctions!A:G,7,FALSE),K402)</f>
        <v/>
      </c>
      <c r="M402" s="47" t="str">
        <f>=IF(OR(LEFT(D402, 3)="TJ ", LEFT(D402, 4)="CPH "), "OUI", "NON")</f>
        <v/>
      </c>
      <c r="N402" s="47" t="s">
        <v>763</v>
      </c>
      <c r="O402" s="47"/>
      <c r="P402" s="47">
        <v>1</v>
      </c>
      <c r="Q402" s="47">
        <v>0</v>
      </c>
      <c r="R402" s="47">
        <v>1</v>
      </c>
      <c r="S402" s="47">
        <f>=ROUND(BQ402-(BR402+BS402),3)</f>
      </c>
      <c r="T402" s="47">
        <f>=ROUND(CK402-(CL402+CM402+CN402+CO402+CP402),3)</f>
      </c>
      <c r="U402" s="47">
        <v>0</v>
      </c>
      <c r="V402" s="47">
        <v>0</v>
      </c>
      <c r="W402" s="47">
        <v>0</v>
      </c>
      <c r="X402" s="47">
        <v>0</v>
      </c>
      <c r="Y402" s="47">
        <v>0</v>
      </c>
      <c r="Z402" s="47">
        <v>0</v>
      </c>
      <c r="AA402" s="47">
        <v>0</v>
      </c>
      <c r="AB402" s="47">
        <v>0</v>
      </c>
      <c r="AC402" s="47">
        <v>0</v>
      </c>
      <c r="AD402" s="47">
        <v>0</v>
      </c>
      <c r="AE402" s="47">
        <v>0</v>
      </c>
      <c r="AF402" s="47">
        <v>0</v>
      </c>
      <c r="AG402" s="47">
        <v>0</v>
      </c>
      <c r="AH402" s="47">
        <v>0</v>
      </c>
      <c r="AI402" s="47">
        <v>0</v>
      </c>
      <c r="AJ402" s="47">
        <v>0</v>
      </c>
      <c r="AK402" s="47">
        <v>0</v>
      </c>
      <c r="AL402" s="47">
        <v>0</v>
      </c>
      <c r="AM402" s="47">
        <v>0</v>
      </c>
      <c r="AN402" s="47">
        <v>0</v>
      </c>
      <c r="AO402" s="47">
        <v>0</v>
      </c>
      <c r="AP402" s="47">
        <v>0</v>
      </c>
      <c r="AQ402" s="47">
        <v>0</v>
      </c>
      <c r="AR402" s="47">
        <v>0</v>
      </c>
      <c r="AS402" s="47">
        <v>0</v>
      </c>
      <c r="AT402" s="47">
        <v>0</v>
      </c>
      <c r="AU402" s="47">
        <v>0</v>
      </c>
      <c r="AV402" s="47">
        <v>0</v>
      </c>
      <c r="AW402" s="47">
        <v>0</v>
      </c>
      <c r="AX402" s="47">
        <v>0</v>
      </c>
      <c r="AY402" s="47">
        <v>0</v>
      </c>
      <c r="AZ402" s="47">
        <v>0</v>
      </c>
      <c r="BA402" s="47">
        <v>0</v>
      </c>
      <c r="BB402" s="47">
        <v>0</v>
      </c>
      <c r="BC402" s="47">
        <v>0</v>
      </c>
      <c r="BD402" s="47">
        <v>0</v>
      </c>
      <c r="BE402" s="47">
        <v>0</v>
      </c>
      <c r="BF402" s="47">
        <v>0</v>
      </c>
      <c r="BG402" s="47">
        <v>0</v>
      </c>
      <c r="BH402" s="47">
        <v>0</v>
      </c>
      <c r="BI402" s="47">
        <v>0</v>
      </c>
      <c r="BJ402" s="47">
        <v>0</v>
      </c>
      <c r="BK402" s="47">
        <v>0</v>
      </c>
      <c r="BL402" s="47">
        <v>0</v>
      </c>
      <c r="BM402" s="47">
        <v>0</v>
      </c>
      <c r="BN402" s="47">
        <v>0</v>
      </c>
      <c r="BO402" s="47">
        <v>0</v>
      </c>
      <c r="BP402" s="47">
        <v>0</v>
      </c>
      <c r="BQ402" s="47">
        <v>0</v>
      </c>
      <c r="BR402" s="47">
        <v>0</v>
      </c>
      <c r="BS402" s="47">
        <v>0</v>
      </c>
      <c r="BT402" s="47">
        <v>0</v>
      </c>
      <c r="BU402" s="47">
        <v>0</v>
      </c>
      <c r="BV402" s="47">
        <v>0</v>
      </c>
      <c r="BW402" s="47">
        <v>0</v>
      </c>
      <c r="BX402" s="47">
        <v>0</v>
      </c>
      <c r="BY402" s="47">
        <v>0</v>
      </c>
      <c r="BZ402" s="47">
        <v>0</v>
      </c>
      <c r="CA402" s="47">
        <v>0</v>
      </c>
      <c r="CB402" s="47">
        <v>0</v>
      </c>
      <c r="CC402" s="47">
        <v>0</v>
      </c>
      <c r="CD402" s="47">
        <v>0</v>
      </c>
      <c r="CE402" s="47">
        <v>0</v>
      </c>
      <c r="CF402" s="47">
        <v>0</v>
      </c>
      <c r="CG402" s="47">
        <v>0</v>
      </c>
      <c r="CH402" s="47">
        <v>0</v>
      </c>
      <c r="CI402" s="47">
        <v>0</v>
      </c>
      <c r="CJ402" s="47">
        <v>0</v>
      </c>
      <c r="CK402" s="47">
        <v>0</v>
      </c>
      <c r="CL402" s="47">
        <v>0</v>
      </c>
      <c r="CM402" s="47">
        <v>0</v>
      </c>
      <c r="CN402" s="47">
        <v>0</v>
      </c>
      <c r="CO402" s="47">
        <v>0</v>
      </c>
      <c r="CP402" s="47">
        <v>0</v>
      </c>
      <c r="CQ402" s="47">
        <v>0</v>
      </c>
      <c r="CR402" s="47">
        <v>0</v>
      </c>
      <c r="CS402" s="47">
        <v>0</v>
      </c>
      <c r="CT402" s="47">
        <v>0</v>
      </c>
      <c r="CU402" s="47">
        <v>0</v>
      </c>
      <c r="CV402" s="47">
        <v>0</v>
      </c>
      <c r="CW402" s="47">
        <v>0</v>
      </c>
      <c r="CX402" s="47">
        <v>0</v>
      </c>
      <c r="CY402" s="47">
        <v>0</v>
      </c>
      <c r="CZ402" s="47">
        <v>0</v>
      </c>
      <c r="DA402" s="47">
        <v>0</v>
      </c>
      <c r="DB402" s="47">
        <v>0</v>
      </c>
      <c r="DC402" s="47">
        <v>0</v>
      </c>
      <c r="DD402" s="47">
        <v>0</v>
      </c>
      <c r="DE402" s="47">
        <v>0</v>
      </c>
      <c r="DF402" s="47">
        <v>0</v>
      </c>
      <c r="DG402" s="47">
        <v>0</v>
      </c>
      <c r="DH402" s="47">
        <v>0</v>
      </c>
      <c r="DI402" s="47">
        <v>0</v>
      </c>
      <c r="DJ402" s="47">
        <v>0</v>
      </c>
      <c r="DK402" s="47">
        <v>0</v>
      </c>
      <c r="DL402" s="47">
        <v>0</v>
      </c>
      <c r="DM402" s="47">
        <v>0</v>
      </c>
      <c r="DN402" s="47">
        <v>0</v>
      </c>
      <c r="DO402" s="47">
        <v>0</v>
      </c>
      <c r="DP402" s="47">
        <v>0</v>
      </c>
      <c r="DQ402" s="47">
        <v>0</v>
      </c>
      <c r="DR402" s="47">
        <v>0</v>
      </c>
      <c r="DS402" s="47">
        <v>0</v>
      </c>
      <c r="DT402" s="47">
        <v>0</v>
      </c>
      <c r="DU402" s="47">
        <v>0</v>
      </c>
      <c r="DV402" s="47">
        <v>0</v>
      </c>
      <c r="DW402" s="47">
        <v>0</v>
      </c>
      <c r="DX402" s="47">
        <v>0</v>
      </c>
      <c r="DY402" s="47">
        <v>0</v>
      </c>
      <c r="DZ402" s="47">
        <v>0</v>
      </c>
      <c r="EA402" s="47">
        <v>0</v>
      </c>
      <c r="EB402" s="47"/>
      <c r="EC402" s="47">
        <v>1</v>
      </c>
      <c r="ZZ402" t="s">
        <v>2472</v>
      </c>
    </row>
    <row r="403" spans="1:702" x14ac:dyDescent="0.25">
      <c r="A403" s="47" t="s">
        <v>1935</v>
      </c>
      <c r="B403" s="47" t="s">
        <v>153</v>
      </c>
      <c r="C403" s="47" t="s">
        <v>157</v>
      </c>
      <c r="D403" s="47" t="s">
        <v>2887</v>
      </c>
      <c r="E403" s="47" t="s">
        <v>1936</v>
      </c>
      <c r="F403" s="47" t="s">
        <v>1937</v>
      </c>
      <c r="G403" s="47" t="s">
        <v>1938</v>
      </c>
      <c r="H403" s="47" t="s">
        <v>698</v>
      </c>
      <c r="I403" s="47" t="s">
        <v>727</v>
      </c>
      <c r="J403" s="47" t="str">
        <f>=IFERROR(VLOOKUP(H403&amp;I403,Table_Fonctions!A:G,6,FALSE),"")</f>
        <v>0</v>
      </c>
      <c r="K403" s="47" t="s">
        <v>2607</v>
      </c>
      <c r="L403" s="47" t="str">
        <f>=IFERROR(VLOOKUP(H403&amp;I403,Table_Fonctions!A:G,7,FALSE),K403)</f>
        <v/>
      </c>
      <c r="M403" s="47" t="str">
        <f>=IF(OR(LEFT(D403, 3)="TJ ", LEFT(D403, 4)="CPH "), "OUI", "NON")</f>
        <v/>
      </c>
      <c r="N403" s="47" t="s">
        <v>1414</v>
      </c>
      <c r="O403" s="47"/>
      <c r="P403" s="47">
        <v>1</v>
      </c>
      <c r="Q403" s="47">
        <v>1</v>
      </c>
      <c r="R403" s="47">
        <v>0</v>
      </c>
      <c r="S403" s="47">
        <f>=ROUND(BQ403-(BR403+BS403),3)</f>
      </c>
      <c r="T403" s="47">
        <f>=ROUND(CK403-(CL403+CM403+CN403+CO403+CP403),3)</f>
      </c>
      <c r="U403" s="47">
        <v>0</v>
      </c>
      <c r="V403" s="47">
        <v>0</v>
      </c>
      <c r="W403" s="47">
        <v>0</v>
      </c>
      <c r="X403" s="47">
        <v>0</v>
      </c>
      <c r="Y403" s="47">
        <v>0</v>
      </c>
      <c r="Z403" s="47">
        <v>0</v>
      </c>
      <c r="AA403" s="47">
        <v>0</v>
      </c>
      <c r="AB403" s="47">
        <v>0</v>
      </c>
      <c r="AC403" s="47">
        <v>0</v>
      </c>
      <c r="AD403" s="47">
        <v>0</v>
      </c>
      <c r="AE403" s="47">
        <v>0</v>
      </c>
      <c r="AF403" s="47">
        <v>0</v>
      </c>
      <c r="AG403" s="47">
        <v>0</v>
      </c>
      <c r="AH403" s="47">
        <v>0</v>
      </c>
      <c r="AI403" s="47">
        <v>0</v>
      </c>
      <c r="AJ403" s="47">
        <v>0</v>
      </c>
      <c r="AK403" s="47">
        <v>0</v>
      </c>
      <c r="AL403" s="47">
        <v>0</v>
      </c>
      <c r="AM403" s="47">
        <v>0</v>
      </c>
      <c r="AN403" s="47">
        <v>0</v>
      </c>
      <c r="AO403" s="47">
        <v>0</v>
      </c>
      <c r="AP403" s="47">
        <v>0</v>
      </c>
      <c r="AQ403" s="47">
        <v>0</v>
      </c>
      <c r="AR403" s="47">
        <v>0</v>
      </c>
      <c r="AS403" s="47">
        <v>0</v>
      </c>
      <c r="AT403" s="47">
        <v>0</v>
      </c>
      <c r="AU403" s="47">
        <v>0</v>
      </c>
      <c r="AV403" s="47">
        <v>0</v>
      </c>
      <c r="AW403" s="47">
        <v>0</v>
      </c>
      <c r="AX403" s="47">
        <v>0</v>
      </c>
      <c r="AY403" s="47">
        <v>0</v>
      </c>
      <c r="AZ403" s="47">
        <v>0</v>
      </c>
      <c r="BA403" s="47">
        <v>0</v>
      </c>
      <c r="BB403" s="47">
        <v>0</v>
      </c>
      <c r="BC403" s="47">
        <v>0</v>
      </c>
      <c r="BD403" s="47">
        <v>0</v>
      </c>
      <c r="BE403" s="47">
        <v>0</v>
      </c>
      <c r="BF403" s="47">
        <v>0</v>
      </c>
      <c r="BG403" s="47">
        <v>0</v>
      </c>
      <c r="BH403" s="47">
        <v>0</v>
      </c>
      <c r="BI403" s="47">
        <v>0</v>
      </c>
      <c r="BJ403" s="47">
        <v>0</v>
      </c>
      <c r="BK403" s="47">
        <v>0</v>
      </c>
      <c r="BL403" s="47">
        <v>0</v>
      </c>
      <c r="BM403" s="47">
        <v>0</v>
      </c>
      <c r="BN403" s="47">
        <v>0</v>
      </c>
      <c r="BO403" s="47">
        <v>0</v>
      </c>
      <c r="BP403" s="47">
        <v>0</v>
      </c>
      <c r="BQ403" s="47">
        <v>0</v>
      </c>
      <c r="BR403" s="47">
        <v>0</v>
      </c>
      <c r="BS403" s="47">
        <v>0</v>
      </c>
      <c r="BT403" s="47">
        <v>0</v>
      </c>
      <c r="BU403" s="47">
        <v>0</v>
      </c>
      <c r="BV403" s="47">
        <v>0</v>
      </c>
      <c r="BW403" s="47">
        <v>0</v>
      </c>
      <c r="BX403" s="47">
        <v>0</v>
      </c>
      <c r="BY403" s="47">
        <v>0</v>
      </c>
      <c r="BZ403" s="47">
        <v>0</v>
      </c>
      <c r="CA403" s="47">
        <v>0</v>
      </c>
      <c r="CB403" s="47">
        <v>0</v>
      </c>
      <c r="CC403" s="47">
        <v>0</v>
      </c>
      <c r="CD403" s="47">
        <v>0</v>
      </c>
      <c r="CE403" s="47">
        <v>0</v>
      </c>
      <c r="CF403" s="47">
        <v>0</v>
      </c>
      <c r="CG403" s="47">
        <v>0</v>
      </c>
      <c r="CH403" s="47">
        <v>0</v>
      </c>
      <c r="CI403" s="47">
        <v>0</v>
      </c>
      <c r="CJ403" s="47">
        <v>0</v>
      </c>
      <c r="CK403" s="47">
        <v>0</v>
      </c>
      <c r="CL403" s="47">
        <v>0</v>
      </c>
      <c r="CM403" s="47">
        <v>0</v>
      </c>
      <c r="CN403" s="47">
        <v>0</v>
      </c>
      <c r="CO403" s="47">
        <v>0</v>
      </c>
      <c r="CP403" s="47">
        <v>0</v>
      </c>
      <c r="CQ403" s="47">
        <v>1</v>
      </c>
      <c r="CR403" s="47">
        <v>0</v>
      </c>
      <c r="CS403" s="47">
        <v>0</v>
      </c>
      <c r="CT403" s="47">
        <v>0</v>
      </c>
      <c r="CU403" s="47">
        <v>0</v>
      </c>
      <c r="CV403" s="47">
        <v>0</v>
      </c>
      <c r="CW403" s="47">
        <v>0</v>
      </c>
      <c r="CX403" s="47">
        <v>0</v>
      </c>
      <c r="CY403" s="47">
        <v>0</v>
      </c>
      <c r="CZ403" s="47">
        <v>0</v>
      </c>
      <c r="DA403" s="47">
        <v>0</v>
      </c>
      <c r="DB403" s="47">
        <v>0</v>
      </c>
      <c r="DC403" s="47">
        <v>0</v>
      </c>
      <c r="DD403" s="47">
        <v>0</v>
      </c>
      <c r="DE403" s="47">
        <v>0</v>
      </c>
      <c r="DF403" s="47">
        <v>0</v>
      </c>
      <c r="DG403" s="47">
        <v>0</v>
      </c>
      <c r="DH403" s="47">
        <v>0</v>
      </c>
      <c r="DI403" s="47">
        <v>0</v>
      </c>
      <c r="DJ403" s="47">
        <v>0</v>
      </c>
      <c r="DK403" s="47">
        <v>0</v>
      </c>
      <c r="DL403" s="47">
        <v>0</v>
      </c>
      <c r="DM403" s="47">
        <v>0</v>
      </c>
      <c r="DN403" s="47">
        <v>0</v>
      </c>
      <c r="DO403" s="47">
        <v>0</v>
      </c>
      <c r="DP403" s="47">
        <v>0</v>
      </c>
      <c r="DQ403" s="47">
        <v>0</v>
      </c>
      <c r="DR403" s="47">
        <v>0</v>
      </c>
      <c r="DS403" s="47">
        <v>0</v>
      </c>
      <c r="DT403" s="47">
        <v>0</v>
      </c>
      <c r="DU403" s="47">
        <v>0</v>
      </c>
      <c r="DV403" s="47">
        <v>0</v>
      </c>
      <c r="DW403" s="47">
        <v>0</v>
      </c>
      <c r="DX403" s="47">
        <v>0</v>
      </c>
      <c r="DY403" s="47">
        <v>0</v>
      </c>
      <c r="DZ403" s="47">
        <v>0</v>
      </c>
      <c r="EA403" s="47">
        <v>0</v>
      </c>
      <c r="EB403" s="47"/>
      <c r="EC403" s="47">
        <v>1</v>
      </c>
      <c r="ZZ403" t="s">
        <v>2472</v>
      </c>
    </row>
    <row r="404" spans="1:702" x14ac:dyDescent="0.25">
      <c r="A404" s="47" t="s">
        <v>1939</v>
      </c>
      <c r="B404" s="47" t="s">
        <v>153</v>
      </c>
      <c r="C404" s="47" t="s">
        <v>157</v>
      </c>
      <c r="D404" s="47" t="s">
        <v>2888</v>
      </c>
      <c r="E404" s="47" t="s">
        <v>1940</v>
      </c>
      <c r="F404" s="47" t="s">
        <v>1941</v>
      </c>
      <c r="G404" s="47" t="s">
        <v>1942</v>
      </c>
      <c r="H404" s="47" t="s">
        <v>698</v>
      </c>
      <c r="I404" s="47" t="s">
        <v>705</v>
      </c>
      <c r="J404" s="47" t="str">
        <f>=IFERROR(VLOOKUP(H404&amp;I404,Table_Fonctions!A:G,6,FALSE),"")</f>
        <v>0</v>
      </c>
      <c r="K404" s="47" t="s">
        <v>2607</v>
      </c>
      <c r="L404" s="47" t="str">
        <f>=IFERROR(VLOOKUP(H404&amp;I404,Table_Fonctions!A:G,7,FALSE),K404)</f>
        <v/>
      </c>
      <c r="M404" s="47" t="str">
        <f>=IF(OR(LEFT(D404, 3)="TJ ", LEFT(D404, 4)="CPH "), "OUI", "NON")</f>
        <v/>
      </c>
      <c r="N404" s="47" t="s">
        <v>1309</v>
      </c>
      <c r="O404" s="47"/>
      <c r="P404" s="47">
        <v>1</v>
      </c>
      <c r="Q404" s="47">
        <v>0</v>
      </c>
      <c r="R404" s="47">
        <v>1</v>
      </c>
      <c r="S404" s="47">
        <f>=ROUND(BQ404-(BR404+BS404),3)</f>
      </c>
      <c r="T404" s="47">
        <f>=ROUND(CK404-(CL404+CM404+CN404+CO404+CP404),3)</f>
      </c>
      <c r="U404" s="47">
        <v>0</v>
      </c>
      <c r="V404" s="47">
        <v>0</v>
      </c>
      <c r="W404" s="47">
        <v>0</v>
      </c>
      <c r="X404" s="47">
        <v>0</v>
      </c>
      <c r="Y404" s="47">
        <v>0</v>
      </c>
      <c r="Z404" s="47">
        <v>0</v>
      </c>
      <c r="AA404" s="47">
        <v>0</v>
      </c>
      <c r="AB404" s="47">
        <v>0</v>
      </c>
      <c r="AC404" s="47">
        <v>0</v>
      </c>
      <c r="AD404" s="47">
        <v>0</v>
      </c>
      <c r="AE404" s="47">
        <v>0</v>
      </c>
      <c r="AF404" s="47">
        <v>0</v>
      </c>
      <c r="AG404" s="47">
        <v>0</v>
      </c>
      <c r="AH404" s="47">
        <v>0</v>
      </c>
      <c r="AI404" s="47">
        <v>0</v>
      </c>
      <c r="AJ404" s="47">
        <v>0</v>
      </c>
      <c r="AK404" s="47">
        <v>0</v>
      </c>
      <c r="AL404" s="47">
        <v>0</v>
      </c>
      <c r="AM404" s="47">
        <v>0</v>
      </c>
      <c r="AN404" s="47">
        <v>0</v>
      </c>
      <c r="AO404" s="47">
        <v>0</v>
      </c>
      <c r="AP404" s="47">
        <v>0</v>
      </c>
      <c r="AQ404" s="47">
        <v>0</v>
      </c>
      <c r="AR404" s="47">
        <v>0</v>
      </c>
      <c r="AS404" s="47">
        <v>0</v>
      </c>
      <c r="AT404" s="47">
        <v>0</v>
      </c>
      <c r="AU404" s="47">
        <v>0</v>
      </c>
      <c r="AV404" s="47">
        <v>0</v>
      </c>
      <c r="AW404" s="47">
        <v>0</v>
      </c>
      <c r="AX404" s="47">
        <v>0</v>
      </c>
      <c r="AY404" s="47">
        <v>0</v>
      </c>
      <c r="AZ404" s="47">
        <v>0</v>
      </c>
      <c r="BA404" s="47">
        <v>0</v>
      </c>
      <c r="BB404" s="47">
        <v>0</v>
      </c>
      <c r="BC404" s="47">
        <v>0</v>
      </c>
      <c r="BD404" s="47">
        <v>0</v>
      </c>
      <c r="BE404" s="47">
        <v>0</v>
      </c>
      <c r="BF404" s="47">
        <v>0</v>
      </c>
      <c r="BG404" s="47">
        <v>0</v>
      </c>
      <c r="BH404" s="47">
        <v>0</v>
      </c>
      <c r="BI404" s="47">
        <v>0</v>
      </c>
      <c r="BJ404" s="47">
        <v>0</v>
      </c>
      <c r="BK404" s="47">
        <v>0</v>
      </c>
      <c r="BL404" s="47">
        <v>0</v>
      </c>
      <c r="BM404" s="47">
        <v>0</v>
      </c>
      <c r="BN404" s="47">
        <v>0</v>
      </c>
      <c r="BO404" s="47">
        <v>0</v>
      </c>
      <c r="BP404" s="47">
        <v>0</v>
      </c>
      <c r="BQ404" s="47">
        <v>0</v>
      </c>
      <c r="BR404" s="47">
        <v>0</v>
      </c>
      <c r="BS404" s="47">
        <v>0</v>
      </c>
      <c r="BT404" s="47">
        <v>0</v>
      </c>
      <c r="BU404" s="47">
        <v>0</v>
      </c>
      <c r="BV404" s="47">
        <v>0</v>
      </c>
      <c r="BW404" s="47">
        <v>0</v>
      </c>
      <c r="BX404" s="47">
        <v>0</v>
      </c>
      <c r="BY404" s="47">
        <v>0</v>
      </c>
      <c r="BZ404" s="47">
        <v>0</v>
      </c>
      <c r="CA404" s="47">
        <v>0</v>
      </c>
      <c r="CB404" s="47">
        <v>0</v>
      </c>
      <c r="CC404" s="47">
        <v>0</v>
      </c>
      <c r="CD404" s="47">
        <v>0</v>
      </c>
      <c r="CE404" s="47">
        <v>0</v>
      </c>
      <c r="CF404" s="47">
        <v>0</v>
      </c>
      <c r="CG404" s="47">
        <v>0</v>
      </c>
      <c r="CH404" s="47">
        <v>0</v>
      </c>
      <c r="CI404" s="47">
        <v>0</v>
      </c>
      <c r="CJ404" s="47">
        <v>0</v>
      </c>
      <c r="CK404" s="47">
        <v>0</v>
      </c>
      <c r="CL404" s="47">
        <v>0</v>
      </c>
      <c r="CM404" s="47">
        <v>0</v>
      </c>
      <c r="CN404" s="47">
        <v>0</v>
      </c>
      <c r="CO404" s="47">
        <v>0</v>
      </c>
      <c r="CP404" s="47">
        <v>0</v>
      </c>
      <c r="CQ404" s="47">
        <v>0</v>
      </c>
      <c r="CR404" s="47">
        <v>0</v>
      </c>
      <c r="CS404" s="47">
        <v>0</v>
      </c>
      <c r="CT404" s="47">
        <v>0</v>
      </c>
      <c r="CU404" s="47">
        <v>0</v>
      </c>
      <c r="CV404" s="47">
        <v>0</v>
      </c>
      <c r="CW404" s="47">
        <v>0</v>
      </c>
      <c r="CX404" s="47">
        <v>0</v>
      </c>
      <c r="CY404" s="47">
        <v>0</v>
      </c>
      <c r="CZ404" s="47">
        <v>0</v>
      </c>
      <c r="DA404" s="47">
        <v>0</v>
      </c>
      <c r="DB404" s="47">
        <v>0</v>
      </c>
      <c r="DC404" s="47">
        <v>0</v>
      </c>
      <c r="DD404" s="47">
        <v>0</v>
      </c>
      <c r="DE404" s="47">
        <v>0</v>
      </c>
      <c r="DF404" s="47">
        <v>0</v>
      </c>
      <c r="DG404" s="47">
        <v>0</v>
      </c>
      <c r="DH404" s="47">
        <v>0</v>
      </c>
      <c r="DI404" s="47">
        <v>0</v>
      </c>
      <c r="DJ404" s="47">
        <v>0</v>
      </c>
      <c r="DK404" s="47">
        <v>0</v>
      </c>
      <c r="DL404" s="47">
        <v>0</v>
      </c>
      <c r="DM404" s="47">
        <v>0</v>
      </c>
      <c r="DN404" s="47">
        <v>0</v>
      </c>
      <c r="DO404" s="47">
        <v>0</v>
      </c>
      <c r="DP404" s="47">
        <v>0</v>
      </c>
      <c r="DQ404" s="47">
        <v>0</v>
      </c>
      <c r="DR404" s="47">
        <v>0</v>
      </c>
      <c r="DS404" s="47">
        <v>0</v>
      </c>
      <c r="DT404" s="47">
        <v>0</v>
      </c>
      <c r="DU404" s="47">
        <v>0</v>
      </c>
      <c r="DV404" s="47">
        <v>0</v>
      </c>
      <c r="DW404" s="47">
        <v>0</v>
      </c>
      <c r="DX404" s="47">
        <v>0</v>
      </c>
      <c r="DY404" s="47">
        <v>0</v>
      </c>
      <c r="DZ404" s="47">
        <v>0</v>
      </c>
      <c r="EA404" s="47">
        <v>0</v>
      </c>
      <c r="EB404" s="47"/>
      <c r="EC404" s="47">
        <v>1</v>
      </c>
      <c r="ZZ404" t="s">
        <v>2472</v>
      </c>
    </row>
    <row r="405" spans="1:702" x14ac:dyDescent="0.25">
      <c r="A405" s="47" t="s">
        <v>1943</v>
      </c>
      <c r="B405" s="47" t="s">
        <v>153</v>
      </c>
      <c r="C405" s="47" t="s">
        <v>157</v>
      </c>
      <c r="D405" s="47" t="s">
        <v>2889</v>
      </c>
      <c r="E405" s="47" t="s">
        <v>1944</v>
      </c>
      <c r="F405" s="47" t="s">
        <v>1945</v>
      </c>
      <c r="G405" s="47" t="s">
        <v>1946</v>
      </c>
      <c r="H405" s="47" t="s">
        <v>698</v>
      </c>
      <c r="I405" s="47" t="s">
        <v>727</v>
      </c>
      <c r="J405" s="47" t="str">
        <f>=IFERROR(VLOOKUP(H405&amp;I405,Table_Fonctions!A:G,6,FALSE),"")</f>
        <v>0</v>
      </c>
      <c r="K405" s="47" t="s">
        <v>2607</v>
      </c>
      <c r="L405" s="47" t="str">
        <f>=IFERROR(VLOOKUP(H405&amp;I405,Table_Fonctions!A:G,7,FALSE),K405)</f>
        <v/>
      </c>
      <c r="M405" s="47" t="str">
        <f>=IF(OR(LEFT(D405, 3)="TJ ", LEFT(D405, 4)="CPH "), "OUI", "NON")</f>
        <v/>
      </c>
      <c r="N405" s="47" t="s">
        <v>1947</v>
      </c>
      <c r="O405" s="47"/>
      <c r="P405" s="47">
        <v>1</v>
      </c>
      <c r="Q405" s="47">
        <v>0</v>
      </c>
      <c r="R405" s="47">
        <v>1</v>
      </c>
      <c r="S405" s="47">
        <f>=ROUND(BQ405-(BR405+BS405),3)</f>
      </c>
      <c r="T405" s="47">
        <f>=ROUND(CK405-(CL405+CM405+CN405+CO405+CP405),3)</f>
      </c>
      <c r="U405" s="47">
        <v>0</v>
      </c>
      <c r="V405" s="47">
        <v>0</v>
      </c>
      <c r="W405" s="47">
        <v>0</v>
      </c>
      <c r="X405" s="47">
        <v>0</v>
      </c>
      <c r="Y405" s="47">
        <v>0</v>
      </c>
      <c r="Z405" s="47">
        <v>0</v>
      </c>
      <c r="AA405" s="47">
        <v>0</v>
      </c>
      <c r="AB405" s="47">
        <v>0</v>
      </c>
      <c r="AC405" s="47">
        <v>0</v>
      </c>
      <c r="AD405" s="47">
        <v>0</v>
      </c>
      <c r="AE405" s="47">
        <v>0</v>
      </c>
      <c r="AF405" s="47">
        <v>0</v>
      </c>
      <c r="AG405" s="47">
        <v>0</v>
      </c>
      <c r="AH405" s="47">
        <v>0</v>
      </c>
      <c r="AI405" s="47">
        <v>0</v>
      </c>
      <c r="AJ405" s="47">
        <v>0</v>
      </c>
      <c r="AK405" s="47">
        <v>0</v>
      </c>
      <c r="AL405" s="47">
        <v>0</v>
      </c>
      <c r="AM405" s="47">
        <v>0</v>
      </c>
      <c r="AN405" s="47">
        <v>0</v>
      </c>
      <c r="AO405" s="47">
        <v>0</v>
      </c>
      <c r="AP405" s="47">
        <v>0</v>
      </c>
      <c r="AQ405" s="47">
        <v>0</v>
      </c>
      <c r="AR405" s="47">
        <v>0</v>
      </c>
      <c r="AS405" s="47">
        <v>0</v>
      </c>
      <c r="AT405" s="47">
        <v>0</v>
      </c>
      <c r="AU405" s="47">
        <v>0</v>
      </c>
      <c r="AV405" s="47">
        <v>0</v>
      </c>
      <c r="AW405" s="47">
        <v>0</v>
      </c>
      <c r="AX405" s="47">
        <v>0</v>
      </c>
      <c r="AY405" s="47">
        <v>0</v>
      </c>
      <c r="AZ405" s="47">
        <v>0</v>
      </c>
      <c r="BA405" s="47">
        <v>0</v>
      </c>
      <c r="BB405" s="47">
        <v>0</v>
      </c>
      <c r="BC405" s="47">
        <v>0</v>
      </c>
      <c r="BD405" s="47">
        <v>0</v>
      </c>
      <c r="BE405" s="47">
        <v>0</v>
      </c>
      <c r="BF405" s="47">
        <v>0</v>
      </c>
      <c r="BG405" s="47">
        <v>0</v>
      </c>
      <c r="BH405" s="47">
        <v>0</v>
      </c>
      <c r="BI405" s="47">
        <v>0</v>
      </c>
      <c r="BJ405" s="47">
        <v>0</v>
      </c>
      <c r="BK405" s="47">
        <v>0</v>
      </c>
      <c r="BL405" s="47">
        <v>0</v>
      </c>
      <c r="BM405" s="47">
        <v>0</v>
      </c>
      <c r="BN405" s="47">
        <v>0</v>
      </c>
      <c r="BO405" s="47">
        <v>0</v>
      </c>
      <c r="BP405" s="47">
        <v>0</v>
      </c>
      <c r="BQ405" s="47">
        <v>0</v>
      </c>
      <c r="BR405" s="47">
        <v>0</v>
      </c>
      <c r="BS405" s="47">
        <v>0</v>
      </c>
      <c r="BT405" s="47">
        <v>0</v>
      </c>
      <c r="BU405" s="47">
        <v>0</v>
      </c>
      <c r="BV405" s="47">
        <v>0</v>
      </c>
      <c r="BW405" s="47">
        <v>0</v>
      </c>
      <c r="BX405" s="47">
        <v>0</v>
      </c>
      <c r="BY405" s="47">
        <v>0</v>
      </c>
      <c r="BZ405" s="47">
        <v>0</v>
      </c>
      <c r="CA405" s="47">
        <v>0</v>
      </c>
      <c r="CB405" s="47">
        <v>0</v>
      </c>
      <c r="CC405" s="47">
        <v>0</v>
      </c>
      <c r="CD405" s="47">
        <v>0</v>
      </c>
      <c r="CE405" s="47">
        <v>0</v>
      </c>
      <c r="CF405" s="47">
        <v>0</v>
      </c>
      <c r="CG405" s="47">
        <v>0</v>
      </c>
      <c r="CH405" s="47">
        <v>0</v>
      </c>
      <c r="CI405" s="47">
        <v>0</v>
      </c>
      <c r="CJ405" s="47">
        <v>0</v>
      </c>
      <c r="CK405" s="47">
        <v>0</v>
      </c>
      <c r="CL405" s="47">
        <v>0</v>
      </c>
      <c r="CM405" s="47">
        <v>0</v>
      </c>
      <c r="CN405" s="47">
        <v>0</v>
      </c>
      <c r="CO405" s="47">
        <v>0</v>
      </c>
      <c r="CP405" s="47">
        <v>0</v>
      </c>
      <c r="CQ405" s="47">
        <v>0</v>
      </c>
      <c r="CR405" s="47">
        <v>0</v>
      </c>
      <c r="CS405" s="47">
        <v>0</v>
      </c>
      <c r="CT405" s="47">
        <v>0</v>
      </c>
      <c r="CU405" s="47">
        <v>0</v>
      </c>
      <c r="CV405" s="47">
        <v>0</v>
      </c>
      <c r="CW405" s="47">
        <v>0</v>
      </c>
      <c r="CX405" s="47">
        <v>0</v>
      </c>
      <c r="CY405" s="47">
        <v>0</v>
      </c>
      <c r="CZ405" s="47">
        <v>0</v>
      </c>
      <c r="DA405" s="47">
        <v>0</v>
      </c>
      <c r="DB405" s="47">
        <v>0</v>
      </c>
      <c r="DC405" s="47">
        <v>0</v>
      </c>
      <c r="DD405" s="47">
        <v>0</v>
      </c>
      <c r="DE405" s="47">
        <v>0</v>
      </c>
      <c r="DF405" s="47">
        <v>0</v>
      </c>
      <c r="DG405" s="47">
        <v>0</v>
      </c>
      <c r="DH405" s="47">
        <v>0</v>
      </c>
      <c r="DI405" s="47">
        <v>0</v>
      </c>
      <c r="DJ405" s="47">
        <v>0</v>
      </c>
      <c r="DK405" s="47">
        <v>0</v>
      </c>
      <c r="DL405" s="47">
        <v>0</v>
      </c>
      <c r="DM405" s="47">
        <v>0</v>
      </c>
      <c r="DN405" s="47">
        <v>0</v>
      </c>
      <c r="DO405" s="47">
        <v>0</v>
      </c>
      <c r="DP405" s="47">
        <v>0</v>
      </c>
      <c r="DQ405" s="47">
        <v>0</v>
      </c>
      <c r="DR405" s="47">
        <v>0</v>
      </c>
      <c r="DS405" s="47">
        <v>0</v>
      </c>
      <c r="DT405" s="47">
        <v>0</v>
      </c>
      <c r="DU405" s="47">
        <v>0</v>
      </c>
      <c r="DV405" s="47">
        <v>0</v>
      </c>
      <c r="DW405" s="47">
        <v>0</v>
      </c>
      <c r="DX405" s="47">
        <v>0</v>
      </c>
      <c r="DY405" s="47">
        <v>0</v>
      </c>
      <c r="DZ405" s="47">
        <v>0</v>
      </c>
      <c r="EA405" s="47">
        <v>0</v>
      </c>
      <c r="EB405" s="47"/>
      <c r="EC405" s="47">
        <v>1</v>
      </c>
      <c r="ZZ405" t="s">
        <v>2472</v>
      </c>
    </row>
    <row r="406" spans="1:702" x14ac:dyDescent="0.25">
      <c r="A406" s="47" t="s">
        <v>1948</v>
      </c>
      <c r="B406" s="47" t="s">
        <v>153</v>
      </c>
      <c r="C406" s="47" t="s">
        <v>157</v>
      </c>
      <c r="D406" s="47" t="s">
        <v>2890</v>
      </c>
      <c r="E406" s="47" t="s">
        <v>1949</v>
      </c>
      <c r="F406" s="47" t="s">
        <v>1950</v>
      </c>
      <c r="G406" s="47" t="s">
        <v>1951</v>
      </c>
      <c r="H406" s="47" t="s">
        <v>698</v>
      </c>
      <c r="I406" s="47" t="s">
        <v>727</v>
      </c>
      <c r="J406" s="47" t="str">
        <f>=IFERROR(VLOOKUP(H406&amp;I406,Table_Fonctions!A:G,6,FALSE),"")</f>
        <v>0</v>
      </c>
      <c r="K406" s="47" t="s">
        <v>2607</v>
      </c>
      <c r="L406" s="47" t="str">
        <f>=IFERROR(VLOOKUP(H406&amp;I406,Table_Fonctions!A:G,7,FALSE),K406)</f>
        <v/>
      </c>
      <c r="M406" s="47" t="str">
        <f>=IF(OR(LEFT(D406, 3)="TJ ", LEFT(D406, 4)="CPH "), "OUI", "NON")</f>
        <v/>
      </c>
      <c r="N406" s="47" t="s">
        <v>1952</v>
      </c>
      <c r="O406" s="47"/>
      <c r="P406" s="47">
        <v>0.8</v>
      </c>
      <c r="Q406" s="47">
        <v>0.8</v>
      </c>
      <c r="R406" s="47">
        <v>0</v>
      </c>
      <c r="S406" s="47">
        <f>=ROUND(BQ406-(BR406+BS406),3)</f>
      </c>
      <c r="T406" s="47">
        <f>=ROUND(CK406-(CL406+CM406+CN406+CO406+CP406),3)</f>
      </c>
      <c r="U406" s="47">
        <v>0</v>
      </c>
      <c r="V406" s="47">
        <v>0</v>
      </c>
      <c r="W406" s="47">
        <v>0</v>
      </c>
      <c r="X406" s="47">
        <v>0</v>
      </c>
      <c r="Y406" s="47">
        <v>0</v>
      </c>
      <c r="Z406" s="47">
        <v>0</v>
      </c>
      <c r="AA406" s="47">
        <v>0</v>
      </c>
      <c r="AB406" s="47">
        <v>0</v>
      </c>
      <c r="AC406" s="47">
        <v>0</v>
      </c>
      <c r="AD406" s="47">
        <v>0</v>
      </c>
      <c r="AE406" s="47">
        <v>0</v>
      </c>
      <c r="AF406" s="47">
        <v>0</v>
      </c>
      <c r="AG406" s="47">
        <v>0</v>
      </c>
      <c r="AH406" s="47">
        <v>0</v>
      </c>
      <c r="AI406" s="47">
        <v>0</v>
      </c>
      <c r="AJ406" s="47">
        <v>0.8</v>
      </c>
      <c r="AK406" s="47">
        <v>0</v>
      </c>
      <c r="AL406" s="47">
        <v>0</v>
      </c>
      <c r="AM406" s="47">
        <v>0</v>
      </c>
      <c r="AN406" s="47">
        <v>0</v>
      </c>
      <c r="AO406" s="47">
        <v>0</v>
      </c>
      <c r="AP406" s="47">
        <v>0</v>
      </c>
      <c r="AQ406" s="47">
        <v>0</v>
      </c>
      <c r="AR406" s="47">
        <v>0</v>
      </c>
      <c r="AS406" s="47">
        <v>0</v>
      </c>
      <c r="AT406" s="47">
        <v>0</v>
      </c>
      <c r="AU406" s="47">
        <v>0</v>
      </c>
      <c r="AV406" s="47">
        <v>0</v>
      </c>
      <c r="AW406" s="47">
        <v>0</v>
      </c>
      <c r="AX406" s="47">
        <v>0</v>
      </c>
      <c r="AY406" s="47">
        <v>0</v>
      </c>
      <c r="AZ406" s="47">
        <v>0</v>
      </c>
      <c r="BA406" s="47">
        <v>0</v>
      </c>
      <c r="BB406" s="47">
        <v>0</v>
      </c>
      <c r="BC406" s="47">
        <v>0</v>
      </c>
      <c r="BD406" s="47">
        <v>0</v>
      </c>
      <c r="BE406" s="47">
        <v>0</v>
      </c>
      <c r="BF406" s="47">
        <v>0</v>
      </c>
      <c r="BG406" s="47">
        <v>0</v>
      </c>
      <c r="BH406" s="47">
        <v>0</v>
      </c>
      <c r="BI406" s="47">
        <v>0</v>
      </c>
      <c r="BJ406" s="47">
        <v>0</v>
      </c>
      <c r="BK406" s="47">
        <v>0</v>
      </c>
      <c r="BL406" s="47">
        <v>0</v>
      </c>
      <c r="BM406" s="47">
        <v>0</v>
      </c>
      <c r="BN406" s="47">
        <v>0</v>
      </c>
      <c r="BO406" s="47">
        <v>0</v>
      </c>
      <c r="BP406" s="47">
        <v>0</v>
      </c>
      <c r="BQ406" s="47">
        <v>0</v>
      </c>
      <c r="BR406" s="47">
        <v>0</v>
      </c>
      <c r="BS406" s="47">
        <v>0</v>
      </c>
      <c r="BT406" s="47">
        <v>0</v>
      </c>
      <c r="BU406" s="47">
        <v>0</v>
      </c>
      <c r="BV406" s="47">
        <v>0</v>
      </c>
      <c r="BW406" s="47">
        <v>0</v>
      </c>
      <c r="BX406" s="47">
        <v>0</v>
      </c>
      <c r="BY406" s="47">
        <v>0</v>
      </c>
      <c r="BZ406" s="47">
        <v>0</v>
      </c>
      <c r="CA406" s="47">
        <v>0</v>
      </c>
      <c r="CB406" s="47">
        <v>0</v>
      </c>
      <c r="CC406" s="47">
        <v>0</v>
      </c>
      <c r="CD406" s="47">
        <v>0</v>
      </c>
      <c r="CE406" s="47">
        <v>0</v>
      </c>
      <c r="CF406" s="47">
        <v>0</v>
      </c>
      <c r="CG406" s="47">
        <v>0</v>
      </c>
      <c r="CH406" s="47">
        <v>0</v>
      </c>
      <c r="CI406" s="47">
        <v>0</v>
      </c>
      <c r="CJ406" s="47">
        <v>0</v>
      </c>
      <c r="CK406" s="47">
        <v>0</v>
      </c>
      <c r="CL406" s="47">
        <v>0</v>
      </c>
      <c r="CM406" s="47">
        <v>0</v>
      </c>
      <c r="CN406" s="47">
        <v>0</v>
      </c>
      <c r="CO406" s="47">
        <v>0</v>
      </c>
      <c r="CP406" s="47">
        <v>0</v>
      </c>
      <c r="CQ406" s="47">
        <v>0</v>
      </c>
      <c r="CR406" s="47">
        <v>0</v>
      </c>
      <c r="CS406" s="47">
        <v>0</v>
      </c>
      <c r="CT406" s="47">
        <v>0</v>
      </c>
      <c r="CU406" s="47">
        <v>0</v>
      </c>
      <c r="CV406" s="47">
        <v>0</v>
      </c>
      <c r="CW406" s="47">
        <v>0</v>
      </c>
      <c r="CX406" s="47">
        <v>0</v>
      </c>
      <c r="CY406" s="47">
        <v>0</v>
      </c>
      <c r="CZ406" s="47">
        <v>0</v>
      </c>
      <c r="DA406" s="47">
        <v>0</v>
      </c>
      <c r="DB406" s="47">
        <v>0</v>
      </c>
      <c r="DC406" s="47">
        <v>0</v>
      </c>
      <c r="DD406" s="47">
        <v>0</v>
      </c>
      <c r="DE406" s="47">
        <v>0</v>
      </c>
      <c r="DF406" s="47">
        <v>0</v>
      </c>
      <c r="DG406" s="47">
        <v>0</v>
      </c>
      <c r="DH406" s="47">
        <v>0</v>
      </c>
      <c r="DI406" s="47">
        <v>0</v>
      </c>
      <c r="DJ406" s="47">
        <v>0</v>
      </c>
      <c r="DK406" s="47">
        <v>0</v>
      </c>
      <c r="DL406" s="47">
        <v>0</v>
      </c>
      <c r="DM406" s="47">
        <v>0</v>
      </c>
      <c r="DN406" s="47">
        <v>0</v>
      </c>
      <c r="DO406" s="47">
        <v>0</v>
      </c>
      <c r="DP406" s="47">
        <v>0</v>
      </c>
      <c r="DQ406" s="47">
        <v>0</v>
      </c>
      <c r="DR406" s="47">
        <v>0</v>
      </c>
      <c r="DS406" s="47">
        <v>0</v>
      </c>
      <c r="DT406" s="47">
        <v>0</v>
      </c>
      <c r="DU406" s="47">
        <v>0</v>
      </c>
      <c r="DV406" s="47">
        <v>0</v>
      </c>
      <c r="DW406" s="47">
        <v>0</v>
      </c>
      <c r="DX406" s="47">
        <v>0</v>
      </c>
      <c r="DY406" s="47">
        <v>0</v>
      </c>
      <c r="DZ406" s="47">
        <v>0</v>
      </c>
      <c r="EA406" s="47">
        <v>0</v>
      </c>
      <c r="EB406" s="47"/>
      <c r="EC406" s="47">
        <v>0.8</v>
      </c>
      <c r="ZZ406" t="s">
        <v>2472</v>
      </c>
    </row>
    <row r="407" spans="1:702" x14ac:dyDescent="0.25">
      <c r="A407" s="47" t="s">
        <v>1953</v>
      </c>
      <c r="B407" s="47" t="s">
        <v>153</v>
      </c>
      <c r="C407" s="47" t="s">
        <v>157</v>
      </c>
      <c r="D407" s="47" t="s">
        <v>2891</v>
      </c>
      <c r="E407" s="47" t="s">
        <v>1954</v>
      </c>
      <c r="F407" s="47" t="s">
        <v>1955</v>
      </c>
      <c r="G407" s="47" t="s">
        <v>1956</v>
      </c>
      <c r="H407" s="47" t="s">
        <v>698</v>
      </c>
      <c r="I407" s="47" t="s">
        <v>705</v>
      </c>
      <c r="J407" s="47" t="str">
        <f>=IFERROR(VLOOKUP(H407&amp;I407,Table_Fonctions!A:G,6,FALSE),"")</f>
        <v>0</v>
      </c>
      <c r="K407" s="47" t="s">
        <v>2607</v>
      </c>
      <c r="L407" s="47" t="str">
        <f>=IFERROR(VLOOKUP(H407&amp;I407,Table_Fonctions!A:G,7,FALSE),K407)</f>
        <v/>
      </c>
      <c r="M407" s="47" t="str">
        <f>=IF(OR(LEFT(D407, 3)="TJ ", LEFT(D407, 4)="CPH "), "OUI", "NON")</f>
        <v/>
      </c>
      <c r="N407" s="47" t="s">
        <v>871</v>
      </c>
      <c r="O407" s="47"/>
      <c r="P407" s="47">
        <v>1</v>
      </c>
      <c r="Q407" s="47">
        <v>0</v>
      </c>
      <c r="R407" s="47">
        <v>1</v>
      </c>
      <c r="S407" s="47">
        <f>=ROUND(BQ407-(BR407+BS407),3)</f>
      </c>
      <c r="T407" s="47">
        <f>=ROUND(CK407-(CL407+CM407+CN407+CO407+CP407),3)</f>
      </c>
      <c r="U407" s="47">
        <v>0</v>
      </c>
      <c r="V407" s="47">
        <v>0</v>
      </c>
      <c r="W407" s="47">
        <v>0</v>
      </c>
      <c r="X407" s="47">
        <v>0</v>
      </c>
      <c r="Y407" s="47">
        <v>0</v>
      </c>
      <c r="Z407" s="47">
        <v>0</v>
      </c>
      <c r="AA407" s="47">
        <v>0</v>
      </c>
      <c r="AB407" s="47">
        <v>0</v>
      </c>
      <c r="AC407" s="47">
        <v>0</v>
      </c>
      <c r="AD407" s="47">
        <v>0</v>
      </c>
      <c r="AE407" s="47">
        <v>0</v>
      </c>
      <c r="AF407" s="47">
        <v>0</v>
      </c>
      <c r="AG407" s="47">
        <v>0</v>
      </c>
      <c r="AH407" s="47">
        <v>0</v>
      </c>
      <c r="AI407" s="47">
        <v>0</v>
      </c>
      <c r="AJ407" s="47">
        <v>0</v>
      </c>
      <c r="AK407" s="47">
        <v>0</v>
      </c>
      <c r="AL407" s="47">
        <v>0</v>
      </c>
      <c r="AM407" s="47">
        <v>0</v>
      </c>
      <c r="AN407" s="47">
        <v>0</v>
      </c>
      <c r="AO407" s="47">
        <v>0</v>
      </c>
      <c r="AP407" s="47">
        <v>0</v>
      </c>
      <c r="AQ407" s="47">
        <v>0</v>
      </c>
      <c r="AR407" s="47">
        <v>0</v>
      </c>
      <c r="AS407" s="47">
        <v>0</v>
      </c>
      <c r="AT407" s="47">
        <v>0</v>
      </c>
      <c r="AU407" s="47">
        <v>0</v>
      </c>
      <c r="AV407" s="47">
        <v>0</v>
      </c>
      <c r="AW407" s="47">
        <v>0</v>
      </c>
      <c r="AX407" s="47">
        <v>0</v>
      </c>
      <c r="AY407" s="47">
        <v>0</v>
      </c>
      <c r="AZ407" s="47">
        <v>0</v>
      </c>
      <c r="BA407" s="47">
        <v>0</v>
      </c>
      <c r="BB407" s="47">
        <v>0</v>
      </c>
      <c r="BC407" s="47">
        <v>0</v>
      </c>
      <c r="BD407" s="47">
        <v>0</v>
      </c>
      <c r="BE407" s="47">
        <v>0</v>
      </c>
      <c r="BF407" s="47">
        <v>0</v>
      </c>
      <c r="BG407" s="47">
        <v>0</v>
      </c>
      <c r="BH407" s="47">
        <v>0</v>
      </c>
      <c r="BI407" s="47">
        <v>0</v>
      </c>
      <c r="BJ407" s="47">
        <v>0</v>
      </c>
      <c r="BK407" s="47">
        <v>0</v>
      </c>
      <c r="BL407" s="47">
        <v>0</v>
      </c>
      <c r="BM407" s="47">
        <v>0</v>
      </c>
      <c r="BN407" s="47">
        <v>0</v>
      </c>
      <c r="BO407" s="47">
        <v>0</v>
      </c>
      <c r="BP407" s="47">
        <v>0</v>
      </c>
      <c r="BQ407" s="47">
        <v>0</v>
      </c>
      <c r="BR407" s="47">
        <v>0</v>
      </c>
      <c r="BS407" s="47">
        <v>0</v>
      </c>
      <c r="BT407" s="47">
        <v>0</v>
      </c>
      <c r="BU407" s="47">
        <v>0</v>
      </c>
      <c r="BV407" s="47">
        <v>0</v>
      </c>
      <c r="BW407" s="47">
        <v>0</v>
      </c>
      <c r="BX407" s="47">
        <v>0</v>
      </c>
      <c r="BY407" s="47">
        <v>0</v>
      </c>
      <c r="BZ407" s="47">
        <v>0</v>
      </c>
      <c r="CA407" s="47">
        <v>0</v>
      </c>
      <c r="CB407" s="47">
        <v>0</v>
      </c>
      <c r="CC407" s="47">
        <v>0</v>
      </c>
      <c r="CD407" s="47">
        <v>0</v>
      </c>
      <c r="CE407" s="47">
        <v>0</v>
      </c>
      <c r="CF407" s="47">
        <v>0</v>
      </c>
      <c r="CG407" s="47">
        <v>0</v>
      </c>
      <c r="CH407" s="47">
        <v>0</v>
      </c>
      <c r="CI407" s="47">
        <v>0</v>
      </c>
      <c r="CJ407" s="47">
        <v>0</v>
      </c>
      <c r="CK407" s="47">
        <v>0</v>
      </c>
      <c r="CL407" s="47">
        <v>0</v>
      </c>
      <c r="CM407" s="47">
        <v>0</v>
      </c>
      <c r="CN407" s="47">
        <v>0</v>
      </c>
      <c r="CO407" s="47">
        <v>0</v>
      </c>
      <c r="CP407" s="47">
        <v>0</v>
      </c>
      <c r="CQ407" s="47">
        <v>0</v>
      </c>
      <c r="CR407" s="47">
        <v>0</v>
      </c>
      <c r="CS407" s="47">
        <v>0</v>
      </c>
      <c r="CT407" s="47">
        <v>0</v>
      </c>
      <c r="CU407" s="47">
        <v>0</v>
      </c>
      <c r="CV407" s="47">
        <v>0</v>
      </c>
      <c r="CW407" s="47">
        <v>0</v>
      </c>
      <c r="CX407" s="47">
        <v>0</v>
      </c>
      <c r="CY407" s="47">
        <v>0</v>
      </c>
      <c r="CZ407" s="47">
        <v>0</v>
      </c>
      <c r="DA407" s="47">
        <v>0</v>
      </c>
      <c r="DB407" s="47">
        <v>0</v>
      </c>
      <c r="DC407" s="47">
        <v>0</v>
      </c>
      <c r="DD407" s="47">
        <v>0</v>
      </c>
      <c r="DE407" s="47">
        <v>0</v>
      </c>
      <c r="DF407" s="47">
        <v>0</v>
      </c>
      <c r="DG407" s="47">
        <v>0</v>
      </c>
      <c r="DH407" s="47">
        <v>0</v>
      </c>
      <c r="DI407" s="47">
        <v>0</v>
      </c>
      <c r="DJ407" s="47">
        <v>0</v>
      </c>
      <c r="DK407" s="47">
        <v>0</v>
      </c>
      <c r="DL407" s="47">
        <v>0</v>
      </c>
      <c r="DM407" s="47">
        <v>0</v>
      </c>
      <c r="DN407" s="47">
        <v>0</v>
      </c>
      <c r="DO407" s="47">
        <v>0</v>
      </c>
      <c r="DP407" s="47">
        <v>0</v>
      </c>
      <c r="DQ407" s="47">
        <v>0</v>
      </c>
      <c r="DR407" s="47">
        <v>0</v>
      </c>
      <c r="DS407" s="47">
        <v>0</v>
      </c>
      <c r="DT407" s="47">
        <v>0</v>
      </c>
      <c r="DU407" s="47">
        <v>0</v>
      </c>
      <c r="DV407" s="47">
        <v>0</v>
      </c>
      <c r="DW407" s="47">
        <v>0</v>
      </c>
      <c r="DX407" s="47">
        <v>0</v>
      </c>
      <c r="DY407" s="47">
        <v>0</v>
      </c>
      <c r="DZ407" s="47">
        <v>0</v>
      </c>
      <c r="EA407" s="47">
        <v>0</v>
      </c>
      <c r="EB407" s="47"/>
      <c r="EC407" s="47">
        <v>1</v>
      </c>
      <c r="ZZ407" t="s">
        <v>2472</v>
      </c>
    </row>
    <row r="408" spans="1:702" x14ac:dyDescent="0.25">
      <c r="A408" s="47" t="s">
        <v>1957</v>
      </c>
      <c r="B408" s="47" t="s">
        <v>153</v>
      </c>
      <c r="C408" s="47" t="s">
        <v>157</v>
      </c>
      <c r="D408" s="47" t="s">
        <v>2892</v>
      </c>
      <c r="E408" s="47" t="s">
        <v>1958</v>
      </c>
      <c r="F408" s="47" t="s">
        <v>1959</v>
      </c>
      <c r="G408" s="47" t="s">
        <v>1960</v>
      </c>
      <c r="H408" s="47" t="s">
        <v>698</v>
      </c>
      <c r="I408" s="47" t="s">
        <v>727</v>
      </c>
      <c r="J408" s="47" t="str">
        <f>=IFERROR(VLOOKUP(H408&amp;I408,Table_Fonctions!A:G,6,FALSE),"")</f>
        <v>0</v>
      </c>
      <c r="K408" s="47" t="s">
        <v>2607</v>
      </c>
      <c r="L408" s="47" t="str">
        <f>=IFERROR(VLOOKUP(H408&amp;I408,Table_Fonctions!A:G,7,FALSE),K408)</f>
        <v/>
      </c>
      <c r="M408" s="47" t="str">
        <f>=IF(OR(LEFT(D408, 3)="TJ ", LEFT(D408, 4)="CPH "), "OUI", "NON")</f>
        <v/>
      </c>
      <c r="N408" s="47" t="s">
        <v>806</v>
      </c>
      <c r="O408" s="47"/>
      <c r="P408" s="47">
        <v>1</v>
      </c>
      <c r="Q408" s="47">
        <v>0</v>
      </c>
      <c r="R408" s="47">
        <v>1</v>
      </c>
      <c r="S408" s="47">
        <f>=ROUND(BQ408-(BR408+BS408),3)</f>
      </c>
      <c r="T408" s="47">
        <f>=ROUND(CK408-(CL408+CM408+CN408+CO408+CP408),3)</f>
      </c>
      <c r="U408" s="47">
        <v>0</v>
      </c>
      <c r="V408" s="47">
        <v>0</v>
      </c>
      <c r="W408" s="47">
        <v>0</v>
      </c>
      <c r="X408" s="47">
        <v>0</v>
      </c>
      <c r="Y408" s="47">
        <v>0</v>
      </c>
      <c r="Z408" s="47">
        <v>0</v>
      </c>
      <c r="AA408" s="47">
        <v>0</v>
      </c>
      <c r="AB408" s="47">
        <v>0</v>
      </c>
      <c r="AC408" s="47">
        <v>0</v>
      </c>
      <c r="AD408" s="47">
        <v>0</v>
      </c>
      <c r="AE408" s="47">
        <v>0</v>
      </c>
      <c r="AF408" s="47">
        <v>0</v>
      </c>
      <c r="AG408" s="47">
        <v>0</v>
      </c>
      <c r="AH408" s="47">
        <v>0</v>
      </c>
      <c r="AI408" s="47">
        <v>0</v>
      </c>
      <c r="AJ408" s="47">
        <v>0</v>
      </c>
      <c r="AK408" s="47">
        <v>0</v>
      </c>
      <c r="AL408" s="47">
        <v>0</v>
      </c>
      <c r="AM408" s="47">
        <v>0</v>
      </c>
      <c r="AN408" s="47">
        <v>0</v>
      </c>
      <c r="AO408" s="47">
        <v>0</v>
      </c>
      <c r="AP408" s="47">
        <v>0</v>
      </c>
      <c r="AQ408" s="47">
        <v>0</v>
      </c>
      <c r="AR408" s="47">
        <v>0</v>
      </c>
      <c r="AS408" s="47">
        <v>0</v>
      </c>
      <c r="AT408" s="47">
        <v>0</v>
      </c>
      <c r="AU408" s="47">
        <v>0</v>
      </c>
      <c r="AV408" s="47">
        <v>0</v>
      </c>
      <c r="AW408" s="47">
        <v>0</v>
      </c>
      <c r="AX408" s="47">
        <v>0</v>
      </c>
      <c r="AY408" s="47">
        <v>0</v>
      </c>
      <c r="AZ408" s="47">
        <v>0</v>
      </c>
      <c r="BA408" s="47">
        <v>0</v>
      </c>
      <c r="BB408" s="47">
        <v>0</v>
      </c>
      <c r="BC408" s="47">
        <v>0</v>
      </c>
      <c r="BD408" s="47">
        <v>0</v>
      </c>
      <c r="BE408" s="47">
        <v>0</v>
      </c>
      <c r="BF408" s="47">
        <v>0</v>
      </c>
      <c r="BG408" s="47">
        <v>0</v>
      </c>
      <c r="BH408" s="47">
        <v>0</v>
      </c>
      <c r="BI408" s="47">
        <v>0</v>
      </c>
      <c r="BJ408" s="47">
        <v>0</v>
      </c>
      <c r="BK408" s="47">
        <v>0</v>
      </c>
      <c r="BL408" s="47">
        <v>0</v>
      </c>
      <c r="BM408" s="47">
        <v>0</v>
      </c>
      <c r="BN408" s="47">
        <v>0</v>
      </c>
      <c r="BO408" s="47">
        <v>0</v>
      </c>
      <c r="BP408" s="47">
        <v>0</v>
      </c>
      <c r="BQ408" s="47">
        <v>0</v>
      </c>
      <c r="BR408" s="47">
        <v>0</v>
      </c>
      <c r="BS408" s="47">
        <v>0</v>
      </c>
      <c r="BT408" s="47">
        <v>0</v>
      </c>
      <c r="BU408" s="47">
        <v>0</v>
      </c>
      <c r="BV408" s="47">
        <v>0</v>
      </c>
      <c r="BW408" s="47">
        <v>0</v>
      </c>
      <c r="BX408" s="47">
        <v>0</v>
      </c>
      <c r="BY408" s="47">
        <v>0</v>
      </c>
      <c r="BZ408" s="47">
        <v>0</v>
      </c>
      <c r="CA408" s="47">
        <v>0</v>
      </c>
      <c r="CB408" s="47">
        <v>0</v>
      </c>
      <c r="CC408" s="47">
        <v>0</v>
      </c>
      <c r="CD408" s="47">
        <v>0</v>
      </c>
      <c r="CE408" s="47">
        <v>0</v>
      </c>
      <c r="CF408" s="47">
        <v>0</v>
      </c>
      <c r="CG408" s="47">
        <v>0</v>
      </c>
      <c r="CH408" s="47">
        <v>0</v>
      </c>
      <c r="CI408" s="47">
        <v>0</v>
      </c>
      <c r="CJ408" s="47">
        <v>0</v>
      </c>
      <c r="CK408" s="47">
        <v>0</v>
      </c>
      <c r="CL408" s="47">
        <v>0</v>
      </c>
      <c r="CM408" s="47">
        <v>0</v>
      </c>
      <c r="CN408" s="47">
        <v>0</v>
      </c>
      <c r="CO408" s="47">
        <v>0</v>
      </c>
      <c r="CP408" s="47">
        <v>0</v>
      </c>
      <c r="CQ408" s="47">
        <v>0</v>
      </c>
      <c r="CR408" s="47">
        <v>0</v>
      </c>
      <c r="CS408" s="47">
        <v>0</v>
      </c>
      <c r="CT408" s="47">
        <v>0</v>
      </c>
      <c r="CU408" s="47">
        <v>0</v>
      </c>
      <c r="CV408" s="47">
        <v>0</v>
      </c>
      <c r="CW408" s="47">
        <v>0</v>
      </c>
      <c r="CX408" s="47">
        <v>0</v>
      </c>
      <c r="CY408" s="47">
        <v>0</v>
      </c>
      <c r="CZ408" s="47">
        <v>0</v>
      </c>
      <c r="DA408" s="47">
        <v>0</v>
      </c>
      <c r="DB408" s="47">
        <v>0</v>
      </c>
      <c r="DC408" s="47">
        <v>0</v>
      </c>
      <c r="DD408" s="47">
        <v>0</v>
      </c>
      <c r="DE408" s="47">
        <v>0</v>
      </c>
      <c r="DF408" s="47">
        <v>0</v>
      </c>
      <c r="DG408" s="47">
        <v>0</v>
      </c>
      <c r="DH408" s="47">
        <v>0</v>
      </c>
      <c r="DI408" s="47">
        <v>0</v>
      </c>
      <c r="DJ408" s="47">
        <v>0</v>
      </c>
      <c r="DK408" s="47">
        <v>0</v>
      </c>
      <c r="DL408" s="47">
        <v>0</v>
      </c>
      <c r="DM408" s="47">
        <v>0</v>
      </c>
      <c r="DN408" s="47">
        <v>0</v>
      </c>
      <c r="DO408" s="47">
        <v>0</v>
      </c>
      <c r="DP408" s="47">
        <v>0</v>
      </c>
      <c r="DQ408" s="47">
        <v>0</v>
      </c>
      <c r="DR408" s="47">
        <v>0</v>
      </c>
      <c r="DS408" s="47">
        <v>0</v>
      </c>
      <c r="DT408" s="47">
        <v>0</v>
      </c>
      <c r="DU408" s="47">
        <v>0</v>
      </c>
      <c r="DV408" s="47">
        <v>0</v>
      </c>
      <c r="DW408" s="47">
        <v>0</v>
      </c>
      <c r="DX408" s="47">
        <v>0</v>
      </c>
      <c r="DY408" s="47">
        <v>0</v>
      </c>
      <c r="DZ408" s="47">
        <v>0</v>
      </c>
      <c r="EA408" s="47">
        <v>0</v>
      </c>
      <c r="EB408" s="47"/>
      <c r="EC408" s="47">
        <v>1</v>
      </c>
      <c r="ZZ408" t="s">
        <v>2472</v>
      </c>
    </row>
    <row r="409" spans="1:702" x14ac:dyDescent="0.25">
      <c r="A409" s="47" t="s">
        <v>1961</v>
      </c>
      <c r="B409" s="47" t="s">
        <v>153</v>
      </c>
      <c r="C409" s="47" t="s">
        <v>157</v>
      </c>
      <c r="D409" s="47" t="s">
        <v>2893</v>
      </c>
      <c r="E409" s="47" t="s">
        <v>1962</v>
      </c>
      <c r="F409" s="47" t="s">
        <v>1963</v>
      </c>
      <c r="G409" s="47" t="s">
        <v>1964</v>
      </c>
      <c r="H409" s="47" t="s">
        <v>698</v>
      </c>
      <c r="I409" s="47" t="s">
        <v>1965</v>
      </c>
      <c r="J409" s="47" t="str">
        <f>=IFERROR(VLOOKUP(H409&amp;I409,Table_Fonctions!A:G,6,FALSE),"")</f>
        <v>0</v>
      </c>
      <c r="K409" s="47" t="s">
        <v>2605</v>
      </c>
      <c r="L409" s="47" t="str">
        <f>=IFERROR(VLOOKUP(H409&amp;I409,Table_Fonctions!A:G,7,FALSE),K409)</f>
        <v/>
      </c>
      <c r="M409" s="47" t="str">
        <f>=IF(OR(LEFT(D409, 3)="TJ ", LEFT(D409, 4)="CPH "), "OUI", "NON")</f>
        <v/>
      </c>
      <c r="N409" s="47" t="s">
        <v>712</v>
      </c>
      <c r="O409" s="47"/>
      <c r="P409" s="47">
        <v>0.8</v>
      </c>
      <c r="Q409" s="47">
        <v>0.8</v>
      </c>
      <c r="R409" s="47">
        <v>0</v>
      </c>
      <c r="S409" s="47">
        <f>=ROUND(BQ409-(BR409+BS409),3)</f>
      </c>
      <c r="T409" s="47">
        <f>=ROUND(CK409-(CL409+CM409+CN409+CO409+CP409),3)</f>
      </c>
      <c r="U409" s="47">
        <v>0</v>
      </c>
      <c r="V409" s="47">
        <v>0</v>
      </c>
      <c r="W409" s="47">
        <v>0</v>
      </c>
      <c r="X409" s="47">
        <v>0</v>
      </c>
      <c r="Y409" s="47">
        <v>0</v>
      </c>
      <c r="Z409" s="47">
        <v>0</v>
      </c>
      <c r="AA409" s="47">
        <v>0</v>
      </c>
      <c r="AB409" s="47">
        <v>0</v>
      </c>
      <c r="AC409" s="47">
        <v>0</v>
      </c>
      <c r="AD409" s="47">
        <v>0</v>
      </c>
      <c r="AE409" s="47">
        <v>0</v>
      </c>
      <c r="AF409" s="47">
        <v>0</v>
      </c>
      <c r="AG409" s="47">
        <v>0</v>
      </c>
      <c r="AH409" s="47">
        <v>0</v>
      </c>
      <c r="AI409" s="47">
        <v>0</v>
      </c>
      <c r="AJ409" s="47">
        <v>0</v>
      </c>
      <c r="AK409" s="47">
        <v>0</v>
      </c>
      <c r="AL409" s="47">
        <v>0</v>
      </c>
      <c r="AM409" s="47">
        <v>0</v>
      </c>
      <c r="AN409" s="47">
        <v>0</v>
      </c>
      <c r="AO409" s="47">
        <v>0</v>
      </c>
      <c r="AP409" s="47">
        <v>0</v>
      </c>
      <c r="AQ409" s="47">
        <v>0</v>
      </c>
      <c r="AR409" s="47">
        <v>0</v>
      </c>
      <c r="AS409" s="47">
        <v>0</v>
      </c>
      <c r="AT409" s="47">
        <v>0</v>
      </c>
      <c r="AU409" s="47">
        <v>0</v>
      </c>
      <c r="AV409" s="47">
        <v>0</v>
      </c>
      <c r="AW409" s="47">
        <v>0</v>
      </c>
      <c r="AX409" s="47">
        <v>0</v>
      </c>
      <c r="AY409" s="47">
        <v>0</v>
      </c>
      <c r="AZ409" s="47">
        <v>0</v>
      </c>
      <c r="BA409" s="47">
        <v>0</v>
      </c>
      <c r="BB409" s="47">
        <v>0</v>
      </c>
      <c r="BC409" s="47">
        <v>0</v>
      </c>
      <c r="BD409" s="47">
        <v>0</v>
      </c>
      <c r="BE409" s="47">
        <v>0</v>
      </c>
      <c r="BF409" s="47">
        <v>0</v>
      </c>
      <c r="BG409" s="47">
        <v>0</v>
      </c>
      <c r="BH409" s="47">
        <v>0</v>
      </c>
      <c r="BI409" s="47">
        <v>0</v>
      </c>
      <c r="BJ409" s="47">
        <v>0</v>
      </c>
      <c r="BK409" s="47">
        <v>0</v>
      </c>
      <c r="BL409" s="47">
        <v>0</v>
      </c>
      <c r="BM409" s="47">
        <v>0</v>
      </c>
      <c r="BN409" s="47">
        <v>0</v>
      </c>
      <c r="BO409" s="47">
        <v>0</v>
      </c>
      <c r="BP409" s="47">
        <v>0</v>
      </c>
      <c r="BQ409" s="47">
        <v>0</v>
      </c>
      <c r="BR409" s="47">
        <v>0</v>
      </c>
      <c r="BS409" s="47">
        <v>0</v>
      </c>
      <c r="BT409" s="47">
        <v>0</v>
      </c>
      <c r="BU409" s="47">
        <v>0</v>
      </c>
      <c r="BV409" s="47">
        <v>0</v>
      </c>
      <c r="BW409" s="47">
        <v>0</v>
      </c>
      <c r="BX409" s="47">
        <v>0</v>
      </c>
      <c r="BY409" s="47">
        <v>0</v>
      </c>
      <c r="BZ409" s="47">
        <v>0</v>
      </c>
      <c r="CA409" s="47">
        <v>0</v>
      </c>
      <c r="CB409" s="47">
        <v>0</v>
      </c>
      <c r="CC409" s="47">
        <v>0</v>
      </c>
      <c r="CD409" s="47">
        <v>0</v>
      </c>
      <c r="CE409" s="47">
        <v>0</v>
      </c>
      <c r="CF409" s="47">
        <v>0</v>
      </c>
      <c r="CG409" s="47">
        <v>0</v>
      </c>
      <c r="CH409" s="47">
        <v>0</v>
      </c>
      <c r="CI409" s="47">
        <v>0</v>
      </c>
      <c r="CJ409" s="47">
        <v>0</v>
      </c>
      <c r="CK409" s="47">
        <v>0</v>
      </c>
      <c r="CL409" s="47">
        <v>0</v>
      </c>
      <c r="CM409" s="47">
        <v>0</v>
      </c>
      <c r="CN409" s="47">
        <v>0</v>
      </c>
      <c r="CO409" s="47">
        <v>0</v>
      </c>
      <c r="CP409" s="47">
        <v>0</v>
      </c>
      <c r="CQ409" s="47">
        <v>0</v>
      </c>
      <c r="CR409" s="47">
        <v>0</v>
      </c>
      <c r="CS409" s="47">
        <v>0</v>
      </c>
      <c r="CT409" s="47">
        <v>0</v>
      </c>
      <c r="CU409" s="47">
        <v>0</v>
      </c>
      <c r="CV409" s="47">
        <v>0.8</v>
      </c>
      <c r="CW409" s="47">
        <v>0.8</v>
      </c>
      <c r="CX409" s="47">
        <v>0</v>
      </c>
      <c r="CY409" s="47">
        <v>0</v>
      </c>
      <c r="CZ409" s="47">
        <v>0</v>
      </c>
      <c r="DA409" s="47">
        <v>0</v>
      </c>
      <c r="DB409" s="47">
        <v>0</v>
      </c>
      <c r="DC409" s="47">
        <v>0</v>
      </c>
      <c r="DD409" s="47">
        <v>0</v>
      </c>
      <c r="DE409" s="47">
        <v>0</v>
      </c>
      <c r="DF409" s="47">
        <v>0</v>
      </c>
      <c r="DG409" s="47">
        <v>0</v>
      </c>
      <c r="DH409" s="47">
        <v>0</v>
      </c>
      <c r="DI409" s="47">
        <v>0</v>
      </c>
      <c r="DJ409" s="47">
        <v>0</v>
      </c>
      <c r="DK409" s="47">
        <v>0</v>
      </c>
      <c r="DL409" s="47">
        <v>0</v>
      </c>
      <c r="DM409" s="47">
        <v>0</v>
      </c>
      <c r="DN409" s="47">
        <v>0</v>
      </c>
      <c r="DO409" s="47">
        <v>0</v>
      </c>
      <c r="DP409" s="47">
        <v>0</v>
      </c>
      <c r="DQ409" s="47">
        <v>0</v>
      </c>
      <c r="DR409" s="47">
        <v>0</v>
      </c>
      <c r="DS409" s="47">
        <v>0</v>
      </c>
      <c r="DT409" s="47">
        <v>0</v>
      </c>
      <c r="DU409" s="47">
        <v>0</v>
      </c>
      <c r="DV409" s="47">
        <v>0</v>
      </c>
      <c r="DW409" s="47">
        <v>0</v>
      </c>
      <c r="DX409" s="47">
        <v>0</v>
      </c>
      <c r="DY409" s="47">
        <v>0</v>
      </c>
      <c r="DZ409" s="47">
        <v>0</v>
      </c>
      <c r="EA409" s="47">
        <v>0</v>
      </c>
      <c r="EB409" s="47"/>
      <c r="EC409" s="47">
        <v>0.8</v>
      </c>
      <c r="ZZ409" t="s">
        <v>2472</v>
      </c>
    </row>
    <row r="410" spans="1:702" x14ac:dyDescent="0.25">
      <c r="A410" s="47" t="s">
        <v>1966</v>
      </c>
      <c r="B410" s="47" t="s">
        <v>153</v>
      </c>
      <c r="C410" s="47" t="s">
        <v>157</v>
      </c>
      <c r="D410" s="47" t="s">
        <v>2894</v>
      </c>
      <c r="E410" s="47" t="s">
        <v>1967</v>
      </c>
      <c r="F410" s="47" t="s">
        <v>1968</v>
      </c>
      <c r="G410" s="47" t="s">
        <v>1969</v>
      </c>
      <c r="H410" s="47" t="s">
        <v>698</v>
      </c>
      <c r="I410" s="47" t="s">
        <v>727</v>
      </c>
      <c r="J410" s="47" t="str">
        <f>=IFERROR(VLOOKUP(H410&amp;I410,Table_Fonctions!A:G,6,FALSE),"")</f>
        <v>0</v>
      </c>
      <c r="K410" s="47" t="s">
        <v>2607</v>
      </c>
      <c r="L410" s="47" t="str">
        <f>=IFERROR(VLOOKUP(H410&amp;I410,Table_Fonctions!A:G,7,FALSE),K410)</f>
        <v/>
      </c>
      <c r="M410" s="47" t="str">
        <f>=IF(OR(LEFT(D410, 3)="TJ ", LEFT(D410, 4)="CPH "), "OUI", "NON")</f>
        <v/>
      </c>
      <c r="N410" s="47" t="s">
        <v>1390</v>
      </c>
      <c r="O410" s="47"/>
      <c r="P410" s="47">
        <v>1</v>
      </c>
      <c r="Q410" s="47">
        <v>1</v>
      </c>
      <c r="R410" s="47">
        <v>0</v>
      </c>
      <c r="S410" s="47">
        <f>=ROUND(BQ410-(BR410+BS410),3)</f>
      </c>
      <c r="T410" s="47">
        <f>=ROUND(CK410-(CL410+CM410+CN410+CO410+CP410),3)</f>
      </c>
      <c r="U410" s="47">
        <v>0</v>
      </c>
      <c r="V410" s="47">
        <v>0</v>
      </c>
      <c r="W410" s="47">
        <v>0</v>
      </c>
      <c r="X410" s="47">
        <v>0</v>
      </c>
      <c r="Y410" s="47">
        <v>0</v>
      </c>
      <c r="Z410" s="47">
        <v>0</v>
      </c>
      <c r="AA410" s="47">
        <v>0</v>
      </c>
      <c r="AB410" s="47">
        <v>0</v>
      </c>
      <c r="AC410" s="47">
        <v>0</v>
      </c>
      <c r="AD410" s="47">
        <v>0</v>
      </c>
      <c r="AE410" s="47">
        <v>0</v>
      </c>
      <c r="AF410" s="47">
        <v>0</v>
      </c>
      <c r="AG410" s="47">
        <v>0</v>
      </c>
      <c r="AH410" s="47">
        <v>0</v>
      </c>
      <c r="AI410" s="47">
        <v>0</v>
      </c>
      <c r="AJ410" s="47">
        <v>0</v>
      </c>
      <c r="AK410" s="47">
        <v>0</v>
      </c>
      <c r="AL410" s="47">
        <v>0</v>
      </c>
      <c r="AM410" s="47">
        <v>0</v>
      </c>
      <c r="AN410" s="47">
        <v>0</v>
      </c>
      <c r="AO410" s="47">
        <v>0</v>
      </c>
      <c r="AP410" s="47">
        <v>0</v>
      </c>
      <c r="AQ410" s="47">
        <v>0</v>
      </c>
      <c r="AR410" s="47">
        <v>0</v>
      </c>
      <c r="AS410" s="47">
        <v>0</v>
      </c>
      <c r="AT410" s="47">
        <v>0</v>
      </c>
      <c r="AU410" s="47">
        <v>0</v>
      </c>
      <c r="AV410" s="47">
        <v>0</v>
      </c>
      <c r="AW410" s="47">
        <v>0</v>
      </c>
      <c r="AX410" s="47">
        <v>0</v>
      </c>
      <c r="AY410" s="47">
        <v>0</v>
      </c>
      <c r="AZ410" s="47">
        <v>0</v>
      </c>
      <c r="BA410" s="47">
        <v>0</v>
      </c>
      <c r="BB410" s="47">
        <v>0</v>
      </c>
      <c r="BC410" s="47">
        <v>0</v>
      </c>
      <c r="BD410" s="47">
        <v>0</v>
      </c>
      <c r="BE410" s="47">
        <v>0</v>
      </c>
      <c r="BF410" s="47">
        <v>0</v>
      </c>
      <c r="BG410" s="47">
        <v>0</v>
      </c>
      <c r="BH410" s="47">
        <v>0</v>
      </c>
      <c r="BI410" s="47">
        <v>0</v>
      </c>
      <c r="BJ410" s="47">
        <v>0</v>
      </c>
      <c r="BK410" s="47">
        <v>0</v>
      </c>
      <c r="BL410" s="47">
        <v>0</v>
      </c>
      <c r="BM410" s="47">
        <v>0</v>
      </c>
      <c r="BN410" s="47">
        <v>0</v>
      </c>
      <c r="BO410" s="47">
        <v>0</v>
      </c>
      <c r="BP410" s="47">
        <v>0</v>
      </c>
      <c r="BQ410" s="47">
        <v>1</v>
      </c>
      <c r="BR410" s="47">
        <v>0</v>
      </c>
      <c r="BS410" s="47">
        <v>0</v>
      </c>
      <c r="BT410" s="47">
        <v>0</v>
      </c>
      <c r="BU410" s="47">
        <v>0</v>
      </c>
      <c r="BV410" s="47">
        <v>0</v>
      </c>
      <c r="BW410" s="47">
        <v>0</v>
      </c>
      <c r="BX410" s="47">
        <v>0</v>
      </c>
      <c r="BY410" s="47">
        <v>0</v>
      </c>
      <c r="BZ410" s="47">
        <v>0</v>
      </c>
      <c r="CA410" s="47">
        <v>0</v>
      </c>
      <c r="CB410" s="47">
        <v>0</v>
      </c>
      <c r="CC410" s="47">
        <v>0</v>
      </c>
      <c r="CD410" s="47">
        <v>0</v>
      </c>
      <c r="CE410" s="47">
        <v>0</v>
      </c>
      <c r="CF410" s="47">
        <v>0</v>
      </c>
      <c r="CG410" s="47">
        <v>0</v>
      </c>
      <c r="CH410" s="47">
        <v>0</v>
      </c>
      <c r="CI410" s="47">
        <v>0</v>
      </c>
      <c r="CJ410" s="47">
        <v>0</v>
      </c>
      <c r="CK410" s="47">
        <v>0</v>
      </c>
      <c r="CL410" s="47">
        <v>0</v>
      </c>
      <c r="CM410" s="47">
        <v>0</v>
      </c>
      <c r="CN410" s="47">
        <v>0</v>
      </c>
      <c r="CO410" s="47">
        <v>0</v>
      </c>
      <c r="CP410" s="47">
        <v>0</v>
      </c>
      <c r="CQ410" s="47">
        <v>0</v>
      </c>
      <c r="CR410" s="47">
        <v>0</v>
      </c>
      <c r="CS410" s="47">
        <v>0</v>
      </c>
      <c r="CT410" s="47">
        <v>0</v>
      </c>
      <c r="CU410" s="47">
        <v>0</v>
      </c>
      <c r="CV410" s="47">
        <v>0</v>
      </c>
      <c r="CW410" s="47">
        <v>0</v>
      </c>
      <c r="CX410" s="47">
        <v>0</v>
      </c>
      <c r="CY410" s="47">
        <v>0</v>
      </c>
      <c r="CZ410" s="47">
        <v>0</v>
      </c>
      <c r="DA410" s="47">
        <v>0</v>
      </c>
      <c r="DB410" s="47">
        <v>0</v>
      </c>
      <c r="DC410" s="47">
        <v>0</v>
      </c>
      <c r="DD410" s="47">
        <v>0</v>
      </c>
      <c r="DE410" s="47">
        <v>0</v>
      </c>
      <c r="DF410" s="47">
        <v>0</v>
      </c>
      <c r="DG410" s="47">
        <v>0</v>
      </c>
      <c r="DH410" s="47">
        <v>0</v>
      </c>
      <c r="DI410" s="47">
        <v>0</v>
      </c>
      <c r="DJ410" s="47">
        <v>0</v>
      </c>
      <c r="DK410" s="47">
        <v>0</v>
      </c>
      <c r="DL410" s="47">
        <v>0</v>
      </c>
      <c r="DM410" s="47">
        <v>0</v>
      </c>
      <c r="DN410" s="47">
        <v>0</v>
      </c>
      <c r="DO410" s="47">
        <v>0</v>
      </c>
      <c r="DP410" s="47">
        <v>0</v>
      </c>
      <c r="DQ410" s="47">
        <v>0</v>
      </c>
      <c r="DR410" s="47">
        <v>0</v>
      </c>
      <c r="DS410" s="47">
        <v>0</v>
      </c>
      <c r="DT410" s="47">
        <v>0</v>
      </c>
      <c r="DU410" s="47">
        <v>0</v>
      </c>
      <c r="DV410" s="47">
        <v>0</v>
      </c>
      <c r="DW410" s="47">
        <v>0</v>
      </c>
      <c r="DX410" s="47">
        <v>0</v>
      </c>
      <c r="DY410" s="47">
        <v>0</v>
      </c>
      <c r="DZ410" s="47">
        <v>0</v>
      </c>
      <c r="EA410" s="47">
        <v>0</v>
      </c>
      <c r="EB410" s="47"/>
      <c r="EC410" s="47">
        <v>1</v>
      </c>
      <c r="ZZ410" t="s">
        <v>2472</v>
      </c>
    </row>
    <row r="411" spans="1:702" x14ac:dyDescent="0.25">
      <c r="A411" s="47" t="s">
        <v>1970</v>
      </c>
      <c r="B411" s="47" t="s">
        <v>153</v>
      </c>
      <c r="C411" s="47" t="s">
        <v>157</v>
      </c>
      <c r="D411" s="47" t="s">
        <v>2895</v>
      </c>
      <c r="E411" s="47" t="s">
        <v>1971</v>
      </c>
      <c r="F411" s="47" t="s">
        <v>1972</v>
      </c>
      <c r="G411" s="47" t="s">
        <v>1973</v>
      </c>
      <c r="H411" s="47" t="s">
        <v>698</v>
      </c>
      <c r="I411" s="47" t="s">
        <v>727</v>
      </c>
      <c r="J411" s="47" t="str">
        <f>=IFERROR(VLOOKUP(H411&amp;I411,Table_Fonctions!A:G,6,FALSE),"")</f>
        <v>0</v>
      </c>
      <c r="K411" s="47" t="s">
        <v>2607</v>
      </c>
      <c r="L411" s="47" t="str">
        <f>=IFERROR(VLOOKUP(H411&amp;I411,Table_Fonctions!A:G,7,FALSE),K411)</f>
        <v/>
      </c>
      <c r="M411" s="47" t="str">
        <f>=IF(OR(LEFT(D411, 3)="TJ ", LEFT(D411, 4)="CPH "), "OUI", "NON")</f>
        <v/>
      </c>
      <c r="N411" s="47" t="s">
        <v>1409</v>
      </c>
      <c r="O411" s="47"/>
      <c r="P411" s="47">
        <v>0.9</v>
      </c>
      <c r="Q411" s="47">
        <v>0.9</v>
      </c>
      <c r="R411" s="47">
        <v>0</v>
      </c>
      <c r="S411" s="47">
        <f>=ROUND(BQ411-(BR411+BS411),3)</f>
      </c>
      <c r="T411" s="47">
        <f>=ROUND(CK411-(CL411+CM411+CN411+CO411+CP411),3)</f>
      </c>
      <c r="U411" s="47">
        <v>0</v>
      </c>
      <c r="V411" s="47">
        <v>0</v>
      </c>
      <c r="W411" s="47">
        <v>0</v>
      </c>
      <c r="X411" s="47">
        <v>0</v>
      </c>
      <c r="Y411" s="47">
        <v>0</v>
      </c>
      <c r="Z411" s="47">
        <v>0</v>
      </c>
      <c r="AA411" s="47">
        <v>0</v>
      </c>
      <c r="AB411" s="47">
        <v>0</v>
      </c>
      <c r="AC411" s="47">
        <v>0</v>
      </c>
      <c r="AD411" s="47">
        <v>0</v>
      </c>
      <c r="AE411" s="47">
        <v>0</v>
      </c>
      <c r="AF411" s="47">
        <v>0</v>
      </c>
      <c r="AG411" s="47">
        <v>0</v>
      </c>
      <c r="AH411" s="47">
        <v>0</v>
      </c>
      <c r="AI411" s="47">
        <v>0</v>
      </c>
      <c r="AJ411" s="47">
        <v>0.9</v>
      </c>
      <c r="AK411" s="47">
        <v>0</v>
      </c>
      <c r="AL411" s="47">
        <v>0</v>
      </c>
      <c r="AM411" s="47">
        <v>0</v>
      </c>
      <c r="AN411" s="47">
        <v>0</v>
      </c>
      <c r="AO411" s="47">
        <v>0</v>
      </c>
      <c r="AP411" s="47">
        <v>0</v>
      </c>
      <c r="AQ411" s="47">
        <v>0</v>
      </c>
      <c r="AR411" s="47">
        <v>0</v>
      </c>
      <c r="AS411" s="47">
        <v>0</v>
      </c>
      <c r="AT411" s="47">
        <v>0</v>
      </c>
      <c r="AU411" s="47">
        <v>0</v>
      </c>
      <c r="AV411" s="47">
        <v>0</v>
      </c>
      <c r="AW411" s="47">
        <v>0</v>
      </c>
      <c r="AX411" s="47">
        <v>0</v>
      </c>
      <c r="AY411" s="47">
        <v>0</v>
      </c>
      <c r="AZ411" s="47">
        <v>0</v>
      </c>
      <c r="BA411" s="47">
        <v>0</v>
      </c>
      <c r="BB411" s="47">
        <v>0</v>
      </c>
      <c r="BC411" s="47">
        <v>0</v>
      </c>
      <c r="BD411" s="47">
        <v>0</v>
      </c>
      <c r="BE411" s="47">
        <v>0</v>
      </c>
      <c r="BF411" s="47">
        <v>0</v>
      </c>
      <c r="BG411" s="47">
        <v>0</v>
      </c>
      <c r="BH411" s="47">
        <v>0</v>
      </c>
      <c r="BI411" s="47">
        <v>0</v>
      </c>
      <c r="BJ411" s="47">
        <v>0</v>
      </c>
      <c r="BK411" s="47">
        <v>0</v>
      </c>
      <c r="BL411" s="47">
        <v>0</v>
      </c>
      <c r="BM411" s="47">
        <v>0</v>
      </c>
      <c r="BN411" s="47">
        <v>0</v>
      </c>
      <c r="BO411" s="47">
        <v>0</v>
      </c>
      <c r="BP411" s="47">
        <v>0</v>
      </c>
      <c r="BQ411" s="47">
        <v>0</v>
      </c>
      <c r="BR411" s="47">
        <v>0</v>
      </c>
      <c r="BS411" s="47">
        <v>0</v>
      </c>
      <c r="BT411" s="47">
        <v>0</v>
      </c>
      <c r="BU411" s="47">
        <v>0</v>
      </c>
      <c r="BV411" s="47">
        <v>0</v>
      </c>
      <c r="BW411" s="47">
        <v>0</v>
      </c>
      <c r="BX411" s="47">
        <v>0</v>
      </c>
      <c r="BY411" s="47">
        <v>0</v>
      </c>
      <c r="BZ411" s="47">
        <v>0</v>
      </c>
      <c r="CA411" s="47">
        <v>0</v>
      </c>
      <c r="CB411" s="47">
        <v>0</v>
      </c>
      <c r="CC411" s="47">
        <v>0</v>
      </c>
      <c r="CD411" s="47">
        <v>0</v>
      </c>
      <c r="CE411" s="47">
        <v>0</v>
      </c>
      <c r="CF411" s="47">
        <v>0</v>
      </c>
      <c r="CG411" s="47">
        <v>0</v>
      </c>
      <c r="CH411" s="47">
        <v>0</v>
      </c>
      <c r="CI411" s="47">
        <v>0</v>
      </c>
      <c r="CJ411" s="47">
        <v>0</v>
      </c>
      <c r="CK411" s="47">
        <v>0</v>
      </c>
      <c r="CL411" s="47">
        <v>0</v>
      </c>
      <c r="CM411" s="47">
        <v>0</v>
      </c>
      <c r="CN411" s="47">
        <v>0</v>
      </c>
      <c r="CO411" s="47">
        <v>0</v>
      </c>
      <c r="CP411" s="47">
        <v>0</v>
      </c>
      <c r="CQ411" s="47">
        <v>0</v>
      </c>
      <c r="CR411" s="47">
        <v>0</v>
      </c>
      <c r="CS411" s="47">
        <v>0</v>
      </c>
      <c r="CT411" s="47">
        <v>0</v>
      </c>
      <c r="CU411" s="47">
        <v>0</v>
      </c>
      <c r="CV411" s="47">
        <v>0</v>
      </c>
      <c r="CW411" s="47">
        <v>0</v>
      </c>
      <c r="CX411" s="47">
        <v>0</v>
      </c>
      <c r="CY411" s="47">
        <v>0</v>
      </c>
      <c r="CZ411" s="47">
        <v>0</v>
      </c>
      <c r="DA411" s="47">
        <v>0</v>
      </c>
      <c r="DB411" s="47">
        <v>0</v>
      </c>
      <c r="DC411" s="47">
        <v>0</v>
      </c>
      <c r="DD411" s="47">
        <v>0</v>
      </c>
      <c r="DE411" s="47">
        <v>0</v>
      </c>
      <c r="DF411" s="47">
        <v>0</v>
      </c>
      <c r="DG411" s="47">
        <v>0</v>
      </c>
      <c r="DH411" s="47">
        <v>0</v>
      </c>
      <c r="DI411" s="47">
        <v>0</v>
      </c>
      <c r="DJ411" s="47">
        <v>0</v>
      </c>
      <c r="DK411" s="47">
        <v>0</v>
      </c>
      <c r="DL411" s="47">
        <v>0</v>
      </c>
      <c r="DM411" s="47">
        <v>0</v>
      </c>
      <c r="DN411" s="47">
        <v>0</v>
      </c>
      <c r="DO411" s="47">
        <v>0</v>
      </c>
      <c r="DP411" s="47">
        <v>0</v>
      </c>
      <c r="DQ411" s="47">
        <v>0</v>
      </c>
      <c r="DR411" s="47">
        <v>0</v>
      </c>
      <c r="DS411" s="47">
        <v>0</v>
      </c>
      <c r="DT411" s="47">
        <v>0</v>
      </c>
      <c r="DU411" s="47">
        <v>0</v>
      </c>
      <c r="DV411" s="47">
        <v>0</v>
      </c>
      <c r="DW411" s="47">
        <v>0</v>
      </c>
      <c r="DX411" s="47">
        <v>0</v>
      </c>
      <c r="DY411" s="47">
        <v>0</v>
      </c>
      <c r="DZ411" s="47">
        <v>0</v>
      </c>
      <c r="EA411" s="47">
        <v>0</v>
      </c>
      <c r="EB411" s="47"/>
      <c r="EC411" s="47">
        <v>0.9</v>
      </c>
      <c r="ZZ411" t="s">
        <v>2472</v>
      </c>
    </row>
    <row r="412" spans="1:702" x14ac:dyDescent="0.25">
      <c r="A412" s="47" t="s">
        <v>1974</v>
      </c>
      <c r="B412" s="47" t="s">
        <v>153</v>
      </c>
      <c r="C412" s="47" t="s">
        <v>157</v>
      </c>
      <c r="D412" s="47" t="s">
        <v>2896</v>
      </c>
      <c r="E412" s="47" t="s">
        <v>1975</v>
      </c>
      <c r="F412" s="47" t="s">
        <v>1976</v>
      </c>
      <c r="G412" s="47" t="s">
        <v>1977</v>
      </c>
      <c r="H412" s="47" t="s">
        <v>698</v>
      </c>
      <c r="I412" s="47" t="s">
        <v>727</v>
      </c>
      <c r="J412" s="47" t="str">
        <f>=IFERROR(VLOOKUP(H412&amp;I412,Table_Fonctions!A:G,6,FALSE),"")</f>
        <v>0</v>
      </c>
      <c r="K412" s="47" t="s">
        <v>2607</v>
      </c>
      <c r="L412" s="47" t="str">
        <f>=IFERROR(VLOOKUP(H412&amp;I412,Table_Fonctions!A:G,7,FALSE),K412)</f>
        <v/>
      </c>
      <c r="M412" s="47" t="str">
        <f>=IF(OR(LEFT(D412, 3)="TJ ", LEFT(D412, 4)="CPH "), "OUI", "NON")</f>
        <v/>
      </c>
      <c r="N412" s="47" t="s">
        <v>942</v>
      </c>
      <c r="O412" s="47"/>
      <c r="P412" s="47">
        <v>1</v>
      </c>
      <c r="Q412" s="47">
        <v>0</v>
      </c>
      <c r="R412" s="47">
        <v>1</v>
      </c>
      <c r="S412" s="47">
        <f>=ROUND(BQ412-(BR412+BS412),3)</f>
      </c>
      <c r="T412" s="47">
        <f>=ROUND(CK412-(CL412+CM412+CN412+CO412+CP412),3)</f>
      </c>
      <c r="U412" s="47">
        <v>0</v>
      </c>
      <c r="V412" s="47">
        <v>0</v>
      </c>
      <c r="W412" s="47">
        <v>0</v>
      </c>
      <c r="X412" s="47">
        <v>0</v>
      </c>
      <c r="Y412" s="47">
        <v>0</v>
      </c>
      <c r="Z412" s="47">
        <v>0</v>
      </c>
      <c r="AA412" s="47">
        <v>0</v>
      </c>
      <c r="AB412" s="47">
        <v>0</v>
      </c>
      <c r="AC412" s="47">
        <v>0</v>
      </c>
      <c r="AD412" s="47">
        <v>0</v>
      </c>
      <c r="AE412" s="47">
        <v>0</v>
      </c>
      <c r="AF412" s="47">
        <v>0</v>
      </c>
      <c r="AG412" s="47">
        <v>0</v>
      </c>
      <c r="AH412" s="47">
        <v>0</v>
      </c>
      <c r="AI412" s="47">
        <v>0</v>
      </c>
      <c r="AJ412" s="47">
        <v>0</v>
      </c>
      <c r="AK412" s="47">
        <v>0</v>
      </c>
      <c r="AL412" s="47">
        <v>0</v>
      </c>
      <c r="AM412" s="47">
        <v>0</v>
      </c>
      <c r="AN412" s="47">
        <v>0</v>
      </c>
      <c r="AO412" s="47">
        <v>0</v>
      </c>
      <c r="AP412" s="47">
        <v>0</v>
      </c>
      <c r="AQ412" s="47">
        <v>0</v>
      </c>
      <c r="AR412" s="47">
        <v>0</v>
      </c>
      <c r="AS412" s="47">
        <v>0</v>
      </c>
      <c r="AT412" s="47">
        <v>0</v>
      </c>
      <c r="AU412" s="47">
        <v>0</v>
      </c>
      <c r="AV412" s="47">
        <v>0</v>
      </c>
      <c r="AW412" s="47">
        <v>0</v>
      </c>
      <c r="AX412" s="47">
        <v>0</v>
      </c>
      <c r="AY412" s="47">
        <v>0</v>
      </c>
      <c r="AZ412" s="47">
        <v>0</v>
      </c>
      <c r="BA412" s="47">
        <v>0</v>
      </c>
      <c r="BB412" s="47">
        <v>0</v>
      </c>
      <c r="BC412" s="47">
        <v>0</v>
      </c>
      <c r="BD412" s="47">
        <v>0</v>
      </c>
      <c r="BE412" s="47">
        <v>0</v>
      </c>
      <c r="BF412" s="47">
        <v>0</v>
      </c>
      <c r="BG412" s="47">
        <v>0</v>
      </c>
      <c r="BH412" s="47">
        <v>0</v>
      </c>
      <c r="BI412" s="47">
        <v>0</v>
      </c>
      <c r="BJ412" s="47">
        <v>0</v>
      </c>
      <c r="BK412" s="47">
        <v>0</v>
      </c>
      <c r="BL412" s="47">
        <v>0</v>
      </c>
      <c r="BM412" s="47">
        <v>0</v>
      </c>
      <c r="BN412" s="47">
        <v>0</v>
      </c>
      <c r="BO412" s="47">
        <v>0</v>
      </c>
      <c r="BP412" s="47">
        <v>0</v>
      </c>
      <c r="BQ412" s="47">
        <v>0</v>
      </c>
      <c r="BR412" s="47">
        <v>0</v>
      </c>
      <c r="BS412" s="47">
        <v>0</v>
      </c>
      <c r="BT412" s="47">
        <v>0</v>
      </c>
      <c r="BU412" s="47">
        <v>0</v>
      </c>
      <c r="BV412" s="47">
        <v>0</v>
      </c>
      <c r="BW412" s="47">
        <v>0</v>
      </c>
      <c r="BX412" s="47">
        <v>0</v>
      </c>
      <c r="BY412" s="47">
        <v>0</v>
      </c>
      <c r="BZ412" s="47">
        <v>0</v>
      </c>
      <c r="CA412" s="47">
        <v>0</v>
      </c>
      <c r="CB412" s="47">
        <v>0</v>
      </c>
      <c r="CC412" s="47">
        <v>0</v>
      </c>
      <c r="CD412" s="47">
        <v>0</v>
      </c>
      <c r="CE412" s="47">
        <v>0</v>
      </c>
      <c r="CF412" s="47">
        <v>0</v>
      </c>
      <c r="CG412" s="47">
        <v>0</v>
      </c>
      <c r="CH412" s="47">
        <v>0</v>
      </c>
      <c r="CI412" s="47">
        <v>0</v>
      </c>
      <c r="CJ412" s="47">
        <v>0</v>
      </c>
      <c r="CK412" s="47">
        <v>0</v>
      </c>
      <c r="CL412" s="47">
        <v>0</v>
      </c>
      <c r="CM412" s="47">
        <v>0</v>
      </c>
      <c r="CN412" s="47">
        <v>0</v>
      </c>
      <c r="CO412" s="47">
        <v>0</v>
      </c>
      <c r="CP412" s="47">
        <v>0</v>
      </c>
      <c r="CQ412" s="47">
        <v>0</v>
      </c>
      <c r="CR412" s="47">
        <v>0</v>
      </c>
      <c r="CS412" s="47">
        <v>0</v>
      </c>
      <c r="CT412" s="47">
        <v>0</v>
      </c>
      <c r="CU412" s="47">
        <v>0</v>
      </c>
      <c r="CV412" s="47">
        <v>0</v>
      </c>
      <c r="CW412" s="47">
        <v>0</v>
      </c>
      <c r="CX412" s="47">
        <v>0</v>
      </c>
      <c r="CY412" s="47">
        <v>0</v>
      </c>
      <c r="CZ412" s="47">
        <v>0</v>
      </c>
      <c r="DA412" s="47">
        <v>0</v>
      </c>
      <c r="DB412" s="47">
        <v>0</v>
      </c>
      <c r="DC412" s="47">
        <v>0</v>
      </c>
      <c r="DD412" s="47">
        <v>0</v>
      </c>
      <c r="DE412" s="47">
        <v>0</v>
      </c>
      <c r="DF412" s="47">
        <v>0</v>
      </c>
      <c r="DG412" s="47">
        <v>0</v>
      </c>
      <c r="DH412" s="47">
        <v>0</v>
      </c>
      <c r="DI412" s="47">
        <v>0</v>
      </c>
      <c r="DJ412" s="47">
        <v>0</v>
      </c>
      <c r="DK412" s="47">
        <v>0</v>
      </c>
      <c r="DL412" s="47">
        <v>0</v>
      </c>
      <c r="DM412" s="47">
        <v>0</v>
      </c>
      <c r="DN412" s="47">
        <v>0</v>
      </c>
      <c r="DO412" s="47">
        <v>0</v>
      </c>
      <c r="DP412" s="47">
        <v>0</v>
      </c>
      <c r="DQ412" s="47">
        <v>0</v>
      </c>
      <c r="DR412" s="47">
        <v>0</v>
      </c>
      <c r="DS412" s="47">
        <v>0</v>
      </c>
      <c r="DT412" s="47">
        <v>0</v>
      </c>
      <c r="DU412" s="47">
        <v>0</v>
      </c>
      <c r="DV412" s="47">
        <v>0</v>
      </c>
      <c r="DW412" s="47">
        <v>0</v>
      </c>
      <c r="DX412" s="47">
        <v>0</v>
      </c>
      <c r="DY412" s="47">
        <v>0</v>
      </c>
      <c r="DZ412" s="47">
        <v>0</v>
      </c>
      <c r="EA412" s="47">
        <v>0</v>
      </c>
      <c r="EB412" s="47"/>
      <c r="EC412" s="47">
        <v>1</v>
      </c>
      <c r="ZZ412" t="s">
        <v>2472</v>
      </c>
    </row>
    <row r="413" spans="1:702" x14ac:dyDescent="0.25">
      <c r="A413" s="47" t="s">
        <v>1978</v>
      </c>
      <c r="B413" s="47" t="s">
        <v>153</v>
      </c>
      <c r="C413" s="47" t="s">
        <v>157</v>
      </c>
      <c r="D413" s="47" t="s">
        <v>2897</v>
      </c>
      <c r="E413" s="47" t="s">
        <v>1979</v>
      </c>
      <c r="F413" s="47" t="s">
        <v>1980</v>
      </c>
      <c r="G413" s="47" t="s">
        <v>1981</v>
      </c>
      <c r="H413" s="47" t="s">
        <v>698</v>
      </c>
      <c r="I413" s="47" t="s">
        <v>738</v>
      </c>
      <c r="J413" s="47" t="str">
        <f>=IFERROR(VLOOKUP(H413&amp;I413,Table_Fonctions!A:G,6,FALSE),"")</f>
        <v>0</v>
      </c>
      <c r="K413" s="47" t="s">
        <v>2607</v>
      </c>
      <c r="L413" s="47" t="str">
        <f>=IFERROR(VLOOKUP(H413&amp;I413,Table_Fonctions!A:G,7,FALSE),K413)</f>
        <v/>
      </c>
      <c r="M413" s="47" t="str">
        <f>=IF(OR(LEFT(D413, 3)="TJ ", LEFT(D413, 4)="CPH "), "OUI", "NON")</f>
        <v/>
      </c>
      <c r="N413" s="47" t="s">
        <v>1039</v>
      </c>
      <c r="O413" s="47"/>
      <c r="P413" s="47">
        <v>1</v>
      </c>
      <c r="Q413" s="47">
        <v>0</v>
      </c>
      <c r="R413" s="47">
        <v>1</v>
      </c>
      <c r="S413" s="47">
        <f>=ROUND(BQ413-(BR413+BS413),3)</f>
      </c>
      <c r="T413" s="47">
        <f>=ROUND(CK413-(CL413+CM413+CN413+CO413+CP413),3)</f>
      </c>
      <c r="U413" s="47">
        <v>0</v>
      </c>
      <c r="V413" s="47">
        <v>0</v>
      </c>
      <c r="W413" s="47">
        <v>0</v>
      </c>
      <c r="X413" s="47">
        <v>0</v>
      </c>
      <c r="Y413" s="47">
        <v>0</v>
      </c>
      <c r="Z413" s="47">
        <v>0</v>
      </c>
      <c r="AA413" s="47">
        <v>0</v>
      </c>
      <c r="AB413" s="47">
        <v>0</v>
      </c>
      <c r="AC413" s="47">
        <v>0</v>
      </c>
      <c r="AD413" s="47">
        <v>0</v>
      </c>
      <c r="AE413" s="47">
        <v>0</v>
      </c>
      <c r="AF413" s="47">
        <v>0</v>
      </c>
      <c r="AG413" s="47">
        <v>0</v>
      </c>
      <c r="AH413" s="47">
        <v>0</v>
      </c>
      <c r="AI413" s="47">
        <v>0</v>
      </c>
      <c r="AJ413" s="47">
        <v>0</v>
      </c>
      <c r="AK413" s="47">
        <v>0</v>
      </c>
      <c r="AL413" s="47">
        <v>0</v>
      </c>
      <c r="AM413" s="47">
        <v>0</v>
      </c>
      <c r="AN413" s="47">
        <v>0</v>
      </c>
      <c r="AO413" s="47">
        <v>0</v>
      </c>
      <c r="AP413" s="47">
        <v>0</v>
      </c>
      <c r="AQ413" s="47">
        <v>0</v>
      </c>
      <c r="AR413" s="47">
        <v>0</v>
      </c>
      <c r="AS413" s="47">
        <v>0</v>
      </c>
      <c r="AT413" s="47">
        <v>0</v>
      </c>
      <c r="AU413" s="47">
        <v>0</v>
      </c>
      <c r="AV413" s="47">
        <v>0</v>
      </c>
      <c r="AW413" s="47">
        <v>0</v>
      </c>
      <c r="AX413" s="47">
        <v>0</v>
      </c>
      <c r="AY413" s="47">
        <v>0</v>
      </c>
      <c r="AZ413" s="47">
        <v>0</v>
      </c>
      <c r="BA413" s="47">
        <v>0</v>
      </c>
      <c r="BB413" s="47">
        <v>0</v>
      </c>
      <c r="BC413" s="47">
        <v>0</v>
      </c>
      <c r="BD413" s="47">
        <v>0</v>
      </c>
      <c r="BE413" s="47">
        <v>0</v>
      </c>
      <c r="BF413" s="47">
        <v>0</v>
      </c>
      <c r="BG413" s="47">
        <v>0</v>
      </c>
      <c r="BH413" s="47">
        <v>0</v>
      </c>
      <c r="BI413" s="47">
        <v>0</v>
      </c>
      <c r="BJ413" s="47">
        <v>0</v>
      </c>
      <c r="BK413" s="47">
        <v>0</v>
      </c>
      <c r="BL413" s="47">
        <v>0</v>
      </c>
      <c r="BM413" s="47">
        <v>0</v>
      </c>
      <c r="BN413" s="47">
        <v>0</v>
      </c>
      <c r="BO413" s="47">
        <v>0</v>
      </c>
      <c r="BP413" s="47">
        <v>0</v>
      </c>
      <c r="BQ413" s="47">
        <v>0</v>
      </c>
      <c r="BR413" s="47">
        <v>0</v>
      </c>
      <c r="BS413" s="47">
        <v>0</v>
      </c>
      <c r="BT413" s="47">
        <v>0</v>
      </c>
      <c r="BU413" s="47">
        <v>0</v>
      </c>
      <c r="BV413" s="47">
        <v>0</v>
      </c>
      <c r="BW413" s="47">
        <v>0</v>
      </c>
      <c r="BX413" s="47">
        <v>0</v>
      </c>
      <c r="BY413" s="47">
        <v>0</v>
      </c>
      <c r="BZ413" s="47">
        <v>0</v>
      </c>
      <c r="CA413" s="47">
        <v>0</v>
      </c>
      <c r="CB413" s="47">
        <v>0</v>
      </c>
      <c r="CC413" s="47">
        <v>0</v>
      </c>
      <c r="CD413" s="47">
        <v>0</v>
      </c>
      <c r="CE413" s="47">
        <v>0</v>
      </c>
      <c r="CF413" s="47">
        <v>0</v>
      </c>
      <c r="CG413" s="47">
        <v>0</v>
      </c>
      <c r="CH413" s="47">
        <v>0</v>
      </c>
      <c r="CI413" s="47">
        <v>0</v>
      </c>
      <c r="CJ413" s="47">
        <v>0</v>
      </c>
      <c r="CK413" s="47">
        <v>0</v>
      </c>
      <c r="CL413" s="47">
        <v>0</v>
      </c>
      <c r="CM413" s="47">
        <v>0</v>
      </c>
      <c r="CN413" s="47">
        <v>0</v>
      </c>
      <c r="CO413" s="47">
        <v>0</v>
      </c>
      <c r="CP413" s="47">
        <v>0</v>
      </c>
      <c r="CQ413" s="47">
        <v>0</v>
      </c>
      <c r="CR413" s="47">
        <v>0</v>
      </c>
      <c r="CS413" s="47">
        <v>0</v>
      </c>
      <c r="CT413" s="47">
        <v>0</v>
      </c>
      <c r="CU413" s="47">
        <v>0</v>
      </c>
      <c r="CV413" s="47">
        <v>0</v>
      </c>
      <c r="CW413" s="47">
        <v>0</v>
      </c>
      <c r="CX413" s="47">
        <v>0</v>
      </c>
      <c r="CY413" s="47">
        <v>0</v>
      </c>
      <c r="CZ413" s="47">
        <v>0</v>
      </c>
      <c r="DA413" s="47">
        <v>0</v>
      </c>
      <c r="DB413" s="47">
        <v>0</v>
      </c>
      <c r="DC413" s="47">
        <v>0</v>
      </c>
      <c r="DD413" s="47">
        <v>0</v>
      </c>
      <c r="DE413" s="47">
        <v>0</v>
      </c>
      <c r="DF413" s="47">
        <v>0</v>
      </c>
      <c r="DG413" s="47">
        <v>0</v>
      </c>
      <c r="DH413" s="47">
        <v>0</v>
      </c>
      <c r="DI413" s="47">
        <v>0</v>
      </c>
      <c r="DJ413" s="47">
        <v>0</v>
      </c>
      <c r="DK413" s="47">
        <v>0</v>
      </c>
      <c r="DL413" s="47">
        <v>0</v>
      </c>
      <c r="DM413" s="47">
        <v>0</v>
      </c>
      <c r="DN413" s="47">
        <v>0</v>
      </c>
      <c r="DO413" s="47">
        <v>0</v>
      </c>
      <c r="DP413" s="47">
        <v>0</v>
      </c>
      <c r="DQ413" s="47">
        <v>0</v>
      </c>
      <c r="DR413" s="47">
        <v>0</v>
      </c>
      <c r="DS413" s="47">
        <v>0</v>
      </c>
      <c r="DT413" s="47">
        <v>0</v>
      </c>
      <c r="DU413" s="47">
        <v>0</v>
      </c>
      <c r="DV413" s="47">
        <v>0</v>
      </c>
      <c r="DW413" s="47">
        <v>0</v>
      </c>
      <c r="DX413" s="47">
        <v>0</v>
      </c>
      <c r="DY413" s="47">
        <v>0</v>
      </c>
      <c r="DZ413" s="47">
        <v>0</v>
      </c>
      <c r="EA413" s="47">
        <v>0</v>
      </c>
      <c r="EB413" s="47"/>
      <c r="EC413" s="47">
        <v>1</v>
      </c>
      <c r="ZZ413" t="s">
        <v>2472</v>
      </c>
    </row>
    <row r="414" spans="1:702" x14ac:dyDescent="0.25">
      <c r="A414" s="47" t="s">
        <v>1982</v>
      </c>
      <c r="B414" s="47" t="s">
        <v>153</v>
      </c>
      <c r="C414" s="47" t="s">
        <v>157</v>
      </c>
      <c r="D414" s="47" t="s">
        <v>2898</v>
      </c>
      <c r="E414" s="47" t="s">
        <v>1983</v>
      </c>
      <c r="F414" s="47" t="s">
        <v>1984</v>
      </c>
      <c r="G414" s="47" t="s">
        <v>1985</v>
      </c>
      <c r="H414" s="47" t="s">
        <v>698</v>
      </c>
      <c r="I414" s="47" t="s">
        <v>727</v>
      </c>
      <c r="J414" s="47" t="str">
        <f>=IFERROR(VLOOKUP(H414&amp;I414,Table_Fonctions!A:G,6,FALSE),"")</f>
        <v>0</v>
      </c>
      <c r="K414" s="47" t="s">
        <v>2607</v>
      </c>
      <c r="L414" s="47" t="str">
        <f>=IFERROR(VLOOKUP(H414&amp;I414,Table_Fonctions!A:G,7,FALSE),K414)</f>
        <v/>
      </c>
      <c r="M414" s="47" t="str">
        <f>=IF(OR(LEFT(D414, 3)="TJ ", LEFT(D414, 4)="CPH "), "OUI", "NON")</f>
        <v/>
      </c>
      <c r="N414" s="47" t="s">
        <v>1000</v>
      </c>
      <c r="O414" s="47"/>
      <c r="P414" s="47">
        <v>1</v>
      </c>
      <c r="Q414" s="47">
        <v>1</v>
      </c>
      <c r="R414" s="47">
        <v>0</v>
      </c>
      <c r="S414" s="47">
        <f>=ROUND(BQ414-(BR414+BS414),3)</f>
      </c>
      <c r="T414" s="47">
        <f>=ROUND(CK414-(CL414+CM414+CN414+CO414+CP414),3)</f>
      </c>
      <c r="U414" s="47">
        <v>0</v>
      </c>
      <c r="V414" s="47">
        <v>0</v>
      </c>
      <c r="W414" s="47">
        <v>0</v>
      </c>
      <c r="X414" s="47">
        <v>0</v>
      </c>
      <c r="Y414" s="47">
        <v>0</v>
      </c>
      <c r="Z414" s="47">
        <v>0</v>
      </c>
      <c r="AA414" s="47">
        <v>0</v>
      </c>
      <c r="AB414" s="47">
        <v>0</v>
      </c>
      <c r="AC414" s="47">
        <v>0</v>
      </c>
      <c r="AD414" s="47">
        <v>0</v>
      </c>
      <c r="AE414" s="47">
        <v>0</v>
      </c>
      <c r="AF414" s="47">
        <v>0</v>
      </c>
      <c r="AG414" s="47">
        <v>0</v>
      </c>
      <c r="AH414" s="47">
        <v>0</v>
      </c>
      <c r="AI414" s="47">
        <v>0</v>
      </c>
      <c r="AJ414" s="47">
        <v>0</v>
      </c>
      <c r="AK414" s="47">
        <v>0</v>
      </c>
      <c r="AL414" s="47">
        <v>0</v>
      </c>
      <c r="AM414" s="47">
        <v>0</v>
      </c>
      <c r="AN414" s="47">
        <v>0</v>
      </c>
      <c r="AO414" s="47">
        <v>0</v>
      </c>
      <c r="AP414" s="47">
        <v>0</v>
      </c>
      <c r="AQ414" s="47">
        <v>0</v>
      </c>
      <c r="AR414" s="47">
        <v>0</v>
      </c>
      <c r="AS414" s="47">
        <v>0</v>
      </c>
      <c r="AT414" s="47">
        <v>0</v>
      </c>
      <c r="AU414" s="47">
        <v>0</v>
      </c>
      <c r="AV414" s="47">
        <v>0</v>
      </c>
      <c r="AW414" s="47">
        <v>0</v>
      </c>
      <c r="AX414" s="47">
        <v>0</v>
      </c>
      <c r="AY414" s="47">
        <v>0</v>
      </c>
      <c r="AZ414" s="47">
        <v>0</v>
      </c>
      <c r="BA414" s="47">
        <v>0</v>
      </c>
      <c r="BB414" s="47">
        <v>0</v>
      </c>
      <c r="BC414" s="47">
        <v>0</v>
      </c>
      <c r="BD414" s="47">
        <v>0</v>
      </c>
      <c r="BE414" s="47">
        <v>0</v>
      </c>
      <c r="BF414" s="47">
        <v>0</v>
      </c>
      <c r="BG414" s="47">
        <v>0</v>
      </c>
      <c r="BH414" s="47">
        <v>0</v>
      </c>
      <c r="BI414" s="47">
        <v>0</v>
      </c>
      <c r="BJ414" s="47">
        <v>0</v>
      </c>
      <c r="BK414" s="47">
        <v>0</v>
      </c>
      <c r="BL414" s="47">
        <v>0</v>
      </c>
      <c r="BM414" s="47">
        <v>0</v>
      </c>
      <c r="BN414" s="47">
        <v>0</v>
      </c>
      <c r="BO414" s="47">
        <v>0</v>
      </c>
      <c r="BP414" s="47">
        <v>0</v>
      </c>
      <c r="BQ414" s="47">
        <v>0</v>
      </c>
      <c r="BR414" s="47">
        <v>0</v>
      </c>
      <c r="BS414" s="47">
        <v>0</v>
      </c>
      <c r="BT414" s="47">
        <v>0</v>
      </c>
      <c r="BU414" s="47">
        <v>0</v>
      </c>
      <c r="BV414" s="47">
        <v>0</v>
      </c>
      <c r="BW414" s="47">
        <v>0</v>
      </c>
      <c r="BX414" s="47">
        <v>0</v>
      </c>
      <c r="BY414" s="47">
        <v>0</v>
      </c>
      <c r="BZ414" s="47">
        <v>0</v>
      </c>
      <c r="CA414" s="47">
        <v>0</v>
      </c>
      <c r="CB414" s="47">
        <v>0</v>
      </c>
      <c r="CC414" s="47">
        <v>0</v>
      </c>
      <c r="CD414" s="47">
        <v>0</v>
      </c>
      <c r="CE414" s="47">
        <v>0</v>
      </c>
      <c r="CF414" s="47">
        <v>0</v>
      </c>
      <c r="CG414" s="47">
        <v>0</v>
      </c>
      <c r="CH414" s="47">
        <v>0</v>
      </c>
      <c r="CI414" s="47">
        <v>0</v>
      </c>
      <c r="CJ414" s="47">
        <v>0</v>
      </c>
      <c r="CK414" s="47">
        <v>1</v>
      </c>
      <c r="CL414" s="47">
        <v>0</v>
      </c>
      <c r="CM414" s="47">
        <v>0</v>
      </c>
      <c r="CN414" s="47">
        <v>0</v>
      </c>
      <c r="CO414" s="47">
        <v>0</v>
      </c>
      <c r="CP414" s="47">
        <v>0</v>
      </c>
      <c r="CQ414" s="47">
        <v>0</v>
      </c>
      <c r="CR414" s="47">
        <v>0</v>
      </c>
      <c r="CS414" s="47">
        <v>0</v>
      </c>
      <c r="CT414" s="47">
        <v>0</v>
      </c>
      <c r="CU414" s="47">
        <v>0</v>
      </c>
      <c r="CV414" s="47">
        <v>0</v>
      </c>
      <c r="CW414" s="47">
        <v>0</v>
      </c>
      <c r="CX414" s="47">
        <v>0</v>
      </c>
      <c r="CY414" s="47">
        <v>0</v>
      </c>
      <c r="CZ414" s="47">
        <v>0</v>
      </c>
      <c r="DA414" s="47">
        <v>0</v>
      </c>
      <c r="DB414" s="47">
        <v>0</v>
      </c>
      <c r="DC414" s="47">
        <v>0</v>
      </c>
      <c r="DD414" s="47">
        <v>0</v>
      </c>
      <c r="DE414" s="47">
        <v>0</v>
      </c>
      <c r="DF414" s="47">
        <v>0</v>
      </c>
      <c r="DG414" s="47">
        <v>0</v>
      </c>
      <c r="DH414" s="47">
        <v>0</v>
      </c>
      <c r="DI414" s="47">
        <v>0</v>
      </c>
      <c r="DJ414" s="47">
        <v>0</v>
      </c>
      <c r="DK414" s="47">
        <v>0</v>
      </c>
      <c r="DL414" s="47">
        <v>0</v>
      </c>
      <c r="DM414" s="47">
        <v>0</v>
      </c>
      <c r="DN414" s="47">
        <v>0</v>
      </c>
      <c r="DO414" s="47">
        <v>0</v>
      </c>
      <c r="DP414" s="47">
        <v>0</v>
      </c>
      <c r="DQ414" s="47">
        <v>0</v>
      </c>
      <c r="DR414" s="47">
        <v>0</v>
      </c>
      <c r="DS414" s="47">
        <v>0</v>
      </c>
      <c r="DT414" s="47">
        <v>0</v>
      </c>
      <c r="DU414" s="47">
        <v>0</v>
      </c>
      <c r="DV414" s="47">
        <v>0</v>
      </c>
      <c r="DW414" s="47">
        <v>0</v>
      </c>
      <c r="DX414" s="47">
        <v>0</v>
      </c>
      <c r="DY414" s="47">
        <v>0</v>
      </c>
      <c r="DZ414" s="47">
        <v>0</v>
      </c>
      <c r="EA414" s="47">
        <v>0</v>
      </c>
      <c r="EB414" s="47"/>
      <c r="EC414" s="47">
        <v>1</v>
      </c>
      <c r="ZZ414" t="s">
        <v>2472</v>
      </c>
    </row>
    <row r="415" spans="1:702" x14ac:dyDescent="0.25">
      <c r="A415" s="47" t="s">
        <v>1986</v>
      </c>
      <c r="B415" s="47" t="s">
        <v>153</v>
      </c>
      <c r="C415" s="47" t="s">
        <v>157</v>
      </c>
      <c r="D415" s="47" t="s">
        <v>2899</v>
      </c>
      <c r="E415" s="47" t="s">
        <v>1987</v>
      </c>
      <c r="F415" s="47" t="s">
        <v>1988</v>
      </c>
      <c r="G415" s="47" t="s">
        <v>1989</v>
      </c>
      <c r="H415" s="47" t="s">
        <v>698</v>
      </c>
      <c r="I415" s="47" t="s">
        <v>705</v>
      </c>
      <c r="J415" s="47" t="str">
        <f>=IFERROR(VLOOKUP(H415&amp;I415,Table_Fonctions!A:G,6,FALSE),"")</f>
        <v>0</v>
      </c>
      <c r="K415" s="47" t="s">
        <v>2607</v>
      </c>
      <c r="L415" s="47" t="str">
        <f>=IFERROR(VLOOKUP(H415&amp;I415,Table_Fonctions!A:G,7,FALSE),K415)</f>
        <v/>
      </c>
      <c r="M415" s="47" t="str">
        <f>=IF(OR(LEFT(D415, 3)="TJ ", LEFT(D415, 4)="CPH "), "OUI", "NON")</f>
        <v/>
      </c>
      <c r="N415" s="47" t="s">
        <v>712</v>
      </c>
      <c r="O415" s="47"/>
      <c r="P415" s="47">
        <v>1</v>
      </c>
      <c r="Q415" s="47">
        <v>0</v>
      </c>
      <c r="R415" s="47">
        <v>1</v>
      </c>
      <c r="S415" s="47">
        <f>=ROUND(BQ415-(BR415+BS415),3)</f>
      </c>
      <c r="T415" s="47">
        <f>=ROUND(CK415-(CL415+CM415+CN415+CO415+CP415),3)</f>
      </c>
      <c r="U415" s="47">
        <v>0</v>
      </c>
      <c r="V415" s="47">
        <v>0</v>
      </c>
      <c r="W415" s="47">
        <v>0</v>
      </c>
      <c r="X415" s="47">
        <v>0</v>
      </c>
      <c r="Y415" s="47">
        <v>0</v>
      </c>
      <c r="Z415" s="47">
        <v>0</v>
      </c>
      <c r="AA415" s="47">
        <v>0</v>
      </c>
      <c r="AB415" s="47">
        <v>0</v>
      </c>
      <c r="AC415" s="47">
        <v>0</v>
      </c>
      <c r="AD415" s="47">
        <v>0</v>
      </c>
      <c r="AE415" s="47">
        <v>0</v>
      </c>
      <c r="AF415" s="47">
        <v>0</v>
      </c>
      <c r="AG415" s="47">
        <v>0</v>
      </c>
      <c r="AH415" s="47">
        <v>0</v>
      </c>
      <c r="AI415" s="47">
        <v>0</v>
      </c>
      <c r="AJ415" s="47">
        <v>0</v>
      </c>
      <c r="AK415" s="47">
        <v>0</v>
      </c>
      <c r="AL415" s="47">
        <v>0</v>
      </c>
      <c r="AM415" s="47">
        <v>0</v>
      </c>
      <c r="AN415" s="47">
        <v>0</v>
      </c>
      <c r="AO415" s="47">
        <v>0</v>
      </c>
      <c r="AP415" s="47">
        <v>0</v>
      </c>
      <c r="AQ415" s="47">
        <v>0</v>
      </c>
      <c r="AR415" s="47">
        <v>0</v>
      </c>
      <c r="AS415" s="47">
        <v>0</v>
      </c>
      <c r="AT415" s="47">
        <v>0</v>
      </c>
      <c r="AU415" s="47">
        <v>0</v>
      </c>
      <c r="AV415" s="47">
        <v>0</v>
      </c>
      <c r="AW415" s="47">
        <v>0</v>
      </c>
      <c r="AX415" s="47">
        <v>0</v>
      </c>
      <c r="AY415" s="47">
        <v>0</v>
      </c>
      <c r="AZ415" s="47">
        <v>0</v>
      </c>
      <c r="BA415" s="47">
        <v>0</v>
      </c>
      <c r="BB415" s="47">
        <v>0</v>
      </c>
      <c r="BC415" s="47">
        <v>0</v>
      </c>
      <c r="BD415" s="47">
        <v>0</v>
      </c>
      <c r="BE415" s="47">
        <v>0</v>
      </c>
      <c r="BF415" s="47">
        <v>0</v>
      </c>
      <c r="BG415" s="47">
        <v>0</v>
      </c>
      <c r="BH415" s="47">
        <v>0</v>
      </c>
      <c r="BI415" s="47">
        <v>0</v>
      </c>
      <c r="BJ415" s="47">
        <v>0</v>
      </c>
      <c r="BK415" s="47">
        <v>0</v>
      </c>
      <c r="BL415" s="47">
        <v>0</v>
      </c>
      <c r="BM415" s="47">
        <v>0</v>
      </c>
      <c r="BN415" s="47">
        <v>0</v>
      </c>
      <c r="BO415" s="47">
        <v>0</v>
      </c>
      <c r="BP415" s="47">
        <v>0</v>
      </c>
      <c r="BQ415" s="47">
        <v>0</v>
      </c>
      <c r="BR415" s="47">
        <v>0</v>
      </c>
      <c r="BS415" s="47">
        <v>0</v>
      </c>
      <c r="BT415" s="47">
        <v>0</v>
      </c>
      <c r="BU415" s="47">
        <v>0</v>
      </c>
      <c r="BV415" s="47">
        <v>0</v>
      </c>
      <c r="BW415" s="47">
        <v>0</v>
      </c>
      <c r="BX415" s="47">
        <v>0</v>
      </c>
      <c r="BY415" s="47">
        <v>0</v>
      </c>
      <c r="BZ415" s="47">
        <v>0</v>
      </c>
      <c r="CA415" s="47">
        <v>0</v>
      </c>
      <c r="CB415" s="47">
        <v>0</v>
      </c>
      <c r="CC415" s="47">
        <v>0</v>
      </c>
      <c r="CD415" s="47">
        <v>0</v>
      </c>
      <c r="CE415" s="47">
        <v>0</v>
      </c>
      <c r="CF415" s="47">
        <v>0</v>
      </c>
      <c r="CG415" s="47">
        <v>0</v>
      </c>
      <c r="CH415" s="47">
        <v>0</v>
      </c>
      <c r="CI415" s="47">
        <v>0</v>
      </c>
      <c r="CJ415" s="47">
        <v>0</v>
      </c>
      <c r="CK415" s="47">
        <v>0</v>
      </c>
      <c r="CL415" s="47">
        <v>0</v>
      </c>
      <c r="CM415" s="47">
        <v>0</v>
      </c>
      <c r="CN415" s="47">
        <v>0</v>
      </c>
      <c r="CO415" s="47">
        <v>0</v>
      </c>
      <c r="CP415" s="47">
        <v>0</v>
      </c>
      <c r="CQ415" s="47">
        <v>0</v>
      </c>
      <c r="CR415" s="47">
        <v>0</v>
      </c>
      <c r="CS415" s="47">
        <v>0</v>
      </c>
      <c r="CT415" s="47">
        <v>0</v>
      </c>
      <c r="CU415" s="47">
        <v>0</v>
      </c>
      <c r="CV415" s="47">
        <v>0</v>
      </c>
      <c r="CW415" s="47">
        <v>0</v>
      </c>
      <c r="CX415" s="47">
        <v>0</v>
      </c>
      <c r="CY415" s="47">
        <v>0</v>
      </c>
      <c r="CZ415" s="47">
        <v>0</v>
      </c>
      <c r="DA415" s="47">
        <v>0</v>
      </c>
      <c r="DB415" s="47">
        <v>0</v>
      </c>
      <c r="DC415" s="47">
        <v>0</v>
      </c>
      <c r="DD415" s="47">
        <v>0</v>
      </c>
      <c r="DE415" s="47">
        <v>0</v>
      </c>
      <c r="DF415" s="47">
        <v>0</v>
      </c>
      <c r="DG415" s="47">
        <v>0</v>
      </c>
      <c r="DH415" s="47">
        <v>0</v>
      </c>
      <c r="DI415" s="47">
        <v>0</v>
      </c>
      <c r="DJ415" s="47">
        <v>0</v>
      </c>
      <c r="DK415" s="47">
        <v>0</v>
      </c>
      <c r="DL415" s="47">
        <v>0</v>
      </c>
      <c r="DM415" s="47">
        <v>0</v>
      </c>
      <c r="DN415" s="47">
        <v>0</v>
      </c>
      <c r="DO415" s="47">
        <v>0</v>
      </c>
      <c r="DP415" s="47">
        <v>0</v>
      </c>
      <c r="DQ415" s="47">
        <v>0</v>
      </c>
      <c r="DR415" s="47">
        <v>0</v>
      </c>
      <c r="DS415" s="47">
        <v>0</v>
      </c>
      <c r="DT415" s="47">
        <v>0</v>
      </c>
      <c r="DU415" s="47">
        <v>0</v>
      </c>
      <c r="DV415" s="47">
        <v>0</v>
      </c>
      <c r="DW415" s="47">
        <v>0</v>
      </c>
      <c r="DX415" s="47">
        <v>0</v>
      </c>
      <c r="DY415" s="47">
        <v>0</v>
      </c>
      <c r="DZ415" s="47">
        <v>0</v>
      </c>
      <c r="EA415" s="47">
        <v>0</v>
      </c>
      <c r="EB415" s="47"/>
      <c r="EC415" s="47">
        <v>1</v>
      </c>
      <c r="ZZ415" t="s">
        <v>2472</v>
      </c>
    </row>
    <row r="416" spans="1:702" x14ac:dyDescent="0.25">
      <c r="A416" s="47" t="s">
        <v>1990</v>
      </c>
      <c r="B416" s="47" t="s">
        <v>153</v>
      </c>
      <c r="C416" s="47" t="s">
        <v>157</v>
      </c>
      <c r="D416" s="47" t="s">
        <v>2900</v>
      </c>
      <c r="E416" s="47" t="s">
        <v>1991</v>
      </c>
      <c r="F416" s="47" t="s">
        <v>1992</v>
      </c>
      <c r="G416" s="47" t="s">
        <v>1993</v>
      </c>
      <c r="H416" s="47" t="s">
        <v>698</v>
      </c>
      <c r="I416" s="47" t="s">
        <v>738</v>
      </c>
      <c r="J416" s="47" t="str">
        <f>=IFERROR(VLOOKUP(H416&amp;I416,Table_Fonctions!A:G,6,FALSE),"")</f>
        <v>0</v>
      </c>
      <c r="K416" s="47" t="s">
        <v>2607</v>
      </c>
      <c r="L416" s="47" t="str">
        <f>=IFERROR(VLOOKUP(H416&amp;I416,Table_Fonctions!A:G,7,FALSE),K416)</f>
        <v/>
      </c>
      <c r="M416" s="47" t="str">
        <f>=IF(OR(LEFT(D416, 3)="TJ ", LEFT(D416, 4)="CPH "), "OUI", "NON")</f>
        <v/>
      </c>
      <c r="N416" s="47" t="s">
        <v>1309</v>
      </c>
      <c r="O416" s="47"/>
      <c r="P416" s="47">
        <v>1</v>
      </c>
      <c r="Q416" s="47">
        <v>0</v>
      </c>
      <c r="R416" s="47">
        <v>1</v>
      </c>
      <c r="S416" s="47">
        <f>=ROUND(BQ416-(BR416+BS416),3)</f>
      </c>
      <c r="T416" s="47">
        <f>=ROUND(CK416-(CL416+CM416+CN416+CO416+CP416),3)</f>
      </c>
      <c r="U416" s="47">
        <v>0</v>
      </c>
      <c r="V416" s="47">
        <v>0</v>
      </c>
      <c r="W416" s="47">
        <v>0</v>
      </c>
      <c r="X416" s="47">
        <v>0</v>
      </c>
      <c r="Y416" s="47">
        <v>0</v>
      </c>
      <c r="Z416" s="47">
        <v>0</v>
      </c>
      <c r="AA416" s="47">
        <v>0</v>
      </c>
      <c r="AB416" s="47">
        <v>0</v>
      </c>
      <c r="AC416" s="47">
        <v>0</v>
      </c>
      <c r="AD416" s="47">
        <v>0</v>
      </c>
      <c r="AE416" s="47">
        <v>0</v>
      </c>
      <c r="AF416" s="47">
        <v>0</v>
      </c>
      <c r="AG416" s="47">
        <v>0</v>
      </c>
      <c r="AH416" s="47">
        <v>0</v>
      </c>
      <c r="AI416" s="47">
        <v>0</v>
      </c>
      <c r="AJ416" s="47">
        <v>0</v>
      </c>
      <c r="AK416" s="47">
        <v>0</v>
      </c>
      <c r="AL416" s="47">
        <v>0</v>
      </c>
      <c r="AM416" s="47">
        <v>0</v>
      </c>
      <c r="AN416" s="47">
        <v>0</v>
      </c>
      <c r="AO416" s="47">
        <v>0</v>
      </c>
      <c r="AP416" s="47">
        <v>0</v>
      </c>
      <c r="AQ416" s="47">
        <v>0</v>
      </c>
      <c r="AR416" s="47">
        <v>0</v>
      </c>
      <c r="AS416" s="47">
        <v>0</v>
      </c>
      <c r="AT416" s="47">
        <v>0</v>
      </c>
      <c r="AU416" s="47">
        <v>0</v>
      </c>
      <c r="AV416" s="47">
        <v>0</v>
      </c>
      <c r="AW416" s="47">
        <v>0</v>
      </c>
      <c r="AX416" s="47">
        <v>0</v>
      </c>
      <c r="AY416" s="47">
        <v>0</v>
      </c>
      <c r="AZ416" s="47">
        <v>0</v>
      </c>
      <c r="BA416" s="47">
        <v>0</v>
      </c>
      <c r="BB416" s="47">
        <v>0</v>
      </c>
      <c r="BC416" s="47">
        <v>0</v>
      </c>
      <c r="BD416" s="47">
        <v>0</v>
      </c>
      <c r="BE416" s="47">
        <v>0</v>
      </c>
      <c r="BF416" s="47">
        <v>0</v>
      </c>
      <c r="BG416" s="47">
        <v>0</v>
      </c>
      <c r="BH416" s="47">
        <v>0</v>
      </c>
      <c r="BI416" s="47">
        <v>0</v>
      </c>
      <c r="BJ416" s="47">
        <v>0</v>
      </c>
      <c r="BK416" s="47">
        <v>0</v>
      </c>
      <c r="BL416" s="47">
        <v>0</v>
      </c>
      <c r="BM416" s="47">
        <v>0</v>
      </c>
      <c r="BN416" s="47">
        <v>0</v>
      </c>
      <c r="BO416" s="47">
        <v>0</v>
      </c>
      <c r="BP416" s="47">
        <v>0</v>
      </c>
      <c r="BQ416" s="47">
        <v>0</v>
      </c>
      <c r="BR416" s="47">
        <v>0</v>
      </c>
      <c r="BS416" s="47">
        <v>0</v>
      </c>
      <c r="BT416" s="47">
        <v>0</v>
      </c>
      <c r="BU416" s="47">
        <v>0</v>
      </c>
      <c r="BV416" s="47">
        <v>0</v>
      </c>
      <c r="BW416" s="47">
        <v>0</v>
      </c>
      <c r="BX416" s="47">
        <v>0</v>
      </c>
      <c r="BY416" s="47">
        <v>0</v>
      </c>
      <c r="BZ416" s="47">
        <v>0</v>
      </c>
      <c r="CA416" s="47">
        <v>0</v>
      </c>
      <c r="CB416" s="47">
        <v>0</v>
      </c>
      <c r="CC416" s="47">
        <v>0</v>
      </c>
      <c r="CD416" s="47">
        <v>0</v>
      </c>
      <c r="CE416" s="47">
        <v>0</v>
      </c>
      <c r="CF416" s="47">
        <v>0</v>
      </c>
      <c r="CG416" s="47">
        <v>0</v>
      </c>
      <c r="CH416" s="47">
        <v>0</v>
      </c>
      <c r="CI416" s="47">
        <v>0</v>
      </c>
      <c r="CJ416" s="47">
        <v>0</v>
      </c>
      <c r="CK416" s="47">
        <v>0</v>
      </c>
      <c r="CL416" s="47">
        <v>0</v>
      </c>
      <c r="CM416" s="47">
        <v>0</v>
      </c>
      <c r="CN416" s="47">
        <v>0</v>
      </c>
      <c r="CO416" s="47">
        <v>0</v>
      </c>
      <c r="CP416" s="47">
        <v>0</v>
      </c>
      <c r="CQ416" s="47">
        <v>0</v>
      </c>
      <c r="CR416" s="47">
        <v>0</v>
      </c>
      <c r="CS416" s="47">
        <v>0</v>
      </c>
      <c r="CT416" s="47">
        <v>0</v>
      </c>
      <c r="CU416" s="47">
        <v>0</v>
      </c>
      <c r="CV416" s="47">
        <v>0</v>
      </c>
      <c r="CW416" s="47">
        <v>0</v>
      </c>
      <c r="CX416" s="47">
        <v>0</v>
      </c>
      <c r="CY416" s="47">
        <v>0</v>
      </c>
      <c r="CZ416" s="47">
        <v>0</v>
      </c>
      <c r="DA416" s="47">
        <v>0</v>
      </c>
      <c r="DB416" s="47">
        <v>0</v>
      </c>
      <c r="DC416" s="47">
        <v>0</v>
      </c>
      <c r="DD416" s="47">
        <v>0</v>
      </c>
      <c r="DE416" s="47">
        <v>0</v>
      </c>
      <c r="DF416" s="47">
        <v>0</v>
      </c>
      <c r="DG416" s="47">
        <v>0</v>
      </c>
      <c r="DH416" s="47">
        <v>0</v>
      </c>
      <c r="DI416" s="47">
        <v>0</v>
      </c>
      <c r="DJ416" s="47">
        <v>0</v>
      </c>
      <c r="DK416" s="47">
        <v>0</v>
      </c>
      <c r="DL416" s="47">
        <v>0</v>
      </c>
      <c r="DM416" s="47">
        <v>0</v>
      </c>
      <c r="DN416" s="47">
        <v>0</v>
      </c>
      <c r="DO416" s="47">
        <v>0</v>
      </c>
      <c r="DP416" s="47">
        <v>0</v>
      </c>
      <c r="DQ416" s="47">
        <v>0</v>
      </c>
      <c r="DR416" s="47">
        <v>0</v>
      </c>
      <c r="DS416" s="47">
        <v>0</v>
      </c>
      <c r="DT416" s="47">
        <v>0</v>
      </c>
      <c r="DU416" s="47">
        <v>0</v>
      </c>
      <c r="DV416" s="47">
        <v>0</v>
      </c>
      <c r="DW416" s="47">
        <v>0</v>
      </c>
      <c r="DX416" s="47">
        <v>0</v>
      </c>
      <c r="DY416" s="47">
        <v>0</v>
      </c>
      <c r="DZ416" s="47">
        <v>0</v>
      </c>
      <c r="EA416" s="47">
        <v>0</v>
      </c>
      <c r="EB416" s="47"/>
      <c r="EC416" s="47">
        <v>1</v>
      </c>
      <c r="ZZ416" t="s">
        <v>2472</v>
      </c>
    </row>
    <row r="417" spans="1:702" x14ac:dyDescent="0.25">
      <c r="A417" s="47" t="s">
        <v>1994</v>
      </c>
      <c r="B417" s="47" t="s">
        <v>153</v>
      </c>
      <c r="C417" s="47" t="s">
        <v>157</v>
      </c>
      <c r="D417" s="47" t="s">
        <v>2901</v>
      </c>
      <c r="E417" s="47" t="s">
        <v>1995</v>
      </c>
      <c r="F417" s="47" t="s">
        <v>1996</v>
      </c>
      <c r="G417" s="47" t="s">
        <v>1997</v>
      </c>
      <c r="H417" s="47" t="s">
        <v>698</v>
      </c>
      <c r="I417" s="47" t="s">
        <v>727</v>
      </c>
      <c r="J417" s="47" t="str">
        <f>=IFERROR(VLOOKUP(H417&amp;I417,Table_Fonctions!A:G,6,FALSE),"")</f>
        <v>0</v>
      </c>
      <c r="K417" s="47" t="s">
        <v>2607</v>
      </c>
      <c r="L417" s="47" t="str">
        <f>=IFERROR(VLOOKUP(H417&amp;I417,Table_Fonctions!A:G,7,FALSE),K417)</f>
        <v/>
      </c>
      <c r="M417" s="47" t="str">
        <f>=IF(OR(LEFT(D417, 3)="TJ ", LEFT(D417, 4)="CPH "), "OUI", "NON")</f>
        <v/>
      </c>
      <c r="N417" s="47" t="s">
        <v>593</v>
      </c>
      <c r="O417" s="47"/>
      <c r="P417" s="47">
        <v>1</v>
      </c>
      <c r="Q417" s="47">
        <v>0</v>
      </c>
      <c r="R417" s="47">
        <v>1</v>
      </c>
      <c r="S417" s="47">
        <f>=ROUND(BQ417-(BR417+BS417),3)</f>
      </c>
      <c r="T417" s="47">
        <f>=ROUND(CK417-(CL417+CM417+CN417+CO417+CP417),3)</f>
      </c>
      <c r="U417" s="47">
        <v>0</v>
      </c>
      <c r="V417" s="47">
        <v>0</v>
      </c>
      <c r="W417" s="47">
        <v>0</v>
      </c>
      <c r="X417" s="47">
        <v>0</v>
      </c>
      <c r="Y417" s="47">
        <v>0</v>
      </c>
      <c r="Z417" s="47">
        <v>0</v>
      </c>
      <c r="AA417" s="47">
        <v>0</v>
      </c>
      <c r="AB417" s="47">
        <v>0</v>
      </c>
      <c r="AC417" s="47">
        <v>0</v>
      </c>
      <c r="AD417" s="47">
        <v>0</v>
      </c>
      <c r="AE417" s="47">
        <v>0</v>
      </c>
      <c r="AF417" s="47">
        <v>0</v>
      </c>
      <c r="AG417" s="47">
        <v>0</v>
      </c>
      <c r="AH417" s="47">
        <v>0</v>
      </c>
      <c r="AI417" s="47">
        <v>0</v>
      </c>
      <c r="AJ417" s="47">
        <v>0</v>
      </c>
      <c r="AK417" s="47">
        <v>0</v>
      </c>
      <c r="AL417" s="47">
        <v>0</v>
      </c>
      <c r="AM417" s="47">
        <v>0</v>
      </c>
      <c r="AN417" s="47">
        <v>0</v>
      </c>
      <c r="AO417" s="47">
        <v>0</v>
      </c>
      <c r="AP417" s="47">
        <v>0</v>
      </c>
      <c r="AQ417" s="47">
        <v>0</v>
      </c>
      <c r="AR417" s="47">
        <v>0</v>
      </c>
      <c r="AS417" s="47">
        <v>0</v>
      </c>
      <c r="AT417" s="47">
        <v>0</v>
      </c>
      <c r="AU417" s="47">
        <v>0</v>
      </c>
      <c r="AV417" s="47">
        <v>0</v>
      </c>
      <c r="AW417" s="47">
        <v>0</v>
      </c>
      <c r="AX417" s="47">
        <v>0</v>
      </c>
      <c r="AY417" s="47">
        <v>0</v>
      </c>
      <c r="AZ417" s="47">
        <v>0</v>
      </c>
      <c r="BA417" s="47">
        <v>0</v>
      </c>
      <c r="BB417" s="47">
        <v>0</v>
      </c>
      <c r="BC417" s="47">
        <v>0</v>
      </c>
      <c r="BD417" s="47">
        <v>0</v>
      </c>
      <c r="BE417" s="47">
        <v>0</v>
      </c>
      <c r="BF417" s="47">
        <v>0</v>
      </c>
      <c r="BG417" s="47">
        <v>0</v>
      </c>
      <c r="BH417" s="47">
        <v>0</v>
      </c>
      <c r="BI417" s="47">
        <v>0</v>
      </c>
      <c r="BJ417" s="47">
        <v>0</v>
      </c>
      <c r="BK417" s="47">
        <v>0</v>
      </c>
      <c r="BL417" s="47">
        <v>0</v>
      </c>
      <c r="BM417" s="47">
        <v>0</v>
      </c>
      <c r="BN417" s="47">
        <v>0</v>
      </c>
      <c r="BO417" s="47">
        <v>0</v>
      </c>
      <c r="BP417" s="47">
        <v>0</v>
      </c>
      <c r="BQ417" s="47">
        <v>0</v>
      </c>
      <c r="BR417" s="47">
        <v>0</v>
      </c>
      <c r="BS417" s="47">
        <v>0</v>
      </c>
      <c r="BT417" s="47">
        <v>0</v>
      </c>
      <c r="BU417" s="47">
        <v>0</v>
      </c>
      <c r="BV417" s="47">
        <v>0</v>
      </c>
      <c r="BW417" s="47">
        <v>0</v>
      </c>
      <c r="BX417" s="47">
        <v>0</v>
      </c>
      <c r="BY417" s="47">
        <v>0</v>
      </c>
      <c r="BZ417" s="47">
        <v>0</v>
      </c>
      <c r="CA417" s="47">
        <v>0</v>
      </c>
      <c r="CB417" s="47">
        <v>0</v>
      </c>
      <c r="CC417" s="47">
        <v>0</v>
      </c>
      <c r="CD417" s="47">
        <v>0</v>
      </c>
      <c r="CE417" s="47">
        <v>0</v>
      </c>
      <c r="CF417" s="47">
        <v>0</v>
      </c>
      <c r="CG417" s="47">
        <v>0</v>
      </c>
      <c r="CH417" s="47">
        <v>0</v>
      </c>
      <c r="CI417" s="47">
        <v>0</v>
      </c>
      <c r="CJ417" s="47">
        <v>0</v>
      </c>
      <c r="CK417" s="47">
        <v>0</v>
      </c>
      <c r="CL417" s="47">
        <v>0</v>
      </c>
      <c r="CM417" s="47">
        <v>0</v>
      </c>
      <c r="CN417" s="47">
        <v>0</v>
      </c>
      <c r="CO417" s="47">
        <v>0</v>
      </c>
      <c r="CP417" s="47">
        <v>0</v>
      </c>
      <c r="CQ417" s="47">
        <v>0</v>
      </c>
      <c r="CR417" s="47">
        <v>0</v>
      </c>
      <c r="CS417" s="47">
        <v>0</v>
      </c>
      <c r="CT417" s="47">
        <v>0</v>
      </c>
      <c r="CU417" s="47">
        <v>0</v>
      </c>
      <c r="CV417" s="47">
        <v>0</v>
      </c>
      <c r="CW417" s="47">
        <v>0</v>
      </c>
      <c r="CX417" s="47">
        <v>0</v>
      </c>
      <c r="CY417" s="47">
        <v>0</v>
      </c>
      <c r="CZ417" s="47">
        <v>0</v>
      </c>
      <c r="DA417" s="47">
        <v>0</v>
      </c>
      <c r="DB417" s="47">
        <v>0</v>
      </c>
      <c r="DC417" s="47">
        <v>0</v>
      </c>
      <c r="DD417" s="47">
        <v>0</v>
      </c>
      <c r="DE417" s="47">
        <v>0</v>
      </c>
      <c r="DF417" s="47">
        <v>0</v>
      </c>
      <c r="DG417" s="47">
        <v>0</v>
      </c>
      <c r="DH417" s="47">
        <v>0</v>
      </c>
      <c r="DI417" s="47">
        <v>0</v>
      </c>
      <c r="DJ417" s="47">
        <v>0</v>
      </c>
      <c r="DK417" s="47">
        <v>0</v>
      </c>
      <c r="DL417" s="47">
        <v>0</v>
      </c>
      <c r="DM417" s="47">
        <v>0</v>
      </c>
      <c r="DN417" s="47">
        <v>0</v>
      </c>
      <c r="DO417" s="47">
        <v>0</v>
      </c>
      <c r="DP417" s="47">
        <v>0</v>
      </c>
      <c r="DQ417" s="47">
        <v>0</v>
      </c>
      <c r="DR417" s="47">
        <v>0</v>
      </c>
      <c r="DS417" s="47">
        <v>0</v>
      </c>
      <c r="DT417" s="47">
        <v>0</v>
      </c>
      <c r="DU417" s="47">
        <v>0</v>
      </c>
      <c r="DV417" s="47">
        <v>0</v>
      </c>
      <c r="DW417" s="47">
        <v>0</v>
      </c>
      <c r="DX417" s="47">
        <v>0</v>
      </c>
      <c r="DY417" s="47">
        <v>0</v>
      </c>
      <c r="DZ417" s="47">
        <v>0</v>
      </c>
      <c r="EA417" s="47">
        <v>0</v>
      </c>
      <c r="EB417" s="47"/>
      <c r="EC417" s="47">
        <v>1</v>
      </c>
      <c r="ZZ417" t="s">
        <v>2472</v>
      </c>
    </row>
    <row r="418" spans="1:702" x14ac:dyDescent="0.25">
      <c r="A418" s="47" t="s">
        <v>1998</v>
      </c>
      <c r="B418" s="47" t="s">
        <v>153</v>
      </c>
      <c r="C418" s="47" t="s">
        <v>157</v>
      </c>
      <c r="D418" s="47" t="s">
        <v>2902</v>
      </c>
      <c r="E418" s="47" t="s">
        <v>1999</v>
      </c>
      <c r="F418" s="47" t="s">
        <v>2000</v>
      </c>
      <c r="G418" s="47" t="s">
        <v>2001</v>
      </c>
      <c r="H418" s="47" t="s">
        <v>698</v>
      </c>
      <c r="I418" s="47" t="s">
        <v>727</v>
      </c>
      <c r="J418" s="47" t="str">
        <f>=IFERROR(VLOOKUP(H418&amp;I418,Table_Fonctions!A:G,6,FALSE),"")</f>
        <v>0</v>
      </c>
      <c r="K418" s="47" t="s">
        <v>2607</v>
      </c>
      <c r="L418" s="47" t="str">
        <f>=IFERROR(VLOOKUP(H418&amp;I418,Table_Fonctions!A:G,7,FALSE),K418)</f>
        <v/>
      </c>
      <c r="M418" s="47" t="str">
        <f>=IF(OR(LEFT(D418, 3)="TJ ", LEFT(D418, 4)="CPH "), "OUI", "NON")</f>
        <v/>
      </c>
      <c r="N418" s="47" t="s">
        <v>806</v>
      </c>
      <c r="O418" s="47"/>
      <c r="P418" s="47">
        <v>1</v>
      </c>
      <c r="Q418" s="47">
        <v>1</v>
      </c>
      <c r="R418" s="47">
        <v>0</v>
      </c>
      <c r="S418" s="47">
        <f>=ROUND(BQ418-(BR418+BS418),3)</f>
      </c>
      <c r="T418" s="47">
        <f>=ROUND(CK418-(CL418+CM418+CN418+CO418+CP418),3)</f>
      </c>
      <c r="U418" s="47">
        <v>0</v>
      </c>
      <c r="V418" s="47">
        <v>0</v>
      </c>
      <c r="W418" s="47">
        <v>0</v>
      </c>
      <c r="X418" s="47">
        <v>0</v>
      </c>
      <c r="Y418" s="47">
        <v>0</v>
      </c>
      <c r="Z418" s="47">
        <v>0</v>
      </c>
      <c r="AA418" s="47">
        <v>0</v>
      </c>
      <c r="AB418" s="47">
        <v>0</v>
      </c>
      <c r="AC418" s="47">
        <v>0</v>
      </c>
      <c r="AD418" s="47">
        <v>0</v>
      </c>
      <c r="AE418" s="47">
        <v>0</v>
      </c>
      <c r="AF418" s="47">
        <v>0</v>
      </c>
      <c r="AG418" s="47">
        <v>0</v>
      </c>
      <c r="AH418" s="47">
        <v>0</v>
      </c>
      <c r="AI418" s="47">
        <v>0</v>
      </c>
      <c r="AJ418" s="47">
        <v>0</v>
      </c>
      <c r="AK418" s="47">
        <v>0</v>
      </c>
      <c r="AL418" s="47">
        <v>0</v>
      </c>
      <c r="AM418" s="47">
        <v>0</v>
      </c>
      <c r="AN418" s="47">
        <v>0</v>
      </c>
      <c r="AO418" s="47">
        <v>0</v>
      </c>
      <c r="AP418" s="47">
        <v>0</v>
      </c>
      <c r="AQ418" s="47">
        <v>0</v>
      </c>
      <c r="AR418" s="47">
        <v>0</v>
      </c>
      <c r="AS418" s="47">
        <v>0</v>
      </c>
      <c r="AT418" s="47">
        <v>0</v>
      </c>
      <c r="AU418" s="47">
        <v>0</v>
      </c>
      <c r="AV418" s="47">
        <v>0</v>
      </c>
      <c r="AW418" s="47">
        <v>0</v>
      </c>
      <c r="AX418" s="47">
        <v>0</v>
      </c>
      <c r="AY418" s="47">
        <v>0</v>
      </c>
      <c r="AZ418" s="47">
        <v>0</v>
      </c>
      <c r="BA418" s="47">
        <v>0</v>
      </c>
      <c r="BB418" s="47">
        <v>0</v>
      </c>
      <c r="BC418" s="47">
        <v>0</v>
      </c>
      <c r="BD418" s="47">
        <v>0</v>
      </c>
      <c r="BE418" s="47">
        <v>0</v>
      </c>
      <c r="BF418" s="47">
        <v>0</v>
      </c>
      <c r="BG418" s="47">
        <v>0</v>
      </c>
      <c r="BH418" s="47">
        <v>0</v>
      </c>
      <c r="BI418" s="47">
        <v>0</v>
      </c>
      <c r="BJ418" s="47">
        <v>0</v>
      </c>
      <c r="BK418" s="47">
        <v>0</v>
      </c>
      <c r="BL418" s="47">
        <v>0</v>
      </c>
      <c r="BM418" s="47">
        <v>1</v>
      </c>
      <c r="BN418" s="47">
        <v>0</v>
      </c>
      <c r="BO418" s="47">
        <v>0</v>
      </c>
      <c r="BP418" s="47">
        <v>0</v>
      </c>
      <c r="BQ418" s="47">
        <v>0</v>
      </c>
      <c r="BR418" s="47">
        <v>0</v>
      </c>
      <c r="BS418" s="47">
        <v>0</v>
      </c>
      <c r="BT418" s="47">
        <v>0</v>
      </c>
      <c r="BU418" s="47">
        <v>0</v>
      </c>
      <c r="BV418" s="47">
        <v>0</v>
      </c>
      <c r="BW418" s="47">
        <v>0</v>
      </c>
      <c r="BX418" s="47">
        <v>0</v>
      </c>
      <c r="BY418" s="47">
        <v>0</v>
      </c>
      <c r="BZ418" s="47">
        <v>0</v>
      </c>
      <c r="CA418" s="47">
        <v>0</v>
      </c>
      <c r="CB418" s="47">
        <v>0</v>
      </c>
      <c r="CC418" s="47">
        <v>0</v>
      </c>
      <c r="CD418" s="47">
        <v>0</v>
      </c>
      <c r="CE418" s="47">
        <v>0</v>
      </c>
      <c r="CF418" s="47">
        <v>0</v>
      </c>
      <c r="CG418" s="47">
        <v>0</v>
      </c>
      <c r="CH418" s="47">
        <v>0</v>
      </c>
      <c r="CI418" s="47">
        <v>0</v>
      </c>
      <c r="CJ418" s="47">
        <v>0</v>
      </c>
      <c r="CK418" s="47">
        <v>0</v>
      </c>
      <c r="CL418" s="47">
        <v>0</v>
      </c>
      <c r="CM418" s="47">
        <v>0</v>
      </c>
      <c r="CN418" s="47">
        <v>0</v>
      </c>
      <c r="CO418" s="47">
        <v>0</v>
      </c>
      <c r="CP418" s="47">
        <v>0</v>
      </c>
      <c r="CQ418" s="47">
        <v>0</v>
      </c>
      <c r="CR418" s="47">
        <v>0</v>
      </c>
      <c r="CS418" s="47">
        <v>0</v>
      </c>
      <c r="CT418" s="47">
        <v>0</v>
      </c>
      <c r="CU418" s="47">
        <v>0</v>
      </c>
      <c r="CV418" s="47">
        <v>0</v>
      </c>
      <c r="CW418" s="47">
        <v>0</v>
      </c>
      <c r="CX418" s="47">
        <v>0</v>
      </c>
      <c r="CY418" s="47">
        <v>0</v>
      </c>
      <c r="CZ418" s="47">
        <v>0</v>
      </c>
      <c r="DA418" s="47">
        <v>0</v>
      </c>
      <c r="DB418" s="47">
        <v>0</v>
      </c>
      <c r="DC418" s="47">
        <v>0</v>
      </c>
      <c r="DD418" s="47">
        <v>0</v>
      </c>
      <c r="DE418" s="47">
        <v>0</v>
      </c>
      <c r="DF418" s="47">
        <v>0</v>
      </c>
      <c r="DG418" s="47">
        <v>0</v>
      </c>
      <c r="DH418" s="47">
        <v>0</v>
      </c>
      <c r="DI418" s="47">
        <v>0</v>
      </c>
      <c r="DJ418" s="47">
        <v>0</v>
      </c>
      <c r="DK418" s="47">
        <v>0</v>
      </c>
      <c r="DL418" s="47">
        <v>0</v>
      </c>
      <c r="DM418" s="47">
        <v>0</v>
      </c>
      <c r="DN418" s="47">
        <v>0</v>
      </c>
      <c r="DO418" s="47">
        <v>0</v>
      </c>
      <c r="DP418" s="47">
        <v>0</v>
      </c>
      <c r="DQ418" s="47">
        <v>0</v>
      </c>
      <c r="DR418" s="47">
        <v>0</v>
      </c>
      <c r="DS418" s="47">
        <v>0</v>
      </c>
      <c r="DT418" s="47">
        <v>0</v>
      </c>
      <c r="DU418" s="47">
        <v>0</v>
      </c>
      <c r="DV418" s="47">
        <v>0</v>
      </c>
      <c r="DW418" s="47">
        <v>0</v>
      </c>
      <c r="DX418" s="47">
        <v>0</v>
      </c>
      <c r="DY418" s="47">
        <v>0</v>
      </c>
      <c r="DZ418" s="47">
        <v>0</v>
      </c>
      <c r="EA418" s="47">
        <v>0</v>
      </c>
      <c r="EB418" s="47"/>
      <c r="EC418" s="47">
        <v>1</v>
      </c>
      <c r="ZZ418" t="s">
        <v>2472</v>
      </c>
    </row>
    <row r="419" spans="1:702" x14ac:dyDescent="0.25">
      <c r="A419" s="47" t="s">
        <v>2002</v>
      </c>
      <c r="B419" s="47" t="s">
        <v>153</v>
      </c>
      <c r="C419" s="47" t="s">
        <v>157</v>
      </c>
      <c r="D419" s="47" t="s">
        <v>2903</v>
      </c>
      <c r="E419" s="47" t="s">
        <v>2003</v>
      </c>
      <c r="F419" s="47" t="s">
        <v>2004</v>
      </c>
      <c r="G419" s="47" t="s">
        <v>2005</v>
      </c>
      <c r="H419" s="47" t="s">
        <v>698</v>
      </c>
      <c r="I419" s="47" t="s">
        <v>727</v>
      </c>
      <c r="J419" s="47" t="str">
        <f>=IFERROR(VLOOKUP(H419&amp;I419,Table_Fonctions!A:G,6,FALSE),"")</f>
        <v>0</v>
      </c>
      <c r="K419" s="47" t="s">
        <v>2607</v>
      </c>
      <c r="L419" s="47" t="str">
        <f>=IFERROR(VLOOKUP(H419&amp;I419,Table_Fonctions!A:G,7,FALSE),K419)</f>
        <v/>
      </c>
      <c r="M419" s="47" t="str">
        <f>=IF(OR(LEFT(D419, 3)="TJ ", LEFT(D419, 4)="CPH "), "OUI", "NON")</f>
        <v/>
      </c>
      <c r="N419" s="47" t="s">
        <v>1368</v>
      </c>
      <c r="O419" s="47"/>
      <c r="P419" s="47">
        <v>1</v>
      </c>
      <c r="Q419" s="47">
        <v>0</v>
      </c>
      <c r="R419" s="47">
        <v>1</v>
      </c>
      <c r="S419" s="47">
        <f>=ROUND(BQ419-(BR419+BS419),3)</f>
      </c>
      <c r="T419" s="47">
        <f>=ROUND(CK419-(CL419+CM419+CN419+CO419+CP419),3)</f>
      </c>
      <c r="U419" s="47">
        <v>0</v>
      </c>
      <c r="V419" s="47">
        <v>0</v>
      </c>
      <c r="W419" s="47">
        <v>0</v>
      </c>
      <c r="X419" s="47">
        <v>0</v>
      </c>
      <c r="Y419" s="47">
        <v>0</v>
      </c>
      <c r="Z419" s="47">
        <v>0</v>
      </c>
      <c r="AA419" s="47">
        <v>0</v>
      </c>
      <c r="AB419" s="47">
        <v>0</v>
      </c>
      <c r="AC419" s="47">
        <v>0</v>
      </c>
      <c r="AD419" s="47">
        <v>0</v>
      </c>
      <c r="AE419" s="47">
        <v>0</v>
      </c>
      <c r="AF419" s="47">
        <v>0</v>
      </c>
      <c r="AG419" s="47">
        <v>0</v>
      </c>
      <c r="AH419" s="47">
        <v>0</v>
      </c>
      <c r="AI419" s="47">
        <v>0</v>
      </c>
      <c r="AJ419" s="47">
        <v>0</v>
      </c>
      <c r="AK419" s="47">
        <v>0</v>
      </c>
      <c r="AL419" s="47">
        <v>0</v>
      </c>
      <c r="AM419" s="47">
        <v>0</v>
      </c>
      <c r="AN419" s="47">
        <v>0</v>
      </c>
      <c r="AO419" s="47">
        <v>0</v>
      </c>
      <c r="AP419" s="47">
        <v>0</v>
      </c>
      <c r="AQ419" s="47">
        <v>0</v>
      </c>
      <c r="AR419" s="47">
        <v>0</v>
      </c>
      <c r="AS419" s="47">
        <v>0</v>
      </c>
      <c r="AT419" s="47">
        <v>0</v>
      </c>
      <c r="AU419" s="47">
        <v>0</v>
      </c>
      <c r="AV419" s="47">
        <v>0</v>
      </c>
      <c r="AW419" s="47">
        <v>0</v>
      </c>
      <c r="AX419" s="47">
        <v>0</v>
      </c>
      <c r="AY419" s="47">
        <v>0</v>
      </c>
      <c r="AZ419" s="47">
        <v>0</v>
      </c>
      <c r="BA419" s="47">
        <v>0</v>
      </c>
      <c r="BB419" s="47">
        <v>0</v>
      </c>
      <c r="BC419" s="47">
        <v>0</v>
      </c>
      <c r="BD419" s="47">
        <v>0</v>
      </c>
      <c r="BE419" s="47">
        <v>0</v>
      </c>
      <c r="BF419" s="47">
        <v>0</v>
      </c>
      <c r="BG419" s="47">
        <v>0</v>
      </c>
      <c r="BH419" s="47">
        <v>0</v>
      </c>
      <c r="BI419" s="47">
        <v>0</v>
      </c>
      <c r="BJ419" s="47">
        <v>0</v>
      </c>
      <c r="BK419" s="47">
        <v>0</v>
      </c>
      <c r="BL419" s="47">
        <v>0</v>
      </c>
      <c r="BM419" s="47">
        <v>0</v>
      </c>
      <c r="BN419" s="47">
        <v>0</v>
      </c>
      <c r="BO419" s="47">
        <v>0</v>
      </c>
      <c r="BP419" s="47">
        <v>0</v>
      </c>
      <c r="BQ419" s="47">
        <v>0</v>
      </c>
      <c r="BR419" s="47">
        <v>0</v>
      </c>
      <c r="BS419" s="47">
        <v>0</v>
      </c>
      <c r="BT419" s="47">
        <v>0</v>
      </c>
      <c r="BU419" s="47">
        <v>0</v>
      </c>
      <c r="BV419" s="47">
        <v>0</v>
      </c>
      <c r="BW419" s="47">
        <v>0</v>
      </c>
      <c r="BX419" s="47">
        <v>0</v>
      </c>
      <c r="BY419" s="47">
        <v>0</v>
      </c>
      <c r="BZ419" s="47">
        <v>0</v>
      </c>
      <c r="CA419" s="47">
        <v>0</v>
      </c>
      <c r="CB419" s="47">
        <v>0</v>
      </c>
      <c r="CC419" s="47">
        <v>0</v>
      </c>
      <c r="CD419" s="47">
        <v>0</v>
      </c>
      <c r="CE419" s="47">
        <v>0</v>
      </c>
      <c r="CF419" s="47">
        <v>0</v>
      </c>
      <c r="CG419" s="47">
        <v>0</v>
      </c>
      <c r="CH419" s="47">
        <v>0</v>
      </c>
      <c r="CI419" s="47">
        <v>0</v>
      </c>
      <c r="CJ419" s="47">
        <v>0</v>
      </c>
      <c r="CK419" s="47">
        <v>0</v>
      </c>
      <c r="CL419" s="47">
        <v>0</v>
      </c>
      <c r="CM419" s="47">
        <v>0</v>
      </c>
      <c r="CN419" s="47">
        <v>0</v>
      </c>
      <c r="CO419" s="47">
        <v>0</v>
      </c>
      <c r="CP419" s="47">
        <v>0</v>
      </c>
      <c r="CQ419" s="47">
        <v>0</v>
      </c>
      <c r="CR419" s="47">
        <v>0</v>
      </c>
      <c r="CS419" s="47">
        <v>0</v>
      </c>
      <c r="CT419" s="47">
        <v>0</v>
      </c>
      <c r="CU419" s="47">
        <v>0</v>
      </c>
      <c r="CV419" s="47">
        <v>0</v>
      </c>
      <c r="CW419" s="47">
        <v>0</v>
      </c>
      <c r="CX419" s="47">
        <v>0</v>
      </c>
      <c r="CY419" s="47">
        <v>0</v>
      </c>
      <c r="CZ419" s="47">
        <v>0</v>
      </c>
      <c r="DA419" s="47">
        <v>0</v>
      </c>
      <c r="DB419" s="47">
        <v>0</v>
      </c>
      <c r="DC419" s="47">
        <v>0</v>
      </c>
      <c r="DD419" s="47">
        <v>0</v>
      </c>
      <c r="DE419" s="47">
        <v>0</v>
      </c>
      <c r="DF419" s="47">
        <v>0</v>
      </c>
      <c r="DG419" s="47">
        <v>0</v>
      </c>
      <c r="DH419" s="47">
        <v>0</v>
      </c>
      <c r="DI419" s="47">
        <v>0</v>
      </c>
      <c r="DJ419" s="47">
        <v>0</v>
      </c>
      <c r="DK419" s="47">
        <v>0</v>
      </c>
      <c r="DL419" s="47">
        <v>0</v>
      </c>
      <c r="DM419" s="47">
        <v>0</v>
      </c>
      <c r="DN419" s="47">
        <v>0</v>
      </c>
      <c r="DO419" s="47">
        <v>0</v>
      </c>
      <c r="DP419" s="47">
        <v>0</v>
      </c>
      <c r="DQ419" s="47">
        <v>0</v>
      </c>
      <c r="DR419" s="47">
        <v>0</v>
      </c>
      <c r="DS419" s="47">
        <v>0</v>
      </c>
      <c r="DT419" s="47">
        <v>0</v>
      </c>
      <c r="DU419" s="47">
        <v>0</v>
      </c>
      <c r="DV419" s="47">
        <v>0</v>
      </c>
      <c r="DW419" s="47">
        <v>0</v>
      </c>
      <c r="DX419" s="47">
        <v>0</v>
      </c>
      <c r="DY419" s="47">
        <v>0</v>
      </c>
      <c r="DZ419" s="47">
        <v>0</v>
      </c>
      <c r="EA419" s="47">
        <v>0</v>
      </c>
      <c r="EB419" s="47"/>
      <c r="EC419" s="47">
        <v>1</v>
      </c>
      <c r="ZZ419" t="s">
        <v>2472</v>
      </c>
    </row>
    <row r="420" spans="1:702" x14ac:dyDescent="0.25">
      <c r="A420" s="47" t="s">
        <v>2006</v>
      </c>
      <c r="B420" s="47" t="s">
        <v>153</v>
      </c>
      <c r="C420" s="47" t="s">
        <v>157</v>
      </c>
      <c r="D420" s="47" t="s">
        <v>2904</v>
      </c>
      <c r="E420" s="47" t="s">
        <v>2007</v>
      </c>
      <c r="F420" s="47" t="s">
        <v>2008</v>
      </c>
      <c r="G420" s="47" t="s">
        <v>2009</v>
      </c>
      <c r="H420" s="47" t="s">
        <v>698</v>
      </c>
      <c r="I420" s="47" t="s">
        <v>705</v>
      </c>
      <c r="J420" s="47" t="str">
        <f>=IFERROR(VLOOKUP(H420&amp;I420,Table_Fonctions!A:G,6,FALSE),"")</f>
        <v>0</v>
      </c>
      <c r="K420" s="47" t="s">
        <v>2607</v>
      </c>
      <c r="L420" s="47" t="str">
        <f>=IFERROR(VLOOKUP(H420&amp;I420,Table_Fonctions!A:G,7,FALSE),K420)</f>
        <v/>
      </c>
      <c r="M420" s="47" t="str">
        <f>=IF(OR(LEFT(D420, 3)="TJ ", LEFT(D420, 4)="CPH "), "OUI", "NON")</f>
        <v/>
      </c>
      <c r="N420" s="47" t="s">
        <v>2010</v>
      </c>
      <c r="O420" s="47"/>
      <c r="P420" s="47">
        <v>0.5</v>
      </c>
      <c r="Q420" s="47">
        <v>0</v>
      </c>
      <c r="R420" s="47">
        <v>0.5</v>
      </c>
      <c r="S420" s="47">
        <f>=ROUND(BQ420-(BR420+BS420),3)</f>
      </c>
      <c r="T420" s="47">
        <f>=ROUND(CK420-(CL420+CM420+CN420+CO420+CP420),3)</f>
      </c>
      <c r="U420" s="47">
        <v>0</v>
      </c>
      <c r="V420" s="47">
        <v>0</v>
      </c>
      <c r="W420" s="47">
        <v>0</v>
      </c>
      <c r="X420" s="47">
        <v>0</v>
      </c>
      <c r="Y420" s="47">
        <v>0</v>
      </c>
      <c r="Z420" s="47">
        <v>0</v>
      </c>
      <c r="AA420" s="47">
        <v>0</v>
      </c>
      <c r="AB420" s="47">
        <v>0</v>
      </c>
      <c r="AC420" s="47">
        <v>0</v>
      </c>
      <c r="AD420" s="47">
        <v>0</v>
      </c>
      <c r="AE420" s="47">
        <v>0</v>
      </c>
      <c r="AF420" s="47">
        <v>0</v>
      </c>
      <c r="AG420" s="47">
        <v>0</v>
      </c>
      <c r="AH420" s="47">
        <v>0</v>
      </c>
      <c r="AI420" s="47">
        <v>0</v>
      </c>
      <c r="AJ420" s="47">
        <v>0</v>
      </c>
      <c r="AK420" s="47">
        <v>0</v>
      </c>
      <c r="AL420" s="47">
        <v>0</v>
      </c>
      <c r="AM420" s="47">
        <v>0</v>
      </c>
      <c r="AN420" s="47">
        <v>0</v>
      </c>
      <c r="AO420" s="47">
        <v>0</v>
      </c>
      <c r="AP420" s="47">
        <v>0</v>
      </c>
      <c r="AQ420" s="47">
        <v>0</v>
      </c>
      <c r="AR420" s="47">
        <v>0</v>
      </c>
      <c r="AS420" s="47">
        <v>0</v>
      </c>
      <c r="AT420" s="47">
        <v>0</v>
      </c>
      <c r="AU420" s="47">
        <v>0</v>
      </c>
      <c r="AV420" s="47">
        <v>0</v>
      </c>
      <c r="AW420" s="47">
        <v>0</v>
      </c>
      <c r="AX420" s="47">
        <v>0</v>
      </c>
      <c r="AY420" s="47">
        <v>0</v>
      </c>
      <c r="AZ420" s="47">
        <v>0</v>
      </c>
      <c r="BA420" s="47">
        <v>0</v>
      </c>
      <c r="BB420" s="47">
        <v>0</v>
      </c>
      <c r="BC420" s="47">
        <v>0</v>
      </c>
      <c r="BD420" s="47">
        <v>0</v>
      </c>
      <c r="BE420" s="47">
        <v>0</v>
      </c>
      <c r="BF420" s="47">
        <v>0</v>
      </c>
      <c r="BG420" s="47">
        <v>0</v>
      </c>
      <c r="BH420" s="47">
        <v>0</v>
      </c>
      <c r="BI420" s="47">
        <v>0</v>
      </c>
      <c r="BJ420" s="47">
        <v>0</v>
      </c>
      <c r="BK420" s="47">
        <v>0</v>
      </c>
      <c r="BL420" s="47">
        <v>0</v>
      </c>
      <c r="BM420" s="47">
        <v>0</v>
      </c>
      <c r="BN420" s="47">
        <v>0</v>
      </c>
      <c r="BO420" s="47">
        <v>0</v>
      </c>
      <c r="BP420" s="47">
        <v>0</v>
      </c>
      <c r="BQ420" s="47">
        <v>0</v>
      </c>
      <c r="BR420" s="47">
        <v>0</v>
      </c>
      <c r="BS420" s="47">
        <v>0</v>
      </c>
      <c r="BT420" s="47">
        <v>0</v>
      </c>
      <c r="BU420" s="47">
        <v>0</v>
      </c>
      <c r="BV420" s="47">
        <v>0</v>
      </c>
      <c r="BW420" s="47">
        <v>0</v>
      </c>
      <c r="BX420" s="47">
        <v>0</v>
      </c>
      <c r="BY420" s="47">
        <v>0</v>
      </c>
      <c r="BZ420" s="47">
        <v>0</v>
      </c>
      <c r="CA420" s="47">
        <v>0</v>
      </c>
      <c r="CB420" s="47">
        <v>0</v>
      </c>
      <c r="CC420" s="47">
        <v>0</v>
      </c>
      <c r="CD420" s="47">
        <v>0</v>
      </c>
      <c r="CE420" s="47">
        <v>0</v>
      </c>
      <c r="CF420" s="47">
        <v>0</v>
      </c>
      <c r="CG420" s="47">
        <v>0</v>
      </c>
      <c r="CH420" s="47">
        <v>0</v>
      </c>
      <c r="CI420" s="47">
        <v>0</v>
      </c>
      <c r="CJ420" s="47">
        <v>0</v>
      </c>
      <c r="CK420" s="47">
        <v>0</v>
      </c>
      <c r="CL420" s="47">
        <v>0</v>
      </c>
      <c r="CM420" s="47">
        <v>0</v>
      </c>
      <c r="CN420" s="47">
        <v>0</v>
      </c>
      <c r="CO420" s="47">
        <v>0</v>
      </c>
      <c r="CP420" s="47">
        <v>0</v>
      </c>
      <c r="CQ420" s="47">
        <v>0</v>
      </c>
      <c r="CR420" s="47">
        <v>0</v>
      </c>
      <c r="CS420" s="47">
        <v>0</v>
      </c>
      <c r="CT420" s="47">
        <v>0</v>
      </c>
      <c r="CU420" s="47">
        <v>0</v>
      </c>
      <c r="CV420" s="47">
        <v>0</v>
      </c>
      <c r="CW420" s="47">
        <v>0</v>
      </c>
      <c r="CX420" s="47">
        <v>0</v>
      </c>
      <c r="CY420" s="47">
        <v>0</v>
      </c>
      <c r="CZ420" s="47">
        <v>0</v>
      </c>
      <c r="DA420" s="47">
        <v>0</v>
      </c>
      <c r="DB420" s="47">
        <v>0</v>
      </c>
      <c r="DC420" s="47">
        <v>0</v>
      </c>
      <c r="DD420" s="47">
        <v>0</v>
      </c>
      <c r="DE420" s="47">
        <v>0</v>
      </c>
      <c r="DF420" s="47">
        <v>0</v>
      </c>
      <c r="DG420" s="47">
        <v>0</v>
      </c>
      <c r="DH420" s="47">
        <v>0</v>
      </c>
      <c r="DI420" s="47">
        <v>0</v>
      </c>
      <c r="DJ420" s="47">
        <v>0</v>
      </c>
      <c r="DK420" s="47">
        <v>0</v>
      </c>
      <c r="DL420" s="47">
        <v>0</v>
      </c>
      <c r="DM420" s="47">
        <v>0</v>
      </c>
      <c r="DN420" s="47">
        <v>0</v>
      </c>
      <c r="DO420" s="47">
        <v>0</v>
      </c>
      <c r="DP420" s="47">
        <v>0</v>
      </c>
      <c r="DQ420" s="47">
        <v>0</v>
      </c>
      <c r="DR420" s="47">
        <v>0</v>
      </c>
      <c r="DS420" s="47">
        <v>0</v>
      </c>
      <c r="DT420" s="47">
        <v>0</v>
      </c>
      <c r="DU420" s="47">
        <v>0</v>
      </c>
      <c r="DV420" s="47">
        <v>0</v>
      </c>
      <c r="DW420" s="47">
        <v>0</v>
      </c>
      <c r="DX420" s="47">
        <v>0</v>
      </c>
      <c r="DY420" s="47">
        <v>0</v>
      </c>
      <c r="DZ420" s="47">
        <v>0</v>
      </c>
      <c r="EA420" s="47">
        <v>0</v>
      </c>
      <c r="EB420" s="47"/>
      <c r="EC420" s="47">
        <v>0.5</v>
      </c>
      <c r="ZZ420" t="s">
        <v>2472</v>
      </c>
    </row>
    <row r="421" spans="1:702" x14ac:dyDescent="0.25">
      <c r="A421" s="47" t="s">
        <v>2011</v>
      </c>
      <c r="B421" s="47" t="s">
        <v>153</v>
      </c>
      <c r="C421" s="47" t="s">
        <v>157</v>
      </c>
      <c r="D421" s="47" t="s">
        <v>2905</v>
      </c>
      <c r="E421" s="47" t="s">
        <v>2012</v>
      </c>
      <c r="F421" s="47" t="s">
        <v>2013</v>
      </c>
      <c r="G421" s="47" t="s">
        <v>2014</v>
      </c>
      <c r="H421" s="47" t="s">
        <v>698</v>
      </c>
      <c r="I421" s="47" t="s">
        <v>727</v>
      </c>
      <c r="J421" s="47" t="str">
        <f>=IFERROR(VLOOKUP(H421&amp;I421,Table_Fonctions!A:G,6,FALSE),"")</f>
        <v>0</v>
      </c>
      <c r="K421" s="47" t="s">
        <v>2607</v>
      </c>
      <c r="L421" s="47" t="str">
        <f>=IFERROR(VLOOKUP(H421&amp;I421,Table_Fonctions!A:G,7,FALSE),K421)</f>
        <v/>
      </c>
      <c r="M421" s="47" t="str">
        <f>=IF(OR(LEFT(D421, 3)="TJ ", LEFT(D421, 4)="CPH "), "OUI", "NON")</f>
        <v/>
      </c>
      <c r="N421" s="47" t="s">
        <v>1113</v>
      </c>
      <c r="O421" s="47"/>
      <c r="P421" s="47">
        <v>0.8</v>
      </c>
      <c r="Q421" s="47">
        <v>0.8</v>
      </c>
      <c r="R421" s="47">
        <v>0</v>
      </c>
      <c r="S421" s="47">
        <f>=ROUND(BQ421-(BR421+BS421),3)</f>
      </c>
      <c r="T421" s="47">
        <f>=ROUND(CK421-(CL421+CM421+CN421+CO421+CP421),3)</f>
      </c>
      <c r="U421" s="47">
        <v>0</v>
      </c>
      <c r="V421" s="47">
        <v>0</v>
      </c>
      <c r="W421" s="47">
        <v>0</v>
      </c>
      <c r="X421" s="47">
        <v>0</v>
      </c>
      <c r="Y421" s="47">
        <v>0</v>
      </c>
      <c r="Z421" s="47">
        <v>0</v>
      </c>
      <c r="AA421" s="47">
        <v>0</v>
      </c>
      <c r="AB421" s="47">
        <v>0</v>
      </c>
      <c r="AC421" s="47">
        <v>0</v>
      </c>
      <c r="AD421" s="47">
        <v>0</v>
      </c>
      <c r="AE421" s="47">
        <v>0</v>
      </c>
      <c r="AF421" s="47">
        <v>0</v>
      </c>
      <c r="AG421" s="47">
        <v>0</v>
      </c>
      <c r="AH421" s="47">
        <v>0</v>
      </c>
      <c r="AI421" s="47">
        <v>0</v>
      </c>
      <c r="AJ421" s="47">
        <v>0.8</v>
      </c>
      <c r="AK421" s="47">
        <v>0</v>
      </c>
      <c r="AL421" s="47">
        <v>0</v>
      </c>
      <c r="AM421" s="47">
        <v>0</v>
      </c>
      <c r="AN421" s="47">
        <v>0</v>
      </c>
      <c r="AO421" s="47">
        <v>0</v>
      </c>
      <c r="AP421" s="47">
        <v>0</v>
      </c>
      <c r="AQ421" s="47">
        <v>0</v>
      </c>
      <c r="AR421" s="47">
        <v>0</v>
      </c>
      <c r="AS421" s="47">
        <v>0</v>
      </c>
      <c r="AT421" s="47">
        <v>0</v>
      </c>
      <c r="AU421" s="47">
        <v>0</v>
      </c>
      <c r="AV421" s="47">
        <v>0</v>
      </c>
      <c r="AW421" s="47">
        <v>0</v>
      </c>
      <c r="AX421" s="47">
        <v>0</v>
      </c>
      <c r="AY421" s="47">
        <v>0</v>
      </c>
      <c r="AZ421" s="47">
        <v>0</v>
      </c>
      <c r="BA421" s="47">
        <v>0</v>
      </c>
      <c r="BB421" s="47">
        <v>0</v>
      </c>
      <c r="BC421" s="47">
        <v>0</v>
      </c>
      <c r="BD421" s="47">
        <v>0</v>
      </c>
      <c r="BE421" s="47">
        <v>0</v>
      </c>
      <c r="BF421" s="47">
        <v>0</v>
      </c>
      <c r="BG421" s="47">
        <v>0</v>
      </c>
      <c r="BH421" s="47">
        <v>0</v>
      </c>
      <c r="BI421" s="47">
        <v>0</v>
      </c>
      <c r="BJ421" s="47">
        <v>0</v>
      </c>
      <c r="BK421" s="47">
        <v>0</v>
      </c>
      <c r="BL421" s="47">
        <v>0</v>
      </c>
      <c r="BM421" s="47">
        <v>0</v>
      </c>
      <c r="BN421" s="47">
        <v>0</v>
      </c>
      <c r="BO421" s="47">
        <v>0</v>
      </c>
      <c r="BP421" s="47">
        <v>0</v>
      </c>
      <c r="BQ421" s="47">
        <v>0</v>
      </c>
      <c r="BR421" s="47">
        <v>0</v>
      </c>
      <c r="BS421" s="47">
        <v>0</v>
      </c>
      <c r="BT421" s="47">
        <v>0</v>
      </c>
      <c r="BU421" s="47">
        <v>0</v>
      </c>
      <c r="BV421" s="47">
        <v>0</v>
      </c>
      <c r="BW421" s="47">
        <v>0</v>
      </c>
      <c r="BX421" s="47">
        <v>0</v>
      </c>
      <c r="BY421" s="47">
        <v>0</v>
      </c>
      <c r="BZ421" s="47">
        <v>0</v>
      </c>
      <c r="CA421" s="47">
        <v>0</v>
      </c>
      <c r="CB421" s="47">
        <v>0</v>
      </c>
      <c r="CC421" s="47">
        <v>0</v>
      </c>
      <c r="CD421" s="47">
        <v>0</v>
      </c>
      <c r="CE421" s="47">
        <v>0</v>
      </c>
      <c r="CF421" s="47">
        <v>0</v>
      </c>
      <c r="CG421" s="47">
        <v>0</v>
      </c>
      <c r="CH421" s="47">
        <v>0</v>
      </c>
      <c r="CI421" s="47">
        <v>0</v>
      </c>
      <c r="CJ421" s="47">
        <v>0</v>
      </c>
      <c r="CK421" s="47">
        <v>0</v>
      </c>
      <c r="CL421" s="47">
        <v>0</v>
      </c>
      <c r="CM421" s="47">
        <v>0</v>
      </c>
      <c r="CN421" s="47">
        <v>0</v>
      </c>
      <c r="CO421" s="47">
        <v>0</v>
      </c>
      <c r="CP421" s="47">
        <v>0</v>
      </c>
      <c r="CQ421" s="47">
        <v>0</v>
      </c>
      <c r="CR421" s="47">
        <v>0</v>
      </c>
      <c r="CS421" s="47">
        <v>0</v>
      </c>
      <c r="CT421" s="47">
        <v>0</v>
      </c>
      <c r="CU421" s="47">
        <v>0</v>
      </c>
      <c r="CV421" s="47">
        <v>0</v>
      </c>
      <c r="CW421" s="47">
        <v>0</v>
      </c>
      <c r="CX421" s="47">
        <v>0</v>
      </c>
      <c r="CY421" s="47">
        <v>0</v>
      </c>
      <c r="CZ421" s="47">
        <v>0</v>
      </c>
      <c r="DA421" s="47">
        <v>0</v>
      </c>
      <c r="DB421" s="47">
        <v>0</v>
      </c>
      <c r="DC421" s="47">
        <v>0</v>
      </c>
      <c r="DD421" s="47">
        <v>0</v>
      </c>
      <c r="DE421" s="47">
        <v>0</v>
      </c>
      <c r="DF421" s="47">
        <v>0</v>
      </c>
      <c r="DG421" s="47">
        <v>0</v>
      </c>
      <c r="DH421" s="47">
        <v>0</v>
      </c>
      <c r="DI421" s="47">
        <v>0</v>
      </c>
      <c r="DJ421" s="47">
        <v>0</v>
      </c>
      <c r="DK421" s="47">
        <v>0</v>
      </c>
      <c r="DL421" s="47">
        <v>0</v>
      </c>
      <c r="DM421" s="47">
        <v>0</v>
      </c>
      <c r="DN421" s="47">
        <v>0</v>
      </c>
      <c r="DO421" s="47">
        <v>0</v>
      </c>
      <c r="DP421" s="47">
        <v>0</v>
      </c>
      <c r="DQ421" s="47">
        <v>0</v>
      </c>
      <c r="DR421" s="47">
        <v>0</v>
      </c>
      <c r="DS421" s="47">
        <v>0</v>
      </c>
      <c r="DT421" s="47">
        <v>0</v>
      </c>
      <c r="DU421" s="47">
        <v>0</v>
      </c>
      <c r="DV421" s="47">
        <v>0</v>
      </c>
      <c r="DW421" s="47">
        <v>0</v>
      </c>
      <c r="DX421" s="47">
        <v>0</v>
      </c>
      <c r="DY421" s="47">
        <v>0</v>
      </c>
      <c r="DZ421" s="47">
        <v>0</v>
      </c>
      <c r="EA421" s="47">
        <v>0</v>
      </c>
      <c r="EB421" s="47"/>
      <c r="EC421" s="47">
        <v>0.8</v>
      </c>
      <c r="ZZ421" t="s">
        <v>2472</v>
      </c>
    </row>
    <row r="422" spans="1:702" x14ac:dyDescent="0.25">
      <c r="A422" s="47" t="s">
        <v>2015</v>
      </c>
      <c r="B422" s="47" t="s">
        <v>153</v>
      </c>
      <c r="C422" s="47" t="s">
        <v>157</v>
      </c>
      <c r="D422" s="47" t="s">
        <v>2906</v>
      </c>
      <c r="E422" s="47" t="s">
        <v>2016</v>
      </c>
      <c r="F422" s="47" t="s">
        <v>2017</v>
      </c>
      <c r="G422" s="47" t="s">
        <v>2018</v>
      </c>
      <c r="H422" s="47" t="s">
        <v>698</v>
      </c>
      <c r="I422" s="47" t="s">
        <v>727</v>
      </c>
      <c r="J422" s="47" t="str">
        <f>=IFERROR(VLOOKUP(H422&amp;I422,Table_Fonctions!A:G,6,FALSE),"")</f>
        <v>0</v>
      </c>
      <c r="K422" s="47" t="s">
        <v>2607</v>
      </c>
      <c r="L422" s="47" t="str">
        <f>=IFERROR(VLOOKUP(H422&amp;I422,Table_Fonctions!A:G,7,FALSE),K422)</f>
        <v/>
      </c>
      <c r="M422" s="47" t="str">
        <f>=IF(OR(LEFT(D422, 3)="TJ ", LEFT(D422, 4)="CPH "), "OUI", "NON")</f>
        <v/>
      </c>
      <c r="N422" s="47" t="s">
        <v>1243</v>
      </c>
      <c r="O422" s="47"/>
      <c r="P422" s="47">
        <v>1</v>
      </c>
      <c r="Q422" s="47">
        <v>0</v>
      </c>
      <c r="R422" s="47">
        <v>1</v>
      </c>
      <c r="S422" s="47">
        <f>=ROUND(BQ422-(BR422+BS422),3)</f>
      </c>
      <c r="T422" s="47">
        <f>=ROUND(CK422-(CL422+CM422+CN422+CO422+CP422),3)</f>
      </c>
      <c r="U422" s="47">
        <v>0</v>
      </c>
      <c r="V422" s="47">
        <v>0</v>
      </c>
      <c r="W422" s="47">
        <v>0</v>
      </c>
      <c r="X422" s="47">
        <v>0</v>
      </c>
      <c r="Y422" s="47">
        <v>0</v>
      </c>
      <c r="Z422" s="47">
        <v>0</v>
      </c>
      <c r="AA422" s="47">
        <v>0</v>
      </c>
      <c r="AB422" s="47">
        <v>0</v>
      </c>
      <c r="AC422" s="47">
        <v>0</v>
      </c>
      <c r="AD422" s="47">
        <v>0</v>
      </c>
      <c r="AE422" s="47">
        <v>0</v>
      </c>
      <c r="AF422" s="47">
        <v>0</v>
      </c>
      <c r="AG422" s="47">
        <v>0</v>
      </c>
      <c r="AH422" s="47">
        <v>0</v>
      </c>
      <c r="AI422" s="47">
        <v>0</v>
      </c>
      <c r="AJ422" s="47">
        <v>0</v>
      </c>
      <c r="AK422" s="47">
        <v>0</v>
      </c>
      <c r="AL422" s="47">
        <v>0</v>
      </c>
      <c r="AM422" s="47">
        <v>0</v>
      </c>
      <c r="AN422" s="47">
        <v>0</v>
      </c>
      <c r="AO422" s="47">
        <v>0</v>
      </c>
      <c r="AP422" s="47">
        <v>0</v>
      </c>
      <c r="AQ422" s="47">
        <v>0</v>
      </c>
      <c r="AR422" s="47">
        <v>0</v>
      </c>
      <c r="AS422" s="47">
        <v>0</v>
      </c>
      <c r="AT422" s="47">
        <v>0</v>
      </c>
      <c r="AU422" s="47">
        <v>0</v>
      </c>
      <c r="AV422" s="47">
        <v>0</v>
      </c>
      <c r="AW422" s="47">
        <v>0</v>
      </c>
      <c r="AX422" s="47">
        <v>0</v>
      </c>
      <c r="AY422" s="47">
        <v>0</v>
      </c>
      <c r="AZ422" s="47">
        <v>0</v>
      </c>
      <c r="BA422" s="47">
        <v>0</v>
      </c>
      <c r="BB422" s="47">
        <v>0</v>
      </c>
      <c r="BC422" s="47">
        <v>0</v>
      </c>
      <c r="BD422" s="47">
        <v>0</v>
      </c>
      <c r="BE422" s="47">
        <v>0</v>
      </c>
      <c r="BF422" s="47">
        <v>0</v>
      </c>
      <c r="BG422" s="47">
        <v>0</v>
      </c>
      <c r="BH422" s="47">
        <v>0</v>
      </c>
      <c r="BI422" s="47">
        <v>0</v>
      </c>
      <c r="BJ422" s="47">
        <v>0</v>
      </c>
      <c r="BK422" s="47">
        <v>0</v>
      </c>
      <c r="BL422" s="47">
        <v>0</v>
      </c>
      <c r="BM422" s="47">
        <v>0</v>
      </c>
      <c r="BN422" s="47">
        <v>0</v>
      </c>
      <c r="BO422" s="47">
        <v>0</v>
      </c>
      <c r="BP422" s="47">
        <v>0</v>
      </c>
      <c r="BQ422" s="47">
        <v>0</v>
      </c>
      <c r="BR422" s="47">
        <v>0</v>
      </c>
      <c r="BS422" s="47">
        <v>0</v>
      </c>
      <c r="BT422" s="47">
        <v>0</v>
      </c>
      <c r="BU422" s="47">
        <v>0</v>
      </c>
      <c r="BV422" s="47">
        <v>0</v>
      </c>
      <c r="BW422" s="47">
        <v>0</v>
      </c>
      <c r="BX422" s="47">
        <v>0</v>
      </c>
      <c r="BY422" s="47">
        <v>0</v>
      </c>
      <c r="BZ422" s="47">
        <v>0</v>
      </c>
      <c r="CA422" s="47">
        <v>0</v>
      </c>
      <c r="CB422" s="47">
        <v>0</v>
      </c>
      <c r="CC422" s="47">
        <v>0</v>
      </c>
      <c r="CD422" s="47">
        <v>0</v>
      </c>
      <c r="CE422" s="47">
        <v>0</v>
      </c>
      <c r="CF422" s="47">
        <v>0</v>
      </c>
      <c r="CG422" s="47">
        <v>0</v>
      </c>
      <c r="CH422" s="47">
        <v>0</v>
      </c>
      <c r="CI422" s="47">
        <v>0</v>
      </c>
      <c r="CJ422" s="47">
        <v>0</v>
      </c>
      <c r="CK422" s="47">
        <v>0</v>
      </c>
      <c r="CL422" s="47">
        <v>0</v>
      </c>
      <c r="CM422" s="47">
        <v>0</v>
      </c>
      <c r="CN422" s="47">
        <v>0</v>
      </c>
      <c r="CO422" s="47">
        <v>0</v>
      </c>
      <c r="CP422" s="47">
        <v>0</v>
      </c>
      <c r="CQ422" s="47">
        <v>0</v>
      </c>
      <c r="CR422" s="47">
        <v>0</v>
      </c>
      <c r="CS422" s="47">
        <v>0</v>
      </c>
      <c r="CT422" s="47">
        <v>0</v>
      </c>
      <c r="CU422" s="47">
        <v>0</v>
      </c>
      <c r="CV422" s="47">
        <v>0</v>
      </c>
      <c r="CW422" s="47">
        <v>0</v>
      </c>
      <c r="CX422" s="47">
        <v>0</v>
      </c>
      <c r="CY422" s="47">
        <v>0</v>
      </c>
      <c r="CZ422" s="47">
        <v>0</v>
      </c>
      <c r="DA422" s="47">
        <v>0</v>
      </c>
      <c r="DB422" s="47">
        <v>0</v>
      </c>
      <c r="DC422" s="47">
        <v>0</v>
      </c>
      <c r="DD422" s="47">
        <v>0</v>
      </c>
      <c r="DE422" s="47">
        <v>0</v>
      </c>
      <c r="DF422" s="47">
        <v>0</v>
      </c>
      <c r="DG422" s="47">
        <v>0</v>
      </c>
      <c r="DH422" s="47">
        <v>0</v>
      </c>
      <c r="DI422" s="47">
        <v>0</v>
      </c>
      <c r="DJ422" s="47">
        <v>0</v>
      </c>
      <c r="DK422" s="47">
        <v>0</v>
      </c>
      <c r="DL422" s="47">
        <v>0</v>
      </c>
      <c r="DM422" s="47">
        <v>0</v>
      </c>
      <c r="DN422" s="47">
        <v>0</v>
      </c>
      <c r="DO422" s="47">
        <v>0</v>
      </c>
      <c r="DP422" s="47">
        <v>0</v>
      </c>
      <c r="DQ422" s="47">
        <v>0</v>
      </c>
      <c r="DR422" s="47">
        <v>0</v>
      </c>
      <c r="DS422" s="47">
        <v>0</v>
      </c>
      <c r="DT422" s="47">
        <v>0</v>
      </c>
      <c r="DU422" s="47">
        <v>0</v>
      </c>
      <c r="DV422" s="47">
        <v>0</v>
      </c>
      <c r="DW422" s="47">
        <v>0</v>
      </c>
      <c r="DX422" s="47">
        <v>0</v>
      </c>
      <c r="DY422" s="47">
        <v>0</v>
      </c>
      <c r="DZ422" s="47">
        <v>0</v>
      </c>
      <c r="EA422" s="47">
        <v>0</v>
      </c>
      <c r="EB422" s="47"/>
      <c r="EC422" s="47">
        <v>1</v>
      </c>
      <c r="ZZ422" t="s">
        <v>2472</v>
      </c>
    </row>
    <row r="423" spans="1:702" x14ac:dyDescent="0.25">
      <c r="A423" s="47" t="s">
        <v>2019</v>
      </c>
      <c r="B423" s="47" t="s">
        <v>153</v>
      </c>
      <c r="C423" s="47" t="s">
        <v>157</v>
      </c>
      <c r="D423" s="47" t="s">
        <v>2907</v>
      </c>
      <c r="E423" s="47" t="s">
        <v>2020</v>
      </c>
      <c r="F423" s="47" t="s">
        <v>2021</v>
      </c>
      <c r="G423" s="47" t="s">
        <v>2022</v>
      </c>
      <c r="H423" s="47" t="s">
        <v>698</v>
      </c>
      <c r="I423" s="47" t="s">
        <v>727</v>
      </c>
      <c r="J423" s="47" t="str">
        <f>=IFERROR(VLOOKUP(H423&amp;I423,Table_Fonctions!A:G,6,FALSE),"")</f>
        <v>0</v>
      </c>
      <c r="K423" s="47" t="s">
        <v>2607</v>
      </c>
      <c r="L423" s="47" t="str">
        <f>=IFERROR(VLOOKUP(H423&amp;I423,Table_Fonctions!A:G,7,FALSE),K423)</f>
        <v/>
      </c>
      <c r="M423" s="47" t="str">
        <f>=IF(OR(LEFT(D423, 3)="TJ ", LEFT(D423, 4)="CPH "), "OUI", "NON")</f>
        <v/>
      </c>
      <c r="N423" s="47" t="s">
        <v>1698</v>
      </c>
      <c r="O423" s="47"/>
      <c r="P423" s="47">
        <v>1</v>
      </c>
      <c r="Q423" s="47">
        <v>1</v>
      </c>
      <c r="R423" s="47">
        <v>0</v>
      </c>
      <c r="S423" s="47">
        <f>=ROUND(BQ423-(BR423+BS423),3)</f>
      </c>
      <c r="T423" s="47">
        <f>=ROUND(CK423-(CL423+CM423+CN423+CO423+CP423),3)</f>
      </c>
      <c r="U423" s="47">
        <v>0</v>
      </c>
      <c r="V423" s="47">
        <v>0</v>
      </c>
      <c r="W423" s="47">
        <v>0</v>
      </c>
      <c r="X423" s="47">
        <v>0</v>
      </c>
      <c r="Y423" s="47">
        <v>0</v>
      </c>
      <c r="Z423" s="47">
        <v>0</v>
      </c>
      <c r="AA423" s="47">
        <v>0</v>
      </c>
      <c r="AB423" s="47">
        <v>0</v>
      </c>
      <c r="AC423" s="47">
        <v>0</v>
      </c>
      <c r="AD423" s="47">
        <v>0</v>
      </c>
      <c r="AE423" s="47">
        <v>0</v>
      </c>
      <c r="AF423" s="47">
        <v>0</v>
      </c>
      <c r="AG423" s="47">
        <v>0</v>
      </c>
      <c r="AH423" s="47">
        <v>0</v>
      </c>
      <c r="AI423" s="47">
        <v>0</v>
      </c>
      <c r="AJ423" s="47">
        <v>1</v>
      </c>
      <c r="AK423" s="47">
        <v>0</v>
      </c>
      <c r="AL423" s="47">
        <v>0</v>
      </c>
      <c r="AM423" s="47">
        <v>0</v>
      </c>
      <c r="AN423" s="47">
        <v>0</v>
      </c>
      <c r="AO423" s="47">
        <v>0</v>
      </c>
      <c r="AP423" s="47">
        <v>0</v>
      </c>
      <c r="AQ423" s="47">
        <v>0</v>
      </c>
      <c r="AR423" s="47">
        <v>0</v>
      </c>
      <c r="AS423" s="47">
        <v>0</v>
      </c>
      <c r="AT423" s="47">
        <v>0</v>
      </c>
      <c r="AU423" s="47">
        <v>0</v>
      </c>
      <c r="AV423" s="47">
        <v>0</v>
      </c>
      <c r="AW423" s="47">
        <v>0</v>
      </c>
      <c r="AX423" s="47">
        <v>0</v>
      </c>
      <c r="AY423" s="47">
        <v>0</v>
      </c>
      <c r="AZ423" s="47">
        <v>0</v>
      </c>
      <c r="BA423" s="47">
        <v>0</v>
      </c>
      <c r="BB423" s="47">
        <v>0</v>
      </c>
      <c r="BC423" s="47">
        <v>0</v>
      </c>
      <c r="BD423" s="47">
        <v>0</v>
      </c>
      <c r="BE423" s="47">
        <v>0</v>
      </c>
      <c r="BF423" s="47">
        <v>0</v>
      </c>
      <c r="BG423" s="47">
        <v>0</v>
      </c>
      <c r="BH423" s="47">
        <v>0</v>
      </c>
      <c r="BI423" s="47">
        <v>0</v>
      </c>
      <c r="BJ423" s="47">
        <v>0</v>
      </c>
      <c r="BK423" s="47">
        <v>0</v>
      </c>
      <c r="BL423" s="47">
        <v>0</v>
      </c>
      <c r="BM423" s="47">
        <v>0</v>
      </c>
      <c r="BN423" s="47">
        <v>0</v>
      </c>
      <c r="BO423" s="47">
        <v>0</v>
      </c>
      <c r="BP423" s="47">
        <v>0</v>
      </c>
      <c r="BQ423" s="47">
        <v>0</v>
      </c>
      <c r="BR423" s="47">
        <v>0</v>
      </c>
      <c r="BS423" s="47">
        <v>0</v>
      </c>
      <c r="BT423" s="47">
        <v>0</v>
      </c>
      <c r="BU423" s="47">
        <v>0</v>
      </c>
      <c r="BV423" s="47">
        <v>0</v>
      </c>
      <c r="BW423" s="47">
        <v>0</v>
      </c>
      <c r="BX423" s="47">
        <v>0</v>
      </c>
      <c r="BY423" s="47">
        <v>0</v>
      </c>
      <c r="BZ423" s="47">
        <v>0</v>
      </c>
      <c r="CA423" s="47">
        <v>0</v>
      </c>
      <c r="CB423" s="47">
        <v>0</v>
      </c>
      <c r="CC423" s="47">
        <v>0</v>
      </c>
      <c r="CD423" s="47">
        <v>0</v>
      </c>
      <c r="CE423" s="47">
        <v>0</v>
      </c>
      <c r="CF423" s="47">
        <v>0</v>
      </c>
      <c r="CG423" s="47">
        <v>0</v>
      </c>
      <c r="CH423" s="47">
        <v>0</v>
      </c>
      <c r="CI423" s="47">
        <v>0</v>
      </c>
      <c r="CJ423" s="47">
        <v>0</v>
      </c>
      <c r="CK423" s="47">
        <v>0</v>
      </c>
      <c r="CL423" s="47">
        <v>0</v>
      </c>
      <c r="CM423" s="47">
        <v>0</v>
      </c>
      <c r="CN423" s="47">
        <v>0</v>
      </c>
      <c r="CO423" s="47">
        <v>0</v>
      </c>
      <c r="CP423" s="47">
        <v>0</v>
      </c>
      <c r="CQ423" s="47">
        <v>0</v>
      </c>
      <c r="CR423" s="47">
        <v>0</v>
      </c>
      <c r="CS423" s="47">
        <v>0</v>
      </c>
      <c r="CT423" s="47">
        <v>0</v>
      </c>
      <c r="CU423" s="47">
        <v>0</v>
      </c>
      <c r="CV423" s="47">
        <v>0</v>
      </c>
      <c r="CW423" s="47">
        <v>0</v>
      </c>
      <c r="CX423" s="47">
        <v>0</v>
      </c>
      <c r="CY423" s="47">
        <v>0</v>
      </c>
      <c r="CZ423" s="47">
        <v>0</v>
      </c>
      <c r="DA423" s="47">
        <v>0</v>
      </c>
      <c r="DB423" s="47">
        <v>0</v>
      </c>
      <c r="DC423" s="47">
        <v>0</v>
      </c>
      <c r="DD423" s="47">
        <v>0</v>
      </c>
      <c r="DE423" s="47">
        <v>0</v>
      </c>
      <c r="DF423" s="47">
        <v>0</v>
      </c>
      <c r="DG423" s="47">
        <v>0</v>
      </c>
      <c r="DH423" s="47">
        <v>0</v>
      </c>
      <c r="DI423" s="47">
        <v>0</v>
      </c>
      <c r="DJ423" s="47">
        <v>0</v>
      </c>
      <c r="DK423" s="47">
        <v>0</v>
      </c>
      <c r="DL423" s="47">
        <v>0</v>
      </c>
      <c r="DM423" s="47">
        <v>0</v>
      </c>
      <c r="DN423" s="47">
        <v>0</v>
      </c>
      <c r="DO423" s="47">
        <v>0</v>
      </c>
      <c r="DP423" s="47">
        <v>0</v>
      </c>
      <c r="DQ423" s="47">
        <v>0</v>
      </c>
      <c r="DR423" s="47">
        <v>0</v>
      </c>
      <c r="DS423" s="47">
        <v>0</v>
      </c>
      <c r="DT423" s="47">
        <v>0</v>
      </c>
      <c r="DU423" s="47">
        <v>0</v>
      </c>
      <c r="DV423" s="47">
        <v>0</v>
      </c>
      <c r="DW423" s="47">
        <v>0</v>
      </c>
      <c r="DX423" s="47">
        <v>0</v>
      </c>
      <c r="DY423" s="47">
        <v>0</v>
      </c>
      <c r="DZ423" s="47">
        <v>0</v>
      </c>
      <c r="EA423" s="47">
        <v>0</v>
      </c>
      <c r="EB423" s="47"/>
      <c r="EC423" s="47">
        <v>1</v>
      </c>
      <c r="ZZ423" t="s">
        <v>2472</v>
      </c>
    </row>
    <row r="424" spans="1:702" x14ac:dyDescent="0.25">
      <c r="A424" s="47" t="s">
        <v>2023</v>
      </c>
      <c r="B424" s="47" t="s">
        <v>153</v>
      </c>
      <c r="C424" s="47" t="s">
        <v>157</v>
      </c>
      <c r="D424" s="47" t="s">
        <v>2908</v>
      </c>
      <c r="E424" s="47" t="s">
        <v>2024</v>
      </c>
      <c r="F424" s="47" t="s">
        <v>2025</v>
      </c>
      <c r="G424" s="47" t="s">
        <v>2026</v>
      </c>
      <c r="H424" s="47" t="s">
        <v>698</v>
      </c>
      <c r="I424" s="47" t="s">
        <v>705</v>
      </c>
      <c r="J424" s="47" t="str">
        <f>=IFERROR(VLOOKUP(H424&amp;I424,Table_Fonctions!A:G,6,FALSE),"")</f>
        <v>0</v>
      </c>
      <c r="K424" s="47" t="s">
        <v>2607</v>
      </c>
      <c r="L424" s="47" t="str">
        <f>=IFERROR(VLOOKUP(H424&amp;I424,Table_Fonctions!A:G,7,FALSE),K424)</f>
        <v/>
      </c>
      <c r="M424" s="47" t="str">
        <f>=IF(OR(LEFT(D424, 3)="TJ ", LEFT(D424, 4)="CPH "), "OUI", "NON")</f>
        <v/>
      </c>
      <c r="N424" s="47" t="s">
        <v>2027</v>
      </c>
      <c r="O424" s="47"/>
      <c r="P424" s="47">
        <v>1</v>
      </c>
      <c r="Q424" s="47">
        <v>0</v>
      </c>
      <c r="R424" s="47">
        <v>1</v>
      </c>
      <c r="S424" s="47">
        <f>=ROUND(BQ424-(BR424+BS424),3)</f>
      </c>
      <c r="T424" s="47">
        <f>=ROUND(CK424-(CL424+CM424+CN424+CO424+CP424),3)</f>
      </c>
      <c r="U424" s="47">
        <v>0</v>
      </c>
      <c r="V424" s="47">
        <v>0</v>
      </c>
      <c r="W424" s="47">
        <v>0</v>
      </c>
      <c r="X424" s="47">
        <v>0</v>
      </c>
      <c r="Y424" s="47">
        <v>0</v>
      </c>
      <c r="Z424" s="47">
        <v>0</v>
      </c>
      <c r="AA424" s="47">
        <v>0</v>
      </c>
      <c r="AB424" s="47">
        <v>0</v>
      </c>
      <c r="AC424" s="47">
        <v>0</v>
      </c>
      <c r="AD424" s="47">
        <v>0</v>
      </c>
      <c r="AE424" s="47">
        <v>0</v>
      </c>
      <c r="AF424" s="47">
        <v>0</v>
      </c>
      <c r="AG424" s="47">
        <v>0</v>
      </c>
      <c r="AH424" s="47">
        <v>0</v>
      </c>
      <c r="AI424" s="47">
        <v>0</v>
      </c>
      <c r="AJ424" s="47">
        <v>0</v>
      </c>
      <c r="AK424" s="47">
        <v>0</v>
      </c>
      <c r="AL424" s="47">
        <v>0</v>
      </c>
      <c r="AM424" s="47">
        <v>0</v>
      </c>
      <c r="AN424" s="47">
        <v>0</v>
      </c>
      <c r="AO424" s="47">
        <v>0</v>
      </c>
      <c r="AP424" s="47">
        <v>0</v>
      </c>
      <c r="AQ424" s="47">
        <v>0</v>
      </c>
      <c r="AR424" s="47">
        <v>0</v>
      </c>
      <c r="AS424" s="47">
        <v>0</v>
      </c>
      <c r="AT424" s="47">
        <v>0</v>
      </c>
      <c r="AU424" s="47">
        <v>0</v>
      </c>
      <c r="AV424" s="47">
        <v>0</v>
      </c>
      <c r="AW424" s="47">
        <v>0</v>
      </c>
      <c r="AX424" s="47">
        <v>0</v>
      </c>
      <c r="AY424" s="47">
        <v>0</v>
      </c>
      <c r="AZ424" s="47">
        <v>0</v>
      </c>
      <c r="BA424" s="47">
        <v>0</v>
      </c>
      <c r="BB424" s="47">
        <v>0</v>
      </c>
      <c r="BC424" s="47">
        <v>0</v>
      </c>
      <c r="BD424" s="47">
        <v>0</v>
      </c>
      <c r="BE424" s="47">
        <v>0</v>
      </c>
      <c r="BF424" s="47">
        <v>0</v>
      </c>
      <c r="BG424" s="47">
        <v>0</v>
      </c>
      <c r="BH424" s="47">
        <v>0</v>
      </c>
      <c r="BI424" s="47">
        <v>0</v>
      </c>
      <c r="BJ424" s="47">
        <v>0</v>
      </c>
      <c r="BK424" s="47">
        <v>0</v>
      </c>
      <c r="BL424" s="47">
        <v>0</v>
      </c>
      <c r="BM424" s="47">
        <v>0</v>
      </c>
      <c r="BN424" s="47">
        <v>0</v>
      </c>
      <c r="BO424" s="47">
        <v>0</v>
      </c>
      <c r="BP424" s="47">
        <v>0</v>
      </c>
      <c r="BQ424" s="47">
        <v>0</v>
      </c>
      <c r="BR424" s="47">
        <v>0</v>
      </c>
      <c r="BS424" s="47">
        <v>0</v>
      </c>
      <c r="BT424" s="47">
        <v>0</v>
      </c>
      <c r="BU424" s="47">
        <v>0</v>
      </c>
      <c r="BV424" s="47">
        <v>0</v>
      </c>
      <c r="BW424" s="47">
        <v>0</v>
      </c>
      <c r="BX424" s="47">
        <v>0</v>
      </c>
      <c r="BY424" s="47">
        <v>0</v>
      </c>
      <c r="BZ424" s="47">
        <v>0</v>
      </c>
      <c r="CA424" s="47">
        <v>0</v>
      </c>
      <c r="CB424" s="47">
        <v>0</v>
      </c>
      <c r="CC424" s="47">
        <v>0</v>
      </c>
      <c r="CD424" s="47">
        <v>0</v>
      </c>
      <c r="CE424" s="47">
        <v>0</v>
      </c>
      <c r="CF424" s="47">
        <v>0</v>
      </c>
      <c r="CG424" s="47">
        <v>0</v>
      </c>
      <c r="CH424" s="47">
        <v>0</v>
      </c>
      <c r="CI424" s="47">
        <v>0</v>
      </c>
      <c r="CJ424" s="47">
        <v>0</v>
      </c>
      <c r="CK424" s="47">
        <v>0</v>
      </c>
      <c r="CL424" s="47">
        <v>0</v>
      </c>
      <c r="CM424" s="47">
        <v>0</v>
      </c>
      <c r="CN424" s="47">
        <v>0</v>
      </c>
      <c r="CO424" s="47">
        <v>0</v>
      </c>
      <c r="CP424" s="47">
        <v>0</v>
      </c>
      <c r="CQ424" s="47">
        <v>0</v>
      </c>
      <c r="CR424" s="47">
        <v>0</v>
      </c>
      <c r="CS424" s="47">
        <v>0</v>
      </c>
      <c r="CT424" s="47">
        <v>0</v>
      </c>
      <c r="CU424" s="47">
        <v>0</v>
      </c>
      <c r="CV424" s="47">
        <v>0</v>
      </c>
      <c r="CW424" s="47">
        <v>0</v>
      </c>
      <c r="CX424" s="47">
        <v>0</v>
      </c>
      <c r="CY424" s="47">
        <v>0</v>
      </c>
      <c r="CZ424" s="47">
        <v>0</v>
      </c>
      <c r="DA424" s="47">
        <v>0</v>
      </c>
      <c r="DB424" s="47">
        <v>0</v>
      </c>
      <c r="DC424" s="47">
        <v>0</v>
      </c>
      <c r="DD424" s="47">
        <v>0</v>
      </c>
      <c r="DE424" s="47">
        <v>0</v>
      </c>
      <c r="DF424" s="47">
        <v>0</v>
      </c>
      <c r="DG424" s="47">
        <v>0</v>
      </c>
      <c r="DH424" s="47">
        <v>0</v>
      </c>
      <c r="DI424" s="47">
        <v>0</v>
      </c>
      <c r="DJ424" s="47">
        <v>0</v>
      </c>
      <c r="DK424" s="47">
        <v>0</v>
      </c>
      <c r="DL424" s="47">
        <v>0</v>
      </c>
      <c r="DM424" s="47">
        <v>0</v>
      </c>
      <c r="DN424" s="47">
        <v>0</v>
      </c>
      <c r="DO424" s="47">
        <v>0</v>
      </c>
      <c r="DP424" s="47">
        <v>0</v>
      </c>
      <c r="DQ424" s="47">
        <v>0</v>
      </c>
      <c r="DR424" s="47">
        <v>0</v>
      </c>
      <c r="DS424" s="47">
        <v>0</v>
      </c>
      <c r="DT424" s="47">
        <v>0</v>
      </c>
      <c r="DU424" s="47">
        <v>0</v>
      </c>
      <c r="DV424" s="47">
        <v>0</v>
      </c>
      <c r="DW424" s="47">
        <v>0</v>
      </c>
      <c r="DX424" s="47">
        <v>0</v>
      </c>
      <c r="DY424" s="47">
        <v>0</v>
      </c>
      <c r="DZ424" s="47">
        <v>0</v>
      </c>
      <c r="EA424" s="47">
        <v>0</v>
      </c>
      <c r="EB424" s="47"/>
      <c r="EC424" s="47">
        <v>1</v>
      </c>
      <c r="ZZ424" t="s">
        <v>2472</v>
      </c>
    </row>
    <row r="425" spans="1:702" x14ac:dyDescent="0.25">
      <c r="A425" s="47" t="s">
        <v>2028</v>
      </c>
      <c r="B425" s="47" t="s">
        <v>153</v>
      </c>
      <c r="C425" s="47" t="s">
        <v>157</v>
      </c>
      <c r="D425" s="47" t="s">
        <v>2909</v>
      </c>
      <c r="E425" s="47" t="s">
        <v>2029</v>
      </c>
      <c r="F425" s="47" t="s">
        <v>2030</v>
      </c>
      <c r="G425" s="47" t="s">
        <v>2031</v>
      </c>
      <c r="H425" s="47" t="s">
        <v>698</v>
      </c>
      <c r="I425" s="47" t="s">
        <v>705</v>
      </c>
      <c r="J425" s="47" t="str">
        <f>=IFERROR(VLOOKUP(H425&amp;I425,Table_Fonctions!A:G,6,FALSE),"")</f>
        <v>0</v>
      </c>
      <c r="K425" s="47" t="s">
        <v>2607</v>
      </c>
      <c r="L425" s="47" t="str">
        <f>=IFERROR(VLOOKUP(H425&amp;I425,Table_Fonctions!A:G,7,FALSE),K425)</f>
        <v/>
      </c>
      <c r="M425" s="47" t="str">
        <f>=IF(OR(LEFT(D425, 3)="TJ ", LEFT(D425, 4)="CPH "), "OUI", "NON")</f>
        <v/>
      </c>
      <c r="N425" s="47" t="s">
        <v>2032</v>
      </c>
      <c r="O425" s="47"/>
      <c r="P425" s="47">
        <v>1</v>
      </c>
      <c r="Q425" s="47">
        <v>0</v>
      </c>
      <c r="R425" s="47">
        <v>1</v>
      </c>
      <c r="S425" s="47">
        <f>=ROUND(BQ425-(BR425+BS425),3)</f>
      </c>
      <c r="T425" s="47">
        <f>=ROUND(CK425-(CL425+CM425+CN425+CO425+CP425),3)</f>
      </c>
      <c r="U425" s="47">
        <v>0</v>
      </c>
      <c r="V425" s="47">
        <v>0</v>
      </c>
      <c r="W425" s="47">
        <v>0</v>
      </c>
      <c r="X425" s="47">
        <v>0</v>
      </c>
      <c r="Y425" s="47">
        <v>0</v>
      </c>
      <c r="Z425" s="47">
        <v>0</v>
      </c>
      <c r="AA425" s="47">
        <v>0</v>
      </c>
      <c r="AB425" s="47">
        <v>0</v>
      </c>
      <c r="AC425" s="47">
        <v>0</v>
      </c>
      <c r="AD425" s="47">
        <v>0</v>
      </c>
      <c r="AE425" s="47">
        <v>0</v>
      </c>
      <c r="AF425" s="47">
        <v>0</v>
      </c>
      <c r="AG425" s="47">
        <v>0</v>
      </c>
      <c r="AH425" s="47">
        <v>0</v>
      </c>
      <c r="AI425" s="47">
        <v>0</v>
      </c>
      <c r="AJ425" s="47">
        <v>0</v>
      </c>
      <c r="AK425" s="47">
        <v>0</v>
      </c>
      <c r="AL425" s="47">
        <v>0</v>
      </c>
      <c r="AM425" s="47">
        <v>0</v>
      </c>
      <c r="AN425" s="47">
        <v>0</v>
      </c>
      <c r="AO425" s="47">
        <v>0</v>
      </c>
      <c r="AP425" s="47">
        <v>0</v>
      </c>
      <c r="AQ425" s="47">
        <v>0</v>
      </c>
      <c r="AR425" s="47">
        <v>0</v>
      </c>
      <c r="AS425" s="47">
        <v>0</v>
      </c>
      <c r="AT425" s="47">
        <v>0</v>
      </c>
      <c r="AU425" s="47">
        <v>0</v>
      </c>
      <c r="AV425" s="47">
        <v>0</v>
      </c>
      <c r="AW425" s="47">
        <v>0</v>
      </c>
      <c r="AX425" s="47">
        <v>0</v>
      </c>
      <c r="AY425" s="47">
        <v>0</v>
      </c>
      <c r="AZ425" s="47">
        <v>0</v>
      </c>
      <c r="BA425" s="47">
        <v>0</v>
      </c>
      <c r="BB425" s="47">
        <v>0</v>
      </c>
      <c r="BC425" s="47">
        <v>0</v>
      </c>
      <c r="BD425" s="47">
        <v>0</v>
      </c>
      <c r="BE425" s="47">
        <v>0</v>
      </c>
      <c r="BF425" s="47">
        <v>0</v>
      </c>
      <c r="BG425" s="47">
        <v>0</v>
      </c>
      <c r="BH425" s="47">
        <v>0</v>
      </c>
      <c r="BI425" s="47">
        <v>0</v>
      </c>
      <c r="BJ425" s="47">
        <v>0</v>
      </c>
      <c r="BK425" s="47">
        <v>0</v>
      </c>
      <c r="BL425" s="47">
        <v>0</v>
      </c>
      <c r="BM425" s="47">
        <v>0</v>
      </c>
      <c r="BN425" s="47">
        <v>0</v>
      </c>
      <c r="BO425" s="47">
        <v>0</v>
      </c>
      <c r="BP425" s="47">
        <v>0</v>
      </c>
      <c r="BQ425" s="47">
        <v>0</v>
      </c>
      <c r="BR425" s="47">
        <v>0</v>
      </c>
      <c r="BS425" s="47">
        <v>0</v>
      </c>
      <c r="BT425" s="47">
        <v>0</v>
      </c>
      <c r="BU425" s="47">
        <v>0</v>
      </c>
      <c r="BV425" s="47">
        <v>0</v>
      </c>
      <c r="BW425" s="47">
        <v>0</v>
      </c>
      <c r="BX425" s="47">
        <v>0</v>
      </c>
      <c r="BY425" s="47">
        <v>0</v>
      </c>
      <c r="BZ425" s="47">
        <v>0</v>
      </c>
      <c r="CA425" s="47">
        <v>0</v>
      </c>
      <c r="CB425" s="47">
        <v>0</v>
      </c>
      <c r="CC425" s="47">
        <v>0</v>
      </c>
      <c r="CD425" s="47">
        <v>0</v>
      </c>
      <c r="CE425" s="47">
        <v>0</v>
      </c>
      <c r="CF425" s="47">
        <v>0</v>
      </c>
      <c r="CG425" s="47">
        <v>0</v>
      </c>
      <c r="CH425" s="47">
        <v>0</v>
      </c>
      <c r="CI425" s="47">
        <v>0</v>
      </c>
      <c r="CJ425" s="47">
        <v>0</v>
      </c>
      <c r="CK425" s="47">
        <v>0</v>
      </c>
      <c r="CL425" s="47">
        <v>0</v>
      </c>
      <c r="CM425" s="47">
        <v>0</v>
      </c>
      <c r="CN425" s="47">
        <v>0</v>
      </c>
      <c r="CO425" s="47">
        <v>0</v>
      </c>
      <c r="CP425" s="47">
        <v>0</v>
      </c>
      <c r="CQ425" s="47">
        <v>0</v>
      </c>
      <c r="CR425" s="47">
        <v>0</v>
      </c>
      <c r="CS425" s="47">
        <v>0</v>
      </c>
      <c r="CT425" s="47">
        <v>0</v>
      </c>
      <c r="CU425" s="47">
        <v>0</v>
      </c>
      <c r="CV425" s="47">
        <v>0</v>
      </c>
      <c r="CW425" s="47">
        <v>0</v>
      </c>
      <c r="CX425" s="47">
        <v>0</v>
      </c>
      <c r="CY425" s="47">
        <v>0</v>
      </c>
      <c r="CZ425" s="47">
        <v>0</v>
      </c>
      <c r="DA425" s="47">
        <v>0</v>
      </c>
      <c r="DB425" s="47">
        <v>0</v>
      </c>
      <c r="DC425" s="47">
        <v>0</v>
      </c>
      <c r="DD425" s="47">
        <v>0</v>
      </c>
      <c r="DE425" s="47">
        <v>0</v>
      </c>
      <c r="DF425" s="47">
        <v>0</v>
      </c>
      <c r="DG425" s="47">
        <v>0</v>
      </c>
      <c r="DH425" s="47">
        <v>0</v>
      </c>
      <c r="DI425" s="47">
        <v>0</v>
      </c>
      <c r="DJ425" s="47">
        <v>0</v>
      </c>
      <c r="DK425" s="47">
        <v>0</v>
      </c>
      <c r="DL425" s="47">
        <v>0</v>
      </c>
      <c r="DM425" s="47">
        <v>0</v>
      </c>
      <c r="DN425" s="47">
        <v>0</v>
      </c>
      <c r="DO425" s="47">
        <v>0</v>
      </c>
      <c r="DP425" s="47">
        <v>0</v>
      </c>
      <c r="DQ425" s="47">
        <v>0</v>
      </c>
      <c r="DR425" s="47">
        <v>0</v>
      </c>
      <c r="DS425" s="47">
        <v>0</v>
      </c>
      <c r="DT425" s="47">
        <v>0</v>
      </c>
      <c r="DU425" s="47">
        <v>0</v>
      </c>
      <c r="DV425" s="47">
        <v>0</v>
      </c>
      <c r="DW425" s="47">
        <v>0</v>
      </c>
      <c r="DX425" s="47">
        <v>0</v>
      </c>
      <c r="DY425" s="47">
        <v>0</v>
      </c>
      <c r="DZ425" s="47">
        <v>0</v>
      </c>
      <c r="EA425" s="47">
        <v>0</v>
      </c>
      <c r="EB425" s="47"/>
      <c r="EC425" s="47">
        <v>1</v>
      </c>
      <c r="ZZ425" t="s">
        <v>2472</v>
      </c>
    </row>
    <row r="426" spans="1:702" x14ac:dyDescent="0.25">
      <c r="A426" s="47" t="s">
        <v>2033</v>
      </c>
      <c r="B426" s="47" t="s">
        <v>153</v>
      </c>
      <c r="C426" s="47" t="s">
        <v>157</v>
      </c>
      <c r="D426" s="47" t="s">
        <v>2910</v>
      </c>
      <c r="E426" s="47" t="s">
        <v>2034</v>
      </c>
      <c r="F426" s="47" t="s">
        <v>2035</v>
      </c>
      <c r="G426" s="47" t="s">
        <v>2036</v>
      </c>
      <c r="H426" s="47" t="s">
        <v>698</v>
      </c>
      <c r="I426" s="47" t="s">
        <v>727</v>
      </c>
      <c r="J426" s="47" t="str">
        <f>=IFERROR(VLOOKUP(H426&amp;I426,Table_Fonctions!A:G,6,FALSE),"")</f>
        <v>0</v>
      </c>
      <c r="K426" s="47" t="s">
        <v>2607</v>
      </c>
      <c r="L426" s="47" t="str">
        <f>=IFERROR(VLOOKUP(H426&amp;I426,Table_Fonctions!A:G,7,FALSE),K426)</f>
        <v/>
      </c>
      <c r="M426" s="47" t="str">
        <f>=IF(OR(LEFT(D426, 3)="TJ ", LEFT(D426, 4)="CPH "), "OUI", "NON")</f>
        <v/>
      </c>
      <c r="N426" s="47" t="s">
        <v>593</v>
      </c>
      <c r="O426" s="47"/>
      <c r="P426" s="47">
        <v>0.8</v>
      </c>
      <c r="Q426" s="47">
        <v>0.8</v>
      </c>
      <c r="R426" s="47">
        <v>0</v>
      </c>
      <c r="S426" s="47">
        <f>=ROUND(BQ426-(BR426+BS426),3)</f>
      </c>
      <c r="T426" s="47">
        <f>=ROUND(CK426-(CL426+CM426+CN426+CO426+CP426),3)</f>
      </c>
      <c r="U426" s="47">
        <v>0</v>
      </c>
      <c r="V426" s="47">
        <v>0</v>
      </c>
      <c r="W426" s="47">
        <v>0</v>
      </c>
      <c r="X426" s="47">
        <v>0</v>
      </c>
      <c r="Y426" s="47">
        <v>0</v>
      </c>
      <c r="Z426" s="47">
        <v>0</v>
      </c>
      <c r="AA426" s="47">
        <v>0</v>
      </c>
      <c r="AB426" s="47">
        <v>0</v>
      </c>
      <c r="AC426" s="47">
        <v>0</v>
      </c>
      <c r="AD426" s="47">
        <v>0</v>
      </c>
      <c r="AE426" s="47">
        <v>0</v>
      </c>
      <c r="AF426" s="47">
        <v>0</v>
      </c>
      <c r="AG426" s="47">
        <v>0</v>
      </c>
      <c r="AH426" s="47">
        <v>0</v>
      </c>
      <c r="AI426" s="47">
        <v>0</v>
      </c>
      <c r="AJ426" s="47">
        <v>0</v>
      </c>
      <c r="AK426" s="47">
        <v>0</v>
      </c>
      <c r="AL426" s="47">
        <v>0</v>
      </c>
      <c r="AM426" s="47">
        <v>0</v>
      </c>
      <c r="AN426" s="47">
        <v>0</v>
      </c>
      <c r="AO426" s="47">
        <v>0</v>
      </c>
      <c r="AP426" s="47">
        <v>0</v>
      </c>
      <c r="AQ426" s="47">
        <v>0</v>
      </c>
      <c r="AR426" s="47">
        <v>0</v>
      </c>
      <c r="AS426" s="47">
        <v>0</v>
      </c>
      <c r="AT426" s="47">
        <v>0</v>
      </c>
      <c r="AU426" s="47">
        <v>0</v>
      </c>
      <c r="AV426" s="47">
        <v>0</v>
      </c>
      <c r="AW426" s="47">
        <v>0</v>
      </c>
      <c r="AX426" s="47">
        <v>0</v>
      </c>
      <c r="AY426" s="47">
        <v>0</v>
      </c>
      <c r="AZ426" s="47">
        <v>0</v>
      </c>
      <c r="BA426" s="47">
        <v>0</v>
      </c>
      <c r="BB426" s="47">
        <v>0</v>
      </c>
      <c r="BC426" s="47">
        <v>0</v>
      </c>
      <c r="BD426" s="47">
        <v>0</v>
      </c>
      <c r="BE426" s="47">
        <v>0</v>
      </c>
      <c r="BF426" s="47">
        <v>0</v>
      </c>
      <c r="BG426" s="47">
        <v>0</v>
      </c>
      <c r="BH426" s="47">
        <v>0</v>
      </c>
      <c r="BI426" s="47">
        <v>0</v>
      </c>
      <c r="BJ426" s="47">
        <v>0</v>
      </c>
      <c r="BK426" s="47">
        <v>0</v>
      </c>
      <c r="BL426" s="47">
        <v>0</v>
      </c>
      <c r="BM426" s="47">
        <v>0</v>
      </c>
      <c r="BN426" s="47">
        <v>0</v>
      </c>
      <c r="BO426" s="47">
        <v>0</v>
      </c>
      <c r="BP426" s="47">
        <v>0</v>
      </c>
      <c r="BQ426" s="47">
        <v>0</v>
      </c>
      <c r="BR426" s="47">
        <v>0</v>
      </c>
      <c r="BS426" s="47">
        <v>0</v>
      </c>
      <c r="BT426" s="47">
        <v>0.8</v>
      </c>
      <c r="BU426" s="47">
        <v>0</v>
      </c>
      <c r="BV426" s="47">
        <v>0</v>
      </c>
      <c r="BW426" s="47">
        <v>0</v>
      </c>
      <c r="BX426" s="47">
        <v>0</v>
      </c>
      <c r="BY426" s="47">
        <v>0</v>
      </c>
      <c r="BZ426" s="47">
        <v>0</v>
      </c>
      <c r="CA426" s="47">
        <v>0</v>
      </c>
      <c r="CB426" s="47">
        <v>0</v>
      </c>
      <c r="CC426" s="47">
        <v>0</v>
      </c>
      <c r="CD426" s="47">
        <v>0</v>
      </c>
      <c r="CE426" s="47">
        <v>0</v>
      </c>
      <c r="CF426" s="47">
        <v>0</v>
      </c>
      <c r="CG426" s="47">
        <v>0</v>
      </c>
      <c r="CH426" s="47">
        <v>0</v>
      </c>
      <c r="CI426" s="47">
        <v>0</v>
      </c>
      <c r="CJ426" s="47">
        <v>0</v>
      </c>
      <c r="CK426" s="47">
        <v>0</v>
      </c>
      <c r="CL426" s="47">
        <v>0</v>
      </c>
      <c r="CM426" s="47">
        <v>0</v>
      </c>
      <c r="CN426" s="47">
        <v>0</v>
      </c>
      <c r="CO426" s="47">
        <v>0</v>
      </c>
      <c r="CP426" s="47">
        <v>0</v>
      </c>
      <c r="CQ426" s="47">
        <v>0</v>
      </c>
      <c r="CR426" s="47">
        <v>0</v>
      </c>
      <c r="CS426" s="47">
        <v>0</v>
      </c>
      <c r="CT426" s="47">
        <v>0</v>
      </c>
      <c r="CU426" s="47">
        <v>0</v>
      </c>
      <c r="CV426" s="47">
        <v>0</v>
      </c>
      <c r="CW426" s="47">
        <v>0</v>
      </c>
      <c r="CX426" s="47">
        <v>0</v>
      </c>
      <c r="CY426" s="47">
        <v>0</v>
      </c>
      <c r="CZ426" s="47">
        <v>0</v>
      </c>
      <c r="DA426" s="47">
        <v>0</v>
      </c>
      <c r="DB426" s="47">
        <v>0</v>
      </c>
      <c r="DC426" s="47">
        <v>0</v>
      </c>
      <c r="DD426" s="47">
        <v>0</v>
      </c>
      <c r="DE426" s="47">
        <v>0</v>
      </c>
      <c r="DF426" s="47">
        <v>0</v>
      </c>
      <c r="DG426" s="47">
        <v>0</v>
      </c>
      <c r="DH426" s="47">
        <v>0</v>
      </c>
      <c r="DI426" s="47">
        <v>0</v>
      </c>
      <c r="DJ426" s="47">
        <v>0</v>
      </c>
      <c r="DK426" s="47">
        <v>0</v>
      </c>
      <c r="DL426" s="47">
        <v>0</v>
      </c>
      <c r="DM426" s="47">
        <v>0</v>
      </c>
      <c r="DN426" s="47">
        <v>0</v>
      </c>
      <c r="DO426" s="47">
        <v>0</v>
      </c>
      <c r="DP426" s="47">
        <v>0</v>
      </c>
      <c r="DQ426" s="47">
        <v>0</v>
      </c>
      <c r="DR426" s="47">
        <v>0</v>
      </c>
      <c r="DS426" s="47">
        <v>0</v>
      </c>
      <c r="DT426" s="47">
        <v>0</v>
      </c>
      <c r="DU426" s="47">
        <v>0</v>
      </c>
      <c r="DV426" s="47">
        <v>0</v>
      </c>
      <c r="DW426" s="47">
        <v>0</v>
      </c>
      <c r="DX426" s="47">
        <v>0</v>
      </c>
      <c r="DY426" s="47">
        <v>0</v>
      </c>
      <c r="DZ426" s="47">
        <v>0</v>
      </c>
      <c r="EA426" s="47">
        <v>0</v>
      </c>
      <c r="EB426" s="47"/>
      <c r="EC426" s="47">
        <v>0.8</v>
      </c>
      <c r="ZZ426" t="s">
        <v>2472</v>
      </c>
    </row>
    <row r="427" spans="1:702" x14ac:dyDescent="0.25">
      <c r="A427" s="47" t="s">
        <v>2037</v>
      </c>
      <c r="B427" s="47" t="s">
        <v>153</v>
      </c>
      <c r="C427" s="47" t="s">
        <v>157</v>
      </c>
      <c r="D427" s="47" t="s">
        <v>2911</v>
      </c>
      <c r="E427" s="47" t="s">
        <v>2038</v>
      </c>
      <c r="F427" s="47" t="s">
        <v>2039</v>
      </c>
      <c r="G427" s="47" t="s">
        <v>2040</v>
      </c>
      <c r="H427" s="47" t="s">
        <v>698</v>
      </c>
      <c r="I427" s="47" t="s">
        <v>705</v>
      </c>
      <c r="J427" s="47" t="str">
        <f>=IFERROR(VLOOKUP(H427&amp;I427,Table_Fonctions!A:G,6,FALSE),"")</f>
        <v>0</v>
      </c>
      <c r="K427" s="47" t="s">
        <v>2607</v>
      </c>
      <c r="L427" s="47" t="str">
        <f>=IFERROR(VLOOKUP(H427&amp;I427,Table_Fonctions!A:G,7,FALSE),K427)</f>
        <v/>
      </c>
      <c r="M427" s="47" t="str">
        <f>=IF(OR(LEFT(D427, 3)="TJ ", LEFT(D427, 4)="CPH "), "OUI", "NON")</f>
        <v/>
      </c>
      <c r="N427" s="47" t="s">
        <v>168</v>
      </c>
      <c r="O427" s="47"/>
      <c r="P427" s="47">
        <v>0.8</v>
      </c>
      <c r="Q427" s="47">
        <v>0</v>
      </c>
      <c r="R427" s="47">
        <v>0.8</v>
      </c>
      <c r="S427" s="47">
        <f>=ROUND(BQ427-(BR427+BS427),3)</f>
      </c>
      <c r="T427" s="47">
        <f>=ROUND(CK427-(CL427+CM427+CN427+CO427+CP427),3)</f>
      </c>
      <c r="U427" s="47">
        <v>0</v>
      </c>
      <c r="V427" s="47">
        <v>0</v>
      </c>
      <c r="W427" s="47">
        <v>0</v>
      </c>
      <c r="X427" s="47">
        <v>0</v>
      </c>
      <c r="Y427" s="47">
        <v>0</v>
      </c>
      <c r="Z427" s="47">
        <v>0</v>
      </c>
      <c r="AA427" s="47">
        <v>0</v>
      </c>
      <c r="AB427" s="47">
        <v>0</v>
      </c>
      <c r="AC427" s="47">
        <v>0</v>
      </c>
      <c r="AD427" s="47">
        <v>0</v>
      </c>
      <c r="AE427" s="47">
        <v>0</v>
      </c>
      <c r="AF427" s="47">
        <v>0</v>
      </c>
      <c r="AG427" s="47">
        <v>0</v>
      </c>
      <c r="AH427" s="47">
        <v>0</v>
      </c>
      <c r="AI427" s="47">
        <v>0</v>
      </c>
      <c r="AJ427" s="47">
        <v>0</v>
      </c>
      <c r="AK427" s="47">
        <v>0</v>
      </c>
      <c r="AL427" s="47">
        <v>0</v>
      </c>
      <c r="AM427" s="47">
        <v>0</v>
      </c>
      <c r="AN427" s="47">
        <v>0</v>
      </c>
      <c r="AO427" s="47">
        <v>0</v>
      </c>
      <c r="AP427" s="47">
        <v>0</v>
      </c>
      <c r="AQ427" s="47">
        <v>0</v>
      </c>
      <c r="AR427" s="47">
        <v>0</v>
      </c>
      <c r="AS427" s="47">
        <v>0</v>
      </c>
      <c r="AT427" s="47">
        <v>0</v>
      </c>
      <c r="AU427" s="47">
        <v>0</v>
      </c>
      <c r="AV427" s="47">
        <v>0</v>
      </c>
      <c r="AW427" s="47">
        <v>0</v>
      </c>
      <c r="AX427" s="47">
        <v>0</v>
      </c>
      <c r="AY427" s="47">
        <v>0</v>
      </c>
      <c r="AZ427" s="47">
        <v>0</v>
      </c>
      <c r="BA427" s="47">
        <v>0</v>
      </c>
      <c r="BB427" s="47">
        <v>0</v>
      </c>
      <c r="BC427" s="47">
        <v>0</v>
      </c>
      <c r="BD427" s="47">
        <v>0</v>
      </c>
      <c r="BE427" s="47">
        <v>0</v>
      </c>
      <c r="BF427" s="47">
        <v>0</v>
      </c>
      <c r="BG427" s="47">
        <v>0</v>
      </c>
      <c r="BH427" s="47">
        <v>0</v>
      </c>
      <c r="BI427" s="47">
        <v>0</v>
      </c>
      <c r="BJ427" s="47">
        <v>0</v>
      </c>
      <c r="BK427" s="47">
        <v>0</v>
      </c>
      <c r="BL427" s="47">
        <v>0</v>
      </c>
      <c r="BM427" s="47">
        <v>0</v>
      </c>
      <c r="BN427" s="47">
        <v>0</v>
      </c>
      <c r="BO427" s="47">
        <v>0</v>
      </c>
      <c r="BP427" s="47">
        <v>0</v>
      </c>
      <c r="BQ427" s="47">
        <v>0</v>
      </c>
      <c r="BR427" s="47">
        <v>0</v>
      </c>
      <c r="BS427" s="47">
        <v>0</v>
      </c>
      <c r="BT427" s="47">
        <v>0</v>
      </c>
      <c r="BU427" s="47">
        <v>0</v>
      </c>
      <c r="BV427" s="47">
        <v>0</v>
      </c>
      <c r="BW427" s="47">
        <v>0</v>
      </c>
      <c r="BX427" s="47">
        <v>0</v>
      </c>
      <c r="BY427" s="47">
        <v>0</v>
      </c>
      <c r="BZ427" s="47">
        <v>0</v>
      </c>
      <c r="CA427" s="47">
        <v>0</v>
      </c>
      <c r="CB427" s="47">
        <v>0</v>
      </c>
      <c r="CC427" s="47">
        <v>0</v>
      </c>
      <c r="CD427" s="47">
        <v>0</v>
      </c>
      <c r="CE427" s="47">
        <v>0</v>
      </c>
      <c r="CF427" s="47">
        <v>0</v>
      </c>
      <c r="CG427" s="47">
        <v>0</v>
      </c>
      <c r="CH427" s="47">
        <v>0</v>
      </c>
      <c r="CI427" s="47">
        <v>0</v>
      </c>
      <c r="CJ427" s="47">
        <v>0</v>
      </c>
      <c r="CK427" s="47">
        <v>0</v>
      </c>
      <c r="CL427" s="47">
        <v>0</v>
      </c>
      <c r="CM427" s="47">
        <v>0</v>
      </c>
      <c r="CN427" s="47">
        <v>0</v>
      </c>
      <c r="CO427" s="47">
        <v>0</v>
      </c>
      <c r="CP427" s="47">
        <v>0</v>
      </c>
      <c r="CQ427" s="47">
        <v>0</v>
      </c>
      <c r="CR427" s="47">
        <v>0</v>
      </c>
      <c r="CS427" s="47">
        <v>0</v>
      </c>
      <c r="CT427" s="47">
        <v>0</v>
      </c>
      <c r="CU427" s="47">
        <v>0</v>
      </c>
      <c r="CV427" s="47">
        <v>0</v>
      </c>
      <c r="CW427" s="47">
        <v>0</v>
      </c>
      <c r="CX427" s="47">
        <v>0</v>
      </c>
      <c r="CY427" s="47">
        <v>0</v>
      </c>
      <c r="CZ427" s="47">
        <v>0</v>
      </c>
      <c r="DA427" s="47">
        <v>0</v>
      </c>
      <c r="DB427" s="47">
        <v>0</v>
      </c>
      <c r="DC427" s="47">
        <v>0</v>
      </c>
      <c r="DD427" s="47">
        <v>0</v>
      </c>
      <c r="DE427" s="47">
        <v>0</v>
      </c>
      <c r="DF427" s="47">
        <v>0</v>
      </c>
      <c r="DG427" s="47">
        <v>0</v>
      </c>
      <c r="DH427" s="47">
        <v>0</v>
      </c>
      <c r="DI427" s="47">
        <v>0</v>
      </c>
      <c r="DJ427" s="47">
        <v>0</v>
      </c>
      <c r="DK427" s="47">
        <v>0</v>
      </c>
      <c r="DL427" s="47">
        <v>0</v>
      </c>
      <c r="DM427" s="47">
        <v>0</v>
      </c>
      <c r="DN427" s="47">
        <v>0</v>
      </c>
      <c r="DO427" s="47">
        <v>0</v>
      </c>
      <c r="DP427" s="47">
        <v>0</v>
      </c>
      <c r="DQ427" s="47">
        <v>0</v>
      </c>
      <c r="DR427" s="47">
        <v>0</v>
      </c>
      <c r="DS427" s="47">
        <v>0</v>
      </c>
      <c r="DT427" s="47">
        <v>0</v>
      </c>
      <c r="DU427" s="47">
        <v>0</v>
      </c>
      <c r="DV427" s="47">
        <v>0</v>
      </c>
      <c r="DW427" s="47">
        <v>0</v>
      </c>
      <c r="DX427" s="47">
        <v>0</v>
      </c>
      <c r="DY427" s="47">
        <v>0</v>
      </c>
      <c r="DZ427" s="47">
        <v>0</v>
      </c>
      <c r="EA427" s="47">
        <v>0</v>
      </c>
      <c r="EB427" s="47"/>
      <c r="EC427" s="47">
        <v>0.8</v>
      </c>
      <c r="ZZ427" t="s">
        <v>2472</v>
      </c>
    </row>
    <row r="428" spans="1:702" x14ac:dyDescent="0.25">
      <c r="A428" s="47" t="s">
        <v>2041</v>
      </c>
      <c r="B428" s="47" t="s">
        <v>153</v>
      </c>
      <c r="C428" s="47" t="s">
        <v>157</v>
      </c>
      <c r="D428" s="47" t="s">
        <v>2912</v>
      </c>
      <c r="E428" s="47" t="s">
        <v>2042</v>
      </c>
      <c r="F428" s="47" t="s">
        <v>2043</v>
      </c>
      <c r="G428" s="47" t="s">
        <v>2044</v>
      </c>
      <c r="H428" s="47" t="s">
        <v>698</v>
      </c>
      <c r="I428" s="47" t="s">
        <v>705</v>
      </c>
      <c r="J428" s="47" t="str">
        <f>=IFERROR(VLOOKUP(H428&amp;I428,Table_Fonctions!A:G,6,FALSE),"")</f>
        <v>0</v>
      </c>
      <c r="K428" s="47" t="s">
        <v>2607</v>
      </c>
      <c r="L428" s="47" t="str">
        <f>=IFERROR(VLOOKUP(H428&amp;I428,Table_Fonctions!A:G,7,FALSE),K428)</f>
        <v/>
      </c>
      <c r="M428" s="47" t="str">
        <f>=IF(OR(LEFT(D428, 3)="TJ ", LEFT(D428, 4)="CPH "), "OUI", "NON")</f>
        <v/>
      </c>
      <c r="N428" s="47" t="s">
        <v>753</v>
      </c>
      <c r="O428" s="47"/>
      <c r="P428" s="47">
        <v>0.8</v>
      </c>
      <c r="Q428" s="47">
        <v>0</v>
      </c>
      <c r="R428" s="47">
        <v>0.8</v>
      </c>
      <c r="S428" s="47">
        <f>=ROUND(BQ428-(BR428+BS428),3)</f>
      </c>
      <c r="T428" s="47">
        <f>=ROUND(CK428-(CL428+CM428+CN428+CO428+CP428),3)</f>
      </c>
      <c r="U428" s="47">
        <v>0</v>
      </c>
      <c r="V428" s="47">
        <v>0</v>
      </c>
      <c r="W428" s="47">
        <v>0</v>
      </c>
      <c r="X428" s="47">
        <v>0</v>
      </c>
      <c r="Y428" s="47">
        <v>0</v>
      </c>
      <c r="Z428" s="47">
        <v>0</v>
      </c>
      <c r="AA428" s="47">
        <v>0</v>
      </c>
      <c r="AB428" s="47">
        <v>0</v>
      </c>
      <c r="AC428" s="47">
        <v>0</v>
      </c>
      <c r="AD428" s="47">
        <v>0</v>
      </c>
      <c r="AE428" s="47">
        <v>0</v>
      </c>
      <c r="AF428" s="47">
        <v>0</v>
      </c>
      <c r="AG428" s="47">
        <v>0</v>
      </c>
      <c r="AH428" s="47">
        <v>0</v>
      </c>
      <c r="AI428" s="47">
        <v>0</v>
      </c>
      <c r="AJ428" s="47">
        <v>0</v>
      </c>
      <c r="AK428" s="47">
        <v>0</v>
      </c>
      <c r="AL428" s="47">
        <v>0</v>
      </c>
      <c r="AM428" s="47">
        <v>0</v>
      </c>
      <c r="AN428" s="47">
        <v>0</v>
      </c>
      <c r="AO428" s="47">
        <v>0</v>
      </c>
      <c r="AP428" s="47">
        <v>0</v>
      </c>
      <c r="AQ428" s="47">
        <v>0</v>
      </c>
      <c r="AR428" s="47">
        <v>0</v>
      </c>
      <c r="AS428" s="47">
        <v>0</v>
      </c>
      <c r="AT428" s="47">
        <v>0</v>
      </c>
      <c r="AU428" s="47">
        <v>0</v>
      </c>
      <c r="AV428" s="47">
        <v>0</v>
      </c>
      <c r="AW428" s="47">
        <v>0</v>
      </c>
      <c r="AX428" s="47">
        <v>0</v>
      </c>
      <c r="AY428" s="47">
        <v>0</v>
      </c>
      <c r="AZ428" s="47">
        <v>0</v>
      </c>
      <c r="BA428" s="47">
        <v>0</v>
      </c>
      <c r="BB428" s="47">
        <v>0</v>
      </c>
      <c r="BC428" s="47">
        <v>0</v>
      </c>
      <c r="BD428" s="47">
        <v>0</v>
      </c>
      <c r="BE428" s="47">
        <v>0</v>
      </c>
      <c r="BF428" s="47">
        <v>0</v>
      </c>
      <c r="BG428" s="47">
        <v>0</v>
      </c>
      <c r="BH428" s="47">
        <v>0</v>
      </c>
      <c r="BI428" s="47">
        <v>0</v>
      </c>
      <c r="BJ428" s="47">
        <v>0</v>
      </c>
      <c r="BK428" s="47">
        <v>0</v>
      </c>
      <c r="BL428" s="47">
        <v>0</v>
      </c>
      <c r="BM428" s="47">
        <v>0</v>
      </c>
      <c r="BN428" s="47">
        <v>0</v>
      </c>
      <c r="BO428" s="47">
        <v>0</v>
      </c>
      <c r="BP428" s="47">
        <v>0</v>
      </c>
      <c r="BQ428" s="47">
        <v>0</v>
      </c>
      <c r="BR428" s="47">
        <v>0</v>
      </c>
      <c r="BS428" s="47">
        <v>0</v>
      </c>
      <c r="BT428" s="47">
        <v>0</v>
      </c>
      <c r="BU428" s="47">
        <v>0</v>
      </c>
      <c r="BV428" s="47">
        <v>0</v>
      </c>
      <c r="BW428" s="47">
        <v>0</v>
      </c>
      <c r="BX428" s="47">
        <v>0</v>
      </c>
      <c r="BY428" s="47">
        <v>0</v>
      </c>
      <c r="BZ428" s="47">
        <v>0</v>
      </c>
      <c r="CA428" s="47">
        <v>0</v>
      </c>
      <c r="CB428" s="47">
        <v>0</v>
      </c>
      <c r="CC428" s="47">
        <v>0</v>
      </c>
      <c r="CD428" s="47">
        <v>0</v>
      </c>
      <c r="CE428" s="47">
        <v>0</v>
      </c>
      <c r="CF428" s="47">
        <v>0</v>
      </c>
      <c r="CG428" s="47">
        <v>0</v>
      </c>
      <c r="CH428" s="47">
        <v>0</v>
      </c>
      <c r="CI428" s="47">
        <v>0</v>
      </c>
      <c r="CJ428" s="47">
        <v>0</v>
      </c>
      <c r="CK428" s="47">
        <v>0</v>
      </c>
      <c r="CL428" s="47">
        <v>0</v>
      </c>
      <c r="CM428" s="47">
        <v>0</v>
      </c>
      <c r="CN428" s="47">
        <v>0</v>
      </c>
      <c r="CO428" s="47">
        <v>0</v>
      </c>
      <c r="CP428" s="47">
        <v>0</v>
      </c>
      <c r="CQ428" s="47">
        <v>0</v>
      </c>
      <c r="CR428" s="47">
        <v>0</v>
      </c>
      <c r="CS428" s="47">
        <v>0</v>
      </c>
      <c r="CT428" s="47">
        <v>0</v>
      </c>
      <c r="CU428" s="47">
        <v>0</v>
      </c>
      <c r="CV428" s="47">
        <v>0</v>
      </c>
      <c r="CW428" s="47">
        <v>0</v>
      </c>
      <c r="CX428" s="47">
        <v>0</v>
      </c>
      <c r="CY428" s="47">
        <v>0</v>
      </c>
      <c r="CZ428" s="47">
        <v>0</v>
      </c>
      <c r="DA428" s="47">
        <v>0</v>
      </c>
      <c r="DB428" s="47">
        <v>0</v>
      </c>
      <c r="DC428" s="47">
        <v>0</v>
      </c>
      <c r="DD428" s="47">
        <v>0</v>
      </c>
      <c r="DE428" s="47">
        <v>0</v>
      </c>
      <c r="DF428" s="47">
        <v>0</v>
      </c>
      <c r="DG428" s="47">
        <v>0</v>
      </c>
      <c r="DH428" s="47">
        <v>0</v>
      </c>
      <c r="DI428" s="47">
        <v>0</v>
      </c>
      <c r="DJ428" s="47">
        <v>0</v>
      </c>
      <c r="DK428" s="47">
        <v>0</v>
      </c>
      <c r="DL428" s="47">
        <v>0</v>
      </c>
      <c r="DM428" s="47">
        <v>0</v>
      </c>
      <c r="DN428" s="47">
        <v>0</v>
      </c>
      <c r="DO428" s="47">
        <v>0</v>
      </c>
      <c r="DP428" s="47">
        <v>0</v>
      </c>
      <c r="DQ428" s="47">
        <v>0</v>
      </c>
      <c r="DR428" s="47">
        <v>0</v>
      </c>
      <c r="DS428" s="47">
        <v>0</v>
      </c>
      <c r="DT428" s="47">
        <v>0</v>
      </c>
      <c r="DU428" s="47">
        <v>0</v>
      </c>
      <c r="DV428" s="47">
        <v>0</v>
      </c>
      <c r="DW428" s="47">
        <v>0</v>
      </c>
      <c r="DX428" s="47">
        <v>0</v>
      </c>
      <c r="DY428" s="47">
        <v>0</v>
      </c>
      <c r="DZ428" s="47">
        <v>0</v>
      </c>
      <c r="EA428" s="47">
        <v>0</v>
      </c>
      <c r="EB428" s="47"/>
      <c r="EC428" s="47">
        <v>0.8</v>
      </c>
      <c r="ZZ428" t="s">
        <v>2472</v>
      </c>
    </row>
    <row r="429" spans="1:702" x14ac:dyDescent="0.25">
      <c r="A429" s="47" t="s">
        <v>2045</v>
      </c>
      <c r="B429" s="47" t="s">
        <v>153</v>
      </c>
      <c r="C429" s="47" t="s">
        <v>157</v>
      </c>
      <c r="D429" s="47" t="s">
        <v>2913</v>
      </c>
      <c r="E429" s="47" t="s">
        <v>2046</v>
      </c>
      <c r="F429" s="47" t="s">
        <v>2047</v>
      </c>
      <c r="G429" s="47" t="s">
        <v>2048</v>
      </c>
      <c r="H429" s="47" t="s">
        <v>698</v>
      </c>
      <c r="I429" s="47" t="s">
        <v>2049</v>
      </c>
      <c r="J429" s="47" t="str">
        <f>=IFERROR(VLOOKUP(H429&amp;I429,Table_Fonctions!A:G,6,FALSE),"")</f>
        <v>0</v>
      </c>
      <c r="K429" s="47" t="s">
        <v>2605</v>
      </c>
      <c r="L429" s="47" t="str">
        <f>=IFERROR(VLOOKUP(H429&amp;I429,Table_Fonctions!A:G,7,FALSE),K429)</f>
        <v/>
      </c>
      <c r="M429" s="47" t="str">
        <f>=IF(OR(LEFT(D429, 3)="TJ ", LEFT(D429, 4)="CPH "), "OUI", "NON")</f>
        <v/>
      </c>
      <c r="N429" s="47" t="s">
        <v>2050</v>
      </c>
      <c r="O429" s="47"/>
      <c r="P429" s="47">
        <v>1</v>
      </c>
      <c r="Q429" s="47">
        <v>1</v>
      </c>
      <c r="R429" s="47">
        <v>0</v>
      </c>
      <c r="S429" s="47">
        <f>=ROUND(BQ429-(BR429+BS429),3)</f>
      </c>
      <c r="T429" s="47">
        <f>=ROUND(CK429-(CL429+CM429+CN429+CO429+CP429),3)</f>
      </c>
      <c r="U429" s="47">
        <v>1</v>
      </c>
      <c r="V429" s="47">
        <v>1</v>
      </c>
      <c r="W429" s="47">
        <v>0</v>
      </c>
      <c r="X429" s="47">
        <v>0</v>
      </c>
      <c r="Y429" s="47">
        <v>0</v>
      </c>
      <c r="Z429" s="47">
        <v>0</v>
      </c>
      <c r="AA429" s="47">
        <v>0</v>
      </c>
      <c r="AB429" s="47">
        <v>0</v>
      </c>
      <c r="AC429" s="47">
        <v>0</v>
      </c>
      <c r="AD429" s="47">
        <v>0</v>
      </c>
      <c r="AE429" s="47">
        <v>0</v>
      </c>
      <c r="AF429" s="47">
        <v>0</v>
      </c>
      <c r="AG429" s="47">
        <v>0</v>
      </c>
      <c r="AH429" s="47">
        <v>0</v>
      </c>
      <c r="AI429" s="47">
        <v>0</v>
      </c>
      <c r="AJ429" s="47">
        <v>0</v>
      </c>
      <c r="AK429" s="47">
        <v>0</v>
      </c>
      <c r="AL429" s="47">
        <v>0</v>
      </c>
      <c r="AM429" s="47">
        <v>0</v>
      </c>
      <c r="AN429" s="47">
        <v>0</v>
      </c>
      <c r="AO429" s="47">
        <v>0</v>
      </c>
      <c r="AP429" s="47">
        <v>0</v>
      </c>
      <c r="AQ429" s="47">
        <v>0</v>
      </c>
      <c r="AR429" s="47">
        <v>0</v>
      </c>
      <c r="AS429" s="47">
        <v>0</v>
      </c>
      <c r="AT429" s="47">
        <v>0</v>
      </c>
      <c r="AU429" s="47">
        <v>0</v>
      </c>
      <c r="AV429" s="47">
        <v>0</v>
      </c>
      <c r="AW429" s="47">
        <v>0</v>
      </c>
      <c r="AX429" s="47">
        <v>0</v>
      </c>
      <c r="AY429" s="47">
        <v>0</v>
      </c>
      <c r="AZ429" s="47">
        <v>0</v>
      </c>
      <c r="BA429" s="47">
        <v>0</v>
      </c>
      <c r="BB429" s="47">
        <v>0</v>
      </c>
      <c r="BC429" s="47">
        <v>0</v>
      </c>
      <c r="BD429" s="47">
        <v>0</v>
      </c>
      <c r="BE429" s="47">
        <v>0</v>
      </c>
      <c r="BF429" s="47">
        <v>0</v>
      </c>
      <c r="BG429" s="47">
        <v>0</v>
      </c>
      <c r="BH429" s="47">
        <v>0</v>
      </c>
      <c r="BI429" s="47">
        <v>0</v>
      </c>
      <c r="BJ429" s="47">
        <v>0</v>
      </c>
      <c r="BK429" s="47">
        <v>0</v>
      </c>
      <c r="BL429" s="47">
        <v>0</v>
      </c>
      <c r="BM429" s="47">
        <v>0</v>
      </c>
      <c r="BN429" s="47">
        <v>0</v>
      </c>
      <c r="BO429" s="47">
        <v>0</v>
      </c>
      <c r="BP429" s="47">
        <v>0</v>
      </c>
      <c r="BQ429" s="47">
        <v>0</v>
      </c>
      <c r="BR429" s="47">
        <v>0</v>
      </c>
      <c r="BS429" s="47">
        <v>0</v>
      </c>
      <c r="BT429" s="47">
        <v>0</v>
      </c>
      <c r="BU429" s="47">
        <v>0</v>
      </c>
      <c r="BV429" s="47">
        <v>0</v>
      </c>
      <c r="BW429" s="47">
        <v>0</v>
      </c>
      <c r="BX429" s="47">
        <v>0</v>
      </c>
      <c r="BY429" s="47">
        <v>0</v>
      </c>
      <c r="BZ429" s="47">
        <v>0</v>
      </c>
      <c r="CA429" s="47">
        <v>0</v>
      </c>
      <c r="CB429" s="47">
        <v>0</v>
      </c>
      <c r="CC429" s="47">
        <v>0</v>
      </c>
      <c r="CD429" s="47">
        <v>0</v>
      </c>
      <c r="CE429" s="47">
        <v>0</v>
      </c>
      <c r="CF429" s="47">
        <v>0</v>
      </c>
      <c r="CG429" s="47">
        <v>0</v>
      </c>
      <c r="CH429" s="47">
        <v>0</v>
      </c>
      <c r="CI429" s="47">
        <v>0</v>
      </c>
      <c r="CJ429" s="47">
        <v>0</v>
      </c>
      <c r="CK429" s="47">
        <v>0</v>
      </c>
      <c r="CL429" s="47">
        <v>0</v>
      </c>
      <c r="CM429" s="47">
        <v>0</v>
      </c>
      <c r="CN429" s="47">
        <v>0</v>
      </c>
      <c r="CO429" s="47">
        <v>0</v>
      </c>
      <c r="CP429" s="47">
        <v>0</v>
      </c>
      <c r="CQ429" s="47">
        <v>0</v>
      </c>
      <c r="CR429" s="47">
        <v>0</v>
      </c>
      <c r="CS429" s="47">
        <v>0</v>
      </c>
      <c r="CT429" s="47">
        <v>0</v>
      </c>
      <c r="CU429" s="47">
        <v>0</v>
      </c>
      <c r="CV429" s="47">
        <v>0</v>
      </c>
      <c r="CW429" s="47">
        <v>0</v>
      </c>
      <c r="CX429" s="47">
        <v>0</v>
      </c>
      <c r="CY429" s="47">
        <v>0</v>
      </c>
      <c r="CZ429" s="47">
        <v>0</v>
      </c>
      <c r="DA429" s="47">
        <v>0</v>
      </c>
      <c r="DB429" s="47">
        <v>0</v>
      </c>
      <c r="DC429" s="47">
        <v>0</v>
      </c>
      <c r="DD429" s="47">
        <v>0</v>
      </c>
      <c r="DE429" s="47">
        <v>0</v>
      </c>
      <c r="DF429" s="47">
        <v>0</v>
      </c>
      <c r="DG429" s="47">
        <v>0</v>
      </c>
      <c r="DH429" s="47">
        <v>0</v>
      </c>
      <c r="DI429" s="47">
        <v>0</v>
      </c>
      <c r="DJ429" s="47">
        <v>0</v>
      </c>
      <c r="DK429" s="47">
        <v>0</v>
      </c>
      <c r="DL429" s="47">
        <v>0</v>
      </c>
      <c r="DM429" s="47">
        <v>0</v>
      </c>
      <c r="DN429" s="47">
        <v>0</v>
      </c>
      <c r="DO429" s="47">
        <v>0</v>
      </c>
      <c r="DP429" s="47">
        <v>0</v>
      </c>
      <c r="DQ429" s="47">
        <v>0</v>
      </c>
      <c r="DR429" s="47">
        <v>0</v>
      </c>
      <c r="DS429" s="47">
        <v>0</v>
      </c>
      <c r="DT429" s="47">
        <v>0</v>
      </c>
      <c r="DU429" s="47">
        <v>0</v>
      </c>
      <c r="DV429" s="47">
        <v>0</v>
      </c>
      <c r="DW429" s="47">
        <v>0</v>
      </c>
      <c r="DX429" s="47">
        <v>0</v>
      </c>
      <c r="DY429" s="47">
        <v>0</v>
      </c>
      <c r="DZ429" s="47">
        <v>0</v>
      </c>
      <c r="EA429" s="47">
        <v>0</v>
      </c>
      <c r="EB429" s="47"/>
      <c r="EC429" s="47">
        <v>1</v>
      </c>
      <c r="ZZ429" t="s">
        <v>2472</v>
      </c>
    </row>
    <row r="430" spans="1:702" x14ac:dyDescent="0.25">
      <c r="A430" s="47" t="s">
        <v>2051</v>
      </c>
      <c r="B430" s="47" t="s">
        <v>153</v>
      </c>
      <c r="C430" s="47" t="s">
        <v>157</v>
      </c>
      <c r="D430" s="47" t="s">
        <v>2914</v>
      </c>
      <c r="E430" s="47" t="s">
        <v>2052</v>
      </c>
      <c r="F430" s="47" t="s">
        <v>2053</v>
      </c>
      <c r="G430" s="47" t="s">
        <v>2054</v>
      </c>
      <c r="H430" s="47" t="s">
        <v>698</v>
      </c>
      <c r="I430" s="47" t="s">
        <v>699</v>
      </c>
      <c r="J430" s="47" t="str">
        <f>=IFERROR(VLOOKUP(H430&amp;I430,Table_Fonctions!A:G,6,FALSE),"")</f>
        <v>0</v>
      </c>
      <c r="K430" s="47" t="s">
        <v>2605</v>
      </c>
      <c r="L430" s="47" t="str">
        <f>=IFERROR(VLOOKUP(H430&amp;I430,Table_Fonctions!A:G,7,FALSE),K430)</f>
        <v/>
      </c>
      <c r="M430" s="47" t="str">
        <f>=IF(OR(LEFT(D430, 3)="TJ ", LEFT(D430, 4)="CPH "), "OUI", "NON")</f>
        <v/>
      </c>
      <c r="N430" s="47" t="s">
        <v>593</v>
      </c>
      <c r="O430" s="47"/>
      <c r="P430" s="47">
        <v>1</v>
      </c>
      <c r="Q430" s="47">
        <v>1</v>
      </c>
      <c r="R430" s="47">
        <v>0</v>
      </c>
      <c r="S430" s="47">
        <f>=ROUND(BQ430-(BR430+BS430),3)</f>
      </c>
      <c r="T430" s="47">
        <f>=ROUND(CK430-(CL430+CM430+CN430+CO430+CP430),3)</f>
      </c>
      <c r="U430" s="47">
        <v>0</v>
      </c>
      <c r="V430" s="47">
        <v>0</v>
      </c>
      <c r="W430" s="47">
        <v>0</v>
      </c>
      <c r="X430" s="47">
        <v>0</v>
      </c>
      <c r="Y430" s="47">
        <v>0</v>
      </c>
      <c r="Z430" s="47">
        <v>0</v>
      </c>
      <c r="AA430" s="47">
        <v>0</v>
      </c>
      <c r="AB430" s="47">
        <v>0</v>
      </c>
      <c r="AC430" s="47">
        <v>0</v>
      </c>
      <c r="AD430" s="47">
        <v>0</v>
      </c>
      <c r="AE430" s="47">
        <v>0</v>
      </c>
      <c r="AF430" s="47">
        <v>0</v>
      </c>
      <c r="AG430" s="47">
        <v>0</v>
      </c>
      <c r="AH430" s="47">
        <v>0</v>
      </c>
      <c r="AI430" s="47">
        <v>0</v>
      </c>
      <c r="AJ430" s="47">
        <v>0</v>
      </c>
      <c r="AK430" s="47">
        <v>0</v>
      </c>
      <c r="AL430" s="47">
        <v>0</v>
      </c>
      <c r="AM430" s="47">
        <v>0</v>
      </c>
      <c r="AN430" s="47">
        <v>0</v>
      </c>
      <c r="AO430" s="47">
        <v>0</v>
      </c>
      <c r="AP430" s="47">
        <v>0</v>
      </c>
      <c r="AQ430" s="47">
        <v>0</v>
      </c>
      <c r="AR430" s="47">
        <v>0</v>
      </c>
      <c r="AS430" s="47">
        <v>0</v>
      </c>
      <c r="AT430" s="47">
        <v>0</v>
      </c>
      <c r="AU430" s="47">
        <v>0</v>
      </c>
      <c r="AV430" s="47">
        <v>0</v>
      </c>
      <c r="AW430" s="47">
        <v>0</v>
      </c>
      <c r="AX430" s="47">
        <v>0</v>
      </c>
      <c r="AY430" s="47">
        <v>0</v>
      </c>
      <c r="AZ430" s="47">
        <v>0</v>
      </c>
      <c r="BA430" s="47">
        <v>0</v>
      </c>
      <c r="BB430" s="47">
        <v>0</v>
      </c>
      <c r="BC430" s="47">
        <v>0</v>
      </c>
      <c r="BD430" s="47">
        <v>0</v>
      </c>
      <c r="BE430" s="47">
        <v>0</v>
      </c>
      <c r="BF430" s="47">
        <v>0</v>
      </c>
      <c r="BG430" s="47">
        <v>0</v>
      </c>
      <c r="BH430" s="47">
        <v>0</v>
      </c>
      <c r="BI430" s="47">
        <v>0</v>
      </c>
      <c r="BJ430" s="47">
        <v>0</v>
      </c>
      <c r="BK430" s="47">
        <v>0</v>
      </c>
      <c r="BL430" s="47">
        <v>0</v>
      </c>
      <c r="BM430" s="47">
        <v>0</v>
      </c>
      <c r="BN430" s="47">
        <v>0</v>
      </c>
      <c r="BO430" s="47">
        <v>0</v>
      </c>
      <c r="BP430" s="47">
        <v>0</v>
      </c>
      <c r="BQ430" s="47">
        <v>0</v>
      </c>
      <c r="BR430" s="47">
        <v>0</v>
      </c>
      <c r="BS430" s="47">
        <v>0</v>
      </c>
      <c r="BT430" s="47">
        <v>1</v>
      </c>
      <c r="BU430" s="47">
        <v>0</v>
      </c>
      <c r="BV430" s="47">
        <v>0</v>
      </c>
      <c r="BW430" s="47">
        <v>0</v>
      </c>
      <c r="BX430" s="47">
        <v>0</v>
      </c>
      <c r="BY430" s="47">
        <v>0</v>
      </c>
      <c r="BZ430" s="47">
        <v>0</v>
      </c>
      <c r="CA430" s="47">
        <v>0</v>
      </c>
      <c r="CB430" s="47">
        <v>0</v>
      </c>
      <c r="CC430" s="47">
        <v>0.4</v>
      </c>
      <c r="CD430" s="47">
        <v>0</v>
      </c>
      <c r="CE430" s="47">
        <v>0.6</v>
      </c>
      <c r="CF430" s="47">
        <v>0</v>
      </c>
      <c r="CG430" s="47">
        <v>0</v>
      </c>
      <c r="CH430" s="47">
        <v>0</v>
      </c>
      <c r="CI430" s="47">
        <v>0</v>
      </c>
      <c r="CJ430" s="47">
        <v>0</v>
      </c>
      <c r="CK430" s="47">
        <v>0</v>
      </c>
      <c r="CL430" s="47">
        <v>0</v>
      </c>
      <c r="CM430" s="47">
        <v>0</v>
      </c>
      <c r="CN430" s="47">
        <v>0</v>
      </c>
      <c r="CO430" s="47">
        <v>0</v>
      </c>
      <c r="CP430" s="47">
        <v>0</v>
      </c>
      <c r="CQ430" s="47">
        <v>0</v>
      </c>
      <c r="CR430" s="47">
        <v>0</v>
      </c>
      <c r="CS430" s="47">
        <v>0</v>
      </c>
      <c r="CT430" s="47">
        <v>0</v>
      </c>
      <c r="CU430" s="47">
        <v>0</v>
      </c>
      <c r="CV430" s="47">
        <v>0</v>
      </c>
      <c r="CW430" s="47">
        <v>0</v>
      </c>
      <c r="CX430" s="47">
        <v>0</v>
      </c>
      <c r="CY430" s="47">
        <v>0</v>
      </c>
      <c r="CZ430" s="47">
        <v>0</v>
      </c>
      <c r="DA430" s="47">
        <v>0</v>
      </c>
      <c r="DB430" s="47">
        <v>0</v>
      </c>
      <c r="DC430" s="47">
        <v>0</v>
      </c>
      <c r="DD430" s="47">
        <v>0</v>
      </c>
      <c r="DE430" s="47">
        <v>0</v>
      </c>
      <c r="DF430" s="47">
        <v>0</v>
      </c>
      <c r="DG430" s="47">
        <v>0</v>
      </c>
      <c r="DH430" s="47">
        <v>0</v>
      </c>
      <c r="DI430" s="47">
        <v>0</v>
      </c>
      <c r="DJ430" s="47">
        <v>0</v>
      </c>
      <c r="DK430" s="47">
        <v>0</v>
      </c>
      <c r="DL430" s="47">
        <v>0</v>
      </c>
      <c r="DM430" s="47">
        <v>0</v>
      </c>
      <c r="DN430" s="47">
        <v>0</v>
      </c>
      <c r="DO430" s="47">
        <v>0</v>
      </c>
      <c r="DP430" s="47">
        <v>0</v>
      </c>
      <c r="DQ430" s="47">
        <v>0</v>
      </c>
      <c r="DR430" s="47">
        <v>0</v>
      </c>
      <c r="DS430" s="47">
        <v>0</v>
      </c>
      <c r="DT430" s="47">
        <v>0</v>
      </c>
      <c r="DU430" s="47">
        <v>0</v>
      </c>
      <c r="DV430" s="47">
        <v>0</v>
      </c>
      <c r="DW430" s="47">
        <v>0</v>
      </c>
      <c r="DX430" s="47">
        <v>0</v>
      </c>
      <c r="DY430" s="47">
        <v>0</v>
      </c>
      <c r="DZ430" s="47">
        <v>0</v>
      </c>
      <c r="EA430" s="47">
        <v>0</v>
      </c>
      <c r="EB430" s="47"/>
      <c r="EC430" s="47">
        <v>1</v>
      </c>
      <c r="ZZ430" t="s">
        <v>2472</v>
      </c>
    </row>
    <row r="431" spans="1:702" x14ac:dyDescent="0.25">
      <c r="A431" s="47" t="s">
        <v>2055</v>
      </c>
      <c r="B431" s="47" t="s">
        <v>153</v>
      </c>
      <c r="C431" s="47" t="s">
        <v>157</v>
      </c>
      <c r="D431" s="47" t="s">
        <v>2915</v>
      </c>
      <c r="E431" s="47" t="s">
        <v>2056</v>
      </c>
      <c r="F431" s="47" t="s">
        <v>2057</v>
      </c>
      <c r="G431" s="47" t="s">
        <v>2058</v>
      </c>
      <c r="H431" s="47" t="s">
        <v>698</v>
      </c>
      <c r="I431" s="47" t="s">
        <v>727</v>
      </c>
      <c r="J431" s="47" t="str">
        <f>=IFERROR(VLOOKUP(H431&amp;I431,Table_Fonctions!A:G,6,FALSE),"")</f>
        <v>0</v>
      </c>
      <c r="K431" s="47" t="s">
        <v>2607</v>
      </c>
      <c r="L431" s="47" t="str">
        <f>=IFERROR(VLOOKUP(H431&amp;I431,Table_Fonctions!A:G,7,FALSE),K431)</f>
        <v/>
      </c>
      <c r="M431" s="47" t="str">
        <f>=IF(OR(LEFT(D431, 3)="TJ ", LEFT(D431, 4)="CPH "), "OUI", "NON")</f>
        <v/>
      </c>
      <c r="N431" s="47" t="s">
        <v>1053</v>
      </c>
      <c r="O431" s="47"/>
      <c r="P431" s="47">
        <v>1</v>
      </c>
      <c r="Q431" s="47">
        <v>0</v>
      </c>
      <c r="R431" s="47">
        <v>1</v>
      </c>
      <c r="S431" s="47">
        <f>=ROUND(BQ431-(BR431+BS431),3)</f>
      </c>
      <c r="T431" s="47">
        <f>=ROUND(CK431-(CL431+CM431+CN431+CO431+CP431),3)</f>
      </c>
      <c r="U431" s="47">
        <v>0</v>
      </c>
      <c r="V431" s="47">
        <v>0</v>
      </c>
      <c r="W431" s="47">
        <v>0</v>
      </c>
      <c r="X431" s="47">
        <v>0</v>
      </c>
      <c r="Y431" s="47">
        <v>0</v>
      </c>
      <c r="Z431" s="47">
        <v>0</v>
      </c>
      <c r="AA431" s="47">
        <v>0</v>
      </c>
      <c r="AB431" s="47">
        <v>0</v>
      </c>
      <c r="AC431" s="47">
        <v>0</v>
      </c>
      <c r="AD431" s="47">
        <v>0</v>
      </c>
      <c r="AE431" s="47">
        <v>0</v>
      </c>
      <c r="AF431" s="47">
        <v>0</v>
      </c>
      <c r="AG431" s="47">
        <v>0</v>
      </c>
      <c r="AH431" s="47">
        <v>0</v>
      </c>
      <c r="AI431" s="47">
        <v>0</v>
      </c>
      <c r="AJ431" s="47">
        <v>0</v>
      </c>
      <c r="AK431" s="47">
        <v>0</v>
      </c>
      <c r="AL431" s="47">
        <v>0</v>
      </c>
      <c r="AM431" s="47">
        <v>0</v>
      </c>
      <c r="AN431" s="47">
        <v>0</v>
      </c>
      <c r="AO431" s="47">
        <v>0</v>
      </c>
      <c r="AP431" s="47">
        <v>0</v>
      </c>
      <c r="AQ431" s="47">
        <v>0</v>
      </c>
      <c r="AR431" s="47">
        <v>0</v>
      </c>
      <c r="AS431" s="47">
        <v>0</v>
      </c>
      <c r="AT431" s="47">
        <v>0</v>
      </c>
      <c r="AU431" s="47">
        <v>0</v>
      </c>
      <c r="AV431" s="47">
        <v>0</v>
      </c>
      <c r="AW431" s="47">
        <v>0</v>
      </c>
      <c r="AX431" s="47">
        <v>0</v>
      </c>
      <c r="AY431" s="47">
        <v>0</v>
      </c>
      <c r="AZ431" s="47">
        <v>0</v>
      </c>
      <c r="BA431" s="47">
        <v>0</v>
      </c>
      <c r="BB431" s="47">
        <v>0</v>
      </c>
      <c r="BC431" s="47">
        <v>0</v>
      </c>
      <c r="BD431" s="47">
        <v>0</v>
      </c>
      <c r="BE431" s="47">
        <v>0</v>
      </c>
      <c r="BF431" s="47">
        <v>0</v>
      </c>
      <c r="BG431" s="47">
        <v>0</v>
      </c>
      <c r="BH431" s="47">
        <v>0</v>
      </c>
      <c r="BI431" s="47">
        <v>0</v>
      </c>
      <c r="BJ431" s="47">
        <v>0</v>
      </c>
      <c r="BK431" s="47">
        <v>0</v>
      </c>
      <c r="BL431" s="47">
        <v>0</v>
      </c>
      <c r="BM431" s="47">
        <v>0</v>
      </c>
      <c r="BN431" s="47">
        <v>0</v>
      </c>
      <c r="BO431" s="47">
        <v>0</v>
      </c>
      <c r="BP431" s="47">
        <v>0</v>
      </c>
      <c r="BQ431" s="47">
        <v>0</v>
      </c>
      <c r="BR431" s="47">
        <v>0</v>
      </c>
      <c r="BS431" s="47">
        <v>0</v>
      </c>
      <c r="BT431" s="47">
        <v>0</v>
      </c>
      <c r="BU431" s="47">
        <v>0</v>
      </c>
      <c r="BV431" s="47">
        <v>0</v>
      </c>
      <c r="BW431" s="47">
        <v>0</v>
      </c>
      <c r="BX431" s="47">
        <v>0</v>
      </c>
      <c r="BY431" s="47">
        <v>0</v>
      </c>
      <c r="BZ431" s="47">
        <v>0</v>
      </c>
      <c r="CA431" s="47">
        <v>0</v>
      </c>
      <c r="CB431" s="47">
        <v>0</v>
      </c>
      <c r="CC431" s="47">
        <v>0</v>
      </c>
      <c r="CD431" s="47">
        <v>0</v>
      </c>
      <c r="CE431" s="47">
        <v>0</v>
      </c>
      <c r="CF431" s="47">
        <v>0</v>
      </c>
      <c r="CG431" s="47">
        <v>0</v>
      </c>
      <c r="CH431" s="47">
        <v>0</v>
      </c>
      <c r="CI431" s="47">
        <v>0</v>
      </c>
      <c r="CJ431" s="47">
        <v>0</v>
      </c>
      <c r="CK431" s="47">
        <v>0</v>
      </c>
      <c r="CL431" s="47">
        <v>0</v>
      </c>
      <c r="CM431" s="47">
        <v>0</v>
      </c>
      <c r="CN431" s="47">
        <v>0</v>
      </c>
      <c r="CO431" s="47">
        <v>0</v>
      </c>
      <c r="CP431" s="47">
        <v>0</v>
      </c>
      <c r="CQ431" s="47">
        <v>0</v>
      </c>
      <c r="CR431" s="47">
        <v>0</v>
      </c>
      <c r="CS431" s="47">
        <v>0</v>
      </c>
      <c r="CT431" s="47">
        <v>0</v>
      </c>
      <c r="CU431" s="47">
        <v>0</v>
      </c>
      <c r="CV431" s="47">
        <v>0</v>
      </c>
      <c r="CW431" s="47">
        <v>0</v>
      </c>
      <c r="CX431" s="47">
        <v>0</v>
      </c>
      <c r="CY431" s="47">
        <v>0</v>
      </c>
      <c r="CZ431" s="47">
        <v>0</v>
      </c>
      <c r="DA431" s="47">
        <v>0</v>
      </c>
      <c r="DB431" s="47">
        <v>0</v>
      </c>
      <c r="DC431" s="47">
        <v>0</v>
      </c>
      <c r="DD431" s="47">
        <v>0</v>
      </c>
      <c r="DE431" s="47">
        <v>0</v>
      </c>
      <c r="DF431" s="47">
        <v>0</v>
      </c>
      <c r="DG431" s="47">
        <v>0</v>
      </c>
      <c r="DH431" s="47">
        <v>0</v>
      </c>
      <c r="DI431" s="47">
        <v>0</v>
      </c>
      <c r="DJ431" s="47">
        <v>0</v>
      </c>
      <c r="DK431" s="47">
        <v>0</v>
      </c>
      <c r="DL431" s="47">
        <v>0</v>
      </c>
      <c r="DM431" s="47">
        <v>0</v>
      </c>
      <c r="DN431" s="47">
        <v>0</v>
      </c>
      <c r="DO431" s="47">
        <v>0</v>
      </c>
      <c r="DP431" s="47">
        <v>0</v>
      </c>
      <c r="DQ431" s="47">
        <v>0</v>
      </c>
      <c r="DR431" s="47">
        <v>0</v>
      </c>
      <c r="DS431" s="47">
        <v>0</v>
      </c>
      <c r="DT431" s="47">
        <v>0</v>
      </c>
      <c r="DU431" s="47">
        <v>0</v>
      </c>
      <c r="DV431" s="47">
        <v>0</v>
      </c>
      <c r="DW431" s="47">
        <v>0</v>
      </c>
      <c r="DX431" s="47">
        <v>0</v>
      </c>
      <c r="DY431" s="47">
        <v>0</v>
      </c>
      <c r="DZ431" s="47">
        <v>0</v>
      </c>
      <c r="EA431" s="47">
        <v>0</v>
      </c>
      <c r="EB431" s="47"/>
      <c r="EC431" s="47">
        <v>1</v>
      </c>
      <c r="ZZ431" t="s">
        <v>2472</v>
      </c>
    </row>
    <row r="432" spans="1:702" x14ac:dyDescent="0.25">
      <c r="A432" s="47" t="s">
        <v>2059</v>
      </c>
      <c r="B432" s="47" t="s">
        <v>153</v>
      </c>
      <c r="C432" s="47" t="s">
        <v>157</v>
      </c>
      <c r="D432" s="47" t="s">
        <v>2916</v>
      </c>
      <c r="E432" s="47" t="s">
        <v>2060</v>
      </c>
      <c r="F432" s="47" t="s">
        <v>2061</v>
      </c>
      <c r="G432" s="47" t="s">
        <v>2062</v>
      </c>
      <c r="H432" s="47" t="s">
        <v>698</v>
      </c>
      <c r="I432" s="47" t="s">
        <v>738</v>
      </c>
      <c r="J432" s="47" t="str">
        <f>=IFERROR(VLOOKUP(H432&amp;I432,Table_Fonctions!A:G,6,FALSE),"")</f>
        <v>0</v>
      </c>
      <c r="K432" s="47" t="s">
        <v>2607</v>
      </c>
      <c r="L432" s="47" t="str">
        <f>=IFERROR(VLOOKUP(H432&amp;I432,Table_Fonctions!A:G,7,FALSE),K432)</f>
        <v/>
      </c>
      <c r="M432" s="47" t="str">
        <f>=IF(OR(LEFT(D432, 3)="TJ ", LEFT(D432, 4)="CPH "), "OUI", "NON")</f>
        <v/>
      </c>
      <c r="N432" s="47" t="s">
        <v>2063</v>
      </c>
      <c r="O432" s="47"/>
      <c r="P432" s="47">
        <v>1</v>
      </c>
      <c r="Q432" s="47">
        <v>1</v>
      </c>
      <c r="R432" s="47">
        <v>0</v>
      </c>
      <c r="S432" s="47">
        <f>=ROUND(BQ432-(BR432+BS432),3)</f>
      </c>
      <c r="T432" s="47">
        <f>=ROUND(CK432-(CL432+CM432+CN432+CO432+CP432),3)</f>
      </c>
      <c r="U432" s="47">
        <v>1</v>
      </c>
      <c r="V432" s="47">
        <v>0</v>
      </c>
      <c r="W432" s="47">
        <v>0</v>
      </c>
      <c r="X432" s="47">
        <v>0</v>
      </c>
      <c r="Y432" s="47">
        <v>0</v>
      </c>
      <c r="Z432" s="47">
        <v>0</v>
      </c>
      <c r="AA432" s="47">
        <v>0</v>
      </c>
      <c r="AB432" s="47">
        <v>0</v>
      </c>
      <c r="AC432" s="47">
        <v>0</v>
      </c>
      <c r="AD432" s="47">
        <v>0</v>
      </c>
      <c r="AE432" s="47">
        <v>0</v>
      </c>
      <c r="AF432" s="47">
        <v>0</v>
      </c>
      <c r="AG432" s="47">
        <v>0</v>
      </c>
      <c r="AH432" s="47">
        <v>0</v>
      </c>
      <c r="AI432" s="47">
        <v>0</v>
      </c>
      <c r="AJ432" s="47">
        <v>0</v>
      </c>
      <c r="AK432" s="47">
        <v>0</v>
      </c>
      <c r="AL432" s="47">
        <v>0</v>
      </c>
      <c r="AM432" s="47">
        <v>0</v>
      </c>
      <c r="AN432" s="47">
        <v>0</v>
      </c>
      <c r="AO432" s="47">
        <v>0</v>
      </c>
      <c r="AP432" s="47">
        <v>0</v>
      </c>
      <c r="AQ432" s="47">
        <v>0</v>
      </c>
      <c r="AR432" s="47">
        <v>0</v>
      </c>
      <c r="AS432" s="47">
        <v>0</v>
      </c>
      <c r="AT432" s="47">
        <v>0</v>
      </c>
      <c r="AU432" s="47">
        <v>0</v>
      </c>
      <c r="AV432" s="47">
        <v>0</v>
      </c>
      <c r="AW432" s="47">
        <v>0</v>
      </c>
      <c r="AX432" s="47">
        <v>0</v>
      </c>
      <c r="AY432" s="47">
        <v>0</v>
      </c>
      <c r="AZ432" s="47">
        <v>0</v>
      </c>
      <c r="BA432" s="47">
        <v>0</v>
      </c>
      <c r="BB432" s="47">
        <v>0</v>
      </c>
      <c r="BC432" s="47">
        <v>0</v>
      </c>
      <c r="BD432" s="47">
        <v>0</v>
      </c>
      <c r="BE432" s="47">
        <v>0</v>
      </c>
      <c r="BF432" s="47">
        <v>0</v>
      </c>
      <c r="BG432" s="47">
        <v>0</v>
      </c>
      <c r="BH432" s="47">
        <v>0</v>
      </c>
      <c r="BI432" s="47">
        <v>0</v>
      </c>
      <c r="BJ432" s="47">
        <v>0</v>
      </c>
      <c r="BK432" s="47">
        <v>0</v>
      </c>
      <c r="BL432" s="47">
        <v>0</v>
      </c>
      <c r="BM432" s="47">
        <v>0</v>
      </c>
      <c r="BN432" s="47">
        <v>0</v>
      </c>
      <c r="BO432" s="47">
        <v>0</v>
      </c>
      <c r="BP432" s="47">
        <v>0</v>
      </c>
      <c r="BQ432" s="47">
        <v>0</v>
      </c>
      <c r="BR432" s="47">
        <v>0</v>
      </c>
      <c r="BS432" s="47">
        <v>0</v>
      </c>
      <c r="BT432" s="47">
        <v>0</v>
      </c>
      <c r="BU432" s="47">
        <v>0</v>
      </c>
      <c r="BV432" s="47">
        <v>0</v>
      </c>
      <c r="BW432" s="47">
        <v>0</v>
      </c>
      <c r="BX432" s="47">
        <v>0</v>
      </c>
      <c r="BY432" s="47">
        <v>0</v>
      </c>
      <c r="BZ432" s="47">
        <v>0</v>
      </c>
      <c r="CA432" s="47">
        <v>0</v>
      </c>
      <c r="CB432" s="47">
        <v>0</v>
      </c>
      <c r="CC432" s="47">
        <v>0</v>
      </c>
      <c r="CD432" s="47">
        <v>0</v>
      </c>
      <c r="CE432" s="47">
        <v>0</v>
      </c>
      <c r="CF432" s="47">
        <v>0</v>
      </c>
      <c r="CG432" s="47">
        <v>0</v>
      </c>
      <c r="CH432" s="47">
        <v>0</v>
      </c>
      <c r="CI432" s="47">
        <v>0</v>
      </c>
      <c r="CJ432" s="47">
        <v>0</v>
      </c>
      <c r="CK432" s="47">
        <v>0</v>
      </c>
      <c r="CL432" s="47">
        <v>0</v>
      </c>
      <c r="CM432" s="47">
        <v>0</v>
      </c>
      <c r="CN432" s="47">
        <v>0</v>
      </c>
      <c r="CO432" s="47">
        <v>0</v>
      </c>
      <c r="CP432" s="47">
        <v>0</v>
      </c>
      <c r="CQ432" s="47">
        <v>0</v>
      </c>
      <c r="CR432" s="47">
        <v>0</v>
      </c>
      <c r="CS432" s="47">
        <v>0</v>
      </c>
      <c r="CT432" s="47">
        <v>0</v>
      </c>
      <c r="CU432" s="47">
        <v>0</v>
      </c>
      <c r="CV432" s="47">
        <v>0</v>
      </c>
      <c r="CW432" s="47">
        <v>0</v>
      </c>
      <c r="CX432" s="47">
        <v>0</v>
      </c>
      <c r="CY432" s="47">
        <v>0</v>
      </c>
      <c r="CZ432" s="47">
        <v>0</v>
      </c>
      <c r="DA432" s="47">
        <v>0</v>
      </c>
      <c r="DB432" s="47">
        <v>0</v>
      </c>
      <c r="DC432" s="47">
        <v>0</v>
      </c>
      <c r="DD432" s="47">
        <v>0</v>
      </c>
      <c r="DE432" s="47">
        <v>0</v>
      </c>
      <c r="DF432" s="47">
        <v>0</v>
      </c>
      <c r="DG432" s="47">
        <v>0</v>
      </c>
      <c r="DH432" s="47">
        <v>0</v>
      </c>
      <c r="DI432" s="47">
        <v>0</v>
      </c>
      <c r="DJ432" s="47">
        <v>0</v>
      </c>
      <c r="DK432" s="47">
        <v>0</v>
      </c>
      <c r="DL432" s="47">
        <v>0</v>
      </c>
      <c r="DM432" s="47">
        <v>0</v>
      </c>
      <c r="DN432" s="47">
        <v>0</v>
      </c>
      <c r="DO432" s="47">
        <v>0</v>
      </c>
      <c r="DP432" s="47">
        <v>0</v>
      </c>
      <c r="DQ432" s="47">
        <v>0</v>
      </c>
      <c r="DR432" s="47">
        <v>0</v>
      </c>
      <c r="DS432" s="47">
        <v>0</v>
      </c>
      <c r="DT432" s="47">
        <v>0</v>
      </c>
      <c r="DU432" s="47">
        <v>0</v>
      </c>
      <c r="DV432" s="47">
        <v>0</v>
      </c>
      <c r="DW432" s="47">
        <v>0</v>
      </c>
      <c r="DX432" s="47">
        <v>0</v>
      </c>
      <c r="DY432" s="47">
        <v>0</v>
      </c>
      <c r="DZ432" s="47">
        <v>0</v>
      </c>
      <c r="EA432" s="47">
        <v>0</v>
      </c>
      <c r="EB432" s="47"/>
      <c r="EC432" s="47">
        <v>1</v>
      </c>
      <c r="ZZ432" t="s">
        <v>2472</v>
      </c>
    </row>
    <row r="433" spans="1:702" x14ac:dyDescent="0.25">
      <c r="A433" s="47" t="s">
        <v>2064</v>
      </c>
      <c r="B433" s="47" t="s">
        <v>153</v>
      </c>
      <c r="C433" s="47" t="s">
        <v>157</v>
      </c>
      <c r="D433" s="47" t="s">
        <v>2917</v>
      </c>
      <c r="E433" s="47" t="s">
        <v>2065</v>
      </c>
      <c r="F433" s="47" t="s">
        <v>2066</v>
      </c>
      <c r="G433" s="47" t="s">
        <v>2067</v>
      </c>
      <c r="H433" s="47" t="s">
        <v>698</v>
      </c>
      <c r="I433" s="47" t="s">
        <v>705</v>
      </c>
      <c r="J433" s="47" t="str">
        <f>=IFERROR(VLOOKUP(H433&amp;I433,Table_Fonctions!A:G,6,FALSE),"")</f>
        <v>0</v>
      </c>
      <c r="K433" s="47" t="s">
        <v>2607</v>
      </c>
      <c r="L433" s="47" t="str">
        <f>=IFERROR(VLOOKUP(H433&amp;I433,Table_Fonctions!A:G,7,FALSE),K433)</f>
        <v/>
      </c>
      <c r="M433" s="47" t="str">
        <f>=IF(OR(LEFT(D433, 3)="TJ ", LEFT(D433, 4)="CPH "), "OUI", "NON")</f>
        <v/>
      </c>
      <c r="N433" s="47" t="s">
        <v>1586</v>
      </c>
      <c r="O433" s="47"/>
      <c r="P433" s="47">
        <v>1</v>
      </c>
      <c r="Q433" s="47">
        <v>0</v>
      </c>
      <c r="R433" s="47">
        <v>1</v>
      </c>
      <c r="S433" s="47">
        <f>=ROUND(BQ433-(BR433+BS433),3)</f>
      </c>
      <c r="T433" s="47">
        <f>=ROUND(CK433-(CL433+CM433+CN433+CO433+CP433),3)</f>
      </c>
      <c r="U433" s="47">
        <v>0</v>
      </c>
      <c r="V433" s="47">
        <v>0</v>
      </c>
      <c r="W433" s="47">
        <v>0</v>
      </c>
      <c r="X433" s="47">
        <v>0</v>
      </c>
      <c r="Y433" s="47">
        <v>0</v>
      </c>
      <c r="Z433" s="47">
        <v>0</v>
      </c>
      <c r="AA433" s="47">
        <v>0</v>
      </c>
      <c r="AB433" s="47">
        <v>0</v>
      </c>
      <c r="AC433" s="47">
        <v>0</v>
      </c>
      <c r="AD433" s="47">
        <v>0</v>
      </c>
      <c r="AE433" s="47">
        <v>0</v>
      </c>
      <c r="AF433" s="47">
        <v>0</v>
      </c>
      <c r="AG433" s="47">
        <v>0</v>
      </c>
      <c r="AH433" s="47">
        <v>0</v>
      </c>
      <c r="AI433" s="47">
        <v>0</v>
      </c>
      <c r="AJ433" s="47">
        <v>0</v>
      </c>
      <c r="AK433" s="47">
        <v>0</v>
      </c>
      <c r="AL433" s="47">
        <v>0</v>
      </c>
      <c r="AM433" s="47">
        <v>0</v>
      </c>
      <c r="AN433" s="47">
        <v>0</v>
      </c>
      <c r="AO433" s="47">
        <v>0</v>
      </c>
      <c r="AP433" s="47">
        <v>0</v>
      </c>
      <c r="AQ433" s="47">
        <v>0</v>
      </c>
      <c r="AR433" s="47">
        <v>0</v>
      </c>
      <c r="AS433" s="47">
        <v>0</v>
      </c>
      <c r="AT433" s="47">
        <v>0</v>
      </c>
      <c r="AU433" s="47">
        <v>0</v>
      </c>
      <c r="AV433" s="47">
        <v>0</v>
      </c>
      <c r="AW433" s="47">
        <v>0</v>
      </c>
      <c r="AX433" s="47">
        <v>0</v>
      </c>
      <c r="AY433" s="47">
        <v>0</v>
      </c>
      <c r="AZ433" s="47">
        <v>0</v>
      </c>
      <c r="BA433" s="47">
        <v>0</v>
      </c>
      <c r="BB433" s="47">
        <v>0</v>
      </c>
      <c r="BC433" s="47">
        <v>0</v>
      </c>
      <c r="BD433" s="47">
        <v>0</v>
      </c>
      <c r="BE433" s="47">
        <v>0</v>
      </c>
      <c r="BF433" s="47">
        <v>0</v>
      </c>
      <c r="BG433" s="47">
        <v>0</v>
      </c>
      <c r="BH433" s="47">
        <v>0</v>
      </c>
      <c r="BI433" s="47">
        <v>0</v>
      </c>
      <c r="BJ433" s="47">
        <v>0</v>
      </c>
      <c r="BK433" s="47">
        <v>0</v>
      </c>
      <c r="BL433" s="47">
        <v>0</v>
      </c>
      <c r="BM433" s="47">
        <v>0</v>
      </c>
      <c r="BN433" s="47">
        <v>0</v>
      </c>
      <c r="BO433" s="47">
        <v>0</v>
      </c>
      <c r="BP433" s="47">
        <v>0</v>
      </c>
      <c r="BQ433" s="47">
        <v>0</v>
      </c>
      <c r="BR433" s="47">
        <v>0</v>
      </c>
      <c r="BS433" s="47">
        <v>0</v>
      </c>
      <c r="BT433" s="47">
        <v>0</v>
      </c>
      <c r="BU433" s="47">
        <v>0</v>
      </c>
      <c r="BV433" s="47">
        <v>0</v>
      </c>
      <c r="BW433" s="47">
        <v>0</v>
      </c>
      <c r="BX433" s="47">
        <v>0</v>
      </c>
      <c r="BY433" s="47">
        <v>0</v>
      </c>
      <c r="BZ433" s="47">
        <v>0</v>
      </c>
      <c r="CA433" s="47">
        <v>0</v>
      </c>
      <c r="CB433" s="47">
        <v>0</v>
      </c>
      <c r="CC433" s="47">
        <v>0</v>
      </c>
      <c r="CD433" s="47">
        <v>0</v>
      </c>
      <c r="CE433" s="47">
        <v>0</v>
      </c>
      <c r="CF433" s="47">
        <v>0</v>
      </c>
      <c r="CG433" s="47">
        <v>0</v>
      </c>
      <c r="CH433" s="47">
        <v>0</v>
      </c>
      <c r="CI433" s="47">
        <v>0</v>
      </c>
      <c r="CJ433" s="47">
        <v>0</v>
      </c>
      <c r="CK433" s="47">
        <v>0</v>
      </c>
      <c r="CL433" s="47">
        <v>0</v>
      </c>
      <c r="CM433" s="47">
        <v>0</v>
      </c>
      <c r="CN433" s="47">
        <v>0</v>
      </c>
      <c r="CO433" s="47">
        <v>0</v>
      </c>
      <c r="CP433" s="47">
        <v>0</v>
      </c>
      <c r="CQ433" s="47">
        <v>0</v>
      </c>
      <c r="CR433" s="47">
        <v>0</v>
      </c>
      <c r="CS433" s="47">
        <v>0</v>
      </c>
      <c r="CT433" s="47">
        <v>0</v>
      </c>
      <c r="CU433" s="47">
        <v>0</v>
      </c>
      <c r="CV433" s="47">
        <v>0</v>
      </c>
      <c r="CW433" s="47">
        <v>0</v>
      </c>
      <c r="CX433" s="47">
        <v>0</v>
      </c>
      <c r="CY433" s="47">
        <v>0</v>
      </c>
      <c r="CZ433" s="47">
        <v>0</v>
      </c>
      <c r="DA433" s="47">
        <v>0</v>
      </c>
      <c r="DB433" s="47">
        <v>0</v>
      </c>
      <c r="DC433" s="47">
        <v>0</v>
      </c>
      <c r="DD433" s="47">
        <v>0</v>
      </c>
      <c r="DE433" s="47">
        <v>0</v>
      </c>
      <c r="DF433" s="47">
        <v>0</v>
      </c>
      <c r="DG433" s="47">
        <v>0</v>
      </c>
      <c r="DH433" s="47">
        <v>0</v>
      </c>
      <c r="DI433" s="47">
        <v>0</v>
      </c>
      <c r="DJ433" s="47">
        <v>0</v>
      </c>
      <c r="DK433" s="47">
        <v>0</v>
      </c>
      <c r="DL433" s="47">
        <v>0</v>
      </c>
      <c r="DM433" s="47">
        <v>0</v>
      </c>
      <c r="DN433" s="47">
        <v>0</v>
      </c>
      <c r="DO433" s="47">
        <v>0</v>
      </c>
      <c r="DP433" s="47">
        <v>0</v>
      </c>
      <c r="DQ433" s="47">
        <v>0</v>
      </c>
      <c r="DR433" s="47">
        <v>0</v>
      </c>
      <c r="DS433" s="47">
        <v>0</v>
      </c>
      <c r="DT433" s="47">
        <v>0</v>
      </c>
      <c r="DU433" s="47">
        <v>0</v>
      </c>
      <c r="DV433" s="47">
        <v>0</v>
      </c>
      <c r="DW433" s="47">
        <v>0</v>
      </c>
      <c r="DX433" s="47">
        <v>0</v>
      </c>
      <c r="DY433" s="47">
        <v>0</v>
      </c>
      <c r="DZ433" s="47">
        <v>0</v>
      </c>
      <c r="EA433" s="47">
        <v>0</v>
      </c>
      <c r="EB433" s="47"/>
      <c r="EC433" s="47">
        <v>1</v>
      </c>
      <c r="ZZ433" t="s">
        <v>2472</v>
      </c>
    </row>
    <row r="434" spans="1:702" x14ac:dyDescent="0.25">
      <c r="A434" s="47" t="s">
        <v>2068</v>
      </c>
      <c r="B434" s="47" t="s">
        <v>153</v>
      </c>
      <c r="C434" s="47" t="s">
        <v>157</v>
      </c>
      <c r="D434" s="47" t="s">
        <v>2918</v>
      </c>
      <c r="E434" s="47" t="s">
        <v>2069</v>
      </c>
      <c r="F434" s="47" t="s">
        <v>2070</v>
      </c>
      <c r="G434" s="47" t="s">
        <v>2071</v>
      </c>
      <c r="H434" s="47" t="s">
        <v>698</v>
      </c>
      <c r="I434" s="47" t="s">
        <v>727</v>
      </c>
      <c r="J434" s="47" t="str">
        <f>=IFERROR(VLOOKUP(H434&amp;I434,Table_Fonctions!A:G,6,FALSE),"")</f>
        <v>0</v>
      </c>
      <c r="K434" s="47" t="s">
        <v>2607</v>
      </c>
      <c r="L434" s="47" t="str">
        <f>=IFERROR(VLOOKUP(H434&amp;I434,Table_Fonctions!A:G,7,FALSE),K434)</f>
        <v/>
      </c>
      <c r="M434" s="47" t="str">
        <f>=IF(OR(LEFT(D434, 3)="TJ ", LEFT(D434, 4)="CPH "), "OUI", "NON")</f>
        <v/>
      </c>
      <c r="N434" s="47" t="s">
        <v>902</v>
      </c>
      <c r="O434" s="47"/>
      <c r="P434" s="47">
        <v>1</v>
      </c>
      <c r="Q434" s="47">
        <v>0</v>
      </c>
      <c r="R434" s="47">
        <v>1</v>
      </c>
      <c r="S434" s="47">
        <f>=ROUND(BQ434-(BR434+BS434),3)</f>
      </c>
      <c r="T434" s="47">
        <f>=ROUND(CK434-(CL434+CM434+CN434+CO434+CP434),3)</f>
      </c>
      <c r="U434" s="47">
        <v>0</v>
      </c>
      <c r="V434" s="47">
        <v>0</v>
      </c>
      <c r="W434" s="47">
        <v>0</v>
      </c>
      <c r="X434" s="47">
        <v>0</v>
      </c>
      <c r="Y434" s="47">
        <v>0</v>
      </c>
      <c r="Z434" s="47">
        <v>0</v>
      </c>
      <c r="AA434" s="47">
        <v>0</v>
      </c>
      <c r="AB434" s="47">
        <v>0</v>
      </c>
      <c r="AC434" s="47">
        <v>0</v>
      </c>
      <c r="AD434" s="47">
        <v>0</v>
      </c>
      <c r="AE434" s="47">
        <v>0</v>
      </c>
      <c r="AF434" s="47">
        <v>0</v>
      </c>
      <c r="AG434" s="47">
        <v>0</v>
      </c>
      <c r="AH434" s="47">
        <v>0</v>
      </c>
      <c r="AI434" s="47">
        <v>0</v>
      </c>
      <c r="AJ434" s="47">
        <v>0</v>
      </c>
      <c r="AK434" s="47">
        <v>0</v>
      </c>
      <c r="AL434" s="47">
        <v>0</v>
      </c>
      <c r="AM434" s="47">
        <v>0</v>
      </c>
      <c r="AN434" s="47">
        <v>0</v>
      </c>
      <c r="AO434" s="47">
        <v>0</v>
      </c>
      <c r="AP434" s="47">
        <v>0</v>
      </c>
      <c r="AQ434" s="47">
        <v>0</v>
      </c>
      <c r="AR434" s="47">
        <v>0</v>
      </c>
      <c r="AS434" s="47">
        <v>0</v>
      </c>
      <c r="AT434" s="47">
        <v>0</v>
      </c>
      <c r="AU434" s="47">
        <v>0</v>
      </c>
      <c r="AV434" s="47">
        <v>0</v>
      </c>
      <c r="AW434" s="47">
        <v>0</v>
      </c>
      <c r="AX434" s="47">
        <v>0</v>
      </c>
      <c r="AY434" s="47">
        <v>0</v>
      </c>
      <c r="AZ434" s="47">
        <v>0</v>
      </c>
      <c r="BA434" s="47">
        <v>0</v>
      </c>
      <c r="BB434" s="47">
        <v>0</v>
      </c>
      <c r="BC434" s="47">
        <v>0</v>
      </c>
      <c r="BD434" s="47">
        <v>0</v>
      </c>
      <c r="BE434" s="47">
        <v>0</v>
      </c>
      <c r="BF434" s="47">
        <v>0</v>
      </c>
      <c r="BG434" s="47">
        <v>0</v>
      </c>
      <c r="BH434" s="47">
        <v>0</v>
      </c>
      <c r="BI434" s="47">
        <v>0</v>
      </c>
      <c r="BJ434" s="47">
        <v>0</v>
      </c>
      <c r="BK434" s="47">
        <v>0</v>
      </c>
      <c r="BL434" s="47">
        <v>0</v>
      </c>
      <c r="BM434" s="47">
        <v>0</v>
      </c>
      <c r="BN434" s="47">
        <v>0</v>
      </c>
      <c r="BO434" s="47">
        <v>0</v>
      </c>
      <c r="BP434" s="47">
        <v>0</v>
      </c>
      <c r="BQ434" s="47">
        <v>0</v>
      </c>
      <c r="BR434" s="47">
        <v>0</v>
      </c>
      <c r="BS434" s="47">
        <v>0</v>
      </c>
      <c r="BT434" s="47">
        <v>0</v>
      </c>
      <c r="BU434" s="47">
        <v>0</v>
      </c>
      <c r="BV434" s="47">
        <v>0</v>
      </c>
      <c r="BW434" s="47">
        <v>0</v>
      </c>
      <c r="BX434" s="47">
        <v>0</v>
      </c>
      <c r="BY434" s="47">
        <v>0</v>
      </c>
      <c r="BZ434" s="47">
        <v>0</v>
      </c>
      <c r="CA434" s="47">
        <v>0</v>
      </c>
      <c r="CB434" s="47">
        <v>0</v>
      </c>
      <c r="CC434" s="47">
        <v>0</v>
      </c>
      <c r="CD434" s="47">
        <v>0</v>
      </c>
      <c r="CE434" s="47">
        <v>0</v>
      </c>
      <c r="CF434" s="47">
        <v>0</v>
      </c>
      <c r="CG434" s="47">
        <v>0</v>
      </c>
      <c r="CH434" s="47">
        <v>0</v>
      </c>
      <c r="CI434" s="47">
        <v>0</v>
      </c>
      <c r="CJ434" s="47">
        <v>0</v>
      </c>
      <c r="CK434" s="47">
        <v>0</v>
      </c>
      <c r="CL434" s="47">
        <v>0</v>
      </c>
      <c r="CM434" s="47">
        <v>0</v>
      </c>
      <c r="CN434" s="47">
        <v>0</v>
      </c>
      <c r="CO434" s="47">
        <v>0</v>
      </c>
      <c r="CP434" s="47">
        <v>0</v>
      </c>
      <c r="CQ434" s="47">
        <v>0</v>
      </c>
      <c r="CR434" s="47">
        <v>0</v>
      </c>
      <c r="CS434" s="47">
        <v>0</v>
      </c>
      <c r="CT434" s="47">
        <v>0</v>
      </c>
      <c r="CU434" s="47">
        <v>0</v>
      </c>
      <c r="CV434" s="47">
        <v>0</v>
      </c>
      <c r="CW434" s="47">
        <v>0</v>
      </c>
      <c r="CX434" s="47">
        <v>0</v>
      </c>
      <c r="CY434" s="47">
        <v>0</v>
      </c>
      <c r="CZ434" s="47">
        <v>0</v>
      </c>
      <c r="DA434" s="47">
        <v>0</v>
      </c>
      <c r="DB434" s="47">
        <v>0</v>
      </c>
      <c r="DC434" s="47">
        <v>0</v>
      </c>
      <c r="DD434" s="47">
        <v>0</v>
      </c>
      <c r="DE434" s="47">
        <v>0</v>
      </c>
      <c r="DF434" s="47">
        <v>0</v>
      </c>
      <c r="DG434" s="47">
        <v>0</v>
      </c>
      <c r="DH434" s="47">
        <v>0</v>
      </c>
      <c r="DI434" s="47">
        <v>0</v>
      </c>
      <c r="DJ434" s="47">
        <v>0</v>
      </c>
      <c r="DK434" s="47">
        <v>0</v>
      </c>
      <c r="DL434" s="47">
        <v>0</v>
      </c>
      <c r="DM434" s="47">
        <v>0</v>
      </c>
      <c r="DN434" s="47">
        <v>0</v>
      </c>
      <c r="DO434" s="47">
        <v>0</v>
      </c>
      <c r="DP434" s="47">
        <v>0</v>
      </c>
      <c r="DQ434" s="47">
        <v>0</v>
      </c>
      <c r="DR434" s="47">
        <v>0</v>
      </c>
      <c r="DS434" s="47">
        <v>0</v>
      </c>
      <c r="DT434" s="47">
        <v>0</v>
      </c>
      <c r="DU434" s="47">
        <v>0</v>
      </c>
      <c r="DV434" s="47">
        <v>0</v>
      </c>
      <c r="DW434" s="47">
        <v>0</v>
      </c>
      <c r="DX434" s="47">
        <v>0</v>
      </c>
      <c r="DY434" s="47">
        <v>0</v>
      </c>
      <c r="DZ434" s="47">
        <v>0</v>
      </c>
      <c r="EA434" s="47">
        <v>0</v>
      </c>
      <c r="EB434" s="47"/>
      <c r="EC434" s="47">
        <v>1</v>
      </c>
      <c r="ZZ434" t="s">
        <v>2472</v>
      </c>
    </row>
    <row r="435" spans="1:702" x14ac:dyDescent="0.25">
      <c r="A435" s="47" t="s">
        <v>2072</v>
      </c>
      <c r="B435" s="47" t="s">
        <v>153</v>
      </c>
      <c r="C435" s="47" t="s">
        <v>157</v>
      </c>
      <c r="D435" s="47" t="s">
        <v>2919</v>
      </c>
      <c r="E435" s="47" t="s">
        <v>2073</v>
      </c>
      <c r="F435" s="47" t="s">
        <v>2074</v>
      </c>
      <c r="G435" s="47" t="s">
        <v>2075</v>
      </c>
      <c r="H435" s="47" t="s">
        <v>698</v>
      </c>
      <c r="I435" s="47" t="s">
        <v>727</v>
      </c>
      <c r="J435" s="47" t="str">
        <f>=IFERROR(VLOOKUP(H435&amp;I435,Table_Fonctions!A:G,6,FALSE),"")</f>
        <v>0</v>
      </c>
      <c r="K435" s="47" t="s">
        <v>2607</v>
      </c>
      <c r="L435" s="47" t="str">
        <f>=IFERROR(VLOOKUP(H435&amp;I435,Table_Fonctions!A:G,7,FALSE),K435)</f>
        <v/>
      </c>
      <c r="M435" s="47" t="str">
        <f>=IF(OR(LEFT(D435, 3)="TJ ", LEFT(D435, 4)="CPH "), "OUI", "NON")</f>
        <v/>
      </c>
      <c r="N435" s="47" t="s">
        <v>175</v>
      </c>
      <c r="O435" s="47"/>
      <c r="P435" s="47">
        <v>1</v>
      </c>
      <c r="Q435" s="47">
        <v>1</v>
      </c>
      <c r="R435" s="47">
        <v>0</v>
      </c>
      <c r="S435" s="47">
        <f>=ROUND(BQ435-(BR435+BS435),3)</f>
      </c>
      <c r="T435" s="47">
        <f>=ROUND(CK435-(CL435+CM435+CN435+CO435+CP435),3)</f>
      </c>
      <c r="U435" s="47">
        <v>0</v>
      </c>
      <c r="V435" s="47">
        <v>0</v>
      </c>
      <c r="W435" s="47">
        <v>0</v>
      </c>
      <c r="X435" s="47">
        <v>0</v>
      </c>
      <c r="Y435" s="47">
        <v>0</v>
      </c>
      <c r="Z435" s="47">
        <v>0</v>
      </c>
      <c r="AA435" s="47">
        <v>0</v>
      </c>
      <c r="AB435" s="47">
        <v>0</v>
      </c>
      <c r="AC435" s="47">
        <v>0</v>
      </c>
      <c r="AD435" s="47">
        <v>0</v>
      </c>
      <c r="AE435" s="47">
        <v>0</v>
      </c>
      <c r="AF435" s="47">
        <v>0</v>
      </c>
      <c r="AG435" s="47">
        <v>0</v>
      </c>
      <c r="AH435" s="47">
        <v>0</v>
      </c>
      <c r="AI435" s="47">
        <v>0</v>
      </c>
      <c r="AJ435" s="47">
        <v>0</v>
      </c>
      <c r="AK435" s="47">
        <v>0</v>
      </c>
      <c r="AL435" s="47">
        <v>0</v>
      </c>
      <c r="AM435" s="47">
        <v>0</v>
      </c>
      <c r="AN435" s="47">
        <v>0</v>
      </c>
      <c r="AO435" s="47">
        <v>0</v>
      </c>
      <c r="AP435" s="47">
        <v>0</v>
      </c>
      <c r="AQ435" s="47">
        <v>0</v>
      </c>
      <c r="AR435" s="47">
        <v>0</v>
      </c>
      <c r="AS435" s="47">
        <v>0</v>
      </c>
      <c r="AT435" s="47">
        <v>0</v>
      </c>
      <c r="AU435" s="47">
        <v>0</v>
      </c>
      <c r="AV435" s="47">
        <v>0</v>
      </c>
      <c r="AW435" s="47">
        <v>0</v>
      </c>
      <c r="AX435" s="47">
        <v>0</v>
      </c>
      <c r="AY435" s="47">
        <v>0</v>
      </c>
      <c r="AZ435" s="47">
        <v>0</v>
      </c>
      <c r="BA435" s="47">
        <v>0</v>
      </c>
      <c r="BB435" s="47">
        <v>0</v>
      </c>
      <c r="BC435" s="47">
        <v>0</v>
      </c>
      <c r="BD435" s="47">
        <v>0</v>
      </c>
      <c r="BE435" s="47">
        <v>0</v>
      </c>
      <c r="BF435" s="47">
        <v>0</v>
      </c>
      <c r="BG435" s="47">
        <v>0</v>
      </c>
      <c r="BH435" s="47">
        <v>0</v>
      </c>
      <c r="BI435" s="47">
        <v>0</v>
      </c>
      <c r="BJ435" s="47">
        <v>0</v>
      </c>
      <c r="BK435" s="47">
        <v>0</v>
      </c>
      <c r="BL435" s="47">
        <v>0</v>
      </c>
      <c r="BM435" s="47">
        <v>0</v>
      </c>
      <c r="BN435" s="47">
        <v>0</v>
      </c>
      <c r="BO435" s="47">
        <v>0</v>
      </c>
      <c r="BP435" s="47">
        <v>0</v>
      </c>
      <c r="BQ435" s="47">
        <v>0</v>
      </c>
      <c r="BR435" s="47">
        <v>0</v>
      </c>
      <c r="BS435" s="47">
        <v>0</v>
      </c>
      <c r="BT435" s="47">
        <v>0</v>
      </c>
      <c r="BU435" s="47">
        <v>0</v>
      </c>
      <c r="BV435" s="47">
        <v>0</v>
      </c>
      <c r="BW435" s="47">
        <v>0</v>
      </c>
      <c r="BX435" s="47">
        <v>0</v>
      </c>
      <c r="BY435" s="47">
        <v>0</v>
      </c>
      <c r="BZ435" s="47">
        <v>0</v>
      </c>
      <c r="CA435" s="47">
        <v>0</v>
      </c>
      <c r="CB435" s="47">
        <v>0</v>
      </c>
      <c r="CC435" s="47">
        <v>0</v>
      </c>
      <c r="CD435" s="47">
        <v>0</v>
      </c>
      <c r="CE435" s="47">
        <v>0</v>
      </c>
      <c r="CF435" s="47">
        <v>0</v>
      </c>
      <c r="CG435" s="47">
        <v>0</v>
      </c>
      <c r="CH435" s="47">
        <v>0</v>
      </c>
      <c r="CI435" s="47">
        <v>0</v>
      </c>
      <c r="CJ435" s="47">
        <v>0</v>
      </c>
      <c r="CK435" s="47">
        <v>0</v>
      </c>
      <c r="CL435" s="47">
        <v>0</v>
      </c>
      <c r="CM435" s="47">
        <v>0</v>
      </c>
      <c r="CN435" s="47">
        <v>0</v>
      </c>
      <c r="CO435" s="47">
        <v>0</v>
      </c>
      <c r="CP435" s="47">
        <v>0</v>
      </c>
      <c r="CQ435" s="47">
        <v>0</v>
      </c>
      <c r="CR435" s="47">
        <v>0</v>
      </c>
      <c r="CS435" s="47">
        <v>0</v>
      </c>
      <c r="CT435" s="47">
        <v>0</v>
      </c>
      <c r="CU435" s="47">
        <v>0</v>
      </c>
      <c r="CV435" s="47">
        <v>1</v>
      </c>
      <c r="CW435" s="47">
        <v>0</v>
      </c>
      <c r="CX435" s="47">
        <v>0</v>
      </c>
      <c r="CY435" s="47">
        <v>0</v>
      </c>
      <c r="CZ435" s="47">
        <v>0</v>
      </c>
      <c r="DA435" s="47">
        <v>0</v>
      </c>
      <c r="DB435" s="47">
        <v>0</v>
      </c>
      <c r="DC435" s="47">
        <v>0</v>
      </c>
      <c r="DD435" s="47">
        <v>0</v>
      </c>
      <c r="DE435" s="47">
        <v>0</v>
      </c>
      <c r="DF435" s="47">
        <v>0</v>
      </c>
      <c r="DG435" s="47">
        <v>0</v>
      </c>
      <c r="DH435" s="47">
        <v>0</v>
      </c>
      <c r="DI435" s="47">
        <v>0</v>
      </c>
      <c r="DJ435" s="47">
        <v>0</v>
      </c>
      <c r="DK435" s="47">
        <v>0</v>
      </c>
      <c r="DL435" s="47">
        <v>0</v>
      </c>
      <c r="DM435" s="47">
        <v>0</v>
      </c>
      <c r="DN435" s="47">
        <v>0</v>
      </c>
      <c r="DO435" s="47">
        <v>0</v>
      </c>
      <c r="DP435" s="47">
        <v>0</v>
      </c>
      <c r="DQ435" s="47">
        <v>0</v>
      </c>
      <c r="DR435" s="47">
        <v>0</v>
      </c>
      <c r="DS435" s="47">
        <v>0</v>
      </c>
      <c r="DT435" s="47">
        <v>0</v>
      </c>
      <c r="DU435" s="47">
        <v>0</v>
      </c>
      <c r="DV435" s="47">
        <v>0</v>
      </c>
      <c r="DW435" s="47">
        <v>0</v>
      </c>
      <c r="DX435" s="47">
        <v>0</v>
      </c>
      <c r="DY435" s="47">
        <v>0</v>
      </c>
      <c r="DZ435" s="47">
        <v>0</v>
      </c>
      <c r="EA435" s="47">
        <v>0</v>
      </c>
      <c r="EB435" s="47"/>
      <c r="EC435" s="47">
        <v>1</v>
      </c>
      <c r="ZZ435" t="s">
        <v>2472</v>
      </c>
    </row>
    <row r="436" spans="1:702" x14ac:dyDescent="0.25">
      <c r="A436" s="47" t="s">
        <v>2076</v>
      </c>
      <c r="B436" s="47" t="s">
        <v>153</v>
      </c>
      <c r="C436" s="47" t="s">
        <v>157</v>
      </c>
      <c r="D436" s="47" t="s">
        <v>2920</v>
      </c>
      <c r="E436" s="47" t="s">
        <v>2077</v>
      </c>
      <c r="F436" s="47" t="s">
        <v>2078</v>
      </c>
      <c r="G436" s="47" t="s">
        <v>2079</v>
      </c>
      <c r="H436" s="47" t="s">
        <v>698</v>
      </c>
      <c r="I436" s="47" t="s">
        <v>727</v>
      </c>
      <c r="J436" s="47" t="str">
        <f>=IFERROR(VLOOKUP(H436&amp;I436,Table_Fonctions!A:G,6,FALSE),"")</f>
        <v>0</v>
      </c>
      <c r="K436" s="47" t="s">
        <v>2607</v>
      </c>
      <c r="L436" s="47" t="str">
        <f>=IFERROR(VLOOKUP(H436&amp;I436,Table_Fonctions!A:G,7,FALSE),K436)</f>
        <v/>
      </c>
      <c r="M436" s="47" t="str">
        <f>=IF(OR(LEFT(D436, 3)="TJ ", LEFT(D436, 4)="CPH "), "OUI", "NON")</f>
        <v/>
      </c>
      <c r="N436" s="47" t="s">
        <v>1698</v>
      </c>
      <c r="O436" s="47"/>
      <c r="P436" s="47">
        <v>1</v>
      </c>
      <c r="Q436" s="47">
        <v>0</v>
      </c>
      <c r="R436" s="47">
        <v>1</v>
      </c>
      <c r="S436" s="47">
        <f>=ROUND(BQ436-(BR436+BS436),3)</f>
      </c>
      <c r="T436" s="47">
        <f>=ROUND(CK436-(CL436+CM436+CN436+CO436+CP436),3)</f>
      </c>
      <c r="U436" s="47">
        <v>0</v>
      </c>
      <c r="V436" s="47">
        <v>0</v>
      </c>
      <c r="W436" s="47">
        <v>0</v>
      </c>
      <c r="X436" s="47">
        <v>0</v>
      </c>
      <c r="Y436" s="47">
        <v>0</v>
      </c>
      <c r="Z436" s="47">
        <v>0</v>
      </c>
      <c r="AA436" s="47">
        <v>0</v>
      </c>
      <c r="AB436" s="47">
        <v>0</v>
      </c>
      <c r="AC436" s="47">
        <v>0</v>
      </c>
      <c r="AD436" s="47">
        <v>0</v>
      </c>
      <c r="AE436" s="47">
        <v>0</v>
      </c>
      <c r="AF436" s="47">
        <v>0</v>
      </c>
      <c r="AG436" s="47">
        <v>0</v>
      </c>
      <c r="AH436" s="47">
        <v>0</v>
      </c>
      <c r="AI436" s="47">
        <v>0</v>
      </c>
      <c r="AJ436" s="47">
        <v>0</v>
      </c>
      <c r="AK436" s="47">
        <v>0</v>
      </c>
      <c r="AL436" s="47">
        <v>0</v>
      </c>
      <c r="AM436" s="47">
        <v>0</v>
      </c>
      <c r="AN436" s="47">
        <v>0</v>
      </c>
      <c r="AO436" s="47">
        <v>0</v>
      </c>
      <c r="AP436" s="47">
        <v>0</v>
      </c>
      <c r="AQ436" s="47">
        <v>0</v>
      </c>
      <c r="AR436" s="47">
        <v>0</v>
      </c>
      <c r="AS436" s="47">
        <v>0</v>
      </c>
      <c r="AT436" s="47">
        <v>0</v>
      </c>
      <c r="AU436" s="47">
        <v>0</v>
      </c>
      <c r="AV436" s="47">
        <v>0</v>
      </c>
      <c r="AW436" s="47">
        <v>0</v>
      </c>
      <c r="AX436" s="47">
        <v>0</v>
      </c>
      <c r="AY436" s="47">
        <v>0</v>
      </c>
      <c r="AZ436" s="47">
        <v>0</v>
      </c>
      <c r="BA436" s="47">
        <v>0</v>
      </c>
      <c r="BB436" s="47">
        <v>0</v>
      </c>
      <c r="BC436" s="47">
        <v>0</v>
      </c>
      <c r="BD436" s="47">
        <v>0</v>
      </c>
      <c r="BE436" s="47">
        <v>0</v>
      </c>
      <c r="BF436" s="47">
        <v>0</v>
      </c>
      <c r="BG436" s="47">
        <v>0</v>
      </c>
      <c r="BH436" s="47">
        <v>0</v>
      </c>
      <c r="BI436" s="47">
        <v>0</v>
      </c>
      <c r="BJ436" s="47">
        <v>0</v>
      </c>
      <c r="BK436" s="47">
        <v>0</v>
      </c>
      <c r="BL436" s="47">
        <v>0</v>
      </c>
      <c r="BM436" s="47">
        <v>0</v>
      </c>
      <c r="BN436" s="47">
        <v>0</v>
      </c>
      <c r="BO436" s="47">
        <v>0</v>
      </c>
      <c r="BP436" s="47">
        <v>0</v>
      </c>
      <c r="BQ436" s="47">
        <v>0</v>
      </c>
      <c r="BR436" s="47">
        <v>0</v>
      </c>
      <c r="BS436" s="47">
        <v>0</v>
      </c>
      <c r="BT436" s="47">
        <v>0</v>
      </c>
      <c r="BU436" s="47">
        <v>0</v>
      </c>
      <c r="BV436" s="47">
        <v>0</v>
      </c>
      <c r="BW436" s="47">
        <v>0</v>
      </c>
      <c r="BX436" s="47">
        <v>0</v>
      </c>
      <c r="BY436" s="47">
        <v>0</v>
      </c>
      <c r="BZ436" s="47">
        <v>0</v>
      </c>
      <c r="CA436" s="47">
        <v>0</v>
      </c>
      <c r="CB436" s="47">
        <v>0</v>
      </c>
      <c r="CC436" s="47">
        <v>0</v>
      </c>
      <c r="CD436" s="47">
        <v>0</v>
      </c>
      <c r="CE436" s="47">
        <v>0</v>
      </c>
      <c r="CF436" s="47">
        <v>0</v>
      </c>
      <c r="CG436" s="47">
        <v>0</v>
      </c>
      <c r="CH436" s="47">
        <v>0</v>
      </c>
      <c r="CI436" s="47">
        <v>0</v>
      </c>
      <c r="CJ436" s="47">
        <v>0</v>
      </c>
      <c r="CK436" s="47">
        <v>0</v>
      </c>
      <c r="CL436" s="47">
        <v>0</v>
      </c>
      <c r="CM436" s="47">
        <v>0</v>
      </c>
      <c r="CN436" s="47">
        <v>0</v>
      </c>
      <c r="CO436" s="47">
        <v>0</v>
      </c>
      <c r="CP436" s="47">
        <v>0</v>
      </c>
      <c r="CQ436" s="47">
        <v>0</v>
      </c>
      <c r="CR436" s="47">
        <v>0</v>
      </c>
      <c r="CS436" s="47">
        <v>0</v>
      </c>
      <c r="CT436" s="47">
        <v>0</v>
      </c>
      <c r="CU436" s="47">
        <v>0</v>
      </c>
      <c r="CV436" s="47">
        <v>0</v>
      </c>
      <c r="CW436" s="47">
        <v>0</v>
      </c>
      <c r="CX436" s="47">
        <v>0</v>
      </c>
      <c r="CY436" s="47">
        <v>0</v>
      </c>
      <c r="CZ436" s="47">
        <v>0</v>
      </c>
      <c r="DA436" s="47">
        <v>0</v>
      </c>
      <c r="DB436" s="47">
        <v>0</v>
      </c>
      <c r="DC436" s="47">
        <v>0</v>
      </c>
      <c r="DD436" s="47">
        <v>0</v>
      </c>
      <c r="DE436" s="47">
        <v>0</v>
      </c>
      <c r="DF436" s="47">
        <v>0</v>
      </c>
      <c r="DG436" s="47">
        <v>0</v>
      </c>
      <c r="DH436" s="47">
        <v>0</v>
      </c>
      <c r="DI436" s="47">
        <v>0</v>
      </c>
      <c r="DJ436" s="47">
        <v>0</v>
      </c>
      <c r="DK436" s="47">
        <v>0</v>
      </c>
      <c r="DL436" s="47">
        <v>0</v>
      </c>
      <c r="DM436" s="47">
        <v>0</v>
      </c>
      <c r="DN436" s="47">
        <v>0</v>
      </c>
      <c r="DO436" s="47">
        <v>0</v>
      </c>
      <c r="DP436" s="47">
        <v>0</v>
      </c>
      <c r="DQ436" s="47">
        <v>0</v>
      </c>
      <c r="DR436" s="47">
        <v>0</v>
      </c>
      <c r="DS436" s="47">
        <v>0</v>
      </c>
      <c r="DT436" s="47">
        <v>0</v>
      </c>
      <c r="DU436" s="47">
        <v>0</v>
      </c>
      <c r="DV436" s="47">
        <v>0</v>
      </c>
      <c r="DW436" s="47">
        <v>0</v>
      </c>
      <c r="DX436" s="47">
        <v>0</v>
      </c>
      <c r="DY436" s="47">
        <v>0</v>
      </c>
      <c r="DZ436" s="47">
        <v>0</v>
      </c>
      <c r="EA436" s="47">
        <v>0</v>
      </c>
      <c r="EB436" s="47"/>
      <c r="EC436" s="47">
        <v>1</v>
      </c>
      <c r="ZZ436" t="s">
        <v>2472</v>
      </c>
    </row>
    <row r="437" spans="1:702" x14ac:dyDescent="0.25">
      <c r="A437" s="47" t="s">
        <v>2080</v>
      </c>
      <c r="B437" s="47" t="s">
        <v>153</v>
      </c>
      <c r="C437" s="47" t="s">
        <v>157</v>
      </c>
      <c r="D437" s="47" t="s">
        <v>2921</v>
      </c>
      <c r="E437" s="47" t="s">
        <v>2081</v>
      </c>
      <c r="F437" s="47" t="s">
        <v>2082</v>
      </c>
      <c r="G437" s="47" t="s">
        <v>2083</v>
      </c>
      <c r="H437" s="47" t="s">
        <v>698</v>
      </c>
      <c r="I437" s="47" t="s">
        <v>727</v>
      </c>
      <c r="J437" s="47" t="str">
        <f>=IFERROR(VLOOKUP(H437&amp;I437,Table_Fonctions!A:G,6,FALSE),"")</f>
        <v>0</v>
      </c>
      <c r="K437" s="47" t="s">
        <v>2607</v>
      </c>
      <c r="L437" s="47" t="str">
        <f>=IFERROR(VLOOKUP(H437&amp;I437,Table_Fonctions!A:G,7,FALSE),K437)</f>
        <v/>
      </c>
      <c r="M437" s="47" t="str">
        <f>=IF(OR(LEFT(D437, 3)="TJ ", LEFT(D437, 4)="CPH "), "OUI", "NON")</f>
        <v/>
      </c>
      <c r="N437" s="47" t="s">
        <v>593</v>
      </c>
      <c r="O437" s="47"/>
      <c r="P437" s="47">
        <v>1</v>
      </c>
      <c r="Q437" s="47">
        <v>0</v>
      </c>
      <c r="R437" s="47">
        <v>1</v>
      </c>
      <c r="S437" s="47">
        <f>=ROUND(BQ437-(BR437+BS437),3)</f>
      </c>
      <c r="T437" s="47">
        <f>=ROUND(CK437-(CL437+CM437+CN437+CO437+CP437),3)</f>
      </c>
      <c r="U437" s="47">
        <v>0</v>
      </c>
      <c r="V437" s="47">
        <v>0</v>
      </c>
      <c r="W437" s="47">
        <v>0</v>
      </c>
      <c r="X437" s="47">
        <v>0</v>
      </c>
      <c r="Y437" s="47">
        <v>0</v>
      </c>
      <c r="Z437" s="47">
        <v>0</v>
      </c>
      <c r="AA437" s="47">
        <v>0</v>
      </c>
      <c r="AB437" s="47">
        <v>0</v>
      </c>
      <c r="AC437" s="47">
        <v>0</v>
      </c>
      <c r="AD437" s="47">
        <v>0</v>
      </c>
      <c r="AE437" s="47">
        <v>0</v>
      </c>
      <c r="AF437" s="47">
        <v>0</v>
      </c>
      <c r="AG437" s="47">
        <v>0</v>
      </c>
      <c r="AH437" s="47">
        <v>0</v>
      </c>
      <c r="AI437" s="47">
        <v>0</v>
      </c>
      <c r="AJ437" s="47">
        <v>0</v>
      </c>
      <c r="AK437" s="47">
        <v>0</v>
      </c>
      <c r="AL437" s="47">
        <v>0</v>
      </c>
      <c r="AM437" s="47">
        <v>0</v>
      </c>
      <c r="AN437" s="47">
        <v>0</v>
      </c>
      <c r="AO437" s="47">
        <v>0</v>
      </c>
      <c r="AP437" s="47">
        <v>0</v>
      </c>
      <c r="AQ437" s="47">
        <v>0</v>
      </c>
      <c r="AR437" s="47">
        <v>0</v>
      </c>
      <c r="AS437" s="47">
        <v>0</v>
      </c>
      <c r="AT437" s="47">
        <v>0</v>
      </c>
      <c r="AU437" s="47">
        <v>0</v>
      </c>
      <c r="AV437" s="47">
        <v>0</v>
      </c>
      <c r="AW437" s="47">
        <v>0</v>
      </c>
      <c r="AX437" s="47">
        <v>0</v>
      </c>
      <c r="AY437" s="47">
        <v>0</v>
      </c>
      <c r="AZ437" s="47">
        <v>0</v>
      </c>
      <c r="BA437" s="47">
        <v>0</v>
      </c>
      <c r="BB437" s="47">
        <v>0</v>
      </c>
      <c r="BC437" s="47">
        <v>0</v>
      </c>
      <c r="BD437" s="47">
        <v>0</v>
      </c>
      <c r="BE437" s="47">
        <v>0</v>
      </c>
      <c r="BF437" s="47">
        <v>0</v>
      </c>
      <c r="BG437" s="47">
        <v>0</v>
      </c>
      <c r="BH437" s="47">
        <v>0</v>
      </c>
      <c r="BI437" s="47">
        <v>0</v>
      </c>
      <c r="BJ437" s="47">
        <v>0</v>
      </c>
      <c r="BK437" s="47">
        <v>0</v>
      </c>
      <c r="BL437" s="47">
        <v>0</v>
      </c>
      <c r="BM437" s="47">
        <v>0</v>
      </c>
      <c r="BN437" s="47">
        <v>0</v>
      </c>
      <c r="BO437" s="47">
        <v>0</v>
      </c>
      <c r="BP437" s="47">
        <v>0</v>
      </c>
      <c r="BQ437" s="47">
        <v>0</v>
      </c>
      <c r="BR437" s="47">
        <v>0</v>
      </c>
      <c r="BS437" s="47">
        <v>0</v>
      </c>
      <c r="BT437" s="47">
        <v>0</v>
      </c>
      <c r="BU437" s="47">
        <v>0</v>
      </c>
      <c r="BV437" s="47">
        <v>0</v>
      </c>
      <c r="BW437" s="47">
        <v>0</v>
      </c>
      <c r="BX437" s="47">
        <v>0</v>
      </c>
      <c r="BY437" s="47">
        <v>0</v>
      </c>
      <c r="BZ437" s="47">
        <v>0</v>
      </c>
      <c r="CA437" s="47">
        <v>0</v>
      </c>
      <c r="CB437" s="47">
        <v>0</v>
      </c>
      <c r="CC437" s="47">
        <v>0</v>
      </c>
      <c r="CD437" s="47">
        <v>0</v>
      </c>
      <c r="CE437" s="47">
        <v>0</v>
      </c>
      <c r="CF437" s="47">
        <v>0</v>
      </c>
      <c r="CG437" s="47">
        <v>0</v>
      </c>
      <c r="CH437" s="47">
        <v>0</v>
      </c>
      <c r="CI437" s="47">
        <v>0</v>
      </c>
      <c r="CJ437" s="47">
        <v>0</v>
      </c>
      <c r="CK437" s="47">
        <v>0</v>
      </c>
      <c r="CL437" s="47">
        <v>0</v>
      </c>
      <c r="CM437" s="47">
        <v>0</v>
      </c>
      <c r="CN437" s="47">
        <v>0</v>
      </c>
      <c r="CO437" s="47">
        <v>0</v>
      </c>
      <c r="CP437" s="47">
        <v>0</v>
      </c>
      <c r="CQ437" s="47">
        <v>0</v>
      </c>
      <c r="CR437" s="47">
        <v>0</v>
      </c>
      <c r="CS437" s="47">
        <v>0</v>
      </c>
      <c r="CT437" s="47">
        <v>0</v>
      </c>
      <c r="CU437" s="47">
        <v>0</v>
      </c>
      <c r="CV437" s="47">
        <v>0</v>
      </c>
      <c r="CW437" s="47">
        <v>0</v>
      </c>
      <c r="CX437" s="47">
        <v>0</v>
      </c>
      <c r="CY437" s="47">
        <v>0</v>
      </c>
      <c r="CZ437" s="47">
        <v>0</v>
      </c>
      <c r="DA437" s="47">
        <v>0</v>
      </c>
      <c r="DB437" s="47">
        <v>0</v>
      </c>
      <c r="DC437" s="47">
        <v>0</v>
      </c>
      <c r="DD437" s="47">
        <v>0</v>
      </c>
      <c r="DE437" s="47">
        <v>0</v>
      </c>
      <c r="DF437" s="47">
        <v>0</v>
      </c>
      <c r="DG437" s="47">
        <v>0</v>
      </c>
      <c r="DH437" s="47">
        <v>0</v>
      </c>
      <c r="DI437" s="47">
        <v>0</v>
      </c>
      <c r="DJ437" s="47">
        <v>0</v>
      </c>
      <c r="DK437" s="47">
        <v>0</v>
      </c>
      <c r="DL437" s="47">
        <v>0</v>
      </c>
      <c r="DM437" s="47">
        <v>0</v>
      </c>
      <c r="DN437" s="47">
        <v>0</v>
      </c>
      <c r="DO437" s="47">
        <v>0</v>
      </c>
      <c r="DP437" s="47">
        <v>0</v>
      </c>
      <c r="DQ437" s="47">
        <v>0</v>
      </c>
      <c r="DR437" s="47">
        <v>0</v>
      </c>
      <c r="DS437" s="47">
        <v>0</v>
      </c>
      <c r="DT437" s="47">
        <v>0</v>
      </c>
      <c r="DU437" s="47">
        <v>0</v>
      </c>
      <c r="DV437" s="47">
        <v>0</v>
      </c>
      <c r="DW437" s="47">
        <v>0</v>
      </c>
      <c r="DX437" s="47">
        <v>0</v>
      </c>
      <c r="DY437" s="47">
        <v>0</v>
      </c>
      <c r="DZ437" s="47">
        <v>0</v>
      </c>
      <c r="EA437" s="47">
        <v>0</v>
      </c>
      <c r="EB437" s="47"/>
      <c r="EC437" s="47">
        <v>1</v>
      </c>
      <c r="ZZ437" t="s">
        <v>2472</v>
      </c>
    </row>
    <row r="438" spans="1:702" x14ac:dyDescent="0.25">
      <c r="A438" s="47" t="s">
        <v>2084</v>
      </c>
      <c r="B438" s="47" t="s">
        <v>153</v>
      </c>
      <c r="C438" s="47" t="s">
        <v>157</v>
      </c>
      <c r="D438" s="47" t="s">
        <v>2922</v>
      </c>
      <c r="E438" s="47" t="s">
        <v>2085</v>
      </c>
      <c r="F438" s="47" t="s">
        <v>2086</v>
      </c>
      <c r="G438" s="47" t="s">
        <v>2087</v>
      </c>
      <c r="H438" s="47" t="s">
        <v>698</v>
      </c>
      <c r="I438" s="47" t="s">
        <v>727</v>
      </c>
      <c r="J438" s="47" t="str">
        <f>=IFERROR(VLOOKUP(H438&amp;I438,Table_Fonctions!A:G,6,FALSE),"")</f>
        <v>0</v>
      </c>
      <c r="K438" s="47" t="s">
        <v>2607</v>
      </c>
      <c r="L438" s="47" t="str">
        <f>=IFERROR(VLOOKUP(H438&amp;I438,Table_Fonctions!A:G,7,FALSE),K438)</f>
        <v/>
      </c>
      <c r="M438" s="47" t="str">
        <f>=IF(OR(LEFT(D438, 3)="TJ ", LEFT(D438, 4)="CPH "), "OUI", "NON")</f>
        <v/>
      </c>
      <c r="N438" s="47" t="s">
        <v>700</v>
      </c>
      <c r="O438" s="47"/>
      <c r="P438" s="47">
        <v>1</v>
      </c>
      <c r="Q438" s="47">
        <v>0</v>
      </c>
      <c r="R438" s="47">
        <v>1</v>
      </c>
      <c r="S438" s="47">
        <f>=ROUND(BQ438-(BR438+BS438),3)</f>
      </c>
      <c r="T438" s="47">
        <f>=ROUND(CK438-(CL438+CM438+CN438+CO438+CP438),3)</f>
      </c>
      <c r="U438" s="47">
        <v>0</v>
      </c>
      <c r="V438" s="47">
        <v>0</v>
      </c>
      <c r="W438" s="47">
        <v>0</v>
      </c>
      <c r="X438" s="47">
        <v>0</v>
      </c>
      <c r="Y438" s="47">
        <v>0</v>
      </c>
      <c r="Z438" s="47">
        <v>0</v>
      </c>
      <c r="AA438" s="47">
        <v>0</v>
      </c>
      <c r="AB438" s="47">
        <v>0</v>
      </c>
      <c r="AC438" s="47">
        <v>0</v>
      </c>
      <c r="AD438" s="47">
        <v>0</v>
      </c>
      <c r="AE438" s="47">
        <v>0</v>
      </c>
      <c r="AF438" s="47">
        <v>0</v>
      </c>
      <c r="AG438" s="47">
        <v>0</v>
      </c>
      <c r="AH438" s="47">
        <v>0</v>
      </c>
      <c r="AI438" s="47">
        <v>0</v>
      </c>
      <c r="AJ438" s="47">
        <v>0</v>
      </c>
      <c r="AK438" s="47">
        <v>0</v>
      </c>
      <c r="AL438" s="47">
        <v>0</v>
      </c>
      <c r="AM438" s="47">
        <v>0</v>
      </c>
      <c r="AN438" s="47">
        <v>0</v>
      </c>
      <c r="AO438" s="47">
        <v>0</v>
      </c>
      <c r="AP438" s="47">
        <v>0</v>
      </c>
      <c r="AQ438" s="47">
        <v>0</v>
      </c>
      <c r="AR438" s="47">
        <v>0</v>
      </c>
      <c r="AS438" s="47">
        <v>0</v>
      </c>
      <c r="AT438" s="47">
        <v>0</v>
      </c>
      <c r="AU438" s="47">
        <v>0</v>
      </c>
      <c r="AV438" s="47">
        <v>0</v>
      </c>
      <c r="AW438" s="47">
        <v>0</v>
      </c>
      <c r="AX438" s="47">
        <v>0</v>
      </c>
      <c r="AY438" s="47">
        <v>0</v>
      </c>
      <c r="AZ438" s="47">
        <v>0</v>
      </c>
      <c r="BA438" s="47">
        <v>0</v>
      </c>
      <c r="BB438" s="47">
        <v>0</v>
      </c>
      <c r="BC438" s="47">
        <v>0</v>
      </c>
      <c r="BD438" s="47">
        <v>0</v>
      </c>
      <c r="BE438" s="47">
        <v>0</v>
      </c>
      <c r="BF438" s="47">
        <v>0</v>
      </c>
      <c r="BG438" s="47">
        <v>0</v>
      </c>
      <c r="BH438" s="47">
        <v>0</v>
      </c>
      <c r="BI438" s="47">
        <v>0</v>
      </c>
      <c r="BJ438" s="47">
        <v>0</v>
      </c>
      <c r="BK438" s="47">
        <v>0</v>
      </c>
      <c r="BL438" s="47">
        <v>0</v>
      </c>
      <c r="BM438" s="47">
        <v>0</v>
      </c>
      <c r="BN438" s="47">
        <v>0</v>
      </c>
      <c r="BO438" s="47">
        <v>0</v>
      </c>
      <c r="BP438" s="47">
        <v>0</v>
      </c>
      <c r="BQ438" s="47">
        <v>0</v>
      </c>
      <c r="BR438" s="47">
        <v>0</v>
      </c>
      <c r="BS438" s="47">
        <v>0</v>
      </c>
      <c r="BT438" s="47">
        <v>0</v>
      </c>
      <c r="BU438" s="47">
        <v>0</v>
      </c>
      <c r="BV438" s="47">
        <v>0</v>
      </c>
      <c r="BW438" s="47">
        <v>0</v>
      </c>
      <c r="BX438" s="47">
        <v>0</v>
      </c>
      <c r="BY438" s="47">
        <v>0</v>
      </c>
      <c r="BZ438" s="47">
        <v>0</v>
      </c>
      <c r="CA438" s="47">
        <v>0</v>
      </c>
      <c r="CB438" s="47">
        <v>0</v>
      </c>
      <c r="CC438" s="47">
        <v>0</v>
      </c>
      <c r="CD438" s="47">
        <v>0</v>
      </c>
      <c r="CE438" s="47">
        <v>0</v>
      </c>
      <c r="CF438" s="47">
        <v>0</v>
      </c>
      <c r="CG438" s="47">
        <v>0</v>
      </c>
      <c r="CH438" s="47">
        <v>0</v>
      </c>
      <c r="CI438" s="47">
        <v>0</v>
      </c>
      <c r="CJ438" s="47">
        <v>0</v>
      </c>
      <c r="CK438" s="47">
        <v>0</v>
      </c>
      <c r="CL438" s="47">
        <v>0</v>
      </c>
      <c r="CM438" s="47">
        <v>0</v>
      </c>
      <c r="CN438" s="47">
        <v>0</v>
      </c>
      <c r="CO438" s="47">
        <v>0</v>
      </c>
      <c r="CP438" s="47">
        <v>0</v>
      </c>
      <c r="CQ438" s="47">
        <v>0</v>
      </c>
      <c r="CR438" s="47">
        <v>0</v>
      </c>
      <c r="CS438" s="47">
        <v>0</v>
      </c>
      <c r="CT438" s="47">
        <v>0</v>
      </c>
      <c r="CU438" s="47">
        <v>0</v>
      </c>
      <c r="CV438" s="47">
        <v>0</v>
      </c>
      <c r="CW438" s="47">
        <v>0</v>
      </c>
      <c r="CX438" s="47">
        <v>0</v>
      </c>
      <c r="CY438" s="47">
        <v>0</v>
      </c>
      <c r="CZ438" s="47">
        <v>0</v>
      </c>
      <c r="DA438" s="47">
        <v>0</v>
      </c>
      <c r="DB438" s="47">
        <v>0</v>
      </c>
      <c r="DC438" s="47">
        <v>0</v>
      </c>
      <c r="DD438" s="47">
        <v>0</v>
      </c>
      <c r="DE438" s="47">
        <v>0</v>
      </c>
      <c r="DF438" s="47">
        <v>0</v>
      </c>
      <c r="DG438" s="47">
        <v>0</v>
      </c>
      <c r="DH438" s="47">
        <v>0</v>
      </c>
      <c r="DI438" s="47">
        <v>0</v>
      </c>
      <c r="DJ438" s="47">
        <v>0</v>
      </c>
      <c r="DK438" s="47">
        <v>0</v>
      </c>
      <c r="DL438" s="47">
        <v>0</v>
      </c>
      <c r="DM438" s="47">
        <v>0</v>
      </c>
      <c r="DN438" s="47">
        <v>0</v>
      </c>
      <c r="DO438" s="47">
        <v>0</v>
      </c>
      <c r="DP438" s="47">
        <v>0</v>
      </c>
      <c r="DQ438" s="47">
        <v>0</v>
      </c>
      <c r="DR438" s="47">
        <v>0</v>
      </c>
      <c r="DS438" s="47">
        <v>0</v>
      </c>
      <c r="DT438" s="47">
        <v>0</v>
      </c>
      <c r="DU438" s="47">
        <v>0</v>
      </c>
      <c r="DV438" s="47">
        <v>0</v>
      </c>
      <c r="DW438" s="47">
        <v>0</v>
      </c>
      <c r="DX438" s="47">
        <v>0</v>
      </c>
      <c r="DY438" s="47">
        <v>0</v>
      </c>
      <c r="DZ438" s="47">
        <v>0</v>
      </c>
      <c r="EA438" s="47">
        <v>0</v>
      </c>
      <c r="EB438" s="47"/>
      <c r="EC438" s="47">
        <v>1</v>
      </c>
      <c r="ZZ438" t="s">
        <v>2472</v>
      </c>
    </row>
    <row r="439" spans="1:702" x14ac:dyDescent="0.25">
      <c r="A439" s="47" t="s">
        <v>2088</v>
      </c>
      <c r="B439" s="47" t="s">
        <v>153</v>
      </c>
      <c r="C439" s="47" t="s">
        <v>157</v>
      </c>
      <c r="D439" s="47" t="s">
        <v>2923</v>
      </c>
      <c r="E439" s="47" t="s">
        <v>2089</v>
      </c>
      <c r="F439" s="47" t="s">
        <v>2090</v>
      </c>
      <c r="G439" s="47" t="s">
        <v>2091</v>
      </c>
      <c r="H439" s="47" t="s">
        <v>698</v>
      </c>
      <c r="I439" s="47" t="s">
        <v>705</v>
      </c>
      <c r="J439" s="47" t="str">
        <f>=IFERROR(VLOOKUP(H439&amp;I439,Table_Fonctions!A:G,6,FALSE),"")</f>
        <v>0</v>
      </c>
      <c r="K439" s="47" t="s">
        <v>2607</v>
      </c>
      <c r="L439" s="47" t="str">
        <f>=IFERROR(VLOOKUP(H439&amp;I439,Table_Fonctions!A:G,7,FALSE),K439)</f>
        <v/>
      </c>
      <c r="M439" s="47" t="str">
        <f>=IF(OR(LEFT(D439, 3)="TJ ", LEFT(D439, 4)="CPH "), "OUI", "NON")</f>
        <v/>
      </c>
      <c r="N439" s="47" t="s">
        <v>753</v>
      </c>
      <c r="O439" s="47"/>
      <c r="P439" s="47">
        <v>1</v>
      </c>
      <c r="Q439" s="47">
        <v>0</v>
      </c>
      <c r="R439" s="47">
        <v>1</v>
      </c>
      <c r="S439" s="47">
        <f>=ROUND(BQ439-(BR439+BS439),3)</f>
      </c>
      <c r="T439" s="47">
        <f>=ROUND(CK439-(CL439+CM439+CN439+CO439+CP439),3)</f>
      </c>
      <c r="U439" s="47">
        <v>0</v>
      </c>
      <c r="V439" s="47">
        <v>0</v>
      </c>
      <c r="W439" s="47">
        <v>0</v>
      </c>
      <c r="X439" s="47">
        <v>0</v>
      </c>
      <c r="Y439" s="47">
        <v>0</v>
      </c>
      <c r="Z439" s="47">
        <v>0</v>
      </c>
      <c r="AA439" s="47">
        <v>0</v>
      </c>
      <c r="AB439" s="47">
        <v>0</v>
      </c>
      <c r="AC439" s="47">
        <v>0</v>
      </c>
      <c r="AD439" s="47">
        <v>0</v>
      </c>
      <c r="AE439" s="47">
        <v>0</v>
      </c>
      <c r="AF439" s="47">
        <v>0</v>
      </c>
      <c r="AG439" s="47">
        <v>0</v>
      </c>
      <c r="AH439" s="47">
        <v>0</v>
      </c>
      <c r="AI439" s="47">
        <v>0</v>
      </c>
      <c r="AJ439" s="47">
        <v>0</v>
      </c>
      <c r="AK439" s="47">
        <v>0</v>
      </c>
      <c r="AL439" s="47">
        <v>0</v>
      </c>
      <c r="AM439" s="47">
        <v>0</v>
      </c>
      <c r="AN439" s="47">
        <v>0</v>
      </c>
      <c r="AO439" s="47">
        <v>0</v>
      </c>
      <c r="AP439" s="47">
        <v>0</v>
      </c>
      <c r="AQ439" s="47">
        <v>0</v>
      </c>
      <c r="AR439" s="47">
        <v>0</v>
      </c>
      <c r="AS439" s="47">
        <v>0</v>
      </c>
      <c r="AT439" s="47">
        <v>0</v>
      </c>
      <c r="AU439" s="47">
        <v>0</v>
      </c>
      <c r="AV439" s="47">
        <v>0</v>
      </c>
      <c r="AW439" s="47">
        <v>0</v>
      </c>
      <c r="AX439" s="47">
        <v>0</v>
      </c>
      <c r="AY439" s="47">
        <v>0</v>
      </c>
      <c r="AZ439" s="47">
        <v>0</v>
      </c>
      <c r="BA439" s="47">
        <v>0</v>
      </c>
      <c r="BB439" s="47">
        <v>0</v>
      </c>
      <c r="BC439" s="47">
        <v>0</v>
      </c>
      <c r="BD439" s="47">
        <v>0</v>
      </c>
      <c r="BE439" s="47">
        <v>0</v>
      </c>
      <c r="BF439" s="47">
        <v>0</v>
      </c>
      <c r="BG439" s="47">
        <v>0</v>
      </c>
      <c r="BH439" s="47">
        <v>0</v>
      </c>
      <c r="BI439" s="47">
        <v>0</v>
      </c>
      <c r="BJ439" s="47">
        <v>0</v>
      </c>
      <c r="BK439" s="47">
        <v>0</v>
      </c>
      <c r="BL439" s="47">
        <v>0</v>
      </c>
      <c r="BM439" s="47">
        <v>0</v>
      </c>
      <c r="BN439" s="47">
        <v>0</v>
      </c>
      <c r="BO439" s="47">
        <v>0</v>
      </c>
      <c r="BP439" s="47">
        <v>0</v>
      </c>
      <c r="BQ439" s="47">
        <v>0</v>
      </c>
      <c r="BR439" s="47">
        <v>0</v>
      </c>
      <c r="BS439" s="47">
        <v>0</v>
      </c>
      <c r="BT439" s="47">
        <v>0</v>
      </c>
      <c r="BU439" s="47">
        <v>0</v>
      </c>
      <c r="BV439" s="47">
        <v>0</v>
      </c>
      <c r="BW439" s="47">
        <v>0</v>
      </c>
      <c r="BX439" s="47">
        <v>0</v>
      </c>
      <c r="BY439" s="47">
        <v>0</v>
      </c>
      <c r="BZ439" s="47">
        <v>0</v>
      </c>
      <c r="CA439" s="47">
        <v>0</v>
      </c>
      <c r="CB439" s="47">
        <v>0</v>
      </c>
      <c r="CC439" s="47">
        <v>0</v>
      </c>
      <c r="CD439" s="47">
        <v>0</v>
      </c>
      <c r="CE439" s="47">
        <v>0</v>
      </c>
      <c r="CF439" s="47">
        <v>0</v>
      </c>
      <c r="CG439" s="47">
        <v>0</v>
      </c>
      <c r="CH439" s="47">
        <v>0</v>
      </c>
      <c r="CI439" s="47">
        <v>0</v>
      </c>
      <c r="CJ439" s="47">
        <v>0</v>
      </c>
      <c r="CK439" s="47">
        <v>0</v>
      </c>
      <c r="CL439" s="47">
        <v>0</v>
      </c>
      <c r="CM439" s="47">
        <v>0</v>
      </c>
      <c r="CN439" s="47">
        <v>0</v>
      </c>
      <c r="CO439" s="47">
        <v>0</v>
      </c>
      <c r="CP439" s="47">
        <v>0</v>
      </c>
      <c r="CQ439" s="47">
        <v>0</v>
      </c>
      <c r="CR439" s="47">
        <v>0</v>
      </c>
      <c r="CS439" s="47">
        <v>0</v>
      </c>
      <c r="CT439" s="47">
        <v>0</v>
      </c>
      <c r="CU439" s="47">
        <v>0</v>
      </c>
      <c r="CV439" s="47">
        <v>0</v>
      </c>
      <c r="CW439" s="47">
        <v>0</v>
      </c>
      <c r="CX439" s="47">
        <v>0</v>
      </c>
      <c r="CY439" s="47">
        <v>0</v>
      </c>
      <c r="CZ439" s="47">
        <v>0</v>
      </c>
      <c r="DA439" s="47">
        <v>0</v>
      </c>
      <c r="DB439" s="47">
        <v>0</v>
      </c>
      <c r="DC439" s="47">
        <v>0</v>
      </c>
      <c r="DD439" s="47">
        <v>0</v>
      </c>
      <c r="DE439" s="47">
        <v>0</v>
      </c>
      <c r="DF439" s="47">
        <v>0</v>
      </c>
      <c r="DG439" s="47">
        <v>0</v>
      </c>
      <c r="DH439" s="47">
        <v>0</v>
      </c>
      <c r="DI439" s="47">
        <v>0</v>
      </c>
      <c r="DJ439" s="47">
        <v>0</v>
      </c>
      <c r="DK439" s="47">
        <v>0</v>
      </c>
      <c r="DL439" s="47">
        <v>0</v>
      </c>
      <c r="DM439" s="47">
        <v>0</v>
      </c>
      <c r="DN439" s="47">
        <v>0</v>
      </c>
      <c r="DO439" s="47">
        <v>0</v>
      </c>
      <c r="DP439" s="47">
        <v>0</v>
      </c>
      <c r="DQ439" s="47">
        <v>0</v>
      </c>
      <c r="DR439" s="47">
        <v>0</v>
      </c>
      <c r="DS439" s="47">
        <v>0</v>
      </c>
      <c r="DT439" s="47">
        <v>0</v>
      </c>
      <c r="DU439" s="47">
        <v>0</v>
      </c>
      <c r="DV439" s="47">
        <v>0</v>
      </c>
      <c r="DW439" s="47">
        <v>0</v>
      </c>
      <c r="DX439" s="47">
        <v>0</v>
      </c>
      <c r="DY439" s="47">
        <v>0</v>
      </c>
      <c r="DZ439" s="47">
        <v>0</v>
      </c>
      <c r="EA439" s="47">
        <v>0</v>
      </c>
      <c r="EB439" s="47"/>
      <c r="EC439" s="47">
        <v>1</v>
      </c>
      <c r="ZZ439" t="s">
        <v>2472</v>
      </c>
    </row>
    <row r="440" spans="1:702" x14ac:dyDescent="0.25">
      <c r="A440" s="47" t="s">
        <v>2092</v>
      </c>
      <c r="B440" s="47" t="s">
        <v>153</v>
      </c>
      <c r="C440" s="47" t="s">
        <v>157</v>
      </c>
      <c r="D440" s="47" t="s">
        <v>2924</v>
      </c>
      <c r="E440" s="47" t="s">
        <v>2093</v>
      </c>
      <c r="F440" s="47" t="s">
        <v>2094</v>
      </c>
      <c r="G440" s="47" t="s">
        <v>2095</v>
      </c>
      <c r="H440" s="47" t="s">
        <v>698</v>
      </c>
      <c r="I440" s="47" t="s">
        <v>738</v>
      </c>
      <c r="J440" s="47" t="str">
        <f>=IFERROR(VLOOKUP(H440&amp;I440,Table_Fonctions!A:G,6,FALSE),"")</f>
        <v>0</v>
      </c>
      <c r="K440" s="47" t="s">
        <v>2607</v>
      </c>
      <c r="L440" s="47" t="str">
        <f>=IFERROR(VLOOKUP(H440&amp;I440,Table_Fonctions!A:G,7,FALSE),K440)</f>
        <v/>
      </c>
      <c r="M440" s="47" t="str">
        <f>=IF(OR(LEFT(D440, 3)="TJ ", LEFT(D440, 4)="CPH "), "OUI", "NON")</f>
        <v/>
      </c>
      <c r="N440" s="47" t="s">
        <v>2096</v>
      </c>
      <c r="O440" s="47" t="s">
        <v>2097</v>
      </c>
      <c r="P440" s="47">
        <v>1</v>
      </c>
      <c r="Q440" s="47">
        <v>1</v>
      </c>
      <c r="R440" s="47">
        <v>0</v>
      </c>
      <c r="S440" s="47">
        <f>=ROUND(BQ440-(BR440+BS440),3)</f>
      </c>
      <c r="T440" s="47">
        <f>=ROUND(CK440-(CL440+CM440+CN440+CO440+CP440),3)</f>
      </c>
      <c r="U440" s="47">
        <v>1</v>
      </c>
      <c r="V440" s="47">
        <v>0</v>
      </c>
      <c r="W440" s="47">
        <v>0</v>
      </c>
      <c r="X440" s="47">
        <v>0</v>
      </c>
      <c r="Y440" s="47">
        <v>0</v>
      </c>
      <c r="Z440" s="47">
        <v>0</v>
      </c>
      <c r="AA440" s="47">
        <v>0</v>
      </c>
      <c r="AB440" s="47">
        <v>0</v>
      </c>
      <c r="AC440" s="47">
        <v>0</v>
      </c>
      <c r="AD440" s="47">
        <v>0</v>
      </c>
      <c r="AE440" s="47">
        <v>0</v>
      </c>
      <c r="AF440" s="47">
        <v>0</v>
      </c>
      <c r="AG440" s="47">
        <v>0</v>
      </c>
      <c r="AH440" s="47">
        <v>0</v>
      </c>
      <c r="AI440" s="47">
        <v>0</v>
      </c>
      <c r="AJ440" s="47">
        <v>0</v>
      </c>
      <c r="AK440" s="47">
        <v>0</v>
      </c>
      <c r="AL440" s="47">
        <v>0</v>
      </c>
      <c r="AM440" s="47">
        <v>0</v>
      </c>
      <c r="AN440" s="47">
        <v>0</v>
      </c>
      <c r="AO440" s="47">
        <v>0</v>
      </c>
      <c r="AP440" s="47">
        <v>0</v>
      </c>
      <c r="AQ440" s="47">
        <v>0</v>
      </c>
      <c r="AR440" s="47">
        <v>0</v>
      </c>
      <c r="AS440" s="47">
        <v>0</v>
      </c>
      <c r="AT440" s="47">
        <v>0</v>
      </c>
      <c r="AU440" s="47">
        <v>0</v>
      </c>
      <c r="AV440" s="47">
        <v>0</v>
      </c>
      <c r="AW440" s="47">
        <v>0</v>
      </c>
      <c r="AX440" s="47">
        <v>0</v>
      </c>
      <c r="AY440" s="47">
        <v>0</v>
      </c>
      <c r="AZ440" s="47">
        <v>0</v>
      </c>
      <c r="BA440" s="47">
        <v>0</v>
      </c>
      <c r="BB440" s="47">
        <v>0</v>
      </c>
      <c r="BC440" s="47">
        <v>0</v>
      </c>
      <c r="BD440" s="47">
        <v>0</v>
      </c>
      <c r="BE440" s="47">
        <v>0</v>
      </c>
      <c r="BF440" s="47">
        <v>0</v>
      </c>
      <c r="BG440" s="47">
        <v>0</v>
      </c>
      <c r="BH440" s="47">
        <v>0</v>
      </c>
      <c r="BI440" s="47">
        <v>0</v>
      </c>
      <c r="BJ440" s="47">
        <v>0</v>
      </c>
      <c r="BK440" s="47">
        <v>0</v>
      </c>
      <c r="BL440" s="47">
        <v>0</v>
      </c>
      <c r="BM440" s="47">
        <v>0</v>
      </c>
      <c r="BN440" s="47">
        <v>0</v>
      </c>
      <c r="BO440" s="47">
        <v>0</v>
      </c>
      <c r="BP440" s="47">
        <v>0</v>
      </c>
      <c r="BQ440" s="47">
        <v>0</v>
      </c>
      <c r="BR440" s="47">
        <v>0</v>
      </c>
      <c r="BS440" s="47">
        <v>0</v>
      </c>
      <c r="BT440" s="47">
        <v>0</v>
      </c>
      <c r="BU440" s="47">
        <v>0</v>
      </c>
      <c r="BV440" s="47">
        <v>0</v>
      </c>
      <c r="BW440" s="47">
        <v>0</v>
      </c>
      <c r="BX440" s="47">
        <v>0</v>
      </c>
      <c r="BY440" s="47">
        <v>0</v>
      </c>
      <c r="BZ440" s="47">
        <v>0</v>
      </c>
      <c r="CA440" s="47">
        <v>0</v>
      </c>
      <c r="CB440" s="47">
        <v>0</v>
      </c>
      <c r="CC440" s="47">
        <v>0</v>
      </c>
      <c r="CD440" s="47">
        <v>0</v>
      </c>
      <c r="CE440" s="47">
        <v>0</v>
      </c>
      <c r="CF440" s="47">
        <v>0</v>
      </c>
      <c r="CG440" s="47">
        <v>0</v>
      </c>
      <c r="CH440" s="47">
        <v>0</v>
      </c>
      <c r="CI440" s="47">
        <v>0</v>
      </c>
      <c r="CJ440" s="47">
        <v>0</v>
      </c>
      <c r="CK440" s="47">
        <v>0</v>
      </c>
      <c r="CL440" s="47">
        <v>0</v>
      </c>
      <c r="CM440" s="47">
        <v>0</v>
      </c>
      <c r="CN440" s="47">
        <v>0</v>
      </c>
      <c r="CO440" s="47">
        <v>0</v>
      </c>
      <c r="CP440" s="47">
        <v>0</v>
      </c>
      <c r="CQ440" s="47">
        <v>0</v>
      </c>
      <c r="CR440" s="47">
        <v>0</v>
      </c>
      <c r="CS440" s="47">
        <v>0</v>
      </c>
      <c r="CT440" s="47">
        <v>0</v>
      </c>
      <c r="CU440" s="47">
        <v>0</v>
      </c>
      <c r="CV440" s="47">
        <v>0</v>
      </c>
      <c r="CW440" s="47">
        <v>0</v>
      </c>
      <c r="CX440" s="47">
        <v>0</v>
      </c>
      <c r="CY440" s="47">
        <v>0</v>
      </c>
      <c r="CZ440" s="47">
        <v>0</v>
      </c>
      <c r="DA440" s="47">
        <v>0</v>
      </c>
      <c r="DB440" s="47">
        <v>0</v>
      </c>
      <c r="DC440" s="47">
        <v>0</v>
      </c>
      <c r="DD440" s="47">
        <v>0</v>
      </c>
      <c r="DE440" s="47">
        <v>0</v>
      </c>
      <c r="DF440" s="47">
        <v>0</v>
      </c>
      <c r="DG440" s="47">
        <v>0</v>
      </c>
      <c r="DH440" s="47">
        <v>0</v>
      </c>
      <c r="DI440" s="47">
        <v>0</v>
      </c>
      <c r="DJ440" s="47">
        <v>0</v>
      </c>
      <c r="DK440" s="47">
        <v>0</v>
      </c>
      <c r="DL440" s="47">
        <v>0</v>
      </c>
      <c r="DM440" s="47">
        <v>0</v>
      </c>
      <c r="DN440" s="47">
        <v>0</v>
      </c>
      <c r="DO440" s="47">
        <v>0</v>
      </c>
      <c r="DP440" s="47">
        <v>0</v>
      </c>
      <c r="DQ440" s="47">
        <v>0</v>
      </c>
      <c r="DR440" s="47">
        <v>0</v>
      </c>
      <c r="DS440" s="47">
        <v>0</v>
      </c>
      <c r="DT440" s="47">
        <v>0</v>
      </c>
      <c r="DU440" s="47">
        <v>0</v>
      </c>
      <c r="DV440" s="47">
        <v>0</v>
      </c>
      <c r="DW440" s="47">
        <v>0</v>
      </c>
      <c r="DX440" s="47">
        <v>0</v>
      </c>
      <c r="DY440" s="47">
        <v>0</v>
      </c>
      <c r="DZ440" s="47">
        <v>0</v>
      </c>
      <c r="EA440" s="47">
        <v>0</v>
      </c>
      <c r="EB440" s="47"/>
      <c r="EC440" s="47">
        <v>1</v>
      </c>
      <c r="ZZ440" t="s">
        <v>2472</v>
      </c>
    </row>
    <row r="441" spans="1:702" x14ac:dyDescent="0.25">
      <c r="A441" s="47" t="s">
        <v>2098</v>
      </c>
      <c r="B441" s="47" t="s">
        <v>153</v>
      </c>
      <c r="C441" s="47" t="s">
        <v>157</v>
      </c>
      <c r="D441" s="47" t="s">
        <v>2925</v>
      </c>
      <c r="E441" s="47" t="s">
        <v>2099</v>
      </c>
      <c r="F441" s="47" t="s">
        <v>2100</v>
      </c>
      <c r="G441" s="47" t="s">
        <v>2101</v>
      </c>
      <c r="H441" s="47" t="s">
        <v>698</v>
      </c>
      <c r="I441" s="47" t="s">
        <v>705</v>
      </c>
      <c r="J441" s="47" t="str">
        <f>=IFERROR(VLOOKUP(H441&amp;I441,Table_Fonctions!A:G,6,FALSE),"")</f>
        <v>0</v>
      </c>
      <c r="K441" s="47" t="s">
        <v>2607</v>
      </c>
      <c r="L441" s="47" t="str">
        <f>=IFERROR(VLOOKUP(H441&amp;I441,Table_Fonctions!A:G,7,FALSE),K441)</f>
        <v/>
      </c>
      <c r="M441" s="47" t="str">
        <f>=IF(OR(LEFT(D441, 3)="TJ ", LEFT(D441, 4)="CPH "), "OUI", "NON")</f>
        <v/>
      </c>
      <c r="N441" s="47" t="s">
        <v>1053</v>
      </c>
      <c r="O441" s="47"/>
      <c r="P441" s="47">
        <v>0.8</v>
      </c>
      <c r="Q441" s="47">
        <v>0</v>
      </c>
      <c r="R441" s="47">
        <v>0.8</v>
      </c>
      <c r="S441" s="47">
        <f>=ROUND(BQ441-(BR441+BS441),3)</f>
      </c>
      <c r="T441" s="47">
        <f>=ROUND(CK441-(CL441+CM441+CN441+CO441+CP441),3)</f>
      </c>
      <c r="U441" s="47">
        <v>0</v>
      </c>
      <c r="V441" s="47">
        <v>0</v>
      </c>
      <c r="W441" s="47">
        <v>0</v>
      </c>
      <c r="X441" s="47">
        <v>0</v>
      </c>
      <c r="Y441" s="47">
        <v>0</v>
      </c>
      <c r="Z441" s="47">
        <v>0</v>
      </c>
      <c r="AA441" s="47">
        <v>0</v>
      </c>
      <c r="AB441" s="47">
        <v>0</v>
      </c>
      <c r="AC441" s="47">
        <v>0</v>
      </c>
      <c r="AD441" s="47">
        <v>0</v>
      </c>
      <c r="AE441" s="47">
        <v>0</v>
      </c>
      <c r="AF441" s="47">
        <v>0</v>
      </c>
      <c r="AG441" s="47">
        <v>0</v>
      </c>
      <c r="AH441" s="47">
        <v>0</v>
      </c>
      <c r="AI441" s="47">
        <v>0</v>
      </c>
      <c r="AJ441" s="47">
        <v>0</v>
      </c>
      <c r="AK441" s="47">
        <v>0</v>
      </c>
      <c r="AL441" s="47">
        <v>0</v>
      </c>
      <c r="AM441" s="47">
        <v>0</v>
      </c>
      <c r="AN441" s="47">
        <v>0</v>
      </c>
      <c r="AO441" s="47">
        <v>0</v>
      </c>
      <c r="AP441" s="47">
        <v>0</v>
      </c>
      <c r="AQ441" s="47">
        <v>0</v>
      </c>
      <c r="AR441" s="47">
        <v>0</v>
      </c>
      <c r="AS441" s="47">
        <v>0</v>
      </c>
      <c r="AT441" s="47">
        <v>0</v>
      </c>
      <c r="AU441" s="47">
        <v>0</v>
      </c>
      <c r="AV441" s="47">
        <v>0</v>
      </c>
      <c r="AW441" s="47">
        <v>0</v>
      </c>
      <c r="AX441" s="47">
        <v>0</v>
      </c>
      <c r="AY441" s="47">
        <v>0</v>
      </c>
      <c r="AZ441" s="47">
        <v>0</v>
      </c>
      <c r="BA441" s="47">
        <v>0</v>
      </c>
      <c r="BB441" s="47">
        <v>0</v>
      </c>
      <c r="BC441" s="47">
        <v>0</v>
      </c>
      <c r="BD441" s="47">
        <v>0</v>
      </c>
      <c r="BE441" s="47">
        <v>0</v>
      </c>
      <c r="BF441" s="47">
        <v>0</v>
      </c>
      <c r="BG441" s="47">
        <v>0</v>
      </c>
      <c r="BH441" s="47">
        <v>0</v>
      </c>
      <c r="BI441" s="47">
        <v>0</v>
      </c>
      <c r="BJ441" s="47">
        <v>0</v>
      </c>
      <c r="BK441" s="47">
        <v>0</v>
      </c>
      <c r="BL441" s="47">
        <v>0</v>
      </c>
      <c r="BM441" s="47">
        <v>0</v>
      </c>
      <c r="BN441" s="47">
        <v>0</v>
      </c>
      <c r="BO441" s="47">
        <v>0</v>
      </c>
      <c r="BP441" s="47">
        <v>0</v>
      </c>
      <c r="BQ441" s="47">
        <v>0</v>
      </c>
      <c r="BR441" s="47">
        <v>0</v>
      </c>
      <c r="BS441" s="47">
        <v>0</v>
      </c>
      <c r="BT441" s="47">
        <v>0</v>
      </c>
      <c r="BU441" s="47">
        <v>0</v>
      </c>
      <c r="BV441" s="47">
        <v>0</v>
      </c>
      <c r="BW441" s="47">
        <v>0</v>
      </c>
      <c r="BX441" s="47">
        <v>0</v>
      </c>
      <c r="BY441" s="47">
        <v>0</v>
      </c>
      <c r="BZ441" s="47">
        <v>0</v>
      </c>
      <c r="CA441" s="47">
        <v>0</v>
      </c>
      <c r="CB441" s="47">
        <v>0</v>
      </c>
      <c r="CC441" s="47">
        <v>0</v>
      </c>
      <c r="CD441" s="47">
        <v>0</v>
      </c>
      <c r="CE441" s="47">
        <v>0</v>
      </c>
      <c r="CF441" s="47">
        <v>0</v>
      </c>
      <c r="CG441" s="47">
        <v>0</v>
      </c>
      <c r="CH441" s="47">
        <v>0</v>
      </c>
      <c r="CI441" s="47">
        <v>0</v>
      </c>
      <c r="CJ441" s="47">
        <v>0</v>
      </c>
      <c r="CK441" s="47">
        <v>0</v>
      </c>
      <c r="CL441" s="47">
        <v>0</v>
      </c>
      <c r="CM441" s="47">
        <v>0</v>
      </c>
      <c r="CN441" s="47">
        <v>0</v>
      </c>
      <c r="CO441" s="47">
        <v>0</v>
      </c>
      <c r="CP441" s="47">
        <v>0</v>
      </c>
      <c r="CQ441" s="47">
        <v>0</v>
      </c>
      <c r="CR441" s="47">
        <v>0</v>
      </c>
      <c r="CS441" s="47">
        <v>0</v>
      </c>
      <c r="CT441" s="47">
        <v>0</v>
      </c>
      <c r="CU441" s="47">
        <v>0</v>
      </c>
      <c r="CV441" s="47">
        <v>0</v>
      </c>
      <c r="CW441" s="47">
        <v>0</v>
      </c>
      <c r="CX441" s="47">
        <v>0</v>
      </c>
      <c r="CY441" s="47">
        <v>0</v>
      </c>
      <c r="CZ441" s="47">
        <v>0</v>
      </c>
      <c r="DA441" s="47">
        <v>0</v>
      </c>
      <c r="DB441" s="47">
        <v>0</v>
      </c>
      <c r="DC441" s="47">
        <v>0</v>
      </c>
      <c r="DD441" s="47">
        <v>0</v>
      </c>
      <c r="DE441" s="47">
        <v>0</v>
      </c>
      <c r="DF441" s="47">
        <v>0</v>
      </c>
      <c r="DG441" s="47">
        <v>0</v>
      </c>
      <c r="DH441" s="47">
        <v>0</v>
      </c>
      <c r="DI441" s="47">
        <v>0</v>
      </c>
      <c r="DJ441" s="47">
        <v>0</v>
      </c>
      <c r="DK441" s="47">
        <v>0</v>
      </c>
      <c r="DL441" s="47">
        <v>0</v>
      </c>
      <c r="DM441" s="47">
        <v>0</v>
      </c>
      <c r="DN441" s="47">
        <v>0</v>
      </c>
      <c r="DO441" s="47">
        <v>0</v>
      </c>
      <c r="DP441" s="47">
        <v>0</v>
      </c>
      <c r="DQ441" s="47">
        <v>0</v>
      </c>
      <c r="DR441" s="47">
        <v>0</v>
      </c>
      <c r="DS441" s="47">
        <v>0</v>
      </c>
      <c r="DT441" s="47">
        <v>0</v>
      </c>
      <c r="DU441" s="47">
        <v>0</v>
      </c>
      <c r="DV441" s="47">
        <v>0</v>
      </c>
      <c r="DW441" s="47">
        <v>0</v>
      </c>
      <c r="DX441" s="47">
        <v>0</v>
      </c>
      <c r="DY441" s="47">
        <v>0</v>
      </c>
      <c r="DZ441" s="47">
        <v>0</v>
      </c>
      <c r="EA441" s="47">
        <v>0</v>
      </c>
      <c r="EB441" s="47"/>
      <c r="EC441" s="47">
        <v>0.8</v>
      </c>
      <c r="ZZ441" t="s">
        <v>2472</v>
      </c>
    </row>
    <row r="442" spans="1:702" x14ac:dyDescent="0.25">
      <c r="A442" s="47" t="s">
        <v>2102</v>
      </c>
      <c r="B442" s="47" t="s">
        <v>153</v>
      </c>
      <c r="C442" s="47" t="s">
        <v>157</v>
      </c>
      <c r="D442" s="47" t="s">
        <v>2926</v>
      </c>
      <c r="E442" s="47" t="s">
        <v>2103</v>
      </c>
      <c r="F442" s="47" t="s">
        <v>2104</v>
      </c>
      <c r="G442" s="47" t="s">
        <v>2105</v>
      </c>
      <c r="H442" s="47" t="s">
        <v>698</v>
      </c>
      <c r="I442" s="47" t="s">
        <v>727</v>
      </c>
      <c r="J442" s="47" t="str">
        <f>=IFERROR(VLOOKUP(H442&amp;I442,Table_Fonctions!A:G,6,FALSE),"")</f>
        <v>0</v>
      </c>
      <c r="K442" s="47" t="s">
        <v>2607</v>
      </c>
      <c r="L442" s="47" t="str">
        <f>=IFERROR(VLOOKUP(H442&amp;I442,Table_Fonctions!A:G,7,FALSE),K442)</f>
        <v/>
      </c>
      <c r="M442" s="47" t="str">
        <f>=IF(OR(LEFT(D442, 3)="TJ ", LEFT(D442, 4)="CPH "), "OUI", "NON")</f>
        <v/>
      </c>
      <c r="N442" s="47" t="s">
        <v>1053</v>
      </c>
      <c r="O442" s="47"/>
      <c r="P442" s="47">
        <v>0.8</v>
      </c>
      <c r="Q442" s="47">
        <v>0.8</v>
      </c>
      <c r="R442" s="47">
        <v>0</v>
      </c>
      <c r="S442" s="47">
        <f>=ROUND(BQ442-(BR442+BS442),3)</f>
      </c>
      <c r="T442" s="47">
        <f>=ROUND(CK442-(CL442+CM442+CN442+CO442+CP442),3)</f>
      </c>
      <c r="U442" s="47">
        <v>0</v>
      </c>
      <c r="V442" s="47">
        <v>0</v>
      </c>
      <c r="W442" s="47">
        <v>0</v>
      </c>
      <c r="X442" s="47">
        <v>0</v>
      </c>
      <c r="Y442" s="47">
        <v>0</v>
      </c>
      <c r="Z442" s="47">
        <v>0</v>
      </c>
      <c r="AA442" s="47">
        <v>0</v>
      </c>
      <c r="AB442" s="47">
        <v>0</v>
      </c>
      <c r="AC442" s="47">
        <v>0</v>
      </c>
      <c r="AD442" s="47">
        <v>0</v>
      </c>
      <c r="AE442" s="47">
        <v>0</v>
      </c>
      <c r="AF442" s="47">
        <v>0</v>
      </c>
      <c r="AG442" s="47">
        <v>0</v>
      </c>
      <c r="AH442" s="47">
        <v>0</v>
      </c>
      <c r="AI442" s="47">
        <v>0</v>
      </c>
      <c r="AJ442" s="47">
        <v>0</v>
      </c>
      <c r="AK442" s="47">
        <v>0</v>
      </c>
      <c r="AL442" s="47">
        <v>0</v>
      </c>
      <c r="AM442" s="47">
        <v>0</v>
      </c>
      <c r="AN442" s="47">
        <v>0</v>
      </c>
      <c r="AO442" s="47">
        <v>0</v>
      </c>
      <c r="AP442" s="47">
        <v>0</v>
      </c>
      <c r="AQ442" s="47">
        <v>0</v>
      </c>
      <c r="AR442" s="47">
        <v>0</v>
      </c>
      <c r="AS442" s="47">
        <v>0</v>
      </c>
      <c r="AT442" s="47">
        <v>0</v>
      </c>
      <c r="AU442" s="47">
        <v>0</v>
      </c>
      <c r="AV442" s="47">
        <v>0</v>
      </c>
      <c r="AW442" s="47">
        <v>0</v>
      </c>
      <c r="AX442" s="47">
        <v>0</v>
      </c>
      <c r="AY442" s="47">
        <v>0</v>
      </c>
      <c r="AZ442" s="47">
        <v>0</v>
      </c>
      <c r="BA442" s="47">
        <v>0</v>
      </c>
      <c r="BB442" s="47">
        <v>0</v>
      </c>
      <c r="BC442" s="47">
        <v>0</v>
      </c>
      <c r="BD442" s="47">
        <v>0</v>
      </c>
      <c r="BE442" s="47">
        <v>0</v>
      </c>
      <c r="BF442" s="47">
        <v>0</v>
      </c>
      <c r="BG442" s="47">
        <v>0</v>
      </c>
      <c r="BH442" s="47">
        <v>0</v>
      </c>
      <c r="BI442" s="47">
        <v>0</v>
      </c>
      <c r="BJ442" s="47">
        <v>0</v>
      </c>
      <c r="BK442" s="47">
        <v>0</v>
      </c>
      <c r="BL442" s="47">
        <v>0</v>
      </c>
      <c r="BM442" s="47">
        <v>0</v>
      </c>
      <c r="BN442" s="47">
        <v>0</v>
      </c>
      <c r="BO442" s="47">
        <v>0</v>
      </c>
      <c r="BP442" s="47">
        <v>0</v>
      </c>
      <c r="BQ442" s="47">
        <v>0</v>
      </c>
      <c r="BR442" s="47">
        <v>0</v>
      </c>
      <c r="BS442" s="47">
        <v>0</v>
      </c>
      <c r="BT442" s="47">
        <v>0</v>
      </c>
      <c r="BU442" s="47">
        <v>0</v>
      </c>
      <c r="BV442" s="47">
        <v>0</v>
      </c>
      <c r="BW442" s="47">
        <v>0</v>
      </c>
      <c r="BX442" s="47">
        <v>0</v>
      </c>
      <c r="BY442" s="47">
        <v>0</v>
      </c>
      <c r="BZ442" s="47">
        <v>0</v>
      </c>
      <c r="CA442" s="47">
        <v>0</v>
      </c>
      <c r="CB442" s="47">
        <v>0</v>
      </c>
      <c r="CC442" s="47">
        <v>0</v>
      </c>
      <c r="CD442" s="47">
        <v>0</v>
      </c>
      <c r="CE442" s="47">
        <v>0</v>
      </c>
      <c r="CF442" s="47">
        <v>0</v>
      </c>
      <c r="CG442" s="47">
        <v>0</v>
      </c>
      <c r="CH442" s="47">
        <v>0</v>
      </c>
      <c r="CI442" s="47">
        <v>0</v>
      </c>
      <c r="CJ442" s="47">
        <v>0</v>
      </c>
      <c r="CK442" s="47">
        <v>0</v>
      </c>
      <c r="CL442" s="47">
        <v>0</v>
      </c>
      <c r="CM442" s="47">
        <v>0</v>
      </c>
      <c r="CN442" s="47">
        <v>0</v>
      </c>
      <c r="CO442" s="47">
        <v>0</v>
      </c>
      <c r="CP442" s="47">
        <v>0</v>
      </c>
      <c r="CQ442" s="47">
        <v>0</v>
      </c>
      <c r="CR442" s="47">
        <v>0</v>
      </c>
      <c r="CS442" s="47">
        <v>0</v>
      </c>
      <c r="CT442" s="47">
        <v>0</v>
      </c>
      <c r="CU442" s="47">
        <v>0</v>
      </c>
      <c r="CV442" s="47">
        <v>0</v>
      </c>
      <c r="CW442" s="47">
        <v>0</v>
      </c>
      <c r="CX442" s="47">
        <v>0</v>
      </c>
      <c r="CY442" s="47">
        <v>0.8</v>
      </c>
      <c r="CZ442" s="47">
        <v>0</v>
      </c>
      <c r="DA442" s="47">
        <v>0</v>
      </c>
      <c r="DB442" s="47">
        <v>0</v>
      </c>
      <c r="DC442" s="47">
        <v>0</v>
      </c>
      <c r="DD442" s="47">
        <v>0</v>
      </c>
      <c r="DE442" s="47">
        <v>0</v>
      </c>
      <c r="DF442" s="47">
        <v>0</v>
      </c>
      <c r="DG442" s="47">
        <v>0</v>
      </c>
      <c r="DH442" s="47">
        <v>0</v>
      </c>
      <c r="DI442" s="47">
        <v>0</v>
      </c>
      <c r="DJ442" s="47">
        <v>0</v>
      </c>
      <c r="DK442" s="47">
        <v>0</v>
      </c>
      <c r="DL442" s="47">
        <v>0</v>
      </c>
      <c r="DM442" s="47">
        <v>0</v>
      </c>
      <c r="DN442" s="47">
        <v>0</v>
      </c>
      <c r="DO442" s="47">
        <v>0</v>
      </c>
      <c r="DP442" s="47">
        <v>0</v>
      </c>
      <c r="DQ442" s="47">
        <v>0</v>
      </c>
      <c r="DR442" s="47">
        <v>0</v>
      </c>
      <c r="DS442" s="47">
        <v>0</v>
      </c>
      <c r="DT442" s="47">
        <v>0</v>
      </c>
      <c r="DU442" s="47">
        <v>0</v>
      </c>
      <c r="DV442" s="47">
        <v>0</v>
      </c>
      <c r="DW442" s="47">
        <v>0</v>
      </c>
      <c r="DX442" s="47">
        <v>0</v>
      </c>
      <c r="DY442" s="47">
        <v>0</v>
      </c>
      <c r="DZ442" s="47">
        <v>0</v>
      </c>
      <c r="EA442" s="47">
        <v>0</v>
      </c>
      <c r="EB442" s="47"/>
      <c r="EC442" s="47">
        <v>0.8</v>
      </c>
      <c r="ZZ442" t="s">
        <v>2472</v>
      </c>
    </row>
    <row r="443" spans="1:702" x14ac:dyDescent="0.25">
      <c r="A443" s="47" t="s">
        <v>2106</v>
      </c>
      <c r="B443" s="47" t="s">
        <v>153</v>
      </c>
      <c r="C443" s="47" t="s">
        <v>157</v>
      </c>
      <c r="D443" s="47" t="s">
        <v>2927</v>
      </c>
      <c r="E443" s="47" t="s">
        <v>2107</v>
      </c>
      <c r="F443" s="47" t="s">
        <v>2108</v>
      </c>
      <c r="G443" s="47" t="s">
        <v>2109</v>
      </c>
      <c r="H443" s="47" t="s">
        <v>698</v>
      </c>
      <c r="I443" s="47" t="s">
        <v>727</v>
      </c>
      <c r="J443" s="47" t="str">
        <f>=IFERROR(VLOOKUP(H443&amp;I443,Table_Fonctions!A:G,6,FALSE),"")</f>
        <v>0</v>
      </c>
      <c r="K443" s="47" t="s">
        <v>2607</v>
      </c>
      <c r="L443" s="47" t="str">
        <f>=IFERROR(VLOOKUP(H443&amp;I443,Table_Fonctions!A:G,7,FALSE),K443)</f>
        <v/>
      </c>
      <c r="M443" s="47" t="str">
        <f>=IF(OR(LEFT(D443, 3)="TJ ", LEFT(D443, 4)="CPH "), "OUI", "NON")</f>
        <v/>
      </c>
      <c r="N443" s="47" t="s">
        <v>2110</v>
      </c>
      <c r="O443" s="47"/>
      <c r="P443" s="47">
        <v>1</v>
      </c>
      <c r="Q443" s="47">
        <v>1</v>
      </c>
      <c r="R443" s="47">
        <v>0</v>
      </c>
      <c r="S443" s="47">
        <f>=ROUND(BQ443-(BR443+BS443),3)</f>
      </c>
      <c r="T443" s="47">
        <f>=ROUND(CK443-(CL443+CM443+CN443+CO443+CP443),3)</f>
      </c>
      <c r="U443" s="47">
        <v>0</v>
      </c>
      <c r="V443" s="47">
        <v>0</v>
      </c>
      <c r="W443" s="47">
        <v>0</v>
      </c>
      <c r="X443" s="47">
        <v>0</v>
      </c>
      <c r="Y443" s="47">
        <v>0</v>
      </c>
      <c r="Z443" s="47">
        <v>0</v>
      </c>
      <c r="AA443" s="47">
        <v>0</v>
      </c>
      <c r="AB443" s="47">
        <v>0</v>
      </c>
      <c r="AC443" s="47">
        <v>0</v>
      </c>
      <c r="AD443" s="47">
        <v>0</v>
      </c>
      <c r="AE443" s="47">
        <v>0</v>
      </c>
      <c r="AF443" s="47">
        <v>0</v>
      </c>
      <c r="AG443" s="47">
        <v>0</v>
      </c>
      <c r="AH443" s="47">
        <v>0</v>
      </c>
      <c r="AI443" s="47">
        <v>0</v>
      </c>
      <c r="AJ443" s="47">
        <v>0</v>
      </c>
      <c r="AK443" s="47">
        <v>0</v>
      </c>
      <c r="AL443" s="47">
        <v>0</v>
      </c>
      <c r="AM443" s="47">
        <v>0</v>
      </c>
      <c r="AN443" s="47">
        <v>0</v>
      </c>
      <c r="AO443" s="47">
        <v>0</v>
      </c>
      <c r="AP443" s="47">
        <v>0</v>
      </c>
      <c r="AQ443" s="47">
        <v>0</v>
      </c>
      <c r="AR443" s="47">
        <v>0</v>
      </c>
      <c r="AS443" s="47">
        <v>0</v>
      </c>
      <c r="AT443" s="47">
        <v>0</v>
      </c>
      <c r="AU443" s="47">
        <v>0</v>
      </c>
      <c r="AV443" s="47">
        <v>0</v>
      </c>
      <c r="AW443" s="47">
        <v>0</v>
      </c>
      <c r="AX443" s="47">
        <v>0</v>
      </c>
      <c r="AY443" s="47">
        <v>0</v>
      </c>
      <c r="AZ443" s="47">
        <v>0</v>
      </c>
      <c r="BA443" s="47">
        <v>0</v>
      </c>
      <c r="BB443" s="47">
        <v>0</v>
      </c>
      <c r="BC443" s="47">
        <v>0</v>
      </c>
      <c r="BD443" s="47">
        <v>0</v>
      </c>
      <c r="BE443" s="47">
        <v>0</v>
      </c>
      <c r="BF443" s="47">
        <v>0</v>
      </c>
      <c r="BG443" s="47">
        <v>0</v>
      </c>
      <c r="BH443" s="47">
        <v>0</v>
      </c>
      <c r="BI443" s="47">
        <v>0</v>
      </c>
      <c r="BJ443" s="47">
        <v>0</v>
      </c>
      <c r="BK443" s="47">
        <v>0</v>
      </c>
      <c r="BL443" s="47">
        <v>0</v>
      </c>
      <c r="BM443" s="47">
        <v>0</v>
      </c>
      <c r="BN443" s="47">
        <v>0</v>
      </c>
      <c r="BO443" s="47">
        <v>0</v>
      </c>
      <c r="BP443" s="47">
        <v>0</v>
      </c>
      <c r="BQ443" s="47">
        <v>1</v>
      </c>
      <c r="BR443" s="47">
        <v>0</v>
      </c>
      <c r="BS443" s="47">
        <v>0</v>
      </c>
      <c r="BT443" s="47">
        <v>0</v>
      </c>
      <c r="BU443" s="47">
        <v>0</v>
      </c>
      <c r="BV443" s="47">
        <v>0</v>
      </c>
      <c r="BW443" s="47">
        <v>0</v>
      </c>
      <c r="BX443" s="47">
        <v>0</v>
      </c>
      <c r="BY443" s="47">
        <v>0</v>
      </c>
      <c r="BZ443" s="47">
        <v>0</v>
      </c>
      <c r="CA443" s="47">
        <v>0</v>
      </c>
      <c r="CB443" s="47">
        <v>0</v>
      </c>
      <c r="CC443" s="47">
        <v>0</v>
      </c>
      <c r="CD443" s="47">
        <v>0</v>
      </c>
      <c r="CE443" s="47">
        <v>0</v>
      </c>
      <c r="CF443" s="47">
        <v>0</v>
      </c>
      <c r="CG443" s="47">
        <v>0</v>
      </c>
      <c r="CH443" s="47">
        <v>0</v>
      </c>
      <c r="CI443" s="47">
        <v>0</v>
      </c>
      <c r="CJ443" s="47">
        <v>0</v>
      </c>
      <c r="CK443" s="47">
        <v>0</v>
      </c>
      <c r="CL443" s="47">
        <v>0</v>
      </c>
      <c r="CM443" s="47">
        <v>0</v>
      </c>
      <c r="CN443" s="47">
        <v>0</v>
      </c>
      <c r="CO443" s="47">
        <v>0</v>
      </c>
      <c r="CP443" s="47">
        <v>0</v>
      </c>
      <c r="CQ443" s="47">
        <v>0</v>
      </c>
      <c r="CR443" s="47">
        <v>0</v>
      </c>
      <c r="CS443" s="47">
        <v>0</v>
      </c>
      <c r="CT443" s="47">
        <v>0</v>
      </c>
      <c r="CU443" s="47">
        <v>0</v>
      </c>
      <c r="CV443" s="47">
        <v>0</v>
      </c>
      <c r="CW443" s="47">
        <v>0</v>
      </c>
      <c r="CX443" s="47">
        <v>0</v>
      </c>
      <c r="CY443" s="47">
        <v>0</v>
      </c>
      <c r="CZ443" s="47">
        <v>0</v>
      </c>
      <c r="DA443" s="47">
        <v>0</v>
      </c>
      <c r="DB443" s="47">
        <v>0</v>
      </c>
      <c r="DC443" s="47">
        <v>0</v>
      </c>
      <c r="DD443" s="47">
        <v>0</v>
      </c>
      <c r="DE443" s="47">
        <v>0</v>
      </c>
      <c r="DF443" s="47">
        <v>0</v>
      </c>
      <c r="DG443" s="47">
        <v>0</v>
      </c>
      <c r="DH443" s="47">
        <v>0</v>
      </c>
      <c r="DI443" s="47">
        <v>0</v>
      </c>
      <c r="DJ443" s="47">
        <v>0</v>
      </c>
      <c r="DK443" s="47">
        <v>0</v>
      </c>
      <c r="DL443" s="47">
        <v>0</v>
      </c>
      <c r="DM443" s="47">
        <v>0</v>
      </c>
      <c r="DN443" s="47">
        <v>0</v>
      </c>
      <c r="DO443" s="47">
        <v>0</v>
      </c>
      <c r="DP443" s="47">
        <v>0</v>
      </c>
      <c r="DQ443" s="47">
        <v>0</v>
      </c>
      <c r="DR443" s="47">
        <v>0</v>
      </c>
      <c r="DS443" s="47">
        <v>0</v>
      </c>
      <c r="DT443" s="47">
        <v>0</v>
      </c>
      <c r="DU443" s="47">
        <v>0</v>
      </c>
      <c r="DV443" s="47">
        <v>0</v>
      </c>
      <c r="DW443" s="47">
        <v>0</v>
      </c>
      <c r="DX443" s="47">
        <v>0</v>
      </c>
      <c r="DY443" s="47">
        <v>0</v>
      </c>
      <c r="DZ443" s="47">
        <v>0</v>
      </c>
      <c r="EA443" s="47">
        <v>0</v>
      </c>
      <c r="EB443" s="47"/>
      <c r="EC443" s="47">
        <v>1</v>
      </c>
      <c r="ZZ443" t="s">
        <v>2472</v>
      </c>
    </row>
    <row r="444" spans="1:702" x14ac:dyDescent="0.25">
      <c r="A444" s="47" t="s">
        <v>2111</v>
      </c>
      <c r="B444" s="47" t="s">
        <v>153</v>
      </c>
      <c r="C444" s="47" t="s">
        <v>157</v>
      </c>
      <c r="D444" s="47" t="s">
        <v>2928</v>
      </c>
      <c r="E444" s="47" t="s">
        <v>2112</v>
      </c>
      <c r="F444" s="47" t="s">
        <v>2113</v>
      </c>
      <c r="G444" s="47" t="s">
        <v>2114</v>
      </c>
      <c r="H444" s="47" t="s">
        <v>698</v>
      </c>
      <c r="I444" s="47" t="s">
        <v>727</v>
      </c>
      <c r="J444" s="47" t="str">
        <f>=IFERROR(VLOOKUP(H444&amp;I444,Table_Fonctions!A:G,6,FALSE),"")</f>
        <v>0</v>
      </c>
      <c r="K444" s="47" t="s">
        <v>2607</v>
      </c>
      <c r="L444" s="47" t="str">
        <f>=IFERROR(VLOOKUP(H444&amp;I444,Table_Fonctions!A:G,7,FALSE),K444)</f>
        <v/>
      </c>
      <c r="M444" s="47" t="str">
        <f>=IF(OR(LEFT(D444, 3)="TJ ", LEFT(D444, 4)="CPH "), "OUI", "NON")</f>
        <v/>
      </c>
      <c r="N444" s="47" t="s">
        <v>728</v>
      </c>
      <c r="O444" s="47"/>
      <c r="P444" s="47">
        <v>0.8</v>
      </c>
      <c r="Q444" s="47">
        <v>0.8</v>
      </c>
      <c r="R444" s="47">
        <v>0</v>
      </c>
      <c r="S444" s="47">
        <f>=ROUND(BQ444-(BR444+BS444),3)</f>
      </c>
      <c r="T444" s="47">
        <f>=ROUND(CK444-(CL444+CM444+CN444+CO444+CP444),3)</f>
      </c>
      <c r="U444" s="47">
        <v>0</v>
      </c>
      <c r="V444" s="47">
        <v>0</v>
      </c>
      <c r="W444" s="47">
        <v>0</v>
      </c>
      <c r="X444" s="47">
        <v>0</v>
      </c>
      <c r="Y444" s="47">
        <v>0</v>
      </c>
      <c r="Z444" s="47">
        <v>0</v>
      </c>
      <c r="AA444" s="47">
        <v>0</v>
      </c>
      <c r="AB444" s="47">
        <v>0</v>
      </c>
      <c r="AC444" s="47">
        <v>0</v>
      </c>
      <c r="AD444" s="47">
        <v>0</v>
      </c>
      <c r="AE444" s="47">
        <v>0</v>
      </c>
      <c r="AF444" s="47">
        <v>0</v>
      </c>
      <c r="AG444" s="47">
        <v>0</v>
      </c>
      <c r="AH444" s="47">
        <v>0</v>
      </c>
      <c r="AI444" s="47">
        <v>0</v>
      </c>
      <c r="AJ444" s="47">
        <v>0</v>
      </c>
      <c r="AK444" s="47">
        <v>0</v>
      </c>
      <c r="AL444" s="47">
        <v>0</v>
      </c>
      <c r="AM444" s="47">
        <v>0</v>
      </c>
      <c r="AN444" s="47">
        <v>0</v>
      </c>
      <c r="AO444" s="47">
        <v>0</v>
      </c>
      <c r="AP444" s="47">
        <v>0</v>
      </c>
      <c r="AQ444" s="47">
        <v>0</v>
      </c>
      <c r="AR444" s="47">
        <v>0</v>
      </c>
      <c r="AS444" s="47">
        <v>0.8</v>
      </c>
      <c r="AT444" s="47">
        <v>0</v>
      </c>
      <c r="AU444" s="47">
        <v>0</v>
      </c>
      <c r="AV444" s="47">
        <v>0</v>
      </c>
      <c r="AW444" s="47">
        <v>0</v>
      </c>
      <c r="AX444" s="47">
        <v>0</v>
      </c>
      <c r="AY444" s="47">
        <v>0</v>
      </c>
      <c r="AZ444" s="47">
        <v>0</v>
      </c>
      <c r="BA444" s="47">
        <v>0</v>
      </c>
      <c r="BB444" s="47">
        <v>0</v>
      </c>
      <c r="BC444" s="47">
        <v>0</v>
      </c>
      <c r="BD444" s="47">
        <v>0</v>
      </c>
      <c r="BE444" s="47">
        <v>0</v>
      </c>
      <c r="BF444" s="47">
        <v>0</v>
      </c>
      <c r="BG444" s="47">
        <v>0</v>
      </c>
      <c r="BH444" s="47">
        <v>0</v>
      </c>
      <c r="BI444" s="47">
        <v>0</v>
      </c>
      <c r="BJ444" s="47">
        <v>0</v>
      </c>
      <c r="BK444" s="47">
        <v>0</v>
      </c>
      <c r="BL444" s="47">
        <v>0</v>
      </c>
      <c r="BM444" s="47">
        <v>0</v>
      </c>
      <c r="BN444" s="47">
        <v>0</v>
      </c>
      <c r="BO444" s="47">
        <v>0</v>
      </c>
      <c r="BP444" s="47">
        <v>0</v>
      </c>
      <c r="BQ444" s="47">
        <v>0</v>
      </c>
      <c r="BR444" s="47">
        <v>0</v>
      </c>
      <c r="BS444" s="47">
        <v>0</v>
      </c>
      <c r="BT444" s="47">
        <v>0</v>
      </c>
      <c r="BU444" s="47">
        <v>0</v>
      </c>
      <c r="BV444" s="47">
        <v>0</v>
      </c>
      <c r="BW444" s="47">
        <v>0</v>
      </c>
      <c r="BX444" s="47">
        <v>0</v>
      </c>
      <c r="BY444" s="47">
        <v>0</v>
      </c>
      <c r="BZ444" s="47">
        <v>0</v>
      </c>
      <c r="CA444" s="47">
        <v>0</v>
      </c>
      <c r="CB444" s="47">
        <v>0</v>
      </c>
      <c r="CC444" s="47">
        <v>0</v>
      </c>
      <c r="CD444" s="47">
        <v>0</v>
      </c>
      <c r="CE444" s="47">
        <v>0</v>
      </c>
      <c r="CF444" s="47">
        <v>0</v>
      </c>
      <c r="CG444" s="47">
        <v>0</v>
      </c>
      <c r="CH444" s="47">
        <v>0</v>
      </c>
      <c r="CI444" s="47">
        <v>0</v>
      </c>
      <c r="CJ444" s="47">
        <v>0</v>
      </c>
      <c r="CK444" s="47">
        <v>0</v>
      </c>
      <c r="CL444" s="47">
        <v>0</v>
      </c>
      <c r="CM444" s="47">
        <v>0</v>
      </c>
      <c r="CN444" s="47">
        <v>0</v>
      </c>
      <c r="CO444" s="47">
        <v>0</v>
      </c>
      <c r="CP444" s="47">
        <v>0</v>
      </c>
      <c r="CQ444" s="47">
        <v>0</v>
      </c>
      <c r="CR444" s="47">
        <v>0</v>
      </c>
      <c r="CS444" s="47">
        <v>0</v>
      </c>
      <c r="CT444" s="47">
        <v>0</v>
      </c>
      <c r="CU444" s="47">
        <v>0</v>
      </c>
      <c r="CV444" s="47">
        <v>0</v>
      </c>
      <c r="CW444" s="47">
        <v>0</v>
      </c>
      <c r="CX444" s="47">
        <v>0</v>
      </c>
      <c r="CY444" s="47">
        <v>0</v>
      </c>
      <c r="CZ444" s="47">
        <v>0</v>
      </c>
      <c r="DA444" s="47">
        <v>0</v>
      </c>
      <c r="DB444" s="47">
        <v>0</v>
      </c>
      <c r="DC444" s="47">
        <v>0</v>
      </c>
      <c r="DD444" s="47">
        <v>0</v>
      </c>
      <c r="DE444" s="47">
        <v>0</v>
      </c>
      <c r="DF444" s="47">
        <v>0</v>
      </c>
      <c r="DG444" s="47">
        <v>0</v>
      </c>
      <c r="DH444" s="47">
        <v>0</v>
      </c>
      <c r="DI444" s="47">
        <v>0</v>
      </c>
      <c r="DJ444" s="47">
        <v>0</v>
      </c>
      <c r="DK444" s="47">
        <v>0</v>
      </c>
      <c r="DL444" s="47">
        <v>0</v>
      </c>
      <c r="DM444" s="47">
        <v>0</v>
      </c>
      <c r="DN444" s="47">
        <v>0</v>
      </c>
      <c r="DO444" s="47">
        <v>0</v>
      </c>
      <c r="DP444" s="47">
        <v>0</v>
      </c>
      <c r="DQ444" s="47">
        <v>0</v>
      </c>
      <c r="DR444" s="47">
        <v>0</v>
      </c>
      <c r="DS444" s="47">
        <v>0</v>
      </c>
      <c r="DT444" s="47">
        <v>0</v>
      </c>
      <c r="DU444" s="47">
        <v>0</v>
      </c>
      <c r="DV444" s="47">
        <v>0</v>
      </c>
      <c r="DW444" s="47">
        <v>0</v>
      </c>
      <c r="DX444" s="47">
        <v>0</v>
      </c>
      <c r="DY444" s="47">
        <v>0</v>
      </c>
      <c r="DZ444" s="47">
        <v>0</v>
      </c>
      <c r="EA444" s="47">
        <v>0</v>
      </c>
      <c r="EB444" s="47"/>
      <c r="EC444" s="47">
        <v>0.8</v>
      </c>
      <c r="ZZ444" t="s">
        <v>2472</v>
      </c>
    </row>
    <row r="445" spans="1:702" x14ac:dyDescent="0.25">
      <c r="A445" s="47" t="s">
        <v>2115</v>
      </c>
      <c r="B445" s="47" t="s">
        <v>153</v>
      </c>
      <c r="C445" s="47" t="s">
        <v>157</v>
      </c>
      <c r="D445" s="47" t="s">
        <v>2929</v>
      </c>
      <c r="E445" s="47" t="s">
        <v>2116</v>
      </c>
      <c r="F445" s="47" t="s">
        <v>2117</v>
      </c>
      <c r="G445" s="47" t="s">
        <v>2118</v>
      </c>
      <c r="H445" s="47" t="s">
        <v>698</v>
      </c>
      <c r="I445" s="47" t="s">
        <v>727</v>
      </c>
      <c r="J445" s="47" t="str">
        <f>=IFERROR(VLOOKUP(H445&amp;I445,Table_Fonctions!A:G,6,FALSE),"")</f>
        <v>0</v>
      </c>
      <c r="K445" s="47" t="s">
        <v>2607</v>
      </c>
      <c r="L445" s="47" t="str">
        <f>=IFERROR(VLOOKUP(H445&amp;I445,Table_Fonctions!A:G,7,FALSE),K445)</f>
        <v/>
      </c>
      <c r="M445" s="47" t="str">
        <f>=IF(OR(LEFT(D445, 3)="TJ ", LEFT(D445, 4)="CPH "), "OUI", "NON")</f>
        <v/>
      </c>
      <c r="N445" s="47" t="s">
        <v>2119</v>
      </c>
      <c r="O445" s="47"/>
      <c r="P445" s="47">
        <v>1</v>
      </c>
      <c r="Q445" s="47">
        <v>1</v>
      </c>
      <c r="R445" s="47">
        <v>0</v>
      </c>
      <c r="S445" s="47">
        <f>=ROUND(BQ445-(BR445+BS445),3)</f>
      </c>
      <c r="T445" s="47">
        <f>=ROUND(CK445-(CL445+CM445+CN445+CO445+CP445),3)</f>
      </c>
      <c r="U445" s="47">
        <v>0</v>
      </c>
      <c r="V445" s="47">
        <v>0</v>
      </c>
      <c r="W445" s="47">
        <v>0</v>
      </c>
      <c r="X445" s="47">
        <v>0</v>
      </c>
      <c r="Y445" s="47">
        <v>0</v>
      </c>
      <c r="Z445" s="47">
        <v>0</v>
      </c>
      <c r="AA445" s="47">
        <v>0</v>
      </c>
      <c r="AB445" s="47">
        <v>0</v>
      </c>
      <c r="AC445" s="47">
        <v>0</v>
      </c>
      <c r="AD445" s="47">
        <v>0</v>
      </c>
      <c r="AE445" s="47">
        <v>0</v>
      </c>
      <c r="AF445" s="47">
        <v>0</v>
      </c>
      <c r="AG445" s="47">
        <v>0</v>
      </c>
      <c r="AH445" s="47">
        <v>0</v>
      </c>
      <c r="AI445" s="47">
        <v>0</v>
      </c>
      <c r="AJ445" s="47">
        <v>0</v>
      </c>
      <c r="AK445" s="47">
        <v>0</v>
      </c>
      <c r="AL445" s="47">
        <v>0</v>
      </c>
      <c r="AM445" s="47">
        <v>0</v>
      </c>
      <c r="AN445" s="47">
        <v>0</v>
      </c>
      <c r="AO445" s="47">
        <v>0</v>
      </c>
      <c r="AP445" s="47">
        <v>0</v>
      </c>
      <c r="AQ445" s="47">
        <v>0</v>
      </c>
      <c r="AR445" s="47">
        <v>0</v>
      </c>
      <c r="AS445" s="47">
        <v>1</v>
      </c>
      <c r="AT445" s="47">
        <v>0</v>
      </c>
      <c r="AU445" s="47">
        <v>0</v>
      </c>
      <c r="AV445" s="47">
        <v>0</v>
      </c>
      <c r="AW445" s="47">
        <v>0</v>
      </c>
      <c r="AX445" s="47">
        <v>0</v>
      </c>
      <c r="AY445" s="47">
        <v>0</v>
      </c>
      <c r="AZ445" s="47">
        <v>0</v>
      </c>
      <c r="BA445" s="47">
        <v>0</v>
      </c>
      <c r="BB445" s="47">
        <v>0</v>
      </c>
      <c r="BC445" s="47">
        <v>0</v>
      </c>
      <c r="BD445" s="47">
        <v>0</v>
      </c>
      <c r="BE445" s="47">
        <v>0</v>
      </c>
      <c r="BF445" s="47">
        <v>0</v>
      </c>
      <c r="BG445" s="47">
        <v>0</v>
      </c>
      <c r="BH445" s="47">
        <v>0</v>
      </c>
      <c r="BI445" s="47">
        <v>0</v>
      </c>
      <c r="BJ445" s="47">
        <v>0</v>
      </c>
      <c r="BK445" s="47">
        <v>0</v>
      </c>
      <c r="BL445" s="47">
        <v>0</v>
      </c>
      <c r="BM445" s="47">
        <v>0</v>
      </c>
      <c r="BN445" s="47">
        <v>0</v>
      </c>
      <c r="BO445" s="47">
        <v>0</v>
      </c>
      <c r="BP445" s="47">
        <v>0</v>
      </c>
      <c r="BQ445" s="47">
        <v>0</v>
      </c>
      <c r="BR445" s="47">
        <v>0</v>
      </c>
      <c r="BS445" s="47">
        <v>0</v>
      </c>
      <c r="BT445" s="47">
        <v>0</v>
      </c>
      <c r="BU445" s="47">
        <v>0</v>
      </c>
      <c r="BV445" s="47">
        <v>0</v>
      </c>
      <c r="BW445" s="47">
        <v>0</v>
      </c>
      <c r="BX445" s="47">
        <v>0</v>
      </c>
      <c r="BY445" s="47">
        <v>0</v>
      </c>
      <c r="BZ445" s="47">
        <v>0</v>
      </c>
      <c r="CA445" s="47">
        <v>0</v>
      </c>
      <c r="CB445" s="47">
        <v>0</v>
      </c>
      <c r="CC445" s="47">
        <v>0</v>
      </c>
      <c r="CD445" s="47">
        <v>0</v>
      </c>
      <c r="CE445" s="47">
        <v>0</v>
      </c>
      <c r="CF445" s="47">
        <v>0</v>
      </c>
      <c r="CG445" s="47">
        <v>0</v>
      </c>
      <c r="CH445" s="47">
        <v>0</v>
      </c>
      <c r="CI445" s="47">
        <v>0</v>
      </c>
      <c r="CJ445" s="47">
        <v>0</v>
      </c>
      <c r="CK445" s="47">
        <v>0</v>
      </c>
      <c r="CL445" s="47">
        <v>0</v>
      </c>
      <c r="CM445" s="47">
        <v>0</v>
      </c>
      <c r="CN445" s="47">
        <v>0</v>
      </c>
      <c r="CO445" s="47">
        <v>0</v>
      </c>
      <c r="CP445" s="47">
        <v>0</v>
      </c>
      <c r="CQ445" s="47">
        <v>0</v>
      </c>
      <c r="CR445" s="47">
        <v>0</v>
      </c>
      <c r="CS445" s="47">
        <v>0</v>
      </c>
      <c r="CT445" s="47">
        <v>0</v>
      </c>
      <c r="CU445" s="47">
        <v>0</v>
      </c>
      <c r="CV445" s="47">
        <v>0</v>
      </c>
      <c r="CW445" s="47">
        <v>0</v>
      </c>
      <c r="CX445" s="47">
        <v>0</v>
      </c>
      <c r="CY445" s="47">
        <v>0</v>
      </c>
      <c r="CZ445" s="47">
        <v>0</v>
      </c>
      <c r="DA445" s="47">
        <v>0</v>
      </c>
      <c r="DB445" s="47">
        <v>0</v>
      </c>
      <c r="DC445" s="47">
        <v>0</v>
      </c>
      <c r="DD445" s="47">
        <v>0</v>
      </c>
      <c r="DE445" s="47">
        <v>0</v>
      </c>
      <c r="DF445" s="47">
        <v>0</v>
      </c>
      <c r="DG445" s="47">
        <v>0</v>
      </c>
      <c r="DH445" s="47">
        <v>0</v>
      </c>
      <c r="DI445" s="47">
        <v>0</v>
      </c>
      <c r="DJ445" s="47">
        <v>0</v>
      </c>
      <c r="DK445" s="47">
        <v>0</v>
      </c>
      <c r="DL445" s="47">
        <v>0</v>
      </c>
      <c r="DM445" s="47">
        <v>0</v>
      </c>
      <c r="DN445" s="47">
        <v>0</v>
      </c>
      <c r="DO445" s="47">
        <v>0</v>
      </c>
      <c r="DP445" s="47">
        <v>0</v>
      </c>
      <c r="DQ445" s="47">
        <v>0</v>
      </c>
      <c r="DR445" s="47">
        <v>0</v>
      </c>
      <c r="DS445" s="47">
        <v>0</v>
      </c>
      <c r="DT445" s="47">
        <v>0</v>
      </c>
      <c r="DU445" s="47">
        <v>0</v>
      </c>
      <c r="DV445" s="47">
        <v>0</v>
      </c>
      <c r="DW445" s="47">
        <v>0</v>
      </c>
      <c r="DX445" s="47">
        <v>0</v>
      </c>
      <c r="DY445" s="47">
        <v>0</v>
      </c>
      <c r="DZ445" s="47">
        <v>0</v>
      </c>
      <c r="EA445" s="47">
        <v>0</v>
      </c>
      <c r="EB445" s="47"/>
      <c r="EC445" s="47">
        <v>1</v>
      </c>
      <c r="ZZ445" t="s">
        <v>2472</v>
      </c>
    </row>
    <row r="446" spans="1:702" x14ac:dyDescent="0.25">
      <c r="A446" s="47" t="s">
        <v>2120</v>
      </c>
      <c r="B446" s="47" t="s">
        <v>153</v>
      </c>
      <c r="C446" s="47" t="s">
        <v>157</v>
      </c>
      <c r="D446" s="47" t="s">
        <v>2930</v>
      </c>
      <c r="E446" s="47" t="s">
        <v>2121</v>
      </c>
      <c r="F446" s="47" t="s">
        <v>2122</v>
      </c>
      <c r="G446" s="47" t="s">
        <v>2123</v>
      </c>
      <c r="H446" s="47" t="s">
        <v>698</v>
      </c>
      <c r="I446" s="47" t="s">
        <v>705</v>
      </c>
      <c r="J446" s="47" t="str">
        <f>=IFERROR(VLOOKUP(H446&amp;I446,Table_Fonctions!A:G,6,FALSE),"")</f>
        <v>0</v>
      </c>
      <c r="K446" s="47" t="s">
        <v>2607</v>
      </c>
      <c r="L446" s="47" t="str">
        <f>=IFERROR(VLOOKUP(H446&amp;I446,Table_Fonctions!A:G,7,FALSE),K446)</f>
        <v/>
      </c>
      <c r="M446" s="47" t="str">
        <f>=IF(OR(LEFT(D446, 3)="TJ ", LEFT(D446, 4)="CPH "), "OUI", "NON")</f>
        <v/>
      </c>
      <c r="N446" s="47" t="s">
        <v>700</v>
      </c>
      <c r="O446" s="47"/>
      <c r="P446" s="47">
        <v>0.8</v>
      </c>
      <c r="Q446" s="47">
        <v>0</v>
      </c>
      <c r="R446" s="47">
        <v>0.8</v>
      </c>
      <c r="S446" s="47">
        <f>=ROUND(BQ446-(BR446+BS446),3)</f>
      </c>
      <c r="T446" s="47">
        <f>=ROUND(CK446-(CL446+CM446+CN446+CO446+CP446),3)</f>
      </c>
      <c r="U446" s="47">
        <v>0</v>
      </c>
      <c r="V446" s="47">
        <v>0</v>
      </c>
      <c r="W446" s="47">
        <v>0</v>
      </c>
      <c r="X446" s="47">
        <v>0</v>
      </c>
      <c r="Y446" s="47">
        <v>0</v>
      </c>
      <c r="Z446" s="47">
        <v>0</v>
      </c>
      <c r="AA446" s="47">
        <v>0</v>
      </c>
      <c r="AB446" s="47">
        <v>0</v>
      </c>
      <c r="AC446" s="47">
        <v>0</v>
      </c>
      <c r="AD446" s="47">
        <v>0</v>
      </c>
      <c r="AE446" s="47">
        <v>0</v>
      </c>
      <c r="AF446" s="47">
        <v>0</v>
      </c>
      <c r="AG446" s="47">
        <v>0</v>
      </c>
      <c r="AH446" s="47">
        <v>0</v>
      </c>
      <c r="AI446" s="47">
        <v>0</v>
      </c>
      <c r="AJ446" s="47">
        <v>0</v>
      </c>
      <c r="AK446" s="47">
        <v>0</v>
      </c>
      <c r="AL446" s="47">
        <v>0</v>
      </c>
      <c r="AM446" s="47">
        <v>0</v>
      </c>
      <c r="AN446" s="47">
        <v>0</v>
      </c>
      <c r="AO446" s="47">
        <v>0</v>
      </c>
      <c r="AP446" s="47">
        <v>0</v>
      </c>
      <c r="AQ446" s="47">
        <v>0</v>
      </c>
      <c r="AR446" s="47">
        <v>0</v>
      </c>
      <c r="AS446" s="47">
        <v>0</v>
      </c>
      <c r="AT446" s="47">
        <v>0</v>
      </c>
      <c r="AU446" s="47">
        <v>0</v>
      </c>
      <c r="AV446" s="47">
        <v>0</v>
      </c>
      <c r="AW446" s="47">
        <v>0</v>
      </c>
      <c r="AX446" s="47">
        <v>0</v>
      </c>
      <c r="AY446" s="47">
        <v>0</v>
      </c>
      <c r="AZ446" s="47">
        <v>0</v>
      </c>
      <c r="BA446" s="47">
        <v>0</v>
      </c>
      <c r="BB446" s="47">
        <v>0</v>
      </c>
      <c r="BC446" s="47">
        <v>0</v>
      </c>
      <c r="BD446" s="47">
        <v>0</v>
      </c>
      <c r="BE446" s="47">
        <v>0</v>
      </c>
      <c r="BF446" s="47">
        <v>0</v>
      </c>
      <c r="BG446" s="47">
        <v>0</v>
      </c>
      <c r="BH446" s="47">
        <v>0</v>
      </c>
      <c r="BI446" s="47">
        <v>0</v>
      </c>
      <c r="BJ446" s="47">
        <v>0</v>
      </c>
      <c r="BK446" s="47">
        <v>0</v>
      </c>
      <c r="BL446" s="47">
        <v>0</v>
      </c>
      <c r="BM446" s="47">
        <v>0</v>
      </c>
      <c r="BN446" s="47">
        <v>0</v>
      </c>
      <c r="BO446" s="47">
        <v>0</v>
      </c>
      <c r="BP446" s="47">
        <v>0</v>
      </c>
      <c r="BQ446" s="47">
        <v>0</v>
      </c>
      <c r="BR446" s="47">
        <v>0</v>
      </c>
      <c r="BS446" s="47">
        <v>0</v>
      </c>
      <c r="BT446" s="47">
        <v>0</v>
      </c>
      <c r="BU446" s="47">
        <v>0</v>
      </c>
      <c r="BV446" s="47">
        <v>0</v>
      </c>
      <c r="BW446" s="47">
        <v>0</v>
      </c>
      <c r="BX446" s="47">
        <v>0</v>
      </c>
      <c r="BY446" s="47">
        <v>0</v>
      </c>
      <c r="BZ446" s="47">
        <v>0</v>
      </c>
      <c r="CA446" s="47">
        <v>0</v>
      </c>
      <c r="CB446" s="47">
        <v>0</v>
      </c>
      <c r="CC446" s="47">
        <v>0</v>
      </c>
      <c r="CD446" s="47">
        <v>0</v>
      </c>
      <c r="CE446" s="47">
        <v>0</v>
      </c>
      <c r="CF446" s="47">
        <v>0</v>
      </c>
      <c r="CG446" s="47">
        <v>0</v>
      </c>
      <c r="CH446" s="47">
        <v>0</v>
      </c>
      <c r="CI446" s="47">
        <v>0</v>
      </c>
      <c r="CJ446" s="47">
        <v>0</v>
      </c>
      <c r="CK446" s="47">
        <v>0</v>
      </c>
      <c r="CL446" s="47">
        <v>0</v>
      </c>
      <c r="CM446" s="47">
        <v>0</v>
      </c>
      <c r="CN446" s="47">
        <v>0</v>
      </c>
      <c r="CO446" s="47">
        <v>0</v>
      </c>
      <c r="CP446" s="47">
        <v>0</v>
      </c>
      <c r="CQ446" s="47">
        <v>0</v>
      </c>
      <c r="CR446" s="47">
        <v>0</v>
      </c>
      <c r="CS446" s="47">
        <v>0</v>
      </c>
      <c r="CT446" s="47">
        <v>0</v>
      </c>
      <c r="CU446" s="47">
        <v>0</v>
      </c>
      <c r="CV446" s="47">
        <v>0</v>
      </c>
      <c r="CW446" s="47">
        <v>0</v>
      </c>
      <c r="CX446" s="47">
        <v>0</v>
      </c>
      <c r="CY446" s="47">
        <v>0</v>
      </c>
      <c r="CZ446" s="47">
        <v>0</v>
      </c>
      <c r="DA446" s="47">
        <v>0</v>
      </c>
      <c r="DB446" s="47">
        <v>0</v>
      </c>
      <c r="DC446" s="47">
        <v>0</v>
      </c>
      <c r="DD446" s="47">
        <v>0</v>
      </c>
      <c r="DE446" s="47">
        <v>0</v>
      </c>
      <c r="DF446" s="47">
        <v>0</v>
      </c>
      <c r="DG446" s="47">
        <v>0</v>
      </c>
      <c r="DH446" s="47">
        <v>0</v>
      </c>
      <c r="DI446" s="47">
        <v>0</v>
      </c>
      <c r="DJ446" s="47">
        <v>0</v>
      </c>
      <c r="DK446" s="47">
        <v>0</v>
      </c>
      <c r="DL446" s="47">
        <v>0</v>
      </c>
      <c r="DM446" s="47">
        <v>0</v>
      </c>
      <c r="DN446" s="47">
        <v>0</v>
      </c>
      <c r="DO446" s="47">
        <v>0</v>
      </c>
      <c r="DP446" s="47">
        <v>0</v>
      </c>
      <c r="DQ446" s="47">
        <v>0</v>
      </c>
      <c r="DR446" s="47">
        <v>0</v>
      </c>
      <c r="DS446" s="47">
        <v>0</v>
      </c>
      <c r="DT446" s="47">
        <v>0</v>
      </c>
      <c r="DU446" s="47">
        <v>0</v>
      </c>
      <c r="DV446" s="47">
        <v>0</v>
      </c>
      <c r="DW446" s="47">
        <v>0</v>
      </c>
      <c r="DX446" s="47">
        <v>0</v>
      </c>
      <c r="DY446" s="47">
        <v>0</v>
      </c>
      <c r="DZ446" s="47">
        <v>0</v>
      </c>
      <c r="EA446" s="47">
        <v>0</v>
      </c>
      <c r="EB446" s="47"/>
      <c r="EC446" s="47">
        <v>0.8</v>
      </c>
      <c r="ZZ446" t="s">
        <v>2472</v>
      </c>
    </row>
    <row r="447" spans="1:702" x14ac:dyDescent="0.25">
      <c r="A447" s="47" t="s">
        <v>2124</v>
      </c>
      <c r="B447" s="47" t="s">
        <v>153</v>
      </c>
      <c r="C447" s="47" t="s">
        <v>157</v>
      </c>
      <c r="D447" s="47" t="s">
        <v>2931</v>
      </c>
      <c r="E447" s="47" t="s">
        <v>2125</v>
      </c>
      <c r="F447" s="47" t="s">
        <v>2126</v>
      </c>
      <c r="G447" s="47" t="s">
        <v>2127</v>
      </c>
      <c r="H447" s="47" t="s">
        <v>698</v>
      </c>
      <c r="I447" s="47" t="s">
        <v>705</v>
      </c>
      <c r="J447" s="47" t="str">
        <f>=IFERROR(VLOOKUP(H447&amp;I447,Table_Fonctions!A:G,6,FALSE),"")</f>
        <v>0</v>
      </c>
      <c r="K447" s="47" t="s">
        <v>2607</v>
      </c>
      <c r="L447" s="47" t="str">
        <f>=IFERROR(VLOOKUP(H447&amp;I447,Table_Fonctions!A:G,7,FALSE),K447)</f>
        <v/>
      </c>
      <c r="M447" s="47" t="str">
        <f>=IF(OR(LEFT(D447, 3)="TJ ", LEFT(D447, 4)="CPH "), "OUI", "NON")</f>
        <v/>
      </c>
      <c r="N447" s="47" t="s">
        <v>2128</v>
      </c>
      <c r="O447" s="47"/>
      <c r="P447" s="47">
        <v>1</v>
      </c>
      <c r="Q447" s="47">
        <v>0</v>
      </c>
      <c r="R447" s="47">
        <v>1</v>
      </c>
      <c r="S447" s="47">
        <f>=ROUND(BQ447-(BR447+BS447),3)</f>
      </c>
      <c r="T447" s="47">
        <f>=ROUND(CK447-(CL447+CM447+CN447+CO447+CP447),3)</f>
      </c>
      <c r="U447" s="47">
        <v>0</v>
      </c>
      <c r="V447" s="47">
        <v>0</v>
      </c>
      <c r="W447" s="47">
        <v>0</v>
      </c>
      <c r="X447" s="47">
        <v>0</v>
      </c>
      <c r="Y447" s="47">
        <v>0</v>
      </c>
      <c r="Z447" s="47">
        <v>0</v>
      </c>
      <c r="AA447" s="47">
        <v>0</v>
      </c>
      <c r="AB447" s="47">
        <v>0</v>
      </c>
      <c r="AC447" s="47">
        <v>0</v>
      </c>
      <c r="AD447" s="47">
        <v>0</v>
      </c>
      <c r="AE447" s="47">
        <v>0</v>
      </c>
      <c r="AF447" s="47">
        <v>0</v>
      </c>
      <c r="AG447" s="47">
        <v>0</v>
      </c>
      <c r="AH447" s="47">
        <v>0</v>
      </c>
      <c r="AI447" s="47">
        <v>0</v>
      </c>
      <c r="AJ447" s="47">
        <v>0</v>
      </c>
      <c r="AK447" s="47">
        <v>0</v>
      </c>
      <c r="AL447" s="47">
        <v>0</v>
      </c>
      <c r="AM447" s="47">
        <v>0</v>
      </c>
      <c r="AN447" s="47">
        <v>0</v>
      </c>
      <c r="AO447" s="47">
        <v>0</v>
      </c>
      <c r="AP447" s="47">
        <v>0</v>
      </c>
      <c r="AQ447" s="47">
        <v>0</v>
      </c>
      <c r="AR447" s="47">
        <v>0</v>
      </c>
      <c r="AS447" s="47">
        <v>0</v>
      </c>
      <c r="AT447" s="47">
        <v>0</v>
      </c>
      <c r="AU447" s="47">
        <v>0</v>
      </c>
      <c r="AV447" s="47">
        <v>0</v>
      </c>
      <c r="AW447" s="47">
        <v>0</v>
      </c>
      <c r="AX447" s="47">
        <v>0</v>
      </c>
      <c r="AY447" s="47">
        <v>0</v>
      </c>
      <c r="AZ447" s="47">
        <v>0</v>
      </c>
      <c r="BA447" s="47">
        <v>0</v>
      </c>
      <c r="BB447" s="47">
        <v>0</v>
      </c>
      <c r="BC447" s="47">
        <v>0</v>
      </c>
      <c r="BD447" s="47">
        <v>0</v>
      </c>
      <c r="BE447" s="47">
        <v>0</v>
      </c>
      <c r="BF447" s="47">
        <v>0</v>
      </c>
      <c r="BG447" s="47">
        <v>0</v>
      </c>
      <c r="BH447" s="47">
        <v>0</v>
      </c>
      <c r="BI447" s="47">
        <v>0</v>
      </c>
      <c r="BJ447" s="47">
        <v>0</v>
      </c>
      <c r="BK447" s="47">
        <v>0</v>
      </c>
      <c r="BL447" s="47">
        <v>0</v>
      </c>
      <c r="BM447" s="47">
        <v>0</v>
      </c>
      <c r="BN447" s="47">
        <v>0</v>
      </c>
      <c r="BO447" s="47">
        <v>0</v>
      </c>
      <c r="BP447" s="47">
        <v>0</v>
      </c>
      <c r="BQ447" s="47">
        <v>0</v>
      </c>
      <c r="BR447" s="47">
        <v>0</v>
      </c>
      <c r="BS447" s="47">
        <v>0</v>
      </c>
      <c r="BT447" s="47">
        <v>0</v>
      </c>
      <c r="BU447" s="47">
        <v>0</v>
      </c>
      <c r="BV447" s="47">
        <v>0</v>
      </c>
      <c r="BW447" s="47">
        <v>0</v>
      </c>
      <c r="BX447" s="47">
        <v>0</v>
      </c>
      <c r="BY447" s="47">
        <v>0</v>
      </c>
      <c r="BZ447" s="47">
        <v>0</v>
      </c>
      <c r="CA447" s="47">
        <v>0</v>
      </c>
      <c r="CB447" s="47">
        <v>0</v>
      </c>
      <c r="CC447" s="47">
        <v>0</v>
      </c>
      <c r="CD447" s="47">
        <v>0</v>
      </c>
      <c r="CE447" s="47">
        <v>0</v>
      </c>
      <c r="CF447" s="47">
        <v>0</v>
      </c>
      <c r="CG447" s="47">
        <v>0</v>
      </c>
      <c r="CH447" s="47">
        <v>0</v>
      </c>
      <c r="CI447" s="47">
        <v>0</v>
      </c>
      <c r="CJ447" s="47">
        <v>0</v>
      </c>
      <c r="CK447" s="47">
        <v>0</v>
      </c>
      <c r="CL447" s="47">
        <v>0</v>
      </c>
      <c r="CM447" s="47">
        <v>0</v>
      </c>
      <c r="CN447" s="47">
        <v>0</v>
      </c>
      <c r="CO447" s="47">
        <v>0</v>
      </c>
      <c r="CP447" s="47">
        <v>0</v>
      </c>
      <c r="CQ447" s="47">
        <v>0</v>
      </c>
      <c r="CR447" s="47">
        <v>0</v>
      </c>
      <c r="CS447" s="47">
        <v>0</v>
      </c>
      <c r="CT447" s="47">
        <v>0</v>
      </c>
      <c r="CU447" s="47">
        <v>0</v>
      </c>
      <c r="CV447" s="47">
        <v>0</v>
      </c>
      <c r="CW447" s="47">
        <v>0</v>
      </c>
      <c r="CX447" s="47">
        <v>0</v>
      </c>
      <c r="CY447" s="47">
        <v>0</v>
      </c>
      <c r="CZ447" s="47">
        <v>0</v>
      </c>
      <c r="DA447" s="47">
        <v>0</v>
      </c>
      <c r="DB447" s="47">
        <v>0</v>
      </c>
      <c r="DC447" s="47">
        <v>0</v>
      </c>
      <c r="DD447" s="47">
        <v>0</v>
      </c>
      <c r="DE447" s="47">
        <v>0</v>
      </c>
      <c r="DF447" s="47">
        <v>0</v>
      </c>
      <c r="DG447" s="47">
        <v>0</v>
      </c>
      <c r="DH447" s="47">
        <v>0</v>
      </c>
      <c r="DI447" s="47">
        <v>0</v>
      </c>
      <c r="DJ447" s="47">
        <v>0</v>
      </c>
      <c r="DK447" s="47">
        <v>0</v>
      </c>
      <c r="DL447" s="47">
        <v>0</v>
      </c>
      <c r="DM447" s="47">
        <v>0</v>
      </c>
      <c r="DN447" s="47">
        <v>0</v>
      </c>
      <c r="DO447" s="47">
        <v>0</v>
      </c>
      <c r="DP447" s="47">
        <v>0</v>
      </c>
      <c r="DQ447" s="47">
        <v>0</v>
      </c>
      <c r="DR447" s="47">
        <v>0</v>
      </c>
      <c r="DS447" s="47">
        <v>0</v>
      </c>
      <c r="DT447" s="47">
        <v>0</v>
      </c>
      <c r="DU447" s="47">
        <v>0</v>
      </c>
      <c r="DV447" s="47">
        <v>0</v>
      </c>
      <c r="DW447" s="47">
        <v>0</v>
      </c>
      <c r="DX447" s="47">
        <v>0</v>
      </c>
      <c r="DY447" s="47">
        <v>0</v>
      </c>
      <c r="DZ447" s="47">
        <v>0</v>
      </c>
      <c r="EA447" s="47">
        <v>0</v>
      </c>
      <c r="EB447" s="47"/>
      <c r="EC447" s="47">
        <v>1</v>
      </c>
      <c r="ZZ447" t="s">
        <v>2472</v>
      </c>
    </row>
    <row r="448" spans="1:702" x14ac:dyDescent="0.25">
      <c r="A448" s="47" t="s">
        <v>2129</v>
      </c>
      <c r="B448" s="47" t="s">
        <v>153</v>
      </c>
      <c r="C448" s="47" t="s">
        <v>157</v>
      </c>
      <c r="D448" s="47" t="s">
        <v>2932</v>
      </c>
      <c r="E448" s="47" t="s">
        <v>2130</v>
      </c>
      <c r="F448" s="47" t="s">
        <v>2131</v>
      </c>
      <c r="G448" s="47" t="s">
        <v>2132</v>
      </c>
      <c r="H448" s="47" t="s">
        <v>698</v>
      </c>
      <c r="I448" s="47" t="s">
        <v>727</v>
      </c>
      <c r="J448" s="47" t="str">
        <f>=IFERROR(VLOOKUP(H448&amp;I448,Table_Fonctions!A:G,6,FALSE),"")</f>
        <v>0</v>
      </c>
      <c r="K448" s="47" t="s">
        <v>2607</v>
      </c>
      <c r="L448" s="47" t="str">
        <f>=IFERROR(VLOOKUP(H448&amp;I448,Table_Fonctions!A:G,7,FALSE),K448)</f>
        <v/>
      </c>
      <c r="M448" s="47" t="str">
        <f>=IF(OR(LEFT(D448, 3)="TJ ", LEFT(D448, 4)="CPH "), "OUI", "NON")</f>
        <v/>
      </c>
      <c r="N448" s="47" t="s">
        <v>836</v>
      </c>
      <c r="O448" s="47"/>
      <c r="P448" s="47">
        <v>0.8</v>
      </c>
      <c r="Q448" s="47">
        <v>0.8</v>
      </c>
      <c r="R448" s="47">
        <v>0</v>
      </c>
      <c r="S448" s="47">
        <f>=ROUND(BQ448-(BR448+BS448),3)</f>
      </c>
      <c r="T448" s="47">
        <f>=ROUND(CK448-(CL448+CM448+CN448+CO448+CP448),3)</f>
      </c>
      <c r="U448" s="47">
        <v>0</v>
      </c>
      <c r="V448" s="47">
        <v>0</v>
      </c>
      <c r="W448" s="47">
        <v>0</v>
      </c>
      <c r="X448" s="47">
        <v>0</v>
      </c>
      <c r="Y448" s="47">
        <v>0</v>
      </c>
      <c r="Z448" s="47">
        <v>0</v>
      </c>
      <c r="AA448" s="47">
        <v>0</v>
      </c>
      <c r="AB448" s="47">
        <v>0</v>
      </c>
      <c r="AC448" s="47">
        <v>0</v>
      </c>
      <c r="AD448" s="47">
        <v>0</v>
      </c>
      <c r="AE448" s="47">
        <v>0</v>
      </c>
      <c r="AF448" s="47">
        <v>0</v>
      </c>
      <c r="AG448" s="47">
        <v>0</v>
      </c>
      <c r="AH448" s="47">
        <v>0</v>
      </c>
      <c r="AI448" s="47">
        <v>0</v>
      </c>
      <c r="AJ448" s="47">
        <v>0</v>
      </c>
      <c r="AK448" s="47">
        <v>0</v>
      </c>
      <c r="AL448" s="47">
        <v>0</v>
      </c>
      <c r="AM448" s="47">
        <v>0</v>
      </c>
      <c r="AN448" s="47">
        <v>0</v>
      </c>
      <c r="AO448" s="47">
        <v>0</v>
      </c>
      <c r="AP448" s="47">
        <v>0</v>
      </c>
      <c r="AQ448" s="47">
        <v>0</v>
      </c>
      <c r="AR448" s="47">
        <v>0</v>
      </c>
      <c r="AS448" s="47">
        <v>0</v>
      </c>
      <c r="AT448" s="47">
        <v>0</v>
      </c>
      <c r="AU448" s="47">
        <v>0</v>
      </c>
      <c r="AV448" s="47">
        <v>0</v>
      </c>
      <c r="AW448" s="47">
        <v>0</v>
      </c>
      <c r="AX448" s="47">
        <v>0</v>
      </c>
      <c r="AY448" s="47">
        <v>0</v>
      </c>
      <c r="AZ448" s="47">
        <v>0</v>
      </c>
      <c r="BA448" s="47">
        <v>0</v>
      </c>
      <c r="BB448" s="47">
        <v>0</v>
      </c>
      <c r="BC448" s="47">
        <v>0</v>
      </c>
      <c r="BD448" s="47">
        <v>0</v>
      </c>
      <c r="BE448" s="47">
        <v>0</v>
      </c>
      <c r="BF448" s="47">
        <v>0</v>
      </c>
      <c r="BG448" s="47">
        <v>0</v>
      </c>
      <c r="BH448" s="47">
        <v>0</v>
      </c>
      <c r="BI448" s="47">
        <v>0</v>
      </c>
      <c r="BJ448" s="47">
        <v>0</v>
      </c>
      <c r="BK448" s="47">
        <v>0</v>
      </c>
      <c r="BL448" s="47">
        <v>0</v>
      </c>
      <c r="BM448" s="47">
        <v>0</v>
      </c>
      <c r="BN448" s="47">
        <v>0</v>
      </c>
      <c r="BO448" s="47">
        <v>0</v>
      </c>
      <c r="BP448" s="47">
        <v>0</v>
      </c>
      <c r="BQ448" s="47">
        <v>0.8</v>
      </c>
      <c r="BR448" s="47">
        <v>0</v>
      </c>
      <c r="BS448" s="47">
        <v>0</v>
      </c>
      <c r="BT448" s="47">
        <v>0</v>
      </c>
      <c r="BU448" s="47">
        <v>0</v>
      </c>
      <c r="BV448" s="47">
        <v>0</v>
      </c>
      <c r="BW448" s="47">
        <v>0</v>
      </c>
      <c r="BX448" s="47">
        <v>0</v>
      </c>
      <c r="BY448" s="47">
        <v>0</v>
      </c>
      <c r="BZ448" s="47">
        <v>0</v>
      </c>
      <c r="CA448" s="47">
        <v>0</v>
      </c>
      <c r="CB448" s="47">
        <v>0</v>
      </c>
      <c r="CC448" s="47">
        <v>0</v>
      </c>
      <c r="CD448" s="47">
        <v>0</v>
      </c>
      <c r="CE448" s="47">
        <v>0</v>
      </c>
      <c r="CF448" s="47">
        <v>0</v>
      </c>
      <c r="CG448" s="47">
        <v>0</v>
      </c>
      <c r="CH448" s="47">
        <v>0</v>
      </c>
      <c r="CI448" s="47">
        <v>0</v>
      </c>
      <c r="CJ448" s="47">
        <v>0</v>
      </c>
      <c r="CK448" s="47">
        <v>0</v>
      </c>
      <c r="CL448" s="47">
        <v>0</v>
      </c>
      <c r="CM448" s="47">
        <v>0</v>
      </c>
      <c r="CN448" s="47">
        <v>0</v>
      </c>
      <c r="CO448" s="47">
        <v>0</v>
      </c>
      <c r="CP448" s="47">
        <v>0</v>
      </c>
      <c r="CQ448" s="47">
        <v>0</v>
      </c>
      <c r="CR448" s="47">
        <v>0</v>
      </c>
      <c r="CS448" s="47">
        <v>0</v>
      </c>
      <c r="CT448" s="47">
        <v>0</v>
      </c>
      <c r="CU448" s="47">
        <v>0</v>
      </c>
      <c r="CV448" s="47">
        <v>0</v>
      </c>
      <c r="CW448" s="47">
        <v>0</v>
      </c>
      <c r="CX448" s="47">
        <v>0</v>
      </c>
      <c r="CY448" s="47">
        <v>0</v>
      </c>
      <c r="CZ448" s="47">
        <v>0</v>
      </c>
      <c r="DA448" s="47">
        <v>0</v>
      </c>
      <c r="DB448" s="47">
        <v>0</v>
      </c>
      <c r="DC448" s="47">
        <v>0</v>
      </c>
      <c r="DD448" s="47">
        <v>0</v>
      </c>
      <c r="DE448" s="47">
        <v>0</v>
      </c>
      <c r="DF448" s="47">
        <v>0</v>
      </c>
      <c r="DG448" s="47">
        <v>0</v>
      </c>
      <c r="DH448" s="47">
        <v>0</v>
      </c>
      <c r="DI448" s="47">
        <v>0</v>
      </c>
      <c r="DJ448" s="47">
        <v>0</v>
      </c>
      <c r="DK448" s="47">
        <v>0</v>
      </c>
      <c r="DL448" s="47">
        <v>0</v>
      </c>
      <c r="DM448" s="47">
        <v>0</v>
      </c>
      <c r="DN448" s="47">
        <v>0</v>
      </c>
      <c r="DO448" s="47">
        <v>0</v>
      </c>
      <c r="DP448" s="47">
        <v>0</v>
      </c>
      <c r="DQ448" s="47">
        <v>0</v>
      </c>
      <c r="DR448" s="47">
        <v>0</v>
      </c>
      <c r="DS448" s="47">
        <v>0</v>
      </c>
      <c r="DT448" s="47">
        <v>0</v>
      </c>
      <c r="DU448" s="47">
        <v>0</v>
      </c>
      <c r="DV448" s="47">
        <v>0</v>
      </c>
      <c r="DW448" s="47">
        <v>0</v>
      </c>
      <c r="DX448" s="47">
        <v>0</v>
      </c>
      <c r="DY448" s="47">
        <v>0</v>
      </c>
      <c r="DZ448" s="47">
        <v>0</v>
      </c>
      <c r="EA448" s="47">
        <v>0</v>
      </c>
      <c r="EB448" s="47"/>
      <c r="EC448" s="47">
        <v>0.8</v>
      </c>
      <c r="ZZ448" t="s">
        <v>2472</v>
      </c>
    </row>
    <row r="449" spans="1:702" x14ac:dyDescent="0.25">
      <c r="A449" s="47" t="s">
        <v>2133</v>
      </c>
      <c r="B449" s="47" t="s">
        <v>153</v>
      </c>
      <c r="C449" s="47" t="s">
        <v>157</v>
      </c>
      <c r="D449" s="47" t="s">
        <v>2933</v>
      </c>
      <c r="E449" s="47" t="s">
        <v>2134</v>
      </c>
      <c r="F449" s="47" t="s">
        <v>2135</v>
      </c>
      <c r="G449" s="47" t="s">
        <v>2136</v>
      </c>
      <c r="H449" s="47" t="s">
        <v>698</v>
      </c>
      <c r="I449" s="47" t="s">
        <v>2863</v>
      </c>
      <c r="J449" s="47" t="str">
        <f>=IFERROR(VLOOKUP(H449&amp;I449,Table_Fonctions!A:G,6,FALSE),"")</f>
        <v>0</v>
      </c>
      <c r="K449" s="47" t="s">
        <v>2632</v>
      </c>
      <c r="L449" s="47" t="str">
        <f>=IFERROR(VLOOKUP(H449&amp;I449,Table_Fonctions!A:G,7,FALSE),K449)</f>
        <v/>
      </c>
      <c r="M449" s="47" t="str">
        <f>=IF(OR(LEFT(D449, 3)="TJ ", LEFT(D449, 4)="CPH "), "OUI", "NON")</f>
        <v/>
      </c>
      <c r="N449" s="47" t="s">
        <v>2137</v>
      </c>
      <c r="O449" s="47"/>
      <c r="P449" s="47">
        <v>1</v>
      </c>
      <c r="Q449" s="47">
        <v>1</v>
      </c>
      <c r="R449" s="47">
        <v>0</v>
      </c>
      <c r="S449" s="47">
        <f>=ROUND(BQ449-(BR449+BS449),3)</f>
      </c>
      <c r="T449" s="47">
        <f>=ROUND(CK449-(CL449+CM449+CN449+CO449+CP449),3)</f>
      </c>
      <c r="U449" s="47">
        <v>0</v>
      </c>
      <c r="V449" s="47">
        <v>0</v>
      </c>
      <c r="W449" s="47">
        <v>0</v>
      </c>
      <c r="X449" s="47">
        <v>0</v>
      </c>
      <c r="Y449" s="47">
        <v>0</v>
      </c>
      <c r="Z449" s="47">
        <v>0</v>
      </c>
      <c r="AA449" s="47">
        <v>0</v>
      </c>
      <c r="AB449" s="47">
        <v>0</v>
      </c>
      <c r="AC449" s="47">
        <v>0</v>
      </c>
      <c r="AD449" s="47">
        <v>0</v>
      </c>
      <c r="AE449" s="47">
        <v>0</v>
      </c>
      <c r="AF449" s="47">
        <v>0</v>
      </c>
      <c r="AG449" s="47">
        <v>0</v>
      </c>
      <c r="AH449" s="47">
        <v>0</v>
      </c>
      <c r="AI449" s="47">
        <v>0</v>
      </c>
      <c r="AJ449" s="47">
        <v>1</v>
      </c>
      <c r="AK449" s="47">
        <v>0</v>
      </c>
      <c r="AL449" s="47">
        <v>0</v>
      </c>
      <c r="AM449" s="47">
        <v>0</v>
      </c>
      <c r="AN449" s="47">
        <v>0</v>
      </c>
      <c r="AO449" s="47">
        <v>0</v>
      </c>
      <c r="AP449" s="47">
        <v>0</v>
      </c>
      <c r="AQ449" s="47">
        <v>0</v>
      </c>
      <c r="AR449" s="47">
        <v>0</v>
      </c>
      <c r="AS449" s="47">
        <v>0</v>
      </c>
      <c r="AT449" s="47">
        <v>0</v>
      </c>
      <c r="AU449" s="47">
        <v>0</v>
      </c>
      <c r="AV449" s="47">
        <v>0</v>
      </c>
      <c r="AW449" s="47">
        <v>0</v>
      </c>
      <c r="AX449" s="47">
        <v>0</v>
      </c>
      <c r="AY449" s="47">
        <v>0</v>
      </c>
      <c r="AZ449" s="47">
        <v>0</v>
      </c>
      <c r="BA449" s="47">
        <v>0</v>
      </c>
      <c r="BB449" s="47">
        <v>0</v>
      </c>
      <c r="BC449" s="47">
        <v>0</v>
      </c>
      <c r="BD449" s="47">
        <v>0</v>
      </c>
      <c r="BE449" s="47">
        <v>0</v>
      </c>
      <c r="BF449" s="47">
        <v>0</v>
      </c>
      <c r="BG449" s="47">
        <v>0</v>
      </c>
      <c r="BH449" s="47">
        <v>0</v>
      </c>
      <c r="BI449" s="47">
        <v>0</v>
      </c>
      <c r="BJ449" s="47">
        <v>0</v>
      </c>
      <c r="BK449" s="47">
        <v>0</v>
      </c>
      <c r="BL449" s="47">
        <v>0</v>
      </c>
      <c r="BM449" s="47">
        <v>0</v>
      </c>
      <c r="BN449" s="47">
        <v>0</v>
      </c>
      <c r="BO449" s="47">
        <v>0</v>
      </c>
      <c r="BP449" s="47">
        <v>0</v>
      </c>
      <c r="BQ449" s="47">
        <v>0</v>
      </c>
      <c r="BR449" s="47">
        <v>0</v>
      </c>
      <c r="BS449" s="47">
        <v>0</v>
      </c>
      <c r="BT449" s="47">
        <v>0</v>
      </c>
      <c r="BU449" s="47">
        <v>0</v>
      </c>
      <c r="BV449" s="47">
        <v>0</v>
      </c>
      <c r="BW449" s="47">
        <v>0</v>
      </c>
      <c r="BX449" s="47">
        <v>0</v>
      </c>
      <c r="BY449" s="47">
        <v>0</v>
      </c>
      <c r="BZ449" s="47">
        <v>0</v>
      </c>
      <c r="CA449" s="47">
        <v>0</v>
      </c>
      <c r="CB449" s="47">
        <v>0</v>
      </c>
      <c r="CC449" s="47">
        <v>0</v>
      </c>
      <c r="CD449" s="47">
        <v>0</v>
      </c>
      <c r="CE449" s="47">
        <v>0</v>
      </c>
      <c r="CF449" s="47">
        <v>0</v>
      </c>
      <c r="CG449" s="47">
        <v>0</v>
      </c>
      <c r="CH449" s="47">
        <v>0</v>
      </c>
      <c r="CI449" s="47">
        <v>0</v>
      </c>
      <c r="CJ449" s="47">
        <v>0</v>
      </c>
      <c r="CK449" s="47">
        <v>0</v>
      </c>
      <c r="CL449" s="47">
        <v>0</v>
      </c>
      <c r="CM449" s="47">
        <v>0</v>
      </c>
      <c r="CN449" s="47">
        <v>0</v>
      </c>
      <c r="CO449" s="47">
        <v>0</v>
      </c>
      <c r="CP449" s="47">
        <v>0</v>
      </c>
      <c r="CQ449" s="47">
        <v>0</v>
      </c>
      <c r="CR449" s="47">
        <v>0</v>
      </c>
      <c r="CS449" s="47">
        <v>0</v>
      </c>
      <c r="CT449" s="47">
        <v>0</v>
      </c>
      <c r="CU449" s="47">
        <v>0</v>
      </c>
      <c r="CV449" s="47">
        <v>0</v>
      </c>
      <c r="CW449" s="47">
        <v>0</v>
      </c>
      <c r="CX449" s="47">
        <v>0</v>
      </c>
      <c r="CY449" s="47">
        <v>0</v>
      </c>
      <c r="CZ449" s="47">
        <v>0</v>
      </c>
      <c r="DA449" s="47">
        <v>0</v>
      </c>
      <c r="DB449" s="47">
        <v>0</v>
      </c>
      <c r="DC449" s="47">
        <v>0</v>
      </c>
      <c r="DD449" s="47">
        <v>0</v>
      </c>
      <c r="DE449" s="47">
        <v>0</v>
      </c>
      <c r="DF449" s="47">
        <v>0</v>
      </c>
      <c r="DG449" s="47">
        <v>0</v>
      </c>
      <c r="DH449" s="47">
        <v>0</v>
      </c>
      <c r="DI449" s="47">
        <v>0</v>
      </c>
      <c r="DJ449" s="47">
        <v>0</v>
      </c>
      <c r="DK449" s="47">
        <v>0</v>
      </c>
      <c r="DL449" s="47">
        <v>0</v>
      </c>
      <c r="DM449" s="47">
        <v>0</v>
      </c>
      <c r="DN449" s="47">
        <v>0</v>
      </c>
      <c r="DO449" s="47">
        <v>0</v>
      </c>
      <c r="DP449" s="47">
        <v>0</v>
      </c>
      <c r="DQ449" s="47">
        <v>0</v>
      </c>
      <c r="DR449" s="47">
        <v>0</v>
      </c>
      <c r="DS449" s="47">
        <v>0</v>
      </c>
      <c r="DT449" s="47">
        <v>0</v>
      </c>
      <c r="DU449" s="47">
        <v>0</v>
      </c>
      <c r="DV449" s="47">
        <v>0</v>
      </c>
      <c r="DW449" s="47">
        <v>0</v>
      </c>
      <c r="DX449" s="47">
        <v>0</v>
      </c>
      <c r="DY449" s="47">
        <v>0</v>
      </c>
      <c r="DZ449" s="47">
        <v>0</v>
      </c>
      <c r="EA449" s="47">
        <v>0</v>
      </c>
      <c r="EB449" s="47"/>
      <c r="EC449" s="47">
        <v>1</v>
      </c>
      <c r="ZZ449" t="s">
        <v>2472</v>
      </c>
    </row>
    <row r="450" spans="1:702" x14ac:dyDescent="0.25">
      <c r="A450" s="47" t="s">
        <v>2138</v>
      </c>
      <c r="B450" s="47" t="s">
        <v>153</v>
      </c>
      <c r="C450" s="47" t="s">
        <v>157</v>
      </c>
      <c r="D450" s="47" t="s">
        <v>2934</v>
      </c>
      <c r="E450" s="47" t="s">
        <v>2139</v>
      </c>
      <c r="F450" s="47" t="s">
        <v>2140</v>
      </c>
      <c r="G450" s="47" t="s">
        <v>2141</v>
      </c>
      <c r="H450" s="47" t="s">
        <v>698</v>
      </c>
      <c r="I450" s="47" t="s">
        <v>727</v>
      </c>
      <c r="J450" s="47" t="str">
        <f>=IFERROR(VLOOKUP(H450&amp;I450,Table_Fonctions!A:G,6,FALSE),"")</f>
        <v>0</v>
      </c>
      <c r="K450" s="47" t="s">
        <v>2607</v>
      </c>
      <c r="L450" s="47" t="str">
        <f>=IFERROR(VLOOKUP(H450&amp;I450,Table_Fonctions!A:G,7,FALSE),K450)</f>
        <v/>
      </c>
      <c r="M450" s="47" t="str">
        <f>=IF(OR(LEFT(D450, 3)="TJ ", LEFT(D450, 4)="CPH "), "OUI", "NON")</f>
        <v/>
      </c>
      <c r="N450" s="47" t="s">
        <v>2142</v>
      </c>
      <c r="O450" s="47"/>
      <c r="P450" s="47">
        <v>1</v>
      </c>
      <c r="Q450" s="47">
        <v>0</v>
      </c>
      <c r="R450" s="47">
        <v>1</v>
      </c>
      <c r="S450" s="47">
        <f>=ROUND(BQ450-(BR450+BS450),3)</f>
      </c>
      <c r="T450" s="47">
        <f>=ROUND(CK450-(CL450+CM450+CN450+CO450+CP450),3)</f>
      </c>
      <c r="U450" s="47">
        <v>0</v>
      </c>
      <c r="V450" s="47">
        <v>0</v>
      </c>
      <c r="W450" s="47">
        <v>0</v>
      </c>
      <c r="X450" s="47">
        <v>0</v>
      </c>
      <c r="Y450" s="47">
        <v>0</v>
      </c>
      <c r="Z450" s="47">
        <v>0</v>
      </c>
      <c r="AA450" s="47">
        <v>0</v>
      </c>
      <c r="AB450" s="47">
        <v>0</v>
      </c>
      <c r="AC450" s="47">
        <v>0</v>
      </c>
      <c r="AD450" s="47">
        <v>0</v>
      </c>
      <c r="AE450" s="47">
        <v>0</v>
      </c>
      <c r="AF450" s="47">
        <v>0</v>
      </c>
      <c r="AG450" s="47">
        <v>0</v>
      </c>
      <c r="AH450" s="47">
        <v>0</v>
      </c>
      <c r="AI450" s="47">
        <v>0</v>
      </c>
      <c r="AJ450" s="47">
        <v>0</v>
      </c>
      <c r="AK450" s="47">
        <v>0</v>
      </c>
      <c r="AL450" s="47">
        <v>0</v>
      </c>
      <c r="AM450" s="47">
        <v>0</v>
      </c>
      <c r="AN450" s="47">
        <v>0</v>
      </c>
      <c r="AO450" s="47">
        <v>0</v>
      </c>
      <c r="AP450" s="47">
        <v>0</v>
      </c>
      <c r="AQ450" s="47">
        <v>0</v>
      </c>
      <c r="AR450" s="47">
        <v>0</v>
      </c>
      <c r="AS450" s="47">
        <v>0</v>
      </c>
      <c r="AT450" s="47">
        <v>0</v>
      </c>
      <c r="AU450" s="47">
        <v>0</v>
      </c>
      <c r="AV450" s="47">
        <v>0</v>
      </c>
      <c r="AW450" s="47">
        <v>0</v>
      </c>
      <c r="AX450" s="47">
        <v>0</v>
      </c>
      <c r="AY450" s="47">
        <v>0</v>
      </c>
      <c r="AZ450" s="47">
        <v>0</v>
      </c>
      <c r="BA450" s="47">
        <v>0</v>
      </c>
      <c r="BB450" s="47">
        <v>0</v>
      </c>
      <c r="BC450" s="47">
        <v>0</v>
      </c>
      <c r="BD450" s="47">
        <v>0</v>
      </c>
      <c r="BE450" s="47">
        <v>0</v>
      </c>
      <c r="BF450" s="47">
        <v>0</v>
      </c>
      <c r="BG450" s="47">
        <v>0</v>
      </c>
      <c r="BH450" s="47">
        <v>0</v>
      </c>
      <c r="BI450" s="47">
        <v>0</v>
      </c>
      <c r="BJ450" s="47">
        <v>0</v>
      </c>
      <c r="BK450" s="47">
        <v>0</v>
      </c>
      <c r="BL450" s="47">
        <v>0</v>
      </c>
      <c r="BM450" s="47">
        <v>0</v>
      </c>
      <c r="BN450" s="47">
        <v>0</v>
      </c>
      <c r="BO450" s="47">
        <v>0</v>
      </c>
      <c r="BP450" s="47">
        <v>0</v>
      </c>
      <c r="BQ450" s="47">
        <v>0</v>
      </c>
      <c r="BR450" s="47">
        <v>0</v>
      </c>
      <c r="BS450" s="47">
        <v>0</v>
      </c>
      <c r="BT450" s="47">
        <v>0</v>
      </c>
      <c r="BU450" s="47">
        <v>0</v>
      </c>
      <c r="BV450" s="47">
        <v>0</v>
      </c>
      <c r="BW450" s="47">
        <v>0</v>
      </c>
      <c r="BX450" s="47">
        <v>0</v>
      </c>
      <c r="BY450" s="47">
        <v>0</v>
      </c>
      <c r="BZ450" s="47">
        <v>0</v>
      </c>
      <c r="CA450" s="47">
        <v>0</v>
      </c>
      <c r="CB450" s="47">
        <v>0</v>
      </c>
      <c r="CC450" s="47">
        <v>0</v>
      </c>
      <c r="CD450" s="47">
        <v>0</v>
      </c>
      <c r="CE450" s="47">
        <v>0</v>
      </c>
      <c r="CF450" s="47">
        <v>0</v>
      </c>
      <c r="CG450" s="47">
        <v>0</v>
      </c>
      <c r="CH450" s="47">
        <v>0</v>
      </c>
      <c r="CI450" s="47">
        <v>0</v>
      </c>
      <c r="CJ450" s="47">
        <v>0</v>
      </c>
      <c r="CK450" s="47">
        <v>0</v>
      </c>
      <c r="CL450" s="47">
        <v>0</v>
      </c>
      <c r="CM450" s="47">
        <v>0</v>
      </c>
      <c r="CN450" s="47">
        <v>0</v>
      </c>
      <c r="CO450" s="47">
        <v>0</v>
      </c>
      <c r="CP450" s="47">
        <v>0</v>
      </c>
      <c r="CQ450" s="47">
        <v>0</v>
      </c>
      <c r="CR450" s="47">
        <v>0</v>
      </c>
      <c r="CS450" s="47">
        <v>0</v>
      </c>
      <c r="CT450" s="47">
        <v>0</v>
      </c>
      <c r="CU450" s="47">
        <v>0</v>
      </c>
      <c r="CV450" s="47">
        <v>0</v>
      </c>
      <c r="CW450" s="47">
        <v>0</v>
      </c>
      <c r="CX450" s="47">
        <v>0</v>
      </c>
      <c r="CY450" s="47">
        <v>0</v>
      </c>
      <c r="CZ450" s="47">
        <v>0</v>
      </c>
      <c r="DA450" s="47">
        <v>0</v>
      </c>
      <c r="DB450" s="47">
        <v>0</v>
      </c>
      <c r="DC450" s="47">
        <v>0</v>
      </c>
      <c r="DD450" s="47">
        <v>0</v>
      </c>
      <c r="DE450" s="47">
        <v>0</v>
      </c>
      <c r="DF450" s="47">
        <v>0</v>
      </c>
      <c r="DG450" s="47">
        <v>0</v>
      </c>
      <c r="DH450" s="47">
        <v>0</v>
      </c>
      <c r="DI450" s="47">
        <v>0</v>
      </c>
      <c r="DJ450" s="47">
        <v>0</v>
      </c>
      <c r="DK450" s="47">
        <v>0</v>
      </c>
      <c r="DL450" s="47">
        <v>0</v>
      </c>
      <c r="DM450" s="47">
        <v>0</v>
      </c>
      <c r="DN450" s="47">
        <v>0</v>
      </c>
      <c r="DO450" s="47">
        <v>0</v>
      </c>
      <c r="DP450" s="47">
        <v>0</v>
      </c>
      <c r="DQ450" s="47">
        <v>0</v>
      </c>
      <c r="DR450" s="47">
        <v>0</v>
      </c>
      <c r="DS450" s="47">
        <v>0</v>
      </c>
      <c r="DT450" s="47">
        <v>0</v>
      </c>
      <c r="DU450" s="47">
        <v>0</v>
      </c>
      <c r="DV450" s="47">
        <v>0</v>
      </c>
      <c r="DW450" s="47">
        <v>0</v>
      </c>
      <c r="DX450" s="47">
        <v>0</v>
      </c>
      <c r="DY450" s="47">
        <v>0</v>
      </c>
      <c r="DZ450" s="47">
        <v>0</v>
      </c>
      <c r="EA450" s="47">
        <v>0</v>
      </c>
      <c r="EB450" s="47"/>
      <c r="EC450" s="47">
        <v>1</v>
      </c>
      <c r="ZZ450" t="s">
        <v>2472</v>
      </c>
    </row>
    <row r="451" spans="1:702" x14ac:dyDescent="0.25">
      <c r="A451" s="47" t="s">
        <v>2143</v>
      </c>
      <c r="B451" s="47" t="s">
        <v>153</v>
      </c>
      <c r="C451" s="47" t="s">
        <v>157</v>
      </c>
      <c r="D451" s="47" t="s">
        <v>2935</v>
      </c>
      <c r="E451" s="47" t="s">
        <v>2144</v>
      </c>
      <c r="F451" s="47" t="s">
        <v>2145</v>
      </c>
      <c r="G451" s="47" t="s">
        <v>2146</v>
      </c>
      <c r="H451" s="47" t="s">
        <v>698</v>
      </c>
      <c r="I451" s="47" t="s">
        <v>2147</v>
      </c>
      <c r="J451" s="47" t="str">
        <f>=IFERROR(VLOOKUP(H451&amp;I451,Table_Fonctions!A:G,6,FALSE),"")</f>
        <v>0</v>
      </c>
      <c r="K451" s="47" t="s">
        <v>2605</v>
      </c>
      <c r="L451" s="47" t="str">
        <f>=IFERROR(VLOOKUP(H451&amp;I451,Table_Fonctions!A:G,7,FALSE),K451)</f>
        <v/>
      </c>
      <c r="M451" s="47" t="str">
        <f>=IF(OR(LEFT(D451, 3)="TJ ", LEFT(D451, 4)="CPH "), "OUI", "NON")</f>
        <v/>
      </c>
      <c r="N451" s="47" t="s">
        <v>2148</v>
      </c>
      <c r="O451" s="47"/>
      <c r="P451" s="47">
        <v>1</v>
      </c>
      <c r="Q451" s="47">
        <v>1</v>
      </c>
      <c r="R451" s="47">
        <v>0</v>
      </c>
      <c r="S451" s="47">
        <f>=ROUND(BQ451-(BR451+BS451),3)</f>
      </c>
      <c r="T451" s="47">
        <f>=ROUND(CK451-(CL451+CM451+CN451+CO451+CP451),3)</f>
      </c>
      <c r="U451" s="47">
        <v>0</v>
      </c>
      <c r="V451" s="47">
        <v>0</v>
      </c>
      <c r="W451" s="47">
        <v>0</v>
      </c>
      <c r="X451" s="47">
        <v>0</v>
      </c>
      <c r="Y451" s="47">
        <v>0</v>
      </c>
      <c r="Z451" s="47">
        <v>0</v>
      </c>
      <c r="AA451" s="47">
        <v>0</v>
      </c>
      <c r="AB451" s="47">
        <v>0</v>
      </c>
      <c r="AC451" s="47">
        <v>0</v>
      </c>
      <c r="AD451" s="47">
        <v>0</v>
      </c>
      <c r="AE451" s="47">
        <v>0</v>
      </c>
      <c r="AF451" s="47">
        <v>0</v>
      </c>
      <c r="AG451" s="47">
        <v>0</v>
      </c>
      <c r="AH451" s="47">
        <v>0</v>
      </c>
      <c r="AI451" s="47">
        <v>0</v>
      </c>
      <c r="AJ451" s="47">
        <v>1</v>
      </c>
      <c r="AK451" s="47">
        <v>0</v>
      </c>
      <c r="AL451" s="47">
        <v>1</v>
      </c>
      <c r="AM451" s="47">
        <v>0</v>
      </c>
      <c r="AN451" s="47">
        <v>0</v>
      </c>
      <c r="AO451" s="47">
        <v>0</v>
      </c>
      <c r="AP451" s="47">
        <v>0</v>
      </c>
      <c r="AQ451" s="47">
        <v>0</v>
      </c>
      <c r="AR451" s="47">
        <v>0</v>
      </c>
      <c r="AS451" s="47">
        <v>0</v>
      </c>
      <c r="AT451" s="47">
        <v>0</v>
      </c>
      <c r="AU451" s="47">
        <v>0</v>
      </c>
      <c r="AV451" s="47">
        <v>0</v>
      </c>
      <c r="AW451" s="47">
        <v>0</v>
      </c>
      <c r="AX451" s="47">
        <v>0</v>
      </c>
      <c r="AY451" s="47">
        <v>0</v>
      </c>
      <c r="AZ451" s="47">
        <v>0</v>
      </c>
      <c r="BA451" s="47">
        <v>0</v>
      </c>
      <c r="BB451" s="47">
        <v>0</v>
      </c>
      <c r="BC451" s="47">
        <v>0</v>
      </c>
      <c r="BD451" s="47">
        <v>0</v>
      </c>
      <c r="BE451" s="47">
        <v>0</v>
      </c>
      <c r="BF451" s="47">
        <v>0</v>
      </c>
      <c r="BG451" s="47">
        <v>0</v>
      </c>
      <c r="BH451" s="47">
        <v>0</v>
      </c>
      <c r="BI451" s="47">
        <v>0</v>
      </c>
      <c r="BJ451" s="47">
        <v>0</v>
      </c>
      <c r="BK451" s="47">
        <v>0</v>
      </c>
      <c r="BL451" s="47">
        <v>0</v>
      </c>
      <c r="BM451" s="47">
        <v>0</v>
      </c>
      <c r="BN451" s="47">
        <v>0</v>
      </c>
      <c r="BO451" s="47">
        <v>0</v>
      </c>
      <c r="BP451" s="47">
        <v>0</v>
      </c>
      <c r="BQ451" s="47">
        <v>0</v>
      </c>
      <c r="BR451" s="47">
        <v>0</v>
      </c>
      <c r="BS451" s="47">
        <v>0</v>
      </c>
      <c r="BT451" s="47">
        <v>0</v>
      </c>
      <c r="BU451" s="47">
        <v>0</v>
      </c>
      <c r="BV451" s="47">
        <v>0</v>
      </c>
      <c r="BW451" s="47">
        <v>0</v>
      </c>
      <c r="BX451" s="47">
        <v>0</v>
      </c>
      <c r="BY451" s="47">
        <v>0</v>
      </c>
      <c r="BZ451" s="47">
        <v>0</v>
      </c>
      <c r="CA451" s="47">
        <v>0</v>
      </c>
      <c r="CB451" s="47">
        <v>0</v>
      </c>
      <c r="CC451" s="47">
        <v>0</v>
      </c>
      <c r="CD451" s="47">
        <v>0</v>
      </c>
      <c r="CE451" s="47">
        <v>0</v>
      </c>
      <c r="CF451" s="47">
        <v>0</v>
      </c>
      <c r="CG451" s="47">
        <v>0</v>
      </c>
      <c r="CH451" s="47">
        <v>0</v>
      </c>
      <c r="CI451" s="47">
        <v>0</v>
      </c>
      <c r="CJ451" s="47">
        <v>0</v>
      </c>
      <c r="CK451" s="47">
        <v>0</v>
      </c>
      <c r="CL451" s="47">
        <v>0</v>
      </c>
      <c r="CM451" s="47">
        <v>0</v>
      </c>
      <c r="CN451" s="47">
        <v>0</v>
      </c>
      <c r="CO451" s="47">
        <v>0</v>
      </c>
      <c r="CP451" s="47">
        <v>0</v>
      </c>
      <c r="CQ451" s="47">
        <v>0</v>
      </c>
      <c r="CR451" s="47">
        <v>0</v>
      </c>
      <c r="CS451" s="47">
        <v>0</v>
      </c>
      <c r="CT451" s="47">
        <v>0</v>
      </c>
      <c r="CU451" s="47">
        <v>0</v>
      </c>
      <c r="CV451" s="47">
        <v>0</v>
      </c>
      <c r="CW451" s="47">
        <v>0</v>
      </c>
      <c r="CX451" s="47">
        <v>0</v>
      </c>
      <c r="CY451" s="47">
        <v>0</v>
      </c>
      <c r="CZ451" s="47">
        <v>0</v>
      </c>
      <c r="DA451" s="47">
        <v>0</v>
      </c>
      <c r="DB451" s="47">
        <v>0</v>
      </c>
      <c r="DC451" s="47">
        <v>0</v>
      </c>
      <c r="DD451" s="47">
        <v>0</v>
      </c>
      <c r="DE451" s="47">
        <v>0</v>
      </c>
      <c r="DF451" s="47">
        <v>0</v>
      </c>
      <c r="DG451" s="47">
        <v>0</v>
      </c>
      <c r="DH451" s="47">
        <v>0</v>
      </c>
      <c r="DI451" s="47">
        <v>0</v>
      </c>
      <c r="DJ451" s="47">
        <v>0</v>
      </c>
      <c r="DK451" s="47">
        <v>0</v>
      </c>
      <c r="DL451" s="47">
        <v>0</v>
      </c>
      <c r="DM451" s="47">
        <v>0</v>
      </c>
      <c r="DN451" s="47">
        <v>0</v>
      </c>
      <c r="DO451" s="47">
        <v>0</v>
      </c>
      <c r="DP451" s="47">
        <v>0</v>
      </c>
      <c r="DQ451" s="47">
        <v>0</v>
      </c>
      <c r="DR451" s="47">
        <v>0</v>
      </c>
      <c r="DS451" s="47">
        <v>0</v>
      </c>
      <c r="DT451" s="47">
        <v>0</v>
      </c>
      <c r="DU451" s="47">
        <v>0</v>
      </c>
      <c r="DV451" s="47">
        <v>0</v>
      </c>
      <c r="DW451" s="47">
        <v>0</v>
      </c>
      <c r="DX451" s="47">
        <v>0</v>
      </c>
      <c r="DY451" s="47">
        <v>0</v>
      </c>
      <c r="DZ451" s="47">
        <v>0</v>
      </c>
      <c r="EA451" s="47">
        <v>0</v>
      </c>
      <c r="EB451" s="47"/>
      <c r="EC451" s="47">
        <v>1</v>
      </c>
      <c r="ZZ451" t="s">
        <v>2472</v>
      </c>
    </row>
    <row r="452" spans="1:702" x14ac:dyDescent="0.25">
      <c r="A452" s="47" t="s">
        <v>2149</v>
      </c>
      <c r="B452" s="47" t="s">
        <v>153</v>
      </c>
      <c r="C452" s="47" t="s">
        <v>157</v>
      </c>
      <c r="D452" s="47" t="s">
        <v>2936</v>
      </c>
      <c r="E452" s="47" t="s">
        <v>2150</v>
      </c>
      <c r="F452" s="47" t="s">
        <v>2151</v>
      </c>
      <c r="G452" s="47" t="s">
        <v>2152</v>
      </c>
      <c r="H452" s="47" t="s">
        <v>698</v>
      </c>
      <c r="I452" s="47" t="s">
        <v>727</v>
      </c>
      <c r="J452" s="47" t="str">
        <f>=IFERROR(VLOOKUP(H452&amp;I452,Table_Fonctions!A:G,6,FALSE),"")</f>
        <v>0</v>
      </c>
      <c r="K452" s="47" t="s">
        <v>2607</v>
      </c>
      <c r="L452" s="47" t="str">
        <f>=IFERROR(VLOOKUP(H452&amp;I452,Table_Fonctions!A:G,7,FALSE),K452)</f>
        <v/>
      </c>
      <c r="M452" s="47" t="str">
        <f>=IF(OR(LEFT(D452, 3)="TJ ", LEFT(D452, 4)="CPH "), "OUI", "NON")</f>
        <v/>
      </c>
      <c r="N452" s="47" t="s">
        <v>728</v>
      </c>
      <c r="O452" s="47"/>
      <c r="P452" s="47">
        <v>0.8</v>
      </c>
      <c r="Q452" s="47">
        <v>0</v>
      </c>
      <c r="R452" s="47">
        <v>0.8</v>
      </c>
      <c r="S452" s="47">
        <f>=ROUND(BQ452-(BR452+BS452),3)</f>
      </c>
      <c r="T452" s="47">
        <f>=ROUND(CK452-(CL452+CM452+CN452+CO452+CP452),3)</f>
      </c>
      <c r="U452" s="47">
        <v>0</v>
      </c>
      <c r="V452" s="47">
        <v>0</v>
      </c>
      <c r="W452" s="47">
        <v>0</v>
      </c>
      <c r="X452" s="47">
        <v>0</v>
      </c>
      <c r="Y452" s="47">
        <v>0</v>
      </c>
      <c r="Z452" s="47">
        <v>0</v>
      </c>
      <c r="AA452" s="47">
        <v>0</v>
      </c>
      <c r="AB452" s="47">
        <v>0</v>
      </c>
      <c r="AC452" s="47">
        <v>0</v>
      </c>
      <c r="AD452" s="47">
        <v>0</v>
      </c>
      <c r="AE452" s="47">
        <v>0</v>
      </c>
      <c r="AF452" s="47">
        <v>0</v>
      </c>
      <c r="AG452" s="47">
        <v>0</v>
      </c>
      <c r="AH452" s="47">
        <v>0</v>
      </c>
      <c r="AI452" s="47">
        <v>0</v>
      </c>
      <c r="AJ452" s="47">
        <v>0</v>
      </c>
      <c r="AK452" s="47">
        <v>0</v>
      </c>
      <c r="AL452" s="47">
        <v>0</v>
      </c>
      <c r="AM452" s="47">
        <v>0</v>
      </c>
      <c r="AN452" s="47">
        <v>0</v>
      </c>
      <c r="AO452" s="47">
        <v>0</v>
      </c>
      <c r="AP452" s="47">
        <v>0</v>
      </c>
      <c r="AQ452" s="47">
        <v>0</v>
      </c>
      <c r="AR452" s="47">
        <v>0</v>
      </c>
      <c r="AS452" s="47">
        <v>0</v>
      </c>
      <c r="AT452" s="47">
        <v>0</v>
      </c>
      <c r="AU452" s="47">
        <v>0</v>
      </c>
      <c r="AV452" s="47">
        <v>0</v>
      </c>
      <c r="AW452" s="47">
        <v>0</v>
      </c>
      <c r="AX452" s="47">
        <v>0</v>
      </c>
      <c r="AY452" s="47">
        <v>0</v>
      </c>
      <c r="AZ452" s="47">
        <v>0</v>
      </c>
      <c r="BA452" s="47">
        <v>0</v>
      </c>
      <c r="BB452" s="47">
        <v>0</v>
      </c>
      <c r="BC452" s="47">
        <v>0</v>
      </c>
      <c r="BD452" s="47">
        <v>0</v>
      </c>
      <c r="BE452" s="47">
        <v>0</v>
      </c>
      <c r="BF452" s="47">
        <v>0</v>
      </c>
      <c r="BG452" s="47">
        <v>0</v>
      </c>
      <c r="BH452" s="47">
        <v>0</v>
      </c>
      <c r="BI452" s="47">
        <v>0</v>
      </c>
      <c r="BJ452" s="47">
        <v>0</v>
      </c>
      <c r="BK452" s="47">
        <v>0</v>
      </c>
      <c r="BL452" s="47">
        <v>0</v>
      </c>
      <c r="BM452" s="47">
        <v>0</v>
      </c>
      <c r="BN452" s="47">
        <v>0</v>
      </c>
      <c r="BO452" s="47">
        <v>0</v>
      </c>
      <c r="BP452" s="47">
        <v>0</v>
      </c>
      <c r="BQ452" s="47">
        <v>0</v>
      </c>
      <c r="BR452" s="47">
        <v>0</v>
      </c>
      <c r="BS452" s="47">
        <v>0</v>
      </c>
      <c r="BT452" s="47">
        <v>0</v>
      </c>
      <c r="BU452" s="47">
        <v>0</v>
      </c>
      <c r="BV452" s="47">
        <v>0</v>
      </c>
      <c r="BW452" s="47">
        <v>0</v>
      </c>
      <c r="BX452" s="47">
        <v>0</v>
      </c>
      <c r="BY452" s="47">
        <v>0</v>
      </c>
      <c r="BZ452" s="47">
        <v>0</v>
      </c>
      <c r="CA452" s="47">
        <v>0</v>
      </c>
      <c r="CB452" s="47">
        <v>0</v>
      </c>
      <c r="CC452" s="47">
        <v>0</v>
      </c>
      <c r="CD452" s="47">
        <v>0</v>
      </c>
      <c r="CE452" s="47">
        <v>0</v>
      </c>
      <c r="CF452" s="47">
        <v>0</v>
      </c>
      <c r="CG452" s="47">
        <v>0</v>
      </c>
      <c r="CH452" s="47">
        <v>0</v>
      </c>
      <c r="CI452" s="47">
        <v>0</v>
      </c>
      <c r="CJ452" s="47">
        <v>0</v>
      </c>
      <c r="CK452" s="47">
        <v>0</v>
      </c>
      <c r="CL452" s="47">
        <v>0</v>
      </c>
      <c r="CM452" s="47">
        <v>0</v>
      </c>
      <c r="CN452" s="47">
        <v>0</v>
      </c>
      <c r="CO452" s="47">
        <v>0</v>
      </c>
      <c r="CP452" s="47">
        <v>0</v>
      </c>
      <c r="CQ452" s="47">
        <v>0</v>
      </c>
      <c r="CR452" s="47">
        <v>0</v>
      </c>
      <c r="CS452" s="47">
        <v>0</v>
      </c>
      <c r="CT452" s="47">
        <v>0</v>
      </c>
      <c r="CU452" s="47">
        <v>0</v>
      </c>
      <c r="CV452" s="47">
        <v>0</v>
      </c>
      <c r="CW452" s="47">
        <v>0</v>
      </c>
      <c r="CX452" s="47">
        <v>0</v>
      </c>
      <c r="CY452" s="47">
        <v>0</v>
      </c>
      <c r="CZ452" s="47">
        <v>0</v>
      </c>
      <c r="DA452" s="47">
        <v>0</v>
      </c>
      <c r="DB452" s="47">
        <v>0</v>
      </c>
      <c r="DC452" s="47">
        <v>0</v>
      </c>
      <c r="DD452" s="47">
        <v>0</v>
      </c>
      <c r="DE452" s="47">
        <v>0</v>
      </c>
      <c r="DF452" s="47">
        <v>0</v>
      </c>
      <c r="DG452" s="47">
        <v>0</v>
      </c>
      <c r="DH452" s="47">
        <v>0</v>
      </c>
      <c r="DI452" s="47">
        <v>0</v>
      </c>
      <c r="DJ452" s="47">
        <v>0</v>
      </c>
      <c r="DK452" s="47">
        <v>0</v>
      </c>
      <c r="DL452" s="47">
        <v>0</v>
      </c>
      <c r="DM452" s="47">
        <v>0</v>
      </c>
      <c r="DN452" s="47">
        <v>0</v>
      </c>
      <c r="DO452" s="47">
        <v>0</v>
      </c>
      <c r="DP452" s="47">
        <v>0</v>
      </c>
      <c r="DQ452" s="47">
        <v>0</v>
      </c>
      <c r="DR452" s="47">
        <v>0</v>
      </c>
      <c r="DS452" s="47">
        <v>0</v>
      </c>
      <c r="DT452" s="47">
        <v>0</v>
      </c>
      <c r="DU452" s="47">
        <v>0</v>
      </c>
      <c r="DV452" s="47">
        <v>0</v>
      </c>
      <c r="DW452" s="47">
        <v>0</v>
      </c>
      <c r="DX452" s="47">
        <v>0</v>
      </c>
      <c r="DY452" s="47">
        <v>0</v>
      </c>
      <c r="DZ452" s="47">
        <v>0</v>
      </c>
      <c r="EA452" s="47">
        <v>0</v>
      </c>
      <c r="EB452" s="47"/>
      <c r="EC452" s="47">
        <v>0.8</v>
      </c>
      <c r="ZZ452" t="s">
        <v>2472</v>
      </c>
    </row>
    <row r="453" spans="1:702" x14ac:dyDescent="0.25">
      <c r="A453" s="47" t="s">
        <v>2153</v>
      </c>
      <c r="B453" s="47" t="s">
        <v>153</v>
      </c>
      <c r="C453" s="47" t="s">
        <v>157</v>
      </c>
      <c r="D453" s="47" t="s">
        <v>2937</v>
      </c>
      <c r="E453" s="47" t="s">
        <v>2154</v>
      </c>
      <c r="F453" s="47" t="s">
        <v>2155</v>
      </c>
      <c r="G453" s="47" t="s">
        <v>2156</v>
      </c>
      <c r="H453" s="47" t="s">
        <v>698</v>
      </c>
      <c r="I453" s="47" t="s">
        <v>727</v>
      </c>
      <c r="J453" s="47" t="str">
        <f>=IFERROR(VLOOKUP(H453&amp;I453,Table_Fonctions!A:G,6,FALSE),"")</f>
        <v>0</v>
      </c>
      <c r="K453" s="47" t="s">
        <v>2607</v>
      </c>
      <c r="L453" s="47" t="str">
        <f>=IFERROR(VLOOKUP(H453&amp;I453,Table_Fonctions!A:G,7,FALSE),K453)</f>
        <v/>
      </c>
      <c r="M453" s="47" t="str">
        <f>=IF(OR(LEFT(D453, 3)="TJ ", LEFT(D453, 4)="CPH "), "OUI", "NON")</f>
        <v/>
      </c>
      <c r="N453" s="47" t="s">
        <v>1173</v>
      </c>
      <c r="O453" s="47"/>
      <c r="P453" s="47">
        <v>1</v>
      </c>
      <c r="Q453" s="47">
        <v>0</v>
      </c>
      <c r="R453" s="47">
        <v>1</v>
      </c>
      <c r="S453" s="47">
        <f>=ROUND(BQ453-(BR453+BS453),3)</f>
      </c>
      <c r="T453" s="47">
        <f>=ROUND(CK453-(CL453+CM453+CN453+CO453+CP453),3)</f>
      </c>
      <c r="U453" s="47">
        <v>0</v>
      </c>
      <c r="V453" s="47">
        <v>0</v>
      </c>
      <c r="W453" s="47">
        <v>0</v>
      </c>
      <c r="X453" s="47">
        <v>0</v>
      </c>
      <c r="Y453" s="47">
        <v>0</v>
      </c>
      <c r="Z453" s="47">
        <v>0</v>
      </c>
      <c r="AA453" s="47">
        <v>0</v>
      </c>
      <c r="AB453" s="47">
        <v>0</v>
      </c>
      <c r="AC453" s="47">
        <v>0</v>
      </c>
      <c r="AD453" s="47">
        <v>0</v>
      </c>
      <c r="AE453" s="47">
        <v>0</v>
      </c>
      <c r="AF453" s="47">
        <v>0</v>
      </c>
      <c r="AG453" s="47">
        <v>0</v>
      </c>
      <c r="AH453" s="47">
        <v>0</v>
      </c>
      <c r="AI453" s="47">
        <v>0</v>
      </c>
      <c r="AJ453" s="47">
        <v>0</v>
      </c>
      <c r="AK453" s="47">
        <v>0</v>
      </c>
      <c r="AL453" s="47">
        <v>0</v>
      </c>
      <c r="AM453" s="47">
        <v>0</v>
      </c>
      <c r="AN453" s="47">
        <v>0</v>
      </c>
      <c r="AO453" s="47">
        <v>0</v>
      </c>
      <c r="AP453" s="47">
        <v>0</v>
      </c>
      <c r="AQ453" s="47">
        <v>0</v>
      </c>
      <c r="AR453" s="47">
        <v>0</v>
      </c>
      <c r="AS453" s="47">
        <v>0</v>
      </c>
      <c r="AT453" s="47">
        <v>0</v>
      </c>
      <c r="AU453" s="47">
        <v>0</v>
      </c>
      <c r="AV453" s="47">
        <v>0</v>
      </c>
      <c r="AW453" s="47">
        <v>0</v>
      </c>
      <c r="AX453" s="47">
        <v>0</v>
      </c>
      <c r="AY453" s="47">
        <v>0</v>
      </c>
      <c r="AZ453" s="47">
        <v>0</v>
      </c>
      <c r="BA453" s="47">
        <v>0</v>
      </c>
      <c r="BB453" s="47">
        <v>0</v>
      </c>
      <c r="BC453" s="47">
        <v>0</v>
      </c>
      <c r="BD453" s="47">
        <v>0</v>
      </c>
      <c r="BE453" s="47">
        <v>0</v>
      </c>
      <c r="BF453" s="47">
        <v>0</v>
      </c>
      <c r="BG453" s="47">
        <v>0</v>
      </c>
      <c r="BH453" s="47">
        <v>0</v>
      </c>
      <c r="BI453" s="47">
        <v>0</v>
      </c>
      <c r="BJ453" s="47">
        <v>0</v>
      </c>
      <c r="BK453" s="47">
        <v>0</v>
      </c>
      <c r="BL453" s="47">
        <v>0</v>
      </c>
      <c r="BM453" s="47">
        <v>0</v>
      </c>
      <c r="BN453" s="47">
        <v>0</v>
      </c>
      <c r="BO453" s="47">
        <v>0</v>
      </c>
      <c r="BP453" s="47">
        <v>0</v>
      </c>
      <c r="BQ453" s="47">
        <v>0</v>
      </c>
      <c r="BR453" s="47">
        <v>0</v>
      </c>
      <c r="BS453" s="47">
        <v>0</v>
      </c>
      <c r="BT453" s="47">
        <v>0</v>
      </c>
      <c r="BU453" s="47">
        <v>0</v>
      </c>
      <c r="BV453" s="47">
        <v>0</v>
      </c>
      <c r="BW453" s="47">
        <v>0</v>
      </c>
      <c r="BX453" s="47">
        <v>0</v>
      </c>
      <c r="BY453" s="47">
        <v>0</v>
      </c>
      <c r="BZ453" s="47">
        <v>0</v>
      </c>
      <c r="CA453" s="47">
        <v>0</v>
      </c>
      <c r="CB453" s="47">
        <v>0</v>
      </c>
      <c r="CC453" s="47">
        <v>0</v>
      </c>
      <c r="CD453" s="47">
        <v>0</v>
      </c>
      <c r="CE453" s="47">
        <v>0</v>
      </c>
      <c r="CF453" s="47">
        <v>0</v>
      </c>
      <c r="CG453" s="47">
        <v>0</v>
      </c>
      <c r="CH453" s="47">
        <v>0</v>
      </c>
      <c r="CI453" s="47">
        <v>0</v>
      </c>
      <c r="CJ453" s="47">
        <v>0</v>
      </c>
      <c r="CK453" s="47">
        <v>0</v>
      </c>
      <c r="CL453" s="47">
        <v>0</v>
      </c>
      <c r="CM453" s="47">
        <v>0</v>
      </c>
      <c r="CN453" s="47">
        <v>0</v>
      </c>
      <c r="CO453" s="47">
        <v>0</v>
      </c>
      <c r="CP453" s="47">
        <v>0</v>
      </c>
      <c r="CQ453" s="47">
        <v>0</v>
      </c>
      <c r="CR453" s="47">
        <v>0</v>
      </c>
      <c r="CS453" s="47">
        <v>0</v>
      </c>
      <c r="CT453" s="47">
        <v>0</v>
      </c>
      <c r="CU453" s="47">
        <v>0</v>
      </c>
      <c r="CV453" s="47">
        <v>0</v>
      </c>
      <c r="CW453" s="47">
        <v>0</v>
      </c>
      <c r="CX453" s="47">
        <v>0</v>
      </c>
      <c r="CY453" s="47">
        <v>0</v>
      </c>
      <c r="CZ453" s="47">
        <v>0</v>
      </c>
      <c r="DA453" s="47">
        <v>0</v>
      </c>
      <c r="DB453" s="47">
        <v>0</v>
      </c>
      <c r="DC453" s="47">
        <v>0</v>
      </c>
      <c r="DD453" s="47">
        <v>0</v>
      </c>
      <c r="DE453" s="47">
        <v>0</v>
      </c>
      <c r="DF453" s="47">
        <v>0</v>
      </c>
      <c r="DG453" s="47">
        <v>0</v>
      </c>
      <c r="DH453" s="47">
        <v>0</v>
      </c>
      <c r="DI453" s="47">
        <v>0</v>
      </c>
      <c r="DJ453" s="47">
        <v>0</v>
      </c>
      <c r="DK453" s="47">
        <v>0</v>
      </c>
      <c r="DL453" s="47">
        <v>0</v>
      </c>
      <c r="DM453" s="47">
        <v>0</v>
      </c>
      <c r="DN453" s="47">
        <v>0</v>
      </c>
      <c r="DO453" s="47">
        <v>0</v>
      </c>
      <c r="DP453" s="47">
        <v>0</v>
      </c>
      <c r="DQ453" s="47">
        <v>0</v>
      </c>
      <c r="DR453" s="47">
        <v>0</v>
      </c>
      <c r="DS453" s="47">
        <v>0</v>
      </c>
      <c r="DT453" s="47">
        <v>0</v>
      </c>
      <c r="DU453" s="47">
        <v>0</v>
      </c>
      <c r="DV453" s="47">
        <v>0</v>
      </c>
      <c r="DW453" s="47">
        <v>0</v>
      </c>
      <c r="DX453" s="47">
        <v>0</v>
      </c>
      <c r="DY453" s="47">
        <v>0</v>
      </c>
      <c r="DZ453" s="47">
        <v>0</v>
      </c>
      <c r="EA453" s="47">
        <v>0</v>
      </c>
      <c r="EB453" s="47"/>
      <c r="EC453" s="47">
        <v>1</v>
      </c>
      <c r="ZZ453" t="s">
        <v>2472</v>
      </c>
    </row>
    <row r="454" spans="1:702" x14ac:dyDescent="0.25">
      <c r="A454" s="47" t="s">
        <v>2157</v>
      </c>
      <c r="B454" s="47" t="s">
        <v>153</v>
      </c>
      <c r="C454" s="47" t="s">
        <v>157</v>
      </c>
      <c r="D454" s="47" t="s">
        <v>2938</v>
      </c>
      <c r="E454" s="47" t="s">
        <v>2158</v>
      </c>
      <c r="F454" s="47" t="s">
        <v>2159</v>
      </c>
      <c r="G454" s="47" t="s">
        <v>2160</v>
      </c>
      <c r="H454" s="47" t="s">
        <v>698</v>
      </c>
      <c r="I454" s="47" t="s">
        <v>705</v>
      </c>
      <c r="J454" s="47" t="str">
        <f>=IFERROR(VLOOKUP(H454&amp;I454,Table_Fonctions!A:G,6,FALSE),"")</f>
        <v>0</v>
      </c>
      <c r="K454" s="47" t="s">
        <v>2607</v>
      </c>
      <c r="L454" s="47" t="str">
        <f>=IFERROR(VLOOKUP(H454&amp;I454,Table_Fonctions!A:G,7,FALSE),K454)</f>
        <v/>
      </c>
      <c r="M454" s="47" t="str">
        <f>=IF(OR(LEFT(D454, 3)="TJ ", LEFT(D454, 4)="CPH "), "OUI", "NON")</f>
        <v/>
      </c>
      <c r="N454" s="47" t="s">
        <v>1893</v>
      </c>
      <c r="O454" s="47"/>
      <c r="P454" s="47">
        <v>1</v>
      </c>
      <c r="Q454" s="47">
        <v>0</v>
      </c>
      <c r="R454" s="47">
        <v>1</v>
      </c>
      <c r="S454" s="47">
        <f>=ROUND(BQ454-(BR454+BS454),3)</f>
      </c>
      <c r="T454" s="47">
        <f>=ROUND(CK454-(CL454+CM454+CN454+CO454+CP454),3)</f>
      </c>
      <c r="U454" s="47">
        <v>0</v>
      </c>
      <c r="V454" s="47">
        <v>0</v>
      </c>
      <c r="W454" s="47">
        <v>0</v>
      </c>
      <c r="X454" s="47">
        <v>0</v>
      </c>
      <c r="Y454" s="47">
        <v>0</v>
      </c>
      <c r="Z454" s="47">
        <v>0</v>
      </c>
      <c r="AA454" s="47">
        <v>0</v>
      </c>
      <c r="AB454" s="47">
        <v>0</v>
      </c>
      <c r="AC454" s="47">
        <v>0</v>
      </c>
      <c r="AD454" s="47">
        <v>0</v>
      </c>
      <c r="AE454" s="47">
        <v>0</v>
      </c>
      <c r="AF454" s="47">
        <v>0</v>
      </c>
      <c r="AG454" s="47">
        <v>0</v>
      </c>
      <c r="AH454" s="47">
        <v>0</v>
      </c>
      <c r="AI454" s="47">
        <v>0</v>
      </c>
      <c r="AJ454" s="47">
        <v>0</v>
      </c>
      <c r="AK454" s="47">
        <v>0</v>
      </c>
      <c r="AL454" s="47">
        <v>0</v>
      </c>
      <c r="AM454" s="47">
        <v>0</v>
      </c>
      <c r="AN454" s="47">
        <v>0</v>
      </c>
      <c r="AO454" s="47">
        <v>0</v>
      </c>
      <c r="AP454" s="47">
        <v>0</v>
      </c>
      <c r="AQ454" s="47">
        <v>0</v>
      </c>
      <c r="AR454" s="47">
        <v>0</v>
      </c>
      <c r="AS454" s="47">
        <v>0</v>
      </c>
      <c r="AT454" s="47">
        <v>0</v>
      </c>
      <c r="AU454" s="47">
        <v>0</v>
      </c>
      <c r="AV454" s="47">
        <v>0</v>
      </c>
      <c r="AW454" s="47">
        <v>0</v>
      </c>
      <c r="AX454" s="47">
        <v>0</v>
      </c>
      <c r="AY454" s="47">
        <v>0</v>
      </c>
      <c r="AZ454" s="47">
        <v>0</v>
      </c>
      <c r="BA454" s="47">
        <v>0</v>
      </c>
      <c r="BB454" s="47">
        <v>0</v>
      </c>
      <c r="BC454" s="47">
        <v>0</v>
      </c>
      <c r="BD454" s="47">
        <v>0</v>
      </c>
      <c r="BE454" s="47">
        <v>0</v>
      </c>
      <c r="BF454" s="47">
        <v>0</v>
      </c>
      <c r="BG454" s="47">
        <v>0</v>
      </c>
      <c r="BH454" s="47">
        <v>0</v>
      </c>
      <c r="BI454" s="47">
        <v>0</v>
      </c>
      <c r="BJ454" s="47">
        <v>0</v>
      </c>
      <c r="BK454" s="47">
        <v>0</v>
      </c>
      <c r="BL454" s="47">
        <v>0</v>
      </c>
      <c r="BM454" s="47">
        <v>0</v>
      </c>
      <c r="BN454" s="47">
        <v>0</v>
      </c>
      <c r="BO454" s="47">
        <v>0</v>
      </c>
      <c r="BP454" s="47">
        <v>0</v>
      </c>
      <c r="BQ454" s="47">
        <v>0</v>
      </c>
      <c r="BR454" s="47">
        <v>0</v>
      </c>
      <c r="BS454" s="47">
        <v>0</v>
      </c>
      <c r="BT454" s="47">
        <v>0</v>
      </c>
      <c r="BU454" s="47">
        <v>0</v>
      </c>
      <c r="BV454" s="47">
        <v>0</v>
      </c>
      <c r="BW454" s="47">
        <v>0</v>
      </c>
      <c r="BX454" s="47">
        <v>0</v>
      </c>
      <c r="BY454" s="47">
        <v>0</v>
      </c>
      <c r="BZ454" s="47">
        <v>0</v>
      </c>
      <c r="CA454" s="47">
        <v>0</v>
      </c>
      <c r="CB454" s="47">
        <v>0</v>
      </c>
      <c r="CC454" s="47">
        <v>0</v>
      </c>
      <c r="CD454" s="47">
        <v>0</v>
      </c>
      <c r="CE454" s="47">
        <v>0</v>
      </c>
      <c r="CF454" s="47">
        <v>0</v>
      </c>
      <c r="CG454" s="47">
        <v>0</v>
      </c>
      <c r="CH454" s="47">
        <v>0</v>
      </c>
      <c r="CI454" s="47">
        <v>0</v>
      </c>
      <c r="CJ454" s="47">
        <v>0</v>
      </c>
      <c r="CK454" s="47">
        <v>0</v>
      </c>
      <c r="CL454" s="47">
        <v>0</v>
      </c>
      <c r="CM454" s="47">
        <v>0</v>
      </c>
      <c r="CN454" s="47">
        <v>0</v>
      </c>
      <c r="CO454" s="47">
        <v>0</v>
      </c>
      <c r="CP454" s="47">
        <v>0</v>
      </c>
      <c r="CQ454" s="47">
        <v>0</v>
      </c>
      <c r="CR454" s="47">
        <v>0</v>
      </c>
      <c r="CS454" s="47">
        <v>0</v>
      </c>
      <c r="CT454" s="47">
        <v>0</v>
      </c>
      <c r="CU454" s="47">
        <v>0</v>
      </c>
      <c r="CV454" s="47">
        <v>0</v>
      </c>
      <c r="CW454" s="47">
        <v>0</v>
      </c>
      <c r="CX454" s="47">
        <v>0</v>
      </c>
      <c r="CY454" s="47">
        <v>0</v>
      </c>
      <c r="CZ454" s="47">
        <v>0</v>
      </c>
      <c r="DA454" s="47">
        <v>0</v>
      </c>
      <c r="DB454" s="47">
        <v>0</v>
      </c>
      <c r="DC454" s="47">
        <v>0</v>
      </c>
      <c r="DD454" s="47">
        <v>0</v>
      </c>
      <c r="DE454" s="47">
        <v>0</v>
      </c>
      <c r="DF454" s="47">
        <v>0</v>
      </c>
      <c r="DG454" s="47">
        <v>0</v>
      </c>
      <c r="DH454" s="47">
        <v>0</v>
      </c>
      <c r="DI454" s="47">
        <v>0</v>
      </c>
      <c r="DJ454" s="47">
        <v>0</v>
      </c>
      <c r="DK454" s="47">
        <v>0</v>
      </c>
      <c r="DL454" s="47">
        <v>0</v>
      </c>
      <c r="DM454" s="47">
        <v>0</v>
      </c>
      <c r="DN454" s="47">
        <v>0</v>
      </c>
      <c r="DO454" s="47">
        <v>0</v>
      </c>
      <c r="DP454" s="47">
        <v>0</v>
      </c>
      <c r="DQ454" s="47">
        <v>0</v>
      </c>
      <c r="DR454" s="47">
        <v>0</v>
      </c>
      <c r="DS454" s="47">
        <v>0</v>
      </c>
      <c r="DT454" s="47">
        <v>0</v>
      </c>
      <c r="DU454" s="47">
        <v>0</v>
      </c>
      <c r="DV454" s="47">
        <v>0</v>
      </c>
      <c r="DW454" s="47">
        <v>0</v>
      </c>
      <c r="DX454" s="47">
        <v>0</v>
      </c>
      <c r="DY454" s="47">
        <v>0</v>
      </c>
      <c r="DZ454" s="47">
        <v>0</v>
      </c>
      <c r="EA454" s="47">
        <v>0</v>
      </c>
      <c r="EB454" s="47"/>
      <c r="EC454" s="47">
        <v>1</v>
      </c>
      <c r="ZZ454" t="s">
        <v>2472</v>
      </c>
    </row>
    <row r="455" spans="1:702" x14ac:dyDescent="0.25">
      <c r="A455" s="47" t="s">
        <v>2161</v>
      </c>
      <c r="B455" s="47" t="s">
        <v>153</v>
      </c>
      <c r="C455" s="47" t="s">
        <v>157</v>
      </c>
      <c r="D455" s="47" t="s">
        <v>2939</v>
      </c>
      <c r="E455" s="47" t="s">
        <v>2162</v>
      </c>
      <c r="F455" s="47" t="s">
        <v>2163</v>
      </c>
      <c r="G455" s="47" t="s">
        <v>2164</v>
      </c>
      <c r="H455" s="47" t="s">
        <v>698</v>
      </c>
      <c r="I455" s="47" t="s">
        <v>727</v>
      </c>
      <c r="J455" s="47" t="str">
        <f>=IFERROR(VLOOKUP(H455&amp;I455,Table_Fonctions!A:G,6,FALSE),"")</f>
        <v>0</v>
      </c>
      <c r="K455" s="47" t="s">
        <v>2607</v>
      </c>
      <c r="L455" s="47" t="str">
        <f>=IFERROR(VLOOKUP(H455&amp;I455,Table_Fonctions!A:G,7,FALSE),K455)</f>
        <v/>
      </c>
      <c r="M455" s="47" t="str">
        <f>=IF(OR(LEFT(D455, 3)="TJ ", LEFT(D455, 4)="CPH "), "OUI", "NON")</f>
        <v/>
      </c>
      <c r="N455" s="47" t="s">
        <v>263</v>
      </c>
      <c r="O455" s="47"/>
      <c r="P455" s="47">
        <v>1</v>
      </c>
      <c r="Q455" s="47">
        <v>0</v>
      </c>
      <c r="R455" s="47">
        <v>1</v>
      </c>
      <c r="S455" s="47">
        <f>=ROUND(BQ455-(BR455+BS455),3)</f>
      </c>
      <c r="T455" s="47">
        <f>=ROUND(CK455-(CL455+CM455+CN455+CO455+CP455),3)</f>
      </c>
      <c r="U455" s="47">
        <v>0</v>
      </c>
      <c r="V455" s="47">
        <v>0</v>
      </c>
      <c r="W455" s="47">
        <v>0</v>
      </c>
      <c r="X455" s="47">
        <v>0</v>
      </c>
      <c r="Y455" s="47">
        <v>0</v>
      </c>
      <c r="Z455" s="47">
        <v>0</v>
      </c>
      <c r="AA455" s="47">
        <v>0</v>
      </c>
      <c r="AB455" s="47">
        <v>0</v>
      </c>
      <c r="AC455" s="47">
        <v>0</v>
      </c>
      <c r="AD455" s="47">
        <v>0</v>
      </c>
      <c r="AE455" s="47">
        <v>0</v>
      </c>
      <c r="AF455" s="47">
        <v>0</v>
      </c>
      <c r="AG455" s="47">
        <v>0</v>
      </c>
      <c r="AH455" s="47">
        <v>0</v>
      </c>
      <c r="AI455" s="47">
        <v>0</v>
      </c>
      <c r="AJ455" s="47">
        <v>0</v>
      </c>
      <c r="AK455" s="47">
        <v>0</v>
      </c>
      <c r="AL455" s="47">
        <v>0</v>
      </c>
      <c r="AM455" s="47">
        <v>0</v>
      </c>
      <c r="AN455" s="47">
        <v>0</v>
      </c>
      <c r="AO455" s="47">
        <v>0</v>
      </c>
      <c r="AP455" s="47">
        <v>0</v>
      </c>
      <c r="AQ455" s="47">
        <v>0</v>
      </c>
      <c r="AR455" s="47">
        <v>0</v>
      </c>
      <c r="AS455" s="47">
        <v>0</v>
      </c>
      <c r="AT455" s="47">
        <v>0</v>
      </c>
      <c r="AU455" s="47">
        <v>0</v>
      </c>
      <c r="AV455" s="47">
        <v>0</v>
      </c>
      <c r="AW455" s="47">
        <v>0</v>
      </c>
      <c r="AX455" s="47">
        <v>0</v>
      </c>
      <c r="AY455" s="47">
        <v>0</v>
      </c>
      <c r="AZ455" s="47">
        <v>0</v>
      </c>
      <c r="BA455" s="47">
        <v>0</v>
      </c>
      <c r="BB455" s="47">
        <v>0</v>
      </c>
      <c r="BC455" s="47">
        <v>0</v>
      </c>
      <c r="BD455" s="47">
        <v>0</v>
      </c>
      <c r="BE455" s="47">
        <v>0</v>
      </c>
      <c r="BF455" s="47">
        <v>0</v>
      </c>
      <c r="BG455" s="47">
        <v>0</v>
      </c>
      <c r="BH455" s="47">
        <v>0</v>
      </c>
      <c r="BI455" s="47">
        <v>0</v>
      </c>
      <c r="BJ455" s="47">
        <v>0</v>
      </c>
      <c r="BK455" s="47">
        <v>0</v>
      </c>
      <c r="BL455" s="47">
        <v>0</v>
      </c>
      <c r="BM455" s="47">
        <v>0</v>
      </c>
      <c r="BN455" s="47">
        <v>0</v>
      </c>
      <c r="BO455" s="47">
        <v>0</v>
      </c>
      <c r="BP455" s="47">
        <v>0</v>
      </c>
      <c r="BQ455" s="47">
        <v>0</v>
      </c>
      <c r="BR455" s="47">
        <v>0</v>
      </c>
      <c r="BS455" s="47">
        <v>0</v>
      </c>
      <c r="BT455" s="47">
        <v>0</v>
      </c>
      <c r="BU455" s="47">
        <v>0</v>
      </c>
      <c r="BV455" s="47">
        <v>0</v>
      </c>
      <c r="BW455" s="47">
        <v>0</v>
      </c>
      <c r="BX455" s="47">
        <v>0</v>
      </c>
      <c r="BY455" s="47">
        <v>0</v>
      </c>
      <c r="BZ455" s="47">
        <v>0</v>
      </c>
      <c r="CA455" s="47">
        <v>0</v>
      </c>
      <c r="CB455" s="47">
        <v>0</v>
      </c>
      <c r="CC455" s="47">
        <v>0</v>
      </c>
      <c r="CD455" s="47">
        <v>0</v>
      </c>
      <c r="CE455" s="47">
        <v>0</v>
      </c>
      <c r="CF455" s="47">
        <v>0</v>
      </c>
      <c r="CG455" s="47">
        <v>0</v>
      </c>
      <c r="CH455" s="47">
        <v>0</v>
      </c>
      <c r="CI455" s="47">
        <v>0</v>
      </c>
      <c r="CJ455" s="47">
        <v>0</v>
      </c>
      <c r="CK455" s="47">
        <v>0</v>
      </c>
      <c r="CL455" s="47">
        <v>0</v>
      </c>
      <c r="CM455" s="47">
        <v>0</v>
      </c>
      <c r="CN455" s="47">
        <v>0</v>
      </c>
      <c r="CO455" s="47">
        <v>0</v>
      </c>
      <c r="CP455" s="47">
        <v>0</v>
      </c>
      <c r="CQ455" s="47">
        <v>0</v>
      </c>
      <c r="CR455" s="47">
        <v>0</v>
      </c>
      <c r="CS455" s="47">
        <v>0</v>
      </c>
      <c r="CT455" s="47">
        <v>0</v>
      </c>
      <c r="CU455" s="47">
        <v>0</v>
      </c>
      <c r="CV455" s="47">
        <v>0</v>
      </c>
      <c r="CW455" s="47">
        <v>0</v>
      </c>
      <c r="CX455" s="47">
        <v>0</v>
      </c>
      <c r="CY455" s="47">
        <v>0</v>
      </c>
      <c r="CZ455" s="47">
        <v>0</v>
      </c>
      <c r="DA455" s="47">
        <v>0</v>
      </c>
      <c r="DB455" s="47">
        <v>0</v>
      </c>
      <c r="DC455" s="47">
        <v>0</v>
      </c>
      <c r="DD455" s="47">
        <v>0</v>
      </c>
      <c r="DE455" s="47">
        <v>0</v>
      </c>
      <c r="DF455" s="47">
        <v>0</v>
      </c>
      <c r="DG455" s="47">
        <v>0</v>
      </c>
      <c r="DH455" s="47">
        <v>0</v>
      </c>
      <c r="DI455" s="47">
        <v>0</v>
      </c>
      <c r="DJ455" s="47">
        <v>0</v>
      </c>
      <c r="DK455" s="47">
        <v>0</v>
      </c>
      <c r="DL455" s="47">
        <v>0</v>
      </c>
      <c r="DM455" s="47">
        <v>0</v>
      </c>
      <c r="DN455" s="47">
        <v>0</v>
      </c>
      <c r="DO455" s="47">
        <v>0</v>
      </c>
      <c r="DP455" s="47">
        <v>0</v>
      </c>
      <c r="DQ455" s="47">
        <v>0</v>
      </c>
      <c r="DR455" s="47">
        <v>0</v>
      </c>
      <c r="DS455" s="47">
        <v>0</v>
      </c>
      <c r="DT455" s="47">
        <v>0</v>
      </c>
      <c r="DU455" s="47">
        <v>0</v>
      </c>
      <c r="DV455" s="47">
        <v>0</v>
      </c>
      <c r="DW455" s="47">
        <v>0</v>
      </c>
      <c r="DX455" s="47">
        <v>0</v>
      </c>
      <c r="DY455" s="47">
        <v>0</v>
      </c>
      <c r="DZ455" s="47">
        <v>0</v>
      </c>
      <c r="EA455" s="47">
        <v>0</v>
      </c>
      <c r="EB455" s="47"/>
      <c r="EC455" s="47">
        <v>1</v>
      </c>
      <c r="ZZ455" t="s">
        <v>2472</v>
      </c>
    </row>
    <row r="456" spans="1:702" x14ac:dyDescent="0.25">
      <c r="A456" s="47" t="s">
        <v>2165</v>
      </c>
      <c r="B456" s="47" t="s">
        <v>153</v>
      </c>
      <c r="C456" s="47" t="s">
        <v>157</v>
      </c>
      <c r="D456" s="47" t="s">
        <v>2940</v>
      </c>
      <c r="E456" s="47" t="s">
        <v>2166</v>
      </c>
      <c r="F456" s="47" t="s">
        <v>2167</v>
      </c>
      <c r="G456" s="47" t="s">
        <v>2168</v>
      </c>
      <c r="H456" s="47" t="s">
        <v>698</v>
      </c>
      <c r="I456" s="47" t="s">
        <v>727</v>
      </c>
      <c r="J456" s="47" t="str">
        <f>=IFERROR(VLOOKUP(H456&amp;I456,Table_Fonctions!A:G,6,FALSE),"")</f>
        <v>0</v>
      </c>
      <c r="K456" s="47" t="s">
        <v>2607</v>
      </c>
      <c r="L456" s="47" t="str">
        <f>=IFERROR(VLOOKUP(H456&amp;I456,Table_Fonctions!A:G,7,FALSE),K456)</f>
        <v/>
      </c>
      <c r="M456" s="47" t="str">
        <f>=IF(OR(LEFT(D456, 3)="TJ ", LEFT(D456, 4)="CPH "), "OUI", "NON")</f>
        <v/>
      </c>
      <c r="N456" s="47" t="s">
        <v>1437</v>
      </c>
      <c r="O456" s="47"/>
      <c r="P456" s="47">
        <v>1</v>
      </c>
      <c r="Q456" s="47">
        <v>0</v>
      </c>
      <c r="R456" s="47">
        <v>1</v>
      </c>
      <c r="S456" s="47">
        <f>=ROUND(BQ456-(BR456+BS456),3)</f>
      </c>
      <c r="T456" s="47">
        <f>=ROUND(CK456-(CL456+CM456+CN456+CO456+CP456),3)</f>
      </c>
      <c r="U456" s="47">
        <v>0</v>
      </c>
      <c r="V456" s="47">
        <v>0</v>
      </c>
      <c r="W456" s="47">
        <v>0</v>
      </c>
      <c r="X456" s="47">
        <v>0</v>
      </c>
      <c r="Y456" s="47">
        <v>0</v>
      </c>
      <c r="Z456" s="47">
        <v>0</v>
      </c>
      <c r="AA456" s="47">
        <v>0</v>
      </c>
      <c r="AB456" s="47">
        <v>0</v>
      </c>
      <c r="AC456" s="47">
        <v>0</v>
      </c>
      <c r="AD456" s="47">
        <v>0</v>
      </c>
      <c r="AE456" s="47">
        <v>0</v>
      </c>
      <c r="AF456" s="47">
        <v>0</v>
      </c>
      <c r="AG456" s="47">
        <v>0</v>
      </c>
      <c r="AH456" s="47">
        <v>0</v>
      </c>
      <c r="AI456" s="47">
        <v>0</v>
      </c>
      <c r="AJ456" s="47">
        <v>0</v>
      </c>
      <c r="AK456" s="47">
        <v>0</v>
      </c>
      <c r="AL456" s="47">
        <v>0</v>
      </c>
      <c r="AM456" s="47">
        <v>0</v>
      </c>
      <c r="AN456" s="47">
        <v>0</v>
      </c>
      <c r="AO456" s="47">
        <v>0</v>
      </c>
      <c r="AP456" s="47">
        <v>0</v>
      </c>
      <c r="AQ456" s="47">
        <v>0</v>
      </c>
      <c r="AR456" s="47">
        <v>0</v>
      </c>
      <c r="AS456" s="47">
        <v>0</v>
      </c>
      <c r="AT456" s="47">
        <v>0</v>
      </c>
      <c r="AU456" s="47">
        <v>0</v>
      </c>
      <c r="AV456" s="47">
        <v>0</v>
      </c>
      <c r="AW456" s="47">
        <v>0</v>
      </c>
      <c r="AX456" s="47">
        <v>0</v>
      </c>
      <c r="AY456" s="47">
        <v>0</v>
      </c>
      <c r="AZ456" s="47">
        <v>0</v>
      </c>
      <c r="BA456" s="47">
        <v>0</v>
      </c>
      <c r="BB456" s="47">
        <v>0</v>
      </c>
      <c r="BC456" s="47">
        <v>0</v>
      </c>
      <c r="BD456" s="47">
        <v>0</v>
      </c>
      <c r="BE456" s="47">
        <v>0</v>
      </c>
      <c r="BF456" s="47">
        <v>0</v>
      </c>
      <c r="BG456" s="47">
        <v>0</v>
      </c>
      <c r="BH456" s="47">
        <v>0</v>
      </c>
      <c r="BI456" s="47">
        <v>0</v>
      </c>
      <c r="BJ456" s="47">
        <v>0</v>
      </c>
      <c r="BK456" s="47">
        <v>0</v>
      </c>
      <c r="BL456" s="47">
        <v>0</v>
      </c>
      <c r="BM456" s="47">
        <v>0</v>
      </c>
      <c r="BN456" s="47">
        <v>0</v>
      </c>
      <c r="BO456" s="47">
        <v>0</v>
      </c>
      <c r="BP456" s="47">
        <v>0</v>
      </c>
      <c r="BQ456" s="47">
        <v>0</v>
      </c>
      <c r="BR456" s="47">
        <v>0</v>
      </c>
      <c r="BS456" s="47">
        <v>0</v>
      </c>
      <c r="BT456" s="47">
        <v>0</v>
      </c>
      <c r="BU456" s="47">
        <v>0</v>
      </c>
      <c r="BV456" s="47">
        <v>0</v>
      </c>
      <c r="BW456" s="47">
        <v>0</v>
      </c>
      <c r="BX456" s="47">
        <v>0</v>
      </c>
      <c r="BY456" s="47">
        <v>0</v>
      </c>
      <c r="BZ456" s="47">
        <v>0</v>
      </c>
      <c r="CA456" s="47">
        <v>0</v>
      </c>
      <c r="CB456" s="47">
        <v>0</v>
      </c>
      <c r="CC456" s="47">
        <v>0</v>
      </c>
      <c r="CD456" s="47">
        <v>0</v>
      </c>
      <c r="CE456" s="47">
        <v>0</v>
      </c>
      <c r="CF456" s="47">
        <v>0</v>
      </c>
      <c r="CG456" s="47">
        <v>0</v>
      </c>
      <c r="CH456" s="47">
        <v>0</v>
      </c>
      <c r="CI456" s="47">
        <v>0</v>
      </c>
      <c r="CJ456" s="47">
        <v>0</v>
      </c>
      <c r="CK456" s="47">
        <v>0</v>
      </c>
      <c r="CL456" s="47">
        <v>0</v>
      </c>
      <c r="CM456" s="47">
        <v>0</v>
      </c>
      <c r="CN456" s="47">
        <v>0</v>
      </c>
      <c r="CO456" s="47">
        <v>0</v>
      </c>
      <c r="CP456" s="47">
        <v>0</v>
      </c>
      <c r="CQ456" s="47">
        <v>0</v>
      </c>
      <c r="CR456" s="47">
        <v>0</v>
      </c>
      <c r="CS456" s="47">
        <v>0</v>
      </c>
      <c r="CT456" s="47">
        <v>0</v>
      </c>
      <c r="CU456" s="47">
        <v>0</v>
      </c>
      <c r="CV456" s="47">
        <v>0</v>
      </c>
      <c r="CW456" s="47">
        <v>0</v>
      </c>
      <c r="CX456" s="47">
        <v>0</v>
      </c>
      <c r="CY456" s="47">
        <v>0</v>
      </c>
      <c r="CZ456" s="47">
        <v>0</v>
      </c>
      <c r="DA456" s="47">
        <v>0</v>
      </c>
      <c r="DB456" s="47">
        <v>0</v>
      </c>
      <c r="DC456" s="47">
        <v>0</v>
      </c>
      <c r="DD456" s="47">
        <v>0</v>
      </c>
      <c r="DE456" s="47">
        <v>0</v>
      </c>
      <c r="DF456" s="47">
        <v>0</v>
      </c>
      <c r="DG456" s="47">
        <v>0</v>
      </c>
      <c r="DH456" s="47">
        <v>0</v>
      </c>
      <c r="DI456" s="47">
        <v>0</v>
      </c>
      <c r="DJ456" s="47">
        <v>0</v>
      </c>
      <c r="DK456" s="47">
        <v>0</v>
      </c>
      <c r="DL456" s="47">
        <v>0</v>
      </c>
      <c r="DM456" s="47">
        <v>0</v>
      </c>
      <c r="DN456" s="47">
        <v>0</v>
      </c>
      <c r="DO456" s="47">
        <v>0</v>
      </c>
      <c r="DP456" s="47">
        <v>0</v>
      </c>
      <c r="DQ456" s="47">
        <v>0</v>
      </c>
      <c r="DR456" s="47">
        <v>0</v>
      </c>
      <c r="DS456" s="47">
        <v>0</v>
      </c>
      <c r="DT456" s="47">
        <v>0</v>
      </c>
      <c r="DU456" s="47">
        <v>0</v>
      </c>
      <c r="DV456" s="47">
        <v>0</v>
      </c>
      <c r="DW456" s="47">
        <v>0</v>
      </c>
      <c r="DX456" s="47">
        <v>0</v>
      </c>
      <c r="DY456" s="47">
        <v>0</v>
      </c>
      <c r="DZ456" s="47">
        <v>0</v>
      </c>
      <c r="EA456" s="47">
        <v>0</v>
      </c>
      <c r="EB456" s="47"/>
      <c r="EC456" s="47">
        <v>1</v>
      </c>
      <c r="ZZ456" t="s">
        <v>2472</v>
      </c>
    </row>
    <row r="457" spans="1:702" x14ac:dyDescent="0.25">
      <c r="A457" s="47" t="s">
        <v>2169</v>
      </c>
      <c r="B457" s="47" t="s">
        <v>153</v>
      </c>
      <c r="C457" s="47" t="s">
        <v>157</v>
      </c>
      <c r="D457" s="47" t="s">
        <v>2941</v>
      </c>
      <c r="E457" s="47" t="s">
        <v>2170</v>
      </c>
      <c r="F457" s="47" t="s">
        <v>2171</v>
      </c>
      <c r="G457" s="47" t="s">
        <v>2172</v>
      </c>
      <c r="H457" s="47" t="s">
        <v>698</v>
      </c>
      <c r="I457" s="47" t="s">
        <v>727</v>
      </c>
      <c r="J457" s="47" t="str">
        <f>=IFERROR(VLOOKUP(H457&amp;I457,Table_Fonctions!A:G,6,FALSE),"")</f>
        <v>0</v>
      </c>
      <c r="K457" s="47" t="s">
        <v>2607</v>
      </c>
      <c r="L457" s="47" t="str">
        <f>=IFERROR(VLOOKUP(H457&amp;I457,Table_Fonctions!A:G,7,FALSE),K457)</f>
        <v/>
      </c>
      <c r="M457" s="47" t="str">
        <f>=IF(OR(LEFT(D457, 3)="TJ ", LEFT(D457, 4)="CPH "), "OUI", "NON")</f>
        <v/>
      </c>
      <c r="N457" s="47" t="s">
        <v>2063</v>
      </c>
      <c r="O457" s="47"/>
      <c r="P457" s="47">
        <v>1</v>
      </c>
      <c r="Q457" s="47">
        <v>0</v>
      </c>
      <c r="R457" s="47">
        <v>1</v>
      </c>
      <c r="S457" s="47">
        <f>=ROUND(BQ457-(BR457+BS457),3)</f>
      </c>
      <c r="T457" s="47">
        <f>=ROUND(CK457-(CL457+CM457+CN457+CO457+CP457),3)</f>
      </c>
      <c r="U457" s="47">
        <v>0</v>
      </c>
      <c r="V457" s="47">
        <v>0</v>
      </c>
      <c r="W457" s="47">
        <v>0</v>
      </c>
      <c r="X457" s="47">
        <v>0</v>
      </c>
      <c r="Y457" s="47">
        <v>0</v>
      </c>
      <c r="Z457" s="47">
        <v>0</v>
      </c>
      <c r="AA457" s="47">
        <v>0</v>
      </c>
      <c r="AB457" s="47">
        <v>0</v>
      </c>
      <c r="AC457" s="47">
        <v>0</v>
      </c>
      <c r="AD457" s="47">
        <v>0</v>
      </c>
      <c r="AE457" s="47">
        <v>0</v>
      </c>
      <c r="AF457" s="47">
        <v>0</v>
      </c>
      <c r="AG457" s="47">
        <v>0</v>
      </c>
      <c r="AH457" s="47">
        <v>0</v>
      </c>
      <c r="AI457" s="47">
        <v>0</v>
      </c>
      <c r="AJ457" s="47">
        <v>0</v>
      </c>
      <c r="AK457" s="47">
        <v>0</v>
      </c>
      <c r="AL457" s="47">
        <v>0</v>
      </c>
      <c r="AM457" s="47">
        <v>0</v>
      </c>
      <c r="AN457" s="47">
        <v>0</v>
      </c>
      <c r="AO457" s="47">
        <v>0</v>
      </c>
      <c r="AP457" s="47">
        <v>0</v>
      </c>
      <c r="AQ457" s="47">
        <v>0</v>
      </c>
      <c r="AR457" s="47">
        <v>0</v>
      </c>
      <c r="AS457" s="47">
        <v>0</v>
      </c>
      <c r="AT457" s="47">
        <v>0</v>
      </c>
      <c r="AU457" s="47">
        <v>0</v>
      </c>
      <c r="AV457" s="47">
        <v>0</v>
      </c>
      <c r="AW457" s="47">
        <v>0</v>
      </c>
      <c r="AX457" s="47">
        <v>0</v>
      </c>
      <c r="AY457" s="47">
        <v>0</v>
      </c>
      <c r="AZ457" s="47">
        <v>0</v>
      </c>
      <c r="BA457" s="47">
        <v>0</v>
      </c>
      <c r="BB457" s="47">
        <v>0</v>
      </c>
      <c r="BC457" s="47">
        <v>0</v>
      </c>
      <c r="BD457" s="47">
        <v>0</v>
      </c>
      <c r="BE457" s="47">
        <v>0</v>
      </c>
      <c r="BF457" s="47">
        <v>0</v>
      </c>
      <c r="BG457" s="47">
        <v>0</v>
      </c>
      <c r="BH457" s="47">
        <v>0</v>
      </c>
      <c r="BI457" s="47">
        <v>0</v>
      </c>
      <c r="BJ457" s="47">
        <v>0</v>
      </c>
      <c r="BK457" s="47">
        <v>0</v>
      </c>
      <c r="BL457" s="47">
        <v>0</v>
      </c>
      <c r="BM457" s="47">
        <v>0</v>
      </c>
      <c r="BN457" s="47">
        <v>0</v>
      </c>
      <c r="BO457" s="47">
        <v>0</v>
      </c>
      <c r="BP457" s="47">
        <v>0</v>
      </c>
      <c r="BQ457" s="47">
        <v>0</v>
      </c>
      <c r="BR457" s="47">
        <v>0</v>
      </c>
      <c r="BS457" s="47">
        <v>0</v>
      </c>
      <c r="BT457" s="47">
        <v>0</v>
      </c>
      <c r="BU457" s="47">
        <v>0</v>
      </c>
      <c r="BV457" s="47">
        <v>0</v>
      </c>
      <c r="BW457" s="47">
        <v>0</v>
      </c>
      <c r="BX457" s="47">
        <v>0</v>
      </c>
      <c r="BY457" s="47">
        <v>0</v>
      </c>
      <c r="BZ457" s="47">
        <v>0</v>
      </c>
      <c r="CA457" s="47">
        <v>0</v>
      </c>
      <c r="CB457" s="47">
        <v>0</v>
      </c>
      <c r="CC457" s="47">
        <v>0</v>
      </c>
      <c r="CD457" s="47">
        <v>0</v>
      </c>
      <c r="CE457" s="47">
        <v>0</v>
      </c>
      <c r="CF457" s="47">
        <v>0</v>
      </c>
      <c r="CG457" s="47">
        <v>0</v>
      </c>
      <c r="CH457" s="47">
        <v>0</v>
      </c>
      <c r="CI457" s="47">
        <v>0</v>
      </c>
      <c r="CJ457" s="47">
        <v>0</v>
      </c>
      <c r="CK457" s="47">
        <v>0</v>
      </c>
      <c r="CL457" s="47">
        <v>0</v>
      </c>
      <c r="CM457" s="47">
        <v>0</v>
      </c>
      <c r="CN457" s="47">
        <v>0</v>
      </c>
      <c r="CO457" s="47">
        <v>0</v>
      </c>
      <c r="CP457" s="47">
        <v>0</v>
      </c>
      <c r="CQ457" s="47">
        <v>0</v>
      </c>
      <c r="CR457" s="47">
        <v>0</v>
      </c>
      <c r="CS457" s="47">
        <v>0</v>
      </c>
      <c r="CT457" s="47">
        <v>0</v>
      </c>
      <c r="CU457" s="47">
        <v>0</v>
      </c>
      <c r="CV457" s="47">
        <v>0</v>
      </c>
      <c r="CW457" s="47">
        <v>0</v>
      </c>
      <c r="CX457" s="47">
        <v>0</v>
      </c>
      <c r="CY457" s="47">
        <v>0</v>
      </c>
      <c r="CZ457" s="47">
        <v>0</v>
      </c>
      <c r="DA457" s="47">
        <v>0</v>
      </c>
      <c r="DB457" s="47">
        <v>0</v>
      </c>
      <c r="DC457" s="47">
        <v>0</v>
      </c>
      <c r="DD457" s="47">
        <v>0</v>
      </c>
      <c r="DE457" s="47">
        <v>0</v>
      </c>
      <c r="DF457" s="47">
        <v>0</v>
      </c>
      <c r="DG457" s="47">
        <v>0</v>
      </c>
      <c r="DH457" s="47">
        <v>0</v>
      </c>
      <c r="DI457" s="47">
        <v>0</v>
      </c>
      <c r="DJ457" s="47">
        <v>0</v>
      </c>
      <c r="DK457" s="47">
        <v>0</v>
      </c>
      <c r="DL457" s="47">
        <v>0</v>
      </c>
      <c r="DM457" s="47">
        <v>0</v>
      </c>
      <c r="DN457" s="47">
        <v>0</v>
      </c>
      <c r="DO457" s="47">
        <v>0</v>
      </c>
      <c r="DP457" s="47">
        <v>0</v>
      </c>
      <c r="DQ457" s="47">
        <v>0</v>
      </c>
      <c r="DR457" s="47">
        <v>0</v>
      </c>
      <c r="DS457" s="47">
        <v>0</v>
      </c>
      <c r="DT457" s="47">
        <v>0</v>
      </c>
      <c r="DU457" s="47">
        <v>0</v>
      </c>
      <c r="DV457" s="47">
        <v>0</v>
      </c>
      <c r="DW457" s="47">
        <v>0</v>
      </c>
      <c r="DX457" s="47">
        <v>0</v>
      </c>
      <c r="DY457" s="47">
        <v>0</v>
      </c>
      <c r="DZ457" s="47">
        <v>0</v>
      </c>
      <c r="EA457" s="47">
        <v>0</v>
      </c>
      <c r="EB457" s="47"/>
      <c r="EC457" s="47">
        <v>1</v>
      </c>
      <c r="ZZ457" t="s">
        <v>2472</v>
      </c>
    </row>
    <row r="458" spans="1:702" x14ac:dyDescent="0.25">
      <c r="A458" s="47" t="s">
        <v>2173</v>
      </c>
      <c r="B458" s="47" t="s">
        <v>153</v>
      </c>
      <c r="C458" s="47" t="s">
        <v>157</v>
      </c>
      <c r="D458" s="47" t="s">
        <v>2942</v>
      </c>
      <c r="E458" s="47" t="s">
        <v>2174</v>
      </c>
      <c r="F458" s="47" t="s">
        <v>2175</v>
      </c>
      <c r="G458" s="47" t="s">
        <v>2176</v>
      </c>
      <c r="H458" s="47" t="s">
        <v>698</v>
      </c>
      <c r="I458" s="47" t="s">
        <v>2943</v>
      </c>
      <c r="J458" s="47" t="str">
        <f>=IFERROR(VLOOKUP(H458&amp;I458,Table_Fonctions!A:G,6,FALSE),"")</f>
        <v>0</v>
      </c>
      <c r="K458" s="47" t="s">
        <v>2605</v>
      </c>
      <c r="L458" s="47" t="str">
        <f>=IFERROR(VLOOKUP(H458&amp;I458,Table_Fonctions!A:G,7,FALSE),K458)</f>
        <v/>
      </c>
      <c r="M458" s="47" t="str">
        <f>=IF(OR(LEFT(D458, 3)="TJ ", LEFT(D458, 4)="CPH "), "OUI", "NON")</f>
        <v/>
      </c>
      <c r="N458" s="47" t="s">
        <v>593</v>
      </c>
      <c r="O458" s="47"/>
      <c r="P458" s="47">
        <v>1</v>
      </c>
      <c r="Q458" s="47">
        <v>1</v>
      </c>
      <c r="R458" s="47">
        <v>0</v>
      </c>
      <c r="S458" s="47">
        <f>=ROUND(BQ458-(BR458+BS458),3)</f>
      </c>
      <c r="T458" s="47">
        <f>=ROUND(CK458-(CL458+CM458+CN458+CO458+CP458),3)</f>
      </c>
      <c r="U458" s="47">
        <v>0</v>
      </c>
      <c r="V458" s="47">
        <v>0</v>
      </c>
      <c r="W458" s="47">
        <v>0</v>
      </c>
      <c r="X458" s="47">
        <v>0</v>
      </c>
      <c r="Y458" s="47">
        <v>0</v>
      </c>
      <c r="Z458" s="47">
        <v>0</v>
      </c>
      <c r="AA458" s="47">
        <v>0</v>
      </c>
      <c r="AB458" s="47">
        <v>0</v>
      </c>
      <c r="AC458" s="47">
        <v>0</v>
      </c>
      <c r="AD458" s="47">
        <v>0</v>
      </c>
      <c r="AE458" s="47">
        <v>0</v>
      </c>
      <c r="AF458" s="47">
        <v>0</v>
      </c>
      <c r="AG458" s="47">
        <v>0</v>
      </c>
      <c r="AH458" s="47">
        <v>0</v>
      </c>
      <c r="AI458" s="47">
        <v>0</v>
      </c>
      <c r="AJ458" s="47">
        <v>0</v>
      </c>
      <c r="AK458" s="47">
        <v>0</v>
      </c>
      <c r="AL458" s="47">
        <v>0</v>
      </c>
      <c r="AM458" s="47">
        <v>0</v>
      </c>
      <c r="AN458" s="47">
        <v>0</v>
      </c>
      <c r="AO458" s="47">
        <v>0</v>
      </c>
      <c r="AP458" s="47">
        <v>0</v>
      </c>
      <c r="AQ458" s="47">
        <v>0</v>
      </c>
      <c r="AR458" s="47">
        <v>0</v>
      </c>
      <c r="AS458" s="47">
        <v>0</v>
      </c>
      <c r="AT458" s="47">
        <v>0</v>
      </c>
      <c r="AU458" s="47">
        <v>0</v>
      </c>
      <c r="AV458" s="47">
        <v>0</v>
      </c>
      <c r="AW458" s="47">
        <v>0</v>
      </c>
      <c r="AX458" s="47">
        <v>0</v>
      </c>
      <c r="AY458" s="47">
        <v>0</v>
      </c>
      <c r="AZ458" s="47">
        <v>0</v>
      </c>
      <c r="BA458" s="47">
        <v>0</v>
      </c>
      <c r="BB458" s="47">
        <v>0</v>
      </c>
      <c r="BC458" s="47">
        <v>0</v>
      </c>
      <c r="BD458" s="47">
        <v>0</v>
      </c>
      <c r="BE458" s="47">
        <v>0</v>
      </c>
      <c r="BF458" s="47">
        <v>0</v>
      </c>
      <c r="BG458" s="47">
        <v>0</v>
      </c>
      <c r="BH458" s="47">
        <v>0</v>
      </c>
      <c r="BI458" s="47">
        <v>0</v>
      </c>
      <c r="BJ458" s="47">
        <v>0</v>
      </c>
      <c r="BK458" s="47">
        <v>0</v>
      </c>
      <c r="BL458" s="47">
        <v>0</v>
      </c>
      <c r="BM458" s="47">
        <v>0</v>
      </c>
      <c r="BN458" s="47">
        <v>0</v>
      </c>
      <c r="BO458" s="47">
        <v>0</v>
      </c>
      <c r="BP458" s="47">
        <v>0</v>
      </c>
      <c r="BQ458" s="47">
        <v>0</v>
      </c>
      <c r="BR458" s="47">
        <v>0</v>
      </c>
      <c r="BS458" s="47">
        <v>0</v>
      </c>
      <c r="BT458" s="47">
        <v>1</v>
      </c>
      <c r="BU458" s="47">
        <v>0</v>
      </c>
      <c r="BV458" s="47">
        <v>0</v>
      </c>
      <c r="BW458" s="47">
        <v>0</v>
      </c>
      <c r="BX458" s="47">
        <v>0</v>
      </c>
      <c r="BY458" s="47">
        <v>0</v>
      </c>
      <c r="BZ458" s="47">
        <v>0</v>
      </c>
      <c r="CA458" s="47">
        <v>0</v>
      </c>
      <c r="CB458" s="47">
        <v>0</v>
      </c>
      <c r="CC458" s="47">
        <v>1</v>
      </c>
      <c r="CD458" s="47">
        <v>0</v>
      </c>
      <c r="CE458" s="47">
        <v>0</v>
      </c>
      <c r="CF458" s="47">
        <v>0</v>
      </c>
      <c r="CG458" s="47">
        <v>0</v>
      </c>
      <c r="CH458" s="47">
        <v>0</v>
      </c>
      <c r="CI458" s="47">
        <v>0</v>
      </c>
      <c r="CJ458" s="47">
        <v>0</v>
      </c>
      <c r="CK458" s="47">
        <v>0</v>
      </c>
      <c r="CL458" s="47">
        <v>0</v>
      </c>
      <c r="CM458" s="47">
        <v>0</v>
      </c>
      <c r="CN458" s="47">
        <v>0</v>
      </c>
      <c r="CO458" s="47">
        <v>0</v>
      </c>
      <c r="CP458" s="47">
        <v>0</v>
      </c>
      <c r="CQ458" s="47">
        <v>0</v>
      </c>
      <c r="CR458" s="47">
        <v>0</v>
      </c>
      <c r="CS458" s="47">
        <v>0</v>
      </c>
      <c r="CT458" s="47">
        <v>0</v>
      </c>
      <c r="CU458" s="47">
        <v>0</v>
      </c>
      <c r="CV458" s="47">
        <v>0</v>
      </c>
      <c r="CW458" s="47">
        <v>0</v>
      </c>
      <c r="CX458" s="47">
        <v>0</v>
      </c>
      <c r="CY458" s="47">
        <v>0</v>
      </c>
      <c r="CZ458" s="47">
        <v>0</v>
      </c>
      <c r="DA458" s="47">
        <v>0</v>
      </c>
      <c r="DB458" s="47">
        <v>0</v>
      </c>
      <c r="DC458" s="47">
        <v>0</v>
      </c>
      <c r="DD458" s="47">
        <v>0</v>
      </c>
      <c r="DE458" s="47">
        <v>0</v>
      </c>
      <c r="DF458" s="47">
        <v>0</v>
      </c>
      <c r="DG458" s="47">
        <v>0</v>
      </c>
      <c r="DH458" s="47">
        <v>0</v>
      </c>
      <c r="DI458" s="47">
        <v>0</v>
      </c>
      <c r="DJ458" s="47">
        <v>0</v>
      </c>
      <c r="DK458" s="47">
        <v>0</v>
      </c>
      <c r="DL458" s="47">
        <v>0</v>
      </c>
      <c r="DM458" s="47">
        <v>0</v>
      </c>
      <c r="DN458" s="47">
        <v>0</v>
      </c>
      <c r="DO458" s="47">
        <v>0</v>
      </c>
      <c r="DP458" s="47">
        <v>0</v>
      </c>
      <c r="DQ458" s="47">
        <v>0</v>
      </c>
      <c r="DR458" s="47">
        <v>0</v>
      </c>
      <c r="DS458" s="47">
        <v>0</v>
      </c>
      <c r="DT458" s="47">
        <v>0</v>
      </c>
      <c r="DU458" s="47">
        <v>0</v>
      </c>
      <c r="DV458" s="47">
        <v>0</v>
      </c>
      <c r="DW458" s="47">
        <v>0</v>
      </c>
      <c r="DX458" s="47">
        <v>0</v>
      </c>
      <c r="DY458" s="47">
        <v>0</v>
      </c>
      <c r="DZ458" s="47">
        <v>0</v>
      </c>
      <c r="EA458" s="47">
        <v>0</v>
      </c>
      <c r="EB458" s="47"/>
      <c r="EC458" s="47">
        <v>1</v>
      </c>
      <c r="ZZ458" t="s">
        <v>2472</v>
      </c>
    </row>
    <row r="459" spans="1:702" x14ac:dyDescent="0.25">
      <c r="A459" s="47" t="s">
        <v>2178</v>
      </c>
      <c r="B459" s="47" t="s">
        <v>153</v>
      </c>
      <c r="C459" s="47" t="s">
        <v>157</v>
      </c>
      <c r="D459" s="47" t="s">
        <v>2944</v>
      </c>
      <c r="E459" s="47" t="s">
        <v>2179</v>
      </c>
      <c r="F459" s="47" t="s">
        <v>2180</v>
      </c>
      <c r="G459" s="47" t="s">
        <v>2181</v>
      </c>
      <c r="H459" s="47" t="s">
        <v>698</v>
      </c>
      <c r="I459" s="47" t="s">
        <v>738</v>
      </c>
      <c r="J459" s="47" t="str">
        <f>=IFERROR(VLOOKUP(H459&amp;I459,Table_Fonctions!A:G,6,FALSE),"")</f>
        <v>0</v>
      </c>
      <c r="K459" s="47" t="s">
        <v>2607</v>
      </c>
      <c r="L459" s="47" t="str">
        <f>=IFERROR(VLOOKUP(H459&amp;I459,Table_Fonctions!A:G,7,FALSE),K459)</f>
        <v/>
      </c>
      <c r="M459" s="47" t="str">
        <f>=IF(OR(LEFT(D459, 3)="TJ ", LEFT(D459, 4)="CPH "), "OUI", "NON")</f>
        <v/>
      </c>
      <c r="N459" s="47" t="s">
        <v>593</v>
      </c>
      <c r="O459" s="47"/>
      <c r="P459" s="47">
        <v>1</v>
      </c>
      <c r="Q459" s="47">
        <v>1</v>
      </c>
      <c r="R459" s="47">
        <v>0</v>
      </c>
      <c r="S459" s="47">
        <f>=ROUND(BQ459-(BR459+BS459),3)</f>
      </c>
      <c r="T459" s="47">
        <f>=ROUND(CK459-(CL459+CM459+CN459+CO459+CP459),3)</f>
      </c>
      <c r="U459" s="47">
        <v>0</v>
      </c>
      <c r="V459" s="47">
        <v>0</v>
      </c>
      <c r="W459" s="47">
        <v>0</v>
      </c>
      <c r="X459" s="47">
        <v>0</v>
      </c>
      <c r="Y459" s="47">
        <v>0</v>
      </c>
      <c r="Z459" s="47">
        <v>0</v>
      </c>
      <c r="AA459" s="47">
        <v>0</v>
      </c>
      <c r="AB459" s="47">
        <v>0</v>
      </c>
      <c r="AC459" s="47">
        <v>0</v>
      </c>
      <c r="AD459" s="47">
        <v>0</v>
      </c>
      <c r="AE459" s="47">
        <v>0</v>
      </c>
      <c r="AF459" s="47">
        <v>0</v>
      </c>
      <c r="AG459" s="47">
        <v>0</v>
      </c>
      <c r="AH459" s="47">
        <v>0</v>
      </c>
      <c r="AI459" s="47">
        <v>0</v>
      </c>
      <c r="AJ459" s="47">
        <v>0</v>
      </c>
      <c r="AK459" s="47">
        <v>0</v>
      </c>
      <c r="AL459" s="47">
        <v>0</v>
      </c>
      <c r="AM459" s="47">
        <v>0</v>
      </c>
      <c r="AN459" s="47">
        <v>0</v>
      </c>
      <c r="AO459" s="47">
        <v>0</v>
      </c>
      <c r="AP459" s="47">
        <v>0</v>
      </c>
      <c r="AQ459" s="47">
        <v>0</v>
      </c>
      <c r="AR459" s="47">
        <v>0</v>
      </c>
      <c r="AS459" s="47">
        <v>0</v>
      </c>
      <c r="AT459" s="47">
        <v>0</v>
      </c>
      <c r="AU459" s="47">
        <v>0</v>
      </c>
      <c r="AV459" s="47">
        <v>0</v>
      </c>
      <c r="AW459" s="47">
        <v>0</v>
      </c>
      <c r="AX459" s="47">
        <v>0</v>
      </c>
      <c r="AY459" s="47">
        <v>0</v>
      </c>
      <c r="AZ459" s="47">
        <v>0</v>
      </c>
      <c r="BA459" s="47">
        <v>0</v>
      </c>
      <c r="BB459" s="47">
        <v>0</v>
      </c>
      <c r="BC459" s="47">
        <v>0</v>
      </c>
      <c r="BD459" s="47">
        <v>0</v>
      </c>
      <c r="BE459" s="47">
        <v>0</v>
      </c>
      <c r="BF459" s="47">
        <v>0</v>
      </c>
      <c r="BG459" s="47">
        <v>0</v>
      </c>
      <c r="BH459" s="47">
        <v>0</v>
      </c>
      <c r="BI459" s="47">
        <v>0</v>
      </c>
      <c r="BJ459" s="47">
        <v>0</v>
      </c>
      <c r="BK459" s="47">
        <v>0</v>
      </c>
      <c r="BL459" s="47">
        <v>0</v>
      </c>
      <c r="BM459" s="47">
        <v>0</v>
      </c>
      <c r="BN459" s="47">
        <v>0</v>
      </c>
      <c r="BO459" s="47">
        <v>0</v>
      </c>
      <c r="BP459" s="47">
        <v>0</v>
      </c>
      <c r="BQ459" s="47">
        <v>0</v>
      </c>
      <c r="BR459" s="47">
        <v>0</v>
      </c>
      <c r="BS459" s="47">
        <v>0</v>
      </c>
      <c r="BT459" s="47">
        <v>0</v>
      </c>
      <c r="BU459" s="47">
        <v>0</v>
      </c>
      <c r="BV459" s="47">
        <v>0</v>
      </c>
      <c r="BW459" s="47">
        <v>0</v>
      </c>
      <c r="BX459" s="47">
        <v>0</v>
      </c>
      <c r="BY459" s="47">
        <v>0</v>
      </c>
      <c r="BZ459" s="47">
        <v>0</v>
      </c>
      <c r="CA459" s="47">
        <v>0</v>
      </c>
      <c r="CB459" s="47">
        <v>0</v>
      </c>
      <c r="CC459" s="47">
        <v>0</v>
      </c>
      <c r="CD459" s="47">
        <v>0</v>
      </c>
      <c r="CE459" s="47">
        <v>0</v>
      </c>
      <c r="CF459" s="47">
        <v>0</v>
      </c>
      <c r="CG459" s="47">
        <v>0</v>
      </c>
      <c r="CH459" s="47">
        <v>0</v>
      </c>
      <c r="CI459" s="47">
        <v>0</v>
      </c>
      <c r="CJ459" s="47">
        <v>0</v>
      </c>
      <c r="CK459" s="47">
        <v>0</v>
      </c>
      <c r="CL459" s="47">
        <v>0</v>
      </c>
      <c r="CM459" s="47">
        <v>0</v>
      </c>
      <c r="CN459" s="47">
        <v>0</v>
      </c>
      <c r="CO459" s="47">
        <v>0</v>
      </c>
      <c r="CP459" s="47">
        <v>0</v>
      </c>
      <c r="CQ459" s="47">
        <v>0</v>
      </c>
      <c r="CR459" s="47">
        <v>0</v>
      </c>
      <c r="CS459" s="47">
        <v>0</v>
      </c>
      <c r="CT459" s="47">
        <v>0</v>
      </c>
      <c r="CU459" s="47">
        <v>0</v>
      </c>
      <c r="CV459" s="47">
        <v>0</v>
      </c>
      <c r="CW459" s="47">
        <v>0</v>
      </c>
      <c r="CX459" s="47">
        <v>0</v>
      </c>
      <c r="CY459" s="47">
        <v>1</v>
      </c>
      <c r="CZ459" s="47">
        <v>1</v>
      </c>
      <c r="DA459" s="47">
        <v>0</v>
      </c>
      <c r="DB459" s="47">
        <v>0</v>
      </c>
      <c r="DC459" s="47">
        <v>0</v>
      </c>
      <c r="DD459" s="47">
        <v>0</v>
      </c>
      <c r="DE459" s="47">
        <v>0</v>
      </c>
      <c r="DF459" s="47">
        <v>0</v>
      </c>
      <c r="DG459" s="47">
        <v>0</v>
      </c>
      <c r="DH459" s="47">
        <v>0</v>
      </c>
      <c r="DI459" s="47">
        <v>0</v>
      </c>
      <c r="DJ459" s="47">
        <v>0</v>
      </c>
      <c r="DK459" s="47">
        <v>0</v>
      </c>
      <c r="DL459" s="47">
        <v>0</v>
      </c>
      <c r="DM459" s="47">
        <v>0</v>
      </c>
      <c r="DN459" s="47">
        <v>0</v>
      </c>
      <c r="DO459" s="47">
        <v>0</v>
      </c>
      <c r="DP459" s="47">
        <v>0</v>
      </c>
      <c r="DQ459" s="47">
        <v>0</v>
      </c>
      <c r="DR459" s="47">
        <v>0</v>
      </c>
      <c r="DS459" s="47">
        <v>0</v>
      </c>
      <c r="DT459" s="47">
        <v>0</v>
      </c>
      <c r="DU459" s="47">
        <v>0</v>
      </c>
      <c r="DV459" s="47">
        <v>0</v>
      </c>
      <c r="DW459" s="47">
        <v>0</v>
      </c>
      <c r="DX459" s="47">
        <v>0</v>
      </c>
      <c r="DY459" s="47">
        <v>0</v>
      </c>
      <c r="DZ459" s="47">
        <v>0</v>
      </c>
      <c r="EA459" s="47">
        <v>0</v>
      </c>
      <c r="EB459" s="47"/>
      <c r="EC459" s="47">
        <v>1</v>
      </c>
      <c r="ZZ459" t="s">
        <v>2472</v>
      </c>
    </row>
    <row r="460" spans="1:702" x14ac:dyDescent="0.25">
      <c r="A460" s="47" t="s">
        <v>2182</v>
      </c>
      <c r="B460" s="47" t="s">
        <v>153</v>
      </c>
      <c r="C460" s="47" t="s">
        <v>157</v>
      </c>
      <c r="D460" s="47" t="s">
        <v>2945</v>
      </c>
      <c r="E460" s="47" t="s">
        <v>2183</v>
      </c>
      <c r="F460" s="47" t="s">
        <v>2184</v>
      </c>
      <c r="G460" s="47" t="s">
        <v>2185</v>
      </c>
      <c r="H460" s="47" t="s">
        <v>698</v>
      </c>
      <c r="I460" s="47" t="s">
        <v>727</v>
      </c>
      <c r="J460" s="47" t="str">
        <f>=IFERROR(VLOOKUP(H460&amp;I460,Table_Fonctions!A:G,6,FALSE),"")</f>
        <v>0</v>
      </c>
      <c r="K460" s="47" t="s">
        <v>2607</v>
      </c>
      <c r="L460" s="47" t="str">
        <f>=IFERROR(VLOOKUP(H460&amp;I460,Table_Fonctions!A:G,7,FALSE),K460)</f>
        <v/>
      </c>
      <c r="M460" s="47" t="str">
        <f>=IF(OR(LEFT(D460, 3)="TJ ", LEFT(D460, 4)="CPH "), "OUI", "NON")</f>
        <v/>
      </c>
      <c r="N460" s="47" t="s">
        <v>739</v>
      </c>
      <c r="O460" s="47"/>
      <c r="P460" s="47">
        <v>1</v>
      </c>
      <c r="Q460" s="47">
        <v>0</v>
      </c>
      <c r="R460" s="47">
        <v>1</v>
      </c>
      <c r="S460" s="47">
        <f>=ROUND(BQ460-(BR460+BS460),3)</f>
      </c>
      <c r="T460" s="47">
        <f>=ROUND(CK460-(CL460+CM460+CN460+CO460+CP460),3)</f>
      </c>
      <c r="U460" s="47">
        <v>0</v>
      </c>
      <c r="V460" s="47">
        <v>0</v>
      </c>
      <c r="W460" s="47">
        <v>0</v>
      </c>
      <c r="X460" s="47">
        <v>0</v>
      </c>
      <c r="Y460" s="47">
        <v>0</v>
      </c>
      <c r="Z460" s="47">
        <v>0</v>
      </c>
      <c r="AA460" s="47">
        <v>0</v>
      </c>
      <c r="AB460" s="47">
        <v>0</v>
      </c>
      <c r="AC460" s="47">
        <v>0</v>
      </c>
      <c r="AD460" s="47">
        <v>0</v>
      </c>
      <c r="AE460" s="47">
        <v>0</v>
      </c>
      <c r="AF460" s="47">
        <v>0</v>
      </c>
      <c r="AG460" s="47">
        <v>0</v>
      </c>
      <c r="AH460" s="47">
        <v>0</v>
      </c>
      <c r="AI460" s="47">
        <v>0</v>
      </c>
      <c r="AJ460" s="47">
        <v>0</v>
      </c>
      <c r="AK460" s="47">
        <v>0</v>
      </c>
      <c r="AL460" s="47">
        <v>0</v>
      </c>
      <c r="AM460" s="47">
        <v>0</v>
      </c>
      <c r="AN460" s="47">
        <v>0</v>
      </c>
      <c r="AO460" s="47">
        <v>0</v>
      </c>
      <c r="AP460" s="47">
        <v>0</v>
      </c>
      <c r="AQ460" s="47">
        <v>0</v>
      </c>
      <c r="AR460" s="47">
        <v>0</v>
      </c>
      <c r="AS460" s="47">
        <v>0</v>
      </c>
      <c r="AT460" s="47">
        <v>0</v>
      </c>
      <c r="AU460" s="47">
        <v>0</v>
      </c>
      <c r="AV460" s="47">
        <v>0</v>
      </c>
      <c r="AW460" s="47">
        <v>0</v>
      </c>
      <c r="AX460" s="47">
        <v>0</v>
      </c>
      <c r="AY460" s="47">
        <v>0</v>
      </c>
      <c r="AZ460" s="47">
        <v>0</v>
      </c>
      <c r="BA460" s="47">
        <v>0</v>
      </c>
      <c r="BB460" s="47">
        <v>0</v>
      </c>
      <c r="BC460" s="47">
        <v>0</v>
      </c>
      <c r="BD460" s="47">
        <v>0</v>
      </c>
      <c r="BE460" s="47">
        <v>0</v>
      </c>
      <c r="BF460" s="47">
        <v>0</v>
      </c>
      <c r="BG460" s="47">
        <v>0</v>
      </c>
      <c r="BH460" s="47">
        <v>0</v>
      </c>
      <c r="BI460" s="47">
        <v>0</v>
      </c>
      <c r="BJ460" s="47">
        <v>0</v>
      </c>
      <c r="BK460" s="47">
        <v>0</v>
      </c>
      <c r="BL460" s="47">
        <v>0</v>
      </c>
      <c r="BM460" s="47">
        <v>0</v>
      </c>
      <c r="BN460" s="47">
        <v>0</v>
      </c>
      <c r="BO460" s="47">
        <v>0</v>
      </c>
      <c r="BP460" s="47">
        <v>0</v>
      </c>
      <c r="BQ460" s="47">
        <v>0</v>
      </c>
      <c r="BR460" s="47">
        <v>0</v>
      </c>
      <c r="BS460" s="47">
        <v>0</v>
      </c>
      <c r="BT460" s="47">
        <v>0</v>
      </c>
      <c r="BU460" s="47">
        <v>0</v>
      </c>
      <c r="BV460" s="47">
        <v>0</v>
      </c>
      <c r="BW460" s="47">
        <v>0</v>
      </c>
      <c r="BX460" s="47">
        <v>0</v>
      </c>
      <c r="BY460" s="47">
        <v>0</v>
      </c>
      <c r="BZ460" s="47">
        <v>0</v>
      </c>
      <c r="CA460" s="47">
        <v>0</v>
      </c>
      <c r="CB460" s="47">
        <v>0</v>
      </c>
      <c r="CC460" s="47">
        <v>0</v>
      </c>
      <c r="CD460" s="47">
        <v>0</v>
      </c>
      <c r="CE460" s="47">
        <v>0</v>
      </c>
      <c r="CF460" s="47">
        <v>0</v>
      </c>
      <c r="CG460" s="47">
        <v>0</v>
      </c>
      <c r="CH460" s="47">
        <v>0</v>
      </c>
      <c r="CI460" s="47">
        <v>0</v>
      </c>
      <c r="CJ460" s="47">
        <v>0</v>
      </c>
      <c r="CK460" s="47">
        <v>0</v>
      </c>
      <c r="CL460" s="47">
        <v>0</v>
      </c>
      <c r="CM460" s="47">
        <v>0</v>
      </c>
      <c r="CN460" s="47">
        <v>0</v>
      </c>
      <c r="CO460" s="47">
        <v>0</v>
      </c>
      <c r="CP460" s="47">
        <v>0</v>
      </c>
      <c r="CQ460" s="47">
        <v>0</v>
      </c>
      <c r="CR460" s="47">
        <v>0</v>
      </c>
      <c r="CS460" s="47">
        <v>0</v>
      </c>
      <c r="CT460" s="47">
        <v>0</v>
      </c>
      <c r="CU460" s="47">
        <v>0</v>
      </c>
      <c r="CV460" s="47">
        <v>0</v>
      </c>
      <c r="CW460" s="47">
        <v>0</v>
      </c>
      <c r="CX460" s="47">
        <v>0</v>
      </c>
      <c r="CY460" s="47">
        <v>0</v>
      </c>
      <c r="CZ460" s="47">
        <v>0</v>
      </c>
      <c r="DA460" s="47">
        <v>0</v>
      </c>
      <c r="DB460" s="47">
        <v>0</v>
      </c>
      <c r="DC460" s="47">
        <v>0</v>
      </c>
      <c r="DD460" s="47">
        <v>0</v>
      </c>
      <c r="DE460" s="47">
        <v>0</v>
      </c>
      <c r="DF460" s="47">
        <v>0</v>
      </c>
      <c r="DG460" s="47">
        <v>0</v>
      </c>
      <c r="DH460" s="47">
        <v>0</v>
      </c>
      <c r="DI460" s="47">
        <v>0</v>
      </c>
      <c r="DJ460" s="47">
        <v>0</v>
      </c>
      <c r="DK460" s="47">
        <v>0</v>
      </c>
      <c r="DL460" s="47">
        <v>0</v>
      </c>
      <c r="DM460" s="47">
        <v>0</v>
      </c>
      <c r="DN460" s="47">
        <v>0</v>
      </c>
      <c r="DO460" s="47">
        <v>0</v>
      </c>
      <c r="DP460" s="47">
        <v>0</v>
      </c>
      <c r="DQ460" s="47">
        <v>0</v>
      </c>
      <c r="DR460" s="47">
        <v>0</v>
      </c>
      <c r="DS460" s="47">
        <v>0</v>
      </c>
      <c r="DT460" s="47">
        <v>0</v>
      </c>
      <c r="DU460" s="47">
        <v>0</v>
      </c>
      <c r="DV460" s="47">
        <v>0</v>
      </c>
      <c r="DW460" s="47">
        <v>0</v>
      </c>
      <c r="DX460" s="47">
        <v>0</v>
      </c>
      <c r="DY460" s="47">
        <v>0</v>
      </c>
      <c r="DZ460" s="47">
        <v>0</v>
      </c>
      <c r="EA460" s="47">
        <v>0</v>
      </c>
      <c r="EB460" s="47"/>
      <c r="EC460" s="47">
        <v>1</v>
      </c>
      <c r="ZZ460" t="s">
        <v>2472</v>
      </c>
    </row>
    <row r="461" spans="1:702" x14ac:dyDescent="0.25">
      <c r="A461" s="47" t="s">
        <v>2186</v>
      </c>
      <c r="B461" s="47" t="s">
        <v>153</v>
      </c>
      <c r="C461" s="47" t="s">
        <v>157</v>
      </c>
      <c r="D461" s="47" t="s">
        <v>2946</v>
      </c>
      <c r="E461" s="47" t="s">
        <v>2187</v>
      </c>
      <c r="F461" s="47" t="s">
        <v>2188</v>
      </c>
      <c r="G461" s="47" t="s">
        <v>2189</v>
      </c>
      <c r="H461" s="47" t="s">
        <v>698</v>
      </c>
      <c r="I461" s="47" t="s">
        <v>705</v>
      </c>
      <c r="J461" s="47" t="str">
        <f>=IFERROR(VLOOKUP(H461&amp;I461,Table_Fonctions!A:G,6,FALSE),"")</f>
        <v>0</v>
      </c>
      <c r="K461" s="47" t="s">
        <v>2607</v>
      </c>
      <c r="L461" s="47" t="str">
        <f>=IFERROR(VLOOKUP(H461&amp;I461,Table_Fonctions!A:G,7,FALSE),K461)</f>
        <v/>
      </c>
      <c r="M461" s="47" t="str">
        <f>=IF(OR(LEFT(D461, 3)="TJ ", LEFT(D461, 4)="CPH "), "OUI", "NON")</f>
        <v/>
      </c>
      <c r="N461" s="47" t="s">
        <v>777</v>
      </c>
      <c r="O461" s="47"/>
      <c r="P461" s="47">
        <v>1</v>
      </c>
      <c r="Q461" s="47">
        <v>0</v>
      </c>
      <c r="R461" s="47">
        <v>1</v>
      </c>
      <c r="S461" s="47">
        <f>=ROUND(BQ461-(BR461+BS461),3)</f>
      </c>
      <c r="T461" s="47">
        <f>=ROUND(CK461-(CL461+CM461+CN461+CO461+CP461),3)</f>
      </c>
      <c r="U461" s="47">
        <v>0</v>
      </c>
      <c r="V461" s="47">
        <v>0</v>
      </c>
      <c r="W461" s="47">
        <v>0</v>
      </c>
      <c r="X461" s="47">
        <v>0</v>
      </c>
      <c r="Y461" s="47">
        <v>0</v>
      </c>
      <c r="Z461" s="47">
        <v>0</v>
      </c>
      <c r="AA461" s="47">
        <v>0</v>
      </c>
      <c r="AB461" s="47">
        <v>0</v>
      </c>
      <c r="AC461" s="47">
        <v>0</v>
      </c>
      <c r="AD461" s="47">
        <v>0</v>
      </c>
      <c r="AE461" s="47">
        <v>0</v>
      </c>
      <c r="AF461" s="47">
        <v>0</v>
      </c>
      <c r="AG461" s="47">
        <v>0</v>
      </c>
      <c r="AH461" s="47">
        <v>0</v>
      </c>
      <c r="AI461" s="47">
        <v>0</v>
      </c>
      <c r="AJ461" s="47">
        <v>0</v>
      </c>
      <c r="AK461" s="47">
        <v>0</v>
      </c>
      <c r="AL461" s="47">
        <v>0</v>
      </c>
      <c r="AM461" s="47">
        <v>0</v>
      </c>
      <c r="AN461" s="47">
        <v>0</v>
      </c>
      <c r="AO461" s="47">
        <v>0</v>
      </c>
      <c r="AP461" s="47">
        <v>0</v>
      </c>
      <c r="AQ461" s="47">
        <v>0</v>
      </c>
      <c r="AR461" s="47">
        <v>0</v>
      </c>
      <c r="AS461" s="47">
        <v>0</v>
      </c>
      <c r="AT461" s="47">
        <v>0</v>
      </c>
      <c r="AU461" s="47">
        <v>0</v>
      </c>
      <c r="AV461" s="47">
        <v>0</v>
      </c>
      <c r="AW461" s="47">
        <v>0</v>
      </c>
      <c r="AX461" s="47">
        <v>0</v>
      </c>
      <c r="AY461" s="47">
        <v>0</v>
      </c>
      <c r="AZ461" s="47">
        <v>0</v>
      </c>
      <c r="BA461" s="47">
        <v>0</v>
      </c>
      <c r="BB461" s="47">
        <v>0</v>
      </c>
      <c r="BC461" s="47">
        <v>0</v>
      </c>
      <c r="BD461" s="47">
        <v>0</v>
      </c>
      <c r="BE461" s="47">
        <v>0</v>
      </c>
      <c r="BF461" s="47">
        <v>0</v>
      </c>
      <c r="BG461" s="47">
        <v>0</v>
      </c>
      <c r="BH461" s="47">
        <v>0</v>
      </c>
      <c r="BI461" s="47">
        <v>0</v>
      </c>
      <c r="BJ461" s="47">
        <v>0</v>
      </c>
      <c r="BK461" s="47">
        <v>0</v>
      </c>
      <c r="BL461" s="47">
        <v>0</v>
      </c>
      <c r="BM461" s="47">
        <v>0</v>
      </c>
      <c r="BN461" s="47">
        <v>0</v>
      </c>
      <c r="BO461" s="47">
        <v>0</v>
      </c>
      <c r="BP461" s="47">
        <v>0</v>
      </c>
      <c r="BQ461" s="47">
        <v>0</v>
      </c>
      <c r="BR461" s="47">
        <v>0</v>
      </c>
      <c r="BS461" s="47">
        <v>0</v>
      </c>
      <c r="BT461" s="47">
        <v>0</v>
      </c>
      <c r="BU461" s="47">
        <v>0</v>
      </c>
      <c r="BV461" s="47">
        <v>0</v>
      </c>
      <c r="BW461" s="47">
        <v>0</v>
      </c>
      <c r="BX461" s="47">
        <v>0</v>
      </c>
      <c r="BY461" s="47">
        <v>0</v>
      </c>
      <c r="BZ461" s="47">
        <v>0</v>
      </c>
      <c r="CA461" s="47">
        <v>0</v>
      </c>
      <c r="CB461" s="47">
        <v>0</v>
      </c>
      <c r="CC461" s="47">
        <v>0</v>
      </c>
      <c r="CD461" s="47">
        <v>0</v>
      </c>
      <c r="CE461" s="47">
        <v>0</v>
      </c>
      <c r="CF461" s="47">
        <v>0</v>
      </c>
      <c r="CG461" s="47">
        <v>0</v>
      </c>
      <c r="CH461" s="47">
        <v>0</v>
      </c>
      <c r="CI461" s="47">
        <v>0</v>
      </c>
      <c r="CJ461" s="47">
        <v>0</v>
      </c>
      <c r="CK461" s="47">
        <v>0</v>
      </c>
      <c r="CL461" s="47">
        <v>0</v>
      </c>
      <c r="CM461" s="47">
        <v>0</v>
      </c>
      <c r="CN461" s="47">
        <v>0</v>
      </c>
      <c r="CO461" s="47">
        <v>0</v>
      </c>
      <c r="CP461" s="47">
        <v>0</v>
      </c>
      <c r="CQ461" s="47">
        <v>0</v>
      </c>
      <c r="CR461" s="47">
        <v>0</v>
      </c>
      <c r="CS461" s="47">
        <v>0</v>
      </c>
      <c r="CT461" s="47">
        <v>0</v>
      </c>
      <c r="CU461" s="47">
        <v>0</v>
      </c>
      <c r="CV461" s="47">
        <v>0</v>
      </c>
      <c r="CW461" s="47">
        <v>0</v>
      </c>
      <c r="CX461" s="47">
        <v>0</v>
      </c>
      <c r="CY461" s="47">
        <v>0</v>
      </c>
      <c r="CZ461" s="47">
        <v>0</v>
      </c>
      <c r="DA461" s="47">
        <v>0</v>
      </c>
      <c r="DB461" s="47">
        <v>0</v>
      </c>
      <c r="DC461" s="47">
        <v>0</v>
      </c>
      <c r="DD461" s="47">
        <v>0</v>
      </c>
      <c r="DE461" s="47">
        <v>0</v>
      </c>
      <c r="DF461" s="47">
        <v>0</v>
      </c>
      <c r="DG461" s="47">
        <v>0</v>
      </c>
      <c r="DH461" s="47">
        <v>0</v>
      </c>
      <c r="DI461" s="47">
        <v>0</v>
      </c>
      <c r="DJ461" s="47">
        <v>0</v>
      </c>
      <c r="DK461" s="47">
        <v>0</v>
      </c>
      <c r="DL461" s="47">
        <v>0</v>
      </c>
      <c r="DM461" s="47">
        <v>0</v>
      </c>
      <c r="DN461" s="47">
        <v>0</v>
      </c>
      <c r="DO461" s="47">
        <v>0</v>
      </c>
      <c r="DP461" s="47">
        <v>0</v>
      </c>
      <c r="DQ461" s="47">
        <v>0</v>
      </c>
      <c r="DR461" s="47">
        <v>0</v>
      </c>
      <c r="DS461" s="47">
        <v>0</v>
      </c>
      <c r="DT461" s="47">
        <v>0</v>
      </c>
      <c r="DU461" s="47">
        <v>0</v>
      </c>
      <c r="DV461" s="47">
        <v>0</v>
      </c>
      <c r="DW461" s="47">
        <v>0</v>
      </c>
      <c r="DX461" s="47">
        <v>0</v>
      </c>
      <c r="DY461" s="47">
        <v>0</v>
      </c>
      <c r="DZ461" s="47">
        <v>0</v>
      </c>
      <c r="EA461" s="47">
        <v>0</v>
      </c>
      <c r="EB461" s="47"/>
      <c r="EC461" s="47">
        <v>1</v>
      </c>
      <c r="ZZ461" t="s">
        <v>2472</v>
      </c>
    </row>
    <row r="462" spans="1:702" x14ac:dyDescent="0.25">
      <c r="A462" s="47" t="s">
        <v>2190</v>
      </c>
      <c r="B462" s="47" t="s">
        <v>153</v>
      </c>
      <c r="C462" s="47" t="s">
        <v>157</v>
      </c>
      <c r="D462" s="47" t="s">
        <v>2947</v>
      </c>
      <c r="E462" s="47" t="s">
        <v>2191</v>
      </c>
      <c r="F462" s="47" t="s">
        <v>2192</v>
      </c>
      <c r="G462" s="47" t="s">
        <v>2193</v>
      </c>
      <c r="H462" s="47" t="s">
        <v>698</v>
      </c>
      <c r="I462" s="47" t="s">
        <v>699</v>
      </c>
      <c r="J462" s="47" t="str">
        <f>=IFERROR(VLOOKUP(H462&amp;I462,Table_Fonctions!A:G,6,FALSE),"")</f>
        <v>0</v>
      </c>
      <c r="K462" s="47" t="s">
        <v>2605</v>
      </c>
      <c r="L462" s="47" t="str">
        <f>=IFERROR(VLOOKUP(H462&amp;I462,Table_Fonctions!A:G,7,FALSE),K462)</f>
        <v/>
      </c>
      <c r="M462" s="47" t="str">
        <f>=IF(OR(LEFT(D462, 3)="TJ ", LEFT(D462, 4)="CPH "), "OUI", "NON")</f>
        <v/>
      </c>
      <c r="N462" s="47" t="s">
        <v>791</v>
      </c>
      <c r="O462" s="47"/>
      <c r="P462" s="47">
        <v>1</v>
      </c>
      <c r="Q462" s="47">
        <v>1</v>
      </c>
      <c r="R462" s="47">
        <v>0</v>
      </c>
      <c r="S462" s="47">
        <f>=ROUND(BQ462-(BR462+BS462),3)</f>
      </c>
      <c r="T462" s="47">
        <f>=ROUND(CK462-(CL462+CM462+CN462+CO462+CP462),3)</f>
      </c>
      <c r="U462" s="47">
        <v>0</v>
      </c>
      <c r="V462" s="47">
        <v>0</v>
      </c>
      <c r="W462" s="47">
        <v>0</v>
      </c>
      <c r="X462" s="47">
        <v>0</v>
      </c>
      <c r="Y462" s="47">
        <v>0</v>
      </c>
      <c r="Z462" s="47">
        <v>0</v>
      </c>
      <c r="AA462" s="47">
        <v>0</v>
      </c>
      <c r="AB462" s="47">
        <v>0</v>
      </c>
      <c r="AC462" s="47">
        <v>0</v>
      </c>
      <c r="AD462" s="47">
        <v>0</v>
      </c>
      <c r="AE462" s="47">
        <v>0</v>
      </c>
      <c r="AF462" s="47">
        <v>0</v>
      </c>
      <c r="AG462" s="47">
        <v>0</v>
      </c>
      <c r="AH462" s="47">
        <v>0</v>
      </c>
      <c r="AI462" s="47">
        <v>0</v>
      </c>
      <c r="AJ462" s="47">
        <v>0</v>
      </c>
      <c r="AK462" s="47">
        <v>0</v>
      </c>
      <c r="AL462" s="47">
        <v>0</v>
      </c>
      <c r="AM462" s="47">
        <v>0</v>
      </c>
      <c r="AN462" s="47">
        <v>0</v>
      </c>
      <c r="AO462" s="47">
        <v>0</v>
      </c>
      <c r="AP462" s="47">
        <v>0</v>
      </c>
      <c r="AQ462" s="47">
        <v>0</v>
      </c>
      <c r="AR462" s="47">
        <v>0</v>
      </c>
      <c r="AS462" s="47">
        <v>0</v>
      </c>
      <c r="AT462" s="47">
        <v>0</v>
      </c>
      <c r="AU462" s="47">
        <v>0</v>
      </c>
      <c r="AV462" s="47">
        <v>0</v>
      </c>
      <c r="AW462" s="47">
        <v>0</v>
      </c>
      <c r="AX462" s="47">
        <v>0</v>
      </c>
      <c r="AY462" s="47">
        <v>0</v>
      </c>
      <c r="AZ462" s="47">
        <v>0</v>
      </c>
      <c r="BA462" s="47">
        <v>0</v>
      </c>
      <c r="BB462" s="47">
        <v>0</v>
      </c>
      <c r="BC462" s="47">
        <v>0</v>
      </c>
      <c r="BD462" s="47">
        <v>0</v>
      </c>
      <c r="BE462" s="47">
        <v>0</v>
      </c>
      <c r="BF462" s="47">
        <v>0</v>
      </c>
      <c r="BG462" s="47">
        <v>0</v>
      </c>
      <c r="BH462" s="47">
        <v>0</v>
      </c>
      <c r="BI462" s="47">
        <v>0</v>
      </c>
      <c r="BJ462" s="47">
        <v>0</v>
      </c>
      <c r="BK462" s="47">
        <v>0</v>
      </c>
      <c r="BL462" s="47">
        <v>0</v>
      </c>
      <c r="BM462" s="47">
        <v>0</v>
      </c>
      <c r="BN462" s="47">
        <v>0</v>
      </c>
      <c r="BO462" s="47">
        <v>0</v>
      </c>
      <c r="BP462" s="47">
        <v>0</v>
      </c>
      <c r="BQ462" s="47">
        <v>0</v>
      </c>
      <c r="BR462" s="47">
        <v>0</v>
      </c>
      <c r="BS462" s="47">
        <v>0</v>
      </c>
      <c r="BT462" s="47">
        <v>1</v>
      </c>
      <c r="BU462" s="47">
        <v>0</v>
      </c>
      <c r="BV462" s="47">
        <v>0</v>
      </c>
      <c r="BW462" s="47">
        <v>0</v>
      </c>
      <c r="BX462" s="47">
        <v>0</v>
      </c>
      <c r="BY462" s="47">
        <v>0</v>
      </c>
      <c r="BZ462" s="47">
        <v>0.3</v>
      </c>
      <c r="CA462" s="47">
        <v>0.7</v>
      </c>
      <c r="CB462" s="47">
        <v>0</v>
      </c>
      <c r="CC462" s="47">
        <v>0</v>
      </c>
      <c r="CD462" s="47">
        <v>0</v>
      </c>
      <c r="CE462" s="47">
        <v>0</v>
      </c>
      <c r="CF462" s="47">
        <v>0</v>
      </c>
      <c r="CG462" s="47">
        <v>0</v>
      </c>
      <c r="CH462" s="47">
        <v>0</v>
      </c>
      <c r="CI462" s="47">
        <v>0</v>
      </c>
      <c r="CJ462" s="47">
        <v>0</v>
      </c>
      <c r="CK462" s="47">
        <v>0</v>
      </c>
      <c r="CL462" s="47">
        <v>0</v>
      </c>
      <c r="CM462" s="47">
        <v>0</v>
      </c>
      <c r="CN462" s="47">
        <v>0</v>
      </c>
      <c r="CO462" s="47">
        <v>0</v>
      </c>
      <c r="CP462" s="47">
        <v>0</v>
      </c>
      <c r="CQ462" s="47">
        <v>0</v>
      </c>
      <c r="CR462" s="47">
        <v>0</v>
      </c>
      <c r="CS462" s="47">
        <v>0</v>
      </c>
      <c r="CT462" s="47">
        <v>0</v>
      </c>
      <c r="CU462" s="47">
        <v>0</v>
      </c>
      <c r="CV462" s="47">
        <v>0</v>
      </c>
      <c r="CW462" s="47">
        <v>0</v>
      </c>
      <c r="CX462" s="47">
        <v>0</v>
      </c>
      <c r="CY462" s="47">
        <v>0</v>
      </c>
      <c r="CZ462" s="47">
        <v>0</v>
      </c>
      <c r="DA462" s="47">
        <v>0</v>
      </c>
      <c r="DB462" s="47">
        <v>0</v>
      </c>
      <c r="DC462" s="47">
        <v>0</v>
      </c>
      <c r="DD462" s="47">
        <v>0</v>
      </c>
      <c r="DE462" s="47">
        <v>0</v>
      </c>
      <c r="DF462" s="47">
        <v>0</v>
      </c>
      <c r="DG462" s="47">
        <v>0</v>
      </c>
      <c r="DH462" s="47">
        <v>0</v>
      </c>
      <c r="DI462" s="47">
        <v>0</v>
      </c>
      <c r="DJ462" s="47">
        <v>0</v>
      </c>
      <c r="DK462" s="47">
        <v>0</v>
      </c>
      <c r="DL462" s="47">
        <v>0</v>
      </c>
      <c r="DM462" s="47">
        <v>0</v>
      </c>
      <c r="DN462" s="47">
        <v>0</v>
      </c>
      <c r="DO462" s="47">
        <v>0</v>
      </c>
      <c r="DP462" s="47">
        <v>0</v>
      </c>
      <c r="DQ462" s="47">
        <v>0</v>
      </c>
      <c r="DR462" s="47">
        <v>0</v>
      </c>
      <c r="DS462" s="47">
        <v>0</v>
      </c>
      <c r="DT462" s="47">
        <v>0</v>
      </c>
      <c r="DU462" s="47">
        <v>0</v>
      </c>
      <c r="DV462" s="47">
        <v>0</v>
      </c>
      <c r="DW462" s="47">
        <v>0</v>
      </c>
      <c r="DX462" s="47">
        <v>0</v>
      </c>
      <c r="DY462" s="47">
        <v>0</v>
      </c>
      <c r="DZ462" s="47">
        <v>0</v>
      </c>
      <c r="EA462" s="47">
        <v>0</v>
      </c>
      <c r="EB462" s="47"/>
      <c r="EC462" s="47">
        <v>1</v>
      </c>
      <c r="ZZ462" t="s">
        <v>2472</v>
      </c>
    </row>
    <row r="463" spans="1:702" x14ac:dyDescent="0.25">
      <c r="A463" s="47" t="s">
        <v>2194</v>
      </c>
      <c r="B463" s="47" t="s">
        <v>153</v>
      </c>
      <c r="C463" s="47" t="s">
        <v>157</v>
      </c>
      <c r="D463" s="47" t="s">
        <v>2948</v>
      </c>
      <c r="E463" s="47" t="s">
        <v>2195</v>
      </c>
      <c r="F463" s="47" t="s">
        <v>2196</v>
      </c>
      <c r="G463" s="47" t="s">
        <v>2197</v>
      </c>
      <c r="H463" s="47" t="s">
        <v>698</v>
      </c>
      <c r="I463" s="47" t="s">
        <v>705</v>
      </c>
      <c r="J463" s="47" t="str">
        <f>=IFERROR(VLOOKUP(H463&amp;I463,Table_Fonctions!A:G,6,FALSE),"")</f>
        <v>0</v>
      </c>
      <c r="K463" s="47" t="s">
        <v>2607</v>
      </c>
      <c r="L463" s="47" t="str">
        <f>=IFERROR(VLOOKUP(H463&amp;I463,Table_Fonctions!A:G,7,FALSE),K463)</f>
        <v/>
      </c>
      <c r="M463" s="47" t="str">
        <f>=IF(OR(LEFT(D463, 3)="TJ ", LEFT(D463, 4)="CPH "), "OUI", "NON")</f>
        <v/>
      </c>
      <c r="N463" s="47" t="s">
        <v>2198</v>
      </c>
      <c r="O463" s="47"/>
      <c r="P463" s="47">
        <v>1</v>
      </c>
      <c r="Q463" s="47">
        <v>0</v>
      </c>
      <c r="R463" s="47">
        <v>1</v>
      </c>
      <c r="S463" s="47">
        <f>=ROUND(BQ463-(BR463+BS463),3)</f>
      </c>
      <c r="T463" s="47">
        <f>=ROUND(CK463-(CL463+CM463+CN463+CO463+CP463),3)</f>
      </c>
      <c r="U463" s="47">
        <v>0</v>
      </c>
      <c r="V463" s="47">
        <v>0</v>
      </c>
      <c r="W463" s="47">
        <v>0</v>
      </c>
      <c r="X463" s="47">
        <v>0</v>
      </c>
      <c r="Y463" s="47">
        <v>0</v>
      </c>
      <c r="Z463" s="47">
        <v>0</v>
      </c>
      <c r="AA463" s="47">
        <v>0</v>
      </c>
      <c r="AB463" s="47">
        <v>0</v>
      </c>
      <c r="AC463" s="47">
        <v>0</v>
      </c>
      <c r="AD463" s="47">
        <v>0</v>
      </c>
      <c r="AE463" s="47">
        <v>0</v>
      </c>
      <c r="AF463" s="47">
        <v>0</v>
      </c>
      <c r="AG463" s="47">
        <v>0</v>
      </c>
      <c r="AH463" s="47">
        <v>0</v>
      </c>
      <c r="AI463" s="47">
        <v>0</v>
      </c>
      <c r="AJ463" s="47">
        <v>0</v>
      </c>
      <c r="AK463" s="47">
        <v>0</v>
      </c>
      <c r="AL463" s="47">
        <v>0</v>
      </c>
      <c r="AM463" s="47">
        <v>0</v>
      </c>
      <c r="AN463" s="47">
        <v>0</v>
      </c>
      <c r="AO463" s="47">
        <v>0</v>
      </c>
      <c r="AP463" s="47">
        <v>0</v>
      </c>
      <c r="AQ463" s="47">
        <v>0</v>
      </c>
      <c r="AR463" s="47">
        <v>0</v>
      </c>
      <c r="AS463" s="47">
        <v>0</v>
      </c>
      <c r="AT463" s="47">
        <v>0</v>
      </c>
      <c r="AU463" s="47">
        <v>0</v>
      </c>
      <c r="AV463" s="47">
        <v>0</v>
      </c>
      <c r="AW463" s="47">
        <v>0</v>
      </c>
      <c r="AX463" s="47">
        <v>0</v>
      </c>
      <c r="AY463" s="47">
        <v>0</v>
      </c>
      <c r="AZ463" s="47">
        <v>0</v>
      </c>
      <c r="BA463" s="47">
        <v>0</v>
      </c>
      <c r="BB463" s="47">
        <v>0</v>
      </c>
      <c r="BC463" s="47">
        <v>0</v>
      </c>
      <c r="BD463" s="47">
        <v>0</v>
      </c>
      <c r="BE463" s="47">
        <v>0</v>
      </c>
      <c r="BF463" s="47">
        <v>0</v>
      </c>
      <c r="BG463" s="47">
        <v>0</v>
      </c>
      <c r="BH463" s="47">
        <v>0</v>
      </c>
      <c r="BI463" s="47">
        <v>0</v>
      </c>
      <c r="BJ463" s="47">
        <v>0</v>
      </c>
      <c r="BK463" s="47">
        <v>0</v>
      </c>
      <c r="BL463" s="47">
        <v>0</v>
      </c>
      <c r="BM463" s="47">
        <v>0</v>
      </c>
      <c r="BN463" s="47">
        <v>0</v>
      </c>
      <c r="BO463" s="47">
        <v>0</v>
      </c>
      <c r="BP463" s="47">
        <v>0</v>
      </c>
      <c r="BQ463" s="47">
        <v>0</v>
      </c>
      <c r="BR463" s="47">
        <v>0</v>
      </c>
      <c r="BS463" s="47">
        <v>0</v>
      </c>
      <c r="BT463" s="47">
        <v>0</v>
      </c>
      <c r="BU463" s="47">
        <v>0</v>
      </c>
      <c r="BV463" s="47">
        <v>0</v>
      </c>
      <c r="BW463" s="47">
        <v>0</v>
      </c>
      <c r="BX463" s="47">
        <v>0</v>
      </c>
      <c r="BY463" s="47">
        <v>0</v>
      </c>
      <c r="BZ463" s="47">
        <v>0</v>
      </c>
      <c r="CA463" s="47">
        <v>0</v>
      </c>
      <c r="CB463" s="47">
        <v>0</v>
      </c>
      <c r="CC463" s="47">
        <v>0</v>
      </c>
      <c r="CD463" s="47">
        <v>0</v>
      </c>
      <c r="CE463" s="47">
        <v>0</v>
      </c>
      <c r="CF463" s="47">
        <v>0</v>
      </c>
      <c r="CG463" s="47">
        <v>0</v>
      </c>
      <c r="CH463" s="47">
        <v>0</v>
      </c>
      <c r="CI463" s="47">
        <v>0</v>
      </c>
      <c r="CJ463" s="47">
        <v>0</v>
      </c>
      <c r="CK463" s="47">
        <v>0</v>
      </c>
      <c r="CL463" s="47">
        <v>0</v>
      </c>
      <c r="CM463" s="47">
        <v>0</v>
      </c>
      <c r="CN463" s="47">
        <v>0</v>
      </c>
      <c r="CO463" s="47">
        <v>0</v>
      </c>
      <c r="CP463" s="47">
        <v>0</v>
      </c>
      <c r="CQ463" s="47">
        <v>0</v>
      </c>
      <c r="CR463" s="47">
        <v>0</v>
      </c>
      <c r="CS463" s="47">
        <v>0</v>
      </c>
      <c r="CT463" s="47">
        <v>0</v>
      </c>
      <c r="CU463" s="47">
        <v>0</v>
      </c>
      <c r="CV463" s="47">
        <v>0</v>
      </c>
      <c r="CW463" s="47">
        <v>0</v>
      </c>
      <c r="CX463" s="47">
        <v>0</v>
      </c>
      <c r="CY463" s="47">
        <v>0</v>
      </c>
      <c r="CZ463" s="47">
        <v>0</v>
      </c>
      <c r="DA463" s="47">
        <v>0</v>
      </c>
      <c r="DB463" s="47">
        <v>0</v>
      </c>
      <c r="DC463" s="47">
        <v>0</v>
      </c>
      <c r="DD463" s="47">
        <v>0</v>
      </c>
      <c r="DE463" s="47">
        <v>0</v>
      </c>
      <c r="DF463" s="47">
        <v>0</v>
      </c>
      <c r="DG463" s="47">
        <v>0</v>
      </c>
      <c r="DH463" s="47">
        <v>0</v>
      </c>
      <c r="DI463" s="47">
        <v>0</v>
      </c>
      <c r="DJ463" s="47">
        <v>0</v>
      </c>
      <c r="DK463" s="47">
        <v>0</v>
      </c>
      <c r="DL463" s="47">
        <v>0</v>
      </c>
      <c r="DM463" s="47">
        <v>0</v>
      </c>
      <c r="DN463" s="47">
        <v>0</v>
      </c>
      <c r="DO463" s="47">
        <v>0</v>
      </c>
      <c r="DP463" s="47">
        <v>0</v>
      </c>
      <c r="DQ463" s="47">
        <v>0</v>
      </c>
      <c r="DR463" s="47">
        <v>0</v>
      </c>
      <c r="DS463" s="47">
        <v>0</v>
      </c>
      <c r="DT463" s="47">
        <v>0</v>
      </c>
      <c r="DU463" s="47">
        <v>0</v>
      </c>
      <c r="DV463" s="47">
        <v>0</v>
      </c>
      <c r="DW463" s="47">
        <v>0</v>
      </c>
      <c r="DX463" s="47">
        <v>0</v>
      </c>
      <c r="DY463" s="47">
        <v>0</v>
      </c>
      <c r="DZ463" s="47">
        <v>0</v>
      </c>
      <c r="EA463" s="47">
        <v>0</v>
      </c>
      <c r="EB463" s="47"/>
      <c r="EC463" s="47">
        <v>1</v>
      </c>
      <c r="ZZ463" t="s">
        <v>2472</v>
      </c>
    </row>
    <row r="464" spans="1:702" x14ac:dyDescent="0.25">
      <c r="A464" s="47" t="s">
        <v>2199</v>
      </c>
      <c r="B464" s="47" t="s">
        <v>153</v>
      </c>
      <c r="C464" s="47" t="s">
        <v>157</v>
      </c>
      <c r="D464" s="47" t="s">
        <v>2949</v>
      </c>
      <c r="E464" s="47" t="s">
        <v>2200</v>
      </c>
      <c r="F464" s="47" t="s">
        <v>2201</v>
      </c>
      <c r="G464" s="47" t="s">
        <v>2202</v>
      </c>
      <c r="H464" s="47" t="s">
        <v>698</v>
      </c>
      <c r="I464" s="47" t="s">
        <v>727</v>
      </c>
      <c r="J464" s="47" t="str">
        <f>=IFERROR(VLOOKUP(H464&amp;I464,Table_Fonctions!A:G,6,FALSE),"")</f>
        <v>0</v>
      </c>
      <c r="K464" s="47" t="s">
        <v>2607</v>
      </c>
      <c r="L464" s="47" t="str">
        <f>=IFERROR(VLOOKUP(H464&amp;I464,Table_Fonctions!A:G,7,FALSE),K464)</f>
        <v/>
      </c>
      <c r="M464" s="47" t="str">
        <f>=IF(OR(LEFT(D464, 3)="TJ ", LEFT(D464, 4)="CPH "), "OUI", "NON")</f>
        <v/>
      </c>
      <c r="N464" s="47" t="s">
        <v>1118</v>
      </c>
      <c r="O464" s="47"/>
      <c r="P464" s="47">
        <v>1</v>
      </c>
      <c r="Q464" s="47">
        <v>0</v>
      </c>
      <c r="R464" s="47">
        <v>1</v>
      </c>
      <c r="S464" s="47">
        <f>=ROUND(BQ464-(BR464+BS464),3)</f>
      </c>
      <c r="T464" s="47">
        <f>=ROUND(CK464-(CL464+CM464+CN464+CO464+CP464),3)</f>
      </c>
      <c r="U464" s="47">
        <v>0</v>
      </c>
      <c r="V464" s="47">
        <v>0</v>
      </c>
      <c r="W464" s="47">
        <v>0</v>
      </c>
      <c r="X464" s="47">
        <v>0</v>
      </c>
      <c r="Y464" s="47">
        <v>0</v>
      </c>
      <c r="Z464" s="47">
        <v>0</v>
      </c>
      <c r="AA464" s="47">
        <v>0</v>
      </c>
      <c r="AB464" s="47">
        <v>0</v>
      </c>
      <c r="AC464" s="47">
        <v>0</v>
      </c>
      <c r="AD464" s="47">
        <v>0</v>
      </c>
      <c r="AE464" s="47">
        <v>0</v>
      </c>
      <c r="AF464" s="47">
        <v>0</v>
      </c>
      <c r="AG464" s="47">
        <v>0</v>
      </c>
      <c r="AH464" s="47">
        <v>0</v>
      </c>
      <c r="AI464" s="47">
        <v>0</v>
      </c>
      <c r="AJ464" s="47">
        <v>0</v>
      </c>
      <c r="AK464" s="47">
        <v>0</v>
      </c>
      <c r="AL464" s="47">
        <v>0</v>
      </c>
      <c r="AM464" s="47">
        <v>0</v>
      </c>
      <c r="AN464" s="47">
        <v>0</v>
      </c>
      <c r="AO464" s="47">
        <v>0</v>
      </c>
      <c r="AP464" s="47">
        <v>0</v>
      </c>
      <c r="AQ464" s="47">
        <v>0</v>
      </c>
      <c r="AR464" s="47">
        <v>0</v>
      </c>
      <c r="AS464" s="47">
        <v>0</v>
      </c>
      <c r="AT464" s="47">
        <v>0</v>
      </c>
      <c r="AU464" s="47">
        <v>0</v>
      </c>
      <c r="AV464" s="47">
        <v>0</v>
      </c>
      <c r="AW464" s="47">
        <v>0</v>
      </c>
      <c r="AX464" s="47">
        <v>0</v>
      </c>
      <c r="AY464" s="47">
        <v>0</v>
      </c>
      <c r="AZ464" s="47">
        <v>0</v>
      </c>
      <c r="BA464" s="47">
        <v>0</v>
      </c>
      <c r="BB464" s="47">
        <v>0</v>
      </c>
      <c r="BC464" s="47">
        <v>0</v>
      </c>
      <c r="BD464" s="47">
        <v>0</v>
      </c>
      <c r="BE464" s="47">
        <v>0</v>
      </c>
      <c r="BF464" s="47">
        <v>0</v>
      </c>
      <c r="BG464" s="47">
        <v>0</v>
      </c>
      <c r="BH464" s="47">
        <v>0</v>
      </c>
      <c r="BI464" s="47">
        <v>0</v>
      </c>
      <c r="BJ464" s="47">
        <v>0</v>
      </c>
      <c r="BK464" s="47">
        <v>0</v>
      </c>
      <c r="BL464" s="47">
        <v>0</v>
      </c>
      <c r="BM464" s="47">
        <v>0</v>
      </c>
      <c r="BN464" s="47">
        <v>0</v>
      </c>
      <c r="BO464" s="47">
        <v>0</v>
      </c>
      <c r="BP464" s="47">
        <v>0</v>
      </c>
      <c r="BQ464" s="47">
        <v>0</v>
      </c>
      <c r="BR464" s="47">
        <v>0</v>
      </c>
      <c r="BS464" s="47">
        <v>0</v>
      </c>
      <c r="BT464" s="47">
        <v>0</v>
      </c>
      <c r="BU464" s="47">
        <v>0</v>
      </c>
      <c r="BV464" s="47">
        <v>0</v>
      </c>
      <c r="BW464" s="47">
        <v>0</v>
      </c>
      <c r="BX464" s="47">
        <v>0</v>
      </c>
      <c r="BY464" s="47">
        <v>0</v>
      </c>
      <c r="BZ464" s="47">
        <v>0</v>
      </c>
      <c r="CA464" s="47">
        <v>0</v>
      </c>
      <c r="CB464" s="47">
        <v>0</v>
      </c>
      <c r="CC464" s="47">
        <v>0</v>
      </c>
      <c r="CD464" s="47">
        <v>0</v>
      </c>
      <c r="CE464" s="47">
        <v>0</v>
      </c>
      <c r="CF464" s="47">
        <v>0</v>
      </c>
      <c r="CG464" s="47">
        <v>0</v>
      </c>
      <c r="CH464" s="47">
        <v>0</v>
      </c>
      <c r="CI464" s="47">
        <v>0</v>
      </c>
      <c r="CJ464" s="47">
        <v>0</v>
      </c>
      <c r="CK464" s="47">
        <v>0</v>
      </c>
      <c r="CL464" s="47">
        <v>0</v>
      </c>
      <c r="CM464" s="47">
        <v>0</v>
      </c>
      <c r="CN464" s="47">
        <v>0</v>
      </c>
      <c r="CO464" s="47">
        <v>0</v>
      </c>
      <c r="CP464" s="47">
        <v>0</v>
      </c>
      <c r="CQ464" s="47">
        <v>0</v>
      </c>
      <c r="CR464" s="47">
        <v>0</v>
      </c>
      <c r="CS464" s="47">
        <v>0</v>
      </c>
      <c r="CT464" s="47">
        <v>0</v>
      </c>
      <c r="CU464" s="47">
        <v>0</v>
      </c>
      <c r="CV464" s="47">
        <v>0</v>
      </c>
      <c r="CW464" s="47">
        <v>0</v>
      </c>
      <c r="CX464" s="47">
        <v>0</v>
      </c>
      <c r="CY464" s="47">
        <v>0</v>
      </c>
      <c r="CZ464" s="47">
        <v>0</v>
      </c>
      <c r="DA464" s="47">
        <v>0</v>
      </c>
      <c r="DB464" s="47">
        <v>0</v>
      </c>
      <c r="DC464" s="47">
        <v>0</v>
      </c>
      <c r="DD464" s="47">
        <v>0</v>
      </c>
      <c r="DE464" s="47">
        <v>0</v>
      </c>
      <c r="DF464" s="47">
        <v>0</v>
      </c>
      <c r="DG464" s="47">
        <v>0</v>
      </c>
      <c r="DH464" s="47">
        <v>0</v>
      </c>
      <c r="DI464" s="47">
        <v>0</v>
      </c>
      <c r="DJ464" s="47">
        <v>0</v>
      </c>
      <c r="DK464" s="47">
        <v>0</v>
      </c>
      <c r="DL464" s="47">
        <v>0</v>
      </c>
      <c r="DM464" s="47">
        <v>0</v>
      </c>
      <c r="DN464" s="47">
        <v>0</v>
      </c>
      <c r="DO464" s="47">
        <v>0</v>
      </c>
      <c r="DP464" s="47">
        <v>0</v>
      </c>
      <c r="DQ464" s="47">
        <v>0</v>
      </c>
      <c r="DR464" s="47">
        <v>0</v>
      </c>
      <c r="DS464" s="47">
        <v>0</v>
      </c>
      <c r="DT464" s="47">
        <v>0</v>
      </c>
      <c r="DU464" s="47">
        <v>0</v>
      </c>
      <c r="DV464" s="47">
        <v>0</v>
      </c>
      <c r="DW464" s="47">
        <v>0</v>
      </c>
      <c r="DX464" s="47">
        <v>0</v>
      </c>
      <c r="DY464" s="47">
        <v>0</v>
      </c>
      <c r="DZ464" s="47">
        <v>0</v>
      </c>
      <c r="EA464" s="47">
        <v>0</v>
      </c>
      <c r="EB464" s="47"/>
      <c r="EC464" s="47">
        <v>1</v>
      </c>
      <c r="ZZ464" t="s">
        <v>2472</v>
      </c>
    </row>
    <row r="465" spans="1:702" x14ac:dyDescent="0.25">
      <c r="A465" s="47" t="s">
        <v>2203</v>
      </c>
      <c r="B465" s="47" t="s">
        <v>153</v>
      </c>
      <c r="C465" s="47" t="s">
        <v>157</v>
      </c>
      <c r="D465" s="47" t="s">
        <v>2950</v>
      </c>
      <c r="E465" s="47" t="s">
        <v>2204</v>
      </c>
      <c r="F465" s="47" t="s">
        <v>2205</v>
      </c>
      <c r="G465" s="47" t="s">
        <v>2206</v>
      </c>
      <c r="H465" s="47" t="s">
        <v>698</v>
      </c>
      <c r="I465" s="47" t="s">
        <v>705</v>
      </c>
      <c r="J465" s="47" t="str">
        <f>=IFERROR(VLOOKUP(H465&amp;I465,Table_Fonctions!A:G,6,FALSE),"")</f>
        <v>0</v>
      </c>
      <c r="K465" s="47" t="s">
        <v>2607</v>
      </c>
      <c r="L465" s="47" t="str">
        <f>=IFERROR(VLOOKUP(H465&amp;I465,Table_Fonctions!A:G,7,FALSE),K465)</f>
        <v/>
      </c>
      <c r="M465" s="47" t="str">
        <f>=IF(OR(LEFT(D465, 3)="TJ ", LEFT(D465, 4)="CPH "), "OUI", "NON")</f>
        <v/>
      </c>
      <c r="N465" s="47" t="s">
        <v>1155</v>
      </c>
      <c r="O465" s="47"/>
      <c r="P465" s="47">
        <v>1</v>
      </c>
      <c r="Q465" s="47">
        <v>0</v>
      </c>
      <c r="R465" s="47">
        <v>1</v>
      </c>
      <c r="S465" s="47">
        <f>=ROUND(BQ465-(BR465+BS465),3)</f>
      </c>
      <c r="T465" s="47">
        <f>=ROUND(CK465-(CL465+CM465+CN465+CO465+CP465),3)</f>
      </c>
      <c r="U465" s="47">
        <v>0</v>
      </c>
      <c r="V465" s="47">
        <v>0</v>
      </c>
      <c r="W465" s="47">
        <v>0</v>
      </c>
      <c r="X465" s="47">
        <v>0</v>
      </c>
      <c r="Y465" s="47">
        <v>0</v>
      </c>
      <c r="Z465" s="47">
        <v>0</v>
      </c>
      <c r="AA465" s="47">
        <v>0</v>
      </c>
      <c r="AB465" s="47">
        <v>0</v>
      </c>
      <c r="AC465" s="47">
        <v>0</v>
      </c>
      <c r="AD465" s="47">
        <v>0</v>
      </c>
      <c r="AE465" s="47">
        <v>0</v>
      </c>
      <c r="AF465" s="47">
        <v>0</v>
      </c>
      <c r="AG465" s="47">
        <v>0</v>
      </c>
      <c r="AH465" s="47">
        <v>0</v>
      </c>
      <c r="AI465" s="47">
        <v>0</v>
      </c>
      <c r="AJ465" s="47">
        <v>0</v>
      </c>
      <c r="AK465" s="47">
        <v>0</v>
      </c>
      <c r="AL465" s="47">
        <v>0</v>
      </c>
      <c r="AM465" s="47">
        <v>0</v>
      </c>
      <c r="AN465" s="47">
        <v>0</v>
      </c>
      <c r="AO465" s="47">
        <v>0</v>
      </c>
      <c r="AP465" s="47">
        <v>0</v>
      </c>
      <c r="AQ465" s="47">
        <v>0</v>
      </c>
      <c r="AR465" s="47">
        <v>0</v>
      </c>
      <c r="AS465" s="47">
        <v>0</v>
      </c>
      <c r="AT465" s="47">
        <v>0</v>
      </c>
      <c r="AU465" s="47">
        <v>0</v>
      </c>
      <c r="AV465" s="47">
        <v>0</v>
      </c>
      <c r="AW465" s="47">
        <v>0</v>
      </c>
      <c r="AX465" s="47">
        <v>0</v>
      </c>
      <c r="AY465" s="47">
        <v>0</v>
      </c>
      <c r="AZ465" s="47">
        <v>0</v>
      </c>
      <c r="BA465" s="47">
        <v>0</v>
      </c>
      <c r="BB465" s="47">
        <v>0</v>
      </c>
      <c r="BC465" s="47">
        <v>0</v>
      </c>
      <c r="BD465" s="47">
        <v>0</v>
      </c>
      <c r="BE465" s="47">
        <v>0</v>
      </c>
      <c r="BF465" s="47">
        <v>0</v>
      </c>
      <c r="BG465" s="47">
        <v>0</v>
      </c>
      <c r="BH465" s="47">
        <v>0</v>
      </c>
      <c r="BI465" s="47">
        <v>0</v>
      </c>
      <c r="BJ465" s="47">
        <v>0</v>
      </c>
      <c r="BK465" s="47">
        <v>0</v>
      </c>
      <c r="BL465" s="47">
        <v>0</v>
      </c>
      <c r="BM465" s="47">
        <v>0</v>
      </c>
      <c r="BN465" s="47">
        <v>0</v>
      </c>
      <c r="BO465" s="47">
        <v>0</v>
      </c>
      <c r="BP465" s="47">
        <v>0</v>
      </c>
      <c r="BQ465" s="47">
        <v>0</v>
      </c>
      <c r="BR465" s="47">
        <v>0</v>
      </c>
      <c r="BS465" s="47">
        <v>0</v>
      </c>
      <c r="BT465" s="47">
        <v>0</v>
      </c>
      <c r="BU465" s="47">
        <v>0</v>
      </c>
      <c r="BV465" s="47">
        <v>0</v>
      </c>
      <c r="BW465" s="47">
        <v>0</v>
      </c>
      <c r="BX465" s="47">
        <v>0</v>
      </c>
      <c r="BY465" s="47">
        <v>0</v>
      </c>
      <c r="BZ465" s="47">
        <v>0</v>
      </c>
      <c r="CA465" s="47">
        <v>0</v>
      </c>
      <c r="CB465" s="47">
        <v>0</v>
      </c>
      <c r="CC465" s="47">
        <v>0</v>
      </c>
      <c r="CD465" s="47">
        <v>0</v>
      </c>
      <c r="CE465" s="47">
        <v>0</v>
      </c>
      <c r="CF465" s="47">
        <v>0</v>
      </c>
      <c r="CG465" s="47">
        <v>0</v>
      </c>
      <c r="CH465" s="47">
        <v>0</v>
      </c>
      <c r="CI465" s="47">
        <v>0</v>
      </c>
      <c r="CJ465" s="47">
        <v>0</v>
      </c>
      <c r="CK465" s="47">
        <v>0</v>
      </c>
      <c r="CL465" s="47">
        <v>0</v>
      </c>
      <c r="CM465" s="47">
        <v>0</v>
      </c>
      <c r="CN465" s="47">
        <v>0</v>
      </c>
      <c r="CO465" s="47">
        <v>0</v>
      </c>
      <c r="CP465" s="47">
        <v>0</v>
      </c>
      <c r="CQ465" s="47">
        <v>0</v>
      </c>
      <c r="CR465" s="47">
        <v>0</v>
      </c>
      <c r="CS465" s="47">
        <v>0</v>
      </c>
      <c r="CT465" s="47">
        <v>0</v>
      </c>
      <c r="CU465" s="47">
        <v>0</v>
      </c>
      <c r="CV465" s="47">
        <v>0</v>
      </c>
      <c r="CW465" s="47">
        <v>0</v>
      </c>
      <c r="CX465" s="47">
        <v>0</v>
      </c>
      <c r="CY465" s="47">
        <v>0</v>
      </c>
      <c r="CZ465" s="47">
        <v>0</v>
      </c>
      <c r="DA465" s="47">
        <v>0</v>
      </c>
      <c r="DB465" s="47">
        <v>0</v>
      </c>
      <c r="DC465" s="47">
        <v>0</v>
      </c>
      <c r="DD465" s="47">
        <v>0</v>
      </c>
      <c r="DE465" s="47">
        <v>0</v>
      </c>
      <c r="DF465" s="47">
        <v>0</v>
      </c>
      <c r="DG465" s="47">
        <v>0</v>
      </c>
      <c r="DH465" s="47">
        <v>0</v>
      </c>
      <c r="DI465" s="47">
        <v>0</v>
      </c>
      <c r="DJ465" s="47">
        <v>0</v>
      </c>
      <c r="DK465" s="47">
        <v>0</v>
      </c>
      <c r="DL465" s="47">
        <v>0</v>
      </c>
      <c r="DM465" s="47">
        <v>0</v>
      </c>
      <c r="DN465" s="47">
        <v>0</v>
      </c>
      <c r="DO465" s="47">
        <v>0</v>
      </c>
      <c r="DP465" s="47">
        <v>0</v>
      </c>
      <c r="DQ465" s="47">
        <v>0</v>
      </c>
      <c r="DR465" s="47">
        <v>0</v>
      </c>
      <c r="DS465" s="47">
        <v>0</v>
      </c>
      <c r="DT465" s="47">
        <v>0</v>
      </c>
      <c r="DU465" s="47">
        <v>0</v>
      </c>
      <c r="DV465" s="47">
        <v>0</v>
      </c>
      <c r="DW465" s="47">
        <v>0</v>
      </c>
      <c r="DX465" s="47">
        <v>0</v>
      </c>
      <c r="DY465" s="47">
        <v>0</v>
      </c>
      <c r="DZ465" s="47">
        <v>0</v>
      </c>
      <c r="EA465" s="47">
        <v>0</v>
      </c>
      <c r="EB465" s="47"/>
      <c r="EC465" s="47">
        <v>1</v>
      </c>
      <c r="ZZ465" t="s">
        <v>2472</v>
      </c>
    </row>
    <row r="466" spans="1:702" x14ac:dyDescent="0.25">
      <c r="A466" s="47" t="s">
        <v>2207</v>
      </c>
      <c r="B466" s="47" t="s">
        <v>153</v>
      </c>
      <c r="C466" s="47" t="s">
        <v>157</v>
      </c>
      <c r="D466" s="47" t="s">
        <v>2951</v>
      </c>
      <c r="E466" s="47" t="s">
        <v>2208</v>
      </c>
      <c r="F466" s="47" t="s">
        <v>2209</v>
      </c>
      <c r="G466" s="47" t="s">
        <v>2210</v>
      </c>
      <c r="H466" s="47" t="s">
        <v>698</v>
      </c>
      <c r="I466" s="47" t="s">
        <v>727</v>
      </c>
      <c r="J466" s="47" t="str">
        <f>=IFERROR(VLOOKUP(H466&amp;I466,Table_Fonctions!A:G,6,FALSE),"")</f>
        <v>0</v>
      </c>
      <c r="K466" s="47" t="s">
        <v>2607</v>
      </c>
      <c r="L466" s="47" t="str">
        <f>=IFERROR(VLOOKUP(H466&amp;I466,Table_Fonctions!A:G,7,FALSE),K466)</f>
        <v/>
      </c>
      <c r="M466" s="47" t="str">
        <f>=IF(OR(LEFT(D466, 3)="TJ ", LEFT(D466, 4)="CPH "), "OUI", "NON")</f>
        <v/>
      </c>
      <c r="N466" s="47" t="s">
        <v>1368</v>
      </c>
      <c r="O466" s="47"/>
      <c r="P466" s="47">
        <v>0.8</v>
      </c>
      <c r="Q466" s="47">
        <v>0.8</v>
      </c>
      <c r="R466" s="47">
        <v>0</v>
      </c>
      <c r="S466" s="47">
        <f>=ROUND(BQ466-(BR466+BS466),3)</f>
      </c>
      <c r="T466" s="47">
        <f>=ROUND(CK466-(CL466+CM466+CN466+CO466+CP466),3)</f>
      </c>
      <c r="U466" s="47">
        <v>0</v>
      </c>
      <c r="V466" s="47">
        <v>0</v>
      </c>
      <c r="W466" s="47">
        <v>0</v>
      </c>
      <c r="X466" s="47">
        <v>0</v>
      </c>
      <c r="Y466" s="47">
        <v>0</v>
      </c>
      <c r="Z466" s="47">
        <v>0</v>
      </c>
      <c r="AA466" s="47">
        <v>0</v>
      </c>
      <c r="AB466" s="47">
        <v>0</v>
      </c>
      <c r="AC466" s="47">
        <v>0</v>
      </c>
      <c r="AD466" s="47">
        <v>0</v>
      </c>
      <c r="AE466" s="47">
        <v>0</v>
      </c>
      <c r="AF466" s="47">
        <v>0</v>
      </c>
      <c r="AG466" s="47">
        <v>0</v>
      </c>
      <c r="AH466" s="47">
        <v>0</v>
      </c>
      <c r="AI466" s="47">
        <v>0</v>
      </c>
      <c r="AJ466" s="47">
        <v>0</v>
      </c>
      <c r="AK466" s="47">
        <v>0</v>
      </c>
      <c r="AL466" s="47">
        <v>0</v>
      </c>
      <c r="AM466" s="47">
        <v>0</v>
      </c>
      <c r="AN466" s="47">
        <v>0</v>
      </c>
      <c r="AO466" s="47">
        <v>0</v>
      </c>
      <c r="AP466" s="47">
        <v>0</v>
      </c>
      <c r="AQ466" s="47">
        <v>0</v>
      </c>
      <c r="AR466" s="47">
        <v>0</v>
      </c>
      <c r="AS466" s="47">
        <v>0</v>
      </c>
      <c r="AT466" s="47">
        <v>0</v>
      </c>
      <c r="AU466" s="47">
        <v>0</v>
      </c>
      <c r="AV466" s="47">
        <v>0</v>
      </c>
      <c r="AW466" s="47">
        <v>0</v>
      </c>
      <c r="AX466" s="47">
        <v>0</v>
      </c>
      <c r="AY466" s="47">
        <v>0</v>
      </c>
      <c r="AZ466" s="47">
        <v>0</v>
      </c>
      <c r="BA466" s="47">
        <v>0</v>
      </c>
      <c r="BB466" s="47">
        <v>0</v>
      </c>
      <c r="BC466" s="47">
        <v>0</v>
      </c>
      <c r="BD466" s="47">
        <v>0</v>
      </c>
      <c r="BE466" s="47">
        <v>0</v>
      </c>
      <c r="BF466" s="47">
        <v>0</v>
      </c>
      <c r="BG466" s="47">
        <v>0</v>
      </c>
      <c r="BH466" s="47">
        <v>0</v>
      </c>
      <c r="BI466" s="47">
        <v>0</v>
      </c>
      <c r="BJ466" s="47">
        <v>0</v>
      </c>
      <c r="BK466" s="47">
        <v>0</v>
      </c>
      <c r="BL466" s="47">
        <v>0</v>
      </c>
      <c r="BM466" s="47">
        <v>0</v>
      </c>
      <c r="BN466" s="47">
        <v>0</v>
      </c>
      <c r="BO466" s="47">
        <v>0</v>
      </c>
      <c r="BP466" s="47">
        <v>0</v>
      </c>
      <c r="BQ466" s="47">
        <v>0</v>
      </c>
      <c r="BR466" s="47">
        <v>0</v>
      </c>
      <c r="BS466" s="47">
        <v>0</v>
      </c>
      <c r="BT466" s="47">
        <v>0</v>
      </c>
      <c r="BU466" s="47">
        <v>0</v>
      </c>
      <c r="BV466" s="47">
        <v>0</v>
      </c>
      <c r="BW466" s="47">
        <v>0</v>
      </c>
      <c r="BX466" s="47">
        <v>0</v>
      </c>
      <c r="BY466" s="47">
        <v>0</v>
      </c>
      <c r="BZ466" s="47">
        <v>0</v>
      </c>
      <c r="CA466" s="47">
        <v>0</v>
      </c>
      <c r="CB466" s="47">
        <v>0</v>
      </c>
      <c r="CC466" s="47">
        <v>0</v>
      </c>
      <c r="CD466" s="47">
        <v>0</v>
      </c>
      <c r="CE466" s="47">
        <v>0</v>
      </c>
      <c r="CF466" s="47">
        <v>0</v>
      </c>
      <c r="CG466" s="47">
        <v>0</v>
      </c>
      <c r="CH466" s="47">
        <v>0</v>
      </c>
      <c r="CI466" s="47">
        <v>0</v>
      </c>
      <c r="CJ466" s="47">
        <v>0</v>
      </c>
      <c r="CK466" s="47">
        <v>0</v>
      </c>
      <c r="CL466" s="47">
        <v>0</v>
      </c>
      <c r="CM466" s="47">
        <v>0</v>
      </c>
      <c r="CN466" s="47">
        <v>0</v>
      </c>
      <c r="CO466" s="47">
        <v>0</v>
      </c>
      <c r="CP466" s="47">
        <v>0</v>
      </c>
      <c r="CQ466" s="47">
        <v>0</v>
      </c>
      <c r="CR466" s="47">
        <v>0</v>
      </c>
      <c r="CS466" s="47">
        <v>0</v>
      </c>
      <c r="CT466" s="47">
        <v>0</v>
      </c>
      <c r="CU466" s="47">
        <v>0</v>
      </c>
      <c r="CV466" s="47">
        <v>0</v>
      </c>
      <c r="CW466" s="47">
        <v>0</v>
      </c>
      <c r="CX466" s="47">
        <v>0</v>
      </c>
      <c r="CY466" s="47">
        <v>0.8</v>
      </c>
      <c r="CZ466" s="47">
        <v>0</v>
      </c>
      <c r="DA466" s="47">
        <v>0</v>
      </c>
      <c r="DB466" s="47">
        <v>0</v>
      </c>
      <c r="DC466" s="47">
        <v>0</v>
      </c>
      <c r="DD466" s="47">
        <v>0</v>
      </c>
      <c r="DE466" s="47">
        <v>0</v>
      </c>
      <c r="DF466" s="47">
        <v>0</v>
      </c>
      <c r="DG466" s="47">
        <v>0</v>
      </c>
      <c r="DH466" s="47">
        <v>0</v>
      </c>
      <c r="DI466" s="47">
        <v>0</v>
      </c>
      <c r="DJ466" s="47">
        <v>0</v>
      </c>
      <c r="DK466" s="47">
        <v>0</v>
      </c>
      <c r="DL466" s="47">
        <v>0</v>
      </c>
      <c r="DM466" s="47">
        <v>0</v>
      </c>
      <c r="DN466" s="47">
        <v>0</v>
      </c>
      <c r="DO466" s="47">
        <v>0</v>
      </c>
      <c r="DP466" s="47">
        <v>0</v>
      </c>
      <c r="DQ466" s="47">
        <v>0</v>
      </c>
      <c r="DR466" s="47">
        <v>0</v>
      </c>
      <c r="DS466" s="47">
        <v>0</v>
      </c>
      <c r="DT466" s="47">
        <v>0</v>
      </c>
      <c r="DU466" s="47">
        <v>0</v>
      </c>
      <c r="DV466" s="47">
        <v>0</v>
      </c>
      <c r="DW466" s="47">
        <v>0</v>
      </c>
      <c r="DX466" s="47">
        <v>0</v>
      </c>
      <c r="DY466" s="47">
        <v>0</v>
      </c>
      <c r="DZ466" s="47">
        <v>0</v>
      </c>
      <c r="EA466" s="47">
        <v>0</v>
      </c>
      <c r="EB466" s="47"/>
      <c r="EC466" s="47">
        <v>0.8</v>
      </c>
      <c r="ZZ466" t="s">
        <v>2472</v>
      </c>
    </row>
    <row r="467" spans="1:702" x14ac:dyDescent="0.25">
      <c r="A467" s="47" t="s">
        <v>2211</v>
      </c>
      <c r="B467" s="47" t="s">
        <v>153</v>
      </c>
      <c r="C467" s="47" t="s">
        <v>157</v>
      </c>
      <c r="D467" s="47" t="s">
        <v>2952</v>
      </c>
      <c r="E467" s="47" t="s">
        <v>2212</v>
      </c>
      <c r="F467" s="47" t="s">
        <v>2213</v>
      </c>
      <c r="G467" s="47" t="s">
        <v>2214</v>
      </c>
      <c r="H467" s="47" t="s">
        <v>698</v>
      </c>
      <c r="I467" s="47" t="s">
        <v>727</v>
      </c>
      <c r="J467" s="47" t="str">
        <f>=IFERROR(VLOOKUP(H467&amp;I467,Table_Fonctions!A:G,6,FALSE),"")</f>
        <v>0</v>
      </c>
      <c r="K467" s="47" t="s">
        <v>2607</v>
      </c>
      <c r="L467" s="47" t="str">
        <f>=IFERROR(VLOOKUP(H467&amp;I467,Table_Fonctions!A:G,7,FALSE),K467)</f>
        <v/>
      </c>
      <c r="M467" s="47" t="str">
        <f>=IF(OR(LEFT(D467, 3)="TJ ", LEFT(D467, 4)="CPH "), "OUI", "NON")</f>
        <v/>
      </c>
      <c r="N467" s="47" t="s">
        <v>175</v>
      </c>
      <c r="O467" s="47"/>
      <c r="P467" s="47">
        <v>1</v>
      </c>
      <c r="Q467" s="47">
        <v>1</v>
      </c>
      <c r="R467" s="47">
        <v>0</v>
      </c>
      <c r="S467" s="47">
        <f>=ROUND(BQ467-(BR467+BS467),3)</f>
      </c>
      <c r="T467" s="47">
        <f>=ROUND(CK467-(CL467+CM467+CN467+CO467+CP467),3)</f>
      </c>
      <c r="U467" s="47">
        <v>0</v>
      </c>
      <c r="V467" s="47">
        <v>0</v>
      </c>
      <c r="W467" s="47">
        <v>0</v>
      </c>
      <c r="X467" s="47">
        <v>0</v>
      </c>
      <c r="Y467" s="47">
        <v>0</v>
      </c>
      <c r="Z467" s="47">
        <v>0</v>
      </c>
      <c r="AA467" s="47">
        <v>0</v>
      </c>
      <c r="AB467" s="47">
        <v>0</v>
      </c>
      <c r="AC467" s="47">
        <v>0</v>
      </c>
      <c r="AD467" s="47">
        <v>0</v>
      </c>
      <c r="AE467" s="47">
        <v>0</v>
      </c>
      <c r="AF467" s="47">
        <v>0</v>
      </c>
      <c r="AG467" s="47">
        <v>0</v>
      </c>
      <c r="AH467" s="47">
        <v>0</v>
      </c>
      <c r="AI467" s="47">
        <v>0</v>
      </c>
      <c r="AJ467" s="47">
        <v>0</v>
      </c>
      <c r="AK467" s="47">
        <v>0</v>
      </c>
      <c r="AL467" s="47">
        <v>0</v>
      </c>
      <c r="AM467" s="47">
        <v>0</v>
      </c>
      <c r="AN467" s="47">
        <v>0</v>
      </c>
      <c r="AO467" s="47">
        <v>0</v>
      </c>
      <c r="AP467" s="47">
        <v>0</v>
      </c>
      <c r="AQ467" s="47">
        <v>0</v>
      </c>
      <c r="AR467" s="47">
        <v>0</v>
      </c>
      <c r="AS467" s="47">
        <v>1</v>
      </c>
      <c r="AT467" s="47">
        <v>0</v>
      </c>
      <c r="AU467" s="47">
        <v>0</v>
      </c>
      <c r="AV467" s="47">
        <v>0</v>
      </c>
      <c r="AW467" s="47">
        <v>0</v>
      </c>
      <c r="AX467" s="47">
        <v>0</v>
      </c>
      <c r="AY467" s="47">
        <v>0</v>
      </c>
      <c r="AZ467" s="47">
        <v>0</v>
      </c>
      <c r="BA467" s="47">
        <v>0</v>
      </c>
      <c r="BB467" s="47">
        <v>0</v>
      </c>
      <c r="BC467" s="47">
        <v>0</v>
      </c>
      <c r="BD467" s="47">
        <v>0</v>
      </c>
      <c r="BE467" s="47">
        <v>0</v>
      </c>
      <c r="BF467" s="47">
        <v>0</v>
      </c>
      <c r="BG467" s="47">
        <v>0</v>
      </c>
      <c r="BH467" s="47">
        <v>0</v>
      </c>
      <c r="BI467" s="47">
        <v>0</v>
      </c>
      <c r="BJ467" s="47">
        <v>0</v>
      </c>
      <c r="BK467" s="47">
        <v>0</v>
      </c>
      <c r="BL467" s="47">
        <v>0</v>
      </c>
      <c r="BM467" s="47">
        <v>0</v>
      </c>
      <c r="BN467" s="47">
        <v>0</v>
      </c>
      <c r="BO467" s="47">
        <v>0</v>
      </c>
      <c r="BP467" s="47">
        <v>0</v>
      </c>
      <c r="BQ467" s="47">
        <v>0</v>
      </c>
      <c r="BR467" s="47">
        <v>0</v>
      </c>
      <c r="BS467" s="47">
        <v>0</v>
      </c>
      <c r="BT467" s="47">
        <v>0</v>
      </c>
      <c r="BU467" s="47">
        <v>0</v>
      </c>
      <c r="BV467" s="47">
        <v>0</v>
      </c>
      <c r="BW467" s="47">
        <v>0</v>
      </c>
      <c r="BX467" s="47">
        <v>0</v>
      </c>
      <c r="BY467" s="47">
        <v>0</v>
      </c>
      <c r="BZ467" s="47">
        <v>0</v>
      </c>
      <c r="CA467" s="47">
        <v>0</v>
      </c>
      <c r="CB467" s="47">
        <v>0</v>
      </c>
      <c r="CC467" s="47">
        <v>0</v>
      </c>
      <c r="CD467" s="47">
        <v>0</v>
      </c>
      <c r="CE467" s="47">
        <v>0</v>
      </c>
      <c r="CF467" s="47">
        <v>0</v>
      </c>
      <c r="CG467" s="47">
        <v>0</v>
      </c>
      <c r="CH467" s="47">
        <v>0</v>
      </c>
      <c r="CI467" s="47">
        <v>0</v>
      </c>
      <c r="CJ467" s="47">
        <v>0</v>
      </c>
      <c r="CK467" s="47">
        <v>0</v>
      </c>
      <c r="CL467" s="47">
        <v>0</v>
      </c>
      <c r="CM467" s="47">
        <v>0</v>
      </c>
      <c r="CN467" s="47">
        <v>0</v>
      </c>
      <c r="CO467" s="47">
        <v>0</v>
      </c>
      <c r="CP467" s="47">
        <v>0</v>
      </c>
      <c r="CQ467" s="47">
        <v>0</v>
      </c>
      <c r="CR467" s="47">
        <v>0</v>
      </c>
      <c r="CS467" s="47">
        <v>0</v>
      </c>
      <c r="CT467" s="47">
        <v>0</v>
      </c>
      <c r="CU467" s="47">
        <v>0</v>
      </c>
      <c r="CV467" s="47">
        <v>0</v>
      </c>
      <c r="CW467" s="47">
        <v>0</v>
      </c>
      <c r="CX467" s="47">
        <v>0</v>
      </c>
      <c r="CY467" s="47">
        <v>0</v>
      </c>
      <c r="CZ467" s="47">
        <v>0</v>
      </c>
      <c r="DA467" s="47">
        <v>0</v>
      </c>
      <c r="DB467" s="47">
        <v>0</v>
      </c>
      <c r="DC467" s="47">
        <v>0</v>
      </c>
      <c r="DD467" s="47">
        <v>0</v>
      </c>
      <c r="DE467" s="47">
        <v>0</v>
      </c>
      <c r="DF467" s="47">
        <v>0</v>
      </c>
      <c r="DG467" s="47">
        <v>0</v>
      </c>
      <c r="DH467" s="47">
        <v>0</v>
      </c>
      <c r="DI467" s="47">
        <v>0</v>
      </c>
      <c r="DJ467" s="47">
        <v>0</v>
      </c>
      <c r="DK467" s="47">
        <v>0</v>
      </c>
      <c r="DL467" s="47">
        <v>0</v>
      </c>
      <c r="DM467" s="47">
        <v>0</v>
      </c>
      <c r="DN467" s="47">
        <v>0</v>
      </c>
      <c r="DO467" s="47">
        <v>0</v>
      </c>
      <c r="DP467" s="47">
        <v>0</v>
      </c>
      <c r="DQ467" s="47">
        <v>0</v>
      </c>
      <c r="DR467" s="47">
        <v>0</v>
      </c>
      <c r="DS467" s="47">
        <v>0</v>
      </c>
      <c r="DT467" s="47">
        <v>0</v>
      </c>
      <c r="DU467" s="47">
        <v>0</v>
      </c>
      <c r="DV467" s="47">
        <v>0</v>
      </c>
      <c r="DW467" s="47">
        <v>0</v>
      </c>
      <c r="DX467" s="47">
        <v>0</v>
      </c>
      <c r="DY467" s="47">
        <v>0</v>
      </c>
      <c r="DZ467" s="47">
        <v>0</v>
      </c>
      <c r="EA467" s="47">
        <v>0</v>
      </c>
      <c r="EB467" s="47"/>
      <c r="EC467" s="47">
        <v>1</v>
      </c>
      <c r="ZZ467" t="s">
        <v>2472</v>
      </c>
    </row>
    <row r="468" spans="1:702" x14ac:dyDescent="0.25">
      <c r="A468" s="47" t="s">
        <v>2215</v>
      </c>
      <c r="B468" s="47" t="s">
        <v>153</v>
      </c>
      <c r="C468" s="47" t="s">
        <v>157</v>
      </c>
      <c r="D468" s="47" t="s">
        <v>2953</v>
      </c>
      <c r="E468" s="47" t="s">
        <v>2216</v>
      </c>
      <c r="F468" s="47" t="s">
        <v>2217</v>
      </c>
      <c r="G468" s="47" t="s">
        <v>2218</v>
      </c>
      <c r="H468" s="47" t="s">
        <v>698</v>
      </c>
      <c r="I468" s="47" t="s">
        <v>727</v>
      </c>
      <c r="J468" s="47" t="str">
        <f>=IFERROR(VLOOKUP(H468&amp;I468,Table_Fonctions!A:G,6,FALSE),"")</f>
        <v>0</v>
      </c>
      <c r="K468" s="47" t="s">
        <v>2607</v>
      </c>
      <c r="L468" s="47" t="str">
        <f>=IFERROR(VLOOKUP(H468&amp;I468,Table_Fonctions!A:G,7,FALSE),K468)</f>
        <v/>
      </c>
      <c r="M468" s="47" t="str">
        <f>=IF(OR(LEFT(D468, 3)="TJ ", LEFT(D468, 4)="CPH "), "OUI", "NON")</f>
        <v/>
      </c>
      <c r="N468" s="47" t="s">
        <v>593</v>
      </c>
      <c r="O468" s="47"/>
      <c r="P468" s="47">
        <v>1</v>
      </c>
      <c r="Q468" s="47">
        <v>1</v>
      </c>
      <c r="R468" s="47">
        <v>0</v>
      </c>
      <c r="S468" s="47">
        <f>=ROUND(BQ468-(BR468+BS468),3)</f>
      </c>
      <c r="T468" s="47">
        <f>=ROUND(CK468-(CL468+CM468+CN468+CO468+CP468),3)</f>
      </c>
      <c r="U468" s="47">
        <v>0</v>
      </c>
      <c r="V468" s="47">
        <v>0</v>
      </c>
      <c r="W468" s="47">
        <v>0</v>
      </c>
      <c r="X468" s="47">
        <v>0</v>
      </c>
      <c r="Y468" s="47">
        <v>0</v>
      </c>
      <c r="Z468" s="47">
        <v>0</v>
      </c>
      <c r="AA468" s="47">
        <v>0</v>
      </c>
      <c r="AB468" s="47">
        <v>0</v>
      </c>
      <c r="AC468" s="47">
        <v>0</v>
      </c>
      <c r="AD468" s="47">
        <v>0</v>
      </c>
      <c r="AE468" s="47">
        <v>0</v>
      </c>
      <c r="AF468" s="47">
        <v>0</v>
      </c>
      <c r="AG468" s="47">
        <v>0</v>
      </c>
      <c r="AH468" s="47">
        <v>0</v>
      </c>
      <c r="AI468" s="47">
        <v>0</v>
      </c>
      <c r="AJ468" s="47">
        <v>0</v>
      </c>
      <c r="AK468" s="47">
        <v>0</v>
      </c>
      <c r="AL468" s="47">
        <v>0</v>
      </c>
      <c r="AM468" s="47">
        <v>0</v>
      </c>
      <c r="AN468" s="47">
        <v>0</v>
      </c>
      <c r="AO468" s="47">
        <v>0</v>
      </c>
      <c r="AP468" s="47">
        <v>0</v>
      </c>
      <c r="AQ468" s="47">
        <v>0</v>
      </c>
      <c r="AR468" s="47">
        <v>0</v>
      </c>
      <c r="AS468" s="47">
        <v>0</v>
      </c>
      <c r="AT468" s="47">
        <v>0</v>
      </c>
      <c r="AU468" s="47">
        <v>0</v>
      </c>
      <c r="AV468" s="47">
        <v>0</v>
      </c>
      <c r="AW468" s="47">
        <v>0</v>
      </c>
      <c r="AX468" s="47">
        <v>0</v>
      </c>
      <c r="AY468" s="47">
        <v>0</v>
      </c>
      <c r="AZ468" s="47">
        <v>0</v>
      </c>
      <c r="BA468" s="47">
        <v>0</v>
      </c>
      <c r="BB468" s="47">
        <v>0</v>
      </c>
      <c r="BC468" s="47">
        <v>0</v>
      </c>
      <c r="BD468" s="47">
        <v>0</v>
      </c>
      <c r="BE468" s="47">
        <v>0</v>
      </c>
      <c r="BF468" s="47">
        <v>0</v>
      </c>
      <c r="BG468" s="47">
        <v>0</v>
      </c>
      <c r="BH468" s="47">
        <v>0</v>
      </c>
      <c r="BI468" s="47">
        <v>0</v>
      </c>
      <c r="BJ468" s="47">
        <v>0</v>
      </c>
      <c r="BK468" s="47">
        <v>0</v>
      </c>
      <c r="BL468" s="47">
        <v>0</v>
      </c>
      <c r="BM468" s="47">
        <v>0</v>
      </c>
      <c r="BN468" s="47">
        <v>0</v>
      </c>
      <c r="BO468" s="47">
        <v>0</v>
      </c>
      <c r="BP468" s="47">
        <v>0</v>
      </c>
      <c r="BQ468" s="47">
        <v>0</v>
      </c>
      <c r="BR468" s="47">
        <v>0</v>
      </c>
      <c r="BS468" s="47">
        <v>0</v>
      </c>
      <c r="BT468" s="47">
        <v>1</v>
      </c>
      <c r="BU468" s="47">
        <v>0</v>
      </c>
      <c r="BV468" s="47">
        <v>0</v>
      </c>
      <c r="BW468" s="47">
        <v>0</v>
      </c>
      <c r="BX468" s="47">
        <v>0</v>
      </c>
      <c r="BY468" s="47">
        <v>0</v>
      </c>
      <c r="BZ468" s="47">
        <v>0</v>
      </c>
      <c r="CA468" s="47">
        <v>0</v>
      </c>
      <c r="CB468" s="47">
        <v>0</v>
      </c>
      <c r="CC468" s="47">
        <v>0</v>
      </c>
      <c r="CD468" s="47">
        <v>0</v>
      </c>
      <c r="CE468" s="47">
        <v>0</v>
      </c>
      <c r="CF468" s="47">
        <v>0</v>
      </c>
      <c r="CG468" s="47">
        <v>0</v>
      </c>
      <c r="CH468" s="47">
        <v>0</v>
      </c>
      <c r="CI468" s="47">
        <v>0</v>
      </c>
      <c r="CJ468" s="47">
        <v>0</v>
      </c>
      <c r="CK468" s="47">
        <v>0</v>
      </c>
      <c r="CL468" s="47">
        <v>0</v>
      </c>
      <c r="CM468" s="47">
        <v>0</v>
      </c>
      <c r="CN468" s="47">
        <v>0</v>
      </c>
      <c r="CO468" s="47">
        <v>0</v>
      </c>
      <c r="CP468" s="47">
        <v>0</v>
      </c>
      <c r="CQ468" s="47">
        <v>0</v>
      </c>
      <c r="CR468" s="47">
        <v>0</v>
      </c>
      <c r="CS468" s="47">
        <v>0</v>
      </c>
      <c r="CT468" s="47">
        <v>0</v>
      </c>
      <c r="CU468" s="47">
        <v>0</v>
      </c>
      <c r="CV468" s="47">
        <v>0</v>
      </c>
      <c r="CW468" s="47">
        <v>0</v>
      </c>
      <c r="CX468" s="47">
        <v>0</v>
      </c>
      <c r="CY468" s="47">
        <v>0</v>
      </c>
      <c r="CZ468" s="47">
        <v>0</v>
      </c>
      <c r="DA468" s="47">
        <v>0</v>
      </c>
      <c r="DB468" s="47">
        <v>0</v>
      </c>
      <c r="DC468" s="47">
        <v>0</v>
      </c>
      <c r="DD468" s="47">
        <v>0</v>
      </c>
      <c r="DE468" s="47">
        <v>0</v>
      </c>
      <c r="DF468" s="47">
        <v>0</v>
      </c>
      <c r="DG468" s="47">
        <v>0</v>
      </c>
      <c r="DH468" s="47">
        <v>0</v>
      </c>
      <c r="DI468" s="47">
        <v>0</v>
      </c>
      <c r="DJ468" s="47">
        <v>0</v>
      </c>
      <c r="DK468" s="47">
        <v>0</v>
      </c>
      <c r="DL468" s="47">
        <v>0</v>
      </c>
      <c r="DM468" s="47">
        <v>0</v>
      </c>
      <c r="DN468" s="47">
        <v>0</v>
      </c>
      <c r="DO468" s="47">
        <v>0</v>
      </c>
      <c r="DP468" s="47">
        <v>0</v>
      </c>
      <c r="DQ468" s="47">
        <v>0</v>
      </c>
      <c r="DR468" s="47">
        <v>0</v>
      </c>
      <c r="DS468" s="47">
        <v>0</v>
      </c>
      <c r="DT468" s="47">
        <v>0</v>
      </c>
      <c r="DU468" s="47">
        <v>0</v>
      </c>
      <c r="DV468" s="47">
        <v>0</v>
      </c>
      <c r="DW468" s="47">
        <v>0</v>
      </c>
      <c r="DX468" s="47">
        <v>0</v>
      </c>
      <c r="DY468" s="47">
        <v>0</v>
      </c>
      <c r="DZ468" s="47">
        <v>0</v>
      </c>
      <c r="EA468" s="47">
        <v>0</v>
      </c>
      <c r="EB468" s="47"/>
      <c r="EC468" s="47">
        <v>1</v>
      </c>
      <c r="ZZ468" t="s">
        <v>2472</v>
      </c>
    </row>
    <row r="469" spans="1:702" x14ac:dyDescent="0.25">
      <c r="A469" s="47" t="s">
        <v>2219</v>
      </c>
      <c r="B469" s="47" t="s">
        <v>153</v>
      </c>
      <c r="C469" s="47" t="s">
        <v>157</v>
      </c>
      <c r="D469" s="47" t="s">
        <v>2954</v>
      </c>
      <c r="E469" s="47" t="s">
        <v>2220</v>
      </c>
      <c r="F469" s="47" t="s">
        <v>2221</v>
      </c>
      <c r="G469" s="47" t="s">
        <v>2222</v>
      </c>
      <c r="H469" s="47" t="s">
        <v>698</v>
      </c>
      <c r="I469" s="47" t="s">
        <v>727</v>
      </c>
      <c r="J469" s="47" t="str">
        <f>=IFERROR(VLOOKUP(H469&amp;I469,Table_Fonctions!A:G,6,FALSE),"")</f>
        <v>0</v>
      </c>
      <c r="K469" s="47" t="s">
        <v>2607</v>
      </c>
      <c r="L469" s="47" t="str">
        <f>=IFERROR(VLOOKUP(H469&amp;I469,Table_Fonctions!A:G,7,FALSE),K469)</f>
        <v/>
      </c>
      <c r="M469" s="47" t="str">
        <f>=IF(OR(LEFT(D469, 3)="TJ ", LEFT(D469, 4)="CPH "), "OUI", "NON")</f>
        <v/>
      </c>
      <c r="N469" s="47" t="s">
        <v>1000</v>
      </c>
      <c r="O469" s="47"/>
      <c r="P469" s="47">
        <v>0.8</v>
      </c>
      <c r="Q469" s="47">
        <v>0.8</v>
      </c>
      <c r="R469" s="47">
        <v>0</v>
      </c>
      <c r="S469" s="47">
        <f>=ROUND(BQ469-(BR469+BS469),3)</f>
      </c>
      <c r="T469" s="47">
        <f>=ROUND(CK469-(CL469+CM469+CN469+CO469+CP469),3)</f>
      </c>
      <c r="U469" s="47">
        <v>0</v>
      </c>
      <c r="V469" s="47">
        <v>0</v>
      </c>
      <c r="W469" s="47">
        <v>0</v>
      </c>
      <c r="X469" s="47">
        <v>0</v>
      </c>
      <c r="Y469" s="47">
        <v>0</v>
      </c>
      <c r="Z469" s="47">
        <v>0</v>
      </c>
      <c r="AA469" s="47">
        <v>0</v>
      </c>
      <c r="AB469" s="47">
        <v>0</v>
      </c>
      <c r="AC469" s="47">
        <v>0</v>
      </c>
      <c r="AD469" s="47">
        <v>0</v>
      </c>
      <c r="AE469" s="47">
        <v>0</v>
      </c>
      <c r="AF469" s="47">
        <v>0</v>
      </c>
      <c r="AG469" s="47">
        <v>0</v>
      </c>
      <c r="AH469" s="47">
        <v>0</v>
      </c>
      <c r="AI469" s="47">
        <v>0</v>
      </c>
      <c r="AJ469" s="47">
        <v>0.8</v>
      </c>
      <c r="AK469" s="47">
        <v>0</v>
      </c>
      <c r="AL469" s="47">
        <v>0</v>
      </c>
      <c r="AM469" s="47">
        <v>0</v>
      </c>
      <c r="AN469" s="47">
        <v>0</v>
      </c>
      <c r="AO469" s="47">
        <v>0</v>
      </c>
      <c r="AP469" s="47">
        <v>0</v>
      </c>
      <c r="AQ469" s="47">
        <v>0</v>
      </c>
      <c r="AR469" s="47">
        <v>0</v>
      </c>
      <c r="AS469" s="47">
        <v>0</v>
      </c>
      <c r="AT469" s="47">
        <v>0</v>
      </c>
      <c r="AU469" s="47">
        <v>0</v>
      </c>
      <c r="AV469" s="47">
        <v>0</v>
      </c>
      <c r="AW469" s="47">
        <v>0</v>
      </c>
      <c r="AX469" s="47">
        <v>0</v>
      </c>
      <c r="AY469" s="47">
        <v>0</v>
      </c>
      <c r="AZ469" s="47">
        <v>0</v>
      </c>
      <c r="BA469" s="47">
        <v>0</v>
      </c>
      <c r="BB469" s="47">
        <v>0</v>
      </c>
      <c r="BC469" s="47">
        <v>0</v>
      </c>
      <c r="BD469" s="47">
        <v>0</v>
      </c>
      <c r="BE469" s="47">
        <v>0</v>
      </c>
      <c r="BF469" s="47">
        <v>0</v>
      </c>
      <c r="BG469" s="47">
        <v>0</v>
      </c>
      <c r="BH469" s="47">
        <v>0</v>
      </c>
      <c r="BI469" s="47">
        <v>0</v>
      </c>
      <c r="BJ469" s="47">
        <v>0</v>
      </c>
      <c r="BK469" s="47">
        <v>0</v>
      </c>
      <c r="BL469" s="47">
        <v>0</v>
      </c>
      <c r="BM469" s="47">
        <v>0</v>
      </c>
      <c r="BN469" s="47">
        <v>0</v>
      </c>
      <c r="BO469" s="47">
        <v>0</v>
      </c>
      <c r="BP469" s="47">
        <v>0</v>
      </c>
      <c r="BQ469" s="47">
        <v>0</v>
      </c>
      <c r="BR469" s="47">
        <v>0</v>
      </c>
      <c r="BS469" s="47">
        <v>0</v>
      </c>
      <c r="BT469" s="47">
        <v>0</v>
      </c>
      <c r="BU469" s="47">
        <v>0</v>
      </c>
      <c r="BV469" s="47">
        <v>0</v>
      </c>
      <c r="BW469" s="47">
        <v>0</v>
      </c>
      <c r="BX469" s="47">
        <v>0</v>
      </c>
      <c r="BY469" s="47">
        <v>0</v>
      </c>
      <c r="BZ469" s="47">
        <v>0</v>
      </c>
      <c r="CA469" s="47">
        <v>0</v>
      </c>
      <c r="CB469" s="47">
        <v>0</v>
      </c>
      <c r="CC469" s="47">
        <v>0</v>
      </c>
      <c r="CD469" s="47">
        <v>0</v>
      </c>
      <c r="CE469" s="47">
        <v>0</v>
      </c>
      <c r="CF469" s="47">
        <v>0</v>
      </c>
      <c r="CG469" s="47">
        <v>0</v>
      </c>
      <c r="CH469" s="47">
        <v>0</v>
      </c>
      <c r="CI469" s="47">
        <v>0</v>
      </c>
      <c r="CJ469" s="47">
        <v>0</v>
      </c>
      <c r="CK469" s="47">
        <v>0</v>
      </c>
      <c r="CL469" s="47">
        <v>0</v>
      </c>
      <c r="CM469" s="47">
        <v>0</v>
      </c>
      <c r="CN469" s="47">
        <v>0</v>
      </c>
      <c r="CO469" s="47">
        <v>0</v>
      </c>
      <c r="CP469" s="47">
        <v>0</v>
      </c>
      <c r="CQ469" s="47">
        <v>0</v>
      </c>
      <c r="CR469" s="47">
        <v>0</v>
      </c>
      <c r="CS469" s="47">
        <v>0</v>
      </c>
      <c r="CT469" s="47">
        <v>0</v>
      </c>
      <c r="CU469" s="47">
        <v>0</v>
      </c>
      <c r="CV469" s="47">
        <v>0</v>
      </c>
      <c r="CW469" s="47">
        <v>0</v>
      </c>
      <c r="CX469" s="47">
        <v>0</v>
      </c>
      <c r="CY469" s="47">
        <v>0</v>
      </c>
      <c r="CZ469" s="47">
        <v>0</v>
      </c>
      <c r="DA469" s="47">
        <v>0</v>
      </c>
      <c r="DB469" s="47">
        <v>0</v>
      </c>
      <c r="DC469" s="47">
        <v>0</v>
      </c>
      <c r="DD469" s="47">
        <v>0</v>
      </c>
      <c r="DE469" s="47">
        <v>0</v>
      </c>
      <c r="DF469" s="47">
        <v>0</v>
      </c>
      <c r="DG469" s="47">
        <v>0</v>
      </c>
      <c r="DH469" s="47">
        <v>0</v>
      </c>
      <c r="DI469" s="47">
        <v>0</v>
      </c>
      <c r="DJ469" s="47">
        <v>0</v>
      </c>
      <c r="DK469" s="47">
        <v>0</v>
      </c>
      <c r="DL469" s="47">
        <v>0</v>
      </c>
      <c r="DM469" s="47">
        <v>0</v>
      </c>
      <c r="DN469" s="47">
        <v>0</v>
      </c>
      <c r="DO469" s="47">
        <v>0</v>
      </c>
      <c r="DP469" s="47">
        <v>0</v>
      </c>
      <c r="DQ469" s="47">
        <v>0</v>
      </c>
      <c r="DR469" s="47">
        <v>0</v>
      </c>
      <c r="DS469" s="47">
        <v>0</v>
      </c>
      <c r="DT469" s="47">
        <v>0</v>
      </c>
      <c r="DU469" s="47">
        <v>0</v>
      </c>
      <c r="DV469" s="47">
        <v>0</v>
      </c>
      <c r="DW469" s="47">
        <v>0</v>
      </c>
      <c r="DX469" s="47">
        <v>0</v>
      </c>
      <c r="DY469" s="47">
        <v>0</v>
      </c>
      <c r="DZ469" s="47">
        <v>0</v>
      </c>
      <c r="EA469" s="47">
        <v>0</v>
      </c>
      <c r="EB469" s="47"/>
      <c r="EC469" s="47">
        <v>0.8</v>
      </c>
      <c r="ZZ469" t="s">
        <v>2472</v>
      </c>
    </row>
    <row r="470" spans="1:702" x14ac:dyDescent="0.25">
      <c r="A470" s="47" t="s">
        <v>2223</v>
      </c>
      <c r="B470" s="47" t="s">
        <v>153</v>
      </c>
      <c r="C470" s="47" t="s">
        <v>157</v>
      </c>
      <c r="D470" s="47" t="s">
        <v>2955</v>
      </c>
      <c r="E470" s="47" t="s">
        <v>2224</v>
      </c>
      <c r="F470" s="47" t="s">
        <v>2225</v>
      </c>
      <c r="G470" s="47" t="s">
        <v>2226</v>
      </c>
      <c r="H470" s="47" t="s">
        <v>698</v>
      </c>
      <c r="I470" s="47" t="s">
        <v>727</v>
      </c>
      <c r="J470" s="47" t="str">
        <f>=IFERROR(VLOOKUP(H470&amp;I470,Table_Fonctions!A:G,6,FALSE),"")</f>
        <v>0</v>
      </c>
      <c r="K470" s="47" t="s">
        <v>2607</v>
      </c>
      <c r="L470" s="47" t="str">
        <f>=IFERROR(VLOOKUP(H470&amp;I470,Table_Fonctions!A:G,7,FALSE),K470)</f>
        <v/>
      </c>
      <c r="M470" s="47" t="str">
        <f>=IF(OR(LEFT(D470, 3)="TJ ", LEFT(D470, 4)="CPH "), "OUI", "NON")</f>
        <v/>
      </c>
      <c r="N470" s="47" t="s">
        <v>1304</v>
      </c>
      <c r="O470" s="47"/>
      <c r="P470" s="47">
        <v>1</v>
      </c>
      <c r="Q470" s="47">
        <v>0</v>
      </c>
      <c r="R470" s="47">
        <v>1</v>
      </c>
      <c r="S470" s="47">
        <f>=ROUND(BQ470-(BR470+BS470),3)</f>
      </c>
      <c r="T470" s="47">
        <f>=ROUND(CK470-(CL470+CM470+CN470+CO470+CP470),3)</f>
      </c>
      <c r="U470" s="47">
        <v>0</v>
      </c>
      <c r="V470" s="47">
        <v>0</v>
      </c>
      <c r="W470" s="47">
        <v>0</v>
      </c>
      <c r="X470" s="47">
        <v>0</v>
      </c>
      <c r="Y470" s="47">
        <v>0</v>
      </c>
      <c r="Z470" s="47">
        <v>0</v>
      </c>
      <c r="AA470" s="47">
        <v>0</v>
      </c>
      <c r="AB470" s="47">
        <v>0</v>
      </c>
      <c r="AC470" s="47">
        <v>0</v>
      </c>
      <c r="AD470" s="47">
        <v>0</v>
      </c>
      <c r="AE470" s="47">
        <v>0</v>
      </c>
      <c r="AF470" s="47">
        <v>0</v>
      </c>
      <c r="AG470" s="47">
        <v>0</v>
      </c>
      <c r="AH470" s="47">
        <v>0</v>
      </c>
      <c r="AI470" s="47">
        <v>0</v>
      </c>
      <c r="AJ470" s="47">
        <v>0</v>
      </c>
      <c r="AK470" s="47">
        <v>0</v>
      </c>
      <c r="AL470" s="47">
        <v>0</v>
      </c>
      <c r="AM470" s="47">
        <v>0</v>
      </c>
      <c r="AN470" s="47">
        <v>0</v>
      </c>
      <c r="AO470" s="47">
        <v>0</v>
      </c>
      <c r="AP470" s="47">
        <v>0</v>
      </c>
      <c r="AQ470" s="47">
        <v>0</v>
      </c>
      <c r="AR470" s="47">
        <v>0</v>
      </c>
      <c r="AS470" s="47">
        <v>0</v>
      </c>
      <c r="AT470" s="47">
        <v>0</v>
      </c>
      <c r="AU470" s="47">
        <v>0</v>
      </c>
      <c r="AV470" s="47">
        <v>0</v>
      </c>
      <c r="AW470" s="47">
        <v>0</v>
      </c>
      <c r="AX470" s="47">
        <v>0</v>
      </c>
      <c r="AY470" s="47">
        <v>0</v>
      </c>
      <c r="AZ470" s="47">
        <v>0</v>
      </c>
      <c r="BA470" s="47">
        <v>0</v>
      </c>
      <c r="BB470" s="47">
        <v>0</v>
      </c>
      <c r="BC470" s="47">
        <v>0</v>
      </c>
      <c r="BD470" s="47">
        <v>0</v>
      </c>
      <c r="BE470" s="47">
        <v>0</v>
      </c>
      <c r="BF470" s="47">
        <v>0</v>
      </c>
      <c r="BG470" s="47">
        <v>0</v>
      </c>
      <c r="BH470" s="47">
        <v>0</v>
      </c>
      <c r="BI470" s="47">
        <v>0</v>
      </c>
      <c r="BJ470" s="47">
        <v>0</v>
      </c>
      <c r="BK470" s="47">
        <v>0</v>
      </c>
      <c r="BL470" s="47">
        <v>0</v>
      </c>
      <c r="BM470" s="47">
        <v>0</v>
      </c>
      <c r="BN470" s="47">
        <v>0</v>
      </c>
      <c r="BO470" s="47">
        <v>0</v>
      </c>
      <c r="BP470" s="47">
        <v>0</v>
      </c>
      <c r="BQ470" s="47">
        <v>0</v>
      </c>
      <c r="BR470" s="47">
        <v>0</v>
      </c>
      <c r="BS470" s="47">
        <v>0</v>
      </c>
      <c r="BT470" s="47">
        <v>0</v>
      </c>
      <c r="BU470" s="47">
        <v>0</v>
      </c>
      <c r="BV470" s="47">
        <v>0</v>
      </c>
      <c r="BW470" s="47">
        <v>0</v>
      </c>
      <c r="BX470" s="47">
        <v>0</v>
      </c>
      <c r="BY470" s="47">
        <v>0</v>
      </c>
      <c r="BZ470" s="47">
        <v>0</v>
      </c>
      <c r="CA470" s="47">
        <v>0</v>
      </c>
      <c r="CB470" s="47">
        <v>0</v>
      </c>
      <c r="CC470" s="47">
        <v>0</v>
      </c>
      <c r="CD470" s="47">
        <v>0</v>
      </c>
      <c r="CE470" s="47">
        <v>0</v>
      </c>
      <c r="CF470" s="47">
        <v>0</v>
      </c>
      <c r="CG470" s="47">
        <v>0</v>
      </c>
      <c r="CH470" s="47">
        <v>0</v>
      </c>
      <c r="CI470" s="47">
        <v>0</v>
      </c>
      <c r="CJ470" s="47">
        <v>0</v>
      </c>
      <c r="CK470" s="47">
        <v>0</v>
      </c>
      <c r="CL470" s="47">
        <v>0</v>
      </c>
      <c r="CM470" s="47">
        <v>0</v>
      </c>
      <c r="CN470" s="47">
        <v>0</v>
      </c>
      <c r="CO470" s="47">
        <v>0</v>
      </c>
      <c r="CP470" s="47">
        <v>0</v>
      </c>
      <c r="CQ470" s="47">
        <v>0</v>
      </c>
      <c r="CR470" s="47">
        <v>0</v>
      </c>
      <c r="CS470" s="47">
        <v>0</v>
      </c>
      <c r="CT470" s="47">
        <v>0</v>
      </c>
      <c r="CU470" s="47">
        <v>0</v>
      </c>
      <c r="CV470" s="47">
        <v>0</v>
      </c>
      <c r="CW470" s="47">
        <v>0</v>
      </c>
      <c r="CX470" s="47">
        <v>0</v>
      </c>
      <c r="CY470" s="47">
        <v>0</v>
      </c>
      <c r="CZ470" s="47">
        <v>0</v>
      </c>
      <c r="DA470" s="47">
        <v>0</v>
      </c>
      <c r="DB470" s="47">
        <v>0</v>
      </c>
      <c r="DC470" s="47">
        <v>0</v>
      </c>
      <c r="DD470" s="47">
        <v>0</v>
      </c>
      <c r="DE470" s="47">
        <v>0</v>
      </c>
      <c r="DF470" s="47">
        <v>0</v>
      </c>
      <c r="DG470" s="47">
        <v>0</v>
      </c>
      <c r="DH470" s="47">
        <v>0</v>
      </c>
      <c r="DI470" s="47">
        <v>0</v>
      </c>
      <c r="DJ470" s="47">
        <v>0</v>
      </c>
      <c r="DK470" s="47">
        <v>0</v>
      </c>
      <c r="DL470" s="47">
        <v>0</v>
      </c>
      <c r="DM470" s="47">
        <v>0</v>
      </c>
      <c r="DN470" s="47">
        <v>0</v>
      </c>
      <c r="DO470" s="47">
        <v>0</v>
      </c>
      <c r="DP470" s="47">
        <v>0</v>
      </c>
      <c r="DQ470" s="47">
        <v>0</v>
      </c>
      <c r="DR470" s="47">
        <v>0</v>
      </c>
      <c r="DS470" s="47">
        <v>0</v>
      </c>
      <c r="DT470" s="47">
        <v>0</v>
      </c>
      <c r="DU470" s="47">
        <v>0</v>
      </c>
      <c r="DV470" s="47">
        <v>0</v>
      </c>
      <c r="DW470" s="47">
        <v>0</v>
      </c>
      <c r="DX470" s="47">
        <v>0</v>
      </c>
      <c r="DY470" s="47">
        <v>0</v>
      </c>
      <c r="DZ470" s="47">
        <v>0</v>
      </c>
      <c r="EA470" s="47">
        <v>0</v>
      </c>
      <c r="EB470" s="47"/>
      <c r="EC470" s="47">
        <v>1</v>
      </c>
      <c r="ZZ470" t="s">
        <v>2472</v>
      </c>
    </row>
    <row r="471" spans="1:702" x14ac:dyDescent="0.25">
      <c r="A471" s="47" t="s">
        <v>2227</v>
      </c>
      <c r="B471" s="47" t="s">
        <v>153</v>
      </c>
      <c r="C471" s="47" t="s">
        <v>157</v>
      </c>
      <c r="D471" s="47" t="s">
        <v>2956</v>
      </c>
      <c r="E471" s="47" t="s">
        <v>2228</v>
      </c>
      <c r="F471" s="47" t="s">
        <v>2229</v>
      </c>
      <c r="G471" s="47" t="s">
        <v>2230</v>
      </c>
      <c r="H471" s="47" t="s">
        <v>698</v>
      </c>
      <c r="I471" s="47" t="s">
        <v>711</v>
      </c>
      <c r="J471" s="47" t="str">
        <f>=IFERROR(VLOOKUP(H471&amp;I471,Table_Fonctions!A:G,6,FALSE),"")</f>
        <v>0</v>
      </c>
      <c r="K471" s="47" t="s">
        <v>2605</v>
      </c>
      <c r="L471" s="47" t="str">
        <f>=IFERROR(VLOOKUP(H471&amp;I471,Table_Fonctions!A:G,7,FALSE),K471)</f>
        <v/>
      </c>
      <c r="M471" s="47" t="str">
        <f>=IF(OR(LEFT(D471, 3)="TJ ", LEFT(D471, 4)="CPH "), "OUI", "NON")</f>
        <v/>
      </c>
      <c r="N471" s="47" t="s">
        <v>2231</v>
      </c>
      <c r="O471" s="47"/>
      <c r="P471" s="47">
        <v>0.8</v>
      </c>
      <c r="Q471" s="47">
        <v>0.8</v>
      </c>
      <c r="R471" s="47">
        <v>0</v>
      </c>
      <c r="S471" s="47">
        <f>=ROUND(BQ471-(BR471+BS471),3)</f>
      </c>
      <c r="T471" s="47">
        <f>=ROUND(CK471-(CL471+CM471+CN471+CO471+CP471),3)</f>
      </c>
      <c r="U471" s="47">
        <v>0</v>
      </c>
      <c r="V471" s="47">
        <v>0</v>
      </c>
      <c r="W471" s="47">
        <v>0</v>
      </c>
      <c r="X471" s="47">
        <v>0</v>
      </c>
      <c r="Y471" s="47">
        <v>0</v>
      </c>
      <c r="Z471" s="47">
        <v>0</v>
      </c>
      <c r="AA471" s="47">
        <v>0</v>
      </c>
      <c r="AB471" s="47">
        <v>0</v>
      </c>
      <c r="AC471" s="47">
        <v>0</v>
      </c>
      <c r="AD471" s="47">
        <v>0</v>
      </c>
      <c r="AE471" s="47">
        <v>0</v>
      </c>
      <c r="AF471" s="47">
        <v>0</v>
      </c>
      <c r="AG471" s="47">
        <v>0</v>
      </c>
      <c r="AH471" s="47">
        <v>0</v>
      </c>
      <c r="AI471" s="47">
        <v>0</v>
      </c>
      <c r="AJ471" s="47">
        <v>0.8</v>
      </c>
      <c r="AK471" s="47">
        <v>0.8</v>
      </c>
      <c r="AL471" s="47">
        <v>0</v>
      </c>
      <c r="AM471" s="47">
        <v>0</v>
      </c>
      <c r="AN471" s="47">
        <v>0</v>
      </c>
      <c r="AO471" s="47">
        <v>0</v>
      </c>
      <c r="AP471" s="47">
        <v>0</v>
      </c>
      <c r="AQ471" s="47">
        <v>0</v>
      </c>
      <c r="AR471" s="47">
        <v>0</v>
      </c>
      <c r="AS471" s="47">
        <v>0</v>
      </c>
      <c r="AT471" s="47">
        <v>0</v>
      </c>
      <c r="AU471" s="47">
        <v>0</v>
      </c>
      <c r="AV471" s="47">
        <v>0</v>
      </c>
      <c r="AW471" s="47">
        <v>0</v>
      </c>
      <c r="AX471" s="47">
        <v>0</v>
      </c>
      <c r="AY471" s="47">
        <v>0</v>
      </c>
      <c r="AZ471" s="47">
        <v>0</v>
      </c>
      <c r="BA471" s="47">
        <v>0</v>
      </c>
      <c r="BB471" s="47">
        <v>0</v>
      </c>
      <c r="BC471" s="47">
        <v>0</v>
      </c>
      <c r="BD471" s="47">
        <v>0</v>
      </c>
      <c r="BE471" s="47">
        <v>0</v>
      </c>
      <c r="BF471" s="47">
        <v>0</v>
      </c>
      <c r="BG471" s="47">
        <v>0</v>
      </c>
      <c r="BH471" s="47">
        <v>0</v>
      </c>
      <c r="BI471" s="47">
        <v>0</v>
      </c>
      <c r="BJ471" s="47">
        <v>0</v>
      </c>
      <c r="BK471" s="47">
        <v>0</v>
      </c>
      <c r="BL471" s="47">
        <v>0</v>
      </c>
      <c r="BM471" s="47">
        <v>0</v>
      </c>
      <c r="BN471" s="47">
        <v>0</v>
      </c>
      <c r="BO471" s="47">
        <v>0</v>
      </c>
      <c r="BP471" s="47">
        <v>0</v>
      </c>
      <c r="BQ471" s="47">
        <v>0</v>
      </c>
      <c r="BR471" s="47">
        <v>0</v>
      </c>
      <c r="BS471" s="47">
        <v>0</v>
      </c>
      <c r="BT471" s="47">
        <v>0</v>
      </c>
      <c r="BU471" s="47">
        <v>0</v>
      </c>
      <c r="BV471" s="47">
        <v>0</v>
      </c>
      <c r="BW471" s="47">
        <v>0</v>
      </c>
      <c r="BX471" s="47">
        <v>0</v>
      </c>
      <c r="BY471" s="47">
        <v>0</v>
      </c>
      <c r="BZ471" s="47">
        <v>0</v>
      </c>
      <c r="CA471" s="47">
        <v>0</v>
      </c>
      <c r="CB471" s="47">
        <v>0</v>
      </c>
      <c r="CC471" s="47">
        <v>0</v>
      </c>
      <c r="CD471" s="47">
        <v>0</v>
      </c>
      <c r="CE471" s="47">
        <v>0</v>
      </c>
      <c r="CF471" s="47">
        <v>0</v>
      </c>
      <c r="CG471" s="47">
        <v>0</v>
      </c>
      <c r="CH471" s="47">
        <v>0</v>
      </c>
      <c r="CI471" s="47">
        <v>0</v>
      </c>
      <c r="CJ471" s="47">
        <v>0</v>
      </c>
      <c r="CK471" s="47">
        <v>0</v>
      </c>
      <c r="CL471" s="47">
        <v>0</v>
      </c>
      <c r="CM471" s="47">
        <v>0</v>
      </c>
      <c r="CN471" s="47">
        <v>0</v>
      </c>
      <c r="CO471" s="47">
        <v>0</v>
      </c>
      <c r="CP471" s="47">
        <v>0</v>
      </c>
      <c r="CQ471" s="47">
        <v>0</v>
      </c>
      <c r="CR471" s="47">
        <v>0</v>
      </c>
      <c r="CS471" s="47">
        <v>0</v>
      </c>
      <c r="CT471" s="47">
        <v>0</v>
      </c>
      <c r="CU471" s="47">
        <v>0</v>
      </c>
      <c r="CV471" s="47">
        <v>0</v>
      </c>
      <c r="CW471" s="47">
        <v>0</v>
      </c>
      <c r="CX471" s="47">
        <v>0</v>
      </c>
      <c r="CY471" s="47">
        <v>0</v>
      </c>
      <c r="CZ471" s="47">
        <v>0</v>
      </c>
      <c r="DA471" s="47">
        <v>0</v>
      </c>
      <c r="DB471" s="47">
        <v>0</v>
      </c>
      <c r="DC471" s="47">
        <v>0</v>
      </c>
      <c r="DD471" s="47">
        <v>0</v>
      </c>
      <c r="DE471" s="47">
        <v>0</v>
      </c>
      <c r="DF471" s="47">
        <v>0</v>
      </c>
      <c r="DG471" s="47">
        <v>0</v>
      </c>
      <c r="DH471" s="47">
        <v>0</v>
      </c>
      <c r="DI471" s="47">
        <v>0</v>
      </c>
      <c r="DJ471" s="47">
        <v>0</v>
      </c>
      <c r="DK471" s="47">
        <v>0</v>
      </c>
      <c r="DL471" s="47">
        <v>0</v>
      </c>
      <c r="DM471" s="47">
        <v>0</v>
      </c>
      <c r="DN471" s="47">
        <v>0</v>
      </c>
      <c r="DO471" s="47">
        <v>0</v>
      </c>
      <c r="DP471" s="47">
        <v>0</v>
      </c>
      <c r="DQ471" s="47">
        <v>0</v>
      </c>
      <c r="DR471" s="47">
        <v>0</v>
      </c>
      <c r="DS471" s="47">
        <v>0</v>
      </c>
      <c r="DT471" s="47">
        <v>0</v>
      </c>
      <c r="DU471" s="47">
        <v>0</v>
      </c>
      <c r="DV471" s="47">
        <v>0</v>
      </c>
      <c r="DW471" s="47">
        <v>0</v>
      </c>
      <c r="DX471" s="47">
        <v>0</v>
      </c>
      <c r="DY471" s="47">
        <v>0</v>
      </c>
      <c r="DZ471" s="47">
        <v>0</v>
      </c>
      <c r="EA471" s="47">
        <v>0</v>
      </c>
      <c r="EB471" s="47"/>
      <c r="EC471" s="47">
        <v>0.8</v>
      </c>
      <c r="ZZ471" t="s">
        <v>2472</v>
      </c>
    </row>
    <row r="472" spans="1:702" x14ac:dyDescent="0.25">
      <c r="A472" s="47" t="s">
        <v>2232</v>
      </c>
      <c r="B472" s="47" t="s">
        <v>153</v>
      </c>
      <c r="C472" s="47" t="s">
        <v>157</v>
      </c>
      <c r="D472" s="47" t="s">
        <v>2957</v>
      </c>
      <c r="E472" s="47" t="s">
        <v>2233</v>
      </c>
      <c r="F472" s="47" t="s">
        <v>2234</v>
      </c>
      <c r="G472" s="47" t="s">
        <v>2235</v>
      </c>
      <c r="H472" s="47" t="s">
        <v>698</v>
      </c>
      <c r="I472" s="47" t="s">
        <v>705</v>
      </c>
      <c r="J472" s="47" t="str">
        <f>=IFERROR(VLOOKUP(H472&amp;I472,Table_Fonctions!A:G,6,FALSE),"")</f>
        <v>0</v>
      </c>
      <c r="K472" s="47" t="s">
        <v>2607</v>
      </c>
      <c r="L472" s="47" t="str">
        <f>=IFERROR(VLOOKUP(H472&amp;I472,Table_Fonctions!A:G,7,FALSE),K472)</f>
        <v/>
      </c>
      <c r="M472" s="47" t="str">
        <f>=IF(OR(LEFT(D472, 3)="TJ ", LEFT(D472, 4)="CPH "), "OUI", "NON")</f>
        <v/>
      </c>
      <c r="N472" s="47" t="s">
        <v>593</v>
      </c>
      <c r="O472" s="47"/>
      <c r="P472" s="47">
        <v>1</v>
      </c>
      <c r="Q472" s="47">
        <v>0</v>
      </c>
      <c r="R472" s="47">
        <v>1</v>
      </c>
      <c r="S472" s="47">
        <f>=ROUND(BQ472-(BR472+BS472),3)</f>
      </c>
      <c r="T472" s="47">
        <f>=ROUND(CK472-(CL472+CM472+CN472+CO472+CP472),3)</f>
      </c>
      <c r="U472" s="47">
        <v>0</v>
      </c>
      <c r="V472" s="47">
        <v>0</v>
      </c>
      <c r="W472" s="47">
        <v>0</v>
      </c>
      <c r="X472" s="47">
        <v>0</v>
      </c>
      <c r="Y472" s="47">
        <v>0</v>
      </c>
      <c r="Z472" s="47">
        <v>0</v>
      </c>
      <c r="AA472" s="47">
        <v>0</v>
      </c>
      <c r="AB472" s="47">
        <v>0</v>
      </c>
      <c r="AC472" s="47">
        <v>0</v>
      </c>
      <c r="AD472" s="47">
        <v>0</v>
      </c>
      <c r="AE472" s="47">
        <v>0</v>
      </c>
      <c r="AF472" s="47">
        <v>0</v>
      </c>
      <c r="AG472" s="47">
        <v>0</v>
      </c>
      <c r="AH472" s="47">
        <v>0</v>
      </c>
      <c r="AI472" s="47">
        <v>0</v>
      </c>
      <c r="AJ472" s="47">
        <v>0</v>
      </c>
      <c r="AK472" s="47">
        <v>0</v>
      </c>
      <c r="AL472" s="47">
        <v>0</v>
      </c>
      <c r="AM472" s="47">
        <v>0</v>
      </c>
      <c r="AN472" s="47">
        <v>0</v>
      </c>
      <c r="AO472" s="47">
        <v>0</v>
      </c>
      <c r="AP472" s="47">
        <v>0</v>
      </c>
      <c r="AQ472" s="47">
        <v>0</v>
      </c>
      <c r="AR472" s="47">
        <v>0</v>
      </c>
      <c r="AS472" s="47">
        <v>0</v>
      </c>
      <c r="AT472" s="47">
        <v>0</v>
      </c>
      <c r="AU472" s="47">
        <v>0</v>
      </c>
      <c r="AV472" s="47">
        <v>0</v>
      </c>
      <c r="AW472" s="47">
        <v>0</v>
      </c>
      <c r="AX472" s="47">
        <v>0</v>
      </c>
      <c r="AY472" s="47">
        <v>0</v>
      </c>
      <c r="AZ472" s="47">
        <v>0</v>
      </c>
      <c r="BA472" s="47">
        <v>0</v>
      </c>
      <c r="BB472" s="47">
        <v>0</v>
      </c>
      <c r="BC472" s="47">
        <v>0</v>
      </c>
      <c r="BD472" s="47">
        <v>0</v>
      </c>
      <c r="BE472" s="47">
        <v>0</v>
      </c>
      <c r="BF472" s="47">
        <v>0</v>
      </c>
      <c r="BG472" s="47">
        <v>0</v>
      </c>
      <c r="BH472" s="47">
        <v>0</v>
      </c>
      <c r="BI472" s="47">
        <v>0</v>
      </c>
      <c r="BJ472" s="47">
        <v>0</v>
      </c>
      <c r="BK472" s="47">
        <v>0</v>
      </c>
      <c r="BL472" s="47">
        <v>0</v>
      </c>
      <c r="BM472" s="47">
        <v>0</v>
      </c>
      <c r="BN472" s="47">
        <v>0</v>
      </c>
      <c r="BO472" s="47">
        <v>0</v>
      </c>
      <c r="BP472" s="47">
        <v>0</v>
      </c>
      <c r="BQ472" s="47">
        <v>0</v>
      </c>
      <c r="BR472" s="47">
        <v>0</v>
      </c>
      <c r="BS472" s="47">
        <v>0</v>
      </c>
      <c r="BT472" s="47">
        <v>0</v>
      </c>
      <c r="BU472" s="47">
        <v>0</v>
      </c>
      <c r="BV472" s="47">
        <v>0</v>
      </c>
      <c r="BW472" s="47">
        <v>0</v>
      </c>
      <c r="BX472" s="47">
        <v>0</v>
      </c>
      <c r="BY472" s="47">
        <v>0</v>
      </c>
      <c r="BZ472" s="47">
        <v>0</v>
      </c>
      <c r="CA472" s="47">
        <v>0</v>
      </c>
      <c r="CB472" s="47">
        <v>0</v>
      </c>
      <c r="CC472" s="47">
        <v>0</v>
      </c>
      <c r="CD472" s="47">
        <v>0</v>
      </c>
      <c r="CE472" s="47">
        <v>0</v>
      </c>
      <c r="CF472" s="47">
        <v>0</v>
      </c>
      <c r="CG472" s="47">
        <v>0</v>
      </c>
      <c r="CH472" s="47">
        <v>0</v>
      </c>
      <c r="CI472" s="47">
        <v>0</v>
      </c>
      <c r="CJ472" s="47">
        <v>0</v>
      </c>
      <c r="CK472" s="47">
        <v>0</v>
      </c>
      <c r="CL472" s="47">
        <v>0</v>
      </c>
      <c r="CM472" s="47">
        <v>0</v>
      </c>
      <c r="CN472" s="47">
        <v>0</v>
      </c>
      <c r="CO472" s="47">
        <v>0</v>
      </c>
      <c r="CP472" s="47">
        <v>0</v>
      </c>
      <c r="CQ472" s="47">
        <v>0</v>
      </c>
      <c r="CR472" s="47">
        <v>0</v>
      </c>
      <c r="CS472" s="47">
        <v>0</v>
      </c>
      <c r="CT472" s="47">
        <v>0</v>
      </c>
      <c r="CU472" s="47">
        <v>0</v>
      </c>
      <c r="CV472" s="47">
        <v>0</v>
      </c>
      <c r="CW472" s="47">
        <v>0</v>
      </c>
      <c r="CX472" s="47">
        <v>0</v>
      </c>
      <c r="CY472" s="47">
        <v>0</v>
      </c>
      <c r="CZ472" s="47">
        <v>0</v>
      </c>
      <c r="DA472" s="47">
        <v>0</v>
      </c>
      <c r="DB472" s="47">
        <v>0</v>
      </c>
      <c r="DC472" s="47">
        <v>0</v>
      </c>
      <c r="DD472" s="47">
        <v>0</v>
      </c>
      <c r="DE472" s="47">
        <v>0</v>
      </c>
      <c r="DF472" s="47">
        <v>0</v>
      </c>
      <c r="DG472" s="47">
        <v>0</v>
      </c>
      <c r="DH472" s="47">
        <v>0</v>
      </c>
      <c r="DI472" s="47">
        <v>0</v>
      </c>
      <c r="DJ472" s="47">
        <v>0</v>
      </c>
      <c r="DK472" s="47">
        <v>0</v>
      </c>
      <c r="DL472" s="47">
        <v>0</v>
      </c>
      <c r="DM472" s="47">
        <v>0</v>
      </c>
      <c r="DN472" s="47">
        <v>0</v>
      </c>
      <c r="DO472" s="47">
        <v>0</v>
      </c>
      <c r="DP472" s="47">
        <v>0</v>
      </c>
      <c r="DQ472" s="47">
        <v>0</v>
      </c>
      <c r="DR472" s="47">
        <v>0</v>
      </c>
      <c r="DS472" s="47">
        <v>0</v>
      </c>
      <c r="DT472" s="47">
        <v>0</v>
      </c>
      <c r="DU472" s="47">
        <v>0</v>
      </c>
      <c r="DV472" s="47">
        <v>0</v>
      </c>
      <c r="DW472" s="47">
        <v>0</v>
      </c>
      <c r="DX472" s="47">
        <v>0</v>
      </c>
      <c r="DY472" s="47">
        <v>0</v>
      </c>
      <c r="DZ472" s="47">
        <v>0</v>
      </c>
      <c r="EA472" s="47">
        <v>0</v>
      </c>
      <c r="EB472" s="47"/>
      <c r="EC472" s="47">
        <v>1</v>
      </c>
      <c r="ZZ472" t="s">
        <v>2472</v>
      </c>
    </row>
    <row r="473" spans="1:702" x14ac:dyDescent="0.25">
      <c r="A473" s="47" t="s">
        <v>2236</v>
      </c>
      <c r="B473" s="47" t="s">
        <v>153</v>
      </c>
      <c r="C473" s="47" t="s">
        <v>157</v>
      </c>
      <c r="D473" s="47" t="s">
        <v>2958</v>
      </c>
      <c r="E473" s="47" t="s">
        <v>2237</v>
      </c>
      <c r="F473" s="47" t="s">
        <v>2238</v>
      </c>
      <c r="G473" s="47" t="s">
        <v>2239</v>
      </c>
      <c r="H473" s="47" t="s">
        <v>698</v>
      </c>
      <c r="I473" s="47" t="s">
        <v>705</v>
      </c>
      <c r="J473" s="47" t="str">
        <f>=IFERROR(VLOOKUP(H473&amp;I473,Table_Fonctions!A:G,6,FALSE),"")</f>
        <v>0</v>
      </c>
      <c r="K473" s="47" t="s">
        <v>2607</v>
      </c>
      <c r="L473" s="47" t="str">
        <f>=IFERROR(VLOOKUP(H473&amp;I473,Table_Fonctions!A:G,7,FALSE),K473)</f>
        <v/>
      </c>
      <c r="M473" s="47" t="str">
        <f>=IF(OR(LEFT(D473, 3)="TJ ", LEFT(D473, 4)="CPH "), "OUI", "NON")</f>
        <v/>
      </c>
      <c r="N473" s="47" t="s">
        <v>2240</v>
      </c>
      <c r="O473" s="47"/>
      <c r="P473" s="47">
        <v>0.8</v>
      </c>
      <c r="Q473" s="47">
        <v>0</v>
      </c>
      <c r="R473" s="47">
        <v>0.8</v>
      </c>
      <c r="S473" s="47">
        <f>=ROUND(BQ473-(BR473+BS473),3)</f>
      </c>
      <c r="T473" s="47">
        <f>=ROUND(CK473-(CL473+CM473+CN473+CO473+CP473),3)</f>
      </c>
      <c r="U473" s="47">
        <v>0</v>
      </c>
      <c r="V473" s="47">
        <v>0</v>
      </c>
      <c r="W473" s="47">
        <v>0</v>
      </c>
      <c r="X473" s="47">
        <v>0</v>
      </c>
      <c r="Y473" s="47">
        <v>0</v>
      </c>
      <c r="Z473" s="47">
        <v>0</v>
      </c>
      <c r="AA473" s="47">
        <v>0</v>
      </c>
      <c r="AB473" s="47">
        <v>0</v>
      </c>
      <c r="AC473" s="47">
        <v>0</v>
      </c>
      <c r="AD473" s="47">
        <v>0</v>
      </c>
      <c r="AE473" s="47">
        <v>0</v>
      </c>
      <c r="AF473" s="47">
        <v>0</v>
      </c>
      <c r="AG473" s="47">
        <v>0</v>
      </c>
      <c r="AH473" s="47">
        <v>0</v>
      </c>
      <c r="AI473" s="47">
        <v>0</v>
      </c>
      <c r="AJ473" s="47">
        <v>0</v>
      </c>
      <c r="AK473" s="47">
        <v>0</v>
      </c>
      <c r="AL473" s="47">
        <v>0</v>
      </c>
      <c r="AM473" s="47">
        <v>0</v>
      </c>
      <c r="AN473" s="47">
        <v>0</v>
      </c>
      <c r="AO473" s="47">
        <v>0</v>
      </c>
      <c r="AP473" s="47">
        <v>0</v>
      </c>
      <c r="AQ473" s="47">
        <v>0</v>
      </c>
      <c r="AR473" s="47">
        <v>0</v>
      </c>
      <c r="AS473" s="47">
        <v>0</v>
      </c>
      <c r="AT473" s="47">
        <v>0</v>
      </c>
      <c r="AU473" s="47">
        <v>0</v>
      </c>
      <c r="AV473" s="47">
        <v>0</v>
      </c>
      <c r="AW473" s="47">
        <v>0</v>
      </c>
      <c r="AX473" s="47">
        <v>0</v>
      </c>
      <c r="AY473" s="47">
        <v>0</v>
      </c>
      <c r="AZ473" s="47">
        <v>0</v>
      </c>
      <c r="BA473" s="47">
        <v>0</v>
      </c>
      <c r="BB473" s="47">
        <v>0</v>
      </c>
      <c r="BC473" s="47">
        <v>0</v>
      </c>
      <c r="BD473" s="47">
        <v>0</v>
      </c>
      <c r="BE473" s="47">
        <v>0</v>
      </c>
      <c r="BF473" s="47">
        <v>0</v>
      </c>
      <c r="BG473" s="47">
        <v>0</v>
      </c>
      <c r="BH473" s="47">
        <v>0</v>
      </c>
      <c r="BI473" s="47">
        <v>0</v>
      </c>
      <c r="BJ473" s="47">
        <v>0</v>
      </c>
      <c r="BK473" s="47">
        <v>0</v>
      </c>
      <c r="BL473" s="47">
        <v>0</v>
      </c>
      <c r="BM473" s="47">
        <v>0</v>
      </c>
      <c r="BN473" s="47">
        <v>0</v>
      </c>
      <c r="BO473" s="47">
        <v>0</v>
      </c>
      <c r="BP473" s="47">
        <v>0</v>
      </c>
      <c r="BQ473" s="47">
        <v>0</v>
      </c>
      <c r="BR473" s="47">
        <v>0</v>
      </c>
      <c r="BS473" s="47">
        <v>0</v>
      </c>
      <c r="BT473" s="47">
        <v>0</v>
      </c>
      <c r="BU473" s="47">
        <v>0</v>
      </c>
      <c r="BV473" s="47">
        <v>0</v>
      </c>
      <c r="BW473" s="47">
        <v>0</v>
      </c>
      <c r="BX473" s="47">
        <v>0</v>
      </c>
      <c r="BY473" s="47">
        <v>0</v>
      </c>
      <c r="BZ473" s="47">
        <v>0</v>
      </c>
      <c r="CA473" s="47">
        <v>0</v>
      </c>
      <c r="CB473" s="47">
        <v>0</v>
      </c>
      <c r="CC473" s="47">
        <v>0</v>
      </c>
      <c r="CD473" s="47">
        <v>0</v>
      </c>
      <c r="CE473" s="47">
        <v>0</v>
      </c>
      <c r="CF473" s="47">
        <v>0</v>
      </c>
      <c r="CG473" s="47">
        <v>0</v>
      </c>
      <c r="CH473" s="47">
        <v>0</v>
      </c>
      <c r="CI473" s="47">
        <v>0</v>
      </c>
      <c r="CJ473" s="47">
        <v>0</v>
      </c>
      <c r="CK473" s="47">
        <v>0</v>
      </c>
      <c r="CL473" s="47">
        <v>0</v>
      </c>
      <c r="CM473" s="47">
        <v>0</v>
      </c>
      <c r="CN473" s="47">
        <v>0</v>
      </c>
      <c r="CO473" s="47">
        <v>0</v>
      </c>
      <c r="CP473" s="47">
        <v>0</v>
      </c>
      <c r="CQ473" s="47">
        <v>0</v>
      </c>
      <c r="CR473" s="47">
        <v>0</v>
      </c>
      <c r="CS473" s="47">
        <v>0</v>
      </c>
      <c r="CT473" s="47">
        <v>0</v>
      </c>
      <c r="CU473" s="47">
        <v>0</v>
      </c>
      <c r="CV473" s="47">
        <v>0</v>
      </c>
      <c r="CW473" s="47">
        <v>0</v>
      </c>
      <c r="CX473" s="47">
        <v>0</v>
      </c>
      <c r="CY473" s="47">
        <v>0</v>
      </c>
      <c r="CZ473" s="47">
        <v>0</v>
      </c>
      <c r="DA473" s="47">
        <v>0</v>
      </c>
      <c r="DB473" s="47">
        <v>0</v>
      </c>
      <c r="DC473" s="47">
        <v>0</v>
      </c>
      <c r="DD473" s="47">
        <v>0</v>
      </c>
      <c r="DE473" s="47">
        <v>0</v>
      </c>
      <c r="DF473" s="47">
        <v>0</v>
      </c>
      <c r="DG473" s="47">
        <v>0</v>
      </c>
      <c r="DH473" s="47">
        <v>0</v>
      </c>
      <c r="DI473" s="47">
        <v>0</v>
      </c>
      <c r="DJ473" s="47">
        <v>0</v>
      </c>
      <c r="DK473" s="47">
        <v>0</v>
      </c>
      <c r="DL473" s="47">
        <v>0</v>
      </c>
      <c r="DM473" s="47">
        <v>0</v>
      </c>
      <c r="DN473" s="47">
        <v>0</v>
      </c>
      <c r="DO473" s="47">
        <v>0</v>
      </c>
      <c r="DP473" s="47">
        <v>0</v>
      </c>
      <c r="DQ473" s="47">
        <v>0</v>
      </c>
      <c r="DR473" s="47">
        <v>0</v>
      </c>
      <c r="DS473" s="47">
        <v>0</v>
      </c>
      <c r="DT473" s="47">
        <v>0</v>
      </c>
      <c r="DU473" s="47">
        <v>0</v>
      </c>
      <c r="DV473" s="47">
        <v>0</v>
      </c>
      <c r="DW473" s="47">
        <v>0</v>
      </c>
      <c r="DX473" s="47">
        <v>0</v>
      </c>
      <c r="DY473" s="47">
        <v>0</v>
      </c>
      <c r="DZ473" s="47">
        <v>0</v>
      </c>
      <c r="EA473" s="47">
        <v>0</v>
      </c>
      <c r="EB473" s="47"/>
      <c r="EC473" s="47">
        <v>0.8</v>
      </c>
      <c r="ZZ473" t="s">
        <v>2472</v>
      </c>
    </row>
    <row r="474" spans="1:702" x14ac:dyDescent="0.25">
      <c r="A474" s="47" t="s">
        <v>2241</v>
      </c>
      <c r="B474" s="47" t="s">
        <v>153</v>
      </c>
      <c r="C474" s="47" t="s">
        <v>157</v>
      </c>
      <c r="D474" s="47" t="s">
        <v>2959</v>
      </c>
      <c r="E474" s="47" t="s">
        <v>2242</v>
      </c>
      <c r="F474" s="47" t="s">
        <v>2243</v>
      </c>
      <c r="G474" s="47" t="s">
        <v>2244</v>
      </c>
      <c r="H474" s="47" t="s">
        <v>698</v>
      </c>
      <c r="I474" s="47" t="s">
        <v>727</v>
      </c>
      <c r="J474" s="47" t="str">
        <f>=IFERROR(VLOOKUP(H474&amp;I474,Table_Fonctions!A:G,6,FALSE),"")</f>
        <v>0</v>
      </c>
      <c r="K474" s="47" t="s">
        <v>2607</v>
      </c>
      <c r="L474" s="47" t="str">
        <f>=IFERROR(VLOOKUP(H474&amp;I474,Table_Fonctions!A:G,7,FALSE),K474)</f>
        <v/>
      </c>
      <c r="M474" s="47" t="str">
        <f>=IF(OR(LEFT(D474, 3)="TJ ", LEFT(D474, 4)="CPH "), "OUI", "NON")</f>
        <v/>
      </c>
      <c r="N474" s="47" t="s">
        <v>1414</v>
      </c>
      <c r="O474" s="47"/>
      <c r="P474" s="47">
        <v>1</v>
      </c>
      <c r="Q474" s="47">
        <v>1</v>
      </c>
      <c r="R474" s="47">
        <v>0</v>
      </c>
      <c r="S474" s="47">
        <f>=ROUND(BQ474-(BR474+BS474),3)</f>
      </c>
      <c r="T474" s="47">
        <f>=ROUND(CK474-(CL474+CM474+CN474+CO474+CP474),3)</f>
      </c>
      <c r="U474" s="47">
        <v>0</v>
      </c>
      <c r="V474" s="47">
        <v>0</v>
      </c>
      <c r="W474" s="47">
        <v>0</v>
      </c>
      <c r="X474" s="47">
        <v>0</v>
      </c>
      <c r="Y474" s="47">
        <v>0</v>
      </c>
      <c r="Z474" s="47">
        <v>0</v>
      </c>
      <c r="AA474" s="47">
        <v>0</v>
      </c>
      <c r="AB474" s="47">
        <v>0</v>
      </c>
      <c r="AC474" s="47">
        <v>0</v>
      </c>
      <c r="AD474" s="47">
        <v>0</v>
      </c>
      <c r="AE474" s="47">
        <v>0</v>
      </c>
      <c r="AF474" s="47">
        <v>0</v>
      </c>
      <c r="AG474" s="47">
        <v>0</v>
      </c>
      <c r="AH474" s="47">
        <v>0</v>
      </c>
      <c r="AI474" s="47">
        <v>0</v>
      </c>
      <c r="AJ474" s="47">
        <v>0</v>
      </c>
      <c r="AK474" s="47">
        <v>0</v>
      </c>
      <c r="AL474" s="47">
        <v>0</v>
      </c>
      <c r="AM474" s="47">
        <v>0</v>
      </c>
      <c r="AN474" s="47">
        <v>0</v>
      </c>
      <c r="AO474" s="47">
        <v>0</v>
      </c>
      <c r="AP474" s="47">
        <v>0</v>
      </c>
      <c r="AQ474" s="47">
        <v>0</v>
      </c>
      <c r="AR474" s="47">
        <v>0</v>
      </c>
      <c r="AS474" s="47">
        <v>0</v>
      </c>
      <c r="AT474" s="47">
        <v>0</v>
      </c>
      <c r="AU474" s="47">
        <v>0</v>
      </c>
      <c r="AV474" s="47">
        <v>0</v>
      </c>
      <c r="AW474" s="47">
        <v>0</v>
      </c>
      <c r="AX474" s="47">
        <v>0</v>
      </c>
      <c r="AY474" s="47">
        <v>0</v>
      </c>
      <c r="AZ474" s="47">
        <v>0</v>
      </c>
      <c r="BA474" s="47">
        <v>0</v>
      </c>
      <c r="BB474" s="47">
        <v>0</v>
      </c>
      <c r="BC474" s="47">
        <v>0</v>
      </c>
      <c r="BD474" s="47">
        <v>0</v>
      </c>
      <c r="BE474" s="47">
        <v>0</v>
      </c>
      <c r="BF474" s="47">
        <v>0</v>
      </c>
      <c r="BG474" s="47">
        <v>0</v>
      </c>
      <c r="BH474" s="47">
        <v>0</v>
      </c>
      <c r="BI474" s="47">
        <v>0</v>
      </c>
      <c r="BJ474" s="47">
        <v>0</v>
      </c>
      <c r="BK474" s="47">
        <v>0</v>
      </c>
      <c r="BL474" s="47">
        <v>0</v>
      </c>
      <c r="BM474" s="47">
        <v>0</v>
      </c>
      <c r="BN474" s="47">
        <v>0</v>
      </c>
      <c r="BO474" s="47">
        <v>0</v>
      </c>
      <c r="BP474" s="47">
        <v>0</v>
      </c>
      <c r="BQ474" s="47">
        <v>0</v>
      </c>
      <c r="BR474" s="47">
        <v>0</v>
      </c>
      <c r="BS474" s="47">
        <v>0</v>
      </c>
      <c r="BT474" s="47">
        <v>1</v>
      </c>
      <c r="BU474" s="47">
        <v>0</v>
      </c>
      <c r="BV474" s="47">
        <v>0</v>
      </c>
      <c r="BW474" s="47">
        <v>0</v>
      </c>
      <c r="BX474" s="47">
        <v>0</v>
      </c>
      <c r="BY474" s="47">
        <v>0</v>
      </c>
      <c r="BZ474" s="47">
        <v>0</v>
      </c>
      <c r="CA474" s="47">
        <v>0</v>
      </c>
      <c r="CB474" s="47">
        <v>0</v>
      </c>
      <c r="CC474" s="47">
        <v>0</v>
      </c>
      <c r="CD474" s="47">
        <v>0</v>
      </c>
      <c r="CE474" s="47">
        <v>0</v>
      </c>
      <c r="CF474" s="47">
        <v>0</v>
      </c>
      <c r="CG474" s="47">
        <v>0</v>
      </c>
      <c r="CH474" s="47">
        <v>0</v>
      </c>
      <c r="CI474" s="47">
        <v>0</v>
      </c>
      <c r="CJ474" s="47">
        <v>0</v>
      </c>
      <c r="CK474" s="47">
        <v>0</v>
      </c>
      <c r="CL474" s="47">
        <v>0</v>
      </c>
      <c r="CM474" s="47">
        <v>0</v>
      </c>
      <c r="CN474" s="47">
        <v>0</v>
      </c>
      <c r="CO474" s="47">
        <v>0</v>
      </c>
      <c r="CP474" s="47">
        <v>0</v>
      </c>
      <c r="CQ474" s="47">
        <v>0</v>
      </c>
      <c r="CR474" s="47">
        <v>0</v>
      </c>
      <c r="CS474" s="47">
        <v>0</v>
      </c>
      <c r="CT474" s="47">
        <v>0</v>
      </c>
      <c r="CU474" s="47">
        <v>0</v>
      </c>
      <c r="CV474" s="47">
        <v>0</v>
      </c>
      <c r="CW474" s="47">
        <v>0</v>
      </c>
      <c r="CX474" s="47">
        <v>0</v>
      </c>
      <c r="CY474" s="47">
        <v>0</v>
      </c>
      <c r="CZ474" s="47">
        <v>0</v>
      </c>
      <c r="DA474" s="47">
        <v>0</v>
      </c>
      <c r="DB474" s="47">
        <v>0</v>
      </c>
      <c r="DC474" s="47">
        <v>0</v>
      </c>
      <c r="DD474" s="47">
        <v>0</v>
      </c>
      <c r="DE474" s="47">
        <v>0</v>
      </c>
      <c r="DF474" s="47">
        <v>0</v>
      </c>
      <c r="DG474" s="47">
        <v>0</v>
      </c>
      <c r="DH474" s="47">
        <v>0</v>
      </c>
      <c r="DI474" s="47">
        <v>0</v>
      </c>
      <c r="DJ474" s="47">
        <v>0</v>
      </c>
      <c r="DK474" s="47">
        <v>0</v>
      </c>
      <c r="DL474" s="47">
        <v>0</v>
      </c>
      <c r="DM474" s="47">
        <v>0</v>
      </c>
      <c r="DN474" s="47">
        <v>0</v>
      </c>
      <c r="DO474" s="47">
        <v>0</v>
      </c>
      <c r="DP474" s="47">
        <v>0</v>
      </c>
      <c r="DQ474" s="47">
        <v>0</v>
      </c>
      <c r="DR474" s="47">
        <v>0</v>
      </c>
      <c r="DS474" s="47">
        <v>0</v>
      </c>
      <c r="DT474" s="47">
        <v>0</v>
      </c>
      <c r="DU474" s="47">
        <v>0</v>
      </c>
      <c r="DV474" s="47">
        <v>0</v>
      </c>
      <c r="DW474" s="47">
        <v>0</v>
      </c>
      <c r="DX474" s="47">
        <v>0</v>
      </c>
      <c r="DY474" s="47">
        <v>0</v>
      </c>
      <c r="DZ474" s="47">
        <v>0</v>
      </c>
      <c r="EA474" s="47">
        <v>0</v>
      </c>
      <c r="EB474" s="47"/>
      <c r="EC474" s="47">
        <v>1</v>
      </c>
      <c r="ZZ474" t="s">
        <v>2472</v>
      </c>
    </row>
    <row r="475" spans="1:702" x14ac:dyDescent="0.25">
      <c r="A475" s="47" t="s">
        <v>2245</v>
      </c>
      <c r="B475" s="47" t="s">
        <v>153</v>
      </c>
      <c r="C475" s="47" t="s">
        <v>157</v>
      </c>
      <c r="D475" s="47" t="s">
        <v>2960</v>
      </c>
      <c r="E475" s="47" t="s">
        <v>2246</v>
      </c>
      <c r="F475" s="47" t="s">
        <v>2247</v>
      </c>
      <c r="G475" s="47" t="s">
        <v>2248</v>
      </c>
      <c r="H475" s="47" t="s">
        <v>698</v>
      </c>
      <c r="I475" s="47" t="s">
        <v>705</v>
      </c>
      <c r="J475" s="47" t="str">
        <f>=IFERROR(VLOOKUP(H475&amp;I475,Table_Fonctions!A:G,6,FALSE),"")</f>
        <v>0</v>
      </c>
      <c r="K475" s="47" t="s">
        <v>2607</v>
      </c>
      <c r="L475" s="47" t="str">
        <f>=IFERROR(VLOOKUP(H475&amp;I475,Table_Fonctions!A:G,7,FALSE),K475)</f>
        <v/>
      </c>
      <c r="M475" s="47" t="str">
        <f>=IF(OR(LEFT(D475, 3)="TJ ", LEFT(D475, 4)="CPH "), "OUI", "NON")</f>
        <v/>
      </c>
      <c r="N475" s="47" t="s">
        <v>1039</v>
      </c>
      <c r="O475" s="47"/>
      <c r="P475" s="47">
        <v>1</v>
      </c>
      <c r="Q475" s="47">
        <v>0</v>
      </c>
      <c r="R475" s="47">
        <v>1</v>
      </c>
      <c r="S475" s="47">
        <f>=ROUND(BQ475-(BR475+BS475),3)</f>
      </c>
      <c r="T475" s="47">
        <f>=ROUND(CK475-(CL475+CM475+CN475+CO475+CP475),3)</f>
      </c>
      <c r="U475" s="47">
        <v>0</v>
      </c>
      <c r="V475" s="47">
        <v>0</v>
      </c>
      <c r="W475" s="47">
        <v>0</v>
      </c>
      <c r="X475" s="47">
        <v>0</v>
      </c>
      <c r="Y475" s="47">
        <v>0</v>
      </c>
      <c r="Z475" s="47">
        <v>0</v>
      </c>
      <c r="AA475" s="47">
        <v>0</v>
      </c>
      <c r="AB475" s="47">
        <v>0</v>
      </c>
      <c r="AC475" s="47">
        <v>0</v>
      </c>
      <c r="AD475" s="47">
        <v>0</v>
      </c>
      <c r="AE475" s="47">
        <v>0</v>
      </c>
      <c r="AF475" s="47">
        <v>0</v>
      </c>
      <c r="AG475" s="47">
        <v>0</v>
      </c>
      <c r="AH475" s="47">
        <v>0</v>
      </c>
      <c r="AI475" s="47">
        <v>0</v>
      </c>
      <c r="AJ475" s="47">
        <v>0</v>
      </c>
      <c r="AK475" s="47">
        <v>0</v>
      </c>
      <c r="AL475" s="47">
        <v>0</v>
      </c>
      <c r="AM475" s="47">
        <v>0</v>
      </c>
      <c r="AN475" s="47">
        <v>0</v>
      </c>
      <c r="AO475" s="47">
        <v>0</v>
      </c>
      <c r="AP475" s="47">
        <v>0</v>
      </c>
      <c r="AQ475" s="47">
        <v>0</v>
      </c>
      <c r="AR475" s="47">
        <v>0</v>
      </c>
      <c r="AS475" s="47">
        <v>0</v>
      </c>
      <c r="AT475" s="47">
        <v>0</v>
      </c>
      <c r="AU475" s="47">
        <v>0</v>
      </c>
      <c r="AV475" s="47">
        <v>0</v>
      </c>
      <c r="AW475" s="47">
        <v>0</v>
      </c>
      <c r="AX475" s="47">
        <v>0</v>
      </c>
      <c r="AY475" s="47">
        <v>0</v>
      </c>
      <c r="AZ475" s="47">
        <v>0</v>
      </c>
      <c r="BA475" s="47">
        <v>0</v>
      </c>
      <c r="BB475" s="47">
        <v>0</v>
      </c>
      <c r="BC475" s="47">
        <v>0</v>
      </c>
      <c r="BD475" s="47">
        <v>0</v>
      </c>
      <c r="BE475" s="47">
        <v>0</v>
      </c>
      <c r="BF475" s="47">
        <v>0</v>
      </c>
      <c r="BG475" s="47">
        <v>0</v>
      </c>
      <c r="BH475" s="47">
        <v>0</v>
      </c>
      <c r="BI475" s="47">
        <v>0</v>
      </c>
      <c r="BJ475" s="47">
        <v>0</v>
      </c>
      <c r="BK475" s="47">
        <v>0</v>
      </c>
      <c r="BL475" s="47">
        <v>0</v>
      </c>
      <c r="BM475" s="47">
        <v>0</v>
      </c>
      <c r="BN475" s="47">
        <v>0</v>
      </c>
      <c r="BO475" s="47">
        <v>0</v>
      </c>
      <c r="BP475" s="47">
        <v>0</v>
      </c>
      <c r="BQ475" s="47">
        <v>0</v>
      </c>
      <c r="BR475" s="47">
        <v>0</v>
      </c>
      <c r="BS475" s="47">
        <v>0</v>
      </c>
      <c r="BT475" s="47">
        <v>0</v>
      </c>
      <c r="BU475" s="47">
        <v>0</v>
      </c>
      <c r="BV475" s="47">
        <v>0</v>
      </c>
      <c r="BW475" s="47">
        <v>0</v>
      </c>
      <c r="BX475" s="47">
        <v>0</v>
      </c>
      <c r="BY475" s="47">
        <v>0</v>
      </c>
      <c r="BZ475" s="47">
        <v>0</v>
      </c>
      <c r="CA475" s="47">
        <v>0</v>
      </c>
      <c r="CB475" s="47">
        <v>0</v>
      </c>
      <c r="CC475" s="47">
        <v>0</v>
      </c>
      <c r="CD475" s="47">
        <v>0</v>
      </c>
      <c r="CE475" s="47">
        <v>0</v>
      </c>
      <c r="CF475" s="47">
        <v>0</v>
      </c>
      <c r="CG475" s="47">
        <v>0</v>
      </c>
      <c r="CH475" s="47">
        <v>0</v>
      </c>
      <c r="CI475" s="47">
        <v>0</v>
      </c>
      <c r="CJ475" s="47">
        <v>0</v>
      </c>
      <c r="CK475" s="47">
        <v>0</v>
      </c>
      <c r="CL475" s="47">
        <v>0</v>
      </c>
      <c r="CM475" s="47">
        <v>0</v>
      </c>
      <c r="CN475" s="47">
        <v>0</v>
      </c>
      <c r="CO475" s="47">
        <v>0</v>
      </c>
      <c r="CP475" s="47">
        <v>0</v>
      </c>
      <c r="CQ475" s="47">
        <v>0</v>
      </c>
      <c r="CR475" s="47">
        <v>0</v>
      </c>
      <c r="CS475" s="47">
        <v>0</v>
      </c>
      <c r="CT475" s="47">
        <v>0</v>
      </c>
      <c r="CU475" s="47">
        <v>0</v>
      </c>
      <c r="CV475" s="47">
        <v>0</v>
      </c>
      <c r="CW475" s="47">
        <v>0</v>
      </c>
      <c r="CX475" s="47">
        <v>0</v>
      </c>
      <c r="CY475" s="47">
        <v>0</v>
      </c>
      <c r="CZ475" s="47">
        <v>0</v>
      </c>
      <c r="DA475" s="47">
        <v>0</v>
      </c>
      <c r="DB475" s="47">
        <v>0</v>
      </c>
      <c r="DC475" s="47">
        <v>0</v>
      </c>
      <c r="DD475" s="47">
        <v>0</v>
      </c>
      <c r="DE475" s="47">
        <v>0</v>
      </c>
      <c r="DF475" s="47">
        <v>0</v>
      </c>
      <c r="DG475" s="47">
        <v>0</v>
      </c>
      <c r="DH475" s="47">
        <v>0</v>
      </c>
      <c r="DI475" s="47">
        <v>0</v>
      </c>
      <c r="DJ475" s="47">
        <v>0</v>
      </c>
      <c r="DK475" s="47">
        <v>0</v>
      </c>
      <c r="DL475" s="47">
        <v>0</v>
      </c>
      <c r="DM475" s="47">
        <v>0</v>
      </c>
      <c r="DN475" s="47">
        <v>0</v>
      </c>
      <c r="DO475" s="47">
        <v>0</v>
      </c>
      <c r="DP475" s="47">
        <v>0</v>
      </c>
      <c r="DQ475" s="47">
        <v>0</v>
      </c>
      <c r="DR475" s="47">
        <v>0</v>
      </c>
      <c r="DS475" s="47">
        <v>0</v>
      </c>
      <c r="DT475" s="47">
        <v>0</v>
      </c>
      <c r="DU475" s="47">
        <v>0</v>
      </c>
      <c r="DV475" s="47">
        <v>0</v>
      </c>
      <c r="DW475" s="47">
        <v>0</v>
      </c>
      <c r="DX475" s="47">
        <v>0</v>
      </c>
      <c r="DY475" s="47">
        <v>0</v>
      </c>
      <c r="DZ475" s="47">
        <v>0</v>
      </c>
      <c r="EA475" s="47">
        <v>0</v>
      </c>
      <c r="EB475" s="47"/>
      <c r="EC475" s="47">
        <v>1</v>
      </c>
      <c r="ZZ475" t="s">
        <v>2472</v>
      </c>
    </row>
    <row r="476" spans="1:702" x14ac:dyDescent="0.25">
      <c r="A476" s="47" t="s">
        <v>2249</v>
      </c>
      <c r="B476" s="47" t="s">
        <v>153</v>
      </c>
      <c r="C476" s="47" t="s">
        <v>157</v>
      </c>
      <c r="D476" s="47" t="s">
        <v>2961</v>
      </c>
      <c r="E476" s="47" t="s">
        <v>2250</v>
      </c>
      <c r="F476" s="47" t="s">
        <v>2251</v>
      </c>
      <c r="G476" s="47" t="s">
        <v>2252</v>
      </c>
      <c r="H476" s="47" t="s">
        <v>698</v>
      </c>
      <c r="I476" s="47" t="s">
        <v>705</v>
      </c>
      <c r="J476" s="47" t="str">
        <f>=IFERROR(VLOOKUP(H476&amp;I476,Table_Fonctions!A:G,6,FALSE),"")</f>
        <v>0</v>
      </c>
      <c r="K476" s="47" t="s">
        <v>2607</v>
      </c>
      <c r="L476" s="47" t="str">
        <f>=IFERROR(VLOOKUP(H476&amp;I476,Table_Fonctions!A:G,7,FALSE),K476)</f>
        <v/>
      </c>
      <c r="M476" s="47" t="str">
        <f>=IF(OR(LEFT(D476, 3)="TJ ", LEFT(D476, 4)="CPH "), "OUI", "NON")</f>
        <v/>
      </c>
      <c r="N476" s="47" t="s">
        <v>2253</v>
      </c>
      <c r="O476" s="47"/>
      <c r="P476" s="47">
        <v>0.9</v>
      </c>
      <c r="Q476" s="47">
        <v>0</v>
      </c>
      <c r="R476" s="47">
        <v>0.9</v>
      </c>
      <c r="S476" s="47">
        <f>=ROUND(BQ476-(BR476+BS476),3)</f>
      </c>
      <c r="T476" s="47">
        <f>=ROUND(CK476-(CL476+CM476+CN476+CO476+CP476),3)</f>
      </c>
      <c r="U476" s="47">
        <v>0</v>
      </c>
      <c r="V476" s="47">
        <v>0</v>
      </c>
      <c r="W476" s="47">
        <v>0</v>
      </c>
      <c r="X476" s="47">
        <v>0</v>
      </c>
      <c r="Y476" s="47">
        <v>0</v>
      </c>
      <c r="Z476" s="47">
        <v>0</v>
      </c>
      <c r="AA476" s="47">
        <v>0</v>
      </c>
      <c r="AB476" s="47">
        <v>0</v>
      </c>
      <c r="AC476" s="47">
        <v>0</v>
      </c>
      <c r="AD476" s="47">
        <v>0</v>
      </c>
      <c r="AE476" s="47">
        <v>0</v>
      </c>
      <c r="AF476" s="47">
        <v>0</v>
      </c>
      <c r="AG476" s="47">
        <v>0</v>
      </c>
      <c r="AH476" s="47">
        <v>0</v>
      </c>
      <c r="AI476" s="47">
        <v>0</v>
      </c>
      <c r="AJ476" s="47">
        <v>0</v>
      </c>
      <c r="AK476" s="47">
        <v>0</v>
      </c>
      <c r="AL476" s="47">
        <v>0</v>
      </c>
      <c r="AM476" s="47">
        <v>0</v>
      </c>
      <c r="AN476" s="47">
        <v>0</v>
      </c>
      <c r="AO476" s="47">
        <v>0</v>
      </c>
      <c r="AP476" s="47">
        <v>0</v>
      </c>
      <c r="AQ476" s="47">
        <v>0</v>
      </c>
      <c r="AR476" s="47">
        <v>0</v>
      </c>
      <c r="AS476" s="47">
        <v>0</v>
      </c>
      <c r="AT476" s="47">
        <v>0</v>
      </c>
      <c r="AU476" s="47">
        <v>0</v>
      </c>
      <c r="AV476" s="47">
        <v>0</v>
      </c>
      <c r="AW476" s="47">
        <v>0</v>
      </c>
      <c r="AX476" s="47">
        <v>0</v>
      </c>
      <c r="AY476" s="47">
        <v>0</v>
      </c>
      <c r="AZ476" s="47">
        <v>0</v>
      </c>
      <c r="BA476" s="47">
        <v>0</v>
      </c>
      <c r="BB476" s="47">
        <v>0</v>
      </c>
      <c r="BC476" s="47">
        <v>0</v>
      </c>
      <c r="BD476" s="47">
        <v>0</v>
      </c>
      <c r="BE476" s="47">
        <v>0</v>
      </c>
      <c r="BF476" s="47">
        <v>0</v>
      </c>
      <c r="BG476" s="47">
        <v>0</v>
      </c>
      <c r="BH476" s="47">
        <v>0</v>
      </c>
      <c r="BI476" s="47">
        <v>0</v>
      </c>
      <c r="BJ476" s="47">
        <v>0</v>
      </c>
      <c r="BK476" s="47">
        <v>0</v>
      </c>
      <c r="BL476" s="47">
        <v>0</v>
      </c>
      <c r="BM476" s="47">
        <v>0</v>
      </c>
      <c r="BN476" s="47">
        <v>0</v>
      </c>
      <c r="BO476" s="47">
        <v>0</v>
      </c>
      <c r="BP476" s="47">
        <v>0</v>
      </c>
      <c r="BQ476" s="47">
        <v>0</v>
      </c>
      <c r="BR476" s="47">
        <v>0</v>
      </c>
      <c r="BS476" s="47">
        <v>0</v>
      </c>
      <c r="BT476" s="47">
        <v>0</v>
      </c>
      <c r="BU476" s="47">
        <v>0</v>
      </c>
      <c r="BV476" s="47">
        <v>0</v>
      </c>
      <c r="BW476" s="47">
        <v>0</v>
      </c>
      <c r="BX476" s="47">
        <v>0</v>
      </c>
      <c r="BY476" s="47">
        <v>0</v>
      </c>
      <c r="BZ476" s="47">
        <v>0</v>
      </c>
      <c r="CA476" s="47">
        <v>0</v>
      </c>
      <c r="CB476" s="47">
        <v>0</v>
      </c>
      <c r="CC476" s="47">
        <v>0</v>
      </c>
      <c r="CD476" s="47">
        <v>0</v>
      </c>
      <c r="CE476" s="47">
        <v>0</v>
      </c>
      <c r="CF476" s="47">
        <v>0</v>
      </c>
      <c r="CG476" s="47">
        <v>0</v>
      </c>
      <c r="CH476" s="47">
        <v>0</v>
      </c>
      <c r="CI476" s="47">
        <v>0</v>
      </c>
      <c r="CJ476" s="47">
        <v>0</v>
      </c>
      <c r="CK476" s="47">
        <v>0</v>
      </c>
      <c r="CL476" s="47">
        <v>0</v>
      </c>
      <c r="CM476" s="47">
        <v>0</v>
      </c>
      <c r="CN476" s="47">
        <v>0</v>
      </c>
      <c r="CO476" s="47">
        <v>0</v>
      </c>
      <c r="CP476" s="47">
        <v>0</v>
      </c>
      <c r="CQ476" s="47">
        <v>0</v>
      </c>
      <c r="CR476" s="47">
        <v>0</v>
      </c>
      <c r="CS476" s="47">
        <v>0</v>
      </c>
      <c r="CT476" s="47">
        <v>0</v>
      </c>
      <c r="CU476" s="47">
        <v>0</v>
      </c>
      <c r="CV476" s="47">
        <v>0</v>
      </c>
      <c r="CW476" s="47">
        <v>0</v>
      </c>
      <c r="CX476" s="47">
        <v>0</v>
      </c>
      <c r="CY476" s="47">
        <v>0</v>
      </c>
      <c r="CZ476" s="47">
        <v>0</v>
      </c>
      <c r="DA476" s="47">
        <v>0</v>
      </c>
      <c r="DB476" s="47">
        <v>0</v>
      </c>
      <c r="DC476" s="47">
        <v>0</v>
      </c>
      <c r="DD476" s="47">
        <v>0</v>
      </c>
      <c r="DE476" s="47">
        <v>0</v>
      </c>
      <c r="DF476" s="47">
        <v>0</v>
      </c>
      <c r="DG476" s="47">
        <v>0</v>
      </c>
      <c r="DH476" s="47">
        <v>0</v>
      </c>
      <c r="DI476" s="47">
        <v>0</v>
      </c>
      <c r="DJ476" s="47">
        <v>0</v>
      </c>
      <c r="DK476" s="47">
        <v>0</v>
      </c>
      <c r="DL476" s="47">
        <v>0</v>
      </c>
      <c r="DM476" s="47">
        <v>0</v>
      </c>
      <c r="DN476" s="47">
        <v>0</v>
      </c>
      <c r="DO476" s="47">
        <v>0</v>
      </c>
      <c r="DP476" s="47">
        <v>0</v>
      </c>
      <c r="DQ476" s="47">
        <v>0</v>
      </c>
      <c r="DR476" s="47">
        <v>0</v>
      </c>
      <c r="DS476" s="47">
        <v>0</v>
      </c>
      <c r="DT476" s="47">
        <v>0</v>
      </c>
      <c r="DU476" s="47">
        <v>0</v>
      </c>
      <c r="DV476" s="47">
        <v>0</v>
      </c>
      <c r="DW476" s="47">
        <v>0</v>
      </c>
      <c r="DX476" s="47">
        <v>0</v>
      </c>
      <c r="DY476" s="47">
        <v>0</v>
      </c>
      <c r="DZ476" s="47">
        <v>0</v>
      </c>
      <c r="EA476" s="47">
        <v>0</v>
      </c>
      <c r="EB476" s="47"/>
      <c r="EC476" s="47">
        <v>0.9</v>
      </c>
      <c r="ZZ476" t="s">
        <v>2472</v>
      </c>
    </row>
    <row r="477" spans="1:702" x14ac:dyDescent="0.25">
      <c r="A477" s="47" t="s">
        <v>2254</v>
      </c>
      <c r="B477" s="47" t="s">
        <v>153</v>
      </c>
      <c r="C477" s="47" t="s">
        <v>157</v>
      </c>
      <c r="D477" s="47" t="s">
        <v>2962</v>
      </c>
      <c r="E477" s="47" t="s">
        <v>2255</v>
      </c>
      <c r="F477" s="47" t="s">
        <v>2256</v>
      </c>
      <c r="G477" s="47" t="s">
        <v>2257</v>
      </c>
      <c r="H477" s="47" t="s">
        <v>698</v>
      </c>
      <c r="I477" s="47" t="s">
        <v>727</v>
      </c>
      <c r="J477" s="47" t="str">
        <f>=IFERROR(VLOOKUP(H477&amp;I477,Table_Fonctions!A:G,6,FALSE),"")</f>
        <v>0</v>
      </c>
      <c r="K477" s="47" t="s">
        <v>2607</v>
      </c>
      <c r="L477" s="47" t="str">
        <f>=IFERROR(VLOOKUP(H477&amp;I477,Table_Fonctions!A:G,7,FALSE),K477)</f>
        <v/>
      </c>
      <c r="M477" s="47" t="str">
        <f>=IF(OR(LEFT(D477, 3)="TJ ", LEFT(D477, 4)="CPH "), "OUI", "NON")</f>
        <v/>
      </c>
      <c r="N477" s="47" t="s">
        <v>942</v>
      </c>
      <c r="O477" s="47"/>
      <c r="P477" s="47">
        <v>0.8</v>
      </c>
      <c r="Q477" s="47">
        <v>0</v>
      </c>
      <c r="R477" s="47">
        <v>0.8</v>
      </c>
      <c r="S477" s="47">
        <f>=ROUND(BQ477-(BR477+BS477),3)</f>
      </c>
      <c r="T477" s="47">
        <f>=ROUND(CK477-(CL477+CM477+CN477+CO477+CP477),3)</f>
      </c>
      <c r="U477" s="47">
        <v>0</v>
      </c>
      <c r="V477" s="47">
        <v>0</v>
      </c>
      <c r="W477" s="47">
        <v>0</v>
      </c>
      <c r="X477" s="47">
        <v>0</v>
      </c>
      <c r="Y477" s="47">
        <v>0</v>
      </c>
      <c r="Z477" s="47">
        <v>0</v>
      </c>
      <c r="AA477" s="47">
        <v>0</v>
      </c>
      <c r="AB477" s="47">
        <v>0</v>
      </c>
      <c r="AC477" s="47">
        <v>0</v>
      </c>
      <c r="AD477" s="47">
        <v>0</v>
      </c>
      <c r="AE477" s="47">
        <v>0</v>
      </c>
      <c r="AF477" s="47">
        <v>0</v>
      </c>
      <c r="AG477" s="47">
        <v>0</v>
      </c>
      <c r="AH477" s="47">
        <v>0</v>
      </c>
      <c r="AI477" s="47">
        <v>0</v>
      </c>
      <c r="AJ477" s="47">
        <v>0</v>
      </c>
      <c r="AK477" s="47">
        <v>0</v>
      </c>
      <c r="AL477" s="47">
        <v>0</v>
      </c>
      <c r="AM477" s="47">
        <v>0</v>
      </c>
      <c r="AN477" s="47">
        <v>0</v>
      </c>
      <c r="AO477" s="47">
        <v>0</v>
      </c>
      <c r="AP477" s="47">
        <v>0</v>
      </c>
      <c r="AQ477" s="47">
        <v>0</v>
      </c>
      <c r="AR477" s="47">
        <v>0</v>
      </c>
      <c r="AS477" s="47">
        <v>0</v>
      </c>
      <c r="AT477" s="47">
        <v>0</v>
      </c>
      <c r="AU477" s="47">
        <v>0</v>
      </c>
      <c r="AV477" s="47">
        <v>0</v>
      </c>
      <c r="AW477" s="47">
        <v>0</v>
      </c>
      <c r="AX477" s="47">
        <v>0</v>
      </c>
      <c r="AY477" s="47">
        <v>0</v>
      </c>
      <c r="AZ477" s="47">
        <v>0</v>
      </c>
      <c r="BA477" s="47">
        <v>0</v>
      </c>
      <c r="BB477" s="47">
        <v>0</v>
      </c>
      <c r="BC477" s="47">
        <v>0</v>
      </c>
      <c r="BD477" s="47">
        <v>0</v>
      </c>
      <c r="BE477" s="47">
        <v>0</v>
      </c>
      <c r="BF477" s="47">
        <v>0</v>
      </c>
      <c r="BG477" s="47">
        <v>0</v>
      </c>
      <c r="BH477" s="47">
        <v>0</v>
      </c>
      <c r="BI477" s="47">
        <v>0</v>
      </c>
      <c r="BJ477" s="47">
        <v>0</v>
      </c>
      <c r="BK477" s="47">
        <v>0</v>
      </c>
      <c r="BL477" s="47">
        <v>0</v>
      </c>
      <c r="BM477" s="47">
        <v>0</v>
      </c>
      <c r="BN477" s="47">
        <v>0</v>
      </c>
      <c r="BO477" s="47">
        <v>0</v>
      </c>
      <c r="BP477" s="47">
        <v>0</v>
      </c>
      <c r="BQ477" s="47">
        <v>0</v>
      </c>
      <c r="BR477" s="47">
        <v>0</v>
      </c>
      <c r="BS477" s="47">
        <v>0</v>
      </c>
      <c r="BT477" s="47">
        <v>0</v>
      </c>
      <c r="BU477" s="47">
        <v>0</v>
      </c>
      <c r="BV477" s="47">
        <v>0</v>
      </c>
      <c r="BW477" s="47">
        <v>0</v>
      </c>
      <c r="BX477" s="47">
        <v>0</v>
      </c>
      <c r="BY477" s="47">
        <v>0</v>
      </c>
      <c r="BZ477" s="47">
        <v>0</v>
      </c>
      <c r="CA477" s="47">
        <v>0</v>
      </c>
      <c r="CB477" s="47">
        <v>0</v>
      </c>
      <c r="CC477" s="47">
        <v>0</v>
      </c>
      <c r="CD477" s="47">
        <v>0</v>
      </c>
      <c r="CE477" s="47">
        <v>0</v>
      </c>
      <c r="CF477" s="47">
        <v>0</v>
      </c>
      <c r="CG477" s="47">
        <v>0</v>
      </c>
      <c r="CH477" s="47">
        <v>0</v>
      </c>
      <c r="CI477" s="47">
        <v>0</v>
      </c>
      <c r="CJ477" s="47">
        <v>0</v>
      </c>
      <c r="CK477" s="47">
        <v>0</v>
      </c>
      <c r="CL477" s="47">
        <v>0</v>
      </c>
      <c r="CM477" s="47">
        <v>0</v>
      </c>
      <c r="CN477" s="47">
        <v>0</v>
      </c>
      <c r="CO477" s="47">
        <v>0</v>
      </c>
      <c r="CP477" s="47">
        <v>0</v>
      </c>
      <c r="CQ477" s="47">
        <v>0</v>
      </c>
      <c r="CR477" s="47">
        <v>0</v>
      </c>
      <c r="CS477" s="47">
        <v>0</v>
      </c>
      <c r="CT477" s="47">
        <v>0</v>
      </c>
      <c r="CU477" s="47">
        <v>0</v>
      </c>
      <c r="CV477" s="47">
        <v>0</v>
      </c>
      <c r="CW477" s="47">
        <v>0</v>
      </c>
      <c r="CX477" s="47">
        <v>0</v>
      </c>
      <c r="CY477" s="47">
        <v>0</v>
      </c>
      <c r="CZ477" s="47">
        <v>0</v>
      </c>
      <c r="DA477" s="47">
        <v>0</v>
      </c>
      <c r="DB477" s="47">
        <v>0</v>
      </c>
      <c r="DC477" s="47">
        <v>0</v>
      </c>
      <c r="DD477" s="47">
        <v>0</v>
      </c>
      <c r="DE477" s="47">
        <v>0</v>
      </c>
      <c r="DF477" s="47">
        <v>0</v>
      </c>
      <c r="DG477" s="47">
        <v>0</v>
      </c>
      <c r="DH477" s="47">
        <v>0</v>
      </c>
      <c r="DI477" s="47">
        <v>0</v>
      </c>
      <c r="DJ477" s="47">
        <v>0</v>
      </c>
      <c r="DK477" s="47">
        <v>0</v>
      </c>
      <c r="DL477" s="47">
        <v>0</v>
      </c>
      <c r="DM477" s="47">
        <v>0</v>
      </c>
      <c r="DN477" s="47">
        <v>0</v>
      </c>
      <c r="DO477" s="47">
        <v>0</v>
      </c>
      <c r="DP477" s="47">
        <v>0</v>
      </c>
      <c r="DQ477" s="47">
        <v>0</v>
      </c>
      <c r="DR477" s="47">
        <v>0</v>
      </c>
      <c r="DS477" s="47">
        <v>0</v>
      </c>
      <c r="DT477" s="47">
        <v>0</v>
      </c>
      <c r="DU477" s="47">
        <v>0</v>
      </c>
      <c r="DV477" s="47">
        <v>0</v>
      </c>
      <c r="DW477" s="47">
        <v>0</v>
      </c>
      <c r="DX477" s="47">
        <v>0</v>
      </c>
      <c r="DY477" s="47">
        <v>0</v>
      </c>
      <c r="DZ477" s="47">
        <v>0</v>
      </c>
      <c r="EA477" s="47">
        <v>0</v>
      </c>
      <c r="EB477" s="47"/>
      <c r="EC477" s="47">
        <v>0.8</v>
      </c>
      <c r="ZZ477" t="s">
        <v>2472</v>
      </c>
    </row>
    <row r="478" spans="1:702" x14ac:dyDescent="0.25">
      <c r="A478" s="47" t="s">
        <v>2258</v>
      </c>
      <c r="B478" s="47" t="s">
        <v>153</v>
      </c>
      <c r="C478" s="47" t="s">
        <v>157</v>
      </c>
      <c r="D478" s="47" t="s">
        <v>2963</v>
      </c>
      <c r="E478" s="47" t="s">
        <v>2259</v>
      </c>
      <c r="F478" s="47" t="s">
        <v>2260</v>
      </c>
      <c r="G478" s="47" t="s">
        <v>2261</v>
      </c>
      <c r="H478" s="47" t="s">
        <v>698</v>
      </c>
      <c r="I478" s="47" t="s">
        <v>727</v>
      </c>
      <c r="J478" s="47" t="str">
        <f>=IFERROR(VLOOKUP(H478&amp;I478,Table_Fonctions!A:G,6,FALSE),"")</f>
        <v>0</v>
      </c>
      <c r="K478" s="47" t="s">
        <v>2607</v>
      </c>
      <c r="L478" s="47" t="str">
        <f>=IFERROR(VLOOKUP(H478&amp;I478,Table_Fonctions!A:G,7,FALSE),K478)</f>
        <v/>
      </c>
      <c r="M478" s="47" t="str">
        <f>=IF(OR(LEFT(D478, 3)="TJ ", LEFT(D478, 4)="CPH "), "OUI", "NON")</f>
        <v/>
      </c>
      <c r="N478" s="47" t="s">
        <v>763</v>
      </c>
      <c r="O478" s="47"/>
      <c r="P478" s="47">
        <v>0.8</v>
      </c>
      <c r="Q478" s="47">
        <v>0.8</v>
      </c>
      <c r="R478" s="47">
        <v>0</v>
      </c>
      <c r="S478" s="47">
        <f>=ROUND(BQ478-(BR478+BS478),3)</f>
      </c>
      <c r="T478" s="47">
        <f>=ROUND(CK478-(CL478+CM478+CN478+CO478+CP478),3)</f>
      </c>
      <c r="U478" s="47">
        <v>0</v>
      </c>
      <c r="V478" s="47">
        <v>0</v>
      </c>
      <c r="W478" s="47">
        <v>0</v>
      </c>
      <c r="X478" s="47">
        <v>0</v>
      </c>
      <c r="Y478" s="47">
        <v>0</v>
      </c>
      <c r="Z478" s="47">
        <v>0</v>
      </c>
      <c r="AA478" s="47">
        <v>0</v>
      </c>
      <c r="AB478" s="47">
        <v>0</v>
      </c>
      <c r="AC478" s="47">
        <v>0</v>
      </c>
      <c r="AD478" s="47">
        <v>0</v>
      </c>
      <c r="AE478" s="47">
        <v>0</v>
      </c>
      <c r="AF478" s="47">
        <v>0</v>
      </c>
      <c r="AG478" s="47">
        <v>0</v>
      </c>
      <c r="AH478" s="47">
        <v>0</v>
      </c>
      <c r="AI478" s="47">
        <v>0</v>
      </c>
      <c r="AJ478" s="47">
        <v>0</v>
      </c>
      <c r="AK478" s="47">
        <v>0</v>
      </c>
      <c r="AL478" s="47">
        <v>0</v>
      </c>
      <c r="AM478" s="47">
        <v>0</v>
      </c>
      <c r="AN478" s="47">
        <v>0</v>
      </c>
      <c r="AO478" s="47">
        <v>0</v>
      </c>
      <c r="AP478" s="47">
        <v>0</v>
      </c>
      <c r="AQ478" s="47">
        <v>0</v>
      </c>
      <c r="AR478" s="47">
        <v>0</v>
      </c>
      <c r="AS478" s="47">
        <v>0</v>
      </c>
      <c r="AT478" s="47">
        <v>0</v>
      </c>
      <c r="AU478" s="47">
        <v>0</v>
      </c>
      <c r="AV478" s="47">
        <v>0</v>
      </c>
      <c r="AW478" s="47">
        <v>0</v>
      </c>
      <c r="AX478" s="47">
        <v>0</v>
      </c>
      <c r="AY478" s="47">
        <v>0</v>
      </c>
      <c r="AZ478" s="47">
        <v>0</v>
      </c>
      <c r="BA478" s="47">
        <v>0</v>
      </c>
      <c r="BB478" s="47">
        <v>0</v>
      </c>
      <c r="BC478" s="47">
        <v>0</v>
      </c>
      <c r="BD478" s="47">
        <v>0</v>
      </c>
      <c r="BE478" s="47">
        <v>0</v>
      </c>
      <c r="BF478" s="47">
        <v>0</v>
      </c>
      <c r="BG478" s="47">
        <v>0</v>
      </c>
      <c r="BH478" s="47">
        <v>0</v>
      </c>
      <c r="BI478" s="47">
        <v>0</v>
      </c>
      <c r="BJ478" s="47">
        <v>0</v>
      </c>
      <c r="BK478" s="47">
        <v>0</v>
      </c>
      <c r="BL478" s="47">
        <v>0</v>
      </c>
      <c r="BM478" s="47">
        <v>0.8</v>
      </c>
      <c r="BN478" s="47">
        <v>0</v>
      </c>
      <c r="BO478" s="47">
        <v>0</v>
      </c>
      <c r="BP478" s="47">
        <v>0</v>
      </c>
      <c r="BQ478" s="47">
        <v>0</v>
      </c>
      <c r="BR478" s="47">
        <v>0</v>
      </c>
      <c r="BS478" s="47">
        <v>0</v>
      </c>
      <c r="BT478" s="47">
        <v>0</v>
      </c>
      <c r="BU478" s="47">
        <v>0</v>
      </c>
      <c r="BV478" s="47">
        <v>0</v>
      </c>
      <c r="BW478" s="47">
        <v>0</v>
      </c>
      <c r="BX478" s="47">
        <v>0</v>
      </c>
      <c r="BY478" s="47">
        <v>0</v>
      </c>
      <c r="BZ478" s="47">
        <v>0</v>
      </c>
      <c r="CA478" s="47">
        <v>0</v>
      </c>
      <c r="CB478" s="47">
        <v>0</v>
      </c>
      <c r="CC478" s="47">
        <v>0</v>
      </c>
      <c r="CD478" s="47">
        <v>0</v>
      </c>
      <c r="CE478" s="47">
        <v>0</v>
      </c>
      <c r="CF478" s="47">
        <v>0</v>
      </c>
      <c r="CG478" s="47">
        <v>0</v>
      </c>
      <c r="CH478" s="47">
        <v>0</v>
      </c>
      <c r="CI478" s="47">
        <v>0</v>
      </c>
      <c r="CJ478" s="47">
        <v>0</v>
      </c>
      <c r="CK478" s="47">
        <v>0</v>
      </c>
      <c r="CL478" s="47">
        <v>0</v>
      </c>
      <c r="CM478" s="47">
        <v>0</v>
      </c>
      <c r="CN478" s="47">
        <v>0</v>
      </c>
      <c r="CO478" s="47">
        <v>0</v>
      </c>
      <c r="CP478" s="47">
        <v>0</v>
      </c>
      <c r="CQ478" s="47">
        <v>0</v>
      </c>
      <c r="CR478" s="47">
        <v>0</v>
      </c>
      <c r="CS478" s="47">
        <v>0</v>
      </c>
      <c r="CT478" s="47">
        <v>0</v>
      </c>
      <c r="CU478" s="47">
        <v>0</v>
      </c>
      <c r="CV478" s="47">
        <v>0</v>
      </c>
      <c r="CW478" s="47">
        <v>0</v>
      </c>
      <c r="CX478" s="47">
        <v>0</v>
      </c>
      <c r="CY478" s="47">
        <v>0</v>
      </c>
      <c r="CZ478" s="47">
        <v>0</v>
      </c>
      <c r="DA478" s="47">
        <v>0</v>
      </c>
      <c r="DB478" s="47">
        <v>0</v>
      </c>
      <c r="DC478" s="47">
        <v>0</v>
      </c>
      <c r="DD478" s="47">
        <v>0</v>
      </c>
      <c r="DE478" s="47">
        <v>0</v>
      </c>
      <c r="DF478" s="47">
        <v>0</v>
      </c>
      <c r="DG478" s="47">
        <v>0</v>
      </c>
      <c r="DH478" s="47">
        <v>0</v>
      </c>
      <c r="DI478" s="47">
        <v>0</v>
      </c>
      <c r="DJ478" s="47">
        <v>0</v>
      </c>
      <c r="DK478" s="47">
        <v>0</v>
      </c>
      <c r="DL478" s="47">
        <v>0</v>
      </c>
      <c r="DM478" s="47">
        <v>0</v>
      </c>
      <c r="DN478" s="47">
        <v>0</v>
      </c>
      <c r="DO478" s="47">
        <v>0</v>
      </c>
      <c r="DP478" s="47">
        <v>0</v>
      </c>
      <c r="DQ478" s="47">
        <v>0</v>
      </c>
      <c r="DR478" s="47">
        <v>0</v>
      </c>
      <c r="DS478" s="47">
        <v>0</v>
      </c>
      <c r="DT478" s="47">
        <v>0</v>
      </c>
      <c r="DU478" s="47">
        <v>0</v>
      </c>
      <c r="DV478" s="47">
        <v>0</v>
      </c>
      <c r="DW478" s="47">
        <v>0</v>
      </c>
      <c r="DX478" s="47">
        <v>0</v>
      </c>
      <c r="DY478" s="47">
        <v>0</v>
      </c>
      <c r="DZ478" s="47">
        <v>0</v>
      </c>
      <c r="EA478" s="47">
        <v>0</v>
      </c>
      <c r="EB478" s="47"/>
      <c r="EC478" s="47">
        <v>0.8</v>
      </c>
      <c r="ZZ478" t="s">
        <v>2472</v>
      </c>
    </row>
    <row r="479" spans="1:702" x14ac:dyDescent="0.25">
      <c r="A479" s="47" t="s">
        <v>2262</v>
      </c>
      <c r="B479" s="47" t="s">
        <v>153</v>
      </c>
      <c r="C479" s="47" t="s">
        <v>157</v>
      </c>
      <c r="D479" s="47" t="s">
        <v>2964</v>
      </c>
      <c r="E479" s="47" t="s">
        <v>2263</v>
      </c>
      <c r="F479" s="47" t="s">
        <v>2264</v>
      </c>
      <c r="G479" s="47" t="s">
        <v>2265</v>
      </c>
      <c r="H479" s="47" t="s">
        <v>698</v>
      </c>
      <c r="I479" s="47" t="s">
        <v>705</v>
      </c>
      <c r="J479" s="47" t="str">
        <f>=IFERROR(VLOOKUP(H479&amp;I479,Table_Fonctions!A:G,6,FALSE),"")</f>
        <v>0</v>
      </c>
      <c r="K479" s="47" t="s">
        <v>2607</v>
      </c>
      <c r="L479" s="47" t="str">
        <f>=IFERROR(VLOOKUP(H479&amp;I479,Table_Fonctions!A:G,7,FALSE),K479)</f>
        <v/>
      </c>
      <c r="M479" s="47" t="str">
        <f>=IF(OR(LEFT(D479, 3)="TJ ", LEFT(D479, 4)="CPH "), "OUI", "NON")</f>
        <v/>
      </c>
      <c r="N479" s="47" t="s">
        <v>1118</v>
      </c>
      <c r="O479" s="47"/>
      <c r="P479" s="47">
        <v>0.8</v>
      </c>
      <c r="Q479" s="47">
        <v>0</v>
      </c>
      <c r="R479" s="47">
        <v>0.8</v>
      </c>
      <c r="S479" s="47">
        <f>=ROUND(BQ479-(BR479+BS479),3)</f>
      </c>
      <c r="T479" s="47">
        <f>=ROUND(CK479-(CL479+CM479+CN479+CO479+CP479),3)</f>
      </c>
      <c r="U479" s="47">
        <v>0</v>
      </c>
      <c r="V479" s="47">
        <v>0</v>
      </c>
      <c r="W479" s="47">
        <v>0</v>
      </c>
      <c r="X479" s="47">
        <v>0</v>
      </c>
      <c r="Y479" s="47">
        <v>0</v>
      </c>
      <c r="Z479" s="47">
        <v>0</v>
      </c>
      <c r="AA479" s="47">
        <v>0</v>
      </c>
      <c r="AB479" s="47">
        <v>0</v>
      </c>
      <c r="AC479" s="47">
        <v>0</v>
      </c>
      <c r="AD479" s="47">
        <v>0</v>
      </c>
      <c r="AE479" s="47">
        <v>0</v>
      </c>
      <c r="AF479" s="47">
        <v>0</v>
      </c>
      <c r="AG479" s="47">
        <v>0</v>
      </c>
      <c r="AH479" s="47">
        <v>0</v>
      </c>
      <c r="AI479" s="47">
        <v>0</v>
      </c>
      <c r="AJ479" s="47">
        <v>0</v>
      </c>
      <c r="AK479" s="47">
        <v>0</v>
      </c>
      <c r="AL479" s="47">
        <v>0</v>
      </c>
      <c r="AM479" s="47">
        <v>0</v>
      </c>
      <c r="AN479" s="47">
        <v>0</v>
      </c>
      <c r="AO479" s="47">
        <v>0</v>
      </c>
      <c r="AP479" s="47">
        <v>0</v>
      </c>
      <c r="AQ479" s="47">
        <v>0</v>
      </c>
      <c r="AR479" s="47">
        <v>0</v>
      </c>
      <c r="AS479" s="47">
        <v>0</v>
      </c>
      <c r="AT479" s="47">
        <v>0</v>
      </c>
      <c r="AU479" s="47">
        <v>0</v>
      </c>
      <c r="AV479" s="47">
        <v>0</v>
      </c>
      <c r="AW479" s="47">
        <v>0</v>
      </c>
      <c r="AX479" s="47">
        <v>0</v>
      </c>
      <c r="AY479" s="47">
        <v>0</v>
      </c>
      <c r="AZ479" s="47">
        <v>0</v>
      </c>
      <c r="BA479" s="47">
        <v>0</v>
      </c>
      <c r="BB479" s="47">
        <v>0</v>
      </c>
      <c r="BC479" s="47">
        <v>0</v>
      </c>
      <c r="BD479" s="47">
        <v>0</v>
      </c>
      <c r="BE479" s="47">
        <v>0</v>
      </c>
      <c r="BF479" s="47">
        <v>0</v>
      </c>
      <c r="BG479" s="47">
        <v>0</v>
      </c>
      <c r="BH479" s="47">
        <v>0</v>
      </c>
      <c r="BI479" s="47">
        <v>0</v>
      </c>
      <c r="BJ479" s="47">
        <v>0</v>
      </c>
      <c r="BK479" s="47">
        <v>0</v>
      </c>
      <c r="BL479" s="47">
        <v>0</v>
      </c>
      <c r="BM479" s="47">
        <v>0</v>
      </c>
      <c r="BN479" s="47">
        <v>0</v>
      </c>
      <c r="BO479" s="47">
        <v>0</v>
      </c>
      <c r="BP479" s="47">
        <v>0</v>
      </c>
      <c r="BQ479" s="47">
        <v>0</v>
      </c>
      <c r="BR479" s="47">
        <v>0</v>
      </c>
      <c r="BS479" s="47">
        <v>0</v>
      </c>
      <c r="BT479" s="47">
        <v>0</v>
      </c>
      <c r="BU479" s="47">
        <v>0</v>
      </c>
      <c r="BV479" s="47">
        <v>0</v>
      </c>
      <c r="BW479" s="47">
        <v>0</v>
      </c>
      <c r="BX479" s="47">
        <v>0</v>
      </c>
      <c r="BY479" s="47">
        <v>0</v>
      </c>
      <c r="BZ479" s="47">
        <v>0</v>
      </c>
      <c r="CA479" s="47">
        <v>0</v>
      </c>
      <c r="CB479" s="47">
        <v>0</v>
      </c>
      <c r="CC479" s="47">
        <v>0</v>
      </c>
      <c r="CD479" s="47">
        <v>0</v>
      </c>
      <c r="CE479" s="47">
        <v>0</v>
      </c>
      <c r="CF479" s="47">
        <v>0</v>
      </c>
      <c r="CG479" s="47">
        <v>0</v>
      </c>
      <c r="CH479" s="47">
        <v>0</v>
      </c>
      <c r="CI479" s="47">
        <v>0</v>
      </c>
      <c r="CJ479" s="47">
        <v>0</v>
      </c>
      <c r="CK479" s="47">
        <v>0</v>
      </c>
      <c r="CL479" s="47">
        <v>0</v>
      </c>
      <c r="CM479" s="47">
        <v>0</v>
      </c>
      <c r="CN479" s="47">
        <v>0</v>
      </c>
      <c r="CO479" s="47">
        <v>0</v>
      </c>
      <c r="CP479" s="47">
        <v>0</v>
      </c>
      <c r="CQ479" s="47">
        <v>0</v>
      </c>
      <c r="CR479" s="47">
        <v>0</v>
      </c>
      <c r="CS479" s="47">
        <v>0</v>
      </c>
      <c r="CT479" s="47">
        <v>0</v>
      </c>
      <c r="CU479" s="47">
        <v>0</v>
      </c>
      <c r="CV479" s="47">
        <v>0</v>
      </c>
      <c r="CW479" s="47">
        <v>0</v>
      </c>
      <c r="CX479" s="47">
        <v>0</v>
      </c>
      <c r="CY479" s="47">
        <v>0</v>
      </c>
      <c r="CZ479" s="47">
        <v>0</v>
      </c>
      <c r="DA479" s="47">
        <v>0</v>
      </c>
      <c r="DB479" s="47">
        <v>0</v>
      </c>
      <c r="DC479" s="47">
        <v>0</v>
      </c>
      <c r="DD479" s="47">
        <v>0</v>
      </c>
      <c r="DE479" s="47">
        <v>0</v>
      </c>
      <c r="DF479" s="47">
        <v>0</v>
      </c>
      <c r="DG479" s="47">
        <v>0</v>
      </c>
      <c r="DH479" s="47">
        <v>0</v>
      </c>
      <c r="DI479" s="47">
        <v>0</v>
      </c>
      <c r="DJ479" s="47">
        <v>0</v>
      </c>
      <c r="DK479" s="47">
        <v>0</v>
      </c>
      <c r="DL479" s="47">
        <v>0</v>
      </c>
      <c r="DM479" s="47">
        <v>0</v>
      </c>
      <c r="DN479" s="47">
        <v>0</v>
      </c>
      <c r="DO479" s="47">
        <v>0</v>
      </c>
      <c r="DP479" s="47">
        <v>0</v>
      </c>
      <c r="DQ479" s="47">
        <v>0</v>
      </c>
      <c r="DR479" s="47">
        <v>0</v>
      </c>
      <c r="DS479" s="47">
        <v>0</v>
      </c>
      <c r="DT479" s="47">
        <v>0</v>
      </c>
      <c r="DU479" s="47">
        <v>0</v>
      </c>
      <c r="DV479" s="47">
        <v>0</v>
      </c>
      <c r="DW479" s="47">
        <v>0</v>
      </c>
      <c r="DX479" s="47">
        <v>0</v>
      </c>
      <c r="DY479" s="47">
        <v>0</v>
      </c>
      <c r="DZ479" s="47">
        <v>0</v>
      </c>
      <c r="EA479" s="47">
        <v>0</v>
      </c>
      <c r="EB479" s="47"/>
      <c r="EC479" s="47">
        <v>0.8</v>
      </c>
      <c r="ZZ479" t="s">
        <v>2472</v>
      </c>
    </row>
    <row r="480" spans="1:702" x14ac:dyDescent="0.25">
      <c r="A480" s="47" t="s">
        <v>2266</v>
      </c>
      <c r="B480" s="47" t="s">
        <v>153</v>
      </c>
      <c r="C480" s="47" t="s">
        <v>157</v>
      </c>
      <c r="D480" s="47" t="s">
        <v>2965</v>
      </c>
      <c r="E480" s="47" t="s">
        <v>2267</v>
      </c>
      <c r="F480" s="47" t="s">
        <v>2268</v>
      </c>
      <c r="G480" s="47" t="s">
        <v>2269</v>
      </c>
      <c r="H480" s="47" t="s">
        <v>698</v>
      </c>
      <c r="I480" s="47" t="s">
        <v>738</v>
      </c>
      <c r="J480" s="47" t="str">
        <f>=IFERROR(VLOOKUP(H480&amp;I480,Table_Fonctions!A:G,6,FALSE),"")</f>
        <v>0</v>
      </c>
      <c r="K480" s="47" t="s">
        <v>2607</v>
      </c>
      <c r="L480" s="47" t="str">
        <f>=IFERROR(VLOOKUP(H480&amp;I480,Table_Fonctions!A:G,7,FALSE),K480)</f>
        <v/>
      </c>
      <c r="M480" s="47" t="str">
        <f>=IF(OR(LEFT(D480, 3)="TJ ", LEFT(D480, 4)="CPH "), "OUI", "NON")</f>
        <v/>
      </c>
      <c r="N480" s="47" t="s">
        <v>700</v>
      </c>
      <c r="O480" s="47"/>
      <c r="P480" s="47">
        <v>1</v>
      </c>
      <c r="Q480" s="47">
        <v>0</v>
      </c>
      <c r="R480" s="47">
        <v>1</v>
      </c>
      <c r="S480" s="47">
        <f>=ROUND(BQ480-(BR480+BS480),3)</f>
      </c>
      <c r="T480" s="47">
        <f>=ROUND(CK480-(CL480+CM480+CN480+CO480+CP480),3)</f>
      </c>
      <c r="U480" s="47">
        <v>0</v>
      </c>
      <c r="V480" s="47">
        <v>0</v>
      </c>
      <c r="W480" s="47">
        <v>0</v>
      </c>
      <c r="X480" s="47">
        <v>0</v>
      </c>
      <c r="Y480" s="47">
        <v>0</v>
      </c>
      <c r="Z480" s="47">
        <v>0</v>
      </c>
      <c r="AA480" s="47">
        <v>0</v>
      </c>
      <c r="AB480" s="47">
        <v>0</v>
      </c>
      <c r="AC480" s="47">
        <v>0</v>
      </c>
      <c r="AD480" s="47">
        <v>0</v>
      </c>
      <c r="AE480" s="47">
        <v>0</v>
      </c>
      <c r="AF480" s="47">
        <v>0</v>
      </c>
      <c r="AG480" s="47">
        <v>0</v>
      </c>
      <c r="AH480" s="47">
        <v>0</v>
      </c>
      <c r="AI480" s="47">
        <v>0</v>
      </c>
      <c r="AJ480" s="47">
        <v>0</v>
      </c>
      <c r="AK480" s="47">
        <v>0</v>
      </c>
      <c r="AL480" s="47">
        <v>0</v>
      </c>
      <c r="AM480" s="47">
        <v>0</v>
      </c>
      <c r="AN480" s="47">
        <v>0</v>
      </c>
      <c r="AO480" s="47">
        <v>0</v>
      </c>
      <c r="AP480" s="47">
        <v>0</v>
      </c>
      <c r="AQ480" s="47">
        <v>0</v>
      </c>
      <c r="AR480" s="47">
        <v>0</v>
      </c>
      <c r="AS480" s="47">
        <v>0</v>
      </c>
      <c r="AT480" s="47">
        <v>0</v>
      </c>
      <c r="AU480" s="47">
        <v>0</v>
      </c>
      <c r="AV480" s="47">
        <v>0</v>
      </c>
      <c r="AW480" s="47">
        <v>0</v>
      </c>
      <c r="AX480" s="47">
        <v>0</v>
      </c>
      <c r="AY480" s="47">
        <v>0</v>
      </c>
      <c r="AZ480" s="47">
        <v>0</v>
      </c>
      <c r="BA480" s="47">
        <v>0</v>
      </c>
      <c r="BB480" s="47">
        <v>0</v>
      </c>
      <c r="BC480" s="47">
        <v>0</v>
      </c>
      <c r="BD480" s="47">
        <v>0</v>
      </c>
      <c r="BE480" s="47">
        <v>0</v>
      </c>
      <c r="BF480" s="47">
        <v>0</v>
      </c>
      <c r="BG480" s="47">
        <v>0</v>
      </c>
      <c r="BH480" s="47">
        <v>0</v>
      </c>
      <c r="BI480" s="47">
        <v>0</v>
      </c>
      <c r="BJ480" s="47">
        <v>0</v>
      </c>
      <c r="BK480" s="47">
        <v>0</v>
      </c>
      <c r="BL480" s="47">
        <v>0</v>
      </c>
      <c r="BM480" s="47">
        <v>0</v>
      </c>
      <c r="BN480" s="47">
        <v>0</v>
      </c>
      <c r="BO480" s="47">
        <v>0</v>
      </c>
      <c r="BP480" s="47">
        <v>0</v>
      </c>
      <c r="BQ480" s="47">
        <v>0</v>
      </c>
      <c r="BR480" s="47">
        <v>0</v>
      </c>
      <c r="BS480" s="47">
        <v>0</v>
      </c>
      <c r="BT480" s="47">
        <v>0</v>
      </c>
      <c r="BU480" s="47">
        <v>0</v>
      </c>
      <c r="BV480" s="47">
        <v>0</v>
      </c>
      <c r="BW480" s="47">
        <v>0</v>
      </c>
      <c r="BX480" s="47">
        <v>0</v>
      </c>
      <c r="BY480" s="47">
        <v>0</v>
      </c>
      <c r="BZ480" s="47">
        <v>0</v>
      </c>
      <c r="CA480" s="47">
        <v>0</v>
      </c>
      <c r="CB480" s="47">
        <v>0</v>
      </c>
      <c r="CC480" s="47">
        <v>0</v>
      </c>
      <c r="CD480" s="47">
        <v>0</v>
      </c>
      <c r="CE480" s="47">
        <v>0</v>
      </c>
      <c r="CF480" s="47">
        <v>0</v>
      </c>
      <c r="CG480" s="47">
        <v>0</v>
      </c>
      <c r="CH480" s="47">
        <v>0</v>
      </c>
      <c r="CI480" s="47">
        <v>0</v>
      </c>
      <c r="CJ480" s="47">
        <v>0</v>
      </c>
      <c r="CK480" s="47">
        <v>0</v>
      </c>
      <c r="CL480" s="47">
        <v>0</v>
      </c>
      <c r="CM480" s="47">
        <v>0</v>
      </c>
      <c r="CN480" s="47">
        <v>0</v>
      </c>
      <c r="CO480" s="47">
        <v>0</v>
      </c>
      <c r="CP480" s="47">
        <v>0</v>
      </c>
      <c r="CQ480" s="47">
        <v>0</v>
      </c>
      <c r="CR480" s="47">
        <v>0</v>
      </c>
      <c r="CS480" s="47">
        <v>0</v>
      </c>
      <c r="CT480" s="47">
        <v>0</v>
      </c>
      <c r="CU480" s="47">
        <v>0</v>
      </c>
      <c r="CV480" s="47">
        <v>0</v>
      </c>
      <c r="CW480" s="47">
        <v>0</v>
      </c>
      <c r="CX480" s="47">
        <v>0</v>
      </c>
      <c r="CY480" s="47">
        <v>0</v>
      </c>
      <c r="CZ480" s="47">
        <v>0</v>
      </c>
      <c r="DA480" s="47">
        <v>0</v>
      </c>
      <c r="DB480" s="47">
        <v>0</v>
      </c>
      <c r="DC480" s="47">
        <v>0</v>
      </c>
      <c r="DD480" s="47">
        <v>0</v>
      </c>
      <c r="DE480" s="47">
        <v>0</v>
      </c>
      <c r="DF480" s="47">
        <v>0</v>
      </c>
      <c r="DG480" s="47">
        <v>0</v>
      </c>
      <c r="DH480" s="47">
        <v>0</v>
      </c>
      <c r="DI480" s="47">
        <v>0</v>
      </c>
      <c r="DJ480" s="47">
        <v>0</v>
      </c>
      <c r="DK480" s="47">
        <v>0</v>
      </c>
      <c r="DL480" s="47">
        <v>0</v>
      </c>
      <c r="DM480" s="47">
        <v>0</v>
      </c>
      <c r="DN480" s="47">
        <v>0</v>
      </c>
      <c r="DO480" s="47">
        <v>0</v>
      </c>
      <c r="DP480" s="47">
        <v>0</v>
      </c>
      <c r="DQ480" s="47">
        <v>0</v>
      </c>
      <c r="DR480" s="47">
        <v>0</v>
      </c>
      <c r="DS480" s="47">
        <v>0</v>
      </c>
      <c r="DT480" s="47">
        <v>0</v>
      </c>
      <c r="DU480" s="47">
        <v>0</v>
      </c>
      <c r="DV480" s="47">
        <v>0</v>
      </c>
      <c r="DW480" s="47">
        <v>0</v>
      </c>
      <c r="DX480" s="47">
        <v>0</v>
      </c>
      <c r="DY480" s="47">
        <v>0</v>
      </c>
      <c r="DZ480" s="47">
        <v>0</v>
      </c>
      <c r="EA480" s="47">
        <v>0</v>
      </c>
      <c r="EB480" s="47"/>
      <c r="EC480" s="47">
        <v>1</v>
      </c>
      <c r="ZZ480" t="s">
        <v>2472</v>
      </c>
    </row>
    <row r="481" spans="1:702" x14ac:dyDescent="0.25">
      <c r="A481" s="47" t="s">
        <v>2270</v>
      </c>
      <c r="B481" s="47" t="s">
        <v>153</v>
      </c>
      <c r="C481" s="47" t="s">
        <v>157</v>
      </c>
      <c r="D481" s="47" t="s">
        <v>2966</v>
      </c>
      <c r="E481" s="47" t="s">
        <v>2271</v>
      </c>
      <c r="F481" s="47" t="s">
        <v>2272</v>
      </c>
      <c r="G481" s="47" t="s">
        <v>2273</v>
      </c>
      <c r="H481" s="47" t="s">
        <v>698</v>
      </c>
      <c r="I481" s="47" t="s">
        <v>705</v>
      </c>
      <c r="J481" s="47" t="str">
        <f>=IFERROR(VLOOKUP(H481&amp;I481,Table_Fonctions!A:G,6,FALSE),"")</f>
        <v>0</v>
      </c>
      <c r="K481" s="47" t="s">
        <v>2607</v>
      </c>
      <c r="L481" s="47" t="str">
        <f>=IFERROR(VLOOKUP(H481&amp;I481,Table_Fonctions!A:G,7,FALSE),K481)</f>
        <v/>
      </c>
      <c r="M481" s="47" t="str">
        <f>=IF(OR(LEFT(D481, 3)="TJ ", LEFT(D481, 4)="CPH "), "OUI", "NON")</f>
        <v/>
      </c>
      <c r="N481" s="47" t="s">
        <v>2274</v>
      </c>
      <c r="O481" s="47"/>
      <c r="P481" s="47">
        <v>1</v>
      </c>
      <c r="Q481" s="47">
        <v>0</v>
      </c>
      <c r="R481" s="47">
        <v>1</v>
      </c>
      <c r="S481" s="47">
        <f>=ROUND(BQ481-(BR481+BS481),3)</f>
      </c>
      <c r="T481" s="47">
        <f>=ROUND(CK481-(CL481+CM481+CN481+CO481+CP481),3)</f>
      </c>
      <c r="U481" s="47">
        <v>0</v>
      </c>
      <c r="V481" s="47">
        <v>0</v>
      </c>
      <c r="W481" s="47">
        <v>0</v>
      </c>
      <c r="X481" s="47">
        <v>0</v>
      </c>
      <c r="Y481" s="47">
        <v>0</v>
      </c>
      <c r="Z481" s="47">
        <v>0</v>
      </c>
      <c r="AA481" s="47">
        <v>0</v>
      </c>
      <c r="AB481" s="47">
        <v>0</v>
      </c>
      <c r="AC481" s="47">
        <v>0</v>
      </c>
      <c r="AD481" s="47">
        <v>0</v>
      </c>
      <c r="AE481" s="47">
        <v>0</v>
      </c>
      <c r="AF481" s="47">
        <v>0</v>
      </c>
      <c r="AG481" s="47">
        <v>0</v>
      </c>
      <c r="AH481" s="47">
        <v>0</v>
      </c>
      <c r="AI481" s="47">
        <v>0</v>
      </c>
      <c r="AJ481" s="47">
        <v>0</v>
      </c>
      <c r="AK481" s="47">
        <v>0</v>
      </c>
      <c r="AL481" s="47">
        <v>0</v>
      </c>
      <c r="AM481" s="47">
        <v>0</v>
      </c>
      <c r="AN481" s="47">
        <v>0</v>
      </c>
      <c r="AO481" s="47">
        <v>0</v>
      </c>
      <c r="AP481" s="47">
        <v>0</v>
      </c>
      <c r="AQ481" s="47">
        <v>0</v>
      </c>
      <c r="AR481" s="47">
        <v>0</v>
      </c>
      <c r="AS481" s="47">
        <v>0</v>
      </c>
      <c r="AT481" s="47">
        <v>0</v>
      </c>
      <c r="AU481" s="47">
        <v>0</v>
      </c>
      <c r="AV481" s="47">
        <v>0</v>
      </c>
      <c r="AW481" s="47">
        <v>0</v>
      </c>
      <c r="AX481" s="47">
        <v>0</v>
      </c>
      <c r="AY481" s="47">
        <v>0</v>
      </c>
      <c r="AZ481" s="47">
        <v>0</v>
      </c>
      <c r="BA481" s="47">
        <v>0</v>
      </c>
      <c r="BB481" s="47">
        <v>0</v>
      </c>
      <c r="BC481" s="47">
        <v>0</v>
      </c>
      <c r="BD481" s="47">
        <v>0</v>
      </c>
      <c r="BE481" s="47">
        <v>0</v>
      </c>
      <c r="BF481" s="47">
        <v>0</v>
      </c>
      <c r="BG481" s="47">
        <v>0</v>
      </c>
      <c r="BH481" s="47">
        <v>0</v>
      </c>
      <c r="BI481" s="47">
        <v>0</v>
      </c>
      <c r="BJ481" s="47">
        <v>0</v>
      </c>
      <c r="BK481" s="47">
        <v>0</v>
      </c>
      <c r="BL481" s="47">
        <v>0</v>
      </c>
      <c r="BM481" s="47">
        <v>0</v>
      </c>
      <c r="BN481" s="47">
        <v>0</v>
      </c>
      <c r="BO481" s="47">
        <v>0</v>
      </c>
      <c r="BP481" s="47">
        <v>0</v>
      </c>
      <c r="BQ481" s="47">
        <v>0</v>
      </c>
      <c r="BR481" s="47">
        <v>0</v>
      </c>
      <c r="BS481" s="47">
        <v>0</v>
      </c>
      <c r="BT481" s="47">
        <v>0</v>
      </c>
      <c r="BU481" s="47">
        <v>0</v>
      </c>
      <c r="BV481" s="47">
        <v>0</v>
      </c>
      <c r="BW481" s="47">
        <v>0</v>
      </c>
      <c r="BX481" s="47">
        <v>0</v>
      </c>
      <c r="BY481" s="47">
        <v>0</v>
      </c>
      <c r="BZ481" s="47">
        <v>0</v>
      </c>
      <c r="CA481" s="47">
        <v>0</v>
      </c>
      <c r="CB481" s="47">
        <v>0</v>
      </c>
      <c r="CC481" s="47">
        <v>0</v>
      </c>
      <c r="CD481" s="47">
        <v>0</v>
      </c>
      <c r="CE481" s="47">
        <v>0</v>
      </c>
      <c r="CF481" s="47">
        <v>0</v>
      </c>
      <c r="CG481" s="47">
        <v>0</v>
      </c>
      <c r="CH481" s="47">
        <v>0</v>
      </c>
      <c r="CI481" s="47">
        <v>0</v>
      </c>
      <c r="CJ481" s="47">
        <v>0</v>
      </c>
      <c r="CK481" s="47">
        <v>0</v>
      </c>
      <c r="CL481" s="47">
        <v>0</v>
      </c>
      <c r="CM481" s="47">
        <v>0</v>
      </c>
      <c r="CN481" s="47">
        <v>0</v>
      </c>
      <c r="CO481" s="47">
        <v>0</v>
      </c>
      <c r="CP481" s="47">
        <v>0</v>
      </c>
      <c r="CQ481" s="47">
        <v>0</v>
      </c>
      <c r="CR481" s="47">
        <v>0</v>
      </c>
      <c r="CS481" s="47">
        <v>0</v>
      </c>
      <c r="CT481" s="47">
        <v>0</v>
      </c>
      <c r="CU481" s="47">
        <v>0</v>
      </c>
      <c r="CV481" s="47">
        <v>0</v>
      </c>
      <c r="CW481" s="47">
        <v>0</v>
      </c>
      <c r="CX481" s="47">
        <v>0</v>
      </c>
      <c r="CY481" s="47">
        <v>0</v>
      </c>
      <c r="CZ481" s="47">
        <v>0</v>
      </c>
      <c r="DA481" s="47">
        <v>0</v>
      </c>
      <c r="DB481" s="47">
        <v>0</v>
      </c>
      <c r="DC481" s="47">
        <v>0</v>
      </c>
      <c r="DD481" s="47">
        <v>0</v>
      </c>
      <c r="DE481" s="47">
        <v>0</v>
      </c>
      <c r="DF481" s="47">
        <v>0</v>
      </c>
      <c r="DG481" s="47">
        <v>0</v>
      </c>
      <c r="DH481" s="47">
        <v>0</v>
      </c>
      <c r="DI481" s="47">
        <v>0</v>
      </c>
      <c r="DJ481" s="47">
        <v>0</v>
      </c>
      <c r="DK481" s="47">
        <v>0</v>
      </c>
      <c r="DL481" s="47">
        <v>0</v>
      </c>
      <c r="DM481" s="47">
        <v>0</v>
      </c>
      <c r="DN481" s="47">
        <v>0</v>
      </c>
      <c r="DO481" s="47">
        <v>0</v>
      </c>
      <c r="DP481" s="47">
        <v>0</v>
      </c>
      <c r="DQ481" s="47">
        <v>0</v>
      </c>
      <c r="DR481" s="47">
        <v>0</v>
      </c>
      <c r="DS481" s="47">
        <v>0</v>
      </c>
      <c r="DT481" s="47">
        <v>0</v>
      </c>
      <c r="DU481" s="47">
        <v>0</v>
      </c>
      <c r="DV481" s="47">
        <v>0</v>
      </c>
      <c r="DW481" s="47">
        <v>0</v>
      </c>
      <c r="DX481" s="47">
        <v>0</v>
      </c>
      <c r="DY481" s="47">
        <v>0</v>
      </c>
      <c r="DZ481" s="47">
        <v>0</v>
      </c>
      <c r="EA481" s="47">
        <v>0</v>
      </c>
      <c r="EB481" s="47"/>
      <c r="EC481" s="47">
        <v>1</v>
      </c>
      <c r="ZZ481" t="s">
        <v>2472</v>
      </c>
    </row>
    <row r="482" spans="1:702" x14ac:dyDescent="0.25">
      <c r="A482" s="47" t="s">
        <v>2275</v>
      </c>
      <c r="B482" s="47" t="s">
        <v>153</v>
      </c>
      <c r="C482" s="47" t="s">
        <v>157</v>
      </c>
      <c r="D482" s="47" t="s">
        <v>2967</v>
      </c>
      <c r="E482" s="47" t="s">
        <v>2276</v>
      </c>
      <c r="F482" s="47" t="s">
        <v>2277</v>
      </c>
      <c r="G482" s="47" t="s">
        <v>2278</v>
      </c>
      <c r="H482" s="47" t="s">
        <v>698</v>
      </c>
      <c r="I482" s="47" t="s">
        <v>727</v>
      </c>
      <c r="J482" s="47" t="str">
        <f>=IFERROR(VLOOKUP(H482&amp;I482,Table_Fonctions!A:G,6,FALSE),"")</f>
        <v>0</v>
      </c>
      <c r="K482" s="47" t="s">
        <v>2607</v>
      </c>
      <c r="L482" s="47" t="str">
        <f>=IFERROR(VLOOKUP(H482&amp;I482,Table_Fonctions!A:G,7,FALSE),K482)</f>
        <v/>
      </c>
      <c r="M482" s="47" t="str">
        <f>=IF(OR(LEFT(D482, 3)="TJ ", LEFT(D482, 4)="CPH "), "OUI", "NON")</f>
        <v/>
      </c>
      <c r="N482" s="47" t="s">
        <v>175</v>
      </c>
      <c r="O482" s="47"/>
      <c r="P482" s="47">
        <v>1</v>
      </c>
      <c r="Q482" s="47">
        <v>1</v>
      </c>
      <c r="R482" s="47">
        <v>0</v>
      </c>
      <c r="S482" s="47">
        <f>=ROUND(BQ482-(BR482+BS482),3)</f>
      </c>
      <c r="T482" s="47">
        <f>=ROUND(CK482-(CL482+CM482+CN482+CO482+CP482),3)</f>
      </c>
      <c r="U482" s="47">
        <v>0</v>
      </c>
      <c r="V482" s="47">
        <v>0</v>
      </c>
      <c r="W482" s="47">
        <v>0</v>
      </c>
      <c r="X482" s="47">
        <v>0</v>
      </c>
      <c r="Y482" s="47">
        <v>0</v>
      </c>
      <c r="Z482" s="47">
        <v>0</v>
      </c>
      <c r="AA482" s="47">
        <v>0</v>
      </c>
      <c r="AB482" s="47">
        <v>0</v>
      </c>
      <c r="AC482" s="47">
        <v>0</v>
      </c>
      <c r="AD482" s="47">
        <v>0</v>
      </c>
      <c r="AE482" s="47">
        <v>0</v>
      </c>
      <c r="AF482" s="47">
        <v>0</v>
      </c>
      <c r="AG482" s="47">
        <v>0</v>
      </c>
      <c r="AH482" s="47">
        <v>0</v>
      </c>
      <c r="AI482" s="47">
        <v>0</v>
      </c>
      <c r="AJ482" s="47">
        <v>1</v>
      </c>
      <c r="AK482" s="47">
        <v>0</v>
      </c>
      <c r="AL482" s="47">
        <v>0</v>
      </c>
      <c r="AM482" s="47">
        <v>0</v>
      </c>
      <c r="AN482" s="47">
        <v>0</v>
      </c>
      <c r="AO482" s="47">
        <v>0</v>
      </c>
      <c r="AP482" s="47">
        <v>0</v>
      </c>
      <c r="AQ482" s="47">
        <v>0</v>
      </c>
      <c r="AR482" s="47">
        <v>0</v>
      </c>
      <c r="AS482" s="47">
        <v>0</v>
      </c>
      <c r="AT482" s="47">
        <v>0</v>
      </c>
      <c r="AU482" s="47">
        <v>0</v>
      </c>
      <c r="AV482" s="47">
        <v>0</v>
      </c>
      <c r="AW482" s="47">
        <v>0</v>
      </c>
      <c r="AX482" s="47">
        <v>0</v>
      </c>
      <c r="AY482" s="47">
        <v>0</v>
      </c>
      <c r="AZ482" s="47">
        <v>0</v>
      </c>
      <c r="BA482" s="47">
        <v>0</v>
      </c>
      <c r="BB482" s="47">
        <v>0</v>
      </c>
      <c r="BC482" s="47">
        <v>0</v>
      </c>
      <c r="BD482" s="47">
        <v>0</v>
      </c>
      <c r="BE482" s="47">
        <v>0</v>
      </c>
      <c r="BF482" s="47">
        <v>0</v>
      </c>
      <c r="BG482" s="47">
        <v>0</v>
      </c>
      <c r="BH482" s="47">
        <v>0</v>
      </c>
      <c r="BI482" s="47">
        <v>0</v>
      </c>
      <c r="BJ482" s="47">
        <v>0</v>
      </c>
      <c r="BK482" s="47">
        <v>0</v>
      </c>
      <c r="BL482" s="47">
        <v>0</v>
      </c>
      <c r="BM482" s="47">
        <v>0</v>
      </c>
      <c r="BN482" s="47">
        <v>0</v>
      </c>
      <c r="BO482" s="47">
        <v>0</v>
      </c>
      <c r="BP482" s="47">
        <v>0</v>
      </c>
      <c r="BQ482" s="47">
        <v>0</v>
      </c>
      <c r="BR482" s="47">
        <v>0</v>
      </c>
      <c r="BS482" s="47">
        <v>0</v>
      </c>
      <c r="BT482" s="47">
        <v>0</v>
      </c>
      <c r="BU482" s="47">
        <v>0</v>
      </c>
      <c r="BV482" s="47">
        <v>0</v>
      </c>
      <c r="BW482" s="47">
        <v>0</v>
      </c>
      <c r="BX482" s="47">
        <v>0</v>
      </c>
      <c r="BY482" s="47">
        <v>0</v>
      </c>
      <c r="BZ482" s="47">
        <v>0</v>
      </c>
      <c r="CA482" s="47">
        <v>0</v>
      </c>
      <c r="CB482" s="47">
        <v>0</v>
      </c>
      <c r="CC482" s="47">
        <v>0</v>
      </c>
      <c r="CD482" s="47">
        <v>0</v>
      </c>
      <c r="CE482" s="47">
        <v>0</v>
      </c>
      <c r="CF482" s="47">
        <v>0</v>
      </c>
      <c r="CG482" s="47">
        <v>0</v>
      </c>
      <c r="CH482" s="47">
        <v>0</v>
      </c>
      <c r="CI482" s="47">
        <v>0</v>
      </c>
      <c r="CJ482" s="47">
        <v>0</v>
      </c>
      <c r="CK482" s="47">
        <v>0</v>
      </c>
      <c r="CL482" s="47">
        <v>0</v>
      </c>
      <c r="CM482" s="47">
        <v>0</v>
      </c>
      <c r="CN482" s="47">
        <v>0</v>
      </c>
      <c r="CO482" s="47">
        <v>0</v>
      </c>
      <c r="CP482" s="47">
        <v>0</v>
      </c>
      <c r="CQ482" s="47">
        <v>0</v>
      </c>
      <c r="CR482" s="47">
        <v>0</v>
      </c>
      <c r="CS482" s="47">
        <v>0</v>
      </c>
      <c r="CT482" s="47">
        <v>0</v>
      </c>
      <c r="CU482" s="47">
        <v>0</v>
      </c>
      <c r="CV482" s="47">
        <v>0</v>
      </c>
      <c r="CW482" s="47">
        <v>0</v>
      </c>
      <c r="CX482" s="47">
        <v>0</v>
      </c>
      <c r="CY482" s="47">
        <v>0</v>
      </c>
      <c r="CZ482" s="47">
        <v>0</v>
      </c>
      <c r="DA482" s="47">
        <v>0</v>
      </c>
      <c r="DB482" s="47">
        <v>0</v>
      </c>
      <c r="DC482" s="47">
        <v>0</v>
      </c>
      <c r="DD482" s="47">
        <v>0</v>
      </c>
      <c r="DE482" s="47">
        <v>0</v>
      </c>
      <c r="DF482" s="47">
        <v>0</v>
      </c>
      <c r="DG482" s="47">
        <v>0</v>
      </c>
      <c r="DH482" s="47">
        <v>0</v>
      </c>
      <c r="DI482" s="47">
        <v>0</v>
      </c>
      <c r="DJ482" s="47">
        <v>0</v>
      </c>
      <c r="DK482" s="47">
        <v>0</v>
      </c>
      <c r="DL482" s="47">
        <v>0</v>
      </c>
      <c r="DM482" s="47">
        <v>0</v>
      </c>
      <c r="DN482" s="47">
        <v>0</v>
      </c>
      <c r="DO482" s="47">
        <v>0</v>
      </c>
      <c r="DP482" s="47">
        <v>0</v>
      </c>
      <c r="DQ482" s="47">
        <v>0</v>
      </c>
      <c r="DR482" s="47">
        <v>0</v>
      </c>
      <c r="DS482" s="47">
        <v>0</v>
      </c>
      <c r="DT482" s="47">
        <v>0</v>
      </c>
      <c r="DU482" s="47">
        <v>0</v>
      </c>
      <c r="DV482" s="47">
        <v>0</v>
      </c>
      <c r="DW482" s="47">
        <v>0</v>
      </c>
      <c r="DX482" s="47">
        <v>0</v>
      </c>
      <c r="DY482" s="47">
        <v>0</v>
      </c>
      <c r="DZ482" s="47">
        <v>0</v>
      </c>
      <c r="EA482" s="47">
        <v>0</v>
      </c>
      <c r="EB482" s="47"/>
      <c r="EC482" s="47">
        <v>1</v>
      </c>
      <c r="ZZ482" t="s">
        <v>2472</v>
      </c>
    </row>
    <row r="483" spans="1:702" x14ac:dyDescent="0.25">
      <c r="A483" s="47" t="s">
        <v>2279</v>
      </c>
      <c r="B483" s="47" t="s">
        <v>153</v>
      </c>
      <c r="C483" s="47" t="s">
        <v>157</v>
      </c>
      <c r="D483" s="47" t="s">
        <v>2968</v>
      </c>
      <c r="E483" s="47" t="s">
        <v>2280</v>
      </c>
      <c r="F483" s="47" t="s">
        <v>2281</v>
      </c>
      <c r="G483" s="47" t="s">
        <v>2282</v>
      </c>
      <c r="H483" s="47" t="s">
        <v>698</v>
      </c>
      <c r="I483" s="47" t="s">
        <v>727</v>
      </c>
      <c r="J483" s="47" t="str">
        <f>=IFERROR(VLOOKUP(H483&amp;I483,Table_Fonctions!A:G,6,FALSE),"")</f>
        <v>0</v>
      </c>
      <c r="K483" s="47" t="s">
        <v>2607</v>
      </c>
      <c r="L483" s="47" t="str">
        <f>=IFERROR(VLOOKUP(H483&amp;I483,Table_Fonctions!A:G,7,FALSE),K483)</f>
        <v/>
      </c>
      <c r="M483" s="47" t="str">
        <f>=IF(OR(LEFT(D483, 3)="TJ ", LEFT(D483, 4)="CPH "), "OUI", "NON")</f>
        <v/>
      </c>
      <c r="N483" s="47" t="s">
        <v>2283</v>
      </c>
      <c r="O483" s="47"/>
      <c r="P483" s="47">
        <v>1</v>
      </c>
      <c r="Q483" s="47">
        <v>1</v>
      </c>
      <c r="R483" s="47">
        <v>0</v>
      </c>
      <c r="S483" s="47">
        <f>=ROUND(BQ483-(BR483+BS483),3)</f>
      </c>
      <c r="T483" s="47">
        <f>=ROUND(CK483-(CL483+CM483+CN483+CO483+CP483),3)</f>
      </c>
      <c r="U483" s="47">
        <v>0</v>
      </c>
      <c r="V483" s="47">
        <v>0</v>
      </c>
      <c r="W483" s="47">
        <v>0</v>
      </c>
      <c r="X483" s="47">
        <v>0</v>
      </c>
      <c r="Y483" s="47">
        <v>0</v>
      </c>
      <c r="Z483" s="47">
        <v>0</v>
      </c>
      <c r="AA483" s="47">
        <v>0</v>
      </c>
      <c r="AB483" s="47">
        <v>0</v>
      </c>
      <c r="AC483" s="47">
        <v>0</v>
      </c>
      <c r="AD483" s="47">
        <v>0</v>
      </c>
      <c r="AE483" s="47">
        <v>0</v>
      </c>
      <c r="AF483" s="47">
        <v>0</v>
      </c>
      <c r="AG483" s="47">
        <v>0</v>
      </c>
      <c r="AH483" s="47">
        <v>0</v>
      </c>
      <c r="AI483" s="47">
        <v>0</v>
      </c>
      <c r="AJ483" s="47">
        <v>0</v>
      </c>
      <c r="AK483" s="47">
        <v>0</v>
      </c>
      <c r="AL483" s="47">
        <v>0</v>
      </c>
      <c r="AM483" s="47">
        <v>0</v>
      </c>
      <c r="AN483" s="47">
        <v>0</v>
      </c>
      <c r="AO483" s="47">
        <v>0</v>
      </c>
      <c r="AP483" s="47">
        <v>0</v>
      </c>
      <c r="AQ483" s="47">
        <v>0</v>
      </c>
      <c r="AR483" s="47">
        <v>0</v>
      </c>
      <c r="AS483" s="47">
        <v>0</v>
      </c>
      <c r="AT483" s="47">
        <v>0</v>
      </c>
      <c r="AU483" s="47">
        <v>0</v>
      </c>
      <c r="AV483" s="47">
        <v>0</v>
      </c>
      <c r="AW483" s="47">
        <v>0</v>
      </c>
      <c r="AX483" s="47">
        <v>0</v>
      </c>
      <c r="AY483" s="47">
        <v>0</v>
      </c>
      <c r="AZ483" s="47">
        <v>0</v>
      </c>
      <c r="BA483" s="47">
        <v>0</v>
      </c>
      <c r="BB483" s="47">
        <v>0</v>
      </c>
      <c r="BC483" s="47">
        <v>0</v>
      </c>
      <c r="BD483" s="47">
        <v>0</v>
      </c>
      <c r="BE483" s="47">
        <v>0</v>
      </c>
      <c r="BF483" s="47">
        <v>0</v>
      </c>
      <c r="BG483" s="47">
        <v>0</v>
      </c>
      <c r="BH483" s="47">
        <v>0</v>
      </c>
      <c r="BI483" s="47">
        <v>0</v>
      </c>
      <c r="BJ483" s="47">
        <v>0</v>
      </c>
      <c r="BK483" s="47">
        <v>0</v>
      </c>
      <c r="BL483" s="47">
        <v>0</v>
      </c>
      <c r="BM483" s="47">
        <v>0</v>
      </c>
      <c r="BN483" s="47">
        <v>0</v>
      </c>
      <c r="BO483" s="47">
        <v>0</v>
      </c>
      <c r="BP483" s="47">
        <v>0</v>
      </c>
      <c r="BQ483" s="47">
        <v>0</v>
      </c>
      <c r="BR483" s="47">
        <v>0</v>
      </c>
      <c r="BS483" s="47">
        <v>0</v>
      </c>
      <c r="BT483" s="47">
        <v>0</v>
      </c>
      <c r="BU483" s="47">
        <v>0</v>
      </c>
      <c r="BV483" s="47">
        <v>0</v>
      </c>
      <c r="BW483" s="47">
        <v>0</v>
      </c>
      <c r="BX483" s="47">
        <v>0</v>
      </c>
      <c r="BY483" s="47">
        <v>0</v>
      </c>
      <c r="BZ483" s="47">
        <v>0</v>
      </c>
      <c r="CA483" s="47">
        <v>0</v>
      </c>
      <c r="CB483" s="47">
        <v>0</v>
      </c>
      <c r="CC483" s="47">
        <v>0</v>
      </c>
      <c r="CD483" s="47">
        <v>0</v>
      </c>
      <c r="CE483" s="47">
        <v>0</v>
      </c>
      <c r="CF483" s="47">
        <v>0</v>
      </c>
      <c r="CG483" s="47">
        <v>0</v>
      </c>
      <c r="CH483" s="47">
        <v>0</v>
      </c>
      <c r="CI483" s="47">
        <v>0</v>
      </c>
      <c r="CJ483" s="47">
        <v>0</v>
      </c>
      <c r="CK483" s="47">
        <v>0</v>
      </c>
      <c r="CL483" s="47">
        <v>0</v>
      </c>
      <c r="CM483" s="47">
        <v>0</v>
      </c>
      <c r="CN483" s="47">
        <v>0</v>
      </c>
      <c r="CO483" s="47">
        <v>0</v>
      </c>
      <c r="CP483" s="47">
        <v>0</v>
      </c>
      <c r="CQ483" s="47">
        <v>0</v>
      </c>
      <c r="CR483" s="47">
        <v>0</v>
      </c>
      <c r="CS483" s="47">
        <v>0</v>
      </c>
      <c r="CT483" s="47">
        <v>0</v>
      </c>
      <c r="CU483" s="47">
        <v>0</v>
      </c>
      <c r="CV483" s="47">
        <v>1</v>
      </c>
      <c r="CW483" s="47">
        <v>0</v>
      </c>
      <c r="CX483" s="47">
        <v>0</v>
      </c>
      <c r="CY483" s="47">
        <v>0</v>
      </c>
      <c r="CZ483" s="47">
        <v>0</v>
      </c>
      <c r="DA483" s="47">
        <v>0</v>
      </c>
      <c r="DB483" s="47">
        <v>0</v>
      </c>
      <c r="DC483" s="47">
        <v>0</v>
      </c>
      <c r="DD483" s="47">
        <v>0</v>
      </c>
      <c r="DE483" s="47">
        <v>0</v>
      </c>
      <c r="DF483" s="47">
        <v>0</v>
      </c>
      <c r="DG483" s="47">
        <v>0</v>
      </c>
      <c r="DH483" s="47">
        <v>0</v>
      </c>
      <c r="DI483" s="47">
        <v>0</v>
      </c>
      <c r="DJ483" s="47">
        <v>0</v>
      </c>
      <c r="DK483" s="47">
        <v>0</v>
      </c>
      <c r="DL483" s="47">
        <v>0</v>
      </c>
      <c r="DM483" s="47">
        <v>0</v>
      </c>
      <c r="DN483" s="47">
        <v>0</v>
      </c>
      <c r="DO483" s="47">
        <v>0</v>
      </c>
      <c r="DP483" s="47">
        <v>0</v>
      </c>
      <c r="DQ483" s="47">
        <v>0</v>
      </c>
      <c r="DR483" s="47">
        <v>0</v>
      </c>
      <c r="DS483" s="47">
        <v>0</v>
      </c>
      <c r="DT483" s="47">
        <v>0</v>
      </c>
      <c r="DU483" s="47">
        <v>0</v>
      </c>
      <c r="DV483" s="47">
        <v>0</v>
      </c>
      <c r="DW483" s="47">
        <v>0</v>
      </c>
      <c r="DX483" s="47">
        <v>0</v>
      </c>
      <c r="DY483" s="47">
        <v>0</v>
      </c>
      <c r="DZ483" s="47">
        <v>0</v>
      </c>
      <c r="EA483" s="47">
        <v>0</v>
      </c>
      <c r="EB483" s="47"/>
      <c r="EC483" s="47">
        <v>1</v>
      </c>
      <c r="ZZ483" t="s">
        <v>2472</v>
      </c>
    </row>
    <row r="484" spans="1:702" x14ac:dyDescent="0.25">
      <c r="A484" s="47" t="s">
        <v>2284</v>
      </c>
      <c r="B484" s="47" t="s">
        <v>153</v>
      </c>
      <c r="C484" s="47" t="s">
        <v>157</v>
      </c>
      <c r="D484" s="47" t="s">
        <v>2969</v>
      </c>
      <c r="E484" s="47" t="s">
        <v>2285</v>
      </c>
      <c r="F484" s="47" t="s">
        <v>2286</v>
      </c>
      <c r="G484" s="47" t="s">
        <v>2287</v>
      </c>
      <c r="H484" s="47" t="s">
        <v>698</v>
      </c>
      <c r="I484" s="47" t="s">
        <v>705</v>
      </c>
      <c r="J484" s="47" t="str">
        <f>=IFERROR(VLOOKUP(H484&amp;I484,Table_Fonctions!A:G,6,FALSE),"")</f>
        <v>0</v>
      </c>
      <c r="K484" s="47" t="s">
        <v>2607</v>
      </c>
      <c r="L484" s="47" t="str">
        <f>=IFERROR(VLOOKUP(H484&amp;I484,Table_Fonctions!A:G,7,FALSE),K484)</f>
        <v/>
      </c>
      <c r="M484" s="47" t="str">
        <f>=IF(OR(LEFT(D484, 3)="TJ ", LEFT(D484, 4)="CPH "), "OUI", "NON")</f>
        <v/>
      </c>
      <c r="N484" s="47" t="s">
        <v>168</v>
      </c>
      <c r="O484" s="47"/>
      <c r="P484" s="47">
        <v>0.8</v>
      </c>
      <c r="Q484" s="47">
        <v>0</v>
      </c>
      <c r="R484" s="47">
        <v>0.8</v>
      </c>
      <c r="S484" s="47">
        <f>=ROUND(BQ484-(BR484+BS484),3)</f>
      </c>
      <c r="T484" s="47">
        <f>=ROUND(CK484-(CL484+CM484+CN484+CO484+CP484),3)</f>
      </c>
      <c r="U484" s="47">
        <v>0</v>
      </c>
      <c r="V484" s="47">
        <v>0</v>
      </c>
      <c r="W484" s="47">
        <v>0</v>
      </c>
      <c r="X484" s="47">
        <v>0</v>
      </c>
      <c r="Y484" s="47">
        <v>0</v>
      </c>
      <c r="Z484" s="47">
        <v>0</v>
      </c>
      <c r="AA484" s="47">
        <v>0</v>
      </c>
      <c r="AB484" s="47">
        <v>0</v>
      </c>
      <c r="AC484" s="47">
        <v>0</v>
      </c>
      <c r="AD484" s="47">
        <v>0</v>
      </c>
      <c r="AE484" s="47">
        <v>0</v>
      </c>
      <c r="AF484" s="47">
        <v>0</v>
      </c>
      <c r="AG484" s="47">
        <v>0</v>
      </c>
      <c r="AH484" s="47">
        <v>0</v>
      </c>
      <c r="AI484" s="47">
        <v>0</v>
      </c>
      <c r="AJ484" s="47">
        <v>0</v>
      </c>
      <c r="AK484" s="47">
        <v>0</v>
      </c>
      <c r="AL484" s="47">
        <v>0</v>
      </c>
      <c r="AM484" s="47">
        <v>0</v>
      </c>
      <c r="AN484" s="47">
        <v>0</v>
      </c>
      <c r="AO484" s="47">
        <v>0</v>
      </c>
      <c r="AP484" s="47">
        <v>0</v>
      </c>
      <c r="AQ484" s="47">
        <v>0</v>
      </c>
      <c r="AR484" s="47">
        <v>0</v>
      </c>
      <c r="AS484" s="47">
        <v>0</v>
      </c>
      <c r="AT484" s="47">
        <v>0</v>
      </c>
      <c r="AU484" s="47">
        <v>0</v>
      </c>
      <c r="AV484" s="47">
        <v>0</v>
      </c>
      <c r="AW484" s="47">
        <v>0</v>
      </c>
      <c r="AX484" s="47">
        <v>0</v>
      </c>
      <c r="AY484" s="47">
        <v>0</v>
      </c>
      <c r="AZ484" s="47">
        <v>0</v>
      </c>
      <c r="BA484" s="47">
        <v>0</v>
      </c>
      <c r="BB484" s="47">
        <v>0</v>
      </c>
      <c r="BC484" s="47">
        <v>0</v>
      </c>
      <c r="BD484" s="47">
        <v>0</v>
      </c>
      <c r="BE484" s="47">
        <v>0</v>
      </c>
      <c r="BF484" s="47">
        <v>0</v>
      </c>
      <c r="BG484" s="47">
        <v>0</v>
      </c>
      <c r="BH484" s="47">
        <v>0</v>
      </c>
      <c r="BI484" s="47">
        <v>0</v>
      </c>
      <c r="BJ484" s="47">
        <v>0</v>
      </c>
      <c r="BK484" s="47">
        <v>0</v>
      </c>
      <c r="BL484" s="47">
        <v>0</v>
      </c>
      <c r="BM484" s="47">
        <v>0</v>
      </c>
      <c r="BN484" s="47">
        <v>0</v>
      </c>
      <c r="BO484" s="47">
        <v>0</v>
      </c>
      <c r="BP484" s="47">
        <v>0</v>
      </c>
      <c r="BQ484" s="47">
        <v>0</v>
      </c>
      <c r="BR484" s="47">
        <v>0</v>
      </c>
      <c r="BS484" s="47">
        <v>0</v>
      </c>
      <c r="BT484" s="47">
        <v>0</v>
      </c>
      <c r="BU484" s="47">
        <v>0</v>
      </c>
      <c r="BV484" s="47">
        <v>0</v>
      </c>
      <c r="BW484" s="47">
        <v>0</v>
      </c>
      <c r="BX484" s="47">
        <v>0</v>
      </c>
      <c r="BY484" s="47">
        <v>0</v>
      </c>
      <c r="BZ484" s="47">
        <v>0</v>
      </c>
      <c r="CA484" s="47">
        <v>0</v>
      </c>
      <c r="CB484" s="47">
        <v>0</v>
      </c>
      <c r="CC484" s="47">
        <v>0</v>
      </c>
      <c r="CD484" s="47">
        <v>0</v>
      </c>
      <c r="CE484" s="47">
        <v>0</v>
      </c>
      <c r="CF484" s="47">
        <v>0</v>
      </c>
      <c r="CG484" s="47">
        <v>0</v>
      </c>
      <c r="CH484" s="47">
        <v>0</v>
      </c>
      <c r="CI484" s="47">
        <v>0</v>
      </c>
      <c r="CJ484" s="47">
        <v>0</v>
      </c>
      <c r="CK484" s="47">
        <v>0</v>
      </c>
      <c r="CL484" s="47">
        <v>0</v>
      </c>
      <c r="CM484" s="47">
        <v>0</v>
      </c>
      <c r="CN484" s="47">
        <v>0</v>
      </c>
      <c r="CO484" s="47">
        <v>0</v>
      </c>
      <c r="CP484" s="47">
        <v>0</v>
      </c>
      <c r="CQ484" s="47">
        <v>0</v>
      </c>
      <c r="CR484" s="47">
        <v>0</v>
      </c>
      <c r="CS484" s="47">
        <v>0</v>
      </c>
      <c r="CT484" s="47">
        <v>0</v>
      </c>
      <c r="CU484" s="47">
        <v>0</v>
      </c>
      <c r="CV484" s="47">
        <v>0</v>
      </c>
      <c r="CW484" s="47">
        <v>0</v>
      </c>
      <c r="CX484" s="47">
        <v>0</v>
      </c>
      <c r="CY484" s="47">
        <v>0</v>
      </c>
      <c r="CZ484" s="47">
        <v>0</v>
      </c>
      <c r="DA484" s="47">
        <v>0</v>
      </c>
      <c r="DB484" s="47">
        <v>0</v>
      </c>
      <c r="DC484" s="47">
        <v>0</v>
      </c>
      <c r="DD484" s="47">
        <v>0</v>
      </c>
      <c r="DE484" s="47">
        <v>0</v>
      </c>
      <c r="DF484" s="47">
        <v>0</v>
      </c>
      <c r="DG484" s="47">
        <v>0</v>
      </c>
      <c r="DH484" s="47">
        <v>0</v>
      </c>
      <c r="DI484" s="47">
        <v>0</v>
      </c>
      <c r="DJ484" s="47">
        <v>0</v>
      </c>
      <c r="DK484" s="47">
        <v>0</v>
      </c>
      <c r="DL484" s="47">
        <v>0</v>
      </c>
      <c r="DM484" s="47">
        <v>0</v>
      </c>
      <c r="DN484" s="47">
        <v>0</v>
      </c>
      <c r="DO484" s="47">
        <v>0</v>
      </c>
      <c r="DP484" s="47">
        <v>0</v>
      </c>
      <c r="DQ484" s="47">
        <v>0</v>
      </c>
      <c r="DR484" s="47">
        <v>0</v>
      </c>
      <c r="DS484" s="47">
        <v>0</v>
      </c>
      <c r="DT484" s="47">
        <v>0</v>
      </c>
      <c r="DU484" s="47">
        <v>0</v>
      </c>
      <c r="DV484" s="47">
        <v>0</v>
      </c>
      <c r="DW484" s="47">
        <v>0</v>
      </c>
      <c r="DX484" s="47">
        <v>0</v>
      </c>
      <c r="DY484" s="47">
        <v>0</v>
      </c>
      <c r="DZ484" s="47">
        <v>0</v>
      </c>
      <c r="EA484" s="47">
        <v>0</v>
      </c>
      <c r="EB484" s="47"/>
      <c r="EC484" s="47">
        <v>0.8</v>
      </c>
      <c r="ZZ484" t="s">
        <v>2472</v>
      </c>
    </row>
    <row r="485" spans="1:702" x14ac:dyDescent="0.25">
      <c r="A485" s="47" t="s">
        <v>2288</v>
      </c>
      <c r="B485" s="47" t="s">
        <v>153</v>
      </c>
      <c r="C485" s="47" t="s">
        <v>157</v>
      </c>
      <c r="D485" s="47" t="s">
        <v>2970</v>
      </c>
      <c r="E485" s="47" t="s">
        <v>2289</v>
      </c>
      <c r="F485" s="47" t="s">
        <v>2290</v>
      </c>
      <c r="G485" s="47" t="s">
        <v>2291</v>
      </c>
      <c r="H485" s="47" t="s">
        <v>698</v>
      </c>
      <c r="I485" s="47" t="s">
        <v>727</v>
      </c>
      <c r="J485" s="47" t="str">
        <f>=IFERROR(VLOOKUP(H485&amp;I485,Table_Fonctions!A:G,6,FALSE),"")</f>
        <v>0</v>
      </c>
      <c r="K485" s="47" t="s">
        <v>2607</v>
      </c>
      <c r="L485" s="47" t="str">
        <f>=IFERROR(VLOOKUP(H485&amp;I485,Table_Fonctions!A:G,7,FALSE),K485)</f>
        <v/>
      </c>
      <c r="M485" s="47" t="str">
        <f>=IF(OR(LEFT(D485, 3)="TJ ", LEFT(D485, 4)="CPH "), "OUI", "NON")</f>
        <v/>
      </c>
      <c r="N485" s="47" t="s">
        <v>2137</v>
      </c>
      <c r="O485" s="47"/>
      <c r="P485" s="47">
        <v>1</v>
      </c>
      <c r="Q485" s="47">
        <v>0</v>
      </c>
      <c r="R485" s="47">
        <v>1</v>
      </c>
      <c r="S485" s="47">
        <f>=ROUND(BQ485-(BR485+BS485),3)</f>
      </c>
      <c r="T485" s="47">
        <f>=ROUND(CK485-(CL485+CM485+CN485+CO485+CP485),3)</f>
      </c>
      <c r="U485" s="47">
        <v>0</v>
      </c>
      <c r="V485" s="47">
        <v>0</v>
      </c>
      <c r="W485" s="47">
        <v>0</v>
      </c>
      <c r="X485" s="47">
        <v>0</v>
      </c>
      <c r="Y485" s="47">
        <v>0</v>
      </c>
      <c r="Z485" s="47">
        <v>0</v>
      </c>
      <c r="AA485" s="47">
        <v>0</v>
      </c>
      <c r="AB485" s="47">
        <v>0</v>
      </c>
      <c r="AC485" s="47">
        <v>0</v>
      </c>
      <c r="AD485" s="47">
        <v>0</v>
      </c>
      <c r="AE485" s="47">
        <v>0</v>
      </c>
      <c r="AF485" s="47">
        <v>0</v>
      </c>
      <c r="AG485" s="47">
        <v>0</v>
      </c>
      <c r="AH485" s="47">
        <v>0</v>
      </c>
      <c r="AI485" s="47">
        <v>0</v>
      </c>
      <c r="AJ485" s="47">
        <v>0</v>
      </c>
      <c r="AK485" s="47">
        <v>0</v>
      </c>
      <c r="AL485" s="47">
        <v>0</v>
      </c>
      <c r="AM485" s="47">
        <v>0</v>
      </c>
      <c r="AN485" s="47">
        <v>0</v>
      </c>
      <c r="AO485" s="47">
        <v>0</v>
      </c>
      <c r="AP485" s="47">
        <v>0</v>
      </c>
      <c r="AQ485" s="47">
        <v>0</v>
      </c>
      <c r="AR485" s="47">
        <v>0</v>
      </c>
      <c r="AS485" s="47">
        <v>0</v>
      </c>
      <c r="AT485" s="47">
        <v>0</v>
      </c>
      <c r="AU485" s="47">
        <v>0</v>
      </c>
      <c r="AV485" s="47">
        <v>0</v>
      </c>
      <c r="AW485" s="47">
        <v>0</v>
      </c>
      <c r="AX485" s="47">
        <v>0</v>
      </c>
      <c r="AY485" s="47">
        <v>0</v>
      </c>
      <c r="AZ485" s="47">
        <v>0</v>
      </c>
      <c r="BA485" s="47">
        <v>0</v>
      </c>
      <c r="BB485" s="47">
        <v>0</v>
      </c>
      <c r="BC485" s="47">
        <v>0</v>
      </c>
      <c r="BD485" s="47">
        <v>0</v>
      </c>
      <c r="BE485" s="47">
        <v>0</v>
      </c>
      <c r="BF485" s="47">
        <v>0</v>
      </c>
      <c r="BG485" s="47">
        <v>0</v>
      </c>
      <c r="BH485" s="47">
        <v>0</v>
      </c>
      <c r="BI485" s="47">
        <v>0</v>
      </c>
      <c r="BJ485" s="47">
        <v>0</v>
      </c>
      <c r="BK485" s="47">
        <v>0</v>
      </c>
      <c r="BL485" s="47">
        <v>0</v>
      </c>
      <c r="BM485" s="47">
        <v>0</v>
      </c>
      <c r="BN485" s="47">
        <v>0</v>
      </c>
      <c r="BO485" s="47">
        <v>0</v>
      </c>
      <c r="BP485" s="47">
        <v>0</v>
      </c>
      <c r="BQ485" s="47">
        <v>0</v>
      </c>
      <c r="BR485" s="47">
        <v>0</v>
      </c>
      <c r="BS485" s="47">
        <v>0</v>
      </c>
      <c r="BT485" s="47">
        <v>0</v>
      </c>
      <c r="BU485" s="47">
        <v>0</v>
      </c>
      <c r="BV485" s="47">
        <v>0</v>
      </c>
      <c r="BW485" s="47">
        <v>0</v>
      </c>
      <c r="BX485" s="47">
        <v>0</v>
      </c>
      <c r="BY485" s="47">
        <v>0</v>
      </c>
      <c r="BZ485" s="47">
        <v>0</v>
      </c>
      <c r="CA485" s="47">
        <v>0</v>
      </c>
      <c r="CB485" s="47">
        <v>0</v>
      </c>
      <c r="CC485" s="47">
        <v>0</v>
      </c>
      <c r="CD485" s="47">
        <v>0</v>
      </c>
      <c r="CE485" s="47">
        <v>0</v>
      </c>
      <c r="CF485" s="47">
        <v>0</v>
      </c>
      <c r="CG485" s="47">
        <v>0</v>
      </c>
      <c r="CH485" s="47">
        <v>0</v>
      </c>
      <c r="CI485" s="47">
        <v>0</v>
      </c>
      <c r="CJ485" s="47">
        <v>0</v>
      </c>
      <c r="CK485" s="47">
        <v>0</v>
      </c>
      <c r="CL485" s="47">
        <v>0</v>
      </c>
      <c r="CM485" s="47">
        <v>0</v>
      </c>
      <c r="CN485" s="47">
        <v>0</v>
      </c>
      <c r="CO485" s="47">
        <v>0</v>
      </c>
      <c r="CP485" s="47">
        <v>0</v>
      </c>
      <c r="CQ485" s="47">
        <v>0</v>
      </c>
      <c r="CR485" s="47">
        <v>0</v>
      </c>
      <c r="CS485" s="47">
        <v>0</v>
      </c>
      <c r="CT485" s="47">
        <v>0</v>
      </c>
      <c r="CU485" s="47">
        <v>0</v>
      </c>
      <c r="CV485" s="47">
        <v>0</v>
      </c>
      <c r="CW485" s="47">
        <v>0</v>
      </c>
      <c r="CX485" s="47">
        <v>0</v>
      </c>
      <c r="CY485" s="47">
        <v>0</v>
      </c>
      <c r="CZ485" s="47">
        <v>0</v>
      </c>
      <c r="DA485" s="47">
        <v>0</v>
      </c>
      <c r="DB485" s="47">
        <v>0</v>
      </c>
      <c r="DC485" s="47">
        <v>0</v>
      </c>
      <c r="DD485" s="47">
        <v>0</v>
      </c>
      <c r="DE485" s="47">
        <v>0</v>
      </c>
      <c r="DF485" s="47">
        <v>0</v>
      </c>
      <c r="DG485" s="47">
        <v>0</v>
      </c>
      <c r="DH485" s="47">
        <v>0</v>
      </c>
      <c r="DI485" s="47">
        <v>0</v>
      </c>
      <c r="DJ485" s="47">
        <v>0</v>
      </c>
      <c r="DK485" s="47">
        <v>0</v>
      </c>
      <c r="DL485" s="47">
        <v>0</v>
      </c>
      <c r="DM485" s="47">
        <v>0</v>
      </c>
      <c r="DN485" s="47">
        <v>0</v>
      </c>
      <c r="DO485" s="47">
        <v>0</v>
      </c>
      <c r="DP485" s="47">
        <v>0</v>
      </c>
      <c r="DQ485" s="47">
        <v>0</v>
      </c>
      <c r="DR485" s="47">
        <v>0</v>
      </c>
      <c r="DS485" s="47">
        <v>0</v>
      </c>
      <c r="DT485" s="47">
        <v>0</v>
      </c>
      <c r="DU485" s="47">
        <v>0</v>
      </c>
      <c r="DV485" s="47">
        <v>0</v>
      </c>
      <c r="DW485" s="47">
        <v>0</v>
      </c>
      <c r="DX485" s="47">
        <v>0</v>
      </c>
      <c r="DY485" s="47">
        <v>0</v>
      </c>
      <c r="DZ485" s="47">
        <v>0</v>
      </c>
      <c r="EA485" s="47">
        <v>0</v>
      </c>
      <c r="EB485" s="47"/>
      <c r="EC485" s="47">
        <v>1</v>
      </c>
      <c r="ZZ485" t="s">
        <v>2472</v>
      </c>
    </row>
    <row r="486" spans="1:702" x14ac:dyDescent="0.25">
      <c r="A486" s="47" t="s">
        <v>2292</v>
      </c>
      <c r="B486" s="47" t="s">
        <v>153</v>
      </c>
      <c r="C486" s="47" t="s">
        <v>157</v>
      </c>
      <c r="D486" s="47" t="s">
        <v>2971</v>
      </c>
      <c r="E486" s="47" t="s">
        <v>2293</v>
      </c>
      <c r="F486" s="47" t="s">
        <v>2294</v>
      </c>
      <c r="G486" s="47" t="s">
        <v>2295</v>
      </c>
      <c r="H486" s="47" t="s">
        <v>698</v>
      </c>
      <c r="I486" s="47" t="s">
        <v>727</v>
      </c>
      <c r="J486" s="47" t="str">
        <f>=IFERROR(VLOOKUP(H486&amp;I486,Table_Fonctions!A:G,6,FALSE),"")</f>
        <v>0</v>
      </c>
      <c r="K486" s="47" t="s">
        <v>2607</v>
      </c>
      <c r="L486" s="47" t="str">
        <f>=IFERROR(VLOOKUP(H486&amp;I486,Table_Fonctions!A:G,7,FALSE),K486)</f>
        <v/>
      </c>
      <c r="M486" s="47" t="str">
        <f>=IF(OR(LEFT(D486, 3)="TJ ", LEFT(D486, 4)="CPH "), "OUI", "NON")</f>
        <v/>
      </c>
      <c r="N486" s="47" t="s">
        <v>1173</v>
      </c>
      <c r="O486" s="47"/>
      <c r="P486" s="47">
        <v>0.8</v>
      </c>
      <c r="Q486" s="47">
        <v>0</v>
      </c>
      <c r="R486" s="47">
        <v>0.8</v>
      </c>
      <c r="S486" s="47">
        <f>=ROUND(BQ486-(BR486+BS486),3)</f>
      </c>
      <c r="T486" s="47">
        <f>=ROUND(CK486-(CL486+CM486+CN486+CO486+CP486),3)</f>
      </c>
      <c r="U486" s="47">
        <v>0</v>
      </c>
      <c r="V486" s="47">
        <v>0</v>
      </c>
      <c r="W486" s="47">
        <v>0</v>
      </c>
      <c r="X486" s="47">
        <v>0</v>
      </c>
      <c r="Y486" s="47">
        <v>0</v>
      </c>
      <c r="Z486" s="47">
        <v>0</v>
      </c>
      <c r="AA486" s="47">
        <v>0</v>
      </c>
      <c r="AB486" s="47">
        <v>0</v>
      </c>
      <c r="AC486" s="47">
        <v>0</v>
      </c>
      <c r="AD486" s="47">
        <v>0</v>
      </c>
      <c r="AE486" s="47">
        <v>0</v>
      </c>
      <c r="AF486" s="47">
        <v>0</v>
      </c>
      <c r="AG486" s="47">
        <v>0</v>
      </c>
      <c r="AH486" s="47">
        <v>0</v>
      </c>
      <c r="AI486" s="47">
        <v>0</v>
      </c>
      <c r="AJ486" s="47">
        <v>0</v>
      </c>
      <c r="AK486" s="47">
        <v>0</v>
      </c>
      <c r="AL486" s="47">
        <v>0</v>
      </c>
      <c r="AM486" s="47">
        <v>0</v>
      </c>
      <c r="AN486" s="47">
        <v>0</v>
      </c>
      <c r="AO486" s="47">
        <v>0</v>
      </c>
      <c r="AP486" s="47">
        <v>0</v>
      </c>
      <c r="AQ486" s="47">
        <v>0</v>
      </c>
      <c r="AR486" s="47">
        <v>0</v>
      </c>
      <c r="AS486" s="47">
        <v>0</v>
      </c>
      <c r="AT486" s="47">
        <v>0</v>
      </c>
      <c r="AU486" s="47">
        <v>0</v>
      </c>
      <c r="AV486" s="47">
        <v>0</v>
      </c>
      <c r="AW486" s="47">
        <v>0</v>
      </c>
      <c r="AX486" s="47">
        <v>0</v>
      </c>
      <c r="AY486" s="47">
        <v>0</v>
      </c>
      <c r="AZ486" s="47">
        <v>0</v>
      </c>
      <c r="BA486" s="47">
        <v>0</v>
      </c>
      <c r="BB486" s="47">
        <v>0</v>
      </c>
      <c r="BC486" s="47">
        <v>0</v>
      </c>
      <c r="BD486" s="47">
        <v>0</v>
      </c>
      <c r="BE486" s="47">
        <v>0</v>
      </c>
      <c r="BF486" s="47">
        <v>0</v>
      </c>
      <c r="BG486" s="47">
        <v>0</v>
      </c>
      <c r="BH486" s="47">
        <v>0</v>
      </c>
      <c r="BI486" s="47">
        <v>0</v>
      </c>
      <c r="BJ486" s="47">
        <v>0</v>
      </c>
      <c r="BK486" s="47">
        <v>0</v>
      </c>
      <c r="BL486" s="47">
        <v>0</v>
      </c>
      <c r="BM486" s="47">
        <v>0</v>
      </c>
      <c r="BN486" s="47">
        <v>0</v>
      </c>
      <c r="BO486" s="47">
        <v>0</v>
      </c>
      <c r="BP486" s="47">
        <v>0</v>
      </c>
      <c r="BQ486" s="47">
        <v>0</v>
      </c>
      <c r="BR486" s="47">
        <v>0</v>
      </c>
      <c r="BS486" s="47">
        <v>0</v>
      </c>
      <c r="BT486" s="47">
        <v>0</v>
      </c>
      <c r="BU486" s="47">
        <v>0</v>
      </c>
      <c r="BV486" s="47">
        <v>0</v>
      </c>
      <c r="BW486" s="47">
        <v>0</v>
      </c>
      <c r="BX486" s="47">
        <v>0</v>
      </c>
      <c r="BY486" s="47">
        <v>0</v>
      </c>
      <c r="BZ486" s="47">
        <v>0</v>
      </c>
      <c r="CA486" s="47">
        <v>0</v>
      </c>
      <c r="CB486" s="47">
        <v>0</v>
      </c>
      <c r="CC486" s="47">
        <v>0</v>
      </c>
      <c r="CD486" s="47">
        <v>0</v>
      </c>
      <c r="CE486" s="47">
        <v>0</v>
      </c>
      <c r="CF486" s="47">
        <v>0</v>
      </c>
      <c r="CG486" s="47">
        <v>0</v>
      </c>
      <c r="CH486" s="47">
        <v>0</v>
      </c>
      <c r="CI486" s="47">
        <v>0</v>
      </c>
      <c r="CJ486" s="47">
        <v>0</v>
      </c>
      <c r="CK486" s="47">
        <v>0</v>
      </c>
      <c r="CL486" s="47">
        <v>0</v>
      </c>
      <c r="CM486" s="47">
        <v>0</v>
      </c>
      <c r="CN486" s="47">
        <v>0</v>
      </c>
      <c r="CO486" s="47">
        <v>0</v>
      </c>
      <c r="CP486" s="47">
        <v>0</v>
      </c>
      <c r="CQ486" s="47">
        <v>0</v>
      </c>
      <c r="CR486" s="47">
        <v>0</v>
      </c>
      <c r="CS486" s="47">
        <v>0</v>
      </c>
      <c r="CT486" s="47">
        <v>0</v>
      </c>
      <c r="CU486" s="47">
        <v>0</v>
      </c>
      <c r="CV486" s="47">
        <v>0</v>
      </c>
      <c r="CW486" s="47">
        <v>0</v>
      </c>
      <c r="CX486" s="47">
        <v>0</v>
      </c>
      <c r="CY486" s="47">
        <v>0</v>
      </c>
      <c r="CZ486" s="47">
        <v>0</v>
      </c>
      <c r="DA486" s="47">
        <v>0</v>
      </c>
      <c r="DB486" s="47">
        <v>0</v>
      </c>
      <c r="DC486" s="47">
        <v>0</v>
      </c>
      <c r="DD486" s="47">
        <v>0</v>
      </c>
      <c r="DE486" s="47">
        <v>0</v>
      </c>
      <c r="DF486" s="47">
        <v>0</v>
      </c>
      <c r="DG486" s="47">
        <v>0</v>
      </c>
      <c r="DH486" s="47">
        <v>0</v>
      </c>
      <c r="DI486" s="47">
        <v>0</v>
      </c>
      <c r="DJ486" s="47">
        <v>0</v>
      </c>
      <c r="DK486" s="47">
        <v>0</v>
      </c>
      <c r="DL486" s="47">
        <v>0</v>
      </c>
      <c r="DM486" s="47">
        <v>0</v>
      </c>
      <c r="DN486" s="47">
        <v>0</v>
      </c>
      <c r="DO486" s="47">
        <v>0</v>
      </c>
      <c r="DP486" s="47">
        <v>0</v>
      </c>
      <c r="DQ486" s="47">
        <v>0</v>
      </c>
      <c r="DR486" s="47">
        <v>0</v>
      </c>
      <c r="DS486" s="47">
        <v>0</v>
      </c>
      <c r="DT486" s="47">
        <v>0</v>
      </c>
      <c r="DU486" s="47">
        <v>0</v>
      </c>
      <c r="DV486" s="47">
        <v>0</v>
      </c>
      <c r="DW486" s="47">
        <v>0</v>
      </c>
      <c r="DX486" s="47">
        <v>0</v>
      </c>
      <c r="DY486" s="47">
        <v>0</v>
      </c>
      <c r="DZ486" s="47">
        <v>0</v>
      </c>
      <c r="EA486" s="47">
        <v>0</v>
      </c>
      <c r="EB486" s="47"/>
      <c r="EC486" s="47">
        <v>0.8</v>
      </c>
      <c r="ZZ486" t="s">
        <v>2472</v>
      </c>
    </row>
    <row r="487" spans="1:702" x14ac:dyDescent="0.25">
      <c r="A487" s="47" t="s">
        <v>2296</v>
      </c>
      <c r="B487" s="47" t="s">
        <v>153</v>
      </c>
      <c r="C487" s="47" t="s">
        <v>157</v>
      </c>
      <c r="D487" s="47" t="s">
        <v>2972</v>
      </c>
      <c r="E487" s="47" t="s">
        <v>2297</v>
      </c>
      <c r="F487" s="47" t="s">
        <v>2298</v>
      </c>
      <c r="G487" s="47" t="s">
        <v>2299</v>
      </c>
      <c r="H487" s="47" t="s">
        <v>698</v>
      </c>
      <c r="I487" s="47" t="s">
        <v>727</v>
      </c>
      <c r="J487" s="47" t="str">
        <f>=IFERROR(VLOOKUP(H487&amp;I487,Table_Fonctions!A:G,6,FALSE),"")</f>
        <v>0</v>
      </c>
      <c r="K487" s="47" t="s">
        <v>2607</v>
      </c>
      <c r="L487" s="47" t="str">
        <f>=IFERROR(VLOOKUP(H487&amp;I487,Table_Fonctions!A:G,7,FALSE),K487)</f>
        <v/>
      </c>
      <c r="M487" s="47" t="str">
        <f>=IF(OR(LEFT(D487, 3)="TJ ", LEFT(D487, 4)="CPH "), "OUI", "NON")</f>
        <v/>
      </c>
      <c r="N487" s="47" t="s">
        <v>816</v>
      </c>
      <c r="O487" s="47"/>
      <c r="P487" s="47">
        <v>0.8</v>
      </c>
      <c r="Q487" s="47">
        <v>0</v>
      </c>
      <c r="R487" s="47">
        <v>0.8</v>
      </c>
      <c r="S487" s="47">
        <f>=ROUND(BQ487-(BR487+BS487),3)</f>
      </c>
      <c r="T487" s="47">
        <f>=ROUND(CK487-(CL487+CM487+CN487+CO487+CP487),3)</f>
      </c>
      <c r="U487" s="47">
        <v>0</v>
      </c>
      <c r="V487" s="47">
        <v>0</v>
      </c>
      <c r="W487" s="47">
        <v>0</v>
      </c>
      <c r="X487" s="47">
        <v>0</v>
      </c>
      <c r="Y487" s="47">
        <v>0</v>
      </c>
      <c r="Z487" s="47">
        <v>0</v>
      </c>
      <c r="AA487" s="47">
        <v>0</v>
      </c>
      <c r="AB487" s="47">
        <v>0</v>
      </c>
      <c r="AC487" s="47">
        <v>0</v>
      </c>
      <c r="AD487" s="47">
        <v>0</v>
      </c>
      <c r="AE487" s="47">
        <v>0</v>
      </c>
      <c r="AF487" s="47">
        <v>0</v>
      </c>
      <c r="AG487" s="47">
        <v>0</v>
      </c>
      <c r="AH487" s="47">
        <v>0</v>
      </c>
      <c r="AI487" s="47">
        <v>0</v>
      </c>
      <c r="AJ487" s="47">
        <v>0</v>
      </c>
      <c r="AK487" s="47">
        <v>0</v>
      </c>
      <c r="AL487" s="47">
        <v>0</v>
      </c>
      <c r="AM487" s="47">
        <v>0</v>
      </c>
      <c r="AN487" s="47">
        <v>0</v>
      </c>
      <c r="AO487" s="47">
        <v>0</v>
      </c>
      <c r="AP487" s="47">
        <v>0</v>
      </c>
      <c r="AQ487" s="47">
        <v>0</v>
      </c>
      <c r="AR487" s="47">
        <v>0</v>
      </c>
      <c r="AS487" s="47">
        <v>0</v>
      </c>
      <c r="AT487" s="47">
        <v>0</v>
      </c>
      <c r="AU487" s="47">
        <v>0</v>
      </c>
      <c r="AV487" s="47">
        <v>0</v>
      </c>
      <c r="AW487" s="47">
        <v>0</v>
      </c>
      <c r="AX487" s="47">
        <v>0</v>
      </c>
      <c r="AY487" s="47">
        <v>0</v>
      </c>
      <c r="AZ487" s="47">
        <v>0</v>
      </c>
      <c r="BA487" s="47">
        <v>0</v>
      </c>
      <c r="BB487" s="47">
        <v>0</v>
      </c>
      <c r="BC487" s="47">
        <v>0</v>
      </c>
      <c r="BD487" s="47">
        <v>0</v>
      </c>
      <c r="BE487" s="47">
        <v>0</v>
      </c>
      <c r="BF487" s="47">
        <v>0</v>
      </c>
      <c r="BG487" s="47">
        <v>0</v>
      </c>
      <c r="BH487" s="47">
        <v>0</v>
      </c>
      <c r="BI487" s="47">
        <v>0</v>
      </c>
      <c r="BJ487" s="47">
        <v>0</v>
      </c>
      <c r="BK487" s="47">
        <v>0</v>
      </c>
      <c r="BL487" s="47">
        <v>0</v>
      </c>
      <c r="BM487" s="47">
        <v>0</v>
      </c>
      <c r="BN487" s="47">
        <v>0</v>
      </c>
      <c r="BO487" s="47">
        <v>0</v>
      </c>
      <c r="BP487" s="47">
        <v>0</v>
      </c>
      <c r="BQ487" s="47">
        <v>0</v>
      </c>
      <c r="BR487" s="47">
        <v>0</v>
      </c>
      <c r="BS487" s="47">
        <v>0</v>
      </c>
      <c r="BT487" s="47">
        <v>0</v>
      </c>
      <c r="BU487" s="47">
        <v>0</v>
      </c>
      <c r="BV487" s="47">
        <v>0</v>
      </c>
      <c r="BW487" s="47">
        <v>0</v>
      </c>
      <c r="BX487" s="47">
        <v>0</v>
      </c>
      <c r="BY487" s="47">
        <v>0</v>
      </c>
      <c r="BZ487" s="47">
        <v>0</v>
      </c>
      <c r="CA487" s="47">
        <v>0</v>
      </c>
      <c r="CB487" s="47">
        <v>0</v>
      </c>
      <c r="CC487" s="47">
        <v>0</v>
      </c>
      <c r="CD487" s="47">
        <v>0</v>
      </c>
      <c r="CE487" s="47">
        <v>0</v>
      </c>
      <c r="CF487" s="47">
        <v>0</v>
      </c>
      <c r="CG487" s="47">
        <v>0</v>
      </c>
      <c r="CH487" s="47">
        <v>0</v>
      </c>
      <c r="CI487" s="47">
        <v>0</v>
      </c>
      <c r="CJ487" s="47">
        <v>0</v>
      </c>
      <c r="CK487" s="47">
        <v>0</v>
      </c>
      <c r="CL487" s="47">
        <v>0</v>
      </c>
      <c r="CM487" s="47">
        <v>0</v>
      </c>
      <c r="CN487" s="47">
        <v>0</v>
      </c>
      <c r="CO487" s="47">
        <v>0</v>
      </c>
      <c r="CP487" s="47">
        <v>0</v>
      </c>
      <c r="CQ487" s="47">
        <v>0</v>
      </c>
      <c r="CR487" s="47">
        <v>0</v>
      </c>
      <c r="CS487" s="47">
        <v>0</v>
      </c>
      <c r="CT487" s="47">
        <v>0</v>
      </c>
      <c r="CU487" s="47">
        <v>0</v>
      </c>
      <c r="CV487" s="47">
        <v>0</v>
      </c>
      <c r="CW487" s="47">
        <v>0</v>
      </c>
      <c r="CX487" s="47">
        <v>0</v>
      </c>
      <c r="CY487" s="47">
        <v>0</v>
      </c>
      <c r="CZ487" s="47">
        <v>0</v>
      </c>
      <c r="DA487" s="47">
        <v>0</v>
      </c>
      <c r="DB487" s="47">
        <v>0</v>
      </c>
      <c r="DC487" s="47">
        <v>0</v>
      </c>
      <c r="DD487" s="47">
        <v>0</v>
      </c>
      <c r="DE487" s="47">
        <v>0</v>
      </c>
      <c r="DF487" s="47">
        <v>0</v>
      </c>
      <c r="DG487" s="47">
        <v>0</v>
      </c>
      <c r="DH487" s="47">
        <v>0</v>
      </c>
      <c r="DI487" s="47">
        <v>0</v>
      </c>
      <c r="DJ487" s="47">
        <v>0</v>
      </c>
      <c r="DK487" s="47">
        <v>0</v>
      </c>
      <c r="DL487" s="47">
        <v>0</v>
      </c>
      <c r="DM487" s="47">
        <v>0</v>
      </c>
      <c r="DN487" s="47">
        <v>0</v>
      </c>
      <c r="DO487" s="47">
        <v>0</v>
      </c>
      <c r="DP487" s="47">
        <v>0</v>
      </c>
      <c r="DQ487" s="47">
        <v>0</v>
      </c>
      <c r="DR487" s="47">
        <v>0</v>
      </c>
      <c r="DS487" s="47">
        <v>0</v>
      </c>
      <c r="DT487" s="47">
        <v>0</v>
      </c>
      <c r="DU487" s="47">
        <v>0</v>
      </c>
      <c r="DV487" s="47">
        <v>0</v>
      </c>
      <c r="DW487" s="47">
        <v>0</v>
      </c>
      <c r="DX487" s="47">
        <v>0</v>
      </c>
      <c r="DY487" s="47">
        <v>0</v>
      </c>
      <c r="DZ487" s="47">
        <v>0</v>
      </c>
      <c r="EA487" s="47">
        <v>0</v>
      </c>
      <c r="EB487" s="47"/>
      <c r="EC487" s="47">
        <v>0.8</v>
      </c>
      <c r="ZZ487" t="s">
        <v>2472</v>
      </c>
    </row>
    <row r="488" spans="1:702" x14ac:dyDescent="0.25">
      <c r="A488" s="47" t="s">
        <v>2300</v>
      </c>
      <c r="B488" s="47" t="s">
        <v>153</v>
      </c>
      <c r="C488" s="47" t="s">
        <v>157</v>
      </c>
      <c r="D488" s="47" t="s">
        <v>2973</v>
      </c>
      <c r="E488" s="47" t="s">
        <v>2301</v>
      </c>
      <c r="F488" s="47" t="s">
        <v>2302</v>
      </c>
      <c r="G488" s="47" t="s">
        <v>2303</v>
      </c>
      <c r="H488" s="47" t="s">
        <v>698</v>
      </c>
      <c r="I488" s="47" t="s">
        <v>727</v>
      </c>
      <c r="J488" s="47" t="str">
        <f>=IFERROR(VLOOKUP(H488&amp;I488,Table_Fonctions!A:G,6,FALSE),"")</f>
        <v>0</v>
      </c>
      <c r="K488" s="47" t="s">
        <v>2607</v>
      </c>
      <c r="L488" s="47" t="str">
        <f>=IFERROR(VLOOKUP(H488&amp;I488,Table_Fonctions!A:G,7,FALSE),K488)</f>
        <v/>
      </c>
      <c r="M488" s="47" t="str">
        <f>=IF(OR(LEFT(D488, 3)="TJ ", LEFT(D488, 4)="CPH "), "OUI", "NON")</f>
        <v/>
      </c>
      <c r="N488" s="47" t="s">
        <v>2304</v>
      </c>
      <c r="O488" s="47"/>
      <c r="P488" s="47">
        <v>1</v>
      </c>
      <c r="Q488" s="47">
        <v>0</v>
      </c>
      <c r="R488" s="47">
        <v>1</v>
      </c>
      <c r="S488" s="47">
        <f>=ROUND(BQ488-(BR488+BS488),3)</f>
      </c>
      <c r="T488" s="47">
        <f>=ROUND(CK488-(CL488+CM488+CN488+CO488+CP488),3)</f>
      </c>
      <c r="U488" s="47">
        <v>0</v>
      </c>
      <c r="V488" s="47">
        <v>0</v>
      </c>
      <c r="W488" s="47">
        <v>0</v>
      </c>
      <c r="X488" s="47">
        <v>0</v>
      </c>
      <c r="Y488" s="47">
        <v>0</v>
      </c>
      <c r="Z488" s="47">
        <v>0</v>
      </c>
      <c r="AA488" s="47">
        <v>0</v>
      </c>
      <c r="AB488" s="47">
        <v>0</v>
      </c>
      <c r="AC488" s="47">
        <v>0</v>
      </c>
      <c r="AD488" s="47">
        <v>0</v>
      </c>
      <c r="AE488" s="47">
        <v>0</v>
      </c>
      <c r="AF488" s="47">
        <v>0</v>
      </c>
      <c r="AG488" s="47">
        <v>0</v>
      </c>
      <c r="AH488" s="47">
        <v>0</v>
      </c>
      <c r="AI488" s="47">
        <v>0</v>
      </c>
      <c r="AJ488" s="47">
        <v>0</v>
      </c>
      <c r="AK488" s="47">
        <v>0</v>
      </c>
      <c r="AL488" s="47">
        <v>0</v>
      </c>
      <c r="AM488" s="47">
        <v>0</v>
      </c>
      <c r="AN488" s="47">
        <v>0</v>
      </c>
      <c r="AO488" s="47">
        <v>0</v>
      </c>
      <c r="AP488" s="47">
        <v>0</v>
      </c>
      <c r="AQ488" s="47">
        <v>0</v>
      </c>
      <c r="AR488" s="47">
        <v>0</v>
      </c>
      <c r="AS488" s="47">
        <v>0</v>
      </c>
      <c r="AT488" s="47">
        <v>0</v>
      </c>
      <c r="AU488" s="47">
        <v>0</v>
      </c>
      <c r="AV488" s="47">
        <v>0</v>
      </c>
      <c r="AW488" s="47">
        <v>0</v>
      </c>
      <c r="AX488" s="47">
        <v>0</v>
      </c>
      <c r="AY488" s="47">
        <v>0</v>
      </c>
      <c r="AZ488" s="47">
        <v>0</v>
      </c>
      <c r="BA488" s="47">
        <v>0</v>
      </c>
      <c r="BB488" s="47">
        <v>0</v>
      </c>
      <c r="BC488" s="47">
        <v>0</v>
      </c>
      <c r="BD488" s="47">
        <v>0</v>
      </c>
      <c r="BE488" s="47">
        <v>0</v>
      </c>
      <c r="BF488" s="47">
        <v>0</v>
      </c>
      <c r="BG488" s="47">
        <v>0</v>
      </c>
      <c r="BH488" s="47">
        <v>0</v>
      </c>
      <c r="BI488" s="47">
        <v>0</v>
      </c>
      <c r="BJ488" s="47">
        <v>0</v>
      </c>
      <c r="BK488" s="47">
        <v>0</v>
      </c>
      <c r="BL488" s="47">
        <v>0</v>
      </c>
      <c r="BM488" s="47">
        <v>0</v>
      </c>
      <c r="BN488" s="47">
        <v>0</v>
      </c>
      <c r="BO488" s="47">
        <v>0</v>
      </c>
      <c r="BP488" s="47">
        <v>0</v>
      </c>
      <c r="BQ488" s="47">
        <v>0</v>
      </c>
      <c r="BR488" s="47">
        <v>0</v>
      </c>
      <c r="BS488" s="47">
        <v>0</v>
      </c>
      <c r="BT488" s="47">
        <v>0</v>
      </c>
      <c r="BU488" s="47">
        <v>0</v>
      </c>
      <c r="BV488" s="47">
        <v>0</v>
      </c>
      <c r="BW488" s="47">
        <v>0</v>
      </c>
      <c r="BX488" s="47">
        <v>0</v>
      </c>
      <c r="BY488" s="47">
        <v>0</v>
      </c>
      <c r="BZ488" s="47">
        <v>0</v>
      </c>
      <c r="CA488" s="47">
        <v>0</v>
      </c>
      <c r="CB488" s="47">
        <v>0</v>
      </c>
      <c r="CC488" s="47">
        <v>0</v>
      </c>
      <c r="CD488" s="47">
        <v>0</v>
      </c>
      <c r="CE488" s="47">
        <v>0</v>
      </c>
      <c r="CF488" s="47">
        <v>0</v>
      </c>
      <c r="CG488" s="47">
        <v>0</v>
      </c>
      <c r="CH488" s="47">
        <v>0</v>
      </c>
      <c r="CI488" s="47">
        <v>0</v>
      </c>
      <c r="CJ488" s="47">
        <v>0</v>
      </c>
      <c r="CK488" s="47">
        <v>0</v>
      </c>
      <c r="CL488" s="47">
        <v>0</v>
      </c>
      <c r="CM488" s="47">
        <v>0</v>
      </c>
      <c r="CN488" s="47">
        <v>0</v>
      </c>
      <c r="CO488" s="47">
        <v>0</v>
      </c>
      <c r="CP488" s="47">
        <v>0</v>
      </c>
      <c r="CQ488" s="47">
        <v>0</v>
      </c>
      <c r="CR488" s="47">
        <v>0</v>
      </c>
      <c r="CS488" s="47">
        <v>0</v>
      </c>
      <c r="CT488" s="47">
        <v>0</v>
      </c>
      <c r="CU488" s="47">
        <v>0</v>
      </c>
      <c r="CV488" s="47">
        <v>0</v>
      </c>
      <c r="CW488" s="47">
        <v>0</v>
      </c>
      <c r="CX488" s="47">
        <v>0</v>
      </c>
      <c r="CY488" s="47">
        <v>0</v>
      </c>
      <c r="CZ488" s="47">
        <v>0</v>
      </c>
      <c r="DA488" s="47">
        <v>0</v>
      </c>
      <c r="DB488" s="47">
        <v>0</v>
      </c>
      <c r="DC488" s="47">
        <v>0</v>
      </c>
      <c r="DD488" s="47">
        <v>0</v>
      </c>
      <c r="DE488" s="47">
        <v>0</v>
      </c>
      <c r="DF488" s="47">
        <v>0</v>
      </c>
      <c r="DG488" s="47">
        <v>0</v>
      </c>
      <c r="DH488" s="47">
        <v>0</v>
      </c>
      <c r="DI488" s="47">
        <v>0</v>
      </c>
      <c r="DJ488" s="47">
        <v>0</v>
      </c>
      <c r="DK488" s="47">
        <v>0</v>
      </c>
      <c r="DL488" s="47">
        <v>0</v>
      </c>
      <c r="DM488" s="47">
        <v>0</v>
      </c>
      <c r="DN488" s="47">
        <v>0</v>
      </c>
      <c r="DO488" s="47">
        <v>0</v>
      </c>
      <c r="DP488" s="47">
        <v>0</v>
      </c>
      <c r="DQ488" s="47">
        <v>0</v>
      </c>
      <c r="DR488" s="47">
        <v>0</v>
      </c>
      <c r="DS488" s="47">
        <v>0</v>
      </c>
      <c r="DT488" s="47">
        <v>0</v>
      </c>
      <c r="DU488" s="47">
        <v>0</v>
      </c>
      <c r="DV488" s="47">
        <v>0</v>
      </c>
      <c r="DW488" s="47">
        <v>0</v>
      </c>
      <c r="DX488" s="47">
        <v>0</v>
      </c>
      <c r="DY488" s="47">
        <v>0</v>
      </c>
      <c r="DZ488" s="47">
        <v>0</v>
      </c>
      <c r="EA488" s="47">
        <v>0</v>
      </c>
      <c r="EB488" s="47"/>
      <c r="EC488" s="47">
        <v>1</v>
      </c>
      <c r="ZZ488" t="s">
        <v>2472</v>
      </c>
    </row>
    <row r="489" spans="1:702" x14ac:dyDescent="0.25">
      <c r="A489" s="47" t="s">
        <v>2305</v>
      </c>
      <c r="B489" s="47" t="s">
        <v>153</v>
      </c>
      <c r="C489" s="47" t="s">
        <v>157</v>
      </c>
      <c r="D489" s="47" t="s">
        <v>2974</v>
      </c>
      <c r="E489" s="47" t="s">
        <v>2306</v>
      </c>
      <c r="F489" s="47" t="s">
        <v>2307</v>
      </c>
      <c r="G489" s="47" t="s">
        <v>2308</v>
      </c>
      <c r="H489" s="47" t="s">
        <v>698</v>
      </c>
      <c r="I489" s="47" t="s">
        <v>705</v>
      </c>
      <c r="J489" s="47" t="str">
        <f>=IFERROR(VLOOKUP(H489&amp;I489,Table_Fonctions!A:G,6,FALSE),"")</f>
        <v>0</v>
      </c>
      <c r="K489" s="47" t="s">
        <v>2607</v>
      </c>
      <c r="L489" s="47" t="str">
        <f>=IFERROR(VLOOKUP(H489&amp;I489,Table_Fonctions!A:G,7,FALSE),K489)</f>
        <v/>
      </c>
      <c r="M489" s="47" t="str">
        <f>=IF(OR(LEFT(D489, 3)="TJ ", LEFT(D489, 4)="CPH "), "OUI", "NON")</f>
        <v/>
      </c>
      <c r="N489" s="47" t="s">
        <v>722</v>
      </c>
      <c r="O489" s="47"/>
      <c r="P489" s="47">
        <v>1</v>
      </c>
      <c r="Q489" s="47">
        <v>0</v>
      </c>
      <c r="R489" s="47">
        <v>1</v>
      </c>
      <c r="S489" s="47">
        <f>=ROUND(BQ489-(BR489+BS489),3)</f>
      </c>
      <c r="T489" s="47">
        <f>=ROUND(CK489-(CL489+CM489+CN489+CO489+CP489),3)</f>
      </c>
      <c r="U489" s="47">
        <v>0</v>
      </c>
      <c r="V489" s="47">
        <v>0</v>
      </c>
      <c r="W489" s="47">
        <v>0</v>
      </c>
      <c r="X489" s="47">
        <v>0</v>
      </c>
      <c r="Y489" s="47">
        <v>0</v>
      </c>
      <c r="Z489" s="47">
        <v>0</v>
      </c>
      <c r="AA489" s="47">
        <v>0</v>
      </c>
      <c r="AB489" s="47">
        <v>0</v>
      </c>
      <c r="AC489" s="47">
        <v>0</v>
      </c>
      <c r="AD489" s="47">
        <v>0</v>
      </c>
      <c r="AE489" s="47">
        <v>0</v>
      </c>
      <c r="AF489" s="47">
        <v>0</v>
      </c>
      <c r="AG489" s="47">
        <v>0</v>
      </c>
      <c r="AH489" s="47">
        <v>0</v>
      </c>
      <c r="AI489" s="47">
        <v>0</v>
      </c>
      <c r="AJ489" s="47">
        <v>0</v>
      </c>
      <c r="AK489" s="47">
        <v>0</v>
      </c>
      <c r="AL489" s="47">
        <v>0</v>
      </c>
      <c r="AM489" s="47">
        <v>0</v>
      </c>
      <c r="AN489" s="47">
        <v>0</v>
      </c>
      <c r="AO489" s="47">
        <v>0</v>
      </c>
      <c r="AP489" s="47">
        <v>0</v>
      </c>
      <c r="AQ489" s="47">
        <v>0</v>
      </c>
      <c r="AR489" s="47">
        <v>0</v>
      </c>
      <c r="AS489" s="47">
        <v>0</v>
      </c>
      <c r="AT489" s="47">
        <v>0</v>
      </c>
      <c r="AU489" s="47">
        <v>0</v>
      </c>
      <c r="AV489" s="47">
        <v>0</v>
      </c>
      <c r="AW489" s="47">
        <v>0</v>
      </c>
      <c r="AX489" s="47">
        <v>0</v>
      </c>
      <c r="AY489" s="47">
        <v>0</v>
      </c>
      <c r="AZ489" s="47">
        <v>0</v>
      </c>
      <c r="BA489" s="47">
        <v>0</v>
      </c>
      <c r="BB489" s="47">
        <v>0</v>
      </c>
      <c r="BC489" s="47">
        <v>0</v>
      </c>
      <c r="BD489" s="47">
        <v>0</v>
      </c>
      <c r="BE489" s="47">
        <v>0</v>
      </c>
      <c r="BF489" s="47">
        <v>0</v>
      </c>
      <c r="BG489" s="47">
        <v>0</v>
      </c>
      <c r="BH489" s="47">
        <v>0</v>
      </c>
      <c r="BI489" s="47">
        <v>0</v>
      </c>
      <c r="BJ489" s="47">
        <v>0</v>
      </c>
      <c r="BK489" s="47">
        <v>0</v>
      </c>
      <c r="BL489" s="47">
        <v>0</v>
      </c>
      <c r="BM489" s="47">
        <v>0</v>
      </c>
      <c r="BN489" s="47">
        <v>0</v>
      </c>
      <c r="BO489" s="47">
        <v>0</v>
      </c>
      <c r="BP489" s="47">
        <v>0</v>
      </c>
      <c r="BQ489" s="47">
        <v>0</v>
      </c>
      <c r="BR489" s="47">
        <v>0</v>
      </c>
      <c r="BS489" s="47">
        <v>0</v>
      </c>
      <c r="BT489" s="47">
        <v>0</v>
      </c>
      <c r="BU489" s="47">
        <v>0</v>
      </c>
      <c r="BV489" s="47">
        <v>0</v>
      </c>
      <c r="BW489" s="47">
        <v>0</v>
      </c>
      <c r="BX489" s="47">
        <v>0</v>
      </c>
      <c r="BY489" s="47">
        <v>0</v>
      </c>
      <c r="BZ489" s="47">
        <v>0</v>
      </c>
      <c r="CA489" s="47">
        <v>0</v>
      </c>
      <c r="CB489" s="47">
        <v>0</v>
      </c>
      <c r="CC489" s="47">
        <v>0</v>
      </c>
      <c r="CD489" s="47">
        <v>0</v>
      </c>
      <c r="CE489" s="47">
        <v>0</v>
      </c>
      <c r="CF489" s="47">
        <v>0</v>
      </c>
      <c r="CG489" s="47">
        <v>0</v>
      </c>
      <c r="CH489" s="47">
        <v>0</v>
      </c>
      <c r="CI489" s="47">
        <v>0</v>
      </c>
      <c r="CJ489" s="47">
        <v>0</v>
      </c>
      <c r="CK489" s="47">
        <v>0</v>
      </c>
      <c r="CL489" s="47">
        <v>0</v>
      </c>
      <c r="CM489" s="47">
        <v>0</v>
      </c>
      <c r="CN489" s="47">
        <v>0</v>
      </c>
      <c r="CO489" s="47">
        <v>0</v>
      </c>
      <c r="CP489" s="47">
        <v>0</v>
      </c>
      <c r="CQ489" s="47">
        <v>0</v>
      </c>
      <c r="CR489" s="47">
        <v>0</v>
      </c>
      <c r="CS489" s="47">
        <v>0</v>
      </c>
      <c r="CT489" s="47">
        <v>0</v>
      </c>
      <c r="CU489" s="47">
        <v>0</v>
      </c>
      <c r="CV489" s="47">
        <v>0</v>
      </c>
      <c r="CW489" s="47">
        <v>0</v>
      </c>
      <c r="CX489" s="47">
        <v>0</v>
      </c>
      <c r="CY489" s="47">
        <v>0</v>
      </c>
      <c r="CZ489" s="47">
        <v>0</v>
      </c>
      <c r="DA489" s="47">
        <v>0</v>
      </c>
      <c r="DB489" s="47">
        <v>0</v>
      </c>
      <c r="DC489" s="47">
        <v>0</v>
      </c>
      <c r="DD489" s="47">
        <v>0</v>
      </c>
      <c r="DE489" s="47">
        <v>0</v>
      </c>
      <c r="DF489" s="47">
        <v>0</v>
      </c>
      <c r="DG489" s="47">
        <v>0</v>
      </c>
      <c r="DH489" s="47">
        <v>0</v>
      </c>
      <c r="DI489" s="47">
        <v>0</v>
      </c>
      <c r="DJ489" s="47">
        <v>0</v>
      </c>
      <c r="DK489" s="47">
        <v>0</v>
      </c>
      <c r="DL489" s="47">
        <v>0</v>
      </c>
      <c r="DM489" s="47">
        <v>0</v>
      </c>
      <c r="DN489" s="47">
        <v>0</v>
      </c>
      <c r="DO489" s="47">
        <v>0</v>
      </c>
      <c r="DP489" s="47">
        <v>0</v>
      </c>
      <c r="DQ489" s="47">
        <v>0</v>
      </c>
      <c r="DR489" s="47">
        <v>0</v>
      </c>
      <c r="DS489" s="47">
        <v>0</v>
      </c>
      <c r="DT489" s="47">
        <v>0</v>
      </c>
      <c r="DU489" s="47">
        <v>0</v>
      </c>
      <c r="DV489" s="47">
        <v>0</v>
      </c>
      <c r="DW489" s="47">
        <v>0</v>
      </c>
      <c r="DX489" s="47">
        <v>0</v>
      </c>
      <c r="DY489" s="47">
        <v>0</v>
      </c>
      <c r="DZ489" s="47">
        <v>0</v>
      </c>
      <c r="EA489" s="47">
        <v>0</v>
      </c>
      <c r="EB489" s="47"/>
      <c r="EC489" s="47">
        <v>1</v>
      </c>
      <c r="ZZ489" t="s">
        <v>2472</v>
      </c>
    </row>
    <row r="490" spans="1:702" x14ac:dyDescent="0.25">
      <c r="A490" s="47" t="s">
        <v>2309</v>
      </c>
      <c r="B490" s="47" t="s">
        <v>153</v>
      </c>
      <c r="C490" s="47" t="s">
        <v>157</v>
      </c>
      <c r="D490" s="47" t="s">
        <v>2975</v>
      </c>
      <c r="E490" s="47" t="s">
        <v>2310</v>
      </c>
      <c r="F490" s="47" t="s">
        <v>2311</v>
      </c>
      <c r="G490" s="47" t="s">
        <v>2312</v>
      </c>
      <c r="H490" s="47" t="s">
        <v>698</v>
      </c>
      <c r="I490" s="47" t="s">
        <v>705</v>
      </c>
      <c r="J490" s="47" t="str">
        <f>=IFERROR(VLOOKUP(H490&amp;I490,Table_Fonctions!A:G,6,FALSE),"")</f>
        <v>0</v>
      </c>
      <c r="K490" s="47" t="s">
        <v>2607</v>
      </c>
      <c r="L490" s="47" t="str">
        <f>=IFERROR(VLOOKUP(H490&amp;I490,Table_Fonctions!A:G,7,FALSE),K490)</f>
        <v/>
      </c>
      <c r="M490" s="47" t="str">
        <f>=IF(OR(LEFT(D490, 3)="TJ ", LEFT(D490, 4)="CPH "), "OUI", "NON")</f>
        <v/>
      </c>
      <c r="N490" s="47" t="s">
        <v>2313</v>
      </c>
      <c r="O490" s="47"/>
      <c r="P490" s="47">
        <v>1</v>
      </c>
      <c r="Q490" s="47">
        <v>0</v>
      </c>
      <c r="R490" s="47">
        <v>1</v>
      </c>
      <c r="S490" s="47">
        <f>=ROUND(BQ490-(BR490+BS490),3)</f>
      </c>
      <c r="T490" s="47">
        <f>=ROUND(CK490-(CL490+CM490+CN490+CO490+CP490),3)</f>
      </c>
      <c r="U490" s="47">
        <v>0</v>
      </c>
      <c r="V490" s="47">
        <v>0</v>
      </c>
      <c r="W490" s="47">
        <v>0</v>
      </c>
      <c r="X490" s="47">
        <v>0</v>
      </c>
      <c r="Y490" s="47">
        <v>0</v>
      </c>
      <c r="Z490" s="47">
        <v>0</v>
      </c>
      <c r="AA490" s="47">
        <v>0</v>
      </c>
      <c r="AB490" s="47">
        <v>0</v>
      </c>
      <c r="AC490" s="47">
        <v>0</v>
      </c>
      <c r="AD490" s="47">
        <v>0</v>
      </c>
      <c r="AE490" s="47">
        <v>0</v>
      </c>
      <c r="AF490" s="47">
        <v>0</v>
      </c>
      <c r="AG490" s="47">
        <v>0</v>
      </c>
      <c r="AH490" s="47">
        <v>0</v>
      </c>
      <c r="AI490" s="47">
        <v>0</v>
      </c>
      <c r="AJ490" s="47">
        <v>0</v>
      </c>
      <c r="AK490" s="47">
        <v>0</v>
      </c>
      <c r="AL490" s="47">
        <v>0</v>
      </c>
      <c r="AM490" s="47">
        <v>0</v>
      </c>
      <c r="AN490" s="47">
        <v>0</v>
      </c>
      <c r="AO490" s="47">
        <v>0</v>
      </c>
      <c r="AP490" s="47">
        <v>0</v>
      </c>
      <c r="AQ490" s="47">
        <v>0</v>
      </c>
      <c r="AR490" s="47">
        <v>0</v>
      </c>
      <c r="AS490" s="47">
        <v>0</v>
      </c>
      <c r="AT490" s="47">
        <v>0</v>
      </c>
      <c r="AU490" s="47">
        <v>0</v>
      </c>
      <c r="AV490" s="47">
        <v>0</v>
      </c>
      <c r="AW490" s="47">
        <v>0</v>
      </c>
      <c r="AX490" s="47">
        <v>0</v>
      </c>
      <c r="AY490" s="47">
        <v>0</v>
      </c>
      <c r="AZ490" s="47">
        <v>0</v>
      </c>
      <c r="BA490" s="47">
        <v>0</v>
      </c>
      <c r="BB490" s="47">
        <v>0</v>
      </c>
      <c r="BC490" s="47">
        <v>0</v>
      </c>
      <c r="BD490" s="47">
        <v>0</v>
      </c>
      <c r="BE490" s="47">
        <v>0</v>
      </c>
      <c r="BF490" s="47">
        <v>0</v>
      </c>
      <c r="BG490" s="47">
        <v>0</v>
      </c>
      <c r="BH490" s="47">
        <v>0</v>
      </c>
      <c r="BI490" s="47">
        <v>0</v>
      </c>
      <c r="BJ490" s="47">
        <v>0</v>
      </c>
      <c r="BK490" s="47">
        <v>0</v>
      </c>
      <c r="BL490" s="47">
        <v>0</v>
      </c>
      <c r="BM490" s="47">
        <v>0</v>
      </c>
      <c r="BN490" s="47">
        <v>0</v>
      </c>
      <c r="BO490" s="47">
        <v>0</v>
      </c>
      <c r="BP490" s="47">
        <v>0</v>
      </c>
      <c r="BQ490" s="47">
        <v>0</v>
      </c>
      <c r="BR490" s="47">
        <v>0</v>
      </c>
      <c r="BS490" s="47">
        <v>0</v>
      </c>
      <c r="BT490" s="47">
        <v>0</v>
      </c>
      <c r="BU490" s="47">
        <v>0</v>
      </c>
      <c r="BV490" s="47">
        <v>0</v>
      </c>
      <c r="BW490" s="47">
        <v>0</v>
      </c>
      <c r="BX490" s="47">
        <v>0</v>
      </c>
      <c r="BY490" s="47">
        <v>0</v>
      </c>
      <c r="BZ490" s="47">
        <v>0</v>
      </c>
      <c r="CA490" s="47">
        <v>0</v>
      </c>
      <c r="CB490" s="47">
        <v>0</v>
      </c>
      <c r="CC490" s="47">
        <v>0</v>
      </c>
      <c r="CD490" s="47">
        <v>0</v>
      </c>
      <c r="CE490" s="47">
        <v>0</v>
      </c>
      <c r="CF490" s="47">
        <v>0</v>
      </c>
      <c r="CG490" s="47">
        <v>0</v>
      </c>
      <c r="CH490" s="47">
        <v>0</v>
      </c>
      <c r="CI490" s="47">
        <v>0</v>
      </c>
      <c r="CJ490" s="47">
        <v>0</v>
      </c>
      <c r="CK490" s="47">
        <v>0</v>
      </c>
      <c r="CL490" s="47">
        <v>0</v>
      </c>
      <c r="CM490" s="47">
        <v>0</v>
      </c>
      <c r="CN490" s="47">
        <v>0</v>
      </c>
      <c r="CO490" s="47">
        <v>0</v>
      </c>
      <c r="CP490" s="47">
        <v>0</v>
      </c>
      <c r="CQ490" s="47">
        <v>0</v>
      </c>
      <c r="CR490" s="47">
        <v>0</v>
      </c>
      <c r="CS490" s="47">
        <v>0</v>
      </c>
      <c r="CT490" s="47">
        <v>0</v>
      </c>
      <c r="CU490" s="47">
        <v>0</v>
      </c>
      <c r="CV490" s="47">
        <v>0</v>
      </c>
      <c r="CW490" s="47">
        <v>0</v>
      </c>
      <c r="CX490" s="47">
        <v>0</v>
      </c>
      <c r="CY490" s="47">
        <v>0</v>
      </c>
      <c r="CZ490" s="47">
        <v>0</v>
      </c>
      <c r="DA490" s="47">
        <v>0</v>
      </c>
      <c r="DB490" s="47">
        <v>0</v>
      </c>
      <c r="DC490" s="47">
        <v>0</v>
      </c>
      <c r="DD490" s="47">
        <v>0</v>
      </c>
      <c r="DE490" s="47">
        <v>0</v>
      </c>
      <c r="DF490" s="47">
        <v>0</v>
      </c>
      <c r="DG490" s="47">
        <v>0</v>
      </c>
      <c r="DH490" s="47">
        <v>0</v>
      </c>
      <c r="DI490" s="47">
        <v>0</v>
      </c>
      <c r="DJ490" s="47">
        <v>0</v>
      </c>
      <c r="DK490" s="47">
        <v>0</v>
      </c>
      <c r="DL490" s="47">
        <v>0</v>
      </c>
      <c r="DM490" s="47">
        <v>0</v>
      </c>
      <c r="DN490" s="47">
        <v>0</v>
      </c>
      <c r="DO490" s="47">
        <v>0</v>
      </c>
      <c r="DP490" s="47">
        <v>0</v>
      </c>
      <c r="DQ490" s="47">
        <v>0</v>
      </c>
      <c r="DR490" s="47">
        <v>0</v>
      </c>
      <c r="DS490" s="47">
        <v>0</v>
      </c>
      <c r="DT490" s="47">
        <v>0</v>
      </c>
      <c r="DU490" s="47">
        <v>0</v>
      </c>
      <c r="DV490" s="47">
        <v>0</v>
      </c>
      <c r="DW490" s="47">
        <v>0</v>
      </c>
      <c r="DX490" s="47">
        <v>0</v>
      </c>
      <c r="DY490" s="47">
        <v>0</v>
      </c>
      <c r="DZ490" s="47">
        <v>0</v>
      </c>
      <c r="EA490" s="47">
        <v>0</v>
      </c>
      <c r="EB490" s="47"/>
      <c r="EC490" s="47">
        <v>1</v>
      </c>
      <c r="ZZ490" t="s">
        <v>2472</v>
      </c>
    </row>
    <row r="491" spans="1:702" x14ac:dyDescent="0.25">
      <c r="A491" s="47" t="s">
        <v>2314</v>
      </c>
      <c r="B491" s="47" t="s">
        <v>153</v>
      </c>
      <c r="C491" s="47" t="s">
        <v>157</v>
      </c>
      <c r="D491" s="47" t="s">
        <v>2976</v>
      </c>
      <c r="E491" s="47" t="s">
        <v>2315</v>
      </c>
      <c r="F491" s="47" t="s">
        <v>2316</v>
      </c>
      <c r="G491" s="47" t="s">
        <v>2317</v>
      </c>
      <c r="H491" s="47" t="s">
        <v>698</v>
      </c>
      <c r="I491" s="47" t="s">
        <v>727</v>
      </c>
      <c r="J491" s="47" t="str">
        <f>=IFERROR(VLOOKUP(H491&amp;I491,Table_Fonctions!A:G,6,FALSE),"")</f>
        <v>0</v>
      </c>
      <c r="K491" s="47" t="s">
        <v>2607</v>
      </c>
      <c r="L491" s="47" t="str">
        <f>=IFERROR(VLOOKUP(H491&amp;I491,Table_Fonctions!A:G,7,FALSE),K491)</f>
        <v/>
      </c>
      <c r="M491" s="47" t="str">
        <f>=IF(OR(LEFT(D491, 3)="TJ ", LEFT(D491, 4)="CPH "), "OUI", "NON")</f>
        <v/>
      </c>
      <c r="N491" s="47" t="s">
        <v>739</v>
      </c>
      <c r="O491" s="47"/>
      <c r="P491" s="47">
        <v>1</v>
      </c>
      <c r="Q491" s="47">
        <v>0</v>
      </c>
      <c r="R491" s="47">
        <v>1</v>
      </c>
      <c r="S491" s="47">
        <f>=ROUND(BQ491-(BR491+BS491),3)</f>
      </c>
      <c r="T491" s="47">
        <f>=ROUND(CK491-(CL491+CM491+CN491+CO491+CP491),3)</f>
      </c>
      <c r="U491" s="47">
        <v>0</v>
      </c>
      <c r="V491" s="47">
        <v>0</v>
      </c>
      <c r="W491" s="47">
        <v>0</v>
      </c>
      <c r="X491" s="47">
        <v>0</v>
      </c>
      <c r="Y491" s="47">
        <v>0</v>
      </c>
      <c r="Z491" s="47">
        <v>0</v>
      </c>
      <c r="AA491" s="47">
        <v>0</v>
      </c>
      <c r="AB491" s="47">
        <v>0</v>
      </c>
      <c r="AC491" s="47">
        <v>0</v>
      </c>
      <c r="AD491" s="47">
        <v>0</v>
      </c>
      <c r="AE491" s="47">
        <v>0</v>
      </c>
      <c r="AF491" s="47">
        <v>0</v>
      </c>
      <c r="AG491" s="47">
        <v>0</v>
      </c>
      <c r="AH491" s="47">
        <v>0</v>
      </c>
      <c r="AI491" s="47">
        <v>0</v>
      </c>
      <c r="AJ491" s="47">
        <v>0</v>
      </c>
      <c r="AK491" s="47">
        <v>0</v>
      </c>
      <c r="AL491" s="47">
        <v>0</v>
      </c>
      <c r="AM491" s="47">
        <v>0</v>
      </c>
      <c r="AN491" s="47">
        <v>0</v>
      </c>
      <c r="AO491" s="47">
        <v>0</v>
      </c>
      <c r="AP491" s="47">
        <v>0</v>
      </c>
      <c r="AQ491" s="47">
        <v>0</v>
      </c>
      <c r="AR491" s="47">
        <v>0</v>
      </c>
      <c r="AS491" s="47">
        <v>0</v>
      </c>
      <c r="AT491" s="47">
        <v>0</v>
      </c>
      <c r="AU491" s="47">
        <v>0</v>
      </c>
      <c r="AV491" s="47">
        <v>0</v>
      </c>
      <c r="AW491" s="47">
        <v>0</v>
      </c>
      <c r="AX491" s="47">
        <v>0</v>
      </c>
      <c r="AY491" s="47">
        <v>0</v>
      </c>
      <c r="AZ491" s="47">
        <v>0</v>
      </c>
      <c r="BA491" s="47">
        <v>0</v>
      </c>
      <c r="BB491" s="47">
        <v>0</v>
      </c>
      <c r="BC491" s="47">
        <v>0</v>
      </c>
      <c r="BD491" s="47">
        <v>0</v>
      </c>
      <c r="BE491" s="47">
        <v>0</v>
      </c>
      <c r="BF491" s="47">
        <v>0</v>
      </c>
      <c r="BG491" s="47">
        <v>0</v>
      </c>
      <c r="BH491" s="47">
        <v>0</v>
      </c>
      <c r="BI491" s="47">
        <v>0</v>
      </c>
      <c r="BJ491" s="47">
        <v>0</v>
      </c>
      <c r="BK491" s="47">
        <v>0</v>
      </c>
      <c r="BL491" s="47">
        <v>0</v>
      </c>
      <c r="BM491" s="47">
        <v>0</v>
      </c>
      <c r="BN491" s="47">
        <v>0</v>
      </c>
      <c r="BO491" s="47">
        <v>0</v>
      </c>
      <c r="BP491" s="47">
        <v>0</v>
      </c>
      <c r="BQ491" s="47">
        <v>0</v>
      </c>
      <c r="BR491" s="47">
        <v>0</v>
      </c>
      <c r="BS491" s="47">
        <v>0</v>
      </c>
      <c r="BT491" s="47">
        <v>0</v>
      </c>
      <c r="BU491" s="47">
        <v>0</v>
      </c>
      <c r="BV491" s="47">
        <v>0</v>
      </c>
      <c r="BW491" s="47">
        <v>0</v>
      </c>
      <c r="BX491" s="47">
        <v>0</v>
      </c>
      <c r="BY491" s="47">
        <v>0</v>
      </c>
      <c r="BZ491" s="47">
        <v>0</v>
      </c>
      <c r="CA491" s="47">
        <v>0</v>
      </c>
      <c r="CB491" s="47">
        <v>0</v>
      </c>
      <c r="CC491" s="47">
        <v>0</v>
      </c>
      <c r="CD491" s="47">
        <v>0</v>
      </c>
      <c r="CE491" s="47">
        <v>0</v>
      </c>
      <c r="CF491" s="47">
        <v>0</v>
      </c>
      <c r="CG491" s="47">
        <v>0</v>
      </c>
      <c r="CH491" s="47">
        <v>0</v>
      </c>
      <c r="CI491" s="47">
        <v>0</v>
      </c>
      <c r="CJ491" s="47">
        <v>0</v>
      </c>
      <c r="CK491" s="47">
        <v>0</v>
      </c>
      <c r="CL491" s="47">
        <v>0</v>
      </c>
      <c r="CM491" s="47">
        <v>0</v>
      </c>
      <c r="CN491" s="47">
        <v>0</v>
      </c>
      <c r="CO491" s="47">
        <v>0</v>
      </c>
      <c r="CP491" s="47">
        <v>0</v>
      </c>
      <c r="CQ491" s="47">
        <v>0</v>
      </c>
      <c r="CR491" s="47">
        <v>0</v>
      </c>
      <c r="CS491" s="47">
        <v>0</v>
      </c>
      <c r="CT491" s="47">
        <v>0</v>
      </c>
      <c r="CU491" s="47">
        <v>0</v>
      </c>
      <c r="CV491" s="47">
        <v>0</v>
      </c>
      <c r="CW491" s="47">
        <v>0</v>
      </c>
      <c r="CX491" s="47">
        <v>0</v>
      </c>
      <c r="CY491" s="47">
        <v>0</v>
      </c>
      <c r="CZ491" s="47">
        <v>0</v>
      </c>
      <c r="DA491" s="47">
        <v>0</v>
      </c>
      <c r="DB491" s="47">
        <v>0</v>
      </c>
      <c r="DC491" s="47">
        <v>0</v>
      </c>
      <c r="DD491" s="47">
        <v>0</v>
      </c>
      <c r="DE491" s="47">
        <v>0</v>
      </c>
      <c r="DF491" s="47">
        <v>0</v>
      </c>
      <c r="DG491" s="47">
        <v>0</v>
      </c>
      <c r="DH491" s="47">
        <v>0</v>
      </c>
      <c r="DI491" s="47">
        <v>0</v>
      </c>
      <c r="DJ491" s="47">
        <v>0</v>
      </c>
      <c r="DK491" s="47">
        <v>0</v>
      </c>
      <c r="DL491" s="47">
        <v>0</v>
      </c>
      <c r="DM491" s="47">
        <v>0</v>
      </c>
      <c r="DN491" s="47">
        <v>0</v>
      </c>
      <c r="DO491" s="47">
        <v>0</v>
      </c>
      <c r="DP491" s="47">
        <v>0</v>
      </c>
      <c r="DQ491" s="47">
        <v>0</v>
      </c>
      <c r="DR491" s="47">
        <v>0</v>
      </c>
      <c r="DS491" s="47">
        <v>0</v>
      </c>
      <c r="DT491" s="47">
        <v>0</v>
      </c>
      <c r="DU491" s="47">
        <v>0</v>
      </c>
      <c r="DV491" s="47">
        <v>0</v>
      </c>
      <c r="DW491" s="47">
        <v>0</v>
      </c>
      <c r="DX491" s="47">
        <v>0</v>
      </c>
      <c r="DY491" s="47">
        <v>0</v>
      </c>
      <c r="DZ491" s="47">
        <v>0</v>
      </c>
      <c r="EA491" s="47">
        <v>0</v>
      </c>
      <c r="EB491" s="47"/>
      <c r="EC491" s="47">
        <v>1</v>
      </c>
      <c r="ZZ491" t="s">
        <v>2472</v>
      </c>
    </row>
    <row r="492" spans="1:702" x14ac:dyDescent="0.25">
      <c r="A492" s="47" t="s">
        <v>2318</v>
      </c>
      <c r="B492" s="47" t="s">
        <v>153</v>
      </c>
      <c r="C492" s="47" t="s">
        <v>157</v>
      </c>
      <c r="D492" s="47" t="s">
        <v>2977</v>
      </c>
      <c r="E492" s="47" t="s">
        <v>2319</v>
      </c>
      <c r="F492" s="47" t="s">
        <v>2320</v>
      </c>
      <c r="G492" s="47" t="s">
        <v>2321</v>
      </c>
      <c r="H492" s="47" t="s">
        <v>698</v>
      </c>
      <c r="I492" s="47" t="s">
        <v>727</v>
      </c>
      <c r="J492" s="47" t="str">
        <f>=IFERROR(VLOOKUP(H492&amp;I492,Table_Fonctions!A:G,6,FALSE),"")</f>
        <v>0</v>
      </c>
      <c r="K492" s="47" t="s">
        <v>2607</v>
      </c>
      <c r="L492" s="47" t="str">
        <f>=IFERROR(VLOOKUP(H492&amp;I492,Table_Fonctions!A:G,7,FALSE),K492)</f>
        <v/>
      </c>
      <c r="M492" s="47" t="str">
        <f>=IF(OR(LEFT(D492, 3)="TJ ", LEFT(D492, 4)="CPH "), "OUI", "NON")</f>
        <v/>
      </c>
      <c r="N492" s="47" t="s">
        <v>849</v>
      </c>
      <c r="O492" s="47"/>
      <c r="P492" s="47">
        <v>1</v>
      </c>
      <c r="Q492" s="47">
        <v>1</v>
      </c>
      <c r="R492" s="47">
        <v>0</v>
      </c>
      <c r="S492" s="47">
        <f>=ROUND(BQ492-(BR492+BS492),3)</f>
      </c>
      <c r="T492" s="47">
        <f>=ROUND(CK492-(CL492+CM492+CN492+CO492+CP492),3)</f>
      </c>
      <c r="U492" s="47">
        <v>0</v>
      </c>
      <c r="V492" s="47">
        <v>0</v>
      </c>
      <c r="W492" s="47">
        <v>0</v>
      </c>
      <c r="X492" s="47">
        <v>0</v>
      </c>
      <c r="Y492" s="47">
        <v>0</v>
      </c>
      <c r="Z492" s="47">
        <v>0</v>
      </c>
      <c r="AA492" s="47">
        <v>0</v>
      </c>
      <c r="AB492" s="47">
        <v>0</v>
      </c>
      <c r="AC492" s="47">
        <v>0</v>
      </c>
      <c r="AD492" s="47">
        <v>0</v>
      </c>
      <c r="AE492" s="47">
        <v>0</v>
      </c>
      <c r="AF492" s="47">
        <v>0</v>
      </c>
      <c r="AG492" s="47">
        <v>0</v>
      </c>
      <c r="AH492" s="47">
        <v>0</v>
      </c>
      <c r="AI492" s="47">
        <v>0</v>
      </c>
      <c r="AJ492" s="47">
        <v>0</v>
      </c>
      <c r="AK492" s="47">
        <v>0</v>
      </c>
      <c r="AL492" s="47">
        <v>0</v>
      </c>
      <c r="AM492" s="47">
        <v>0</v>
      </c>
      <c r="AN492" s="47">
        <v>0</v>
      </c>
      <c r="AO492" s="47">
        <v>0</v>
      </c>
      <c r="AP492" s="47">
        <v>0</v>
      </c>
      <c r="AQ492" s="47">
        <v>0</v>
      </c>
      <c r="AR492" s="47">
        <v>0</v>
      </c>
      <c r="AS492" s="47">
        <v>1</v>
      </c>
      <c r="AT492" s="47">
        <v>0</v>
      </c>
      <c r="AU492" s="47">
        <v>0</v>
      </c>
      <c r="AV492" s="47">
        <v>0</v>
      </c>
      <c r="AW492" s="47">
        <v>0</v>
      </c>
      <c r="AX492" s="47">
        <v>0</v>
      </c>
      <c r="AY492" s="47">
        <v>0</v>
      </c>
      <c r="AZ492" s="47">
        <v>0</v>
      </c>
      <c r="BA492" s="47">
        <v>0</v>
      </c>
      <c r="BB492" s="47">
        <v>0</v>
      </c>
      <c r="BC492" s="47">
        <v>0</v>
      </c>
      <c r="BD492" s="47">
        <v>0</v>
      </c>
      <c r="BE492" s="47">
        <v>0</v>
      </c>
      <c r="BF492" s="47">
        <v>0</v>
      </c>
      <c r="BG492" s="47">
        <v>0</v>
      </c>
      <c r="BH492" s="47">
        <v>0</v>
      </c>
      <c r="BI492" s="47">
        <v>0</v>
      </c>
      <c r="BJ492" s="47">
        <v>0</v>
      </c>
      <c r="BK492" s="47">
        <v>0</v>
      </c>
      <c r="BL492" s="47">
        <v>0</v>
      </c>
      <c r="BM492" s="47">
        <v>0</v>
      </c>
      <c r="BN492" s="47">
        <v>0</v>
      </c>
      <c r="BO492" s="47">
        <v>0</v>
      </c>
      <c r="BP492" s="47">
        <v>0</v>
      </c>
      <c r="BQ492" s="47">
        <v>0</v>
      </c>
      <c r="BR492" s="47">
        <v>0</v>
      </c>
      <c r="BS492" s="47">
        <v>0</v>
      </c>
      <c r="BT492" s="47">
        <v>0</v>
      </c>
      <c r="BU492" s="47">
        <v>0</v>
      </c>
      <c r="BV492" s="47">
        <v>0</v>
      </c>
      <c r="BW492" s="47">
        <v>0</v>
      </c>
      <c r="BX492" s="47">
        <v>0</v>
      </c>
      <c r="BY492" s="47">
        <v>0</v>
      </c>
      <c r="BZ492" s="47">
        <v>0</v>
      </c>
      <c r="CA492" s="47">
        <v>0</v>
      </c>
      <c r="CB492" s="47">
        <v>0</v>
      </c>
      <c r="CC492" s="47">
        <v>0</v>
      </c>
      <c r="CD492" s="47">
        <v>0</v>
      </c>
      <c r="CE492" s="47">
        <v>0</v>
      </c>
      <c r="CF492" s="47">
        <v>0</v>
      </c>
      <c r="CG492" s="47">
        <v>0</v>
      </c>
      <c r="CH492" s="47">
        <v>0</v>
      </c>
      <c r="CI492" s="47">
        <v>0</v>
      </c>
      <c r="CJ492" s="47">
        <v>0</v>
      </c>
      <c r="CK492" s="47">
        <v>0</v>
      </c>
      <c r="CL492" s="47">
        <v>0</v>
      </c>
      <c r="CM492" s="47">
        <v>0</v>
      </c>
      <c r="CN492" s="47">
        <v>0</v>
      </c>
      <c r="CO492" s="47">
        <v>0</v>
      </c>
      <c r="CP492" s="47">
        <v>0</v>
      </c>
      <c r="CQ492" s="47">
        <v>0</v>
      </c>
      <c r="CR492" s="47">
        <v>0</v>
      </c>
      <c r="CS492" s="47">
        <v>0</v>
      </c>
      <c r="CT492" s="47">
        <v>0</v>
      </c>
      <c r="CU492" s="47">
        <v>0</v>
      </c>
      <c r="CV492" s="47">
        <v>0</v>
      </c>
      <c r="CW492" s="47">
        <v>0</v>
      </c>
      <c r="CX492" s="47">
        <v>0</v>
      </c>
      <c r="CY492" s="47">
        <v>0</v>
      </c>
      <c r="CZ492" s="47">
        <v>0</v>
      </c>
      <c r="DA492" s="47">
        <v>0</v>
      </c>
      <c r="DB492" s="47">
        <v>0</v>
      </c>
      <c r="DC492" s="47">
        <v>0</v>
      </c>
      <c r="DD492" s="47">
        <v>0</v>
      </c>
      <c r="DE492" s="47">
        <v>0</v>
      </c>
      <c r="DF492" s="47">
        <v>0</v>
      </c>
      <c r="DG492" s="47">
        <v>0</v>
      </c>
      <c r="DH492" s="47">
        <v>0</v>
      </c>
      <c r="DI492" s="47">
        <v>0</v>
      </c>
      <c r="DJ492" s="47">
        <v>0</v>
      </c>
      <c r="DK492" s="47">
        <v>0</v>
      </c>
      <c r="DL492" s="47">
        <v>0</v>
      </c>
      <c r="DM492" s="47">
        <v>0</v>
      </c>
      <c r="DN492" s="47">
        <v>0</v>
      </c>
      <c r="DO492" s="47">
        <v>0</v>
      </c>
      <c r="DP492" s="47">
        <v>0</v>
      </c>
      <c r="DQ492" s="47">
        <v>0</v>
      </c>
      <c r="DR492" s="47">
        <v>0</v>
      </c>
      <c r="DS492" s="47">
        <v>0</v>
      </c>
      <c r="DT492" s="47">
        <v>0</v>
      </c>
      <c r="DU492" s="47">
        <v>0</v>
      </c>
      <c r="DV492" s="47">
        <v>0</v>
      </c>
      <c r="DW492" s="47">
        <v>0</v>
      </c>
      <c r="DX492" s="47">
        <v>0</v>
      </c>
      <c r="DY492" s="47">
        <v>0</v>
      </c>
      <c r="DZ492" s="47">
        <v>0</v>
      </c>
      <c r="EA492" s="47">
        <v>0</v>
      </c>
      <c r="EB492" s="47"/>
      <c r="EC492" s="47">
        <v>1</v>
      </c>
      <c r="ZZ492" t="s">
        <v>2472</v>
      </c>
    </row>
    <row r="493" spans="1:702" x14ac:dyDescent="0.25">
      <c r="A493" s="47" t="s">
        <v>2322</v>
      </c>
      <c r="B493" s="47" t="s">
        <v>153</v>
      </c>
      <c r="C493" s="47" t="s">
        <v>157</v>
      </c>
      <c r="D493" s="47" t="s">
        <v>2978</v>
      </c>
      <c r="E493" s="47" t="s">
        <v>2323</v>
      </c>
      <c r="F493" s="47" t="s">
        <v>2324</v>
      </c>
      <c r="G493" s="47" t="s">
        <v>2325</v>
      </c>
      <c r="H493" s="47" t="s">
        <v>698</v>
      </c>
      <c r="I493" s="47" t="s">
        <v>705</v>
      </c>
      <c r="J493" s="47" t="str">
        <f>=IFERROR(VLOOKUP(H493&amp;I493,Table_Fonctions!A:G,6,FALSE),"")</f>
        <v>0</v>
      </c>
      <c r="K493" s="47" t="s">
        <v>2607</v>
      </c>
      <c r="L493" s="47" t="str">
        <f>=IFERROR(VLOOKUP(H493&amp;I493,Table_Fonctions!A:G,7,FALSE),K493)</f>
        <v/>
      </c>
      <c r="M493" s="47" t="str">
        <f>=IF(OR(LEFT(D493, 3)="TJ ", LEFT(D493, 4)="CPH "), "OUI", "NON")</f>
        <v/>
      </c>
      <c r="N493" s="47" t="s">
        <v>1655</v>
      </c>
      <c r="O493" s="47"/>
      <c r="P493" s="47">
        <v>1</v>
      </c>
      <c r="Q493" s="47">
        <v>0</v>
      </c>
      <c r="R493" s="47">
        <v>1</v>
      </c>
      <c r="S493" s="47">
        <f>=ROUND(BQ493-(BR493+BS493),3)</f>
      </c>
      <c r="T493" s="47">
        <f>=ROUND(CK493-(CL493+CM493+CN493+CO493+CP493),3)</f>
      </c>
      <c r="U493" s="47">
        <v>0</v>
      </c>
      <c r="V493" s="47">
        <v>0</v>
      </c>
      <c r="W493" s="47">
        <v>0</v>
      </c>
      <c r="X493" s="47">
        <v>0</v>
      </c>
      <c r="Y493" s="47">
        <v>0</v>
      </c>
      <c r="Z493" s="47">
        <v>0</v>
      </c>
      <c r="AA493" s="47">
        <v>0</v>
      </c>
      <c r="AB493" s="47">
        <v>0</v>
      </c>
      <c r="AC493" s="47">
        <v>0</v>
      </c>
      <c r="AD493" s="47">
        <v>0</v>
      </c>
      <c r="AE493" s="47">
        <v>0</v>
      </c>
      <c r="AF493" s="47">
        <v>0</v>
      </c>
      <c r="AG493" s="47">
        <v>0</v>
      </c>
      <c r="AH493" s="47">
        <v>0</v>
      </c>
      <c r="AI493" s="47">
        <v>0</v>
      </c>
      <c r="AJ493" s="47">
        <v>0</v>
      </c>
      <c r="AK493" s="47">
        <v>0</v>
      </c>
      <c r="AL493" s="47">
        <v>0</v>
      </c>
      <c r="AM493" s="47">
        <v>0</v>
      </c>
      <c r="AN493" s="47">
        <v>0</v>
      </c>
      <c r="AO493" s="47">
        <v>0</v>
      </c>
      <c r="AP493" s="47">
        <v>0</v>
      </c>
      <c r="AQ493" s="47">
        <v>0</v>
      </c>
      <c r="AR493" s="47">
        <v>0</v>
      </c>
      <c r="AS493" s="47">
        <v>0</v>
      </c>
      <c r="AT493" s="47">
        <v>0</v>
      </c>
      <c r="AU493" s="47">
        <v>0</v>
      </c>
      <c r="AV493" s="47">
        <v>0</v>
      </c>
      <c r="AW493" s="47">
        <v>0</v>
      </c>
      <c r="AX493" s="47">
        <v>0</v>
      </c>
      <c r="AY493" s="47">
        <v>0</v>
      </c>
      <c r="AZ493" s="47">
        <v>0</v>
      </c>
      <c r="BA493" s="47">
        <v>0</v>
      </c>
      <c r="BB493" s="47">
        <v>0</v>
      </c>
      <c r="BC493" s="47">
        <v>0</v>
      </c>
      <c r="BD493" s="47">
        <v>0</v>
      </c>
      <c r="BE493" s="47">
        <v>0</v>
      </c>
      <c r="BF493" s="47">
        <v>0</v>
      </c>
      <c r="BG493" s="47">
        <v>0</v>
      </c>
      <c r="BH493" s="47">
        <v>0</v>
      </c>
      <c r="BI493" s="47">
        <v>0</v>
      </c>
      <c r="BJ493" s="47">
        <v>0</v>
      </c>
      <c r="BK493" s="47">
        <v>0</v>
      </c>
      <c r="BL493" s="47">
        <v>0</v>
      </c>
      <c r="BM493" s="47">
        <v>0</v>
      </c>
      <c r="BN493" s="47">
        <v>0</v>
      </c>
      <c r="BO493" s="47">
        <v>0</v>
      </c>
      <c r="BP493" s="47">
        <v>0</v>
      </c>
      <c r="BQ493" s="47">
        <v>0</v>
      </c>
      <c r="BR493" s="47">
        <v>0</v>
      </c>
      <c r="BS493" s="47">
        <v>0</v>
      </c>
      <c r="BT493" s="47">
        <v>0</v>
      </c>
      <c r="BU493" s="47">
        <v>0</v>
      </c>
      <c r="BV493" s="47">
        <v>0</v>
      </c>
      <c r="BW493" s="47">
        <v>0</v>
      </c>
      <c r="BX493" s="47">
        <v>0</v>
      </c>
      <c r="BY493" s="47">
        <v>0</v>
      </c>
      <c r="BZ493" s="47">
        <v>0</v>
      </c>
      <c r="CA493" s="47">
        <v>0</v>
      </c>
      <c r="CB493" s="47">
        <v>0</v>
      </c>
      <c r="CC493" s="47">
        <v>0</v>
      </c>
      <c r="CD493" s="47">
        <v>0</v>
      </c>
      <c r="CE493" s="47">
        <v>0</v>
      </c>
      <c r="CF493" s="47">
        <v>0</v>
      </c>
      <c r="CG493" s="47">
        <v>0</v>
      </c>
      <c r="CH493" s="47">
        <v>0</v>
      </c>
      <c r="CI493" s="47">
        <v>0</v>
      </c>
      <c r="CJ493" s="47">
        <v>0</v>
      </c>
      <c r="CK493" s="47">
        <v>0</v>
      </c>
      <c r="CL493" s="47">
        <v>0</v>
      </c>
      <c r="CM493" s="47">
        <v>0</v>
      </c>
      <c r="CN493" s="47">
        <v>0</v>
      </c>
      <c r="CO493" s="47">
        <v>0</v>
      </c>
      <c r="CP493" s="47">
        <v>0</v>
      </c>
      <c r="CQ493" s="47">
        <v>0</v>
      </c>
      <c r="CR493" s="47">
        <v>0</v>
      </c>
      <c r="CS493" s="47">
        <v>0</v>
      </c>
      <c r="CT493" s="47">
        <v>0</v>
      </c>
      <c r="CU493" s="47">
        <v>0</v>
      </c>
      <c r="CV493" s="47">
        <v>0</v>
      </c>
      <c r="CW493" s="47">
        <v>0</v>
      </c>
      <c r="CX493" s="47">
        <v>0</v>
      </c>
      <c r="CY493" s="47">
        <v>0</v>
      </c>
      <c r="CZ493" s="47">
        <v>0</v>
      </c>
      <c r="DA493" s="47">
        <v>0</v>
      </c>
      <c r="DB493" s="47">
        <v>0</v>
      </c>
      <c r="DC493" s="47">
        <v>0</v>
      </c>
      <c r="DD493" s="47">
        <v>0</v>
      </c>
      <c r="DE493" s="47">
        <v>0</v>
      </c>
      <c r="DF493" s="47">
        <v>0</v>
      </c>
      <c r="DG493" s="47">
        <v>0</v>
      </c>
      <c r="DH493" s="47">
        <v>0</v>
      </c>
      <c r="DI493" s="47">
        <v>0</v>
      </c>
      <c r="DJ493" s="47">
        <v>0</v>
      </c>
      <c r="DK493" s="47">
        <v>0</v>
      </c>
      <c r="DL493" s="47">
        <v>0</v>
      </c>
      <c r="DM493" s="47">
        <v>0</v>
      </c>
      <c r="DN493" s="47">
        <v>0</v>
      </c>
      <c r="DO493" s="47">
        <v>0</v>
      </c>
      <c r="DP493" s="47">
        <v>0</v>
      </c>
      <c r="DQ493" s="47">
        <v>0</v>
      </c>
      <c r="DR493" s="47">
        <v>0</v>
      </c>
      <c r="DS493" s="47">
        <v>0</v>
      </c>
      <c r="DT493" s="47">
        <v>0</v>
      </c>
      <c r="DU493" s="47">
        <v>0</v>
      </c>
      <c r="DV493" s="47">
        <v>0</v>
      </c>
      <c r="DW493" s="47">
        <v>0</v>
      </c>
      <c r="DX493" s="47">
        <v>0</v>
      </c>
      <c r="DY493" s="47">
        <v>0</v>
      </c>
      <c r="DZ493" s="47">
        <v>0</v>
      </c>
      <c r="EA493" s="47">
        <v>0</v>
      </c>
      <c r="EB493" s="47"/>
      <c r="EC493" s="47">
        <v>1</v>
      </c>
      <c r="ZZ493" t="s">
        <v>2472</v>
      </c>
    </row>
    <row r="494" spans="1:702" x14ac:dyDescent="0.25">
      <c r="A494" s="47" t="s">
        <v>2326</v>
      </c>
      <c r="B494" s="47" t="s">
        <v>153</v>
      </c>
      <c r="C494" s="47" t="s">
        <v>157</v>
      </c>
      <c r="D494" s="47" t="s">
        <v>2979</v>
      </c>
      <c r="E494" s="47" t="s">
        <v>2327</v>
      </c>
      <c r="F494" s="47" t="s">
        <v>2328</v>
      </c>
      <c r="G494" s="47" t="s">
        <v>2329</v>
      </c>
      <c r="H494" s="47" t="s">
        <v>698</v>
      </c>
      <c r="I494" s="47" t="s">
        <v>705</v>
      </c>
      <c r="J494" s="47" t="str">
        <f>=IFERROR(VLOOKUP(H494&amp;I494,Table_Fonctions!A:G,6,FALSE),"")</f>
        <v>0</v>
      </c>
      <c r="K494" s="47" t="s">
        <v>2607</v>
      </c>
      <c r="L494" s="47" t="str">
        <f>=IFERROR(VLOOKUP(H494&amp;I494,Table_Fonctions!A:G,7,FALSE),K494)</f>
        <v/>
      </c>
      <c r="M494" s="47" t="str">
        <f>=IF(OR(LEFT(D494, 3)="TJ ", LEFT(D494, 4)="CPH "), "OUI", "NON")</f>
        <v/>
      </c>
      <c r="N494" s="47" t="s">
        <v>2330</v>
      </c>
      <c r="O494" s="47"/>
      <c r="P494" s="47">
        <v>1</v>
      </c>
      <c r="Q494" s="47">
        <v>0</v>
      </c>
      <c r="R494" s="47">
        <v>1</v>
      </c>
      <c r="S494" s="47">
        <f>=ROUND(BQ494-(BR494+BS494),3)</f>
      </c>
      <c r="T494" s="47">
        <f>=ROUND(CK494-(CL494+CM494+CN494+CO494+CP494),3)</f>
      </c>
      <c r="U494" s="47">
        <v>0</v>
      </c>
      <c r="V494" s="47">
        <v>0</v>
      </c>
      <c r="W494" s="47">
        <v>0</v>
      </c>
      <c r="X494" s="47">
        <v>0</v>
      </c>
      <c r="Y494" s="47">
        <v>0</v>
      </c>
      <c r="Z494" s="47">
        <v>0</v>
      </c>
      <c r="AA494" s="47">
        <v>0</v>
      </c>
      <c r="AB494" s="47">
        <v>0</v>
      </c>
      <c r="AC494" s="47">
        <v>0</v>
      </c>
      <c r="AD494" s="47">
        <v>0</v>
      </c>
      <c r="AE494" s="47">
        <v>0</v>
      </c>
      <c r="AF494" s="47">
        <v>0</v>
      </c>
      <c r="AG494" s="47">
        <v>0</v>
      </c>
      <c r="AH494" s="47">
        <v>0</v>
      </c>
      <c r="AI494" s="47">
        <v>0</v>
      </c>
      <c r="AJ494" s="47">
        <v>0</v>
      </c>
      <c r="AK494" s="47">
        <v>0</v>
      </c>
      <c r="AL494" s="47">
        <v>0</v>
      </c>
      <c r="AM494" s="47">
        <v>0</v>
      </c>
      <c r="AN494" s="47">
        <v>0</v>
      </c>
      <c r="AO494" s="47">
        <v>0</v>
      </c>
      <c r="AP494" s="47">
        <v>0</v>
      </c>
      <c r="AQ494" s="47">
        <v>0</v>
      </c>
      <c r="AR494" s="47">
        <v>0</v>
      </c>
      <c r="AS494" s="47">
        <v>0</v>
      </c>
      <c r="AT494" s="47">
        <v>0</v>
      </c>
      <c r="AU494" s="47">
        <v>0</v>
      </c>
      <c r="AV494" s="47">
        <v>0</v>
      </c>
      <c r="AW494" s="47">
        <v>0</v>
      </c>
      <c r="AX494" s="47">
        <v>0</v>
      </c>
      <c r="AY494" s="47">
        <v>0</v>
      </c>
      <c r="AZ494" s="47">
        <v>0</v>
      </c>
      <c r="BA494" s="47">
        <v>0</v>
      </c>
      <c r="BB494" s="47">
        <v>0</v>
      </c>
      <c r="BC494" s="47">
        <v>0</v>
      </c>
      <c r="BD494" s="47">
        <v>0</v>
      </c>
      <c r="BE494" s="47">
        <v>0</v>
      </c>
      <c r="BF494" s="47">
        <v>0</v>
      </c>
      <c r="BG494" s="47">
        <v>0</v>
      </c>
      <c r="BH494" s="47">
        <v>0</v>
      </c>
      <c r="BI494" s="47">
        <v>0</v>
      </c>
      <c r="BJ494" s="47">
        <v>0</v>
      </c>
      <c r="BK494" s="47">
        <v>0</v>
      </c>
      <c r="BL494" s="47">
        <v>0</v>
      </c>
      <c r="BM494" s="47">
        <v>0</v>
      </c>
      <c r="BN494" s="47">
        <v>0</v>
      </c>
      <c r="BO494" s="47">
        <v>0</v>
      </c>
      <c r="BP494" s="47">
        <v>0</v>
      </c>
      <c r="BQ494" s="47">
        <v>0</v>
      </c>
      <c r="BR494" s="47">
        <v>0</v>
      </c>
      <c r="BS494" s="47">
        <v>0</v>
      </c>
      <c r="BT494" s="47">
        <v>0</v>
      </c>
      <c r="BU494" s="47">
        <v>0</v>
      </c>
      <c r="BV494" s="47">
        <v>0</v>
      </c>
      <c r="BW494" s="47">
        <v>0</v>
      </c>
      <c r="BX494" s="47">
        <v>0</v>
      </c>
      <c r="BY494" s="47">
        <v>0</v>
      </c>
      <c r="BZ494" s="47">
        <v>0</v>
      </c>
      <c r="CA494" s="47">
        <v>0</v>
      </c>
      <c r="CB494" s="47">
        <v>0</v>
      </c>
      <c r="CC494" s="47">
        <v>0</v>
      </c>
      <c r="CD494" s="47">
        <v>0</v>
      </c>
      <c r="CE494" s="47">
        <v>0</v>
      </c>
      <c r="CF494" s="47">
        <v>0</v>
      </c>
      <c r="CG494" s="47">
        <v>0</v>
      </c>
      <c r="CH494" s="47">
        <v>0</v>
      </c>
      <c r="CI494" s="47">
        <v>0</v>
      </c>
      <c r="CJ494" s="47">
        <v>0</v>
      </c>
      <c r="CK494" s="47">
        <v>0</v>
      </c>
      <c r="CL494" s="47">
        <v>0</v>
      </c>
      <c r="CM494" s="47">
        <v>0</v>
      </c>
      <c r="CN494" s="47">
        <v>0</v>
      </c>
      <c r="CO494" s="47">
        <v>0</v>
      </c>
      <c r="CP494" s="47">
        <v>0</v>
      </c>
      <c r="CQ494" s="47">
        <v>0</v>
      </c>
      <c r="CR494" s="47">
        <v>0</v>
      </c>
      <c r="CS494" s="47">
        <v>0</v>
      </c>
      <c r="CT494" s="47">
        <v>0</v>
      </c>
      <c r="CU494" s="47">
        <v>0</v>
      </c>
      <c r="CV494" s="47">
        <v>0</v>
      </c>
      <c r="CW494" s="47">
        <v>0</v>
      </c>
      <c r="CX494" s="47">
        <v>0</v>
      </c>
      <c r="CY494" s="47">
        <v>0</v>
      </c>
      <c r="CZ494" s="47">
        <v>0</v>
      </c>
      <c r="DA494" s="47">
        <v>0</v>
      </c>
      <c r="DB494" s="47">
        <v>0</v>
      </c>
      <c r="DC494" s="47">
        <v>0</v>
      </c>
      <c r="DD494" s="47">
        <v>0</v>
      </c>
      <c r="DE494" s="47">
        <v>0</v>
      </c>
      <c r="DF494" s="47">
        <v>0</v>
      </c>
      <c r="DG494" s="47">
        <v>0</v>
      </c>
      <c r="DH494" s="47">
        <v>0</v>
      </c>
      <c r="DI494" s="47">
        <v>0</v>
      </c>
      <c r="DJ494" s="47">
        <v>0</v>
      </c>
      <c r="DK494" s="47">
        <v>0</v>
      </c>
      <c r="DL494" s="47">
        <v>0</v>
      </c>
      <c r="DM494" s="47">
        <v>0</v>
      </c>
      <c r="DN494" s="47">
        <v>0</v>
      </c>
      <c r="DO494" s="47">
        <v>0</v>
      </c>
      <c r="DP494" s="47">
        <v>0</v>
      </c>
      <c r="DQ494" s="47">
        <v>0</v>
      </c>
      <c r="DR494" s="47">
        <v>0</v>
      </c>
      <c r="DS494" s="47">
        <v>0</v>
      </c>
      <c r="DT494" s="47">
        <v>0</v>
      </c>
      <c r="DU494" s="47">
        <v>0</v>
      </c>
      <c r="DV494" s="47">
        <v>0</v>
      </c>
      <c r="DW494" s="47">
        <v>0</v>
      </c>
      <c r="DX494" s="47">
        <v>0</v>
      </c>
      <c r="DY494" s="47">
        <v>0</v>
      </c>
      <c r="DZ494" s="47">
        <v>0</v>
      </c>
      <c r="EA494" s="47">
        <v>0</v>
      </c>
      <c r="EB494" s="47"/>
      <c r="EC494" s="47">
        <v>1</v>
      </c>
      <c r="ZZ494" t="s">
        <v>2472</v>
      </c>
    </row>
    <row r="495" spans="1:702" x14ac:dyDescent="0.25">
      <c r="A495" s="47" t="s">
        <v>2331</v>
      </c>
      <c r="B495" s="47" t="s">
        <v>153</v>
      </c>
      <c r="C495" s="47" t="s">
        <v>157</v>
      </c>
      <c r="D495" s="47" t="s">
        <v>2980</v>
      </c>
      <c r="E495" s="47" t="s">
        <v>2332</v>
      </c>
      <c r="F495" s="47" t="s">
        <v>2333</v>
      </c>
      <c r="G495" s="47" t="s">
        <v>2334</v>
      </c>
      <c r="H495" s="47" t="s">
        <v>698</v>
      </c>
      <c r="I495" s="47" t="s">
        <v>738</v>
      </c>
      <c r="J495" s="47" t="str">
        <f>=IFERROR(VLOOKUP(H495&amp;I495,Table_Fonctions!A:G,6,FALSE),"")</f>
        <v>0</v>
      </c>
      <c r="K495" s="47" t="s">
        <v>2607</v>
      </c>
      <c r="L495" s="47" t="str">
        <f>=IFERROR(VLOOKUP(H495&amp;I495,Table_Fonctions!A:G,7,FALSE),K495)</f>
        <v/>
      </c>
      <c r="M495" s="47" t="str">
        <f>=IF(OR(LEFT(D495, 3)="TJ ", LEFT(D495, 4)="CPH "), "OUI", "NON")</f>
        <v/>
      </c>
      <c r="N495" s="47" t="s">
        <v>2335</v>
      </c>
      <c r="O495" s="47"/>
      <c r="P495" s="47">
        <v>1</v>
      </c>
      <c r="Q495" s="47">
        <v>0</v>
      </c>
      <c r="R495" s="47">
        <v>1</v>
      </c>
      <c r="S495" s="47">
        <f>=ROUND(BQ495-(BR495+BS495),3)</f>
      </c>
      <c r="T495" s="47">
        <f>=ROUND(CK495-(CL495+CM495+CN495+CO495+CP495),3)</f>
      </c>
      <c r="U495" s="47">
        <v>0</v>
      </c>
      <c r="V495" s="47">
        <v>0</v>
      </c>
      <c r="W495" s="47">
        <v>0</v>
      </c>
      <c r="X495" s="47">
        <v>0</v>
      </c>
      <c r="Y495" s="47">
        <v>0</v>
      </c>
      <c r="Z495" s="47">
        <v>0</v>
      </c>
      <c r="AA495" s="47">
        <v>0</v>
      </c>
      <c r="AB495" s="47">
        <v>0</v>
      </c>
      <c r="AC495" s="47">
        <v>0</v>
      </c>
      <c r="AD495" s="47">
        <v>0</v>
      </c>
      <c r="AE495" s="47">
        <v>0</v>
      </c>
      <c r="AF495" s="47">
        <v>0</v>
      </c>
      <c r="AG495" s="47">
        <v>0</v>
      </c>
      <c r="AH495" s="47">
        <v>0</v>
      </c>
      <c r="AI495" s="47">
        <v>0</v>
      </c>
      <c r="AJ495" s="47">
        <v>0</v>
      </c>
      <c r="AK495" s="47">
        <v>0</v>
      </c>
      <c r="AL495" s="47">
        <v>0</v>
      </c>
      <c r="AM495" s="47">
        <v>0</v>
      </c>
      <c r="AN495" s="47">
        <v>0</v>
      </c>
      <c r="AO495" s="47">
        <v>0</v>
      </c>
      <c r="AP495" s="47">
        <v>0</v>
      </c>
      <c r="AQ495" s="47">
        <v>0</v>
      </c>
      <c r="AR495" s="47">
        <v>0</v>
      </c>
      <c r="AS495" s="47">
        <v>0</v>
      </c>
      <c r="AT495" s="47">
        <v>0</v>
      </c>
      <c r="AU495" s="47">
        <v>0</v>
      </c>
      <c r="AV495" s="47">
        <v>0</v>
      </c>
      <c r="AW495" s="47">
        <v>0</v>
      </c>
      <c r="AX495" s="47">
        <v>0</v>
      </c>
      <c r="AY495" s="47">
        <v>0</v>
      </c>
      <c r="AZ495" s="47">
        <v>0</v>
      </c>
      <c r="BA495" s="47">
        <v>0</v>
      </c>
      <c r="BB495" s="47">
        <v>0</v>
      </c>
      <c r="BC495" s="47">
        <v>0</v>
      </c>
      <c r="BD495" s="47">
        <v>0</v>
      </c>
      <c r="BE495" s="47">
        <v>0</v>
      </c>
      <c r="BF495" s="47">
        <v>0</v>
      </c>
      <c r="BG495" s="47">
        <v>0</v>
      </c>
      <c r="BH495" s="47">
        <v>0</v>
      </c>
      <c r="BI495" s="47">
        <v>0</v>
      </c>
      <c r="BJ495" s="47">
        <v>0</v>
      </c>
      <c r="BK495" s="47">
        <v>0</v>
      </c>
      <c r="BL495" s="47">
        <v>0</v>
      </c>
      <c r="BM495" s="47">
        <v>0</v>
      </c>
      <c r="BN495" s="47">
        <v>0</v>
      </c>
      <c r="BO495" s="47">
        <v>0</v>
      </c>
      <c r="BP495" s="47">
        <v>0</v>
      </c>
      <c r="BQ495" s="47">
        <v>0</v>
      </c>
      <c r="BR495" s="47">
        <v>0</v>
      </c>
      <c r="BS495" s="47">
        <v>0</v>
      </c>
      <c r="BT495" s="47">
        <v>0</v>
      </c>
      <c r="BU495" s="47">
        <v>0</v>
      </c>
      <c r="BV495" s="47">
        <v>0</v>
      </c>
      <c r="BW495" s="47">
        <v>0</v>
      </c>
      <c r="BX495" s="47">
        <v>0</v>
      </c>
      <c r="BY495" s="47">
        <v>0</v>
      </c>
      <c r="BZ495" s="47">
        <v>0</v>
      </c>
      <c r="CA495" s="47">
        <v>0</v>
      </c>
      <c r="CB495" s="47">
        <v>0</v>
      </c>
      <c r="CC495" s="47">
        <v>0</v>
      </c>
      <c r="CD495" s="47">
        <v>0</v>
      </c>
      <c r="CE495" s="47">
        <v>0</v>
      </c>
      <c r="CF495" s="47">
        <v>0</v>
      </c>
      <c r="CG495" s="47">
        <v>0</v>
      </c>
      <c r="CH495" s="47">
        <v>0</v>
      </c>
      <c r="CI495" s="47">
        <v>0</v>
      </c>
      <c r="CJ495" s="47">
        <v>0</v>
      </c>
      <c r="CK495" s="47">
        <v>0</v>
      </c>
      <c r="CL495" s="47">
        <v>0</v>
      </c>
      <c r="CM495" s="47">
        <v>0</v>
      </c>
      <c r="CN495" s="47">
        <v>0</v>
      </c>
      <c r="CO495" s="47">
        <v>0</v>
      </c>
      <c r="CP495" s="47">
        <v>0</v>
      </c>
      <c r="CQ495" s="47">
        <v>0</v>
      </c>
      <c r="CR495" s="47">
        <v>0</v>
      </c>
      <c r="CS495" s="47">
        <v>0</v>
      </c>
      <c r="CT495" s="47">
        <v>0</v>
      </c>
      <c r="CU495" s="47">
        <v>0</v>
      </c>
      <c r="CV495" s="47">
        <v>0</v>
      </c>
      <c r="CW495" s="47">
        <v>0</v>
      </c>
      <c r="CX495" s="47">
        <v>0</v>
      </c>
      <c r="CY495" s="47">
        <v>0</v>
      </c>
      <c r="CZ495" s="47">
        <v>0</v>
      </c>
      <c r="DA495" s="47">
        <v>0</v>
      </c>
      <c r="DB495" s="47">
        <v>0</v>
      </c>
      <c r="DC495" s="47">
        <v>0</v>
      </c>
      <c r="DD495" s="47">
        <v>0</v>
      </c>
      <c r="DE495" s="47">
        <v>0</v>
      </c>
      <c r="DF495" s="47">
        <v>0</v>
      </c>
      <c r="DG495" s="47">
        <v>0</v>
      </c>
      <c r="DH495" s="47">
        <v>0</v>
      </c>
      <c r="DI495" s="47">
        <v>0</v>
      </c>
      <c r="DJ495" s="47">
        <v>0</v>
      </c>
      <c r="DK495" s="47">
        <v>0</v>
      </c>
      <c r="DL495" s="47">
        <v>0</v>
      </c>
      <c r="DM495" s="47">
        <v>0</v>
      </c>
      <c r="DN495" s="47">
        <v>0</v>
      </c>
      <c r="DO495" s="47">
        <v>0</v>
      </c>
      <c r="DP495" s="47">
        <v>0</v>
      </c>
      <c r="DQ495" s="47">
        <v>0</v>
      </c>
      <c r="DR495" s="47">
        <v>0</v>
      </c>
      <c r="DS495" s="47">
        <v>0</v>
      </c>
      <c r="DT495" s="47">
        <v>0</v>
      </c>
      <c r="DU495" s="47">
        <v>0</v>
      </c>
      <c r="DV495" s="47">
        <v>0</v>
      </c>
      <c r="DW495" s="47">
        <v>0</v>
      </c>
      <c r="DX495" s="47">
        <v>0</v>
      </c>
      <c r="DY495" s="47">
        <v>0</v>
      </c>
      <c r="DZ495" s="47">
        <v>0</v>
      </c>
      <c r="EA495" s="47">
        <v>0</v>
      </c>
      <c r="EB495" s="47"/>
      <c r="EC495" s="47">
        <v>1</v>
      </c>
      <c r="ZZ495" t="s">
        <v>2472</v>
      </c>
    </row>
    <row r="496" spans="1:702" x14ac:dyDescent="0.25">
      <c r="A496" s="47" t="s">
        <v>2336</v>
      </c>
      <c r="B496" s="47" t="s">
        <v>153</v>
      </c>
      <c r="C496" s="47" t="s">
        <v>157</v>
      </c>
      <c r="D496" s="47" t="s">
        <v>2981</v>
      </c>
      <c r="E496" s="47" t="s">
        <v>2337</v>
      </c>
      <c r="F496" s="47" t="s">
        <v>2338</v>
      </c>
      <c r="G496" s="47" t="s">
        <v>2339</v>
      </c>
      <c r="H496" s="47" t="s">
        <v>698</v>
      </c>
      <c r="I496" s="47" t="s">
        <v>705</v>
      </c>
      <c r="J496" s="47" t="str">
        <f>=IFERROR(VLOOKUP(H496&amp;I496,Table_Fonctions!A:G,6,FALSE),"")</f>
        <v>0</v>
      </c>
      <c r="K496" s="47" t="s">
        <v>2607</v>
      </c>
      <c r="L496" s="47" t="str">
        <f>=IFERROR(VLOOKUP(H496&amp;I496,Table_Fonctions!A:G,7,FALSE),K496)</f>
        <v/>
      </c>
      <c r="M496" s="47" t="str">
        <f>=IF(OR(LEFT(D496, 3)="TJ ", LEFT(D496, 4)="CPH "), "OUI", "NON")</f>
        <v/>
      </c>
      <c r="N496" s="47" t="s">
        <v>722</v>
      </c>
      <c r="O496" s="47"/>
      <c r="P496" s="47">
        <v>1</v>
      </c>
      <c r="Q496" s="47">
        <v>0</v>
      </c>
      <c r="R496" s="47">
        <v>1</v>
      </c>
      <c r="S496" s="47">
        <f>=ROUND(BQ496-(BR496+BS496),3)</f>
      </c>
      <c r="T496" s="47">
        <f>=ROUND(CK496-(CL496+CM496+CN496+CO496+CP496),3)</f>
      </c>
      <c r="U496" s="47">
        <v>0</v>
      </c>
      <c r="V496" s="47">
        <v>0</v>
      </c>
      <c r="W496" s="47">
        <v>0</v>
      </c>
      <c r="X496" s="47">
        <v>0</v>
      </c>
      <c r="Y496" s="47">
        <v>0</v>
      </c>
      <c r="Z496" s="47">
        <v>0</v>
      </c>
      <c r="AA496" s="47">
        <v>0</v>
      </c>
      <c r="AB496" s="47">
        <v>0</v>
      </c>
      <c r="AC496" s="47">
        <v>0</v>
      </c>
      <c r="AD496" s="47">
        <v>0</v>
      </c>
      <c r="AE496" s="47">
        <v>0</v>
      </c>
      <c r="AF496" s="47">
        <v>0</v>
      </c>
      <c r="AG496" s="47">
        <v>0</v>
      </c>
      <c r="AH496" s="47">
        <v>0</v>
      </c>
      <c r="AI496" s="47">
        <v>0</v>
      </c>
      <c r="AJ496" s="47">
        <v>0</v>
      </c>
      <c r="AK496" s="47">
        <v>0</v>
      </c>
      <c r="AL496" s="47">
        <v>0</v>
      </c>
      <c r="AM496" s="47">
        <v>0</v>
      </c>
      <c r="AN496" s="47">
        <v>0</v>
      </c>
      <c r="AO496" s="47">
        <v>0</v>
      </c>
      <c r="AP496" s="47">
        <v>0</v>
      </c>
      <c r="AQ496" s="47">
        <v>0</v>
      </c>
      <c r="AR496" s="47">
        <v>0</v>
      </c>
      <c r="AS496" s="47">
        <v>0</v>
      </c>
      <c r="AT496" s="47">
        <v>0</v>
      </c>
      <c r="AU496" s="47">
        <v>0</v>
      </c>
      <c r="AV496" s="47">
        <v>0</v>
      </c>
      <c r="AW496" s="47">
        <v>0</v>
      </c>
      <c r="AX496" s="47">
        <v>0</v>
      </c>
      <c r="AY496" s="47">
        <v>0</v>
      </c>
      <c r="AZ496" s="47">
        <v>0</v>
      </c>
      <c r="BA496" s="47">
        <v>0</v>
      </c>
      <c r="BB496" s="47">
        <v>0</v>
      </c>
      <c r="BC496" s="47">
        <v>0</v>
      </c>
      <c r="BD496" s="47">
        <v>0</v>
      </c>
      <c r="BE496" s="47">
        <v>0</v>
      </c>
      <c r="BF496" s="47">
        <v>0</v>
      </c>
      <c r="BG496" s="47">
        <v>0</v>
      </c>
      <c r="BH496" s="47">
        <v>0</v>
      </c>
      <c r="BI496" s="47">
        <v>0</v>
      </c>
      <c r="BJ496" s="47">
        <v>0</v>
      </c>
      <c r="BK496" s="47">
        <v>0</v>
      </c>
      <c r="BL496" s="47">
        <v>0</v>
      </c>
      <c r="BM496" s="47">
        <v>0</v>
      </c>
      <c r="BN496" s="47">
        <v>0</v>
      </c>
      <c r="BO496" s="47">
        <v>0</v>
      </c>
      <c r="BP496" s="47">
        <v>0</v>
      </c>
      <c r="BQ496" s="47">
        <v>0</v>
      </c>
      <c r="BR496" s="47">
        <v>0</v>
      </c>
      <c r="BS496" s="47">
        <v>0</v>
      </c>
      <c r="BT496" s="47">
        <v>0</v>
      </c>
      <c r="BU496" s="47">
        <v>0</v>
      </c>
      <c r="BV496" s="47">
        <v>0</v>
      </c>
      <c r="BW496" s="47">
        <v>0</v>
      </c>
      <c r="BX496" s="47">
        <v>0</v>
      </c>
      <c r="BY496" s="47">
        <v>0</v>
      </c>
      <c r="BZ496" s="47">
        <v>0</v>
      </c>
      <c r="CA496" s="47">
        <v>0</v>
      </c>
      <c r="CB496" s="47">
        <v>0</v>
      </c>
      <c r="CC496" s="47">
        <v>0</v>
      </c>
      <c r="CD496" s="47">
        <v>0</v>
      </c>
      <c r="CE496" s="47">
        <v>0</v>
      </c>
      <c r="CF496" s="47">
        <v>0</v>
      </c>
      <c r="CG496" s="47">
        <v>0</v>
      </c>
      <c r="CH496" s="47">
        <v>0</v>
      </c>
      <c r="CI496" s="47">
        <v>0</v>
      </c>
      <c r="CJ496" s="47">
        <v>0</v>
      </c>
      <c r="CK496" s="47">
        <v>0</v>
      </c>
      <c r="CL496" s="47">
        <v>0</v>
      </c>
      <c r="CM496" s="47">
        <v>0</v>
      </c>
      <c r="CN496" s="47">
        <v>0</v>
      </c>
      <c r="CO496" s="47">
        <v>0</v>
      </c>
      <c r="CP496" s="47">
        <v>0</v>
      </c>
      <c r="CQ496" s="47">
        <v>0</v>
      </c>
      <c r="CR496" s="47">
        <v>0</v>
      </c>
      <c r="CS496" s="47">
        <v>0</v>
      </c>
      <c r="CT496" s="47">
        <v>0</v>
      </c>
      <c r="CU496" s="47">
        <v>0</v>
      </c>
      <c r="CV496" s="47">
        <v>0</v>
      </c>
      <c r="CW496" s="47">
        <v>0</v>
      </c>
      <c r="CX496" s="47">
        <v>0</v>
      </c>
      <c r="CY496" s="47">
        <v>0</v>
      </c>
      <c r="CZ496" s="47">
        <v>0</v>
      </c>
      <c r="DA496" s="47">
        <v>0</v>
      </c>
      <c r="DB496" s="47">
        <v>0</v>
      </c>
      <c r="DC496" s="47">
        <v>0</v>
      </c>
      <c r="DD496" s="47">
        <v>0</v>
      </c>
      <c r="DE496" s="47">
        <v>0</v>
      </c>
      <c r="DF496" s="47">
        <v>0</v>
      </c>
      <c r="DG496" s="47">
        <v>0</v>
      </c>
      <c r="DH496" s="47">
        <v>0</v>
      </c>
      <c r="DI496" s="47">
        <v>0</v>
      </c>
      <c r="DJ496" s="47">
        <v>0</v>
      </c>
      <c r="DK496" s="47">
        <v>0</v>
      </c>
      <c r="DL496" s="47">
        <v>0</v>
      </c>
      <c r="DM496" s="47">
        <v>0</v>
      </c>
      <c r="DN496" s="47">
        <v>0</v>
      </c>
      <c r="DO496" s="47">
        <v>0</v>
      </c>
      <c r="DP496" s="47">
        <v>0</v>
      </c>
      <c r="DQ496" s="47">
        <v>0</v>
      </c>
      <c r="DR496" s="47">
        <v>0</v>
      </c>
      <c r="DS496" s="47">
        <v>0</v>
      </c>
      <c r="DT496" s="47">
        <v>0</v>
      </c>
      <c r="DU496" s="47">
        <v>0</v>
      </c>
      <c r="DV496" s="47">
        <v>0</v>
      </c>
      <c r="DW496" s="47">
        <v>0</v>
      </c>
      <c r="DX496" s="47">
        <v>0</v>
      </c>
      <c r="DY496" s="47">
        <v>0</v>
      </c>
      <c r="DZ496" s="47">
        <v>0</v>
      </c>
      <c r="EA496" s="47">
        <v>0</v>
      </c>
      <c r="EB496" s="47"/>
      <c r="EC496" s="47">
        <v>1</v>
      </c>
      <c r="ZZ496" t="s">
        <v>2472</v>
      </c>
    </row>
    <row r="497" spans="1:702" x14ac:dyDescent="0.25">
      <c r="A497" s="47" t="s">
        <v>2340</v>
      </c>
      <c r="B497" s="47" t="s">
        <v>153</v>
      </c>
      <c r="C497" s="47" t="s">
        <v>157</v>
      </c>
      <c r="D497" s="47" t="s">
        <v>2982</v>
      </c>
      <c r="E497" s="47" t="s">
        <v>2341</v>
      </c>
      <c r="F497" s="47" t="s">
        <v>2342</v>
      </c>
      <c r="G497" s="47" t="s">
        <v>2343</v>
      </c>
      <c r="H497" s="47" t="s">
        <v>698</v>
      </c>
      <c r="I497" s="47" t="s">
        <v>727</v>
      </c>
      <c r="J497" s="47" t="str">
        <f>=IFERROR(VLOOKUP(H497&amp;I497,Table_Fonctions!A:G,6,FALSE),"")</f>
        <v>0</v>
      </c>
      <c r="K497" s="47" t="s">
        <v>2607</v>
      </c>
      <c r="L497" s="47" t="str">
        <f>=IFERROR(VLOOKUP(H497&amp;I497,Table_Fonctions!A:G,7,FALSE),K497)</f>
        <v/>
      </c>
      <c r="M497" s="47" t="str">
        <f>=IF(OR(LEFT(D497, 3)="TJ ", LEFT(D497, 4)="CPH "), "OUI", "NON")</f>
        <v/>
      </c>
      <c r="N497" s="47" t="s">
        <v>1428</v>
      </c>
      <c r="O497" s="47"/>
      <c r="P497" s="47">
        <v>1</v>
      </c>
      <c r="Q497" s="47">
        <v>0</v>
      </c>
      <c r="R497" s="47">
        <v>1</v>
      </c>
      <c r="S497" s="47">
        <f>=ROUND(BQ497-(BR497+BS497),3)</f>
      </c>
      <c r="T497" s="47">
        <f>=ROUND(CK497-(CL497+CM497+CN497+CO497+CP497),3)</f>
      </c>
      <c r="U497" s="47">
        <v>0</v>
      </c>
      <c r="V497" s="47">
        <v>0</v>
      </c>
      <c r="W497" s="47">
        <v>0</v>
      </c>
      <c r="X497" s="47">
        <v>0</v>
      </c>
      <c r="Y497" s="47">
        <v>0</v>
      </c>
      <c r="Z497" s="47">
        <v>0</v>
      </c>
      <c r="AA497" s="47">
        <v>0</v>
      </c>
      <c r="AB497" s="47">
        <v>0</v>
      </c>
      <c r="AC497" s="47">
        <v>0</v>
      </c>
      <c r="AD497" s="47">
        <v>0</v>
      </c>
      <c r="AE497" s="47">
        <v>0</v>
      </c>
      <c r="AF497" s="47">
        <v>0</v>
      </c>
      <c r="AG497" s="47">
        <v>0</v>
      </c>
      <c r="AH497" s="47">
        <v>0</v>
      </c>
      <c r="AI497" s="47">
        <v>0</v>
      </c>
      <c r="AJ497" s="47">
        <v>0</v>
      </c>
      <c r="AK497" s="47">
        <v>0</v>
      </c>
      <c r="AL497" s="47">
        <v>0</v>
      </c>
      <c r="AM497" s="47">
        <v>0</v>
      </c>
      <c r="AN497" s="47">
        <v>0</v>
      </c>
      <c r="AO497" s="47">
        <v>0</v>
      </c>
      <c r="AP497" s="47">
        <v>0</v>
      </c>
      <c r="AQ497" s="47">
        <v>0</v>
      </c>
      <c r="AR497" s="47">
        <v>0</v>
      </c>
      <c r="AS497" s="47">
        <v>0</v>
      </c>
      <c r="AT497" s="47">
        <v>0</v>
      </c>
      <c r="AU497" s="47">
        <v>0</v>
      </c>
      <c r="AV497" s="47">
        <v>0</v>
      </c>
      <c r="AW497" s="47">
        <v>0</v>
      </c>
      <c r="AX497" s="47">
        <v>0</v>
      </c>
      <c r="AY497" s="47">
        <v>0</v>
      </c>
      <c r="AZ497" s="47">
        <v>0</v>
      </c>
      <c r="BA497" s="47">
        <v>0</v>
      </c>
      <c r="BB497" s="47">
        <v>0</v>
      </c>
      <c r="BC497" s="47">
        <v>0</v>
      </c>
      <c r="BD497" s="47">
        <v>0</v>
      </c>
      <c r="BE497" s="47">
        <v>0</v>
      </c>
      <c r="BF497" s="47">
        <v>0</v>
      </c>
      <c r="BG497" s="47">
        <v>0</v>
      </c>
      <c r="BH497" s="47">
        <v>0</v>
      </c>
      <c r="BI497" s="47">
        <v>0</v>
      </c>
      <c r="BJ497" s="47">
        <v>0</v>
      </c>
      <c r="BK497" s="47">
        <v>0</v>
      </c>
      <c r="BL497" s="47">
        <v>0</v>
      </c>
      <c r="BM497" s="47">
        <v>0</v>
      </c>
      <c r="BN497" s="47">
        <v>0</v>
      </c>
      <c r="BO497" s="47">
        <v>0</v>
      </c>
      <c r="BP497" s="47">
        <v>0</v>
      </c>
      <c r="BQ497" s="47">
        <v>0</v>
      </c>
      <c r="BR497" s="47">
        <v>0</v>
      </c>
      <c r="BS497" s="47">
        <v>0</v>
      </c>
      <c r="BT497" s="47">
        <v>0</v>
      </c>
      <c r="BU497" s="47">
        <v>0</v>
      </c>
      <c r="BV497" s="47">
        <v>0</v>
      </c>
      <c r="BW497" s="47">
        <v>0</v>
      </c>
      <c r="BX497" s="47">
        <v>0</v>
      </c>
      <c r="BY497" s="47">
        <v>0</v>
      </c>
      <c r="BZ497" s="47">
        <v>0</v>
      </c>
      <c r="CA497" s="47">
        <v>0</v>
      </c>
      <c r="CB497" s="47">
        <v>0</v>
      </c>
      <c r="CC497" s="47">
        <v>0</v>
      </c>
      <c r="CD497" s="47">
        <v>0</v>
      </c>
      <c r="CE497" s="47">
        <v>0</v>
      </c>
      <c r="CF497" s="47">
        <v>0</v>
      </c>
      <c r="CG497" s="47">
        <v>0</v>
      </c>
      <c r="CH497" s="47">
        <v>0</v>
      </c>
      <c r="CI497" s="47">
        <v>0</v>
      </c>
      <c r="CJ497" s="47">
        <v>0</v>
      </c>
      <c r="CK497" s="47">
        <v>0</v>
      </c>
      <c r="CL497" s="47">
        <v>0</v>
      </c>
      <c r="CM497" s="47">
        <v>0</v>
      </c>
      <c r="CN497" s="47">
        <v>0</v>
      </c>
      <c r="CO497" s="47">
        <v>0</v>
      </c>
      <c r="CP497" s="47">
        <v>0</v>
      </c>
      <c r="CQ497" s="47">
        <v>0</v>
      </c>
      <c r="CR497" s="47">
        <v>0</v>
      </c>
      <c r="CS497" s="47">
        <v>0</v>
      </c>
      <c r="CT497" s="47">
        <v>0</v>
      </c>
      <c r="CU497" s="47">
        <v>0</v>
      </c>
      <c r="CV497" s="47">
        <v>0</v>
      </c>
      <c r="CW497" s="47">
        <v>0</v>
      </c>
      <c r="CX497" s="47">
        <v>0</v>
      </c>
      <c r="CY497" s="47">
        <v>0</v>
      </c>
      <c r="CZ497" s="47">
        <v>0</v>
      </c>
      <c r="DA497" s="47">
        <v>0</v>
      </c>
      <c r="DB497" s="47">
        <v>0</v>
      </c>
      <c r="DC497" s="47">
        <v>0</v>
      </c>
      <c r="DD497" s="47">
        <v>0</v>
      </c>
      <c r="DE497" s="47">
        <v>0</v>
      </c>
      <c r="DF497" s="47">
        <v>0</v>
      </c>
      <c r="DG497" s="47">
        <v>0</v>
      </c>
      <c r="DH497" s="47">
        <v>0</v>
      </c>
      <c r="DI497" s="47">
        <v>0</v>
      </c>
      <c r="DJ497" s="47">
        <v>0</v>
      </c>
      <c r="DK497" s="47">
        <v>0</v>
      </c>
      <c r="DL497" s="47">
        <v>0</v>
      </c>
      <c r="DM497" s="47">
        <v>0</v>
      </c>
      <c r="DN497" s="47">
        <v>0</v>
      </c>
      <c r="DO497" s="47">
        <v>0</v>
      </c>
      <c r="DP497" s="47">
        <v>0</v>
      </c>
      <c r="DQ497" s="47">
        <v>0</v>
      </c>
      <c r="DR497" s="47">
        <v>0</v>
      </c>
      <c r="DS497" s="47">
        <v>0</v>
      </c>
      <c r="DT497" s="47">
        <v>0</v>
      </c>
      <c r="DU497" s="47">
        <v>0</v>
      </c>
      <c r="DV497" s="47">
        <v>0</v>
      </c>
      <c r="DW497" s="47">
        <v>0</v>
      </c>
      <c r="DX497" s="47">
        <v>0</v>
      </c>
      <c r="DY497" s="47">
        <v>0</v>
      </c>
      <c r="DZ497" s="47">
        <v>0</v>
      </c>
      <c r="EA497" s="47">
        <v>0</v>
      </c>
      <c r="EB497" s="47"/>
      <c r="EC497" s="47">
        <v>1</v>
      </c>
      <c r="ZZ497" t="s">
        <v>2472</v>
      </c>
    </row>
    <row r="498" spans="1:702" x14ac:dyDescent="0.25">
      <c r="A498" s="47" t="s">
        <v>2344</v>
      </c>
      <c r="B498" s="47" t="s">
        <v>153</v>
      </c>
      <c r="C498" s="47" t="s">
        <v>157</v>
      </c>
      <c r="D498" s="47" t="s">
        <v>2983</v>
      </c>
      <c r="E498" s="47" t="s">
        <v>2345</v>
      </c>
      <c r="F498" s="47" t="s">
        <v>2346</v>
      </c>
      <c r="G498" s="47" t="s">
        <v>2347</v>
      </c>
      <c r="H498" s="47" t="s">
        <v>698</v>
      </c>
      <c r="I498" s="47" t="s">
        <v>727</v>
      </c>
      <c r="J498" s="47" t="str">
        <f>=IFERROR(VLOOKUP(H498&amp;I498,Table_Fonctions!A:G,6,FALSE),"")</f>
        <v>0</v>
      </c>
      <c r="K498" s="47" t="s">
        <v>2607</v>
      </c>
      <c r="L498" s="47" t="str">
        <f>=IFERROR(VLOOKUP(H498&amp;I498,Table_Fonctions!A:G,7,FALSE),K498)</f>
        <v/>
      </c>
      <c r="M498" s="47" t="str">
        <f>=IF(OR(LEFT(D498, 3)="TJ ", LEFT(D498, 4)="CPH "), "OUI", "NON")</f>
        <v/>
      </c>
      <c r="N498" s="47" t="s">
        <v>1309</v>
      </c>
      <c r="O498" s="47"/>
      <c r="P498" s="47">
        <v>1</v>
      </c>
      <c r="Q498" s="47">
        <v>0</v>
      </c>
      <c r="R498" s="47">
        <v>1</v>
      </c>
      <c r="S498" s="47">
        <f>=ROUND(BQ498-(BR498+BS498),3)</f>
      </c>
      <c r="T498" s="47">
        <f>=ROUND(CK498-(CL498+CM498+CN498+CO498+CP498),3)</f>
      </c>
      <c r="U498" s="47">
        <v>0</v>
      </c>
      <c r="V498" s="47">
        <v>0</v>
      </c>
      <c r="W498" s="47">
        <v>0</v>
      </c>
      <c r="X498" s="47">
        <v>0</v>
      </c>
      <c r="Y498" s="47">
        <v>0</v>
      </c>
      <c r="Z498" s="47">
        <v>0</v>
      </c>
      <c r="AA498" s="47">
        <v>0</v>
      </c>
      <c r="AB498" s="47">
        <v>0</v>
      </c>
      <c r="AC498" s="47">
        <v>0</v>
      </c>
      <c r="AD498" s="47">
        <v>0</v>
      </c>
      <c r="AE498" s="47">
        <v>0</v>
      </c>
      <c r="AF498" s="47">
        <v>0</v>
      </c>
      <c r="AG498" s="47">
        <v>0</v>
      </c>
      <c r="AH498" s="47">
        <v>0</v>
      </c>
      <c r="AI498" s="47">
        <v>0</v>
      </c>
      <c r="AJ498" s="47">
        <v>0</v>
      </c>
      <c r="AK498" s="47">
        <v>0</v>
      </c>
      <c r="AL498" s="47">
        <v>0</v>
      </c>
      <c r="AM498" s="47">
        <v>0</v>
      </c>
      <c r="AN498" s="47">
        <v>0</v>
      </c>
      <c r="AO498" s="47">
        <v>0</v>
      </c>
      <c r="AP498" s="47">
        <v>0</v>
      </c>
      <c r="AQ498" s="47">
        <v>0</v>
      </c>
      <c r="AR498" s="47">
        <v>0</v>
      </c>
      <c r="AS498" s="47">
        <v>0</v>
      </c>
      <c r="AT498" s="47">
        <v>0</v>
      </c>
      <c r="AU498" s="47">
        <v>0</v>
      </c>
      <c r="AV498" s="47">
        <v>0</v>
      </c>
      <c r="AW498" s="47">
        <v>0</v>
      </c>
      <c r="AX498" s="47">
        <v>0</v>
      </c>
      <c r="AY498" s="47">
        <v>0</v>
      </c>
      <c r="AZ498" s="47">
        <v>0</v>
      </c>
      <c r="BA498" s="47">
        <v>0</v>
      </c>
      <c r="BB498" s="47">
        <v>0</v>
      </c>
      <c r="BC498" s="47">
        <v>0</v>
      </c>
      <c r="BD498" s="47">
        <v>0</v>
      </c>
      <c r="BE498" s="47">
        <v>0</v>
      </c>
      <c r="BF498" s="47">
        <v>0</v>
      </c>
      <c r="BG498" s="47">
        <v>0</v>
      </c>
      <c r="BH498" s="47">
        <v>0</v>
      </c>
      <c r="BI498" s="47">
        <v>0</v>
      </c>
      <c r="BJ498" s="47">
        <v>0</v>
      </c>
      <c r="BK498" s="47">
        <v>0</v>
      </c>
      <c r="BL498" s="47">
        <v>0</v>
      </c>
      <c r="BM498" s="47">
        <v>0</v>
      </c>
      <c r="BN498" s="47">
        <v>0</v>
      </c>
      <c r="BO498" s="47">
        <v>0</v>
      </c>
      <c r="BP498" s="47">
        <v>0</v>
      </c>
      <c r="BQ498" s="47">
        <v>0</v>
      </c>
      <c r="BR498" s="47">
        <v>0</v>
      </c>
      <c r="BS498" s="47">
        <v>0</v>
      </c>
      <c r="BT498" s="47">
        <v>0</v>
      </c>
      <c r="BU498" s="47">
        <v>0</v>
      </c>
      <c r="BV498" s="47">
        <v>0</v>
      </c>
      <c r="BW498" s="47">
        <v>0</v>
      </c>
      <c r="BX498" s="47">
        <v>0</v>
      </c>
      <c r="BY498" s="47">
        <v>0</v>
      </c>
      <c r="BZ498" s="47">
        <v>0</v>
      </c>
      <c r="CA498" s="47">
        <v>0</v>
      </c>
      <c r="CB498" s="47">
        <v>0</v>
      </c>
      <c r="CC498" s="47">
        <v>0</v>
      </c>
      <c r="CD498" s="47">
        <v>0</v>
      </c>
      <c r="CE498" s="47">
        <v>0</v>
      </c>
      <c r="CF498" s="47">
        <v>0</v>
      </c>
      <c r="CG498" s="47">
        <v>0</v>
      </c>
      <c r="CH498" s="47">
        <v>0</v>
      </c>
      <c r="CI498" s="47">
        <v>0</v>
      </c>
      <c r="CJ498" s="47">
        <v>0</v>
      </c>
      <c r="CK498" s="47">
        <v>0</v>
      </c>
      <c r="CL498" s="47">
        <v>0</v>
      </c>
      <c r="CM498" s="47">
        <v>0</v>
      </c>
      <c r="CN498" s="47">
        <v>0</v>
      </c>
      <c r="CO498" s="47">
        <v>0</v>
      </c>
      <c r="CP498" s="47">
        <v>0</v>
      </c>
      <c r="CQ498" s="47">
        <v>0</v>
      </c>
      <c r="CR498" s="47">
        <v>0</v>
      </c>
      <c r="CS498" s="47">
        <v>0</v>
      </c>
      <c r="CT498" s="47">
        <v>0</v>
      </c>
      <c r="CU498" s="47">
        <v>0</v>
      </c>
      <c r="CV498" s="47">
        <v>0</v>
      </c>
      <c r="CW498" s="47">
        <v>0</v>
      </c>
      <c r="CX498" s="47">
        <v>0</v>
      </c>
      <c r="CY498" s="47">
        <v>0</v>
      </c>
      <c r="CZ498" s="47">
        <v>0</v>
      </c>
      <c r="DA498" s="47">
        <v>0</v>
      </c>
      <c r="DB498" s="47">
        <v>0</v>
      </c>
      <c r="DC498" s="47">
        <v>0</v>
      </c>
      <c r="DD498" s="47">
        <v>0</v>
      </c>
      <c r="DE498" s="47">
        <v>0</v>
      </c>
      <c r="DF498" s="47">
        <v>0</v>
      </c>
      <c r="DG498" s="47">
        <v>0</v>
      </c>
      <c r="DH498" s="47">
        <v>0</v>
      </c>
      <c r="DI498" s="47">
        <v>0</v>
      </c>
      <c r="DJ498" s="47">
        <v>0</v>
      </c>
      <c r="DK498" s="47">
        <v>0</v>
      </c>
      <c r="DL498" s="47">
        <v>0</v>
      </c>
      <c r="DM498" s="47">
        <v>0</v>
      </c>
      <c r="DN498" s="47">
        <v>0</v>
      </c>
      <c r="DO498" s="47">
        <v>0</v>
      </c>
      <c r="DP498" s="47">
        <v>0</v>
      </c>
      <c r="DQ498" s="47">
        <v>0</v>
      </c>
      <c r="DR498" s="47">
        <v>0</v>
      </c>
      <c r="DS498" s="47">
        <v>0</v>
      </c>
      <c r="DT498" s="47">
        <v>0</v>
      </c>
      <c r="DU498" s="47">
        <v>0</v>
      </c>
      <c r="DV498" s="47">
        <v>0</v>
      </c>
      <c r="DW498" s="47">
        <v>0</v>
      </c>
      <c r="DX498" s="47">
        <v>0</v>
      </c>
      <c r="DY498" s="47">
        <v>0</v>
      </c>
      <c r="DZ498" s="47">
        <v>0</v>
      </c>
      <c r="EA498" s="47">
        <v>0</v>
      </c>
      <c r="EB498" s="47"/>
      <c r="EC498" s="47">
        <v>1</v>
      </c>
      <c r="ZZ498" t="s">
        <v>2472</v>
      </c>
    </row>
    <row r="499" spans="1:702" x14ac:dyDescent="0.25">
      <c r="A499" s="47" t="s">
        <v>2348</v>
      </c>
      <c r="B499" s="47" t="s">
        <v>153</v>
      </c>
      <c r="C499" s="47" t="s">
        <v>157</v>
      </c>
      <c r="D499" s="47" t="s">
        <v>2984</v>
      </c>
      <c r="E499" s="47" t="s">
        <v>2349</v>
      </c>
      <c r="F499" s="47" t="s">
        <v>2350</v>
      </c>
      <c r="G499" s="47" t="s">
        <v>2351</v>
      </c>
      <c r="H499" s="47" t="s">
        <v>698</v>
      </c>
      <c r="I499" s="47" t="s">
        <v>727</v>
      </c>
      <c r="J499" s="47" t="str">
        <f>=IFERROR(VLOOKUP(H499&amp;I499,Table_Fonctions!A:G,6,FALSE),"")</f>
        <v>0</v>
      </c>
      <c r="K499" s="47" t="s">
        <v>2607</v>
      </c>
      <c r="L499" s="47" t="str">
        <f>=IFERROR(VLOOKUP(H499&amp;I499,Table_Fonctions!A:G,7,FALSE),K499)</f>
        <v/>
      </c>
      <c r="M499" s="47" t="str">
        <f>=IF(OR(LEFT(D499, 3)="TJ ", LEFT(D499, 4)="CPH "), "OUI", "NON")</f>
        <v/>
      </c>
      <c r="N499" s="47" t="s">
        <v>1363</v>
      </c>
      <c r="O499" s="47"/>
      <c r="P499" s="47">
        <v>0.8</v>
      </c>
      <c r="Q499" s="47">
        <v>0.8</v>
      </c>
      <c r="R499" s="47">
        <v>0</v>
      </c>
      <c r="S499" s="47">
        <f>=ROUND(BQ499-(BR499+BS499),3)</f>
      </c>
      <c r="T499" s="47">
        <f>=ROUND(CK499-(CL499+CM499+CN499+CO499+CP499),3)</f>
      </c>
      <c r="U499" s="47">
        <v>0</v>
      </c>
      <c r="V499" s="47">
        <v>0</v>
      </c>
      <c r="W499" s="47">
        <v>0</v>
      </c>
      <c r="X499" s="47">
        <v>0</v>
      </c>
      <c r="Y499" s="47">
        <v>0</v>
      </c>
      <c r="Z499" s="47">
        <v>0</v>
      </c>
      <c r="AA499" s="47">
        <v>0</v>
      </c>
      <c r="AB499" s="47">
        <v>0</v>
      </c>
      <c r="AC499" s="47">
        <v>0</v>
      </c>
      <c r="AD499" s="47">
        <v>0</v>
      </c>
      <c r="AE499" s="47">
        <v>0</v>
      </c>
      <c r="AF499" s="47">
        <v>0</v>
      </c>
      <c r="AG499" s="47">
        <v>0</v>
      </c>
      <c r="AH499" s="47">
        <v>0</v>
      </c>
      <c r="AI499" s="47">
        <v>0</v>
      </c>
      <c r="AJ499" s="47">
        <v>0</v>
      </c>
      <c r="AK499" s="47">
        <v>0</v>
      </c>
      <c r="AL499" s="47">
        <v>0</v>
      </c>
      <c r="AM499" s="47">
        <v>0</v>
      </c>
      <c r="AN499" s="47">
        <v>0</v>
      </c>
      <c r="AO499" s="47">
        <v>0</v>
      </c>
      <c r="AP499" s="47">
        <v>0</v>
      </c>
      <c r="AQ499" s="47">
        <v>0</v>
      </c>
      <c r="AR499" s="47">
        <v>0</v>
      </c>
      <c r="AS499" s="47">
        <v>0.8</v>
      </c>
      <c r="AT499" s="47">
        <v>0</v>
      </c>
      <c r="AU499" s="47">
        <v>0</v>
      </c>
      <c r="AV499" s="47">
        <v>0</v>
      </c>
      <c r="AW499" s="47">
        <v>0</v>
      </c>
      <c r="AX499" s="47">
        <v>0</v>
      </c>
      <c r="AY499" s="47">
        <v>0</v>
      </c>
      <c r="AZ499" s="47">
        <v>0</v>
      </c>
      <c r="BA499" s="47">
        <v>0</v>
      </c>
      <c r="BB499" s="47">
        <v>0</v>
      </c>
      <c r="BC499" s="47">
        <v>0</v>
      </c>
      <c r="BD499" s="47">
        <v>0</v>
      </c>
      <c r="BE499" s="47">
        <v>0</v>
      </c>
      <c r="BF499" s="47">
        <v>0</v>
      </c>
      <c r="BG499" s="47">
        <v>0</v>
      </c>
      <c r="BH499" s="47">
        <v>0</v>
      </c>
      <c r="BI499" s="47">
        <v>0</v>
      </c>
      <c r="BJ499" s="47">
        <v>0</v>
      </c>
      <c r="BK499" s="47">
        <v>0</v>
      </c>
      <c r="BL499" s="47">
        <v>0</v>
      </c>
      <c r="BM499" s="47">
        <v>0</v>
      </c>
      <c r="BN499" s="47">
        <v>0</v>
      </c>
      <c r="BO499" s="47">
        <v>0</v>
      </c>
      <c r="BP499" s="47">
        <v>0</v>
      </c>
      <c r="BQ499" s="47">
        <v>0</v>
      </c>
      <c r="BR499" s="47">
        <v>0</v>
      </c>
      <c r="BS499" s="47">
        <v>0</v>
      </c>
      <c r="BT499" s="47">
        <v>0</v>
      </c>
      <c r="BU499" s="47">
        <v>0</v>
      </c>
      <c r="BV499" s="47">
        <v>0</v>
      </c>
      <c r="BW499" s="47">
        <v>0</v>
      </c>
      <c r="BX499" s="47">
        <v>0</v>
      </c>
      <c r="BY499" s="47">
        <v>0</v>
      </c>
      <c r="BZ499" s="47">
        <v>0</v>
      </c>
      <c r="CA499" s="47">
        <v>0</v>
      </c>
      <c r="CB499" s="47">
        <v>0</v>
      </c>
      <c r="CC499" s="47">
        <v>0</v>
      </c>
      <c r="CD499" s="47">
        <v>0</v>
      </c>
      <c r="CE499" s="47">
        <v>0</v>
      </c>
      <c r="CF499" s="47">
        <v>0</v>
      </c>
      <c r="CG499" s="47">
        <v>0</v>
      </c>
      <c r="CH499" s="47">
        <v>0</v>
      </c>
      <c r="CI499" s="47">
        <v>0</v>
      </c>
      <c r="CJ499" s="47">
        <v>0</v>
      </c>
      <c r="CK499" s="47">
        <v>0</v>
      </c>
      <c r="CL499" s="47">
        <v>0</v>
      </c>
      <c r="CM499" s="47">
        <v>0</v>
      </c>
      <c r="CN499" s="47">
        <v>0</v>
      </c>
      <c r="CO499" s="47">
        <v>0</v>
      </c>
      <c r="CP499" s="47">
        <v>0</v>
      </c>
      <c r="CQ499" s="47">
        <v>0</v>
      </c>
      <c r="CR499" s="47">
        <v>0</v>
      </c>
      <c r="CS499" s="47">
        <v>0</v>
      </c>
      <c r="CT499" s="47">
        <v>0</v>
      </c>
      <c r="CU499" s="47">
        <v>0</v>
      </c>
      <c r="CV499" s="47">
        <v>0</v>
      </c>
      <c r="CW499" s="47">
        <v>0</v>
      </c>
      <c r="CX499" s="47">
        <v>0</v>
      </c>
      <c r="CY499" s="47">
        <v>0</v>
      </c>
      <c r="CZ499" s="47">
        <v>0</v>
      </c>
      <c r="DA499" s="47">
        <v>0</v>
      </c>
      <c r="DB499" s="47">
        <v>0</v>
      </c>
      <c r="DC499" s="47">
        <v>0</v>
      </c>
      <c r="DD499" s="47">
        <v>0</v>
      </c>
      <c r="DE499" s="47">
        <v>0</v>
      </c>
      <c r="DF499" s="47">
        <v>0</v>
      </c>
      <c r="DG499" s="47">
        <v>0</v>
      </c>
      <c r="DH499" s="47">
        <v>0</v>
      </c>
      <c r="DI499" s="47">
        <v>0</v>
      </c>
      <c r="DJ499" s="47">
        <v>0</v>
      </c>
      <c r="DK499" s="47">
        <v>0</v>
      </c>
      <c r="DL499" s="47">
        <v>0</v>
      </c>
      <c r="DM499" s="47">
        <v>0</v>
      </c>
      <c r="DN499" s="47">
        <v>0</v>
      </c>
      <c r="DO499" s="47">
        <v>0</v>
      </c>
      <c r="DP499" s="47">
        <v>0</v>
      </c>
      <c r="DQ499" s="47">
        <v>0</v>
      </c>
      <c r="DR499" s="47">
        <v>0</v>
      </c>
      <c r="DS499" s="47">
        <v>0</v>
      </c>
      <c r="DT499" s="47">
        <v>0</v>
      </c>
      <c r="DU499" s="47">
        <v>0</v>
      </c>
      <c r="DV499" s="47">
        <v>0</v>
      </c>
      <c r="DW499" s="47">
        <v>0</v>
      </c>
      <c r="DX499" s="47">
        <v>0</v>
      </c>
      <c r="DY499" s="47">
        <v>0</v>
      </c>
      <c r="DZ499" s="47">
        <v>0</v>
      </c>
      <c r="EA499" s="47">
        <v>0</v>
      </c>
      <c r="EB499" s="47"/>
      <c r="EC499" s="47">
        <v>0.8</v>
      </c>
      <c r="ZZ499" t="s">
        <v>2472</v>
      </c>
    </row>
    <row r="500" spans="1:702" x14ac:dyDescent="0.25">
      <c r="A500" s="47" t="s">
        <v>2352</v>
      </c>
      <c r="B500" s="47" t="s">
        <v>153</v>
      </c>
      <c r="C500" s="47" t="s">
        <v>157</v>
      </c>
      <c r="D500" s="47" t="s">
        <v>2985</v>
      </c>
      <c r="E500" s="47" t="s">
        <v>2353</v>
      </c>
      <c r="F500" s="47" t="s">
        <v>2354</v>
      </c>
      <c r="G500" s="47" t="s">
        <v>2355</v>
      </c>
      <c r="H500" s="47" t="s">
        <v>698</v>
      </c>
      <c r="I500" s="47" t="s">
        <v>705</v>
      </c>
      <c r="J500" s="47" t="str">
        <f>=IFERROR(VLOOKUP(H500&amp;I500,Table_Fonctions!A:G,6,FALSE),"")</f>
        <v>0</v>
      </c>
      <c r="K500" s="47" t="s">
        <v>2607</v>
      </c>
      <c r="L500" s="47" t="str">
        <f>=IFERROR(VLOOKUP(H500&amp;I500,Table_Fonctions!A:G,7,FALSE),K500)</f>
        <v/>
      </c>
      <c r="M500" s="47" t="str">
        <f>=IF(OR(LEFT(D500, 3)="TJ ", LEFT(D500, 4)="CPH "), "OUI", "NON")</f>
        <v/>
      </c>
      <c r="N500" s="47" t="s">
        <v>791</v>
      </c>
      <c r="O500" s="47"/>
      <c r="P500" s="47">
        <v>1</v>
      </c>
      <c r="Q500" s="47">
        <v>0</v>
      </c>
      <c r="R500" s="47">
        <v>1</v>
      </c>
      <c r="S500" s="47">
        <f>=ROUND(BQ500-(BR500+BS500),3)</f>
      </c>
      <c r="T500" s="47">
        <f>=ROUND(CK500-(CL500+CM500+CN500+CO500+CP500),3)</f>
      </c>
      <c r="U500" s="47">
        <v>0</v>
      </c>
      <c r="V500" s="47">
        <v>0</v>
      </c>
      <c r="W500" s="47">
        <v>0</v>
      </c>
      <c r="X500" s="47">
        <v>0</v>
      </c>
      <c r="Y500" s="47">
        <v>0</v>
      </c>
      <c r="Z500" s="47">
        <v>0</v>
      </c>
      <c r="AA500" s="47">
        <v>0</v>
      </c>
      <c r="AB500" s="47">
        <v>0</v>
      </c>
      <c r="AC500" s="47">
        <v>0</v>
      </c>
      <c r="AD500" s="47">
        <v>0</v>
      </c>
      <c r="AE500" s="47">
        <v>0</v>
      </c>
      <c r="AF500" s="47">
        <v>0</v>
      </c>
      <c r="AG500" s="47">
        <v>0</v>
      </c>
      <c r="AH500" s="47">
        <v>0</v>
      </c>
      <c r="AI500" s="47">
        <v>0</v>
      </c>
      <c r="AJ500" s="47">
        <v>0</v>
      </c>
      <c r="AK500" s="47">
        <v>0</v>
      </c>
      <c r="AL500" s="47">
        <v>0</v>
      </c>
      <c r="AM500" s="47">
        <v>0</v>
      </c>
      <c r="AN500" s="47">
        <v>0</v>
      </c>
      <c r="AO500" s="47">
        <v>0</v>
      </c>
      <c r="AP500" s="47">
        <v>0</v>
      </c>
      <c r="AQ500" s="47">
        <v>0</v>
      </c>
      <c r="AR500" s="47">
        <v>0</v>
      </c>
      <c r="AS500" s="47">
        <v>0</v>
      </c>
      <c r="AT500" s="47">
        <v>0</v>
      </c>
      <c r="AU500" s="47">
        <v>0</v>
      </c>
      <c r="AV500" s="47">
        <v>0</v>
      </c>
      <c r="AW500" s="47">
        <v>0</v>
      </c>
      <c r="AX500" s="47">
        <v>0</v>
      </c>
      <c r="AY500" s="47">
        <v>0</v>
      </c>
      <c r="AZ500" s="47">
        <v>0</v>
      </c>
      <c r="BA500" s="47">
        <v>0</v>
      </c>
      <c r="BB500" s="47">
        <v>0</v>
      </c>
      <c r="BC500" s="47">
        <v>0</v>
      </c>
      <c r="BD500" s="47">
        <v>0</v>
      </c>
      <c r="BE500" s="47">
        <v>0</v>
      </c>
      <c r="BF500" s="47">
        <v>0</v>
      </c>
      <c r="BG500" s="47">
        <v>0</v>
      </c>
      <c r="BH500" s="47">
        <v>0</v>
      </c>
      <c r="BI500" s="47">
        <v>0</v>
      </c>
      <c r="BJ500" s="47">
        <v>0</v>
      </c>
      <c r="BK500" s="47">
        <v>0</v>
      </c>
      <c r="BL500" s="47">
        <v>0</v>
      </c>
      <c r="BM500" s="47">
        <v>0</v>
      </c>
      <c r="BN500" s="47">
        <v>0</v>
      </c>
      <c r="BO500" s="47">
        <v>0</v>
      </c>
      <c r="BP500" s="47">
        <v>0</v>
      </c>
      <c r="BQ500" s="47">
        <v>0</v>
      </c>
      <c r="BR500" s="47">
        <v>0</v>
      </c>
      <c r="BS500" s="47">
        <v>0</v>
      </c>
      <c r="BT500" s="47">
        <v>0</v>
      </c>
      <c r="BU500" s="47">
        <v>0</v>
      </c>
      <c r="BV500" s="47">
        <v>0</v>
      </c>
      <c r="BW500" s="47">
        <v>0</v>
      </c>
      <c r="BX500" s="47">
        <v>0</v>
      </c>
      <c r="BY500" s="47">
        <v>0</v>
      </c>
      <c r="BZ500" s="47">
        <v>0</v>
      </c>
      <c r="CA500" s="47">
        <v>0</v>
      </c>
      <c r="CB500" s="47">
        <v>0</v>
      </c>
      <c r="CC500" s="47">
        <v>0</v>
      </c>
      <c r="CD500" s="47">
        <v>0</v>
      </c>
      <c r="CE500" s="47">
        <v>0</v>
      </c>
      <c r="CF500" s="47">
        <v>0</v>
      </c>
      <c r="CG500" s="47">
        <v>0</v>
      </c>
      <c r="CH500" s="47">
        <v>0</v>
      </c>
      <c r="CI500" s="47">
        <v>0</v>
      </c>
      <c r="CJ500" s="47">
        <v>0</v>
      </c>
      <c r="CK500" s="47">
        <v>0</v>
      </c>
      <c r="CL500" s="47">
        <v>0</v>
      </c>
      <c r="CM500" s="47">
        <v>0</v>
      </c>
      <c r="CN500" s="47">
        <v>0</v>
      </c>
      <c r="CO500" s="47">
        <v>0</v>
      </c>
      <c r="CP500" s="47">
        <v>0</v>
      </c>
      <c r="CQ500" s="47">
        <v>0</v>
      </c>
      <c r="CR500" s="47">
        <v>0</v>
      </c>
      <c r="CS500" s="47">
        <v>0</v>
      </c>
      <c r="CT500" s="47">
        <v>0</v>
      </c>
      <c r="CU500" s="47">
        <v>0</v>
      </c>
      <c r="CV500" s="47">
        <v>0</v>
      </c>
      <c r="CW500" s="47">
        <v>0</v>
      </c>
      <c r="CX500" s="47">
        <v>0</v>
      </c>
      <c r="CY500" s="47">
        <v>0</v>
      </c>
      <c r="CZ500" s="47">
        <v>0</v>
      </c>
      <c r="DA500" s="47">
        <v>0</v>
      </c>
      <c r="DB500" s="47">
        <v>0</v>
      </c>
      <c r="DC500" s="47">
        <v>0</v>
      </c>
      <c r="DD500" s="47">
        <v>0</v>
      </c>
      <c r="DE500" s="47">
        <v>0</v>
      </c>
      <c r="DF500" s="47">
        <v>0</v>
      </c>
      <c r="DG500" s="47">
        <v>0</v>
      </c>
      <c r="DH500" s="47">
        <v>0</v>
      </c>
      <c r="DI500" s="47">
        <v>0</v>
      </c>
      <c r="DJ500" s="47">
        <v>0</v>
      </c>
      <c r="DK500" s="47">
        <v>0</v>
      </c>
      <c r="DL500" s="47">
        <v>0</v>
      </c>
      <c r="DM500" s="47">
        <v>0</v>
      </c>
      <c r="DN500" s="47">
        <v>0</v>
      </c>
      <c r="DO500" s="47">
        <v>0</v>
      </c>
      <c r="DP500" s="47">
        <v>0</v>
      </c>
      <c r="DQ500" s="47">
        <v>0</v>
      </c>
      <c r="DR500" s="47">
        <v>0</v>
      </c>
      <c r="DS500" s="47">
        <v>0</v>
      </c>
      <c r="DT500" s="47">
        <v>0</v>
      </c>
      <c r="DU500" s="47">
        <v>0</v>
      </c>
      <c r="DV500" s="47">
        <v>0</v>
      </c>
      <c r="DW500" s="47">
        <v>0</v>
      </c>
      <c r="DX500" s="47">
        <v>0</v>
      </c>
      <c r="DY500" s="47">
        <v>0</v>
      </c>
      <c r="DZ500" s="47">
        <v>0</v>
      </c>
      <c r="EA500" s="47">
        <v>0</v>
      </c>
      <c r="EB500" s="47"/>
      <c r="EC500" s="47">
        <v>1</v>
      </c>
      <c r="ZZ500" t="s">
        <v>2472</v>
      </c>
    </row>
    <row r="501" spans="1:702" x14ac:dyDescent="0.25">
      <c r="A501" s="47" t="s">
        <v>2356</v>
      </c>
      <c r="B501" s="47" t="s">
        <v>153</v>
      </c>
      <c r="C501" s="47" t="s">
        <v>157</v>
      </c>
      <c r="D501" s="47" t="s">
        <v>2986</v>
      </c>
      <c r="E501" s="47" t="s">
        <v>2357</v>
      </c>
      <c r="F501" s="47" t="s">
        <v>2358</v>
      </c>
      <c r="G501" s="47" t="s">
        <v>2359</v>
      </c>
      <c r="H501" s="47" t="s">
        <v>698</v>
      </c>
      <c r="I501" s="47" t="s">
        <v>727</v>
      </c>
      <c r="J501" s="47" t="str">
        <f>=IFERROR(VLOOKUP(H501&amp;I501,Table_Fonctions!A:G,6,FALSE),"")</f>
        <v>0</v>
      </c>
      <c r="K501" s="47" t="s">
        <v>2607</v>
      </c>
      <c r="L501" s="47" t="str">
        <f>=IFERROR(VLOOKUP(H501&amp;I501,Table_Fonctions!A:G,7,FALSE),K501)</f>
        <v/>
      </c>
      <c r="M501" s="47" t="str">
        <f>=IF(OR(LEFT(D501, 3)="TJ ", LEFT(D501, 4)="CPH "), "OUI", "NON")</f>
        <v/>
      </c>
      <c r="N501" s="47" t="s">
        <v>1113</v>
      </c>
      <c r="O501" s="47"/>
      <c r="P501" s="47">
        <v>1</v>
      </c>
      <c r="Q501" s="47">
        <v>1</v>
      </c>
      <c r="R501" s="47">
        <v>0</v>
      </c>
      <c r="S501" s="47">
        <f>=ROUND(BQ501-(BR501+BS501),3)</f>
      </c>
      <c r="T501" s="47">
        <f>=ROUND(CK501-(CL501+CM501+CN501+CO501+CP501),3)</f>
      </c>
      <c r="U501" s="47">
        <v>0</v>
      </c>
      <c r="V501" s="47">
        <v>0</v>
      </c>
      <c r="W501" s="47">
        <v>0</v>
      </c>
      <c r="X501" s="47">
        <v>0</v>
      </c>
      <c r="Y501" s="47">
        <v>0</v>
      </c>
      <c r="Z501" s="47">
        <v>0</v>
      </c>
      <c r="AA501" s="47">
        <v>0</v>
      </c>
      <c r="AB501" s="47">
        <v>0</v>
      </c>
      <c r="AC501" s="47">
        <v>0</v>
      </c>
      <c r="AD501" s="47">
        <v>0</v>
      </c>
      <c r="AE501" s="47">
        <v>0</v>
      </c>
      <c r="AF501" s="47">
        <v>0</v>
      </c>
      <c r="AG501" s="47">
        <v>0</v>
      </c>
      <c r="AH501" s="47">
        <v>0</v>
      </c>
      <c r="AI501" s="47">
        <v>0</v>
      </c>
      <c r="AJ501" s="47">
        <v>0</v>
      </c>
      <c r="AK501" s="47">
        <v>0</v>
      </c>
      <c r="AL501" s="47">
        <v>0</v>
      </c>
      <c r="AM501" s="47">
        <v>0</v>
      </c>
      <c r="AN501" s="47">
        <v>0</v>
      </c>
      <c r="AO501" s="47">
        <v>0</v>
      </c>
      <c r="AP501" s="47">
        <v>0</v>
      </c>
      <c r="AQ501" s="47">
        <v>0</v>
      </c>
      <c r="AR501" s="47">
        <v>0</v>
      </c>
      <c r="AS501" s="47">
        <v>1</v>
      </c>
      <c r="AT501" s="47">
        <v>0</v>
      </c>
      <c r="AU501" s="47">
        <v>0</v>
      </c>
      <c r="AV501" s="47">
        <v>0</v>
      </c>
      <c r="AW501" s="47">
        <v>0</v>
      </c>
      <c r="AX501" s="47">
        <v>0</v>
      </c>
      <c r="AY501" s="47">
        <v>0</v>
      </c>
      <c r="AZ501" s="47">
        <v>0</v>
      </c>
      <c r="BA501" s="47">
        <v>0</v>
      </c>
      <c r="BB501" s="47">
        <v>0</v>
      </c>
      <c r="BC501" s="47">
        <v>0</v>
      </c>
      <c r="BD501" s="47">
        <v>0</v>
      </c>
      <c r="BE501" s="47">
        <v>0</v>
      </c>
      <c r="BF501" s="47">
        <v>0</v>
      </c>
      <c r="BG501" s="47">
        <v>0</v>
      </c>
      <c r="BH501" s="47">
        <v>0</v>
      </c>
      <c r="BI501" s="47">
        <v>0</v>
      </c>
      <c r="BJ501" s="47">
        <v>0</v>
      </c>
      <c r="BK501" s="47">
        <v>0</v>
      </c>
      <c r="BL501" s="47">
        <v>0</v>
      </c>
      <c r="BM501" s="47">
        <v>0</v>
      </c>
      <c r="BN501" s="47">
        <v>0</v>
      </c>
      <c r="BO501" s="47">
        <v>0</v>
      </c>
      <c r="BP501" s="47">
        <v>0</v>
      </c>
      <c r="BQ501" s="47">
        <v>0</v>
      </c>
      <c r="BR501" s="47">
        <v>0</v>
      </c>
      <c r="BS501" s="47">
        <v>0</v>
      </c>
      <c r="BT501" s="47">
        <v>0</v>
      </c>
      <c r="BU501" s="47">
        <v>0</v>
      </c>
      <c r="BV501" s="47">
        <v>0</v>
      </c>
      <c r="BW501" s="47">
        <v>0</v>
      </c>
      <c r="BX501" s="47">
        <v>0</v>
      </c>
      <c r="BY501" s="47">
        <v>0</v>
      </c>
      <c r="BZ501" s="47">
        <v>0</v>
      </c>
      <c r="CA501" s="47">
        <v>0</v>
      </c>
      <c r="CB501" s="47">
        <v>0</v>
      </c>
      <c r="CC501" s="47">
        <v>0</v>
      </c>
      <c r="CD501" s="47">
        <v>0</v>
      </c>
      <c r="CE501" s="47">
        <v>0</v>
      </c>
      <c r="CF501" s="47">
        <v>0</v>
      </c>
      <c r="CG501" s="47">
        <v>0</v>
      </c>
      <c r="CH501" s="47">
        <v>0</v>
      </c>
      <c r="CI501" s="47">
        <v>0</v>
      </c>
      <c r="CJ501" s="47">
        <v>0</v>
      </c>
      <c r="CK501" s="47">
        <v>0</v>
      </c>
      <c r="CL501" s="47">
        <v>0</v>
      </c>
      <c r="CM501" s="47">
        <v>0</v>
      </c>
      <c r="CN501" s="47">
        <v>0</v>
      </c>
      <c r="CO501" s="47">
        <v>0</v>
      </c>
      <c r="CP501" s="47">
        <v>0</v>
      </c>
      <c r="CQ501" s="47">
        <v>0</v>
      </c>
      <c r="CR501" s="47">
        <v>0</v>
      </c>
      <c r="CS501" s="47">
        <v>0</v>
      </c>
      <c r="CT501" s="47">
        <v>0</v>
      </c>
      <c r="CU501" s="47">
        <v>0</v>
      </c>
      <c r="CV501" s="47">
        <v>0</v>
      </c>
      <c r="CW501" s="47">
        <v>0</v>
      </c>
      <c r="CX501" s="47">
        <v>0</v>
      </c>
      <c r="CY501" s="47">
        <v>0</v>
      </c>
      <c r="CZ501" s="47">
        <v>0</v>
      </c>
      <c r="DA501" s="47">
        <v>0</v>
      </c>
      <c r="DB501" s="47">
        <v>0</v>
      </c>
      <c r="DC501" s="47">
        <v>0</v>
      </c>
      <c r="DD501" s="47">
        <v>0</v>
      </c>
      <c r="DE501" s="47">
        <v>0</v>
      </c>
      <c r="DF501" s="47">
        <v>0</v>
      </c>
      <c r="DG501" s="47">
        <v>0</v>
      </c>
      <c r="DH501" s="47">
        <v>0</v>
      </c>
      <c r="DI501" s="47">
        <v>0</v>
      </c>
      <c r="DJ501" s="47">
        <v>0</v>
      </c>
      <c r="DK501" s="47">
        <v>0</v>
      </c>
      <c r="DL501" s="47">
        <v>0</v>
      </c>
      <c r="DM501" s="47">
        <v>0</v>
      </c>
      <c r="DN501" s="47">
        <v>0</v>
      </c>
      <c r="DO501" s="47">
        <v>0</v>
      </c>
      <c r="DP501" s="47">
        <v>0</v>
      </c>
      <c r="DQ501" s="47">
        <v>0</v>
      </c>
      <c r="DR501" s="47">
        <v>0</v>
      </c>
      <c r="DS501" s="47">
        <v>0</v>
      </c>
      <c r="DT501" s="47">
        <v>0</v>
      </c>
      <c r="DU501" s="47">
        <v>0</v>
      </c>
      <c r="DV501" s="47">
        <v>0</v>
      </c>
      <c r="DW501" s="47">
        <v>0</v>
      </c>
      <c r="DX501" s="47">
        <v>0</v>
      </c>
      <c r="DY501" s="47">
        <v>0</v>
      </c>
      <c r="DZ501" s="47">
        <v>0</v>
      </c>
      <c r="EA501" s="47">
        <v>0</v>
      </c>
      <c r="EB501" s="47"/>
      <c r="EC501" s="47">
        <v>1</v>
      </c>
      <c r="ZZ501" t="s">
        <v>2472</v>
      </c>
    </row>
    <row r="502" spans="1:702" x14ac:dyDescent="0.25">
      <c r="A502" s="47" t="s">
        <v>2360</v>
      </c>
      <c r="B502" s="47" t="s">
        <v>153</v>
      </c>
      <c r="C502" s="47" t="s">
        <v>157</v>
      </c>
      <c r="D502" s="47" t="s">
        <v>2987</v>
      </c>
      <c r="E502" s="47" t="s">
        <v>2361</v>
      </c>
      <c r="F502" s="47" t="s">
        <v>2362</v>
      </c>
      <c r="G502" s="47" t="s">
        <v>2363</v>
      </c>
      <c r="H502" s="47" t="s">
        <v>698</v>
      </c>
      <c r="I502" s="47" t="s">
        <v>727</v>
      </c>
      <c r="J502" s="47" t="str">
        <f>=IFERROR(VLOOKUP(H502&amp;I502,Table_Fonctions!A:G,6,FALSE),"")</f>
        <v>0</v>
      </c>
      <c r="K502" s="47" t="s">
        <v>2607</v>
      </c>
      <c r="L502" s="47" t="str">
        <f>=IFERROR(VLOOKUP(H502&amp;I502,Table_Fonctions!A:G,7,FALSE),K502)</f>
        <v/>
      </c>
      <c r="M502" s="47" t="str">
        <f>=IF(OR(LEFT(D502, 3)="TJ ", LEFT(D502, 4)="CPH "), "OUI", "NON")</f>
        <v/>
      </c>
      <c r="N502" s="47" t="s">
        <v>700</v>
      </c>
      <c r="O502" s="47"/>
      <c r="P502" s="47">
        <v>1</v>
      </c>
      <c r="Q502" s="47">
        <v>0</v>
      </c>
      <c r="R502" s="47">
        <v>1</v>
      </c>
      <c r="S502" s="47">
        <f>=ROUND(BQ502-(BR502+BS502),3)</f>
      </c>
      <c r="T502" s="47">
        <f>=ROUND(CK502-(CL502+CM502+CN502+CO502+CP502),3)</f>
      </c>
      <c r="U502" s="47">
        <v>0</v>
      </c>
      <c r="V502" s="47">
        <v>0</v>
      </c>
      <c r="W502" s="47">
        <v>0</v>
      </c>
      <c r="X502" s="47">
        <v>0</v>
      </c>
      <c r="Y502" s="47">
        <v>0</v>
      </c>
      <c r="Z502" s="47">
        <v>0</v>
      </c>
      <c r="AA502" s="47">
        <v>0</v>
      </c>
      <c r="AB502" s="47">
        <v>0</v>
      </c>
      <c r="AC502" s="47">
        <v>0</v>
      </c>
      <c r="AD502" s="47">
        <v>0</v>
      </c>
      <c r="AE502" s="47">
        <v>0</v>
      </c>
      <c r="AF502" s="47">
        <v>0</v>
      </c>
      <c r="AG502" s="47">
        <v>0</v>
      </c>
      <c r="AH502" s="47">
        <v>0</v>
      </c>
      <c r="AI502" s="47">
        <v>0</v>
      </c>
      <c r="AJ502" s="47">
        <v>0</v>
      </c>
      <c r="AK502" s="47">
        <v>0</v>
      </c>
      <c r="AL502" s="47">
        <v>0</v>
      </c>
      <c r="AM502" s="47">
        <v>0</v>
      </c>
      <c r="AN502" s="47">
        <v>0</v>
      </c>
      <c r="AO502" s="47">
        <v>0</v>
      </c>
      <c r="AP502" s="47">
        <v>0</v>
      </c>
      <c r="AQ502" s="47">
        <v>0</v>
      </c>
      <c r="AR502" s="47">
        <v>0</v>
      </c>
      <c r="AS502" s="47">
        <v>0</v>
      </c>
      <c r="AT502" s="47">
        <v>0</v>
      </c>
      <c r="AU502" s="47">
        <v>0</v>
      </c>
      <c r="AV502" s="47">
        <v>0</v>
      </c>
      <c r="AW502" s="47">
        <v>0</v>
      </c>
      <c r="AX502" s="47">
        <v>0</v>
      </c>
      <c r="AY502" s="47">
        <v>0</v>
      </c>
      <c r="AZ502" s="47">
        <v>0</v>
      </c>
      <c r="BA502" s="47">
        <v>0</v>
      </c>
      <c r="BB502" s="47">
        <v>0</v>
      </c>
      <c r="BC502" s="47">
        <v>0</v>
      </c>
      <c r="BD502" s="47">
        <v>0</v>
      </c>
      <c r="BE502" s="47">
        <v>0</v>
      </c>
      <c r="BF502" s="47">
        <v>0</v>
      </c>
      <c r="BG502" s="47">
        <v>0</v>
      </c>
      <c r="BH502" s="47">
        <v>0</v>
      </c>
      <c r="BI502" s="47">
        <v>0</v>
      </c>
      <c r="BJ502" s="47">
        <v>0</v>
      </c>
      <c r="BK502" s="47">
        <v>0</v>
      </c>
      <c r="BL502" s="47">
        <v>0</v>
      </c>
      <c r="BM502" s="47">
        <v>0</v>
      </c>
      <c r="BN502" s="47">
        <v>0</v>
      </c>
      <c r="BO502" s="47">
        <v>0</v>
      </c>
      <c r="BP502" s="47">
        <v>0</v>
      </c>
      <c r="BQ502" s="47">
        <v>0</v>
      </c>
      <c r="BR502" s="47">
        <v>0</v>
      </c>
      <c r="BS502" s="47">
        <v>0</v>
      </c>
      <c r="BT502" s="47">
        <v>0</v>
      </c>
      <c r="BU502" s="47">
        <v>0</v>
      </c>
      <c r="BV502" s="47">
        <v>0</v>
      </c>
      <c r="BW502" s="47">
        <v>0</v>
      </c>
      <c r="BX502" s="47">
        <v>0</v>
      </c>
      <c r="BY502" s="47">
        <v>0</v>
      </c>
      <c r="BZ502" s="47">
        <v>0</v>
      </c>
      <c r="CA502" s="47">
        <v>0</v>
      </c>
      <c r="CB502" s="47">
        <v>0</v>
      </c>
      <c r="CC502" s="47">
        <v>0</v>
      </c>
      <c r="CD502" s="47">
        <v>0</v>
      </c>
      <c r="CE502" s="47">
        <v>0</v>
      </c>
      <c r="CF502" s="47">
        <v>0</v>
      </c>
      <c r="CG502" s="47">
        <v>0</v>
      </c>
      <c r="CH502" s="47">
        <v>0</v>
      </c>
      <c r="CI502" s="47">
        <v>0</v>
      </c>
      <c r="CJ502" s="47">
        <v>0</v>
      </c>
      <c r="CK502" s="47">
        <v>0</v>
      </c>
      <c r="CL502" s="47">
        <v>0</v>
      </c>
      <c r="CM502" s="47">
        <v>0</v>
      </c>
      <c r="CN502" s="47">
        <v>0</v>
      </c>
      <c r="CO502" s="47">
        <v>0</v>
      </c>
      <c r="CP502" s="47">
        <v>0</v>
      </c>
      <c r="CQ502" s="47">
        <v>0</v>
      </c>
      <c r="CR502" s="47">
        <v>0</v>
      </c>
      <c r="CS502" s="47">
        <v>0</v>
      </c>
      <c r="CT502" s="47">
        <v>0</v>
      </c>
      <c r="CU502" s="47">
        <v>0</v>
      </c>
      <c r="CV502" s="47">
        <v>0</v>
      </c>
      <c r="CW502" s="47">
        <v>0</v>
      </c>
      <c r="CX502" s="47">
        <v>0</v>
      </c>
      <c r="CY502" s="47">
        <v>0</v>
      </c>
      <c r="CZ502" s="47">
        <v>0</v>
      </c>
      <c r="DA502" s="47">
        <v>0</v>
      </c>
      <c r="DB502" s="47">
        <v>0</v>
      </c>
      <c r="DC502" s="47">
        <v>0</v>
      </c>
      <c r="DD502" s="47">
        <v>0</v>
      </c>
      <c r="DE502" s="47">
        <v>0</v>
      </c>
      <c r="DF502" s="47">
        <v>0</v>
      </c>
      <c r="DG502" s="47">
        <v>0</v>
      </c>
      <c r="DH502" s="47">
        <v>0</v>
      </c>
      <c r="DI502" s="47">
        <v>0</v>
      </c>
      <c r="DJ502" s="47">
        <v>0</v>
      </c>
      <c r="DK502" s="47">
        <v>0</v>
      </c>
      <c r="DL502" s="47">
        <v>0</v>
      </c>
      <c r="DM502" s="47">
        <v>0</v>
      </c>
      <c r="DN502" s="47">
        <v>0</v>
      </c>
      <c r="DO502" s="47">
        <v>0</v>
      </c>
      <c r="DP502" s="47">
        <v>0</v>
      </c>
      <c r="DQ502" s="47">
        <v>0</v>
      </c>
      <c r="DR502" s="47">
        <v>0</v>
      </c>
      <c r="DS502" s="47">
        <v>0</v>
      </c>
      <c r="DT502" s="47">
        <v>0</v>
      </c>
      <c r="DU502" s="47">
        <v>0</v>
      </c>
      <c r="DV502" s="47">
        <v>0</v>
      </c>
      <c r="DW502" s="47">
        <v>0</v>
      </c>
      <c r="DX502" s="47">
        <v>0</v>
      </c>
      <c r="DY502" s="47">
        <v>0</v>
      </c>
      <c r="DZ502" s="47">
        <v>0</v>
      </c>
      <c r="EA502" s="47">
        <v>0</v>
      </c>
      <c r="EB502" s="47"/>
      <c r="EC502" s="47">
        <v>1</v>
      </c>
      <c r="ZZ502" t="s">
        <v>2472</v>
      </c>
    </row>
    <row r="503" spans="1:702" x14ac:dyDescent="0.25">
      <c r="A503" s="47" t="s">
        <v>2364</v>
      </c>
      <c r="B503" s="47" t="s">
        <v>153</v>
      </c>
      <c r="C503" s="47" t="s">
        <v>157</v>
      </c>
      <c r="D503" s="47" t="s">
        <v>2988</v>
      </c>
      <c r="E503" s="47" t="s">
        <v>2365</v>
      </c>
      <c r="F503" s="47" t="s">
        <v>2366</v>
      </c>
      <c r="G503" s="47" t="s">
        <v>2367</v>
      </c>
      <c r="H503" s="47" t="s">
        <v>698</v>
      </c>
      <c r="I503" s="47" t="s">
        <v>727</v>
      </c>
      <c r="J503" s="47" t="str">
        <f>=IFERROR(VLOOKUP(H503&amp;I503,Table_Fonctions!A:G,6,FALSE),"")</f>
        <v>0</v>
      </c>
      <c r="K503" s="47" t="s">
        <v>2607</v>
      </c>
      <c r="L503" s="47" t="str">
        <f>=IFERROR(VLOOKUP(H503&amp;I503,Table_Fonctions!A:G,7,FALSE),K503)</f>
        <v/>
      </c>
      <c r="M503" s="47" t="str">
        <f>=IF(OR(LEFT(D503, 3)="TJ ", LEFT(D503, 4)="CPH "), "OUI", "NON")</f>
        <v/>
      </c>
      <c r="N503" s="47" t="s">
        <v>849</v>
      </c>
      <c r="O503" s="47"/>
      <c r="P503" s="47">
        <v>1</v>
      </c>
      <c r="Q503" s="47">
        <v>1</v>
      </c>
      <c r="R503" s="47">
        <v>0</v>
      </c>
      <c r="S503" s="47">
        <f>=ROUND(BQ503-(BR503+BS503),3)</f>
      </c>
      <c r="T503" s="47">
        <f>=ROUND(CK503-(CL503+CM503+CN503+CO503+CP503),3)</f>
      </c>
      <c r="U503" s="47">
        <v>0</v>
      </c>
      <c r="V503" s="47">
        <v>0</v>
      </c>
      <c r="W503" s="47">
        <v>0</v>
      </c>
      <c r="X503" s="47">
        <v>0</v>
      </c>
      <c r="Y503" s="47">
        <v>0</v>
      </c>
      <c r="Z503" s="47">
        <v>0</v>
      </c>
      <c r="AA503" s="47">
        <v>0</v>
      </c>
      <c r="AB503" s="47">
        <v>0</v>
      </c>
      <c r="AC503" s="47">
        <v>0</v>
      </c>
      <c r="AD503" s="47">
        <v>0</v>
      </c>
      <c r="AE503" s="47">
        <v>0</v>
      </c>
      <c r="AF503" s="47">
        <v>0</v>
      </c>
      <c r="AG503" s="47">
        <v>0</v>
      </c>
      <c r="AH503" s="47">
        <v>0</v>
      </c>
      <c r="AI503" s="47">
        <v>0</v>
      </c>
      <c r="AJ503" s="47">
        <v>0</v>
      </c>
      <c r="AK503" s="47">
        <v>0</v>
      </c>
      <c r="AL503" s="47">
        <v>0</v>
      </c>
      <c r="AM503" s="47">
        <v>0</v>
      </c>
      <c r="AN503" s="47">
        <v>0</v>
      </c>
      <c r="AO503" s="47">
        <v>0</v>
      </c>
      <c r="AP503" s="47">
        <v>0</v>
      </c>
      <c r="AQ503" s="47">
        <v>0</v>
      </c>
      <c r="AR503" s="47">
        <v>0</v>
      </c>
      <c r="AS503" s="47">
        <v>0</v>
      </c>
      <c r="AT503" s="47">
        <v>0</v>
      </c>
      <c r="AU503" s="47">
        <v>0</v>
      </c>
      <c r="AV503" s="47">
        <v>0</v>
      </c>
      <c r="AW503" s="47">
        <v>0</v>
      </c>
      <c r="AX503" s="47">
        <v>0</v>
      </c>
      <c r="AY503" s="47">
        <v>0</v>
      </c>
      <c r="AZ503" s="47">
        <v>0</v>
      </c>
      <c r="BA503" s="47">
        <v>0</v>
      </c>
      <c r="BB503" s="47">
        <v>0</v>
      </c>
      <c r="BC503" s="47">
        <v>0</v>
      </c>
      <c r="BD503" s="47">
        <v>0</v>
      </c>
      <c r="BE503" s="47">
        <v>0</v>
      </c>
      <c r="BF503" s="47">
        <v>0</v>
      </c>
      <c r="BG503" s="47">
        <v>0</v>
      </c>
      <c r="BH503" s="47">
        <v>0</v>
      </c>
      <c r="BI503" s="47">
        <v>0</v>
      </c>
      <c r="BJ503" s="47">
        <v>0</v>
      </c>
      <c r="BK503" s="47">
        <v>0</v>
      </c>
      <c r="BL503" s="47">
        <v>0</v>
      </c>
      <c r="BM503" s="47">
        <v>0</v>
      </c>
      <c r="BN503" s="47">
        <v>0</v>
      </c>
      <c r="BO503" s="47">
        <v>0</v>
      </c>
      <c r="BP503" s="47">
        <v>0</v>
      </c>
      <c r="BQ503" s="47">
        <v>0</v>
      </c>
      <c r="BR503" s="47">
        <v>0</v>
      </c>
      <c r="BS503" s="47">
        <v>0</v>
      </c>
      <c r="BT503" s="47">
        <v>1</v>
      </c>
      <c r="BU503" s="47">
        <v>0</v>
      </c>
      <c r="BV503" s="47">
        <v>0</v>
      </c>
      <c r="BW503" s="47">
        <v>0</v>
      </c>
      <c r="BX503" s="47">
        <v>0</v>
      </c>
      <c r="BY503" s="47">
        <v>0</v>
      </c>
      <c r="BZ503" s="47">
        <v>0</v>
      </c>
      <c r="CA503" s="47">
        <v>0</v>
      </c>
      <c r="CB503" s="47">
        <v>0</v>
      </c>
      <c r="CC503" s="47">
        <v>0</v>
      </c>
      <c r="CD503" s="47">
        <v>0</v>
      </c>
      <c r="CE503" s="47">
        <v>0</v>
      </c>
      <c r="CF503" s="47">
        <v>0</v>
      </c>
      <c r="CG503" s="47">
        <v>0</v>
      </c>
      <c r="CH503" s="47">
        <v>0</v>
      </c>
      <c r="CI503" s="47">
        <v>0</v>
      </c>
      <c r="CJ503" s="47">
        <v>0</v>
      </c>
      <c r="CK503" s="47">
        <v>0</v>
      </c>
      <c r="CL503" s="47">
        <v>0</v>
      </c>
      <c r="CM503" s="47">
        <v>0</v>
      </c>
      <c r="CN503" s="47">
        <v>0</v>
      </c>
      <c r="CO503" s="47">
        <v>0</v>
      </c>
      <c r="CP503" s="47">
        <v>0</v>
      </c>
      <c r="CQ503" s="47">
        <v>0</v>
      </c>
      <c r="CR503" s="47">
        <v>0</v>
      </c>
      <c r="CS503" s="47">
        <v>0</v>
      </c>
      <c r="CT503" s="47">
        <v>0</v>
      </c>
      <c r="CU503" s="47">
        <v>0</v>
      </c>
      <c r="CV503" s="47">
        <v>0</v>
      </c>
      <c r="CW503" s="47">
        <v>0</v>
      </c>
      <c r="CX503" s="47">
        <v>0</v>
      </c>
      <c r="CY503" s="47">
        <v>0</v>
      </c>
      <c r="CZ503" s="47">
        <v>0</v>
      </c>
      <c r="DA503" s="47">
        <v>0</v>
      </c>
      <c r="DB503" s="47">
        <v>0</v>
      </c>
      <c r="DC503" s="47">
        <v>0</v>
      </c>
      <c r="DD503" s="47">
        <v>0</v>
      </c>
      <c r="DE503" s="47">
        <v>0</v>
      </c>
      <c r="DF503" s="47">
        <v>0</v>
      </c>
      <c r="DG503" s="47">
        <v>0</v>
      </c>
      <c r="DH503" s="47">
        <v>0</v>
      </c>
      <c r="DI503" s="47">
        <v>0</v>
      </c>
      <c r="DJ503" s="47">
        <v>0</v>
      </c>
      <c r="DK503" s="47">
        <v>0</v>
      </c>
      <c r="DL503" s="47">
        <v>0</v>
      </c>
      <c r="DM503" s="47">
        <v>0</v>
      </c>
      <c r="DN503" s="47">
        <v>0</v>
      </c>
      <c r="DO503" s="47">
        <v>0</v>
      </c>
      <c r="DP503" s="47">
        <v>0</v>
      </c>
      <c r="DQ503" s="47">
        <v>0</v>
      </c>
      <c r="DR503" s="47">
        <v>0</v>
      </c>
      <c r="DS503" s="47">
        <v>0</v>
      </c>
      <c r="DT503" s="47">
        <v>0</v>
      </c>
      <c r="DU503" s="47">
        <v>0</v>
      </c>
      <c r="DV503" s="47">
        <v>0</v>
      </c>
      <c r="DW503" s="47">
        <v>0</v>
      </c>
      <c r="DX503" s="47">
        <v>0</v>
      </c>
      <c r="DY503" s="47">
        <v>0</v>
      </c>
      <c r="DZ503" s="47">
        <v>0</v>
      </c>
      <c r="EA503" s="47">
        <v>0</v>
      </c>
      <c r="EB503" s="47"/>
      <c r="EC503" s="47">
        <v>1</v>
      </c>
      <c r="ZZ503" t="s">
        <v>2472</v>
      </c>
    </row>
    <row r="504" spans="1:702" x14ac:dyDescent="0.25">
      <c r="A504" s="47" t="s">
        <v>2368</v>
      </c>
      <c r="B504" s="47" t="s">
        <v>153</v>
      </c>
      <c r="C504" s="47" t="s">
        <v>157</v>
      </c>
      <c r="D504" s="47" t="s">
        <v>2989</v>
      </c>
      <c r="E504" s="47" t="s">
        <v>2369</v>
      </c>
      <c r="F504" s="47" t="s">
        <v>2370</v>
      </c>
      <c r="G504" s="47" t="s">
        <v>2371</v>
      </c>
      <c r="H504" s="47" t="s">
        <v>698</v>
      </c>
      <c r="I504" s="47" t="s">
        <v>727</v>
      </c>
      <c r="J504" s="47" t="str">
        <f>=IFERROR(VLOOKUP(H504&amp;I504,Table_Fonctions!A:G,6,FALSE),"")</f>
        <v>0</v>
      </c>
      <c r="K504" s="47" t="s">
        <v>2607</v>
      </c>
      <c r="L504" s="47" t="str">
        <f>=IFERROR(VLOOKUP(H504&amp;I504,Table_Fonctions!A:G,7,FALSE),K504)</f>
        <v/>
      </c>
      <c r="M504" s="47" t="str">
        <f>=IF(OR(LEFT(D504, 3)="TJ ", LEFT(D504, 4)="CPH "), "OUI", "NON")</f>
        <v/>
      </c>
      <c r="N504" s="47" t="s">
        <v>717</v>
      </c>
      <c r="O504" s="47"/>
      <c r="P504" s="47">
        <v>1</v>
      </c>
      <c r="Q504" s="47">
        <v>0</v>
      </c>
      <c r="R504" s="47">
        <v>1</v>
      </c>
      <c r="S504" s="47">
        <f>=ROUND(BQ504-(BR504+BS504),3)</f>
      </c>
      <c r="T504" s="47">
        <f>=ROUND(CK504-(CL504+CM504+CN504+CO504+CP504),3)</f>
      </c>
      <c r="U504" s="47">
        <v>0</v>
      </c>
      <c r="V504" s="47">
        <v>0</v>
      </c>
      <c r="W504" s="47">
        <v>0</v>
      </c>
      <c r="X504" s="47">
        <v>0</v>
      </c>
      <c r="Y504" s="47">
        <v>0</v>
      </c>
      <c r="Z504" s="47">
        <v>0</v>
      </c>
      <c r="AA504" s="47">
        <v>0</v>
      </c>
      <c r="AB504" s="47">
        <v>0</v>
      </c>
      <c r="AC504" s="47">
        <v>0</v>
      </c>
      <c r="AD504" s="47">
        <v>0</v>
      </c>
      <c r="AE504" s="47">
        <v>0</v>
      </c>
      <c r="AF504" s="47">
        <v>0</v>
      </c>
      <c r="AG504" s="47">
        <v>0</v>
      </c>
      <c r="AH504" s="47">
        <v>0</v>
      </c>
      <c r="AI504" s="47">
        <v>0</v>
      </c>
      <c r="AJ504" s="47">
        <v>0</v>
      </c>
      <c r="AK504" s="47">
        <v>0</v>
      </c>
      <c r="AL504" s="47">
        <v>0</v>
      </c>
      <c r="AM504" s="47">
        <v>0</v>
      </c>
      <c r="AN504" s="47">
        <v>0</v>
      </c>
      <c r="AO504" s="47">
        <v>0</v>
      </c>
      <c r="AP504" s="47">
        <v>0</v>
      </c>
      <c r="AQ504" s="47">
        <v>0</v>
      </c>
      <c r="AR504" s="47">
        <v>0</v>
      </c>
      <c r="AS504" s="47">
        <v>0</v>
      </c>
      <c r="AT504" s="47">
        <v>0</v>
      </c>
      <c r="AU504" s="47">
        <v>0</v>
      </c>
      <c r="AV504" s="47">
        <v>0</v>
      </c>
      <c r="AW504" s="47">
        <v>0</v>
      </c>
      <c r="AX504" s="47">
        <v>0</v>
      </c>
      <c r="AY504" s="47">
        <v>0</v>
      </c>
      <c r="AZ504" s="47">
        <v>0</v>
      </c>
      <c r="BA504" s="47">
        <v>0</v>
      </c>
      <c r="BB504" s="47">
        <v>0</v>
      </c>
      <c r="BC504" s="47">
        <v>0</v>
      </c>
      <c r="BD504" s="47">
        <v>0</v>
      </c>
      <c r="BE504" s="47">
        <v>0</v>
      </c>
      <c r="BF504" s="47">
        <v>0</v>
      </c>
      <c r="BG504" s="47">
        <v>0</v>
      </c>
      <c r="BH504" s="47">
        <v>0</v>
      </c>
      <c r="BI504" s="47">
        <v>0</v>
      </c>
      <c r="BJ504" s="47">
        <v>0</v>
      </c>
      <c r="BK504" s="47">
        <v>0</v>
      </c>
      <c r="BL504" s="47">
        <v>0</v>
      </c>
      <c r="BM504" s="47">
        <v>0</v>
      </c>
      <c r="BN504" s="47">
        <v>0</v>
      </c>
      <c r="BO504" s="47">
        <v>0</v>
      </c>
      <c r="BP504" s="47">
        <v>0</v>
      </c>
      <c r="BQ504" s="47">
        <v>0</v>
      </c>
      <c r="BR504" s="47">
        <v>0</v>
      </c>
      <c r="BS504" s="47">
        <v>0</v>
      </c>
      <c r="BT504" s="47">
        <v>0</v>
      </c>
      <c r="BU504" s="47">
        <v>0</v>
      </c>
      <c r="BV504" s="47">
        <v>0</v>
      </c>
      <c r="BW504" s="47">
        <v>0</v>
      </c>
      <c r="BX504" s="47">
        <v>0</v>
      </c>
      <c r="BY504" s="47">
        <v>0</v>
      </c>
      <c r="BZ504" s="47">
        <v>0</v>
      </c>
      <c r="CA504" s="47">
        <v>0</v>
      </c>
      <c r="CB504" s="47">
        <v>0</v>
      </c>
      <c r="CC504" s="47">
        <v>0</v>
      </c>
      <c r="CD504" s="47">
        <v>0</v>
      </c>
      <c r="CE504" s="47">
        <v>0</v>
      </c>
      <c r="CF504" s="47">
        <v>0</v>
      </c>
      <c r="CG504" s="47">
        <v>0</v>
      </c>
      <c r="CH504" s="47">
        <v>0</v>
      </c>
      <c r="CI504" s="47">
        <v>0</v>
      </c>
      <c r="CJ504" s="47">
        <v>0</v>
      </c>
      <c r="CK504" s="47">
        <v>0</v>
      </c>
      <c r="CL504" s="47">
        <v>0</v>
      </c>
      <c r="CM504" s="47">
        <v>0</v>
      </c>
      <c r="CN504" s="47">
        <v>0</v>
      </c>
      <c r="CO504" s="47">
        <v>0</v>
      </c>
      <c r="CP504" s="47">
        <v>0</v>
      </c>
      <c r="CQ504" s="47">
        <v>0</v>
      </c>
      <c r="CR504" s="47">
        <v>0</v>
      </c>
      <c r="CS504" s="47">
        <v>0</v>
      </c>
      <c r="CT504" s="47">
        <v>0</v>
      </c>
      <c r="CU504" s="47">
        <v>0</v>
      </c>
      <c r="CV504" s="47">
        <v>0</v>
      </c>
      <c r="CW504" s="47">
        <v>0</v>
      </c>
      <c r="CX504" s="47">
        <v>0</v>
      </c>
      <c r="CY504" s="47">
        <v>0</v>
      </c>
      <c r="CZ504" s="47">
        <v>0</v>
      </c>
      <c r="DA504" s="47">
        <v>0</v>
      </c>
      <c r="DB504" s="47">
        <v>0</v>
      </c>
      <c r="DC504" s="47">
        <v>0</v>
      </c>
      <c r="DD504" s="47">
        <v>0</v>
      </c>
      <c r="DE504" s="47">
        <v>0</v>
      </c>
      <c r="DF504" s="47">
        <v>0</v>
      </c>
      <c r="DG504" s="47">
        <v>0</v>
      </c>
      <c r="DH504" s="47">
        <v>0</v>
      </c>
      <c r="DI504" s="47">
        <v>0</v>
      </c>
      <c r="DJ504" s="47">
        <v>0</v>
      </c>
      <c r="DK504" s="47">
        <v>0</v>
      </c>
      <c r="DL504" s="47">
        <v>0</v>
      </c>
      <c r="DM504" s="47">
        <v>0</v>
      </c>
      <c r="DN504" s="47">
        <v>0</v>
      </c>
      <c r="DO504" s="47">
        <v>0</v>
      </c>
      <c r="DP504" s="47">
        <v>0</v>
      </c>
      <c r="DQ504" s="47">
        <v>0</v>
      </c>
      <c r="DR504" s="47">
        <v>0</v>
      </c>
      <c r="DS504" s="47">
        <v>0</v>
      </c>
      <c r="DT504" s="47">
        <v>0</v>
      </c>
      <c r="DU504" s="47">
        <v>0</v>
      </c>
      <c r="DV504" s="47">
        <v>0</v>
      </c>
      <c r="DW504" s="47">
        <v>0</v>
      </c>
      <c r="DX504" s="47">
        <v>0</v>
      </c>
      <c r="DY504" s="47">
        <v>0</v>
      </c>
      <c r="DZ504" s="47">
        <v>0</v>
      </c>
      <c r="EA504" s="47">
        <v>0</v>
      </c>
      <c r="EB504" s="47"/>
      <c r="EC504" s="47">
        <v>1</v>
      </c>
      <c r="ZZ504" t="s">
        <v>2472</v>
      </c>
    </row>
    <row r="505" spans="1:702" x14ac:dyDescent="0.25">
      <c r="A505" s="47" t="s">
        <v>2372</v>
      </c>
      <c r="B505" s="47" t="s">
        <v>153</v>
      </c>
      <c r="C505" s="47" t="s">
        <v>157</v>
      </c>
      <c r="D505" s="47" t="s">
        <v>2990</v>
      </c>
      <c r="E505" s="47" t="s">
        <v>2373</v>
      </c>
      <c r="F505" s="47" t="s">
        <v>2374</v>
      </c>
      <c r="G505" s="47" t="s">
        <v>2375</v>
      </c>
      <c r="H505" s="47" t="s">
        <v>698</v>
      </c>
      <c r="I505" s="47" t="s">
        <v>727</v>
      </c>
      <c r="J505" s="47" t="str">
        <f>=IFERROR(VLOOKUP(H505&amp;I505,Table_Fonctions!A:G,6,FALSE),"")</f>
        <v>0</v>
      </c>
      <c r="K505" s="47" t="s">
        <v>2607</v>
      </c>
      <c r="L505" s="47" t="str">
        <f>=IFERROR(VLOOKUP(H505&amp;I505,Table_Fonctions!A:G,7,FALSE),K505)</f>
        <v/>
      </c>
      <c r="M505" s="47" t="str">
        <f>=IF(OR(LEFT(D505, 3)="TJ ", LEFT(D505, 4)="CPH "), "OUI", "NON")</f>
        <v/>
      </c>
      <c r="N505" s="47" t="s">
        <v>1613</v>
      </c>
      <c r="O505" s="47"/>
      <c r="P505" s="47">
        <v>1</v>
      </c>
      <c r="Q505" s="47">
        <v>0</v>
      </c>
      <c r="R505" s="47">
        <v>1</v>
      </c>
      <c r="S505" s="47">
        <f>=ROUND(BQ505-(BR505+BS505),3)</f>
      </c>
      <c r="T505" s="47">
        <f>=ROUND(CK505-(CL505+CM505+CN505+CO505+CP505),3)</f>
      </c>
      <c r="U505" s="47">
        <v>0</v>
      </c>
      <c r="V505" s="47">
        <v>0</v>
      </c>
      <c r="W505" s="47">
        <v>0</v>
      </c>
      <c r="X505" s="47">
        <v>0</v>
      </c>
      <c r="Y505" s="47">
        <v>0</v>
      </c>
      <c r="Z505" s="47">
        <v>0</v>
      </c>
      <c r="AA505" s="47">
        <v>0</v>
      </c>
      <c r="AB505" s="47">
        <v>0</v>
      </c>
      <c r="AC505" s="47">
        <v>0</v>
      </c>
      <c r="AD505" s="47">
        <v>0</v>
      </c>
      <c r="AE505" s="47">
        <v>0</v>
      </c>
      <c r="AF505" s="47">
        <v>0</v>
      </c>
      <c r="AG505" s="47">
        <v>0</v>
      </c>
      <c r="AH505" s="47">
        <v>0</v>
      </c>
      <c r="AI505" s="47">
        <v>0</v>
      </c>
      <c r="AJ505" s="47">
        <v>0</v>
      </c>
      <c r="AK505" s="47">
        <v>0</v>
      </c>
      <c r="AL505" s="47">
        <v>0</v>
      </c>
      <c r="AM505" s="47">
        <v>0</v>
      </c>
      <c r="AN505" s="47">
        <v>0</v>
      </c>
      <c r="AO505" s="47">
        <v>0</v>
      </c>
      <c r="AP505" s="47">
        <v>0</v>
      </c>
      <c r="AQ505" s="47">
        <v>0</v>
      </c>
      <c r="AR505" s="47">
        <v>0</v>
      </c>
      <c r="AS505" s="47">
        <v>0</v>
      </c>
      <c r="AT505" s="47">
        <v>0</v>
      </c>
      <c r="AU505" s="47">
        <v>0</v>
      </c>
      <c r="AV505" s="47">
        <v>0</v>
      </c>
      <c r="AW505" s="47">
        <v>0</v>
      </c>
      <c r="AX505" s="47">
        <v>0</v>
      </c>
      <c r="AY505" s="47">
        <v>0</v>
      </c>
      <c r="AZ505" s="47">
        <v>0</v>
      </c>
      <c r="BA505" s="47">
        <v>0</v>
      </c>
      <c r="BB505" s="47">
        <v>0</v>
      </c>
      <c r="BC505" s="47">
        <v>0</v>
      </c>
      <c r="BD505" s="47">
        <v>0</v>
      </c>
      <c r="BE505" s="47">
        <v>0</v>
      </c>
      <c r="BF505" s="47">
        <v>0</v>
      </c>
      <c r="BG505" s="47">
        <v>0</v>
      </c>
      <c r="BH505" s="47">
        <v>0</v>
      </c>
      <c r="BI505" s="47">
        <v>0</v>
      </c>
      <c r="BJ505" s="47">
        <v>0</v>
      </c>
      <c r="BK505" s="47">
        <v>0</v>
      </c>
      <c r="BL505" s="47">
        <v>0</v>
      </c>
      <c r="BM505" s="47">
        <v>0</v>
      </c>
      <c r="BN505" s="47">
        <v>0</v>
      </c>
      <c r="BO505" s="47">
        <v>0</v>
      </c>
      <c r="BP505" s="47">
        <v>0</v>
      </c>
      <c r="BQ505" s="47">
        <v>0</v>
      </c>
      <c r="BR505" s="47">
        <v>0</v>
      </c>
      <c r="BS505" s="47">
        <v>0</v>
      </c>
      <c r="BT505" s="47">
        <v>0</v>
      </c>
      <c r="BU505" s="47">
        <v>0</v>
      </c>
      <c r="BV505" s="47">
        <v>0</v>
      </c>
      <c r="BW505" s="47">
        <v>0</v>
      </c>
      <c r="BX505" s="47">
        <v>0</v>
      </c>
      <c r="BY505" s="47">
        <v>0</v>
      </c>
      <c r="BZ505" s="47">
        <v>0</v>
      </c>
      <c r="CA505" s="47">
        <v>0</v>
      </c>
      <c r="CB505" s="47">
        <v>0</v>
      </c>
      <c r="CC505" s="47">
        <v>0</v>
      </c>
      <c r="CD505" s="47">
        <v>0</v>
      </c>
      <c r="CE505" s="47">
        <v>0</v>
      </c>
      <c r="CF505" s="47">
        <v>0</v>
      </c>
      <c r="CG505" s="47">
        <v>0</v>
      </c>
      <c r="CH505" s="47">
        <v>0</v>
      </c>
      <c r="CI505" s="47">
        <v>0</v>
      </c>
      <c r="CJ505" s="47">
        <v>0</v>
      </c>
      <c r="CK505" s="47">
        <v>0</v>
      </c>
      <c r="CL505" s="47">
        <v>0</v>
      </c>
      <c r="CM505" s="47">
        <v>0</v>
      </c>
      <c r="CN505" s="47">
        <v>0</v>
      </c>
      <c r="CO505" s="47">
        <v>0</v>
      </c>
      <c r="CP505" s="47">
        <v>0</v>
      </c>
      <c r="CQ505" s="47">
        <v>0</v>
      </c>
      <c r="CR505" s="47">
        <v>0</v>
      </c>
      <c r="CS505" s="47">
        <v>0</v>
      </c>
      <c r="CT505" s="47">
        <v>0</v>
      </c>
      <c r="CU505" s="47">
        <v>0</v>
      </c>
      <c r="CV505" s="47">
        <v>0</v>
      </c>
      <c r="CW505" s="47">
        <v>0</v>
      </c>
      <c r="CX505" s="47">
        <v>0</v>
      </c>
      <c r="CY505" s="47">
        <v>0</v>
      </c>
      <c r="CZ505" s="47">
        <v>0</v>
      </c>
      <c r="DA505" s="47">
        <v>0</v>
      </c>
      <c r="DB505" s="47">
        <v>0</v>
      </c>
      <c r="DC505" s="47">
        <v>0</v>
      </c>
      <c r="DD505" s="47">
        <v>0</v>
      </c>
      <c r="DE505" s="47">
        <v>0</v>
      </c>
      <c r="DF505" s="47">
        <v>0</v>
      </c>
      <c r="DG505" s="47">
        <v>0</v>
      </c>
      <c r="DH505" s="47">
        <v>0</v>
      </c>
      <c r="DI505" s="47">
        <v>0</v>
      </c>
      <c r="DJ505" s="47">
        <v>0</v>
      </c>
      <c r="DK505" s="47">
        <v>0</v>
      </c>
      <c r="DL505" s="47">
        <v>0</v>
      </c>
      <c r="DM505" s="47">
        <v>0</v>
      </c>
      <c r="DN505" s="47">
        <v>0</v>
      </c>
      <c r="DO505" s="47">
        <v>0</v>
      </c>
      <c r="DP505" s="47">
        <v>0</v>
      </c>
      <c r="DQ505" s="47">
        <v>0</v>
      </c>
      <c r="DR505" s="47">
        <v>0</v>
      </c>
      <c r="DS505" s="47">
        <v>0</v>
      </c>
      <c r="DT505" s="47">
        <v>0</v>
      </c>
      <c r="DU505" s="47">
        <v>0</v>
      </c>
      <c r="DV505" s="47">
        <v>0</v>
      </c>
      <c r="DW505" s="47">
        <v>0</v>
      </c>
      <c r="DX505" s="47">
        <v>0</v>
      </c>
      <c r="DY505" s="47">
        <v>0</v>
      </c>
      <c r="DZ505" s="47">
        <v>0</v>
      </c>
      <c r="EA505" s="47">
        <v>0</v>
      </c>
      <c r="EB505" s="47"/>
      <c r="EC505" s="47">
        <v>1</v>
      </c>
      <c r="ZZ505" t="s">
        <v>2472</v>
      </c>
    </row>
    <row r="506" spans="1:702" x14ac:dyDescent="0.25">
      <c r="A506" s="47" t="s">
        <v>2376</v>
      </c>
      <c r="B506" s="47" t="s">
        <v>153</v>
      </c>
      <c r="C506" s="47" t="s">
        <v>157</v>
      </c>
      <c r="D506" s="47" t="s">
        <v>2991</v>
      </c>
      <c r="E506" s="47" t="s">
        <v>2377</v>
      </c>
      <c r="F506" s="47" t="s">
        <v>2378</v>
      </c>
      <c r="G506" s="47" t="s">
        <v>2379</v>
      </c>
      <c r="H506" s="47" t="s">
        <v>698</v>
      </c>
      <c r="I506" s="47" t="s">
        <v>738</v>
      </c>
      <c r="J506" s="47" t="str">
        <f>=IFERROR(VLOOKUP(H506&amp;I506,Table_Fonctions!A:G,6,FALSE),"")</f>
        <v>0</v>
      </c>
      <c r="K506" s="47" t="s">
        <v>2607</v>
      </c>
      <c r="L506" s="47" t="str">
        <f>=IFERROR(VLOOKUP(H506&amp;I506,Table_Fonctions!A:G,7,FALSE),K506)</f>
        <v/>
      </c>
      <c r="M506" s="47" t="str">
        <f>=IF(OR(LEFT(D506, 3)="TJ ", LEFT(D506, 4)="CPH "), "OUI", "NON")</f>
        <v/>
      </c>
      <c r="N506" s="47" t="s">
        <v>175</v>
      </c>
      <c r="O506" s="47"/>
      <c r="P506" s="47">
        <v>1</v>
      </c>
      <c r="Q506" s="47">
        <v>0</v>
      </c>
      <c r="R506" s="47">
        <v>1</v>
      </c>
      <c r="S506" s="47">
        <f>=ROUND(BQ506-(BR506+BS506),3)</f>
      </c>
      <c r="T506" s="47">
        <f>=ROUND(CK506-(CL506+CM506+CN506+CO506+CP506),3)</f>
      </c>
      <c r="U506" s="47">
        <v>0</v>
      </c>
      <c r="V506" s="47">
        <v>0</v>
      </c>
      <c r="W506" s="47">
        <v>0</v>
      </c>
      <c r="X506" s="47">
        <v>0</v>
      </c>
      <c r="Y506" s="47">
        <v>0</v>
      </c>
      <c r="Z506" s="47">
        <v>0</v>
      </c>
      <c r="AA506" s="47">
        <v>0</v>
      </c>
      <c r="AB506" s="47">
        <v>0</v>
      </c>
      <c r="AC506" s="47">
        <v>0</v>
      </c>
      <c r="AD506" s="47">
        <v>0</v>
      </c>
      <c r="AE506" s="47">
        <v>0</v>
      </c>
      <c r="AF506" s="47">
        <v>0</v>
      </c>
      <c r="AG506" s="47">
        <v>0</v>
      </c>
      <c r="AH506" s="47">
        <v>0</v>
      </c>
      <c r="AI506" s="47">
        <v>0</v>
      </c>
      <c r="AJ506" s="47">
        <v>0</v>
      </c>
      <c r="AK506" s="47">
        <v>0</v>
      </c>
      <c r="AL506" s="47">
        <v>0</v>
      </c>
      <c r="AM506" s="47">
        <v>0</v>
      </c>
      <c r="AN506" s="47">
        <v>0</v>
      </c>
      <c r="AO506" s="47">
        <v>0</v>
      </c>
      <c r="AP506" s="47">
        <v>0</v>
      </c>
      <c r="AQ506" s="47">
        <v>0</v>
      </c>
      <c r="AR506" s="47">
        <v>0</v>
      </c>
      <c r="AS506" s="47">
        <v>0</v>
      </c>
      <c r="AT506" s="47">
        <v>0</v>
      </c>
      <c r="AU506" s="47">
        <v>0</v>
      </c>
      <c r="AV506" s="47">
        <v>0</v>
      </c>
      <c r="AW506" s="47">
        <v>0</v>
      </c>
      <c r="AX506" s="47">
        <v>0</v>
      </c>
      <c r="AY506" s="47">
        <v>0</v>
      </c>
      <c r="AZ506" s="47">
        <v>0</v>
      </c>
      <c r="BA506" s="47">
        <v>0</v>
      </c>
      <c r="BB506" s="47">
        <v>0</v>
      </c>
      <c r="BC506" s="47">
        <v>0</v>
      </c>
      <c r="BD506" s="47">
        <v>0</v>
      </c>
      <c r="BE506" s="47">
        <v>0</v>
      </c>
      <c r="BF506" s="47">
        <v>0</v>
      </c>
      <c r="BG506" s="47">
        <v>0</v>
      </c>
      <c r="BH506" s="47">
        <v>0</v>
      </c>
      <c r="BI506" s="47">
        <v>0</v>
      </c>
      <c r="BJ506" s="47">
        <v>0</v>
      </c>
      <c r="BK506" s="47">
        <v>0</v>
      </c>
      <c r="BL506" s="47">
        <v>0</v>
      </c>
      <c r="BM506" s="47">
        <v>0</v>
      </c>
      <c r="BN506" s="47">
        <v>0</v>
      </c>
      <c r="BO506" s="47">
        <v>0</v>
      </c>
      <c r="BP506" s="47">
        <v>0</v>
      </c>
      <c r="BQ506" s="47">
        <v>0</v>
      </c>
      <c r="BR506" s="47">
        <v>0</v>
      </c>
      <c r="BS506" s="47">
        <v>0</v>
      </c>
      <c r="BT506" s="47">
        <v>0</v>
      </c>
      <c r="BU506" s="47">
        <v>0</v>
      </c>
      <c r="BV506" s="47">
        <v>0</v>
      </c>
      <c r="BW506" s="47">
        <v>0</v>
      </c>
      <c r="BX506" s="47">
        <v>0</v>
      </c>
      <c r="BY506" s="47">
        <v>0</v>
      </c>
      <c r="BZ506" s="47">
        <v>0</v>
      </c>
      <c r="CA506" s="47">
        <v>0</v>
      </c>
      <c r="CB506" s="47">
        <v>0</v>
      </c>
      <c r="CC506" s="47">
        <v>0</v>
      </c>
      <c r="CD506" s="47">
        <v>0</v>
      </c>
      <c r="CE506" s="47">
        <v>0</v>
      </c>
      <c r="CF506" s="47">
        <v>0</v>
      </c>
      <c r="CG506" s="47">
        <v>0</v>
      </c>
      <c r="CH506" s="47">
        <v>0</v>
      </c>
      <c r="CI506" s="47">
        <v>0</v>
      </c>
      <c r="CJ506" s="47">
        <v>0</v>
      </c>
      <c r="CK506" s="47">
        <v>0</v>
      </c>
      <c r="CL506" s="47">
        <v>0</v>
      </c>
      <c r="CM506" s="47">
        <v>0</v>
      </c>
      <c r="CN506" s="47">
        <v>0</v>
      </c>
      <c r="CO506" s="47">
        <v>0</v>
      </c>
      <c r="CP506" s="47">
        <v>0</v>
      </c>
      <c r="CQ506" s="47">
        <v>0</v>
      </c>
      <c r="CR506" s="47">
        <v>0</v>
      </c>
      <c r="CS506" s="47">
        <v>0</v>
      </c>
      <c r="CT506" s="47">
        <v>0</v>
      </c>
      <c r="CU506" s="47">
        <v>0</v>
      </c>
      <c r="CV506" s="47">
        <v>0</v>
      </c>
      <c r="CW506" s="47">
        <v>0</v>
      </c>
      <c r="CX506" s="47">
        <v>0</v>
      </c>
      <c r="CY506" s="47">
        <v>0</v>
      </c>
      <c r="CZ506" s="47">
        <v>0</v>
      </c>
      <c r="DA506" s="47">
        <v>0</v>
      </c>
      <c r="DB506" s="47">
        <v>0</v>
      </c>
      <c r="DC506" s="47">
        <v>0</v>
      </c>
      <c r="DD506" s="47">
        <v>0</v>
      </c>
      <c r="DE506" s="47">
        <v>0</v>
      </c>
      <c r="DF506" s="47">
        <v>0</v>
      </c>
      <c r="DG506" s="47">
        <v>0</v>
      </c>
      <c r="DH506" s="47">
        <v>0</v>
      </c>
      <c r="DI506" s="47">
        <v>0</v>
      </c>
      <c r="DJ506" s="47">
        <v>0</v>
      </c>
      <c r="DK506" s="47">
        <v>0</v>
      </c>
      <c r="DL506" s="47">
        <v>0</v>
      </c>
      <c r="DM506" s="47">
        <v>0</v>
      </c>
      <c r="DN506" s="47">
        <v>0</v>
      </c>
      <c r="DO506" s="47">
        <v>0</v>
      </c>
      <c r="DP506" s="47">
        <v>0</v>
      </c>
      <c r="DQ506" s="47">
        <v>0</v>
      </c>
      <c r="DR506" s="47">
        <v>0</v>
      </c>
      <c r="DS506" s="47">
        <v>0</v>
      </c>
      <c r="DT506" s="47">
        <v>0</v>
      </c>
      <c r="DU506" s="47">
        <v>0</v>
      </c>
      <c r="DV506" s="47">
        <v>0</v>
      </c>
      <c r="DW506" s="47">
        <v>0</v>
      </c>
      <c r="DX506" s="47">
        <v>0</v>
      </c>
      <c r="DY506" s="47">
        <v>0</v>
      </c>
      <c r="DZ506" s="47">
        <v>0</v>
      </c>
      <c r="EA506" s="47">
        <v>0</v>
      </c>
      <c r="EB506" s="47"/>
      <c r="EC506" s="47">
        <v>1</v>
      </c>
      <c r="ZZ506" t="s">
        <v>2472</v>
      </c>
    </row>
    <row r="507" spans="1:702" x14ac:dyDescent="0.25">
      <c r="A507" s="47" t="s">
        <v>2380</v>
      </c>
      <c r="B507" s="47" t="s">
        <v>153</v>
      </c>
      <c r="C507" s="47" t="s">
        <v>157</v>
      </c>
      <c r="D507" s="47" t="s">
        <v>2992</v>
      </c>
      <c r="E507" s="47" t="s">
        <v>2381</v>
      </c>
      <c r="F507" s="47" t="s">
        <v>2382</v>
      </c>
      <c r="G507" s="47" t="s">
        <v>2383</v>
      </c>
      <c r="H507" s="47" t="s">
        <v>698</v>
      </c>
      <c r="I507" s="47" t="s">
        <v>727</v>
      </c>
      <c r="J507" s="47" t="str">
        <f>=IFERROR(VLOOKUP(H507&amp;I507,Table_Fonctions!A:G,6,FALSE),"")</f>
        <v>0</v>
      </c>
      <c r="K507" s="47" t="s">
        <v>2607</v>
      </c>
      <c r="L507" s="47" t="str">
        <f>=IFERROR(VLOOKUP(H507&amp;I507,Table_Fonctions!A:G,7,FALSE),K507)</f>
        <v/>
      </c>
      <c r="M507" s="47" t="str">
        <f>=IF(OR(LEFT(D507, 3)="TJ ", LEFT(D507, 4)="CPH "), "OUI", "NON")</f>
        <v/>
      </c>
      <c r="N507" s="47" t="s">
        <v>902</v>
      </c>
      <c r="O507" s="47"/>
      <c r="P507" s="47">
        <v>1</v>
      </c>
      <c r="Q507" s="47">
        <v>1</v>
      </c>
      <c r="R507" s="47">
        <v>0</v>
      </c>
      <c r="S507" s="47">
        <f>=ROUND(BQ507-(BR507+BS507),3)</f>
      </c>
      <c r="T507" s="47">
        <f>=ROUND(CK507-(CL507+CM507+CN507+CO507+CP507),3)</f>
      </c>
      <c r="U507" s="47">
        <v>0</v>
      </c>
      <c r="V507" s="47">
        <v>0</v>
      </c>
      <c r="W507" s="47">
        <v>0</v>
      </c>
      <c r="X507" s="47">
        <v>0</v>
      </c>
      <c r="Y507" s="47">
        <v>0</v>
      </c>
      <c r="Z507" s="47">
        <v>0</v>
      </c>
      <c r="AA507" s="47">
        <v>0</v>
      </c>
      <c r="AB507" s="47">
        <v>0</v>
      </c>
      <c r="AC507" s="47">
        <v>0</v>
      </c>
      <c r="AD507" s="47">
        <v>0</v>
      </c>
      <c r="AE507" s="47">
        <v>0</v>
      </c>
      <c r="AF507" s="47">
        <v>0</v>
      </c>
      <c r="AG507" s="47">
        <v>0</v>
      </c>
      <c r="AH507" s="47">
        <v>0</v>
      </c>
      <c r="AI507" s="47">
        <v>0</v>
      </c>
      <c r="AJ507" s="47">
        <v>0</v>
      </c>
      <c r="AK507" s="47">
        <v>0</v>
      </c>
      <c r="AL507" s="47">
        <v>0</v>
      </c>
      <c r="AM507" s="47">
        <v>0</v>
      </c>
      <c r="AN507" s="47">
        <v>0</v>
      </c>
      <c r="AO507" s="47">
        <v>0</v>
      </c>
      <c r="AP507" s="47">
        <v>0</v>
      </c>
      <c r="AQ507" s="47">
        <v>0</v>
      </c>
      <c r="AR507" s="47">
        <v>0</v>
      </c>
      <c r="AS507" s="47">
        <v>1</v>
      </c>
      <c r="AT507" s="47">
        <v>0</v>
      </c>
      <c r="AU507" s="47">
        <v>0</v>
      </c>
      <c r="AV507" s="47">
        <v>0</v>
      </c>
      <c r="AW507" s="47">
        <v>0</v>
      </c>
      <c r="AX507" s="47">
        <v>0</v>
      </c>
      <c r="AY507" s="47">
        <v>0</v>
      </c>
      <c r="AZ507" s="47">
        <v>0</v>
      </c>
      <c r="BA507" s="47">
        <v>0</v>
      </c>
      <c r="BB507" s="47">
        <v>0</v>
      </c>
      <c r="BC507" s="47">
        <v>0</v>
      </c>
      <c r="BD507" s="47">
        <v>0</v>
      </c>
      <c r="BE507" s="47">
        <v>0</v>
      </c>
      <c r="BF507" s="47">
        <v>0</v>
      </c>
      <c r="BG507" s="47">
        <v>0</v>
      </c>
      <c r="BH507" s="47">
        <v>0</v>
      </c>
      <c r="BI507" s="47">
        <v>0</v>
      </c>
      <c r="BJ507" s="47">
        <v>0</v>
      </c>
      <c r="BK507" s="47">
        <v>0</v>
      </c>
      <c r="BL507" s="47">
        <v>0</v>
      </c>
      <c r="BM507" s="47">
        <v>0</v>
      </c>
      <c r="BN507" s="47">
        <v>0</v>
      </c>
      <c r="BO507" s="47">
        <v>0</v>
      </c>
      <c r="BP507" s="47">
        <v>0</v>
      </c>
      <c r="BQ507" s="47">
        <v>0</v>
      </c>
      <c r="BR507" s="47">
        <v>0</v>
      </c>
      <c r="BS507" s="47">
        <v>0</v>
      </c>
      <c r="BT507" s="47">
        <v>0</v>
      </c>
      <c r="BU507" s="47">
        <v>0</v>
      </c>
      <c r="BV507" s="47">
        <v>0</v>
      </c>
      <c r="BW507" s="47">
        <v>0</v>
      </c>
      <c r="BX507" s="47">
        <v>0</v>
      </c>
      <c r="BY507" s="47">
        <v>0</v>
      </c>
      <c r="BZ507" s="47">
        <v>0</v>
      </c>
      <c r="CA507" s="47">
        <v>0</v>
      </c>
      <c r="CB507" s="47">
        <v>0</v>
      </c>
      <c r="CC507" s="47">
        <v>0</v>
      </c>
      <c r="CD507" s="47">
        <v>0</v>
      </c>
      <c r="CE507" s="47">
        <v>0</v>
      </c>
      <c r="CF507" s="47">
        <v>0</v>
      </c>
      <c r="CG507" s="47">
        <v>0</v>
      </c>
      <c r="CH507" s="47">
        <v>0</v>
      </c>
      <c r="CI507" s="47">
        <v>0</v>
      </c>
      <c r="CJ507" s="47">
        <v>0</v>
      </c>
      <c r="CK507" s="47">
        <v>0</v>
      </c>
      <c r="CL507" s="47">
        <v>0</v>
      </c>
      <c r="CM507" s="47">
        <v>0</v>
      </c>
      <c r="CN507" s="47">
        <v>0</v>
      </c>
      <c r="CO507" s="47">
        <v>0</v>
      </c>
      <c r="CP507" s="47">
        <v>0</v>
      </c>
      <c r="CQ507" s="47">
        <v>0</v>
      </c>
      <c r="CR507" s="47">
        <v>0</v>
      </c>
      <c r="CS507" s="47">
        <v>0</v>
      </c>
      <c r="CT507" s="47">
        <v>0</v>
      </c>
      <c r="CU507" s="47">
        <v>0</v>
      </c>
      <c r="CV507" s="47">
        <v>0</v>
      </c>
      <c r="CW507" s="47">
        <v>0</v>
      </c>
      <c r="CX507" s="47">
        <v>0</v>
      </c>
      <c r="CY507" s="47">
        <v>0</v>
      </c>
      <c r="CZ507" s="47">
        <v>0</v>
      </c>
      <c r="DA507" s="47">
        <v>0</v>
      </c>
      <c r="DB507" s="47">
        <v>0</v>
      </c>
      <c r="DC507" s="47">
        <v>0</v>
      </c>
      <c r="DD507" s="47">
        <v>0</v>
      </c>
      <c r="DE507" s="47">
        <v>0</v>
      </c>
      <c r="DF507" s="47">
        <v>0</v>
      </c>
      <c r="DG507" s="47">
        <v>0</v>
      </c>
      <c r="DH507" s="47">
        <v>0</v>
      </c>
      <c r="DI507" s="47">
        <v>0</v>
      </c>
      <c r="DJ507" s="47">
        <v>0</v>
      </c>
      <c r="DK507" s="47">
        <v>0</v>
      </c>
      <c r="DL507" s="47">
        <v>0</v>
      </c>
      <c r="DM507" s="47">
        <v>0</v>
      </c>
      <c r="DN507" s="47">
        <v>0</v>
      </c>
      <c r="DO507" s="47">
        <v>0</v>
      </c>
      <c r="DP507" s="47">
        <v>0</v>
      </c>
      <c r="DQ507" s="47">
        <v>0</v>
      </c>
      <c r="DR507" s="47">
        <v>0</v>
      </c>
      <c r="DS507" s="47">
        <v>0</v>
      </c>
      <c r="DT507" s="47">
        <v>0</v>
      </c>
      <c r="DU507" s="47">
        <v>0</v>
      </c>
      <c r="DV507" s="47">
        <v>0</v>
      </c>
      <c r="DW507" s="47">
        <v>0</v>
      </c>
      <c r="DX507" s="47">
        <v>0</v>
      </c>
      <c r="DY507" s="47">
        <v>0</v>
      </c>
      <c r="DZ507" s="47">
        <v>0</v>
      </c>
      <c r="EA507" s="47">
        <v>0</v>
      </c>
      <c r="EB507" s="47"/>
      <c r="EC507" s="47">
        <v>1</v>
      </c>
      <c r="ZZ507" t="s">
        <v>2472</v>
      </c>
    </row>
    <row r="508" spans="1:702" x14ac:dyDescent="0.25">
      <c r="A508" s="47" t="s">
        <v>2384</v>
      </c>
      <c r="B508" s="47" t="s">
        <v>153</v>
      </c>
      <c r="C508" s="47" t="s">
        <v>157</v>
      </c>
      <c r="D508" s="47" t="s">
        <v>2993</v>
      </c>
      <c r="E508" s="47" t="s">
        <v>2385</v>
      </c>
      <c r="F508" s="47" t="s">
        <v>2386</v>
      </c>
      <c r="G508" s="47" t="s">
        <v>2387</v>
      </c>
      <c r="H508" s="47" t="s">
        <v>698</v>
      </c>
      <c r="I508" s="47" t="s">
        <v>727</v>
      </c>
      <c r="J508" s="47" t="str">
        <f>=IFERROR(VLOOKUP(H508&amp;I508,Table_Fonctions!A:G,6,FALSE),"")</f>
        <v>0</v>
      </c>
      <c r="K508" s="47" t="s">
        <v>2607</v>
      </c>
      <c r="L508" s="47" t="str">
        <f>=IFERROR(VLOOKUP(H508&amp;I508,Table_Fonctions!A:G,7,FALSE),K508)</f>
        <v/>
      </c>
      <c r="M508" s="47" t="str">
        <f>=IF(OR(LEFT(D508, 3)="TJ ", LEFT(D508, 4)="CPH "), "OUI", "NON")</f>
        <v/>
      </c>
      <c r="N508" s="47" t="s">
        <v>763</v>
      </c>
      <c r="O508" s="47"/>
      <c r="P508" s="47">
        <v>1</v>
      </c>
      <c r="Q508" s="47">
        <v>1</v>
      </c>
      <c r="R508" s="47">
        <v>0</v>
      </c>
      <c r="S508" s="47">
        <f>=ROUND(BQ508-(BR508+BS508),3)</f>
      </c>
      <c r="T508" s="47">
        <f>=ROUND(CK508-(CL508+CM508+CN508+CO508+CP508),3)</f>
      </c>
      <c r="U508" s="47">
        <v>0</v>
      </c>
      <c r="V508" s="47">
        <v>0</v>
      </c>
      <c r="W508" s="47">
        <v>0</v>
      </c>
      <c r="X508" s="47">
        <v>0</v>
      </c>
      <c r="Y508" s="47">
        <v>0</v>
      </c>
      <c r="Z508" s="47">
        <v>0</v>
      </c>
      <c r="AA508" s="47">
        <v>0</v>
      </c>
      <c r="AB508" s="47">
        <v>0</v>
      </c>
      <c r="AC508" s="47">
        <v>0</v>
      </c>
      <c r="AD508" s="47">
        <v>0</v>
      </c>
      <c r="AE508" s="47">
        <v>0</v>
      </c>
      <c r="AF508" s="47">
        <v>0</v>
      </c>
      <c r="AG508" s="47">
        <v>0</v>
      </c>
      <c r="AH508" s="47">
        <v>0</v>
      </c>
      <c r="AI508" s="47">
        <v>0</v>
      </c>
      <c r="AJ508" s="47">
        <v>0</v>
      </c>
      <c r="AK508" s="47">
        <v>0</v>
      </c>
      <c r="AL508" s="47">
        <v>0</v>
      </c>
      <c r="AM508" s="47">
        <v>0</v>
      </c>
      <c r="AN508" s="47">
        <v>0</v>
      </c>
      <c r="AO508" s="47">
        <v>0</v>
      </c>
      <c r="AP508" s="47">
        <v>0</v>
      </c>
      <c r="AQ508" s="47">
        <v>0</v>
      </c>
      <c r="AR508" s="47">
        <v>0</v>
      </c>
      <c r="AS508" s="47">
        <v>1</v>
      </c>
      <c r="AT508" s="47">
        <v>0</v>
      </c>
      <c r="AU508" s="47">
        <v>0</v>
      </c>
      <c r="AV508" s="47">
        <v>0</v>
      </c>
      <c r="AW508" s="47">
        <v>0</v>
      </c>
      <c r="AX508" s="47">
        <v>0</v>
      </c>
      <c r="AY508" s="47">
        <v>0</v>
      </c>
      <c r="AZ508" s="47">
        <v>0</v>
      </c>
      <c r="BA508" s="47">
        <v>0</v>
      </c>
      <c r="BB508" s="47">
        <v>0</v>
      </c>
      <c r="BC508" s="47">
        <v>0</v>
      </c>
      <c r="BD508" s="47">
        <v>0</v>
      </c>
      <c r="BE508" s="47">
        <v>0</v>
      </c>
      <c r="BF508" s="47">
        <v>0</v>
      </c>
      <c r="BG508" s="47">
        <v>0</v>
      </c>
      <c r="BH508" s="47">
        <v>0</v>
      </c>
      <c r="BI508" s="47">
        <v>0</v>
      </c>
      <c r="BJ508" s="47">
        <v>0</v>
      </c>
      <c r="BK508" s="47">
        <v>0</v>
      </c>
      <c r="BL508" s="47">
        <v>0</v>
      </c>
      <c r="BM508" s="47">
        <v>0</v>
      </c>
      <c r="BN508" s="47">
        <v>0</v>
      </c>
      <c r="BO508" s="47">
        <v>0</v>
      </c>
      <c r="BP508" s="47">
        <v>0</v>
      </c>
      <c r="BQ508" s="47">
        <v>0</v>
      </c>
      <c r="BR508" s="47">
        <v>0</v>
      </c>
      <c r="BS508" s="47">
        <v>0</v>
      </c>
      <c r="BT508" s="47">
        <v>0</v>
      </c>
      <c r="BU508" s="47">
        <v>0</v>
      </c>
      <c r="BV508" s="47">
        <v>0</v>
      </c>
      <c r="BW508" s="47">
        <v>0</v>
      </c>
      <c r="BX508" s="47">
        <v>0</v>
      </c>
      <c r="BY508" s="47">
        <v>0</v>
      </c>
      <c r="BZ508" s="47">
        <v>0</v>
      </c>
      <c r="CA508" s="47">
        <v>0</v>
      </c>
      <c r="CB508" s="47">
        <v>0</v>
      </c>
      <c r="CC508" s="47">
        <v>0</v>
      </c>
      <c r="CD508" s="47">
        <v>0</v>
      </c>
      <c r="CE508" s="47">
        <v>0</v>
      </c>
      <c r="CF508" s="47">
        <v>0</v>
      </c>
      <c r="CG508" s="47">
        <v>0</v>
      </c>
      <c r="CH508" s="47">
        <v>0</v>
      </c>
      <c r="CI508" s="47">
        <v>0</v>
      </c>
      <c r="CJ508" s="47">
        <v>0</v>
      </c>
      <c r="CK508" s="47">
        <v>0</v>
      </c>
      <c r="CL508" s="47">
        <v>0</v>
      </c>
      <c r="CM508" s="47">
        <v>0</v>
      </c>
      <c r="CN508" s="47">
        <v>0</v>
      </c>
      <c r="CO508" s="47">
        <v>0</v>
      </c>
      <c r="CP508" s="47">
        <v>0</v>
      </c>
      <c r="CQ508" s="47">
        <v>0</v>
      </c>
      <c r="CR508" s="47">
        <v>0</v>
      </c>
      <c r="CS508" s="47">
        <v>0</v>
      </c>
      <c r="CT508" s="47">
        <v>0</v>
      </c>
      <c r="CU508" s="47">
        <v>0</v>
      </c>
      <c r="CV508" s="47">
        <v>0</v>
      </c>
      <c r="CW508" s="47">
        <v>0</v>
      </c>
      <c r="CX508" s="47">
        <v>0</v>
      </c>
      <c r="CY508" s="47">
        <v>0</v>
      </c>
      <c r="CZ508" s="47">
        <v>0</v>
      </c>
      <c r="DA508" s="47">
        <v>0</v>
      </c>
      <c r="DB508" s="47">
        <v>0</v>
      </c>
      <c r="DC508" s="47">
        <v>0</v>
      </c>
      <c r="DD508" s="47">
        <v>0</v>
      </c>
      <c r="DE508" s="47">
        <v>0</v>
      </c>
      <c r="DF508" s="47">
        <v>0</v>
      </c>
      <c r="DG508" s="47">
        <v>0</v>
      </c>
      <c r="DH508" s="47">
        <v>0</v>
      </c>
      <c r="DI508" s="47">
        <v>0</v>
      </c>
      <c r="DJ508" s="47">
        <v>0</v>
      </c>
      <c r="DK508" s="47">
        <v>0</v>
      </c>
      <c r="DL508" s="47">
        <v>0</v>
      </c>
      <c r="DM508" s="47">
        <v>0</v>
      </c>
      <c r="DN508" s="47">
        <v>0</v>
      </c>
      <c r="DO508" s="47">
        <v>0</v>
      </c>
      <c r="DP508" s="47">
        <v>0</v>
      </c>
      <c r="DQ508" s="47">
        <v>0</v>
      </c>
      <c r="DR508" s="47">
        <v>0</v>
      </c>
      <c r="DS508" s="47">
        <v>0</v>
      </c>
      <c r="DT508" s="47">
        <v>0</v>
      </c>
      <c r="DU508" s="47">
        <v>0</v>
      </c>
      <c r="DV508" s="47">
        <v>0</v>
      </c>
      <c r="DW508" s="47">
        <v>0</v>
      </c>
      <c r="DX508" s="47">
        <v>0</v>
      </c>
      <c r="DY508" s="47">
        <v>0</v>
      </c>
      <c r="DZ508" s="47">
        <v>0</v>
      </c>
      <c r="EA508" s="47">
        <v>0</v>
      </c>
      <c r="EB508" s="47"/>
      <c r="EC508" s="47">
        <v>1</v>
      </c>
      <c r="ZZ508" t="s">
        <v>2472</v>
      </c>
    </row>
    <row r="509" spans="1:702" x14ac:dyDescent="0.25">
      <c r="A509" s="47" t="s">
        <v>2388</v>
      </c>
      <c r="B509" s="47" t="s">
        <v>153</v>
      </c>
      <c r="C509" s="47" t="s">
        <v>157</v>
      </c>
      <c r="D509" s="47" t="s">
        <v>2994</v>
      </c>
      <c r="E509" s="47" t="s">
        <v>2389</v>
      </c>
      <c r="F509" s="47" t="s">
        <v>2390</v>
      </c>
      <c r="G509" s="47" t="s">
        <v>2391</v>
      </c>
      <c r="H509" s="47" t="s">
        <v>698</v>
      </c>
      <c r="I509" s="47" t="s">
        <v>727</v>
      </c>
      <c r="J509" s="47" t="str">
        <f>=IFERROR(VLOOKUP(H509&amp;I509,Table_Fonctions!A:G,6,FALSE),"")</f>
        <v>0</v>
      </c>
      <c r="K509" s="47" t="s">
        <v>2607</v>
      </c>
      <c r="L509" s="47" t="str">
        <f>=IFERROR(VLOOKUP(H509&amp;I509,Table_Fonctions!A:G,7,FALSE),K509)</f>
        <v/>
      </c>
      <c r="M509" s="47" t="str">
        <f>=IF(OR(LEFT(D509, 3)="TJ ", LEFT(D509, 4)="CPH "), "OUI", "NON")</f>
        <v/>
      </c>
      <c r="N509" s="47" t="s">
        <v>849</v>
      </c>
      <c r="O509" s="47"/>
      <c r="P509" s="47">
        <v>1</v>
      </c>
      <c r="Q509" s="47">
        <v>0</v>
      </c>
      <c r="R509" s="47">
        <v>1</v>
      </c>
      <c r="S509" s="47">
        <f>=ROUND(BQ509-(BR509+BS509),3)</f>
      </c>
      <c r="T509" s="47">
        <f>=ROUND(CK509-(CL509+CM509+CN509+CO509+CP509),3)</f>
      </c>
      <c r="U509" s="47">
        <v>0</v>
      </c>
      <c r="V509" s="47">
        <v>0</v>
      </c>
      <c r="W509" s="47">
        <v>0</v>
      </c>
      <c r="X509" s="47">
        <v>0</v>
      </c>
      <c r="Y509" s="47">
        <v>0</v>
      </c>
      <c r="Z509" s="47">
        <v>0</v>
      </c>
      <c r="AA509" s="47">
        <v>0</v>
      </c>
      <c r="AB509" s="47">
        <v>0</v>
      </c>
      <c r="AC509" s="47">
        <v>0</v>
      </c>
      <c r="AD509" s="47">
        <v>0</v>
      </c>
      <c r="AE509" s="47">
        <v>0</v>
      </c>
      <c r="AF509" s="47">
        <v>0</v>
      </c>
      <c r="AG509" s="47">
        <v>0</v>
      </c>
      <c r="AH509" s="47">
        <v>0</v>
      </c>
      <c r="AI509" s="47">
        <v>0</v>
      </c>
      <c r="AJ509" s="47">
        <v>0</v>
      </c>
      <c r="AK509" s="47">
        <v>0</v>
      </c>
      <c r="AL509" s="47">
        <v>0</v>
      </c>
      <c r="AM509" s="47">
        <v>0</v>
      </c>
      <c r="AN509" s="47">
        <v>0</v>
      </c>
      <c r="AO509" s="47">
        <v>0</v>
      </c>
      <c r="AP509" s="47">
        <v>0</v>
      </c>
      <c r="AQ509" s="47">
        <v>0</v>
      </c>
      <c r="AR509" s="47">
        <v>0</v>
      </c>
      <c r="AS509" s="47">
        <v>0</v>
      </c>
      <c r="AT509" s="47">
        <v>0</v>
      </c>
      <c r="AU509" s="47">
        <v>0</v>
      </c>
      <c r="AV509" s="47">
        <v>0</v>
      </c>
      <c r="AW509" s="47">
        <v>0</v>
      </c>
      <c r="AX509" s="47">
        <v>0</v>
      </c>
      <c r="AY509" s="47">
        <v>0</v>
      </c>
      <c r="AZ509" s="47">
        <v>0</v>
      </c>
      <c r="BA509" s="47">
        <v>0</v>
      </c>
      <c r="BB509" s="47">
        <v>0</v>
      </c>
      <c r="BC509" s="47">
        <v>0</v>
      </c>
      <c r="BD509" s="47">
        <v>0</v>
      </c>
      <c r="BE509" s="47">
        <v>0</v>
      </c>
      <c r="BF509" s="47">
        <v>0</v>
      </c>
      <c r="BG509" s="47">
        <v>0</v>
      </c>
      <c r="BH509" s="47">
        <v>0</v>
      </c>
      <c r="BI509" s="47">
        <v>0</v>
      </c>
      <c r="BJ509" s="47">
        <v>0</v>
      </c>
      <c r="BK509" s="47">
        <v>0</v>
      </c>
      <c r="BL509" s="47">
        <v>0</v>
      </c>
      <c r="BM509" s="47">
        <v>0</v>
      </c>
      <c r="BN509" s="47">
        <v>0</v>
      </c>
      <c r="BO509" s="47">
        <v>0</v>
      </c>
      <c r="BP509" s="47">
        <v>0</v>
      </c>
      <c r="BQ509" s="47">
        <v>0</v>
      </c>
      <c r="BR509" s="47">
        <v>0</v>
      </c>
      <c r="BS509" s="47">
        <v>0</v>
      </c>
      <c r="BT509" s="47">
        <v>0</v>
      </c>
      <c r="BU509" s="47">
        <v>0</v>
      </c>
      <c r="BV509" s="47">
        <v>0</v>
      </c>
      <c r="BW509" s="47">
        <v>0</v>
      </c>
      <c r="BX509" s="47">
        <v>0</v>
      </c>
      <c r="BY509" s="47">
        <v>0</v>
      </c>
      <c r="BZ509" s="47">
        <v>0</v>
      </c>
      <c r="CA509" s="47">
        <v>0</v>
      </c>
      <c r="CB509" s="47">
        <v>0</v>
      </c>
      <c r="CC509" s="47">
        <v>0</v>
      </c>
      <c r="CD509" s="47">
        <v>0</v>
      </c>
      <c r="CE509" s="47">
        <v>0</v>
      </c>
      <c r="CF509" s="47">
        <v>0</v>
      </c>
      <c r="CG509" s="47">
        <v>0</v>
      </c>
      <c r="CH509" s="47">
        <v>0</v>
      </c>
      <c r="CI509" s="47">
        <v>0</v>
      </c>
      <c r="CJ509" s="47">
        <v>0</v>
      </c>
      <c r="CK509" s="47">
        <v>0</v>
      </c>
      <c r="CL509" s="47">
        <v>0</v>
      </c>
      <c r="CM509" s="47">
        <v>0</v>
      </c>
      <c r="CN509" s="47">
        <v>0</v>
      </c>
      <c r="CO509" s="47">
        <v>0</v>
      </c>
      <c r="CP509" s="47">
        <v>0</v>
      </c>
      <c r="CQ509" s="47">
        <v>0</v>
      </c>
      <c r="CR509" s="47">
        <v>0</v>
      </c>
      <c r="CS509" s="47">
        <v>0</v>
      </c>
      <c r="CT509" s="47">
        <v>0</v>
      </c>
      <c r="CU509" s="47">
        <v>0</v>
      </c>
      <c r="CV509" s="47">
        <v>0</v>
      </c>
      <c r="CW509" s="47">
        <v>0</v>
      </c>
      <c r="CX509" s="47">
        <v>0</v>
      </c>
      <c r="CY509" s="47">
        <v>0</v>
      </c>
      <c r="CZ509" s="47">
        <v>0</v>
      </c>
      <c r="DA509" s="47">
        <v>0</v>
      </c>
      <c r="DB509" s="47">
        <v>0</v>
      </c>
      <c r="DC509" s="47">
        <v>0</v>
      </c>
      <c r="DD509" s="47">
        <v>0</v>
      </c>
      <c r="DE509" s="47">
        <v>0</v>
      </c>
      <c r="DF509" s="47">
        <v>0</v>
      </c>
      <c r="DG509" s="47">
        <v>0</v>
      </c>
      <c r="DH509" s="47">
        <v>0</v>
      </c>
      <c r="DI509" s="47">
        <v>0</v>
      </c>
      <c r="DJ509" s="47">
        <v>0</v>
      </c>
      <c r="DK509" s="47">
        <v>0</v>
      </c>
      <c r="DL509" s="47">
        <v>0</v>
      </c>
      <c r="DM509" s="47">
        <v>0</v>
      </c>
      <c r="DN509" s="47">
        <v>0</v>
      </c>
      <c r="DO509" s="47">
        <v>0</v>
      </c>
      <c r="DP509" s="47">
        <v>0</v>
      </c>
      <c r="DQ509" s="47">
        <v>0</v>
      </c>
      <c r="DR509" s="47">
        <v>0</v>
      </c>
      <c r="DS509" s="47">
        <v>0</v>
      </c>
      <c r="DT509" s="47">
        <v>0</v>
      </c>
      <c r="DU509" s="47">
        <v>0</v>
      </c>
      <c r="DV509" s="47">
        <v>0</v>
      </c>
      <c r="DW509" s="47">
        <v>0</v>
      </c>
      <c r="DX509" s="47">
        <v>0</v>
      </c>
      <c r="DY509" s="47">
        <v>0</v>
      </c>
      <c r="DZ509" s="47">
        <v>0</v>
      </c>
      <c r="EA509" s="47">
        <v>0</v>
      </c>
      <c r="EB509" s="47"/>
      <c r="EC509" s="47">
        <v>1</v>
      </c>
      <c r="ZZ509" t="s">
        <v>2472</v>
      </c>
    </row>
    <row r="510" spans="1:702" x14ac:dyDescent="0.25">
      <c r="A510" s="47" t="s">
        <v>2392</v>
      </c>
      <c r="B510" s="47" t="s">
        <v>153</v>
      </c>
      <c r="C510" s="47" t="s">
        <v>157</v>
      </c>
      <c r="D510" s="47" t="s">
        <v>2995</v>
      </c>
      <c r="E510" s="47" t="s">
        <v>2393</v>
      </c>
      <c r="F510" s="47" t="s">
        <v>2394</v>
      </c>
      <c r="G510" s="47" t="s">
        <v>2395</v>
      </c>
      <c r="H510" s="47" t="s">
        <v>698</v>
      </c>
      <c r="I510" s="47" t="s">
        <v>727</v>
      </c>
      <c r="J510" s="47" t="str">
        <f>=IFERROR(VLOOKUP(H510&amp;I510,Table_Fonctions!A:G,6,FALSE),"")</f>
        <v>0</v>
      </c>
      <c r="K510" s="47" t="s">
        <v>2607</v>
      </c>
      <c r="L510" s="47" t="str">
        <f>=IFERROR(VLOOKUP(H510&amp;I510,Table_Fonctions!A:G,7,FALSE),K510)</f>
        <v/>
      </c>
      <c r="M510" s="47" t="str">
        <f>=IF(OR(LEFT(D510, 3)="TJ ", LEFT(D510, 4)="CPH "), "OUI", "NON")</f>
        <v/>
      </c>
      <c r="N510" s="47" t="s">
        <v>1243</v>
      </c>
      <c r="O510" s="47"/>
      <c r="P510" s="47">
        <v>1</v>
      </c>
      <c r="Q510" s="47">
        <v>0</v>
      </c>
      <c r="R510" s="47">
        <v>1</v>
      </c>
      <c r="S510" s="47">
        <f>=ROUND(BQ510-(BR510+BS510),3)</f>
      </c>
      <c r="T510" s="47">
        <f>=ROUND(CK510-(CL510+CM510+CN510+CO510+CP510),3)</f>
      </c>
      <c r="U510" s="47">
        <v>0</v>
      </c>
      <c r="V510" s="47">
        <v>0</v>
      </c>
      <c r="W510" s="47">
        <v>0</v>
      </c>
      <c r="X510" s="47">
        <v>0</v>
      </c>
      <c r="Y510" s="47">
        <v>0</v>
      </c>
      <c r="Z510" s="47">
        <v>0</v>
      </c>
      <c r="AA510" s="47">
        <v>0</v>
      </c>
      <c r="AB510" s="47">
        <v>0</v>
      </c>
      <c r="AC510" s="47">
        <v>0</v>
      </c>
      <c r="AD510" s="47">
        <v>0</v>
      </c>
      <c r="AE510" s="47">
        <v>0</v>
      </c>
      <c r="AF510" s="47">
        <v>0</v>
      </c>
      <c r="AG510" s="47">
        <v>0</v>
      </c>
      <c r="AH510" s="47">
        <v>0</v>
      </c>
      <c r="AI510" s="47">
        <v>0</v>
      </c>
      <c r="AJ510" s="47">
        <v>0</v>
      </c>
      <c r="AK510" s="47">
        <v>0</v>
      </c>
      <c r="AL510" s="47">
        <v>0</v>
      </c>
      <c r="AM510" s="47">
        <v>0</v>
      </c>
      <c r="AN510" s="47">
        <v>0</v>
      </c>
      <c r="AO510" s="47">
        <v>0</v>
      </c>
      <c r="AP510" s="47">
        <v>0</v>
      </c>
      <c r="AQ510" s="47">
        <v>0</v>
      </c>
      <c r="AR510" s="47">
        <v>0</v>
      </c>
      <c r="AS510" s="47">
        <v>0</v>
      </c>
      <c r="AT510" s="47">
        <v>0</v>
      </c>
      <c r="AU510" s="47">
        <v>0</v>
      </c>
      <c r="AV510" s="47">
        <v>0</v>
      </c>
      <c r="AW510" s="47">
        <v>0</v>
      </c>
      <c r="AX510" s="47">
        <v>0</v>
      </c>
      <c r="AY510" s="47">
        <v>0</v>
      </c>
      <c r="AZ510" s="47">
        <v>0</v>
      </c>
      <c r="BA510" s="47">
        <v>0</v>
      </c>
      <c r="BB510" s="47">
        <v>0</v>
      </c>
      <c r="BC510" s="47">
        <v>0</v>
      </c>
      <c r="BD510" s="47">
        <v>0</v>
      </c>
      <c r="BE510" s="47">
        <v>0</v>
      </c>
      <c r="BF510" s="47">
        <v>0</v>
      </c>
      <c r="BG510" s="47">
        <v>0</v>
      </c>
      <c r="BH510" s="47">
        <v>0</v>
      </c>
      <c r="BI510" s="47">
        <v>0</v>
      </c>
      <c r="BJ510" s="47">
        <v>0</v>
      </c>
      <c r="BK510" s="47">
        <v>0</v>
      </c>
      <c r="BL510" s="47">
        <v>0</v>
      </c>
      <c r="BM510" s="47">
        <v>0</v>
      </c>
      <c r="BN510" s="47">
        <v>0</v>
      </c>
      <c r="BO510" s="47">
        <v>0</v>
      </c>
      <c r="BP510" s="47">
        <v>0</v>
      </c>
      <c r="BQ510" s="47">
        <v>0</v>
      </c>
      <c r="BR510" s="47">
        <v>0</v>
      </c>
      <c r="BS510" s="47">
        <v>0</v>
      </c>
      <c r="BT510" s="47">
        <v>0</v>
      </c>
      <c r="BU510" s="47">
        <v>0</v>
      </c>
      <c r="BV510" s="47">
        <v>0</v>
      </c>
      <c r="BW510" s="47">
        <v>0</v>
      </c>
      <c r="BX510" s="47">
        <v>0</v>
      </c>
      <c r="BY510" s="47">
        <v>0</v>
      </c>
      <c r="BZ510" s="47">
        <v>0</v>
      </c>
      <c r="CA510" s="47">
        <v>0</v>
      </c>
      <c r="CB510" s="47">
        <v>0</v>
      </c>
      <c r="CC510" s="47">
        <v>0</v>
      </c>
      <c r="CD510" s="47">
        <v>0</v>
      </c>
      <c r="CE510" s="47">
        <v>0</v>
      </c>
      <c r="CF510" s="47">
        <v>0</v>
      </c>
      <c r="CG510" s="47">
        <v>0</v>
      </c>
      <c r="CH510" s="47">
        <v>0</v>
      </c>
      <c r="CI510" s="47">
        <v>0</v>
      </c>
      <c r="CJ510" s="47">
        <v>0</v>
      </c>
      <c r="CK510" s="47">
        <v>0</v>
      </c>
      <c r="CL510" s="47">
        <v>0</v>
      </c>
      <c r="CM510" s="47">
        <v>0</v>
      </c>
      <c r="CN510" s="47">
        <v>0</v>
      </c>
      <c r="CO510" s="47">
        <v>0</v>
      </c>
      <c r="CP510" s="47">
        <v>0</v>
      </c>
      <c r="CQ510" s="47">
        <v>0</v>
      </c>
      <c r="CR510" s="47">
        <v>0</v>
      </c>
      <c r="CS510" s="47">
        <v>0</v>
      </c>
      <c r="CT510" s="47">
        <v>0</v>
      </c>
      <c r="CU510" s="47">
        <v>0</v>
      </c>
      <c r="CV510" s="47">
        <v>0</v>
      </c>
      <c r="CW510" s="47">
        <v>0</v>
      </c>
      <c r="CX510" s="47">
        <v>0</v>
      </c>
      <c r="CY510" s="47">
        <v>0</v>
      </c>
      <c r="CZ510" s="47">
        <v>0</v>
      </c>
      <c r="DA510" s="47">
        <v>0</v>
      </c>
      <c r="DB510" s="47">
        <v>0</v>
      </c>
      <c r="DC510" s="47">
        <v>0</v>
      </c>
      <c r="DD510" s="47">
        <v>0</v>
      </c>
      <c r="DE510" s="47">
        <v>0</v>
      </c>
      <c r="DF510" s="47">
        <v>0</v>
      </c>
      <c r="DG510" s="47">
        <v>0</v>
      </c>
      <c r="DH510" s="47">
        <v>0</v>
      </c>
      <c r="DI510" s="47">
        <v>0</v>
      </c>
      <c r="DJ510" s="47">
        <v>0</v>
      </c>
      <c r="DK510" s="47">
        <v>0</v>
      </c>
      <c r="DL510" s="47">
        <v>0</v>
      </c>
      <c r="DM510" s="47">
        <v>0</v>
      </c>
      <c r="DN510" s="47">
        <v>0</v>
      </c>
      <c r="DO510" s="47">
        <v>0</v>
      </c>
      <c r="DP510" s="47">
        <v>0</v>
      </c>
      <c r="DQ510" s="47">
        <v>0</v>
      </c>
      <c r="DR510" s="47">
        <v>0</v>
      </c>
      <c r="DS510" s="47">
        <v>0</v>
      </c>
      <c r="DT510" s="47">
        <v>0</v>
      </c>
      <c r="DU510" s="47">
        <v>0</v>
      </c>
      <c r="DV510" s="47">
        <v>0</v>
      </c>
      <c r="DW510" s="47">
        <v>0</v>
      </c>
      <c r="DX510" s="47">
        <v>0</v>
      </c>
      <c r="DY510" s="47">
        <v>0</v>
      </c>
      <c r="DZ510" s="47">
        <v>0</v>
      </c>
      <c r="EA510" s="47">
        <v>0</v>
      </c>
      <c r="EB510" s="47"/>
      <c r="EC510" s="47">
        <v>1</v>
      </c>
      <c r="ZZ510" t="s">
        <v>2472</v>
      </c>
    </row>
    <row r="511" spans="1:702" x14ac:dyDescent="0.25">
      <c r="A511" s="47" t="s">
        <v>2396</v>
      </c>
      <c r="B511" s="47" t="s">
        <v>153</v>
      </c>
      <c r="C511" s="47" t="s">
        <v>157</v>
      </c>
      <c r="D511" s="47" t="s">
        <v>2996</v>
      </c>
      <c r="E511" s="47" t="s">
        <v>2397</v>
      </c>
      <c r="F511" s="47" t="s">
        <v>2398</v>
      </c>
      <c r="G511" s="47" t="s">
        <v>2399</v>
      </c>
      <c r="H511" s="47" t="s">
        <v>698</v>
      </c>
      <c r="I511" s="47" t="s">
        <v>727</v>
      </c>
      <c r="J511" s="47" t="str">
        <f>=IFERROR(VLOOKUP(H511&amp;I511,Table_Fonctions!A:G,6,FALSE),"")</f>
        <v>0</v>
      </c>
      <c r="K511" s="47" t="s">
        <v>2607</v>
      </c>
      <c r="L511" s="47" t="str">
        <f>=IFERROR(VLOOKUP(H511&amp;I511,Table_Fonctions!A:G,7,FALSE),K511)</f>
        <v/>
      </c>
      <c r="M511" s="47" t="str">
        <f>=IF(OR(LEFT(D511, 3)="TJ ", LEFT(D511, 4)="CPH "), "OUI", "NON")</f>
        <v/>
      </c>
      <c r="N511" s="47" t="s">
        <v>942</v>
      </c>
      <c r="O511" s="47"/>
      <c r="P511" s="47">
        <v>1</v>
      </c>
      <c r="Q511" s="47">
        <v>1</v>
      </c>
      <c r="R511" s="47">
        <v>0</v>
      </c>
      <c r="S511" s="47">
        <f>=ROUND(BQ511-(BR511+BS511),3)</f>
      </c>
      <c r="T511" s="47">
        <f>=ROUND(CK511-(CL511+CM511+CN511+CO511+CP511),3)</f>
      </c>
      <c r="U511" s="47">
        <v>0</v>
      </c>
      <c r="V511" s="47">
        <v>0</v>
      </c>
      <c r="W511" s="47">
        <v>0</v>
      </c>
      <c r="X511" s="47">
        <v>0</v>
      </c>
      <c r="Y511" s="47">
        <v>0</v>
      </c>
      <c r="Z511" s="47">
        <v>0</v>
      </c>
      <c r="AA511" s="47">
        <v>0</v>
      </c>
      <c r="AB511" s="47">
        <v>0</v>
      </c>
      <c r="AC511" s="47">
        <v>0</v>
      </c>
      <c r="AD511" s="47">
        <v>0</v>
      </c>
      <c r="AE511" s="47">
        <v>0</v>
      </c>
      <c r="AF511" s="47">
        <v>0</v>
      </c>
      <c r="AG511" s="47">
        <v>0</v>
      </c>
      <c r="AH511" s="47">
        <v>0</v>
      </c>
      <c r="AI511" s="47">
        <v>0</v>
      </c>
      <c r="AJ511" s="47">
        <v>0</v>
      </c>
      <c r="AK511" s="47">
        <v>0</v>
      </c>
      <c r="AL511" s="47">
        <v>0</v>
      </c>
      <c r="AM511" s="47">
        <v>0</v>
      </c>
      <c r="AN511" s="47">
        <v>0</v>
      </c>
      <c r="AO511" s="47">
        <v>0</v>
      </c>
      <c r="AP511" s="47">
        <v>0</v>
      </c>
      <c r="AQ511" s="47">
        <v>0</v>
      </c>
      <c r="AR511" s="47">
        <v>0</v>
      </c>
      <c r="AS511" s="47">
        <v>0</v>
      </c>
      <c r="AT511" s="47">
        <v>0</v>
      </c>
      <c r="AU511" s="47">
        <v>0</v>
      </c>
      <c r="AV511" s="47">
        <v>0</v>
      </c>
      <c r="AW511" s="47">
        <v>0</v>
      </c>
      <c r="AX511" s="47">
        <v>0</v>
      </c>
      <c r="AY511" s="47">
        <v>0</v>
      </c>
      <c r="AZ511" s="47">
        <v>0</v>
      </c>
      <c r="BA511" s="47">
        <v>0</v>
      </c>
      <c r="BB511" s="47">
        <v>0</v>
      </c>
      <c r="BC511" s="47">
        <v>0</v>
      </c>
      <c r="BD511" s="47">
        <v>0</v>
      </c>
      <c r="BE511" s="47">
        <v>0</v>
      </c>
      <c r="BF511" s="47">
        <v>0</v>
      </c>
      <c r="BG511" s="47">
        <v>0</v>
      </c>
      <c r="BH511" s="47">
        <v>0</v>
      </c>
      <c r="BI511" s="47">
        <v>0</v>
      </c>
      <c r="BJ511" s="47">
        <v>0</v>
      </c>
      <c r="BK511" s="47">
        <v>0</v>
      </c>
      <c r="BL511" s="47">
        <v>0</v>
      </c>
      <c r="BM511" s="47">
        <v>0</v>
      </c>
      <c r="BN511" s="47">
        <v>0</v>
      </c>
      <c r="BO511" s="47">
        <v>0</v>
      </c>
      <c r="BP511" s="47">
        <v>0</v>
      </c>
      <c r="BQ511" s="47">
        <v>0</v>
      </c>
      <c r="BR511" s="47">
        <v>0</v>
      </c>
      <c r="BS511" s="47">
        <v>0</v>
      </c>
      <c r="BT511" s="47">
        <v>0</v>
      </c>
      <c r="BU511" s="47">
        <v>0</v>
      </c>
      <c r="BV511" s="47">
        <v>0</v>
      </c>
      <c r="BW511" s="47">
        <v>0</v>
      </c>
      <c r="BX511" s="47">
        <v>0</v>
      </c>
      <c r="BY511" s="47">
        <v>0</v>
      </c>
      <c r="BZ511" s="47">
        <v>0</v>
      </c>
      <c r="CA511" s="47">
        <v>0</v>
      </c>
      <c r="CB511" s="47">
        <v>0</v>
      </c>
      <c r="CC511" s="47">
        <v>0</v>
      </c>
      <c r="CD511" s="47">
        <v>0</v>
      </c>
      <c r="CE511" s="47">
        <v>0</v>
      </c>
      <c r="CF511" s="47">
        <v>0</v>
      </c>
      <c r="CG511" s="47">
        <v>0</v>
      </c>
      <c r="CH511" s="47">
        <v>0</v>
      </c>
      <c r="CI511" s="47">
        <v>0</v>
      </c>
      <c r="CJ511" s="47">
        <v>0</v>
      </c>
      <c r="CK511" s="47">
        <v>0</v>
      </c>
      <c r="CL511" s="47">
        <v>0</v>
      </c>
      <c r="CM511" s="47">
        <v>0</v>
      </c>
      <c r="CN511" s="47">
        <v>0</v>
      </c>
      <c r="CO511" s="47">
        <v>0</v>
      </c>
      <c r="CP511" s="47">
        <v>0</v>
      </c>
      <c r="CQ511" s="47">
        <v>0</v>
      </c>
      <c r="CR511" s="47">
        <v>0</v>
      </c>
      <c r="CS511" s="47">
        <v>0</v>
      </c>
      <c r="CT511" s="47">
        <v>0</v>
      </c>
      <c r="CU511" s="47">
        <v>0</v>
      </c>
      <c r="CV511" s="47">
        <v>1</v>
      </c>
      <c r="CW511" s="47">
        <v>0</v>
      </c>
      <c r="CX511" s="47">
        <v>0</v>
      </c>
      <c r="CY511" s="47">
        <v>0</v>
      </c>
      <c r="CZ511" s="47">
        <v>0</v>
      </c>
      <c r="DA511" s="47">
        <v>0</v>
      </c>
      <c r="DB511" s="47">
        <v>0</v>
      </c>
      <c r="DC511" s="47">
        <v>0</v>
      </c>
      <c r="DD511" s="47">
        <v>0</v>
      </c>
      <c r="DE511" s="47">
        <v>0</v>
      </c>
      <c r="DF511" s="47">
        <v>0</v>
      </c>
      <c r="DG511" s="47">
        <v>0</v>
      </c>
      <c r="DH511" s="47">
        <v>0</v>
      </c>
      <c r="DI511" s="47">
        <v>0</v>
      </c>
      <c r="DJ511" s="47">
        <v>0</v>
      </c>
      <c r="DK511" s="47">
        <v>0</v>
      </c>
      <c r="DL511" s="47">
        <v>0</v>
      </c>
      <c r="DM511" s="47">
        <v>0</v>
      </c>
      <c r="DN511" s="47">
        <v>0</v>
      </c>
      <c r="DO511" s="47">
        <v>0</v>
      </c>
      <c r="DP511" s="47">
        <v>0</v>
      </c>
      <c r="DQ511" s="47">
        <v>0</v>
      </c>
      <c r="DR511" s="47">
        <v>0</v>
      </c>
      <c r="DS511" s="47">
        <v>0</v>
      </c>
      <c r="DT511" s="47">
        <v>0</v>
      </c>
      <c r="DU511" s="47">
        <v>0</v>
      </c>
      <c r="DV511" s="47">
        <v>0</v>
      </c>
      <c r="DW511" s="47">
        <v>0</v>
      </c>
      <c r="DX511" s="47">
        <v>0</v>
      </c>
      <c r="DY511" s="47">
        <v>0</v>
      </c>
      <c r="DZ511" s="47">
        <v>0</v>
      </c>
      <c r="EA511" s="47">
        <v>0</v>
      </c>
      <c r="EB511" s="47"/>
      <c r="EC511" s="47">
        <v>1</v>
      </c>
      <c r="ZZ511" t="s">
        <v>2472</v>
      </c>
    </row>
    <row r="512" spans="1:702" x14ac:dyDescent="0.25">
      <c r="A512" s="47" t="s">
        <v>2400</v>
      </c>
      <c r="B512" s="47" t="s">
        <v>153</v>
      </c>
      <c r="C512" s="47" t="s">
        <v>157</v>
      </c>
      <c r="D512" s="47" t="s">
        <v>2997</v>
      </c>
      <c r="E512" s="47" t="s">
        <v>2401</v>
      </c>
      <c r="F512" s="47" t="s">
        <v>2402</v>
      </c>
      <c r="G512" s="47" t="s">
        <v>2403</v>
      </c>
      <c r="H512" s="47" t="s">
        <v>698</v>
      </c>
      <c r="I512" s="47" t="s">
        <v>727</v>
      </c>
      <c r="J512" s="47" t="str">
        <f>=IFERROR(VLOOKUP(H512&amp;I512,Table_Fonctions!A:G,6,FALSE),"")</f>
        <v>0</v>
      </c>
      <c r="K512" s="47" t="s">
        <v>2607</v>
      </c>
      <c r="L512" s="47" t="str">
        <f>=IFERROR(VLOOKUP(H512&amp;I512,Table_Fonctions!A:G,7,FALSE),K512)</f>
        <v/>
      </c>
      <c r="M512" s="47" t="str">
        <f>=IF(OR(LEFT(D512, 3)="TJ ", LEFT(D512, 4)="CPH "), "OUI", "NON")</f>
        <v/>
      </c>
      <c r="N512" s="47" t="s">
        <v>728</v>
      </c>
      <c r="O512" s="47"/>
      <c r="P512" s="47">
        <v>1</v>
      </c>
      <c r="Q512" s="47">
        <v>1</v>
      </c>
      <c r="R512" s="47">
        <v>0</v>
      </c>
      <c r="S512" s="47">
        <f>=ROUND(BQ512-(BR512+BS512),3)</f>
      </c>
      <c r="T512" s="47">
        <f>=ROUND(CK512-(CL512+CM512+CN512+CO512+CP512),3)</f>
      </c>
      <c r="U512" s="47">
        <v>0</v>
      </c>
      <c r="V512" s="47">
        <v>0</v>
      </c>
      <c r="W512" s="47">
        <v>0</v>
      </c>
      <c r="X512" s="47">
        <v>0</v>
      </c>
      <c r="Y512" s="47">
        <v>0</v>
      </c>
      <c r="Z512" s="47">
        <v>0</v>
      </c>
      <c r="AA512" s="47">
        <v>0</v>
      </c>
      <c r="AB512" s="47">
        <v>0</v>
      </c>
      <c r="AC512" s="47">
        <v>0</v>
      </c>
      <c r="AD512" s="47">
        <v>0</v>
      </c>
      <c r="AE512" s="47">
        <v>0</v>
      </c>
      <c r="AF512" s="47">
        <v>0</v>
      </c>
      <c r="AG512" s="47">
        <v>0</v>
      </c>
      <c r="AH512" s="47">
        <v>0</v>
      </c>
      <c r="AI512" s="47">
        <v>0</v>
      </c>
      <c r="AJ512" s="47">
        <v>0</v>
      </c>
      <c r="AK512" s="47">
        <v>0</v>
      </c>
      <c r="AL512" s="47">
        <v>0</v>
      </c>
      <c r="AM512" s="47">
        <v>0</v>
      </c>
      <c r="AN512" s="47">
        <v>0</v>
      </c>
      <c r="AO512" s="47">
        <v>0</v>
      </c>
      <c r="AP512" s="47">
        <v>0</v>
      </c>
      <c r="AQ512" s="47">
        <v>0</v>
      </c>
      <c r="AR512" s="47">
        <v>0</v>
      </c>
      <c r="AS512" s="47">
        <v>1</v>
      </c>
      <c r="AT512" s="47">
        <v>0</v>
      </c>
      <c r="AU512" s="47">
        <v>0</v>
      </c>
      <c r="AV512" s="47">
        <v>0</v>
      </c>
      <c r="AW512" s="47">
        <v>0</v>
      </c>
      <c r="AX512" s="47">
        <v>0</v>
      </c>
      <c r="AY512" s="47">
        <v>0</v>
      </c>
      <c r="AZ512" s="47">
        <v>0</v>
      </c>
      <c r="BA512" s="47">
        <v>0</v>
      </c>
      <c r="BB512" s="47">
        <v>0</v>
      </c>
      <c r="BC512" s="47">
        <v>0</v>
      </c>
      <c r="BD512" s="47">
        <v>0</v>
      </c>
      <c r="BE512" s="47">
        <v>0</v>
      </c>
      <c r="BF512" s="47">
        <v>0</v>
      </c>
      <c r="BG512" s="47">
        <v>0</v>
      </c>
      <c r="BH512" s="47">
        <v>0</v>
      </c>
      <c r="BI512" s="47">
        <v>0</v>
      </c>
      <c r="BJ512" s="47">
        <v>0</v>
      </c>
      <c r="BK512" s="47">
        <v>0</v>
      </c>
      <c r="BL512" s="47">
        <v>0</v>
      </c>
      <c r="BM512" s="47">
        <v>0</v>
      </c>
      <c r="BN512" s="47">
        <v>0</v>
      </c>
      <c r="BO512" s="47">
        <v>0</v>
      </c>
      <c r="BP512" s="47">
        <v>0</v>
      </c>
      <c r="BQ512" s="47">
        <v>0</v>
      </c>
      <c r="BR512" s="47">
        <v>0</v>
      </c>
      <c r="BS512" s="47">
        <v>0</v>
      </c>
      <c r="BT512" s="47">
        <v>0</v>
      </c>
      <c r="BU512" s="47">
        <v>0</v>
      </c>
      <c r="BV512" s="47">
        <v>0</v>
      </c>
      <c r="BW512" s="47">
        <v>0</v>
      </c>
      <c r="BX512" s="47">
        <v>0</v>
      </c>
      <c r="BY512" s="47">
        <v>0</v>
      </c>
      <c r="BZ512" s="47">
        <v>0</v>
      </c>
      <c r="CA512" s="47">
        <v>0</v>
      </c>
      <c r="CB512" s="47">
        <v>0</v>
      </c>
      <c r="CC512" s="47">
        <v>0</v>
      </c>
      <c r="CD512" s="47">
        <v>0</v>
      </c>
      <c r="CE512" s="47">
        <v>0</v>
      </c>
      <c r="CF512" s="47">
        <v>0</v>
      </c>
      <c r="CG512" s="47">
        <v>0</v>
      </c>
      <c r="CH512" s="47">
        <v>0</v>
      </c>
      <c r="CI512" s="47">
        <v>0</v>
      </c>
      <c r="CJ512" s="47">
        <v>0</v>
      </c>
      <c r="CK512" s="47">
        <v>0</v>
      </c>
      <c r="CL512" s="47">
        <v>0</v>
      </c>
      <c r="CM512" s="47">
        <v>0</v>
      </c>
      <c r="CN512" s="47">
        <v>0</v>
      </c>
      <c r="CO512" s="47">
        <v>0</v>
      </c>
      <c r="CP512" s="47">
        <v>0</v>
      </c>
      <c r="CQ512" s="47">
        <v>0</v>
      </c>
      <c r="CR512" s="47">
        <v>0</v>
      </c>
      <c r="CS512" s="47">
        <v>0</v>
      </c>
      <c r="CT512" s="47">
        <v>0</v>
      </c>
      <c r="CU512" s="47">
        <v>0</v>
      </c>
      <c r="CV512" s="47">
        <v>0</v>
      </c>
      <c r="CW512" s="47">
        <v>0</v>
      </c>
      <c r="CX512" s="47">
        <v>0</v>
      </c>
      <c r="CY512" s="47">
        <v>0</v>
      </c>
      <c r="CZ512" s="47">
        <v>0</v>
      </c>
      <c r="DA512" s="47">
        <v>0</v>
      </c>
      <c r="DB512" s="47">
        <v>0</v>
      </c>
      <c r="DC512" s="47">
        <v>0</v>
      </c>
      <c r="DD512" s="47">
        <v>0</v>
      </c>
      <c r="DE512" s="47">
        <v>0</v>
      </c>
      <c r="DF512" s="47">
        <v>0</v>
      </c>
      <c r="DG512" s="47">
        <v>0</v>
      </c>
      <c r="DH512" s="47">
        <v>0</v>
      </c>
      <c r="DI512" s="47">
        <v>0</v>
      </c>
      <c r="DJ512" s="47">
        <v>0</v>
      </c>
      <c r="DK512" s="47">
        <v>0</v>
      </c>
      <c r="DL512" s="47">
        <v>0</v>
      </c>
      <c r="DM512" s="47">
        <v>0</v>
      </c>
      <c r="DN512" s="47">
        <v>0</v>
      </c>
      <c r="DO512" s="47">
        <v>0</v>
      </c>
      <c r="DP512" s="47">
        <v>0</v>
      </c>
      <c r="DQ512" s="47">
        <v>0</v>
      </c>
      <c r="DR512" s="47">
        <v>0</v>
      </c>
      <c r="DS512" s="47">
        <v>0</v>
      </c>
      <c r="DT512" s="47">
        <v>0</v>
      </c>
      <c r="DU512" s="47">
        <v>0</v>
      </c>
      <c r="DV512" s="47">
        <v>0</v>
      </c>
      <c r="DW512" s="47">
        <v>0</v>
      </c>
      <c r="DX512" s="47">
        <v>0</v>
      </c>
      <c r="DY512" s="47">
        <v>0</v>
      </c>
      <c r="DZ512" s="47">
        <v>0</v>
      </c>
      <c r="EA512" s="47">
        <v>0</v>
      </c>
      <c r="EB512" s="47"/>
      <c r="EC512" s="47">
        <v>1</v>
      </c>
      <c r="ZZ512" t="s">
        <v>2472</v>
      </c>
    </row>
    <row r="513" spans="1:702" x14ac:dyDescent="0.25">
      <c r="A513" s="47" t="s">
        <v>2404</v>
      </c>
      <c r="B513" s="47" t="s">
        <v>153</v>
      </c>
      <c r="C513" s="47" t="s">
        <v>157</v>
      </c>
      <c r="D513" s="47" t="s">
        <v>2998</v>
      </c>
      <c r="E513" s="47" t="s">
        <v>2405</v>
      </c>
      <c r="F513" s="47" t="s">
        <v>2406</v>
      </c>
      <c r="G513" s="47" t="s">
        <v>2407</v>
      </c>
      <c r="H513" s="47" t="s">
        <v>698</v>
      </c>
      <c r="I513" s="47" t="s">
        <v>727</v>
      </c>
      <c r="J513" s="47" t="str">
        <f>=IFERROR(VLOOKUP(H513&amp;I513,Table_Fonctions!A:G,6,FALSE),"")</f>
        <v>0</v>
      </c>
      <c r="K513" s="47" t="s">
        <v>2607</v>
      </c>
      <c r="L513" s="47" t="str">
        <f>=IFERROR(VLOOKUP(H513&amp;I513,Table_Fonctions!A:G,7,FALSE),K513)</f>
        <v/>
      </c>
      <c r="M513" s="47" t="str">
        <f>=IF(OR(LEFT(D513, 3)="TJ ", LEFT(D513, 4)="CPH "), "OUI", "NON")</f>
        <v/>
      </c>
      <c r="N513" s="47" t="s">
        <v>836</v>
      </c>
      <c r="O513" s="47"/>
      <c r="P513" s="47">
        <v>1</v>
      </c>
      <c r="Q513" s="47">
        <v>1</v>
      </c>
      <c r="R513" s="47">
        <v>0</v>
      </c>
      <c r="S513" s="47">
        <f>=ROUND(BQ513-(BR513+BS513),3)</f>
      </c>
      <c r="T513" s="47">
        <f>=ROUND(CK513-(CL513+CM513+CN513+CO513+CP513),3)</f>
      </c>
      <c r="U513" s="47">
        <v>0</v>
      </c>
      <c r="V513" s="47">
        <v>0</v>
      </c>
      <c r="W513" s="47">
        <v>0</v>
      </c>
      <c r="X513" s="47">
        <v>0</v>
      </c>
      <c r="Y513" s="47">
        <v>0</v>
      </c>
      <c r="Z513" s="47">
        <v>0</v>
      </c>
      <c r="AA513" s="47">
        <v>0</v>
      </c>
      <c r="AB513" s="47">
        <v>0</v>
      </c>
      <c r="AC513" s="47">
        <v>0</v>
      </c>
      <c r="AD513" s="47">
        <v>0</v>
      </c>
      <c r="AE513" s="47">
        <v>0</v>
      </c>
      <c r="AF513" s="47">
        <v>0</v>
      </c>
      <c r="AG513" s="47">
        <v>0</v>
      </c>
      <c r="AH513" s="47">
        <v>0</v>
      </c>
      <c r="AI513" s="47">
        <v>0</v>
      </c>
      <c r="AJ513" s="47">
        <v>1</v>
      </c>
      <c r="AK513" s="47">
        <v>0</v>
      </c>
      <c r="AL513" s="47">
        <v>0</v>
      </c>
      <c r="AM513" s="47">
        <v>0</v>
      </c>
      <c r="AN513" s="47">
        <v>0</v>
      </c>
      <c r="AO513" s="47">
        <v>0</v>
      </c>
      <c r="AP513" s="47">
        <v>0</v>
      </c>
      <c r="AQ513" s="47">
        <v>0</v>
      </c>
      <c r="AR513" s="47">
        <v>0</v>
      </c>
      <c r="AS513" s="47">
        <v>0</v>
      </c>
      <c r="AT513" s="47">
        <v>0</v>
      </c>
      <c r="AU513" s="47">
        <v>0</v>
      </c>
      <c r="AV513" s="47">
        <v>0</v>
      </c>
      <c r="AW513" s="47">
        <v>0</v>
      </c>
      <c r="AX513" s="47">
        <v>0</v>
      </c>
      <c r="AY513" s="47">
        <v>0</v>
      </c>
      <c r="AZ513" s="47">
        <v>0</v>
      </c>
      <c r="BA513" s="47">
        <v>0</v>
      </c>
      <c r="BB513" s="47">
        <v>0</v>
      </c>
      <c r="BC513" s="47">
        <v>0</v>
      </c>
      <c r="BD513" s="47">
        <v>0</v>
      </c>
      <c r="BE513" s="47">
        <v>0</v>
      </c>
      <c r="BF513" s="47">
        <v>0</v>
      </c>
      <c r="BG513" s="47">
        <v>0</v>
      </c>
      <c r="BH513" s="47">
        <v>0</v>
      </c>
      <c r="BI513" s="47">
        <v>0</v>
      </c>
      <c r="BJ513" s="47">
        <v>0</v>
      </c>
      <c r="BK513" s="47">
        <v>0</v>
      </c>
      <c r="BL513" s="47">
        <v>0</v>
      </c>
      <c r="BM513" s="47">
        <v>0</v>
      </c>
      <c r="BN513" s="47">
        <v>0</v>
      </c>
      <c r="BO513" s="47">
        <v>0</v>
      </c>
      <c r="BP513" s="47">
        <v>0</v>
      </c>
      <c r="BQ513" s="47">
        <v>0</v>
      </c>
      <c r="BR513" s="47">
        <v>0</v>
      </c>
      <c r="BS513" s="47">
        <v>0</v>
      </c>
      <c r="BT513" s="47">
        <v>0</v>
      </c>
      <c r="BU513" s="47">
        <v>0</v>
      </c>
      <c r="BV513" s="47">
        <v>0</v>
      </c>
      <c r="BW513" s="47">
        <v>0</v>
      </c>
      <c r="BX513" s="47">
        <v>0</v>
      </c>
      <c r="BY513" s="47">
        <v>0</v>
      </c>
      <c r="BZ513" s="47">
        <v>0</v>
      </c>
      <c r="CA513" s="47">
        <v>0</v>
      </c>
      <c r="CB513" s="47">
        <v>0</v>
      </c>
      <c r="CC513" s="47">
        <v>0</v>
      </c>
      <c r="CD513" s="47">
        <v>0</v>
      </c>
      <c r="CE513" s="47">
        <v>0</v>
      </c>
      <c r="CF513" s="47">
        <v>0</v>
      </c>
      <c r="CG513" s="47">
        <v>0</v>
      </c>
      <c r="CH513" s="47">
        <v>0</v>
      </c>
      <c r="CI513" s="47">
        <v>0</v>
      </c>
      <c r="CJ513" s="47">
        <v>0</v>
      </c>
      <c r="CK513" s="47">
        <v>0</v>
      </c>
      <c r="CL513" s="47">
        <v>0</v>
      </c>
      <c r="CM513" s="47">
        <v>0</v>
      </c>
      <c r="CN513" s="47">
        <v>0</v>
      </c>
      <c r="CO513" s="47">
        <v>0</v>
      </c>
      <c r="CP513" s="47">
        <v>0</v>
      </c>
      <c r="CQ513" s="47">
        <v>0</v>
      </c>
      <c r="CR513" s="47">
        <v>0</v>
      </c>
      <c r="CS513" s="47">
        <v>0</v>
      </c>
      <c r="CT513" s="47">
        <v>0</v>
      </c>
      <c r="CU513" s="47">
        <v>0</v>
      </c>
      <c r="CV513" s="47">
        <v>0</v>
      </c>
      <c r="CW513" s="47">
        <v>0</v>
      </c>
      <c r="CX513" s="47">
        <v>0</v>
      </c>
      <c r="CY513" s="47">
        <v>0</v>
      </c>
      <c r="CZ513" s="47">
        <v>0</v>
      </c>
      <c r="DA513" s="47">
        <v>0</v>
      </c>
      <c r="DB513" s="47">
        <v>0</v>
      </c>
      <c r="DC513" s="47">
        <v>0</v>
      </c>
      <c r="DD513" s="47">
        <v>0</v>
      </c>
      <c r="DE513" s="47">
        <v>0</v>
      </c>
      <c r="DF513" s="47">
        <v>0</v>
      </c>
      <c r="DG513" s="47">
        <v>0</v>
      </c>
      <c r="DH513" s="47">
        <v>0</v>
      </c>
      <c r="DI513" s="47">
        <v>0</v>
      </c>
      <c r="DJ513" s="47">
        <v>0</v>
      </c>
      <c r="DK513" s="47">
        <v>0</v>
      </c>
      <c r="DL513" s="47">
        <v>0</v>
      </c>
      <c r="DM513" s="47">
        <v>0</v>
      </c>
      <c r="DN513" s="47">
        <v>0</v>
      </c>
      <c r="DO513" s="47">
        <v>0</v>
      </c>
      <c r="DP513" s="47">
        <v>0</v>
      </c>
      <c r="DQ513" s="47">
        <v>0</v>
      </c>
      <c r="DR513" s="47">
        <v>0</v>
      </c>
      <c r="DS513" s="47">
        <v>0</v>
      </c>
      <c r="DT513" s="47">
        <v>0</v>
      </c>
      <c r="DU513" s="47">
        <v>0</v>
      </c>
      <c r="DV513" s="47">
        <v>0</v>
      </c>
      <c r="DW513" s="47">
        <v>0</v>
      </c>
      <c r="DX513" s="47">
        <v>0</v>
      </c>
      <c r="DY513" s="47">
        <v>0</v>
      </c>
      <c r="DZ513" s="47">
        <v>0</v>
      </c>
      <c r="EA513" s="47">
        <v>0</v>
      </c>
      <c r="EB513" s="47"/>
      <c r="EC513" s="47">
        <v>1</v>
      </c>
      <c r="ZZ513" t="s">
        <v>2472</v>
      </c>
    </row>
    <row r="514" spans="1:702" x14ac:dyDescent="0.25">
      <c r="A514" s="47" t="s">
        <v>2408</v>
      </c>
      <c r="B514" s="47" t="s">
        <v>153</v>
      </c>
      <c r="C514" s="47" t="s">
        <v>157</v>
      </c>
      <c r="D514" s="47" t="s">
        <v>2999</v>
      </c>
      <c r="E514" s="47" t="s">
        <v>2409</v>
      </c>
      <c r="F514" s="47" t="s">
        <v>2410</v>
      </c>
      <c r="G514" s="47" t="s">
        <v>2411</v>
      </c>
      <c r="H514" s="47" t="s">
        <v>698</v>
      </c>
      <c r="I514" s="47" t="s">
        <v>705</v>
      </c>
      <c r="J514" s="47" t="str">
        <f>=IFERROR(VLOOKUP(H514&amp;I514,Table_Fonctions!A:G,6,FALSE),"")</f>
        <v>0</v>
      </c>
      <c r="K514" s="47" t="s">
        <v>2607</v>
      </c>
      <c r="L514" s="47" t="str">
        <f>=IFERROR(VLOOKUP(H514&amp;I514,Table_Fonctions!A:G,7,FALSE),K514)</f>
        <v/>
      </c>
      <c r="M514" s="47" t="str">
        <f>=IF(OR(LEFT(D514, 3)="TJ ", LEFT(D514, 4)="CPH "), "OUI", "NON")</f>
        <v/>
      </c>
      <c r="N514" s="47" t="s">
        <v>2050</v>
      </c>
      <c r="O514" s="47"/>
      <c r="P514" s="47">
        <v>1</v>
      </c>
      <c r="Q514" s="47">
        <v>1</v>
      </c>
      <c r="R514" s="47">
        <v>0</v>
      </c>
      <c r="S514" s="47">
        <f>=ROUND(BQ514-(BR514+BS514),3)</f>
      </c>
      <c r="T514" s="47">
        <f>=ROUND(CK514-(CL514+CM514+CN514+CO514+CP514),3)</f>
      </c>
      <c r="U514" s="47">
        <v>0</v>
      </c>
      <c r="V514" s="47">
        <v>0</v>
      </c>
      <c r="W514" s="47">
        <v>0</v>
      </c>
      <c r="X514" s="47">
        <v>0</v>
      </c>
      <c r="Y514" s="47">
        <v>0</v>
      </c>
      <c r="Z514" s="47">
        <v>0</v>
      </c>
      <c r="AA514" s="47">
        <v>0</v>
      </c>
      <c r="AB514" s="47">
        <v>0</v>
      </c>
      <c r="AC514" s="47">
        <v>0</v>
      </c>
      <c r="AD514" s="47">
        <v>0</v>
      </c>
      <c r="AE514" s="47">
        <v>0</v>
      </c>
      <c r="AF514" s="47">
        <v>0</v>
      </c>
      <c r="AG514" s="47">
        <v>0</v>
      </c>
      <c r="AH514" s="47">
        <v>0</v>
      </c>
      <c r="AI514" s="47">
        <v>0</v>
      </c>
      <c r="AJ514" s="47">
        <v>0</v>
      </c>
      <c r="AK514" s="47">
        <v>0</v>
      </c>
      <c r="AL514" s="47">
        <v>0</v>
      </c>
      <c r="AM514" s="47">
        <v>0</v>
      </c>
      <c r="AN514" s="47">
        <v>0</v>
      </c>
      <c r="AO514" s="47">
        <v>0</v>
      </c>
      <c r="AP514" s="47">
        <v>0</v>
      </c>
      <c r="AQ514" s="47">
        <v>0</v>
      </c>
      <c r="AR514" s="47">
        <v>0</v>
      </c>
      <c r="AS514" s="47">
        <v>0.8</v>
      </c>
      <c r="AT514" s="47">
        <v>0</v>
      </c>
      <c r="AU514" s="47">
        <v>0</v>
      </c>
      <c r="AV514" s="47">
        <v>0.8</v>
      </c>
      <c r="AW514" s="47">
        <v>0</v>
      </c>
      <c r="AX514" s="47">
        <v>0</v>
      </c>
      <c r="AY514" s="47">
        <v>0</v>
      </c>
      <c r="AZ514" s="47">
        <v>0</v>
      </c>
      <c r="BA514" s="47">
        <v>0</v>
      </c>
      <c r="BB514" s="47">
        <v>0</v>
      </c>
      <c r="BC514" s="47">
        <v>0</v>
      </c>
      <c r="BD514" s="47">
        <v>0</v>
      </c>
      <c r="BE514" s="47">
        <v>0</v>
      </c>
      <c r="BF514" s="47">
        <v>0</v>
      </c>
      <c r="BG514" s="47">
        <v>0</v>
      </c>
      <c r="BH514" s="47">
        <v>0</v>
      </c>
      <c r="BI514" s="47">
        <v>0</v>
      </c>
      <c r="BJ514" s="47">
        <v>0</v>
      </c>
      <c r="BK514" s="47">
        <v>0</v>
      </c>
      <c r="BL514" s="47">
        <v>0</v>
      </c>
      <c r="BM514" s="47">
        <v>0</v>
      </c>
      <c r="BN514" s="47">
        <v>0</v>
      </c>
      <c r="BO514" s="47">
        <v>0</v>
      </c>
      <c r="BP514" s="47">
        <v>0</v>
      </c>
      <c r="BQ514" s="47">
        <v>0</v>
      </c>
      <c r="BR514" s="47">
        <v>0</v>
      </c>
      <c r="BS514" s="47">
        <v>0</v>
      </c>
      <c r="BT514" s="47">
        <v>0</v>
      </c>
      <c r="BU514" s="47">
        <v>0</v>
      </c>
      <c r="BV514" s="47">
        <v>0</v>
      </c>
      <c r="BW514" s="47">
        <v>0</v>
      </c>
      <c r="BX514" s="47">
        <v>0</v>
      </c>
      <c r="BY514" s="47">
        <v>0</v>
      </c>
      <c r="BZ514" s="47">
        <v>0</v>
      </c>
      <c r="CA514" s="47">
        <v>0</v>
      </c>
      <c r="CB514" s="47">
        <v>0</v>
      </c>
      <c r="CC514" s="47">
        <v>0</v>
      </c>
      <c r="CD514" s="47">
        <v>0</v>
      </c>
      <c r="CE514" s="47">
        <v>0</v>
      </c>
      <c r="CF514" s="47">
        <v>0</v>
      </c>
      <c r="CG514" s="47">
        <v>0</v>
      </c>
      <c r="CH514" s="47">
        <v>0</v>
      </c>
      <c r="CI514" s="47">
        <v>0</v>
      </c>
      <c r="CJ514" s="47">
        <v>0</v>
      </c>
      <c r="CK514" s="47">
        <v>0</v>
      </c>
      <c r="CL514" s="47">
        <v>0</v>
      </c>
      <c r="CM514" s="47">
        <v>0</v>
      </c>
      <c r="CN514" s="47">
        <v>0</v>
      </c>
      <c r="CO514" s="47">
        <v>0</v>
      </c>
      <c r="CP514" s="47">
        <v>0</v>
      </c>
      <c r="CQ514" s="47">
        <v>0</v>
      </c>
      <c r="CR514" s="47">
        <v>0</v>
      </c>
      <c r="CS514" s="47">
        <v>0</v>
      </c>
      <c r="CT514" s="47">
        <v>0</v>
      </c>
      <c r="CU514" s="47">
        <v>0</v>
      </c>
      <c r="CV514" s="47">
        <v>0</v>
      </c>
      <c r="CW514" s="47">
        <v>0</v>
      </c>
      <c r="CX514" s="47">
        <v>0</v>
      </c>
      <c r="CY514" s="47">
        <v>0.2</v>
      </c>
      <c r="CZ514" s="47">
        <v>0.15</v>
      </c>
      <c r="DA514" s="47">
        <v>0.05</v>
      </c>
      <c r="DB514" s="47">
        <v>0</v>
      </c>
      <c r="DC514" s="47">
        <v>0</v>
      </c>
      <c r="DD514" s="47">
        <v>0</v>
      </c>
      <c r="DE514" s="47">
        <v>0</v>
      </c>
      <c r="DF514" s="47">
        <v>0</v>
      </c>
      <c r="DG514" s="47">
        <v>0</v>
      </c>
      <c r="DH514" s="47">
        <v>0</v>
      </c>
      <c r="DI514" s="47">
        <v>0</v>
      </c>
      <c r="DJ514" s="47">
        <v>0</v>
      </c>
      <c r="DK514" s="47">
        <v>0</v>
      </c>
      <c r="DL514" s="47">
        <v>0</v>
      </c>
      <c r="DM514" s="47">
        <v>0</v>
      </c>
      <c r="DN514" s="47">
        <v>0</v>
      </c>
      <c r="DO514" s="47">
        <v>0</v>
      </c>
      <c r="DP514" s="47">
        <v>0</v>
      </c>
      <c r="DQ514" s="47">
        <v>0</v>
      </c>
      <c r="DR514" s="47">
        <v>0</v>
      </c>
      <c r="DS514" s="47">
        <v>0</v>
      </c>
      <c r="DT514" s="47">
        <v>0</v>
      </c>
      <c r="DU514" s="47">
        <v>0</v>
      </c>
      <c r="DV514" s="47">
        <v>0</v>
      </c>
      <c r="DW514" s="47">
        <v>0</v>
      </c>
      <c r="DX514" s="47">
        <v>0</v>
      </c>
      <c r="DY514" s="47">
        <v>0</v>
      </c>
      <c r="DZ514" s="47">
        <v>0</v>
      </c>
      <c r="EA514" s="47">
        <v>0</v>
      </c>
      <c r="EB514" s="47"/>
      <c r="EC514" s="47">
        <v>1</v>
      </c>
      <c r="ZZ514" t="s">
        <v>2472</v>
      </c>
    </row>
    <row r="515" spans="1:702" x14ac:dyDescent="0.25">
      <c r="A515" s="47" t="s">
        <v>2412</v>
      </c>
      <c r="B515" s="47" t="s">
        <v>153</v>
      </c>
      <c r="C515" s="47" t="s">
        <v>157</v>
      </c>
      <c r="D515" s="47" t="s">
        <v>3000</v>
      </c>
      <c r="E515" s="47" t="s">
        <v>2413</v>
      </c>
      <c r="F515" s="47" t="s">
        <v>2414</v>
      </c>
      <c r="G515" s="47" t="s">
        <v>2415</v>
      </c>
      <c r="H515" s="47" t="s">
        <v>698</v>
      </c>
      <c r="I515" s="47" t="s">
        <v>705</v>
      </c>
      <c r="J515" s="47" t="str">
        <f>=IFERROR(VLOOKUP(H515&amp;I515,Table_Fonctions!A:G,6,FALSE),"")</f>
        <v>0</v>
      </c>
      <c r="K515" s="47" t="s">
        <v>2607</v>
      </c>
      <c r="L515" s="47" t="str">
        <f>=IFERROR(VLOOKUP(H515&amp;I515,Table_Fonctions!A:G,7,FALSE),K515)</f>
        <v/>
      </c>
      <c r="M515" s="47" t="str">
        <f>=IF(OR(LEFT(D515, 3)="TJ ", LEFT(D515, 4)="CPH "), "OUI", "NON")</f>
        <v/>
      </c>
      <c r="N515" s="47" t="s">
        <v>700</v>
      </c>
      <c r="O515" s="47"/>
      <c r="P515" s="47">
        <v>1</v>
      </c>
      <c r="Q515" s="47">
        <v>0</v>
      </c>
      <c r="R515" s="47">
        <v>1</v>
      </c>
      <c r="S515" s="47">
        <f>=ROUND(BQ515-(BR515+BS515),3)</f>
      </c>
      <c r="T515" s="47">
        <f>=ROUND(CK515-(CL515+CM515+CN515+CO515+CP515),3)</f>
      </c>
      <c r="U515" s="47">
        <v>0</v>
      </c>
      <c r="V515" s="47">
        <v>0</v>
      </c>
      <c r="W515" s="47">
        <v>0</v>
      </c>
      <c r="X515" s="47">
        <v>0</v>
      </c>
      <c r="Y515" s="47">
        <v>0</v>
      </c>
      <c r="Z515" s="47">
        <v>0</v>
      </c>
      <c r="AA515" s="47">
        <v>0</v>
      </c>
      <c r="AB515" s="47">
        <v>0</v>
      </c>
      <c r="AC515" s="47">
        <v>0</v>
      </c>
      <c r="AD515" s="47">
        <v>0</v>
      </c>
      <c r="AE515" s="47">
        <v>0</v>
      </c>
      <c r="AF515" s="47">
        <v>0</v>
      </c>
      <c r="AG515" s="47">
        <v>0</v>
      </c>
      <c r="AH515" s="47">
        <v>0</v>
      </c>
      <c r="AI515" s="47">
        <v>0</v>
      </c>
      <c r="AJ515" s="47">
        <v>0</v>
      </c>
      <c r="AK515" s="47">
        <v>0</v>
      </c>
      <c r="AL515" s="47">
        <v>0</v>
      </c>
      <c r="AM515" s="47">
        <v>0</v>
      </c>
      <c r="AN515" s="47">
        <v>0</v>
      </c>
      <c r="AO515" s="47">
        <v>0</v>
      </c>
      <c r="AP515" s="47">
        <v>0</v>
      </c>
      <c r="AQ515" s="47">
        <v>0</v>
      </c>
      <c r="AR515" s="47">
        <v>0</v>
      </c>
      <c r="AS515" s="47">
        <v>0</v>
      </c>
      <c r="AT515" s="47">
        <v>0</v>
      </c>
      <c r="AU515" s="47">
        <v>0</v>
      </c>
      <c r="AV515" s="47">
        <v>0</v>
      </c>
      <c r="AW515" s="47">
        <v>0</v>
      </c>
      <c r="AX515" s="47">
        <v>0</v>
      </c>
      <c r="AY515" s="47">
        <v>0</v>
      </c>
      <c r="AZ515" s="47">
        <v>0</v>
      </c>
      <c r="BA515" s="47">
        <v>0</v>
      </c>
      <c r="BB515" s="47">
        <v>0</v>
      </c>
      <c r="BC515" s="47">
        <v>0</v>
      </c>
      <c r="BD515" s="47">
        <v>0</v>
      </c>
      <c r="BE515" s="47">
        <v>0</v>
      </c>
      <c r="BF515" s="47">
        <v>0</v>
      </c>
      <c r="BG515" s="47">
        <v>0</v>
      </c>
      <c r="BH515" s="47">
        <v>0</v>
      </c>
      <c r="BI515" s="47">
        <v>0</v>
      </c>
      <c r="BJ515" s="47">
        <v>0</v>
      </c>
      <c r="BK515" s="47">
        <v>0</v>
      </c>
      <c r="BL515" s="47">
        <v>0</v>
      </c>
      <c r="BM515" s="47">
        <v>0</v>
      </c>
      <c r="BN515" s="47">
        <v>0</v>
      </c>
      <c r="BO515" s="47">
        <v>0</v>
      </c>
      <c r="BP515" s="47">
        <v>0</v>
      </c>
      <c r="BQ515" s="47">
        <v>0</v>
      </c>
      <c r="BR515" s="47">
        <v>0</v>
      </c>
      <c r="BS515" s="47">
        <v>0</v>
      </c>
      <c r="BT515" s="47">
        <v>0</v>
      </c>
      <c r="BU515" s="47">
        <v>0</v>
      </c>
      <c r="BV515" s="47">
        <v>0</v>
      </c>
      <c r="BW515" s="47">
        <v>0</v>
      </c>
      <c r="BX515" s="47">
        <v>0</v>
      </c>
      <c r="BY515" s="47">
        <v>0</v>
      </c>
      <c r="BZ515" s="47">
        <v>0</v>
      </c>
      <c r="CA515" s="47">
        <v>0</v>
      </c>
      <c r="CB515" s="47">
        <v>0</v>
      </c>
      <c r="CC515" s="47">
        <v>0</v>
      </c>
      <c r="CD515" s="47">
        <v>0</v>
      </c>
      <c r="CE515" s="47">
        <v>0</v>
      </c>
      <c r="CF515" s="47">
        <v>0</v>
      </c>
      <c r="CG515" s="47">
        <v>0</v>
      </c>
      <c r="CH515" s="47">
        <v>0</v>
      </c>
      <c r="CI515" s="47">
        <v>0</v>
      </c>
      <c r="CJ515" s="47">
        <v>0</v>
      </c>
      <c r="CK515" s="47">
        <v>0</v>
      </c>
      <c r="CL515" s="47">
        <v>0</v>
      </c>
      <c r="CM515" s="47">
        <v>0</v>
      </c>
      <c r="CN515" s="47">
        <v>0</v>
      </c>
      <c r="CO515" s="47">
        <v>0</v>
      </c>
      <c r="CP515" s="47">
        <v>0</v>
      </c>
      <c r="CQ515" s="47">
        <v>0</v>
      </c>
      <c r="CR515" s="47">
        <v>0</v>
      </c>
      <c r="CS515" s="47">
        <v>0</v>
      </c>
      <c r="CT515" s="47">
        <v>0</v>
      </c>
      <c r="CU515" s="47">
        <v>0</v>
      </c>
      <c r="CV515" s="47">
        <v>0</v>
      </c>
      <c r="CW515" s="47">
        <v>0</v>
      </c>
      <c r="CX515" s="47">
        <v>0</v>
      </c>
      <c r="CY515" s="47">
        <v>0</v>
      </c>
      <c r="CZ515" s="47">
        <v>0</v>
      </c>
      <c r="DA515" s="47">
        <v>0</v>
      </c>
      <c r="DB515" s="47">
        <v>0</v>
      </c>
      <c r="DC515" s="47">
        <v>0</v>
      </c>
      <c r="DD515" s="47">
        <v>0</v>
      </c>
      <c r="DE515" s="47">
        <v>0</v>
      </c>
      <c r="DF515" s="47">
        <v>0</v>
      </c>
      <c r="DG515" s="47">
        <v>0</v>
      </c>
      <c r="DH515" s="47">
        <v>0</v>
      </c>
      <c r="DI515" s="47">
        <v>0</v>
      </c>
      <c r="DJ515" s="47">
        <v>0</v>
      </c>
      <c r="DK515" s="47">
        <v>0</v>
      </c>
      <c r="DL515" s="47">
        <v>0</v>
      </c>
      <c r="DM515" s="47">
        <v>0</v>
      </c>
      <c r="DN515" s="47">
        <v>0</v>
      </c>
      <c r="DO515" s="47">
        <v>0</v>
      </c>
      <c r="DP515" s="47">
        <v>0</v>
      </c>
      <c r="DQ515" s="47">
        <v>0</v>
      </c>
      <c r="DR515" s="47">
        <v>0</v>
      </c>
      <c r="DS515" s="47">
        <v>0</v>
      </c>
      <c r="DT515" s="47">
        <v>0</v>
      </c>
      <c r="DU515" s="47">
        <v>0</v>
      </c>
      <c r="DV515" s="47">
        <v>0</v>
      </c>
      <c r="DW515" s="47">
        <v>0</v>
      </c>
      <c r="DX515" s="47">
        <v>0</v>
      </c>
      <c r="DY515" s="47">
        <v>0</v>
      </c>
      <c r="DZ515" s="47">
        <v>0</v>
      </c>
      <c r="EA515" s="47">
        <v>0</v>
      </c>
      <c r="EB515" s="47"/>
      <c r="EC515" s="47">
        <v>1</v>
      </c>
      <c r="ZZ515" t="s">
        <v>2472</v>
      </c>
    </row>
    <row r="516" spans="1:702" x14ac:dyDescent="0.25">
      <c r="A516" s="47" t="s">
        <v>2416</v>
      </c>
      <c r="B516" s="47" t="s">
        <v>153</v>
      </c>
      <c r="C516" s="47" t="s">
        <v>157</v>
      </c>
      <c r="D516" s="47" t="s">
        <v>3001</v>
      </c>
      <c r="E516" s="47" t="s">
        <v>2417</v>
      </c>
      <c r="F516" s="47" t="s">
        <v>2418</v>
      </c>
      <c r="G516" s="47" t="s">
        <v>2419</v>
      </c>
      <c r="H516" s="47" t="s">
        <v>698</v>
      </c>
      <c r="I516" s="47" t="s">
        <v>705</v>
      </c>
      <c r="J516" s="47" t="str">
        <f>=IFERROR(VLOOKUP(H516&amp;I516,Table_Fonctions!A:G,6,FALSE),"")</f>
        <v>0</v>
      </c>
      <c r="K516" s="47" t="s">
        <v>2607</v>
      </c>
      <c r="L516" s="47" t="str">
        <f>=IFERROR(VLOOKUP(H516&amp;I516,Table_Fonctions!A:G,7,FALSE),K516)</f>
        <v/>
      </c>
      <c r="M516" s="47" t="str">
        <f>=IF(OR(LEFT(D516, 3)="TJ ", LEFT(D516, 4)="CPH "), "OUI", "NON")</f>
        <v/>
      </c>
      <c r="N516" s="47" t="s">
        <v>2420</v>
      </c>
      <c r="O516" s="47"/>
      <c r="P516" s="47">
        <v>0.8</v>
      </c>
      <c r="Q516" s="47">
        <v>0</v>
      </c>
      <c r="R516" s="47">
        <v>0.8</v>
      </c>
      <c r="S516" s="47">
        <f>=ROUND(BQ516-(BR516+BS516),3)</f>
      </c>
      <c r="T516" s="47">
        <f>=ROUND(CK516-(CL516+CM516+CN516+CO516+CP516),3)</f>
      </c>
      <c r="U516" s="47">
        <v>0</v>
      </c>
      <c r="V516" s="47">
        <v>0</v>
      </c>
      <c r="W516" s="47">
        <v>0</v>
      </c>
      <c r="X516" s="47">
        <v>0</v>
      </c>
      <c r="Y516" s="47">
        <v>0</v>
      </c>
      <c r="Z516" s="47">
        <v>0</v>
      </c>
      <c r="AA516" s="47">
        <v>0</v>
      </c>
      <c r="AB516" s="47">
        <v>0</v>
      </c>
      <c r="AC516" s="47">
        <v>0</v>
      </c>
      <c r="AD516" s="47">
        <v>0</v>
      </c>
      <c r="AE516" s="47">
        <v>0</v>
      </c>
      <c r="AF516" s="47">
        <v>0</v>
      </c>
      <c r="AG516" s="47">
        <v>0</v>
      </c>
      <c r="AH516" s="47">
        <v>0</v>
      </c>
      <c r="AI516" s="47">
        <v>0</v>
      </c>
      <c r="AJ516" s="47">
        <v>0</v>
      </c>
      <c r="AK516" s="47">
        <v>0</v>
      </c>
      <c r="AL516" s="47">
        <v>0</v>
      </c>
      <c r="AM516" s="47">
        <v>0</v>
      </c>
      <c r="AN516" s="47">
        <v>0</v>
      </c>
      <c r="AO516" s="47">
        <v>0</v>
      </c>
      <c r="AP516" s="47">
        <v>0</v>
      </c>
      <c r="AQ516" s="47">
        <v>0</v>
      </c>
      <c r="AR516" s="47">
        <v>0</v>
      </c>
      <c r="AS516" s="47">
        <v>0</v>
      </c>
      <c r="AT516" s="47">
        <v>0</v>
      </c>
      <c r="AU516" s="47">
        <v>0</v>
      </c>
      <c r="AV516" s="47">
        <v>0</v>
      </c>
      <c r="AW516" s="47">
        <v>0</v>
      </c>
      <c r="AX516" s="47">
        <v>0</v>
      </c>
      <c r="AY516" s="47">
        <v>0</v>
      </c>
      <c r="AZ516" s="47">
        <v>0</v>
      </c>
      <c r="BA516" s="47">
        <v>0</v>
      </c>
      <c r="BB516" s="47">
        <v>0</v>
      </c>
      <c r="BC516" s="47">
        <v>0</v>
      </c>
      <c r="BD516" s="47">
        <v>0</v>
      </c>
      <c r="BE516" s="47">
        <v>0</v>
      </c>
      <c r="BF516" s="47">
        <v>0</v>
      </c>
      <c r="BG516" s="47">
        <v>0</v>
      </c>
      <c r="BH516" s="47">
        <v>0</v>
      </c>
      <c r="BI516" s="47">
        <v>0</v>
      </c>
      <c r="BJ516" s="47">
        <v>0</v>
      </c>
      <c r="BK516" s="47">
        <v>0</v>
      </c>
      <c r="BL516" s="47">
        <v>0</v>
      </c>
      <c r="BM516" s="47">
        <v>0</v>
      </c>
      <c r="BN516" s="47">
        <v>0</v>
      </c>
      <c r="BO516" s="47">
        <v>0</v>
      </c>
      <c r="BP516" s="47">
        <v>0</v>
      </c>
      <c r="BQ516" s="47">
        <v>0</v>
      </c>
      <c r="BR516" s="47">
        <v>0</v>
      </c>
      <c r="BS516" s="47">
        <v>0</v>
      </c>
      <c r="BT516" s="47">
        <v>0</v>
      </c>
      <c r="BU516" s="47">
        <v>0</v>
      </c>
      <c r="BV516" s="47">
        <v>0</v>
      </c>
      <c r="BW516" s="47">
        <v>0</v>
      </c>
      <c r="BX516" s="47">
        <v>0</v>
      </c>
      <c r="BY516" s="47">
        <v>0</v>
      </c>
      <c r="BZ516" s="47">
        <v>0</v>
      </c>
      <c r="CA516" s="47">
        <v>0</v>
      </c>
      <c r="CB516" s="47">
        <v>0</v>
      </c>
      <c r="CC516" s="47">
        <v>0</v>
      </c>
      <c r="CD516" s="47">
        <v>0</v>
      </c>
      <c r="CE516" s="47">
        <v>0</v>
      </c>
      <c r="CF516" s="47">
        <v>0</v>
      </c>
      <c r="CG516" s="47">
        <v>0</v>
      </c>
      <c r="CH516" s="47">
        <v>0</v>
      </c>
      <c r="CI516" s="47">
        <v>0</v>
      </c>
      <c r="CJ516" s="47">
        <v>0</v>
      </c>
      <c r="CK516" s="47">
        <v>0</v>
      </c>
      <c r="CL516" s="47">
        <v>0</v>
      </c>
      <c r="CM516" s="47">
        <v>0</v>
      </c>
      <c r="CN516" s="47">
        <v>0</v>
      </c>
      <c r="CO516" s="47">
        <v>0</v>
      </c>
      <c r="CP516" s="47">
        <v>0</v>
      </c>
      <c r="CQ516" s="47">
        <v>0</v>
      </c>
      <c r="CR516" s="47">
        <v>0</v>
      </c>
      <c r="CS516" s="47">
        <v>0</v>
      </c>
      <c r="CT516" s="47">
        <v>0</v>
      </c>
      <c r="CU516" s="47">
        <v>0</v>
      </c>
      <c r="CV516" s="47">
        <v>0</v>
      </c>
      <c r="CW516" s="47">
        <v>0</v>
      </c>
      <c r="CX516" s="47">
        <v>0</v>
      </c>
      <c r="CY516" s="47">
        <v>0</v>
      </c>
      <c r="CZ516" s="47">
        <v>0</v>
      </c>
      <c r="DA516" s="47">
        <v>0</v>
      </c>
      <c r="DB516" s="47">
        <v>0</v>
      </c>
      <c r="DC516" s="47">
        <v>0</v>
      </c>
      <c r="DD516" s="47">
        <v>0</v>
      </c>
      <c r="DE516" s="47">
        <v>0</v>
      </c>
      <c r="DF516" s="47">
        <v>0</v>
      </c>
      <c r="DG516" s="47">
        <v>0</v>
      </c>
      <c r="DH516" s="47">
        <v>0</v>
      </c>
      <c r="DI516" s="47">
        <v>0</v>
      </c>
      <c r="DJ516" s="47">
        <v>0</v>
      </c>
      <c r="DK516" s="47">
        <v>0</v>
      </c>
      <c r="DL516" s="47">
        <v>0</v>
      </c>
      <c r="DM516" s="47">
        <v>0</v>
      </c>
      <c r="DN516" s="47">
        <v>0</v>
      </c>
      <c r="DO516" s="47">
        <v>0</v>
      </c>
      <c r="DP516" s="47">
        <v>0</v>
      </c>
      <c r="DQ516" s="47">
        <v>0</v>
      </c>
      <c r="DR516" s="47">
        <v>0</v>
      </c>
      <c r="DS516" s="47">
        <v>0</v>
      </c>
      <c r="DT516" s="47">
        <v>0</v>
      </c>
      <c r="DU516" s="47">
        <v>0</v>
      </c>
      <c r="DV516" s="47">
        <v>0</v>
      </c>
      <c r="DW516" s="47">
        <v>0</v>
      </c>
      <c r="DX516" s="47">
        <v>0</v>
      </c>
      <c r="DY516" s="47">
        <v>0</v>
      </c>
      <c r="DZ516" s="47">
        <v>0</v>
      </c>
      <c r="EA516" s="47">
        <v>0</v>
      </c>
      <c r="EB516" s="47"/>
      <c r="EC516" s="47">
        <v>0.8</v>
      </c>
      <c r="ZZ516" t="s">
        <v>2472</v>
      </c>
    </row>
    <row r="517" spans="1:702" x14ac:dyDescent="0.25">
      <c r="A517" s="47" t="s">
        <v>2421</v>
      </c>
      <c r="B517" s="47" t="s">
        <v>153</v>
      </c>
      <c r="C517" s="47" t="s">
        <v>157</v>
      </c>
      <c r="D517" s="47" t="s">
        <v>3002</v>
      </c>
      <c r="E517" s="47" t="s">
        <v>2422</v>
      </c>
      <c r="F517" s="47" t="s">
        <v>2423</v>
      </c>
      <c r="G517" s="47" t="s">
        <v>2424</v>
      </c>
      <c r="H517" s="47" t="s">
        <v>698</v>
      </c>
      <c r="I517" s="47" t="s">
        <v>727</v>
      </c>
      <c r="J517" s="47" t="str">
        <f>=IFERROR(VLOOKUP(H517&amp;I517,Table_Fonctions!A:G,6,FALSE),"")</f>
        <v>0</v>
      </c>
      <c r="K517" s="47" t="s">
        <v>2607</v>
      </c>
      <c r="L517" s="47" t="str">
        <f>=IFERROR(VLOOKUP(H517&amp;I517,Table_Fonctions!A:G,7,FALSE),K517)</f>
        <v/>
      </c>
      <c r="M517" s="47" t="str">
        <f>=IF(OR(LEFT(D517, 3)="TJ ", LEFT(D517, 4)="CPH "), "OUI", "NON")</f>
        <v/>
      </c>
      <c r="N517" s="47" t="s">
        <v>1173</v>
      </c>
      <c r="O517" s="47"/>
      <c r="P517" s="47">
        <v>0.8</v>
      </c>
      <c r="Q517" s="47">
        <v>0</v>
      </c>
      <c r="R517" s="47">
        <v>0.8</v>
      </c>
      <c r="S517" s="47">
        <f>=ROUND(BQ517-(BR517+BS517),3)</f>
      </c>
      <c r="T517" s="47">
        <f>=ROUND(CK517-(CL517+CM517+CN517+CO517+CP517),3)</f>
      </c>
      <c r="U517" s="47">
        <v>0</v>
      </c>
      <c r="V517" s="47">
        <v>0</v>
      </c>
      <c r="W517" s="47">
        <v>0</v>
      </c>
      <c r="X517" s="47">
        <v>0</v>
      </c>
      <c r="Y517" s="47">
        <v>0</v>
      </c>
      <c r="Z517" s="47">
        <v>0</v>
      </c>
      <c r="AA517" s="47">
        <v>0</v>
      </c>
      <c r="AB517" s="47">
        <v>0</v>
      </c>
      <c r="AC517" s="47">
        <v>0</v>
      </c>
      <c r="AD517" s="47">
        <v>0</v>
      </c>
      <c r="AE517" s="47">
        <v>0</v>
      </c>
      <c r="AF517" s="47">
        <v>0</v>
      </c>
      <c r="AG517" s="47">
        <v>0</v>
      </c>
      <c r="AH517" s="47">
        <v>0</v>
      </c>
      <c r="AI517" s="47">
        <v>0</v>
      </c>
      <c r="AJ517" s="47">
        <v>0</v>
      </c>
      <c r="AK517" s="47">
        <v>0</v>
      </c>
      <c r="AL517" s="47">
        <v>0</v>
      </c>
      <c r="AM517" s="47">
        <v>0</v>
      </c>
      <c r="AN517" s="47">
        <v>0</v>
      </c>
      <c r="AO517" s="47">
        <v>0</v>
      </c>
      <c r="AP517" s="47">
        <v>0</v>
      </c>
      <c r="AQ517" s="47">
        <v>0</v>
      </c>
      <c r="AR517" s="47">
        <v>0</v>
      </c>
      <c r="AS517" s="47">
        <v>0</v>
      </c>
      <c r="AT517" s="47">
        <v>0</v>
      </c>
      <c r="AU517" s="47">
        <v>0</v>
      </c>
      <c r="AV517" s="47">
        <v>0</v>
      </c>
      <c r="AW517" s="47">
        <v>0</v>
      </c>
      <c r="AX517" s="47">
        <v>0</v>
      </c>
      <c r="AY517" s="47">
        <v>0</v>
      </c>
      <c r="AZ517" s="47">
        <v>0</v>
      </c>
      <c r="BA517" s="47">
        <v>0</v>
      </c>
      <c r="BB517" s="47">
        <v>0</v>
      </c>
      <c r="BC517" s="47">
        <v>0</v>
      </c>
      <c r="BD517" s="47">
        <v>0</v>
      </c>
      <c r="BE517" s="47">
        <v>0</v>
      </c>
      <c r="BF517" s="47">
        <v>0</v>
      </c>
      <c r="BG517" s="47">
        <v>0</v>
      </c>
      <c r="BH517" s="47">
        <v>0</v>
      </c>
      <c r="BI517" s="47">
        <v>0</v>
      </c>
      <c r="BJ517" s="47">
        <v>0</v>
      </c>
      <c r="BK517" s="47">
        <v>0</v>
      </c>
      <c r="BL517" s="47">
        <v>0</v>
      </c>
      <c r="BM517" s="47">
        <v>0</v>
      </c>
      <c r="BN517" s="47">
        <v>0</v>
      </c>
      <c r="BO517" s="47">
        <v>0</v>
      </c>
      <c r="BP517" s="47">
        <v>0</v>
      </c>
      <c r="BQ517" s="47">
        <v>0</v>
      </c>
      <c r="BR517" s="47">
        <v>0</v>
      </c>
      <c r="BS517" s="47">
        <v>0</v>
      </c>
      <c r="BT517" s="47">
        <v>0</v>
      </c>
      <c r="BU517" s="47">
        <v>0</v>
      </c>
      <c r="BV517" s="47">
        <v>0</v>
      </c>
      <c r="BW517" s="47">
        <v>0</v>
      </c>
      <c r="BX517" s="47">
        <v>0</v>
      </c>
      <c r="BY517" s="47">
        <v>0</v>
      </c>
      <c r="BZ517" s="47">
        <v>0</v>
      </c>
      <c r="CA517" s="47">
        <v>0</v>
      </c>
      <c r="CB517" s="47">
        <v>0</v>
      </c>
      <c r="CC517" s="47">
        <v>0</v>
      </c>
      <c r="CD517" s="47">
        <v>0</v>
      </c>
      <c r="CE517" s="47">
        <v>0</v>
      </c>
      <c r="CF517" s="47">
        <v>0</v>
      </c>
      <c r="CG517" s="47">
        <v>0</v>
      </c>
      <c r="CH517" s="47">
        <v>0</v>
      </c>
      <c r="CI517" s="47">
        <v>0</v>
      </c>
      <c r="CJ517" s="47">
        <v>0</v>
      </c>
      <c r="CK517" s="47">
        <v>0</v>
      </c>
      <c r="CL517" s="47">
        <v>0</v>
      </c>
      <c r="CM517" s="47">
        <v>0</v>
      </c>
      <c r="CN517" s="47">
        <v>0</v>
      </c>
      <c r="CO517" s="47">
        <v>0</v>
      </c>
      <c r="CP517" s="47">
        <v>0</v>
      </c>
      <c r="CQ517" s="47">
        <v>0</v>
      </c>
      <c r="CR517" s="47">
        <v>0</v>
      </c>
      <c r="CS517" s="47">
        <v>0</v>
      </c>
      <c r="CT517" s="47">
        <v>0</v>
      </c>
      <c r="CU517" s="47">
        <v>0</v>
      </c>
      <c r="CV517" s="47">
        <v>0</v>
      </c>
      <c r="CW517" s="47">
        <v>0</v>
      </c>
      <c r="CX517" s="47">
        <v>0</v>
      </c>
      <c r="CY517" s="47">
        <v>0</v>
      </c>
      <c r="CZ517" s="47">
        <v>0</v>
      </c>
      <c r="DA517" s="47">
        <v>0</v>
      </c>
      <c r="DB517" s="47">
        <v>0</v>
      </c>
      <c r="DC517" s="47">
        <v>0</v>
      </c>
      <c r="DD517" s="47">
        <v>0</v>
      </c>
      <c r="DE517" s="47">
        <v>0</v>
      </c>
      <c r="DF517" s="47">
        <v>0</v>
      </c>
      <c r="DG517" s="47">
        <v>0</v>
      </c>
      <c r="DH517" s="47">
        <v>0</v>
      </c>
      <c r="DI517" s="47">
        <v>0</v>
      </c>
      <c r="DJ517" s="47">
        <v>0</v>
      </c>
      <c r="DK517" s="47">
        <v>0</v>
      </c>
      <c r="DL517" s="47">
        <v>0</v>
      </c>
      <c r="DM517" s="47">
        <v>0</v>
      </c>
      <c r="DN517" s="47">
        <v>0</v>
      </c>
      <c r="DO517" s="47">
        <v>0</v>
      </c>
      <c r="DP517" s="47">
        <v>0</v>
      </c>
      <c r="DQ517" s="47">
        <v>0</v>
      </c>
      <c r="DR517" s="47">
        <v>0</v>
      </c>
      <c r="DS517" s="47">
        <v>0</v>
      </c>
      <c r="DT517" s="47">
        <v>0</v>
      </c>
      <c r="DU517" s="47">
        <v>0</v>
      </c>
      <c r="DV517" s="47">
        <v>0</v>
      </c>
      <c r="DW517" s="47">
        <v>0</v>
      </c>
      <c r="DX517" s="47">
        <v>0</v>
      </c>
      <c r="DY517" s="47">
        <v>0</v>
      </c>
      <c r="DZ517" s="47">
        <v>0</v>
      </c>
      <c r="EA517" s="47">
        <v>0</v>
      </c>
      <c r="EB517" s="47"/>
      <c r="EC517" s="47">
        <v>0.8</v>
      </c>
      <c r="ZZ517" t="s">
        <v>2472</v>
      </c>
    </row>
    <row r="518" spans="1:702" x14ac:dyDescent="0.25">
      <c r="A518" s="47" t="s">
        <v>2425</v>
      </c>
      <c r="B518" s="47" t="s">
        <v>153</v>
      </c>
      <c r="C518" s="47" t="s">
        <v>157</v>
      </c>
      <c r="D518" s="47" t="s">
        <v>3003</v>
      </c>
      <c r="E518" s="47" t="s">
        <v>2426</v>
      </c>
      <c r="F518" s="47" t="s">
        <v>2427</v>
      </c>
      <c r="G518" s="47" t="s">
        <v>2428</v>
      </c>
      <c r="H518" s="47" t="s">
        <v>2429</v>
      </c>
      <c r="I518" s="47" t="s">
        <v>2430</v>
      </c>
      <c r="J518" s="47" t="str">
        <f>=IFERROR(VLOOKUP(H518&amp;I518,Table_Fonctions!A:G,6,FALSE),"")</f>
        <v>0</v>
      </c>
      <c r="K518" s="47" t="s">
        <v>2605</v>
      </c>
      <c r="L518" s="47" t="str">
        <f>=IFERROR(VLOOKUP(H518&amp;I518,Table_Fonctions!A:G,7,FALSE),K518)</f>
        <v/>
      </c>
      <c r="M518" s="47" t="str">
        <f>=IF(OR(LEFT(D518, 3)="TJ ", LEFT(D518, 4)="CPH "), "OUI", "NON")</f>
        <v/>
      </c>
      <c r="N518" s="47" t="s">
        <v>175</v>
      </c>
      <c r="O518" s="47" t="s">
        <v>2431</v>
      </c>
      <c r="P518" s="47">
        <v>0.6347</v>
      </c>
      <c r="Q518" s="47">
        <v>0.6347</v>
      </c>
      <c r="R518" s="47">
        <v>0</v>
      </c>
      <c r="S518" s="47">
        <f>=ROUND(BQ518-(BR518+BS518),3)</f>
      </c>
      <c r="T518" s="47">
        <f>=ROUND(CK518-(CL518+CM518+CN518+CO518+CP518),3)</f>
      </c>
      <c r="U518" s="47">
        <v>0.3174</v>
      </c>
      <c r="V518" s="47">
        <v>0</v>
      </c>
      <c r="W518" s="47">
        <v>0.3174</v>
      </c>
      <c r="X518" s="47">
        <v>0</v>
      </c>
      <c r="Y518" s="47">
        <v>0</v>
      </c>
      <c r="Z518" s="47">
        <v>0.3174</v>
      </c>
      <c r="AA518" s="47">
        <v>0</v>
      </c>
      <c r="AB518" s="47">
        <v>0.3174</v>
      </c>
      <c r="AC518" s="47">
        <v>0</v>
      </c>
      <c r="AD518" s="47">
        <v>0</v>
      </c>
      <c r="AE518" s="47">
        <v>0</v>
      </c>
      <c r="AF518" s="47">
        <v>0</v>
      </c>
      <c r="AG518" s="47">
        <v>0</v>
      </c>
      <c r="AH518" s="47">
        <v>0</v>
      </c>
      <c r="AI518" s="47">
        <v>0</v>
      </c>
      <c r="AJ518" s="47">
        <v>0</v>
      </c>
      <c r="AK518" s="47">
        <v>0</v>
      </c>
      <c r="AL518" s="47">
        <v>0</v>
      </c>
      <c r="AM518" s="47">
        <v>0</v>
      </c>
      <c r="AN518" s="47">
        <v>0</v>
      </c>
      <c r="AO518" s="47">
        <v>0</v>
      </c>
      <c r="AP518" s="47">
        <v>0</v>
      </c>
      <c r="AQ518" s="47">
        <v>0</v>
      </c>
      <c r="AR518" s="47">
        <v>0</v>
      </c>
      <c r="AS518" s="47">
        <v>0</v>
      </c>
      <c r="AT518" s="47">
        <v>0</v>
      </c>
      <c r="AU518" s="47">
        <v>0</v>
      </c>
      <c r="AV518" s="47">
        <v>0</v>
      </c>
      <c r="AW518" s="47">
        <v>0</v>
      </c>
      <c r="AX518" s="47">
        <v>0</v>
      </c>
      <c r="AY518" s="47">
        <v>0</v>
      </c>
      <c r="AZ518" s="47">
        <v>0</v>
      </c>
      <c r="BA518" s="47">
        <v>0</v>
      </c>
      <c r="BB518" s="47">
        <v>0</v>
      </c>
      <c r="BC518" s="47">
        <v>0</v>
      </c>
      <c r="BD518" s="47">
        <v>0</v>
      </c>
      <c r="BE518" s="47">
        <v>0</v>
      </c>
      <c r="BF518" s="47">
        <v>0</v>
      </c>
      <c r="BG518" s="47">
        <v>0</v>
      </c>
      <c r="BH518" s="47">
        <v>0</v>
      </c>
      <c r="BI518" s="47">
        <v>0</v>
      </c>
      <c r="BJ518" s="47">
        <v>0</v>
      </c>
      <c r="BK518" s="47">
        <v>0</v>
      </c>
      <c r="BL518" s="47">
        <v>0</v>
      </c>
      <c r="BM518" s="47">
        <v>0</v>
      </c>
      <c r="BN518" s="47">
        <v>0</v>
      </c>
      <c r="BO518" s="47">
        <v>0</v>
      </c>
      <c r="BP518" s="47">
        <v>0</v>
      </c>
      <c r="BQ518" s="47">
        <v>0</v>
      </c>
      <c r="BR518" s="47">
        <v>0</v>
      </c>
      <c r="BS518" s="47">
        <v>0</v>
      </c>
      <c r="BT518" s="47">
        <v>0</v>
      </c>
      <c r="BU518" s="47">
        <v>0</v>
      </c>
      <c r="BV518" s="47">
        <v>0</v>
      </c>
      <c r="BW518" s="47">
        <v>0</v>
      </c>
      <c r="BX518" s="47">
        <v>0</v>
      </c>
      <c r="BY518" s="47">
        <v>0</v>
      </c>
      <c r="BZ518" s="47">
        <v>0</v>
      </c>
      <c r="CA518" s="47">
        <v>0</v>
      </c>
      <c r="CB518" s="47">
        <v>0</v>
      </c>
      <c r="CC518" s="47">
        <v>0</v>
      </c>
      <c r="CD518" s="47">
        <v>0</v>
      </c>
      <c r="CE518" s="47">
        <v>0</v>
      </c>
      <c r="CF518" s="47">
        <v>0</v>
      </c>
      <c r="CG518" s="47">
        <v>0</v>
      </c>
      <c r="CH518" s="47">
        <v>0</v>
      </c>
      <c r="CI518" s="47">
        <v>0</v>
      </c>
      <c r="CJ518" s="47">
        <v>0</v>
      </c>
      <c r="CK518" s="47">
        <v>0</v>
      </c>
      <c r="CL518" s="47">
        <v>0</v>
      </c>
      <c r="CM518" s="47">
        <v>0</v>
      </c>
      <c r="CN518" s="47">
        <v>0</v>
      </c>
      <c r="CO518" s="47">
        <v>0</v>
      </c>
      <c r="CP518" s="47">
        <v>0</v>
      </c>
      <c r="CQ518" s="47">
        <v>0</v>
      </c>
      <c r="CR518" s="47">
        <v>0</v>
      </c>
      <c r="CS518" s="47">
        <v>0</v>
      </c>
      <c r="CT518" s="47">
        <v>0</v>
      </c>
      <c r="CU518" s="47">
        <v>0</v>
      </c>
      <c r="CV518" s="47">
        <v>0</v>
      </c>
      <c r="CW518" s="47">
        <v>0</v>
      </c>
      <c r="CX518" s="47">
        <v>0</v>
      </c>
      <c r="CY518" s="47">
        <v>0</v>
      </c>
      <c r="CZ518" s="47">
        <v>0</v>
      </c>
      <c r="DA518" s="47">
        <v>0</v>
      </c>
      <c r="DB518" s="47">
        <v>0</v>
      </c>
      <c r="DC518" s="47">
        <v>0</v>
      </c>
      <c r="DD518" s="47">
        <v>0</v>
      </c>
      <c r="DE518" s="47">
        <v>0</v>
      </c>
      <c r="DF518" s="47">
        <v>0</v>
      </c>
      <c r="DG518" s="47">
        <v>0</v>
      </c>
      <c r="DH518" s="47">
        <v>0</v>
      </c>
      <c r="DI518" s="47">
        <v>0</v>
      </c>
      <c r="DJ518" s="47">
        <v>0</v>
      </c>
      <c r="DK518" s="47">
        <v>0</v>
      </c>
      <c r="DL518" s="47">
        <v>0</v>
      </c>
      <c r="DM518" s="47">
        <v>0</v>
      </c>
      <c r="DN518" s="47">
        <v>0</v>
      </c>
      <c r="DO518" s="47">
        <v>0</v>
      </c>
      <c r="DP518" s="47">
        <v>0</v>
      </c>
      <c r="DQ518" s="47">
        <v>0</v>
      </c>
      <c r="DR518" s="47">
        <v>0</v>
      </c>
      <c r="DS518" s="47">
        <v>0</v>
      </c>
      <c r="DT518" s="47">
        <v>0</v>
      </c>
      <c r="DU518" s="47">
        <v>0</v>
      </c>
      <c r="DV518" s="47">
        <v>0</v>
      </c>
      <c r="DW518" s="47">
        <v>0</v>
      </c>
      <c r="DX518" s="47">
        <v>0</v>
      </c>
      <c r="DY518" s="47">
        <v>0</v>
      </c>
      <c r="DZ518" s="47">
        <v>0</v>
      </c>
      <c r="EA518" s="47">
        <v>0</v>
      </c>
      <c r="EB518" s="47"/>
      <c r="EC518" s="47">
        <v>0.6347</v>
      </c>
      <c r="ZZ518" t="s">
        <v>2472</v>
      </c>
    </row>
    <row r="519" spans="1:702" x14ac:dyDescent="0.25">
      <c r="A519" s="47" t="s">
        <v>2432</v>
      </c>
      <c r="B519" s="47" t="s">
        <v>153</v>
      </c>
      <c r="C519" s="47" t="s">
        <v>157</v>
      </c>
      <c r="D519" s="47" t="s">
        <v>3004</v>
      </c>
      <c r="E519" s="47" t="s">
        <v>2433</v>
      </c>
      <c r="F519" s="47" t="s">
        <v>2434</v>
      </c>
      <c r="G519" s="47" t="s">
        <v>2435</v>
      </c>
      <c r="H519" s="47" t="s">
        <v>2429</v>
      </c>
      <c r="I519" s="47" t="s">
        <v>2943</v>
      </c>
      <c r="J519" s="47" t="str">
        <f>=IFERROR(VLOOKUP(H519&amp;I519,Table_Fonctions!A:G,6,FALSE),"")</f>
        <v>0</v>
      </c>
      <c r="K519" s="47" t="s">
        <v>2605</v>
      </c>
      <c r="L519" s="47" t="str">
        <f>=IFERROR(VLOOKUP(H519&amp;I519,Table_Fonctions!A:G,7,FALSE),K519)</f>
        <v/>
      </c>
      <c r="M519" s="47" t="str">
        <f>=IF(OR(LEFT(D519, 3)="TJ ", LEFT(D519, 4)="CPH "), "OUI", "NON")</f>
        <v/>
      </c>
      <c r="N519" s="47" t="s">
        <v>288</v>
      </c>
      <c r="O519" s="47"/>
      <c r="P519" s="47">
        <v>0.75</v>
      </c>
      <c r="Q519" s="47">
        <v>0.75</v>
      </c>
      <c r="R519" s="47">
        <v>0</v>
      </c>
      <c r="S519" s="47">
        <f>=ROUND(BQ519-(BR519+BS519),3)</f>
      </c>
      <c r="T519" s="47">
        <f>=ROUND(CK519-(CL519+CM519+CN519+CO519+CP519),3)</f>
      </c>
      <c r="U519" s="47">
        <v>0</v>
      </c>
      <c r="V519" s="47">
        <v>0</v>
      </c>
      <c r="W519" s="47">
        <v>0</v>
      </c>
      <c r="X519" s="47">
        <v>0</v>
      </c>
      <c r="Y519" s="47">
        <v>0</v>
      </c>
      <c r="Z519" s="47">
        <v>0</v>
      </c>
      <c r="AA519" s="47">
        <v>0</v>
      </c>
      <c r="AB519" s="47">
        <v>0</v>
      </c>
      <c r="AC519" s="47">
        <v>0</v>
      </c>
      <c r="AD519" s="47">
        <v>0</v>
      </c>
      <c r="AE519" s="47">
        <v>0</v>
      </c>
      <c r="AF519" s="47">
        <v>0</v>
      </c>
      <c r="AG519" s="47">
        <v>0</v>
      </c>
      <c r="AH519" s="47">
        <v>0</v>
      </c>
      <c r="AI519" s="47">
        <v>0</v>
      </c>
      <c r="AJ519" s="47">
        <v>0</v>
      </c>
      <c r="AK519" s="47">
        <v>0</v>
      </c>
      <c r="AL519" s="47">
        <v>0</v>
      </c>
      <c r="AM519" s="47">
        <v>0</v>
      </c>
      <c r="AN519" s="47">
        <v>0</v>
      </c>
      <c r="AO519" s="47">
        <v>0</v>
      </c>
      <c r="AP519" s="47">
        <v>0</v>
      </c>
      <c r="AQ519" s="47">
        <v>0</v>
      </c>
      <c r="AR519" s="47">
        <v>0</v>
      </c>
      <c r="AS519" s="47">
        <v>0.75</v>
      </c>
      <c r="AT519" s="47">
        <v>0.75</v>
      </c>
      <c r="AU519" s="47">
        <v>0</v>
      </c>
      <c r="AV519" s="47">
        <v>0</v>
      </c>
      <c r="AW519" s="47">
        <v>0</v>
      </c>
      <c r="AX519" s="47">
        <v>0</v>
      </c>
      <c r="AY519" s="47">
        <v>0</v>
      </c>
      <c r="AZ519" s="47">
        <v>0</v>
      </c>
      <c r="BA519" s="47">
        <v>0</v>
      </c>
      <c r="BB519" s="47">
        <v>0</v>
      </c>
      <c r="BC519" s="47">
        <v>0</v>
      </c>
      <c r="BD519" s="47">
        <v>0</v>
      </c>
      <c r="BE519" s="47">
        <v>0</v>
      </c>
      <c r="BF519" s="47">
        <v>0</v>
      </c>
      <c r="BG519" s="47">
        <v>0</v>
      </c>
      <c r="BH519" s="47">
        <v>0</v>
      </c>
      <c r="BI519" s="47">
        <v>0</v>
      </c>
      <c r="BJ519" s="47">
        <v>0</v>
      </c>
      <c r="BK519" s="47">
        <v>0</v>
      </c>
      <c r="BL519" s="47">
        <v>0</v>
      </c>
      <c r="BM519" s="47">
        <v>0</v>
      </c>
      <c r="BN519" s="47">
        <v>0</v>
      </c>
      <c r="BO519" s="47">
        <v>0</v>
      </c>
      <c r="BP519" s="47">
        <v>0</v>
      </c>
      <c r="BQ519" s="47">
        <v>0</v>
      </c>
      <c r="BR519" s="47">
        <v>0</v>
      </c>
      <c r="BS519" s="47">
        <v>0</v>
      </c>
      <c r="BT519" s="47">
        <v>0</v>
      </c>
      <c r="BU519" s="47">
        <v>0</v>
      </c>
      <c r="BV519" s="47">
        <v>0</v>
      </c>
      <c r="BW519" s="47">
        <v>0</v>
      </c>
      <c r="BX519" s="47">
        <v>0</v>
      </c>
      <c r="BY519" s="47">
        <v>0</v>
      </c>
      <c r="BZ519" s="47">
        <v>0</v>
      </c>
      <c r="CA519" s="47">
        <v>0</v>
      </c>
      <c r="CB519" s="47">
        <v>0</v>
      </c>
      <c r="CC519" s="47">
        <v>0</v>
      </c>
      <c r="CD519" s="47">
        <v>0</v>
      </c>
      <c r="CE519" s="47">
        <v>0</v>
      </c>
      <c r="CF519" s="47">
        <v>0</v>
      </c>
      <c r="CG519" s="47">
        <v>0</v>
      </c>
      <c r="CH519" s="47">
        <v>0</v>
      </c>
      <c r="CI519" s="47">
        <v>0</v>
      </c>
      <c r="CJ519" s="47">
        <v>0</v>
      </c>
      <c r="CK519" s="47">
        <v>0</v>
      </c>
      <c r="CL519" s="47">
        <v>0</v>
      </c>
      <c r="CM519" s="47">
        <v>0</v>
      </c>
      <c r="CN519" s="47">
        <v>0</v>
      </c>
      <c r="CO519" s="47">
        <v>0</v>
      </c>
      <c r="CP519" s="47">
        <v>0</v>
      </c>
      <c r="CQ519" s="47">
        <v>0</v>
      </c>
      <c r="CR519" s="47">
        <v>0</v>
      </c>
      <c r="CS519" s="47">
        <v>0</v>
      </c>
      <c r="CT519" s="47">
        <v>0</v>
      </c>
      <c r="CU519" s="47">
        <v>0</v>
      </c>
      <c r="CV519" s="47">
        <v>0</v>
      </c>
      <c r="CW519" s="47">
        <v>0</v>
      </c>
      <c r="CX519" s="47">
        <v>0</v>
      </c>
      <c r="CY519" s="47">
        <v>0</v>
      </c>
      <c r="CZ519" s="47">
        <v>0</v>
      </c>
      <c r="DA519" s="47">
        <v>0</v>
      </c>
      <c r="DB519" s="47">
        <v>0</v>
      </c>
      <c r="DC519" s="47">
        <v>0</v>
      </c>
      <c r="DD519" s="47">
        <v>0</v>
      </c>
      <c r="DE519" s="47">
        <v>0</v>
      </c>
      <c r="DF519" s="47">
        <v>0</v>
      </c>
      <c r="DG519" s="47">
        <v>0</v>
      </c>
      <c r="DH519" s="47">
        <v>0</v>
      </c>
      <c r="DI519" s="47">
        <v>0</v>
      </c>
      <c r="DJ519" s="47">
        <v>0</v>
      </c>
      <c r="DK519" s="47">
        <v>0</v>
      </c>
      <c r="DL519" s="47">
        <v>0</v>
      </c>
      <c r="DM519" s="47">
        <v>0</v>
      </c>
      <c r="DN519" s="47">
        <v>0</v>
      </c>
      <c r="DO519" s="47">
        <v>0</v>
      </c>
      <c r="DP519" s="47">
        <v>0</v>
      </c>
      <c r="DQ519" s="47">
        <v>0</v>
      </c>
      <c r="DR519" s="47">
        <v>0</v>
      </c>
      <c r="DS519" s="47">
        <v>0</v>
      </c>
      <c r="DT519" s="47">
        <v>0</v>
      </c>
      <c r="DU519" s="47">
        <v>0</v>
      </c>
      <c r="DV519" s="47">
        <v>0</v>
      </c>
      <c r="DW519" s="47">
        <v>0</v>
      </c>
      <c r="DX519" s="47">
        <v>0</v>
      </c>
      <c r="DY519" s="47">
        <v>0</v>
      </c>
      <c r="DZ519" s="47">
        <v>0</v>
      </c>
      <c r="EA519" s="47">
        <v>0</v>
      </c>
      <c r="EB519" s="47"/>
      <c r="EC519" s="47">
        <v>0.75</v>
      </c>
      <c r="ZZ519" t="s">
        <v>2472</v>
      </c>
    </row>
    <row r="520" spans="1:702" x14ac:dyDescent="0.25">
      <c r="A520" s="47" t="s">
        <v>2436</v>
      </c>
      <c r="B520" s="47" t="s">
        <v>153</v>
      </c>
      <c r="C520" s="47" t="s">
        <v>157</v>
      </c>
      <c r="D520" s="47" t="s">
        <v>3005</v>
      </c>
      <c r="E520" s="47" t="s">
        <v>2437</v>
      </c>
      <c r="F520" s="47" t="s">
        <v>2438</v>
      </c>
      <c r="G520" s="47" t="s">
        <v>2439</v>
      </c>
      <c r="H520" s="47" t="s">
        <v>2429</v>
      </c>
      <c r="I520" s="47" t="s">
        <v>1211</v>
      </c>
      <c r="J520" s="47" t="str">
        <f>=IFERROR(VLOOKUP(H520&amp;I520,Table_Fonctions!A:G,6,FALSE),"")</f>
        <v>0</v>
      </c>
      <c r="K520" s="47" t="s">
        <v>2605</v>
      </c>
      <c r="L520" s="47" t="str">
        <f>=IFERROR(VLOOKUP(H520&amp;I520,Table_Fonctions!A:G,7,FALSE),K520)</f>
        <v/>
      </c>
      <c r="M520" s="47" t="str">
        <f>=IF(OR(LEFT(D520, 3)="TJ ", LEFT(D520, 4)="CPH "), "OUI", "NON")</f>
        <v/>
      </c>
      <c r="N520" s="47" t="s">
        <v>263</v>
      </c>
      <c r="O520" s="47"/>
      <c r="P520" s="47">
        <v>1</v>
      </c>
      <c r="Q520" s="47">
        <v>1</v>
      </c>
      <c r="R520" s="47">
        <v>0</v>
      </c>
      <c r="S520" s="47">
        <f>=ROUND(BQ520-(BR520+BS520),3)</f>
      </c>
      <c r="T520" s="47">
        <f>=ROUND(CK520-(CL520+CM520+CN520+CO520+CP520),3)</f>
      </c>
      <c r="U520" s="47">
        <v>0</v>
      </c>
      <c r="V520" s="47">
        <v>0</v>
      </c>
      <c r="W520" s="47">
        <v>0</v>
      </c>
      <c r="X520" s="47">
        <v>0</v>
      </c>
      <c r="Y520" s="47">
        <v>0</v>
      </c>
      <c r="Z520" s="47">
        <v>0</v>
      </c>
      <c r="AA520" s="47">
        <v>0</v>
      </c>
      <c r="AB520" s="47">
        <v>0</v>
      </c>
      <c r="AC520" s="47">
        <v>0</v>
      </c>
      <c r="AD520" s="47">
        <v>0</v>
      </c>
      <c r="AE520" s="47">
        <v>0</v>
      </c>
      <c r="AF520" s="47">
        <v>0</v>
      </c>
      <c r="AG520" s="47">
        <v>0</v>
      </c>
      <c r="AH520" s="47">
        <v>0</v>
      </c>
      <c r="AI520" s="47">
        <v>0</v>
      </c>
      <c r="AJ520" s="47">
        <v>0</v>
      </c>
      <c r="AK520" s="47">
        <v>0</v>
      </c>
      <c r="AL520" s="47">
        <v>0</v>
      </c>
      <c r="AM520" s="47">
        <v>0</v>
      </c>
      <c r="AN520" s="47">
        <v>0</v>
      </c>
      <c r="AO520" s="47">
        <v>0</v>
      </c>
      <c r="AP520" s="47">
        <v>0</v>
      </c>
      <c r="AQ520" s="47">
        <v>0</v>
      </c>
      <c r="AR520" s="47">
        <v>0</v>
      </c>
      <c r="AS520" s="47">
        <v>0</v>
      </c>
      <c r="AT520" s="47">
        <v>0</v>
      </c>
      <c r="AU520" s="47">
        <v>0</v>
      </c>
      <c r="AV520" s="47">
        <v>0</v>
      </c>
      <c r="AW520" s="47">
        <v>0</v>
      </c>
      <c r="AX520" s="47">
        <v>0</v>
      </c>
      <c r="AY520" s="47">
        <v>0</v>
      </c>
      <c r="AZ520" s="47">
        <v>0</v>
      </c>
      <c r="BA520" s="47">
        <v>0</v>
      </c>
      <c r="BB520" s="47">
        <v>0</v>
      </c>
      <c r="BC520" s="47">
        <v>0</v>
      </c>
      <c r="BD520" s="47">
        <v>0</v>
      </c>
      <c r="BE520" s="47">
        <v>0</v>
      </c>
      <c r="BF520" s="47">
        <v>0</v>
      </c>
      <c r="BG520" s="47">
        <v>0</v>
      </c>
      <c r="BH520" s="47">
        <v>0</v>
      </c>
      <c r="BI520" s="47">
        <v>0</v>
      </c>
      <c r="BJ520" s="47">
        <v>0</v>
      </c>
      <c r="BK520" s="47">
        <v>0</v>
      </c>
      <c r="BL520" s="47">
        <v>0</v>
      </c>
      <c r="BM520" s="47">
        <v>0</v>
      </c>
      <c r="BN520" s="47">
        <v>0</v>
      </c>
      <c r="BO520" s="47">
        <v>0</v>
      </c>
      <c r="BP520" s="47">
        <v>0</v>
      </c>
      <c r="BQ520" s="47">
        <v>0.3</v>
      </c>
      <c r="BR520" s="47">
        <v>0</v>
      </c>
      <c r="BS520" s="47">
        <v>0.3</v>
      </c>
      <c r="BT520" s="47">
        <v>0.5</v>
      </c>
      <c r="BU520" s="47">
        <v>0.5</v>
      </c>
      <c r="BV520" s="47">
        <v>0</v>
      </c>
      <c r="BW520" s="47">
        <v>0</v>
      </c>
      <c r="BX520" s="47">
        <v>0</v>
      </c>
      <c r="BY520" s="47">
        <v>0</v>
      </c>
      <c r="BZ520" s="47">
        <v>0</v>
      </c>
      <c r="CA520" s="47">
        <v>0</v>
      </c>
      <c r="CB520" s="47">
        <v>0</v>
      </c>
      <c r="CC520" s="47">
        <v>0</v>
      </c>
      <c r="CD520" s="47">
        <v>0</v>
      </c>
      <c r="CE520" s="47">
        <v>0</v>
      </c>
      <c r="CF520" s="47">
        <v>0</v>
      </c>
      <c r="CG520" s="47">
        <v>0</v>
      </c>
      <c r="CH520" s="47">
        <v>0</v>
      </c>
      <c r="CI520" s="47">
        <v>0</v>
      </c>
      <c r="CJ520" s="47">
        <v>0</v>
      </c>
      <c r="CK520" s="47">
        <v>0</v>
      </c>
      <c r="CL520" s="47">
        <v>0</v>
      </c>
      <c r="CM520" s="47">
        <v>0</v>
      </c>
      <c r="CN520" s="47">
        <v>0</v>
      </c>
      <c r="CO520" s="47">
        <v>0</v>
      </c>
      <c r="CP520" s="47">
        <v>0</v>
      </c>
      <c r="CQ520" s="47">
        <v>0</v>
      </c>
      <c r="CR520" s="47">
        <v>0</v>
      </c>
      <c r="CS520" s="47">
        <v>0</v>
      </c>
      <c r="CT520" s="47">
        <v>0</v>
      </c>
      <c r="CU520" s="47">
        <v>0</v>
      </c>
      <c r="CV520" s="47">
        <v>0</v>
      </c>
      <c r="CW520" s="47">
        <v>0</v>
      </c>
      <c r="CX520" s="47">
        <v>0</v>
      </c>
      <c r="CY520" s="47">
        <v>0.2</v>
      </c>
      <c r="CZ520" s="47">
        <v>0</v>
      </c>
      <c r="DA520" s="47">
        <v>0</v>
      </c>
      <c r="DB520" s="47">
        <v>0</v>
      </c>
      <c r="DC520" s="47">
        <v>0.2</v>
      </c>
      <c r="DD520" s="47">
        <v>0</v>
      </c>
      <c r="DE520" s="47">
        <v>0</v>
      </c>
      <c r="DF520" s="47">
        <v>0</v>
      </c>
      <c r="DG520" s="47">
        <v>0</v>
      </c>
      <c r="DH520" s="47">
        <v>0</v>
      </c>
      <c r="DI520" s="47">
        <v>0</v>
      </c>
      <c r="DJ520" s="47">
        <v>0</v>
      </c>
      <c r="DK520" s="47">
        <v>0</v>
      </c>
      <c r="DL520" s="47">
        <v>0</v>
      </c>
      <c r="DM520" s="47">
        <v>0</v>
      </c>
      <c r="DN520" s="47">
        <v>0</v>
      </c>
      <c r="DO520" s="47">
        <v>0</v>
      </c>
      <c r="DP520" s="47">
        <v>0</v>
      </c>
      <c r="DQ520" s="47">
        <v>0</v>
      </c>
      <c r="DR520" s="47">
        <v>0</v>
      </c>
      <c r="DS520" s="47">
        <v>0</v>
      </c>
      <c r="DT520" s="47">
        <v>0</v>
      </c>
      <c r="DU520" s="47">
        <v>0</v>
      </c>
      <c r="DV520" s="47">
        <v>0</v>
      </c>
      <c r="DW520" s="47">
        <v>0</v>
      </c>
      <c r="DX520" s="47">
        <v>0</v>
      </c>
      <c r="DY520" s="47">
        <v>0</v>
      </c>
      <c r="DZ520" s="47">
        <v>0</v>
      </c>
      <c r="EA520" s="47">
        <v>0</v>
      </c>
      <c r="EB520" s="47"/>
      <c r="EC520" s="47">
        <v>1</v>
      </c>
      <c r="ZZ520" t="s">
        <v>2472</v>
      </c>
    </row>
    <row r="521" spans="1:702" x14ac:dyDescent="0.25">
      <c r="A521" s="47" t="s">
        <v>2440</v>
      </c>
      <c r="B521" s="47" t="s">
        <v>153</v>
      </c>
      <c r="C521" s="47" t="s">
        <v>157</v>
      </c>
      <c r="D521" s="47" t="s">
        <v>3006</v>
      </c>
      <c r="E521" s="47" t="s">
        <v>2441</v>
      </c>
      <c r="F521" s="47" t="s">
        <v>2442</v>
      </c>
      <c r="G521" s="47" t="s">
        <v>2443</v>
      </c>
      <c r="H521" s="47" t="s">
        <v>2429</v>
      </c>
      <c r="I521" s="47" t="s">
        <v>3007</v>
      </c>
      <c r="J521" s="47" t="str">
        <f>=IFERROR(VLOOKUP(H521&amp;I521,Table_Fonctions!A:G,6,FALSE),"")</f>
        <v>0</v>
      </c>
      <c r="K521" s="47" t="s">
        <v>2605</v>
      </c>
      <c r="L521" s="47" t="str">
        <f>=IFERROR(VLOOKUP(H521&amp;I521,Table_Fonctions!A:G,7,FALSE),K521)</f>
        <v/>
      </c>
      <c r="M521" s="47" t="str">
        <f>=IF(OR(LEFT(D521, 3)="TJ ", LEFT(D521, 4)="CPH "), "OUI", "NON")</f>
        <v/>
      </c>
      <c r="N521" s="47" t="s">
        <v>2445</v>
      </c>
      <c r="O521" s="47"/>
      <c r="P521" s="47">
        <v>1</v>
      </c>
      <c r="Q521" s="47">
        <v>1</v>
      </c>
      <c r="R521" s="47">
        <v>0</v>
      </c>
      <c r="S521" s="47">
        <f>=ROUND(BQ521-(BR521+BS521),3)</f>
      </c>
      <c r="T521" s="47">
        <f>=ROUND(CK521-(CL521+CM521+CN521+CO521+CP521),3)</f>
      </c>
      <c r="U521" s="47">
        <v>0</v>
      </c>
      <c r="V521" s="47">
        <v>0</v>
      </c>
      <c r="W521" s="47">
        <v>0</v>
      </c>
      <c r="X521" s="47">
        <v>0</v>
      </c>
      <c r="Y521" s="47">
        <v>0</v>
      </c>
      <c r="Z521" s="47">
        <v>0</v>
      </c>
      <c r="AA521" s="47">
        <v>0</v>
      </c>
      <c r="AB521" s="47">
        <v>0</v>
      </c>
      <c r="AC521" s="47">
        <v>0</v>
      </c>
      <c r="AD521" s="47">
        <v>0</v>
      </c>
      <c r="AE521" s="47">
        <v>0</v>
      </c>
      <c r="AF521" s="47">
        <v>0</v>
      </c>
      <c r="AG521" s="47">
        <v>0</v>
      </c>
      <c r="AH521" s="47">
        <v>0</v>
      </c>
      <c r="AI521" s="47">
        <v>0</v>
      </c>
      <c r="AJ521" s="47">
        <v>0</v>
      </c>
      <c r="AK521" s="47">
        <v>0</v>
      </c>
      <c r="AL521" s="47">
        <v>0</v>
      </c>
      <c r="AM521" s="47">
        <v>0</v>
      </c>
      <c r="AN521" s="47">
        <v>0</v>
      </c>
      <c r="AO521" s="47">
        <v>0</v>
      </c>
      <c r="AP521" s="47">
        <v>0</v>
      </c>
      <c r="AQ521" s="47">
        <v>0</v>
      </c>
      <c r="AR521" s="47">
        <v>0</v>
      </c>
      <c r="AS521" s="47">
        <v>0.4</v>
      </c>
      <c r="AT521" s="47">
        <v>0</v>
      </c>
      <c r="AU521" s="47">
        <v>0</v>
      </c>
      <c r="AV521" s="47">
        <v>0</v>
      </c>
      <c r="AW521" s="47">
        <v>0</v>
      </c>
      <c r="AX521" s="47">
        <v>0</v>
      </c>
      <c r="AY521" s="47">
        <v>0</v>
      </c>
      <c r="AZ521" s="47">
        <v>0.4</v>
      </c>
      <c r="BA521" s="47">
        <v>0</v>
      </c>
      <c r="BB521" s="47">
        <v>0</v>
      </c>
      <c r="BC521" s="47">
        <v>0</v>
      </c>
      <c r="BD521" s="47">
        <v>0</v>
      </c>
      <c r="BE521" s="47">
        <v>0</v>
      </c>
      <c r="BF521" s="47">
        <v>0</v>
      </c>
      <c r="BG521" s="47">
        <v>0</v>
      </c>
      <c r="BH521" s="47">
        <v>0</v>
      </c>
      <c r="BI521" s="47">
        <v>0</v>
      </c>
      <c r="BJ521" s="47">
        <v>0</v>
      </c>
      <c r="BK521" s="47">
        <v>0</v>
      </c>
      <c r="BL521" s="47">
        <v>0</v>
      </c>
      <c r="BM521" s="47">
        <v>0</v>
      </c>
      <c r="BN521" s="47">
        <v>0</v>
      </c>
      <c r="BO521" s="47">
        <v>0</v>
      </c>
      <c r="BP521" s="47">
        <v>0</v>
      </c>
      <c r="BQ521" s="47">
        <v>0</v>
      </c>
      <c r="BR521" s="47">
        <v>0</v>
      </c>
      <c r="BS521" s="47">
        <v>0</v>
      </c>
      <c r="BT521" s="47">
        <v>0</v>
      </c>
      <c r="BU521" s="47">
        <v>0</v>
      </c>
      <c r="BV521" s="47">
        <v>0</v>
      </c>
      <c r="BW521" s="47">
        <v>0</v>
      </c>
      <c r="BX521" s="47">
        <v>0</v>
      </c>
      <c r="BY521" s="47">
        <v>0</v>
      </c>
      <c r="BZ521" s="47">
        <v>0</v>
      </c>
      <c r="CA521" s="47">
        <v>0</v>
      </c>
      <c r="CB521" s="47">
        <v>0</v>
      </c>
      <c r="CC521" s="47">
        <v>0</v>
      </c>
      <c r="CD521" s="47">
        <v>0</v>
      </c>
      <c r="CE521" s="47">
        <v>0</v>
      </c>
      <c r="CF521" s="47">
        <v>0</v>
      </c>
      <c r="CG521" s="47">
        <v>0</v>
      </c>
      <c r="CH521" s="47">
        <v>0</v>
      </c>
      <c r="CI521" s="47">
        <v>0</v>
      </c>
      <c r="CJ521" s="47">
        <v>0</v>
      </c>
      <c r="CK521" s="47">
        <v>0.5</v>
      </c>
      <c r="CL521" s="47">
        <v>0.5</v>
      </c>
      <c r="CM521" s="47">
        <v>0</v>
      </c>
      <c r="CN521" s="47">
        <v>0</v>
      </c>
      <c r="CO521" s="47">
        <v>0</v>
      </c>
      <c r="CP521" s="47">
        <v>0</v>
      </c>
      <c r="CQ521" s="47">
        <v>0</v>
      </c>
      <c r="CR521" s="47">
        <v>0</v>
      </c>
      <c r="CS521" s="47">
        <v>0</v>
      </c>
      <c r="CT521" s="47">
        <v>0</v>
      </c>
      <c r="CU521" s="47">
        <v>0</v>
      </c>
      <c r="CV521" s="47">
        <v>0</v>
      </c>
      <c r="CW521" s="47">
        <v>0</v>
      </c>
      <c r="CX521" s="47">
        <v>0</v>
      </c>
      <c r="CY521" s="47">
        <v>0.1</v>
      </c>
      <c r="CZ521" s="47">
        <v>0.1</v>
      </c>
      <c r="DA521" s="47">
        <v>0</v>
      </c>
      <c r="DB521" s="47">
        <v>0</v>
      </c>
      <c r="DC521" s="47">
        <v>0</v>
      </c>
      <c r="DD521" s="47">
        <v>0</v>
      </c>
      <c r="DE521" s="47">
        <v>0</v>
      </c>
      <c r="DF521" s="47">
        <v>0</v>
      </c>
      <c r="DG521" s="47">
        <v>0</v>
      </c>
      <c r="DH521" s="47">
        <v>0</v>
      </c>
      <c r="DI521" s="47">
        <v>0</v>
      </c>
      <c r="DJ521" s="47">
        <v>0</v>
      </c>
      <c r="DK521" s="47">
        <v>0</v>
      </c>
      <c r="DL521" s="47">
        <v>0</v>
      </c>
      <c r="DM521" s="47">
        <v>0</v>
      </c>
      <c r="DN521" s="47">
        <v>0</v>
      </c>
      <c r="DO521" s="47">
        <v>0</v>
      </c>
      <c r="DP521" s="47">
        <v>0</v>
      </c>
      <c r="DQ521" s="47">
        <v>0</v>
      </c>
      <c r="DR521" s="47">
        <v>0</v>
      </c>
      <c r="DS521" s="47">
        <v>0</v>
      </c>
      <c r="DT521" s="47">
        <v>0</v>
      </c>
      <c r="DU521" s="47">
        <v>0</v>
      </c>
      <c r="DV521" s="47">
        <v>0</v>
      </c>
      <c r="DW521" s="47">
        <v>0</v>
      </c>
      <c r="DX521" s="47">
        <v>0</v>
      </c>
      <c r="DY521" s="47">
        <v>0</v>
      </c>
      <c r="DZ521" s="47">
        <v>0</v>
      </c>
      <c r="EA521" s="47">
        <v>0</v>
      </c>
      <c r="EB521" s="47"/>
      <c r="EC521" s="47">
        <v>1</v>
      </c>
      <c r="ZZ521" t="s">
        <v>2472</v>
      </c>
    </row>
    <row r="522" spans="1:702" x14ac:dyDescent="0.25">
      <c r="A522" s="47" t="s">
        <v>2446</v>
      </c>
      <c r="B522" s="47" t="s">
        <v>153</v>
      </c>
      <c r="C522" s="47" t="s">
        <v>157</v>
      </c>
      <c r="D522" s="47" t="s">
        <v>3008</v>
      </c>
      <c r="E522" s="47" t="s">
        <v>2447</v>
      </c>
      <c r="F522" s="47" t="s">
        <v>2448</v>
      </c>
      <c r="G522" s="47" t="s">
        <v>2449</v>
      </c>
      <c r="H522" s="47" t="s">
        <v>2429</v>
      </c>
      <c r="I522" s="47" t="s">
        <v>1211</v>
      </c>
      <c r="J522" s="47" t="str">
        <f>=IFERROR(VLOOKUP(H522&amp;I522,Table_Fonctions!A:G,6,FALSE),"")</f>
        <v>0</v>
      </c>
      <c r="K522" s="47" t="s">
        <v>2605</v>
      </c>
      <c r="L522" s="47" t="str">
        <f>=IFERROR(VLOOKUP(H522&amp;I522,Table_Fonctions!A:G,7,FALSE),K522)</f>
        <v/>
      </c>
      <c r="M522" s="47" t="str">
        <f>=IF(OR(LEFT(D522, 3)="TJ ", LEFT(D522, 4)="CPH "), "OUI", "NON")</f>
        <v/>
      </c>
      <c r="N522" s="47" t="s">
        <v>175</v>
      </c>
      <c r="O522" s="47"/>
      <c r="P522" s="47">
        <v>1</v>
      </c>
      <c r="Q522" s="47">
        <v>1</v>
      </c>
      <c r="R522" s="47">
        <v>0</v>
      </c>
      <c r="S522" s="47">
        <f>=ROUND(BQ522-(BR522+BS522),3)</f>
      </c>
      <c r="T522" s="47">
        <f>=ROUND(CK522-(CL522+CM522+CN522+CO522+CP522),3)</f>
      </c>
      <c r="U522" s="47">
        <v>0.8</v>
      </c>
      <c r="V522" s="47">
        <v>0.8</v>
      </c>
      <c r="W522" s="47">
        <v>0</v>
      </c>
      <c r="X522" s="47">
        <v>0</v>
      </c>
      <c r="Y522" s="47">
        <v>0</v>
      </c>
      <c r="Z522" s="47">
        <v>0</v>
      </c>
      <c r="AA522" s="47">
        <v>0</v>
      </c>
      <c r="AB522" s="47">
        <v>0</v>
      </c>
      <c r="AC522" s="47">
        <v>0</v>
      </c>
      <c r="AD522" s="47">
        <v>0</v>
      </c>
      <c r="AE522" s="47">
        <v>0</v>
      </c>
      <c r="AF522" s="47">
        <v>0</v>
      </c>
      <c r="AG522" s="47">
        <v>0</v>
      </c>
      <c r="AH522" s="47">
        <v>0</v>
      </c>
      <c r="AI522" s="47">
        <v>0</v>
      </c>
      <c r="AJ522" s="47">
        <v>0</v>
      </c>
      <c r="AK522" s="47">
        <v>0</v>
      </c>
      <c r="AL522" s="47">
        <v>0</v>
      </c>
      <c r="AM522" s="47">
        <v>0</v>
      </c>
      <c r="AN522" s="47">
        <v>0</v>
      </c>
      <c r="AO522" s="47">
        <v>0</v>
      </c>
      <c r="AP522" s="47">
        <v>0</v>
      </c>
      <c r="AQ522" s="47">
        <v>0</v>
      </c>
      <c r="AR522" s="47">
        <v>0</v>
      </c>
      <c r="AS522" s="47">
        <v>0</v>
      </c>
      <c r="AT522" s="47">
        <v>0</v>
      </c>
      <c r="AU522" s="47">
        <v>0</v>
      </c>
      <c r="AV522" s="47">
        <v>0</v>
      </c>
      <c r="AW522" s="47">
        <v>0</v>
      </c>
      <c r="AX522" s="47">
        <v>0</v>
      </c>
      <c r="AY522" s="47">
        <v>0</v>
      </c>
      <c r="AZ522" s="47">
        <v>0</v>
      </c>
      <c r="BA522" s="47">
        <v>0</v>
      </c>
      <c r="BB522" s="47">
        <v>0</v>
      </c>
      <c r="BC522" s="47">
        <v>0</v>
      </c>
      <c r="BD522" s="47">
        <v>0</v>
      </c>
      <c r="BE522" s="47">
        <v>0</v>
      </c>
      <c r="BF522" s="47">
        <v>0</v>
      </c>
      <c r="BG522" s="47">
        <v>0</v>
      </c>
      <c r="BH522" s="47">
        <v>0</v>
      </c>
      <c r="BI522" s="47">
        <v>0</v>
      </c>
      <c r="BJ522" s="47">
        <v>0</v>
      </c>
      <c r="BK522" s="47">
        <v>0</v>
      </c>
      <c r="BL522" s="47">
        <v>0</v>
      </c>
      <c r="BM522" s="47">
        <v>0</v>
      </c>
      <c r="BN522" s="47">
        <v>0</v>
      </c>
      <c r="BO522" s="47">
        <v>0</v>
      </c>
      <c r="BP522" s="47">
        <v>0</v>
      </c>
      <c r="BQ522" s="47">
        <v>0</v>
      </c>
      <c r="BR522" s="47">
        <v>0</v>
      </c>
      <c r="BS522" s="47">
        <v>0</v>
      </c>
      <c r="BT522" s="47">
        <v>0</v>
      </c>
      <c r="BU522" s="47">
        <v>0</v>
      </c>
      <c r="BV522" s="47">
        <v>0</v>
      </c>
      <c r="BW522" s="47">
        <v>0</v>
      </c>
      <c r="BX522" s="47">
        <v>0</v>
      </c>
      <c r="BY522" s="47">
        <v>0</v>
      </c>
      <c r="BZ522" s="47">
        <v>0</v>
      </c>
      <c r="CA522" s="47">
        <v>0</v>
      </c>
      <c r="CB522" s="47">
        <v>0</v>
      </c>
      <c r="CC522" s="47">
        <v>0</v>
      </c>
      <c r="CD522" s="47">
        <v>0</v>
      </c>
      <c r="CE522" s="47">
        <v>0</v>
      </c>
      <c r="CF522" s="47">
        <v>0</v>
      </c>
      <c r="CG522" s="47">
        <v>0</v>
      </c>
      <c r="CH522" s="47">
        <v>0</v>
      </c>
      <c r="CI522" s="47">
        <v>0</v>
      </c>
      <c r="CJ522" s="47">
        <v>0</v>
      </c>
      <c r="CK522" s="47">
        <v>0</v>
      </c>
      <c r="CL522" s="47">
        <v>0</v>
      </c>
      <c r="CM522" s="47">
        <v>0</v>
      </c>
      <c r="CN522" s="47">
        <v>0</v>
      </c>
      <c r="CO522" s="47">
        <v>0</v>
      </c>
      <c r="CP522" s="47">
        <v>0</v>
      </c>
      <c r="CQ522" s="47">
        <v>0</v>
      </c>
      <c r="CR522" s="47">
        <v>0</v>
      </c>
      <c r="CS522" s="47">
        <v>0</v>
      </c>
      <c r="CT522" s="47">
        <v>0</v>
      </c>
      <c r="CU522" s="47">
        <v>0</v>
      </c>
      <c r="CV522" s="47">
        <v>0</v>
      </c>
      <c r="CW522" s="47">
        <v>0</v>
      </c>
      <c r="CX522" s="47">
        <v>0</v>
      </c>
      <c r="CY522" s="47">
        <v>0.2</v>
      </c>
      <c r="CZ522" s="47">
        <v>0</v>
      </c>
      <c r="DA522" s="47">
        <v>0.2</v>
      </c>
      <c r="DB522" s="47">
        <v>0</v>
      </c>
      <c r="DC522" s="47">
        <v>0</v>
      </c>
      <c r="DD522" s="47">
        <v>0</v>
      </c>
      <c r="DE522" s="47">
        <v>0</v>
      </c>
      <c r="DF522" s="47">
        <v>0</v>
      </c>
      <c r="DG522" s="47">
        <v>0</v>
      </c>
      <c r="DH522" s="47">
        <v>0</v>
      </c>
      <c r="DI522" s="47">
        <v>0</v>
      </c>
      <c r="DJ522" s="47">
        <v>0</v>
      </c>
      <c r="DK522" s="47">
        <v>0</v>
      </c>
      <c r="DL522" s="47">
        <v>0</v>
      </c>
      <c r="DM522" s="47">
        <v>0</v>
      </c>
      <c r="DN522" s="47">
        <v>0</v>
      </c>
      <c r="DO522" s="47">
        <v>0</v>
      </c>
      <c r="DP522" s="47">
        <v>0</v>
      </c>
      <c r="DQ522" s="47">
        <v>0</v>
      </c>
      <c r="DR522" s="47">
        <v>0</v>
      </c>
      <c r="DS522" s="47">
        <v>0</v>
      </c>
      <c r="DT522" s="47">
        <v>0</v>
      </c>
      <c r="DU522" s="47">
        <v>0</v>
      </c>
      <c r="DV522" s="47">
        <v>0</v>
      </c>
      <c r="DW522" s="47">
        <v>0</v>
      </c>
      <c r="DX522" s="47">
        <v>0</v>
      </c>
      <c r="DY522" s="47">
        <v>0</v>
      </c>
      <c r="DZ522" s="47">
        <v>0</v>
      </c>
      <c r="EA522" s="47">
        <v>0</v>
      </c>
      <c r="EB522" s="47"/>
      <c r="EC522" s="47">
        <v>1</v>
      </c>
      <c r="ZZ522" t="s">
        <v>2472</v>
      </c>
    </row>
    <row r="523" spans="1:702" x14ac:dyDescent="0.25">
      <c r="A523" s="47" t="s">
        <v>2450</v>
      </c>
      <c r="B523" s="47" t="s">
        <v>153</v>
      </c>
      <c r="C523" s="47" t="s">
        <v>157</v>
      </c>
      <c r="D523" s="47" t="s">
        <v>3009</v>
      </c>
      <c r="E523" s="47" t="s">
        <v>2451</v>
      </c>
      <c r="F523" s="47" t="s">
        <v>2452</v>
      </c>
      <c r="G523" s="47" t="s">
        <v>2453</v>
      </c>
      <c r="H523" s="47" t="s">
        <v>2429</v>
      </c>
      <c r="I523" s="47" t="s">
        <v>1252</v>
      </c>
      <c r="J523" s="47" t="str">
        <f>=IFERROR(VLOOKUP(H523&amp;I523,Table_Fonctions!A:G,6,FALSE),"")</f>
        <v>0</v>
      </c>
      <c r="K523" s="47" t="s">
        <v>2605</v>
      </c>
      <c r="L523" s="47" t="str">
        <f>=IFERROR(VLOOKUP(H523&amp;I523,Table_Fonctions!A:G,7,FALSE),K523)</f>
        <v/>
      </c>
      <c r="M523" s="47" t="str">
        <f>=IF(OR(LEFT(D523, 3)="TJ ", LEFT(D523, 4)="CPH "), "OUI", "NON")</f>
        <v/>
      </c>
      <c r="N523" s="47" t="s">
        <v>2454</v>
      </c>
      <c r="O523" s="47"/>
      <c r="P523" s="47">
        <v>0.2831</v>
      </c>
      <c r="Q523" s="47">
        <v>0.2831</v>
      </c>
      <c r="R523" s="47">
        <v>0</v>
      </c>
      <c r="S523" s="47">
        <f>=ROUND(BQ523-(BR523+BS523),3)</f>
      </c>
      <c r="T523" s="47">
        <f>=ROUND(CK523-(CL523+CM523+CN523+CO523+CP523),3)</f>
      </c>
      <c r="U523" s="47">
        <v>0</v>
      </c>
      <c r="V523" s="47">
        <v>0</v>
      </c>
      <c r="W523" s="47">
        <v>0</v>
      </c>
      <c r="X523" s="47">
        <v>0</v>
      </c>
      <c r="Y523" s="47">
        <v>0</v>
      </c>
      <c r="Z523" s="47">
        <v>0</v>
      </c>
      <c r="AA523" s="47">
        <v>0</v>
      </c>
      <c r="AB523" s="47">
        <v>0</v>
      </c>
      <c r="AC523" s="47">
        <v>0</v>
      </c>
      <c r="AD523" s="47">
        <v>0</v>
      </c>
      <c r="AE523" s="47">
        <v>0</v>
      </c>
      <c r="AF523" s="47">
        <v>0</v>
      </c>
      <c r="AG523" s="47">
        <v>0</v>
      </c>
      <c r="AH523" s="47">
        <v>0</v>
      </c>
      <c r="AI523" s="47">
        <v>0</v>
      </c>
      <c r="AJ523" s="47">
        <v>0</v>
      </c>
      <c r="AK523" s="47">
        <v>0</v>
      </c>
      <c r="AL523" s="47">
        <v>0</v>
      </c>
      <c r="AM523" s="47">
        <v>0</v>
      </c>
      <c r="AN523" s="47">
        <v>0</v>
      </c>
      <c r="AO523" s="47">
        <v>0</v>
      </c>
      <c r="AP523" s="47">
        <v>0</v>
      </c>
      <c r="AQ523" s="47">
        <v>0</v>
      </c>
      <c r="AR523" s="47">
        <v>0</v>
      </c>
      <c r="AS523" s="47">
        <v>0.2831</v>
      </c>
      <c r="AT523" s="47">
        <v>0</v>
      </c>
      <c r="AU523" s="47">
        <v>0.2831</v>
      </c>
      <c r="AV523" s="47">
        <v>0</v>
      </c>
      <c r="AW523" s="47">
        <v>0</v>
      </c>
      <c r="AX523" s="47">
        <v>0</v>
      </c>
      <c r="AY523" s="47">
        <v>0</v>
      </c>
      <c r="AZ523" s="47">
        <v>0</v>
      </c>
      <c r="BA523" s="47">
        <v>0</v>
      </c>
      <c r="BB523" s="47">
        <v>0</v>
      </c>
      <c r="BC523" s="47">
        <v>0</v>
      </c>
      <c r="BD523" s="47">
        <v>0</v>
      </c>
      <c r="BE523" s="47">
        <v>0</v>
      </c>
      <c r="BF523" s="47">
        <v>0</v>
      </c>
      <c r="BG523" s="47">
        <v>0</v>
      </c>
      <c r="BH523" s="47">
        <v>0</v>
      </c>
      <c r="BI523" s="47">
        <v>0</v>
      </c>
      <c r="BJ523" s="47">
        <v>0</v>
      </c>
      <c r="BK523" s="47">
        <v>0</v>
      </c>
      <c r="BL523" s="47">
        <v>0</v>
      </c>
      <c r="BM523" s="47">
        <v>0</v>
      </c>
      <c r="BN523" s="47">
        <v>0</v>
      </c>
      <c r="BO523" s="47">
        <v>0</v>
      </c>
      <c r="BP523" s="47">
        <v>0</v>
      </c>
      <c r="BQ523" s="47">
        <v>0</v>
      </c>
      <c r="BR523" s="47">
        <v>0</v>
      </c>
      <c r="BS523" s="47">
        <v>0</v>
      </c>
      <c r="BT523" s="47">
        <v>0</v>
      </c>
      <c r="BU523" s="47">
        <v>0</v>
      </c>
      <c r="BV523" s="47">
        <v>0</v>
      </c>
      <c r="BW523" s="47">
        <v>0</v>
      </c>
      <c r="BX523" s="47">
        <v>0</v>
      </c>
      <c r="BY523" s="47">
        <v>0</v>
      </c>
      <c r="BZ523" s="47">
        <v>0</v>
      </c>
      <c r="CA523" s="47">
        <v>0</v>
      </c>
      <c r="CB523" s="47">
        <v>0</v>
      </c>
      <c r="CC523" s="47">
        <v>0</v>
      </c>
      <c r="CD523" s="47">
        <v>0</v>
      </c>
      <c r="CE523" s="47">
        <v>0</v>
      </c>
      <c r="CF523" s="47">
        <v>0</v>
      </c>
      <c r="CG523" s="47">
        <v>0</v>
      </c>
      <c r="CH523" s="47">
        <v>0</v>
      </c>
      <c r="CI523" s="47">
        <v>0</v>
      </c>
      <c r="CJ523" s="47">
        <v>0</v>
      </c>
      <c r="CK523" s="47">
        <v>0</v>
      </c>
      <c r="CL523" s="47">
        <v>0</v>
      </c>
      <c r="CM523" s="47">
        <v>0</v>
      </c>
      <c r="CN523" s="47">
        <v>0</v>
      </c>
      <c r="CO523" s="47">
        <v>0</v>
      </c>
      <c r="CP523" s="47">
        <v>0</v>
      </c>
      <c r="CQ523" s="47">
        <v>0</v>
      </c>
      <c r="CR523" s="47">
        <v>0</v>
      </c>
      <c r="CS523" s="47">
        <v>0</v>
      </c>
      <c r="CT523" s="47">
        <v>0</v>
      </c>
      <c r="CU523" s="47">
        <v>0</v>
      </c>
      <c r="CV523" s="47">
        <v>0</v>
      </c>
      <c r="CW523" s="47">
        <v>0</v>
      </c>
      <c r="CX523" s="47">
        <v>0</v>
      </c>
      <c r="CY523" s="47">
        <v>0</v>
      </c>
      <c r="CZ523" s="47">
        <v>0</v>
      </c>
      <c r="DA523" s="47">
        <v>0</v>
      </c>
      <c r="DB523" s="47">
        <v>0</v>
      </c>
      <c r="DC523" s="47">
        <v>0</v>
      </c>
      <c r="DD523" s="47">
        <v>0</v>
      </c>
      <c r="DE523" s="47">
        <v>0</v>
      </c>
      <c r="DF523" s="47">
        <v>0</v>
      </c>
      <c r="DG523" s="47">
        <v>0</v>
      </c>
      <c r="DH523" s="47">
        <v>0</v>
      </c>
      <c r="DI523" s="47">
        <v>0</v>
      </c>
      <c r="DJ523" s="47">
        <v>0</v>
      </c>
      <c r="DK523" s="47">
        <v>0</v>
      </c>
      <c r="DL523" s="47">
        <v>0</v>
      </c>
      <c r="DM523" s="47">
        <v>0</v>
      </c>
      <c r="DN523" s="47">
        <v>0</v>
      </c>
      <c r="DO523" s="47">
        <v>0</v>
      </c>
      <c r="DP523" s="47">
        <v>0</v>
      </c>
      <c r="DQ523" s="47">
        <v>0</v>
      </c>
      <c r="DR523" s="47">
        <v>0</v>
      </c>
      <c r="DS523" s="47">
        <v>0</v>
      </c>
      <c r="DT523" s="47">
        <v>0</v>
      </c>
      <c r="DU523" s="47">
        <v>0</v>
      </c>
      <c r="DV523" s="47">
        <v>0</v>
      </c>
      <c r="DW523" s="47">
        <v>0</v>
      </c>
      <c r="DX523" s="47">
        <v>0</v>
      </c>
      <c r="DY523" s="47">
        <v>0</v>
      </c>
      <c r="DZ523" s="47">
        <v>0</v>
      </c>
      <c r="EA523" s="47">
        <v>0</v>
      </c>
      <c r="EB523" s="47"/>
      <c r="EC523" s="47">
        <v>0.2831</v>
      </c>
      <c r="ZZ523" t="s">
        <v>2472</v>
      </c>
    </row>
    <row r="524" spans="1:702" x14ac:dyDescent="0.25">
      <c r="A524" s="47" t="s">
        <v>2455</v>
      </c>
      <c r="B524" s="47" t="s">
        <v>153</v>
      </c>
      <c r="C524" s="47" t="s">
        <v>157</v>
      </c>
      <c r="D524" s="47" t="s">
        <v>3010</v>
      </c>
      <c r="E524" s="47" t="s">
        <v>2456</v>
      </c>
      <c r="F524" s="47" t="s">
        <v>2457</v>
      </c>
      <c r="G524" s="47" t="s">
        <v>2458</v>
      </c>
      <c r="H524" s="47" t="s">
        <v>2429</v>
      </c>
      <c r="I524" s="47" t="s">
        <v>2459</v>
      </c>
      <c r="J524" s="47" t="str">
        <f>=IFERROR(VLOOKUP(H524&amp;I524,Table_Fonctions!A:G,6,FALSE),"")</f>
        <v>0</v>
      </c>
      <c r="K524" s="47" t="s">
        <v>2605</v>
      </c>
      <c r="L524" s="47" t="str">
        <f>=IFERROR(VLOOKUP(H524&amp;I524,Table_Fonctions!A:G,7,FALSE),K524)</f>
        <v/>
      </c>
      <c r="M524" s="47" t="str">
        <f>=IF(OR(LEFT(D524, 3)="TJ ", LEFT(D524, 4)="CPH "), "OUI", "NON")</f>
        <v/>
      </c>
      <c r="N524" s="47" t="s">
        <v>263</v>
      </c>
      <c r="O524" s="47"/>
      <c r="P524" s="47">
        <v>0.8886</v>
      </c>
      <c r="Q524" s="47">
        <v>0.8886</v>
      </c>
      <c r="R524" s="47">
        <v>0</v>
      </c>
      <c r="S524" s="47">
        <f>=ROUND(BQ524-(BR524+BS524),3)</f>
      </c>
      <c r="T524" s="47">
        <f>=ROUND(CK524-(CL524+CM524+CN524+CO524+CP524),3)</f>
      </c>
      <c r="U524" s="47">
        <v>0</v>
      </c>
      <c r="V524" s="47">
        <v>0</v>
      </c>
      <c r="W524" s="47">
        <v>0</v>
      </c>
      <c r="X524" s="47">
        <v>0</v>
      </c>
      <c r="Y524" s="47">
        <v>0</v>
      </c>
      <c r="Z524" s="47">
        <v>0.1777</v>
      </c>
      <c r="AA524" s="47">
        <v>0.1777</v>
      </c>
      <c r="AB524" s="47">
        <v>0</v>
      </c>
      <c r="AC524" s="47">
        <v>0</v>
      </c>
      <c r="AD524" s="47">
        <v>0</v>
      </c>
      <c r="AE524" s="47">
        <v>0</v>
      </c>
      <c r="AF524" s="47">
        <v>0</v>
      </c>
      <c r="AG524" s="47">
        <v>0</v>
      </c>
      <c r="AH524" s="47">
        <v>0</v>
      </c>
      <c r="AI524" s="47">
        <v>0</v>
      </c>
      <c r="AJ524" s="47">
        <v>0.7109</v>
      </c>
      <c r="AK524" s="47">
        <v>0</v>
      </c>
      <c r="AL524" s="47">
        <v>0.7109</v>
      </c>
      <c r="AM524" s="47">
        <v>0</v>
      </c>
      <c r="AN524" s="47">
        <v>0</v>
      </c>
      <c r="AO524" s="47">
        <v>0</v>
      </c>
      <c r="AP524" s="47">
        <v>0</v>
      </c>
      <c r="AQ524" s="47">
        <v>0</v>
      </c>
      <c r="AR524" s="47">
        <v>0</v>
      </c>
      <c r="AS524" s="47">
        <v>0</v>
      </c>
      <c r="AT524" s="47">
        <v>0</v>
      </c>
      <c r="AU524" s="47">
        <v>0</v>
      </c>
      <c r="AV524" s="47">
        <v>0</v>
      </c>
      <c r="AW524" s="47">
        <v>0</v>
      </c>
      <c r="AX524" s="47">
        <v>0</v>
      </c>
      <c r="AY524" s="47">
        <v>0</v>
      </c>
      <c r="AZ524" s="47">
        <v>0</v>
      </c>
      <c r="BA524" s="47">
        <v>0</v>
      </c>
      <c r="BB524" s="47">
        <v>0</v>
      </c>
      <c r="BC524" s="47">
        <v>0</v>
      </c>
      <c r="BD524" s="47">
        <v>0</v>
      </c>
      <c r="BE524" s="47">
        <v>0</v>
      </c>
      <c r="BF524" s="47">
        <v>0</v>
      </c>
      <c r="BG524" s="47">
        <v>0</v>
      </c>
      <c r="BH524" s="47">
        <v>0</v>
      </c>
      <c r="BI524" s="47">
        <v>0</v>
      </c>
      <c r="BJ524" s="47">
        <v>0</v>
      </c>
      <c r="BK524" s="47">
        <v>0</v>
      </c>
      <c r="BL524" s="47">
        <v>0</v>
      </c>
      <c r="BM524" s="47">
        <v>0</v>
      </c>
      <c r="BN524" s="47">
        <v>0</v>
      </c>
      <c r="BO524" s="47">
        <v>0</v>
      </c>
      <c r="BP524" s="47">
        <v>0</v>
      </c>
      <c r="BQ524" s="47">
        <v>0</v>
      </c>
      <c r="BR524" s="47">
        <v>0</v>
      </c>
      <c r="BS524" s="47">
        <v>0</v>
      </c>
      <c r="BT524" s="47">
        <v>0</v>
      </c>
      <c r="BU524" s="47">
        <v>0</v>
      </c>
      <c r="BV524" s="47">
        <v>0</v>
      </c>
      <c r="BW524" s="47">
        <v>0</v>
      </c>
      <c r="BX524" s="47">
        <v>0</v>
      </c>
      <c r="BY524" s="47">
        <v>0</v>
      </c>
      <c r="BZ524" s="47">
        <v>0</v>
      </c>
      <c r="CA524" s="47">
        <v>0</v>
      </c>
      <c r="CB524" s="47">
        <v>0</v>
      </c>
      <c r="CC524" s="47">
        <v>0</v>
      </c>
      <c r="CD524" s="47">
        <v>0</v>
      </c>
      <c r="CE524" s="47">
        <v>0</v>
      </c>
      <c r="CF524" s="47">
        <v>0</v>
      </c>
      <c r="CG524" s="47">
        <v>0</v>
      </c>
      <c r="CH524" s="47">
        <v>0</v>
      </c>
      <c r="CI524" s="47">
        <v>0</v>
      </c>
      <c r="CJ524" s="47">
        <v>0</v>
      </c>
      <c r="CK524" s="47">
        <v>0</v>
      </c>
      <c r="CL524" s="47">
        <v>0</v>
      </c>
      <c r="CM524" s="47">
        <v>0</v>
      </c>
      <c r="CN524" s="47">
        <v>0</v>
      </c>
      <c r="CO524" s="47">
        <v>0</v>
      </c>
      <c r="CP524" s="47">
        <v>0</v>
      </c>
      <c r="CQ524" s="47">
        <v>0</v>
      </c>
      <c r="CR524" s="47">
        <v>0</v>
      </c>
      <c r="CS524" s="47">
        <v>0</v>
      </c>
      <c r="CT524" s="47">
        <v>0</v>
      </c>
      <c r="CU524" s="47">
        <v>0</v>
      </c>
      <c r="CV524" s="47">
        <v>0</v>
      </c>
      <c r="CW524" s="47">
        <v>0</v>
      </c>
      <c r="CX524" s="47">
        <v>0</v>
      </c>
      <c r="CY524" s="47">
        <v>0</v>
      </c>
      <c r="CZ524" s="47">
        <v>0</v>
      </c>
      <c r="DA524" s="47">
        <v>0</v>
      </c>
      <c r="DB524" s="47">
        <v>0</v>
      </c>
      <c r="DC524" s="47">
        <v>0</v>
      </c>
      <c r="DD524" s="47">
        <v>0</v>
      </c>
      <c r="DE524" s="47">
        <v>0</v>
      </c>
      <c r="DF524" s="47">
        <v>0</v>
      </c>
      <c r="DG524" s="47">
        <v>0</v>
      </c>
      <c r="DH524" s="47">
        <v>0</v>
      </c>
      <c r="DI524" s="47">
        <v>0</v>
      </c>
      <c r="DJ524" s="47">
        <v>0</v>
      </c>
      <c r="DK524" s="47">
        <v>0</v>
      </c>
      <c r="DL524" s="47">
        <v>0</v>
      </c>
      <c r="DM524" s="47">
        <v>0</v>
      </c>
      <c r="DN524" s="47">
        <v>0</v>
      </c>
      <c r="DO524" s="47">
        <v>0</v>
      </c>
      <c r="DP524" s="47">
        <v>0</v>
      </c>
      <c r="DQ524" s="47">
        <v>0</v>
      </c>
      <c r="DR524" s="47">
        <v>0</v>
      </c>
      <c r="DS524" s="47">
        <v>0</v>
      </c>
      <c r="DT524" s="47">
        <v>0</v>
      </c>
      <c r="DU524" s="47">
        <v>0</v>
      </c>
      <c r="DV524" s="47">
        <v>0</v>
      </c>
      <c r="DW524" s="47">
        <v>0</v>
      </c>
      <c r="DX524" s="47">
        <v>0</v>
      </c>
      <c r="DY524" s="47">
        <v>0</v>
      </c>
      <c r="DZ524" s="47">
        <v>0</v>
      </c>
      <c r="EA524" s="47">
        <v>0</v>
      </c>
      <c r="EB524" s="47"/>
      <c r="EC524" s="47">
        <v>0.8886</v>
      </c>
      <c r="ZZ524" t="s">
        <v>2472</v>
      </c>
    </row>
    <row r="525" spans="1:157" x14ac:dyDescent="0.25">
      <c r="B525" s="48"/>
      <c r="D525" s="52"/>
      <c r="I525" s="52"/>
      <c r="FA525" s="1"/>
    </row>
  </sheetData>
  <sheetProtection sheet="1" autoFilter="0"/>
  <autoFilter ref="A2:EC2"/>
  <mergeCells count="1">
    <mergeCell ref="D1:Q1"/>
  </mergeCells>
  <conditionalFormatting sqref="A3:EC525 A2:EC2 A1:G1 I1:EY1">
    <cfRule type="expression" dxfId="0" priority="1">
      <formula>AND(OR($R1&lt;&gt;0,$S1&lt;&gt;0,$T1&lt;&gt;0,ISBLANK($P1)),ROW()&gt;2,$A1&lt;&gt;"")</formula>
    </cfRule>
  </conditionalFormatting>
  <dataValidations count="18">
    <dataValidation type="list" allowBlank="1" showInputMessage="1" showErrorMessage="1" error="Veuillez selectionner une valeur dans le menu déroulant" sqref="D10:D524">
      <formula1>"24FB8BB550"</formula1>
    </dataValidation>
    <dataValidation type="list" allowBlank="1" showInputMessage="1" showErrorMessage="1" error="Veuillez selectionner une valeur dans le menu déroulant" sqref="D3:D524">
      <formula1>"24FB8BB550"</formula1>
    </dataValidation>
    <dataValidation type="list" allowBlank="1" sqref="I10">
      <formula1>"VP PLACÉ ADDITIONNEL,VP PLACÉ SUBSTITUTION"</formula1>
    </dataValidation>
    <dataValidation type="list" allowBlank="1" sqref="I103">
      <formula1>"VP PLACÉ ADDITIONNEL,VP PLACÉ SUBSTITUTION"</formula1>
    </dataValidation>
    <dataValidation type="list" allowBlank="1" sqref="I112">
      <formula1>"J. PLACÉ ADDITIONNEL,J. PLACÉ SUBSTITUTION"</formula1>
    </dataValidation>
    <dataValidation type="list" allowBlank="1" sqref="I152">
      <formula1>"B PLACÉ ADDITIONNEL,B PLACÉ SUBSTITUTION"</formula1>
    </dataValidation>
    <dataValidation type="list" allowBlank="1" sqref="I25">
      <formula1>"J. PLACÉ ADDITIONNEL,J. PLACÉ SUBSTITUTION"</formula1>
    </dataValidation>
    <dataValidation type="list" allowBlank="1" sqref="I252">
      <formula1>"CONT A VIF Siège,CONT A VIF Parquet,CONT A Autres"</formula1>
    </dataValidation>
    <dataValidation type="list" allowBlank="1" sqref="I281">
      <formula1>"A PLACÉ ADDITIONNEL,A PLACÉ SUBSTITUTION"</formula1>
    </dataValidation>
    <dataValidation type="list" allowBlank="1" sqref="I356">
      <formula1>"CB PLACÉ ADDITIONNEL,CB PLACÉ SUBSTITUTION"</formula1>
    </dataValidation>
    <dataValidation type="list" allowBlank="1" sqref="I379">
      <formula1>"B GREF  PLACÉ ADDITIONNEL,B GREF  PLACÉ SUBSTITUTION"</formula1>
    </dataValidation>
    <dataValidation type="list" allowBlank="1" sqref="I393">
      <formula1>"B GREF  PLACÉ ADDITIONNEL,B GREF  PLACÉ SUBSTITUTION"</formula1>
    </dataValidation>
    <dataValidation type="list" allowBlank="1" sqref="I394">
      <formula1>"B PLACÉ ADDITIONNEL,B PLACÉ SUBSTITUTION"</formula1>
    </dataValidation>
    <dataValidation type="list" allowBlank="1" sqref="I449">
      <formula1>"B GREF  PLACÉ ADDITIONNEL,B GREF  PLACÉ SUBSTITUTION"</formula1>
    </dataValidation>
    <dataValidation type="list" allowBlank="1" sqref="I458">
      <formula1>"CONT A JP Siège,CONT A JP Parquet"</formula1>
    </dataValidation>
    <dataValidation type="list" allowBlank="1" sqref="I519">
      <formula1>"CONT A JP Siège,CONT A JP Parquet"</formula1>
    </dataValidation>
    <dataValidation type="list" allowBlank="1" sqref="I521">
      <formula1>"JA Siège autres,JA Social,JA Parquet,JA JAP,JA JE,JA JI,JA JLD"</formula1>
    </dataValidation>
    <dataValidation type="list" allowBlank="1" sqref="I73">
      <formula1>"J. PLACÉ ADDITIONNEL,J. PLACÉ SUBSTITUTION"</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9"/>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3011</v>
      </c>
      <c r="B1" s="42"/>
      <c r="C1" s="53" t="s">
        <v>3012</v>
      </c>
      <c r="D1" s="53"/>
      <c r="E1" s="43"/>
      <c r="F1" s="43"/>
      <c r="G1" s="43"/>
      <c r="H1" s="43"/>
      <c r="I1" s="44"/>
      <c r="J1" s="44"/>
      <c r="K1" s="43"/>
      <c r="L1" s="43"/>
      <c r="M1" s="43"/>
      <c r="N1" s="43"/>
      <c r="O1" s="43"/>
      <c r="P1" s="43"/>
      <c r="Q1" s="43"/>
      <c r="R1" s="43"/>
      <c r="S1" s="43"/>
      <c r="T1" s="43"/>
      <c r="U1" s="43"/>
      <c r="V1" s="43"/>
      <c r="W1" s="40"/>
    </row>
    <row r="2" ht="42" customHeight="1" spans="1:3" x14ac:dyDescent="0.25">
      <c r="A2" s="54" t="s">
        <v>3013</v>
      </c>
      <c r="B2" s="55" t="s">
        <v>3014</v>
      </c>
    </row>
    <row r="3" ht="30" customHeight="1" spans="1:4" x14ac:dyDescent="0.25">
      <c r="A3" s="56" t="s">
        <v>3015</v>
      </c>
      <c r="B3" s="57">
        <f>VLOOKUP(A3,#REF!,2,FALSE)</f>
      </c>
      <c r="D3" s="58" t="s">
        <v>3016</v>
      </c>
    </row>
    <row r="4" ht="19" customHeight="1" spans="1:24" x14ac:dyDescent="0.25">
      <c r="B4" s="59"/>
      <c r="C4" s="60"/>
      <c r="D4" s="60"/>
      <c r="E4" s="60"/>
      <c r="F4" s="60"/>
      <c r="G4" s="61" t="s">
        <v>3017</v>
      </c>
      <c r="H4" s="61"/>
      <c r="I4" s="61"/>
      <c r="J4" s="61"/>
      <c r="K4" s="61"/>
      <c r="L4" s="61"/>
      <c r="M4" s="61"/>
      <c r="N4" s="62" t="s">
        <v>3018</v>
      </c>
      <c r="O4" s="62"/>
      <c r="P4" s="62"/>
      <c r="Q4" s="62"/>
      <c r="R4" s="62"/>
      <c r="S4" s="62"/>
      <c r="T4" s="62"/>
      <c r="U4" s="61" t="s">
        <v>3019</v>
      </c>
      <c r="V4" s="61"/>
      <c r="W4" s="63"/>
    </row>
    <row r="5" ht="48" customHeight="1" spans="1:23" x14ac:dyDescent="0.25">
      <c r="C5" s="3"/>
      <c r="D5" s="3"/>
      <c r="E5" s="2"/>
      <c r="F5" s="2"/>
      <c r="G5" s="64" t="s">
        <v>3020</v>
      </c>
      <c r="H5" s="65" t="s">
        <v>3021</v>
      </c>
      <c r="I5" s="66" t="s">
        <v>3022</v>
      </c>
      <c r="J5" s="66" t="s">
        <v>3023</v>
      </c>
      <c r="K5" s="66" t="s">
        <v>3024</v>
      </c>
      <c r="L5" s="64" t="s">
        <v>3025</v>
      </c>
      <c r="M5" s="67" t="s">
        <v>3021</v>
      </c>
      <c r="N5" s="66" t="s">
        <v>3026</v>
      </c>
      <c r="O5" s="65" t="s">
        <v>3021</v>
      </c>
      <c r="P5" s="66" t="s">
        <v>3027</v>
      </c>
      <c r="Q5" s="66" t="s">
        <v>3028</v>
      </c>
      <c r="R5" s="66" t="s">
        <v>3024</v>
      </c>
      <c r="S5" s="64" t="s">
        <v>3029</v>
      </c>
      <c r="T5" s="65" t="s">
        <v>3021</v>
      </c>
      <c r="U5" s="64" t="s">
        <v>3024</v>
      </c>
      <c r="V5" s="67" t="s">
        <v>3021</v>
      </c>
    </row>
    <row r="6" ht="16" customHeight="1" spans="1:23" x14ac:dyDescent="0.25">
      <c r="A6" s="40"/>
      <c r="C6" s="68"/>
      <c r="D6" s="68"/>
      <c r="E6" s="69" t="s">
        <v>2463</v>
      </c>
      <c r="F6" s="70" t="s">
        <v>2463</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2464</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2468</v>
      </c>
      <c r="D102" s="68" t="s">
        <v>2468</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142</v>
      </c>
      <c r="F103" s="70" t="s">
        <v>142</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143</v>
      </c>
      <c r="F104" s="70" t="s">
        <v>143</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144</v>
      </c>
      <c r="F105" s="70" t="s">
        <v>144</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145</v>
      </c>
      <c r="F106" s="70" t="s">
        <v>145</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146</v>
      </c>
      <c r="F107" s="70" t="s">
        <v>146</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147</v>
      </c>
      <c r="F108" s="70" t="s">
        <v>147</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148</v>
      </c>
      <c r="F109" s="70" t="s">
        <v>148</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149</v>
      </c>
      <c r="F110" s="70" t="s">
        <v>149</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c r="D111" s="68"/>
      <c r="E111" s="69" t="s">
        <v>150</v>
      </c>
      <c r="F111" s="70" t="s">
        <v>150</v>
      </c>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151</v>
      </c>
      <c r="F112" s="70" t="s">
        <v>151</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2469</v>
      </c>
      <c r="F113" s="70" t="s">
        <v>2469</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t="s">
        <v>2471</v>
      </c>
      <c r="D114" s="68" t="s">
        <v>3030</v>
      </c>
      <c r="E114" s="69"/>
      <c r="F114" s="70"/>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2470</v>
      </c>
      <c r="F115" s="70" t="s">
        <v>2470</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138</v>
      </c>
      <c r="F116" s="70" t="s">
        <v>138</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ht="16" customHeight="1" spans="1:23" x14ac:dyDescent="0.25">
      <c r="A117" s="40"/>
      <c r="C117" s="68"/>
      <c r="D117" s="68"/>
      <c r="E117" s="69" t="s">
        <v>139</v>
      </c>
      <c r="F117" s="70" t="s">
        <v>139</v>
      </c>
      <c r="G117" s="71">
        <f>SUMIFS(
INDEX('ETPT Format DDG'!$A:$ZZ,,IFERROR(MATCH(E117,'ETPT Format DDG'!$2:$2,0),MATCH(C117,'ETPT Format DDG'!$2:$2,0))),
INDEX( 'ETPT Format DDG'!$A:$ZZ,,MATCH("Fonction agrégat",'ETPT Format DDG'!2:2,0)),"M-TIT",
INDEX( 'ETPT Format DDG'!$A:$ZZ,,MATCH("Juridiction",'ETPT Format DDG'!2:2,0)),$A$3)</f>
      </c>
      <c r="H117" s="72">
        <f>IF(AND(OR(LEFT(C117,3)="12.",LEFT(E117,3)="12.",LEFT(E117,5)="CET &gt;",IFERROR(G117/$G$6,"")=0),NOT(AND(LEFT(E117,4)="12.8",IFERROR(G117/$G$6,"")&lt;&gt;0)),NOT(AND(LEFT(E117,5)="12.31",IFERROR(G117/$G$6,"")&lt;&gt;0)),NOT(AND(LEFT(E117,5)="12.32",IFERROR(G117/$G$6,"")&lt;&gt;0))),"", IFERROR(G117/$G$6,""))</f>
      </c>
      <c r="I117" s="73">
        <f>SUMIFS(
INDEX('ETPT Format DDG'!$A:$ZZ,,IFERROR(MATCH(E117,'ETPT Format DDG'!$2:$2,0),MATCH(C117,'ETPT Format DDG'!$2:$2,0))),
INDEX( 'ETPT Format DDG'!$A:$ZZ,,MATCH("Fonction agrégat",'ETPT Format DDG'!2:2,0)),"M-PLAC-ADD",
INDEX( 'ETPT Format DDG'!$A:$ZZ,,MATCH("Juridiction",'ETPT Format DDG'!2:2,0)),$A$3)</f>
      </c>
      <c r="J117" s="73">
        <f>SUMIFS(
INDEX('ETPT Format DDG'!$A:$ZZ,,IFERROR(MATCH(E117,'ETPT Format DDG'!$2:$2,0),MATCH(C117,'ETPT Format DDG'!$2:$2,0))),
INDEX( 'ETPT Format DDG'!$A:$ZZ,,MATCH("Fonction agrégat",'ETPT Format DDG'!2:2,0)),"M-PLAC-SUB",
INDEX( 'ETPT Format DDG'!$A:$ZZ,,MATCH("Juridiction",'ETPT Format DDG'!2:2,0)),$A$3)</f>
      </c>
      <c r="K117" s="73">
        <f>SUMIFS(
INDEX('ETPT Format DDG'!$A:$ZZ,,IFERROR(MATCH(E117,'ETPT Format DDG'!$2:$2,0),MATCH(C117,'ETPT Format DDG'!$2:$2,0))),
INDEX( 'ETPT Format DDG'!$A:$ZZ,,MATCH("Fonction agrégat",'ETPT Format DDG'!2:2,0)),"M-CONT",
INDEX( 'ETPT Format DDG'!$A:$ZZ,,MATCH("Juridiction",'ETPT Format DDG'!2:2,0)),$A$3,
INDEX( 'ETPT Format DDG'!$A:$ZZ,,MATCH("Catégorie",'ETPT Format DDG'!2:2,0)),"Magistrat")</f>
      </c>
      <c r="L117" s="71">
        <f>SUMIFS(
INDEX('ETPT Format DDG'!$A:$ZZ,,IFERROR(MATCH(E117,'ETPT Format DDG'!$2:$2,0),MATCH(C117,'ETPT Format DDG'!$2:$2,0))),
INDEX( 'ETPT Format DDG'!$A:$ZZ,,MATCH("Juridiction",'ETPT Format DDG'!2:2,0)),$A$3,
INDEX( 'ETPT Format DDG'!$A:$ZZ,,MATCH("Catégorie",'ETPT Format DDG'!2:2,0)),"Magistrat")</f>
      </c>
      <c r="M117" s="74">
        <f>IF(AND(OR(LEFT(C117,3)="12.",LEFT(E117,3)="12.",LEFT(E117,5)="CET &gt;", IFERROR(L117/$L$6,"")=0),NOT(AND(LEFT(E117,4)="12.8",IFERROR(G117/$G$6,"")&lt;&gt;0)),NOT(AND(LEFT(E117,5)="12.31",IFERROR(L117/$G$6,"")&lt;&gt;0)),NOT(AND(LEFT(E117,5)="12.32",IFERROR(L117/$G$6,"")&lt;&gt;0))),"", IFERROR(L117/$L$6,""))</f>
      </c>
      <c r="N117" s="73">
        <f>SUMIFS(
INDEX('ETPT Format DDG'!$A:$ZZ,,IFERROR(MATCH(E117,'ETPT Format DDG'!$2:$2,0),MATCH(C117,'ETPT Format DDG'!$2:$2,0))),
INDEX( 'ETPT Format DDG'!$A:$ZZ,,MATCH("Fonction agrégat",'ETPT Format DDG'!2:2,0)),"F-TIT",
INDEX( 'ETPT Format DDG'!$A:$ZZ,,MATCH("Juridiction",'ETPT Format DDG'!2:2,0)),$A$3)</f>
      </c>
      <c r="O117" s="72">
        <f>IF(AND(OR(LEFT(C117,3)="12.",LEFT(E117,3)="12.",LEFT(E117,5)="CET &gt;",IFERROR(N117/$N$6,"")=0),NOT(AND(LEFT(E117,4)="12.8",IFERROR(G117/$G$6,"")&lt;&gt;0)),NOT(AND(LEFT(E117,5)="12.31",IFERROR(N117/$G$6,"")&lt;&gt;0)),NOT(AND(LEFT(E117,5)="12.32",IFERROR(N117/$G$6,"")&lt;&gt;0))),"",IFERROR(N117/$N$6,""))</f>
      </c>
      <c r="P117" s="73">
        <f>SUMIFS(
INDEX('ETPT Format DDG'!$A:$FB,,IFERROR(MATCH(E117,'ETPT Format DDG'!$2:$2,0),MATCH(C117,'ETPT Format DDG'!$2:$2,0))),
INDEX( 'ETPT Format DDG'!$A:$ZZ,,MATCH("Fonction agrégat",'ETPT Format DDG'!2:2,0)),"F-PLAC-ADD",
INDEX( 'ETPT Format DDG'!$A:$ZZ,,MATCH("Juridiction",'ETPT Format DDG'!2:2,0)),$A$3)</f>
      </c>
      <c r="Q117" s="73">
        <f>SUMIFS(
INDEX('ETPT Format DDG'!$A:$FB,,IFERROR(MATCH(E117,'ETPT Format DDG'!$2:$2,0),MATCH(C117,'ETPT Format DDG'!$2:$2,0))),
INDEX( 'ETPT Format DDG'!$A:$ZZ,,MATCH("Fonction agrégat",'ETPT Format DDG'!2:2,0)),"F-PLAC-SUB",
INDEX( 'ETPT Format DDG'!$A:$ZZ,,MATCH("Juridiction",'ETPT Format DDG'!2:2,0)),$A$3)</f>
      </c>
      <c r="R117" s="73">
        <f>SUMIFS(
INDEX('ETPT Format DDG'!$A:$FB,,IFERROR(MATCH(E117,'ETPT Format DDG'!$2:$2,0),MATCH(C117,'ETPT Format DDG'!$2:$2,0))),
INDEX( 'ETPT Format DDG'!$A:$ZZ,,MATCH("Fonction agrégat",'ETPT Format DDG'!2:2,0)),"C",
'ETPT Format DDG'!$H:$H,"Greffe",
INDEX( 'ETPT Format DDG'!$A:$ZZ,,MATCH("Juridiction",'ETPT Format DDG'!2:2,0)),$A$3)</f>
      </c>
      <c r="S117" s="71">
        <f>SUMIFS(
INDEX('ETPT Format DDG'!$A:$FB,,IFERROR(MATCH(E117,'ETPT Format DDG'!$2:$2,0),MATCH(C117,'ETPT Format DDG'!$2:$2,0))),
INDEX( 'ETPT Format DDG'!$A:$ZZ,,MATCH("Catégorie",'ETPT Format DDG'!2:2,0)),"Greffe",
INDEX( 'ETPT Format DDG'!$A:$ZZ,,MATCH("Juridiction",'ETPT Format DDG'!2:2,0)),$A$3)</f>
      </c>
      <c r="T117" s="72">
        <f>IF(AND(OR(LEFT(C117,3)="12.",LEFT(E117,3)="12.",LEFT(E117,5)="CET &gt;",IFERROR(S117/$S$6,"")=0),NOT(AND(LEFT(E117,4)="12.8",IFERROR(G117/$G$6,"")&lt;&gt;0)),NOT(AND(LEFT(E117,5)="12.31",IFERROR(S117/$G$6,"")&lt;&gt;0)),NOT(AND(LEFT(E117,5)="12.32",IFERROR(S117/$G$6,"")&lt;&gt;0))),"", IFERROR(S117/$S$6,""))</f>
      </c>
      <c r="U117" s="71">
        <f>SUMIFS(
INDEX('ETPT Format DDG'!$A:$FB,,IFERROR(MATCH(E117,'ETPT Format DDG'!$2:$2,0),MATCH(C117,'ETPT Format DDG'!$2:$2,0))),
INDEX( 'ETPT Format DDG'!$A:$ZZ,,MATCH("Fonction agrégat",'ETPT Format DDG'!2:2,0)),"C",
INDEX( 'ETPT Format DDG'!$A:$ZZ,,MATCH("Juridiction",'ETPT Format DDG'!2:2,0)),$A$3,
INDEX( 'ETPT Format DDG'!$A:$ZZ,,MATCH("Catégorie",'ETPT Format DDG'!2:2,0)),"Autour du magistrat")</f>
      </c>
      <c r="V117" s="74">
        <f>IF(AND(OR(LEFT(C117,3)="12.",LEFT(E117,3)="12.",LEFT(E117,5)="CET &gt;",IFERROR(U117/$U$6,"")=0),NOT(AND(LEFT(E117,4)="12.8",IFERROR(G117/$G$6,"")&lt;&gt;0)),NOT(AND(LEFT(E117,5)="12.31",IFERROR(U117/$G$6,"")&lt;&gt;0)),NOT(AND(LEFT(E117,5)="12.32",IFERROR(U117/$G$6,"")&lt;&gt;0))),"", IFERROR(U117/$U$6,""))</f>
      </c>
    </row>
    <row r="118" ht="16" customHeight="1" spans="1:23" x14ac:dyDescent="0.25">
      <c r="A118" s="40"/>
      <c r="C118" s="68"/>
      <c r="D118" s="68"/>
      <c r="E118" s="69" t="s">
        <v>140</v>
      </c>
      <c r="F118" s="70" t="s">
        <v>140</v>
      </c>
      <c r="G118" s="71">
        <f>SUMIFS(
INDEX('ETPT Format DDG'!$A:$ZZ,,IFERROR(MATCH(E118,'ETPT Format DDG'!$2:$2,0),MATCH(C118,'ETPT Format DDG'!$2:$2,0))),
INDEX( 'ETPT Format DDG'!$A:$ZZ,,MATCH("Fonction agrégat",'ETPT Format DDG'!2:2,0)),"M-TIT",
INDEX( 'ETPT Format DDG'!$A:$ZZ,,MATCH("Juridiction",'ETPT Format DDG'!2:2,0)),$A$3)</f>
      </c>
      <c r="H118" s="72">
        <f>IF(AND(OR(LEFT(C118,3)="12.",LEFT(E118,3)="12.",LEFT(E118,5)="CET &gt;",IFERROR(G118/$G$6,"")=0),NOT(AND(LEFT(E118,4)="12.8",IFERROR(G118/$G$6,"")&lt;&gt;0)),NOT(AND(LEFT(E118,5)="12.31",IFERROR(G118/$G$6,"")&lt;&gt;0)),NOT(AND(LEFT(E118,5)="12.32",IFERROR(G118/$G$6,"")&lt;&gt;0))),"", IFERROR(G118/$G$6,""))</f>
      </c>
      <c r="I118" s="73">
        <f>SUMIFS(
INDEX('ETPT Format DDG'!$A:$ZZ,,IFERROR(MATCH(E118,'ETPT Format DDG'!$2:$2,0),MATCH(C118,'ETPT Format DDG'!$2:$2,0))),
INDEX( 'ETPT Format DDG'!$A:$ZZ,,MATCH("Fonction agrégat",'ETPT Format DDG'!2:2,0)),"M-PLAC-ADD",
INDEX( 'ETPT Format DDG'!$A:$ZZ,,MATCH("Juridiction",'ETPT Format DDG'!2:2,0)),$A$3)</f>
      </c>
      <c r="J118" s="73">
        <f>SUMIFS(
INDEX('ETPT Format DDG'!$A:$ZZ,,IFERROR(MATCH(E118,'ETPT Format DDG'!$2:$2,0),MATCH(C118,'ETPT Format DDG'!$2:$2,0))),
INDEX( 'ETPT Format DDG'!$A:$ZZ,,MATCH("Fonction agrégat",'ETPT Format DDG'!2:2,0)),"M-PLAC-SUB",
INDEX( 'ETPT Format DDG'!$A:$ZZ,,MATCH("Juridiction",'ETPT Format DDG'!2:2,0)),$A$3)</f>
      </c>
      <c r="K118" s="73">
        <f>SUMIFS(
INDEX('ETPT Format DDG'!$A:$ZZ,,IFERROR(MATCH(E118,'ETPT Format DDG'!$2:$2,0),MATCH(C118,'ETPT Format DDG'!$2:$2,0))),
INDEX( 'ETPT Format DDG'!$A:$ZZ,,MATCH("Fonction agrégat",'ETPT Format DDG'!2:2,0)),"M-CONT",
INDEX( 'ETPT Format DDG'!$A:$ZZ,,MATCH("Juridiction",'ETPT Format DDG'!2:2,0)),$A$3,
INDEX( 'ETPT Format DDG'!$A:$ZZ,,MATCH("Catégorie",'ETPT Format DDG'!2:2,0)),"Magistrat")</f>
      </c>
      <c r="L118" s="71">
        <f>SUMIFS(
INDEX('ETPT Format DDG'!$A:$ZZ,,IFERROR(MATCH(E118,'ETPT Format DDG'!$2:$2,0),MATCH(C118,'ETPT Format DDG'!$2:$2,0))),
INDEX( 'ETPT Format DDG'!$A:$ZZ,,MATCH("Juridiction",'ETPT Format DDG'!2:2,0)),$A$3,
INDEX( 'ETPT Format DDG'!$A:$ZZ,,MATCH("Catégorie",'ETPT Format DDG'!2:2,0)),"Magistrat")</f>
      </c>
      <c r="M118" s="74">
        <f>IF(AND(OR(LEFT(C118,3)="12.",LEFT(E118,3)="12.",LEFT(E118,5)="CET &gt;", IFERROR(L118/$L$6,"")=0),NOT(AND(LEFT(E118,4)="12.8",IFERROR(G118/$G$6,"")&lt;&gt;0)),NOT(AND(LEFT(E118,5)="12.31",IFERROR(L118/$G$6,"")&lt;&gt;0)),NOT(AND(LEFT(E118,5)="12.32",IFERROR(L118/$G$6,"")&lt;&gt;0))),"", IFERROR(L118/$L$6,""))</f>
      </c>
      <c r="N118" s="73">
        <f>SUMIFS(
INDEX('ETPT Format DDG'!$A:$ZZ,,IFERROR(MATCH(E118,'ETPT Format DDG'!$2:$2,0),MATCH(C118,'ETPT Format DDG'!$2:$2,0))),
INDEX( 'ETPT Format DDG'!$A:$ZZ,,MATCH("Fonction agrégat",'ETPT Format DDG'!2:2,0)),"F-TIT",
INDEX( 'ETPT Format DDG'!$A:$ZZ,,MATCH("Juridiction",'ETPT Format DDG'!2:2,0)),$A$3)</f>
      </c>
      <c r="O118" s="72">
        <f>IF(AND(OR(LEFT(C118,3)="12.",LEFT(E118,3)="12.",LEFT(E118,5)="CET &gt;",IFERROR(N118/$N$6,"")=0),NOT(AND(LEFT(E118,4)="12.8",IFERROR(G118/$G$6,"")&lt;&gt;0)),NOT(AND(LEFT(E118,5)="12.31",IFERROR(N118/$G$6,"")&lt;&gt;0)),NOT(AND(LEFT(E118,5)="12.32",IFERROR(N118/$G$6,"")&lt;&gt;0))),"",IFERROR(N118/$N$6,""))</f>
      </c>
      <c r="P118" s="73">
        <f>SUMIFS(
INDEX('ETPT Format DDG'!$A:$FB,,IFERROR(MATCH(E118,'ETPT Format DDG'!$2:$2,0),MATCH(C118,'ETPT Format DDG'!$2:$2,0))),
INDEX( 'ETPT Format DDG'!$A:$ZZ,,MATCH("Fonction agrégat",'ETPT Format DDG'!2:2,0)),"F-PLAC-ADD",
INDEX( 'ETPT Format DDG'!$A:$ZZ,,MATCH("Juridiction",'ETPT Format DDG'!2:2,0)),$A$3)</f>
      </c>
      <c r="Q118" s="73">
        <f>SUMIFS(
INDEX('ETPT Format DDG'!$A:$FB,,IFERROR(MATCH(E118,'ETPT Format DDG'!$2:$2,0),MATCH(C118,'ETPT Format DDG'!$2:$2,0))),
INDEX( 'ETPT Format DDG'!$A:$ZZ,,MATCH("Fonction agrégat",'ETPT Format DDG'!2:2,0)),"F-PLAC-SUB",
INDEX( 'ETPT Format DDG'!$A:$ZZ,,MATCH("Juridiction",'ETPT Format DDG'!2:2,0)),$A$3)</f>
      </c>
      <c r="R118" s="73">
        <f>SUMIFS(
INDEX('ETPT Format DDG'!$A:$FB,,IFERROR(MATCH(E118,'ETPT Format DDG'!$2:$2,0),MATCH(C118,'ETPT Format DDG'!$2:$2,0))),
INDEX( 'ETPT Format DDG'!$A:$ZZ,,MATCH("Fonction agrégat",'ETPT Format DDG'!2:2,0)),"C",
'ETPT Format DDG'!$H:$H,"Greffe",
INDEX( 'ETPT Format DDG'!$A:$ZZ,,MATCH("Juridiction",'ETPT Format DDG'!2:2,0)),$A$3)</f>
      </c>
      <c r="S118" s="71">
        <f>SUMIFS(
INDEX('ETPT Format DDG'!$A:$FB,,IFERROR(MATCH(E118,'ETPT Format DDG'!$2:$2,0),MATCH(C118,'ETPT Format DDG'!$2:$2,0))),
INDEX( 'ETPT Format DDG'!$A:$ZZ,,MATCH("Catégorie",'ETPT Format DDG'!2:2,0)),"Greffe",
INDEX( 'ETPT Format DDG'!$A:$ZZ,,MATCH("Juridiction",'ETPT Format DDG'!2:2,0)),$A$3)</f>
      </c>
      <c r="T118" s="72">
        <f>IF(AND(OR(LEFT(C118,3)="12.",LEFT(E118,3)="12.",LEFT(E118,5)="CET &gt;",IFERROR(S118/$S$6,"")=0),NOT(AND(LEFT(E118,4)="12.8",IFERROR(G118/$G$6,"")&lt;&gt;0)),NOT(AND(LEFT(E118,5)="12.31",IFERROR(S118/$G$6,"")&lt;&gt;0)),NOT(AND(LEFT(E118,5)="12.32",IFERROR(S118/$G$6,"")&lt;&gt;0))),"", IFERROR(S118/$S$6,""))</f>
      </c>
      <c r="U118" s="71">
        <f>SUMIFS(
INDEX('ETPT Format DDG'!$A:$FB,,IFERROR(MATCH(E118,'ETPT Format DDG'!$2:$2,0),MATCH(C118,'ETPT Format DDG'!$2:$2,0))),
INDEX( 'ETPT Format DDG'!$A:$ZZ,,MATCH("Fonction agrégat",'ETPT Format DDG'!2:2,0)),"C",
INDEX( 'ETPT Format DDG'!$A:$ZZ,,MATCH("Juridiction",'ETPT Format DDG'!2:2,0)),$A$3,
INDEX( 'ETPT Format DDG'!$A:$ZZ,,MATCH("Catégorie",'ETPT Format DDG'!2:2,0)),"Autour du magistrat")</f>
      </c>
      <c r="V118" s="74">
        <f>IF(AND(OR(LEFT(C118,3)="12.",LEFT(E118,3)="12.",LEFT(E118,5)="CET &gt;",IFERROR(U118/$U$6,"")=0),NOT(AND(LEFT(E118,4)="12.8",IFERROR(G118/$G$6,"")&lt;&gt;0)),NOT(AND(LEFT(E118,5)="12.31",IFERROR(U118/$G$6,"")&lt;&gt;0)),NOT(AND(LEFT(E118,5)="12.32",IFERROR(U118/$G$6,"")&lt;&gt;0))),"", IFERROR(U118/$U$6,""))</f>
      </c>
    </row>
    <row r="119" spans="1:23" x14ac:dyDescent="0.25">
      <c r="G119" s="75"/>
      <c r="H119" s="75"/>
      <c r="I119" s="75"/>
      <c r="J119" s="75"/>
      <c r="K119" s="75"/>
      <c r="L119" s="75"/>
      <c r="M119" s="75"/>
      <c r="N119" s="75"/>
      <c r="O119" s="75"/>
      <c r="P119" s="75"/>
      <c r="Q119" s="75"/>
      <c r="R119" s="75"/>
      <c r="S119" s="75"/>
      <c r="T119" s="75"/>
      <c r="U119" s="75"/>
      <c r="V119"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"24FB8BB550"</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4283</v>
      </c>
      <c r="D1" s="230" t="s">
        <v>4284</v>
      </c>
      <c r="G1" s="230" t="s">
        <v>4285</v>
      </c>
      <c r="I1" s="231" t="s">
        <v>4286</v>
      </c>
      <c r="M1" s="3" t="s">
        <v>4287</v>
      </c>
    </row>
    <row r="2" ht="16" customHeight="1" spans="13:13" x14ac:dyDescent="0.25">
      <c r="M2" s="3" t="s">
        <v>4287</v>
      </c>
    </row>
    <row r="3" ht="16" customHeight="1" spans="2:13" x14ac:dyDescent="0.25">
      <c r="B3" s="232"/>
      <c r="E3" s="232"/>
      <c r="H3" s="233"/>
      <c r="M3" s="3" t="s">
        <v>4287</v>
      </c>
    </row>
    <row r="4" ht="16" customHeight="1" spans="2:13" x14ac:dyDescent="0.25">
      <c r="B4" s="232"/>
      <c r="E4" s="232"/>
      <c r="H4" s="233"/>
      <c r="M4" s="3" t="s">
        <v>4287</v>
      </c>
    </row>
    <row r="5" ht="16" customHeight="1" spans="2:13" x14ac:dyDescent="0.25">
      <c r="B5" s="232"/>
      <c r="E5" s="232"/>
      <c r="H5" s="233"/>
      <c r="M5" s="3" t="s">
        <v>4287</v>
      </c>
    </row>
    <row r="6" ht="16" customHeight="1" spans="8:13" x14ac:dyDescent="0.25">
      <c r="H6" s="233"/>
      <c r="M6" s="3" t="s">
        <v>4287</v>
      </c>
    </row>
    <row r="7" ht="16" customHeight="1" spans="8:13" x14ac:dyDescent="0.25">
      <c r="H7" s="233"/>
      <c r="M7" s="3" t="s">
        <v>4287</v>
      </c>
    </row>
    <row r="8" ht="16" customHeight="1" spans="8:13" x14ac:dyDescent="0.25">
      <c r="H8" s="233"/>
      <c r="M8" s="3" t="s">
        <v>4287</v>
      </c>
    </row>
    <row r="9" ht="16" customHeight="1" spans="13:13" x14ac:dyDescent="0.25">
      <c r="M9" s="3" t="s">
        <v>4287</v>
      </c>
    </row>
    <row r="10" ht="16" customHeight="1" spans="13:13" x14ac:dyDescent="0.25">
      <c r="M10" s="3" t="s">
        <v>4287</v>
      </c>
    </row>
    <row r="11" ht="16" customHeight="1" spans="13:13" x14ac:dyDescent="0.25">
      <c r="M11" s="3" t="s">
        <v>4287</v>
      </c>
    </row>
    <row r="12" ht="16" customHeight="1" spans="13:13" x14ac:dyDescent="0.25">
      <c r="M12" s="3" t="s">
        <v>4287</v>
      </c>
    </row>
    <row r="13" ht="16" customHeight="1" spans="13:13" x14ac:dyDescent="0.25">
      <c r="M13" s="3" t="s">
        <v>4287</v>
      </c>
    </row>
    <row r="14" ht="16" customHeight="1" spans="13:13" x14ac:dyDescent="0.25">
      <c r="M14" s="3" t="s">
        <v>4287</v>
      </c>
    </row>
    <row r="15" ht="16" customHeight="1" spans="13:13" x14ac:dyDescent="0.25">
      <c r="M15" s="3" t="s">
        <v>4287</v>
      </c>
    </row>
    <row r="16" ht="16" customHeight="1" spans="13:13" x14ac:dyDescent="0.25">
      <c r="M16" s="3" t="s">
        <v>4287</v>
      </c>
    </row>
    <row r="17" ht="16" customHeight="1" spans="13:13" x14ac:dyDescent="0.25">
      <c r="M17" s="3" t="s">
        <v>4287</v>
      </c>
    </row>
    <row r="18" ht="16" customHeight="1" spans="13:13" x14ac:dyDescent="0.25">
      <c r="M18" s="3" t="s">
        <v>4287</v>
      </c>
    </row>
    <row r="19" ht="16" customHeight="1" spans="13:13" x14ac:dyDescent="0.25">
      <c r="M19" s="3" t="s">
        <v>4287</v>
      </c>
    </row>
    <row r="20" ht="16" customHeight="1" spans="13:13" x14ac:dyDescent="0.25">
      <c r="M20" s="3" t="s">
        <v>4287</v>
      </c>
    </row>
    <row r="21" ht="16" customHeight="1" spans="13:13" x14ac:dyDescent="0.25">
      <c r="M21" s="3" t="s">
        <v>4287</v>
      </c>
    </row>
    <row r="22" ht="16" customHeight="1" spans="13:13" x14ac:dyDescent="0.25">
      <c r="M22" s="3" t="s">
        <v>4287</v>
      </c>
    </row>
    <row r="23" ht="16" customHeight="1" spans="13:13" x14ac:dyDescent="0.25">
      <c r="M23" s="3" t="s">
        <v>4287</v>
      </c>
    </row>
    <row r="24" ht="16" customHeight="1" spans="13:13" x14ac:dyDescent="0.25">
      <c r="M24" s="3" t="s">
        <v>4287</v>
      </c>
    </row>
    <row r="25" ht="16" customHeight="1" spans="13:13" x14ac:dyDescent="0.25">
      <c r="M25" s="3" t="s">
        <v>4287</v>
      </c>
    </row>
    <row r="26" ht="16" customHeight="1" spans="13:13" x14ac:dyDescent="0.25">
      <c r="M26" s="3" t="s">
        <v>4287</v>
      </c>
    </row>
    <row r="27" ht="16" customHeight="1" spans="13:13" x14ac:dyDescent="0.25">
      <c r="M27" s="3" t="s">
        <v>4287</v>
      </c>
    </row>
    <row r="28" ht="16" customHeight="1" spans="13:13" x14ac:dyDescent="0.25">
      <c r="M28" s="3" t="s">
        <v>4287</v>
      </c>
    </row>
    <row r="29" ht="16" customHeight="1" spans="13:13" x14ac:dyDescent="0.25">
      <c r="M29" s="3" t="s">
        <v>4287</v>
      </c>
    </row>
    <row r="30" ht="16" customHeight="1" spans="13:13" x14ac:dyDescent="0.25">
      <c r="M30" s="1" t="s">
        <v>4288</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59"/>
  <sheetViews>
    <sheetView workbookViewId="0" zoomScale="100" zoomScaleNormal="80">
      <selection activeCell="G2" sqref="G2"/>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3031</v>
      </c>
      <c r="B1" s="77" t="s">
        <v>33</v>
      </c>
      <c r="C1" s="77" t="s">
        <v>3032</v>
      </c>
      <c r="D1" s="77" t="s">
        <v>3033</v>
      </c>
      <c r="E1" s="77" t="s">
        <v>3014</v>
      </c>
      <c r="F1" s="77" t="s">
        <v>3034</v>
      </c>
      <c r="G1" s="77" t="s">
        <v>3035</v>
      </c>
    </row>
    <row r="2" ht="32" customHeight="1" spans="1:8" x14ac:dyDescent="0.25">
      <c r="A2" s="3" t="s">
        <v>3036</v>
      </c>
      <c r="B2" s="3" t="s">
        <v>173</v>
      </c>
      <c r="C2" s="3" t="s">
        <v>3037</v>
      </c>
      <c r="D2" s="78" t="s">
        <v>3038</v>
      </c>
      <c r="E2" s="3" t="s">
        <v>501</v>
      </c>
      <c r="F2" s="78" t="s">
        <v>3039</v>
      </c>
      <c r="G2" s="78" t="s">
        <v>2480</v>
      </c>
    </row>
    <row r="3" ht="32" customHeight="1" spans="1:8" x14ac:dyDescent="0.25">
      <c r="A3" s="3" t="s">
        <v>3040</v>
      </c>
      <c r="B3" s="3" t="s">
        <v>173</v>
      </c>
      <c r="C3" s="3" t="s">
        <v>3041</v>
      </c>
      <c r="D3" s="78" t="s">
        <v>3038</v>
      </c>
      <c r="E3" s="3" t="s">
        <v>210</v>
      </c>
      <c r="F3" s="78" t="s">
        <v>3039</v>
      </c>
      <c r="G3" s="78" t="s">
        <v>2480</v>
      </c>
    </row>
    <row r="4" ht="32" customHeight="1" spans="1:8" x14ac:dyDescent="0.25">
      <c r="A4" s="3" t="s">
        <v>3042</v>
      </c>
      <c r="B4" s="3" t="s">
        <v>173</v>
      </c>
      <c r="C4" s="3" t="s">
        <v>3043</v>
      </c>
      <c r="D4" s="78" t="s">
        <v>3038</v>
      </c>
      <c r="E4" s="3" t="s">
        <v>635</v>
      </c>
      <c r="F4" s="78" t="s">
        <v>3039</v>
      </c>
      <c r="G4" s="78" t="s">
        <v>2480</v>
      </c>
    </row>
    <row r="5" ht="32" customHeight="1" spans="1:8" x14ac:dyDescent="0.25">
      <c r="A5" s="3" t="s">
        <v>3044</v>
      </c>
      <c r="B5" s="3" t="s">
        <v>173</v>
      </c>
      <c r="C5" s="3" t="s">
        <v>3045</v>
      </c>
      <c r="D5" s="78" t="s">
        <v>3038</v>
      </c>
      <c r="E5" s="3" t="s">
        <v>273</v>
      </c>
      <c r="F5" s="78" t="s">
        <v>3046</v>
      </c>
      <c r="G5" s="78" t="s">
        <v>2480</v>
      </c>
    </row>
    <row r="6" ht="32" customHeight="1" spans="1:8" x14ac:dyDescent="0.25">
      <c r="A6" s="3" t="s">
        <v>3047</v>
      </c>
      <c r="B6" s="3" t="s">
        <v>173</v>
      </c>
      <c r="C6" s="3" t="s">
        <v>3048</v>
      </c>
      <c r="D6" s="78" t="s">
        <v>3038</v>
      </c>
      <c r="E6" s="3" t="s">
        <v>664</v>
      </c>
      <c r="F6" s="78" t="s">
        <v>3046</v>
      </c>
      <c r="G6" s="78" t="s">
        <v>2480</v>
      </c>
    </row>
    <row r="7" ht="32" customHeight="1" spans="1:8" x14ac:dyDescent="0.25">
      <c r="A7" s="3" t="s">
        <v>3049</v>
      </c>
      <c r="B7" s="3" t="s">
        <v>173</v>
      </c>
      <c r="C7" s="3" t="s">
        <v>3050</v>
      </c>
      <c r="D7" s="78" t="s">
        <v>3038</v>
      </c>
      <c r="E7" s="3" t="s">
        <v>365</v>
      </c>
      <c r="F7" s="78" t="s">
        <v>3046</v>
      </c>
      <c r="G7" s="78" t="s">
        <v>2480</v>
      </c>
    </row>
    <row r="8" ht="32" customHeight="1" spans="1:8" x14ac:dyDescent="0.25">
      <c r="A8" s="3" t="s">
        <v>3051</v>
      </c>
      <c r="B8" s="3" t="s">
        <v>173</v>
      </c>
      <c r="C8" s="3" t="s">
        <v>3052</v>
      </c>
      <c r="D8" s="78" t="s">
        <v>3038</v>
      </c>
      <c r="E8" s="3" t="s">
        <v>318</v>
      </c>
      <c r="F8" s="78" t="s">
        <v>3039</v>
      </c>
      <c r="G8" s="78" t="s">
        <v>2480</v>
      </c>
    </row>
    <row r="9" ht="32" customHeight="1" spans="1:8" x14ac:dyDescent="0.25">
      <c r="A9" s="3" t="s">
        <v>3053</v>
      </c>
      <c r="B9" s="3" t="s">
        <v>173</v>
      </c>
      <c r="C9" s="3" t="s">
        <v>3054</v>
      </c>
      <c r="D9" s="78" t="s">
        <v>3038</v>
      </c>
      <c r="E9" s="3" t="s">
        <v>410</v>
      </c>
      <c r="F9" s="78" t="s">
        <v>3046</v>
      </c>
      <c r="G9" s="78" t="s">
        <v>2480</v>
      </c>
    </row>
    <row r="10" ht="32" customHeight="1" spans="1:8" x14ac:dyDescent="0.25">
      <c r="A10" s="3" t="s">
        <v>3055</v>
      </c>
      <c r="B10" s="3" t="s">
        <v>173</v>
      </c>
      <c r="C10" s="3" t="s">
        <v>3056</v>
      </c>
      <c r="D10" s="78" t="s">
        <v>3038</v>
      </c>
      <c r="E10" s="3" t="s">
        <v>693</v>
      </c>
      <c r="F10" s="78" t="s">
        <v>3046</v>
      </c>
      <c r="G10" s="78" t="s">
        <v>2480</v>
      </c>
    </row>
    <row r="11" ht="32" customHeight="1" spans="1:8" x14ac:dyDescent="0.25">
      <c r="A11" s="3" t="s">
        <v>3057</v>
      </c>
      <c r="B11" s="3" t="s">
        <v>173</v>
      </c>
      <c r="C11" s="3" t="s">
        <v>3058</v>
      </c>
      <c r="D11" s="78" t="s">
        <v>3038</v>
      </c>
      <c r="E11" s="3" t="s">
        <v>180</v>
      </c>
      <c r="F11" s="78" t="s">
        <v>3039</v>
      </c>
      <c r="G11" s="78" t="s">
        <v>2480</v>
      </c>
    </row>
    <row r="12" ht="32" customHeight="1" spans="1:8" x14ac:dyDescent="0.25">
      <c r="A12" s="3" t="s">
        <v>3059</v>
      </c>
      <c r="B12" s="3" t="s">
        <v>173</v>
      </c>
      <c r="C12" s="3" t="s">
        <v>3060</v>
      </c>
      <c r="D12" s="78" t="s">
        <v>3038</v>
      </c>
      <c r="E12" s="3" t="s">
        <v>220</v>
      </c>
      <c r="F12" s="78" t="s">
        <v>3046</v>
      </c>
      <c r="G12" s="78" t="s">
        <v>2480</v>
      </c>
    </row>
    <row r="13" ht="32" customHeight="1" spans="1:8" x14ac:dyDescent="0.25">
      <c r="A13" s="3" t="s">
        <v>3061</v>
      </c>
      <c r="B13" s="3" t="s">
        <v>173</v>
      </c>
      <c r="C13" s="3" t="s">
        <v>3062</v>
      </c>
      <c r="D13" s="78" t="s">
        <v>3038</v>
      </c>
      <c r="E13" s="3" t="s">
        <v>301</v>
      </c>
      <c r="F13" s="78" t="s">
        <v>3046</v>
      </c>
      <c r="G13" s="78" t="s">
        <v>2480</v>
      </c>
    </row>
    <row r="14" ht="32" customHeight="1" spans="1:8" x14ac:dyDescent="0.25">
      <c r="A14" s="3" t="s">
        <v>3063</v>
      </c>
      <c r="B14" s="3" t="s">
        <v>173</v>
      </c>
      <c r="C14" s="3" t="s">
        <v>3064</v>
      </c>
      <c r="D14" s="78" t="s">
        <v>3038</v>
      </c>
      <c r="E14" s="3" t="s">
        <v>268</v>
      </c>
      <c r="F14" s="78" t="s">
        <v>3046</v>
      </c>
      <c r="G14" s="78" t="s">
        <v>2480</v>
      </c>
    </row>
    <row r="15" ht="32" customHeight="1" spans="1:8" x14ac:dyDescent="0.25">
      <c r="A15" s="3" t="s">
        <v>3065</v>
      </c>
      <c r="B15" s="3" t="s">
        <v>173</v>
      </c>
      <c r="C15" s="3" t="s">
        <v>3066</v>
      </c>
      <c r="D15" s="78" t="s">
        <v>3038</v>
      </c>
      <c r="E15" s="3" t="s">
        <v>190</v>
      </c>
      <c r="F15" s="78" t="s">
        <v>3046</v>
      </c>
      <c r="G15" s="78" t="s">
        <v>2480</v>
      </c>
    </row>
    <row r="16" ht="32" customHeight="1" spans="1:8" x14ac:dyDescent="0.25">
      <c r="A16" s="3" t="s">
        <v>3067</v>
      </c>
      <c r="B16" s="3" t="s">
        <v>173</v>
      </c>
      <c r="C16" s="3" t="s">
        <v>3068</v>
      </c>
      <c r="D16" s="78" t="s">
        <v>3038</v>
      </c>
      <c r="E16" s="3" t="s">
        <v>488</v>
      </c>
      <c r="F16" s="78" t="s">
        <v>3046</v>
      </c>
      <c r="G16" s="78" t="s">
        <v>2480</v>
      </c>
    </row>
    <row r="17" ht="32" customHeight="1" spans="1:8" x14ac:dyDescent="0.25">
      <c r="A17" s="3" t="s">
        <v>3069</v>
      </c>
      <c r="B17" s="3" t="s">
        <v>173</v>
      </c>
      <c r="C17" s="3" t="s">
        <v>3070</v>
      </c>
      <c r="D17" s="78" t="s">
        <v>3038</v>
      </c>
      <c r="E17" s="3" t="s">
        <v>201</v>
      </c>
      <c r="F17" s="78" t="s">
        <v>3039</v>
      </c>
      <c r="G17" s="78" t="s">
        <v>2480</v>
      </c>
    </row>
    <row r="18" ht="32" customHeight="1" spans="1:8" x14ac:dyDescent="0.25">
      <c r="A18" s="3" t="s">
        <v>3071</v>
      </c>
      <c r="B18" s="3" t="s">
        <v>173</v>
      </c>
      <c r="C18" s="3" t="s">
        <v>3072</v>
      </c>
      <c r="D18" s="78" t="s">
        <v>3038</v>
      </c>
      <c r="E18" s="3" t="s">
        <v>344</v>
      </c>
      <c r="F18" s="78" t="s">
        <v>3046</v>
      </c>
      <c r="G18" s="78" t="s">
        <v>2480</v>
      </c>
    </row>
    <row r="19" ht="32" customHeight="1" spans="1:8" x14ac:dyDescent="0.25">
      <c r="A19" s="3" t="s">
        <v>3073</v>
      </c>
      <c r="B19" s="3" t="s">
        <v>173</v>
      </c>
      <c r="C19" s="3" t="s">
        <v>3074</v>
      </c>
      <c r="D19" s="78" t="s">
        <v>3038</v>
      </c>
      <c r="E19" s="3" t="s">
        <v>564</v>
      </c>
      <c r="F19" s="78" t="s">
        <v>3046</v>
      </c>
      <c r="G19" s="78" t="s">
        <v>2480</v>
      </c>
    </row>
    <row r="20" ht="32" customHeight="1" spans="1:8" x14ac:dyDescent="0.25">
      <c r="A20" s="3" t="s">
        <v>3075</v>
      </c>
      <c r="B20" s="3" t="s">
        <v>173</v>
      </c>
      <c r="C20" s="3" t="s">
        <v>3076</v>
      </c>
      <c r="D20" s="78" t="s">
        <v>3038</v>
      </c>
      <c r="E20" s="3" t="s">
        <v>185</v>
      </c>
      <c r="F20" s="78" t="s">
        <v>3046</v>
      </c>
      <c r="G20" s="78" t="s">
        <v>2480</v>
      </c>
    </row>
    <row r="21" ht="32" customHeight="1" spans="1:8" x14ac:dyDescent="0.25">
      <c r="A21" s="3" t="s">
        <v>3077</v>
      </c>
      <c r="B21" s="3" t="s">
        <v>173</v>
      </c>
      <c r="C21" s="3" t="s">
        <v>3078</v>
      </c>
      <c r="D21" s="78" t="s">
        <v>3038</v>
      </c>
      <c r="E21" s="3" t="s">
        <v>323</v>
      </c>
      <c r="F21" s="78" t="s">
        <v>3046</v>
      </c>
      <c r="G21" s="78" t="s">
        <v>2480</v>
      </c>
    </row>
    <row r="22" ht="32" customHeight="1" spans="1:8" x14ac:dyDescent="0.25">
      <c r="A22" s="3" t="s">
        <v>3079</v>
      </c>
      <c r="B22" s="3" t="s">
        <v>173</v>
      </c>
      <c r="C22" s="3" t="s">
        <v>3080</v>
      </c>
      <c r="D22" s="78" t="s">
        <v>3081</v>
      </c>
      <c r="E22" s="3" t="s">
        <v>195</v>
      </c>
      <c r="F22" s="78"/>
      <c r="G22" s="78" t="s">
        <v>2485</v>
      </c>
    </row>
    <row r="23" ht="32" customHeight="1" spans="1:8" x14ac:dyDescent="0.25">
      <c r="A23" s="3" t="s">
        <v>3082</v>
      </c>
      <c r="B23" s="3" t="s">
        <v>173</v>
      </c>
      <c r="C23" s="3" t="s">
        <v>3083</v>
      </c>
      <c r="D23" s="78" t="s">
        <v>3081</v>
      </c>
      <c r="E23" s="3" t="s">
        <v>2484</v>
      </c>
      <c r="F23" s="78" t="s">
        <v>3084</v>
      </c>
      <c r="G23" s="78" t="s">
        <v>2485</v>
      </c>
    </row>
    <row r="24" ht="32" customHeight="1" spans="1:8" x14ac:dyDescent="0.25">
      <c r="A24" s="3" t="s">
        <v>3085</v>
      </c>
      <c r="B24" s="3" t="s">
        <v>173</v>
      </c>
      <c r="C24" s="3" t="s">
        <v>3086</v>
      </c>
      <c r="D24" s="78" t="s">
        <v>3081</v>
      </c>
      <c r="E24" s="3" t="s">
        <v>3087</v>
      </c>
      <c r="F24" s="78" t="s">
        <v>3088</v>
      </c>
      <c r="G24" s="78" t="s">
        <v>3089</v>
      </c>
    </row>
    <row r="25" ht="32" customHeight="1" spans="1:8" x14ac:dyDescent="0.25">
      <c r="A25" s="3" t="s">
        <v>3090</v>
      </c>
      <c r="B25" s="3" t="s">
        <v>173</v>
      </c>
      <c r="C25" s="3" t="s">
        <v>3091</v>
      </c>
      <c r="D25" s="78" t="s">
        <v>3081</v>
      </c>
      <c r="E25" s="3" t="s">
        <v>262</v>
      </c>
      <c r="F25" s="78"/>
      <c r="G25" s="78" t="s">
        <v>2485</v>
      </c>
    </row>
    <row r="26" ht="32" customHeight="1" spans="1:8" x14ac:dyDescent="0.25">
      <c r="A26" s="3" t="s">
        <v>3092</v>
      </c>
      <c r="B26" s="3" t="s">
        <v>173</v>
      </c>
      <c r="C26" s="3" t="s">
        <v>3093</v>
      </c>
      <c r="D26" s="78" t="s">
        <v>3081</v>
      </c>
      <c r="E26" s="3" t="s">
        <v>2501</v>
      </c>
      <c r="F26" s="78" t="s">
        <v>3084</v>
      </c>
      <c r="G26" s="78" t="s">
        <v>2485</v>
      </c>
    </row>
    <row r="27" ht="32" customHeight="1" spans="1:8" x14ac:dyDescent="0.25">
      <c r="A27" s="3" t="s">
        <v>3094</v>
      </c>
      <c r="B27" s="3" t="s">
        <v>173</v>
      </c>
      <c r="C27" s="3" t="s">
        <v>3095</v>
      </c>
      <c r="D27" s="78" t="s">
        <v>3081</v>
      </c>
      <c r="E27" s="3" t="s">
        <v>3096</v>
      </c>
      <c r="F27" s="78" t="s">
        <v>3088</v>
      </c>
      <c r="G27" s="78" t="s">
        <v>3089</v>
      </c>
    </row>
    <row r="28" ht="32" customHeight="1" spans="1:8" x14ac:dyDescent="0.25">
      <c r="A28" s="3" t="s">
        <v>3097</v>
      </c>
      <c r="B28" s="3" t="s">
        <v>173</v>
      </c>
      <c r="C28" s="3" t="s">
        <v>3098</v>
      </c>
      <c r="D28" s="78" t="s">
        <v>3099</v>
      </c>
      <c r="E28" s="3" t="s">
        <v>287</v>
      </c>
      <c r="F28" s="78" t="s">
        <v>2472</v>
      </c>
      <c r="G28" s="78" t="s">
        <v>2478</v>
      </c>
    </row>
    <row r="29" ht="32" customHeight="1" spans="1:8" x14ac:dyDescent="0.25">
      <c r="A29" s="3" t="s">
        <v>3100</v>
      </c>
      <c r="B29" s="3" t="s">
        <v>173</v>
      </c>
      <c r="C29" s="3" t="s">
        <v>3101</v>
      </c>
      <c r="D29" s="78" t="s">
        <v>3099</v>
      </c>
      <c r="E29" s="3" t="s">
        <v>3102</v>
      </c>
      <c r="F29" s="78" t="s">
        <v>2472</v>
      </c>
      <c r="G29" s="78" t="s">
        <v>2478</v>
      </c>
    </row>
    <row r="30" ht="32" customHeight="1" spans="1:8" x14ac:dyDescent="0.25">
      <c r="A30" s="3" t="s">
        <v>3103</v>
      </c>
      <c r="B30" s="3" t="s">
        <v>173</v>
      </c>
      <c r="C30" s="3" t="s">
        <v>3104</v>
      </c>
      <c r="D30" s="78" t="s">
        <v>3099</v>
      </c>
      <c r="E30" s="3" t="s">
        <v>174</v>
      </c>
      <c r="F30" s="78" t="s">
        <v>2472</v>
      </c>
      <c r="G30" s="78" t="s">
        <v>2478</v>
      </c>
    </row>
    <row r="31" ht="32" customHeight="1" spans="1:8" x14ac:dyDescent="0.25">
      <c r="A31" s="3" t="s">
        <v>3105</v>
      </c>
      <c r="B31" s="3" t="s">
        <v>173</v>
      </c>
      <c r="C31" s="3" t="s">
        <v>3106</v>
      </c>
      <c r="D31" s="78" t="s">
        <v>3099</v>
      </c>
      <c r="E31" s="3" t="s">
        <v>3107</v>
      </c>
      <c r="F31" s="78" t="s">
        <v>2472</v>
      </c>
      <c r="G31" s="78" t="s">
        <v>2478</v>
      </c>
    </row>
    <row r="32" ht="32" customHeight="1" spans="1:8" x14ac:dyDescent="0.25">
      <c r="A32" s="3" t="s">
        <v>3108</v>
      </c>
      <c r="B32" s="3" t="s">
        <v>698</v>
      </c>
      <c r="C32" s="3" t="s">
        <v>738</v>
      </c>
      <c r="D32" s="78" t="s">
        <v>3038</v>
      </c>
      <c r="E32" s="3" t="s">
        <v>738</v>
      </c>
      <c r="F32" s="78" t="s">
        <v>3109</v>
      </c>
      <c r="G32" s="78" t="s">
        <v>2607</v>
      </c>
    </row>
    <row r="33" ht="32" customHeight="1" spans="1:8" x14ac:dyDescent="0.25">
      <c r="A33" s="3" t="s">
        <v>3110</v>
      </c>
      <c r="B33" s="3" t="s">
        <v>698</v>
      </c>
      <c r="C33" s="3" t="s">
        <v>3111</v>
      </c>
      <c r="D33" s="78" t="s">
        <v>3099</v>
      </c>
      <c r="E33" s="3" t="s">
        <v>3111</v>
      </c>
      <c r="F33" s="78" t="s">
        <v>3109</v>
      </c>
      <c r="G33" s="78" t="s">
        <v>3111</v>
      </c>
    </row>
    <row r="34" ht="32" customHeight="1" spans="1:8" x14ac:dyDescent="0.25">
      <c r="A34" s="3" t="s">
        <v>3112</v>
      </c>
      <c r="B34" s="3" t="s">
        <v>698</v>
      </c>
      <c r="C34" s="3" t="s">
        <v>3113</v>
      </c>
      <c r="D34" s="78" t="s">
        <v>3038</v>
      </c>
      <c r="E34" s="3" t="s">
        <v>3114</v>
      </c>
      <c r="F34" s="78" t="s">
        <v>3109</v>
      </c>
      <c r="G34" s="78" t="s">
        <v>2607</v>
      </c>
    </row>
    <row r="35" ht="32" customHeight="1" spans="1:8" x14ac:dyDescent="0.25">
      <c r="A35" s="3" t="s">
        <v>3115</v>
      </c>
      <c r="B35" s="3" t="s">
        <v>698</v>
      </c>
      <c r="C35" s="3" t="s">
        <v>3116</v>
      </c>
      <c r="D35" s="78" t="s">
        <v>3038</v>
      </c>
      <c r="E35" s="3" t="s">
        <v>727</v>
      </c>
      <c r="F35" s="78" t="s">
        <v>3109</v>
      </c>
      <c r="G35" s="78" t="s">
        <v>2607</v>
      </c>
    </row>
    <row r="36" ht="32" customHeight="1" spans="1:8" x14ac:dyDescent="0.25">
      <c r="A36" s="3" t="s">
        <v>3117</v>
      </c>
      <c r="B36" s="3" t="s">
        <v>698</v>
      </c>
      <c r="C36" s="3" t="s">
        <v>3118</v>
      </c>
      <c r="D36" s="78" t="s">
        <v>3038</v>
      </c>
      <c r="E36" s="3" t="s">
        <v>3118</v>
      </c>
      <c r="F36" s="78" t="s">
        <v>3109</v>
      </c>
      <c r="G36" s="78" t="s">
        <v>2607</v>
      </c>
    </row>
    <row r="37" ht="32" customHeight="1" spans="1:8" x14ac:dyDescent="0.25">
      <c r="A37" s="3" t="s">
        <v>3119</v>
      </c>
      <c r="B37" s="3" t="s">
        <v>698</v>
      </c>
      <c r="C37" s="3" t="s">
        <v>705</v>
      </c>
      <c r="D37" s="78" t="s">
        <v>3038</v>
      </c>
      <c r="E37" s="3" t="s">
        <v>705</v>
      </c>
      <c r="F37" s="78" t="s">
        <v>3109</v>
      </c>
      <c r="G37" s="78" t="s">
        <v>2607</v>
      </c>
    </row>
    <row r="38" ht="32" customHeight="1" spans="1:8" x14ac:dyDescent="0.25">
      <c r="A38" s="3" t="s">
        <v>3120</v>
      </c>
      <c r="B38" s="3" t="s">
        <v>698</v>
      </c>
      <c r="C38" s="3" t="s">
        <v>1474</v>
      </c>
      <c r="D38" s="78" t="s">
        <v>3038</v>
      </c>
      <c r="E38" s="3" t="s">
        <v>1474</v>
      </c>
      <c r="F38" s="78" t="s">
        <v>3121</v>
      </c>
      <c r="G38" s="78" t="s">
        <v>2607</v>
      </c>
    </row>
    <row r="39" ht="32" customHeight="1" spans="1:8" x14ac:dyDescent="0.25">
      <c r="A39" s="3" t="s">
        <v>3122</v>
      </c>
      <c r="B39" s="3" t="s">
        <v>698</v>
      </c>
      <c r="C39" s="3" t="s">
        <v>1399</v>
      </c>
      <c r="D39" s="78" t="s">
        <v>3081</v>
      </c>
      <c r="E39" s="3" t="s">
        <v>1399</v>
      </c>
      <c r="F39" s="78"/>
      <c r="G39" s="78" t="s">
        <v>2632</v>
      </c>
    </row>
    <row r="40" ht="32" customHeight="1" spans="1:8" x14ac:dyDescent="0.25">
      <c r="A40" s="3" t="s">
        <v>3123</v>
      </c>
      <c r="B40" s="3" t="s">
        <v>698</v>
      </c>
      <c r="C40" s="3" t="s">
        <v>2763</v>
      </c>
      <c r="D40" s="78" t="s">
        <v>3081</v>
      </c>
      <c r="E40" s="3" t="s">
        <v>2763</v>
      </c>
      <c r="F40" s="78" t="s">
        <v>3124</v>
      </c>
      <c r="G40" s="78" t="s">
        <v>2632</v>
      </c>
    </row>
    <row r="41" ht="32" customHeight="1" spans="1:8" x14ac:dyDescent="0.25">
      <c r="A41" s="3" t="s">
        <v>3125</v>
      </c>
      <c r="B41" s="3" t="s">
        <v>698</v>
      </c>
      <c r="C41" s="3" t="s">
        <v>3126</v>
      </c>
      <c r="D41" s="78" t="s">
        <v>3081</v>
      </c>
      <c r="E41" s="3" t="s">
        <v>3126</v>
      </c>
      <c r="F41" s="78" t="s">
        <v>3127</v>
      </c>
      <c r="G41" s="78" t="s">
        <v>3128</v>
      </c>
    </row>
    <row r="42" ht="32" customHeight="1" spans="1:8" x14ac:dyDescent="0.25">
      <c r="A42" s="3" t="s">
        <v>3129</v>
      </c>
      <c r="B42" s="3" t="s">
        <v>698</v>
      </c>
      <c r="C42" s="3" t="s">
        <v>3130</v>
      </c>
      <c r="D42" s="78" t="s">
        <v>3081</v>
      </c>
      <c r="E42" s="3" t="s">
        <v>1832</v>
      </c>
      <c r="F42" s="78"/>
      <c r="G42" s="78" t="s">
        <v>2632</v>
      </c>
    </row>
    <row r="43" ht="32" customHeight="1" spans="1:8" x14ac:dyDescent="0.25">
      <c r="A43" s="3" t="s">
        <v>3131</v>
      </c>
      <c r="B43" s="3" t="s">
        <v>698</v>
      </c>
      <c r="C43" s="3" t="s">
        <v>3132</v>
      </c>
      <c r="D43" s="78" t="s">
        <v>3081</v>
      </c>
      <c r="E43" s="3" t="s">
        <v>2863</v>
      </c>
      <c r="F43" s="78" t="s">
        <v>3124</v>
      </c>
      <c r="G43" s="78" t="s">
        <v>2632</v>
      </c>
    </row>
    <row r="44" ht="32" customHeight="1" spans="1:8" x14ac:dyDescent="0.25">
      <c r="A44" s="3" t="s">
        <v>3133</v>
      </c>
      <c r="B44" s="3" t="s">
        <v>698</v>
      </c>
      <c r="C44" s="3" t="s">
        <v>3134</v>
      </c>
      <c r="D44" s="78" t="s">
        <v>3081</v>
      </c>
      <c r="E44" s="3" t="s">
        <v>3135</v>
      </c>
      <c r="F44" s="78" t="s">
        <v>3127</v>
      </c>
      <c r="G44" s="78" t="s">
        <v>3128</v>
      </c>
    </row>
    <row r="45" ht="32" customHeight="1" spans="1:8" x14ac:dyDescent="0.25">
      <c r="A45" s="3" t="s">
        <v>3136</v>
      </c>
      <c r="B45" s="3" t="s">
        <v>698</v>
      </c>
      <c r="C45" s="3" t="s">
        <v>821</v>
      </c>
      <c r="D45" s="78" t="s">
        <v>3081</v>
      </c>
      <c r="E45" s="3" t="s">
        <v>821</v>
      </c>
      <c r="F45" s="78"/>
      <c r="G45" s="78" t="s">
        <v>2632</v>
      </c>
    </row>
    <row r="46" ht="32" customHeight="1" spans="1:8" x14ac:dyDescent="0.25">
      <c r="A46" s="3" t="s">
        <v>3137</v>
      </c>
      <c r="B46" s="3" t="s">
        <v>698</v>
      </c>
      <c r="C46" s="3" t="s">
        <v>2631</v>
      </c>
      <c r="D46" s="78" t="s">
        <v>3081</v>
      </c>
      <c r="E46" s="3" t="s">
        <v>2631</v>
      </c>
      <c r="F46" s="78" t="s">
        <v>3124</v>
      </c>
      <c r="G46" s="78" t="s">
        <v>2632</v>
      </c>
    </row>
    <row r="47" ht="32" customHeight="1" spans="1:8" x14ac:dyDescent="0.25">
      <c r="A47" s="3" t="s">
        <v>3138</v>
      </c>
      <c r="B47" s="3" t="s">
        <v>698</v>
      </c>
      <c r="C47" s="3" t="s">
        <v>3139</v>
      </c>
      <c r="D47" s="78" t="s">
        <v>3081</v>
      </c>
      <c r="E47" s="3" t="s">
        <v>3139</v>
      </c>
      <c r="F47" s="78" t="s">
        <v>3127</v>
      </c>
      <c r="G47" s="78" t="s">
        <v>3128</v>
      </c>
    </row>
    <row r="48" ht="32" customHeight="1" spans="1:8" x14ac:dyDescent="0.25">
      <c r="A48" s="3" t="s">
        <v>3140</v>
      </c>
      <c r="B48" s="3" t="s">
        <v>698</v>
      </c>
      <c r="C48" s="3" t="s">
        <v>1731</v>
      </c>
      <c r="D48" s="78" t="s">
        <v>3081</v>
      </c>
      <c r="E48" s="3" t="s">
        <v>1731</v>
      </c>
      <c r="F48" s="78"/>
      <c r="G48" s="78" t="s">
        <v>2632</v>
      </c>
    </row>
    <row r="49" ht="32" customHeight="1" spans="1:8" x14ac:dyDescent="0.25">
      <c r="A49" s="3" t="s">
        <v>3141</v>
      </c>
      <c r="B49" s="3" t="s">
        <v>698</v>
      </c>
      <c r="C49" s="3" t="s">
        <v>2839</v>
      </c>
      <c r="D49" s="78" t="s">
        <v>3081</v>
      </c>
      <c r="E49" s="3" t="s">
        <v>2839</v>
      </c>
      <c r="F49" s="78" t="s">
        <v>3124</v>
      </c>
      <c r="G49" s="78" t="s">
        <v>2632</v>
      </c>
    </row>
    <row r="50" ht="32" customHeight="1" spans="1:8" x14ac:dyDescent="0.25">
      <c r="A50" s="3" t="s">
        <v>3142</v>
      </c>
      <c r="B50" s="3" t="s">
        <v>698</v>
      </c>
      <c r="C50" s="3" t="s">
        <v>3143</v>
      </c>
      <c r="D50" s="78" t="s">
        <v>3081</v>
      </c>
      <c r="E50" s="3" t="s">
        <v>3143</v>
      </c>
      <c r="F50" s="78" t="s">
        <v>3127</v>
      </c>
      <c r="G50" s="78" t="s">
        <v>3128</v>
      </c>
    </row>
    <row r="51" ht="32" customHeight="1" spans="1:8" x14ac:dyDescent="0.25">
      <c r="A51" s="3" t="s">
        <v>3144</v>
      </c>
      <c r="B51" s="3" t="s">
        <v>698</v>
      </c>
      <c r="C51" s="3" t="s">
        <v>3145</v>
      </c>
      <c r="D51" s="78" t="s">
        <v>3081</v>
      </c>
      <c r="E51" s="3" t="s">
        <v>3145</v>
      </c>
      <c r="F51" s="78" t="s">
        <v>3124</v>
      </c>
      <c r="G51" s="78" t="s">
        <v>2632</v>
      </c>
    </row>
    <row r="52" ht="32" customHeight="1" spans="1:8" x14ac:dyDescent="0.25">
      <c r="A52" s="3" t="s">
        <v>3146</v>
      </c>
      <c r="B52" s="3" t="s">
        <v>698</v>
      </c>
      <c r="C52" s="3" t="s">
        <v>3147</v>
      </c>
      <c r="D52" s="78" t="s">
        <v>3081</v>
      </c>
      <c r="E52" s="3" t="s">
        <v>3147</v>
      </c>
      <c r="F52" s="78" t="s">
        <v>3127</v>
      </c>
      <c r="G52" s="78" t="s">
        <v>3128</v>
      </c>
    </row>
    <row r="53" ht="32" customHeight="1" spans="1:8" x14ac:dyDescent="0.25">
      <c r="A53" s="3" t="s">
        <v>3148</v>
      </c>
      <c r="B53" s="3" t="s">
        <v>698</v>
      </c>
      <c r="C53" s="3" t="s">
        <v>3149</v>
      </c>
      <c r="D53" s="78" t="s">
        <v>3081</v>
      </c>
      <c r="E53" s="3" t="s">
        <v>3149</v>
      </c>
      <c r="F53" s="78"/>
      <c r="G53" s="78" t="s">
        <v>2632</v>
      </c>
    </row>
    <row r="54" ht="32" customHeight="1" spans="1:8" x14ac:dyDescent="0.25">
      <c r="A54" s="3" t="s">
        <v>3150</v>
      </c>
      <c r="B54" s="3" t="s">
        <v>698</v>
      </c>
      <c r="C54" s="3" t="s">
        <v>3151</v>
      </c>
      <c r="D54" s="78" t="s">
        <v>3081</v>
      </c>
      <c r="E54" s="3" t="s">
        <v>3151</v>
      </c>
      <c r="F54" s="78" t="s">
        <v>3152</v>
      </c>
      <c r="G54" s="78" t="s">
        <v>2632</v>
      </c>
    </row>
    <row r="55" ht="32" customHeight="1" spans="1:8" x14ac:dyDescent="0.25">
      <c r="A55" s="3" t="s">
        <v>3153</v>
      </c>
      <c r="B55" s="3" t="s">
        <v>698</v>
      </c>
      <c r="C55" s="3" t="s">
        <v>3154</v>
      </c>
      <c r="D55" s="78" t="s">
        <v>3081</v>
      </c>
      <c r="E55" s="3" t="s">
        <v>3154</v>
      </c>
      <c r="F55" s="78" t="s">
        <v>3155</v>
      </c>
      <c r="G55" s="78" t="s">
        <v>3128</v>
      </c>
    </row>
    <row r="56" ht="32" customHeight="1" spans="1:8" x14ac:dyDescent="0.25">
      <c r="A56" s="3" t="s">
        <v>3156</v>
      </c>
      <c r="B56" s="3" t="s">
        <v>698</v>
      </c>
      <c r="C56" s="3" t="s">
        <v>3157</v>
      </c>
      <c r="D56" s="78" t="s">
        <v>3099</v>
      </c>
      <c r="E56" s="3" t="s">
        <v>711</v>
      </c>
      <c r="F56" s="78" t="s">
        <v>2472</v>
      </c>
      <c r="G56" s="78" t="s">
        <v>2605</v>
      </c>
    </row>
    <row r="57" ht="32" customHeight="1" spans="1:8" x14ac:dyDescent="0.25">
      <c r="A57" s="3" t="s">
        <v>3158</v>
      </c>
      <c r="B57" s="3" t="s">
        <v>698</v>
      </c>
      <c r="C57" s="3" t="s">
        <v>3159</v>
      </c>
      <c r="D57" s="78" t="s">
        <v>3099</v>
      </c>
      <c r="E57" s="3" t="s">
        <v>1270</v>
      </c>
      <c r="F57" s="78" t="s">
        <v>2472</v>
      </c>
      <c r="G57" s="78" t="s">
        <v>2605</v>
      </c>
    </row>
    <row r="58" ht="32" customHeight="1" spans="1:8" x14ac:dyDescent="0.25">
      <c r="A58" s="3" t="s">
        <v>3160</v>
      </c>
      <c r="B58" s="3" t="s">
        <v>698</v>
      </c>
      <c r="C58" s="3" t="s">
        <v>3159</v>
      </c>
      <c r="D58" s="78" t="s">
        <v>3099</v>
      </c>
      <c r="E58" s="3" t="s">
        <v>2733</v>
      </c>
      <c r="F58" s="78" t="s">
        <v>3109</v>
      </c>
      <c r="G58" s="78" t="s">
        <v>2605</v>
      </c>
    </row>
    <row r="59" ht="32" customHeight="1" spans="1:8" x14ac:dyDescent="0.25">
      <c r="A59" s="3" t="s">
        <v>3161</v>
      </c>
      <c r="B59" s="3" t="s">
        <v>698</v>
      </c>
      <c r="C59" s="3" t="s">
        <v>3159</v>
      </c>
      <c r="D59" s="78" t="s">
        <v>3099</v>
      </c>
      <c r="E59" s="3" t="s">
        <v>3162</v>
      </c>
      <c r="F59" s="78" t="s">
        <v>3162</v>
      </c>
      <c r="G59" s="78" t="s">
        <v>2605</v>
      </c>
    </row>
    <row r="60" ht="32" customHeight="1" spans="1:8" x14ac:dyDescent="0.25">
      <c r="A60" s="3" t="s">
        <v>3163</v>
      </c>
      <c r="B60" s="3" t="s">
        <v>698</v>
      </c>
      <c r="C60" s="3" t="s">
        <v>3159</v>
      </c>
      <c r="D60" s="78" t="s">
        <v>3099</v>
      </c>
      <c r="E60" s="3" t="s">
        <v>3164</v>
      </c>
      <c r="F60" s="78" t="s">
        <v>3164</v>
      </c>
      <c r="G60" s="78" t="s">
        <v>2605</v>
      </c>
    </row>
    <row r="61" ht="32" customHeight="1" spans="1:8" x14ac:dyDescent="0.25">
      <c r="A61" s="3" t="s">
        <v>3165</v>
      </c>
      <c r="B61" s="3" t="s">
        <v>698</v>
      </c>
      <c r="C61" s="3" t="s">
        <v>3166</v>
      </c>
      <c r="D61" s="78" t="s">
        <v>3099</v>
      </c>
      <c r="E61" s="3" t="s">
        <v>2147</v>
      </c>
      <c r="F61" s="78" t="s">
        <v>3109</v>
      </c>
      <c r="G61" s="78" t="s">
        <v>2605</v>
      </c>
    </row>
    <row r="62" ht="32" customHeight="1" spans="1:8" x14ac:dyDescent="0.25">
      <c r="A62" s="3" t="s">
        <v>3167</v>
      </c>
      <c r="B62" s="3" t="s">
        <v>698</v>
      </c>
      <c r="C62" s="3" t="s">
        <v>3168</v>
      </c>
      <c r="D62" s="78" t="s">
        <v>3099</v>
      </c>
      <c r="E62" s="3" t="s">
        <v>3169</v>
      </c>
      <c r="F62" s="78" t="s">
        <v>3109</v>
      </c>
      <c r="G62" s="78" t="s">
        <v>2605</v>
      </c>
    </row>
    <row r="63" ht="32" customHeight="1" spans="1:8" x14ac:dyDescent="0.25">
      <c r="A63" s="3" t="s">
        <v>3170</v>
      </c>
      <c r="B63" s="3" t="s">
        <v>698</v>
      </c>
      <c r="C63" s="3" t="s">
        <v>3171</v>
      </c>
      <c r="D63" s="78" t="s">
        <v>3099</v>
      </c>
      <c r="E63" s="3" t="s">
        <v>1965</v>
      </c>
      <c r="F63" s="78" t="s">
        <v>3109</v>
      </c>
      <c r="G63" s="78" t="s">
        <v>2605</v>
      </c>
    </row>
    <row r="64" ht="32" customHeight="1" spans="1:8" x14ac:dyDescent="0.25">
      <c r="A64" s="3" t="s">
        <v>3172</v>
      </c>
      <c r="B64" s="3" t="s">
        <v>698</v>
      </c>
      <c r="C64" s="3" t="s">
        <v>3173</v>
      </c>
      <c r="D64" s="78" t="s">
        <v>3099</v>
      </c>
      <c r="E64" s="3" t="s">
        <v>2049</v>
      </c>
      <c r="F64" s="78" t="s">
        <v>3121</v>
      </c>
      <c r="G64" s="78" t="s">
        <v>2605</v>
      </c>
    </row>
    <row r="65" ht="32" customHeight="1" spans="1:8" x14ac:dyDescent="0.25">
      <c r="A65" s="3" t="s">
        <v>3174</v>
      </c>
      <c r="B65" s="3" t="s">
        <v>698</v>
      </c>
      <c r="C65" s="3" t="s">
        <v>3175</v>
      </c>
      <c r="D65" s="78" t="s">
        <v>3099</v>
      </c>
      <c r="E65" s="3" t="s">
        <v>699</v>
      </c>
      <c r="F65" s="78" t="s">
        <v>2472</v>
      </c>
      <c r="G65" s="78" t="s">
        <v>2605</v>
      </c>
    </row>
    <row r="66" ht="32" customHeight="1" spans="1:8" x14ac:dyDescent="0.25">
      <c r="A66" s="3" t="s">
        <v>3176</v>
      </c>
      <c r="B66" s="3" t="s">
        <v>698</v>
      </c>
      <c r="C66" s="3" t="s">
        <v>3177</v>
      </c>
      <c r="D66" s="78" t="s">
        <v>3099</v>
      </c>
      <c r="E66" s="3" t="s">
        <v>2177</v>
      </c>
      <c r="F66" s="78" t="s">
        <v>2472</v>
      </c>
      <c r="G66" s="78" t="s">
        <v>2605</v>
      </c>
    </row>
    <row r="67" ht="32" customHeight="1" spans="1:8" x14ac:dyDescent="0.25">
      <c r="A67" s="3" t="s">
        <v>3178</v>
      </c>
      <c r="B67" s="3" t="s">
        <v>698</v>
      </c>
      <c r="C67" s="3" t="s">
        <v>3177</v>
      </c>
      <c r="D67" s="78" t="s">
        <v>3099</v>
      </c>
      <c r="E67" s="3" t="s">
        <v>3179</v>
      </c>
      <c r="F67" s="78" t="s">
        <v>3179</v>
      </c>
      <c r="G67" s="78" t="s">
        <v>2605</v>
      </c>
    </row>
    <row r="68" ht="32" customHeight="1" spans="1:8" x14ac:dyDescent="0.25">
      <c r="A68" s="3" t="s">
        <v>3180</v>
      </c>
      <c r="B68" s="3" t="s">
        <v>698</v>
      </c>
      <c r="C68" s="3" t="s">
        <v>3177</v>
      </c>
      <c r="D68" s="78" t="s">
        <v>3099</v>
      </c>
      <c r="E68" s="3" t="s">
        <v>2943</v>
      </c>
      <c r="F68" s="78" t="s">
        <v>2943</v>
      </c>
      <c r="G68" s="78" t="s">
        <v>2605</v>
      </c>
    </row>
    <row r="69" ht="32" customHeight="1" spans="1:8" x14ac:dyDescent="0.25">
      <c r="A69" s="3" t="s">
        <v>3181</v>
      </c>
      <c r="B69" s="3" t="s">
        <v>698</v>
      </c>
      <c r="C69" s="3" t="s">
        <v>3182</v>
      </c>
      <c r="D69" s="78" t="s">
        <v>3099</v>
      </c>
      <c r="E69" s="3" t="s">
        <v>1211</v>
      </c>
      <c r="F69" s="78" t="s">
        <v>3109</v>
      </c>
      <c r="G69" s="78" t="s">
        <v>2605</v>
      </c>
    </row>
    <row r="70" ht="32" customHeight="1" spans="1:8" x14ac:dyDescent="0.25">
      <c r="A70" s="3" t="s">
        <v>3183</v>
      </c>
      <c r="B70" s="3" t="s">
        <v>698</v>
      </c>
      <c r="C70" s="3" t="s">
        <v>3184</v>
      </c>
      <c r="D70" s="78" t="s">
        <v>3099</v>
      </c>
      <c r="E70" s="3" t="s">
        <v>1252</v>
      </c>
      <c r="F70" s="78" t="s">
        <v>3109</v>
      </c>
      <c r="G70" s="78" t="s">
        <v>2605</v>
      </c>
    </row>
    <row r="71" ht="32" customHeight="1" spans="1:8" x14ac:dyDescent="0.25">
      <c r="A71" s="3" t="s">
        <v>3185</v>
      </c>
      <c r="B71" s="3" t="s">
        <v>2429</v>
      </c>
      <c r="C71" s="3" t="s">
        <v>3186</v>
      </c>
      <c r="D71" s="78" t="s">
        <v>3099</v>
      </c>
      <c r="E71" s="3" t="s">
        <v>2459</v>
      </c>
      <c r="F71" s="78" t="s">
        <v>2472</v>
      </c>
      <c r="G71" s="78" t="s">
        <v>2605</v>
      </c>
    </row>
    <row r="72" ht="32" customHeight="1" spans="1:8" x14ac:dyDescent="0.25">
      <c r="A72" s="3" t="s">
        <v>3187</v>
      </c>
      <c r="B72" s="3" t="s">
        <v>2429</v>
      </c>
      <c r="C72" s="3" t="s">
        <v>3188</v>
      </c>
      <c r="D72" s="78" t="s">
        <v>3099</v>
      </c>
      <c r="E72" s="3" t="s">
        <v>2430</v>
      </c>
      <c r="F72" s="78" t="s">
        <v>2472</v>
      </c>
      <c r="G72" s="78" t="s">
        <v>2605</v>
      </c>
    </row>
    <row r="73" ht="32" customHeight="1" spans="1:8" x14ac:dyDescent="0.25">
      <c r="A73" s="3" t="s">
        <v>3189</v>
      </c>
      <c r="B73" s="3" t="s">
        <v>2429</v>
      </c>
      <c r="C73" s="3" t="s">
        <v>3190</v>
      </c>
      <c r="D73" s="78" t="s">
        <v>3099</v>
      </c>
      <c r="E73" s="3" t="s">
        <v>3191</v>
      </c>
      <c r="F73" s="78" t="s">
        <v>2472</v>
      </c>
      <c r="G73" s="78" t="s">
        <v>2605</v>
      </c>
    </row>
    <row r="74" ht="32" customHeight="1" spans="1:8" x14ac:dyDescent="0.25">
      <c r="A74" s="3" t="s">
        <v>3192</v>
      </c>
      <c r="B74" s="3" t="s">
        <v>2429</v>
      </c>
      <c r="C74" s="3" t="s">
        <v>3193</v>
      </c>
      <c r="D74" s="78" t="s">
        <v>3099</v>
      </c>
      <c r="E74" s="3" t="s">
        <v>3194</v>
      </c>
      <c r="F74" s="78" t="s">
        <v>3195</v>
      </c>
      <c r="G74" s="78" t="s">
        <v>2605</v>
      </c>
    </row>
    <row r="75" ht="32" customHeight="1" spans="1:8" x14ac:dyDescent="0.25">
      <c r="A75" s="3" t="s">
        <v>3196</v>
      </c>
      <c r="B75" s="3" t="s">
        <v>2429</v>
      </c>
      <c r="C75" s="3" t="s">
        <v>3197</v>
      </c>
      <c r="D75" s="78" t="s">
        <v>3099</v>
      </c>
      <c r="E75" s="3" t="s">
        <v>3198</v>
      </c>
      <c r="F75" s="78" t="s">
        <v>3199</v>
      </c>
      <c r="G75" s="78" t="s">
        <v>2605</v>
      </c>
    </row>
    <row r="76" ht="32" customHeight="1" spans="1:8" x14ac:dyDescent="0.25">
      <c r="A76" s="3" t="s">
        <v>3200</v>
      </c>
      <c r="B76" s="3" t="s">
        <v>2429</v>
      </c>
      <c r="C76" s="3" t="s">
        <v>3201</v>
      </c>
      <c r="D76" s="78" t="s">
        <v>3099</v>
      </c>
      <c r="E76" s="3" t="s">
        <v>3202</v>
      </c>
      <c r="F76" s="78" t="s">
        <v>3203</v>
      </c>
      <c r="G76" s="78" t="s">
        <v>2605</v>
      </c>
    </row>
    <row r="77" ht="32" customHeight="1" spans="1:8" x14ac:dyDescent="0.25">
      <c r="A77" s="3" t="s">
        <v>3204</v>
      </c>
      <c r="B77" s="3" t="s">
        <v>2429</v>
      </c>
      <c r="C77" s="3" t="s">
        <v>3205</v>
      </c>
      <c r="D77" s="78" t="s">
        <v>3099</v>
      </c>
      <c r="E77" s="3" t="s">
        <v>3206</v>
      </c>
      <c r="F77" s="78" t="s">
        <v>3207</v>
      </c>
      <c r="G77" s="78" t="s">
        <v>2605</v>
      </c>
    </row>
    <row r="78" ht="32" customHeight="1" spans="1:8" x14ac:dyDescent="0.25">
      <c r="A78" s="3" t="s">
        <v>3208</v>
      </c>
      <c r="B78" s="3" t="s">
        <v>2429</v>
      </c>
      <c r="C78" s="3" t="s">
        <v>3209</v>
      </c>
      <c r="D78" s="78" t="s">
        <v>3099</v>
      </c>
      <c r="E78" s="3" t="s">
        <v>3210</v>
      </c>
      <c r="F78" s="78" t="s">
        <v>3211</v>
      </c>
      <c r="G78" s="78" t="s">
        <v>2605</v>
      </c>
    </row>
    <row r="79" ht="32" customHeight="1" spans="1:8" x14ac:dyDescent="0.25">
      <c r="A79" s="3" t="s">
        <v>3212</v>
      </c>
      <c r="B79" s="3" t="s">
        <v>2429</v>
      </c>
      <c r="C79" s="3" t="s">
        <v>3213</v>
      </c>
      <c r="D79" s="78" t="s">
        <v>3099</v>
      </c>
      <c r="E79" s="3" t="s">
        <v>3214</v>
      </c>
      <c r="F79" s="78" t="s">
        <v>3215</v>
      </c>
      <c r="G79" s="78" t="s">
        <v>2605</v>
      </c>
    </row>
    <row r="80" ht="32" customHeight="1" spans="1:8" x14ac:dyDescent="0.25">
      <c r="A80" s="3" t="s">
        <v>3216</v>
      </c>
      <c r="B80" s="3" t="s">
        <v>2429</v>
      </c>
      <c r="C80" s="3" t="s">
        <v>3217</v>
      </c>
      <c r="D80" s="78" t="s">
        <v>3099</v>
      </c>
      <c r="E80" s="3" t="s">
        <v>3218</v>
      </c>
      <c r="F80" s="78" t="s">
        <v>3219</v>
      </c>
      <c r="G80" s="78" t="s">
        <v>2605</v>
      </c>
    </row>
    <row r="81" ht="32" customHeight="1" spans="1:8" x14ac:dyDescent="0.25">
      <c r="A81" s="3" t="s">
        <v>3220</v>
      </c>
      <c r="B81" s="3" t="s">
        <v>2429</v>
      </c>
      <c r="C81" s="3" t="s">
        <v>3221</v>
      </c>
      <c r="D81" s="78" t="s">
        <v>3099</v>
      </c>
      <c r="E81" s="3" t="s">
        <v>2444</v>
      </c>
      <c r="F81" s="78"/>
      <c r="G81" s="78" t="s">
        <v>2605</v>
      </c>
    </row>
    <row r="82" ht="32" customHeight="1" spans="1:8" x14ac:dyDescent="0.25">
      <c r="A82" s="3" t="s">
        <v>3222</v>
      </c>
      <c r="B82" s="3" t="s">
        <v>2429</v>
      </c>
      <c r="C82" s="3" t="s">
        <v>3223</v>
      </c>
      <c r="D82" s="78" t="s">
        <v>3099</v>
      </c>
      <c r="E82" s="3" t="s">
        <v>3224</v>
      </c>
      <c r="F82" s="78" t="s">
        <v>3195</v>
      </c>
      <c r="G82" s="78" t="s">
        <v>2605</v>
      </c>
    </row>
    <row r="83" ht="32" customHeight="1" spans="1:8" x14ac:dyDescent="0.25">
      <c r="A83" s="3" t="s">
        <v>3225</v>
      </c>
      <c r="B83" s="3" t="s">
        <v>2429</v>
      </c>
      <c r="C83" s="3" t="s">
        <v>3226</v>
      </c>
      <c r="D83" s="78" t="s">
        <v>3099</v>
      </c>
      <c r="E83" s="3" t="s">
        <v>3227</v>
      </c>
      <c r="F83" s="78" t="s">
        <v>3199</v>
      </c>
      <c r="G83" s="78" t="s">
        <v>2605</v>
      </c>
    </row>
    <row r="84" ht="32" customHeight="1" spans="1:8" x14ac:dyDescent="0.25">
      <c r="A84" s="3" t="s">
        <v>3228</v>
      </c>
      <c r="B84" s="3" t="s">
        <v>2429</v>
      </c>
      <c r="C84" s="3" t="s">
        <v>3229</v>
      </c>
      <c r="D84" s="78" t="s">
        <v>3099</v>
      </c>
      <c r="E84" s="3" t="s">
        <v>3230</v>
      </c>
      <c r="F84" s="78" t="s">
        <v>3203</v>
      </c>
      <c r="G84" s="78" t="s">
        <v>2605</v>
      </c>
    </row>
    <row r="85" ht="32" customHeight="1" spans="1:8" x14ac:dyDescent="0.25">
      <c r="A85" s="3" t="s">
        <v>3231</v>
      </c>
      <c r="B85" s="3" t="s">
        <v>2429</v>
      </c>
      <c r="C85" s="3" t="s">
        <v>3232</v>
      </c>
      <c r="D85" s="78" t="s">
        <v>3099</v>
      </c>
      <c r="E85" s="3" t="s">
        <v>3233</v>
      </c>
      <c r="F85" s="78" t="s">
        <v>3207</v>
      </c>
      <c r="G85" s="78" t="s">
        <v>2605</v>
      </c>
    </row>
    <row r="86" ht="32" customHeight="1" spans="1:8" x14ac:dyDescent="0.25">
      <c r="A86" s="3" t="s">
        <v>3234</v>
      </c>
      <c r="B86" s="3" t="s">
        <v>2429</v>
      </c>
      <c r="C86" s="3" t="s">
        <v>3235</v>
      </c>
      <c r="D86" s="78" t="s">
        <v>3099</v>
      </c>
      <c r="E86" s="3" t="s">
        <v>3236</v>
      </c>
      <c r="F86" s="78" t="s">
        <v>3211</v>
      </c>
      <c r="G86" s="78" t="s">
        <v>2605</v>
      </c>
    </row>
    <row r="87" ht="32" customHeight="1" spans="1:8" x14ac:dyDescent="0.25">
      <c r="A87" s="3" t="s">
        <v>3237</v>
      </c>
      <c r="B87" s="3" t="s">
        <v>2429</v>
      </c>
      <c r="C87" s="3" t="s">
        <v>3238</v>
      </c>
      <c r="D87" s="78" t="s">
        <v>3099</v>
      </c>
      <c r="E87" s="3" t="s">
        <v>3007</v>
      </c>
      <c r="F87" s="78" t="s">
        <v>3215</v>
      </c>
      <c r="G87" s="78" t="s">
        <v>2605</v>
      </c>
    </row>
    <row r="88" ht="32" customHeight="1" spans="1:8" x14ac:dyDescent="0.25">
      <c r="A88" s="3" t="s">
        <v>3239</v>
      </c>
      <c r="B88" s="3" t="s">
        <v>2429</v>
      </c>
      <c r="C88" s="3" t="s">
        <v>3240</v>
      </c>
      <c r="D88" s="78" t="s">
        <v>3099</v>
      </c>
      <c r="E88" s="3" t="s">
        <v>3241</v>
      </c>
      <c r="F88" s="78" t="s">
        <v>3219</v>
      </c>
      <c r="G88" s="78" t="s">
        <v>2605</v>
      </c>
    </row>
    <row r="89" ht="32" customHeight="1" spans="1:8" x14ac:dyDescent="0.25">
      <c r="A89" s="3" t="s">
        <v>3242</v>
      </c>
      <c r="B89" s="3" t="s">
        <v>2429</v>
      </c>
      <c r="C89" s="3" t="s">
        <v>3243</v>
      </c>
      <c r="D89" s="78" t="s">
        <v>3099</v>
      </c>
      <c r="E89" s="3" t="s">
        <v>3244</v>
      </c>
      <c r="F89" s="78" t="s">
        <v>2472</v>
      </c>
      <c r="G89" s="78" t="s">
        <v>2605</v>
      </c>
    </row>
    <row r="90" ht="32" customHeight="1" spans="1:8" x14ac:dyDescent="0.25">
      <c r="A90" s="3" t="s">
        <v>3245</v>
      </c>
      <c r="B90" s="3" t="s">
        <v>2429</v>
      </c>
      <c r="C90" s="3" t="s">
        <v>3177</v>
      </c>
      <c r="D90" s="78" t="s">
        <v>3038</v>
      </c>
      <c r="E90" s="3" t="s">
        <v>2177</v>
      </c>
      <c r="F90" s="78" t="s">
        <v>2472</v>
      </c>
      <c r="G90" s="78" t="s">
        <v>2605</v>
      </c>
    </row>
    <row r="91" ht="32" customHeight="1" spans="1:8" x14ac:dyDescent="0.25">
      <c r="A91" s="3" t="s">
        <v>3246</v>
      </c>
      <c r="B91" s="3" t="s">
        <v>2429</v>
      </c>
      <c r="C91" s="3" t="s">
        <v>3177</v>
      </c>
      <c r="D91" s="78" t="s">
        <v>3099</v>
      </c>
      <c r="E91" s="3" t="s">
        <v>3179</v>
      </c>
      <c r="F91" s="78" t="s">
        <v>3179</v>
      </c>
      <c r="G91" s="78" t="s">
        <v>2605</v>
      </c>
    </row>
    <row r="92" ht="32" customHeight="1" spans="1:8" x14ac:dyDescent="0.25">
      <c r="A92" s="3" t="s">
        <v>3247</v>
      </c>
      <c r="B92" s="3" t="s">
        <v>2429</v>
      </c>
      <c r="C92" s="3" t="s">
        <v>3177</v>
      </c>
      <c r="D92" s="78" t="s">
        <v>3099</v>
      </c>
      <c r="E92" s="3" t="s">
        <v>2943</v>
      </c>
      <c r="F92" s="78" t="s">
        <v>2943</v>
      </c>
      <c r="G92" s="78" t="s">
        <v>2605</v>
      </c>
    </row>
    <row r="93" ht="32" customHeight="1" spans="1:8" x14ac:dyDescent="0.25">
      <c r="A93" s="3" t="s">
        <v>3248</v>
      </c>
      <c r="B93" s="3" t="s">
        <v>2429</v>
      </c>
      <c r="C93" s="3" t="s">
        <v>3182</v>
      </c>
      <c r="D93" s="78" t="s">
        <v>3099</v>
      </c>
      <c r="E93" s="3" t="s">
        <v>1211</v>
      </c>
      <c r="F93" s="78" t="s">
        <v>3109</v>
      </c>
      <c r="G93" s="78" t="s">
        <v>2605</v>
      </c>
    </row>
    <row r="94" ht="32" customHeight="1" spans="1:8" x14ac:dyDescent="0.25">
      <c r="A94" s="3" t="s">
        <v>3249</v>
      </c>
      <c r="B94" s="3" t="s">
        <v>2429</v>
      </c>
      <c r="C94" s="3" t="s">
        <v>3184</v>
      </c>
      <c r="D94" s="78" t="s">
        <v>3099</v>
      </c>
      <c r="E94" s="3" t="s">
        <v>1252</v>
      </c>
      <c r="F94" s="78" t="s">
        <v>3109</v>
      </c>
      <c r="G94" s="78" t="s">
        <v>2605</v>
      </c>
    </row>
    <row r="95" spans="1:8" x14ac:dyDescent="0.25">
      <c r="A95" s="3"/>
      <c r="B95" s="3"/>
      <c r="C95" s="3"/>
      <c r="D95" s="3"/>
      <c r="E95" s="3"/>
      <c r="F95" s="3"/>
      <c r="G95" s="3"/>
    </row>
    <row r="133" ht="15.75" customHeight="1" x14ac:dyDescent="0.25"/>
    <row r="134" ht="15.75" customHeight="1" x14ac:dyDescent="0.25"/>
    <row r="135" ht="15.75" customHeight="1" x14ac:dyDescent="0.25"/>
    <row r="136" ht="15.75" customHeight="1" x14ac:dyDescent="0.25"/>
    <row r="137" ht="15.75" customHeight="1" x14ac:dyDescent="0.25"/>
    <row r="148" ht="15.75" customHeight="1" x14ac:dyDescent="0.25"/>
    <row r="149" ht="15.75" customHeight="1" x14ac:dyDescent="0.25"/>
    <row r="150" ht="15.75" customHeight="1" spans="1:8" s="79" customFormat="1" x14ac:dyDescent="0.25">
      <c r="A150" s="79"/>
      <c r="B150" s="3"/>
      <c r="C150" s="3"/>
      <c r="D150" s="3"/>
      <c r="E150" s="3"/>
      <c r="F150" s="3"/>
      <c r="G150" s="3"/>
      <c r="H150" s="3"/>
    </row>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I27"/>
  <sheetViews>
    <sheetView workbookViewId="0" zoomScale="100" zoomScaleNormal="100">
      <pane xSplit="5" ySplit="1" topLeftCell="F13" activePane="bottomRight" state="frozen"/>
      <selection pane="bottomRight" activeCell="AE21" sqref="AE21"/>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8" width="9.33203125" style="190" customWidth="1"/>
    <col min="29" max="29" width="11.6640625" style="190" customWidth="1"/>
    <col min="30" max="37" width="9.33203125" style="190" customWidth="1"/>
    <col min="38" max="38" width="7.83203125" style="190" customWidth="1"/>
    <col min="39" max="39" width="8.6640625" style="190" customWidth="1"/>
    <col min="40" max="42" width="9.33203125" style="190" customWidth="1"/>
    <col min="43" max="43" width="10.83203125" style="190" customWidth="1"/>
    <col min="44" max="48" width="9.33203125" style="190" customWidth="1"/>
    <col min="49" max="49" width="15.5" style="190" customWidth="1"/>
    <col min="50" max="50" width="16.5" style="190" customWidth="1"/>
    <col min="51" max="51" width="9.33203125" style="190" customWidth="1"/>
    <col min="52" max="61" width="9.33203125" style="190" hidden="1" customWidth="1"/>
    <col min="62" max="62" width="4" style="190" customWidth="1"/>
    <col min="63" max="16384" width="10.83203125" style="190" customWidth="1"/>
  </cols>
  <sheetData>
    <row r="1" ht="12" customHeight="1" spans="1:40" s="235" customFormat="1" x14ac:dyDescent="0.25">
      <c r="A1" s="236"/>
      <c r="B1" s="237" t="s">
        <v>4060</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row>
    <row r="2" ht="12" customHeight="1" spans="1:61" s="235" customFormat="1" x14ac:dyDescent="0.25">
      <c r="A2" s="240"/>
      <c r="B2" s="240"/>
      <c r="C2" s="240"/>
      <c r="D2" s="240"/>
      <c r="E2" s="240"/>
      <c r="F2" s="240"/>
      <c r="G2" s="241" t="s">
        <v>4065</v>
      </c>
      <c r="H2" s="241" t="s">
        <v>4065</v>
      </c>
      <c r="I2" s="241" t="s">
        <v>4065</v>
      </c>
      <c r="J2" s="241" t="s">
        <v>4065</v>
      </c>
      <c r="K2" s="241" t="s">
        <v>4065</v>
      </c>
      <c r="L2" s="241" t="s">
        <v>4065</v>
      </c>
      <c r="M2" s="241" t="s">
        <v>4065</v>
      </c>
      <c r="N2" s="241" t="s">
        <v>4065</v>
      </c>
      <c r="O2" s="241" t="s">
        <v>4065</v>
      </c>
      <c r="P2" s="242" t="s">
        <v>4066</v>
      </c>
      <c r="Q2" s="241" t="s">
        <v>4067</v>
      </c>
      <c r="R2" s="241" t="s">
        <v>4067</v>
      </c>
      <c r="S2" s="241" t="s">
        <v>4067</v>
      </c>
      <c r="T2" s="241" t="s">
        <v>4067</v>
      </c>
      <c r="U2" s="241" t="s">
        <v>4067</v>
      </c>
      <c r="V2" s="241" t="s">
        <v>4067</v>
      </c>
      <c r="W2" s="241" t="s">
        <v>4067</v>
      </c>
      <c r="X2" s="241" t="s">
        <v>4067</v>
      </c>
      <c r="Y2" s="241" t="s">
        <v>4067</v>
      </c>
      <c r="Z2" s="241" t="s">
        <v>4067</v>
      </c>
      <c r="AA2" s="241" t="s">
        <v>4067</v>
      </c>
      <c r="AB2" s="241" t="s">
        <v>4067</v>
      </c>
      <c r="AC2" s="241" t="s">
        <v>4067</v>
      </c>
      <c r="AD2" s="242" t="s">
        <v>4068</v>
      </c>
      <c r="AE2" s="241" t="s">
        <v>4069</v>
      </c>
      <c r="AF2" s="241" t="s">
        <v>4069</v>
      </c>
      <c r="AG2" s="241" t="s">
        <v>4069</v>
      </c>
      <c r="AH2" s="241" t="s">
        <v>4069</v>
      </c>
      <c r="AI2" s="241" t="s">
        <v>4069</v>
      </c>
      <c r="AJ2" s="241" t="s">
        <v>4069</v>
      </c>
      <c r="AK2" s="241" t="s">
        <v>4069</v>
      </c>
      <c r="AL2" s="241" t="s">
        <v>4069</v>
      </c>
      <c r="AM2" s="241" t="s">
        <v>4069</v>
      </c>
      <c r="AN2" s="243" t="s">
        <v>4070</v>
      </c>
      <c r="AZ2" s="244"/>
      <c r="BA2" s="244"/>
      <c r="BB2" s="244"/>
      <c r="BC2" s="244"/>
      <c r="BD2" s="244"/>
      <c r="BE2" s="244"/>
      <c r="BF2" s="244"/>
      <c r="BG2" s="244"/>
      <c r="BH2" s="244"/>
      <c r="BI2" s="205"/>
    </row>
    <row r="3" ht="36" customHeight="1" spans="1:61" s="235" customFormat="1" x14ac:dyDescent="0.25">
      <c r="A3" s="240"/>
      <c r="B3" s="240"/>
      <c r="C3" s="240"/>
      <c r="D3" s="240"/>
      <c r="E3" s="240"/>
      <c r="F3" s="240"/>
      <c r="G3" s="241" t="s">
        <v>4085</v>
      </c>
      <c r="H3" s="241" t="s">
        <v>4086</v>
      </c>
      <c r="I3" s="241" t="s">
        <v>4087</v>
      </c>
      <c r="J3" s="241" t="s">
        <v>4088</v>
      </c>
      <c r="K3" s="241" t="s">
        <v>4089</v>
      </c>
      <c r="L3" s="241" t="s">
        <v>4090</v>
      </c>
      <c r="M3" s="241" t="s">
        <v>323</v>
      </c>
      <c r="N3" s="241" t="s">
        <v>564</v>
      </c>
      <c r="O3" s="241" t="s">
        <v>4091</v>
      </c>
      <c r="P3" s="242"/>
      <c r="Q3" s="241" t="s">
        <v>4092</v>
      </c>
      <c r="R3" s="241" t="s">
        <v>4093</v>
      </c>
      <c r="S3" s="241" t="s">
        <v>4094</v>
      </c>
      <c r="T3" s="241" t="s">
        <v>4095</v>
      </c>
      <c r="U3" s="241" t="s">
        <v>4096</v>
      </c>
      <c r="V3" s="241" t="s">
        <v>4097</v>
      </c>
      <c r="W3" s="241" t="s">
        <v>4098</v>
      </c>
      <c r="X3" s="241" t="s">
        <v>4099</v>
      </c>
      <c r="Y3" s="241" t="s">
        <v>4100</v>
      </c>
      <c r="Z3" s="241" t="s">
        <v>4101</v>
      </c>
      <c r="AA3" s="241" t="s">
        <v>4102</v>
      </c>
      <c r="AB3" s="241" t="s">
        <v>4103</v>
      </c>
      <c r="AC3" s="241" t="s">
        <v>4104</v>
      </c>
      <c r="AD3" s="242"/>
      <c r="AE3" s="241" t="s">
        <v>4105</v>
      </c>
      <c r="AF3" s="241" t="s">
        <v>4106</v>
      </c>
      <c r="AG3" s="241" t="s">
        <v>4107</v>
      </c>
      <c r="AH3" s="241" t="s">
        <v>4108</v>
      </c>
      <c r="AI3" s="241" t="s">
        <v>4109</v>
      </c>
      <c r="AJ3" s="241" t="s">
        <v>4110</v>
      </c>
      <c r="AK3" s="241" t="s">
        <v>4111</v>
      </c>
      <c r="AL3" s="241" t="s">
        <v>4112</v>
      </c>
      <c r="AM3" s="241" t="s">
        <v>4113</v>
      </c>
      <c r="AN3" s="245"/>
      <c r="AZ3" s="244"/>
      <c r="BA3" s="244"/>
      <c r="BB3" s="244"/>
      <c r="BC3" s="244"/>
      <c r="BD3" s="244"/>
      <c r="BE3" s="244"/>
      <c r="BF3" s="244"/>
      <c r="BG3" s="244"/>
      <c r="BH3" s="244"/>
      <c r="BI3" s="205"/>
    </row>
    <row r="4" ht="60" customHeight="1" spans="1:61" s="235" customFormat="1" x14ac:dyDescent="0.25">
      <c r="A4" s="246"/>
      <c r="B4" s="247" t="s">
        <v>4114</v>
      </c>
      <c r="C4" s="247" t="s">
        <v>4115</v>
      </c>
      <c r="D4" s="247" t="s">
        <v>37</v>
      </c>
      <c r="E4" s="247" t="s">
        <v>4116</v>
      </c>
      <c r="F4" s="247" t="s">
        <v>4117</v>
      </c>
      <c r="G4" s="241" t="s">
        <v>4133</v>
      </c>
      <c r="H4" s="241" t="s">
        <v>4134</v>
      </c>
      <c r="I4" s="241" t="s">
        <v>4135</v>
      </c>
      <c r="J4" s="241" t="s">
        <v>4136</v>
      </c>
      <c r="K4" s="241" t="s">
        <v>4137</v>
      </c>
      <c r="L4" s="241" t="s">
        <v>4138</v>
      </c>
      <c r="M4" s="241" t="s">
        <v>323</v>
      </c>
      <c r="N4" s="241" t="s">
        <v>4139</v>
      </c>
      <c r="O4" s="241" t="s">
        <v>4140</v>
      </c>
      <c r="P4" s="242"/>
      <c r="Q4" s="241" t="s">
        <v>4141</v>
      </c>
      <c r="R4" s="241" t="s">
        <v>4142</v>
      </c>
      <c r="S4" s="241" t="s">
        <v>4143</v>
      </c>
      <c r="T4" s="241" t="s">
        <v>4144</v>
      </c>
      <c r="U4" s="241" t="s">
        <v>4145</v>
      </c>
      <c r="V4" s="241" t="s">
        <v>4146</v>
      </c>
      <c r="W4" s="241" t="s">
        <v>4147</v>
      </c>
      <c r="X4" s="241" t="s">
        <v>4148</v>
      </c>
      <c r="Y4" s="241" t="s">
        <v>4149</v>
      </c>
      <c r="Z4" s="241" t="s">
        <v>4150</v>
      </c>
      <c r="AA4" s="241" t="s">
        <v>4151</v>
      </c>
      <c r="AB4" s="241" t="s">
        <v>4152</v>
      </c>
      <c r="AC4" s="241" t="s">
        <v>4153</v>
      </c>
      <c r="AD4" s="242"/>
      <c r="AE4" s="241" t="s">
        <v>4154</v>
      </c>
      <c r="AF4" s="241" t="s">
        <v>4155</v>
      </c>
      <c r="AG4" s="241" t="s">
        <v>4156</v>
      </c>
      <c r="AH4" s="241" t="s">
        <v>4157</v>
      </c>
      <c r="AI4" s="241" t="s">
        <v>4158</v>
      </c>
      <c r="AJ4" s="241" t="s">
        <v>4159</v>
      </c>
      <c r="AK4" s="241" t="s">
        <v>4160</v>
      </c>
      <c r="AL4" s="241" t="s">
        <v>4161</v>
      </c>
      <c r="AM4" s="241" t="s">
        <v>4162</v>
      </c>
      <c r="AN4" s="248"/>
      <c r="AZ4" s="244"/>
      <c r="BA4" s="244"/>
      <c r="BB4" s="244"/>
      <c r="BC4" s="244"/>
      <c r="BD4" s="244"/>
      <c r="BE4" s="244"/>
      <c r="BF4" s="244"/>
      <c r="BG4" s="244"/>
      <c r="BH4" s="244"/>
      <c r="BI4" s="205"/>
    </row>
    <row r="5" ht="293" customHeight="1" spans="1:61" s="235" customFormat="1" x14ac:dyDescent="0.25">
      <c r="A5" s="249" t="s">
        <v>4163</v>
      </c>
      <c r="B5" s="250"/>
      <c r="C5" s="250"/>
      <c r="D5" s="251"/>
      <c r="E5" s="251" t="s">
        <v>4164</v>
      </c>
      <c r="F5" s="251" t="s">
        <v>4165</v>
      </c>
      <c r="G5" s="252" t="s">
        <v>4289</v>
      </c>
      <c r="H5" s="252" t="s">
        <v>4290</v>
      </c>
      <c r="I5" s="253"/>
      <c r="J5" s="253"/>
      <c r="K5" s="253"/>
      <c r="L5" s="253"/>
      <c r="M5" s="252"/>
      <c r="N5" s="252" t="s">
        <v>4291</v>
      </c>
      <c r="O5" s="252" t="s">
        <v>4292</v>
      </c>
      <c r="P5" s="254">
        <f>SUMIF($G$2:O$2,O$2,$G5:O5)</f>
        <v>0</v>
      </c>
      <c r="Q5" s="253"/>
      <c r="R5" s="253"/>
      <c r="S5" s="253"/>
      <c r="T5" s="253"/>
      <c r="U5" s="253"/>
      <c r="V5" s="253"/>
      <c r="W5" s="252" t="s">
        <v>4293</v>
      </c>
      <c r="X5" s="252" t="s">
        <v>4294</v>
      </c>
      <c r="Y5" s="252" t="s">
        <v>4295</v>
      </c>
      <c r="Z5" s="252" t="s">
        <v>4296</v>
      </c>
      <c r="AA5" s="252" t="s">
        <v>4297</v>
      </c>
      <c r="AB5" s="252" t="s">
        <v>4298</v>
      </c>
      <c r="AC5" s="252" t="s">
        <v>4299</v>
      </c>
      <c r="AD5" s="255">
        <f>SUMIF($G$2:AC$2,Y$2,$G5:AC5)</f>
        <v>0</v>
      </c>
      <c r="AE5" s="256"/>
      <c r="AF5" s="256"/>
      <c r="AG5" s="257"/>
      <c r="AH5" s="257"/>
      <c r="AI5" s="257"/>
      <c r="AJ5" s="257"/>
      <c r="AK5" s="257"/>
      <c r="AL5" s="257"/>
      <c r="AM5" s="256"/>
      <c r="AN5" s="255">
        <f>SUMIF($G$2:AM$2,AM$2,$G5:AM5)</f>
        <v>0</v>
      </c>
      <c r="AZ5" s="258"/>
      <c r="BA5" s="258"/>
      <c r="BB5" s="259"/>
      <c r="BC5" s="259"/>
      <c r="BD5" s="259"/>
      <c r="BE5" s="259"/>
      <c r="BF5" s="259"/>
      <c r="BG5" s="259"/>
      <c r="BH5" s="258"/>
      <c r="BI5" s="260"/>
    </row>
    <row r="6" ht="409.6" customHeight="1" spans="1:61" s="235" customFormat="1" x14ac:dyDescent="0.25">
      <c r="A6" s="249" t="s">
        <v>4163</v>
      </c>
      <c r="B6" s="250"/>
      <c r="C6" s="250"/>
      <c r="D6" s="251"/>
      <c r="E6" s="251" t="s">
        <v>4166</v>
      </c>
      <c r="F6" s="251" t="s">
        <v>4167</v>
      </c>
      <c r="G6" s="253"/>
      <c r="H6" s="253"/>
      <c r="I6" s="252" t="s">
        <v>4300</v>
      </c>
      <c r="J6" s="252" t="s">
        <v>4301</v>
      </c>
      <c r="K6" s="252" t="s">
        <v>4302</v>
      </c>
      <c r="L6" s="252" t="s">
        <v>4303</v>
      </c>
      <c r="M6" s="252" t="s">
        <v>4304</v>
      </c>
      <c r="N6" s="252" t="s">
        <v>4305</v>
      </c>
      <c r="O6" s="252" t="s">
        <v>4306</v>
      </c>
      <c r="P6" s="254">
        <f>SUMIF($G$2:O$2,O$2,$G6:O6)</f>
        <v>0</v>
      </c>
      <c r="Q6" s="252" t="s">
        <v>4307</v>
      </c>
      <c r="R6" s="252" t="s">
        <v>4308</v>
      </c>
      <c r="S6" s="252" t="s">
        <v>4309</v>
      </c>
      <c r="T6" s="252" t="s">
        <v>4310</v>
      </c>
      <c r="U6" s="252" t="s">
        <v>4311</v>
      </c>
      <c r="V6" s="252" t="s">
        <v>4312</v>
      </c>
      <c r="W6" s="253"/>
      <c r="X6" s="253"/>
      <c r="Y6" s="253"/>
      <c r="Z6" s="253"/>
      <c r="AA6" s="253"/>
      <c r="AB6" s="252" t="s">
        <v>4313</v>
      </c>
      <c r="AC6" s="252" t="s">
        <v>4314</v>
      </c>
      <c r="AD6" s="255">
        <f>SUMIF($G$2:AC$2,Y$2,$G6:AC6)</f>
        <v>0</v>
      </c>
      <c r="AE6" s="256"/>
      <c r="AF6" s="257"/>
      <c r="AG6" s="257"/>
      <c r="AH6" s="257"/>
      <c r="AI6" s="257"/>
      <c r="AJ6" s="257"/>
      <c r="AK6" s="257"/>
      <c r="AL6" s="257"/>
      <c r="AM6" s="256"/>
      <c r="AN6" s="255">
        <f>SUMIF($G$2:AM$2,AM$2,$G6:AM6)</f>
        <v>0</v>
      </c>
      <c r="AZ6" s="258"/>
      <c r="BA6" s="259"/>
      <c r="BB6" s="259"/>
      <c r="BC6" s="259"/>
      <c r="BD6" s="259"/>
      <c r="BE6" s="259"/>
      <c r="BF6" s="259"/>
      <c r="BG6" s="259"/>
      <c r="BH6" s="258"/>
      <c r="BI6" s="260"/>
    </row>
    <row r="7" ht="48" customHeight="1" spans="1:61" s="235" customFormat="1" x14ac:dyDescent="0.25">
      <c r="A7" s="249" t="s">
        <v>4163</v>
      </c>
      <c r="B7" s="250"/>
      <c r="C7" s="250"/>
      <c r="D7" s="251"/>
      <c r="E7" s="251" t="s">
        <v>4169</v>
      </c>
      <c r="F7" s="251" t="s">
        <v>4170</v>
      </c>
      <c r="G7" s="253"/>
      <c r="H7" s="252" t="s">
        <v>4315</v>
      </c>
      <c r="I7" s="252" t="s">
        <v>4316</v>
      </c>
      <c r="J7" s="253"/>
      <c r="K7" s="253"/>
      <c r="L7" s="253"/>
      <c r="M7" s="252" t="s">
        <v>4317</v>
      </c>
      <c r="N7" s="252" t="s">
        <v>4318</v>
      </c>
      <c r="O7" s="252" t="s">
        <v>4319</v>
      </c>
      <c r="P7" s="254">
        <f>SUMIF($G$2:O$2,O$2,$G7:O7)</f>
        <v>0</v>
      </c>
      <c r="Q7" s="253"/>
      <c r="R7" s="253"/>
      <c r="S7" s="253"/>
      <c r="T7" s="253"/>
      <c r="U7" s="253"/>
      <c r="V7" s="253"/>
      <c r="W7" s="253"/>
      <c r="X7" s="253"/>
      <c r="Y7" s="253"/>
      <c r="Z7" s="253"/>
      <c r="AA7" s="253"/>
      <c r="AB7" s="253"/>
      <c r="AC7" s="252" t="s">
        <v>4320</v>
      </c>
      <c r="AD7" s="255">
        <f>SUMIF($G$2:AC$2,Y$2,$G7:AC7)</f>
        <v>0</v>
      </c>
      <c r="AE7" s="256"/>
      <c r="AF7" s="256"/>
      <c r="AG7" s="256"/>
      <c r="AH7" s="256"/>
      <c r="AI7" s="256"/>
      <c r="AJ7" s="256"/>
      <c r="AK7" s="256"/>
      <c r="AL7" s="256"/>
      <c r="AM7" s="261"/>
      <c r="AN7" s="255">
        <f>SUMIF($G$2:AM$2,AM$2,$G7:AM7)</f>
        <v>0</v>
      </c>
      <c r="AZ7" s="258"/>
      <c r="BA7" s="258"/>
      <c r="BB7" s="258"/>
      <c r="BC7" s="258"/>
      <c r="BD7" s="258"/>
      <c r="BE7" s="258"/>
      <c r="BF7" s="258"/>
      <c r="BG7" s="258"/>
      <c r="BH7" s="262"/>
      <c r="BI7" s="260"/>
    </row>
    <row r="8" ht="63" customHeight="1" spans="1:61" s="235" customFormat="1" x14ac:dyDescent="0.25">
      <c r="A8" s="249" t="s">
        <v>4163</v>
      </c>
      <c r="B8" s="250"/>
      <c r="C8" s="250"/>
      <c r="D8" s="251"/>
      <c r="E8" s="251" t="s">
        <v>4173</v>
      </c>
      <c r="F8" s="251" t="s">
        <v>4174</v>
      </c>
      <c r="G8" s="263"/>
      <c r="H8" s="252" t="s">
        <v>4321</v>
      </c>
      <c r="I8" s="252" t="s">
        <v>4322</v>
      </c>
      <c r="J8" s="263"/>
      <c r="K8" s="263"/>
      <c r="L8" s="263"/>
      <c r="M8" s="252" t="s">
        <v>4323</v>
      </c>
      <c r="N8" s="252" t="s">
        <v>4324</v>
      </c>
      <c r="O8" s="252" t="s">
        <v>4325</v>
      </c>
      <c r="P8" s="254">
        <f>SUMIF($G$2:O$2,O$2,$G8:O8)</f>
        <v>0</v>
      </c>
      <c r="Q8" s="253"/>
      <c r="R8" s="253"/>
      <c r="S8" s="253"/>
      <c r="T8" s="253"/>
      <c r="U8" s="253"/>
      <c r="V8" s="253"/>
      <c r="W8" s="253"/>
      <c r="X8" s="253"/>
      <c r="Y8" s="253"/>
      <c r="Z8" s="253"/>
      <c r="AA8" s="253"/>
      <c r="AB8" s="253"/>
      <c r="AC8" s="252" t="s">
        <v>4326</v>
      </c>
      <c r="AD8" s="255">
        <f>SUMIF($G$2:AC$2,Y$2,$G8:AC8)</f>
        <v>0</v>
      </c>
      <c r="AE8" s="256"/>
      <c r="AF8" s="256"/>
      <c r="AG8" s="256"/>
      <c r="AH8" s="256"/>
      <c r="AI8" s="256"/>
      <c r="AJ8" s="256"/>
      <c r="AK8" s="256"/>
      <c r="AL8" s="256"/>
      <c r="AM8" s="256"/>
      <c r="AN8" s="255">
        <f>SUMIF($G$2:AM$2,AM$2,$G8:AM8)</f>
        <v>0</v>
      </c>
      <c r="AZ8" s="258"/>
      <c r="BA8" s="258"/>
      <c r="BB8" s="258"/>
      <c r="BC8" s="258"/>
      <c r="BD8" s="258"/>
      <c r="BE8" s="258"/>
      <c r="BF8" s="258"/>
      <c r="BG8" s="258"/>
      <c r="BH8" s="258"/>
      <c r="BI8" s="260"/>
    </row>
    <row r="9" ht="156" customHeight="1" spans="1:61" s="235" customFormat="1" x14ac:dyDescent="0.25">
      <c r="A9" s="249" t="s">
        <v>4163</v>
      </c>
      <c r="B9" s="250"/>
      <c r="C9" s="250"/>
      <c r="D9" s="251"/>
      <c r="E9" s="251" t="s">
        <v>4175</v>
      </c>
      <c r="F9" s="251" t="s">
        <v>4176</v>
      </c>
      <c r="G9" s="264"/>
      <c r="H9" s="252" t="s">
        <v>4327</v>
      </c>
      <c r="I9" s="252" t="s">
        <v>4328</v>
      </c>
      <c r="J9" s="265"/>
      <c r="K9" s="265"/>
      <c r="L9" s="265"/>
      <c r="M9" s="252" t="s">
        <v>4329</v>
      </c>
      <c r="N9" s="252" t="s">
        <v>4330</v>
      </c>
      <c r="O9" s="252" t="s">
        <v>4331</v>
      </c>
      <c r="P9" s="266">
        <f>SUMIF($G$2:O$2,O$2,$G9:O9)</f>
        <v>0</v>
      </c>
      <c r="Q9" s="253"/>
      <c r="R9" s="253"/>
      <c r="S9" s="253"/>
      <c r="T9" s="253"/>
      <c r="U9" s="253"/>
      <c r="V9" s="253"/>
      <c r="W9" s="253"/>
      <c r="X9" s="253"/>
      <c r="Y9" s="253"/>
      <c r="Z9" s="253"/>
      <c r="AA9" s="253"/>
      <c r="AB9" s="253"/>
      <c r="AC9" s="252" t="s">
        <v>4332</v>
      </c>
      <c r="AD9" s="255">
        <f>SUMIF($G$2:AC$2,Y$2,$G9:AC9)</f>
        <v>0</v>
      </c>
      <c r="AE9" s="256"/>
      <c r="AF9" s="256"/>
      <c r="AG9" s="256"/>
      <c r="AH9" s="256"/>
      <c r="AI9" s="256"/>
      <c r="AJ9" s="256"/>
      <c r="AK9" s="256"/>
      <c r="AL9" s="256"/>
      <c r="AM9" s="256"/>
      <c r="AN9" s="255">
        <f>SUMIF($G$2:AM$2,AM$2,$G9:AM9)</f>
        <v>0</v>
      </c>
      <c r="AZ9" s="258"/>
      <c r="BA9" s="258"/>
      <c r="BB9" s="258"/>
      <c r="BC9" s="258"/>
      <c r="BD9" s="258"/>
      <c r="BE9" s="258"/>
      <c r="BF9" s="258"/>
      <c r="BG9" s="258"/>
      <c r="BH9" s="258"/>
      <c r="BI9" s="260"/>
    </row>
    <row r="10" ht="72" customHeight="1" spans="1:61" s="235" customFormat="1" x14ac:dyDescent="0.25">
      <c r="A10" s="249" t="s">
        <v>4163</v>
      </c>
      <c r="B10" s="250"/>
      <c r="C10" s="250"/>
      <c r="D10" s="251"/>
      <c r="E10" s="251" t="s">
        <v>4177</v>
      </c>
      <c r="F10" s="251" t="s">
        <v>4178</v>
      </c>
      <c r="G10" s="264"/>
      <c r="H10" s="252" t="s">
        <v>4333</v>
      </c>
      <c r="I10" s="252" t="s">
        <v>4334</v>
      </c>
      <c r="J10" s="265"/>
      <c r="K10" s="265"/>
      <c r="L10" s="265"/>
      <c r="M10" s="252" t="s">
        <v>4335</v>
      </c>
      <c r="N10" s="252" t="s">
        <v>4336</v>
      </c>
      <c r="O10" s="252" t="s">
        <v>4337</v>
      </c>
      <c r="P10" s="266">
        <f>SUMIF($G$2:O$2,O$2,$G10:O10)</f>
        <v>0</v>
      </c>
      <c r="Q10" s="253"/>
      <c r="R10" s="253"/>
      <c r="S10" s="253"/>
      <c r="T10" s="253"/>
      <c r="U10" s="253"/>
      <c r="V10" s="253"/>
      <c r="W10" s="253"/>
      <c r="X10" s="253"/>
      <c r="Y10" s="253"/>
      <c r="Z10" s="253"/>
      <c r="AA10" s="253"/>
      <c r="AB10" s="253"/>
      <c r="AC10" s="252" t="s">
        <v>4338</v>
      </c>
      <c r="AD10" s="255">
        <f>SUMIF($G$2:AC$2,Y$2,$G10:AC10)</f>
        <v>0</v>
      </c>
      <c r="AE10" s="256"/>
      <c r="AF10" s="256"/>
      <c r="AG10" s="256"/>
      <c r="AH10" s="256"/>
      <c r="AI10" s="256"/>
      <c r="AJ10" s="256"/>
      <c r="AK10" s="256"/>
      <c r="AL10" s="256"/>
      <c r="AM10" s="256"/>
      <c r="AN10" s="255">
        <f>SUMIF($G$2:AM$2,AM$2,$G10:AM10)</f>
        <v>0</v>
      </c>
      <c r="AZ10" s="258"/>
      <c r="BA10" s="258"/>
      <c r="BB10" s="258"/>
      <c r="BC10" s="258"/>
      <c r="BD10" s="258"/>
      <c r="BE10" s="258"/>
      <c r="BF10" s="258"/>
      <c r="BG10" s="258"/>
      <c r="BH10" s="258"/>
      <c r="BI10" s="260"/>
    </row>
    <row r="11" ht="72" customHeight="1" spans="1:61" s="235" customFormat="1" x14ac:dyDescent="0.25">
      <c r="A11" s="249" t="s">
        <v>4163</v>
      </c>
      <c r="B11" s="250"/>
      <c r="C11" s="250"/>
      <c r="D11" s="251"/>
      <c r="E11" s="251" t="s">
        <v>4179</v>
      </c>
      <c r="F11" s="251" t="s">
        <v>4180</v>
      </c>
      <c r="G11" s="264"/>
      <c r="H11" s="252" t="s">
        <v>4339</v>
      </c>
      <c r="I11" s="252" t="s">
        <v>4340</v>
      </c>
      <c r="J11" s="265"/>
      <c r="K11" s="265"/>
      <c r="L11" s="265"/>
      <c r="M11" s="252" t="s">
        <v>4341</v>
      </c>
      <c r="N11" s="252" t="s">
        <v>4342</v>
      </c>
      <c r="O11" s="252" t="s">
        <v>4343</v>
      </c>
      <c r="P11" s="266">
        <f>SUMIF($G$2:O$2,O$2,$G11:O11)</f>
        <v>0</v>
      </c>
      <c r="Q11" s="253"/>
      <c r="R11" s="253"/>
      <c r="S11" s="253"/>
      <c r="T11" s="253"/>
      <c r="U11" s="253"/>
      <c r="V11" s="253"/>
      <c r="W11" s="253"/>
      <c r="X11" s="253"/>
      <c r="Y11" s="253"/>
      <c r="Z11" s="253"/>
      <c r="AA11" s="253"/>
      <c r="AB11" s="253"/>
      <c r="AC11" s="252" t="s">
        <v>4344</v>
      </c>
      <c r="AD11" s="255">
        <f>SUMIF($G$2:AC$2,Y$2,$G11:AC11)</f>
        <v>0</v>
      </c>
      <c r="AE11" s="256"/>
      <c r="AF11" s="256"/>
      <c r="AG11" s="256"/>
      <c r="AH11" s="256"/>
      <c r="AI11" s="256"/>
      <c r="AJ11" s="256"/>
      <c r="AK11" s="256"/>
      <c r="AL11" s="256"/>
      <c r="AM11" s="256"/>
      <c r="AN11" s="255">
        <f>SUMIF($G$2:AM$2,AM$2,$G11:AM11)</f>
        <v>0</v>
      </c>
      <c r="AZ11" s="258"/>
      <c r="BA11" s="258"/>
      <c r="BB11" s="258"/>
      <c r="BC11" s="258"/>
      <c r="BD11" s="258"/>
      <c r="BE11" s="258"/>
      <c r="BF11" s="258"/>
      <c r="BG11" s="258"/>
      <c r="BH11" s="258"/>
      <c r="BI11" s="260"/>
    </row>
    <row r="12" ht="72" customHeight="1" spans="1:61" s="235" customFormat="1" x14ac:dyDescent="0.25">
      <c r="A12" s="249" t="s">
        <v>4163</v>
      </c>
      <c r="B12" s="250"/>
      <c r="C12" s="250"/>
      <c r="D12" s="251"/>
      <c r="E12" s="251" t="s">
        <v>4181</v>
      </c>
      <c r="F12" s="251" t="s">
        <v>4182</v>
      </c>
      <c r="G12" s="264"/>
      <c r="H12" s="252" t="s">
        <v>4345</v>
      </c>
      <c r="I12" s="252" t="s">
        <v>4346</v>
      </c>
      <c r="J12" s="265"/>
      <c r="K12" s="265"/>
      <c r="L12" s="265"/>
      <c r="M12" s="252" t="s">
        <v>4347</v>
      </c>
      <c r="N12" s="252" t="s">
        <v>4348</v>
      </c>
      <c r="O12" s="252" t="s">
        <v>4349</v>
      </c>
      <c r="P12" s="266">
        <f>SUMIF($G$2:O$2,O$2,$G12:O12)</f>
        <v>0</v>
      </c>
      <c r="Q12" s="253"/>
      <c r="R12" s="253"/>
      <c r="S12" s="253"/>
      <c r="T12" s="253"/>
      <c r="U12" s="253"/>
      <c r="V12" s="253"/>
      <c r="W12" s="253"/>
      <c r="X12" s="253"/>
      <c r="Y12" s="253"/>
      <c r="Z12" s="253"/>
      <c r="AA12" s="253"/>
      <c r="AB12" s="253"/>
      <c r="AC12" s="252" t="s">
        <v>4350</v>
      </c>
      <c r="AD12" s="255">
        <f>SUMIF($G$2:AC$2,Y$2,$G12:AC12)</f>
        <v>0</v>
      </c>
      <c r="AE12" s="256"/>
      <c r="AF12" s="256"/>
      <c r="AG12" s="256"/>
      <c r="AH12" s="256"/>
      <c r="AI12" s="256"/>
      <c r="AJ12" s="256"/>
      <c r="AK12" s="256"/>
      <c r="AL12" s="256"/>
      <c r="AM12" s="256"/>
      <c r="AN12" s="255">
        <f>SUMIF($G$2:AM$2,AM$2,$G12:AM12)</f>
        <v>0</v>
      </c>
      <c r="AZ12" s="258"/>
      <c r="BA12" s="258"/>
      <c r="BB12" s="258"/>
      <c r="BC12" s="258"/>
      <c r="BD12" s="258"/>
      <c r="BE12" s="258"/>
      <c r="BF12" s="258"/>
      <c r="BG12" s="258"/>
      <c r="BH12" s="258"/>
      <c r="BI12" s="260"/>
    </row>
    <row r="13" ht="79" customHeight="1" spans="1:61" s="235" customFormat="1" x14ac:dyDescent="0.25">
      <c r="A13" s="249" t="s">
        <v>4163</v>
      </c>
      <c r="B13" s="250"/>
      <c r="C13" s="250"/>
      <c r="D13" s="251"/>
      <c r="E13" s="251" t="s">
        <v>4183</v>
      </c>
      <c r="F13" s="251" t="s">
        <v>4184</v>
      </c>
      <c r="G13" s="267"/>
      <c r="H13" s="252" t="s">
        <v>4351</v>
      </c>
      <c r="I13" s="252" t="s">
        <v>4352</v>
      </c>
      <c r="J13" s="265"/>
      <c r="K13" s="265"/>
      <c r="L13" s="265"/>
      <c r="M13" s="252" t="s">
        <v>4353</v>
      </c>
      <c r="N13" s="252" t="s">
        <v>4354</v>
      </c>
      <c r="O13" s="252" t="s">
        <v>4355</v>
      </c>
      <c r="P13" s="254">
        <f>SUMIF($G$2:O$2,O$2,$G13:O13)</f>
        <v>0</v>
      </c>
      <c r="Q13" s="253"/>
      <c r="R13" s="253"/>
      <c r="S13" s="253"/>
      <c r="T13" s="253"/>
      <c r="U13" s="253"/>
      <c r="V13" s="253"/>
      <c r="W13" s="253"/>
      <c r="X13" s="253"/>
      <c r="Y13" s="253"/>
      <c r="Z13" s="253"/>
      <c r="AA13" s="253"/>
      <c r="AB13" s="252" t="s">
        <v>4356</v>
      </c>
      <c r="AC13" s="252" t="s">
        <v>4357</v>
      </c>
      <c r="AD13" s="255">
        <f>SUMIF($G$2:AC$2,Y$2,$G13:AC13)</f>
        <v>0</v>
      </c>
      <c r="AE13" s="256"/>
      <c r="AF13" s="256"/>
      <c r="AG13" s="256"/>
      <c r="AH13" s="256"/>
      <c r="AI13" s="256"/>
      <c r="AJ13" s="256"/>
      <c r="AK13" s="256"/>
      <c r="AL13" s="256"/>
      <c r="AM13" s="256"/>
      <c r="AN13" s="255">
        <f>SUMIF($G$2:AM$2,AM$2,$G13:AM13)</f>
        <v>0</v>
      </c>
      <c r="AZ13" s="258"/>
      <c r="BA13" s="258"/>
      <c r="BB13" s="258"/>
      <c r="BC13" s="258"/>
      <c r="BD13" s="258"/>
      <c r="BE13" s="258"/>
      <c r="BF13" s="258"/>
      <c r="BG13" s="258"/>
      <c r="BH13" s="258"/>
      <c r="BI13" s="260"/>
    </row>
    <row r="14" ht="245" customHeight="1" spans="1:61" s="235" customFormat="1" x14ac:dyDescent="0.25">
      <c r="A14" s="249" t="s">
        <v>4163</v>
      </c>
      <c r="B14" s="250"/>
      <c r="C14" s="250"/>
      <c r="D14" s="251"/>
      <c r="E14" s="251" t="s">
        <v>4185</v>
      </c>
      <c r="F14" s="251" t="s">
        <v>4186</v>
      </c>
      <c r="G14" s="252" t="s">
        <v>4358</v>
      </c>
      <c r="H14" s="252" t="s">
        <v>4359</v>
      </c>
      <c r="I14" s="252" t="s">
        <v>4360</v>
      </c>
      <c r="J14" s="252" t="s">
        <v>4361</v>
      </c>
      <c r="K14" s="252" t="s">
        <v>4362</v>
      </c>
      <c r="L14" s="252" t="s">
        <v>4363</v>
      </c>
      <c r="M14" s="252" t="s">
        <v>4364</v>
      </c>
      <c r="N14" s="252" t="s">
        <v>4365</v>
      </c>
      <c r="O14" s="252" t="s">
        <v>4366</v>
      </c>
      <c r="P14" s="254">
        <f>SUMIF($G$2:O$2,O$2,$G14:O14)</f>
        <v>0</v>
      </c>
      <c r="Q14" s="252" t="s">
        <v>4367</v>
      </c>
      <c r="R14" s="252" t="s">
        <v>4368</v>
      </c>
      <c r="S14" s="252" t="s">
        <v>4369</v>
      </c>
      <c r="T14" s="252" t="s">
        <v>4370</v>
      </c>
      <c r="U14" s="252" t="s">
        <v>4371</v>
      </c>
      <c r="V14" s="252" t="s">
        <v>4372</v>
      </c>
      <c r="W14" s="252" t="s">
        <v>4373</v>
      </c>
      <c r="X14" s="252" t="s">
        <v>4374</v>
      </c>
      <c r="Y14" s="252" t="s">
        <v>4375</v>
      </c>
      <c r="Z14" s="252" t="s">
        <v>4376</v>
      </c>
      <c r="AA14" s="252" t="s">
        <v>4377</v>
      </c>
      <c r="AB14" s="253"/>
      <c r="AC14" s="252" t="s">
        <v>4378</v>
      </c>
      <c r="AD14" s="255">
        <f>SUMIF($G$2:AC$2,Y$2,$G14:AC14)</f>
        <v>0</v>
      </c>
      <c r="AE14" s="256"/>
      <c r="AF14" s="256"/>
      <c r="AG14" s="256"/>
      <c r="AH14" s="256"/>
      <c r="AI14" s="256"/>
      <c r="AJ14" s="256"/>
      <c r="AK14" s="256"/>
      <c r="AL14" s="256"/>
      <c r="AM14" s="256"/>
      <c r="AN14" s="255">
        <f>SUMIF($G$2:AM$2,AM$2,$G14:AM14)</f>
        <v>0</v>
      </c>
      <c r="AZ14" s="258"/>
      <c r="BA14" s="258"/>
      <c r="BB14" s="258"/>
      <c r="BC14" s="258"/>
      <c r="BD14" s="258"/>
      <c r="BE14" s="258"/>
      <c r="BF14" s="258"/>
      <c r="BG14" s="258"/>
      <c r="BH14" s="258"/>
      <c r="BI14" s="260"/>
    </row>
    <row r="15" ht="236" customHeight="1" spans="1:61" s="235" customFormat="1" x14ac:dyDescent="0.25">
      <c r="A15" s="249" t="s">
        <v>4163</v>
      </c>
      <c r="B15" s="250"/>
      <c r="C15" s="250"/>
      <c r="D15" s="251"/>
      <c r="E15" s="251" t="s">
        <v>4187</v>
      </c>
      <c r="F15" s="251" t="s">
        <v>4188</v>
      </c>
      <c r="G15" s="252" t="s">
        <v>4379</v>
      </c>
      <c r="H15" s="252" t="s">
        <v>4380</v>
      </c>
      <c r="I15" s="252" t="s">
        <v>4381</v>
      </c>
      <c r="J15" s="252" t="s">
        <v>4382</v>
      </c>
      <c r="K15" s="252" t="s">
        <v>4383</v>
      </c>
      <c r="L15" s="252" t="s">
        <v>4384</v>
      </c>
      <c r="M15" s="252" t="s">
        <v>4385</v>
      </c>
      <c r="N15" s="252" t="s">
        <v>4386</v>
      </c>
      <c r="O15" s="252" t="s">
        <v>4387</v>
      </c>
      <c r="P15" s="254">
        <f>SUMIF($G$2:O$2,O$2,$G15:O15)</f>
        <v>0</v>
      </c>
      <c r="Q15" s="252" t="s">
        <v>4388</v>
      </c>
      <c r="R15" s="252" t="s">
        <v>4389</v>
      </c>
      <c r="S15" s="252" t="s">
        <v>4390</v>
      </c>
      <c r="T15" s="252" t="s">
        <v>4391</v>
      </c>
      <c r="U15" s="252" t="s">
        <v>4392</v>
      </c>
      <c r="V15" s="252" t="s">
        <v>4393</v>
      </c>
      <c r="W15" s="252" t="s">
        <v>4394</v>
      </c>
      <c r="X15" s="252" t="s">
        <v>4395</v>
      </c>
      <c r="Y15" s="252" t="s">
        <v>4396</v>
      </c>
      <c r="Z15" s="252" t="s">
        <v>4397</v>
      </c>
      <c r="AA15" s="252" t="s">
        <v>4398</v>
      </c>
      <c r="AB15" s="253"/>
      <c r="AC15" s="252" t="s">
        <v>4399</v>
      </c>
      <c r="AD15" s="255">
        <f>SUMIF($G$2:AC$2,Y$2,$G15:AC15)</f>
        <v>0</v>
      </c>
      <c r="AE15" s="256"/>
      <c r="AF15" s="256"/>
      <c r="AG15" s="256"/>
      <c r="AH15" s="256"/>
      <c r="AI15" s="256"/>
      <c r="AJ15" s="256"/>
      <c r="AK15" s="256"/>
      <c r="AL15" s="256"/>
      <c r="AM15" s="256"/>
      <c r="AN15" s="255">
        <f>SUMIF($G$2:AM$2,AM$2,$G15:AM15)</f>
        <v>0</v>
      </c>
      <c r="AZ15" s="258"/>
      <c r="BA15" s="258"/>
      <c r="BB15" s="258"/>
      <c r="BC15" s="258"/>
      <c r="BD15" s="258"/>
      <c r="BE15" s="258"/>
      <c r="BF15" s="258"/>
      <c r="BG15" s="258"/>
      <c r="BH15" s="258"/>
      <c r="BI15" s="260"/>
    </row>
    <row r="16" ht="12" customHeight="1" spans="1:61" s="235" customFormat="1" x14ac:dyDescent="0.25">
      <c r="A16" s="249"/>
      <c r="B16" s="268"/>
      <c r="C16" s="268"/>
      <c r="D16" s="269"/>
      <c r="E16" s="269"/>
      <c r="F16" s="270" t="s">
        <v>4189</v>
      </c>
      <c r="G16" s="255">
        <f>SUMIF($C$5:$C15,$C15,G$5:G15)</f>
        <v>0</v>
      </c>
      <c r="H16" s="255">
        <f>SUMIF($C$5:$C15,$C15,H$5:H15)</f>
        <v>0</v>
      </c>
      <c r="I16" s="255">
        <f>SUMIF($C$5:$C15,$C15,I$5:I15)</f>
        <v>0</v>
      </c>
      <c r="J16" s="255">
        <f>SUMIF($C$5:$C15,$C15,J$5:J15)</f>
        <v>0</v>
      </c>
      <c r="K16" s="255">
        <f>SUMIF($C$5:$C15,$C15,K$5:K15)</f>
        <v>0</v>
      </c>
      <c r="L16" s="255">
        <f>SUMIF($C$5:$C15,$C15,L$5:L15)</f>
        <v>0</v>
      </c>
      <c r="M16" s="255">
        <f>SUMIF($C$5:$C15,$C15,M$5:M15)</f>
        <v>0</v>
      </c>
      <c r="N16" s="255">
        <f>SUMIF($C$5:$C15,$C15,N$5:N15)</f>
        <v>0</v>
      </c>
      <c r="O16" s="255">
        <f>SUMIF($C$5:$C15,$C15,O$5:O15)</f>
        <v>0</v>
      </c>
      <c r="P16" s="255">
        <f>SUMIF($C$5:$C15,$C15,P$5:P15)</f>
        <v>0</v>
      </c>
      <c r="Q16" s="255">
        <f>SUMIF($C$5:$C15,$C15,Q$5:Q15)</f>
        <v>0</v>
      </c>
      <c r="R16" s="255">
        <f>SUMIF($C$5:$C15,$C15,R$5:R15)</f>
        <v>0</v>
      </c>
      <c r="S16" s="255">
        <f>SUMIF($C$5:$C15,$C15,S$5:S15)</f>
        <v>0</v>
      </c>
      <c r="T16" s="255">
        <f>SUMIF($C$5:$C15,$C15,T$5:T15)</f>
        <v>0</v>
      </c>
      <c r="U16" s="255">
        <f>SUMIF($C$5:$C15,$C15,U$5:U15)</f>
        <v>0</v>
      </c>
      <c r="V16" s="255">
        <f>SUMIF($C$5:$C15,$C15,V$5:V15)</f>
        <v>0</v>
      </c>
      <c r="W16" s="255">
        <f>SUMIF($C$5:$C15,$C15,W$5:W15)</f>
        <v>0</v>
      </c>
      <c r="X16" s="255">
        <f>SUMIF($C$5:$C15,$C15,X$5:X15)</f>
        <v>0</v>
      </c>
      <c r="Y16" s="255">
        <f>SUMIF($C$5:$C15,$C15,Y$5:Y15)</f>
        <v>0</v>
      </c>
      <c r="Z16" s="255">
        <f>SUMIF($C$5:$C15,$C15,Z$5:Z15)</f>
        <v>0</v>
      </c>
      <c r="AA16" s="255">
        <f>SUMIF($C$5:$C15,$C15,AA$5:AA15)</f>
        <v>0</v>
      </c>
      <c r="AB16" s="255">
        <f>SUMIF($C$5:$C15,$C15,AB$5:AB15)</f>
        <v>0</v>
      </c>
      <c r="AC16" s="255">
        <f>SUMIF($C$5:$C15,$C15,AC$5:AC15)</f>
        <v>0</v>
      </c>
      <c r="AD16" s="255">
        <f>SUMIF($C$5:$C15,$C15,AD$5:AD15)</f>
        <v>0</v>
      </c>
      <c r="AE16" s="255">
        <f>SUMIF($C$5:$C15,$C15,AE$5:AE15)</f>
        <v>0</v>
      </c>
      <c r="AF16" s="255">
        <f>SUMIF($C$5:$C15,$C15,AF$5:AF15)</f>
        <v>0</v>
      </c>
      <c r="AG16" s="255">
        <f>SUMIF($C$5:$C15,$C15,AG$5:AG15)</f>
        <v>0</v>
      </c>
      <c r="AH16" s="255">
        <f>SUMIF($C$5:$C15,$C15,AH$5:AH15)</f>
        <v>0</v>
      </c>
      <c r="AI16" s="255">
        <f>SUMIF($C$5:$C15,$C15,AI$5:AI15)</f>
        <v>0</v>
      </c>
      <c r="AJ16" s="255">
        <f>SUMIF($C$5:$C15,$C15,AJ$5:AJ15)</f>
        <v>0</v>
      </c>
      <c r="AK16" s="255">
        <f>SUMIF($C$5:$C15,$C15,AK$5:AK15)</f>
        <v>0</v>
      </c>
      <c r="AL16" s="255">
        <f>SUMIF($C$5:$C15,$C15,AL$5:AL15)</f>
        <v>0</v>
      </c>
      <c r="AM16" s="255">
        <f>SUMIF($C$5:$C15,$C15,AM$5:AM15)</f>
        <v>0</v>
      </c>
      <c r="AN16" s="255">
        <f>SUMIF($C$5:$C15,$C15,AN$5:AN15)</f>
        <v>0</v>
      </c>
      <c r="AZ16" s="271"/>
      <c r="BA16" s="271"/>
      <c r="BB16" s="271"/>
      <c r="BC16" s="271"/>
      <c r="BD16" s="271"/>
      <c r="BE16" s="271"/>
      <c r="BF16" s="271"/>
      <c r="BG16" s="271"/>
      <c r="BH16" s="271"/>
      <c r="BI16" s="260"/>
    </row>
    <row r="17" ht="16" customHeight="1" spans="1:51"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235"/>
      <c r="AR17" s="235"/>
      <c r="AS17" s="235"/>
      <c r="AT17" s="235"/>
      <c r="AU17" s="235"/>
      <c r="AV17" s="235"/>
      <c r="AW17" s="235"/>
      <c r="AX17" s="235"/>
      <c r="AY17" s="235"/>
    </row>
    <row r="18" ht="16" customHeight="1" spans="1:42"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row>
    <row r="19" ht="180" customHeight="1" spans="1:42"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2" t="s">
        <v>4193</v>
      </c>
      <c r="AC19" s="252" t="s">
        <v>4400</v>
      </c>
      <c r="AD19" s="190"/>
      <c r="AE19" s="190"/>
      <c r="AF19" s="190"/>
      <c r="AG19" s="190"/>
      <c r="AH19" s="190"/>
      <c r="AI19" s="190"/>
      <c r="AJ19" s="190"/>
      <c r="AK19" s="190"/>
      <c r="AL19" s="190"/>
      <c r="AM19" s="190"/>
      <c r="AN19" s="190"/>
      <c r="AO19" s="190"/>
      <c r="AP19" s="190"/>
    </row>
    <row r="20" spans="1:42"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row>
    <row r="21" spans="1:42"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row>
    <row r="22" spans="1:42"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row>
    <row r="23" spans="1:42"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row>
    <row r="24" spans="1:42"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row>
    <row r="25" spans="1:42"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row>
    <row r="26" spans="1:42"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row>
    <row r="27" spans="1:42"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row>
  </sheetData>
  <mergeCells count="5">
    <mergeCell ref="B1:F1"/>
    <mergeCell ref="P2:P4"/>
    <mergeCell ref="AD2:AD4"/>
    <mergeCell ref="AN2:AN4"/>
    <mergeCell ref="BI2:BI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10" zoomScaleNormal="100">
      <pane xSplit="3" ySplit="1" topLeftCell="T2" activePane="bottomRight" state="frozen"/>
      <selection pane="bottomRight" activeCell="AV19" sqref="AV19"/>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7" width="9.33203125" style="91" customWidth="1"/>
    <col min="58" max="58" width="4" style="91" customWidth="1"/>
    <col min="59" max="16384" width="11" style="91" customWidth="1"/>
  </cols>
  <sheetData>
    <row r="1" ht="23.5" customHeight="1" spans="1:16384" s="92" customFormat="1" x14ac:dyDescent="0.25">
      <c r="A1" s="92"/>
      <c r="B1" s="93" t="s">
        <v>4060</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7" s="92" customFormat="1" x14ac:dyDescent="0.25">
      <c r="A2" s="94"/>
      <c r="B2" s="94"/>
      <c r="C2" s="94"/>
      <c r="D2" s="94"/>
      <c r="E2" s="94"/>
      <c r="F2" s="94"/>
      <c r="G2" s="95" t="s">
        <v>4061</v>
      </c>
      <c r="H2" s="96" t="s">
        <v>4062</v>
      </c>
      <c r="I2" s="97" t="s">
        <v>4063</v>
      </c>
      <c r="J2" s="97" t="s">
        <v>4063</v>
      </c>
      <c r="K2" s="97" t="s">
        <v>4063</v>
      </c>
      <c r="L2" s="97" t="s">
        <v>4063</v>
      </c>
      <c r="M2" s="97" t="s">
        <v>4063</v>
      </c>
      <c r="N2" s="97" t="s">
        <v>4063</v>
      </c>
      <c r="O2" s="97" t="s">
        <v>4063</v>
      </c>
      <c r="P2" s="97" t="s">
        <v>4063</v>
      </c>
      <c r="Q2" s="97" t="s">
        <v>4063</v>
      </c>
      <c r="R2" s="97" t="s">
        <v>4063</v>
      </c>
      <c r="S2" s="97" t="s">
        <v>4063</v>
      </c>
      <c r="T2" s="97" t="s">
        <v>4063</v>
      </c>
      <c r="U2" s="97" t="s">
        <v>4063</v>
      </c>
      <c r="V2" s="97" t="s">
        <v>4063</v>
      </c>
      <c r="W2" s="96" t="s">
        <v>4064</v>
      </c>
      <c r="X2" s="98" t="s">
        <v>4065</v>
      </c>
      <c r="Y2" s="98" t="s">
        <v>4065</v>
      </c>
      <c r="Z2" s="98" t="s">
        <v>4065</v>
      </c>
      <c r="AA2" s="98" t="s">
        <v>4065</v>
      </c>
      <c r="AB2" s="98" t="s">
        <v>4065</v>
      </c>
      <c r="AC2" s="98" t="s">
        <v>4065</v>
      </c>
      <c r="AD2" s="98" t="s">
        <v>4065</v>
      </c>
      <c r="AE2" s="98" t="s">
        <v>4065</v>
      </c>
      <c r="AF2" s="98" t="s">
        <v>4065</v>
      </c>
      <c r="AG2" s="96" t="s">
        <v>4066</v>
      </c>
      <c r="AH2" s="98" t="s">
        <v>4067</v>
      </c>
      <c r="AI2" s="98" t="s">
        <v>4067</v>
      </c>
      <c r="AJ2" s="98" t="s">
        <v>4067</v>
      </c>
      <c r="AK2" s="98" t="s">
        <v>4067</v>
      </c>
      <c r="AL2" s="98" t="s">
        <v>4067</v>
      </c>
      <c r="AM2" s="98" t="s">
        <v>4067</v>
      </c>
      <c r="AN2" s="98" t="s">
        <v>4067</v>
      </c>
      <c r="AO2" s="98" t="s">
        <v>4067</v>
      </c>
      <c r="AP2" s="98" t="s">
        <v>4067</v>
      </c>
      <c r="AQ2" s="98" t="s">
        <v>4067</v>
      </c>
      <c r="AR2" s="98" t="s">
        <v>4067</v>
      </c>
      <c r="AS2" s="98" t="s">
        <v>4067</v>
      </c>
      <c r="AT2" s="98" t="s">
        <v>4067</v>
      </c>
      <c r="AU2" s="96" t="s">
        <v>4068</v>
      </c>
      <c r="AV2" s="99" t="s">
        <v>4069</v>
      </c>
      <c r="AW2" s="99" t="s">
        <v>4069</v>
      </c>
      <c r="AX2" s="99" t="s">
        <v>4069</v>
      </c>
      <c r="AY2" s="99" t="s">
        <v>4069</v>
      </c>
      <c r="AZ2" s="99" t="s">
        <v>4069</v>
      </c>
      <c r="BA2" s="99" t="s">
        <v>4069</v>
      </c>
      <c r="BB2" s="99" t="s">
        <v>4069</v>
      </c>
      <c r="BC2" s="99" t="s">
        <v>4069</v>
      </c>
      <c r="BD2" s="99" t="s">
        <v>4069</v>
      </c>
      <c r="BE2" s="96" t="s">
        <v>4070</v>
      </c>
    </row>
    <row r="3" ht="26" customHeight="1" hidden="1" spans="1:57" s="92" customFormat="1" x14ac:dyDescent="0.25">
      <c r="A3" s="94"/>
      <c r="B3" s="94"/>
      <c r="C3" s="94"/>
      <c r="D3" s="94"/>
      <c r="E3" s="94"/>
      <c r="F3" s="94"/>
      <c r="G3" s="95" t="s">
        <v>4071</v>
      </c>
      <c r="H3" s="96"/>
      <c r="I3" s="97" t="s">
        <v>4072</v>
      </c>
      <c r="J3" s="97" t="s">
        <v>4073</v>
      </c>
      <c r="K3" s="97" t="s">
        <v>4074</v>
      </c>
      <c r="L3" s="97" t="s">
        <v>4075</v>
      </c>
      <c r="M3" s="97" t="s">
        <v>4076</v>
      </c>
      <c r="N3" s="97" t="s">
        <v>4077</v>
      </c>
      <c r="O3" s="97" t="s">
        <v>4078</v>
      </c>
      <c r="P3" s="97" t="s">
        <v>4079</v>
      </c>
      <c r="Q3" s="97" t="s">
        <v>4080</v>
      </c>
      <c r="R3" s="97"/>
      <c r="S3" s="97" t="s">
        <v>4081</v>
      </c>
      <c r="T3" s="97" t="s">
        <v>4082</v>
      </c>
      <c r="U3" s="97" t="s">
        <v>4083</v>
      </c>
      <c r="V3" s="97" t="s">
        <v>4084</v>
      </c>
      <c r="W3" s="96"/>
      <c r="X3" s="98" t="s">
        <v>4085</v>
      </c>
      <c r="Y3" s="98" t="s">
        <v>4086</v>
      </c>
      <c r="Z3" s="98" t="s">
        <v>4087</v>
      </c>
      <c r="AA3" s="98" t="s">
        <v>4088</v>
      </c>
      <c r="AB3" s="98" t="s">
        <v>4089</v>
      </c>
      <c r="AC3" s="98" t="s">
        <v>4090</v>
      </c>
      <c r="AD3" s="98" t="s">
        <v>323</v>
      </c>
      <c r="AE3" s="98" t="s">
        <v>564</v>
      </c>
      <c r="AF3" s="98" t="s">
        <v>4091</v>
      </c>
      <c r="AG3" s="96"/>
      <c r="AH3" s="98" t="s">
        <v>4092</v>
      </c>
      <c r="AI3" s="98" t="s">
        <v>4093</v>
      </c>
      <c r="AJ3" s="98" t="s">
        <v>4094</v>
      </c>
      <c r="AK3" s="98" t="s">
        <v>4095</v>
      </c>
      <c r="AL3" s="98" t="s">
        <v>4096</v>
      </c>
      <c r="AM3" s="98" t="s">
        <v>4097</v>
      </c>
      <c r="AN3" s="98" t="s">
        <v>4098</v>
      </c>
      <c r="AO3" s="98" t="s">
        <v>4099</v>
      </c>
      <c r="AP3" s="98" t="s">
        <v>4100</v>
      </c>
      <c r="AQ3" s="98" t="s">
        <v>4101</v>
      </c>
      <c r="AR3" s="98" t="s">
        <v>4102</v>
      </c>
      <c r="AS3" s="98" t="s">
        <v>4103</v>
      </c>
      <c r="AT3" s="98" t="s">
        <v>4104</v>
      </c>
      <c r="AU3" s="96"/>
      <c r="AV3" s="99" t="s">
        <v>4105</v>
      </c>
      <c r="AW3" s="99" t="s">
        <v>4106</v>
      </c>
      <c r="AX3" s="99" t="s">
        <v>4107</v>
      </c>
      <c r="AY3" s="99" t="s">
        <v>4108</v>
      </c>
      <c r="AZ3" s="99" t="s">
        <v>4109</v>
      </c>
      <c r="BA3" s="99" t="s">
        <v>4110</v>
      </c>
      <c r="BB3" s="99" t="s">
        <v>4111</v>
      </c>
      <c r="BC3" s="99" t="s">
        <v>4112</v>
      </c>
      <c r="BD3" s="99" t="s">
        <v>4113</v>
      </c>
      <c r="BE3" s="96"/>
    </row>
    <row r="4" ht="60" customHeight="1" spans="1:57" s="92" customFormat="1" x14ac:dyDescent="0.25">
      <c r="A4" s="100"/>
      <c r="B4" s="101" t="s">
        <v>4114</v>
      </c>
      <c r="C4" s="101" t="s">
        <v>4115</v>
      </c>
      <c r="D4" s="101" t="s">
        <v>37</v>
      </c>
      <c r="E4" s="101" t="s">
        <v>4116</v>
      </c>
      <c r="F4" s="101" t="s">
        <v>4117</v>
      </c>
      <c r="G4" s="95" t="s">
        <v>4118</v>
      </c>
      <c r="H4" s="96"/>
      <c r="I4" s="97" t="s">
        <v>4119</v>
      </c>
      <c r="J4" s="97" t="s">
        <v>4120</v>
      </c>
      <c r="K4" s="97" t="s">
        <v>4121</v>
      </c>
      <c r="L4" s="97" t="s">
        <v>4122</v>
      </c>
      <c r="M4" s="97" t="s">
        <v>4123</v>
      </c>
      <c r="N4" s="97" t="s">
        <v>4124</v>
      </c>
      <c r="O4" s="97" t="s">
        <v>4125</v>
      </c>
      <c r="P4" s="97" t="s">
        <v>4126</v>
      </c>
      <c r="Q4" s="97" t="s">
        <v>4127</v>
      </c>
      <c r="R4" s="97" t="s">
        <v>4128</v>
      </c>
      <c r="S4" s="97" t="s">
        <v>4129</v>
      </c>
      <c r="T4" s="97" t="s">
        <v>4130</v>
      </c>
      <c r="U4" s="97" t="s">
        <v>4131</v>
      </c>
      <c r="V4" s="97" t="s">
        <v>4132</v>
      </c>
      <c r="W4" s="96"/>
      <c r="X4" s="98" t="s">
        <v>4133</v>
      </c>
      <c r="Y4" s="98" t="s">
        <v>4134</v>
      </c>
      <c r="Z4" s="98" t="s">
        <v>4135</v>
      </c>
      <c r="AA4" s="98" t="s">
        <v>4136</v>
      </c>
      <c r="AB4" s="98" t="s">
        <v>4137</v>
      </c>
      <c r="AC4" s="98" t="s">
        <v>4138</v>
      </c>
      <c r="AD4" s="98" t="s">
        <v>323</v>
      </c>
      <c r="AE4" s="98" t="s">
        <v>4139</v>
      </c>
      <c r="AF4" s="98" t="s">
        <v>4140</v>
      </c>
      <c r="AG4" s="96"/>
      <c r="AH4" s="98" t="s">
        <v>4141</v>
      </c>
      <c r="AI4" s="98" t="s">
        <v>4142</v>
      </c>
      <c r="AJ4" s="98" t="s">
        <v>4143</v>
      </c>
      <c r="AK4" s="98" t="s">
        <v>4144</v>
      </c>
      <c r="AL4" s="98" t="s">
        <v>4145</v>
      </c>
      <c r="AM4" s="98" t="s">
        <v>4146</v>
      </c>
      <c r="AN4" s="98" t="s">
        <v>4147</v>
      </c>
      <c r="AO4" s="98" t="s">
        <v>4148</v>
      </c>
      <c r="AP4" s="98" t="s">
        <v>4149</v>
      </c>
      <c r="AQ4" s="98" t="s">
        <v>4150</v>
      </c>
      <c r="AR4" s="98" t="s">
        <v>4151</v>
      </c>
      <c r="AS4" s="98" t="s">
        <v>4152</v>
      </c>
      <c r="AT4" s="98" t="s">
        <v>4153</v>
      </c>
      <c r="AU4" s="96"/>
      <c r="AV4" s="99" t="s">
        <v>4154</v>
      </c>
      <c r="AW4" s="99" t="s">
        <v>4155</v>
      </c>
      <c r="AX4" s="99" t="s">
        <v>4156</v>
      </c>
      <c r="AY4" s="99" t="s">
        <v>4157</v>
      </c>
      <c r="AZ4" s="99" t="s">
        <v>4158</v>
      </c>
      <c r="BA4" s="99" t="s">
        <v>4159</v>
      </c>
      <c r="BB4" s="99" t="s">
        <v>4160</v>
      </c>
      <c r="BC4" s="99" t="s">
        <v>4161</v>
      </c>
      <c r="BD4" s="99" t="s">
        <v>4162</v>
      </c>
      <c r="BE4" s="96"/>
    </row>
    <row r="5" ht="11" customHeight="1" spans="1:57" s="92" customFormat="1" x14ac:dyDescent="0.25">
      <c r="A5" s="102" t="s">
        <v>4163</v>
      </c>
      <c r="B5" s="103"/>
      <c r="C5" s="103"/>
      <c r="D5" s="104">
        <f>IF(ETPT_TJ_DDG!$D$5="","",ETPT_TJ_DDG!$D$5)</f>
      </c>
      <c r="E5" s="103" t="s">
        <v>4164</v>
      </c>
      <c r="F5" s="103" t="s">
        <v>4165</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DDG'!$A:$ZZ,,MATCH("5. TOTAL JLD CIVIL",'ETPT Format DDG'!2:2,0)),
INDEX( 'ETPT Format DDG'!$A:$ZZ,,MATCH("Fonction recodée",'ETPT Format DDG'!2:2,0)),"Fonctionnaire A-B-CBUR",
INDEX( 'ETPT Format DDG'!$A:$ZZ,,MATCH("TJCPH",'ETPT Format DDG'!2:2,0)),"OUI"))+
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t="e">
        <f t="array" ref="AF5">SUM(SUMIFS(
INDEX( 'ETPT Format DDG'!$A:$ZZ,,MATCH("5. TOTAL JLD CIVIL",'ETPT Format DDG'!2:2,0)),
INDEX( 'ETPT Format DDG'!$A:$ZZ,,MATCH("Fonction recodée",'ETPT Format DDG'!2:2,0)),{"Magistrat SIEGE S";"Magistrat SIEGE NS"}))</f>
        <v>#N/A</v>
      </c>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U5" s="109">
        <f>_xlfn.AGGREGATE(9,6,AH5:AT5)</f>
        <v>0</v>
      </c>
      <c r="AV5" s="113"/>
      <c r="AW5" s="113"/>
      <c r="AX5" s="114"/>
      <c r="AY5" s="114"/>
      <c r="AZ5" s="114"/>
      <c r="BA5" s="114"/>
      <c r="BB5" s="114"/>
      <c r="BC5" s="114"/>
      <c r="BD5" s="113"/>
      <c r="BE5" s="109">
        <f>SUM(AV5:BD5)</f>
        <v>0</v>
      </c>
    </row>
    <row r="6" ht="12" customHeight="1" spans="1:57" s="92" customFormat="1" x14ac:dyDescent="0.25">
      <c r="A6" s="102" t="s">
        <v>4163</v>
      </c>
      <c r="B6" s="103"/>
      <c r="C6" s="103"/>
      <c r="D6" s="115">
        <f t="shared" ref="D6:D15" si="0">$D$5</f>
      </c>
      <c r="E6" s="103" t="s">
        <v>4166</v>
      </c>
      <c r="F6" s="103" t="s">
        <v>4167</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4168</v>
      </c>
      <c r="V6" s="119"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20"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U6" s="109">
        <f t="shared" ref="AU6:AU15" si="3">_xlfn.AGGREGATE(9,6,AH6:AT6)</f>
        <v>0</v>
      </c>
      <c r="AV6" s="113"/>
      <c r="AW6" s="113"/>
      <c r="AX6" s="113"/>
      <c r="AY6" s="113"/>
      <c r="AZ6" s="113"/>
      <c r="BA6" s="113"/>
      <c r="BB6" s="113"/>
      <c r="BC6" s="114"/>
      <c r="BD6" s="113"/>
      <c r="BE6" s="109">
        <f>SUM(AV6:BD6)</f>
        <v>0</v>
      </c>
    </row>
    <row r="7" ht="14.25" customHeight="1" spans="1:57" s="92" customFormat="1" x14ac:dyDescent="0.25">
      <c r="A7" s="102" t="s">
        <v>4163</v>
      </c>
      <c r="B7" s="103"/>
      <c r="C7" s="103"/>
      <c r="D7" s="115">
        <f t="shared" si="0"/>
      </c>
      <c r="E7" s="103" t="s">
        <v>4169</v>
      </c>
      <c r="F7" s="103" t="s">
        <v>4170</v>
      </c>
      <c r="G7" s="121"/>
      <c r="H7" s="106">
        <f t="shared" si="1"/>
        <v>0</v>
      </c>
      <c r="I7" s="122"/>
      <c r="J7" s="122"/>
      <c r="K7" s="122"/>
      <c r="L7" s="122"/>
      <c r="M7" s="122"/>
      <c r="N7" s="122"/>
      <c r="O7" s="122"/>
      <c r="P7" s="122"/>
      <c r="Q7" s="123" t="s">
        <v>4171</v>
      </c>
      <c r="R7" s="123" t="s">
        <v>4172</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11" t="e">
        <f>SUM(SUMIFS(
INDEX( 'ETPT Format DDG'!$A:$ZZ,,MATCH("11.5. CSM",'ETPT Format DDG'!2:2,0)),
INDEX( 'ETPT Format DDG'!$A:$ZZ,,MATCH("Fonction recodée",'ETPT Format DDG'!2:2,0)),"Magistrat SIEGE NS",
INDEX( 'ETPT Format DDG'!$A:$ZZ,,MATCH("TJCPH",'ETPT Format DDG'!2:2,0)),"OUI"))</f>
        <v>#N/A</v>
      </c>
      <c r="AU7" s="109">
        <f t="shared" si="3"/>
        <v>0</v>
      </c>
      <c r="AV7" s="113"/>
      <c r="AW7" s="113"/>
      <c r="AX7" s="113"/>
      <c r="AY7" s="113"/>
      <c r="AZ7" s="113"/>
      <c r="BA7" s="113"/>
      <c r="BB7" s="113"/>
      <c r="BC7" s="113"/>
      <c r="BD7" s="113"/>
      <c r="BE7" s="109">
        <f t="shared" ref="BE7:BE15" si="5">SUM(AV7:BD7)</f>
        <v>0</v>
      </c>
    </row>
    <row r="8" ht="14.25" customHeight="1" spans="1:57" s="92" customFormat="1" x14ac:dyDescent="0.25">
      <c r="A8" s="102" t="s">
        <v>4163</v>
      </c>
      <c r="B8" s="103"/>
      <c r="C8" s="103"/>
      <c r="D8" s="115">
        <f t="shared" si="0"/>
      </c>
      <c r="E8" s="103" t="s">
        <v>4173</v>
      </c>
      <c r="F8" s="103" t="s">
        <v>4174</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11" t="e">
        <f>SUM(SUMIFS(
INDEX( 'ETPT Format DDG'!$A:$ZZ,,MATCH("11.51. ACCUEIL DU JUSTICIABLE (DONT SAUJ)",'ETPT Format DDG'!2:2,0)),
INDEX( 'ETPT Format DDG'!$A:$ZZ,,MATCH("Fonction recodée",'ETPT Format DDG'!2:2,0)),"Magistrat SIEGE NS",
INDEX( 'ETPT Format DDG'!$A:$ZZ,,MATCH("TJCPH",'ETPT Format DDG'!2:2,0)),"OUI"))</f>
        <v>#N/A</v>
      </c>
      <c r="AU8" s="109">
        <f t="shared" si="3"/>
        <v>0</v>
      </c>
      <c r="AV8" s="113"/>
      <c r="AW8" s="113"/>
      <c r="AX8" s="113"/>
      <c r="AY8" s="113"/>
      <c r="AZ8" s="113"/>
      <c r="BA8" s="113"/>
      <c r="BB8" s="113"/>
      <c r="BC8" s="113"/>
      <c r="BD8" s="113"/>
      <c r="BE8" s="109">
        <f t="shared" si="5"/>
        <v>0</v>
      </c>
    </row>
    <row r="9" ht="14.25" customHeight="1" spans="1:57" s="92" customFormat="1" x14ac:dyDescent="0.25">
      <c r="A9" s="102" t="s">
        <v>4163</v>
      </c>
      <c r="B9" s="103"/>
      <c r="C9" s="103"/>
      <c r="D9" s="115">
        <f t="shared" si="0"/>
      </c>
      <c r="E9" s="103" t="s">
        <v>4175</v>
      </c>
      <c r="F9" s="103" t="s">
        <v>4176</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U9" s="109">
        <f t="shared" si="3"/>
        <v>0</v>
      </c>
      <c r="AV9" s="113"/>
      <c r="AW9" s="113"/>
      <c r="AX9" s="113"/>
      <c r="AY9" s="113"/>
      <c r="AZ9" s="113"/>
      <c r="BA9" s="113"/>
      <c r="BB9" s="113"/>
      <c r="BC9" s="113"/>
      <c r="BD9" s="113"/>
      <c r="BE9" s="109">
        <f t="shared" si="5"/>
        <v>0</v>
      </c>
    </row>
    <row r="10" ht="14.25" customHeight="1" spans="1:57" s="92" customFormat="1" x14ac:dyDescent="0.25">
      <c r="A10" s="102" t="s">
        <v>4163</v>
      </c>
      <c r="B10" s="103"/>
      <c r="C10" s="103"/>
      <c r="D10" s="115">
        <f t="shared" si="0"/>
      </c>
      <c r="E10" s="103" t="s">
        <v>4177</v>
      </c>
      <c r="F10" s="103" t="s">
        <v>4178</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11" t="e">
        <f>SUM(SUMIFS(
INDEX( 'ETPT Format DDG'!$A:$ZZ,,MATCH("11.3. FORMATIONS DISPENSÉES",'ETPT Format DDG'!2:2,0)),
INDEX( 'ETPT Format DDG'!$A:$ZZ,,MATCH("Fonction recodée",'ETPT Format DDG'!2:2,0)),"Magistrat SIEGE NS",
INDEX( 'ETPT Format DDG'!$A:$ZZ,,MATCH("TJCPH",'ETPT Format DDG'!2:2,0)),"OUI"))</f>
        <v>#N/A</v>
      </c>
      <c r="AU10" s="109">
        <f>_xlfn.AGGREGATE(9,6,AH10:AT10)</f>
        <v>0</v>
      </c>
      <c r="AV10" s="113"/>
      <c r="AW10" s="113"/>
      <c r="AX10" s="113"/>
      <c r="AY10" s="113"/>
      <c r="AZ10" s="113"/>
      <c r="BA10" s="113"/>
      <c r="BB10" s="113"/>
      <c r="BC10" s="113"/>
      <c r="BD10" s="113"/>
      <c r="BE10" s="109">
        <f t="shared" si="5"/>
        <v>0</v>
      </c>
    </row>
    <row r="11" ht="14.25" customHeight="1" spans="1:57" s="92" customFormat="1" x14ac:dyDescent="0.25">
      <c r="A11" s="102" t="s">
        <v>4163</v>
      </c>
      <c r="B11" s="103"/>
      <c r="C11" s="103"/>
      <c r="D11" s="115">
        <f t="shared" si="0"/>
      </c>
      <c r="E11" s="103" t="s">
        <v>4179</v>
      </c>
      <c r="F11" s="103" t="s">
        <v>4180</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11" t="e">
        <f>SUM(SUMIFS(
INDEX( 'ETPT Format DDG'!$A:$ZZ,,MATCH("11.4. ACCÈS AU DROIT ET À LA JUSTICE",'ETPT Format DDG'!2:2,0)),
INDEX( 'ETPT Format DDG'!$A:$ZZ,,MATCH("Fonction recodée",'ETPT Format DDG'!2:2,0)),"Magistrat SIEGE NS",
INDEX( 'ETPT Format DDG'!$A:$ZZ,,MATCH("TJCPH",'ETPT Format DDG'!2:2,0)),"OUI"))</f>
        <v>#N/A</v>
      </c>
      <c r="AU11" s="109">
        <f t="shared" si="3"/>
        <v>0</v>
      </c>
      <c r="AV11" s="113"/>
      <c r="AW11" s="113"/>
      <c r="AX11" s="113"/>
      <c r="AY11" s="113"/>
      <c r="AZ11" s="113"/>
      <c r="BA11" s="113"/>
      <c r="BB11" s="113"/>
      <c r="BC11" s="113"/>
      <c r="BD11" s="113"/>
      <c r="BE11" s="109">
        <f t="shared" si="5"/>
        <v>0</v>
      </c>
    </row>
    <row r="12" ht="14.25" customHeight="1" spans="1:57" s="92" customFormat="1" x14ac:dyDescent="0.25">
      <c r="A12" s="102" t="s">
        <v>4163</v>
      </c>
      <c r="B12" s="103"/>
      <c r="C12" s="103"/>
      <c r="D12" s="115">
        <f t="shared" si="0"/>
      </c>
      <c r="E12" s="103" t="s">
        <v>4181</v>
      </c>
      <c r="F12" s="103" t="s">
        <v>4182</v>
      </c>
      <c r="G12" s="105"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11"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U12" s="109">
        <f t="shared" si="3"/>
        <v>0</v>
      </c>
      <c r="AV12" s="113"/>
      <c r="AW12" s="113"/>
      <c r="AX12" s="113"/>
      <c r="AY12" s="113"/>
      <c r="AZ12" s="113"/>
      <c r="BA12" s="113"/>
      <c r="BB12" s="113"/>
      <c r="BC12" s="113"/>
      <c r="BD12" s="113"/>
      <c r="BE12" s="109">
        <f t="shared" si="5"/>
        <v>0</v>
      </c>
    </row>
    <row r="13" ht="14.25" customHeight="1" spans="1:57" s="92" customFormat="1" x14ac:dyDescent="0.25">
      <c r="A13" s="102" t="s">
        <v>4163</v>
      </c>
      <c r="B13" s="103"/>
      <c r="C13" s="103"/>
      <c r="D13" s="115">
        <f t="shared" si="0"/>
      </c>
      <c r="E13" s="103" t="s">
        <v>4183</v>
      </c>
      <c r="F13" s="103" t="s">
        <v>4184</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U13" s="109">
        <f t="shared" si="3"/>
        <v>0</v>
      </c>
      <c r="AV13" s="113"/>
      <c r="AW13" s="113"/>
      <c r="AX13" s="113"/>
      <c r="AY13" s="113"/>
      <c r="AZ13" s="113"/>
      <c r="BA13" s="113"/>
      <c r="BB13" s="113"/>
      <c r="BC13" s="113"/>
      <c r="BD13" s="113"/>
      <c r="BE13" s="109">
        <f t="shared" si="5"/>
        <v>0</v>
      </c>
    </row>
    <row r="14" ht="14.25" customHeight="1" spans="1:57" s="92" customFormat="1" x14ac:dyDescent="0.25">
      <c r="A14" s="102" t="s">
        <v>4163</v>
      </c>
      <c r="B14" s="103"/>
      <c r="C14" s="103"/>
      <c r="D14" s="115">
        <f t="shared" si="0"/>
      </c>
      <c r="E14" s="103" t="s">
        <v>4185</v>
      </c>
      <c r="F14" s="103" t="s">
        <v>4186</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A-JUST'!$A:$ZZ,,MATCH("5. TOTAL JLD CIVIL",'ETPT A-JUST'!2:2,0)),
INDEX( 'ETPT A-JUST'!$A:$ZZ,,MATCH("Fonction recodée",'ETPT A-JUST'!2:2,0)),"Fonctionnaire A-B-CBUR placé ADD"))+
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A-JUST'!$A:$ZZ,,MATCH("5. TOTAL JLD CIVIL",'ETPT A-JUST'!2:2,0)),
INDEX( 'ETPT A-JUST'!$A:$ZZ,,MATCH("Fonction recodée",'ETPT A-JUST'!2:2,0)),"Magistrat placé ADD"))+
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16"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U14" s="109">
        <f t="shared" si="3"/>
        <v>0</v>
      </c>
      <c r="AV14" s="113"/>
      <c r="AW14" s="113"/>
      <c r="AX14" s="113"/>
      <c r="AY14" s="113"/>
      <c r="AZ14" s="113"/>
      <c r="BA14" s="113"/>
      <c r="BB14" s="113"/>
      <c r="BC14" s="113"/>
      <c r="BD14" s="113"/>
      <c r="BE14" s="109">
        <f t="shared" si="5"/>
        <v>0</v>
      </c>
    </row>
    <row r="15" ht="14.25" customHeight="1" spans="1:57" s="92" customFormat="1" x14ac:dyDescent="0.25">
      <c r="A15" s="102" t="s">
        <v>4163</v>
      </c>
      <c r="B15" s="103"/>
      <c r="C15" s="103"/>
      <c r="D15" s="115">
        <f t="shared" si="0"/>
      </c>
      <c r="E15" s="103" t="s">
        <v>4187</v>
      </c>
      <c r="F15" s="103" t="s">
        <v>4188</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A-JUST'!$A:$ZZ,,MATCH("5. TOTAL JLD CIVIL",'ETPT A-JUST'!2:2,0)),
INDEX( 'ETPT A-JUST'!$A:$ZZ,,MATCH("Fonction recodée",'ETPT A-JUST'!2:2,0)),"Fonctionnaire A-B-CBUR placé SUB"))+
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A-JUST'!$A:$ZZ,,MATCH("5. TOTAL JLD CIVIL",'ETPT A-JUST'!2:2,0)),
INDEX( 'ETPT A-JUST'!$A:$ZZ,,MATCH("Fonction recodée",'ETPT A-JUST'!2:2,0)),"Magistrat placé SUB"))+
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U15" s="109">
        <f t="shared" si="3"/>
        <v>0</v>
      </c>
      <c r="AV15" s="113"/>
      <c r="AW15" s="113"/>
      <c r="AX15" s="113"/>
      <c r="AY15" s="113"/>
      <c r="AZ15" s="113"/>
      <c r="BA15" s="113"/>
      <c r="BB15" s="113"/>
      <c r="BC15" s="113"/>
      <c r="BD15" s="113"/>
      <c r="BE15" s="109">
        <f t="shared" si="5"/>
        <v>0</v>
      </c>
    </row>
    <row r="16" ht="14.25" customHeight="1" spans="1:57" s="92" customFormat="1" x14ac:dyDescent="0.25">
      <c r="A16" s="102"/>
      <c r="B16" s="126"/>
      <c r="C16" s="126"/>
      <c r="D16" s="126"/>
      <c r="E16" s="126"/>
      <c r="F16" s="127" t="s">
        <v>4189</v>
      </c>
      <c r="G16" s="128">
        <f>_xlfn.AGGREGATE(9,6,G5:G15)</f>
        <v>0</v>
      </c>
      <c r="H16" s="128">
        <f>_xlfn.AGGREGATE(9,6,H5:H15)</f>
        <v>0</v>
      </c>
      <c r="I16" s="128">
        <f t="shared" ref="I16:AU16" si="6">_xlfn.AGGREGATE(9,6,I5:I15)</f>
        <v>0</v>
      </c>
      <c r="J16" s="128">
        <f t="shared" si="6"/>
        <v>0</v>
      </c>
      <c r="K16" s="128">
        <f t="shared" si="6"/>
        <v>0</v>
      </c>
      <c r="L16" s="128">
        <f t="shared" si="6"/>
        <v>0</v>
      </c>
      <c r="M16" s="128">
        <f t="shared" si="6"/>
        <v>0</v>
      </c>
      <c r="N16" s="128">
        <f t="shared" si="6"/>
        <v>0</v>
      </c>
      <c r="O16" s="128">
        <f t="shared" si="6"/>
        <v>0</v>
      </c>
      <c r="P16" s="128">
        <f t="shared" si="6"/>
        <v>0</v>
      </c>
      <c r="Q16" s="128">
        <f t="shared" si="6"/>
        <v>0</v>
      </c>
      <c r="R16" s="128">
        <f t="shared" si="6"/>
        <v>0</v>
      </c>
      <c r="S16" s="128">
        <f t="shared" si="6"/>
        <v>0</v>
      </c>
      <c r="T16" s="128">
        <f t="shared" si="6"/>
        <v>0</v>
      </c>
      <c r="U16" s="128">
        <f t="shared" si="6"/>
        <v>0</v>
      </c>
      <c r="V16" s="128">
        <f t="shared" si="6"/>
        <v>0</v>
      </c>
      <c r="W16" s="128">
        <f t="shared" si="6"/>
        <v>0</v>
      </c>
      <c r="X16" s="128">
        <f t="shared" si="6"/>
        <v>0</v>
      </c>
      <c r="Y16" s="128">
        <f t="shared" si="6"/>
        <v>0</v>
      </c>
      <c r="Z16" s="128">
        <f t="shared" si="6"/>
        <v>0</v>
      </c>
      <c r="AA16" s="128">
        <f t="shared" si="6"/>
        <v>0</v>
      </c>
      <c r="AB16" s="128">
        <f t="shared" si="6"/>
        <v>0</v>
      </c>
      <c r="AC16" s="128">
        <f t="shared" si="6"/>
        <v>0</v>
      </c>
      <c r="AD16" s="128">
        <f t="shared" si="6"/>
        <v>0</v>
      </c>
      <c r="AE16" s="128">
        <f t="shared" si="6"/>
        <v>0</v>
      </c>
      <c r="AF16" s="128">
        <f t="shared" si="6"/>
        <v>0</v>
      </c>
      <c r="AG16" s="128">
        <f t="shared" si="6"/>
        <v>0</v>
      </c>
      <c r="AH16" s="128">
        <f t="shared" si="6"/>
        <v>0</v>
      </c>
      <c r="AI16" s="128">
        <f t="shared" si="6"/>
        <v>0</v>
      </c>
      <c r="AJ16" s="128">
        <f t="shared" si="6"/>
        <v>0</v>
      </c>
      <c r="AK16" s="128">
        <f t="shared" si="6"/>
        <v>0</v>
      </c>
      <c r="AL16" s="128">
        <f t="shared" si="6"/>
        <v>0</v>
      </c>
      <c r="AM16" s="128">
        <f t="shared" si="6"/>
        <v>0</v>
      </c>
      <c r="AN16" s="128">
        <f t="shared" si="6"/>
        <v>0</v>
      </c>
      <c r="AO16" s="128">
        <f t="shared" si="6"/>
        <v>0</v>
      </c>
      <c r="AP16" s="128">
        <f t="shared" si="6"/>
        <v>0</v>
      </c>
      <c r="AQ16" s="128">
        <f t="shared" si="6"/>
        <v>0</v>
      </c>
      <c r="AR16" s="128">
        <f t="shared" si="6"/>
        <v>0</v>
      </c>
      <c r="AS16" s="128">
        <f t="shared" si="6"/>
        <v>0</v>
      </c>
      <c r="AT16" s="128">
        <f t="shared" si="6"/>
        <v>0</v>
      </c>
      <c r="AU16" s="128">
        <f t="shared" si="6"/>
        <v>0</v>
      </c>
      <c r="AV16" s="128">
        <f t="shared" ref="AV16:BE16" si="7">SUM(AV5:AV15)</f>
        <v>0</v>
      </c>
      <c r="AW16" s="128">
        <f t="shared" si="7"/>
        <v>0</v>
      </c>
      <c r="AX16" s="128">
        <f t="shared" si="7"/>
        <v>0</v>
      </c>
      <c r="AY16" s="128">
        <f t="shared" si="7"/>
        <v>0</v>
      </c>
      <c r="AZ16" s="128">
        <f t="shared" si="7"/>
        <v>0</v>
      </c>
      <c r="BA16" s="128">
        <f t="shared" si="7"/>
        <v>0</v>
      </c>
      <c r="BB16" s="128">
        <f t="shared" si="7"/>
        <v>0</v>
      </c>
      <c r="BC16" s="128">
        <f t="shared" si="7"/>
        <v>0</v>
      </c>
      <c r="BD16" s="128">
        <f t="shared" si="7"/>
        <v>0</v>
      </c>
      <c r="BE16" s="109">
        <f t="shared" si="7"/>
        <v>0</v>
      </c>
    </row>
    <row r="17" ht="9" customHeight="1" spans="1:57" s="92" customFormat="1" x14ac:dyDescent="0.25">
      <c r="A17" s="129"/>
      <c r="B17" s="130"/>
      <c r="C17" s="130"/>
      <c r="D17" s="130"/>
      <c r="E17" s="130"/>
      <c r="F17" s="131"/>
      <c r="G17" s="132"/>
      <c r="H17" s="132"/>
      <c r="I17" s="132"/>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c r="AV17" s="132"/>
      <c r="AW17" s="132"/>
      <c r="AX17" s="132"/>
      <c r="AY17" s="132"/>
      <c r="AZ17" s="132"/>
      <c r="BA17" s="132"/>
      <c r="BB17" s="132"/>
      <c r="BC17" s="132"/>
      <c r="BD17" s="132"/>
      <c r="BE17" s="132"/>
    </row>
    <row r="18" spans="23:47" x14ac:dyDescent="0.25">
      <c r="W18" s="133"/>
      <c r="AU18" s="133"/>
    </row>
    <row r="19" spans="4:47" x14ac:dyDescent="0.25">
      <c r="D19" s="134" t="s">
        <v>4190</v>
      </c>
      <c r="AU19" s="135"/>
    </row>
    <row r="20" ht="28" customHeight="1" spans="6:47" x14ac:dyDescent="0.25">
      <c r="F20" s="136" t="s">
        <v>4191</v>
      </c>
      <c r="G20" s="137" t="e">
        <f t="array" ref="G20">SUM(SUMIFS(
INDEX( 'ETPT A-JUST'!$A:$ZZ,,MATCH("12. TOTAL INDISPONIBILITÉ",'ETPT A-JUST'!2:2,0)),
INDEX( 'ETPT A-JUST'!$A:$ZZ,,MATCH("Fonction recodée",'ETPT A-JUST'!2:2,0)),{"Fonctionnaire CTECH placé ADD";"Fonctionnaire CTECH placé SUB"},
INDEX( 'ETPT A-JUST'!$A:$ZZ,,MATCH("TJCPH",'ETPT A-JUST'!2:2,0)),"OUI"))</f>
        <v>#N/A</v>
      </c>
      <c r="H20" s="138"/>
      <c r="I20" s="138"/>
      <c r="J20" s="138"/>
      <c r="K20" s="138"/>
      <c r="L20" s="138"/>
      <c r="M20" s="138"/>
      <c r="N20" s="138"/>
      <c r="O20" s="138"/>
      <c r="P20" s="138"/>
      <c r="Q20" s="138"/>
      <c r="R20" s="138"/>
      <c r="S20" s="138"/>
      <c r="T20" s="138"/>
      <c r="U20" s="139" t="s">
        <v>4192</v>
      </c>
      <c r="V20" s="137" t="e">
        <f t="array" ref="V20">SUM(SUMIFS(
INDEX( 'ETPT A-JUST'!$A:$ZZ,,MATCH("12. TOTAL INDISPONIBILITÉ",'ETPT A-JUST'!2:2,0)),
INDEX( 'ETPT A-JUST'!$A:$ZZ,,MATCH("Fonction recodée",'ETPT A-JUST'!2:2,0)),{"Fonctionnaire A-B-CBUR placé ADD";"Fonctionnaire A-B-CBUR placé SUB"},
INDEX( 'ETPT A-JUST'!$A:$ZZ,,MATCH("TJCPH",'ETPT A-JUST'!2:2,0)),"OUI"))</f>
        <v>#N/A</v>
      </c>
      <c r="W20" s="140"/>
      <c r="X20" s="138"/>
      <c r="Y20" s="138"/>
      <c r="Z20" s="138"/>
      <c r="AA20" s="138"/>
      <c r="AB20" s="138"/>
      <c r="AC20" s="138"/>
      <c r="AD20" s="138"/>
      <c r="AE20" s="138"/>
      <c r="AF20" s="138"/>
      <c r="AG20" s="138"/>
      <c r="AH20" s="138"/>
      <c r="AI20" s="138"/>
      <c r="AJ20" s="138"/>
      <c r="AK20" s="138"/>
      <c r="AL20" s="138"/>
      <c r="AM20" s="138"/>
      <c r="AN20" s="138"/>
      <c r="AO20" s="138"/>
      <c r="AP20" s="138"/>
      <c r="AQ20" s="138"/>
      <c r="AR20" s="138"/>
      <c r="AS20" s="139" t="s">
        <v>4193</v>
      </c>
      <c r="AT20" s="137" t="e">
        <f t="array" ref="AT20">SUM(SUMIFS(
INDEX( 'ETPT A-JUST'!$A:$ZZ,,MATCH("12. TOTAL INDISPONIBILITÉ",'ETPT A-JUST'!2:2,0)),
INDEX( 'ETPT A-JUST'!$A:$ZZ,,MATCH("Fonction recodée",'ETPT A-JUST'!2:2,0)),{"Magistrat placé ADD";"Magistrat placé SUB"},
INDEX( 'ETPT A-JUST'!$A:$ZZ,,MATCH("TJCPH",'ETPT A-JUST'!2:2,0)),"OUI"))</f>
        <v>#N/A</v>
      </c>
      <c r="AU20" s="135"/>
    </row>
    <row r="21" spans="23:46" x14ac:dyDescent="0.25">
      <c r="W21" s="135"/>
      <c r="AT21" s="135"/>
    </row>
    <row r="22" spans="29:29" x14ac:dyDescent="0.25">
      <c r="AC22" s="135"/>
    </row>
    <row r="24" spans="22:22" x14ac:dyDescent="0.25">
      <c r="V24" s="135"/>
    </row>
  </sheetData>
  <mergeCells count="6">
    <mergeCell ref="B1:I1"/>
    <mergeCell ref="H2:H4"/>
    <mergeCell ref="W2:W4"/>
    <mergeCell ref="AG2:AG4"/>
    <mergeCell ref="AU2:AU4"/>
    <mergeCell ref="BE2:BE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1" t="s">
        <v>4194</v>
      </c>
      <c r="B1" s="141"/>
      <c r="C1" s="141"/>
      <c r="D1" s="141"/>
      <c r="E1" s="141"/>
      <c r="F1" s="141"/>
      <c r="G1" s="141"/>
      <c r="H1" s="141"/>
      <c r="I1" s="92"/>
      <c r="J1" s="92"/>
      <c r="K1" s="92"/>
      <c r="L1" s="92"/>
      <c r="M1" s="92"/>
      <c r="N1" s="92"/>
      <c r="O1" s="142"/>
      <c r="P1" s="142"/>
      <c r="Q1" s="92"/>
      <c r="R1" s="92"/>
      <c r="S1" s="92"/>
      <c r="T1" s="92"/>
      <c r="U1" s="92"/>
      <c r="V1" s="92"/>
      <c r="W1" s="92"/>
      <c r="X1" s="92"/>
      <c r="Y1" s="92"/>
      <c r="Z1" s="142"/>
      <c r="AA1" s="142"/>
      <c r="AB1" s="92"/>
      <c r="AC1" s="92"/>
      <c r="AD1" s="92"/>
      <c r="AE1" s="92"/>
      <c r="AF1" s="92"/>
      <c r="AG1" s="92"/>
    </row>
    <row r="2" spans="1:33" x14ac:dyDescent="0.25">
      <c r="A2" s="94"/>
      <c r="B2" s="94"/>
      <c r="C2" s="94"/>
      <c r="D2" s="94"/>
      <c r="E2" s="94"/>
      <c r="F2" s="94"/>
      <c r="G2" s="95" t="s">
        <v>4061</v>
      </c>
      <c r="H2" s="96" t="s">
        <v>4062</v>
      </c>
      <c r="I2" s="95" t="s">
        <v>4063</v>
      </c>
      <c r="J2" s="95" t="s">
        <v>4063</v>
      </c>
      <c r="K2" s="95" t="s">
        <v>4063</v>
      </c>
      <c r="L2" s="95" t="s">
        <v>4063</v>
      </c>
      <c r="M2" s="95" t="s">
        <v>4063</v>
      </c>
      <c r="N2" s="95" t="s">
        <v>4063</v>
      </c>
      <c r="O2" s="143" t="s">
        <v>4063</v>
      </c>
      <c r="P2" s="143" t="s">
        <v>4063</v>
      </c>
      <c r="Q2" s="95" t="s">
        <v>4063</v>
      </c>
      <c r="R2" s="95" t="s">
        <v>4063</v>
      </c>
      <c r="S2" s="96" t="s">
        <v>4064</v>
      </c>
      <c r="T2" s="95" t="s">
        <v>4065</v>
      </c>
      <c r="U2" s="95" t="s">
        <v>4065</v>
      </c>
      <c r="V2" s="95" t="s">
        <v>4065</v>
      </c>
      <c r="W2" s="95" t="s">
        <v>4065</v>
      </c>
      <c r="X2" s="95" t="s">
        <v>4065</v>
      </c>
      <c r="Y2" s="95" t="s">
        <v>4065</v>
      </c>
      <c r="Z2" s="143" t="s">
        <v>4065</v>
      </c>
      <c r="AA2" s="143" t="s">
        <v>4065</v>
      </c>
      <c r="AB2" s="95" t="s">
        <v>4065</v>
      </c>
      <c r="AC2" s="96" t="s">
        <v>4195</v>
      </c>
      <c r="AD2" s="95" t="s">
        <v>4196</v>
      </c>
      <c r="AE2" s="95" t="s">
        <v>4196</v>
      </c>
      <c r="AF2" s="95" t="s">
        <v>4196</v>
      </c>
      <c r="AG2" s="96" t="s">
        <v>4197</v>
      </c>
    </row>
    <row r="3" ht="36" customHeight="1" spans="1:33" x14ac:dyDescent="0.25">
      <c r="A3" s="94"/>
      <c r="B3" s="94"/>
      <c r="C3" s="94"/>
      <c r="D3" s="94"/>
      <c r="E3" s="94"/>
      <c r="F3" s="94"/>
      <c r="G3" s="95" t="s">
        <v>4071</v>
      </c>
      <c r="H3" s="96"/>
      <c r="I3" s="95" t="s">
        <v>4198</v>
      </c>
      <c r="J3" s="95" t="s">
        <v>4199</v>
      </c>
      <c r="K3" s="95" t="s">
        <v>4200</v>
      </c>
      <c r="L3" s="95" t="s">
        <v>4201</v>
      </c>
      <c r="M3" s="95" t="s">
        <v>4202</v>
      </c>
      <c r="N3" s="95" t="s">
        <v>4203</v>
      </c>
      <c r="O3" s="143" t="s">
        <v>4204</v>
      </c>
      <c r="P3" s="143" t="s">
        <v>4205</v>
      </c>
      <c r="Q3" s="95" t="s">
        <v>4206</v>
      </c>
      <c r="R3" s="95" t="s">
        <v>4084</v>
      </c>
      <c r="S3" s="96"/>
      <c r="T3" s="95" t="s">
        <v>4207</v>
      </c>
      <c r="U3" s="95" t="s">
        <v>4208</v>
      </c>
      <c r="V3" s="95" t="s">
        <v>4209</v>
      </c>
      <c r="W3" s="95" t="s">
        <v>4210</v>
      </c>
      <c r="X3" s="95" t="s">
        <v>4211</v>
      </c>
      <c r="Y3" s="95" t="s">
        <v>4212</v>
      </c>
      <c r="Z3" s="143" t="s">
        <v>4213</v>
      </c>
      <c r="AA3" s="143" t="s">
        <v>4214</v>
      </c>
      <c r="AB3" s="95" t="s">
        <v>4215</v>
      </c>
      <c r="AC3" s="96"/>
      <c r="AD3" s="95" t="s">
        <v>4216</v>
      </c>
      <c r="AE3" s="95" t="s">
        <v>4098</v>
      </c>
      <c r="AF3" s="95" t="s">
        <v>4104</v>
      </c>
      <c r="AG3" s="96"/>
    </row>
    <row r="4" ht="60" customHeight="1" spans="1:33" x14ac:dyDescent="0.25">
      <c r="A4" s="94"/>
      <c r="B4" s="101" t="s">
        <v>4114</v>
      </c>
      <c r="C4" s="101" t="s">
        <v>4115</v>
      </c>
      <c r="D4" s="101" t="s">
        <v>37</v>
      </c>
      <c r="E4" s="101" t="s">
        <v>4116</v>
      </c>
      <c r="F4" s="101" t="s">
        <v>4117</v>
      </c>
      <c r="G4" s="95" t="s">
        <v>4118</v>
      </c>
      <c r="H4" s="96"/>
      <c r="I4" s="95" t="s">
        <v>4217</v>
      </c>
      <c r="J4" s="95" t="s">
        <v>4218</v>
      </c>
      <c r="K4" s="95" t="s">
        <v>4219</v>
      </c>
      <c r="L4" s="95" t="s">
        <v>4220</v>
      </c>
      <c r="M4" s="95" t="s">
        <v>4221</v>
      </c>
      <c r="N4" s="95" t="s">
        <v>4222</v>
      </c>
      <c r="O4" s="143" t="s">
        <v>4223</v>
      </c>
      <c r="P4" s="143" t="s">
        <v>4224</v>
      </c>
      <c r="Q4" s="95" t="s">
        <v>4225</v>
      </c>
      <c r="R4" s="95" t="s">
        <v>4132</v>
      </c>
      <c r="S4" s="96"/>
      <c r="T4" s="95" t="s">
        <v>4226</v>
      </c>
      <c r="U4" s="95" t="s">
        <v>4227</v>
      </c>
      <c r="V4" s="95" t="s">
        <v>4228</v>
      </c>
      <c r="W4" s="95" t="s">
        <v>4229</v>
      </c>
      <c r="X4" s="95" t="s">
        <v>4230</v>
      </c>
      <c r="Y4" s="95" t="s">
        <v>4231</v>
      </c>
      <c r="Z4" s="143" t="s">
        <v>4232</v>
      </c>
      <c r="AA4" s="143" t="s">
        <v>4233</v>
      </c>
      <c r="AB4" s="95" t="s">
        <v>4234</v>
      </c>
      <c r="AC4" s="96"/>
      <c r="AD4" s="95" t="s">
        <v>4235</v>
      </c>
      <c r="AE4" s="95" t="s">
        <v>4147</v>
      </c>
      <c r="AF4" s="95" t="s">
        <v>4153</v>
      </c>
      <c r="AG4" s="96"/>
    </row>
    <row r="5" spans="1:33" x14ac:dyDescent="0.25">
      <c r="A5" s="144" t="s">
        <v>4236</v>
      </c>
      <c r="B5" s="115"/>
      <c r="C5" s="115"/>
      <c r="D5" s="104">
        <f>ETPT_TPRX_DDG!$D$5</f>
        <v>0</v>
      </c>
      <c r="E5" s="115" t="s">
        <v>4164</v>
      </c>
      <c r="F5" s="115" t="s">
        <v>4165</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5">
        <f>_xlfn.AGGREGATE(9,6,G5)</f>
        <v>0</v>
      </c>
      <c r="I5" s="146"/>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7"/>
      <c r="N5" s="147"/>
      <c r="O5" s="125"/>
      <c r="P5" s="125"/>
      <c r="Q5" s="148"/>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5">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49"/>
      <c r="Y5" s="149"/>
      <c r="Z5" s="125"/>
      <c r="AA5" s="125"/>
      <c r="AB5" s="149"/>
      <c r="AC5" s="145">
        <f>_xlfn.AGGREGATE(9,6,T5:AB5)</f>
        <v>0</v>
      </c>
      <c r="AD5" s="149"/>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5">
        <f>_xlfn.AGGREGATE(9,6,AD5:AF5)</f>
        <v>0</v>
      </c>
    </row>
    <row r="6" spans="1:33" x14ac:dyDescent="0.25">
      <c r="A6" s="150" t="s">
        <v>4236</v>
      </c>
      <c r="B6" s="151"/>
      <c r="C6" s="151"/>
      <c r="D6" s="151">
        <f t="shared" ref="D6:D15" si="0">$D$5</f>
        <v>0</v>
      </c>
      <c r="E6" s="151" t="s">
        <v>4166</v>
      </c>
      <c r="F6" s="151" t="s">
        <v>4167</v>
      </c>
      <c r="G6" s="152"/>
      <c r="H6" s="145">
        <f t="shared" ref="H6:H15" si="1">_xlfn.AGGREGATE(9,6,G6)</f>
        <v>0</v>
      </c>
      <c r="I6" s="153"/>
      <c r="J6" s="125"/>
      <c r="K6" s="125"/>
      <c r="L6" s="125"/>
      <c r="M6" s="125"/>
      <c r="N6" s="152"/>
      <c r="O6" s="149"/>
      <c r="P6" s="149"/>
      <c r="Q6" s="149"/>
      <c r="R6" s="147"/>
      <c r="S6" s="145">
        <f t="shared" ref="S6:S14" si="2">_xlfn.AGGREGATE(9,6,I6:R6)</f>
        <v>0</v>
      </c>
      <c r="T6" s="125"/>
      <c r="U6" s="125"/>
      <c r="V6" s="125"/>
      <c r="W6" s="125"/>
      <c r="X6" s="125"/>
      <c r="Y6" s="125"/>
      <c r="Z6" s="149"/>
      <c r="AA6" s="149"/>
      <c r="AB6" s="149"/>
      <c r="AC6" s="145">
        <f t="shared" ref="AC6:AC15" si="3">_xlfn.AGGREGATE(9,6,T6:AB6)</f>
        <v>0</v>
      </c>
      <c r="AD6" s="149"/>
      <c r="AE6" s="125"/>
      <c r="AF6" s="125"/>
      <c r="AG6" s="145">
        <f t="shared" ref="AG6:AG14" si="4">_xlfn.AGGREGATE(9,6,AD6:AF6)</f>
        <v>0</v>
      </c>
    </row>
    <row r="7" spans="1:33" x14ac:dyDescent="0.25">
      <c r="A7" s="144" t="s">
        <v>4236</v>
      </c>
      <c r="B7" s="115"/>
      <c r="C7" s="115"/>
      <c r="D7" s="115">
        <f t="shared" si="0"/>
        <v>0</v>
      </c>
      <c r="E7" s="115" t="s">
        <v>4169</v>
      </c>
      <c r="F7" s="115" t="s">
        <v>4170</v>
      </c>
      <c r="G7" s="152"/>
      <c r="H7" s="145">
        <f t="shared" si="1"/>
        <v>0</v>
      </c>
      <c r="I7" s="146"/>
      <c r="J7" s="122"/>
      <c r="K7" s="122"/>
      <c r="L7" s="122"/>
      <c r="M7" s="122"/>
      <c r="N7" s="124"/>
      <c r="O7" s="125"/>
      <c r="P7" s="125"/>
      <c r="Q7" s="122"/>
      <c r="R7" s="122"/>
      <c r="S7" s="145">
        <f t="shared" si="2"/>
        <v>0</v>
      </c>
      <c r="T7" s="122"/>
      <c r="U7" s="122"/>
      <c r="V7" s="122"/>
      <c r="W7" s="122"/>
      <c r="X7" s="125"/>
      <c r="Y7" s="125"/>
      <c r="Z7" s="125"/>
      <c r="AA7" s="125"/>
      <c r="AB7" s="125"/>
      <c r="AC7" s="145">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5">
        <f t="shared" si="4"/>
        <v>0</v>
      </c>
    </row>
    <row r="8" spans="1:33" x14ac:dyDescent="0.25">
      <c r="A8" s="144" t="s">
        <v>4236</v>
      </c>
      <c r="B8" s="115"/>
      <c r="C8" s="115"/>
      <c r="D8" s="115">
        <f t="shared" si="0"/>
        <v>0</v>
      </c>
      <c r="E8" s="115" t="s">
        <v>4173</v>
      </c>
      <c r="F8" s="115" t="s">
        <v>4174</v>
      </c>
      <c r="G8" s="119" t="e">
        <f>SUM(SUMIFS(
INDEX( 'ETPT Format DDG'!$A:$ZZ,,MATCH("11.51. ACCUEIL DU JUSTICIABLE (DONT SAUJ)",'ETPT Format DDG'!2:2,0)),
INDEX( 'ETPT Format DDG'!$A:$ZZ,,MATCH("Fonction recodée",'ETPT Format DDG'!2:2,0)),"Fonctionnaire CTECH",
INDEX( 'ETPT Format DDG'!$A:$ZZ,,MATCH("Juridiction",'ETPT Format DDG'!2:2,0)),$D$5))</f>
        <v>#N/A</v>
      </c>
      <c r="H8" s="145">
        <f t="shared" si="1"/>
        <v>0</v>
      </c>
      <c r="I8" s="146"/>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5">
        <f t="shared" si="2"/>
        <v>0</v>
      </c>
      <c r="T8" s="122"/>
      <c r="U8" s="122"/>
      <c r="V8" s="122"/>
      <c r="W8" s="122"/>
      <c r="X8" s="125"/>
      <c r="Y8" s="125"/>
      <c r="Z8" s="125"/>
      <c r="AA8" s="125"/>
      <c r="AB8" s="125"/>
      <c r="AC8" s="145">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5">
        <f t="shared" si="4"/>
        <v>0</v>
      </c>
    </row>
    <row r="9" spans="1:33" x14ac:dyDescent="0.25">
      <c r="A9" s="144" t="s">
        <v>4236</v>
      </c>
      <c r="B9" s="115"/>
      <c r="C9" s="115"/>
      <c r="D9" s="115">
        <f t="shared" si="0"/>
        <v>0</v>
      </c>
      <c r="E9" s="115" t="s">
        <v>4175</v>
      </c>
      <c r="F9" s="115" t="s">
        <v>4176</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5">
        <f t="shared" si="1"/>
        <v>0</v>
      </c>
      <c r="I9" s="146"/>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5">
        <f t="shared" si="2"/>
        <v>0</v>
      </c>
      <c r="T9" s="122"/>
      <c r="U9" s="122"/>
      <c r="V9" s="122"/>
      <c r="W9" s="122"/>
      <c r="X9" s="125"/>
      <c r="Y9" s="125"/>
      <c r="Z9" s="125"/>
      <c r="AA9" s="125"/>
      <c r="AB9" s="125"/>
      <c r="AC9" s="145">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5">
        <f t="shared" si="4"/>
        <v>0</v>
      </c>
    </row>
    <row r="10" spans="1:33" x14ac:dyDescent="0.25">
      <c r="A10" s="144" t="s">
        <v>4236</v>
      </c>
      <c r="B10" s="115"/>
      <c r="C10" s="115"/>
      <c r="D10" s="115">
        <f t="shared" si="0"/>
        <v>0</v>
      </c>
      <c r="E10" s="115" t="s">
        <v>4177</v>
      </c>
      <c r="F10" s="115" t="s">
        <v>4178</v>
      </c>
      <c r="G10" s="119" t="e">
        <f>SUM(SUMIFS(
INDEX( 'ETPT Format DDG'!$A:$ZZ,,MATCH("11.3. FORMATIONS DISPENSÉES",'ETPT Format DDG'!2:2,0)),
INDEX( 'ETPT Format DDG'!$A:$ZZ,,MATCH("Fonction recodée",'ETPT Format DDG'!2:2,0)),"Fonctionnaire CTECH",
INDEX( 'ETPT Format DDG'!$A:$ZZ,,MATCH("Juridiction",'ETPT Format DDG'!2:2,0)),$D$5))</f>
        <v>#N/A</v>
      </c>
      <c r="H10" s="145">
        <f t="shared" si="1"/>
        <v>0</v>
      </c>
      <c r="I10" s="146"/>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5">
        <f t="shared" si="2"/>
        <v>0</v>
      </c>
      <c r="T10" s="122"/>
      <c r="U10" s="122"/>
      <c r="V10" s="122"/>
      <c r="W10" s="122"/>
      <c r="X10" s="125"/>
      <c r="Y10" s="125"/>
      <c r="Z10" s="125"/>
      <c r="AA10" s="125"/>
      <c r="AB10" s="125"/>
      <c r="AC10" s="145">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5">
        <f t="shared" si="4"/>
        <v>0</v>
      </c>
    </row>
    <row r="11" spans="1:33" x14ac:dyDescent="0.25">
      <c r="A11" s="144" t="s">
        <v>4236</v>
      </c>
      <c r="B11" s="115"/>
      <c r="C11" s="115"/>
      <c r="D11" s="115">
        <f t="shared" si="0"/>
        <v>0</v>
      </c>
      <c r="E11" s="115" t="s">
        <v>4179</v>
      </c>
      <c r="F11" s="115" t="s">
        <v>4180</v>
      </c>
      <c r="G11" s="119" t="e">
        <f>SUM(SUMIFS(
INDEX( 'ETPT Format DDG'!$A:$ZZ,,MATCH("11.4. ACCÈS AU DROIT ET À LA JUSTICE",'ETPT Format DDG'!2:2,0)),
INDEX( 'ETPT Format DDG'!$A:$ZZ,,MATCH("Fonction recodée",'ETPT Format DDG'!2:2,0)),"Fonctionnaire CTECH",
INDEX( 'ETPT Format DDG'!$A:$ZZ,,MATCH("Juridiction",'ETPT Format DDG'!2:2,0)),$D$5))</f>
        <v>#N/A</v>
      </c>
      <c r="H11" s="145">
        <f t="shared" si="1"/>
        <v>0</v>
      </c>
      <c r="I11" s="146"/>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5">
        <f t="shared" si="2"/>
        <v>0</v>
      </c>
      <c r="T11" s="122"/>
      <c r="U11" s="122"/>
      <c r="V11" s="122"/>
      <c r="W11" s="122"/>
      <c r="X11" s="125"/>
      <c r="Y11" s="125"/>
      <c r="Z11" s="125"/>
      <c r="AA11" s="125"/>
      <c r="AB11" s="125"/>
      <c r="AC11" s="145">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5">
        <f t="shared" si="4"/>
        <v>0</v>
      </c>
    </row>
    <row r="12" spans="1:33" x14ac:dyDescent="0.25">
      <c r="A12" s="144" t="s">
        <v>4236</v>
      </c>
      <c r="B12" s="115"/>
      <c r="C12" s="115"/>
      <c r="D12" s="115">
        <f t="shared" si="0"/>
        <v>0</v>
      </c>
      <c r="E12" s="115" t="s">
        <v>4181</v>
      </c>
      <c r="F12" s="115" t="s">
        <v>4182</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5">
        <f t="shared" si="1"/>
        <v>0</v>
      </c>
      <c r="I12" s="146"/>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5">
        <f t="shared" si="2"/>
        <v>0</v>
      </c>
      <c r="T12" s="122"/>
      <c r="U12" s="122"/>
      <c r="V12" s="122"/>
      <c r="W12" s="122"/>
      <c r="X12" s="125"/>
      <c r="Y12" s="125"/>
      <c r="Z12" s="125"/>
      <c r="AA12" s="125"/>
      <c r="AB12" s="125"/>
      <c r="AC12" s="145">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5">
        <f t="shared" si="4"/>
        <v>0</v>
      </c>
    </row>
    <row r="13" spans="1:33" x14ac:dyDescent="0.25">
      <c r="A13" s="144" t="s">
        <v>4236</v>
      </c>
      <c r="B13" s="115"/>
      <c r="C13" s="115"/>
      <c r="D13" s="115">
        <f t="shared" si="0"/>
        <v>0</v>
      </c>
      <c r="E13" s="115" t="s">
        <v>4183</v>
      </c>
      <c r="F13" s="115" t="s">
        <v>4184</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5">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5">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5">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5">
        <f t="shared" si="4"/>
        <v>0</v>
      </c>
    </row>
    <row r="14" spans="1:33" x14ac:dyDescent="0.25">
      <c r="A14" s="144" t="s">
        <v>4236</v>
      </c>
      <c r="B14" s="115"/>
      <c r="C14" s="115"/>
      <c r="D14" s="115">
        <f t="shared" si="0"/>
        <v>0</v>
      </c>
      <c r="E14" s="115" t="s">
        <v>4185</v>
      </c>
      <c r="F14" s="115" t="s">
        <v>4186</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5">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5">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5">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5">
        <f t="shared" si="4"/>
        <v>0</v>
      </c>
    </row>
    <row r="15" spans="1:33" x14ac:dyDescent="0.25">
      <c r="A15" s="144" t="s">
        <v>4236</v>
      </c>
      <c r="B15" s="115"/>
      <c r="C15" s="115"/>
      <c r="D15" s="115">
        <f t="shared" si="0"/>
        <v>0</v>
      </c>
      <c r="E15" s="115" t="s">
        <v>4187</v>
      </c>
      <c r="F15" s="115" t="s">
        <v>4188</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5">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5">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5">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5">
        <f>_xlfn.AGGREGATE(9,6,AD15:AF15)</f>
        <v>0</v>
      </c>
    </row>
    <row r="16" spans="1:33" x14ac:dyDescent="0.25">
      <c r="A16" s="144"/>
      <c r="B16" s="154"/>
      <c r="C16" s="154"/>
      <c r="D16" s="154"/>
      <c r="E16" s="154"/>
      <c r="F16" s="155" t="s">
        <v>4189</v>
      </c>
      <c r="G16" s="145">
        <f>_xlfn.AGGREGATE(9,6,G5:G15)</f>
        <v>0</v>
      </c>
      <c r="H16" s="145">
        <f t="shared" ref="H16:AG16" si="5">_xlfn.AGGREGATE(9,6,H5:H15)</f>
        <v>0</v>
      </c>
      <c r="I16" s="145">
        <f t="shared" si="5"/>
        <v>0</v>
      </c>
      <c r="J16" s="145">
        <f t="shared" si="5"/>
        <v>0</v>
      </c>
      <c r="K16" s="145">
        <f t="shared" si="5"/>
        <v>0</v>
      </c>
      <c r="L16" s="145">
        <f t="shared" si="5"/>
        <v>0</v>
      </c>
      <c r="M16" s="145">
        <f t="shared" si="5"/>
        <v>0</v>
      </c>
      <c r="N16" s="145">
        <f t="shared" si="5"/>
        <v>0</v>
      </c>
      <c r="O16" s="145">
        <f t="shared" si="5"/>
        <v>0</v>
      </c>
      <c r="P16" s="145">
        <f t="shared" si="5"/>
        <v>0</v>
      </c>
      <c r="Q16" s="145">
        <f t="shared" si="5"/>
        <v>0</v>
      </c>
      <c r="R16" s="145">
        <f t="shared" si="5"/>
        <v>0</v>
      </c>
      <c r="S16" s="145">
        <f t="shared" si="5"/>
        <v>0</v>
      </c>
      <c r="T16" s="145">
        <f t="shared" si="5"/>
        <v>0</v>
      </c>
      <c r="U16" s="145">
        <f t="shared" si="5"/>
        <v>0</v>
      </c>
      <c r="V16" s="145">
        <f t="shared" si="5"/>
        <v>0</v>
      </c>
      <c r="W16" s="145">
        <f t="shared" si="5"/>
        <v>0</v>
      </c>
      <c r="X16" s="145">
        <f t="shared" si="5"/>
        <v>0</v>
      </c>
      <c r="Y16" s="145">
        <f t="shared" si="5"/>
        <v>0</v>
      </c>
      <c r="Z16" s="145">
        <f t="shared" si="5"/>
        <v>0</v>
      </c>
      <c r="AA16" s="145">
        <f t="shared" si="5"/>
        <v>0</v>
      </c>
      <c r="AB16" s="145">
        <f t="shared" si="5"/>
        <v>0</v>
      </c>
      <c r="AC16" s="145">
        <f>_xlfn.AGGREGATE(9,6,AC5:AC15)</f>
        <v>0</v>
      </c>
      <c r="AD16" s="145">
        <f>_xlfn.AGGREGATE(9,6,AD5:AD15)</f>
        <v>0</v>
      </c>
      <c r="AE16" s="145">
        <f t="shared" si="5"/>
        <v>0</v>
      </c>
      <c r="AF16" s="145">
        <f t="shared" si="5"/>
        <v>0</v>
      </c>
      <c r="AG16" s="145">
        <f t="shared" si="5"/>
        <v>0</v>
      </c>
    </row>
    <row r="17" spans="19:19" x14ac:dyDescent="0.25">
      <c r="S17" s="133"/>
    </row>
    <row r="18" ht="24" customHeight="1" spans="6:32" s="156" customFormat="1" x14ac:dyDescent="0.25">
      <c r="F18" s="157" t="s">
        <v>4191</v>
      </c>
      <c r="G18" s="137" t="e">
        <f t="array" ref="G18">SUM(SUMIFS(
INDEX( 'ETPT A-JUST'!$A:$ZZ,,MATCH("12. TOTAL INDISPONIBILITÉ",'ETPT A-JUST'!2:2,0)),
INDEX( 'ETPT A-JUST'!$A:$ZZ,,MATCH("Fonction recodée",'ETPT A-JUST'!2:2,0)),{"Fonctionnaire CTECH placé ADD";"Fonctionnaire CTECH placé SUB"},
INDEX( 'ETPT A-JUST'!$A:$ZZ,,MATCH("Juridiction",'ETPT A-JUST'!2:2,0)),$D$5))</f>
        <v>#N/A</v>
      </c>
      <c r="Q18" s="139" t="s">
        <v>4192</v>
      </c>
      <c r="R18" s="137" t="e">
        <f t="array" ref="R18">SUM(SUMIFS(
INDEX( 'ETPT A-JUST'!$A:$ZZ,,MATCH("12. TOTAL INDISPONIBILITÉ",'ETPT A-JUST'!2:2,0)),
INDEX( 'ETPT A-JUST'!$A:$ZZ,,MATCH("Fonction recodée",'ETPT A-JUST'!2:2,0)),{"Fonctionnaire A-B-CBUR placé ADD";"Fonctionnaire A-B-CBUR placé SUB"},
INDEX( 'ETPT A-JUST'!$A:$ZZ,,MATCH("Juridiction",'ETPT A-JUST'!2:2,0)),$D$5))</f>
        <v>#N/A</v>
      </c>
      <c r="S18" s="158"/>
      <c r="AD18" s="139"/>
      <c r="AE18" s="139" t="s">
        <v>4193</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4" t="s">
        <v>4190</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59"/>
      <c r="D1" s="159" t="s">
        <v>4237</v>
      </c>
      <c r="E1" s="159"/>
      <c r="F1" s="159"/>
      <c r="G1" s="92"/>
      <c r="H1" s="92"/>
      <c r="I1" s="92"/>
      <c r="J1" s="92"/>
    </row>
    <row r="2" spans="1:10" x14ac:dyDescent="0.25">
      <c r="A2" s="160"/>
      <c r="B2" s="161"/>
      <c r="C2" s="161"/>
      <c r="D2" s="161"/>
      <c r="E2" s="161"/>
      <c r="F2" s="161"/>
      <c r="G2" s="95" t="s">
        <v>4063</v>
      </c>
      <c r="H2" s="96" t="s">
        <v>4064</v>
      </c>
      <c r="I2" s="95" t="s">
        <v>4238</v>
      </c>
      <c r="J2" s="96" t="s">
        <v>4239</v>
      </c>
    </row>
    <row r="3" ht="36" customHeight="1" spans="1:10" x14ac:dyDescent="0.25">
      <c r="A3" s="160"/>
      <c r="B3" s="161"/>
      <c r="C3" s="161"/>
      <c r="D3" s="161"/>
      <c r="E3" s="161"/>
      <c r="F3" s="161"/>
      <c r="G3" s="95" t="s">
        <v>4084</v>
      </c>
      <c r="H3" s="96"/>
      <c r="I3" s="95" t="s">
        <v>4240</v>
      </c>
      <c r="J3" s="96"/>
    </row>
    <row r="4" ht="36" customHeight="1" spans="1:10" s="162" customFormat="1" x14ac:dyDescent="0.25">
      <c r="A4" s="163"/>
      <c r="B4" s="164" t="s">
        <v>4114</v>
      </c>
      <c r="C4" s="164" t="s">
        <v>4115</v>
      </c>
      <c r="D4" s="164" t="s">
        <v>37</v>
      </c>
      <c r="E4" s="164" t="s">
        <v>4116</v>
      </c>
      <c r="F4" s="164" t="s">
        <v>4117</v>
      </c>
      <c r="G4" s="95" t="s">
        <v>4132</v>
      </c>
      <c r="H4" s="96"/>
      <c r="I4" s="95" t="s">
        <v>4241</v>
      </c>
      <c r="J4" s="96"/>
    </row>
    <row r="5" ht="11" customHeight="1" spans="1:10" s="162" customFormat="1" x14ac:dyDescent="0.25">
      <c r="A5" s="165" t="s">
        <v>4242</v>
      </c>
      <c r="B5" s="166"/>
      <c r="C5" s="166"/>
      <c r="D5" s="167">
        <f>ETPT_CPH_DDG!$D$5</f>
        <v>0</v>
      </c>
      <c r="E5" s="166" t="s">
        <v>4164</v>
      </c>
      <c r="F5" s="166" t="s">
        <v>4165</v>
      </c>
      <c r="G5" s="168" t="e">
        <f>SUM(SUMIFS(
INDEX( 'ETPT Format DDG'!$A:$ZZ,,MATCH("11.7. FONCTIONNAIRES AFFECTÉS AU CPH",'ETPT Format DDG'!2:2,0)),
INDEX( 'ETPT Format DDG'!$A:$ZZ,,MATCH("Fonction recodée",'ETPT Format DDG'!2:2,0)),"Fonctionnaire A-B-CBUR",
INDEX( 'ETPT Format DDG'!$A:$ZZ,,MATCH("Juridiction",'ETPT Format DDG'!2:2,0)),$D$5))</f>
        <v>#N/A</v>
      </c>
      <c r="H5" s="169">
        <f>_xlfn.AGGREGATE(9,6,G5)</f>
        <v>0</v>
      </c>
      <c r="I5" s="170"/>
      <c r="J5" s="169">
        <f>_xlfn.AGGREGATE(9,6,I5)</f>
        <v>0</v>
      </c>
    </row>
    <row r="6" ht="11" customHeight="1" spans="1:10" s="162" customFormat="1" x14ac:dyDescent="0.25">
      <c r="A6" s="165" t="s">
        <v>4242</v>
      </c>
      <c r="B6" s="166"/>
      <c r="C6" s="166"/>
      <c r="D6" s="115">
        <f t="shared" ref="D6:D13" si="0">$D$5</f>
        <v>0</v>
      </c>
      <c r="E6" s="166" t="s">
        <v>4173</v>
      </c>
      <c r="F6" s="166" t="s">
        <v>4174</v>
      </c>
      <c r="G6" s="171"/>
      <c r="H6" s="169">
        <f t="shared" ref="H6:H13" si="1">_xlfn.AGGREGATE(9,6,G6)</f>
        <v>0</v>
      </c>
      <c r="I6" s="170"/>
      <c r="J6" s="169">
        <f t="shared" ref="J6:J13" si="2">_xlfn.AGGREGATE(9,6,I6)</f>
        <v>0</v>
      </c>
    </row>
    <row r="7" ht="11" customHeight="1" spans="1:10" s="162" customFormat="1" x14ac:dyDescent="0.25">
      <c r="A7" s="165" t="s">
        <v>4242</v>
      </c>
      <c r="B7" s="166"/>
      <c r="C7" s="166"/>
      <c r="D7" s="115">
        <f t="shared" si="0"/>
        <v>0</v>
      </c>
      <c r="E7" s="166" t="s">
        <v>4175</v>
      </c>
      <c r="F7" s="166" t="s">
        <v>4176</v>
      </c>
      <c r="G7" s="171"/>
      <c r="H7" s="169">
        <f t="shared" si="1"/>
        <v>0</v>
      </c>
      <c r="I7" s="172"/>
      <c r="J7" s="169">
        <f t="shared" si="2"/>
        <v>0</v>
      </c>
    </row>
    <row r="8" ht="11" customHeight="1" spans="1:10" s="162" customFormat="1" x14ac:dyDescent="0.25">
      <c r="A8" s="165" t="s">
        <v>4242</v>
      </c>
      <c r="B8" s="166"/>
      <c r="C8" s="166"/>
      <c r="D8" s="115">
        <f t="shared" si="0"/>
        <v>0</v>
      </c>
      <c r="E8" s="166" t="s">
        <v>4177</v>
      </c>
      <c r="F8" s="166" t="s">
        <v>4178</v>
      </c>
      <c r="G8" s="171"/>
      <c r="H8" s="169">
        <f t="shared" si="1"/>
        <v>0</v>
      </c>
      <c r="I8" s="170"/>
      <c r="J8" s="169">
        <f t="shared" si="2"/>
        <v>0</v>
      </c>
    </row>
    <row r="9" ht="11" customHeight="1" spans="1:10" s="162" customFormat="1" x14ac:dyDescent="0.25">
      <c r="A9" s="165" t="s">
        <v>4242</v>
      </c>
      <c r="B9" s="166"/>
      <c r="C9" s="166"/>
      <c r="D9" s="115">
        <f t="shared" si="0"/>
        <v>0</v>
      </c>
      <c r="E9" s="166" t="s">
        <v>4179</v>
      </c>
      <c r="F9" s="166" t="s">
        <v>4180</v>
      </c>
      <c r="G9" s="171"/>
      <c r="H9" s="169">
        <f t="shared" si="1"/>
        <v>0</v>
      </c>
      <c r="I9" s="172"/>
      <c r="J9" s="169">
        <f t="shared" si="2"/>
        <v>0</v>
      </c>
    </row>
    <row r="10" ht="11" customHeight="1" spans="1:10" s="162" customFormat="1" x14ac:dyDescent="0.25">
      <c r="A10" s="165" t="s">
        <v>4242</v>
      </c>
      <c r="B10" s="166"/>
      <c r="C10" s="166"/>
      <c r="D10" s="115">
        <f t="shared" si="0"/>
        <v>0</v>
      </c>
      <c r="E10" s="166" t="s">
        <v>4181</v>
      </c>
      <c r="F10" s="166" t="s">
        <v>4182</v>
      </c>
      <c r="G10" s="171"/>
      <c r="H10" s="169">
        <f t="shared" si="1"/>
        <v>0</v>
      </c>
      <c r="I10" s="170"/>
      <c r="J10" s="169">
        <f t="shared" si="2"/>
        <v>0</v>
      </c>
    </row>
    <row r="11" ht="11" customHeight="1" spans="1:10" s="162" customFormat="1" x14ac:dyDescent="0.25">
      <c r="A11" s="165" t="s">
        <v>4242</v>
      </c>
      <c r="B11" s="166"/>
      <c r="C11" s="166"/>
      <c r="D11" s="115">
        <f t="shared" si="0"/>
        <v>0</v>
      </c>
      <c r="E11" s="166" t="s">
        <v>4183</v>
      </c>
      <c r="F11" s="166" t="s">
        <v>4184</v>
      </c>
      <c r="G11" s="171"/>
      <c r="H11" s="169">
        <f t="shared" si="1"/>
        <v>0</v>
      </c>
      <c r="I11" s="172"/>
      <c r="J11" s="169">
        <f t="shared" si="2"/>
        <v>0</v>
      </c>
    </row>
    <row r="12" ht="11" customHeight="1" spans="1:10" s="162" customFormat="1" x14ac:dyDescent="0.25">
      <c r="A12" s="165" t="s">
        <v>4242</v>
      </c>
      <c r="B12" s="166"/>
      <c r="C12" s="166"/>
      <c r="D12" s="115">
        <f t="shared" si="0"/>
        <v>0</v>
      </c>
      <c r="E12" s="166" t="s">
        <v>4185</v>
      </c>
      <c r="F12" s="166" t="s">
        <v>4186</v>
      </c>
      <c r="G12" s="168" t="e">
        <f>SUM(SUMIFS(
INDEX( 'ETPT A-JUST'!$A:$ZZ,,MATCH("11.7. FONCTIONNAIRES AFFECTÉS AU CPH",'ETPT A-JUST'!2:2,0)),
INDEX( 'ETPT A-JUST'!$A:$ZZ,,MATCH("Fonction recodée",'ETPT A-JUST'!2:2,0)),"Fonctionnaire A-B-CBUR placé ADD",
INDEX( 'ETPT A-JUST'!$A:$ZZ,,MATCH("Juridiction",'ETPT A-JUST'!2:2,0)),$D$5))</f>
        <v>#N/A</v>
      </c>
      <c r="H12" s="169">
        <f t="shared" si="1"/>
        <v>0</v>
      </c>
      <c r="I12" s="153"/>
      <c r="J12" s="169">
        <f t="shared" si="2"/>
        <v>0</v>
      </c>
    </row>
    <row r="13" ht="11" customHeight="1" spans="1:10" s="162" customFormat="1" x14ac:dyDescent="0.25">
      <c r="A13" s="165" t="s">
        <v>4242</v>
      </c>
      <c r="B13" s="166"/>
      <c r="C13" s="166"/>
      <c r="D13" s="115">
        <f t="shared" si="0"/>
        <v>0</v>
      </c>
      <c r="E13" s="166" t="s">
        <v>4187</v>
      </c>
      <c r="F13" s="166" t="s">
        <v>4188</v>
      </c>
      <c r="G13" s="168" t="e">
        <f>SUM(SUMIFS(
INDEX( 'ETPT A-JUST'!$A:$ZZ,,MATCH("11.7. FONCTIONNAIRES AFFECTÉS AU CPH",'ETPT A-JUST'!2:2,0)),
INDEX( 'ETPT A-JUST'!$A:$ZZ,,MATCH("Fonction recodée",'ETPT A-JUST'!2:2,0)),"Fonctionnaire A-B-CBUR placé SUB",
INDEX( 'ETPT A-JUST'!$A:$ZZ,,MATCH("Juridiction",'ETPT A-JUST'!2:2,0)),$D$5))</f>
        <v>#N/A</v>
      </c>
      <c r="H13" s="169">
        <f t="shared" si="1"/>
        <v>0</v>
      </c>
      <c r="I13" s="153"/>
      <c r="J13" s="169">
        <f t="shared" si="2"/>
        <v>0</v>
      </c>
    </row>
    <row r="14" ht="11" customHeight="1" spans="1:10" s="162" customFormat="1" x14ac:dyDescent="0.25">
      <c r="A14" s="173"/>
      <c r="B14" s="115"/>
      <c r="C14" s="115"/>
      <c r="D14" s="115"/>
      <c r="E14" s="154"/>
      <c r="F14" s="174" t="s">
        <v>4189</v>
      </c>
      <c r="G14" s="169">
        <f>_xlfn.AGGREGATE(9,6,G5:G13)</f>
        <v>0</v>
      </c>
      <c r="H14" s="169">
        <f t="shared" ref="H14:I14" si="3">_xlfn.AGGREGATE(9,6,H5:H13)</f>
        <v>0</v>
      </c>
      <c r="I14" s="169">
        <f t="shared" si="3"/>
        <v>0</v>
      </c>
      <c r="J14" s="169">
        <f>_xlfn.AGGREGATE(9,6,J5:J13)</f>
        <v>0</v>
      </c>
    </row>
    <row r="17" spans="4:4" x14ac:dyDescent="0.25">
      <c r="D17" s="134"/>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E22"/>
  <sheetViews>
    <sheetView workbookViewId="0" showGridLines="0" zoomScale="100" zoomScaleNormal="100">
      <selection activeCell="D5" sqref="D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2" width="9.33203125" style="91" customWidth="1"/>
    <col min="53" max="53" width="10.6640625" style="91" customWidth="1"/>
    <col min="54" max="57" width="9.33203125" style="91" customWidth="1"/>
    <col min="58" max="58" width="4" style="91" customWidth="1"/>
    <col min="59" max="16384" width="11" style="91" customWidth="1"/>
  </cols>
  <sheetData>
    <row r="1" ht="80" customHeight="1" spans="1:57" s="40" customFormat="1" x14ac:dyDescent="0.25">
      <c r="A1" s="41" t="s">
        <v>4243</v>
      </c>
      <c r="B1" s="42"/>
      <c r="C1" s="42"/>
      <c r="D1" s="41" t="s">
        <v>4266</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row>
    <row r="2" ht="12.75" customHeight="1" hidden="1" spans="1:57" s="92" customFormat="1" x14ac:dyDescent="0.25">
      <c r="A2" s="94"/>
      <c r="B2" s="94"/>
      <c r="C2" s="94"/>
      <c r="D2" s="192"/>
      <c r="E2" s="192"/>
      <c r="F2" s="192"/>
      <c r="G2" s="95" t="s">
        <v>4061</v>
      </c>
      <c r="H2" s="96" t="s">
        <v>4062</v>
      </c>
      <c r="I2" s="97" t="s">
        <v>4063</v>
      </c>
      <c r="J2" s="97" t="s">
        <v>4063</v>
      </c>
      <c r="K2" s="97" t="s">
        <v>4063</v>
      </c>
      <c r="L2" s="97" t="s">
        <v>4063</v>
      </c>
      <c r="M2" s="97" t="s">
        <v>4063</v>
      </c>
      <c r="N2" s="97" t="s">
        <v>4063</v>
      </c>
      <c r="O2" s="97" t="s">
        <v>4063</v>
      </c>
      <c r="P2" s="97" t="s">
        <v>4063</v>
      </c>
      <c r="Q2" s="97" t="s">
        <v>4063</v>
      </c>
      <c r="R2" s="97" t="s">
        <v>4063</v>
      </c>
      <c r="S2" s="97" t="s">
        <v>4063</v>
      </c>
      <c r="T2" s="97" t="s">
        <v>4063</v>
      </c>
      <c r="U2" s="97" t="s">
        <v>4063</v>
      </c>
      <c r="V2" s="97" t="s">
        <v>4063</v>
      </c>
      <c r="W2" s="96" t="s">
        <v>4064</v>
      </c>
      <c r="X2" s="98" t="s">
        <v>4065</v>
      </c>
      <c r="Y2" s="98" t="s">
        <v>4065</v>
      </c>
      <c r="Z2" s="98" t="s">
        <v>4065</v>
      </c>
      <c r="AA2" s="98" t="s">
        <v>4065</v>
      </c>
      <c r="AB2" s="98" t="s">
        <v>4065</v>
      </c>
      <c r="AC2" s="98" t="s">
        <v>4065</v>
      </c>
      <c r="AD2" s="98" t="s">
        <v>4065</v>
      </c>
      <c r="AE2" s="98" t="s">
        <v>4065</v>
      </c>
      <c r="AF2" s="98" t="s">
        <v>4065</v>
      </c>
      <c r="AG2" s="96" t="s">
        <v>4066</v>
      </c>
      <c r="AH2" s="98" t="s">
        <v>4067</v>
      </c>
      <c r="AI2" s="98" t="s">
        <v>4067</v>
      </c>
      <c r="AJ2" s="98" t="s">
        <v>4067</v>
      </c>
      <c r="AK2" s="98" t="s">
        <v>4067</v>
      </c>
      <c r="AL2" s="98" t="s">
        <v>4067</v>
      </c>
      <c r="AM2" s="98" t="s">
        <v>4067</v>
      </c>
      <c r="AN2" s="98" t="s">
        <v>4067</v>
      </c>
      <c r="AO2" s="98" t="s">
        <v>4067</v>
      </c>
      <c r="AP2" s="98" t="s">
        <v>4067</v>
      </c>
      <c r="AQ2" s="98" t="s">
        <v>4067</v>
      </c>
      <c r="AR2" s="98" t="s">
        <v>4067</v>
      </c>
      <c r="AS2" s="98" t="s">
        <v>4067</v>
      </c>
      <c r="AT2" s="98" t="s">
        <v>4067</v>
      </c>
      <c r="AU2" s="96" t="s">
        <v>4068</v>
      </c>
      <c r="AV2" s="99" t="s">
        <v>4069</v>
      </c>
      <c r="AW2" s="99" t="s">
        <v>4069</v>
      </c>
      <c r="AX2" s="99" t="s">
        <v>4069</v>
      </c>
      <c r="AY2" s="99" t="s">
        <v>4069</v>
      </c>
      <c r="AZ2" s="99" t="s">
        <v>4069</v>
      </c>
      <c r="BA2" s="99" t="s">
        <v>4069</v>
      </c>
      <c r="BB2" s="99" t="s">
        <v>4069</v>
      </c>
      <c r="BC2" s="99" t="s">
        <v>4069</v>
      </c>
      <c r="BD2" s="99" t="s">
        <v>4069</v>
      </c>
      <c r="BE2" s="96" t="s">
        <v>4070</v>
      </c>
    </row>
    <row r="3" ht="26" customHeight="1" hidden="1" spans="1:57" s="92" customFormat="1" x14ac:dyDescent="0.25">
      <c r="A3" s="94"/>
      <c r="B3" s="94"/>
      <c r="C3" s="94"/>
      <c r="D3" s="94"/>
      <c r="E3" s="94"/>
      <c r="F3" s="94"/>
      <c r="G3" s="95" t="s">
        <v>4071</v>
      </c>
      <c r="H3" s="96"/>
      <c r="I3" s="97" t="s">
        <v>4072</v>
      </c>
      <c r="J3" s="97" t="s">
        <v>4073</v>
      </c>
      <c r="K3" s="97" t="s">
        <v>4074</v>
      </c>
      <c r="L3" s="97" t="s">
        <v>4075</v>
      </c>
      <c r="M3" s="97" t="s">
        <v>4076</v>
      </c>
      <c r="N3" s="97" t="s">
        <v>4077</v>
      </c>
      <c r="O3" s="97" t="s">
        <v>4078</v>
      </c>
      <c r="P3" s="97" t="s">
        <v>4079</v>
      </c>
      <c r="Q3" s="97" t="s">
        <v>4080</v>
      </c>
      <c r="R3" s="97"/>
      <c r="S3" s="97" t="s">
        <v>4081</v>
      </c>
      <c r="T3" s="97" t="s">
        <v>4082</v>
      </c>
      <c r="U3" s="97" t="s">
        <v>4083</v>
      </c>
      <c r="V3" s="97" t="s">
        <v>4084</v>
      </c>
      <c r="W3" s="96"/>
      <c r="X3" s="98" t="s">
        <v>4085</v>
      </c>
      <c r="Y3" s="98" t="s">
        <v>4086</v>
      </c>
      <c r="Z3" s="98" t="s">
        <v>4087</v>
      </c>
      <c r="AA3" s="98" t="s">
        <v>4088</v>
      </c>
      <c r="AB3" s="98" t="s">
        <v>4089</v>
      </c>
      <c r="AC3" s="98" t="s">
        <v>4090</v>
      </c>
      <c r="AD3" s="98" t="s">
        <v>323</v>
      </c>
      <c r="AE3" s="98" t="s">
        <v>564</v>
      </c>
      <c r="AF3" s="98" t="s">
        <v>4091</v>
      </c>
      <c r="AG3" s="96"/>
      <c r="AH3" s="98" t="s">
        <v>4092</v>
      </c>
      <c r="AI3" s="98" t="s">
        <v>4093</v>
      </c>
      <c r="AJ3" s="98" t="s">
        <v>4094</v>
      </c>
      <c r="AK3" s="98" t="s">
        <v>4095</v>
      </c>
      <c r="AL3" s="98" t="s">
        <v>4096</v>
      </c>
      <c r="AM3" s="98" t="s">
        <v>4097</v>
      </c>
      <c r="AN3" s="98" t="s">
        <v>4098</v>
      </c>
      <c r="AO3" s="98" t="s">
        <v>4099</v>
      </c>
      <c r="AP3" s="98" t="s">
        <v>4100</v>
      </c>
      <c r="AQ3" s="98" t="s">
        <v>4101</v>
      </c>
      <c r="AR3" s="98" t="s">
        <v>4102</v>
      </c>
      <c r="AS3" s="98" t="s">
        <v>4103</v>
      </c>
      <c r="AT3" s="98" t="s">
        <v>4104</v>
      </c>
      <c r="AU3" s="96"/>
      <c r="AV3" s="99" t="s">
        <v>4105</v>
      </c>
      <c r="AW3" s="99" t="s">
        <v>4106</v>
      </c>
      <c r="AX3" s="99" t="s">
        <v>4107</v>
      </c>
      <c r="AY3" s="99" t="s">
        <v>4108</v>
      </c>
      <c r="AZ3" s="99" t="s">
        <v>4109</v>
      </c>
      <c r="BA3" s="99" t="s">
        <v>4110</v>
      </c>
      <c r="BB3" s="99" t="s">
        <v>4111</v>
      </c>
      <c r="BC3" s="99" t="s">
        <v>4112</v>
      </c>
      <c r="BD3" s="99" t="s">
        <v>4113</v>
      </c>
      <c r="BE3" s="96"/>
    </row>
    <row r="4" ht="60" customHeight="1" spans="1:57" s="92" customFormat="1" x14ac:dyDescent="0.25">
      <c r="A4" s="100"/>
      <c r="B4" s="101" t="s">
        <v>4114</v>
      </c>
      <c r="C4" s="101" t="s">
        <v>4115</v>
      </c>
      <c r="D4" s="101" t="s">
        <v>37</v>
      </c>
      <c r="E4" s="101" t="s">
        <v>4116</v>
      </c>
      <c r="F4" s="101" t="s">
        <v>4117</v>
      </c>
      <c r="G4" s="95" t="s">
        <v>4118</v>
      </c>
      <c r="H4" s="96"/>
      <c r="I4" s="97" t="s">
        <v>4119</v>
      </c>
      <c r="J4" s="97" t="s">
        <v>4120</v>
      </c>
      <c r="K4" s="97" t="s">
        <v>4267</v>
      </c>
      <c r="L4" s="97" t="s">
        <v>4122</v>
      </c>
      <c r="M4" s="97" t="s">
        <v>4123</v>
      </c>
      <c r="N4" s="97" t="s">
        <v>4124</v>
      </c>
      <c r="O4" s="97" t="s">
        <v>4125</v>
      </c>
      <c r="P4" s="97" t="s">
        <v>4126</v>
      </c>
      <c r="Q4" s="97" t="s">
        <v>4127</v>
      </c>
      <c r="R4" s="97" t="s">
        <v>4128</v>
      </c>
      <c r="S4" s="97" t="s">
        <v>4129</v>
      </c>
      <c r="T4" s="97" t="s">
        <v>4130</v>
      </c>
      <c r="U4" s="97" t="s">
        <v>4131</v>
      </c>
      <c r="V4" s="97" t="s">
        <v>4132</v>
      </c>
      <c r="W4" s="96"/>
      <c r="X4" s="98" t="s">
        <v>4133</v>
      </c>
      <c r="Y4" s="98" t="s">
        <v>4134</v>
      </c>
      <c r="Z4" s="98" t="s">
        <v>4135</v>
      </c>
      <c r="AA4" s="98" t="s">
        <v>4136</v>
      </c>
      <c r="AB4" s="98" t="s">
        <v>4137</v>
      </c>
      <c r="AC4" s="98" t="s">
        <v>4138</v>
      </c>
      <c r="AD4" s="98" t="s">
        <v>323</v>
      </c>
      <c r="AE4" s="98" t="s">
        <v>4139</v>
      </c>
      <c r="AF4" s="98" t="s">
        <v>4140</v>
      </c>
      <c r="AG4" s="96"/>
      <c r="AH4" s="98" t="s">
        <v>4268</v>
      </c>
      <c r="AI4" s="98" t="s">
        <v>4142</v>
      </c>
      <c r="AJ4" s="98" t="s">
        <v>4143</v>
      </c>
      <c r="AK4" s="98" t="s">
        <v>4144</v>
      </c>
      <c r="AL4" s="98" t="s">
        <v>4145</v>
      </c>
      <c r="AM4" s="98" t="s">
        <v>4146</v>
      </c>
      <c r="AN4" s="98" t="s">
        <v>4147</v>
      </c>
      <c r="AO4" s="98" t="s">
        <v>4148</v>
      </c>
      <c r="AP4" s="98" t="s">
        <v>4149</v>
      </c>
      <c r="AQ4" s="98" t="s">
        <v>4150</v>
      </c>
      <c r="AR4" s="98" t="s">
        <v>4151</v>
      </c>
      <c r="AS4" s="98" t="s">
        <v>4152</v>
      </c>
      <c r="AT4" s="98" t="s">
        <v>4153</v>
      </c>
      <c r="AU4" s="96"/>
      <c r="AV4" s="99" t="s">
        <v>4154</v>
      </c>
      <c r="AW4" s="99" t="s">
        <v>4155</v>
      </c>
      <c r="AX4" s="99" t="s">
        <v>4269</v>
      </c>
      <c r="AY4" s="99" t="s">
        <v>4270</v>
      </c>
      <c r="AZ4" s="99" t="s">
        <v>4271</v>
      </c>
      <c r="BA4" s="99" t="s">
        <v>4272</v>
      </c>
      <c r="BB4" s="99" t="s">
        <v>4160</v>
      </c>
      <c r="BC4" s="99" t="s">
        <v>4161</v>
      </c>
      <c r="BD4" s="99" t="s">
        <v>4162</v>
      </c>
      <c r="BE4" s="96"/>
    </row>
    <row r="5" ht="15" customHeight="1" spans="1:57" s="92" customFormat="1" x14ac:dyDescent="0.25">
      <c r="A5" s="102" t="s">
        <v>4163</v>
      </c>
      <c r="B5" s="103"/>
      <c r="C5" s="103"/>
      <c r="D5" s="193" t="s">
        <v>3015</v>
      </c>
      <c r="E5" s="103" t="s">
        <v>4164</v>
      </c>
      <c r="F5" s="103" t="s">
        <v>4165</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09">
        <f t="shared" ref="AU5:AU15" si="3">SUM(AH5:AT5)</f>
        <v>0</v>
      </c>
      <c r="AV5" s="113"/>
      <c r="AW5" s="113"/>
      <c r="AX5" s="114"/>
      <c r="AY5" s="114"/>
      <c r="AZ5" s="114"/>
      <c r="BA5" s="114"/>
      <c r="BB5" s="114"/>
      <c r="BC5" s="114"/>
      <c r="BD5" s="113"/>
      <c r="BE5" s="109">
        <f t="shared" ref="BE5:BE15" si="4">SUM(AV5:BD5)</f>
        <v>0</v>
      </c>
    </row>
    <row r="6" ht="12" customHeight="1" spans="1:57" s="92" customFormat="1" x14ac:dyDescent="0.25">
      <c r="A6" s="102" t="s">
        <v>4163</v>
      </c>
      <c r="B6" s="103"/>
      <c r="C6" s="103"/>
      <c r="D6" s="195">
        <f t="shared" ref="D6:D15" si="5">IF(ISBLANK($D$5),"",$D$5)</f>
      </c>
      <c r="E6" s="103" t="s">
        <v>4166</v>
      </c>
      <c r="F6" s="103" t="s">
        <v>4167</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09">
        <f t="shared" si="3"/>
        <v>0</v>
      </c>
      <c r="AV6" s="113"/>
      <c r="AW6" s="113"/>
      <c r="AX6" s="113"/>
      <c r="AY6" s="113"/>
      <c r="AZ6" s="113"/>
      <c r="BA6" s="113"/>
      <c r="BB6" s="113"/>
      <c r="BC6" s="114"/>
      <c r="BD6" s="113"/>
      <c r="BE6" s="109">
        <f t="shared" si="4"/>
        <v>0</v>
      </c>
    </row>
    <row r="7" ht="14.25" customHeight="1" spans="1:57" s="92" customFormat="1" x14ac:dyDescent="0.25">
      <c r="A7" s="102" t="s">
        <v>4163</v>
      </c>
      <c r="B7" s="103"/>
      <c r="C7" s="103"/>
      <c r="D7" s="195">
        <f t="shared" si="5"/>
      </c>
      <c r="E7" s="103" t="s">
        <v>4169</v>
      </c>
      <c r="F7" s="103" t="s">
        <v>4170</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09">
        <f t="shared" si="3"/>
        <v>0</v>
      </c>
      <c r="AV7" s="113"/>
      <c r="AW7" s="113"/>
      <c r="AX7" s="113"/>
      <c r="AY7" s="113"/>
      <c r="AZ7" s="113"/>
      <c r="BA7" s="113"/>
      <c r="BB7" s="113"/>
      <c r="BC7" s="113"/>
      <c r="BD7" s="113"/>
      <c r="BE7" s="109">
        <f t="shared" si="4"/>
        <v>0</v>
      </c>
    </row>
    <row r="8" ht="14.25" customHeight="1" spans="1:57" s="92" customFormat="1" x14ac:dyDescent="0.25">
      <c r="A8" s="102" t="s">
        <v>4163</v>
      </c>
      <c r="B8" s="103"/>
      <c r="C8" s="103"/>
      <c r="D8" s="195">
        <f t="shared" si="5"/>
      </c>
      <c r="E8" s="103" t="s">
        <v>4173</v>
      </c>
      <c r="F8" s="103" t="s">
        <v>4174</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09">
        <f t="shared" si="3"/>
        <v>0</v>
      </c>
      <c r="AV8" s="113"/>
      <c r="AW8" s="113"/>
      <c r="AX8" s="113"/>
      <c r="AY8" s="113"/>
      <c r="AZ8" s="113"/>
      <c r="BA8" s="113"/>
      <c r="BB8" s="113"/>
      <c r="BC8" s="113"/>
      <c r="BD8" s="113"/>
      <c r="BE8" s="109">
        <f t="shared" si="4"/>
        <v>0</v>
      </c>
    </row>
    <row r="9" ht="14.25" customHeight="1" spans="1:57" s="92" customFormat="1" x14ac:dyDescent="0.25">
      <c r="A9" s="102" t="s">
        <v>4163</v>
      </c>
      <c r="B9" s="103"/>
      <c r="C9" s="103"/>
      <c r="D9" s="195">
        <f t="shared" si="5"/>
      </c>
      <c r="E9" s="103" t="s">
        <v>4175</v>
      </c>
      <c r="F9" s="103" t="s">
        <v>4176</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09">
        <f t="shared" si="3"/>
        <v>0</v>
      </c>
      <c r="AV9" s="113"/>
      <c r="AW9" s="113"/>
      <c r="AX9" s="113"/>
      <c r="AY9" s="113"/>
      <c r="AZ9" s="113"/>
      <c r="BA9" s="113"/>
      <c r="BB9" s="113"/>
      <c r="BC9" s="113"/>
      <c r="BD9" s="113"/>
      <c r="BE9" s="109">
        <f t="shared" si="4"/>
        <v>0</v>
      </c>
    </row>
    <row r="10" ht="14.25" customHeight="1" spans="1:57" s="92" customFormat="1" x14ac:dyDescent="0.25">
      <c r="A10" s="102" t="s">
        <v>4163</v>
      </c>
      <c r="B10" s="103"/>
      <c r="C10" s="103"/>
      <c r="D10" s="195">
        <f t="shared" si="5"/>
      </c>
      <c r="E10" s="103" t="s">
        <v>4177</v>
      </c>
      <c r="F10" s="103" t="s">
        <v>4178</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09">
        <f t="shared" si="3"/>
        <v>0</v>
      </c>
      <c r="AV10" s="113"/>
      <c r="AW10" s="113"/>
      <c r="AX10" s="113"/>
      <c r="AY10" s="113"/>
      <c r="AZ10" s="113"/>
      <c r="BA10" s="113"/>
      <c r="BB10" s="113"/>
      <c r="BC10" s="113"/>
      <c r="BD10" s="113"/>
      <c r="BE10" s="109">
        <f t="shared" si="4"/>
        <v>0</v>
      </c>
    </row>
    <row r="11" ht="14.25" customHeight="1" spans="1:57" s="92" customFormat="1" x14ac:dyDescent="0.25">
      <c r="A11" s="102" t="s">
        <v>4163</v>
      </c>
      <c r="B11" s="103"/>
      <c r="C11" s="103"/>
      <c r="D11" s="195">
        <f t="shared" si="5"/>
      </c>
      <c r="E11" s="103" t="s">
        <v>4179</v>
      </c>
      <c r="F11" s="103" t="s">
        <v>4180</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09">
        <f t="shared" si="3"/>
        <v>0</v>
      </c>
      <c r="AV11" s="113"/>
      <c r="AW11" s="113"/>
      <c r="AX11" s="113"/>
      <c r="AY11" s="113"/>
      <c r="AZ11" s="113"/>
      <c r="BA11" s="113"/>
      <c r="BB11" s="113"/>
      <c r="BC11" s="113"/>
      <c r="BD11" s="113"/>
      <c r="BE11" s="109">
        <f t="shared" si="4"/>
        <v>0</v>
      </c>
    </row>
    <row r="12" ht="14.25" customHeight="1" spans="1:57" s="92" customFormat="1" x14ac:dyDescent="0.25">
      <c r="A12" s="102" t="s">
        <v>4163</v>
      </c>
      <c r="B12" s="103"/>
      <c r="C12" s="103"/>
      <c r="D12" s="195">
        <f t="shared" si="5"/>
      </c>
      <c r="E12" s="103" t="s">
        <v>4181</v>
      </c>
      <c r="F12" s="103" t="s">
        <v>4182</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09">
        <f t="shared" si="3"/>
        <v>0</v>
      </c>
      <c r="AV12" s="113"/>
      <c r="AW12" s="113"/>
      <c r="AX12" s="113"/>
      <c r="AY12" s="113"/>
      <c r="AZ12" s="113"/>
      <c r="BA12" s="113"/>
      <c r="BB12" s="113"/>
      <c r="BC12" s="113"/>
      <c r="BD12" s="113"/>
      <c r="BE12" s="109">
        <f t="shared" si="4"/>
        <v>0</v>
      </c>
    </row>
    <row r="13" ht="14.25" customHeight="1" spans="1:57" s="92" customFormat="1" x14ac:dyDescent="0.25">
      <c r="A13" s="102" t="s">
        <v>4163</v>
      </c>
      <c r="B13" s="103"/>
      <c r="C13" s="103"/>
      <c r="D13" s="195">
        <f t="shared" si="5"/>
      </c>
      <c r="E13" s="103" t="s">
        <v>4183</v>
      </c>
      <c r="F13" s="103" t="s">
        <v>4184</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09">
        <f t="shared" si="3"/>
        <v>0</v>
      </c>
      <c r="AV13" s="113"/>
      <c r="AW13" s="113"/>
      <c r="AX13" s="113"/>
      <c r="AY13" s="113"/>
      <c r="AZ13" s="113"/>
      <c r="BA13" s="113"/>
      <c r="BB13" s="113"/>
      <c r="BC13" s="113"/>
      <c r="BD13" s="113"/>
      <c r="BE13" s="109">
        <f t="shared" si="4"/>
        <v>0</v>
      </c>
    </row>
    <row r="14" ht="14.25" customHeight="1" spans="1:57" s="92" customFormat="1" x14ac:dyDescent="0.25">
      <c r="A14" s="102" t="s">
        <v>4163</v>
      </c>
      <c r="B14" s="103"/>
      <c r="C14" s="103"/>
      <c r="D14" s="195">
        <f t="shared" si="5"/>
      </c>
      <c r="E14" s="103" t="s">
        <v>4185</v>
      </c>
      <c r="F14" s="103" t="s">
        <v>4186</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09">
        <f t="shared" si="3"/>
        <v>0</v>
      </c>
      <c r="AV14" s="113"/>
      <c r="AW14" s="113"/>
      <c r="AX14" s="113"/>
      <c r="AY14" s="113"/>
      <c r="AZ14" s="113"/>
      <c r="BA14" s="113"/>
      <c r="BB14" s="113"/>
      <c r="BC14" s="113"/>
      <c r="BD14" s="113"/>
      <c r="BE14" s="109">
        <f t="shared" si="4"/>
        <v>0</v>
      </c>
    </row>
    <row r="15" ht="14.25" customHeight="1" spans="1:57" s="92" customFormat="1" x14ac:dyDescent="0.25">
      <c r="A15" s="102" t="s">
        <v>4163</v>
      </c>
      <c r="B15" s="103"/>
      <c r="C15" s="103"/>
      <c r="D15" s="195">
        <f t="shared" si="5"/>
      </c>
      <c r="E15" s="103" t="s">
        <v>4187</v>
      </c>
      <c r="F15" s="103" t="s">
        <v>4188</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09">
        <f t="shared" si="3"/>
        <v>0</v>
      </c>
      <c r="AV15" s="113"/>
      <c r="AW15" s="113"/>
      <c r="AX15" s="113"/>
      <c r="AY15" s="113"/>
      <c r="AZ15" s="113"/>
      <c r="BA15" s="113"/>
      <c r="BB15" s="113"/>
      <c r="BC15" s="113"/>
      <c r="BD15" s="113"/>
      <c r="BE15" s="109">
        <f t="shared" si="4"/>
        <v>0</v>
      </c>
    </row>
    <row r="16" ht="14.25" customHeight="1" spans="1:57" s="92" customFormat="1" x14ac:dyDescent="0.25">
      <c r="A16" s="102"/>
      <c r="B16" s="126"/>
      <c r="C16" s="126"/>
      <c r="D16" s="126"/>
      <c r="E16" s="126"/>
      <c r="F16" s="127" t="s">
        <v>4189</v>
      </c>
      <c r="G16" s="128">
        <f t="shared" ref="G16:AG16" si="6">SUM(G5:G15)</f>
        <v>0</v>
      </c>
      <c r="H16" s="109">
        <f t="shared" si="6"/>
        <v>0</v>
      </c>
      <c r="I16" s="128">
        <f t="shared" si="6"/>
        <v>0</v>
      </c>
      <c r="J16" s="128">
        <f t="shared" si="6"/>
        <v>0</v>
      </c>
      <c r="K16" s="128">
        <f t="shared" si="6"/>
        <v>0</v>
      </c>
      <c r="L16" s="128">
        <f t="shared" si="6"/>
        <v>0</v>
      </c>
      <c r="M16" s="128">
        <f t="shared" si="6"/>
        <v>0</v>
      </c>
      <c r="N16" s="128">
        <f t="shared" si="6"/>
        <v>0</v>
      </c>
      <c r="O16" s="128">
        <f t="shared" si="6"/>
        <v>0</v>
      </c>
      <c r="P16" s="128">
        <f t="shared" si="6"/>
        <v>0</v>
      </c>
      <c r="Q16" s="128">
        <f t="shared" si="6"/>
        <v>0</v>
      </c>
      <c r="R16" s="128">
        <f t="shared" si="6"/>
        <v>0</v>
      </c>
      <c r="S16" s="128">
        <f t="shared" si="6"/>
        <v>0</v>
      </c>
      <c r="T16" s="128">
        <f t="shared" si="6"/>
        <v>0</v>
      </c>
      <c r="U16" s="128">
        <f t="shared" si="6"/>
        <v>0</v>
      </c>
      <c r="V16" s="128">
        <f t="shared" si="6"/>
        <v>0</v>
      </c>
      <c r="W16" s="109">
        <f t="shared" si="6"/>
        <v>0</v>
      </c>
      <c r="X16" s="128">
        <f t="shared" si="6"/>
        <v>0</v>
      </c>
      <c r="Y16" s="128">
        <f t="shared" si="6"/>
        <v>0</v>
      </c>
      <c r="Z16" s="128">
        <f t="shared" si="6"/>
        <v>0</v>
      </c>
      <c r="AA16" s="128">
        <f t="shared" si="6"/>
        <v>0</v>
      </c>
      <c r="AB16" s="128">
        <f t="shared" si="6"/>
        <v>0</v>
      </c>
      <c r="AC16" s="128">
        <f t="shared" si="6"/>
        <v>0</v>
      </c>
      <c r="AD16" s="128">
        <f t="shared" si="6"/>
        <v>0</v>
      </c>
      <c r="AE16" s="128">
        <f t="shared" si="6"/>
        <v>0</v>
      </c>
      <c r="AF16" s="128">
        <f t="shared" si="6"/>
        <v>0</v>
      </c>
      <c r="AG16" s="109">
        <f t="shared" si="6"/>
        <v>0</v>
      </c>
      <c r="AH16" s="128">
        <f t="shared" ref="AH16:BE16" si="7">SUM(AH5:AH15)</f>
        <v>0</v>
      </c>
      <c r="AI16" s="128">
        <f t="shared" si="7"/>
        <v>0</v>
      </c>
      <c r="AJ16" s="128">
        <f t="shared" si="7"/>
        <v>0</v>
      </c>
      <c r="AK16" s="128">
        <f t="shared" si="7"/>
        <v>0</v>
      </c>
      <c r="AL16" s="128">
        <f t="shared" si="7"/>
        <v>0</v>
      </c>
      <c r="AM16" s="128">
        <f t="shared" si="7"/>
        <v>0</v>
      </c>
      <c r="AN16" s="128">
        <f t="shared" si="7"/>
        <v>0</v>
      </c>
      <c r="AO16" s="128">
        <f t="shared" si="7"/>
        <v>0</v>
      </c>
      <c r="AP16" s="128">
        <f t="shared" si="7"/>
        <v>0</v>
      </c>
      <c r="AQ16" s="128">
        <f t="shared" si="7"/>
        <v>0</v>
      </c>
      <c r="AR16" s="128">
        <f t="shared" si="7"/>
        <v>0</v>
      </c>
      <c r="AS16" s="128">
        <f t="shared" si="7"/>
        <v>0</v>
      </c>
      <c r="AT16" s="128">
        <f t="shared" si="7"/>
        <v>0</v>
      </c>
      <c r="AU16" s="109">
        <f t="shared" si="7"/>
        <v>0</v>
      </c>
      <c r="AV16" s="128">
        <f t="shared" si="7"/>
        <v>0</v>
      </c>
      <c r="AW16" s="128">
        <f t="shared" si="7"/>
        <v>0</v>
      </c>
      <c r="AX16" s="128">
        <f t="shared" si="7"/>
        <v>0</v>
      </c>
      <c r="AY16" s="128">
        <f t="shared" si="7"/>
        <v>0</v>
      </c>
      <c r="AZ16" s="128">
        <f t="shared" si="7"/>
        <v>0</v>
      </c>
      <c r="BA16" s="128">
        <f t="shared" si="7"/>
        <v>0</v>
      </c>
      <c r="BB16" s="128">
        <f t="shared" si="7"/>
        <v>0</v>
      </c>
      <c r="BC16" s="128">
        <f t="shared" si="7"/>
        <v>0</v>
      </c>
      <c r="BD16" s="128">
        <f t="shared" si="7"/>
        <v>0</v>
      </c>
      <c r="BE16" s="109">
        <f t="shared" si="7"/>
        <v>0</v>
      </c>
    </row>
    <row r="17" ht="15" customHeight="1" spans="4:57"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6"/>
      <c r="AV17" s="192"/>
      <c r="AW17" s="192"/>
      <c r="AX17" s="192"/>
      <c r="AY17" s="192"/>
      <c r="AZ17" s="192"/>
      <c r="BA17" s="192"/>
      <c r="BB17" s="192"/>
      <c r="BC17" s="192"/>
      <c r="BD17" s="192"/>
      <c r="BE17" s="192"/>
    </row>
    <row r="18" hidden="1" spans="4:57"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7">
        <f>AU16+AG16-AU14-AG14-AU13-AU12-AG13-AG12</f>
        <v>0</v>
      </c>
      <c r="AV18" s="192"/>
      <c r="AW18" s="192"/>
      <c r="AX18" s="192"/>
      <c r="AY18" s="192"/>
      <c r="AZ18" s="192"/>
      <c r="BA18" s="192"/>
      <c r="BB18" s="192"/>
      <c r="BC18" s="192"/>
      <c r="BD18" s="192"/>
      <c r="BE18" s="192"/>
    </row>
    <row r="19" spans="4:57"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row>
    <row r="20" ht="24" customHeight="1" spans="4:57" x14ac:dyDescent="0.25">
      <c r="D20" s="192"/>
      <c r="E20" s="192"/>
      <c r="F20" s="198" t="s">
        <v>4191</v>
      </c>
      <c r="G20" s="199">
        <f>IF(ISBLANK(ETPT_TJ_DDG!$D$5),"",IF(ISERROR(ETPT_TJ!G20),"",IF(ETPT_TJ!G20=0,"",ETPT_TJ!G20)))</f>
      </c>
      <c r="H20" s="192"/>
      <c r="I20" s="192"/>
      <c r="J20" s="192"/>
      <c r="K20" s="192"/>
      <c r="L20" s="192"/>
      <c r="M20" s="192"/>
      <c r="N20" s="192"/>
      <c r="O20" s="192"/>
      <c r="P20" s="192"/>
      <c r="Q20" s="192"/>
      <c r="R20" s="192"/>
      <c r="S20" s="192"/>
      <c r="T20" s="192"/>
      <c r="U20" s="200" t="s">
        <v>4192</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4193</v>
      </c>
      <c r="AT20" s="199">
        <f>IF(ISBLANK(ETPT_TJ_DDG!$D$5),"",IF(ISERROR(ETPT_TJ!AT20),"",IF(ETPT_TJ!AT20=0,"",ETPT_TJ!AT20)))</f>
      </c>
      <c r="AU20" s="192"/>
      <c r="AV20" s="192"/>
      <c r="AW20" s="192"/>
      <c r="AX20" s="192"/>
      <c r="AY20" s="192"/>
      <c r="AZ20" s="192"/>
      <c r="BA20" s="192"/>
      <c r="BB20" s="192"/>
      <c r="BC20" s="192"/>
      <c r="BD20" s="192"/>
      <c r="BE20" s="192"/>
    </row>
    <row r="21" ht="17" customHeight="1" spans="5:5" x14ac:dyDescent="0.25">
      <c r="E21" s="134"/>
    </row>
    <row r="22" ht="69" customHeight="1" spans="5:24" x14ac:dyDescent="0.25">
      <c r="E22" s="202" t="s">
        <v>4273</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U2:AU4"/>
    <mergeCell ref="BE2:BE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D5" sqref="D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4243</v>
      </c>
      <c r="B1" s="42"/>
      <c r="C1" s="42"/>
      <c r="D1" s="41" t="s">
        <v>4274</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7" t="s">
        <v>4118</v>
      </c>
      <c r="H2" s="205" t="s">
        <v>4062</v>
      </c>
      <c r="I2" s="177" t="s">
        <v>4217</v>
      </c>
      <c r="J2" s="177" t="s">
        <v>4218</v>
      </c>
      <c r="K2" s="177" t="s">
        <v>4219</v>
      </c>
      <c r="L2" s="177" t="s">
        <v>4220</v>
      </c>
      <c r="M2" s="177" t="s">
        <v>4221</v>
      </c>
      <c r="N2" s="177" t="s">
        <v>4222</v>
      </c>
      <c r="O2" s="177" t="s">
        <v>4223</v>
      </c>
      <c r="P2" s="177" t="s">
        <v>4224</v>
      </c>
      <c r="Q2" s="177" t="s">
        <v>4225</v>
      </c>
      <c r="R2" s="177" t="s">
        <v>4275</v>
      </c>
      <c r="S2" s="205" t="s">
        <v>4064</v>
      </c>
      <c r="T2" s="177" t="s">
        <v>4226</v>
      </c>
      <c r="U2" s="177" t="s">
        <v>4227</v>
      </c>
      <c r="V2" s="177" t="s">
        <v>4276</v>
      </c>
      <c r="W2" s="177" t="s">
        <v>4229</v>
      </c>
      <c r="X2" s="177" t="s">
        <v>4230</v>
      </c>
      <c r="Y2" s="177" t="s">
        <v>4231</v>
      </c>
      <c r="Z2" s="177" t="s">
        <v>4232</v>
      </c>
      <c r="AA2" s="177" t="s">
        <v>4233</v>
      </c>
      <c r="AB2" s="177" t="s">
        <v>4234</v>
      </c>
      <c r="AC2" s="205" t="s">
        <v>4195</v>
      </c>
      <c r="AD2" s="177" t="s">
        <v>4277</v>
      </c>
      <c r="AE2" s="177" t="s">
        <v>4147</v>
      </c>
      <c r="AF2" s="177" t="s">
        <v>4153</v>
      </c>
      <c r="AG2" s="205" t="s">
        <v>4197</v>
      </c>
    </row>
    <row r="3" ht="36" customHeight="1" hidden="1" spans="1:33" x14ac:dyDescent="0.25">
      <c r="A3" s="94"/>
      <c r="B3" s="94"/>
      <c r="C3" s="94"/>
      <c r="D3" s="192"/>
      <c r="E3" s="192"/>
      <c r="F3" s="192"/>
      <c r="G3" s="177" t="s">
        <v>4118</v>
      </c>
      <c r="H3" s="205" t="s">
        <v>4062</v>
      </c>
      <c r="I3" s="177" t="s">
        <v>4217</v>
      </c>
      <c r="J3" s="177" t="s">
        <v>4218</v>
      </c>
      <c r="K3" s="177" t="s">
        <v>4219</v>
      </c>
      <c r="L3" s="177" t="s">
        <v>4220</v>
      </c>
      <c r="M3" s="177" t="s">
        <v>4221</v>
      </c>
      <c r="N3" s="177" t="s">
        <v>4222</v>
      </c>
      <c r="O3" s="177" t="s">
        <v>4223</v>
      </c>
      <c r="P3" s="177" t="s">
        <v>4224</v>
      </c>
      <c r="Q3" s="177" t="s">
        <v>4225</v>
      </c>
      <c r="R3" s="177" t="s">
        <v>4275</v>
      </c>
      <c r="S3" s="205" t="s">
        <v>4064</v>
      </c>
      <c r="T3" s="177" t="s">
        <v>4226</v>
      </c>
      <c r="U3" s="177" t="s">
        <v>4227</v>
      </c>
      <c r="V3" s="177" t="s">
        <v>4276</v>
      </c>
      <c r="W3" s="177" t="s">
        <v>4229</v>
      </c>
      <c r="X3" s="177" t="s">
        <v>4230</v>
      </c>
      <c r="Y3" s="177" t="s">
        <v>4231</v>
      </c>
      <c r="Z3" s="177" t="s">
        <v>4232</v>
      </c>
      <c r="AA3" s="177" t="s">
        <v>4233</v>
      </c>
      <c r="AB3" s="177" t="s">
        <v>4234</v>
      </c>
      <c r="AC3" s="205" t="s">
        <v>4195</v>
      </c>
      <c r="AD3" s="177" t="s">
        <v>4277</v>
      </c>
      <c r="AE3" s="177" t="s">
        <v>4147</v>
      </c>
      <c r="AF3" s="177" t="s">
        <v>4153</v>
      </c>
      <c r="AG3" s="205" t="s">
        <v>4197</v>
      </c>
    </row>
    <row r="4" ht="60" customHeight="1" spans="1:33" x14ac:dyDescent="0.25">
      <c r="A4" s="94"/>
      <c r="B4" s="101" t="s">
        <v>4114</v>
      </c>
      <c r="C4" s="101" t="s">
        <v>4115</v>
      </c>
      <c r="D4" s="101" t="s">
        <v>37</v>
      </c>
      <c r="E4" s="101" t="s">
        <v>4116</v>
      </c>
      <c r="F4" s="101" t="s">
        <v>4117</v>
      </c>
      <c r="G4" s="177" t="s">
        <v>4118</v>
      </c>
      <c r="H4" s="205" t="s">
        <v>4062</v>
      </c>
      <c r="I4" s="177" t="s">
        <v>4217</v>
      </c>
      <c r="J4" s="177" t="s">
        <v>4218</v>
      </c>
      <c r="K4" s="177" t="s">
        <v>4219</v>
      </c>
      <c r="L4" s="177" t="s">
        <v>4220</v>
      </c>
      <c r="M4" s="177" t="s">
        <v>4221</v>
      </c>
      <c r="N4" s="177" t="s">
        <v>4222</v>
      </c>
      <c r="O4" s="177" t="s">
        <v>4223</v>
      </c>
      <c r="P4" s="177" t="s">
        <v>4224</v>
      </c>
      <c r="Q4" s="177" t="s">
        <v>4225</v>
      </c>
      <c r="R4" s="177" t="s">
        <v>4275</v>
      </c>
      <c r="S4" s="205" t="s">
        <v>4064</v>
      </c>
      <c r="T4" s="177" t="s">
        <v>4226</v>
      </c>
      <c r="U4" s="177" t="s">
        <v>4227</v>
      </c>
      <c r="V4" s="177" t="s">
        <v>4276</v>
      </c>
      <c r="W4" s="177" t="s">
        <v>4229</v>
      </c>
      <c r="X4" s="177" t="s">
        <v>4230</v>
      </c>
      <c r="Y4" s="177" t="s">
        <v>4231</v>
      </c>
      <c r="Z4" s="177" t="s">
        <v>4232</v>
      </c>
      <c r="AA4" s="177" t="s">
        <v>4233</v>
      </c>
      <c r="AB4" s="177" t="s">
        <v>4234</v>
      </c>
      <c r="AC4" s="205" t="s">
        <v>4195</v>
      </c>
      <c r="AD4" s="177" t="s">
        <v>4277</v>
      </c>
      <c r="AE4" s="177" t="s">
        <v>4147</v>
      </c>
      <c r="AF4" s="177" t="s">
        <v>4153</v>
      </c>
      <c r="AG4" s="205" t="s">
        <v>4197</v>
      </c>
    </row>
    <row r="5" spans="1:33" x14ac:dyDescent="0.25">
      <c r="A5" s="144" t="s">
        <v>4236</v>
      </c>
      <c r="B5" s="115"/>
      <c r="C5" s="115"/>
      <c r="D5" s="206" t="s">
        <v>2472</v>
      </c>
      <c r="E5" s="115" t="s">
        <v>4164</v>
      </c>
      <c r="F5" s="207" t="s">
        <v>4165</v>
      </c>
      <c r="G5" s="152">
        <f>IF(ISBLANK(ETPT_TPRX_DDG!$D$5),"",IF(ISERROR(ETPT_TPRX!G5),"",IF(ETPT_TPRX!G5=0,"",ETPT_TPRX!G5)))</f>
      </c>
      <c r="H5" s="145">
        <f t="shared" ref="H5:H15" si="0">SUM(G5)</f>
        <v>0</v>
      </c>
      <c r="I5" s="152">
        <f>IF(ISBLANK(ETPT_TPRX_DDG!$D$5),"",IF(ISERROR(ETPT_TPRX!I5),"",IF(ETPT_TPRX!I5=0,"",ETPT_TPRX!I5)))</f>
      </c>
      <c r="J5" s="152">
        <f>IF(ISBLANK(ETPT_TPRX_DDG!$D$5),"",IF(ISERROR(ETPT_TPRX!J5),"",IF(ETPT_TPRX!J5=0,"",ETPT_TPRX!J5)))</f>
      </c>
      <c r="K5" s="152">
        <f>IF(ISBLANK(ETPT_TPRX_DDG!$D$5),"",IF(ISERROR(ETPT_TPRX!K5),"",IF(ETPT_TPRX!K5=0,"",ETPT_TPRX!K5)))</f>
      </c>
      <c r="L5" s="152">
        <f>IF(ISBLANK(ETPT_TPRX_DDG!$D$5),"",IF(ISERROR(ETPT_TPRX!L5),"",IF(ETPT_TPRX!L5=0,"",ETPT_TPRX!L5)))</f>
      </c>
      <c r="M5" s="152">
        <f>IF(ISBLANK(ETPT_TPRX_DDG!$D$5),"",IF(ISERROR(ETPT_TPRX!M5),"",IF(ETPT_TPRX!M5=0,"",ETPT_TPRX!M5)))</f>
      </c>
      <c r="N5" s="152">
        <f>IF(ISBLANK(ETPT_TPRX_DDG!$D$5),"",IF(ISERROR(ETPT_TPRX!N5),"",IF(ETPT_TPRX!N5=0,"",ETPT_TPRX!N5)))</f>
      </c>
      <c r="O5" s="152">
        <f>IF(ISBLANK(ETPT_TPRX_DDG!$D$5),"",IF(ISERROR(ETPT_TPRX!O5),"",IF(ETPT_TPRX!O5=0,"",ETPT_TPRX!O5)))</f>
      </c>
      <c r="P5" s="152">
        <f>IF(ISBLANK(ETPT_TPRX_DDG!$D$5),"",IF(ISERROR(ETPT_TPRX!P5),"",IF(ETPT_TPRX!P5=0,"",ETPT_TPRX!P5)))</f>
      </c>
      <c r="Q5" s="152">
        <f>IF(ISBLANK(ETPT_TPRX_DDG!$D$5),"",IF(ISERROR(ETPT_TPRX!Q5),"",IF(ETPT_TPRX!Q5=0,"",ETPT_TPRX!Q5)))</f>
      </c>
      <c r="R5" s="152">
        <f>IF(ISBLANK(ETPT_TPRX_DDG!$D$5),"",IF(ISERROR(ETPT_TPRX!R5),"",IF(ETPT_TPRX!R5=0,"",ETPT_TPRX!R5)))</f>
      </c>
      <c r="S5" s="145">
        <f t="shared" ref="S5:S15" si="1">SUM(I5:R5)</f>
        <v>0</v>
      </c>
      <c r="T5" s="152">
        <f>IF(ISBLANK(ETPT_TPRX_DDG!$D$5),"",IF(ISERROR(ETPT_TPRX!T5),"",IF(ETPT_TPRX!T5=0,"",ETPT_TPRX!T5)))</f>
      </c>
      <c r="U5" s="152">
        <f>IF(ISBLANK(ETPT_TPRX_DDG!$D$5),"",IF(ISERROR(ETPT_TPRX!U5),"",IF(ETPT_TPRX!U5=0,"",ETPT_TPRX!U5)))</f>
      </c>
      <c r="V5" s="152">
        <f>IF(ISBLANK(ETPT_TPRX_DDG!$D$5),"",IF(ISERROR(ETPT_TPRX!V5),"",IF(ETPT_TPRX!V5=0,"",ETPT_TPRX!V5)))</f>
      </c>
      <c r="W5" s="152">
        <f>IF(ISBLANK(ETPT_TPRX_DDG!$D$5),"",IF(ISERROR(ETPT_TPRX!W5),"",IF(ETPT_TPRX!W5=0,"",ETPT_TPRX!W5)))</f>
      </c>
      <c r="X5" s="152">
        <f>IF(ISBLANK(ETPT_TPRX_DDG!$D$5),"",IF(ISERROR(ETPT_TPRX!X5),"",IF(ETPT_TPRX!X5=0,"",ETPT_TPRX!X5)))</f>
      </c>
      <c r="Y5" s="152">
        <f>IF(ISBLANK(ETPT_TPRX_DDG!$D$5),"",IF(ISERROR(ETPT_TPRX!Y5),"",IF(ETPT_TPRX!Y5=0,"",ETPT_TPRX!Y5)))</f>
      </c>
      <c r="Z5" s="152">
        <f>IF(ISBLANK(ETPT_TPRX_DDG!$D$5),"",IF(ISERROR(ETPT_TPRX!Z5),"",IF(ETPT_TPRX!Z5=0,"",ETPT_TPRX!Z5)))</f>
      </c>
      <c r="AA5" s="152">
        <f>IF(ISBLANK(ETPT_TPRX_DDG!$D$5),"",IF(ISERROR(ETPT_TPRX!AA5),"",IF(ETPT_TPRX!AA5=0,"",ETPT_TPRX!AA5)))</f>
      </c>
      <c r="AB5" s="152">
        <f>IF(ISBLANK(ETPT_TPRX_DDG!$D$5),"",IF(ISERROR(ETPT_TPRX!AB5),"",IF(ETPT_TPRX!AB5=0,"",ETPT_TPRX!AB5)))</f>
      </c>
      <c r="AC5" s="145">
        <f t="shared" ref="AC5:AC15" si="2">SUM(T5:AB5)</f>
        <v>0</v>
      </c>
      <c r="AD5" s="152">
        <f>IF(ISBLANK(ETPT_TPRX_DDG!$D$5),"",IF(ISERROR(ETPT_TPRX!AD5),"",IF(ETPT_TPRX!AD5=0,"",ETPT_TPRX!AD5)))</f>
      </c>
      <c r="AE5" s="152">
        <f>IF(ISBLANK(ETPT_TPRX_DDG!$D$5),"",IF(ISERROR(ETPT_TPRX!AE5),"",IF(ETPT_TPRX!AE5=0,"",ETPT_TPRX!AE5)))</f>
      </c>
      <c r="AF5" s="152">
        <f>IF(ISBLANK(ETPT_TPRX_DDG!$D$5),"",IF(ISERROR(ETPT_TPRX!AF5),"",IF(ETPT_TPRX!AF5=0,"",ETPT_TPRX!AF5)))</f>
      </c>
      <c r="AG5" s="145">
        <f t="shared" ref="AG5:AG15" si="3">SUM(AD5:AF5)</f>
        <v>0</v>
      </c>
    </row>
    <row r="6" spans="1:33" x14ac:dyDescent="0.25">
      <c r="A6" s="144" t="s">
        <v>4236</v>
      </c>
      <c r="B6" s="115"/>
      <c r="C6" s="115"/>
      <c r="D6" s="115">
        <f t="shared" ref="D6:D15" si="4">IF(ISBLANK($D$5),"",$D$5)</f>
      </c>
      <c r="E6" s="115" t="s">
        <v>4166</v>
      </c>
      <c r="F6" s="207" t="s">
        <v>4167</v>
      </c>
      <c r="G6" s="152">
        <f>IF(ISBLANK(ETPT_TPRX_DDG!$D$5),"",IF(ISERROR(ETPT_TPRX!G6),"",IF(ETPT_TPRX!G6=0,"",ETPT_TPRX!G6)))</f>
      </c>
      <c r="H6" s="145">
        <f t="shared" si="0"/>
        <v>0</v>
      </c>
      <c r="I6" s="152">
        <f>IF(ISBLANK(ETPT_TPRX_DDG!$D$5),"",IF(ISERROR(ETPT_TPRX!I6),"",IF(ETPT_TPRX!I6=0,"",ETPT_TPRX!I6)))</f>
      </c>
      <c r="J6" s="152">
        <f>IF(ISBLANK(ETPT_TPRX_DDG!$D$5),"",IF(ISERROR(ETPT_TPRX!J6),"",IF(ETPT_TPRX!J6=0,"",ETPT_TPRX!J6)))</f>
      </c>
      <c r="K6" s="152">
        <f>IF(ISBLANK(ETPT_TPRX_DDG!$D$5),"",IF(ISERROR(ETPT_TPRX!K6),"",IF(ETPT_TPRX!K6=0,"",ETPT_TPRX!K6)))</f>
      </c>
      <c r="L6" s="152">
        <f>IF(ISBLANK(ETPT_TPRX_DDG!$D$5),"",IF(ISERROR(ETPT_TPRX!L6),"",IF(ETPT_TPRX!L6=0,"",ETPT_TPRX!L6)))</f>
      </c>
      <c r="M6" s="152">
        <f>IF(ISBLANK(ETPT_TPRX_DDG!$D$5),"",IF(ISERROR(ETPT_TPRX!M6),"",IF(ETPT_TPRX!M6=0,"",ETPT_TPRX!M6)))</f>
      </c>
      <c r="N6" s="152">
        <f>IF(ISBLANK(ETPT_TPRX_DDG!$D$5),"",IF(ISERROR(ETPT_TPRX!N6),"",IF(ETPT_TPRX!N6=0,"",ETPT_TPRX!N6)))</f>
      </c>
      <c r="O6" s="152">
        <f>IF(ISBLANK(ETPT_TPRX_DDG!$D$5),"",IF(ISERROR(ETPT_TPRX!O6),"",IF(ETPT_TPRX!O6=0,"",ETPT_TPRX!O6)))</f>
      </c>
      <c r="P6" s="152">
        <f>IF(ISBLANK(ETPT_TPRX_DDG!$D$5),"",IF(ISERROR(ETPT_TPRX!P6),"",IF(ETPT_TPRX!P6=0,"",ETPT_TPRX!P6)))</f>
      </c>
      <c r="Q6" s="152">
        <f>IF(ISBLANK(ETPT_TPRX_DDG!$D$5),"",IF(ISERROR(ETPT_TPRX!Q6),"",IF(ETPT_TPRX!Q6=0,"",ETPT_TPRX!Q6)))</f>
      </c>
      <c r="R6" s="152">
        <f>IF(ISBLANK(ETPT_TPRX_DDG!$D$5),"",IF(ISERROR(ETPT_TPRX!R6),"",IF(ETPT_TPRX!R6=0,"",ETPT_TPRX!R6)))</f>
      </c>
      <c r="S6" s="145">
        <f t="shared" si="1"/>
        <v>0</v>
      </c>
      <c r="T6" s="152">
        <f>IF(ISBLANK(ETPT_TPRX_DDG!$D$5),"",IF(ISERROR(ETPT_TPRX!T6),"",IF(ETPT_TPRX!T6=0,"",ETPT_TPRX!T6)))</f>
      </c>
      <c r="U6" s="152">
        <f>IF(ISBLANK(ETPT_TPRX_DDG!$D$5),"",IF(ISERROR(ETPT_TPRX!U6),"",IF(ETPT_TPRX!U6=0,"",ETPT_TPRX!U6)))</f>
      </c>
      <c r="V6" s="152">
        <f>IF(ISBLANK(ETPT_TPRX_DDG!$D$5),"",IF(ISERROR(ETPT_TPRX!V6),"",IF(ETPT_TPRX!V6=0,"",ETPT_TPRX!V6)))</f>
      </c>
      <c r="W6" s="152">
        <f>IF(ISBLANK(ETPT_TPRX_DDG!$D$5),"",IF(ISERROR(ETPT_TPRX!W6),"",IF(ETPT_TPRX!W6=0,"",ETPT_TPRX!W6)))</f>
      </c>
      <c r="X6" s="152">
        <f>IF(ISBLANK(ETPT_TPRX_DDG!$D$5),"",IF(ISERROR(ETPT_TPRX!X6),"",IF(ETPT_TPRX!X6=0,"",ETPT_TPRX!X6)))</f>
      </c>
      <c r="Y6" s="152">
        <f>IF(ISBLANK(ETPT_TPRX_DDG!$D$5),"",IF(ISERROR(ETPT_TPRX!Y6),"",IF(ETPT_TPRX!Y6=0,"",ETPT_TPRX!Y6)))</f>
      </c>
      <c r="Z6" s="152">
        <f>IF(ISBLANK(ETPT_TPRX_DDG!$D$5),"",IF(ISERROR(ETPT_TPRX!Z6),"",IF(ETPT_TPRX!Z6=0,"",ETPT_TPRX!Z6)))</f>
      </c>
      <c r="AA6" s="152">
        <f>IF(ISBLANK(ETPT_TPRX_DDG!$D$5),"",IF(ISERROR(ETPT_TPRX!AA6),"",IF(ETPT_TPRX!AA6=0,"",ETPT_TPRX!AA6)))</f>
      </c>
      <c r="AB6" s="152">
        <f>IF(ISBLANK(ETPT_TPRX_DDG!$D$5),"",IF(ISERROR(ETPT_TPRX!AB6),"",IF(ETPT_TPRX!AB6=0,"",ETPT_TPRX!AB6)))</f>
      </c>
      <c r="AC6" s="145">
        <f t="shared" si="2"/>
        <v>0</v>
      </c>
      <c r="AD6" s="152">
        <f>IF(ISBLANK(ETPT_TPRX_DDG!$D$5),"",IF(ISERROR(ETPT_TPRX!AD6),"",IF(ETPT_TPRX!AD6=0,"",ETPT_TPRX!AD6)))</f>
      </c>
      <c r="AE6" s="152">
        <f>IF(ISBLANK(ETPT_TPRX_DDG!$D$5),"",IF(ISERROR(ETPT_TPRX!AE6),"",IF(ETPT_TPRX!AE6=0,"",ETPT_TPRX!AE6)))</f>
      </c>
      <c r="AF6" s="152">
        <f>IF(ISBLANK(ETPT_TPRX_DDG!$D$5),"",IF(ISERROR(ETPT_TPRX!AF6),"",IF(ETPT_TPRX!AF6=0,"",ETPT_TPRX!AF6)))</f>
      </c>
      <c r="AG6" s="145">
        <f t="shared" si="3"/>
        <v>0</v>
      </c>
    </row>
    <row r="7" spans="1:33" x14ac:dyDescent="0.25">
      <c r="A7" s="144" t="s">
        <v>4236</v>
      </c>
      <c r="B7" s="115"/>
      <c r="C7" s="115"/>
      <c r="D7" s="115">
        <f t="shared" si="4"/>
      </c>
      <c r="E7" s="115" t="s">
        <v>4169</v>
      </c>
      <c r="F7" s="207" t="s">
        <v>4170</v>
      </c>
      <c r="G7" s="152">
        <f>IF(ISBLANK(ETPT_TPRX_DDG!$D$5),"",IF(ISERROR(ETPT_TPRX!G7),"",IF(ETPT_TPRX!G7=0,"",ETPT_TPRX!G7)))</f>
      </c>
      <c r="H7" s="145">
        <f t="shared" si="0"/>
        <v>0</v>
      </c>
      <c r="I7" s="152">
        <f>IF(ISBLANK(ETPT_TPRX_DDG!$D$5),"",IF(ISERROR(ETPT_TPRX!I7),"",IF(ETPT_TPRX!I7=0,"",ETPT_TPRX!I7)))</f>
      </c>
      <c r="J7" s="152">
        <f>IF(ISBLANK(ETPT_TPRX_DDG!$D$5),"",IF(ISERROR(ETPT_TPRX!J7),"",IF(ETPT_TPRX!J7=0,"",ETPT_TPRX!J7)))</f>
      </c>
      <c r="K7" s="152">
        <f>IF(ISBLANK(ETPT_TPRX_DDG!$D$5),"",IF(ISERROR(ETPT_TPRX!K7),"",IF(ETPT_TPRX!K7=0,"",ETPT_TPRX!K7)))</f>
      </c>
      <c r="L7" s="152">
        <f>IF(ISBLANK(ETPT_TPRX_DDG!$D$5),"",IF(ISERROR(ETPT_TPRX!L7),"",IF(ETPT_TPRX!L7=0,"",ETPT_TPRX!L7)))</f>
      </c>
      <c r="M7" s="152">
        <f>IF(ISBLANK(ETPT_TPRX_DDG!$D$5),"",IF(ISERROR(ETPT_TPRX!M7),"",IF(ETPT_TPRX!M7=0,"",ETPT_TPRX!M7)))</f>
      </c>
      <c r="N7" s="152">
        <f>IF(ISBLANK(ETPT_TPRX_DDG!$D$5),"",IF(ISERROR(ETPT_TPRX!N7),"",IF(ETPT_TPRX!N7=0,"",ETPT_TPRX!N7)))</f>
      </c>
      <c r="O7" s="152">
        <f>IF(ISBLANK(ETPT_TPRX_DDG!$D$5),"",IF(ISERROR(ETPT_TPRX!O7),"",IF(ETPT_TPRX!O7=0,"",ETPT_TPRX!O7)))</f>
      </c>
      <c r="P7" s="152">
        <f>IF(ISBLANK(ETPT_TPRX_DDG!$D$5),"",IF(ISERROR(ETPT_TPRX!P7),"",IF(ETPT_TPRX!P7=0,"",ETPT_TPRX!P7)))</f>
      </c>
      <c r="Q7" s="152">
        <f>IF(ISBLANK(ETPT_TPRX_DDG!$D$5),"",IF(ISERROR(ETPT_TPRX!Q7),"",IF(ETPT_TPRX!Q7=0,"",ETPT_TPRX!Q7)))</f>
      </c>
      <c r="R7" s="152">
        <f>IF(ISBLANK(ETPT_TPRX_DDG!$D$5),"",IF(ISERROR(ETPT_TPRX!R7),"",IF(ETPT_TPRX!R7=0,"",ETPT_TPRX!R7)))</f>
      </c>
      <c r="S7" s="145">
        <f t="shared" si="1"/>
        <v>0</v>
      </c>
      <c r="T7" s="152">
        <f>IF(ISBLANK(ETPT_TPRX_DDG!$D$5),"",IF(ISERROR(ETPT_TPRX!T7),"",IF(ETPT_TPRX!T7=0,"",ETPT_TPRX!T7)))</f>
      </c>
      <c r="U7" s="152">
        <f>IF(ISBLANK(ETPT_TPRX_DDG!$D$5),"",IF(ISERROR(ETPT_TPRX!U7),"",IF(ETPT_TPRX!U7=0,"",ETPT_TPRX!U7)))</f>
      </c>
      <c r="V7" s="152">
        <f>IF(ISBLANK(ETPT_TPRX_DDG!$D$5),"",IF(ISERROR(ETPT_TPRX!V7),"",IF(ETPT_TPRX!V7=0,"",ETPT_TPRX!V7)))</f>
      </c>
      <c r="W7" s="152">
        <f>IF(ISBLANK(ETPT_TPRX_DDG!$D$5),"",IF(ISERROR(ETPT_TPRX!W7),"",IF(ETPT_TPRX!W7=0,"",ETPT_TPRX!W7)))</f>
      </c>
      <c r="X7" s="152">
        <f>IF(ISBLANK(ETPT_TPRX_DDG!$D$5),"",IF(ISERROR(ETPT_TPRX!X7),"",IF(ETPT_TPRX!X7=0,"",ETPT_TPRX!X7)))</f>
      </c>
      <c r="Y7" s="152">
        <f>IF(ISBLANK(ETPT_TPRX_DDG!$D$5),"",IF(ISERROR(ETPT_TPRX!Y7),"",IF(ETPT_TPRX!Y7=0,"",ETPT_TPRX!Y7)))</f>
      </c>
      <c r="Z7" s="152">
        <f>IF(ISBLANK(ETPT_TPRX_DDG!$D$5),"",IF(ISERROR(ETPT_TPRX!Z7),"",IF(ETPT_TPRX!Z7=0,"",ETPT_TPRX!Z7)))</f>
      </c>
      <c r="AA7" s="152">
        <f>IF(ISBLANK(ETPT_TPRX_DDG!$D$5),"",IF(ISERROR(ETPT_TPRX!AA7),"",IF(ETPT_TPRX!AA7=0,"",ETPT_TPRX!AA7)))</f>
      </c>
      <c r="AB7" s="152">
        <f>IF(ISBLANK(ETPT_TPRX_DDG!$D$5),"",IF(ISERROR(ETPT_TPRX!AB7),"",IF(ETPT_TPRX!AB7=0,"",ETPT_TPRX!AB7)))</f>
      </c>
      <c r="AC7" s="145">
        <f t="shared" si="2"/>
        <v>0</v>
      </c>
      <c r="AD7" s="152">
        <f>IF(ISBLANK(ETPT_TPRX_DDG!$D$5),"",IF(ISERROR(ETPT_TPRX!AD7),"",IF(ETPT_TPRX!AD7=0,"",ETPT_TPRX!AD7)))</f>
      </c>
      <c r="AE7" s="152">
        <f>IF(ISBLANK(ETPT_TPRX_DDG!$D$5),"",IF(ISERROR(ETPT_TPRX!AE7),"",IF(ETPT_TPRX!AE7=0,"",ETPT_TPRX!AE7)))</f>
      </c>
      <c r="AF7" s="152">
        <f>IF(ISBLANK(ETPT_TPRX_DDG!$D$5),"",IF(ISERROR(ETPT_TPRX!AF7),"",IF(ETPT_TPRX!AF7=0,"",ETPT_TPRX!AF7)))</f>
      </c>
      <c r="AG7" s="145">
        <f t="shared" si="3"/>
        <v>0</v>
      </c>
    </row>
    <row r="8" spans="1:33" x14ac:dyDescent="0.25">
      <c r="A8" s="144" t="s">
        <v>4236</v>
      </c>
      <c r="B8" s="115"/>
      <c r="C8" s="115"/>
      <c r="D8" s="115">
        <f t="shared" si="4"/>
      </c>
      <c r="E8" s="115" t="s">
        <v>4173</v>
      </c>
      <c r="F8" s="207" t="s">
        <v>4174</v>
      </c>
      <c r="G8" s="152">
        <f>IF(ISBLANK(ETPT_TPRX_DDG!$D$5),"",IF(ISERROR(ETPT_TPRX!G8),"",IF(ETPT_TPRX!G8=0,"",ETPT_TPRX!G8)))</f>
      </c>
      <c r="H8" s="145">
        <f t="shared" si="0"/>
        <v>0</v>
      </c>
      <c r="I8" s="152">
        <f>IF(ISBLANK(ETPT_TPRX_DDG!$D$5),"",IF(ISERROR(ETPT_TPRX!I8),"",IF(ETPT_TPRX!I8=0,"",ETPT_TPRX!I8)))</f>
      </c>
      <c r="J8" s="152">
        <f>IF(ISBLANK(ETPT_TPRX_DDG!$D$5),"",IF(ISERROR(ETPT_TPRX!J8),"",IF(ETPT_TPRX!J8=0,"",ETPT_TPRX!J8)))</f>
      </c>
      <c r="K8" s="152">
        <f>IF(ISBLANK(ETPT_TPRX_DDG!$D$5),"",IF(ISERROR(ETPT_TPRX!K8),"",IF(ETPT_TPRX!K8=0,"",ETPT_TPRX!K8)))</f>
      </c>
      <c r="L8" s="152">
        <f>IF(ISBLANK(ETPT_TPRX_DDG!$D$5),"",IF(ISERROR(ETPT_TPRX!L8),"",IF(ETPT_TPRX!L8=0,"",ETPT_TPRX!L8)))</f>
      </c>
      <c r="M8" s="152">
        <f>IF(ISBLANK(ETPT_TPRX_DDG!$D$5),"",IF(ISERROR(ETPT_TPRX!M8),"",IF(ETPT_TPRX!M8=0,"",ETPT_TPRX!M8)))</f>
      </c>
      <c r="N8" s="152">
        <f>IF(ISBLANK(ETPT_TPRX_DDG!$D$5),"",IF(ISERROR(ETPT_TPRX!N8),"",IF(ETPT_TPRX!N8=0,"",ETPT_TPRX!N8)))</f>
      </c>
      <c r="O8" s="152">
        <f>IF(ISBLANK(ETPT_TPRX_DDG!$D$5),"",IF(ISERROR(ETPT_TPRX!O8),"",IF(ETPT_TPRX!O8=0,"",ETPT_TPRX!O8)))</f>
      </c>
      <c r="P8" s="152">
        <f>IF(ISBLANK(ETPT_TPRX_DDG!$D$5),"",IF(ISERROR(ETPT_TPRX!P8),"",IF(ETPT_TPRX!P8=0,"",ETPT_TPRX!P8)))</f>
      </c>
      <c r="Q8" s="152">
        <f>IF(ISBLANK(ETPT_TPRX_DDG!$D$5),"",IF(ISERROR(ETPT_TPRX!Q8),"",IF(ETPT_TPRX!Q8=0,"",ETPT_TPRX!Q8)))</f>
      </c>
      <c r="R8" s="152">
        <f>IF(ISBLANK(ETPT_TPRX_DDG!$D$5),"",IF(ISERROR(ETPT_TPRX!R8),"",IF(ETPT_TPRX!R8=0,"",ETPT_TPRX!R8)))</f>
      </c>
      <c r="S8" s="145">
        <f t="shared" si="1"/>
        <v>0</v>
      </c>
      <c r="T8" s="152">
        <f>IF(ISBLANK(ETPT_TPRX_DDG!$D$5),"",IF(ISERROR(ETPT_TPRX!T8),"",IF(ETPT_TPRX!T8=0,"",ETPT_TPRX!T8)))</f>
      </c>
      <c r="U8" s="152">
        <f>IF(ISBLANK(ETPT_TPRX_DDG!$D$5),"",IF(ISERROR(ETPT_TPRX!U8),"",IF(ETPT_TPRX!U8=0,"",ETPT_TPRX!U8)))</f>
      </c>
      <c r="V8" s="152">
        <f>IF(ISBLANK(ETPT_TPRX_DDG!$D$5),"",IF(ISERROR(ETPT_TPRX!V8),"",IF(ETPT_TPRX!V8=0,"",ETPT_TPRX!V8)))</f>
      </c>
      <c r="W8" s="152">
        <f>IF(ISBLANK(ETPT_TPRX_DDG!$D$5),"",IF(ISERROR(ETPT_TPRX!W8),"",IF(ETPT_TPRX!W8=0,"",ETPT_TPRX!W8)))</f>
      </c>
      <c r="X8" s="152">
        <f>IF(ISBLANK(ETPT_TPRX_DDG!$D$5),"",IF(ISERROR(ETPT_TPRX!X8),"",IF(ETPT_TPRX!X8=0,"",ETPT_TPRX!X8)))</f>
      </c>
      <c r="Y8" s="152">
        <f>IF(ISBLANK(ETPT_TPRX_DDG!$D$5),"",IF(ISERROR(ETPT_TPRX!Y8),"",IF(ETPT_TPRX!Y8=0,"",ETPT_TPRX!Y8)))</f>
      </c>
      <c r="Z8" s="152">
        <f>IF(ISBLANK(ETPT_TPRX_DDG!$D$5),"",IF(ISERROR(ETPT_TPRX!Z8),"",IF(ETPT_TPRX!Z8=0,"",ETPT_TPRX!Z8)))</f>
      </c>
      <c r="AA8" s="152">
        <f>IF(ISBLANK(ETPT_TPRX_DDG!$D$5),"",IF(ISERROR(ETPT_TPRX!AA8),"",IF(ETPT_TPRX!AA8=0,"",ETPT_TPRX!AA8)))</f>
      </c>
      <c r="AB8" s="152">
        <f>IF(ISBLANK(ETPT_TPRX_DDG!$D$5),"",IF(ISERROR(ETPT_TPRX!AB8),"",IF(ETPT_TPRX!AB8=0,"",ETPT_TPRX!AB8)))</f>
      </c>
      <c r="AC8" s="145">
        <f t="shared" si="2"/>
        <v>0</v>
      </c>
      <c r="AD8" s="152">
        <f>IF(ISBLANK(ETPT_TPRX_DDG!$D$5),"",IF(ISERROR(ETPT_TPRX!AD8),"",IF(ETPT_TPRX!AD8=0,"",ETPT_TPRX!AD8)))</f>
      </c>
      <c r="AE8" s="152">
        <f>IF(ISBLANK(ETPT_TPRX_DDG!$D$5),"",IF(ISERROR(ETPT_TPRX!AE8),"",IF(ETPT_TPRX!AE8=0,"",ETPT_TPRX!AE8)))</f>
      </c>
      <c r="AF8" s="152">
        <f>IF(ISBLANK(ETPT_TPRX_DDG!$D$5),"",IF(ISERROR(ETPT_TPRX!AF8),"",IF(ETPT_TPRX!AF8=0,"",ETPT_TPRX!AF8)))</f>
      </c>
      <c r="AG8" s="145">
        <f t="shared" si="3"/>
        <v>0</v>
      </c>
    </row>
    <row r="9" spans="1:33" x14ac:dyDescent="0.25">
      <c r="A9" s="144" t="s">
        <v>4236</v>
      </c>
      <c r="B9" s="115"/>
      <c r="C9" s="115"/>
      <c r="D9" s="115">
        <f t="shared" si="4"/>
      </c>
      <c r="E9" s="115" t="s">
        <v>4175</v>
      </c>
      <c r="F9" s="207" t="s">
        <v>4176</v>
      </c>
      <c r="G9" s="152">
        <f>IF(ISBLANK(ETPT_TPRX_DDG!$D$5),"",IF(ISERROR(ETPT_TPRX!G9),"",IF(ETPT_TPRX!G9=0,"",ETPT_TPRX!G9)))</f>
      </c>
      <c r="H9" s="145">
        <f t="shared" si="0"/>
        <v>0</v>
      </c>
      <c r="I9" s="152">
        <f>IF(ISBLANK(ETPT_TPRX_DDG!$D$5),"",IF(ISERROR(ETPT_TPRX!I9),"",IF(ETPT_TPRX!I9=0,"",ETPT_TPRX!I9)))</f>
      </c>
      <c r="J9" s="152">
        <f>IF(ISBLANK(ETPT_TPRX_DDG!$D$5),"",IF(ISERROR(ETPT_TPRX!J9),"",IF(ETPT_TPRX!J9=0,"",ETPT_TPRX!J9)))</f>
      </c>
      <c r="K9" s="152">
        <f>IF(ISBLANK(ETPT_TPRX_DDG!$D$5),"",IF(ISERROR(ETPT_TPRX!K9),"",IF(ETPT_TPRX!K9=0,"",ETPT_TPRX!K9)))</f>
      </c>
      <c r="L9" s="152">
        <f>IF(ISBLANK(ETPT_TPRX_DDG!$D$5),"",IF(ISERROR(ETPT_TPRX!L9),"",IF(ETPT_TPRX!L9=0,"",ETPT_TPRX!L9)))</f>
      </c>
      <c r="M9" s="152">
        <f>IF(ISBLANK(ETPT_TPRX_DDG!$D$5),"",IF(ISERROR(ETPT_TPRX!M9),"",IF(ETPT_TPRX!M9=0,"",ETPT_TPRX!M9)))</f>
      </c>
      <c r="N9" s="152">
        <f>IF(ISBLANK(ETPT_TPRX_DDG!$D$5),"",IF(ISERROR(ETPT_TPRX!N9),"",IF(ETPT_TPRX!N9=0,"",ETPT_TPRX!N9)))</f>
      </c>
      <c r="O9" s="152">
        <f>IF(ISBLANK(ETPT_TPRX_DDG!$D$5),"",IF(ISERROR(ETPT_TPRX!O9),"",IF(ETPT_TPRX!O9=0,"",ETPT_TPRX!O9)))</f>
      </c>
      <c r="P9" s="152">
        <f>IF(ISBLANK(ETPT_TPRX_DDG!$D$5),"",IF(ISERROR(ETPT_TPRX!P9),"",IF(ETPT_TPRX!P9=0,"",ETPT_TPRX!P9)))</f>
      </c>
      <c r="Q9" s="152">
        <f>IF(ISBLANK(ETPT_TPRX_DDG!$D$5),"",IF(ISERROR(ETPT_TPRX!Q9),"",IF(ETPT_TPRX!Q9=0,"",ETPT_TPRX!Q9)))</f>
      </c>
      <c r="R9" s="152">
        <f>IF(ISBLANK(ETPT_TPRX_DDG!$D$5),"",IF(ISERROR(ETPT_TPRX!R9),"",IF(ETPT_TPRX!R9=0,"",ETPT_TPRX!R9)))</f>
      </c>
      <c r="S9" s="145">
        <f t="shared" si="1"/>
        <v>0</v>
      </c>
      <c r="T9" s="152">
        <f>IF(ISBLANK(ETPT_TPRX_DDG!$D$5),"",IF(ISERROR(ETPT_TPRX!T9),"",IF(ETPT_TPRX!T9=0,"",ETPT_TPRX!T9)))</f>
      </c>
      <c r="U9" s="152">
        <f>IF(ISBLANK(ETPT_TPRX_DDG!$D$5),"",IF(ISERROR(ETPT_TPRX!U9),"",IF(ETPT_TPRX!U9=0,"",ETPT_TPRX!U9)))</f>
      </c>
      <c r="V9" s="152">
        <f>IF(ISBLANK(ETPT_TPRX_DDG!$D$5),"",IF(ISERROR(ETPT_TPRX!V9),"",IF(ETPT_TPRX!V9=0,"",ETPT_TPRX!V9)))</f>
      </c>
      <c r="W9" s="152">
        <f>IF(ISBLANK(ETPT_TPRX_DDG!$D$5),"",IF(ISERROR(ETPT_TPRX!W9),"",IF(ETPT_TPRX!W9=0,"",ETPT_TPRX!W9)))</f>
      </c>
      <c r="X9" s="152">
        <f>IF(ISBLANK(ETPT_TPRX_DDG!$D$5),"",IF(ISERROR(ETPT_TPRX!X9),"",IF(ETPT_TPRX!X9=0,"",ETPT_TPRX!X9)))</f>
      </c>
      <c r="Y9" s="152">
        <f>IF(ISBLANK(ETPT_TPRX_DDG!$D$5),"",IF(ISERROR(ETPT_TPRX!Y9),"",IF(ETPT_TPRX!Y9=0,"",ETPT_TPRX!Y9)))</f>
      </c>
      <c r="Z9" s="152">
        <f>IF(ISBLANK(ETPT_TPRX_DDG!$D$5),"",IF(ISERROR(ETPT_TPRX!Z9),"",IF(ETPT_TPRX!Z9=0,"",ETPT_TPRX!Z9)))</f>
      </c>
      <c r="AA9" s="152">
        <f>IF(ISBLANK(ETPT_TPRX_DDG!$D$5),"",IF(ISERROR(ETPT_TPRX!AA9),"",IF(ETPT_TPRX!AA9=0,"",ETPT_TPRX!AA9)))</f>
      </c>
      <c r="AB9" s="152">
        <f>IF(ISBLANK(ETPT_TPRX_DDG!$D$5),"",IF(ISERROR(ETPT_TPRX!AB9),"",IF(ETPT_TPRX!AB9=0,"",ETPT_TPRX!AB9)))</f>
      </c>
      <c r="AC9" s="145">
        <f t="shared" si="2"/>
        <v>0</v>
      </c>
      <c r="AD9" s="152">
        <f>IF(ISBLANK(ETPT_TPRX_DDG!$D$5),"",IF(ISERROR(ETPT_TPRX!AD9),"",IF(ETPT_TPRX!AD9=0,"",ETPT_TPRX!AD9)))</f>
      </c>
      <c r="AE9" s="152">
        <f>IF(ISBLANK(ETPT_TPRX_DDG!$D$5),"",IF(ISERROR(ETPT_TPRX!AE9),"",IF(ETPT_TPRX!AE9=0,"",ETPT_TPRX!AE9)))</f>
      </c>
      <c r="AF9" s="152">
        <f>IF(ISBLANK(ETPT_TPRX_DDG!$D$5),"",IF(ISERROR(ETPT_TPRX!AF9),"",IF(ETPT_TPRX!AF9=0,"",ETPT_TPRX!AF9)))</f>
      </c>
      <c r="AG9" s="145">
        <f t="shared" si="3"/>
        <v>0</v>
      </c>
    </row>
    <row r="10" spans="1:33" x14ac:dyDescent="0.25">
      <c r="A10" s="144" t="s">
        <v>4236</v>
      </c>
      <c r="B10" s="115"/>
      <c r="C10" s="115"/>
      <c r="D10" s="115">
        <f t="shared" si="4"/>
      </c>
      <c r="E10" s="115" t="s">
        <v>4177</v>
      </c>
      <c r="F10" s="207" t="s">
        <v>4178</v>
      </c>
      <c r="G10" s="152">
        <f>IF(ISBLANK(ETPT_TPRX_DDG!$D$5),"",IF(ISERROR(ETPT_TPRX!G10),"",IF(ETPT_TPRX!G10=0,"",ETPT_TPRX!G10)))</f>
      </c>
      <c r="H10" s="145">
        <f t="shared" si="0"/>
        <v>0</v>
      </c>
      <c r="I10" s="152">
        <f>IF(ISBLANK(ETPT_TPRX_DDG!$D$5),"",IF(ISERROR(ETPT_TPRX!I10),"",IF(ETPT_TPRX!I10=0,"",ETPT_TPRX!I10)))</f>
      </c>
      <c r="J10" s="152">
        <f>IF(ISBLANK(ETPT_TPRX_DDG!$D$5),"",IF(ISERROR(ETPT_TPRX!J10),"",IF(ETPT_TPRX!J10=0,"",ETPT_TPRX!J10)))</f>
      </c>
      <c r="K10" s="152">
        <f>IF(ISBLANK(ETPT_TPRX_DDG!$D$5),"",IF(ISERROR(ETPT_TPRX!K10),"",IF(ETPT_TPRX!K10=0,"",ETPT_TPRX!K10)))</f>
      </c>
      <c r="L10" s="152">
        <f>IF(ISBLANK(ETPT_TPRX_DDG!$D$5),"",IF(ISERROR(ETPT_TPRX!L10),"",IF(ETPT_TPRX!L10=0,"",ETPT_TPRX!L10)))</f>
      </c>
      <c r="M10" s="152">
        <f>IF(ISBLANK(ETPT_TPRX_DDG!$D$5),"",IF(ISERROR(ETPT_TPRX!M10),"",IF(ETPT_TPRX!M10=0,"",ETPT_TPRX!M10)))</f>
      </c>
      <c r="N10" s="152">
        <f>IF(ISBLANK(ETPT_TPRX_DDG!$D$5),"",IF(ISERROR(ETPT_TPRX!N10),"",IF(ETPT_TPRX!N10=0,"",ETPT_TPRX!N10)))</f>
      </c>
      <c r="O10" s="152">
        <f>IF(ISBLANK(ETPT_TPRX_DDG!$D$5),"",IF(ISERROR(ETPT_TPRX!O10),"",IF(ETPT_TPRX!O10=0,"",ETPT_TPRX!O10)))</f>
      </c>
      <c r="P10" s="152">
        <f>IF(ISBLANK(ETPT_TPRX_DDG!$D$5),"",IF(ISERROR(ETPT_TPRX!P10),"",IF(ETPT_TPRX!P10=0,"",ETPT_TPRX!P10)))</f>
      </c>
      <c r="Q10" s="152">
        <f>IF(ISBLANK(ETPT_TPRX_DDG!$D$5),"",IF(ISERROR(ETPT_TPRX!Q10),"",IF(ETPT_TPRX!Q10=0,"",ETPT_TPRX!Q10)))</f>
      </c>
      <c r="R10" s="152">
        <f>IF(ISBLANK(ETPT_TPRX_DDG!$D$5),"",IF(ISERROR(ETPT_TPRX!R10),"",IF(ETPT_TPRX!R10=0,"",ETPT_TPRX!R10)))</f>
      </c>
      <c r="S10" s="145">
        <f t="shared" si="1"/>
        <v>0</v>
      </c>
      <c r="T10" s="152">
        <f>IF(ISBLANK(ETPT_TPRX_DDG!$D$5),"",IF(ISERROR(ETPT_TPRX!T10),"",IF(ETPT_TPRX!T10=0,"",ETPT_TPRX!T10)))</f>
      </c>
      <c r="U10" s="152">
        <f>IF(ISBLANK(ETPT_TPRX_DDG!$D$5),"",IF(ISERROR(ETPT_TPRX!U10),"",IF(ETPT_TPRX!U10=0,"",ETPT_TPRX!U10)))</f>
      </c>
      <c r="V10" s="152">
        <f>IF(ISBLANK(ETPT_TPRX_DDG!$D$5),"",IF(ISERROR(ETPT_TPRX!V10),"",IF(ETPT_TPRX!V10=0,"",ETPT_TPRX!V10)))</f>
      </c>
      <c r="W10" s="152">
        <f>IF(ISBLANK(ETPT_TPRX_DDG!$D$5),"",IF(ISERROR(ETPT_TPRX!W10),"",IF(ETPT_TPRX!W10=0,"",ETPT_TPRX!W10)))</f>
      </c>
      <c r="X10" s="152">
        <f>IF(ISBLANK(ETPT_TPRX_DDG!$D$5),"",IF(ISERROR(ETPT_TPRX!X10),"",IF(ETPT_TPRX!X10=0,"",ETPT_TPRX!X10)))</f>
      </c>
      <c r="Y10" s="152">
        <f>IF(ISBLANK(ETPT_TPRX_DDG!$D$5),"",IF(ISERROR(ETPT_TPRX!Y10),"",IF(ETPT_TPRX!Y10=0,"",ETPT_TPRX!Y10)))</f>
      </c>
      <c r="Z10" s="152">
        <f>IF(ISBLANK(ETPT_TPRX_DDG!$D$5),"",IF(ISERROR(ETPT_TPRX!Z10),"",IF(ETPT_TPRX!Z10=0,"",ETPT_TPRX!Z10)))</f>
      </c>
      <c r="AA10" s="152">
        <f>IF(ISBLANK(ETPT_TPRX_DDG!$D$5),"",IF(ISERROR(ETPT_TPRX!AA10),"",IF(ETPT_TPRX!AA10=0,"",ETPT_TPRX!AA10)))</f>
      </c>
      <c r="AB10" s="152">
        <f>IF(ISBLANK(ETPT_TPRX_DDG!$D$5),"",IF(ISERROR(ETPT_TPRX!AB10),"",IF(ETPT_TPRX!AB10=0,"",ETPT_TPRX!AB10)))</f>
      </c>
      <c r="AC10" s="145">
        <f t="shared" si="2"/>
        <v>0</v>
      </c>
      <c r="AD10" s="152">
        <f>IF(ISBLANK(ETPT_TPRX_DDG!$D$5),"",IF(ISERROR(ETPT_TPRX!AD10),"",IF(ETPT_TPRX!AD10=0,"",ETPT_TPRX!AD10)))</f>
      </c>
      <c r="AE10" s="152">
        <f>IF(ISBLANK(ETPT_TPRX_DDG!$D$5),"",IF(ISERROR(ETPT_TPRX!AE10),"",IF(ETPT_TPRX!AE10=0,"",ETPT_TPRX!AE10)))</f>
      </c>
      <c r="AF10" s="152">
        <f>IF(ISBLANK(ETPT_TPRX_DDG!$D$5),"",IF(ISERROR(ETPT_TPRX!AF10),"",IF(ETPT_TPRX!AF10=0,"",ETPT_TPRX!AF10)))</f>
      </c>
      <c r="AG10" s="145">
        <f t="shared" si="3"/>
        <v>0</v>
      </c>
    </row>
    <row r="11" spans="1:33" x14ac:dyDescent="0.25">
      <c r="A11" s="144" t="s">
        <v>4236</v>
      </c>
      <c r="B11" s="115"/>
      <c r="C11" s="115"/>
      <c r="D11" s="115">
        <f t="shared" si="4"/>
      </c>
      <c r="E11" s="115" t="s">
        <v>4179</v>
      </c>
      <c r="F11" s="207" t="s">
        <v>4180</v>
      </c>
      <c r="G11" s="152">
        <f>IF(ISBLANK(ETPT_TPRX_DDG!$D$5),"",IF(ISERROR(ETPT_TPRX!G11),"",IF(ETPT_TPRX!G11=0,"",ETPT_TPRX!G11)))</f>
      </c>
      <c r="H11" s="145">
        <f t="shared" si="0"/>
        <v>0</v>
      </c>
      <c r="I11" s="152">
        <f>IF(ISBLANK(ETPT_TPRX_DDG!$D$5),"",IF(ISERROR(ETPT_TPRX!I11),"",IF(ETPT_TPRX!I11=0,"",ETPT_TPRX!I11)))</f>
      </c>
      <c r="J11" s="152">
        <f>IF(ISBLANK(ETPT_TPRX_DDG!$D$5),"",IF(ISERROR(ETPT_TPRX!J11),"",IF(ETPT_TPRX!J11=0,"",ETPT_TPRX!J11)))</f>
      </c>
      <c r="K11" s="152">
        <f>IF(ISBLANK(ETPT_TPRX_DDG!$D$5),"",IF(ISERROR(ETPT_TPRX!K11),"",IF(ETPT_TPRX!K11=0,"",ETPT_TPRX!K11)))</f>
      </c>
      <c r="L11" s="152">
        <f>IF(ISBLANK(ETPT_TPRX_DDG!$D$5),"",IF(ISERROR(ETPT_TPRX!L11),"",IF(ETPT_TPRX!L11=0,"",ETPT_TPRX!L11)))</f>
      </c>
      <c r="M11" s="152">
        <f>IF(ISBLANK(ETPT_TPRX_DDG!$D$5),"",IF(ISERROR(ETPT_TPRX!M11),"",IF(ETPT_TPRX!M11=0,"",ETPT_TPRX!M11)))</f>
      </c>
      <c r="N11" s="152">
        <f>IF(ISBLANK(ETPT_TPRX_DDG!$D$5),"",IF(ISERROR(ETPT_TPRX!N11),"",IF(ETPT_TPRX!N11=0,"",ETPT_TPRX!N11)))</f>
      </c>
      <c r="O11" s="152">
        <f>IF(ISBLANK(ETPT_TPRX_DDG!$D$5),"",IF(ISERROR(ETPT_TPRX!O11),"",IF(ETPT_TPRX!O11=0,"",ETPT_TPRX!O11)))</f>
      </c>
      <c r="P11" s="152">
        <f>IF(ISBLANK(ETPT_TPRX_DDG!$D$5),"",IF(ISERROR(ETPT_TPRX!P11),"",IF(ETPT_TPRX!P11=0,"",ETPT_TPRX!P11)))</f>
      </c>
      <c r="Q11" s="152">
        <f>IF(ISBLANK(ETPT_TPRX_DDG!$D$5),"",IF(ISERROR(ETPT_TPRX!Q11),"",IF(ETPT_TPRX!Q11=0,"",ETPT_TPRX!Q11)))</f>
      </c>
      <c r="R11" s="152">
        <f>IF(ISBLANK(ETPT_TPRX_DDG!$D$5),"",IF(ISERROR(ETPT_TPRX!R11),"",IF(ETPT_TPRX!R11=0,"",ETPT_TPRX!R11)))</f>
      </c>
      <c r="S11" s="145">
        <f t="shared" si="1"/>
        <v>0</v>
      </c>
      <c r="T11" s="152">
        <f>IF(ISBLANK(ETPT_TPRX_DDG!$D$5),"",IF(ISERROR(ETPT_TPRX!T11),"",IF(ETPT_TPRX!T11=0,"",ETPT_TPRX!T11)))</f>
      </c>
      <c r="U11" s="152">
        <f>IF(ISBLANK(ETPT_TPRX_DDG!$D$5),"",IF(ISERROR(ETPT_TPRX!U11),"",IF(ETPT_TPRX!U11=0,"",ETPT_TPRX!U11)))</f>
      </c>
      <c r="V11" s="152">
        <f>IF(ISBLANK(ETPT_TPRX_DDG!$D$5),"",IF(ISERROR(ETPT_TPRX!V11),"",IF(ETPT_TPRX!V11=0,"",ETPT_TPRX!V11)))</f>
      </c>
      <c r="W11" s="152">
        <f>IF(ISBLANK(ETPT_TPRX_DDG!$D$5),"",IF(ISERROR(ETPT_TPRX!W11),"",IF(ETPT_TPRX!W11=0,"",ETPT_TPRX!W11)))</f>
      </c>
      <c r="X11" s="152">
        <f>IF(ISBLANK(ETPT_TPRX_DDG!$D$5),"",IF(ISERROR(ETPT_TPRX!X11),"",IF(ETPT_TPRX!X11=0,"",ETPT_TPRX!X11)))</f>
      </c>
      <c r="Y11" s="152">
        <f>IF(ISBLANK(ETPT_TPRX_DDG!$D$5),"",IF(ISERROR(ETPT_TPRX!Y11),"",IF(ETPT_TPRX!Y11=0,"",ETPT_TPRX!Y11)))</f>
      </c>
      <c r="Z11" s="152">
        <f>IF(ISBLANK(ETPT_TPRX_DDG!$D$5),"",IF(ISERROR(ETPT_TPRX!Z11),"",IF(ETPT_TPRX!Z11=0,"",ETPT_TPRX!Z11)))</f>
      </c>
      <c r="AA11" s="152">
        <f>IF(ISBLANK(ETPT_TPRX_DDG!$D$5),"",IF(ISERROR(ETPT_TPRX!AA11),"",IF(ETPT_TPRX!AA11=0,"",ETPT_TPRX!AA11)))</f>
      </c>
      <c r="AB11" s="152">
        <f>IF(ISBLANK(ETPT_TPRX_DDG!$D$5),"",IF(ISERROR(ETPT_TPRX!AB11),"",IF(ETPT_TPRX!AB11=0,"",ETPT_TPRX!AB11)))</f>
      </c>
      <c r="AC11" s="145">
        <f t="shared" si="2"/>
        <v>0</v>
      </c>
      <c r="AD11" s="152">
        <f>IF(ISBLANK(ETPT_TPRX_DDG!$D$5),"",IF(ISERROR(ETPT_TPRX!AD11),"",IF(ETPT_TPRX!AD11=0,"",ETPT_TPRX!AD11)))</f>
      </c>
      <c r="AE11" s="152">
        <f>IF(ISBLANK(ETPT_TPRX_DDG!$D$5),"",IF(ISERROR(ETPT_TPRX!AE11),"",IF(ETPT_TPRX!AE11=0,"",ETPT_TPRX!AE11)))</f>
      </c>
      <c r="AF11" s="152">
        <f>IF(ISBLANK(ETPT_TPRX_DDG!$D$5),"",IF(ISERROR(ETPT_TPRX!AF11),"",IF(ETPT_TPRX!AF11=0,"",ETPT_TPRX!AF11)))</f>
      </c>
      <c r="AG11" s="145">
        <f t="shared" si="3"/>
        <v>0</v>
      </c>
    </row>
    <row r="12" spans="1:33" x14ac:dyDescent="0.25">
      <c r="A12" s="144" t="s">
        <v>4236</v>
      </c>
      <c r="B12" s="115"/>
      <c r="C12" s="115"/>
      <c r="D12" s="115">
        <f t="shared" si="4"/>
      </c>
      <c r="E12" s="115" t="s">
        <v>4181</v>
      </c>
      <c r="F12" s="207" t="s">
        <v>4182</v>
      </c>
      <c r="G12" s="152">
        <f>IF(ISBLANK(ETPT_TPRX_DDG!$D$5),"",IF(ISERROR(ETPT_TPRX!G12),"",IF(ETPT_TPRX!G12=0,"",ETPT_TPRX!G12)))</f>
      </c>
      <c r="H12" s="145">
        <f t="shared" si="0"/>
        <v>0</v>
      </c>
      <c r="I12" s="152">
        <f>IF(ISBLANK(ETPT_TPRX_DDG!$D$5),"",IF(ISERROR(ETPT_TPRX!I12),"",IF(ETPT_TPRX!I12=0,"",ETPT_TPRX!I12)))</f>
      </c>
      <c r="J12" s="152">
        <f>IF(ISBLANK(ETPT_TPRX_DDG!$D$5),"",IF(ISERROR(ETPT_TPRX!J12),"",IF(ETPT_TPRX!J12=0,"",ETPT_TPRX!J12)))</f>
      </c>
      <c r="K12" s="152">
        <f>IF(ISBLANK(ETPT_TPRX_DDG!$D$5),"",IF(ISERROR(ETPT_TPRX!K12),"",IF(ETPT_TPRX!K12=0,"",ETPT_TPRX!K12)))</f>
      </c>
      <c r="L12" s="152">
        <f>IF(ISBLANK(ETPT_TPRX_DDG!$D$5),"",IF(ISERROR(ETPT_TPRX!L12),"",IF(ETPT_TPRX!L12=0,"",ETPT_TPRX!L12)))</f>
      </c>
      <c r="M12" s="152">
        <f>IF(ISBLANK(ETPT_TPRX_DDG!$D$5),"",IF(ISERROR(ETPT_TPRX!M12),"",IF(ETPT_TPRX!M12=0,"",ETPT_TPRX!M12)))</f>
      </c>
      <c r="N12" s="152">
        <f>IF(ISBLANK(ETPT_TPRX_DDG!$D$5),"",IF(ISERROR(ETPT_TPRX!N12),"",IF(ETPT_TPRX!N12=0,"",ETPT_TPRX!N12)))</f>
      </c>
      <c r="O12" s="152">
        <f>IF(ISBLANK(ETPT_TPRX_DDG!$D$5),"",IF(ISERROR(ETPT_TPRX!O12),"",IF(ETPT_TPRX!O12=0,"",ETPT_TPRX!O12)))</f>
      </c>
      <c r="P12" s="152">
        <f>IF(ISBLANK(ETPT_TPRX_DDG!$D$5),"",IF(ISERROR(ETPT_TPRX!P12),"",IF(ETPT_TPRX!P12=0,"",ETPT_TPRX!P12)))</f>
      </c>
      <c r="Q12" s="152">
        <f>IF(ISBLANK(ETPT_TPRX_DDG!$D$5),"",IF(ISERROR(ETPT_TPRX!Q12),"",IF(ETPT_TPRX!Q12=0,"",ETPT_TPRX!Q12)))</f>
      </c>
      <c r="R12" s="152">
        <f>IF(ISBLANK(ETPT_TPRX_DDG!$D$5),"",IF(ISERROR(ETPT_TPRX!R12),"",IF(ETPT_TPRX!R12=0,"",ETPT_TPRX!R12)))</f>
      </c>
      <c r="S12" s="145">
        <f t="shared" si="1"/>
        <v>0</v>
      </c>
      <c r="T12" s="152">
        <f>IF(ISBLANK(ETPT_TPRX_DDG!$D$5),"",IF(ISERROR(ETPT_TPRX!T12),"",IF(ETPT_TPRX!T12=0,"",ETPT_TPRX!T12)))</f>
      </c>
      <c r="U12" s="152">
        <f>IF(ISBLANK(ETPT_TPRX_DDG!$D$5),"",IF(ISERROR(ETPT_TPRX!U12),"",IF(ETPT_TPRX!U12=0,"",ETPT_TPRX!U12)))</f>
      </c>
      <c r="V12" s="152">
        <f>IF(ISBLANK(ETPT_TPRX_DDG!$D$5),"",IF(ISERROR(ETPT_TPRX!V12),"",IF(ETPT_TPRX!V12=0,"",ETPT_TPRX!V12)))</f>
      </c>
      <c r="W12" s="152">
        <f>IF(ISBLANK(ETPT_TPRX_DDG!$D$5),"",IF(ISERROR(ETPT_TPRX!W12),"",IF(ETPT_TPRX!W12=0,"",ETPT_TPRX!W12)))</f>
      </c>
      <c r="X12" s="152">
        <f>IF(ISBLANK(ETPT_TPRX_DDG!$D$5),"",IF(ISERROR(ETPT_TPRX!X12),"",IF(ETPT_TPRX!X12=0,"",ETPT_TPRX!X12)))</f>
      </c>
      <c r="Y12" s="152">
        <f>IF(ISBLANK(ETPT_TPRX_DDG!$D$5),"",IF(ISERROR(ETPT_TPRX!Y12),"",IF(ETPT_TPRX!Y12=0,"",ETPT_TPRX!Y12)))</f>
      </c>
      <c r="Z12" s="152">
        <f>IF(ISBLANK(ETPT_TPRX_DDG!$D$5),"",IF(ISERROR(ETPT_TPRX!Z12),"",IF(ETPT_TPRX!Z12=0,"",ETPT_TPRX!Z12)))</f>
      </c>
      <c r="AA12" s="152">
        <f>IF(ISBLANK(ETPT_TPRX_DDG!$D$5),"",IF(ISERROR(ETPT_TPRX!AA12),"",IF(ETPT_TPRX!AA12=0,"",ETPT_TPRX!AA12)))</f>
      </c>
      <c r="AB12" s="152">
        <f>IF(ISBLANK(ETPT_TPRX_DDG!$D$5),"",IF(ISERROR(ETPT_TPRX!AB12),"",IF(ETPT_TPRX!AB12=0,"",ETPT_TPRX!AB12)))</f>
      </c>
      <c r="AC12" s="145">
        <f t="shared" si="2"/>
        <v>0</v>
      </c>
      <c r="AD12" s="152">
        <f>IF(ISBLANK(ETPT_TPRX_DDG!$D$5),"",IF(ISERROR(ETPT_TPRX!AD12),"",IF(ETPT_TPRX!AD12=0,"",ETPT_TPRX!AD12)))</f>
      </c>
      <c r="AE12" s="152">
        <f>IF(ISBLANK(ETPT_TPRX_DDG!$D$5),"",IF(ISERROR(ETPT_TPRX!AE12),"",IF(ETPT_TPRX!AE12=0,"",ETPT_TPRX!AE12)))</f>
      </c>
      <c r="AF12" s="152">
        <f>IF(ISBLANK(ETPT_TPRX_DDG!$D$5),"",IF(ISERROR(ETPT_TPRX!AF12),"",IF(ETPT_TPRX!AF12=0,"",ETPT_TPRX!AF12)))</f>
      </c>
      <c r="AG12" s="145">
        <f t="shared" si="3"/>
        <v>0</v>
      </c>
    </row>
    <row r="13" spans="1:33" x14ac:dyDescent="0.25">
      <c r="A13" s="144" t="s">
        <v>4236</v>
      </c>
      <c r="B13" s="115"/>
      <c r="C13" s="115"/>
      <c r="D13" s="115">
        <f t="shared" si="4"/>
      </c>
      <c r="E13" s="115" t="s">
        <v>4183</v>
      </c>
      <c r="F13" s="207" t="s">
        <v>4184</v>
      </c>
      <c r="G13" s="152">
        <f>IF(ISBLANK(ETPT_TPRX_DDG!$D$5),"",IF(ISERROR(ETPT_TPRX!G13),"",IF(ETPT_TPRX!G13=0,"",ETPT_TPRX!G13)))</f>
      </c>
      <c r="H13" s="145">
        <f t="shared" si="0"/>
        <v>0</v>
      </c>
      <c r="I13" s="152">
        <f>IF(ISBLANK(ETPT_TPRX_DDG!$D$5),"",IF(ISERROR(ETPT_TPRX!I13),"",IF(ETPT_TPRX!I13=0,"",ETPT_TPRX!I13)))</f>
      </c>
      <c r="J13" s="152">
        <f>IF(ISBLANK(ETPT_TPRX_DDG!$D$5),"",IF(ISERROR(ETPT_TPRX!J13),"",IF(ETPT_TPRX!J13=0,"",ETPT_TPRX!J13)))</f>
      </c>
      <c r="K13" s="152">
        <f>IF(ISBLANK(ETPT_TPRX_DDG!$D$5),"",IF(ISERROR(ETPT_TPRX!K13),"",IF(ETPT_TPRX!K13=0,"",ETPT_TPRX!K13)))</f>
      </c>
      <c r="L13" s="152">
        <f>IF(ISBLANK(ETPT_TPRX_DDG!$D$5),"",IF(ISERROR(ETPT_TPRX!L13),"",IF(ETPT_TPRX!L13=0,"",ETPT_TPRX!L13)))</f>
      </c>
      <c r="M13" s="152">
        <f>IF(ISBLANK(ETPT_TPRX_DDG!$D$5),"",IF(ISERROR(ETPT_TPRX!M13),"",IF(ETPT_TPRX!M13=0,"",ETPT_TPRX!M13)))</f>
      </c>
      <c r="N13" s="152">
        <f>IF(ISBLANK(ETPT_TPRX_DDG!$D$5),"",IF(ISERROR(ETPT_TPRX!N13),"",IF(ETPT_TPRX!N13=0,"",ETPT_TPRX!N13)))</f>
      </c>
      <c r="O13" s="152">
        <f>IF(ISBLANK(ETPT_TPRX_DDG!$D$5),"",IF(ISERROR(ETPT_TPRX!O13),"",IF(ETPT_TPRX!O13=0,"",ETPT_TPRX!O13)))</f>
      </c>
      <c r="P13" s="152">
        <f>IF(ISBLANK(ETPT_TPRX_DDG!$D$5),"",IF(ISERROR(ETPT_TPRX!P13),"",IF(ETPT_TPRX!P13=0,"",ETPT_TPRX!P13)))</f>
      </c>
      <c r="Q13" s="152">
        <f>IF(ISBLANK(ETPT_TPRX_DDG!$D$5),"",IF(ISERROR(ETPT_TPRX!Q13),"",IF(ETPT_TPRX!Q13=0,"",ETPT_TPRX!Q13)))</f>
      </c>
      <c r="R13" s="152">
        <f>IF(ISBLANK(ETPT_TPRX_DDG!$D$5),"",IF(ISERROR(ETPT_TPRX!R13),"",IF(ETPT_TPRX!R13=0,"",ETPT_TPRX!R13)))</f>
      </c>
      <c r="S13" s="145">
        <f t="shared" si="1"/>
        <v>0</v>
      </c>
      <c r="T13" s="152">
        <f>IF(ISBLANK(ETPT_TPRX_DDG!$D$5),"",IF(ISERROR(ETPT_TPRX!T13),"",IF(ETPT_TPRX!T13=0,"",ETPT_TPRX!T13)))</f>
      </c>
      <c r="U13" s="152">
        <f>IF(ISBLANK(ETPT_TPRX_DDG!$D$5),"",IF(ISERROR(ETPT_TPRX!U13),"",IF(ETPT_TPRX!U13=0,"",ETPT_TPRX!U13)))</f>
      </c>
      <c r="V13" s="152">
        <f>IF(ISBLANK(ETPT_TPRX_DDG!$D$5),"",IF(ISERROR(ETPT_TPRX!V13),"",IF(ETPT_TPRX!V13=0,"",ETPT_TPRX!V13)))</f>
      </c>
      <c r="W13" s="152">
        <f>IF(ISBLANK(ETPT_TPRX_DDG!$D$5),"",IF(ISERROR(ETPT_TPRX!W13),"",IF(ETPT_TPRX!W13=0,"",ETPT_TPRX!W13)))</f>
      </c>
      <c r="X13" s="152">
        <f>IF(ISBLANK(ETPT_TPRX_DDG!$D$5),"",IF(ISERROR(ETPT_TPRX!X13),"",IF(ETPT_TPRX!X13=0,"",ETPT_TPRX!X13)))</f>
      </c>
      <c r="Y13" s="152">
        <f>IF(ISBLANK(ETPT_TPRX_DDG!$D$5),"",IF(ISERROR(ETPT_TPRX!Y13),"",IF(ETPT_TPRX!Y13=0,"",ETPT_TPRX!Y13)))</f>
      </c>
      <c r="Z13" s="152">
        <f>IF(ISBLANK(ETPT_TPRX_DDG!$D$5),"",IF(ISERROR(ETPT_TPRX!Z13),"",IF(ETPT_TPRX!Z13=0,"",ETPT_TPRX!Z13)))</f>
      </c>
      <c r="AA13" s="152">
        <f>IF(ISBLANK(ETPT_TPRX_DDG!$D$5),"",IF(ISERROR(ETPT_TPRX!AA13),"",IF(ETPT_TPRX!AA13=0,"",ETPT_TPRX!AA13)))</f>
      </c>
      <c r="AB13" s="152">
        <f>IF(ISBLANK(ETPT_TPRX_DDG!$D$5),"",IF(ISERROR(ETPT_TPRX!AB13),"",IF(ETPT_TPRX!AB13=0,"",ETPT_TPRX!AB13)))</f>
      </c>
      <c r="AC13" s="145">
        <f t="shared" si="2"/>
        <v>0</v>
      </c>
      <c r="AD13" s="152">
        <f>IF(ISBLANK(ETPT_TPRX_DDG!$D$5),"",IF(ISERROR(ETPT_TPRX!AD13),"",IF(ETPT_TPRX!AD13=0,"",ETPT_TPRX!AD13)))</f>
      </c>
      <c r="AE13" s="152">
        <f>IF(ISBLANK(ETPT_TPRX_DDG!$D$5),"",IF(ISERROR(ETPT_TPRX!AE13),"",IF(ETPT_TPRX!AE13=0,"",ETPT_TPRX!AE13)))</f>
      </c>
      <c r="AF13" s="152">
        <f>IF(ISBLANK(ETPT_TPRX_DDG!$D$5),"",IF(ISERROR(ETPT_TPRX!AF13),"",IF(ETPT_TPRX!AF13=0,"",ETPT_TPRX!AF13)))</f>
      </c>
      <c r="AG13" s="145">
        <f t="shared" si="3"/>
        <v>0</v>
      </c>
    </row>
    <row r="14" spans="1:33" x14ac:dyDescent="0.25">
      <c r="A14" s="144" t="s">
        <v>4236</v>
      </c>
      <c r="B14" s="115"/>
      <c r="C14" s="115"/>
      <c r="D14" s="115">
        <f t="shared" si="4"/>
      </c>
      <c r="E14" s="115" t="s">
        <v>4185</v>
      </c>
      <c r="F14" s="207" t="s">
        <v>4186</v>
      </c>
      <c r="G14" s="152">
        <f>IF(ISBLANK(ETPT_TPRX_DDG!$D$5),"",IF(ISERROR(ETPT_TPRX!G14),"",IF(ETPT_TPRX!G14=0,"",ETPT_TPRX!G14)))</f>
      </c>
      <c r="H14" s="145">
        <f t="shared" si="0"/>
        <v>0</v>
      </c>
      <c r="I14" s="152">
        <f>IF(ISBLANK(ETPT_TPRX_DDG!$D$5),"",IF(ISERROR(ETPT_TPRX!I14),"",IF(ETPT_TPRX!I14=0,"",ETPT_TPRX!I14)))</f>
      </c>
      <c r="J14" s="152">
        <f>IF(ISBLANK(ETPT_TPRX_DDG!$D$5),"",IF(ISERROR(ETPT_TPRX!J14),"",IF(ETPT_TPRX!J14=0,"",ETPT_TPRX!J14)))</f>
      </c>
      <c r="K14" s="152">
        <f>IF(ISBLANK(ETPT_TPRX_DDG!$D$5),"",IF(ISERROR(ETPT_TPRX!K14),"",IF(ETPT_TPRX!K14=0,"",ETPT_TPRX!K14)))</f>
      </c>
      <c r="L14" s="152">
        <f>IF(ISBLANK(ETPT_TPRX_DDG!$D$5),"",IF(ISERROR(ETPT_TPRX!L14),"",IF(ETPT_TPRX!L14=0,"",ETPT_TPRX!L14)))</f>
      </c>
      <c r="M14" s="152">
        <f>IF(ISBLANK(ETPT_TPRX_DDG!$D$5),"",IF(ISERROR(ETPT_TPRX!M14),"",IF(ETPT_TPRX!M14=0,"",ETPT_TPRX!M14)))</f>
      </c>
      <c r="N14" s="152">
        <f>IF(ISBLANK(ETPT_TPRX_DDG!$D$5),"",IF(ISERROR(ETPT_TPRX!N14),"",IF(ETPT_TPRX!N14=0,"",ETPT_TPRX!N14)))</f>
      </c>
      <c r="O14" s="152">
        <f>IF(ISBLANK(ETPT_TPRX_DDG!$D$5),"",IF(ISERROR(ETPT_TPRX!O14),"",IF(ETPT_TPRX!O14=0,"",ETPT_TPRX!O14)))</f>
      </c>
      <c r="P14" s="152">
        <f>IF(ISBLANK(ETPT_TPRX_DDG!$D$5),"",IF(ISERROR(ETPT_TPRX!P14),"",IF(ETPT_TPRX!P14=0,"",ETPT_TPRX!P14)))</f>
      </c>
      <c r="Q14" s="152">
        <f>IF(ISBLANK(ETPT_TPRX_DDG!$D$5),"",IF(ISERROR(ETPT_TPRX!Q14),"",IF(ETPT_TPRX!Q14=0,"",ETPT_TPRX!Q14)))</f>
      </c>
      <c r="R14" s="152">
        <f>IF(ISBLANK(ETPT_TPRX_DDG!$D$5),"",IF(ISERROR(ETPT_TPRX!R14),"",IF(ETPT_TPRX!R14=0,"",ETPT_TPRX!R14)))</f>
      </c>
      <c r="S14" s="145">
        <f t="shared" si="1"/>
        <v>0</v>
      </c>
      <c r="T14" s="152">
        <f>IF(ISBLANK(ETPT_TPRX_DDG!$D$5),"",IF(ISERROR(ETPT_TPRX!T14),"",IF(ETPT_TPRX!T14=0,"",ETPT_TPRX!T14)))</f>
      </c>
      <c r="U14" s="152">
        <f>IF(ISBLANK(ETPT_TPRX_DDG!$D$5),"",IF(ISERROR(ETPT_TPRX!U14),"",IF(ETPT_TPRX!U14=0,"",ETPT_TPRX!U14)))</f>
      </c>
      <c r="V14" s="152">
        <f>IF(ISBLANK(ETPT_TPRX_DDG!$D$5),"",IF(ISERROR(ETPT_TPRX!V14),"",IF(ETPT_TPRX!V14=0,"",ETPT_TPRX!V14)))</f>
      </c>
      <c r="W14" s="152">
        <f>IF(ISBLANK(ETPT_TPRX_DDG!$D$5),"",IF(ISERROR(ETPT_TPRX!W14),"",IF(ETPT_TPRX!W14=0,"",ETPT_TPRX!W14)))</f>
      </c>
      <c r="X14" s="152">
        <f>IF(ISBLANK(ETPT_TPRX_DDG!$D$5),"",IF(ISERROR(ETPT_TPRX!X14),"",IF(ETPT_TPRX!X14=0,"",ETPT_TPRX!X14)))</f>
      </c>
      <c r="Y14" s="152">
        <f>IF(ISBLANK(ETPT_TPRX_DDG!$D$5),"",IF(ISERROR(ETPT_TPRX!Y14),"",IF(ETPT_TPRX!Y14=0,"",ETPT_TPRX!Y14)))</f>
      </c>
      <c r="Z14" s="152">
        <f>IF(ISBLANK(ETPT_TPRX_DDG!$D$5),"",IF(ISERROR(ETPT_TPRX!Z14),"",IF(ETPT_TPRX!Z14=0,"",ETPT_TPRX!Z14)))</f>
      </c>
      <c r="AA14" s="152">
        <f>IF(ISBLANK(ETPT_TPRX_DDG!$D$5),"",IF(ISERROR(ETPT_TPRX!AA14),"",IF(ETPT_TPRX!AA14=0,"",ETPT_TPRX!AA14)))</f>
      </c>
      <c r="AB14" s="152">
        <f>IF(ISBLANK(ETPT_TPRX_DDG!$D$5),"",IF(ISERROR(ETPT_TPRX!AB14),"",IF(ETPT_TPRX!AB14=0,"",ETPT_TPRX!AB14)))</f>
      </c>
      <c r="AC14" s="145">
        <f t="shared" si="2"/>
        <v>0</v>
      </c>
      <c r="AD14" s="152">
        <f>IF(ISBLANK(ETPT_TPRX_DDG!$D$5),"",IF(ISERROR(ETPT_TPRX!AD14),"",IF(ETPT_TPRX!AD14=0,"",ETPT_TPRX!AD14)))</f>
      </c>
      <c r="AE14" s="152">
        <f>IF(ISBLANK(ETPT_TPRX_DDG!$D$5),"",IF(ISERROR(ETPT_TPRX!AE14),"",IF(ETPT_TPRX!AE14=0,"",ETPT_TPRX!AE14)))</f>
      </c>
      <c r="AF14" s="152">
        <f>IF(ISBLANK(ETPT_TPRX_DDG!$D$5),"",IF(ISERROR(ETPT_TPRX!AF14),"",IF(ETPT_TPRX!AF14=0,"",ETPT_TPRX!AF14)))</f>
      </c>
      <c r="AG14" s="145">
        <f t="shared" si="3"/>
        <v>0</v>
      </c>
    </row>
    <row r="15" spans="1:33" x14ac:dyDescent="0.25">
      <c r="A15" s="144" t="s">
        <v>4236</v>
      </c>
      <c r="B15" s="115"/>
      <c r="C15" s="115"/>
      <c r="D15" s="115">
        <f t="shared" si="4"/>
      </c>
      <c r="E15" s="115" t="s">
        <v>4187</v>
      </c>
      <c r="F15" s="207" t="s">
        <v>4188</v>
      </c>
      <c r="G15" s="152">
        <f>IF(ISBLANK(ETPT_TPRX_DDG!$D$5),"",IF(ISERROR(ETPT_TPRX!G15),"",IF(ETPT_TPRX!G15=0,"",ETPT_TPRX!G15)))</f>
      </c>
      <c r="H15" s="145">
        <f t="shared" si="0"/>
        <v>0</v>
      </c>
      <c r="I15" s="152">
        <f>IF(ISBLANK(ETPT_TPRX_DDG!$D$5),"",IF(ISERROR(ETPT_TPRX!I15),"",IF(ETPT_TPRX!I15=0,"",ETPT_TPRX!I15)))</f>
      </c>
      <c r="J15" s="152">
        <f>IF(ISBLANK(ETPT_TPRX_DDG!$D$5),"",IF(ISERROR(ETPT_TPRX!J15),"",IF(ETPT_TPRX!J15=0,"",ETPT_TPRX!J15)))</f>
      </c>
      <c r="K15" s="152">
        <f>IF(ISBLANK(ETPT_TPRX_DDG!$D$5),"",IF(ISERROR(ETPT_TPRX!K15),"",IF(ETPT_TPRX!K15=0,"",ETPT_TPRX!K15)))</f>
      </c>
      <c r="L15" s="152">
        <f>IF(ISBLANK(ETPT_TPRX_DDG!$D$5),"",IF(ISERROR(ETPT_TPRX!L15),"",IF(ETPT_TPRX!L15=0,"",ETPT_TPRX!L15)))</f>
      </c>
      <c r="M15" s="152">
        <f>IF(ISBLANK(ETPT_TPRX_DDG!$D$5),"",IF(ISERROR(ETPT_TPRX!M15),"",IF(ETPT_TPRX!M15=0,"",ETPT_TPRX!M15)))</f>
      </c>
      <c r="N15" s="152">
        <f>IF(ISBLANK(ETPT_TPRX_DDG!$D$5),"",IF(ISERROR(ETPT_TPRX!N15),"",IF(ETPT_TPRX!N15=0,"",ETPT_TPRX!N15)))</f>
      </c>
      <c r="O15" s="152">
        <f>IF(ISBLANK(ETPT_TPRX_DDG!$D$5),"",IF(ISERROR(ETPT_TPRX!O15),"",IF(ETPT_TPRX!O15=0,"",ETPT_TPRX!O15)))</f>
      </c>
      <c r="P15" s="152">
        <f>IF(ISBLANK(ETPT_TPRX_DDG!$D$5),"",IF(ISERROR(ETPT_TPRX!P15),"",IF(ETPT_TPRX!P15=0,"",ETPT_TPRX!P15)))</f>
      </c>
      <c r="Q15" s="152">
        <f>IF(ISBLANK(ETPT_TPRX_DDG!$D$5),"",IF(ISERROR(ETPT_TPRX!Q15),"",IF(ETPT_TPRX!Q15=0,"",ETPT_TPRX!Q15)))</f>
      </c>
      <c r="R15" s="152">
        <f>IF(ISBLANK(ETPT_TPRX_DDG!$D$5),"",IF(ISERROR(ETPT_TPRX!R15),"",IF(ETPT_TPRX!R15=0,"",ETPT_TPRX!R15)))</f>
      </c>
      <c r="S15" s="145">
        <f t="shared" si="1"/>
        <v>0</v>
      </c>
      <c r="T15" s="152">
        <f>IF(ISBLANK(ETPT_TPRX_DDG!$D$5),"",IF(ISERROR(ETPT_TPRX!T15),"",IF(ETPT_TPRX!T15=0,"",ETPT_TPRX!T15)))</f>
      </c>
      <c r="U15" s="152">
        <f>IF(ISBLANK(ETPT_TPRX_DDG!$D$5),"",IF(ISERROR(ETPT_TPRX!U15),"",IF(ETPT_TPRX!U15=0,"",ETPT_TPRX!U15)))</f>
      </c>
      <c r="V15" s="152">
        <f>IF(ISBLANK(ETPT_TPRX_DDG!$D$5),"",IF(ISERROR(ETPT_TPRX!V15),"",IF(ETPT_TPRX!V15=0,"",ETPT_TPRX!V15)))</f>
      </c>
      <c r="W15" s="152">
        <f>IF(ISBLANK(ETPT_TPRX_DDG!$D$5),"",IF(ISERROR(ETPT_TPRX!W15),"",IF(ETPT_TPRX!W15=0,"",ETPT_TPRX!W15)))</f>
      </c>
      <c r="X15" s="152">
        <f>IF(ISBLANK(ETPT_TPRX_DDG!$D$5),"",IF(ISERROR(ETPT_TPRX!X15),"",IF(ETPT_TPRX!X15=0,"",ETPT_TPRX!X15)))</f>
      </c>
      <c r="Y15" s="152">
        <f>IF(ISBLANK(ETPT_TPRX_DDG!$D$5),"",IF(ISERROR(ETPT_TPRX!Y15),"",IF(ETPT_TPRX!Y15=0,"",ETPT_TPRX!Y15)))</f>
      </c>
      <c r="Z15" s="152">
        <f>IF(ISBLANK(ETPT_TPRX_DDG!$D$5),"",IF(ISERROR(ETPT_TPRX!Z15),"",IF(ETPT_TPRX!Z15=0,"",ETPT_TPRX!Z15)))</f>
      </c>
      <c r="AA15" s="152">
        <f>IF(ISBLANK(ETPT_TPRX_DDG!$D$5),"",IF(ISERROR(ETPT_TPRX!AA15),"",IF(ETPT_TPRX!AA15=0,"",ETPT_TPRX!AA15)))</f>
      </c>
      <c r="AB15" s="152">
        <f>IF(ISBLANK(ETPT_TPRX_DDG!$D$5),"",IF(ISERROR(ETPT_TPRX!AB15),"",IF(ETPT_TPRX!AB15=0,"",ETPT_TPRX!AB15)))</f>
      </c>
      <c r="AC15" s="145">
        <f t="shared" si="2"/>
        <v>0</v>
      </c>
      <c r="AD15" s="152">
        <f>IF(ISBLANK(ETPT_TPRX_DDG!$D$5),"",IF(ISERROR(ETPT_TPRX!AD15),"",IF(ETPT_TPRX!AD15=0,"",ETPT_TPRX!AD15)))</f>
      </c>
      <c r="AE15" s="152">
        <f>IF(ISBLANK(ETPT_TPRX_DDG!$D$5),"",IF(ISERROR(ETPT_TPRX!AE15),"",IF(ETPT_TPRX!AE15=0,"",ETPT_TPRX!AE15)))</f>
      </c>
      <c r="AF15" s="152">
        <f>IF(ISBLANK(ETPT_TPRX_DDG!$D$5),"",IF(ISERROR(ETPT_TPRX!AF15),"",IF(ETPT_TPRX!AF15=0,"",ETPT_TPRX!AF15)))</f>
      </c>
      <c r="AG15" s="145">
        <f t="shared" si="3"/>
        <v>0</v>
      </c>
    </row>
    <row r="16" spans="1:33" x14ac:dyDescent="0.25">
      <c r="A16" s="144"/>
      <c r="B16" s="154"/>
      <c r="C16" s="154"/>
      <c r="D16" s="154"/>
      <c r="E16" s="154"/>
      <c r="F16" s="208" t="s">
        <v>4189</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4191</v>
      </c>
      <c r="G18" s="199">
        <f>IF(ISBLANK(ETPT_TPRX_DDG!$D$5),"",IF(ISERROR(ETPT_TPRX!G18),"",IF(ETPT_TPRX!G18=0,"",ETPT_TPRX!G18)))</f>
      </c>
      <c r="H18" s="210"/>
      <c r="I18" s="210"/>
      <c r="J18" s="210"/>
      <c r="K18" s="210"/>
      <c r="L18" s="192"/>
      <c r="M18" s="192"/>
      <c r="N18" s="192"/>
      <c r="O18" s="192"/>
      <c r="P18" s="192"/>
      <c r="Q18" s="200" t="s">
        <v>4192</v>
      </c>
      <c r="R18" s="199">
        <f>IF(ISBLANK(ETPT_TPRX_DDG!$D$5),"",IF(ISERROR(ETPT_TPRX!R18),"",IF(ETPT_TPRX!R18=0,"",ETPT_TPRX!R18)))</f>
      </c>
      <c r="S18" s="192"/>
      <c r="T18" s="192"/>
      <c r="U18" s="192"/>
      <c r="V18" s="192"/>
      <c r="W18" s="192"/>
      <c r="X18" s="192"/>
      <c r="Y18" s="192"/>
      <c r="Z18" s="192"/>
      <c r="AA18" s="192"/>
      <c r="AB18" s="192"/>
      <c r="AC18" s="192"/>
      <c r="AD18" s="210"/>
      <c r="AE18" s="200" t="s">
        <v>4193</v>
      </c>
      <c r="AF18" s="199">
        <f>IF(ISBLANK(ETPT_TPRX_DDG!$D$5),"",IF(ISERROR(ETPT_TPRX!AF18),"",IF(ETPT_TPRX!AF18=0,"",ETPT_TPRX!AF18)))</f>
      </c>
      <c r="AG18" s="192"/>
    </row>
    <row r="20" spans="5:11" x14ac:dyDescent="0.25">
      <c r="E20" s="211" t="s">
        <v>4278</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4279</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5" sqref="D5"/>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4243</v>
      </c>
      <c r="B1" s="42"/>
      <c r="C1" s="42"/>
      <c r="D1" s="41" t="s">
        <v>4280</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2"/>
      <c r="B2" s="162"/>
      <c r="C2" s="162"/>
      <c r="D2" s="162"/>
      <c r="E2" s="162"/>
      <c r="F2" s="162"/>
      <c r="G2" s="95" t="s">
        <v>4063</v>
      </c>
      <c r="H2" s="96" t="s">
        <v>4064</v>
      </c>
    </row>
    <row r="3" ht="36" customHeight="1" hidden="1" spans="1:8" x14ac:dyDescent="0.25">
      <c r="A3" s="162"/>
      <c r="B3" s="162"/>
      <c r="C3" s="162"/>
      <c r="D3" s="162"/>
      <c r="E3" s="162"/>
      <c r="F3" s="162"/>
      <c r="G3" s="95" t="s">
        <v>4084</v>
      </c>
      <c r="H3" s="96"/>
    </row>
    <row r="4" ht="36" customHeight="1" spans="1:8" x14ac:dyDescent="0.25">
      <c r="A4" s="163"/>
      <c r="B4" s="164" t="s">
        <v>4114</v>
      </c>
      <c r="C4" s="164" t="s">
        <v>4115</v>
      </c>
      <c r="D4" s="164" t="s">
        <v>37</v>
      </c>
      <c r="E4" s="164" t="s">
        <v>4116</v>
      </c>
      <c r="F4" s="164" t="s">
        <v>4117</v>
      </c>
      <c r="G4" s="95" t="s">
        <v>4132</v>
      </c>
      <c r="H4" s="96"/>
    </row>
    <row r="5" spans="1:8" x14ac:dyDescent="0.25">
      <c r="A5" s="165" t="s">
        <v>4242</v>
      </c>
      <c r="B5" s="166"/>
      <c r="C5" s="166"/>
      <c r="D5" s="212" t="s">
        <v>3015</v>
      </c>
      <c r="E5" s="166" t="s">
        <v>4164</v>
      </c>
      <c r="F5" s="183" t="s">
        <v>4165</v>
      </c>
      <c r="G5" s="153">
        <f>IF(ISBLANK(ETPT_CPH_DDG!$D$5),"",IF(ISERROR(ETPT_CPH!G5),"",IF(ETPT_CPH!G5=0,"",ETPT_CPH!G5)))</f>
      </c>
      <c r="H5" s="213">
        <f t="shared" ref="H5:H13" si="0">SUM(G5)</f>
        <v>0</v>
      </c>
    </row>
    <row r="6" spans="1:8" x14ac:dyDescent="0.25">
      <c r="A6" s="165" t="s">
        <v>4242</v>
      </c>
      <c r="B6" s="166"/>
      <c r="C6" s="166"/>
      <c r="D6" s="115">
        <f t="shared" ref="D6:D13" si="1">IF(ISBLANK($D$5),"",$D$5)</f>
      </c>
      <c r="E6" s="166" t="s">
        <v>4173</v>
      </c>
      <c r="F6" s="183" t="s">
        <v>4174</v>
      </c>
      <c r="G6" s="153">
        <f>IF(ISBLANK(ETPT_CPH_DDG!$D$5),"",IF(ISERROR(ETPT_CPH!G6),"",IF(ETPT_CPH!G6=0,"",ETPT_CPH!G6)))</f>
      </c>
      <c r="H6" s="213">
        <f t="shared" si="0"/>
        <v>0</v>
      </c>
    </row>
    <row r="7" spans="1:8" x14ac:dyDescent="0.25">
      <c r="A7" s="165" t="s">
        <v>4242</v>
      </c>
      <c r="B7" s="166"/>
      <c r="C7" s="166"/>
      <c r="D7" s="115">
        <f t="shared" si="1"/>
      </c>
      <c r="E7" s="166" t="s">
        <v>4175</v>
      </c>
      <c r="F7" s="183" t="s">
        <v>4176</v>
      </c>
      <c r="G7" s="153">
        <f>IF(ISBLANK(ETPT_CPH_DDG!$D$5),"",IF(ISERROR(ETPT_CPH!G7),"",IF(ETPT_CPH!G7=0,"",ETPT_CPH!G7)))</f>
      </c>
      <c r="H7" s="213">
        <f t="shared" si="0"/>
        <v>0</v>
      </c>
    </row>
    <row r="8" spans="1:8" x14ac:dyDescent="0.25">
      <c r="A8" s="165" t="s">
        <v>4242</v>
      </c>
      <c r="B8" s="166"/>
      <c r="C8" s="166"/>
      <c r="D8" s="115">
        <f t="shared" si="1"/>
      </c>
      <c r="E8" s="166" t="s">
        <v>4177</v>
      </c>
      <c r="F8" s="183" t="s">
        <v>4178</v>
      </c>
      <c r="G8" s="153">
        <f>IF(ISBLANK(ETPT_CPH_DDG!$D$5),"",IF(ISERROR(ETPT_CPH!G8),"",IF(ETPT_CPH!G8=0,"",ETPT_CPH!G8)))</f>
      </c>
      <c r="H8" s="213">
        <f t="shared" si="0"/>
        <v>0</v>
      </c>
    </row>
    <row r="9" spans="1:8" x14ac:dyDescent="0.25">
      <c r="A9" s="165" t="s">
        <v>4242</v>
      </c>
      <c r="B9" s="166"/>
      <c r="C9" s="166"/>
      <c r="D9" s="115">
        <f t="shared" si="1"/>
      </c>
      <c r="E9" s="166" t="s">
        <v>4179</v>
      </c>
      <c r="F9" s="183" t="s">
        <v>4180</v>
      </c>
      <c r="G9" s="153">
        <f>IF(ISBLANK(ETPT_CPH_DDG!$D$5),"",IF(ISERROR(ETPT_CPH!G9),"",IF(ETPT_CPH!G9=0,"",ETPT_CPH!G9)))</f>
      </c>
      <c r="H9" s="213">
        <f t="shared" si="0"/>
        <v>0</v>
      </c>
    </row>
    <row r="10" spans="1:8" x14ac:dyDescent="0.25">
      <c r="A10" s="165" t="s">
        <v>4242</v>
      </c>
      <c r="B10" s="166"/>
      <c r="C10" s="166"/>
      <c r="D10" s="115">
        <f t="shared" si="1"/>
      </c>
      <c r="E10" s="166" t="s">
        <v>4181</v>
      </c>
      <c r="F10" s="183" t="s">
        <v>4182</v>
      </c>
      <c r="G10" s="153">
        <f>IF(ISBLANK(ETPT_CPH_DDG!$D$5),"",IF(ISERROR(ETPT_CPH!G10),"",IF(ETPT_CPH!G10=0,"",ETPT_CPH!G10)))</f>
      </c>
      <c r="H10" s="213">
        <f t="shared" si="0"/>
        <v>0</v>
      </c>
    </row>
    <row r="11" spans="1:8" x14ac:dyDescent="0.25">
      <c r="A11" s="165" t="s">
        <v>4242</v>
      </c>
      <c r="B11" s="166"/>
      <c r="C11" s="166"/>
      <c r="D11" s="115">
        <f t="shared" si="1"/>
      </c>
      <c r="E11" s="166" t="s">
        <v>4183</v>
      </c>
      <c r="F11" s="183" t="s">
        <v>4184</v>
      </c>
      <c r="G11" s="153">
        <f>IF(ISBLANK(ETPT_CPH_DDG!$D$5),"",IF(ISERROR(ETPT_CPH!G11),"",IF(ETPT_CPH!G11=0,"",ETPT_CPH!G11)))</f>
      </c>
      <c r="H11" s="213">
        <f t="shared" si="0"/>
        <v>0</v>
      </c>
    </row>
    <row r="12" spans="1:8" x14ac:dyDescent="0.25">
      <c r="A12" s="165" t="s">
        <v>4242</v>
      </c>
      <c r="B12" s="166"/>
      <c r="C12" s="166"/>
      <c r="D12" s="115">
        <f t="shared" si="1"/>
      </c>
      <c r="E12" s="166" t="s">
        <v>4185</v>
      </c>
      <c r="F12" s="183" t="s">
        <v>4186</v>
      </c>
      <c r="G12" s="153">
        <f>IF(ISBLANK(ETPT_CPH_DDG!$D$5),"",IF(ISERROR(ETPT_CPH!G12),"",IF(ETPT_CPH!G12=0,"",ETPT_CPH!G12)))</f>
      </c>
      <c r="H12" s="213">
        <f t="shared" si="0"/>
        <v>0</v>
      </c>
    </row>
    <row r="13" spans="1:8" x14ac:dyDescent="0.25">
      <c r="A13" s="165" t="s">
        <v>4242</v>
      </c>
      <c r="B13" s="166"/>
      <c r="C13" s="166"/>
      <c r="D13" s="115">
        <f t="shared" si="1"/>
      </c>
      <c r="E13" s="166" t="s">
        <v>4187</v>
      </c>
      <c r="F13" s="183" t="s">
        <v>4188</v>
      </c>
      <c r="G13" s="153">
        <f>IF(ISBLANK(ETPT_CPH_DDG!$D$5),"",IF(ISERROR(ETPT_CPH!G13),"",IF(ETPT_CPH!G13=0,"",ETPT_CPH!G13)))</f>
      </c>
      <c r="H13" s="213">
        <f t="shared" si="0"/>
        <v>0</v>
      </c>
    </row>
    <row r="14" spans="1:8" x14ac:dyDescent="0.25">
      <c r="A14" s="173"/>
      <c r="B14" s="115"/>
      <c r="C14" s="115"/>
      <c r="D14" s="115"/>
      <c r="E14" s="154"/>
      <c r="F14" s="214" t="s">
        <v>4189</v>
      </c>
      <c r="G14" s="213">
        <f>SUM(G5:G13)</f>
        <v>0</v>
      </c>
      <c r="H14" s="213">
        <f>SUM(H5:H13)</f>
        <v>0</v>
      </c>
    </row>
    <row r="16" spans="5:10" x14ac:dyDescent="0.25">
      <c r="E16" s="211" t="s">
        <v>4278</v>
      </c>
      <c r="F16" s="1"/>
      <c r="G16" s="1"/>
      <c r="H16" s="1"/>
      <c r="I16" s="1"/>
      <c r="J16" s="1"/>
    </row>
    <row r="17" ht="17" customHeight="1" spans="4:10" x14ac:dyDescent="0.25">
      <c r="D17" s="211"/>
      <c r="F17" s="1"/>
      <c r="G17" s="1"/>
      <c r="H17" s="1"/>
      <c r="I17" s="1"/>
      <c r="J17" s="1"/>
    </row>
    <row r="18" ht="91" customHeight="1" spans="4:11" x14ac:dyDescent="0.25">
      <c r="D18" s="211"/>
      <c r="E18" s="202" t="s">
        <v>4281</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"24FB8BB550"</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3" t="s">
        <v>4194</v>
      </c>
      <c r="B1" s="273"/>
      <c r="C1" s="273"/>
      <c r="D1" s="273"/>
      <c r="E1" s="273"/>
      <c r="F1" s="273"/>
      <c r="G1" s="274"/>
      <c r="H1" s="274"/>
      <c r="I1" s="274"/>
      <c r="J1" s="274"/>
      <c r="K1" s="274"/>
      <c r="L1" s="274"/>
      <c r="M1" s="274"/>
      <c r="N1" s="274"/>
      <c r="O1" s="274"/>
      <c r="P1" s="274"/>
      <c r="Q1" s="274"/>
      <c r="R1" s="274"/>
      <c r="S1" s="274"/>
      <c r="T1" s="274"/>
    </row>
    <row r="2" ht="15" customHeight="1" spans="1:20" x14ac:dyDescent="0.25">
      <c r="A2" s="275"/>
      <c r="B2" s="275"/>
      <c r="C2" s="275"/>
      <c r="D2" s="275"/>
      <c r="E2" s="275"/>
      <c r="F2" s="275"/>
      <c r="G2" s="143" t="s">
        <v>4065</v>
      </c>
      <c r="H2" s="143" t="s">
        <v>4065</v>
      </c>
      <c r="I2" s="143" t="s">
        <v>4065</v>
      </c>
      <c r="J2" s="143" t="s">
        <v>4065</v>
      </c>
      <c r="K2" s="143" t="s">
        <v>4065</v>
      </c>
      <c r="L2" s="143" t="s">
        <v>4065</v>
      </c>
      <c r="M2" s="143" t="s">
        <v>4065</v>
      </c>
      <c r="N2" s="143" t="s">
        <v>4065</v>
      </c>
      <c r="O2" s="143" t="s">
        <v>4065</v>
      </c>
      <c r="P2" s="276" t="s">
        <v>4195</v>
      </c>
      <c r="Q2" s="143" t="s">
        <v>4196</v>
      </c>
      <c r="R2" s="143" t="s">
        <v>4196</v>
      </c>
      <c r="S2" s="143" t="s">
        <v>4196</v>
      </c>
      <c r="T2" s="276" t="s">
        <v>4197</v>
      </c>
    </row>
    <row r="3" ht="24" customHeight="1" spans="1:20" x14ac:dyDescent="0.25">
      <c r="A3" s="275"/>
      <c r="B3" s="275"/>
      <c r="C3" s="275"/>
      <c r="D3" s="275"/>
      <c r="E3" s="275"/>
      <c r="F3" s="275"/>
      <c r="G3" s="143" t="s">
        <v>4207</v>
      </c>
      <c r="H3" s="143" t="s">
        <v>4208</v>
      </c>
      <c r="I3" s="143" t="s">
        <v>4209</v>
      </c>
      <c r="J3" s="143" t="s">
        <v>4210</v>
      </c>
      <c r="K3" s="143" t="s">
        <v>4211</v>
      </c>
      <c r="L3" s="143" t="s">
        <v>4212</v>
      </c>
      <c r="M3" s="143" t="s">
        <v>4213</v>
      </c>
      <c r="N3" s="143" t="s">
        <v>4214</v>
      </c>
      <c r="O3" s="143" t="s">
        <v>4215</v>
      </c>
      <c r="P3" s="276"/>
      <c r="Q3" s="143" t="s">
        <v>4216</v>
      </c>
      <c r="R3" s="143" t="s">
        <v>4098</v>
      </c>
      <c r="S3" s="143" t="s">
        <v>4104</v>
      </c>
      <c r="T3" s="276"/>
    </row>
    <row r="4" ht="60" customHeight="1" spans="1:20" x14ac:dyDescent="0.25">
      <c r="A4" s="275"/>
      <c r="B4" s="277" t="s">
        <v>4114</v>
      </c>
      <c r="C4" s="277" t="s">
        <v>4115</v>
      </c>
      <c r="D4" s="277" t="s">
        <v>37</v>
      </c>
      <c r="E4" s="277" t="s">
        <v>4116</v>
      </c>
      <c r="F4" s="277" t="s">
        <v>4117</v>
      </c>
      <c r="G4" s="143" t="s">
        <v>4226</v>
      </c>
      <c r="H4" s="143" t="s">
        <v>4227</v>
      </c>
      <c r="I4" s="143" t="s">
        <v>4228</v>
      </c>
      <c r="J4" s="143" t="s">
        <v>4229</v>
      </c>
      <c r="K4" s="143" t="s">
        <v>4230</v>
      </c>
      <c r="L4" s="143" t="s">
        <v>4231</v>
      </c>
      <c r="M4" s="143" t="s">
        <v>4232</v>
      </c>
      <c r="N4" s="143" t="s">
        <v>4233</v>
      </c>
      <c r="O4" s="143" t="s">
        <v>4234</v>
      </c>
      <c r="P4" s="276"/>
      <c r="Q4" s="143" t="s">
        <v>4235</v>
      </c>
      <c r="R4" s="143" t="s">
        <v>4147</v>
      </c>
      <c r="S4" s="143" t="s">
        <v>4153</v>
      </c>
      <c r="T4" s="276"/>
    </row>
    <row r="5" ht="204" customHeight="1" spans="1:20" x14ac:dyDescent="0.25">
      <c r="A5" s="278" t="s">
        <v>4236</v>
      </c>
      <c r="B5" s="279"/>
      <c r="C5" s="279"/>
      <c r="D5" s="279"/>
      <c r="E5" s="279" t="s">
        <v>4164</v>
      </c>
      <c r="F5" s="279" t="s">
        <v>4165</v>
      </c>
      <c r="G5" s="280"/>
      <c r="H5" s="252" t="s">
        <v>4401</v>
      </c>
      <c r="I5" s="252" t="s">
        <v>4402</v>
      </c>
      <c r="J5" s="252" t="s">
        <v>4403</v>
      </c>
      <c r="K5" s="281" t="s">
        <v>4404</v>
      </c>
      <c r="L5" s="281" t="s">
        <v>4404</v>
      </c>
      <c r="M5" s="281"/>
      <c r="N5" s="281"/>
      <c r="O5" s="281" t="s">
        <v>4405</v>
      </c>
      <c r="P5" s="282">
        <f t="shared" ref="P5:P15" si="0">SUM(G5:O5)</f>
        <v>0</v>
      </c>
      <c r="Q5" s="281" t="s">
        <v>4406</v>
      </c>
      <c r="R5" s="252" t="s">
        <v>4407</v>
      </c>
      <c r="S5" s="281" t="s">
        <v>4408</v>
      </c>
      <c r="T5" s="282">
        <f t="shared" ref="T5:T15" si="1">SUM(Q5:S5)</f>
        <v>0</v>
      </c>
    </row>
    <row r="6" ht="228" customHeight="1" spans="1:20" x14ac:dyDescent="0.25">
      <c r="A6" s="278" t="s">
        <v>4236</v>
      </c>
      <c r="B6" s="279"/>
      <c r="C6" s="279"/>
      <c r="D6" s="279"/>
      <c r="E6" s="279" t="s">
        <v>4166</v>
      </c>
      <c r="F6" s="279" t="s">
        <v>4167</v>
      </c>
      <c r="G6" s="280"/>
      <c r="H6" s="283"/>
      <c r="I6" s="283"/>
      <c r="J6" s="283"/>
      <c r="K6" s="283"/>
      <c r="L6" s="283"/>
      <c r="M6" s="281" t="s">
        <v>4409</v>
      </c>
      <c r="N6" s="281" t="s">
        <v>4410</v>
      </c>
      <c r="O6" s="281" t="s">
        <v>4405</v>
      </c>
      <c r="P6" s="282">
        <f t="shared" si="0"/>
        <v>0</v>
      </c>
      <c r="Q6" s="281" t="s">
        <v>4411</v>
      </c>
      <c r="R6" s="283"/>
      <c r="S6" s="281"/>
      <c r="T6" s="282">
        <f t="shared" si="1"/>
        <v>0</v>
      </c>
    </row>
    <row r="7" ht="108" customHeight="1" spans="1:20" x14ac:dyDescent="0.25">
      <c r="A7" s="278" t="s">
        <v>4236</v>
      </c>
      <c r="B7" s="279"/>
      <c r="C7" s="279"/>
      <c r="D7" s="279"/>
      <c r="E7" s="279" t="s">
        <v>4169</v>
      </c>
      <c r="F7" s="279" t="s">
        <v>4170</v>
      </c>
      <c r="G7" s="280"/>
      <c r="H7" s="283"/>
      <c r="I7" s="283"/>
      <c r="J7" s="283"/>
      <c r="K7" s="283"/>
      <c r="L7" s="283"/>
      <c r="M7" s="283"/>
      <c r="N7" s="284"/>
      <c r="O7" s="285"/>
      <c r="P7" s="282">
        <f>SUM(G7:O7)</f>
        <v>0</v>
      </c>
      <c r="Q7" s="283"/>
      <c r="R7" s="283"/>
      <c r="S7" s="252" t="s">
        <v>4412</v>
      </c>
      <c r="T7" s="282">
        <f>SUM(Q7:S7)</f>
        <v>0</v>
      </c>
    </row>
    <row r="8" ht="120" customHeight="1" spans="1:20" x14ac:dyDescent="0.25">
      <c r="A8" s="278" t="s">
        <v>4236</v>
      </c>
      <c r="B8" s="279"/>
      <c r="C8" s="279"/>
      <c r="D8" s="279"/>
      <c r="E8" s="279" t="s">
        <v>4173</v>
      </c>
      <c r="F8" s="279" t="s">
        <v>4174</v>
      </c>
      <c r="G8" s="280"/>
      <c r="H8" s="283"/>
      <c r="I8" s="283"/>
      <c r="J8" s="283"/>
      <c r="K8" s="283"/>
      <c r="L8" s="283"/>
      <c r="M8" s="283"/>
      <c r="N8" s="283"/>
      <c r="O8" s="283"/>
      <c r="P8" s="282">
        <f t="shared" si="0"/>
        <v>0</v>
      </c>
      <c r="Q8" s="283"/>
      <c r="R8" s="252"/>
      <c r="S8" s="252" t="s">
        <v>4413</v>
      </c>
      <c r="T8" s="282">
        <f>SUM(Q8:R8)</f>
        <v>0</v>
      </c>
    </row>
    <row r="9" ht="168" customHeight="1" spans="1:20" x14ac:dyDescent="0.25">
      <c r="A9" s="278" t="s">
        <v>4236</v>
      </c>
      <c r="B9" s="279"/>
      <c r="C9" s="279"/>
      <c r="D9" s="279"/>
      <c r="E9" s="279" t="s">
        <v>4175</v>
      </c>
      <c r="F9" s="279" t="s">
        <v>4176</v>
      </c>
      <c r="G9" s="280"/>
      <c r="H9" s="283"/>
      <c r="I9" s="283"/>
      <c r="J9" s="283"/>
      <c r="K9" s="283"/>
      <c r="L9" s="283"/>
      <c r="M9" s="283"/>
      <c r="N9" s="283"/>
      <c r="O9" s="283"/>
      <c r="P9" s="282">
        <f t="shared" si="0"/>
        <v>0</v>
      </c>
      <c r="Q9" s="283"/>
      <c r="R9" s="252"/>
      <c r="S9" s="252" t="s">
        <v>4414</v>
      </c>
      <c r="T9" s="282">
        <f>SUM(Q9:R9)</f>
        <v>0</v>
      </c>
    </row>
    <row r="10" ht="120" customHeight="1" spans="1:20" x14ac:dyDescent="0.25">
      <c r="A10" s="278" t="s">
        <v>4236</v>
      </c>
      <c r="B10" s="279"/>
      <c r="C10" s="279"/>
      <c r="D10" s="279"/>
      <c r="E10" s="279" t="s">
        <v>4177</v>
      </c>
      <c r="F10" s="279" t="s">
        <v>4178</v>
      </c>
      <c r="G10" s="280"/>
      <c r="H10" s="283"/>
      <c r="I10" s="283"/>
      <c r="J10" s="283"/>
      <c r="K10" s="283"/>
      <c r="L10" s="283"/>
      <c r="M10" s="283"/>
      <c r="N10" s="283"/>
      <c r="O10" s="283"/>
      <c r="P10" s="282">
        <f t="shared" si="0"/>
        <v>0</v>
      </c>
      <c r="Q10" s="283"/>
      <c r="R10" s="283"/>
      <c r="S10" s="252" t="s">
        <v>4415</v>
      </c>
      <c r="T10" s="282">
        <f t="shared" si="1"/>
        <v>0</v>
      </c>
    </row>
    <row r="11" ht="120" customHeight="1" spans="1:20" x14ac:dyDescent="0.25">
      <c r="A11" s="278" t="s">
        <v>4236</v>
      </c>
      <c r="B11" s="279"/>
      <c r="C11" s="279"/>
      <c r="D11" s="279"/>
      <c r="E11" s="279" t="s">
        <v>4179</v>
      </c>
      <c r="F11" s="279" t="s">
        <v>4180</v>
      </c>
      <c r="G11" s="280"/>
      <c r="H11" s="283"/>
      <c r="I11" s="283"/>
      <c r="J11" s="283"/>
      <c r="K11" s="283"/>
      <c r="L11" s="283"/>
      <c r="M11" s="283"/>
      <c r="N11" s="283"/>
      <c r="O11" s="283"/>
      <c r="P11" s="282">
        <f t="shared" si="0"/>
        <v>0</v>
      </c>
      <c r="Q11" s="283"/>
      <c r="R11" s="252"/>
      <c r="S11" s="252" t="s">
        <v>4416</v>
      </c>
      <c r="T11" s="282">
        <f>SUM(Q11:R11)</f>
        <v>0</v>
      </c>
    </row>
    <row r="12" ht="180" customHeight="1" spans="1:20" x14ac:dyDescent="0.25">
      <c r="A12" s="278" t="s">
        <v>4236</v>
      </c>
      <c r="B12" s="279"/>
      <c r="C12" s="279"/>
      <c r="D12" s="279"/>
      <c r="E12" s="279" t="s">
        <v>4181</v>
      </c>
      <c r="F12" s="279" t="s">
        <v>4182</v>
      </c>
      <c r="G12" s="280"/>
      <c r="H12" s="283"/>
      <c r="I12" s="283"/>
      <c r="J12" s="283"/>
      <c r="K12" s="283"/>
      <c r="L12" s="283"/>
      <c r="M12" s="283"/>
      <c r="N12" s="283"/>
      <c r="O12" s="283"/>
      <c r="P12" s="282">
        <f t="shared" si="0"/>
        <v>0</v>
      </c>
      <c r="Q12" s="283"/>
      <c r="R12" s="283"/>
      <c r="S12" s="252" t="s">
        <v>4417</v>
      </c>
      <c r="T12" s="282">
        <f t="shared" si="1"/>
        <v>0</v>
      </c>
    </row>
    <row r="13" ht="144" customHeight="1" spans="1:20" x14ac:dyDescent="0.25">
      <c r="A13" s="278" t="s">
        <v>4236</v>
      </c>
      <c r="B13" s="279"/>
      <c r="C13" s="279"/>
      <c r="D13" s="279"/>
      <c r="E13" s="279" t="s">
        <v>4183</v>
      </c>
      <c r="F13" s="279" t="s">
        <v>4184</v>
      </c>
      <c r="G13" s="286" t="s">
        <v>4418</v>
      </c>
      <c r="H13" s="283"/>
      <c r="I13" s="283"/>
      <c r="J13" s="283"/>
      <c r="K13" s="283"/>
      <c r="L13" s="283"/>
      <c r="M13" s="283"/>
      <c r="N13" s="283"/>
      <c r="O13" s="283"/>
      <c r="P13" s="282">
        <f t="shared" si="0"/>
        <v>0</v>
      </c>
      <c r="Q13" s="283"/>
      <c r="R13" s="283"/>
      <c r="S13" s="252" t="s">
        <v>4419</v>
      </c>
      <c r="T13" s="282">
        <f t="shared" si="1"/>
        <v>0</v>
      </c>
    </row>
    <row r="14" ht="240" customHeight="1" spans="1:20" x14ac:dyDescent="0.25">
      <c r="A14" s="278" t="s">
        <v>4236</v>
      </c>
      <c r="B14" s="279"/>
      <c r="C14" s="279"/>
      <c r="D14" s="279"/>
      <c r="E14" s="279" t="s">
        <v>4185</v>
      </c>
      <c r="F14" s="279" t="s">
        <v>4186</v>
      </c>
      <c r="G14" s="286" t="s">
        <v>4420</v>
      </c>
      <c r="H14" s="252" t="s">
        <v>4421</v>
      </c>
      <c r="I14" s="252" t="s">
        <v>4422</v>
      </c>
      <c r="J14" s="252" t="s">
        <v>4423</v>
      </c>
      <c r="K14" s="287"/>
      <c r="L14" s="287"/>
      <c r="M14" s="283"/>
      <c r="N14" s="283"/>
      <c r="O14" s="283"/>
      <c r="P14" s="282">
        <f t="shared" si="0"/>
        <v>0</v>
      </c>
      <c r="Q14" s="283"/>
      <c r="R14" s="252" t="s">
        <v>4424</v>
      </c>
      <c r="S14" s="252" t="s">
        <v>4425</v>
      </c>
      <c r="T14" s="282">
        <f t="shared" si="1"/>
        <v>0</v>
      </c>
    </row>
    <row r="15" ht="240" customHeight="1" spans="1:20" x14ac:dyDescent="0.25">
      <c r="A15" s="278" t="s">
        <v>4236</v>
      </c>
      <c r="B15" s="279"/>
      <c r="C15" s="279"/>
      <c r="D15" s="279"/>
      <c r="E15" s="279" t="s">
        <v>4187</v>
      </c>
      <c r="F15" s="279" t="s">
        <v>4188</v>
      </c>
      <c r="G15" s="286" t="s">
        <v>4426</v>
      </c>
      <c r="H15" s="252" t="s">
        <v>4427</v>
      </c>
      <c r="I15" s="252" t="s">
        <v>4428</v>
      </c>
      <c r="J15" s="252" t="s">
        <v>4429</v>
      </c>
      <c r="K15" s="287"/>
      <c r="L15" s="287"/>
      <c r="M15" s="283"/>
      <c r="N15" s="283"/>
      <c r="O15" s="283"/>
      <c r="P15" s="282">
        <f t="shared" si="0"/>
        <v>0</v>
      </c>
      <c r="Q15" s="283"/>
      <c r="R15" s="252" t="s">
        <v>4430</v>
      </c>
      <c r="S15" s="252" t="s">
        <v>4431</v>
      </c>
      <c r="T15" s="282">
        <f t="shared" si="1"/>
        <v>0</v>
      </c>
    </row>
    <row r="16" spans="1:20" x14ac:dyDescent="0.25">
      <c r="A16" s="278"/>
      <c r="B16" s="288"/>
      <c r="C16" s="288"/>
      <c r="D16" s="288"/>
      <c r="E16" s="288"/>
      <c r="F16" s="289" t="s">
        <v>4189</v>
      </c>
      <c r="G16" s="290">
        <f t="shared" ref="G16:T16" si="2">SUM(G5:G15)</f>
        <v>0</v>
      </c>
      <c r="H16" s="290">
        <f t="shared" si="2"/>
        <v>0</v>
      </c>
      <c r="I16" s="290">
        <f t="shared" si="2"/>
        <v>0</v>
      </c>
      <c r="J16" s="290">
        <f t="shared" si="2"/>
        <v>0</v>
      </c>
      <c r="K16" s="290">
        <f t="shared" si="2"/>
        <v>0</v>
      </c>
      <c r="L16" s="290">
        <f t="shared" si="2"/>
        <v>0</v>
      </c>
      <c r="M16" s="290">
        <f t="shared" si="2"/>
        <v>0</v>
      </c>
      <c r="N16" s="290">
        <f t="shared" si="2"/>
        <v>0</v>
      </c>
      <c r="O16" s="290">
        <f t="shared" si="2"/>
        <v>0</v>
      </c>
      <c r="P16" s="290">
        <f t="shared" si="2"/>
        <v>0</v>
      </c>
      <c r="Q16" s="290">
        <f t="shared" si="2"/>
        <v>0</v>
      </c>
      <c r="R16" s="290">
        <f t="shared" si="2"/>
        <v>0</v>
      </c>
      <c r="S16" s="290">
        <f t="shared" si="2"/>
        <v>0</v>
      </c>
      <c r="T16" s="290">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1"/>
      <c r="R19" s="272" t="s">
        <v>4193</v>
      </c>
      <c r="S19" s="252" t="s">
        <v>4400</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2"/>
      <c r="B1" s="293" t="s">
        <v>4060</v>
      </c>
      <c r="C1" s="293"/>
      <c r="D1" s="293"/>
      <c r="E1" s="293"/>
      <c r="F1" s="293"/>
      <c r="G1" s="293"/>
      <c r="H1" s="293"/>
      <c r="I1" s="293"/>
      <c r="J1" s="294"/>
      <c r="K1" s="294"/>
      <c r="L1" s="294"/>
      <c r="M1" s="294"/>
      <c r="N1" s="294"/>
      <c r="O1" s="294"/>
      <c r="P1" s="294"/>
      <c r="Q1" s="294"/>
      <c r="R1" s="294"/>
      <c r="S1" s="294"/>
      <c r="T1" s="294"/>
      <c r="U1" s="294"/>
      <c r="V1" s="294"/>
      <c r="W1" s="294"/>
    </row>
    <row r="2" ht="28" customHeight="1" spans="1:23" x14ac:dyDescent="0.25">
      <c r="A2" s="295"/>
      <c r="B2" s="295"/>
      <c r="C2" s="295"/>
      <c r="D2" s="295"/>
      <c r="E2" s="295"/>
      <c r="F2" s="295"/>
      <c r="G2" s="296" t="s">
        <v>4061</v>
      </c>
      <c r="H2" s="297" t="s">
        <v>4062</v>
      </c>
      <c r="I2" s="296" t="s">
        <v>4063</v>
      </c>
      <c r="J2" s="296" t="s">
        <v>4063</v>
      </c>
      <c r="K2" s="296" t="s">
        <v>4063</v>
      </c>
      <c r="L2" s="296" t="s">
        <v>4063</v>
      </c>
      <c r="M2" s="296" t="s">
        <v>4063</v>
      </c>
      <c r="N2" s="296" t="s">
        <v>4063</v>
      </c>
      <c r="O2" s="296" t="s">
        <v>4063</v>
      </c>
      <c r="P2" s="296" t="s">
        <v>4063</v>
      </c>
      <c r="Q2" s="296" t="s">
        <v>4063</v>
      </c>
      <c r="R2" s="296" t="s">
        <v>4063</v>
      </c>
      <c r="S2" s="296" t="s">
        <v>4063</v>
      </c>
      <c r="T2" s="296" t="s">
        <v>4063</v>
      </c>
      <c r="U2" s="296" t="s">
        <v>4063</v>
      </c>
      <c r="V2" s="296" t="s">
        <v>4063</v>
      </c>
      <c r="W2" s="297" t="s">
        <v>4064</v>
      </c>
    </row>
    <row r="3" ht="56" customHeight="1" spans="1:23" x14ac:dyDescent="0.25">
      <c r="A3" s="295"/>
      <c r="B3" s="295"/>
      <c r="C3" s="295"/>
      <c r="D3" s="295"/>
      <c r="E3" s="295"/>
      <c r="F3" s="295"/>
      <c r="G3" s="296" t="s">
        <v>4071</v>
      </c>
      <c r="H3" s="297"/>
      <c r="I3" s="296" t="s">
        <v>4072</v>
      </c>
      <c r="J3" s="296" t="s">
        <v>4073</v>
      </c>
      <c r="K3" s="296" t="s">
        <v>4074</v>
      </c>
      <c r="L3" s="296" t="s">
        <v>4075</v>
      </c>
      <c r="M3" s="296" t="s">
        <v>4076</v>
      </c>
      <c r="N3" s="296" t="s">
        <v>4077</v>
      </c>
      <c r="O3" s="296" t="s">
        <v>4078</v>
      </c>
      <c r="P3" s="296" t="s">
        <v>4079</v>
      </c>
      <c r="Q3" s="296" t="s">
        <v>4080</v>
      </c>
      <c r="R3" s="296"/>
      <c r="S3" s="296" t="s">
        <v>4081</v>
      </c>
      <c r="T3" s="296" t="s">
        <v>4082</v>
      </c>
      <c r="U3" s="296" t="s">
        <v>4083</v>
      </c>
      <c r="V3" s="296" t="s">
        <v>4084</v>
      </c>
      <c r="W3" s="297"/>
    </row>
    <row r="4" ht="98" customHeight="1" spans="1:23" x14ac:dyDescent="0.25">
      <c r="A4" s="298"/>
      <c r="B4" s="299" t="s">
        <v>4114</v>
      </c>
      <c r="C4" s="299" t="s">
        <v>4115</v>
      </c>
      <c r="D4" s="299" t="s">
        <v>37</v>
      </c>
      <c r="E4" s="299" t="s">
        <v>4116</v>
      </c>
      <c r="F4" s="299" t="s">
        <v>4117</v>
      </c>
      <c r="G4" s="296" t="s">
        <v>4118</v>
      </c>
      <c r="H4" s="297"/>
      <c r="I4" s="296" t="s">
        <v>4119</v>
      </c>
      <c r="J4" s="300" t="s">
        <v>4120</v>
      </c>
      <c r="K4" s="296" t="s">
        <v>4121</v>
      </c>
      <c r="L4" s="296" t="s">
        <v>4122</v>
      </c>
      <c r="M4" s="296" t="s">
        <v>4123</v>
      </c>
      <c r="N4" s="296" t="s">
        <v>4124</v>
      </c>
      <c r="O4" s="296" t="s">
        <v>4125</v>
      </c>
      <c r="P4" s="296" t="s">
        <v>4126</v>
      </c>
      <c r="Q4" s="296" t="s">
        <v>4127</v>
      </c>
      <c r="R4" s="300" t="s">
        <v>4128</v>
      </c>
      <c r="S4" s="296" t="s">
        <v>4129</v>
      </c>
      <c r="T4" s="296" t="s">
        <v>4130</v>
      </c>
      <c r="U4" s="296" t="s">
        <v>4131</v>
      </c>
      <c r="V4" s="300" t="s">
        <v>4132</v>
      </c>
      <c r="W4" s="297"/>
    </row>
    <row r="5" ht="345" customHeight="1" spans="1:23" x14ac:dyDescent="0.25">
      <c r="A5" s="301" t="s">
        <v>4163</v>
      </c>
      <c r="B5" s="302"/>
      <c r="C5" s="302"/>
      <c r="D5" s="303"/>
      <c r="E5" s="303" t="s">
        <v>4164</v>
      </c>
      <c r="F5" s="303" t="s">
        <v>4165</v>
      </c>
      <c r="G5" s="304" t="s">
        <v>4432</v>
      </c>
      <c r="H5" s="305">
        <f>SUMIF($G$2:G$2,G$2,$G5:G5)</f>
        <v>0</v>
      </c>
      <c r="I5" s="304" t="s">
        <v>4433</v>
      </c>
      <c r="J5" s="306"/>
      <c r="K5" s="307"/>
      <c r="L5" s="307"/>
      <c r="M5" s="307"/>
      <c r="N5" s="307"/>
      <c r="O5" s="307"/>
      <c r="P5" s="304" t="s">
        <v>4434</v>
      </c>
      <c r="Q5" s="304" t="s">
        <v>4435</v>
      </c>
      <c r="R5" s="304" t="s">
        <v>4436</v>
      </c>
      <c r="S5" s="304" t="s">
        <v>4437</v>
      </c>
      <c r="T5" s="304" t="s">
        <v>4438</v>
      </c>
      <c r="U5" s="304" t="s">
        <v>4439</v>
      </c>
      <c r="V5" s="304" t="s">
        <v>4440</v>
      </c>
      <c r="W5" s="305">
        <f>SUMIF($G$2:V$2,V$2,$G5:V5)</f>
        <v>0</v>
      </c>
    </row>
    <row r="6" ht="409.6" customHeight="1" spans="1:23" x14ac:dyDescent="0.25">
      <c r="A6" s="301" t="s">
        <v>4163</v>
      </c>
      <c r="B6" s="302"/>
      <c r="C6" s="302"/>
      <c r="D6" s="303"/>
      <c r="E6" s="303" t="s">
        <v>4166</v>
      </c>
      <c r="F6" s="303" t="s">
        <v>4167</v>
      </c>
      <c r="G6" s="304" t="s">
        <v>4441</v>
      </c>
      <c r="H6" s="305">
        <f>SUMIF($G$2:G$2,G$2,$G6:G6)</f>
        <v>0</v>
      </c>
      <c r="I6" s="306"/>
      <c r="J6" s="304" t="s">
        <v>4442</v>
      </c>
      <c r="K6" s="304" t="s">
        <v>4443</v>
      </c>
      <c r="L6" s="304" t="s">
        <v>4444</v>
      </c>
      <c r="M6" s="304" t="s">
        <v>4445</v>
      </c>
      <c r="N6" s="304" t="s">
        <v>4446</v>
      </c>
      <c r="O6" s="304" t="s">
        <v>4447</v>
      </c>
      <c r="P6" s="307"/>
      <c r="Q6" s="307"/>
      <c r="R6" s="304" t="s">
        <v>4448</v>
      </c>
      <c r="S6" s="307"/>
      <c r="T6" s="307"/>
      <c r="U6" s="307"/>
      <c r="V6" s="308" t="s">
        <v>4449</v>
      </c>
      <c r="W6" s="305">
        <f>SUMIF($G$2:V$2,V$2,$G6:V6)</f>
        <v>0</v>
      </c>
    </row>
    <row r="7" spans="1:23" x14ac:dyDescent="0.25">
      <c r="A7" s="301" t="s">
        <v>4163</v>
      </c>
      <c r="B7" s="302"/>
      <c r="C7" s="302"/>
      <c r="D7" s="303"/>
      <c r="E7" s="303" t="s">
        <v>4169</v>
      </c>
      <c r="F7" s="303" t="s">
        <v>4170</v>
      </c>
      <c r="G7" s="309"/>
      <c r="H7" s="305">
        <f>SUMIF($G$2:G$2,G$2,$G7:G7)</f>
        <v>0</v>
      </c>
      <c r="I7" s="310"/>
      <c r="J7" s="310"/>
      <c r="K7" s="310"/>
      <c r="L7" s="310"/>
      <c r="M7" s="310"/>
      <c r="N7" s="310"/>
      <c r="O7" s="310"/>
      <c r="P7" s="310"/>
      <c r="Q7" s="310"/>
      <c r="R7" s="310"/>
      <c r="S7" s="310"/>
      <c r="T7" s="310"/>
      <c r="U7" s="310"/>
      <c r="V7" s="309"/>
      <c r="W7" s="305">
        <f>SUMIF($G$2:V$2,V$2,$G7:V7)</f>
        <v>0</v>
      </c>
    </row>
    <row r="8" ht="196" customHeight="1" spans="1:23" x14ac:dyDescent="0.25">
      <c r="A8" s="301" t="s">
        <v>4163</v>
      </c>
      <c r="B8" s="302"/>
      <c r="C8" s="302"/>
      <c r="D8" s="303"/>
      <c r="E8" s="303" t="s">
        <v>4173</v>
      </c>
      <c r="F8" s="303" t="s">
        <v>4174</v>
      </c>
      <c r="G8" s="304" t="s">
        <v>4450</v>
      </c>
      <c r="H8" s="305">
        <f>SUMIF($G$2:G$2,G$2,$G8:G8)</f>
        <v>0</v>
      </c>
      <c r="I8" s="310"/>
      <c r="J8" s="310"/>
      <c r="K8" s="310"/>
      <c r="L8" s="310"/>
      <c r="M8" s="310"/>
      <c r="N8" s="310"/>
      <c r="O8" s="310"/>
      <c r="P8" s="310"/>
      <c r="Q8" s="310"/>
      <c r="R8" s="310"/>
      <c r="S8" s="310"/>
      <c r="T8" s="310"/>
      <c r="U8" s="310"/>
      <c r="V8" s="304" t="s">
        <v>4451</v>
      </c>
      <c r="W8" s="305">
        <f>SUMIF($G$2:V$2,V$2,$G8:V8)</f>
        <v>0</v>
      </c>
    </row>
    <row r="9" ht="280" customHeight="1" spans="1:23" x14ac:dyDescent="0.25">
      <c r="A9" s="301" t="s">
        <v>4163</v>
      </c>
      <c r="B9" s="302"/>
      <c r="C9" s="302"/>
      <c r="D9" s="303"/>
      <c r="E9" s="303" t="s">
        <v>4175</v>
      </c>
      <c r="F9" s="303" t="s">
        <v>4176</v>
      </c>
      <c r="G9" s="304" t="s">
        <v>4452</v>
      </c>
      <c r="H9" s="305">
        <f>SUMIF($G$2:G$2,G$2,$G9:G9)</f>
        <v>0</v>
      </c>
      <c r="I9" s="310"/>
      <c r="J9" s="310"/>
      <c r="K9" s="310"/>
      <c r="L9" s="310"/>
      <c r="M9" s="310"/>
      <c r="N9" s="310"/>
      <c r="O9" s="310"/>
      <c r="P9" s="310"/>
      <c r="Q9" s="310"/>
      <c r="R9" s="310"/>
      <c r="S9" s="310"/>
      <c r="T9" s="310"/>
      <c r="U9" s="310"/>
      <c r="V9" s="304" t="s">
        <v>4453</v>
      </c>
      <c r="W9" s="305">
        <f>SUMIF($G$2:V$2,V$2,$G9:V9)</f>
        <v>0</v>
      </c>
    </row>
    <row r="10" ht="196" customHeight="1" spans="1:23" x14ac:dyDescent="0.25">
      <c r="A10" s="301" t="s">
        <v>4163</v>
      </c>
      <c r="B10" s="302"/>
      <c r="C10" s="302"/>
      <c r="D10" s="303"/>
      <c r="E10" s="303" t="s">
        <v>4177</v>
      </c>
      <c r="F10" s="303" t="s">
        <v>4178</v>
      </c>
      <c r="G10" s="304" t="s">
        <v>4454</v>
      </c>
      <c r="H10" s="305">
        <f>SUMIF($G$2:G$2,G$2,$G10:G10)</f>
        <v>0</v>
      </c>
      <c r="I10" s="310"/>
      <c r="J10" s="310"/>
      <c r="K10" s="310"/>
      <c r="L10" s="310"/>
      <c r="M10" s="310"/>
      <c r="N10" s="310"/>
      <c r="O10" s="310"/>
      <c r="P10" s="310"/>
      <c r="Q10" s="310"/>
      <c r="S10" s="310"/>
      <c r="T10" s="310"/>
      <c r="U10" s="310"/>
      <c r="V10" s="304" t="s">
        <v>4455</v>
      </c>
      <c r="W10" s="305">
        <f>SUMIF($G$2:V$2,V$2,$G10:V10)</f>
        <v>0</v>
      </c>
    </row>
    <row r="11" ht="196" customHeight="1" spans="1:23" x14ac:dyDescent="0.25">
      <c r="A11" s="301" t="s">
        <v>4163</v>
      </c>
      <c r="B11" s="302"/>
      <c r="C11" s="302"/>
      <c r="D11" s="303"/>
      <c r="E11" s="303" t="s">
        <v>4179</v>
      </c>
      <c r="F11" s="303" t="s">
        <v>4180</v>
      </c>
      <c r="G11" s="304" t="s">
        <v>4456</v>
      </c>
      <c r="H11" s="305">
        <f>SUMIF($G$2:G$2,G$2,$G11:G11)</f>
        <v>0</v>
      </c>
      <c r="I11" s="310"/>
      <c r="J11" s="310"/>
      <c r="K11" s="310"/>
      <c r="L11" s="310"/>
      <c r="M11" s="310"/>
      <c r="N11" s="310"/>
      <c r="O11" s="310"/>
      <c r="P11" s="310"/>
      <c r="Q11" s="310"/>
      <c r="R11" s="310"/>
      <c r="S11" s="310"/>
      <c r="T11" s="310"/>
      <c r="U11" s="310"/>
      <c r="V11" s="304" t="s">
        <v>4457</v>
      </c>
      <c r="W11" s="305">
        <f>SUMIF($G$2:V$2,V$2,$G11:V11)</f>
        <v>0</v>
      </c>
    </row>
    <row r="12" ht="266" customHeight="1" spans="1:23" x14ac:dyDescent="0.25">
      <c r="A12" s="301" t="s">
        <v>4163</v>
      </c>
      <c r="B12" s="302"/>
      <c r="C12" s="302"/>
      <c r="D12" s="303"/>
      <c r="E12" s="303" t="s">
        <v>4181</v>
      </c>
      <c r="F12" s="303" t="s">
        <v>4182</v>
      </c>
      <c r="G12" s="304" t="s">
        <v>4458</v>
      </c>
      <c r="H12" s="305">
        <f>SUMIF($G$2:G$2,G$2,$G12:G12)</f>
        <v>0</v>
      </c>
      <c r="I12" s="310"/>
      <c r="J12" s="310"/>
      <c r="K12" s="310"/>
      <c r="L12" s="310"/>
      <c r="M12" s="310"/>
      <c r="N12" s="310"/>
      <c r="O12" s="310"/>
      <c r="P12" s="310"/>
      <c r="Q12" s="310"/>
      <c r="R12" s="310"/>
      <c r="S12" s="310"/>
      <c r="T12" s="310"/>
      <c r="U12" s="310"/>
      <c r="V12" s="304" t="s">
        <v>4459</v>
      </c>
      <c r="W12" s="305">
        <f>SUMIF($G$2:V$2,V$2,$G12:V12)</f>
        <v>0</v>
      </c>
    </row>
    <row r="13" ht="238" customHeight="1" spans="1:23" x14ac:dyDescent="0.25">
      <c r="A13" s="301" t="s">
        <v>4163</v>
      </c>
      <c r="B13" s="302"/>
      <c r="C13" s="302"/>
      <c r="D13" s="303"/>
      <c r="E13" s="303" t="s">
        <v>4183</v>
      </c>
      <c r="F13" s="303" t="s">
        <v>4184</v>
      </c>
      <c r="G13" s="304" t="s">
        <v>4460</v>
      </c>
      <c r="H13" s="305">
        <f>SUMIF($G$2:G$2,G$2,$G13:G13)</f>
        <v>0</v>
      </c>
      <c r="I13" s="310"/>
      <c r="J13" s="310"/>
      <c r="K13" s="310"/>
      <c r="L13" s="310"/>
      <c r="M13" s="310"/>
      <c r="N13" s="310"/>
      <c r="O13" s="310"/>
      <c r="P13" s="310"/>
      <c r="Q13" s="310"/>
      <c r="R13" s="310"/>
      <c r="S13" s="310"/>
      <c r="T13" s="310"/>
      <c r="U13" s="310"/>
      <c r="V13" s="304" t="s">
        <v>4461</v>
      </c>
      <c r="W13" s="305">
        <f>SUMIF($G$2:V$2,V$2,$G13:V13)</f>
        <v>0</v>
      </c>
    </row>
    <row r="14" ht="409.6" customHeight="1" spans="1:23" x14ac:dyDescent="0.25">
      <c r="A14" s="301" t="s">
        <v>4163</v>
      </c>
      <c r="B14" s="302"/>
      <c r="C14" s="302"/>
      <c r="D14" s="303"/>
      <c r="E14" s="303" t="s">
        <v>4185</v>
      </c>
      <c r="F14" s="303" t="s">
        <v>4186</v>
      </c>
      <c r="G14" s="304" t="s">
        <v>4462</v>
      </c>
      <c r="H14" s="305">
        <f>SUMIF($G$2:G$2,G$2,$G14:G14)</f>
        <v>0</v>
      </c>
      <c r="I14" s="304" t="s">
        <v>4463</v>
      </c>
      <c r="J14" s="304" t="s">
        <v>4464</v>
      </c>
      <c r="K14" s="304" t="s">
        <v>4465</v>
      </c>
      <c r="L14" s="304" t="s">
        <v>4466</v>
      </c>
      <c r="M14" s="304" t="s">
        <v>4467</v>
      </c>
      <c r="N14" s="304" t="s">
        <v>4468</v>
      </c>
      <c r="O14" s="304" t="s">
        <v>4469</v>
      </c>
      <c r="P14" s="304" t="s">
        <v>4470</v>
      </c>
      <c r="Q14" s="304" t="s">
        <v>4471</v>
      </c>
      <c r="R14" s="311" t="s">
        <v>4472</v>
      </c>
      <c r="S14" s="304" t="s">
        <v>4473</v>
      </c>
      <c r="T14" s="304" t="s">
        <v>4474</v>
      </c>
      <c r="U14" s="304" t="s">
        <v>4475</v>
      </c>
      <c r="V14" s="304" t="s">
        <v>4476</v>
      </c>
      <c r="W14" s="305">
        <f>SUMIF($G$2:V$2,V$2,$G14:V14)</f>
        <v>0</v>
      </c>
    </row>
    <row r="15" ht="409.6" customHeight="1" spans="1:23" x14ac:dyDescent="0.25">
      <c r="A15" s="301" t="s">
        <v>4163</v>
      </c>
      <c r="B15" s="302"/>
      <c r="C15" s="302"/>
      <c r="D15" s="303"/>
      <c r="E15" s="303" t="s">
        <v>4187</v>
      </c>
      <c r="F15" s="303" t="s">
        <v>4188</v>
      </c>
      <c r="G15" s="304" t="s">
        <v>4477</v>
      </c>
      <c r="H15" s="305">
        <f>SUMIF($G$2:G$2,G$2,$G15:G15)</f>
        <v>0</v>
      </c>
      <c r="I15" s="304" t="s">
        <v>4478</v>
      </c>
      <c r="J15" s="304" t="s">
        <v>4479</v>
      </c>
      <c r="K15" s="304" t="s">
        <v>4480</v>
      </c>
      <c r="L15" s="304" t="s">
        <v>4481</v>
      </c>
      <c r="M15" s="304" t="s">
        <v>4482</v>
      </c>
      <c r="N15" s="304" t="s">
        <v>4483</v>
      </c>
      <c r="O15" s="304" t="s">
        <v>4484</v>
      </c>
      <c r="P15" s="304" t="s">
        <v>4485</v>
      </c>
      <c r="Q15" s="304" t="s">
        <v>4486</v>
      </c>
      <c r="R15" s="311" t="s">
        <v>4487</v>
      </c>
      <c r="S15" s="304" t="s">
        <v>4488</v>
      </c>
      <c r="T15" s="304" t="s">
        <v>4489</v>
      </c>
      <c r="U15" s="304" t="s">
        <v>4490</v>
      </c>
      <c r="V15" s="304" t="s">
        <v>4491</v>
      </c>
      <c r="W15" s="305">
        <f>SUMIF($G$2:V$2,V$2,$G15:V15)</f>
        <v>0</v>
      </c>
    </row>
    <row r="16" spans="1:23" x14ac:dyDescent="0.25">
      <c r="A16" s="301"/>
      <c r="B16" s="312"/>
      <c r="C16" s="312"/>
      <c r="D16" s="313"/>
      <c r="E16" s="313"/>
      <c r="F16" s="314" t="s">
        <v>4189</v>
      </c>
      <c r="G16" s="305">
        <f>SUMIF($C$5:$C15,$C15,G$5:G15)</f>
        <v>0</v>
      </c>
      <c r="H16" s="315">
        <f>SUMIF($C$5:$C15,$C15,H$5:H15)</f>
        <v>0</v>
      </c>
      <c r="I16" s="305">
        <f>SUMIF($C$5:$C15,$C15,I$5:I15)</f>
        <v>0</v>
      </c>
      <c r="J16" s="305">
        <f>SUMIF($C$5:$C15,$C15,J$5:J15)</f>
        <v>0</v>
      </c>
      <c r="K16" s="305">
        <f>SUMIF($C$5:$C15,$C15,K$5:K15)</f>
        <v>0</v>
      </c>
      <c r="L16" s="305">
        <f>SUMIF($C$5:$C15,$C15,L$5:L15)</f>
        <v>0</v>
      </c>
      <c r="M16" s="305">
        <f>SUMIF($C$5:$C15,$C15,M$5:M15)</f>
        <v>0</v>
      </c>
      <c r="N16" s="305">
        <f>SUMIF($C$5:$C15,$C15,N$5:N15)</f>
        <v>0</v>
      </c>
      <c r="O16" s="305">
        <f>SUMIF($C$5:$C15,$C15,O$5:O15)</f>
        <v>0</v>
      </c>
      <c r="P16" s="305">
        <f>SUMIF($C$5:$C15,$C15,P$5:P15)</f>
        <v>0</v>
      </c>
      <c r="Q16" s="305">
        <f>SUMIF($C$5:$C15,$C15,Q$5:Q15)</f>
        <v>0</v>
      </c>
      <c r="R16" s="305"/>
      <c r="S16" s="305">
        <f>SUMIF($C$5:$C15,$C15,S$5:S15)</f>
        <v>0</v>
      </c>
      <c r="T16" s="305">
        <f>SUMIF($C$5:$C15,$C15,T$5:T15)</f>
        <v>0</v>
      </c>
      <c r="U16" s="305">
        <f>SUMIF($C$5:$C15,$C15,U$5:U15)</f>
        <v>0</v>
      </c>
      <c r="V16" s="305">
        <f>SUMIF($C$5:$C15,$C15,V$5:V15)</f>
        <v>0</v>
      </c>
      <c r="W16" s="305">
        <f>SUMIF($C$5:$C15,$C15,W$5:W15)</f>
        <v>0</v>
      </c>
    </row>
    <row r="17" spans="1:23" x14ac:dyDescent="0.25">
      <c r="A17" s="316"/>
      <c r="B17" s="316"/>
      <c r="C17" s="316"/>
      <c r="D17" s="316"/>
      <c r="E17" s="316"/>
      <c r="F17" s="316"/>
      <c r="G17" s="317"/>
      <c r="H17" s="317"/>
      <c r="I17" s="317"/>
      <c r="J17" s="317"/>
      <c r="K17" s="317"/>
      <c r="L17" s="317"/>
      <c r="M17" s="317"/>
      <c r="N17" s="317"/>
      <c r="O17" s="317"/>
      <c r="P17" s="317"/>
      <c r="Q17" s="317"/>
      <c r="R17" s="317"/>
      <c r="S17" s="317"/>
      <c r="T17" s="317"/>
      <c r="U17" s="317"/>
      <c r="V17" s="317"/>
      <c r="W17" s="317"/>
    </row>
    <row r="18" spans="1:23" x14ac:dyDescent="0.25">
      <c r="A18" s="316"/>
      <c r="B18" s="316"/>
      <c r="C18" s="316"/>
      <c r="D18" s="316"/>
      <c r="E18" s="316"/>
      <c r="F18" s="316"/>
      <c r="G18" s="317"/>
      <c r="H18" s="317"/>
      <c r="I18" s="317"/>
      <c r="J18" s="317"/>
      <c r="K18" s="317"/>
      <c r="L18" s="317"/>
      <c r="M18" s="317"/>
      <c r="N18" s="317"/>
      <c r="O18" s="317"/>
      <c r="P18" s="317"/>
      <c r="Q18" s="317"/>
      <c r="R18" s="317"/>
      <c r="S18" s="317"/>
      <c r="T18" s="317"/>
      <c r="U18" s="317"/>
      <c r="V18" s="317"/>
      <c r="W18" s="317"/>
    </row>
    <row r="19" ht="345" customHeight="1" spans="1:23" x14ac:dyDescent="0.25">
      <c r="A19" s="316"/>
      <c r="B19" s="316"/>
      <c r="C19" s="316"/>
      <c r="D19" s="316"/>
      <c r="E19" s="316"/>
      <c r="F19" s="318" t="s">
        <v>4191</v>
      </c>
      <c r="G19" s="304" t="s">
        <v>4492</v>
      </c>
      <c r="H19" s="317"/>
      <c r="I19" s="317"/>
      <c r="J19" s="317"/>
      <c r="K19" s="317"/>
      <c r="L19" s="317"/>
      <c r="M19" s="317"/>
      <c r="N19" s="317"/>
      <c r="O19" s="317"/>
      <c r="P19" s="317"/>
      <c r="Q19" s="317"/>
      <c r="R19" s="317"/>
      <c r="S19" s="317"/>
      <c r="T19" s="317"/>
      <c r="U19" s="318" t="s">
        <v>4192</v>
      </c>
      <c r="V19" s="304" t="s">
        <v>4493</v>
      </c>
      <c r="W19" s="317"/>
    </row>
  </sheetData>
  <mergeCells count="3">
    <mergeCell ref="B1:I1"/>
    <mergeCell ref="H2:H4"/>
    <mergeCell ref="W2:W4"/>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19" t="s">
        <v>4194</v>
      </c>
      <c r="B1" s="319"/>
      <c r="C1" s="319"/>
      <c r="D1" s="319"/>
      <c r="E1" s="319"/>
      <c r="F1" s="319"/>
      <c r="G1" s="319"/>
      <c r="H1" s="319"/>
      <c r="I1" s="320"/>
      <c r="J1" s="320"/>
      <c r="K1" s="320"/>
      <c r="L1" s="320"/>
      <c r="M1" s="320"/>
      <c r="N1" s="320"/>
      <c r="O1" s="320"/>
      <c r="P1" s="320"/>
      <c r="Q1" s="320"/>
      <c r="R1" s="320"/>
      <c r="S1" s="320"/>
      <c r="T1" s="321"/>
      <c r="U1" s="321"/>
    </row>
    <row r="2" ht="28" customHeight="1" spans="1:19" x14ac:dyDescent="0.25">
      <c r="A2" s="319"/>
      <c r="B2" s="319"/>
      <c r="C2" s="319"/>
      <c r="D2" s="319"/>
      <c r="E2" s="319"/>
      <c r="F2" s="319"/>
      <c r="G2" s="322" t="s">
        <v>4061</v>
      </c>
      <c r="H2" s="323" t="s">
        <v>4062</v>
      </c>
      <c r="I2" s="322" t="s">
        <v>4063</v>
      </c>
      <c r="J2" s="322" t="s">
        <v>4063</v>
      </c>
      <c r="K2" s="322" t="s">
        <v>4063</v>
      </c>
      <c r="L2" s="322" t="s">
        <v>4063</v>
      </c>
      <c r="M2" s="322" t="s">
        <v>4063</v>
      </c>
      <c r="N2" s="322" t="s">
        <v>4063</v>
      </c>
      <c r="O2" s="322" t="s">
        <v>4063</v>
      </c>
      <c r="P2" s="322" t="s">
        <v>4063</v>
      </c>
      <c r="Q2" s="322" t="s">
        <v>4063</v>
      </c>
      <c r="R2" s="322" t="s">
        <v>4063</v>
      </c>
      <c r="S2" s="323" t="s">
        <v>4064</v>
      </c>
    </row>
    <row r="3" ht="56" customHeight="1" spans="1:19" x14ac:dyDescent="0.25">
      <c r="A3" s="319"/>
      <c r="B3" s="319"/>
      <c r="C3" s="319"/>
      <c r="D3" s="319"/>
      <c r="E3" s="319"/>
      <c r="F3" s="319"/>
      <c r="G3" s="322" t="s">
        <v>4071</v>
      </c>
      <c r="H3" s="323"/>
      <c r="I3" s="322" t="s">
        <v>4198</v>
      </c>
      <c r="J3" s="322" t="s">
        <v>4199</v>
      </c>
      <c r="K3" s="322" t="s">
        <v>4200</v>
      </c>
      <c r="L3" s="322" t="s">
        <v>4201</v>
      </c>
      <c r="M3" s="322" t="s">
        <v>4202</v>
      </c>
      <c r="N3" s="322" t="s">
        <v>4203</v>
      </c>
      <c r="O3" s="322" t="s">
        <v>4204</v>
      </c>
      <c r="P3" s="322" t="s">
        <v>4205</v>
      </c>
      <c r="Q3" s="322" t="s">
        <v>4206</v>
      </c>
      <c r="R3" s="322" t="s">
        <v>4084</v>
      </c>
      <c r="S3" s="323"/>
    </row>
    <row r="4" ht="112" customHeight="1" spans="1:19" x14ac:dyDescent="0.25">
      <c r="A4" s="319"/>
      <c r="B4" s="324" t="s">
        <v>4114</v>
      </c>
      <c r="C4" s="324" t="s">
        <v>4115</v>
      </c>
      <c r="D4" s="324" t="s">
        <v>37</v>
      </c>
      <c r="E4" s="324" t="s">
        <v>4116</v>
      </c>
      <c r="F4" s="324" t="s">
        <v>4117</v>
      </c>
      <c r="G4" s="322" t="s">
        <v>4118</v>
      </c>
      <c r="H4" s="323"/>
      <c r="I4" s="322" t="s">
        <v>4217</v>
      </c>
      <c r="J4" s="322" t="s">
        <v>4218</v>
      </c>
      <c r="K4" s="322" t="s">
        <v>4219</v>
      </c>
      <c r="L4" s="322" t="s">
        <v>4220</v>
      </c>
      <c r="M4" s="322" t="s">
        <v>4221</v>
      </c>
      <c r="N4" s="322" t="s">
        <v>4222</v>
      </c>
      <c r="O4" s="322" t="s">
        <v>4223</v>
      </c>
      <c r="P4" s="322" t="s">
        <v>4224</v>
      </c>
      <c r="Q4" s="322" t="s">
        <v>4225</v>
      </c>
      <c r="R4" s="322" t="s">
        <v>4132</v>
      </c>
      <c r="S4" s="323"/>
    </row>
    <row r="5" ht="409.6" customHeight="1" spans="1:19" x14ac:dyDescent="0.25">
      <c r="A5" s="325" t="s">
        <v>4236</v>
      </c>
      <c r="B5" s="326"/>
      <c r="C5" s="326"/>
      <c r="D5" s="326"/>
      <c r="E5" s="326" t="s">
        <v>4164</v>
      </c>
      <c r="F5" s="327" t="s">
        <v>4165</v>
      </c>
      <c r="G5" s="304" t="s">
        <v>4494</v>
      </c>
      <c r="H5" s="328">
        <f t="shared" ref="H5:H15" si="0">SUM(G5)</f>
        <v>0</v>
      </c>
      <c r="I5" s="329"/>
      <c r="J5" s="304" t="s">
        <v>4495</v>
      </c>
      <c r="K5" s="304" t="s">
        <v>4496</v>
      </c>
      <c r="L5" s="304" t="s">
        <v>4497</v>
      </c>
      <c r="M5" s="330" t="s">
        <v>4405</v>
      </c>
      <c r="N5" s="330" t="s">
        <v>4405</v>
      </c>
      <c r="O5" s="331"/>
      <c r="P5" s="331"/>
      <c r="Q5" s="330" t="s">
        <v>4405</v>
      </c>
      <c r="R5" s="304" t="s">
        <v>4498</v>
      </c>
      <c r="S5" s="328">
        <f t="shared" ref="S5:S15" si="1">SUM(I5:R5)</f>
        <v>0</v>
      </c>
    </row>
    <row r="6" ht="132" customHeight="1" spans="1:19" x14ac:dyDescent="0.25">
      <c r="A6" s="325" t="s">
        <v>4236</v>
      </c>
      <c r="B6" s="326"/>
      <c r="C6" s="326"/>
      <c r="D6" s="326"/>
      <c r="E6" s="326" t="s">
        <v>4166</v>
      </c>
      <c r="F6" s="327" t="s">
        <v>4167</v>
      </c>
      <c r="G6" s="332"/>
      <c r="H6" s="328">
        <f t="shared" si="0"/>
        <v>0</v>
      </c>
      <c r="I6" s="329"/>
      <c r="J6" s="333"/>
      <c r="K6" s="333"/>
      <c r="L6" s="333"/>
      <c r="M6" s="334"/>
      <c r="N6" s="335"/>
      <c r="O6" s="330" t="s">
        <v>4405</v>
      </c>
      <c r="P6" s="330" t="s">
        <v>4405</v>
      </c>
      <c r="Q6" s="330" t="s">
        <v>4405</v>
      </c>
      <c r="R6" s="281" t="s">
        <v>4405</v>
      </c>
      <c r="S6" s="328">
        <f t="shared" si="1"/>
        <v>0</v>
      </c>
    </row>
    <row r="7" ht="70" customHeight="1" spans="1:19" x14ac:dyDescent="0.25">
      <c r="A7" s="325" t="s">
        <v>4236</v>
      </c>
      <c r="B7" s="326"/>
      <c r="C7" s="326"/>
      <c r="D7" s="326"/>
      <c r="E7" s="326" t="s">
        <v>4169</v>
      </c>
      <c r="F7" s="327" t="s">
        <v>4170</v>
      </c>
      <c r="G7" s="332"/>
      <c r="H7" s="328">
        <f t="shared" si="0"/>
        <v>0</v>
      </c>
      <c r="I7" s="329"/>
      <c r="J7" s="333"/>
      <c r="K7" s="333"/>
      <c r="L7" s="333"/>
      <c r="M7" s="333"/>
      <c r="N7" s="332"/>
      <c r="O7" s="333"/>
      <c r="P7" s="333"/>
      <c r="Q7" s="333"/>
      <c r="R7" s="333"/>
      <c r="S7" s="328">
        <f t="shared" si="1"/>
        <v>0</v>
      </c>
    </row>
    <row r="8" ht="168" customHeight="1" spans="1:19" x14ac:dyDescent="0.25">
      <c r="A8" s="325" t="s">
        <v>4236</v>
      </c>
      <c r="B8" s="326"/>
      <c r="C8" s="326"/>
      <c r="D8" s="326"/>
      <c r="E8" s="326" t="s">
        <v>4173</v>
      </c>
      <c r="F8" s="327" t="s">
        <v>4174</v>
      </c>
      <c r="G8" s="304" t="s">
        <v>4499</v>
      </c>
      <c r="H8" s="328">
        <f t="shared" si="0"/>
        <v>0</v>
      </c>
      <c r="I8" s="329"/>
      <c r="J8" s="333"/>
      <c r="K8" s="333"/>
      <c r="L8" s="333"/>
      <c r="M8" s="333"/>
      <c r="N8" s="332"/>
      <c r="O8" s="333"/>
      <c r="P8" s="333"/>
      <c r="Q8" s="333"/>
      <c r="R8" s="304" t="s">
        <v>4500</v>
      </c>
      <c r="S8" s="328">
        <f t="shared" si="1"/>
        <v>0</v>
      </c>
    </row>
    <row r="9" ht="252" customHeight="1" spans="1:19" x14ac:dyDescent="0.25">
      <c r="A9" s="325" t="s">
        <v>4236</v>
      </c>
      <c r="B9" s="326"/>
      <c r="C9" s="326"/>
      <c r="D9" s="326"/>
      <c r="E9" s="326" t="s">
        <v>4175</v>
      </c>
      <c r="F9" s="327" t="s">
        <v>4176</v>
      </c>
      <c r="G9" s="304" t="s">
        <v>4501</v>
      </c>
      <c r="H9" s="328">
        <f t="shared" si="0"/>
        <v>0</v>
      </c>
      <c r="I9" s="329"/>
      <c r="J9" s="333"/>
      <c r="K9" s="333"/>
      <c r="L9" s="333"/>
      <c r="M9" s="333"/>
      <c r="N9" s="332"/>
      <c r="O9" s="333"/>
      <c r="P9" s="333"/>
      <c r="Q9" s="333"/>
      <c r="R9" s="304" t="s">
        <v>4502</v>
      </c>
      <c r="S9" s="328">
        <f t="shared" si="1"/>
        <v>0</v>
      </c>
    </row>
    <row r="10" ht="168" customHeight="1" spans="1:19" x14ac:dyDescent="0.25">
      <c r="A10" s="325" t="s">
        <v>4236</v>
      </c>
      <c r="B10" s="326"/>
      <c r="C10" s="326"/>
      <c r="D10" s="326"/>
      <c r="E10" s="326" t="s">
        <v>4177</v>
      </c>
      <c r="F10" s="327" t="s">
        <v>4178</v>
      </c>
      <c r="G10" s="304" t="s">
        <v>4503</v>
      </c>
      <c r="H10" s="328">
        <f>SUM(G10)</f>
        <v>0</v>
      </c>
      <c r="I10" s="329"/>
      <c r="J10" s="333"/>
      <c r="K10" s="333"/>
      <c r="L10" s="333"/>
      <c r="M10" s="333"/>
      <c r="N10" s="332"/>
      <c r="O10" s="333"/>
      <c r="P10" s="333"/>
      <c r="Q10" s="333"/>
      <c r="R10" s="304" t="s">
        <v>4504</v>
      </c>
      <c r="S10" s="328">
        <f t="shared" si="1"/>
        <v>0</v>
      </c>
    </row>
    <row r="11" ht="168" customHeight="1" spans="1:19" x14ac:dyDescent="0.25">
      <c r="A11" s="325" t="s">
        <v>4236</v>
      </c>
      <c r="B11" s="326"/>
      <c r="C11" s="326"/>
      <c r="D11" s="326"/>
      <c r="E11" s="326" t="s">
        <v>4179</v>
      </c>
      <c r="F11" s="327" t="s">
        <v>4180</v>
      </c>
      <c r="G11" s="304" t="s">
        <v>4505</v>
      </c>
      <c r="H11" s="328">
        <f>SUM(G11)</f>
        <v>0</v>
      </c>
      <c r="I11" s="329"/>
      <c r="J11" s="333"/>
      <c r="K11" s="333"/>
      <c r="L11" s="333"/>
      <c r="M11" s="333"/>
      <c r="N11" s="332"/>
      <c r="O11" s="333"/>
      <c r="P11" s="333"/>
      <c r="Q11" s="333"/>
      <c r="R11" s="304" t="s">
        <v>4506</v>
      </c>
      <c r="S11" s="328">
        <f t="shared" si="1"/>
        <v>0</v>
      </c>
    </row>
    <row r="12" ht="196" customHeight="1" spans="1:19" x14ac:dyDescent="0.25">
      <c r="A12" s="325" t="s">
        <v>4236</v>
      </c>
      <c r="B12" s="326"/>
      <c r="C12" s="326"/>
      <c r="D12" s="326"/>
      <c r="E12" s="326" t="s">
        <v>4181</v>
      </c>
      <c r="F12" s="327" t="s">
        <v>4182</v>
      </c>
      <c r="G12" s="304" t="s">
        <v>4507</v>
      </c>
      <c r="H12" s="328">
        <f t="shared" si="0"/>
        <v>0</v>
      </c>
      <c r="I12" s="329"/>
      <c r="J12" s="333"/>
      <c r="K12" s="333"/>
      <c r="L12" s="333"/>
      <c r="M12" s="333"/>
      <c r="N12" s="332"/>
      <c r="O12" s="333"/>
      <c r="P12" s="333"/>
      <c r="Q12" s="333"/>
      <c r="R12" s="304" t="s">
        <v>4508</v>
      </c>
      <c r="S12" s="328">
        <f t="shared" si="1"/>
        <v>0</v>
      </c>
    </row>
    <row r="13" ht="210" customHeight="1" spans="1:19" x14ac:dyDescent="0.25">
      <c r="A13" s="325" t="s">
        <v>4236</v>
      </c>
      <c r="B13" s="326"/>
      <c r="C13" s="326"/>
      <c r="D13" s="326"/>
      <c r="E13" s="326" t="s">
        <v>4183</v>
      </c>
      <c r="F13" s="327" t="s">
        <v>4184</v>
      </c>
      <c r="G13" s="304" t="s">
        <v>4509</v>
      </c>
      <c r="H13" s="328">
        <f t="shared" si="0"/>
        <v>0</v>
      </c>
      <c r="I13" s="304" t="s">
        <v>4510</v>
      </c>
      <c r="J13" s="333"/>
      <c r="K13" s="333"/>
      <c r="L13" s="333"/>
      <c r="M13" s="333"/>
      <c r="N13" s="332"/>
      <c r="O13" s="333"/>
      <c r="P13" s="333"/>
      <c r="Q13" s="333"/>
      <c r="R13" s="304" t="s">
        <v>4511</v>
      </c>
      <c r="S13" s="328">
        <f t="shared" si="1"/>
        <v>0</v>
      </c>
    </row>
    <row r="14" ht="409.6" customHeight="1" spans="1:19" x14ac:dyDescent="0.25">
      <c r="A14" s="325" t="s">
        <v>4236</v>
      </c>
      <c r="B14" s="326"/>
      <c r="C14" s="326"/>
      <c r="D14" s="326"/>
      <c r="E14" s="326" t="s">
        <v>4185</v>
      </c>
      <c r="F14" s="327" t="s">
        <v>4186</v>
      </c>
      <c r="G14" s="304" t="s">
        <v>4512</v>
      </c>
      <c r="H14" s="328">
        <f t="shared" si="0"/>
        <v>0</v>
      </c>
      <c r="I14" s="304" t="s">
        <v>4513</v>
      </c>
      <c r="J14" s="304" t="s">
        <v>4514</v>
      </c>
      <c r="K14" s="304" t="s">
        <v>4515</v>
      </c>
      <c r="L14" s="304" t="s">
        <v>4516</v>
      </c>
      <c r="M14" s="332"/>
      <c r="N14" s="332"/>
      <c r="O14" s="333"/>
      <c r="P14" s="333"/>
      <c r="Q14" s="333"/>
      <c r="R14" s="304" t="s">
        <v>4517</v>
      </c>
      <c r="S14" s="328">
        <f t="shared" si="1"/>
        <v>0</v>
      </c>
    </row>
    <row r="15" ht="409.6" customHeight="1" spans="1:19" x14ac:dyDescent="0.25">
      <c r="A15" s="325" t="s">
        <v>4236</v>
      </c>
      <c r="B15" s="326"/>
      <c r="C15" s="326"/>
      <c r="D15" s="326"/>
      <c r="E15" s="326" t="s">
        <v>4187</v>
      </c>
      <c r="F15" s="327" t="s">
        <v>4188</v>
      </c>
      <c r="G15" s="304" t="s">
        <v>4518</v>
      </c>
      <c r="H15" s="328">
        <f t="shared" si="0"/>
        <v>0</v>
      </c>
      <c r="I15" s="304" t="s">
        <v>4519</v>
      </c>
      <c r="J15" s="304" t="s">
        <v>4520</v>
      </c>
      <c r="K15" s="304" t="s">
        <v>4521</v>
      </c>
      <c r="L15" s="304" t="s">
        <v>4522</v>
      </c>
      <c r="M15" s="332"/>
      <c r="N15" s="332"/>
      <c r="O15" s="333"/>
      <c r="P15" s="333"/>
      <c r="Q15" s="333"/>
      <c r="R15" s="304" t="s">
        <v>4523</v>
      </c>
      <c r="S15" s="328">
        <f t="shared" si="1"/>
        <v>0</v>
      </c>
    </row>
    <row r="16" ht="28" customHeight="1" spans="1:19" x14ac:dyDescent="0.25">
      <c r="A16" s="325"/>
      <c r="B16" s="336"/>
      <c r="C16" s="336"/>
      <c r="D16" s="336"/>
      <c r="E16" s="336"/>
      <c r="F16" s="323" t="s">
        <v>4189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19" x14ac:dyDescent="0.25">
      <c r="A17" s="337"/>
      <c r="B17" s="337"/>
      <c r="C17" s="337"/>
      <c r="D17" s="337"/>
      <c r="E17" s="337"/>
      <c r="F17" s="338"/>
      <c r="G17" s="337"/>
      <c r="H17" s="337"/>
      <c r="I17" s="337"/>
      <c r="J17" s="337"/>
      <c r="K17" s="337"/>
      <c r="L17" s="337"/>
      <c r="M17" s="337"/>
      <c r="N17" s="337"/>
      <c r="O17" s="337"/>
      <c r="P17" s="337"/>
      <c r="Q17" s="337"/>
      <c r="R17" s="337"/>
      <c r="S17" s="339"/>
    </row>
    <row r="18" spans="1:21" x14ac:dyDescent="0.25">
      <c r="A18" s="337"/>
      <c r="B18" s="337"/>
      <c r="C18" s="337"/>
      <c r="D18" s="337"/>
      <c r="E18" s="337"/>
      <c r="F18" s="338"/>
      <c r="G18" s="337"/>
      <c r="H18" s="337"/>
      <c r="I18" s="337"/>
      <c r="J18" s="337"/>
      <c r="K18" s="337"/>
      <c r="L18" s="337"/>
      <c r="M18" s="337"/>
      <c r="N18" s="337"/>
      <c r="O18" s="337"/>
      <c r="P18" s="337"/>
      <c r="Q18" s="337"/>
      <c r="R18" s="337"/>
      <c r="S18" s="340"/>
      <c r="T18" s="337"/>
      <c r="U18" s="337"/>
    </row>
    <row r="19" ht="345" customHeight="1" spans="1:21" x14ac:dyDescent="0.25">
      <c r="A19" s="341"/>
      <c r="B19" s="341"/>
      <c r="C19" s="341"/>
      <c r="D19" s="342"/>
      <c r="E19" s="341"/>
      <c r="F19" s="318" t="s">
        <v>4191</v>
      </c>
      <c r="G19" s="304" t="s">
        <v>4524</v>
      </c>
      <c r="H19" s="341"/>
      <c r="I19" s="341"/>
      <c r="J19" s="341"/>
      <c r="K19" s="341"/>
      <c r="L19" s="341"/>
      <c r="M19" s="341"/>
      <c r="N19" s="341"/>
      <c r="O19" s="341"/>
      <c r="P19" s="341"/>
      <c r="Q19" s="318" t="s">
        <v>4192</v>
      </c>
      <c r="R19" s="304" t="s">
        <v>4525</v>
      </c>
      <c r="S19" s="341"/>
      <c r="T19" s="341"/>
      <c r="U19" s="341"/>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59"/>
      <c r="E1" s="142"/>
      <c r="F1" s="91"/>
      <c r="G1" s="343"/>
      <c r="H1" s="91"/>
      <c r="I1" s="343" t="s">
        <v>4237</v>
      </c>
      <c r="J1" s="344"/>
      <c r="K1" s="142"/>
      <c r="L1" s="142"/>
      <c r="M1" s="92"/>
      <c r="N1" s="92"/>
    </row>
    <row r="2" ht="37" customHeight="1" spans="1:14" x14ac:dyDescent="0.25">
      <c r="A2" s="160"/>
      <c r="B2" s="161"/>
      <c r="C2" s="161"/>
      <c r="D2" s="161"/>
      <c r="E2" s="345"/>
      <c r="F2" s="346"/>
      <c r="G2" s="346"/>
      <c r="H2" s="346"/>
      <c r="I2" s="346"/>
      <c r="J2" s="346"/>
      <c r="K2" s="143" t="s">
        <v>4063</v>
      </c>
      <c r="L2" s="347" t="s">
        <v>4064</v>
      </c>
      <c r="M2" s="95" t="s">
        <v>4238</v>
      </c>
      <c r="N2" s="96" t="s">
        <v>4239</v>
      </c>
    </row>
    <row r="3" ht="37" customHeight="1" spans="1:14" x14ac:dyDescent="0.25">
      <c r="A3" s="160"/>
      <c r="B3" s="161"/>
      <c r="C3" s="161"/>
      <c r="D3" s="161"/>
      <c r="E3" s="345"/>
      <c r="F3" s="346"/>
      <c r="G3" s="346"/>
      <c r="H3" s="346"/>
      <c r="I3" s="346"/>
      <c r="J3" s="346"/>
      <c r="K3" s="143" t="s">
        <v>4084</v>
      </c>
      <c r="L3" s="347"/>
      <c r="M3" s="95" t="s">
        <v>4240</v>
      </c>
      <c r="N3" s="96"/>
    </row>
    <row r="4" ht="37" customHeight="1" spans="1:14" x14ac:dyDescent="0.25">
      <c r="A4" s="348"/>
      <c r="B4" s="164"/>
      <c r="C4" s="164"/>
      <c r="D4" s="164"/>
      <c r="E4" s="349"/>
      <c r="F4" s="350" t="s">
        <v>4114</v>
      </c>
      <c r="G4" s="350" t="s">
        <v>4115</v>
      </c>
      <c r="H4" s="350" t="s">
        <v>37</v>
      </c>
      <c r="I4" s="350" t="s">
        <v>4116</v>
      </c>
      <c r="J4" s="350" t="s">
        <v>4117</v>
      </c>
      <c r="K4" s="143" t="s">
        <v>4132</v>
      </c>
      <c r="L4" s="347"/>
      <c r="M4" s="95" t="s">
        <v>4241</v>
      </c>
      <c r="N4" s="96"/>
    </row>
    <row r="5" ht="37" customHeight="1" spans="1:14" x14ac:dyDescent="0.25">
      <c r="A5" s="165"/>
      <c r="B5" s="166"/>
      <c r="C5" s="166"/>
      <c r="D5" s="351"/>
      <c r="E5" s="352" t="s">
        <v>4242</v>
      </c>
      <c r="F5" s="351"/>
      <c r="G5" s="351"/>
      <c r="H5" s="351"/>
      <c r="I5" s="351" t="s">
        <v>4164</v>
      </c>
      <c r="J5" s="353" t="s">
        <v>4165</v>
      </c>
      <c r="K5" s="354" t="s">
        <v>4526</v>
      </c>
      <c r="L5" s="355">
        <f t="shared" ref="L5:L13" si="0">SUM(K5)</f>
        <v>0</v>
      </c>
      <c r="M5" s="356"/>
      <c r="N5" s="213">
        <f t="shared" ref="N5:N13" si="1">SUM(M5)</f>
        <v>0</v>
      </c>
    </row>
    <row r="6" ht="37" customHeight="1" spans="1:14" x14ac:dyDescent="0.25">
      <c r="A6" s="165"/>
      <c r="B6" s="166"/>
      <c r="C6" s="166"/>
      <c r="D6" s="151"/>
      <c r="E6" s="352" t="s">
        <v>4242</v>
      </c>
      <c r="F6" s="351"/>
      <c r="G6" s="351"/>
      <c r="H6" s="151"/>
      <c r="I6" s="351" t="s">
        <v>4173</v>
      </c>
      <c r="J6" s="353" t="s">
        <v>4174</v>
      </c>
      <c r="K6" s="357"/>
      <c r="L6" s="355">
        <f t="shared" si="0"/>
        <v>0</v>
      </c>
      <c r="M6" s="356"/>
      <c r="N6" s="213">
        <f t="shared" si="1"/>
        <v>0</v>
      </c>
    </row>
    <row r="7" ht="37" customHeight="1" spans="1:14" x14ac:dyDescent="0.25">
      <c r="A7" s="165"/>
      <c r="B7" s="166"/>
      <c r="C7" s="166"/>
      <c r="D7" s="151"/>
      <c r="E7" s="352" t="s">
        <v>4242</v>
      </c>
      <c r="F7" s="351"/>
      <c r="G7" s="351"/>
      <c r="H7" s="151"/>
      <c r="I7" s="351" t="s">
        <v>4175</v>
      </c>
      <c r="J7" s="353" t="s">
        <v>4176</v>
      </c>
      <c r="K7" s="357"/>
      <c r="L7" s="355">
        <f t="shared" si="0"/>
        <v>0</v>
      </c>
      <c r="M7" s="358"/>
      <c r="N7" s="213">
        <f t="shared" si="1"/>
        <v>0</v>
      </c>
    </row>
    <row r="8" ht="37" customHeight="1" spans="1:14" x14ac:dyDescent="0.25">
      <c r="A8" s="165"/>
      <c r="B8" s="166"/>
      <c r="C8" s="166"/>
      <c r="D8" s="151"/>
      <c r="E8" s="352" t="s">
        <v>4242</v>
      </c>
      <c r="F8" s="351"/>
      <c r="G8" s="351"/>
      <c r="H8" s="151"/>
      <c r="I8" s="351" t="s">
        <v>4177</v>
      </c>
      <c r="J8" s="353" t="s">
        <v>4178</v>
      </c>
      <c r="K8" s="357"/>
      <c r="L8" s="355">
        <f t="shared" si="0"/>
        <v>0</v>
      </c>
      <c r="M8" s="356"/>
      <c r="N8" s="213">
        <f t="shared" si="1"/>
        <v>0</v>
      </c>
    </row>
    <row r="9" ht="37" customHeight="1" spans="1:14" x14ac:dyDescent="0.25">
      <c r="A9" s="165"/>
      <c r="B9" s="166"/>
      <c r="C9" s="166"/>
      <c r="D9" s="151"/>
      <c r="E9" s="352" t="s">
        <v>4242</v>
      </c>
      <c r="F9" s="351"/>
      <c r="G9" s="351"/>
      <c r="H9" s="151"/>
      <c r="I9" s="351" t="s">
        <v>4179</v>
      </c>
      <c r="J9" s="353" t="s">
        <v>4180</v>
      </c>
      <c r="K9" s="357"/>
      <c r="L9" s="355">
        <f t="shared" si="0"/>
        <v>0</v>
      </c>
      <c r="M9" s="358"/>
      <c r="N9" s="213">
        <f t="shared" si="1"/>
        <v>0</v>
      </c>
    </row>
    <row r="10" ht="37" customHeight="1" spans="1:14" x14ac:dyDescent="0.25">
      <c r="A10" s="165"/>
      <c r="B10" s="166"/>
      <c r="C10" s="166"/>
      <c r="D10" s="151"/>
      <c r="E10" s="352" t="s">
        <v>4242</v>
      </c>
      <c r="F10" s="351"/>
      <c r="G10" s="351"/>
      <c r="H10" s="151"/>
      <c r="I10" s="351" t="s">
        <v>4181</v>
      </c>
      <c r="J10" s="353" t="s">
        <v>4182</v>
      </c>
      <c r="K10" s="357"/>
      <c r="L10" s="355">
        <f t="shared" si="0"/>
        <v>0</v>
      </c>
      <c r="M10" s="356"/>
      <c r="N10" s="213">
        <f t="shared" si="1"/>
        <v>0</v>
      </c>
    </row>
    <row r="11" ht="37" customHeight="1" spans="1:14" x14ac:dyDescent="0.25">
      <c r="A11" s="165"/>
      <c r="B11" s="166"/>
      <c r="C11" s="166"/>
      <c r="D11" s="151"/>
      <c r="E11" s="352" t="s">
        <v>4242</v>
      </c>
      <c r="F11" s="351"/>
      <c r="G11" s="351"/>
      <c r="H11" s="151"/>
      <c r="I11" s="351" t="s">
        <v>4183</v>
      </c>
      <c r="J11" s="353" t="s">
        <v>4184</v>
      </c>
      <c r="K11" s="357"/>
      <c r="L11" s="355">
        <f t="shared" si="0"/>
        <v>0</v>
      </c>
      <c r="M11" s="358"/>
      <c r="N11" s="213">
        <f t="shared" si="1"/>
        <v>0</v>
      </c>
    </row>
    <row r="12" ht="179" customHeight="1" spans="1:14" x14ac:dyDescent="0.25">
      <c r="A12" s="165"/>
      <c r="B12" s="166"/>
      <c r="C12" s="166"/>
      <c r="D12" s="151"/>
      <c r="E12" s="352" t="s">
        <v>4242</v>
      </c>
      <c r="F12" s="351"/>
      <c r="G12" s="351"/>
      <c r="H12" s="151"/>
      <c r="I12" s="351" t="s">
        <v>4185</v>
      </c>
      <c r="J12" s="353" t="s">
        <v>4186</v>
      </c>
      <c r="K12" s="354" t="s">
        <v>4527</v>
      </c>
      <c r="L12" s="355">
        <f t="shared" si="0"/>
        <v>0</v>
      </c>
      <c r="M12" s="194"/>
      <c r="N12" s="213">
        <f t="shared" si="1"/>
        <v>0</v>
      </c>
    </row>
    <row r="13" ht="167" customHeight="1" spans="1:14" x14ac:dyDescent="0.25">
      <c r="A13" s="165"/>
      <c r="B13" s="166"/>
      <c r="C13" s="166"/>
      <c r="D13" s="151"/>
      <c r="E13" s="352" t="s">
        <v>4242</v>
      </c>
      <c r="F13" s="351"/>
      <c r="G13" s="351"/>
      <c r="H13" s="151"/>
      <c r="I13" s="351" t="s">
        <v>4187</v>
      </c>
      <c r="J13" s="353" t="s">
        <v>4188</v>
      </c>
      <c r="K13" s="354" t="s">
        <v>4528</v>
      </c>
      <c r="L13" s="355">
        <f t="shared" si="0"/>
        <v>0</v>
      </c>
      <c r="M13" s="194"/>
      <c r="N13" s="213">
        <f t="shared" si="1"/>
        <v>0</v>
      </c>
    </row>
    <row r="14" ht="37" customHeight="1" spans="1:14" x14ac:dyDescent="0.25">
      <c r="A14" s="359"/>
      <c r="B14" s="360"/>
      <c r="C14" s="360"/>
      <c r="D14" s="360"/>
      <c r="E14" s="361"/>
      <c r="F14" s="362"/>
      <c r="G14" s="362"/>
      <c r="H14" s="362"/>
      <c r="I14" s="363"/>
      <c r="J14" s="364" t="s">
        <v>4189</v>
      </c>
      <c r="K14" s="355">
        <f>SUM(K5:K13)</f>
        <v>0</v>
      </c>
      <c r="L14" s="355">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4"/>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J145"/>
  <sheetViews>
    <sheetView workbookViewId="0" zoomScale="100" zoomScaleNormal="100">
      <selection activeCell="H18" sqref="H18"/>
    </sheetView>
  </sheetViews>
  <sheetFormatPr defaultRowHeight="15" outlineLevelRow="0" outlineLevelCol="0" x14ac:dyDescent="0.2"/>
  <cols>
    <col min="1" max="2" width="10.83203125" hidden="1" customWidth="1"/>
    <col min="3" max="3" width="9.83203125" customWidth="1"/>
    <col min="6" max="6" width="73.83203125" customWidth="1"/>
    <col min="7" max="16" width="13.33203125" customWidth="1"/>
  </cols>
  <sheetData>
    <row r="1" ht="80" customHeight="1" spans="1:62" s="40" customFormat="1" x14ac:dyDescent="0.25">
      <c r="A1" s="41" t="s">
        <v>4243</v>
      </c>
      <c r="B1" s="42"/>
      <c r="C1" s="42"/>
      <c r="D1" s="41" t="s">
        <v>4244</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row>
    <row r="2" ht="15" customHeight="1" hidden="1" spans="1:17" x14ac:dyDescent="0.25">
      <c r="A2" s="175"/>
      <c r="B2" s="176"/>
      <c r="C2" s="176"/>
      <c r="D2" s="176"/>
      <c r="E2" s="176"/>
      <c r="F2" s="176"/>
      <c r="G2" s="177" t="s">
        <v>4238</v>
      </c>
      <c r="H2" s="177" t="s">
        <v>4238</v>
      </c>
      <c r="I2" s="177" t="s">
        <v>4238</v>
      </c>
      <c r="J2" s="177" t="s">
        <v>4238</v>
      </c>
      <c r="K2" s="177" t="s">
        <v>4238</v>
      </c>
      <c r="L2" s="177" t="s">
        <v>4238</v>
      </c>
      <c r="M2" s="177" t="s">
        <v>4238</v>
      </c>
      <c r="N2" s="177" t="s">
        <v>4238</v>
      </c>
      <c r="O2" s="177" t="s">
        <v>4238</v>
      </c>
      <c r="P2" s="177" t="s">
        <v>4238</v>
      </c>
      <c r="Q2" s="178" t="s">
        <v>4245</v>
      </c>
    </row>
    <row r="3" ht="24" customHeight="1" hidden="1" spans="1:17" x14ac:dyDescent="0.25">
      <c r="A3" s="175"/>
      <c r="B3" s="176"/>
      <c r="C3" s="176"/>
      <c r="D3" s="176"/>
      <c r="E3" s="176"/>
      <c r="F3" s="176"/>
      <c r="G3" s="177" t="s">
        <v>4246</v>
      </c>
      <c r="H3" s="177" t="s">
        <v>4247</v>
      </c>
      <c r="I3" s="177" t="s">
        <v>4240</v>
      </c>
      <c r="J3" s="177" t="s">
        <v>4248</v>
      </c>
      <c r="K3" s="177" t="s">
        <v>4249</v>
      </c>
      <c r="L3" s="177" t="s">
        <v>4250</v>
      </c>
      <c r="M3" s="177" t="s">
        <v>4251</v>
      </c>
      <c r="N3" s="177" t="s">
        <v>4252</v>
      </c>
      <c r="O3" s="177" t="s">
        <v>4253</v>
      </c>
      <c r="P3" s="177" t="s">
        <v>4254</v>
      </c>
      <c r="Q3" s="178"/>
    </row>
    <row r="4" ht="36" customHeight="1" spans="1:17" x14ac:dyDescent="0.25">
      <c r="A4" s="179"/>
      <c r="B4" s="180" t="s">
        <v>4114</v>
      </c>
      <c r="C4" s="180" t="s">
        <v>4115</v>
      </c>
      <c r="D4" s="180" t="s">
        <v>37</v>
      </c>
      <c r="E4" s="180" t="s">
        <v>4255</v>
      </c>
      <c r="F4" s="181" t="s">
        <v>4117</v>
      </c>
      <c r="G4" s="177" t="s">
        <v>4256</v>
      </c>
      <c r="H4" s="177" t="s">
        <v>4257</v>
      </c>
      <c r="I4" s="177" t="s">
        <v>4258</v>
      </c>
      <c r="J4" s="177" t="s">
        <v>4241</v>
      </c>
      <c r="K4" s="177" t="s">
        <v>4259</v>
      </c>
      <c r="L4" s="177" t="s">
        <v>4260</v>
      </c>
      <c r="M4" s="177" t="s">
        <v>4261</v>
      </c>
      <c r="N4" s="177" t="s">
        <v>4262</v>
      </c>
      <c r="O4" s="177" t="s">
        <v>4263</v>
      </c>
      <c r="P4" s="177" t="s">
        <v>4264</v>
      </c>
      <c r="Q4" s="178"/>
    </row>
    <row r="5" spans="1:17" x14ac:dyDescent="0.25">
      <c r="A5" s="182" t="s">
        <v>4265</v>
      </c>
      <c r="B5" s="183"/>
      <c r="C5" s="183"/>
      <c r="D5" s="183">
        <f>ETPT_JUR_ASS_DDG!D5</f>
        <v>0</v>
      </c>
      <c r="E5" s="183" t="s">
        <v>4164</v>
      </c>
      <c r="F5" s="184" t="s">
        <v>4165</v>
      </c>
      <c r="G5" s="185"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5"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6"/>
      <c r="J5" s="187" t="e">
        <f t="array" ref="J5">SUM(SUMIFS(
INDEX( 'ETPT Format DDG'!$A:$ZZ,,MATCH("2. TOTAL CONTENTIEUX JAF",'ETPT Format DDG'!2:2,0)),
INDEX( 'ETPT Format DDG'!$A:$ZZ,,MATCH("Fonction recodée",'ETPT Format DDG'!2:2,0)),{"JA/AttJ JAP";"JA/AttJ JE";"JA/AttJ JI";"JA/AttJ JLD";"JA/AttJ Parquet";"JA/AttJ Siège autres";"JA/AttJ Social"},
INDEX( 'ETPT Format DDG'!$A:$ZZ,,MATCH("Juridiction",'ETPT Format DDG'!2:2,0)),$D$5))+
SUM(SUMIFS(
INDEX( 'ETPT Format DDG'!$A:$ZZ,,MATCH("3. TOTAL CONTENTIEUX DE LA PROTECTION",'ETPT Format DDG'!2:2,0)),
INDEX( 'ETPT Format DDG'!$A:$ZZ,,MATCH("Fonction recodée",'ETPT Format DDG'!2:2,0)),{"JA/AttJ JAP";"JA/AttJ JE";"JA/AttJ JI";"JA/AttJ JLD";"JA/AttJ Parquet";"JA/AttJ Siège autres";"JA/AttJ Social"},
INDEX( 'ETPT Format DDG'!$A:$ZZ,,MATCH("Juridiction",'ETPT Format DDG'!2:2,0)),$D$5))+
SUM(SUMIFS(
INDEX( 'ETPT Format DDG'!$A:$ZZ,,MATCH("4. TOTAL CIVIL NON SPÉCIALISÉ",'ETPT Format DDG'!2:2,0)),
INDEX( 'ETPT Format DDG'!$A:$ZZ,,MATCH("Fonction recodée",'ETPT Format DDG'!2:2,0)),{"JA/AttJ JAP";"JA/AttJ JE";"JA/AttJ JI";"JA/AttJ JLD";"JA/AttJ Parquet";"JA/AttJ Siège autres";"JA/AttJ Social"},
INDEX( 'ETPT Format DDG'!$A:$ZZ,,MATCH("Juridiction",'ETPT Format DDG'!2:2,0)),$D$5))+
SUM(SUMIFS(
INDEX( 'ETPT Format DDG'!$A:$ZZ,,MATCH("11.7. FONCTIONNAIRES AFFECTÉS AU CPH",'ETPT Format DDG'!2:2,0)),
INDEX( 'ETPT Format DDG'!$A:$ZZ,,MATCH("Fonction recodée",'ETPT Format DDG'!2:2,0)),{"JA/AttJ JAP";"JA/AttJ JE";"JA/AttJ JI";"JA/AttJ JLD";"JA/AttJ Parquet";"JA/AttJ Siège autres";"JA/AttJ Social"},
INDEX( 'ETPT Format DDG'!$A:$ZZ,,MATCH("Juridiction",'ETPT Format DDG'!2:2,0)),$D$5))</f>
        <v>#N/A</v>
      </c>
      <c r="K5" s="187" t="e">
        <f t="array" ref="K5">SUM(SUMIFS(
INDEX( 'ETPT Format DDG'!$A:$ZZ,,MATCH("11.8. FONCTIONNAIRES AFFECTÉS AUX ACTIVITÉS CIVILES ET COMMERCIALES DU PARQUET",'ETPT Format DDG'!2:2,0)),
INDEX( 'ETPT Format DDG'!$A:$ZZ,,MATCH("Fonction recodée",'ETPT Format DDG'!2:2,0)),{"JA/AttJ JAP";"JA/AttJ JE";"JA/AttJ JI";"JA/AttJ JLD";"JA/AttJ Parquet";"JA/AttJ Siège autres";"JA/AttJ Social"},
INDEX( 'ETPT Format DDG'!$A:$ZZ,,MATCH("Juridiction",'ETPT Format DDG'!2:2,0)),$D$5))</f>
        <v>#N/A</v>
      </c>
      <c r="L5" s="187" t="e">
        <f t="array" ref="L5">SUM(SUMIFS(
INDEX( 'ETPT Format DDG'!$A:$ZZ,,MATCH("1. TOTAL CONTENTIEUX SOCIAL",'ETPT Format DDG'!2:2,0)),
INDEX( 'ETPT Format DDG'!$A:$ZZ,,MATCH("Fonction recodée",'ETPT Format DDG'!2:2,0)),{"JA/AttJ JAP";"JA/AttJ JE";"JA/AttJ JI";"JA/AttJ JLD";"JA/AttJ Parquet";"JA/AttJ Siège autres";"JA/AttJ Social"},
INDEX( 'ETPT Format DDG'!$A:$ZZ,,MATCH("Juridiction",'ETPT Format DDG'!2:2,0)),$D$5))</f>
        <v>#N/A</v>
      </c>
      <c r="M5" s="187"/>
      <c r="N5" s="187" t="e">
        <f t="array" ref="N5">SUM(SUMIFS(
INDEX( 'ETPT Format DDG'!$A:$ZZ,,MATCH("6.1. ACTIVITÉ CIVILE",'ETPT Format DDG'!2:2,0)),
INDEX( 'ETPT Format DDG'!$A:$ZZ,,MATCH("Fonction recodée",'ETPT Format DDG'!2:2,0)),{"JA/AttJ JAP";"JA/AttJ JE";"JA/AttJ JI";"JA/AttJ JLD";"JA/AttJ Parquet";"JA/AttJ Siège autres";"JA/AttJ Social"},
INDEX( 'ETPT Format DDG'!$A:$ZZ,,MATCH("Juridiction",'ETPT Format DDG'!2:2,0)),$D$5))</f>
        <v>#N/A</v>
      </c>
      <c r="O5" s="187"/>
      <c r="P5" s="187" t="e">
        <f t="array" ref="P5">SUM(SUMIFS(
INDEX( 'ETPT Format DDG'!$A:$ZZ,,MATCH("5. TOTAL JLD CIVIL",'ETPT Format DDG'!2:2,0)),
INDEX( 'ETPT Format DDG'!$A:$ZZ,,MATCH("Fonction recodée",'ETPT Format DDG'!2:2,0)),{"JA/AttJ JAP";"JA/AttJ JE";"JA/AttJ JI";"JA/AttJ JLD";"JA/AttJ Parquet";"JA/AttJ Siège autres";"JA/AttJ Social"},
INDEX( 'ETPT Format DDG'!$A:$ZZ,,MATCH("Juridiction",'ETPT Format DDG'!2:2,0)),$D$5))</f>
        <v>#N/A</v>
      </c>
      <c r="Q5" s="188">
        <f>_xlfn.AGGREGATE(9,6,G5:P5)</f>
        <v>0</v>
      </c>
    </row>
    <row r="6" spans="1:17" x14ac:dyDescent="0.25">
      <c r="A6" s="182" t="s">
        <v>4265</v>
      </c>
      <c r="B6" s="183"/>
      <c r="C6" s="183"/>
      <c r="D6" s="183">
        <f>ETPT_JUR_ASS_DDG!D6</f>
        <v>0</v>
      </c>
      <c r="E6" s="183" t="s">
        <v>4166</v>
      </c>
      <c r="F6" s="184" t="s">
        <v>4167</v>
      </c>
      <c r="G6" s="185"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5"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6"/>
      <c r="J6" s="187" t="e">
        <f t="array" ref="J6">SUM(SUMIFS(
INDEX( 'ETPT Format DDG'!$A:$ZZ,,MATCH("7. TOTAL SIÈGE PÉNAL",'ETPT Format DDG'!2:2,0)),
INDEX( 'ETPT Format DDG'!$A:$ZZ,,MATCH("Fonction recodée",'ETPT Format DDG'!2:2,0)),{"JA/AttJ JAP";"JA/AttJ JE";"JA/AttJ JI";"JA/AttJ JLD";"JA/AttJ Parquet";"JA/AttJ Siège autres";"JA/AttJ Social"},
INDEX( 'ETPT Format DDG'!$A:$ZZ,,MATCH("Juridiction",'ETPT Format DDG'!2:2,0)),$D$5))</f>
        <v>#N/A</v>
      </c>
      <c r="K6" s="187" t="e">
        <f t="array" ref="K6">SUM(SUMIFS(
INDEX( 'ETPT Format DDG'!$A:$ZZ,,MATCH("11.9. FONCTIONNAIRES AFFECTÉS À L'EXÉCUTION DES PEINES",'ETPT Format DDG'!2:2,0)),
INDEX( 'ETPT Format DDG'!$A:$ZZ,,MATCH("Fonction recodée",'ETPT Format DDG'!2:2,0)),{"JA/AttJ JAP";"JA/AttJ JE";"JA/AttJ JI";"JA/AttJ JLD";"JA/AttJ Parquet";"JA/AttJ Siège autres";"JA/AttJ Social"},
INDEX( 'ETPT Format DDG'!$A:$ZZ,,MATCH("Juridiction",'ETPT Format DDG'!2:2,0)),$D$5))+
SUM(SUMIFS(
INDEX( 'ETPT Format DDG'!$A:$ZZ,,MATCH("11.10. AUTRES FONCTIONNAIRES AFFECTÉS AU PARQUET",'ETPT Format DDG'!2:2,0)),
INDEX( 'ETPT Format DDG'!$A:$ZZ,,MATCH("Fonction recodée",'ETPT Format DDG'!2:2,0)),{"JA/AttJ JAP";"JA/AttJ JE";"JA/AttJ JI";"JA/AttJ JLD";"JA/AttJ Parquet";"JA/AttJ Siège autres";"JA/AttJ Social"},
INDEX( 'ETPT Format DDG'!$A:$ZZ,,MATCH("Juridiction",'ETPT Format DDG'!2:2,0)),$D$5))</f>
        <v>#N/A</v>
      </c>
      <c r="L6" s="187"/>
      <c r="M6" s="187" t="e">
        <f t="array" ref="M6">SUM(SUMIFS(
INDEX( 'ETPT Format DDG'!$A:$ZZ,,MATCH("9. TOTAL JAP",'ETPT Format DDG'!2:2,0)),
INDEX( 'ETPT Format DDG'!$A:$ZZ,,MATCH("Fonction recodée",'ETPT Format DDG'!2:2,0)),{"JA/AttJ JAP";"JA/AttJ JE";"JA/AttJ JI";"JA/AttJ JLD";"JA/AttJ Parquet";"JA/AttJ Siège autres";"JA/AttJ Social"},
INDEX( 'ETPT Format DDG'!$A:$ZZ,,MATCH("Juridiction",'ETPT Format DDG'!2:2,0)),$D$5))</f>
        <v>#N/A</v>
      </c>
      <c r="N6" s="187" t="e">
        <f t="array" ref="N6">SUM(SUMIFS(
INDEX( 'ETPT Format DDG'!$A:$ZZ,,MATCH("6.2. ACTIVITÉ PÉNALE",'ETPT Format DDG'!2:2,0)),
INDEX( 'ETPT Format DDG'!$A:$ZZ,,MATCH("Fonction recodée",'ETPT Format DDG'!2:2,0)),{"JA/AttJ JAP";"JA/AttJ JE";"JA/AttJ JI";"JA/AttJ JLD";"JA/AttJ Parquet";"JA/AttJ Siège autres";"JA/AttJ Social"},
INDEX( 'ETPT Format DDG'!$A:$ZZ,,MATCH("Juridiction",'ETPT Format DDG'!2:2,0)),$D$5))</f>
        <v>#N/A</v>
      </c>
      <c r="O6" s="187" t="e">
        <f t="array" ref="O6">SUM(SUMIFS(
INDEX( 'ETPT Format DDG'!$A:$ZZ,,MATCH("8. TOTAL JUGES D'INSTRUCTION",'ETPT Format DDG'!2:2,0)),
INDEX( 'ETPT Format DDG'!$A:$ZZ,,MATCH("Fonction recodée",'ETPT Format DDG'!2:2,0)),{"JA/AttJ JAP";"JA/AttJ JE";"JA/AttJ JI";"JA/AttJ JLD";"JA/AttJ Parquet";"JA/AttJ Siège autres";"JA/AttJ Social"},
INDEX( 'ETPT Format DDG'!$A:$ZZ,,MATCH("Juridiction",'ETPT Format DDG'!2:2,0)),$D$5))</f>
        <v>#N/A</v>
      </c>
      <c r="P6" s="187" t="e">
        <f t="array" ref="P6">SUM(SUMIFS(
INDEX( 'ETPT Format DDG'!$A:$ZZ,,MATCH("10. TOTAL JLD PÉNAL",'ETPT Format DDG'!2:2,0)),
INDEX( 'ETPT Format DDG'!$A:$ZZ,,MATCH("Fonction recodée",'ETPT Format DDG'!2:2,0)),{"JA/AttJ JAP";"JA/AttJ JE";"JA/AttJ JI";"JA/AttJ JLD";"JA/AttJ Parquet";"JA/AttJ Siège autres";"JA/AttJ Social"},
INDEX( 'ETPT Format DDG'!$A:$ZZ,,MATCH("Juridiction",'ETPT Format DDG'!2:2,0)),$D$5))</f>
        <v>#N/A</v>
      </c>
      <c r="Q6" s="188">
        <f t="shared" ref="Q6:Q11" si="0">_xlfn.AGGREGATE(9,6,G6:P6)</f>
        <v>0</v>
      </c>
    </row>
    <row r="7" spans="1:17" x14ac:dyDescent="0.25">
      <c r="A7" s="182" t="s">
        <v>4265</v>
      </c>
      <c r="B7" s="183"/>
      <c r="C7" s="183"/>
      <c r="D7" s="183">
        <f>ETPT_JUR_ASS_DDG!D7</f>
        <v>0</v>
      </c>
      <c r="E7" s="183" t="s">
        <v>4173</v>
      </c>
      <c r="F7" s="184" t="s">
        <v>4174</v>
      </c>
      <c r="G7" s="185"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5"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6"/>
      <c r="J7" s="187" t="e">
        <f>SUM(SUMIFS(
INDEX( 'ETPT Format DDG'!$A:$ZZ,,MATCH("11.51. ACCUEIL DU JUSTICIABLE (DONT SAUJ)",'ETPT Format DDG'!2:2,0)),
INDEX( 'ETPT Format DDG'!$A:$ZZ,,MATCH("Fonction recodée",'ETPT Format DDG'!2:2,0)),"JA/AttJ Siège autres",
INDEX( 'ETPT Format DDG'!$A:$ZZ,,MATCH("Juridiction",'ETPT Format DDG'!2:2,0)),$D$5))</f>
        <v>#N/A</v>
      </c>
      <c r="K7" s="187" t="e">
        <f>SUM(SUMIFS(
INDEX( 'ETPT Format DDG'!$A:$ZZ,,MATCH("11.51. ACCUEIL DU JUSTICIABLE (DONT SAUJ)",'ETPT Format DDG'!2:2,0)),
INDEX( 'ETPT Format DDG'!$A:$ZZ,,MATCH("Fonction recodée",'ETPT Format DDG'!2:2,0)),"JA/AttJ Parquet",
INDEX( 'ETPT Format DDG'!$A:$ZZ,,MATCH("Juridiction",'ETPT Format DDG'!2:2,0)),$D$5))</f>
        <v>#N/A</v>
      </c>
      <c r="L7" s="187" t="e">
        <f>SUM(SUMIFS(
INDEX( 'ETPT Format DDG'!$A:$ZZ,,MATCH("11.51. ACCUEIL DU JUSTICIABLE (DONT SAUJ)",'ETPT Format DDG'!2:2,0)),
INDEX( 'ETPT Format DDG'!$A:$ZZ,,MATCH("Fonction recodée",'ETPT Format DDG'!2:2,0)),"JA/AttJ Social",
INDEX( 'ETPT Format DDG'!$A:$ZZ,,MATCH("Juridiction",'ETPT Format DDG'!2:2,0)),$D$5))</f>
        <v>#N/A</v>
      </c>
      <c r="M7" s="187" t="e">
        <f>SUM(SUMIFS(
INDEX( 'ETPT Format DDG'!$A:$ZZ,,MATCH("11.51. ACCUEIL DU JUSTICIABLE (DONT SAUJ)",'ETPT Format DDG'!2:2,0)),
INDEX( 'ETPT Format DDG'!$A:$ZZ,,MATCH("Fonction recodée",'ETPT Format DDG'!2:2,0)),"JA/AttJ JAP",
INDEX( 'ETPT Format DDG'!$A:$ZZ,,MATCH("Juridiction",'ETPT Format DDG'!2:2,0)),$D$5))</f>
        <v>#N/A</v>
      </c>
      <c r="N7" s="187" t="e">
        <f>SUM(SUMIFS(
INDEX( 'ETPT Format DDG'!$A:$ZZ,,MATCH("11.51. ACCUEIL DU JUSTICIABLE (DONT SAUJ)",'ETPT Format DDG'!2:2,0)),
INDEX( 'ETPT Format DDG'!$A:$ZZ,,MATCH("Fonction recodée",'ETPT Format DDG'!2:2,0)),"JA/AttJ JE",
INDEX( 'ETPT Format DDG'!$A:$ZZ,,MATCH("Juridiction",'ETPT Format DDG'!2:2,0)),$D$5))</f>
        <v>#N/A</v>
      </c>
      <c r="O7" s="187" t="e">
        <f>SUM(SUMIFS(
INDEX( 'ETPT Format DDG'!$A:$ZZ,,MATCH("11.51. ACCUEIL DU JUSTICIABLE (DONT SAUJ)",'ETPT Format DDG'!2:2,0)),
INDEX( 'ETPT Format DDG'!$A:$ZZ,,MATCH("Fonction recodée",'ETPT Format DDG'!2:2,0)),"JA/AttJ JI",
INDEX( 'ETPT Format DDG'!$A:$ZZ,,MATCH("Juridiction",'ETPT Format DDG'!2:2,0)),$D$5))</f>
        <v>#N/A</v>
      </c>
      <c r="P7" s="187" t="e">
        <f>SUM(SUMIFS(
INDEX( 'ETPT Format DDG'!$A:$ZZ,,MATCH("11.51. ACCUEIL DU JUSTICIABLE (DONT SAUJ)",'ETPT Format DDG'!2:2,0)),
INDEX( 'ETPT Format DDG'!$A:$ZZ,,MATCH("Fonction recodée",'ETPT Format DDG'!2:2,0)),"JA/AttJ JLD",
INDEX( 'ETPT Format DDG'!$A:$ZZ,,MATCH("Juridiction",'ETPT Format DDG'!2:2,0)),$D$5))</f>
        <v>#N/A</v>
      </c>
      <c r="Q7" s="188">
        <f t="shared" si="0"/>
        <v>0</v>
      </c>
    </row>
    <row r="8" spans="1:17" x14ac:dyDescent="0.25">
      <c r="A8" s="182" t="s">
        <v>4265</v>
      </c>
      <c r="B8" s="183"/>
      <c r="C8" s="183"/>
      <c r="D8" s="183">
        <f>ETPT_JUR_ASS_DDG!D8</f>
        <v>0</v>
      </c>
      <c r="E8" s="183" t="s">
        <v>4175</v>
      </c>
      <c r="F8" s="184" t="s">
        <v>4176</v>
      </c>
      <c r="G8" s="185"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5"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6"/>
      <c r="J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K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L8" s="187" t="e">
        <f>SUM(SUMIFS(
INDEX( 'ETPT Format DDG'!$A:$ZZ,,MATCH("11.1. SOUTIEN (HORS FORMATIONS SUIVIES)",'ETPT Format DDG'!2:2,0)),
INDEX( 'ETPT Format DDG'!$A:$ZZ,,MATCH("Fonction recodée",'ETPT Format DDG'!2:2,0)),"JA/AttJ Social",
INDEX( 'ETPT Format DDG'!$A:$ZZ,,MATCH("Juridiction",'ETPT Format DDG'!2:2,0)),$D$5))+
SUM(SUMIFS(
INDEX( 'ETPT Format DDG'!$A:$ZZ,,MATCH("11.2. FORMATIONS SUIVIES",'ETPT Format DDG'!2:2,0)),
INDEX( 'ETPT Format DDG'!$A:$ZZ,,MATCH("Fonction recodée",'ETPT Format DDG'!2:2,0)),"JA/AttJ Social",
INDEX( 'ETPT Format DDG'!$A:$ZZ,,MATCH("Juridiction",'ETPT Format DDG'!2:2,0)),$D$5))+
SUM(SUMIFS(
INDEX( 'ETPT Format DDG'!$A:$ZZ,,MATCH("11.6. AUTRES ACTIVITÉS NON JURIDICTIONNELLES",'ETPT Format DDG'!2:2,0)),
INDEX( 'ETPT Format DDG'!$A:$ZZ,,MATCH("Fonction recodée",'ETPT Format DDG'!2:2,0)),"JA/AttJ Social",
INDEX( 'ETPT Format DDG'!$A:$ZZ,,MATCH("Juridiction",'ETPT Format DDG'!2:2,0)),$D$5))</f>
        <v>#N/A</v>
      </c>
      <c r="M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N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O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P8" s="187" t="e">
        <f>SUM(SUMIFS(
INDEX( 'ETPT Format DDG'!$A:$ZZ,,MATCH("11.1. SOUTIEN (HORS FORMATIONS SUIVIES)",'ETPT Format DDG'!2:2,0)),
INDEX( 'ETPT Format DDG'!$A:$ZZ,,MATCH("Fonction recodée",'ETPT Format DDG'!2:2,0)),"JA/AttJ JLD",
INDEX( 'ETPT Format DDG'!$A:$ZZ,,MATCH("Juridiction",'ETPT Format DDG'!2:2,0)),$D$5))+
SUM(SUMIFS(
INDEX( 'ETPT Format DDG'!$A:$ZZ,,MATCH("11.2. FORMATIONS SUIVIES",'ETPT Format DDG'!2:2,0)),
INDEX( 'ETPT Format DDG'!$A:$ZZ,,MATCH("Fonction recodée",'ETPT Format DDG'!2:2,0)),"JA/AttJ JLD",
INDEX( 'ETPT Format DDG'!$A:$ZZ,,MATCH("Juridiction",'ETPT Format DDG'!2:2,0)),$D$5))+
SUM(SUMIFS(
INDEX( 'ETPT Format DDG'!$A:$ZZ,,MATCH("11.6. AUTRES ACTIVITÉS NON JURIDICTIONNELLES",'ETPT Format DDG'!2:2,0)),
INDEX( 'ETPT Format DDG'!$A:$ZZ,,MATCH("Fonction recodée",'ETPT Format DDG'!2:2,0)),"JA/AttJ JLD",
INDEX( 'ETPT Format DDG'!$A:$ZZ,,MATCH("Juridiction",'ETPT Format DDG'!2:2,0)),$D$5))</f>
        <v>#N/A</v>
      </c>
      <c r="Q8" s="188">
        <f t="shared" si="0"/>
        <v>0</v>
      </c>
    </row>
    <row r="9" spans="1:17" x14ac:dyDescent="0.25">
      <c r="A9" s="182" t="s">
        <v>4265</v>
      </c>
      <c r="B9" s="183"/>
      <c r="C9" s="183"/>
      <c r="D9" s="183">
        <f>ETPT_JUR_ASS_DDG!D9</f>
        <v>0</v>
      </c>
      <c r="E9" s="183" t="s">
        <v>4177</v>
      </c>
      <c r="F9" s="184" t="s">
        <v>4178</v>
      </c>
      <c r="G9" s="185" t="e">
        <f t="array" ref="G9">SUM(SUMIFS(
INDEX( 'ETPT Format DDG'!$A:$ZZ,,MATCH("11.3. FORMATIONS DISPENSÉES",'ETPT Format DDG'!2:2,0)),
INDEX( 'ETPT Format DDG'!$A:$ZZ,,MATCH("Fonction recodée",'ETPT Format DDG'!2:2,0)),{"CONT A JP Siège";"CONT A VIF Siège"},
INDEX( 'ETPT Format DDG'!$A:$ZZ,,MATCH("Juridiction",'ETPT Format DDG'!2:2,0)),$D$5))</f>
        <v>#N/A</v>
      </c>
      <c r="H9" s="185"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6"/>
      <c r="J9" s="187" t="e">
        <f>SUM(SUMIFS(
INDEX( 'ETPT Format DDG'!$A:$ZZ,,MATCH("11.3. FORMATIONS DISPENSÉES",'ETPT Format DDG'!2:2,0)),
INDEX( 'ETPT Format DDG'!$A:$ZZ,,MATCH("Fonction recodée",'ETPT Format DDG'!2:2,0)),"JA/AttJ Siège autres",
INDEX( 'ETPT Format DDG'!$A:$ZZ,,MATCH("Juridiction",'ETPT Format DDG'!2:2,0)),$D$5))</f>
        <v>#N/A</v>
      </c>
      <c r="K9" s="187" t="e">
        <f>SUM(SUMIFS(
INDEX( 'ETPT Format DDG'!$A:$ZZ,,MATCH("11.3. FORMATIONS DISPENSÉES",'ETPT Format DDG'!2:2,0)),
INDEX( 'ETPT Format DDG'!$A:$ZZ,,MATCH("Fonction recodée",'ETPT Format DDG'!2:2,0)),"JA/AttJ Parquet",
INDEX( 'ETPT Format DDG'!$A:$ZZ,,MATCH("Juridiction",'ETPT Format DDG'!2:2,0)),$D$5))</f>
        <v>#N/A</v>
      </c>
      <c r="L9" s="187" t="e">
        <f>SUM(SUMIFS(
INDEX( 'ETPT Format DDG'!$A:$ZZ,,MATCH("11.3. FORMATIONS DISPENSÉES",'ETPT Format DDG'!2:2,0)),
INDEX( 'ETPT Format DDG'!$A:$ZZ,,MATCH("Fonction recodée",'ETPT Format DDG'!2:2,0)),"JA/AttJ Social",
INDEX( 'ETPT Format DDG'!$A:$ZZ,,MATCH("Juridiction",'ETPT Format DDG'!2:2,0)),$D$5))</f>
        <v>#N/A</v>
      </c>
      <c r="M9" s="187" t="e">
        <f>SUM(SUMIFS(
INDEX( 'ETPT Format DDG'!$A:$ZZ,,MATCH("11.3. FORMATIONS DISPENSÉES",'ETPT Format DDG'!2:2,0)),
INDEX( 'ETPT Format DDG'!$A:$ZZ,,MATCH("Fonction recodée",'ETPT Format DDG'!2:2,0)),"JA/AttJ JAP",
INDEX( 'ETPT Format DDG'!$A:$ZZ,,MATCH("Juridiction",'ETPT Format DDG'!2:2,0)),$D$5))</f>
        <v>#N/A</v>
      </c>
      <c r="N9" s="187" t="e">
        <f>SUM(SUMIFS(
INDEX( 'ETPT Format DDG'!$A:$ZZ,,MATCH("11.3. FORMATIONS DISPENSÉES",'ETPT Format DDG'!2:2,0)),
INDEX( 'ETPT Format DDG'!$A:$ZZ,,MATCH("Fonction recodée",'ETPT Format DDG'!2:2,0)),"JA/AttJ JE",
INDEX( 'ETPT Format DDG'!$A:$ZZ,,MATCH("Juridiction",'ETPT Format DDG'!2:2,0)),$D$5))</f>
        <v>#N/A</v>
      </c>
      <c r="O9" s="187" t="e">
        <f>SUM(SUMIFS(
INDEX( 'ETPT Format DDG'!$A:$ZZ,,MATCH("11.3. FORMATIONS DISPENSÉES",'ETPT Format DDG'!2:2,0)),
INDEX( 'ETPT Format DDG'!$A:$ZZ,,MATCH("Fonction recodée",'ETPT Format DDG'!2:2,0)),"JA/AttJ JI",
INDEX( 'ETPT Format DDG'!$A:$ZZ,,MATCH("Juridiction",'ETPT Format DDG'!2:2,0)),$D$5))</f>
        <v>#N/A</v>
      </c>
      <c r="P9" s="187" t="e">
        <f>SUM(SUMIFS(
INDEX( 'ETPT Format DDG'!$A:$ZZ,,MATCH("11.3. FORMATIONS DISPENSÉES",'ETPT Format DDG'!2:2,0)),
INDEX( 'ETPT Format DDG'!$A:$ZZ,,MATCH("Fonction recodée",'ETPT Format DDG'!2:2,0)),"JA/AttJ JLD",
INDEX( 'ETPT Format DDG'!$A:$ZZ,,MATCH("Juridiction",'ETPT Format DDG'!2:2,0)),$D$5))</f>
        <v>#N/A</v>
      </c>
      <c r="Q9" s="188">
        <f t="shared" si="0"/>
        <v>0</v>
      </c>
    </row>
    <row r="10" spans="1:17" x14ac:dyDescent="0.25">
      <c r="A10" s="182" t="s">
        <v>4265</v>
      </c>
      <c r="B10" s="183"/>
      <c r="C10" s="183"/>
      <c r="D10" s="183">
        <f>ETPT_JUR_ASS_DDG!D10</f>
        <v>0</v>
      </c>
      <c r="E10" s="183" t="s">
        <v>4179</v>
      </c>
      <c r="F10" s="184" t="s">
        <v>4180</v>
      </c>
      <c r="G10" s="185"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5"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6"/>
      <c r="J10" s="187" t="e">
        <f>SUM(SUMIFS(
INDEX( 'ETPT Format DDG'!$A:$ZZ,,MATCH("11.4. ACCÈS AU DROIT ET À LA JUSTICE",'ETPT Format DDG'!2:2,0)),
INDEX( 'ETPT Format DDG'!$A:$ZZ,,MATCH("Fonction recodée",'ETPT Format DDG'!2:2,0)),"JA/AttJ Siège autres",
INDEX( 'ETPT Format DDG'!$A:$ZZ,,MATCH("Juridiction",'ETPT Format DDG'!2:2,0)),$D$5))</f>
        <v>#N/A</v>
      </c>
      <c r="K10" s="187" t="e">
        <f>SUM(SUMIFS(
INDEX( 'ETPT Format DDG'!$A:$ZZ,,MATCH("11.4. ACCÈS AU DROIT ET À LA JUSTICE",'ETPT Format DDG'!2:2,0)),
INDEX( 'ETPT Format DDG'!$A:$ZZ,,MATCH("Fonction recodée",'ETPT Format DDG'!2:2,0)),"JA/AttJ Parquet",
INDEX( 'ETPT Format DDG'!$A:$ZZ,,MATCH("Juridiction",'ETPT Format DDG'!2:2,0)),$D$5))</f>
        <v>#N/A</v>
      </c>
      <c r="L10" s="187" t="e">
        <f>SUM(SUMIFS(
INDEX( 'ETPT Format DDG'!$A:$ZZ,,MATCH("11.4. ACCÈS AU DROIT ET À LA JUSTICE",'ETPT Format DDG'!2:2,0)),
INDEX( 'ETPT Format DDG'!$A:$ZZ,,MATCH("Fonction recodée",'ETPT Format DDG'!2:2,0)),"JA/AttJ Social",
INDEX( 'ETPT Format DDG'!$A:$ZZ,,MATCH("Juridiction",'ETPT Format DDG'!2:2,0)),$D$5))</f>
        <v>#N/A</v>
      </c>
      <c r="M10" s="187" t="e">
        <f>SUM(SUMIFS(
INDEX( 'ETPT Format DDG'!$A:$ZZ,,MATCH("11.4. ACCÈS AU DROIT ET À LA JUSTICE",'ETPT Format DDG'!2:2,0)),
INDEX( 'ETPT Format DDG'!$A:$ZZ,,MATCH("Fonction recodée",'ETPT Format DDG'!2:2,0)),"JA/AttJ JAP",
INDEX( 'ETPT Format DDG'!$A:$ZZ,,MATCH("Juridiction",'ETPT Format DDG'!2:2,0)),$D$5))</f>
        <v>#N/A</v>
      </c>
      <c r="N10" s="187" t="e">
        <f>SUM(SUMIFS(
INDEX( 'ETPT Format DDG'!$A:$ZZ,,MATCH("11.4. ACCÈS AU DROIT ET À LA JUSTICE",'ETPT Format DDG'!2:2,0)),
INDEX( 'ETPT Format DDG'!$A:$ZZ,,MATCH("Fonction recodée",'ETPT Format DDG'!2:2,0)),"JA/AttJ JE",
INDEX( 'ETPT Format DDG'!$A:$ZZ,,MATCH("Juridiction",'ETPT Format DDG'!2:2,0)),$D$5))</f>
        <v>#N/A</v>
      </c>
      <c r="O10" s="187" t="e">
        <f>SUM(SUMIFS(
INDEX( 'ETPT Format DDG'!$A:$ZZ,,MATCH("11.4. ACCÈS AU DROIT ET À LA JUSTICE",'ETPT Format DDG'!2:2,0)),
INDEX( 'ETPT Format DDG'!$A:$ZZ,,MATCH("Fonction recodée",'ETPT Format DDG'!2:2,0)),"JA/AttJ JI",
INDEX( 'ETPT Format DDG'!$A:$ZZ,,MATCH("Juridiction",'ETPT Format DDG'!2:2,0)),$D$5))</f>
        <v>#N/A</v>
      </c>
      <c r="P10" s="187" t="e">
        <f>SUM(SUMIFS(
INDEX( 'ETPT Format DDG'!$A:$ZZ,,MATCH("11.4. ACCÈS AU DROIT ET À LA JUSTICE",'ETPT Format DDG'!2:2,0)),
INDEX( 'ETPT Format DDG'!$A:$ZZ,,MATCH("Fonction recodée",'ETPT Format DDG'!2:2,0)),"JA/AttJ JLD",
INDEX( 'ETPT Format DDG'!$A:$ZZ,,MATCH("Juridiction",'ETPT Format DDG'!2:2,0)),$D$5))</f>
        <v>#N/A</v>
      </c>
      <c r="Q10" s="188">
        <f t="shared" si="0"/>
        <v>0</v>
      </c>
    </row>
    <row r="11" spans="1:17" x14ac:dyDescent="0.25">
      <c r="A11" s="182" t="s">
        <v>4265</v>
      </c>
      <c r="B11" s="183"/>
      <c r="C11" s="183"/>
      <c r="D11" s="183">
        <f>ETPT_JUR_ASS_DDG!D11</f>
        <v>0</v>
      </c>
      <c r="E11" s="183" t="s">
        <v>4181</v>
      </c>
      <c r="F11" s="184" t="s">
        <v>4182</v>
      </c>
      <c r="G11" s="185" t="e">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5" t="e">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6"/>
      <c r="J11" s="187"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K11" s="187"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L11" s="187" t="e">
        <f>SUM(SUMIFS(
INDEX( 'ETPT Format DDG'!$A:$ZZ,,MATCH("12. TOTAL des INDISPONIBILITÉS relevant de l'action 99",'ETPT Format DDG'!2:2,0)),
INDEX( 'ETPT Format DDG'!$A:$ZZ,,MATCH("Fonction recodée",'ETPT Format DDG'!2:2,0)),"JA/AttJ Social",
INDEX( 'ETPT Format DDG'!$A:$ZZ,,MATCH("Juridiction",'ETPT Format DDG'!2:2,0)),$D$5))-
SUM(SUMIFS(
INDEX( 'ETPT Format DDG'!$A:$ZZ,,MATCH("12.5. MISE À DISPOSITION",'ETPT Format DDG'!2:2,0)),
INDEX( 'ETPT Format DDG'!$A:$ZZ,,MATCH("Fonction recodée",'ETPT Format DDG'!2:2,0)),"JA/AttJ Social",
INDEX( 'ETPT Format DDG'!$A:$ZZ,,MATCH("Juridiction",'ETPT Format DDG'!2:2,0)),$D$5))</f>
        <v>#N/A</v>
      </c>
      <c r="M11" s="187"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N11" s="187"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O11" s="187"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P11" s="187" t="e">
        <f>SUM(SUMIFS(
INDEX( 'ETPT Format DDG'!$A:$ZZ,,MATCH("12. TOTAL des INDISPONIBILITÉS relevant de l'action 99",'ETPT Format DDG'!2:2,0)),
INDEX( 'ETPT Format DDG'!$A:$ZZ,,MATCH("Fonction recodée",'ETPT Format DDG'!2:2,0)),"JA/AttJ JLD",
INDEX( 'ETPT Format DDG'!$A:$ZZ,,MATCH("Juridiction",'ETPT Format DDG'!2:2,0)),$D$5))-
SUM(SUMIFS(
INDEX( 'ETPT Format DDG'!$A:$ZZ,,MATCH("12.5. MISE À DISPOSITION",'ETPT Format DDG'!2:2,0)),
INDEX( 'ETPT Format DDG'!$A:$ZZ,,MATCH("Fonction recodée",'ETPT Format DDG'!2:2,0)),"JA/AttJ JLD",
INDEX( 'ETPT Format DDG'!$A:$ZZ,,MATCH("Juridiction",'ETPT Format DDG'!2:2,0)),$D$5))</f>
        <v>#N/A</v>
      </c>
      <c r="Q11" s="188">
        <f t="shared" si="0"/>
        <v>0</v>
      </c>
    </row>
    <row r="12" spans="1:17" x14ac:dyDescent="0.25">
      <c r="A12" s="182" t="s">
        <v>4265</v>
      </c>
      <c r="B12" s="183"/>
      <c r="C12" s="183"/>
      <c r="D12" s="183">
        <f>ETPT_JUR_ASS_DDG!D12</f>
        <v>0</v>
      </c>
      <c r="E12" s="183" t="s">
        <v>4183</v>
      </c>
      <c r="F12" s="184" t="s">
        <v>4184</v>
      </c>
      <c r="G12" s="185"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5"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6"/>
      <c r="J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K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L12" s="187" t="e">
        <f>SUM(SUMIFS(
INDEX( 'ETPT Format DDG'!$A:$ZZ,,MATCH("12.5. MISE À DISPOSITION",'ETPT Format DDG'!2:2,0)),
INDEX( 'ETPT Format DDG'!$A:$ZZ,,MATCH("Fonction recodée",'ETPT Format DDG'!2:2,0)),"JA/AttJ Social",
INDEX( 'ETPT Format DDG'!$A:$ZZ,,MATCH("Juridiction",'ETPT Format DDG'!2:2,0)),$D$5))+
_xlfn.IFNA(SUM(SUMIFS(
INDEX( 'ETPT Format DDG'!$A:$ZZ,,MATCH("13. TOTAL CONTENTIEUX LOCAUX SPÉCIFIQUES",'ETPT Format DDG'!2:2,0)),
INDEX( 'ETPT Format DDG'!$A:$ZZ,,MATCH("Fonction recodée",'ETPT Format DDG'!2:2,0)),"JA/AttJ Social",
INDEX( 'ETPT Format DDG'!$A:$ZZ,,MATCH("Juridiction",'ETPT Format DDG'!2:2,0)),$D$5)),0)</f>
        <v>#N/A</v>
      </c>
      <c r="M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N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O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P12" s="187" t="e">
        <f>SUM(SUMIFS(
INDEX( 'ETPT Format DDG'!$A:$ZZ,,MATCH("12.5. MISE À DISPOSITION",'ETPT Format DDG'!2:2,0)),
INDEX( 'ETPT Format DDG'!$A:$ZZ,,MATCH("Fonction recodée",'ETPT Format DDG'!2:2,0)),"JA/AttJ JLD",
INDEX( 'ETPT Format DDG'!$A:$ZZ,,MATCH("Juridiction",'ETPT Format DDG'!2:2,0)),$D$5))+
_xlfn.IFNA(SUM(SUMIFS(
INDEX( 'ETPT Format DDG'!$A:$ZZ,,MATCH("13. TOTAL CONTENTIEUX LOCAUX SPÉCIFIQUES",'ETPT Format DDG'!2:2,0)),
INDEX( 'ETPT Format DDG'!$A:$ZZ,,MATCH("Fonction recodée",'ETPT Format DDG'!2:2,0)),"JA/AttJ JLD",
INDEX( 'ETPT Format DDG'!$A:$ZZ,,MATCH("Juridiction",'ETPT Format DDG'!2:2,0)),$D$5)),0)</f>
        <v>#N/A</v>
      </c>
      <c r="Q12" s="188">
        <f>_xlfn.AGGREGATE(9,6,G12:P12)</f>
        <v>0</v>
      </c>
    </row>
    <row r="13" ht="16" customHeight="1" spans="1:17" x14ac:dyDescent="0.25">
      <c r="A13" s="189"/>
      <c r="B13" s="189"/>
      <c r="C13" s="189"/>
      <c r="D13" s="189"/>
      <c r="E13" s="190"/>
      <c r="F13" s="191" t="s">
        <v>4189</v>
      </c>
      <c r="G13" s="188">
        <f>_xlfn.AGGREGATE(9,6,G5:G12)</f>
        <v>0</v>
      </c>
      <c r="H13" s="188">
        <f>_xlfn.AGGREGATE(9,6,H5:H12)</f>
        <v>0</v>
      </c>
      <c r="I13" s="188">
        <f t="shared" ref="I13:P13" si="1">_xlfn.AGGREGATE(9,6,I5:I12)</f>
        <v>0</v>
      </c>
      <c r="J13" s="188">
        <f t="shared" si="1"/>
        <v>0</v>
      </c>
      <c r="K13" s="188">
        <f t="shared" si="1"/>
        <v>0</v>
      </c>
      <c r="L13" s="188">
        <f t="shared" si="1"/>
        <v>0</v>
      </c>
      <c r="M13" s="188">
        <f t="shared" si="1"/>
        <v>0</v>
      </c>
      <c r="N13" s="188">
        <f t="shared" si="1"/>
        <v>0</v>
      </c>
      <c r="O13" s="188">
        <f t="shared" si="1"/>
        <v>0</v>
      </c>
      <c r="P13" s="188">
        <f t="shared" si="1"/>
        <v>0</v>
      </c>
      <c r="Q13" s="188">
        <f>_xlfn.AGGREGATE(9,6,Q5:Q12)</f>
        <v>0</v>
      </c>
    </row>
    <row r="14" ht="16" customHeight="1" spans="1:17" x14ac:dyDescent="0.25">
      <c r="A14" s="189"/>
      <c r="B14" s="189"/>
      <c r="C14" s="189"/>
      <c r="D14" s="189"/>
      <c r="E14" s="190"/>
      <c r="F14" s="190"/>
      <c r="G14" s="190"/>
      <c r="H14" s="190"/>
      <c r="I14" s="190"/>
      <c r="J14" s="190"/>
      <c r="K14" s="190"/>
      <c r="L14" s="190"/>
      <c r="M14" s="190"/>
      <c r="N14" s="190"/>
      <c r="O14" s="190"/>
      <c r="P14" s="190"/>
      <c r="Q14" s="190"/>
    </row>
    <row r="15" ht="16" customHeight="1" spans="1:17" x14ac:dyDescent="0.25">
      <c r="A15" s="189"/>
      <c r="B15" s="189"/>
      <c r="C15" s="189"/>
      <c r="D15" s="189"/>
      <c r="E15" s="189"/>
      <c r="F15" s="189"/>
      <c r="G15" s="189"/>
      <c r="H15" s="189"/>
      <c r="I15" s="190"/>
      <c r="J15" s="190"/>
      <c r="L15" s="190"/>
      <c r="M15" s="190"/>
      <c r="N15" s="190"/>
      <c r="O15" s="190"/>
      <c r="P15" s="190"/>
      <c r="Q15" s="190"/>
    </row>
    <row r="16" ht="16" customHeight="1" spans="1:17" x14ac:dyDescent="0.25">
      <c r="A16" s="189"/>
      <c r="B16" s="189"/>
      <c r="C16" s="189"/>
      <c r="D16" s="189"/>
      <c r="E16" s="189"/>
      <c r="F16" s="189"/>
      <c r="G16" s="189"/>
      <c r="H16" s="189"/>
      <c r="I16" s="190"/>
      <c r="J16" s="190"/>
      <c r="L16" s="190"/>
      <c r="M16" s="190"/>
      <c r="N16" s="190"/>
      <c r="O16" s="190"/>
      <c r="P16" s="190"/>
      <c r="Q16" s="190"/>
    </row>
    <row r="17" ht="16" customHeight="1" spans="1:18" x14ac:dyDescent="0.25">
      <c r="A17" s="189"/>
      <c r="B17" s="189"/>
      <c r="C17" s="189"/>
      <c r="D17" s="189"/>
      <c r="E17" s="189"/>
      <c r="F17" s="189"/>
      <c r="G17" s="189"/>
      <c r="H17" s="189"/>
      <c r="I17" s="190"/>
      <c r="J17" s="190"/>
      <c r="L17" s="190"/>
      <c r="M17" s="190"/>
      <c r="N17" s="190"/>
      <c r="O17" s="190"/>
      <c r="P17" s="190"/>
      <c r="Q17" s="190"/>
      <c r="R17" s="190"/>
    </row>
    <row r="18" ht="16" customHeight="1" spans="1:18" x14ac:dyDescent="0.25">
      <c r="A18" s="189"/>
      <c r="B18" s="189"/>
      <c r="C18" s="189"/>
      <c r="D18" s="189"/>
      <c r="E18" s="189"/>
      <c r="F18" s="189"/>
      <c r="G18" s="189"/>
      <c r="H18" s="189"/>
      <c r="I18" s="190"/>
      <c r="J18" s="190"/>
      <c r="L18" s="190"/>
      <c r="M18" s="190"/>
      <c r="N18" s="190"/>
      <c r="O18" s="190"/>
      <c r="P18" s="190"/>
      <c r="Q18" s="190"/>
      <c r="R18" s="190"/>
    </row>
    <row r="19" ht="16" customHeight="1" spans="1:18" x14ac:dyDescent="0.25">
      <c r="A19" s="189"/>
      <c r="B19" s="189"/>
      <c r="C19" s="189"/>
      <c r="D19" s="189"/>
      <c r="E19" s="189"/>
      <c r="F19" s="189"/>
      <c r="G19" s="189"/>
      <c r="H19" s="189"/>
      <c r="I19" s="190"/>
      <c r="J19" s="190"/>
      <c r="L19" s="190"/>
      <c r="M19" s="190"/>
      <c r="N19" s="190"/>
      <c r="O19" s="190"/>
      <c r="P19" s="190"/>
      <c r="Q19" s="190"/>
      <c r="R19" s="190"/>
    </row>
    <row r="20" ht="16" customHeight="1" spans="1:18" x14ac:dyDescent="0.25">
      <c r="A20" s="189"/>
      <c r="B20" s="189"/>
      <c r="C20" s="189"/>
      <c r="D20" s="189"/>
      <c r="E20" s="189"/>
      <c r="F20" s="189"/>
      <c r="G20" s="189"/>
      <c r="H20" s="189"/>
      <c r="I20" s="190"/>
      <c r="J20" s="190"/>
      <c r="L20" s="190"/>
      <c r="M20" s="190"/>
      <c r="N20" s="190"/>
      <c r="O20" s="190"/>
      <c r="P20" s="190"/>
      <c r="Q20" s="190"/>
      <c r="R20" s="190"/>
    </row>
    <row r="21" ht="16" customHeight="1" spans="1:18" x14ac:dyDescent="0.25">
      <c r="A21" s="189"/>
      <c r="B21" s="189"/>
      <c r="C21" s="189"/>
      <c r="D21" s="189"/>
      <c r="E21" s="189"/>
      <c r="F21" s="189"/>
      <c r="G21" s="189"/>
      <c r="H21" s="189"/>
      <c r="I21" s="190"/>
      <c r="J21" s="190"/>
      <c r="L21" s="190"/>
      <c r="M21" s="190"/>
      <c r="N21" s="190"/>
      <c r="O21" s="190"/>
      <c r="P21" s="190"/>
      <c r="Q21" s="190"/>
      <c r="R21" s="190"/>
    </row>
    <row r="22" ht="16" customHeight="1" spans="1:18" x14ac:dyDescent="0.25">
      <c r="A22" s="189"/>
      <c r="B22" s="189"/>
      <c r="C22" s="189"/>
      <c r="D22" s="189"/>
      <c r="E22" s="189"/>
      <c r="F22" s="189"/>
      <c r="G22" s="189"/>
      <c r="H22" s="189"/>
      <c r="I22" s="190"/>
      <c r="J22" s="190"/>
      <c r="L22" s="190"/>
      <c r="M22" s="190"/>
      <c r="N22" s="190"/>
      <c r="O22" s="190"/>
      <c r="P22" s="190"/>
      <c r="Q22" s="190"/>
      <c r="R22" s="190"/>
    </row>
    <row r="23" ht="16" customHeight="1" spans="1:18" x14ac:dyDescent="0.25">
      <c r="A23" s="189"/>
      <c r="B23" s="189"/>
      <c r="C23" s="189"/>
      <c r="D23" s="189"/>
      <c r="E23" s="189"/>
      <c r="F23" s="189"/>
      <c r="G23" s="189"/>
      <c r="H23" s="189"/>
      <c r="I23" s="190"/>
      <c r="J23" s="190"/>
      <c r="K23" s="190"/>
      <c r="L23" s="190"/>
      <c r="M23" s="190"/>
      <c r="N23" s="190"/>
      <c r="O23" s="190"/>
      <c r="P23" s="190"/>
      <c r="Q23" s="190"/>
      <c r="R23" s="190"/>
    </row>
    <row r="24" ht="16" customHeight="1" spans="1:18" x14ac:dyDescent="0.25">
      <c r="A24" s="189"/>
      <c r="B24" s="189"/>
      <c r="C24" s="189"/>
      <c r="D24" s="189"/>
      <c r="E24" s="189"/>
      <c r="F24" s="189"/>
      <c r="G24" s="189"/>
      <c r="H24" s="189"/>
      <c r="I24" s="190"/>
      <c r="J24" s="190"/>
      <c r="K24" s="190"/>
      <c r="L24" s="190"/>
      <c r="M24" s="190"/>
      <c r="N24" s="190"/>
      <c r="O24" s="190"/>
      <c r="P24" s="190"/>
      <c r="Q24" s="190"/>
      <c r="R24" s="190"/>
    </row>
    <row r="25" ht="16" customHeight="1" spans="1:18" x14ac:dyDescent="0.25">
      <c r="A25" s="189"/>
      <c r="B25" s="189"/>
      <c r="C25" s="189"/>
      <c r="D25" s="189"/>
      <c r="E25" s="189"/>
      <c r="F25" s="189"/>
      <c r="G25" s="189"/>
      <c r="H25" s="189"/>
      <c r="I25" s="190"/>
      <c r="J25" s="190"/>
      <c r="K25" s="190"/>
      <c r="L25" s="190"/>
      <c r="M25" s="190"/>
      <c r="N25" s="190"/>
      <c r="O25" s="190"/>
      <c r="P25" s="190"/>
      <c r="Q25" s="190"/>
      <c r="R25" s="190"/>
    </row>
    <row r="26" ht="16" customHeight="1" spans="1:18" x14ac:dyDescent="0.25">
      <c r="A26" s="189"/>
      <c r="B26" s="189"/>
      <c r="C26" s="189"/>
      <c r="D26" s="189"/>
      <c r="E26" s="189"/>
      <c r="F26" s="189"/>
      <c r="G26" s="189"/>
      <c r="H26" s="189"/>
      <c r="I26" s="190"/>
      <c r="J26" s="190"/>
      <c r="K26" s="190"/>
      <c r="L26" s="190"/>
      <c r="M26" s="190"/>
      <c r="N26" s="190"/>
      <c r="O26" s="190"/>
      <c r="P26" s="190"/>
      <c r="Q26" s="190"/>
      <c r="R26" s="190"/>
    </row>
    <row r="27" ht="16" customHeight="1" spans="1:18" x14ac:dyDescent="0.25">
      <c r="A27" s="189"/>
      <c r="B27" s="189"/>
      <c r="C27" s="189"/>
      <c r="D27" s="189"/>
      <c r="E27" s="189"/>
      <c r="F27" s="189"/>
      <c r="G27" s="189"/>
      <c r="H27" s="189"/>
      <c r="I27" s="190"/>
      <c r="J27" s="190"/>
      <c r="K27" s="190"/>
      <c r="L27" s="190"/>
      <c r="M27" s="190"/>
      <c r="N27" s="190"/>
      <c r="O27" s="190"/>
      <c r="P27" s="190"/>
      <c r="Q27" s="190"/>
      <c r="R27" s="190"/>
    </row>
    <row r="28" ht="16" customHeight="1" spans="1:18" x14ac:dyDescent="0.25">
      <c r="A28" s="189"/>
      <c r="B28" s="189"/>
      <c r="C28" s="189"/>
      <c r="D28" s="189"/>
      <c r="E28" s="189"/>
      <c r="F28" s="189"/>
      <c r="G28" s="189"/>
      <c r="H28" s="189"/>
      <c r="I28" s="190"/>
      <c r="J28" s="190"/>
      <c r="K28" s="190"/>
      <c r="L28" s="190"/>
      <c r="M28" s="190"/>
      <c r="N28" s="190"/>
      <c r="O28" s="190"/>
      <c r="P28" s="190"/>
      <c r="Q28" s="190"/>
      <c r="R28" s="190"/>
    </row>
    <row r="29" ht="16" customHeight="1" spans="1:18" x14ac:dyDescent="0.25">
      <c r="A29" s="189"/>
      <c r="B29" s="189"/>
      <c r="C29" s="189"/>
      <c r="D29" s="189"/>
      <c r="E29" s="189"/>
      <c r="F29" s="189"/>
      <c r="G29" s="189"/>
      <c r="H29" s="189"/>
      <c r="I29" s="190"/>
      <c r="J29" s="190"/>
      <c r="K29" s="190"/>
      <c r="L29" s="190"/>
      <c r="M29" s="190"/>
      <c r="N29" s="190"/>
      <c r="O29" s="190"/>
      <c r="P29" s="190"/>
      <c r="Q29" s="190"/>
      <c r="R29" s="190"/>
    </row>
    <row r="30" ht="16" customHeight="1" spans="1:18" x14ac:dyDescent="0.25">
      <c r="A30" s="189"/>
      <c r="B30" s="189"/>
      <c r="C30" s="189"/>
      <c r="D30" s="189"/>
      <c r="E30" s="189"/>
      <c r="F30" s="189"/>
      <c r="G30" s="189"/>
      <c r="H30" s="189"/>
      <c r="I30" s="190"/>
      <c r="J30" s="190"/>
      <c r="K30" s="190"/>
      <c r="L30" s="190"/>
      <c r="M30" s="190"/>
      <c r="N30" s="190"/>
      <c r="O30" s="190"/>
      <c r="P30" s="190"/>
      <c r="Q30" s="190"/>
      <c r="R30" s="190"/>
    </row>
    <row r="31" ht="16" customHeight="1" spans="1:18" x14ac:dyDescent="0.25">
      <c r="A31" s="189"/>
      <c r="B31" s="189"/>
      <c r="C31" s="189"/>
      <c r="D31" s="189"/>
      <c r="E31" s="189"/>
      <c r="F31" s="189"/>
      <c r="G31" s="189"/>
      <c r="H31" s="189"/>
      <c r="I31" s="190"/>
      <c r="J31" s="190"/>
      <c r="K31" s="190"/>
      <c r="L31" s="190"/>
      <c r="M31" s="190"/>
      <c r="N31" s="190"/>
      <c r="O31" s="190"/>
      <c r="P31" s="190"/>
      <c r="Q31" s="190"/>
      <c r="R31" s="190"/>
    </row>
    <row r="32" ht="16" customHeight="1" spans="1:18" x14ac:dyDescent="0.25">
      <c r="A32" s="189"/>
      <c r="B32" s="189"/>
      <c r="C32" s="189"/>
      <c r="D32" s="189"/>
      <c r="E32" s="189"/>
      <c r="F32" s="189"/>
      <c r="G32" s="189"/>
      <c r="H32" s="189"/>
      <c r="I32" s="190"/>
      <c r="J32" s="190"/>
      <c r="K32" s="190"/>
      <c r="L32" s="190"/>
      <c r="M32" s="190"/>
      <c r="N32" s="190"/>
      <c r="O32" s="190"/>
      <c r="P32" s="190"/>
      <c r="Q32" s="190"/>
      <c r="R32" s="190"/>
    </row>
    <row r="33" ht="16" customHeight="1" spans="1:18" x14ac:dyDescent="0.25">
      <c r="A33" s="189"/>
      <c r="B33" s="189"/>
      <c r="C33" s="189"/>
      <c r="D33" s="189"/>
      <c r="E33" s="189"/>
      <c r="F33" s="189"/>
      <c r="G33" s="189"/>
      <c r="H33" s="189"/>
      <c r="I33" s="190"/>
      <c r="J33" s="190"/>
      <c r="K33" s="190"/>
      <c r="L33" s="190"/>
      <c r="M33" s="190"/>
      <c r="N33" s="190"/>
      <c r="O33" s="190"/>
      <c r="P33" s="190"/>
      <c r="Q33" s="190"/>
      <c r="R33" s="190"/>
    </row>
    <row r="34" ht="16" customHeight="1" spans="1:18" x14ac:dyDescent="0.25">
      <c r="A34" s="189"/>
      <c r="B34" s="189"/>
      <c r="C34" s="189"/>
      <c r="D34" s="189"/>
      <c r="E34" s="189"/>
      <c r="F34" s="189"/>
      <c r="G34" s="189"/>
      <c r="H34" s="189"/>
      <c r="I34" s="190"/>
      <c r="J34" s="190"/>
      <c r="K34" s="190"/>
      <c r="L34" s="190"/>
      <c r="M34" s="190"/>
      <c r="N34" s="190"/>
      <c r="O34" s="190"/>
      <c r="P34" s="190"/>
      <c r="Q34" s="190"/>
      <c r="R34" s="190"/>
    </row>
    <row r="35" ht="16" customHeight="1" spans="1:18" x14ac:dyDescent="0.25">
      <c r="A35" s="189"/>
      <c r="B35" s="189"/>
      <c r="C35" s="189"/>
      <c r="D35" s="189"/>
      <c r="E35" s="189"/>
      <c r="F35" s="189"/>
      <c r="G35" s="189"/>
      <c r="H35" s="189"/>
      <c r="I35" s="190"/>
      <c r="J35" s="190"/>
      <c r="K35" s="190"/>
      <c r="L35" s="190"/>
      <c r="M35" s="190"/>
      <c r="N35" s="190"/>
      <c r="O35" s="190"/>
      <c r="P35" s="190"/>
      <c r="Q35" s="190"/>
      <c r="R35" s="190"/>
    </row>
    <row r="36" ht="16" customHeight="1" spans="1:18" x14ac:dyDescent="0.25">
      <c r="A36" s="189"/>
      <c r="B36" s="189"/>
      <c r="C36" s="189"/>
      <c r="D36" s="189"/>
      <c r="E36" s="189"/>
      <c r="F36" s="189"/>
      <c r="G36" s="189"/>
      <c r="H36" s="189"/>
      <c r="I36" s="190"/>
      <c r="J36" s="190"/>
      <c r="K36" s="190"/>
      <c r="L36" s="190"/>
      <c r="M36" s="190"/>
      <c r="N36" s="190"/>
      <c r="O36" s="190"/>
      <c r="P36" s="190"/>
      <c r="Q36" s="190"/>
      <c r="R36" s="190"/>
    </row>
    <row r="37" ht="16" customHeight="1" spans="1:18" x14ac:dyDescent="0.25">
      <c r="A37" s="189"/>
      <c r="B37" s="189"/>
      <c r="C37" s="189"/>
      <c r="D37" s="189"/>
      <c r="E37" s="189"/>
      <c r="F37" s="189"/>
      <c r="G37" s="189"/>
      <c r="H37" s="189"/>
      <c r="I37" s="190"/>
      <c r="J37" s="190"/>
      <c r="K37" s="190"/>
      <c r="L37" s="190"/>
      <c r="M37" s="190"/>
      <c r="N37" s="190"/>
      <c r="O37" s="190"/>
      <c r="P37" s="190"/>
      <c r="Q37" s="190"/>
      <c r="R37" s="190"/>
    </row>
    <row r="38" ht="16" customHeight="1" spans="1:18" x14ac:dyDescent="0.25">
      <c r="A38" s="189"/>
      <c r="B38" s="189"/>
      <c r="C38" s="189"/>
      <c r="D38" s="189"/>
      <c r="E38" s="189"/>
      <c r="F38" s="189"/>
      <c r="G38" s="189"/>
      <c r="H38" s="189"/>
      <c r="I38" s="190"/>
      <c r="J38" s="190"/>
      <c r="K38" s="190"/>
      <c r="L38" s="190"/>
      <c r="M38" s="190"/>
      <c r="N38" s="190"/>
      <c r="O38" s="190"/>
      <c r="P38" s="190"/>
      <c r="Q38" s="190"/>
      <c r="R38" s="190"/>
    </row>
    <row r="39" ht="16" customHeight="1" spans="1:18" x14ac:dyDescent="0.25">
      <c r="A39" s="189"/>
      <c r="B39" s="189"/>
      <c r="C39" s="189"/>
      <c r="D39" s="189"/>
      <c r="E39" s="189"/>
      <c r="F39" s="189"/>
      <c r="G39" s="189"/>
      <c r="H39" s="189"/>
      <c r="I39" s="190"/>
      <c r="J39" s="190"/>
      <c r="K39" s="190"/>
      <c r="L39" s="190"/>
      <c r="M39" s="190"/>
      <c r="N39" s="190"/>
      <c r="O39" s="190"/>
      <c r="P39" s="190"/>
      <c r="Q39" s="190"/>
      <c r="R39" s="190"/>
    </row>
    <row r="40" ht="16" customHeight="1" spans="1:18" x14ac:dyDescent="0.25">
      <c r="A40" s="189"/>
      <c r="B40" s="189"/>
      <c r="C40" s="189"/>
      <c r="D40" s="189"/>
      <c r="E40" s="189"/>
      <c r="F40" s="189"/>
      <c r="G40" s="189"/>
      <c r="H40" s="189"/>
      <c r="I40" s="190"/>
      <c r="J40" s="190"/>
      <c r="K40" s="190"/>
      <c r="L40" s="190"/>
      <c r="M40" s="190"/>
      <c r="N40" s="190"/>
      <c r="O40" s="190"/>
      <c r="P40" s="190"/>
      <c r="Q40" s="190"/>
      <c r="R40" s="190"/>
    </row>
    <row r="41" ht="16" customHeight="1" spans="1:18" x14ac:dyDescent="0.25">
      <c r="A41" s="189"/>
      <c r="B41" s="189"/>
      <c r="C41" s="189"/>
      <c r="D41" s="189"/>
      <c r="E41" s="189"/>
      <c r="F41" s="189"/>
      <c r="G41" s="189"/>
      <c r="H41" s="189"/>
      <c r="I41" s="190"/>
      <c r="J41" s="190"/>
      <c r="K41" s="190"/>
      <c r="L41" s="190"/>
      <c r="M41" s="190"/>
      <c r="N41" s="190"/>
      <c r="O41" s="190"/>
      <c r="P41" s="190"/>
      <c r="Q41" s="190"/>
      <c r="R41" s="190"/>
    </row>
    <row r="42" ht="16" customHeight="1" spans="1:18" x14ac:dyDescent="0.25">
      <c r="A42" s="189"/>
      <c r="B42" s="189"/>
      <c r="C42" s="189"/>
      <c r="D42" s="189"/>
      <c r="E42" s="189"/>
      <c r="F42" s="189"/>
      <c r="G42" s="189"/>
      <c r="H42" s="189"/>
      <c r="I42" s="190"/>
      <c r="J42" s="190"/>
      <c r="K42" s="190"/>
      <c r="L42" s="190"/>
      <c r="M42" s="190"/>
      <c r="N42" s="190"/>
      <c r="O42" s="190"/>
      <c r="P42" s="190"/>
      <c r="Q42" s="190"/>
      <c r="R42" s="190"/>
    </row>
    <row r="43" ht="16" customHeight="1" spans="1:18" x14ac:dyDescent="0.25">
      <c r="A43" s="189"/>
      <c r="B43" s="189"/>
      <c r="C43" s="189"/>
      <c r="D43" s="189"/>
      <c r="E43" s="189"/>
      <c r="F43" s="189"/>
      <c r="G43" s="189"/>
      <c r="H43" s="189"/>
      <c r="I43" s="190"/>
      <c r="J43" s="190"/>
      <c r="K43" s="190"/>
      <c r="L43" s="190"/>
      <c r="M43" s="190"/>
      <c r="N43" s="190"/>
      <c r="O43" s="190"/>
      <c r="P43" s="190"/>
      <c r="Q43" s="190"/>
      <c r="R43" s="190"/>
    </row>
    <row r="44" ht="16" customHeight="1" spans="1:18" x14ac:dyDescent="0.25">
      <c r="A44" s="189"/>
      <c r="B44" s="189"/>
      <c r="C44" s="189"/>
      <c r="D44" s="189"/>
      <c r="E44" s="189"/>
      <c r="F44" s="189"/>
      <c r="G44" s="189"/>
      <c r="H44" s="189"/>
      <c r="I44" s="190"/>
      <c r="J44" s="190"/>
      <c r="K44" s="190"/>
      <c r="L44" s="190"/>
      <c r="M44" s="190"/>
      <c r="N44" s="190"/>
      <c r="O44" s="190"/>
      <c r="P44" s="190"/>
      <c r="Q44" s="190"/>
      <c r="R44" s="190"/>
    </row>
    <row r="45" ht="16" customHeight="1" spans="1:18" x14ac:dyDescent="0.25">
      <c r="A45" s="189"/>
      <c r="B45" s="189"/>
      <c r="C45" s="189"/>
      <c r="D45" s="189"/>
      <c r="E45" s="189"/>
      <c r="F45" s="189"/>
      <c r="G45" s="189"/>
      <c r="H45" s="189"/>
      <c r="I45" s="190"/>
      <c r="J45" s="190"/>
      <c r="K45" s="190"/>
      <c r="L45" s="190"/>
      <c r="M45" s="190"/>
      <c r="N45" s="190"/>
      <c r="O45" s="190"/>
      <c r="P45" s="190"/>
      <c r="Q45" s="190"/>
      <c r="R45" s="190"/>
    </row>
    <row r="46" ht="16" customHeight="1" spans="1:18" x14ac:dyDescent="0.25">
      <c r="A46" s="189"/>
      <c r="B46" s="189"/>
      <c r="C46" s="189"/>
      <c r="D46" s="189"/>
      <c r="E46" s="189"/>
      <c r="F46" s="189"/>
      <c r="G46" s="189"/>
      <c r="H46" s="189"/>
      <c r="I46" s="190"/>
      <c r="J46" s="190"/>
      <c r="K46" s="190"/>
      <c r="L46" s="190"/>
      <c r="M46" s="190"/>
      <c r="N46" s="190"/>
      <c r="O46" s="190"/>
      <c r="P46" s="190"/>
      <c r="Q46" s="190"/>
      <c r="R46" s="190"/>
    </row>
    <row r="47" ht="16" customHeight="1" spans="1:18" x14ac:dyDescent="0.25">
      <c r="A47" s="189"/>
      <c r="B47" s="189"/>
      <c r="C47" s="189"/>
      <c r="D47" s="189"/>
      <c r="E47" s="189"/>
      <c r="F47" s="189"/>
      <c r="G47" s="189"/>
      <c r="H47" s="189"/>
      <c r="I47" s="190"/>
      <c r="J47" s="190"/>
      <c r="K47" s="190"/>
      <c r="L47" s="190"/>
      <c r="M47" s="190"/>
      <c r="N47" s="190"/>
      <c r="O47" s="190"/>
      <c r="P47" s="190"/>
      <c r="Q47" s="190"/>
      <c r="R47" s="190"/>
    </row>
    <row r="48" ht="16" customHeight="1" spans="1:18" x14ac:dyDescent="0.25">
      <c r="A48" s="189"/>
      <c r="B48" s="189"/>
      <c r="C48" s="189"/>
      <c r="D48" s="189"/>
      <c r="E48" s="189"/>
      <c r="F48" s="189"/>
      <c r="G48" s="189"/>
      <c r="H48" s="189"/>
      <c r="I48" s="190"/>
      <c r="J48" s="190"/>
      <c r="K48" s="190"/>
      <c r="L48" s="190"/>
      <c r="M48" s="190"/>
      <c r="N48" s="190"/>
      <c r="O48" s="190"/>
      <c r="P48" s="190"/>
      <c r="Q48" s="190"/>
      <c r="R48" s="190"/>
    </row>
    <row r="49" ht="16" customHeight="1" spans="1:18" x14ac:dyDescent="0.25">
      <c r="A49" s="189"/>
      <c r="B49" s="189"/>
      <c r="C49" s="189"/>
      <c r="D49" s="189"/>
      <c r="E49" s="189"/>
      <c r="F49" s="189"/>
      <c r="G49" s="189"/>
      <c r="H49" s="189"/>
      <c r="I49" s="190"/>
      <c r="J49" s="190"/>
      <c r="K49" s="190"/>
      <c r="L49" s="190"/>
      <c r="M49" s="190"/>
      <c r="N49" s="190"/>
      <c r="O49" s="190"/>
      <c r="P49" s="190"/>
      <c r="Q49" s="190"/>
      <c r="R49" s="190"/>
    </row>
    <row r="50" ht="16" customHeight="1" spans="1:18" x14ac:dyDescent="0.25">
      <c r="A50" s="189"/>
      <c r="B50" s="189"/>
      <c r="C50" s="189"/>
      <c r="D50" s="189"/>
      <c r="E50" s="189"/>
      <c r="F50" s="189"/>
      <c r="G50" s="189"/>
      <c r="H50" s="189"/>
      <c r="I50" s="190"/>
      <c r="J50" s="190"/>
      <c r="K50" s="190"/>
      <c r="L50" s="190"/>
      <c r="M50" s="190"/>
      <c r="N50" s="190"/>
      <c r="O50" s="190"/>
      <c r="P50" s="190"/>
      <c r="Q50" s="190"/>
      <c r="R50" s="190"/>
    </row>
    <row r="51" ht="16" customHeight="1" spans="1:18" x14ac:dyDescent="0.25">
      <c r="A51" s="189"/>
      <c r="B51" s="189"/>
      <c r="C51" s="189"/>
      <c r="D51" s="189"/>
      <c r="E51" s="189"/>
      <c r="F51" s="189"/>
      <c r="G51" s="189"/>
      <c r="H51" s="189"/>
      <c r="I51" s="190"/>
      <c r="J51" s="190"/>
      <c r="K51" s="190"/>
      <c r="L51" s="190"/>
      <c r="M51" s="190"/>
      <c r="N51" s="190"/>
      <c r="O51" s="190"/>
      <c r="P51" s="190"/>
      <c r="Q51" s="190"/>
      <c r="R51" s="190"/>
    </row>
    <row r="52" ht="16" customHeight="1" spans="1:18" x14ac:dyDescent="0.25">
      <c r="A52" s="189"/>
      <c r="B52" s="189"/>
      <c r="C52" s="189"/>
      <c r="D52" s="189"/>
      <c r="E52" s="189"/>
      <c r="F52" s="189"/>
      <c r="G52" s="189"/>
      <c r="H52" s="189"/>
      <c r="I52" s="190"/>
      <c r="J52" s="190"/>
      <c r="K52" s="190"/>
      <c r="L52" s="190"/>
      <c r="M52" s="190"/>
      <c r="N52" s="190"/>
      <c r="O52" s="190"/>
      <c r="P52" s="190"/>
      <c r="Q52" s="190"/>
      <c r="R52" s="190"/>
    </row>
    <row r="53" ht="16" customHeight="1" spans="1:18" x14ac:dyDescent="0.25">
      <c r="A53" s="189"/>
      <c r="B53" s="189"/>
      <c r="C53" s="189"/>
      <c r="D53" s="189"/>
      <c r="E53" s="189"/>
      <c r="F53" s="189"/>
      <c r="G53" s="189"/>
      <c r="H53" s="189"/>
      <c r="I53" s="190"/>
      <c r="J53" s="190"/>
      <c r="K53" s="190"/>
      <c r="L53" s="190"/>
      <c r="M53" s="190"/>
      <c r="N53" s="190"/>
      <c r="O53" s="190"/>
      <c r="P53" s="190"/>
      <c r="Q53" s="190"/>
      <c r="R53" s="190"/>
    </row>
    <row r="54" ht="16" customHeight="1" spans="1:18" x14ac:dyDescent="0.25">
      <c r="A54" s="189"/>
      <c r="B54" s="189"/>
      <c r="C54" s="189"/>
      <c r="D54" s="189"/>
      <c r="E54" s="189"/>
      <c r="F54" s="189"/>
      <c r="G54" s="189"/>
      <c r="H54" s="189"/>
      <c r="I54" s="190"/>
      <c r="J54" s="190"/>
      <c r="K54" s="190"/>
      <c r="L54" s="190"/>
      <c r="M54" s="190"/>
      <c r="N54" s="190"/>
      <c r="O54" s="190"/>
      <c r="P54" s="190"/>
      <c r="Q54" s="190"/>
      <c r="R54" s="190"/>
    </row>
    <row r="55" ht="16" customHeight="1" spans="1:18" x14ac:dyDescent="0.25">
      <c r="A55" s="189"/>
      <c r="B55" s="189"/>
      <c r="C55" s="189"/>
      <c r="D55" s="189"/>
      <c r="E55" s="189"/>
      <c r="F55" s="189"/>
      <c r="G55" s="189"/>
      <c r="H55" s="189"/>
      <c r="I55" s="190"/>
      <c r="J55" s="190"/>
      <c r="K55" s="190"/>
      <c r="L55" s="190"/>
      <c r="M55" s="190"/>
      <c r="N55" s="190"/>
      <c r="O55" s="190"/>
      <c r="P55" s="190"/>
      <c r="Q55" s="190"/>
      <c r="R55" s="190"/>
    </row>
    <row r="56" ht="16" customHeight="1" spans="1:18" x14ac:dyDescent="0.25">
      <c r="A56" s="189"/>
      <c r="B56" s="189"/>
      <c r="C56" s="189"/>
      <c r="D56" s="189"/>
      <c r="E56" s="189"/>
      <c r="F56" s="189"/>
      <c r="G56" s="189"/>
      <c r="H56" s="189"/>
      <c r="I56" s="190"/>
      <c r="J56" s="190"/>
      <c r="K56" s="190"/>
      <c r="L56" s="190"/>
      <c r="M56" s="190"/>
      <c r="N56" s="190"/>
      <c r="O56" s="190"/>
      <c r="P56" s="190"/>
      <c r="Q56" s="190"/>
      <c r="R56" s="190"/>
    </row>
    <row r="57" ht="16" customHeight="1" spans="1:18" x14ac:dyDescent="0.25">
      <c r="A57" s="189"/>
      <c r="B57" s="189"/>
      <c r="C57" s="189"/>
      <c r="D57" s="189"/>
      <c r="E57" s="189"/>
      <c r="F57" s="189"/>
      <c r="G57" s="189"/>
      <c r="H57" s="189"/>
      <c r="I57" s="190"/>
      <c r="J57" s="190"/>
      <c r="K57" s="190"/>
      <c r="L57" s="190"/>
      <c r="M57" s="190"/>
      <c r="N57" s="190"/>
      <c r="O57" s="190"/>
      <c r="P57" s="190"/>
      <c r="Q57" s="190"/>
      <c r="R57" s="190"/>
    </row>
    <row r="58" ht="16" customHeight="1" spans="1:18" x14ac:dyDescent="0.25">
      <c r="A58" s="189"/>
      <c r="B58" s="189"/>
      <c r="C58" s="189"/>
      <c r="D58" s="189"/>
      <c r="E58" s="189"/>
      <c r="F58" s="189"/>
      <c r="G58" s="189"/>
      <c r="H58" s="189"/>
      <c r="I58" s="190"/>
      <c r="J58" s="190"/>
      <c r="K58" s="190"/>
      <c r="L58" s="190"/>
      <c r="M58" s="190"/>
      <c r="N58" s="190"/>
      <c r="O58" s="190"/>
      <c r="P58" s="190"/>
      <c r="Q58" s="190"/>
      <c r="R58" s="190"/>
    </row>
    <row r="59" ht="16" customHeight="1" spans="1:18" x14ac:dyDescent="0.25">
      <c r="A59" s="189"/>
      <c r="B59" s="189"/>
      <c r="C59" s="189"/>
      <c r="D59" s="189"/>
      <c r="E59" s="189"/>
      <c r="F59" s="189"/>
      <c r="G59" s="189"/>
      <c r="H59" s="189"/>
      <c r="I59" s="190"/>
      <c r="J59" s="190"/>
      <c r="K59" s="190"/>
      <c r="L59" s="190"/>
      <c r="M59" s="190"/>
      <c r="N59" s="190"/>
      <c r="O59" s="190"/>
      <c r="P59" s="190"/>
      <c r="Q59" s="190"/>
      <c r="R59" s="190"/>
    </row>
    <row r="60" ht="16" customHeight="1" spans="1:18" x14ac:dyDescent="0.25">
      <c r="A60" s="189"/>
      <c r="B60" s="189"/>
      <c r="C60" s="189"/>
      <c r="D60" s="189"/>
      <c r="E60" s="189"/>
      <c r="F60" s="189"/>
      <c r="G60" s="189"/>
      <c r="H60" s="189"/>
      <c r="I60" s="190"/>
      <c r="J60" s="190"/>
      <c r="K60" s="190"/>
      <c r="L60" s="190"/>
      <c r="M60" s="190"/>
      <c r="N60" s="190"/>
      <c r="O60" s="190"/>
      <c r="P60" s="190"/>
      <c r="Q60" s="190"/>
      <c r="R60" s="190"/>
    </row>
    <row r="61" ht="16" customHeight="1" spans="1:18" x14ac:dyDescent="0.25">
      <c r="A61" s="189"/>
      <c r="B61" s="189"/>
      <c r="C61" s="189"/>
      <c r="D61" s="189"/>
      <c r="E61" s="189"/>
      <c r="F61" s="189"/>
      <c r="G61" s="189"/>
      <c r="H61" s="189"/>
      <c r="I61" s="190"/>
      <c r="J61" s="190"/>
      <c r="K61" s="190"/>
      <c r="L61" s="190"/>
      <c r="M61" s="190"/>
      <c r="N61" s="190"/>
      <c r="O61" s="190"/>
      <c r="P61" s="190"/>
      <c r="Q61" s="190"/>
      <c r="R61" s="190"/>
    </row>
    <row r="62" ht="16" customHeight="1" spans="1:18" x14ac:dyDescent="0.25">
      <c r="A62" s="189"/>
      <c r="B62" s="189"/>
      <c r="C62" s="189"/>
      <c r="D62" s="189"/>
      <c r="E62" s="189"/>
      <c r="F62" s="189"/>
      <c r="G62" s="189"/>
      <c r="H62" s="189"/>
      <c r="I62" s="190"/>
      <c r="J62" s="190"/>
      <c r="K62" s="190"/>
      <c r="L62" s="190"/>
      <c r="M62" s="190"/>
      <c r="N62" s="190"/>
      <c r="O62" s="190"/>
      <c r="P62" s="190"/>
      <c r="Q62" s="190"/>
      <c r="R62" s="190"/>
    </row>
    <row r="63" ht="16" customHeight="1" spans="1:18" x14ac:dyDescent="0.25">
      <c r="A63" s="189"/>
      <c r="B63" s="189"/>
      <c r="C63" s="189"/>
      <c r="D63" s="189"/>
      <c r="E63" s="189"/>
      <c r="F63" s="189"/>
      <c r="G63" s="189"/>
      <c r="H63" s="189"/>
      <c r="I63" s="190"/>
      <c r="J63" s="190"/>
      <c r="K63" s="190"/>
      <c r="L63" s="190"/>
      <c r="M63" s="190"/>
      <c r="N63" s="190"/>
      <c r="O63" s="190"/>
      <c r="P63" s="190"/>
      <c r="Q63" s="190"/>
      <c r="R63" s="190"/>
    </row>
    <row r="64" ht="16" customHeight="1" spans="1:18" x14ac:dyDescent="0.25">
      <c r="A64" s="189"/>
      <c r="B64" s="189"/>
      <c r="C64" s="189"/>
      <c r="D64" s="189"/>
      <c r="E64" s="189"/>
      <c r="F64" s="189"/>
      <c r="G64" s="189"/>
      <c r="H64" s="189"/>
      <c r="I64" s="190"/>
      <c r="J64" s="190"/>
      <c r="K64" s="190"/>
      <c r="L64" s="190"/>
      <c r="M64" s="190"/>
      <c r="N64" s="190"/>
      <c r="O64" s="190"/>
      <c r="P64" s="190"/>
      <c r="Q64" s="190"/>
      <c r="R64" s="190"/>
    </row>
    <row r="65" ht="16" customHeight="1" spans="1:18" x14ac:dyDescent="0.25">
      <c r="A65" s="189"/>
      <c r="B65" s="189"/>
      <c r="C65" s="189"/>
      <c r="D65" s="189"/>
      <c r="E65" s="189"/>
      <c r="F65" s="189"/>
      <c r="G65" s="189"/>
      <c r="H65" s="189"/>
      <c r="I65" s="190"/>
      <c r="J65" s="190"/>
      <c r="K65" s="190"/>
      <c r="L65" s="190"/>
      <c r="M65" s="190"/>
      <c r="N65" s="190"/>
      <c r="O65" s="190"/>
      <c r="P65" s="190"/>
      <c r="Q65" s="190"/>
      <c r="R65" s="190"/>
    </row>
    <row r="66" ht="16" customHeight="1" spans="1:18" x14ac:dyDescent="0.25">
      <c r="A66" s="189"/>
      <c r="B66" s="189"/>
      <c r="C66" s="189"/>
      <c r="D66" s="189"/>
      <c r="E66" s="189"/>
      <c r="F66" s="189"/>
      <c r="G66" s="189"/>
      <c r="H66" s="189"/>
      <c r="I66" s="190"/>
      <c r="J66" s="190"/>
      <c r="K66" s="190"/>
      <c r="L66" s="190"/>
      <c r="M66" s="190"/>
      <c r="N66" s="190"/>
      <c r="O66" s="190"/>
      <c r="P66" s="190"/>
      <c r="Q66" s="190"/>
      <c r="R66" s="190"/>
    </row>
    <row r="67" ht="16" customHeight="1" spans="1:18" x14ac:dyDescent="0.25">
      <c r="A67" s="189"/>
      <c r="B67" s="189"/>
      <c r="C67" s="189"/>
      <c r="D67" s="189"/>
      <c r="E67" s="189"/>
      <c r="F67" s="189"/>
      <c r="G67" s="189"/>
      <c r="H67" s="189"/>
      <c r="I67" s="190"/>
      <c r="J67" s="190"/>
      <c r="K67" s="190"/>
      <c r="L67" s="190"/>
      <c r="M67" s="190"/>
      <c r="N67" s="190"/>
      <c r="O67" s="190"/>
      <c r="P67" s="190"/>
      <c r="Q67" s="190"/>
      <c r="R67" s="190"/>
    </row>
    <row r="68" ht="16" customHeight="1" spans="1:18" x14ac:dyDescent="0.25">
      <c r="A68" s="189"/>
      <c r="B68" s="189"/>
      <c r="C68" s="189"/>
      <c r="D68" s="189"/>
      <c r="E68" s="189"/>
      <c r="F68" s="189"/>
      <c r="G68" s="189"/>
      <c r="H68" s="189"/>
      <c r="I68" s="190"/>
      <c r="J68" s="190"/>
      <c r="K68" s="190"/>
      <c r="L68" s="190"/>
      <c r="M68" s="190"/>
      <c r="N68" s="190"/>
      <c r="O68" s="190"/>
      <c r="P68" s="190"/>
      <c r="Q68" s="190"/>
      <c r="R68" s="190"/>
    </row>
    <row r="69" ht="16" customHeight="1" spans="1:18" x14ac:dyDescent="0.25">
      <c r="A69" s="189"/>
      <c r="B69" s="189"/>
      <c r="C69" s="189"/>
      <c r="D69" s="189"/>
      <c r="E69" s="189"/>
      <c r="F69" s="189"/>
      <c r="G69" s="189"/>
      <c r="H69" s="189"/>
      <c r="I69" s="190"/>
      <c r="J69" s="190"/>
      <c r="K69" s="190"/>
      <c r="L69" s="190"/>
      <c r="M69" s="190"/>
      <c r="N69" s="190"/>
      <c r="O69" s="190"/>
      <c r="P69" s="190"/>
      <c r="Q69" s="190"/>
      <c r="R69" s="190"/>
    </row>
    <row r="70" ht="16" customHeight="1" spans="1:18" x14ac:dyDescent="0.25">
      <c r="A70" s="189"/>
      <c r="B70" s="189"/>
      <c r="C70" s="189"/>
      <c r="D70" s="189"/>
      <c r="E70" s="189"/>
      <c r="F70" s="189"/>
      <c r="G70" s="189"/>
      <c r="H70" s="189"/>
      <c r="I70" s="190"/>
      <c r="J70" s="190"/>
      <c r="K70" s="190"/>
      <c r="L70" s="190"/>
      <c r="M70" s="190"/>
      <c r="N70" s="190"/>
      <c r="O70" s="190"/>
      <c r="P70" s="190"/>
      <c r="Q70" s="190"/>
      <c r="R70" s="190"/>
    </row>
    <row r="71" ht="16" customHeight="1" spans="1:18" x14ac:dyDescent="0.25">
      <c r="A71" s="189"/>
      <c r="B71" s="189"/>
      <c r="C71" s="189"/>
      <c r="D71" s="189"/>
      <c r="E71" s="189"/>
      <c r="F71" s="189"/>
      <c r="G71" s="189"/>
      <c r="H71" s="189"/>
      <c r="I71" s="190"/>
      <c r="J71" s="190"/>
      <c r="K71" s="190"/>
      <c r="L71" s="190"/>
      <c r="M71" s="190"/>
      <c r="N71" s="190"/>
      <c r="O71" s="190"/>
      <c r="P71" s="190"/>
      <c r="Q71" s="190"/>
      <c r="R71" s="190"/>
    </row>
    <row r="72" ht="16" customHeight="1" spans="1:18" x14ac:dyDescent="0.25">
      <c r="A72" s="189"/>
      <c r="B72" s="189"/>
      <c r="C72" s="189"/>
      <c r="D72" s="189"/>
      <c r="E72" s="189"/>
      <c r="F72" s="189"/>
      <c r="G72" s="189"/>
      <c r="H72" s="189"/>
      <c r="I72" s="190"/>
      <c r="J72" s="190"/>
      <c r="K72" s="190"/>
      <c r="L72" s="190"/>
      <c r="M72" s="190"/>
      <c r="N72" s="190"/>
      <c r="O72" s="190"/>
      <c r="P72" s="190"/>
      <c r="Q72" s="190"/>
      <c r="R72" s="190"/>
    </row>
    <row r="73" ht="16" customHeight="1" spans="1:18" x14ac:dyDescent="0.25">
      <c r="A73" s="189"/>
      <c r="B73" s="189"/>
      <c r="C73" s="189"/>
      <c r="D73" s="189"/>
      <c r="E73" s="189"/>
      <c r="F73" s="189"/>
      <c r="G73" s="189"/>
      <c r="H73" s="189"/>
      <c r="I73" s="190"/>
      <c r="J73" s="190"/>
      <c r="K73" s="190"/>
      <c r="L73" s="190"/>
      <c r="M73" s="190"/>
      <c r="N73" s="190"/>
      <c r="O73" s="190"/>
      <c r="P73" s="190"/>
      <c r="Q73" s="190"/>
      <c r="R73" s="190"/>
    </row>
    <row r="74" ht="16" customHeight="1" spans="1:18" x14ac:dyDescent="0.25">
      <c r="A74" s="189"/>
      <c r="B74" s="189"/>
      <c r="C74" s="189"/>
      <c r="D74" s="189"/>
      <c r="E74" s="189"/>
      <c r="F74" s="189"/>
      <c r="G74" s="189"/>
      <c r="H74" s="189"/>
      <c r="I74" s="190"/>
      <c r="J74" s="190"/>
      <c r="K74" s="190"/>
      <c r="L74" s="190"/>
      <c r="M74" s="190"/>
      <c r="N74" s="190"/>
      <c r="O74" s="190"/>
      <c r="P74" s="190"/>
      <c r="Q74" s="190"/>
      <c r="R74" s="190"/>
    </row>
    <row r="75" ht="16" customHeight="1" spans="1:18" x14ac:dyDescent="0.25">
      <c r="A75" s="189"/>
      <c r="B75" s="189"/>
      <c r="C75" s="189"/>
      <c r="D75" s="189"/>
      <c r="E75" s="189"/>
      <c r="F75" s="189"/>
      <c r="G75" s="189"/>
      <c r="H75" s="189"/>
      <c r="I75" s="190"/>
      <c r="J75" s="190"/>
      <c r="K75" s="190"/>
      <c r="L75" s="190"/>
      <c r="M75" s="190"/>
      <c r="N75" s="190"/>
      <c r="O75" s="190"/>
      <c r="P75" s="190"/>
      <c r="Q75" s="190"/>
      <c r="R75" s="190"/>
    </row>
    <row r="76" ht="16" customHeight="1" spans="1:18" x14ac:dyDescent="0.25">
      <c r="A76" s="189"/>
      <c r="B76" s="189"/>
      <c r="C76" s="189"/>
      <c r="D76" s="189"/>
      <c r="E76" s="189"/>
      <c r="F76" s="189"/>
      <c r="G76" s="189"/>
      <c r="H76" s="189"/>
      <c r="I76" s="190"/>
      <c r="J76" s="190"/>
      <c r="K76" s="190"/>
      <c r="L76" s="190"/>
      <c r="M76" s="190"/>
      <c r="N76" s="190"/>
      <c r="O76" s="190"/>
      <c r="P76" s="190"/>
      <c r="Q76" s="190"/>
      <c r="R76" s="190"/>
    </row>
    <row r="77" ht="16" customHeight="1" spans="1:18" x14ac:dyDescent="0.25">
      <c r="A77" s="189"/>
      <c r="B77" s="189"/>
      <c r="C77" s="189"/>
      <c r="D77" s="189"/>
      <c r="E77" s="189"/>
      <c r="F77" s="189"/>
      <c r="G77" s="189"/>
      <c r="H77" s="189"/>
      <c r="I77" s="190"/>
      <c r="J77" s="190"/>
      <c r="K77" s="190"/>
      <c r="L77" s="190"/>
      <c r="M77" s="190"/>
      <c r="N77" s="190"/>
      <c r="O77" s="190"/>
      <c r="P77" s="190"/>
      <c r="Q77" s="190"/>
      <c r="R77" s="190"/>
    </row>
    <row r="78" ht="16" customHeight="1" spans="1:18" x14ac:dyDescent="0.25">
      <c r="A78" s="189"/>
      <c r="B78" s="189"/>
      <c r="C78" s="189"/>
      <c r="D78" s="189"/>
      <c r="E78" s="189"/>
      <c r="F78" s="189"/>
      <c r="G78" s="189"/>
      <c r="H78" s="189"/>
      <c r="I78" s="190"/>
      <c r="J78" s="190"/>
      <c r="K78" s="190"/>
      <c r="L78" s="190"/>
      <c r="M78" s="190"/>
      <c r="N78" s="190"/>
      <c r="O78" s="190"/>
      <c r="P78" s="190"/>
      <c r="Q78" s="190"/>
      <c r="R78" s="190"/>
    </row>
    <row r="79" ht="16" customHeight="1" spans="1:18" x14ac:dyDescent="0.25">
      <c r="A79" s="189"/>
      <c r="B79" s="189"/>
      <c r="C79" s="189"/>
      <c r="D79" s="189"/>
      <c r="E79" s="189"/>
      <c r="F79" s="189"/>
      <c r="G79" s="189"/>
      <c r="H79" s="189"/>
      <c r="I79" s="190"/>
      <c r="J79" s="190"/>
      <c r="K79" s="190"/>
      <c r="L79" s="190"/>
      <c r="M79" s="190"/>
      <c r="N79" s="190"/>
      <c r="O79" s="190"/>
      <c r="P79" s="190"/>
      <c r="Q79" s="190"/>
      <c r="R79" s="190"/>
    </row>
    <row r="80" ht="16" customHeight="1" spans="1:18" x14ac:dyDescent="0.25">
      <c r="A80" s="189"/>
      <c r="B80" s="189"/>
      <c r="C80" s="189"/>
      <c r="D80" s="189"/>
      <c r="E80" s="189"/>
      <c r="F80" s="189"/>
      <c r="G80" s="189"/>
      <c r="H80" s="189"/>
      <c r="I80" s="190"/>
      <c r="J80" s="190"/>
      <c r="K80" s="190"/>
      <c r="L80" s="190"/>
      <c r="M80" s="190"/>
      <c r="N80" s="190"/>
      <c r="O80" s="190"/>
      <c r="P80" s="190"/>
      <c r="Q80" s="190"/>
      <c r="R80" s="190"/>
    </row>
    <row r="81" ht="16" customHeight="1" spans="1:18" x14ac:dyDescent="0.25">
      <c r="A81" s="189"/>
      <c r="B81" s="189"/>
      <c r="C81" s="189"/>
      <c r="D81" s="189"/>
      <c r="E81" s="189"/>
      <c r="F81" s="189"/>
      <c r="G81" s="189"/>
      <c r="H81" s="189"/>
      <c r="I81" s="190"/>
      <c r="J81" s="190"/>
      <c r="K81" s="190"/>
      <c r="L81" s="190"/>
      <c r="M81" s="190"/>
      <c r="N81" s="190"/>
      <c r="O81" s="190"/>
      <c r="P81" s="190"/>
      <c r="Q81" s="190"/>
      <c r="R81" s="190"/>
    </row>
    <row r="82" ht="16" customHeight="1" spans="1:18" x14ac:dyDescent="0.25">
      <c r="A82" s="189"/>
      <c r="B82" s="189"/>
      <c r="C82" s="189"/>
      <c r="D82" s="189"/>
      <c r="E82" s="189"/>
      <c r="F82" s="189"/>
      <c r="G82" s="189"/>
      <c r="H82" s="189"/>
      <c r="I82" s="190"/>
      <c r="J82" s="190"/>
      <c r="K82" s="190"/>
      <c r="L82" s="190"/>
      <c r="M82" s="190"/>
      <c r="N82" s="190"/>
      <c r="O82" s="190"/>
      <c r="P82" s="190"/>
      <c r="Q82" s="190"/>
      <c r="R82" s="190"/>
    </row>
    <row r="83" ht="16" customHeight="1" spans="1:18" x14ac:dyDescent="0.25">
      <c r="A83" s="189"/>
      <c r="B83" s="189"/>
      <c r="C83" s="189"/>
      <c r="D83" s="189"/>
      <c r="E83" s="189"/>
      <c r="F83" s="189"/>
      <c r="G83" s="189"/>
      <c r="H83" s="189"/>
      <c r="I83" s="190"/>
      <c r="J83" s="190"/>
      <c r="K83" s="190"/>
      <c r="L83" s="190"/>
      <c r="M83" s="190"/>
      <c r="N83" s="190"/>
      <c r="O83" s="190"/>
      <c r="P83" s="190"/>
      <c r="Q83" s="190"/>
      <c r="R83" s="190"/>
    </row>
    <row r="84" ht="16" customHeight="1" spans="1:18" x14ac:dyDescent="0.25">
      <c r="A84" s="189"/>
      <c r="B84" s="189"/>
      <c r="C84" s="189"/>
      <c r="D84" s="189"/>
      <c r="E84" s="189"/>
      <c r="F84" s="189"/>
      <c r="G84" s="189"/>
      <c r="H84" s="189"/>
      <c r="I84" s="190"/>
      <c r="J84" s="190"/>
      <c r="K84" s="190"/>
      <c r="L84" s="190"/>
      <c r="M84" s="190"/>
      <c r="N84" s="190"/>
      <c r="O84" s="190"/>
      <c r="P84" s="190"/>
      <c r="Q84" s="190"/>
      <c r="R84" s="190"/>
    </row>
    <row r="85" ht="16" customHeight="1" spans="1:18" x14ac:dyDescent="0.25">
      <c r="A85" s="189"/>
      <c r="B85" s="189"/>
      <c r="C85" s="189"/>
      <c r="D85" s="189"/>
      <c r="E85" s="189"/>
      <c r="F85" s="189"/>
      <c r="G85" s="189"/>
      <c r="H85" s="189"/>
      <c r="I85" s="190"/>
      <c r="J85" s="190"/>
      <c r="K85" s="190"/>
      <c r="L85" s="190"/>
      <c r="M85" s="190"/>
      <c r="N85" s="190"/>
      <c r="O85" s="190"/>
      <c r="P85" s="190"/>
      <c r="Q85" s="190"/>
      <c r="R85" s="190"/>
    </row>
    <row r="86" ht="16" customHeight="1" spans="1:18" x14ac:dyDescent="0.25">
      <c r="A86" s="189"/>
      <c r="B86" s="189"/>
      <c r="C86" s="189"/>
      <c r="D86" s="189"/>
      <c r="E86" s="189"/>
      <c r="F86" s="189"/>
      <c r="G86" s="189"/>
      <c r="H86" s="189"/>
      <c r="I86" s="190"/>
      <c r="J86" s="190"/>
      <c r="K86" s="190"/>
      <c r="L86" s="190"/>
      <c r="M86" s="190"/>
      <c r="N86" s="190"/>
      <c r="O86" s="190"/>
      <c r="P86" s="190"/>
      <c r="Q86" s="190"/>
      <c r="R86" s="190"/>
    </row>
    <row r="87" ht="16" customHeight="1" spans="1:18" x14ac:dyDescent="0.25">
      <c r="A87" s="189"/>
      <c r="B87" s="189"/>
      <c r="C87" s="189"/>
      <c r="D87" s="189"/>
      <c r="E87" s="189"/>
      <c r="F87" s="189"/>
      <c r="G87" s="189"/>
      <c r="H87" s="189"/>
      <c r="I87" s="190"/>
      <c r="J87" s="190"/>
      <c r="K87" s="190"/>
      <c r="L87" s="190"/>
      <c r="M87" s="190"/>
      <c r="N87" s="190"/>
      <c r="O87" s="190"/>
      <c r="P87" s="190"/>
      <c r="Q87" s="190"/>
      <c r="R87" s="190"/>
    </row>
    <row r="88" ht="16" customHeight="1" spans="1:18" x14ac:dyDescent="0.25">
      <c r="A88" s="189"/>
      <c r="B88" s="189"/>
      <c r="C88" s="189"/>
      <c r="D88" s="189"/>
      <c r="E88" s="189"/>
      <c r="F88" s="189"/>
      <c r="G88" s="189"/>
      <c r="H88" s="189"/>
      <c r="I88" s="190"/>
      <c r="J88" s="190"/>
      <c r="K88" s="190"/>
      <c r="L88" s="190"/>
      <c r="M88" s="190"/>
      <c r="N88" s="190"/>
      <c r="O88" s="190"/>
      <c r="P88" s="190"/>
      <c r="Q88" s="190"/>
      <c r="R88" s="190"/>
    </row>
    <row r="89" ht="16" customHeight="1" spans="1:18" x14ac:dyDescent="0.25">
      <c r="A89" s="189"/>
      <c r="B89" s="189"/>
      <c r="C89" s="189"/>
      <c r="D89" s="189"/>
      <c r="E89" s="189"/>
      <c r="F89" s="189"/>
      <c r="G89" s="189"/>
      <c r="H89" s="189"/>
      <c r="I89" s="190"/>
      <c r="J89" s="190"/>
      <c r="K89" s="190"/>
      <c r="L89" s="190"/>
      <c r="M89" s="190"/>
      <c r="N89" s="190"/>
      <c r="O89" s="190"/>
      <c r="P89" s="190"/>
      <c r="Q89" s="190"/>
      <c r="R89" s="190"/>
    </row>
    <row r="90" ht="16" customHeight="1" spans="1:18" x14ac:dyDescent="0.25">
      <c r="A90" s="189"/>
      <c r="B90" s="189"/>
      <c r="C90" s="189"/>
      <c r="D90" s="189"/>
      <c r="E90" s="189"/>
      <c r="F90" s="189"/>
      <c r="G90" s="189"/>
      <c r="H90" s="189"/>
      <c r="I90" s="190"/>
      <c r="J90" s="190"/>
      <c r="K90" s="190"/>
      <c r="L90" s="190"/>
      <c r="M90" s="190"/>
      <c r="N90" s="190"/>
      <c r="O90" s="190"/>
      <c r="P90" s="190"/>
      <c r="Q90" s="190"/>
      <c r="R90" s="190"/>
    </row>
    <row r="91" ht="16" customHeight="1" spans="1:18" x14ac:dyDescent="0.25">
      <c r="A91" s="189"/>
      <c r="B91" s="189"/>
      <c r="C91" s="189"/>
      <c r="D91" s="189"/>
      <c r="E91" s="189"/>
      <c r="F91" s="189"/>
      <c r="G91" s="189"/>
      <c r="H91" s="189"/>
      <c r="I91" s="190"/>
      <c r="J91" s="190"/>
      <c r="K91" s="190"/>
      <c r="L91" s="190"/>
      <c r="M91" s="190"/>
      <c r="N91" s="190"/>
      <c r="O91" s="190"/>
      <c r="P91" s="190"/>
      <c r="Q91" s="190"/>
      <c r="R91" s="190"/>
    </row>
    <row r="92" ht="16" customHeight="1" spans="1:18" x14ac:dyDescent="0.25">
      <c r="A92" s="189"/>
      <c r="B92" s="189"/>
      <c r="C92" s="189"/>
      <c r="D92" s="189"/>
      <c r="E92" s="189"/>
      <c r="F92" s="189"/>
      <c r="G92" s="189"/>
      <c r="H92" s="189"/>
      <c r="I92" s="190"/>
      <c r="J92" s="190"/>
      <c r="K92" s="190"/>
      <c r="L92" s="190"/>
      <c r="M92" s="190"/>
      <c r="N92" s="190"/>
      <c r="O92" s="190"/>
      <c r="P92" s="190"/>
      <c r="Q92" s="190"/>
      <c r="R92" s="190"/>
    </row>
    <row r="93" ht="16" customHeight="1" spans="1:18" x14ac:dyDescent="0.25">
      <c r="A93" s="189"/>
      <c r="B93" s="189"/>
      <c r="C93" s="189"/>
      <c r="D93" s="189"/>
      <c r="E93" s="189"/>
      <c r="F93" s="189"/>
      <c r="G93" s="189"/>
      <c r="H93" s="189"/>
      <c r="I93" s="190"/>
      <c r="J93" s="190"/>
      <c r="K93" s="190"/>
      <c r="L93" s="190"/>
      <c r="M93" s="190"/>
      <c r="N93" s="190"/>
      <c r="O93" s="190"/>
      <c r="P93" s="190"/>
      <c r="Q93" s="190"/>
      <c r="R93" s="190"/>
    </row>
    <row r="94" ht="16" customHeight="1" spans="1:18" x14ac:dyDescent="0.25">
      <c r="A94" s="189"/>
      <c r="B94" s="189"/>
      <c r="C94" s="189"/>
      <c r="D94" s="189"/>
      <c r="E94" s="189"/>
      <c r="F94" s="189"/>
      <c r="G94" s="189"/>
      <c r="H94" s="189"/>
      <c r="I94" s="190"/>
      <c r="J94" s="190"/>
      <c r="K94" s="190"/>
      <c r="L94" s="190"/>
      <c r="M94" s="190"/>
      <c r="N94" s="190"/>
      <c r="O94" s="190"/>
      <c r="P94" s="190"/>
      <c r="Q94" s="190"/>
      <c r="R94" s="190"/>
    </row>
    <row r="95" ht="16" customHeight="1" spans="1:18" x14ac:dyDescent="0.25">
      <c r="A95" s="189"/>
      <c r="B95" s="189"/>
      <c r="C95" s="189"/>
      <c r="D95" s="189"/>
      <c r="E95" s="189"/>
      <c r="F95" s="189"/>
      <c r="G95" s="189"/>
      <c r="H95" s="189"/>
      <c r="I95" s="190"/>
      <c r="J95" s="190"/>
      <c r="K95" s="190"/>
      <c r="L95" s="190"/>
      <c r="M95" s="190"/>
      <c r="N95" s="190"/>
      <c r="O95" s="190"/>
      <c r="P95" s="190"/>
      <c r="Q95" s="190"/>
      <c r="R95" s="190"/>
    </row>
    <row r="96" ht="16" customHeight="1" spans="1:18" x14ac:dyDescent="0.25">
      <c r="A96" s="189"/>
      <c r="B96" s="189"/>
      <c r="C96" s="189"/>
      <c r="D96" s="189"/>
      <c r="E96" s="189"/>
      <c r="F96" s="189"/>
      <c r="G96" s="189"/>
      <c r="H96" s="189"/>
      <c r="I96" s="190"/>
      <c r="J96" s="190"/>
      <c r="K96" s="190"/>
      <c r="L96" s="190"/>
      <c r="M96" s="190"/>
      <c r="N96" s="190"/>
      <c r="O96" s="190"/>
      <c r="P96" s="190"/>
      <c r="Q96" s="190"/>
      <c r="R96" s="190"/>
    </row>
    <row r="97" ht="16" customHeight="1" spans="1:18" x14ac:dyDescent="0.25">
      <c r="A97" s="189"/>
      <c r="B97" s="189"/>
      <c r="C97" s="189"/>
      <c r="D97" s="189"/>
      <c r="E97" s="189"/>
      <c r="F97" s="189"/>
      <c r="G97" s="189"/>
      <c r="H97" s="189"/>
      <c r="I97" s="190"/>
      <c r="J97" s="190"/>
      <c r="K97" s="190"/>
      <c r="L97" s="190"/>
      <c r="M97" s="190"/>
      <c r="N97" s="190"/>
      <c r="O97" s="190"/>
      <c r="P97" s="190"/>
      <c r="Q97" s="190"/>
      <c r="R97" s="190"/>
    </row>
    <row r="98" ht="16" customHeight="1" spans="1:18" x14ac:dyDescent="0.25">
      <c r="A98" s="189"/>
      <c r="B98" s="189"/>
      <c r="C98" s="189"/>
      <c r="D98" s="189"/>
      <c r="E98" s="189"/>
      <c r="F98" s="189"/>
      <c r="G98" s="189"/>
      <c r="H98" s="189"/>
      <c r="I98" s="190"/>
      <c r="J98" s="190"/>
      <c r="K98" s="190"/>
      <c r="L98" s="190"/>
      <c r="M98" s="190"/>
      <c r="N98" s="190"/>
      <c r="O98" s="190"/>
      <c r="P98" s="190"/>
      <c r="Q98" s="190"/>
      <c r="R98" s="190"/>
    </row>
    <row r="99" ht="16" customHeight="1" spans="1:18" x14ac:dyDescent="0.25">
      <c r="A99" s="189"/>
      <c r="B99" s="189"/>
      <c r="C99" s="189"/>
      <c r="D99" s="189"/>
      <c r="E99" s="189"/>
      <c r="F99" s="189"/>
      <c r="G99" s="189"/>
      <c r="H99" s="189"/>
      <c r="I99" s="190"/>
      <c r="J99" s="190"/>
      <c r="K99" s="190"/>
      <c r="L99" s="190"/>
      <c r="M99" s="190"/>
      <c r="N99" s="190"/>
      <c r="O99" s="190"/>
      <c r="P99" s="190"/>
      <c r="Q99" s="190"/>
      <c r="R99" s="190"/>
    </row>
    <row r="100" ht="16" customHeight="1" spans="1:18" x14ac:dyDescent="0.25">
      <c r="A100" s="189"/>
      <c r="B100" s="189"/>
      <c r="C100" s="189"/>
      <c r="D100" s="189"/>
      <c r="E100" s="189"/>
      <c r="F100" s="189"/>
      <c r="G100" s="189"/>
      <c r="H100" s="189"/>
      <c r="I100" s="190"/>
      <c r="J100" s="190"/>
      <c r="K100" s="190"/>
      <c r="L100" s="190"/>
      <c r="M100" s="190"/>
      <c r="N100" s="190"/>
      <c r="O100" s="190"/>
      <c r="P100" s="190"/>
      <c r="Q100" s="190"/>
      <c r="R100" s="190"/>
    </row>
    <row r="101" ht="16" customHeight="1" spans="1:18" x14ac:dyDescent="0.25">
      <c r="A101" s="189"/>
      <c r="B101" s="189"/>
      <c r="C101" s="189"/>
      <c r="D101" s="189"/>
      <c r="E101" s="189"/>
      <c r="F101" s="189"/>
      <c r="G101" s="189"/>
      <c r="H101" s="189"/>
      <c r="I101" s="190"/>
      <c r="J101" s="190"/>
      <c r="K101" s="190"/>
      <c r="L101" s="190"/>
      <c r="M101" s="190"/>
      <c r="N101" s="190"/>
      <c r="O101" s="190"/>
      <c r="P101" s="190"/>
      <c r="Q101" s="190"/>
      <c r="R101" s="190"/>
    </row>
    <row r="102" ht="16" customHeight="1" spans="1:18" x14ac:dyDescent="0.25">
      <c r="A102" s="189"/>
      <c r="B102" s="189"/>
      <c r="C102" s="189"/>
      <c r="D102" s="189"/>
      <c r="E102" s="189"/>
      <c r="F102" s="189"/>
      <c r="G102" s="189"/>
      <c r="H102" s="189"/>
      <c r="I102" s="190"/>
      <c r="J102" s="190"/>
      <c r="K102" s="190"/>
      <c r="L102" s="190"/>
      <c r="M102" s="190"/>
      <c r="N102" s="190"/>
      <c r="O102" s="190"/>
      <c r="P102" s="190"/>
      <c r="Q102" s="190"/>
      <c r="R102" s="190"/>
    </row>
    <row r="103" ht="16" customHeight="1" spans="1:18" x14ac:dyDescent="0.25">
      <c r="A103" s="189"/>
      <c r="B103" s="189"/>
      <c r="C103" s="189"/>
      <c r="D103" s="189"/>
      <c r="E103" s="189"/>
      <c r="F103" s="189"/>
      <c r="G103" s="189"/>
      <c r="H103" s="189"/>
      <c r="I103" s="190"/>
      <c r="J103" s="190"/>
      <c r="K103" s="190"/>
      <c r="L103" s="190"/>
      <c r="M103" s="190"/>
      <c r="N103" s="190"/>
      <c r="O103" s="190"/>
      <c r="P103" s="190"/>
      <c r="Q103" s="190"/>
      <c r="R103" s="190"/>
    </row>
    <row r="104" ht="16" customHeight="1" spans="1:18" x14ac:dyDescent="0.25">
      <c r="A104" s="189"/>
      <c r="B104" s="189"/>
      <c r="C104" s="189"/>
      <c r="D104" s="189"/>
      <c r="E104" s="189"/>
      <c r="F104" s="189"/>
      <c r="G104" s="189"/>
      <c r="H104" s="189"/>
      <c r="I104" s="190"/>
      <c r="J104" s="190"/>
      <c r="K104" s="190"/>
      <c r="L104" s="190"/>
      <c r="M104" s="190"/>
      <c r="N104" s="190"/>
      <c r="O104" s="190"/>
      <c r="P104" s="190"/>
      <c r="Q104" s="190"/>
      <c r="R104" s="190"/>
    </row>
    <row r="105" ht="16" customHeight="1" spans="1:18" x14ac:dyDescent="0.25">
      <c r="A105" s="189"/>
      <c r="B105" s="189"/>
      <c r="C105" s="189"/>
      <c r="D105" s="189"/>
      <c r="E105" s="189"/>
      <c r="F105" s="189"/>
      <c r="G105" s="189"/>
      <c r="H105" s="189"/>
      <c r="I105" s="190"/>
      <c r="J105" s="190"/>
      <c r="K105" s="190"/>
      <c r="L105" s="190"/>
      <c r="M105" s="190"/>
      <c r="N105" s="190"/>
      <c r="O105" s="190"/>
      <c r="P105" s="190"/>
      <c r="Q105" s="190"/>
      <c r="R105" s="190"/>
    </row>
    <row r="106" ht="16" customHeight="1" spans="1:18" x14ac:dyDescent="0.25">
      <c r="A106" s="189"/>
      <c r="B106" s="189"/>
      <c r="C106" s="189"/>
      <c r="D106" s="189"/>
      <c r="E106" s="189"/>
      <c r="F106" s="189"/>
      <c r="G106" s="189"/>
      <c r="H106" s="189"/>
      <c r="I106" s="190"/>
      <c r="J106" s="190"/>
      <c r="K106" s="190"/>
      <c r="L106" s="190"/>
      <c r="M106" s="190"/>
      <c r="N106" s="190"/>
      <c r="O106" s="190"/>
      <c r="P106" s="190"/>
      <c r="Q106" s="190"/>
      <c r="R106" s="190"/>
    </row>
    <row r="107" ht="16" customHeight="1" spans="1:18" x14ac:dyDescent="0.25">
      <c r="A107" s="189"/>
      <c r="B107" s="189"/>
      <c r="C107" s="189"/>
      <c r="D107" s="189"/>
      <c r="E107" s="189"/>
      <c r="F107" s="189"/>
      <c r="G107" s="189"/>
      <c r="H107" s="189"/>
      <c r="I107" s="190"/>
      <c r="J107" s="190"/>
      <c r="K107" s="190"/>
      <c r="L107" s="190"/>
      <c r="M107" s="190"/>
      <c r="N107" s="190"/>
      <c r="O107" s="190"/>
      <c r="P107" s="190"/>
      <c r="Q107" s="190"/>
      <c r="R107" s="190"/>
    </row>
    <row r="108" ht="16" customHeight="1" spans="1:18" x14ac:dyDescent="0.25">
      <c r="A108" s="189"/>
      <c r="B108" s="189"/>
      <c r="C108" s="189"/>
      <c r="D108" s="189"/>
      <c r="E108" s="189"/>
      <c r="F108" s="189"/>
      <c r="G108" s="189"/>
      <c r="H108" s="189"/>
      <c r="I108" s="190"/>
      <c r="J108" s="190"/>
      <c r="K108" s="190"/>
      <c r="L108" s="190"/>
      <c r="M108" s="190"/>
      <c r="N108" s="190"/>
      <c r="O108" s="190"/>
      <c r="P108" s="190"/>
      <c r="Q108" s="190"/>
      <c r="R108" s="190"/>
    </row>
    <row r="109" ht="16" customHeight="1" spans="1:18" x14ac:dyDescent="0.25">
      <c r="A109" s="189"/>
      <c r="B109" s="189"/>
      <c r="C109" s="189"/>
      <c r="D109" s="189"/>
      <c r="E109" s="189"/>
      <c r="F109" s="189"/>
      <c r="G109" s="189"/>
      <c r="H109" s="189"/>
      <c r="I109" s="190"/>
      <c r="J109" s="190"/>
      <c r="K109" s="190"/>
      <c r="L109" s="190"/>
      <c r="M109" s="190"/>
      <c r="N109" s="190"/>
      <c r="O109" s="190"/>
      <c r="P109" s="190"/>
      <c r="Q109" s="190"/>
      <c r="R109" s="190"/>
    </row>
    <row r="110" ht="16" customHeight="1" spans="1:18" x14ac:dyDescent="0.25">
      <c r="A110" s="189"/>
      <c r="B110" s="189"/>
      <c r="C110" s="189"/>
      <c r="D110" s="189"/>
      <c r="E110" s="189"/>
      <c r="F110" s="189"/>
      <c r="G110" s="189"/>
      <c r="H110" s="189"/>
      <c r="I110" s="190"/>
      <c r="J110" s="190"/>
      <c r="K110" s="190"/>
      <c r="L110" s="190"/>
      <c r="M110" s="190"/>
      <c r="N110" s="190"/>
      <c r="O110" s="190"/>
      <c r="P110" s="190"/>
      <c r="Q110" s="190"/>
      <c r="R110" s="190"/>
    </row>
    <row r="111" ht="16" customHeight="1" spans="1:18" x14ac:dyDescent="0.25">
      <c r="A111" s="189"/>
      <c r="B111" s="189"/>
      <c r="C111" s="189"/>
      <c r="D111" s="189"/>
      <c r="E111" s="189"/>
      <c r="F111" s="189"/>
      <c r="G111" s="189"/>
      <c r="H111" s="189"/>
      <c r="I111" s="190"/>
      <c r="J111" s="190"/>
      <c r="K111" s="190"/>
      <c r="L111" s="190"/>
      <c r="M111" s="190"/>
      <c r="N111" s="190"/>
      <c r="O111" s="190"/>
      <c r="P111" s="190"/>
      <c r="Q111" s="190"/>
      <c r="R111" s="190"/>
    </row>
    <row r="112" ht="16" customHeight="1" spans="1:18" x14ac:dyDescent="0.25">
      <c r="A112" s="189"/>
      <c r="B112" s="189"/>
      <c r="C112" s="189"/>
      <c r="D112" s="189"/>
      <c r="E112" s="189"/>
      <c r="F112" s="189"/>
      <c r="G112" s="189"/>
      <c r="H112" s="189"/>
      <c r="I112" s="190"/>
      <c r="J112" s="190"/>
      <c r="K112" s="190"/>
      <c r="L112" s="190"/>
      <c r="M112" s="190"/>
      <c r="N112" s="190"/>
      <c r="O112" s="190"/>
      <c r="P112" s="190"/>
      <c r="Q112" s="190"/>
      <c r="R112" s="190"/>
    </row>
    <row r="113" ht="16" customHeight="1" spans="1:18" x14ac:dyDescent="0.25">
      <c r="A113" s="189"/>
      <c r="B113" s="189"/>
      <c r="C113" s="189"/>
      <c r="D113" s="189"/>
      <c r="E113" s="189"/>
      <c r="F113" s="189"/>
      <c r="G113" s="189"/>
      <c r="H113" s="189"/>
      <c r="I113" s="190"/>
      <c r="J113" s="190"/>
      <c r="K113" s="190"/>
      <c r="L113" s="190"/>
      <c r="M113" s="190"/>
      <c r="N113" s="190"/>
      <c r="O113" s="190"/>
      <c r="P113" s="190"/>
      <c r="Q113" s="190"/>
      <c r="R113" s="190"/>
    </row>
    <row r="114" ht="16" customHeight="1" spans="1:18" x14ac:dyDescent="0.25">
      <c r="A114" s="189"/>
      <c r="B114" s="189"/>
      <c r="C114" s="189"/>
      <c r="D114" s="189"/>
      <c r="E114" s="189"/>
      <c r="F114" s="189"/>
      <c r="G114" s="189"/>
      <c r="H114" s="189"/>
      <c r="I114" s="190"/>
      <c r="J114" s="190"/>
      <c r="K114" s="190"/>
      <c r="L114" s="190"/>
      <c r="M114" s="190"/>
      <c r="N114" s="190"/>
      <c r="O114" s="190"/>
      <c r="P114" s="190"/>
      <c r="Q114" s="190"/>
      <c r="R114" s="190"/>
    </row>
    <row r="115" ht="16" customHeight="1" spans="1:18" x14ac:dyDescent="0.25">
      <c r="A115" s="189"/>
      <c r="B115" s="189"/>
      <c r="C115" s="189"/>
      <c r="D115" s="189"/>
      <c r="E115" s="189"/>
      <c r="F115" s="189"/>
      <c r="G115" s="189"/>
      <c r="H115" s="189"/>
      <c r="I115" s="190"/>
      <c r="J115" s="190"/>
      <c r="K115" s="190"/>
      <c r="L115" s="190"/>
      <c r="M115" s="190"/>
      <c r="N115" s="190"/>
      <c r="O115" s="190"/>
      <c r="P115" s="190"/>
      <c r="Q115" s="190"/>
      <c r="R115" s="190"/>
    </row>
    <row r="116" ht="16" customHeight="1" spans="1:18" x14ac:dyDescent="0.25">
      <c r="A116" s="189"/>
      <c r="B116" s="189"/>
      <c r="C116" s="189"/>
      <c r="D116" s="189"/>
      <c r="E116" s="189"/>
      <c r="F116" s="189"/>
      <c r="G116" s="189"/>
      <c r="H116" s="189"/>
      <c r="I116" s="190"/>
      <c r="J116" s="190"/>
      <c r="K116" s="190"/>
      <c r="L116" s="190"/>
      <c r="M116" s="190"/>
      <c r="N116" s="190"/>
      <c r="O116" s="190"/>
      <c r="P116" s="190"/>
      <c r="Q116" s="190"/>
      <c r="R116" s="190"/>
    </row>
    <row r="117" ht="16" customHeight="1" spans="1:18" x14ac:dyDescent="0.25">
      <c r="A117" s="189"/>
      <c r="B117" s="189"/>
      <c r="C117" s="189"/>
      <c r="D117" s="189"/>
      <c r="E117" s="189"/>
      <c r="F117" s="189"/>
      <c r="G117" s="189"/>
      <c r="H117" s="189"/>
      <c r="I117" s="190"/>
      <c r="J117" s="190"/>
      <c r="K117" s="190"/>
      <c r="L117" s="190"/>
      <c r="M117" s="190"/>
      <c r="N117" s="190"/>
      <c r="O117" s="190"/>
      <c r="P117" s="190"/>
      <c r="Q117" s="190"/>
      <c r="R117" s="190"/>
    </row>
    <row r="118" ht="16" customHeight="1" spans="1:18" x14ac:dyDescent="0.25">
      <c r="A118" s="189"/>
      <c r="B118" s="189"/>
      <c r="C118" s="189"/>
      <c r="D118" s="189"/>
      <c r="E118" s="189"/>
      <c r="F118" s="189"/>
      <c r="G118" s="189"/>
      <c r="H118" s="189"/>
      <c r="I118" s="190"/>
      <c r="J118" s="190"/>
      <c r="K118" s="190"/>
      <c r="L118" s="190"/>
      <c r="M118" s="190"/>
      <c r="N118" s="190"/>
      <c r="O118" s="190"/>
      <c r="P118" s="190"/>
      <c r="Q118" s="190"/>
      <c r="R118" s="190"/>
    </row>
    <row r="119" ht="16" customHeight="1" spans="1:18" x14ac:dyDescent="0.25">
      <c r="A119" s="189"/>
      <c r="B119" s="189"/>
      <c r="C119" s="189"/>
      <c r="D119" s="189"/>
      <c r="E119" s="189"/>
      <c r="F119" s="189"/>
      <c r="G119" s="189"/>
      <c r="H119" s="189"/>
      <c r="I119" s="190"/>
      <c r="J119" s="190"/>
      <c r="K119" s="190"/>
      <c r="L119" s="190"/>
      <c r="M119" s="190"/>
      <c r="N119" s="190"/>
      <c r="O119" s="190"/>
      <c r="P119" s="190"/>
      <c r="Q119" s="190"/>
      <c r="R119" s="190"/>
    </row>
    <row r="120" ht="16" customHeight="1" spans="1:18" x14ac:dyDescent="0.25">
      <c r="A120" s="189"/>
      <c r="B120" s="189"/>
      <c r="C120" s="189"/>
      <c r="D120" s="189"/>
      <c r="E120" s="189"/>
      <c r="F120" s="189"/>
      <c r="G120" s="189"/>
      <c r="H120" s="189"/>
      <c r="I120" s="190"/>
      <c r="J120" s="190"/>
      <c r="K120" s="190"/>
      <c r="L120" s="190"/>
      <c r="M120" s="190"/>
      <c r="N120" s="190"/>
      <c r="O120" s="190"/>
      <c r="P120" s="190"/>
      <c r="Q120" s="190"/>
      <c r="R120" s="190"/>
    </row>
    <row r="121" ht="16" customHeight="1" spans="1:18" x14ac:dyDescent="0.25">
      <c r="A121" s="189"/>
      <c r="B121" s="189"/>
      <c r="C121" s="189"/>
      <c r="D121" s="189"/>
      <c r="E121" s="189"/>
      <c r="F121" s="189"/>
      <c r="G121" s="189"/>
      <c r="H121" s="189"/>
      <c r="I121" s="190"/>
      <c r="J121" s="190"/>
      <c r="K121" s="190"/>
      <c r="L121" s="190"/>
      <c r="M121" s="190"/>
      <c r="N121" s="190"/>
      <c r="O121" s="190"/>
      <c r="P121" s="190"/>
      <c r="Q121" s="190"/>
      <c r="R121" s="190"/>
    </row>
    <row r="122" ht="16" customHeight="1" spans="1:18" x14ac:dyDescent="0.25">
      <c r="A122" s="189"/>
      <c r="B122" s="189"/>
      <c r="C122" s="189"/>
      <c r="D122" s="189"/>
      <c r="E122" s="189"/>
      <c r="F122" s="189"/>
      <c r="G122" s="189"/>
      <c r="H122" s="189"/>
      <c r="I122" s="190"/>
      <c r="J122" s="190"/>
      <c r="K122" s="190"/>
      <c r="L122" s="190"/>
      <c r="M122" s="190"/>
      <c r="N122" s="190"/>
      <c r="O122" s="190"/>
      <c r="P122" s="190"/>
      <c r="Q122" s="190"/>
      <c r="R122" s="190"/>
    </row>
    <row r="123" ht="16" customHeight="1" spans="1:18" x14ac:dyDescent="0.25">
      <c r="A123" s="189"/>
      <c r="B123" s="189"/>
      <c r="C123" s="189"/>
      <c r="D123" s="189"/>
      <c r="E123" s="189"/>
      <c r="F123" s="189"/>
      <c r="G123" s="189"/>
      <c r="H123" s="189"/>
      <c r="I123" s="190"/>
      <c r="J123" s="190"/>
      <c r="K123" s="190"/>
      <c r="L123" s="190"/>
      <c r="M123" s="190"/>
      <c r="N123" s="190"/>
      <c r="O123" s="190"/>
      <c r="P123" s="190"/>
      <c r="Q123" s="190"/>
      <c r="R123" s="190"/>
    </row>
    <row r="124" ht="16" customHeight="1" spans="1:18" x14ac:dyDescent="0.25">
      <c r="A124" s="189"/>
      <c r="B124" s="189"/>
      <c r="C124" s="189"/>
      <c r="D124" s="189"/>
      <c r="E124" s="189"/>
      <c r="F124" s="189"/>
      <c r="G124" s="189"/>
      <c r="H124" s="189"/>
      <c r="I124" s="190"/>
      <c r="J124" s="190"/>
      <c r="K124" s="190"/>
      <c r="L124" s="190"/>
      <c r="M124" s="190"/>
      <c r="N124" s="190"/>
      <c r="O124" s="190"/>
      <c r="P124" s="190"/>
      <c r="Q124" s="190"/>
      <c r="R124" s="190"/>
    </row>
    <row r="125" ht="16" customHeight="1" spans="1:18" x14ac:dyDescent="0.25">
      <c r="A125" s="189"/>
      <c r="B125" s="189"/>
      <c r="C125" s="189"/>
      <c r="D125" s="189"/>
      <c r="E125" s="189"/>
      <c r="F125" s="189"/>
      <c r="G125" s="189"/>
      <c r="H125" s="189"/>
      <c r="I125" s="190"/>
      <c r="J125" s="190"/>
      <c r="K125" s="190"/>
      <c r="L125" s="190"/>
      <c r="M125" s="190"/>
      <c r="N125" s="190"/>
      <c r="O125" s="190"/>
      <c r="P125" s="190"/>
      <c r="Q125" s="190"/>
      <c r="R125" s="190"/>
    </row>
    <row r="126" ht="16" customHeight="1" spans="1:18" x14ac:dyDescent="0.25">
      <c r="A126" s="189"/>
      <c r="B126" s="189"/>
      <c r="C126" s="189"/>
      <c r="D126" s="189"/>
      <c r="E126" s="189"/>
      <c r="F126" s="189"/>
      <c r="G126" s="189"/>
      <c r="H126" s="189"/>
      <c r="I126" s="190"/>
      <c r="J126" s="190"/>
      <c r="K126" s="190"/>
      <c r="L126" s="190"/>
      <c r="M126" s="190"/>
      <c r="N126" s="190"/>
      <c r="O126" s="190"/>
      <c r="P126" s="190"/>
      <c r="Q126" s="190"/>
      <c r="R126" s="190"/>
    </row>
    <row r="127" ht="16" customHeight="1" spans="1:18" x14ac:dyDescent="0.25">
      <c r="A127" s="189"/>
      <c r="B127" s="189"/>
      <c r="C127" s="189"/>
      <c r="D127" s="189"/>
      <c r="E127" s="189"/>
      <c r="F127" s="189"/>
      <c r="G127" s="189"/>
      <c r="H127" s="189"/>
      <c r="I127" s="190"/>
      <c r="J127" s="190"/>
      <c r="K127" s="190"/>
      <c r="L127" s="190"/>
      <c r="M127" s="190"/>
      <c r="N127" s="190"/>
      <c r="O127" s="190"/>
      <c r="P127" s="190"/>
      <c r="Q127" s="190"/>
      <c r="R127" s="190"/>
    </row>
    <row r="128" ht="16" customHeight="1" spans="1:18" x14ac:dyDescent="0.25">
      <c r="A128" s="189"/>
      <c r="B128" s="189"/>
      <c r="C128" s="189"/>
      <c r="D128" s="189"/>
      <c r="E128" s="189"/>
      <c r="F128" s="189"/>
      <c r="G128" s="189"/>
      <c r="H128" s="189"/>
      <c r="I128" s="190"/>
      <c r="J128" s="190"/>
      <c r="K128" s="190"/>
      <c r="L128" s="190"/>
      <c r="M128" s="190"/>
      <c r="N128" s="190"/>
      <c r="O128" s="190"/>
      <c r="P128" s="190"/>
      <c r="Q128" s="190"/>
      <c r="R128" s="190"/>
    </row>
    <row r="129" ht="16" customHeight="1" spans="1:18" x14ac:dyDescent="0.25">
      <c r="A129" s="189"/>
      <c r="B129" s="189"/>
      <c r="C129" s="189"/>
      <c r="D129" s="189"/>
      <c r="E129" s="189"/>
      <c r="F129" s="189"/>
      <c r="G129" s="189"/>
      <c r="H129" s="189"/>
      <c r="I129" s="190"/>
      <c r="J129" s="190"/>
      <c r="K129" s="190"/>
      <c r="L129" s="190"/>
      <c r="M129" s="190"/>
      <c r="N129" s="190"/>
      <c r="O129" s="190"/>
      <c r="P129" s="190"/>
      <c r="Q129" s="190"/>
      <c r="R129" s="190"/>
    </row>
    <row r="130" ht="16" customHeight="1" spans="1:18" x14ac:dyDescent="0.25">
      <c r="A130" s="189"/>
      <c r="B130" s="189"/>
      <c r="C130" s="189"/>
      <c r="D130" s="189"/>
      <c r="E130" s="189"/>
      <c r="F130" s="189"/>
      <c r="G130" s="189"/>
      <c r="H130" s="189"/>
      <c r="I130" s="190"/>
      <c r="J130" s="190"/>
      <c r="K130" s="190"/>
      <c r="L130" s="190"/>
      <c r="M130" s="190"/>
      <c r="N130" s="190"/>
      <c r="O130" s="190"/>
      <c r="P130" s="190"/>
      <c r="Q130" s="190"/>
      <c r="R130" s="190"/>
    </row>
    <row r="131" ht="16" customHeight="1" spans="1:18" x14ac:dyDescent="0.25">
      <c r="A131" s="189"/>
      <c r="B131" s="189"/>
      <c r="C131" s="189"/>
      <c r="D131" s="189"/>
      <c r="E131" s="189"/>
      <c r="F131" s="189"/>
      <c r="G131" s="189"/>
      <c r="H131" s="189"/>
      <c r="I131" s="190"/>
      <c r="J131" s="190"/>
      <c r="K131" s="190"/>
      <c r="L131" s="190"/>
      <c r="M131" s="190"/>
      <c r="N131" s="190"/>
      <c r="O131" s="190"/>
      <c r="P131" s="190"/>
      <c r="Q131" s="190"/>
      <c r="R131" s="190"/>
    </row>
    <row r="132" ht="16" customHeight="1" spans="1:18" x14ac:dyDescent="0.25">
      <c r="A132" s="189"/>
      <c r="B132" s="189"/>
      <c r="C132" s="189"/>
      <c r="D132" s="189"/>
      <c r="E132" s="189"/>
      <c r="F132" s="189"/>
      <c r="G132" s="189"/>
      <c r="H132" s="189"/>
      <c r="I132" s="190"/>
      <c r="J132" s="190"/>
      <c r="K132" s="190"/>
      <c r="L132" s="190"/>
      <c r="M132" s="190"/>
      <c r="N132" s="190"/>
      <c r="O132" s="190"/>
      <c r="P132" s="190"/>
      <c r="Q132" s="190"/>
      <c r="R132" s="190"/>
    </row>
    <row r="133" ht="16" customHeight="1" spans="1:18" x14ac:dyDescent="0.25">
      <c r="A133" s="189"/>
      <c r="B133" s="189"/>
      <c r="C133" s="189"/>
      <c r="D133" s="189"/>
      <c r="E133" s="189"/>
      <c r="F133" s="189"/>
      <c r="G133" s="189"/>
      <c r="H133" s="189"/>
      <c r="I133" s="190"/>
      <c r="J133" s="190"/>
      <c r="K133" s="190"/>
      <c r="L133" s="190"/>
      <c r="M133" s="190"/>
      <c r="N133" s="190"/>
      <c r="O133" s="190"/>
      <c r="P133" s="190"/>
      <c r="Q133" s="190"/>
      <c r="R133" s="190"/>
    </row>
    <row r="134" ht="16" customHeight="1" spans="1:18" x14ac:dyDescent="0.25">
      <c r="A134" s="189"/>
      <c r="B134" s="189"/>
      <c r="C134" s="189"/>
      <c r="D134" s="189"/>
      <c r="E134" s="189"/>
      <c r="F134" s="189"/>
      <c r="G134" s="189"/>
      <c r="H134" s="189"/>
      <c r="I134" s="190"/>
      <c r="J134" s="190"/>
      <c r="K134" s="190"/>
      <c r="L134" s="190"/>
      <c r="M134" s="190"/>
      <c r="N134" s="190"/>
      <c r="O134" s="190"/>
      <c r="P134" s="190"/>
      <c r="Q134" s="190"/>
      <c r="R134" s="190"/>
    </row>
    <row r="135" ht="16" customHeight="1" spans="1:18" x14ac:dyDescent="0.25">
      <c r="A135" s="189"/>
      <c r="B135" s="189"/>
      <c r="C135" s="189"/>
      <c r="D135" s="189"/>
      <c r="E135" s="189"/>
      <c r="F135" s="189"/>
      <c r="G135" s="189"/>
      <c r="H135" s="189"/>
      <c r="I135" s="190"/>
      <c r="J135" s="190"/>
      <c r="K135" s="190"/>
      <c r="L135" s="190"/>
      <c r="M135" s="190"/>
      <c r="N135" s="190"/>
      <c r="O135" s="190"/>
      <c r="P135" s="190"/>
      <c r="Q135" s="190"/>
      <c r="R135" s="190"/>
    </row>
    <row r="136" ht="16" customHeight="1" spans="1:18" x14ac:dyDescent="0.25">
      <c r="A136" s="189"/>
      <c r="B136" s="189"/>
      <c r="C136" s="189"/>
      <c r="D136" s="189"/>
      <c r="E136" s="189"/>
      <c r="F136" s="189"/>
      <c r="G136" s="189"/>
      <c r="H136" s="189"/>
      <c r="I136" s="190"/>
      <c r="J136" s="190"/>
      <c r="K136" s="190"/>
      <c r="L136" s="190"/>
      <c r="M136" s="190"/>
      <c r="N136" s="190"/>
      <c r="O136" s="190"/>
      <c r="P136" s="190"/>
      <c r="Q136" s="190"/>
      <c r="R136" s="190"/>
    </row>
    <row r="137" ht="16" customHeight="1" spans="1:18" x14ac:dyDescent="0.25">
      <c r="A137" s="189"/>
      <c r="B137" s="189"/>
      <c r="C137" s="189"/>
      <c r="D137" s="189"/>
      <c r="E137" s="189"/>
      <c r="F137" s="189"/>
      <c r="G137" s="189"/>
      <c r="H137" s="189"/>
      <c r="I137" s="190"/>
      <c r="J137" s="190"/>
      <c r="K137" s="190"/>
      <c r="L137" s="190"/>
      <c r="M137" s="190"/>
      <c r="N137" s="190"/>
      <c r="O137" s="190"/>
      <c r="P137" s="190"/>
      <c r="Q137" s="190"/>
      <c r="R137" s="190"/>
    </row>
    <row r="138" ht="16" customHeight="1" spans="1:18" x14ac:dyDescent="0.25">
      <c r="A138" s="189"/>
      <c r="B138" s="189"/>
      <c r="C138" s="189"/>
      <c r="D138" s="189"/>
      <c r="E138" s="189"/>
      <c r="F138" s="189"/>
      <c r="G138" s="189"/>
      <c r="H138" s="189"/>
      <c r="I138" s="190"/>
      <c r="J138" s="190"/>
      <c r="K138" s="190"/>
      <c r="L138" s="190"/>
      <c r="M138" s="190"/>
      <c r="N138" s="190"/>
      <c r="O138" s="190"/>
      <c r="P138" s="190"/>
      <c r="Q138" s="190"/>
      <c r="R138" s="190"/>
    </row>
    <row r="139" ht="16" customHeight="1" spans="1:18" x14ac:dyDescent="0.25">
      <c r="A139" s="189"/>
      <c r="B139" s="189"/>
      <c r="C139" s="189"/>
      <c r="D139" s="189"/>
      <c r="E139" s="189"/>
      <c r="F139" s="189"/>
      <c r="G139" s="189"/>
      <c r="H139" s="189"/>
      <c r="I139" s="190"/>
      <c r="J139" s="190"/>
      <c r="K139" s="190"/>
      <c r="L139" s="190"/>
      <c r="M139" s="190"/>
      <c r="N139" s="190"/>
      <c r="O139" s="190"/>
      <c r="P139" s="190"/>
      <c r="Q139" s="190"/>
      <c r="R139" s="190"/>
    </row>
    <row r="140" ht="16" customHeight="1" spans="1:18" x14ac:dyDescent="0.25">
      <c r="A140" s="189"/>
      <c r="B140" s="189"/>
      <c r="C140" s="189"/>
      <c r="D140" s="189"/>
      <c r="E140" s="189"/>
      <c r="F140" s="189"/>
      <c r="G140" s="189"/>
      <c r="H140" s="189"/>
      <c r="I140" s="190"/>
      <c r="J140" s="190"/>
      <c r="K140" s="190"/>
      <c r="L140" s="190"/>
      <c r="M140" s="190"/>
      <c r="N140" s="190"/>
      <c r="O140" s="190"/>
      <c r="P140" s="190"/>
      <c r="Q140" s="190"/>
      <c r="R140" s="190"/>
    </row>
    <row r="141" ht="16" customHeight="1" spans="1:18" x14ac:dyDescent="0.25">
      <c r="A141" s="189"/>
      <c r="B141" s="189"/>
      <c r="C141" s="189"/>
      <c r="D141" s="189"/>
      <c r="E141" s="189"/>
      <c r="F141" s="189"/>
      <c r="G141" s="189"/>
      <c r="H141" s="189"/>
      <c r="I141" s="190"/>
      <c r="J141" s="190"/>
      <c r="K141" s="190"/>
      <c r="L141" s="190"/>
      <c r="M141" s="190"/>
      <c r="N141" s="190"/>
      <c r="O141" s="190"/>
      <c r="P141" s="190"/>
      <c r="Q141" s="190"/>
      <c r="R141" s="190"/>
    </row>
    <row r="142" ht="16" customHeight="1" spans="1:18" x14ac:dyDescent="0.25">
      <c r="A142" s="189"/>
      <c r="B142" s="189"/>
      <c r="C142" s="189"/>
      <c r="D142" s="189"/>
      <c r="E142" s="189"/>
      <c r="F142" s="189"/>
      <c r="G142" s="189"/>
      <c r="H142" s="189"/>
      <c r="I142" s="190"/>
      <c r="J142" s="190"/>
      <c r="K142" s="190"/>
      <c r="L142" s="190"/>
      <c r="M142" s="190"/>
      <c r="N142" s="190"/>
      <c r="O142" s="190"/>
      <c r="P142" s="190"/>
      <c r="Q142" s="190"/>
      <c r="R142" s="190"/>
    </row>
    <row r="143" ht="16" customHeight="1" spans="1:18" x14ac:dyDescent="0.25">
      <c r="A143" s="189"/>
      <c r="B143" s="189"/>
      <c r="C143" s="189"/>
      <c r="D143" s="189"/>
      <c r="E143" s="189"/>
      <c r="F143" s="189"/>
      <c r="G143" s="189"/>
      <c r="H143" s="189"/>
      <c r="I143" s="190"/>
      <c r="J143" s="190"/>
      <c r="K143" s="190"/>
      <c r="L143" s="190"/>
      <c r="M143" s="190"/>
      <c r="N143" s="190"/>
      <c r="O143" s="190"/>
      <c r="P143" s="190"/>
      <c r="Q143" s="190"/>
      <c r="R143" s="190"/>
    </row>
    <row r="144" ht="16" customHeight="1" spans="1:18" x14ac:dyDescent="0.25">
      <c r="A144" s="189"/>
      <c r="B144" s="189"/>
      <c r="C144" s="189"/>
      <c r="D144" s="189"/>
      <c r="E144" s="189"/>
      <c r="F144" s="189"/>
      <c r="G144" s="189"/>
      <c r="H144" s="189"/>
      <c r="I144" s="190"/>
      <c r="J144" s="190"/>
      <c r="K144" s="190"/>
      <c r="L144" s="190"/>
      <c r="M144" s="190"/>
      <c r="N144" s="190"/>
      <c r="O144" s="190"/>
      <c r="P144" s="190"/>
      <c r="Q144" s="190"/>
      <c r="R144" s="190"/>
    </row>
    <row r="145" spans="1:8" x14ac:dyDescent="0.25">
      <c r="A145" s="189"/>
      <c r="B145" s="189"/>
      <c r="C145" s="189"/>
      <c r="D145" s="189"/>
      <c r="E145" s="189"/>
      <c r="F145" s="189"/>
      <c r="G145" s="189"/>
      <c r="H145" s="189"/>
    </row>
  </sheetData>
  <mergeCells count="1">
    <mergeCell ref="Q2:Q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R17"/>
  <sheetViews>
    <sheetView workbookViewId="0" showGridLines="0" zoomScale="100" zoomScaleNormal="100">
      <selection activeCell="D5" sqref="D5"/>
    </sheetView>
  </sheetViews>
  <sheetFormatPr defaultRowHeight="15" outlineLevelRow="0" outlineLevelCol="0" x14ac:dyDescent="0.2"/>
  <cols>
    <col min="1" max="3" hidden="1" customWidth="1"/>
    <col min="4" max="4" width="16.83203125" customWidth="1"/>
    <col min="6" max="6" width="68.83203125" customWidth="1"/>
    <col min="7" max="16" width="13.5" customWidth="1"/>
  </cols>
  <sheetData>
    <row r="1" ht="80" customHeight="1" spans="1:17" s="40" customFormat="1" x14ac:dyDescent="0.25">
      <c r="A1" s="41"/>
      <c r="B1" s="42"/>
      <c r="C1" s="42"/>
      <c r="D1" s="41" t="s">
        <v>4282</v>
      </c>
      <c r="E1" s="43"/>
      <c r="F1" s="44"/>
      <c r="G1" s="44"/>
      <c r="H1" s="43"/>
      <c r="I1" s="43"/>
      <c r="J1" s="43"/>
      <c r="K1" s="43"/>
      <c r="L1" s="43"/>
      <c r="M1" s="43"/>
      <c r="N1" s="43"/>
      <c r="O1" s="43"/>
      <c r="P1" s="43"/>
      <c r="Q1" s="43"/>
    </row>
    <row r="2" hidden="1" spans="1:17" x14ac:dyDescent="0.25">
      <c r="A2" s="215"/>
      <c r="B2" s="176"/>
      <c r="C2" s="176"/>
      <c r="D2" s="176"/>
      <c r="E2" s="176"/>
      <c r="F2" s="176"/>
      <c r="G2" s="177" t="s">
        <v>4238</v>
      </c>
      <c r="H2" s="177" t="s">
        <v>4238</v>
      </c>
      <c r="I2" s="177" t="s">
        <v>4238</v>
      </c>
      <c r="J2" s="177" t="s">
        <v>4238</v>
      </c>
      <c r="K2" s="177" t="s">
        <v>4238</v>
      </c>
      <c r="L2" s="177" t="s">
        <v>4238</v>
      </c>
      <c r="M2" s="177" t="s">
        <v>4238</v>
      </c>
      <c r="N2" s="177" t="s">
        <v>4238</v>
      </c>
      <c r="O2" s="177" t="s">
        <v>4238</v>
      </c>
      <c r="P2" s="177" t="s">
        <v>4238</v>
      </c>
      <c r="Q2" s="178" t="s">
        <v>4245</v>
      </c>
    </row>
    <row r="3" ht="24" customHeight="1" hidden="1" spans="1:17" x14ac:dyDescent="0.25">
      <c r="A3" s="215"/>
      <c r="B3" s="176"/>
      <c r="C3" s="176"/>
      <c r="D3" s="176"/>
      <c r="E3" s="176"/>
      <c r="F3" s="176"/>
      <c r="G3" s="177" t="s">
        <v>4246</v>
      </c>
      <c r="H3" s="177" t="s">
        <v>4247</v>
      </c>
      <c r="I3" s="177" t="s">
        <v>4240</v>
      </c>
      <c r="J3" s="177" t="s">
        <v>4248</v>
      </c>
      <c r="K3" s="177" t="s">
        <v>4249</v>
      </c>
      <c r="L3" s="177" t="s">
        <v>4250</v>
      </c>
      <c r="M3" s="177" t="s">
        <v>4251</v>
      </c>
      <c r="N3" s="177" t="s">
        <v>4252</v>
      </c>
      <c r="O3" s="177" t="s">
        <v>4253</v>
      </c>
      <c r="P3" s="177" t="s">
        <v>4254</v>
      </c>
      <c r="Q3" s="178"/>
    </row>
    <row r="4" ht="36" customHeight="1" spans="1:17" x14ac:dyDescent="0.25">
      <c r="A4" s="216"/>
      <c r="B4" s="181" t="s">
        <v>4114</v>
      </c>
      <c r="C4" s="181" t="s">
        <v>4115</v>
      </c>
      <c r="D4" s="181" t="s">
        <v>37</v>
      </c>
      <c r="E4" s="181" t="s">
        <v>4255</v>
      </c>
      <c r="F4" s="181" t="s">
        <v>4117</v>
      </c>
      <c r="G4" s="177" t="s">
        <v>4256</v>
      </c>
      <c r="H4" s="177" t="s">
        <v>4257</v>
      </c>
      <c r="I4" s="177" t="s">
        <v>4258</v>
      </c>
      <c r="J4" s="177" t="s">
        <v>4241</v>
      </c>
      <c r="K4" s="177" t="s">
        <v>4259</v>
      </c>
      <c r="L4" s="177" t="s">
        <v>4260</v>
      </c>
      <c r="M4" s="177" t="s">
        <v>4261</v>
      </c>
      <c r="N4" s="177" t="s">
        <v>4262</v>
      </c>
      <c r="O4" s="177" t="s">
        <v>4263</v>
      </c>
      <c r="P4" s="177" t="s">
        <v>4264</v>
      </c>
      <c r="Q4" s="178"/>
    </row>
    <row r="5" spans="1:17" x14ac:dyDescent="0.25">
      <c r="A5" s="182" t="s">
        <v>4265</v>
      </c>
      <c r="B5" s="183"/>
      <c r="C5" s="183"/>
      <c r="D5" s="217" t="s">
        <v>3015</v>
      </c>
      <c r="E5" s="183" t="s">
        <v>4164</v>
      </c>
      <c r="F5" s="218" t="s">
        <v>4165</v>
      </c>
      <c r="G5" s="219">
        <f>IF(ISBLANK(ETPT_JUR_ASS!G5),"",IF(ISERROR(ETPT_JUR_ASS!G5),"",IF(ETPT_JUR_ASS!G5=0,"",ETPT_JUR_ASS!G5)))</f>
      </c>
      <c r="H5" s="219">
        <f>IF(ISBLANK(ETPT_JUR_ASS!H5),"",IF(ISERROR(ETPT_JUR_ASS!H5),"",IF(ETPT_JUR_ASS!H5=0,"",ETPT_JUR_ASS!H5)))</f>
      </c>
      <c r="I5" s="219">
        <f>IF(ISBLANK(ETPT_JUR_ASS!I5),"",IF(ISERROR(ETPT_JUR_ASS!I5),"",IF(ETPT_JUR_ASS!I5=0,"",ETPT_JUR_ASS!I5)))</f>
      </c>
      <c r="J5" s="219">
        <f>IF(ISBLANK(ETPT_JUR_ASS!J5),"",IF(ISERROR(ETPT_JUR_ASS!J5),"",IF(ETPT_JUR_ASS!J5=0,"",ETPT_JUR_ASS!J5)))</f>
      </c>
      <c r="K5" s="219">
        <f>IF(ISBLANK(ETPT_JUR_ASS!K5),"",IF(ISERROR(ETPT_JUR_ASS!K5),"",IF(ETPT_JUR_ASS!K5=0,"",ETPT_JUR_ASS!K5)))</f>
      </c>
      <c r="L5" s="219">
        <f>IF(ISBLANK(ETPT_JUR_ASS!L5),"",IF(ISERROR(ETPT_JUR_ASS!L5),"",IF(ETPT_JUR_ASS!L5=0,"",ETPT_JUR_ASS!L5)))</f>
      </c>
      <c r="M5" s="219">
        <f>IF(ISBLANK(ETPT_JUR_ASS!M5),"",IF(ISERROR(ETPT_JUR_ASS!M5),"",IF(ETPT_JUR_ASS!M5=0,"",ETPT_JUR_ASS!M5)))</f>
      </c>
      <c r="N5" s="219">
        <f>IF(ISBLANK(ETPT_JUR_ASS!N5),"",IF(ISERROR(ETPT_JUR_ASS!N5),"",IF(ETPT_JUR_ASS!N5=0,"",ETPT_JUR_ASS!N5)))</f>
      </c>
      <c r="O5" s="219">
        <f>IF(ISBLANK(ETPT_JUR_ASS!O5),"",IF(ISERROR(ETPT_JUR_ASS!O5),"",IF(ETPT_JUR_ASS!O5=0,"",ETPT_JUR_ASS!O5)))</f>
      </c>
      <c r="P5" s="219">
        <f>IF(ISBLANK(ETPT_JUR_ASS!P5),"",IF(ISERROR(ETPT_JUR_ASS!P5),"",IF(ETPT_JUR_ASS!P5=0,"",ETPT_JUR_ASS!P5)))</f>
      </c>
      <c r="Q5" s="220">
        <f>ETPT_JUR_ASS!Q5</f>
        <v>0</v>
      </c>
    </row>
    <row r="6" spans="1:17" x14ac:dyDescent="0.25">
      <c r="A6" s="182" t="s">
        <v>4265</v>
      </c>
      <c r="B6" s="183"/>
      <c r="C6" s="183"/>
      <c r="D6" s="207">
        <f>$D$5</f>
        <v>0</v>
      </c>
      <c r="E6" s="183" t="s">
        <v>4166</v>
      </c>
      <c r="F6" s="218" t="s">
        <v>4167</v>
      </c>
      <c r="G6" s="219">
        <f>IF(ISBLANK(ETPT_JUR_ASS!G6),"",IF(ISERROR(ETPT_JUR_ASS!G6),"",IF(ETPT_JUR_ASS!G6=0,"",ETPT_JUR_ASS!G6)))</f>
      </c>
      <c r="H6" s="219">
        <f>IF(ISBLANK(ETPT_JUR_ASS!H6),"",IF(ISERROR(ETPT_JUR_ASS!H6),"",IF(ETPT_JUR_ASS!H6=0,"",ETPT_JUR_ASS!H6)))</f>
      </c>
      <c r="I6" s="219">
        <f>IF(ISBLANK(ETPT_JUR_ASS!I6),"",IF(ISERROR(ETPT_JUR_ASS!I6),"",IF(ETPT_JUR_ASS!I6=0,"",ETPT_JUR_ASS!I6)))</f>
      </c>
      <c r="J6" s="219">
        <f>IF(ISBLANK(ETPT_JUR_ASS!J6),"",IF(ISERROR(ETPT_JUR_ASS!J6),"",IF(ETPT_JUR_ASS!J6=0,"",ETPT_JUR_ASS!J6)))</f>
      </c>
      <c r="K6" s="219">
        <f>IF(ISBLANK(ETPT_JUR_ASS!K6),"",IF(ISERROR(ETPT_JUR_ASS!K6),"",IF(ETPT_JUR_ASS!K6=0,"",ETPT_JUR_ASS!K6)))</f>
      </c>
      <c r="L6" s="219">
        <f>IF(ISBLANK(ETPT_JUR_ASS!L6),"",IF(ISERROR(ETPT_JUR_ASS!L6),"",IF(ETPT_JUR_ASS!L6=0,"",ETPT_JUR_ASS!L6)))</f>
      </c>
      <c r="M6" s="219">
        <f>IF(ISBLANK(ETPT_JUR_ASS!M6),"",IF(ISERROR(ETPT_JUR_ASS!M6),"",IF(ETPT_JUR_ASS!M6=0,"",ETPT_JUR_ASS!M6)))</f>
      </c>
      <c r="N6" s="219">
        <f>IF(ISBLANK(ETPT_JUR_ASS!N6),"",IF(ISERROR(ETPT_JUR_ASS!N6),"",IF(ETPT_JUR_ASS!N6=0,"",ETPT_JUR_ASS!N6)))</f>
      </c>
      <c r="O6" s="219">
        <f>IF(ISBLANK(ETPT_JUR_ASS!O6),"",IF(ISERROR(ETPT_JUR_ASS!O6),"",IF(ETPT_JUR_ASS!O6=0,"",ETPT_JUR_ASS!O6)))</f>
      </c>
      <c r="P6" s="219">
        <f>IF(ISBLANK(ETPT_JUR_ASS!P6),"",IF(ISERROR(ETPT_JUR_ASS!P6),"",IF(ETPT_JUR_ASS!P6=0,"",ETPT_JUR_ASS!P6)))</f>
      </c>
      <c r="Q6" s="220">
        <f>ETPT_JUR_ASS!Q6</f>
        <v>0</v>
      </c>
    </row>
    <row r="7" spans="1:17" x14ac:dyDescent="0.25">
      <c r="A7" s="182" t="s">
        <v>4265</v>
      </c>
      <c r="B7" s="183"/>
      <c r="C7" s="183"/>
      <c r="D7" s="207">
        <f t="shared" ref="D7:D12" si="0">$D$5</f>
        <v>0</v>
      </c>
      <c r="E7" s="183" t="s">
        <v>4173</v>
      </c>
      <c r="F7" s="218" t="s">
        <v>4174</v>
      </c>
      <c r="G7" s="219">
        <f>IF(ISBLANK(ETPT_JUR_ASS!G7),"",IF(ISERROR(ETPT_JUR_ASS!G7),"",IF(ETPT_JUR_ASS!G7=0,"",ETPT_JUR_ASS!G7)))</f>
      </c>
      <c r="H7" s="219">
        <f>IF(ISBLANK(ETPT_JUR_ASS!H7),"",IF(ISERROR(ETPT_JUR_ASS!H7),"",IF(ETPT_JUR_ASS!H7=0,"",ETPT_JUR_ASS!H7)))</f>
      </c>
      <c r="I7" s="219">
        <f>IF(ISBLANK(ETPT_JUR_ASS!I7),"",IF(ISERROR(ETPT_JUR_ASS!I7),"",IF(ETPT_JUR_ASS!I7=0,"",ETPT_JUR_ASS!I7)))</f>
      </c>
      <c r="J7" s="219">
        <f>IF(ISBLANK(ETPT_JUR_ASS!J7),"",IF(ISERROR(ETPT_JUR_ASS!J7),"",IF(ETPT_JUR_ASS!J7=0,"",ETPT_JUR_ASS!J7)))</f>
      </c>
      <c r="K7" s="219">
        <f>IF(ISBLANK(ETPT_JUR_ASS!K7),"",IF(ISERROR(ETPT_JUR_ASS!K7),"",IF(ETPT_JUR_ASS!K7=0,"",ETPT_JUR_ASS!K7)))</f>
      </c>
      <c r="L7" s="219">
        <f>IF(ISBLANK(ETPT_JUR_ASS!L7),"",IF(ISERROR(ETPT_JUR_ASS!L7),"",IF(ETPT_JUR_ASS!L7=0,"",ETPT_JUR_ASS!L7)))</f>
      </c>
      <c r="M7" s="219">
        <f>IF(ISBLANK(ETPT_JUR_ASS!M7),"",IF(ISERROR(ETPT_JUR_ASS!M7),"",IF(ETPT_JUR_ASS!M7=0,"",ETPT_JUR_ASS!M7)))</f>
      </c>
      <c r="N7" s="219">
        <f>IF(ISBLANK(ETPT_JUR_ASS!N7),"",IF(ISERROR(ETPT_JUR_ASS!N7),"",IF(ETPT_JUR_ASS!N7=0,"",ETPT_JUR_ASS!N7)))</f>
      </c>
      <c r="O7" s="219">
        <f>IF(ISBLANK(ETPT_JUR_ASS!O7),"",IF(ISERROR(ETPT_JUR_ASS!O7),"",IF(ETPT_JUR_ASS!O7=0,"",ETPT_JUR_ASS!O7)))</f>
      </c>
      <c r="P7" s="219">
        <f>IF(ISBLANK(ETPT_JUR_ASS!P7),"",IF(ISERROR(ETPT_JUR_ASS!P7),"",IF(ETPT_JUR_ASS!P7=0,"",ETPT_JUR_ASS!P7)))</f>
      </c>
      <c r="Q7" s="220">
        <f>ETPT_JUR_ASS!Q7</f>
        <v>0</v>
      </c>
    </row>
    <row r="8" spans="1:17" x14ac:dyDescent="0.25">
      <c r="A8" s="182" t="s">
        <v>4265</v>
      </c>
      <c r="B8" s="183"/>
      <c r="C8" s="183"/>
      <c r="D8" s="207">
        <f t="shared" si="0"/>
        <v>0</v>
      </c>
      <c r="E8" s="183" t="s">
        <v>4175</v>
      </c>
      <c r="F8" s="218" t="s">
        <v>4176</v>
      </c>
      <c r="G8" s="219">
        <f>IF(ISBLANK(ETPT_JUR_ASS!G8),"",IF(ISERROR(ETPT_JUR_ASS!G8),"",IF(ETPT_JUR_ASS!G8=0,"",ETPT_JUR_ASS!G8)))</f>
      </c>
      <c r="H8" s="219">
        <f>IF(ISBLANK(ETPT_JUR_ASS!H8),"",IF(ISERROR(ETPT_JUR_ASS!H8),"",IF(ETPT_JUR_ASS!H8=0,"",ETPT_JUR_ASS!H8)))</f>
      </c>
      <c r="I8" s="219">
        <f>IF(ISBLANK(ETPT_JUR_ASS!I8),"",IF(ISERROR(ETPT_JUR_ASS!I8),"",IF(ETPT_JUR_ASS!I8=0,"",ETPT_JUR_ASS!I8)))</f>
      </c>
      <c r="J8" s="219">
        <f>IF(ISBLANK(ETPT_JUR_ASS!J8),"",IF(ISERROR(ETPT_JUR_ASS!J8),"",IF(ETPT_JUR_ASS!J8=0,"",ETPT_JUR_ASS!J8)))</f>
      </c>
      <c r="K8" s="219">
        <f>IF(ISBLANK(ETPT_JUR_ASS!K8),"",IF(ISERROR(ETPT_JUR_ASS!K8),"",IF(ETPT_JUR_ASS!K8=0,"",ETPT_JUR_ASS!K8)))</f>
      </c>
      <c r="L8" s="219">
        <f>IF(ISBLANK(ETPT_JUR_ASS!L8),"",IF(ISERROR(ETPT_JUR_ASS!L8),"",IF(ETPT_JUR_ASS!L8=0,"",ETPT_JUR_ASS!L8)))</f>
      </c>
      <c r="M8" s="219">
        <f>IF(ISBLANK(ETPT_JUR_ASS!M8),"",IF(ISERROR(ETPT_JUR_ASS!M8),"",IF(ETPT_JUR_ASS!M8=0,"",ETPT_JUR_ASS!M8)))</f>
      </c>
      <c r="N8" s="219">
        <f>IF(ISBLANK(ETPT_JUR_ASS!N8),"",IF(ISERROR(ETPT_JUR_ASS!N8),"",IF(ETPT_JUR_ASS!N8=0,"",ETPT_JUR_ASS!N8)))</f>
      </c>
      <c r="O8" s="219">
        <f>IF(ISBLANK(ETPT_JUR_ASS!O8),"",IF(ISERROR(ETPT_JUR_ASS!O8),"",IF(ETPT_JUR_ASS!O8=0,"",ETPT_JUR_ASS!O8)))</f>
      </c>
      <c r="P8" s="219">
        <f>IF(ISBLANK(ETPT_JUR_ASS!P8),"",IF(ISERROR(ETPT_JUR_ASS!P8),"",IF(ETPT_JUR_ASS!P8=0,"",ETPT_JUR_ASS!P8)))</f>
      </c>
      <c r="Q8" s="220">
        <f>ETPT_JUR_ASS!Q8</f>
        <v>0</v>
      </c>
    </row>
    <row r="9" spans="1:17" x14ac:dyDescent="0.25">
      <c r="A9" s="182" t="s">
        <v>4265</v>
      </c>
      <c r="B9" s="183"/>
      <c r="C9" s="183"/>
      <c r="D9" s="207">
        <f t="shared" si="0"/>
        <v>0</v>
      </c>
      <c r="E9" s="183" t="s">
        <v>4177</v>
      </c>
      <c r="F9" s="218" t="s">
        <v>4178</v>
      </c>
      <c r="G9" s="219">
        <f>IF(ISBLANK(ETPT_JUR_ASS!G9),"",IF(ISERROR(ETPT_JUR_ASS!G9),"",IF(ETPT_JUR_ASS!G9=0,"",ETPT_JUR_ASS!G9)))</f>
      </c>
      <c r="H9" s="219">
        <f>IF(ISBLANK(ETPT_JUR_ASS!H9),"",IF(ISERROR(ETPT_JUR_ASS!H9),"",IF(ETPT_JUR_ASS!H9=0,"",ETPT_JUR_ASS!H9)))</f>
      </c>
      <c r="I9" s="219">
        <f>IF(ISBLANK(ETPT_JUR_ASS!I9),"",IF(ISERROR(ETPT_JUR_ASS!I9),"",IF(ETPT_JUR_ASS!I9=0,"",ETPT_JUR_ASS!I9)))</f>
      </c>
      <c r="J9" s="219">
        <f>IF(ISBLANK(ETPT_JUR_ASS!J9),"",IF(ISERROR(ETPT_JUR_ASS!J9),"",IF(ETPT_JUR_ASS!J9=0,"",ETPT_JUR_ASS!J9)))</f>
      </c>
      <c r="K9" s="219">
        <f>IF(ISBLANK(ETPT_JUR_ASS!K9),"",IF(ISERROR(ETPT_JUR_ASS!K9),"",IF(ETPT_JUR_ASS!K9=0,"",ETPT_JUR_ASS!K9)))</f>
      </c>
      <c r="L9" s="219">
        <f>IF(ISBLANK(ETPT_JUR_ASS!L9),"",IF(ISERROR(ETPT_JUR_ASS!L9),"",IF(ETPT_JUR_ASS!L9=0,"",ETPT_JUR_ASS!L9)))</f>
      </c>
      <c r="M9" s="219">
        <f>IF(ISBLANK(ETPT_JUR_ASS!M9),"",IF(ISERROR(ETPT_JUR_ASS!M9),"",IF(ETPT_JUR_ASS!M9=0,"",ETPT_JUR_ASS!M9)))</f>
      </c>
      <c r="N9" s="219">
        <f>IF(ISBLANK(ETPT_JUR_ASS!N9),"",IF(ISERROR(ETPT_JUR_ASS!N9),"",IF(ETPT_JUR_ASS!N9=0,"",ETPT_JUR_ASS!N9)))</f>
      </c>
      <c r="O9" s="219">
        <f>IF(ISBLANK(ETPT_JUR_ASS!O9),"",IF(ISERROR(ETPT_JUR_ASS!O9),"",IF(ETPT_JUR_ASS!O9=0,"",ETPT_JUR_ASS!O9)))</f>
      </c>
      <c r="P9" s="219">
        <f>IF(ISBLANK(ETPT_JUR_ASS!P9),"",IF(ISERROR(ETPT_JUR_ASS!P9),"",IF(ETPT_JUR_ASS!P9=0,"",ETPT_JUR_ASS!P9)))</f>
      </c>
      <c r="Q9" s="220">
        <f>ETPT_JUR_ASS!Q9</f>
        <v>0</v>
      </c>
    </row>
    <row r="10" spans="1:17" x14ac:dyDescent="0.25">
      <c r="A10" s="182" t="s">
        <v>4265</v>
      </c>
      <c r="B10" s="183"/>
      <c r="C10" s="183"/>
      <c r="D10" s="207">
        <f t="shared" si="0"/>
        <v>0</v>
      </c>
      <c r="E10" s="183" t="s">
        <v>4179</v>
      </c>
      <c r="F10" s="218" t="s">
        <v>4180</v>
      </c>
      <c r="G10" s="219">
        <f>IF(ISBLANK(ETPT_JUR_ASS!G10),"",IF(ISERROR(ETPT_JUR_ASS!G10),"",IF(ETPT_JUR_ASS!G10=0,"",ETPT_JUR_ASS!G10)))</f>
      </c>
      <c r="H10" s="219">
        <f>IF(ISBLANK(ETPT_JUR_ASS!H10),"",IF(ISERROR(ETPT_JUR_ASS!H10),"",IF(ETPT_JUR_ASS!H10=0,"",ETPT_JUR_ASS!H10)))</f>
      </c>
      <c r="I10" s="219">
        <f>IF(ISBLANK(ETPT_JUR_ASS!I10),"",IF(ISERROR(ETPT_JUR_ASS!I10),"",IF(ETPT_JUR_ASS!I10=0,"",ETPT_JUR_ASS!I10)))</f>
      </c>
      <c r="J10" s="219">
        <f>IF(ISBLANK(ETPT_JUR_ASS!J10),"",IF(ISERROR(ETPT_JUR_ASS!J10),"",IF(ETPT_JUR_ASS!J10=0,"",ETPT_JUR_ASS!J10)))</f>
      </c>
      <c r="K10" s="219">
        <f>IF(ISBLANK(ETPT_JUR_ASS!K10),"",IF(ISERROR(ETPT_JUR_ASS!K10),"",IF(ETPT_JUR_ASS!K10=0,"",ETPT_JUR_ASS!K10)))</f>
      </c>
      <c r="L10" s="219">
        <f>IF(ISBLANK(ETPT_JUR_ASS!L10),"",IF(ISERROR(ETPT_JUR_ASS!L10),"",IF(ETPT_JUR_ASS!L10=0,"",ETPT_JUR_ASS!L10)))</f>
      </c>
      <c r="M10" s="219">
        <f>IF(ISBLANK(ETPT_JUR_ASS!M10),"",IF(ISERROR(ETPT_JUR_ASS!M10),"",IF(ETPT_JUR_ASS!M10=0,"",ETPT_JUR_ASS!M10)))</f>
      </c>
      <c r="N10" s="219">
        <f>IF(ISBLANK(ETPT_JUR_ASS!N10),"",IF(ISERROR(ETPT_JUR_ASS!N10),"",IF(ETPT_JUR_ASS!N10=0,"",ETPT_JUR_ASS!N10)))</f>
      </c>
      <c r="O10" s="219">
        <f>IF(ISBLANK(ETPT_JUR_ASS!O10),"",IF(ISERROR(ETPT_JUR_ASS!O10),"",IF(ETPT_JUR_ASS!O10=0,"",ETPT_JUR_ASS!O10)))</f>
      </c>
      <c r="P10" s="219">
        <f>IF(ISBLANK(ETPT_JUR_ASS!P10),"",IF(ISERROR(ETPT_JUR_ASS!P10),"",IF(ETPT_JUR_ASS!P10=0,"",ETPT_JUR_ASS!P10)))</f>
      </c>
      <c r="Q10" s="220">
        <f>ETPT_JUR_ASS!Q10</f>
        <v>0</v>
      </c>
    </row>
    <row r="11" spans="1:17" x14ac:dyDescent="0.25">
      <c r="A11" s="182" t="s">
        <v>4265</v>
      </c>
      <c r="B11" s="183"/>
      <c r="C11" s="183"/>
      <c r="D11" s="207">
        <f t="shared" si="0"/>
        <v>0</v>
      </c>
      <c r="E11" s="183" t="s">
        <v>4181</v>
      </c>
      <c r="F11" s="218" t="s">
        <v>4182</v>
      </c>
      <c r="G11" s="219">
        <f>IF(ISBLANK(ETPT_JUR_ASS!G11),"",IF(ISERROR(ETPT_JUR_ASS!G11),"",IF(ETPT_JUR_ASS!G11=0,"",ETPT_JUR_ASS!G11)))</f>
      </c>
      <c r="H11" s="219">
        <f>IF(ISBLANK(ETPT_JUR_ASS!H11),"",IF(ISERROR(ETPT_JUR_ASS!H11),"",IF(ETPT_JUR_ASS!H11=0,"",ETPT_JUR_ASS!H11)))</f>
      </c>
      <c r="I11" s="219">
        <f>IF(ISBLANK(ETPT_JUR_ASS!I11),"",IF(ISERROR(ETPT_JUR_ASS!I11),"",IF(ETPT_JUR_ASS!I11=0,"",ETPT_JUR_ASS!I11)))</f>
      </c>
      <c r="J11" s="219">
        <f>IF(ISBLANK(ETPT_JUR_ASS!J11),"",IF(ISERROR(ETPT_JUR_ASS!J11),"",IF(ETPT_JUR_ASS!J11=0,"",ETPT_JUR_ASS!J11)))</f>
      </c>
      <c r="K11" s="219">
        <f>IF(ISBLANK(ETPT_JUR_ASS!K11),"",IF(ISERROR(ETPT_JUR_ASS!K11),"",IF(ETPT_JUR_ASS!K11=0,"",ETPT_JUR_ASS!K11)))</f>
      </c>
      <c r="L11" s="219">
        <f>IF(ISBLANK(ETPT_JUR_ASS!L11),"",IF(ISERROR(ETPT_JUR_ASS!L11),"",IF(ETPT_JUR_ASS!L11=0,"",ETPT_JUR_ASS!L11)))</f>
      </c>
      <c r="M11" s="219">
        <f>IF(ISBLANK(ETPT_JUR_ASS!M11),"",IF(ISERROR(ETPT_JUR_ASS!M11),"",IF(ETPT_JUR_ASS!M11=0,"",ETPT_JUR_ASS!M11)))</f>
      </c>
      <c r="N11" s="219">
        <f>IF(ISBLANK(ETPT_JUR_ASS!N11),"",IF(ISERROR(ETPT_JUR_ASS!N11),"",IF(ETPT_JUR_ASS!N11=0,"",ETPT_JUR_ASS!N11)))</f>
      </c>
      <c r="O11" s="219">
        <f>IF(ISBLANK(ETPT_JUR_ASS!O11),"",IF(ISERROR(ETPT_JUR_ASS!O11),"",IF(ETPT_JUR_ASS!O11=0,"",ETPT_JUR_ASS!O11)))</f>
      </c>
      <c r="P11" s="219">
        <f>IF(ISBLANK(ETPT_JUR_ASS!P11),"",IF(ISERROR(ETPT_JUR_ASS!P11),"",IF(ETPT_JUR_ASS!P11=0,"",ETPT_JUR_ASS!P11)))</f>
      </c>
      <c r="Q11" s="220">
        <f>ETPT_JUR_ASS!Q11</f>
        <v>0</v>
      </c>
    </row>
    <row r="12" spans="1:17" x14ac:dyDescent="0.25">
      <c r="A12" s="182" t="s">
        <v>4265</v>
      </c>
      <c r="B12" s="183"/>
      <c r="C12" s="183"/>
      <c r="D12" s="221">
        <f t="shared" si="0"/>
        <v>0</v>
      </c>
      <c r="E12" s="222" t="s">
        <v>4183</v>
      </c>
      <c r="F12" s="218" t="s">
        <v>4184</v>
      </c>
      <c r="G12" s="219">
        <f>IF(ISBLANK(ETPT_JUR_ASS!G12),"",IF(ISERROR(ETPT_JUR_ASS!G12),"",IF(ETPT_JUR_ASS!G12=0,"",ETPT_JUR_ASS!G12)))</f>
      </c>
      <c r="H12" s="219">
        <f>IF(ISBLANK(ETPT_JUR_ASS!H12),"",IF(ISERROR(ETPT_JUR_ASS!H12),"",IF(ETPT_JUR_ASS!H12=0,"",ETPT_JUR_ASS!H12)))</f>
      </c>
      <c r="I12" s="219">
        <f>IF(ISBLANK(ETPT_JUR_ASS!I12),"",IF(ISERROR(ETPT_JUR_ASS!I12),"",IF(ETPT_JUR_ASS!I12=0,"",ETPT_JUR_ASS!I12)))</f>
      </c>
      <c r="J12" s="219">
        <f>IF(ISBLANK(ETPT_JUR_ASS!J12),"",IF(ISERROR(ETPT_JUR_ASS!J12),"",IF(ETPT_JUR_ASS!J12=0,"",ETPT_JUR_ASS!J12)))</f>
      </c>
      <c r="K12" s="219">
        <f>IF(ISBLANK(ETPT_JUR_ASS!K12),"",IF(ISERROR(ETPT_JUR_ASS!K12),"",IF(ETPT_JUR_ASS!K12=0,"",ETPT_JUR_ASS!K12)))</f>
      </c>
      <c r="L12" s="219">
        <f>IF(ISBLANK(ETPT_JUR_ASS!L12),"",IF(ISERROR(ETPT_JUR_ASS!L12),"",IF(ETPT_JUR_ASS!L12=0,"",ETPT_JUR_ASS!L12)))</f>
      </c>
      <c r="M12" s="219">
        <f>IF(ISBLANK(ETPT_JUR_ASS!M12),"",IF(ISERROR(ETPT_JUR_ASS!M12),"",IF(ETPT_JUR_ASS!M12=0,"",ETPT_JUR_ASS!M12)))</f>
      </c>
      <c r="N12" s="219">
        <f>IF(ISBLANK(ETPT_JUR_ASS!N12),"",IF(ISERROR(ETPT_JUR_ASS!N12),"",IF(ETPT_JUR_ASS!N12=0,"",ETPT_JUR_ASS!N12)))</f>
      </c>
      <c r="O12" s="219">
        <f>IF(ISBLANK(ETPT_JUR_ASS!O12),"",IF(ISERROR(ETPT_JUR_ASS!O12),"",IF(ETPT_JUR_ASS!O12=0,"",ETPT_JUR_ASS!O12)))</f>
      </c>
      <c r="P12" s="219">
        <f>IF(ISBLANK(ETPT_JUR_ASS!P12),"",IF(ISERROR(ETPT_JUR_ASS!P12),"",IF(ETPT_JUR_ASS!P12=0,"",ETPT_JUR_ASS!P12)))</f>
      </c>
      <c r="Q12" s="220">
        <f>ETPT_JUR_ASS!Q12</f>
        <v>0</v>
      </c>
    </row>
    <row r="13" spans="1:17" x14ac:dyDescent="0.25">
      <c r="A13" s="223"/>
      <c r="B13" s="223"/>
      <c r="C13" s="223"/>
      <c r="D13" s="224"/>
      <c r="E13" s="225"/>
      <c r="F13" s="226" t="s">
        <v>4189</v>
      </c>
      <c r="G13" s="220">
        <f>ETPT_JUR_ASS!G13</f>
        <v>0</v>
      </c>
      <c r="H13" s="220">
        <f>ETPT_JUR_ASS!H13</f>
        <v>0</v>
      </c>
      <c r="I13" s="220">
        <f>ETPT_JUR_ASS!I13</f>
        <v>0</v>
      </c>
      <c r="J13" s="220">
        <f>ETPT_JUR_ASS!J13</f>
        <v>0</v>
      </c>
      <c r="K13" s="220">
        <f>ETPT_JUR_ASS!K13</f>
        <v>0</v>
      </c>
      <c r="L13" s="220">
        <f>ETPT_JUR_ASS!L13</f>
        <v>0</v>
      </c>
      <c r="M13" s="220">
        <f>ETPT_JUR_ASS!M13</f>
        <v>0</v>
      </c>
      <c r="N13" s="220">
        <f>ETPT_JUR_ASS!N13</f>
        <v>0</v>
      </c>
      <c r="O13" s="220">
        <f>ETPT_JUR_ASS!O13</f>
        <v>0</v>
      </c>
      <c r="P13" s="220">
        <f>ETPT_JUR_ASS!P13</f>
        <v>0</v>
      </c>
      <c r="Q13" s="220">
        <f>ETPT_JUR_ASS!Q13</f>
        <v>0</v>
      </c>
    </row>
    <row r="14" ht="16" customHeight="1" spans="1:18" x14ac:dyDescent="0.25">
      <c r="A14" s="189"/>
      <c r="B14" s="189"/>
      <c r="C14" s="189"/>
      <c r="D14" s="189"/>
      <c r="E14" s="190"/>
      <c r="F14" s="190"/>
      <c r="G14" s="190"/>
      <c r="H14" s="190"/>
      <c r="I14" s="190"/>
      <c r="J14" s="190"/>
      <c r="K14" s="190"/>
      <c r="L14" s="190"/>
      <c r="M14" s="190"/>
      <c r="N14" s="190"/>
      <c r="O14" s="190"/>
      <c r="P14" s="190"/>
      <c r="Q14" s="190"/>
      <c r="R14" s="190"/>
    </row>
    <row r="15" ht="16" customHeight="1" spans="1:18" x14ac:dyDescent="0.25">
      <c r="A15" s="189"/>
      <c r="B15" s="189"/>
      <c r="C15" s="189"/>
      <c r="E15" s="211" t="s">
        <v>4278</v>
      </c>
      <c r="F15" s="189"/>
      <c r="G15" s="189"/>
      <c r="H15" s="189"/>
      <c r="I15" s="190"/>
      <c r="J15" s="190"/>
      <c r="K15" s="190"/>
      <c r="L15" s="190"/>
      <c r="M15" s="190"/>
      <c r="N15" s="190"/>
      <c r="O15" s="190"/>
      <c r="P15" s="190"/>
      <c r="Q15" s="190"/>
      <c r="R15" s="190"/>
    </row>
    <row r="16" ht="16" customHeight="1" spans="1:17" x14ac:dyDescent="0.25">
      <c r="A16" s="189"/>
      <c r="B16" s="189"/>
      <c r="C16" s="189"/>
      <c r="D16" s="189"/>
      <c r="E16" s="189"/>
      <c r="F16" s="189"/>
      <c r="G16" s="189"/>
      <c r="H16" s="189"/>
      <c r="I16" s="190"/>
      <c r="J16" s="190"/>
      <c r="K16" s="190"/>
      <c r="L16" s="190"/>
      <c r="M16" s="190"/>
      <c r="N16" s="190"/>
      <c r="O16" s="190"/>
      <c r="P16" s="190"/>
      <c r="Q16" s="190"/>
    </row>
    <row r="17" ht="16" customHeight="1" spans="1:18" x14ac:dyDescent="0.25">
      <c r="A17" s="189"/>
      <c r="B17" s="189"/>
      <c r="C17" s="189"/>
      <c r="D17" s="189"/>
      <c r="E17" s="189"/>
      <c r="F17" s="189"/>
      <c r="G17" s="189"/>
      <c r="H17" s="189"/>
      <c r="I17" s="190"/>
      <c r="J17" s="190"/>
      <c r="K17" s="190"/>
      <c r="L17" s="190"/>
      <c r="M17" s="190"/>
      <c r="N17" s="190"/>
      <c r="O17" s="190"/>
      <c r="P17" s="190"/>
      <c r="Q17" s="190"/>
      <c r="R17" s="190"/>
    </row>
  </sheetData>
  <mergeCells count="1">
    <mergeCell ref="Q2:Q4"/>
  </mergeCells>
  <dataValidations count="1">
    <dataValidation type="list" showInputMessage="1" prompt="Selectionner une juridiction" showErrorMessage="1" error="Veuillez selectionner une valeur dans le menu déroulant" sqref="D5">
      <formula1>"24FB8BB550"</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
  <sheetViews>
    <sheetView workbookViewId="0" zoomScale="100" zoomScaleNormal="100">
      <selection activeCell="H5" sqref="H5"/>
    </sheetView>
  </sheetViews>
  <sheetFormatPr defaultRowHeight="15" outlineLevelRow="0" outlineLevelCol="0" x14ac:dyDescent="0.2"/>
  <cols>
    <col min="6" max="6" width="82.83203125" customWidth="1"/>
    <col min="7" max="7" width="10.33203125" customWidth="1"/>
    <col min="8" max="8" width="20.1640625" customWidth="1"/>
    <col min="9" max="9" width="20.83203125" customWidth="1"/>
    <col min="11" max="11" width="25.6640625" customWidth="1"/>
    <col min="12" max="12" width="19.33203125" customWidth="1"/>
    <col min="13" max="13" width="25" customWidth="1"/>
    <col min="14" max="14" width="17.5" customWidth="1"/>
    <col min="15" max="15" width="19" customWidth="1"/>
    <col min="16" max="16" width="28.6640625" customWidth="1"/>
  </cols>
  <sheetData>
    <row r="1" spans="1:17" x14ac:dyDescent="0.25">
      <c r="A1" s="239"/>
      <c r="B1" s="365" t="s">
        <v>4529</v>
      </c>
      <c r="C1" s="365"/>
      <c r="D1" s="365"/>
      <c r="E1" s="365"/>
      <c r="F1" s="366"/>
      <c r="G1" s="239"/>
      <c r="H1" s="239"/>
      <c r="I1" s="239"/>
      <c r="J1" s="239"/>
      <c r="K1" s="239"/>
      <c r="L1" s="239"/>
      <c r="M1" s="239"/>
      <c r="N1" s="239"/>
      <c r="O1" s="239"/>
      <c r="P1" s="239"/>
      <c r="Q1" s="239"/>
    </row>
    <row r="2" spans="1:17" x14ac:dyDescent="0.25">
      <c r="A2" s="367"/>
      <c r="B2" s="240"/>
      <c r="C2" s="240"/>
      <c r="D2" s="240"/>
      <c r="E2" s="240"/>
      <c r="F2" s="295"/>
      <c r="G2" s="241" t="s">
        <v>4238</v>
      </c>
      <c r="H2" s="241" t="s">
        <v>4238</v>
      </c>
      <c r="I2" s="241" t="s">
        <v>4238</v>
      </c>
      <c r="J2" s="241" t="s">
        <v>4238</v>
      </c>
      <c r="K2" s="241" t="s">
        <v>4238</v>
      </c>
      <c r="L2" s="241" t="s">
        <v>4238</v>
      </c>
      <c r="M2" s="241" t="s">
        <v>4238</v>
      </c>
      <c r="N2" s="241" t="s">
        <v>4238</v>
      </c>
      <c r="O2" s="241" t="s">
        <v>4238</v>
      </c>
      <c r="P2" s="241" t="s">
        <v>4238</v>
      </c>
      <c r="Q2" s="368" t="s">
        <v>4245</v>
      </c>
    </row>
    <row r="3" ht="24" customHeight="1" spans="1:17" x14ac:dyDescent="0.25">
      <c r="A3" s="367"/>
      <c r="B3" s="240"/>
      <c r="C3" s="240"/>
      <c r="D3" s="240"/>
      <c r="E3" s="240"/>
      <c r="F3" s="295"/>
      <c r="G3" s="241" t="s">
        <v>4246</v>
      </c>
      <c r="H3" s="241" t="s">
        <v>4247</v>
      </c>
      <c r="I3" s="241" t="s">
        <v>4240</v>
      </c>
      <c r="J3" s="241" t="s">
        <v>4248</v>
      </c>
      <c r="K3" s="241" t="s">
        <v>4249</v>
      </c>
      <c r="L3" s="241" t="s">
        <v>4250</v>
      </c>
      <c r="M3" s="241" t="s">
        <v>4251</v>
      </c>
      <c r="N3" s="241" t="s">
        <v>4252</v>
      </c>
      <c r="O3" s="241" t="s">
        <v>4253</v>
      </c>
      <c r="P3" s="241" t="s">
        <v>4254</v>
      </c>
      <c r="Q3" s="368"/>
    </row>
    <row r="4" ht="70" customHeight="1" spans="1:17" x14ac:dyDescent="0.25">
      <c r="A4" s="369"/>
      <c r="B4" s="370" t="s">
        <v>4114</v>
      </c>
      <c r="C4" s="370" t="s">
        <v>4115</v>
      </c>
      <c r="D4" s="370" t="s">
        <v>37</v>
      </c>
      <c r="E4" s="370" t="s">
        <v>4255</v>
      </c>
      <c r="F4" s="370" t="s">
        <v>4117</v>
      </c>
      <c r="G4" s="296" t="s">
        <v>4530</v>
      </c>
      <c r="H4" s="296" t="s">
        <v>4531</v>
      </c>
      <c r="I4" s="296" t="s">
        <v>4532</v>
      </c>
      <c r="J4" s="296" t="s">
        <v>4533</v>
      </c>
      <c r="K4" s="296" t="s">
        <v>4534</v>
      </c>
      <c r="L4" s="296" t="s">
        <v>4535</v>
      </c>
      <c r="M4" s="296" t="s">
        <v>4536</v>
      </c>
      <c r="N4" s="296" t="s">
        <v>4537</v>
      </c>
      <c r="O4" s="296" t="s">
        <v>4538</v>
      </c>
      <c r="P4" s="296" t="s">
        <v>4539</v>
      </c>
      <c r="Q4" s="368"/>
    </row>
    <row r="5" ht="398" customHeight="1" spans="1:17" x14ac:dyDescent="0.25">
      <c r="A5" s="371" t="s">
        <v>4265</v>
      </c>
      <c r="B5" s="372"/>
      <c r="C5" s="372"/>
      <c r="D5" s="372"/>
      <c r="E5" s="372" t="s">
        <v>4164</v>
      </c>
      <c r="F5" s="373" t="s">
        <v>4165</v>
      </c>
      <c r="G5" s="374" t="s">
        <v>4540</v>
      </c>
      <c r="H5" s="375" t="s">
        <v>4541</v>
      </c>
      <c r="I5" s="375" t="s">
        <v>4542</v>
      </c>
      <c r="J5" s="375" t="s">
        <v>4543</v>
      </c>
      <c r="K5" s="375" t="s">
        <v>4544</v>
      </c>
      <c r="L5" s="375" t="s">
        <v>4545</v>
      </c>
      <c r="M5" s="375"/>
      <c r="N5" s="375" t="s">
        <v>4546</v>
      </c>
      <c r="O5" s="375"/>
      <c r="P5" s="375" t="s">
        <v>4547</v>
      </c>
      <c r="Q5" s="376">
        <f>SUMIF($G$2:P$2,P$2,$G5:P5)</f>
        <v>0</v>
      </c>
    </row>
    <row r="6" ht="266" customHeight="1" spans="1:17" x14ac:dyDescent="0.25">
      <c r="A6" s="371" t="s">
        <v>4265</v>
      </c>
      <c r="B6" s="372"/>
      <c r="C6" s="372"/>
      <c r="D6" s="372"/>
      <c r="E6" s="372" t="s">
        <v>4166</v>
      </c>
      <c r="F6" s="373" t="s">
        <v>4167</v>
      </c>
      <c r="G6" s="377"/>
      <c r="H6" s="375" t="s">
        <v>4548</v>
      </c>
      <c r="I6" s="375" t="s">
        <v>4549</v>
      </c>
      <c r="J6" s="375"/>
      <c r="K6" s="375" t="s">
        <v>4550</v>
      </c>
      <c r="L6" s="375" t="s">
        <v>4551</v>
      </c>
      <c r="M6" s="375" t="s">
        <v>4552</v>
      </c>
      <c r="N6" s="375" t="s">
        <v>4553</v>
      </c>
      <c r="O6" s="375" t="s">
        <v>4554</v>
      </c>
      <c r="P6" s="375" t="s">
        <v>4555</v>
      </c>
      <c r="Q6" s="376">
        <f>SUMIF($G$2:P$2,P$2,$G6:P6)</f>
        <v>0</v>
      </c>
    </row>
    <row r="7" ht="224" customHeight="1" spans="1:17" x14ac:dyDescent="0.25">
      <c r="A7" s="371" t="s">
        <v>4265</v>
      </c>
      <c r="B7" s="372"/>
      <c r="C7" s="372"/>
      <c r="D7" s="372"/>
      <c r="E7" s="372" t="s">
        <v>4173</v>
      </c>
      <c r="F7" s="373" t="s">
        <v>4174</v>
      </c>
      <c r="G7" s="377"/>
      <c r="H7" s="375" t="s">
        <v>4556</v>
      </c>
      <c r="I7" s="375" t="s">
        <v>4557</v>
      </c>
      <c r="J7" s="375" t="s">
        <v>4558</v>
      </c>
      <c r="K7" s="375" t="s">
        <v>4559</v>
      </c>
      <c r="L7" s="375" t="s">
        <v>4560</v>
      </c>
      <c r="M7" s="375" t="s">
        <v>4561</v>
      </c>
      <c r="N7" s="375" t="s">
        <v>4562</v>
      </c>
      <c r="O7" s="375" t="s">
        <v>4563</v>
      </c>
      <c r="P7" s="375" t="s">
        <v>4564</v>
      </c>
      <c r="Q7" s="376">
        <f>SUMIF($G$2:P$2,P$2,$G7:P7)</f>
        <v>0</v>
      </c>
    </row>
    <row r="8" ht="345" customHeight="1" spans="1:17" x14ac:dyDescent="0.25">
      <c r="A8" s="371" t="s">
        <v>4265</v>
      </c>
      <c r="B8" s="372"/>
      <c r="C8" s="372"/>
      <c r="D8" s="372"/>
      <c r="E8" s="372" t="s">
        <v>4175</v>
      </c>
      <c r="F8" s="373" t="s">
        <v>4176</v>
      </c>
      <c r="G8" s="377"/>
      <c r="H8" s="375" t="s">
        <v>4565</v>
      </c>
      <c r="I8" s="375" t="s">
        <v>4566</v>
      </c>
      <c r="J8" s="375" t="s">
        <v>4567</v>
      </c>
      <c r="K8" s="375" t="s">
        <v>4568</v>
      </c>
      <c r="L8" s="375" t="s">
        <v>4569</v>
      </c>
      <c r="M8" s="375" t="s">
        <v>4570</v>
      </c>
      <c r="N8" s="375" t="s">
        <v>4571</v>
      </c>
      <c r="O8" s="375" t="s">
        <v>4572</v>
      </c>
      <c r="P8" s="375" t="s">
        <v>4573</v>
      </c>
      <c r="Q8" s="376">
        <f>SUMIF($G$2:P$2,P$2,$G8:P8)</f>
        <v>0</v>
      </c>
    </row>
    <row r="9" ht="210" customHeight="1" spans="1:17" x14ac:dyDescent="0.25">
      <c r="A9" s="371" t="s">
        <v>4265</v>
      </c>
      <c r="B9" s="372"/>
      <c r="C9" s="372"/>
      <c r="D9" s="372"/>
      <c r="E9" s="372" t="s">
        <v>4177</v>
      </c>
      <c r="F9" s="373" t="s">
        <v>4178</v>
      </c>
      <c r="G9" s="377"/>
      <c r="H9" s="375" t="s">
        <v>4574</v>
      </c>
      <c r="I9" s="375" t="s">
        <v>4575</v>
      </c>
      <c r="J9" s="375" t="s">
        <v>4576</v>
      </c>
      <c r="K9" s="375" t="s">
        <v>4577</v>
      </c>
      <c r="L9" s="375" t="s">
        <v>4578</v>
      </c>
      <c r="M9" s="375" t="s">
        <v>4579</v>
      </c>
      <c r="N9" s="375" t="s">
        <v>4580</v>
      </c>
      <c r="O9" s="375" t="s">
        <v>4581</v>
      </c>
      <c r="P9" s="375" t="s">
        <v>4582</v>
      </c>
      <c r="Q9" s="376">
        <f>SUMIF($G$2:P$2,P$2,$G9:P9)</f>
        <v>0</v>
      </c>
    </row>
    <row r="10" ht="196" customHeight="1" spans="1:17" x14ac:dyDescent="0.25">
      <c r="A10" s="371" t="s">
        <v>4265</v>
      </c>
      <c r="B10" s="372"/>
      <c r="C10" s="372"/>
      <c r="D10" s="372"/>
      <c r="E10" s="372" t="s">
        <v>4179</v>
      </c>
      <c r="F10" s="373" t="s">
        <v>4180</v>
      </c>
      <c r="G10" s="377"/>
      <c r="H10" s="375" t="s">
        <v>4583</v>
      </c>
      <c r="I10" s="375" t="s">
        <v>4584</v>
      </c>
      <c r="J10" s="375" t="s">
        <v>4585</v>
      </c>
      <c r="K10" s="375" t="s">
        <v>4586</v>
      </c>
      <c r="L10" s="375" t="s">
        <v>4587</v>
      </c>
      <c r="M10" s="375" t="s">
        <v>4588</v>
      </c>
      <c r="N10" s="375" t="s">
        <v>4589</v>
      </c>
      <c r="O10" s="375" t="s">
        <v>4590</v>
      </c>
      <c r="P10" s="375" t="s">
        <v>4591</v>
      </c>
      <c r="Q10" s="376">
        <f>SUMIF($G$2:P$2,P$2,$G10:P10)</f>
        <v>0</v>
      </c>
    </row>
    <row r="11" ht="280" customHeight="1" spans="1:17" x14ac:dyDescent="0.25">
      <c r="A11" s="371" t="s">
        <v>4265</v>
      </c>
      <c r="B11" s="372"/>
      <c r="C11" s="372"/>
      <c r="D11" s="372"/>
      <c r="E11" s="372" t="s">
        <v>4181</v>
      </c>
      <c r="F11" s="373" t="s">
        <v>4182</v>
      </c>
      <c r="G11" s="377"/>
      <c r="H11" s="375" t="s">
        <v>4592</v>
      </c>
      <c r="I11" s="375" t="s">
        <v>4593</v>
      </c>
      <c r="J11" s="375" t="s">
        <v>4594</v>
      </c>
      <c r="K11" s="375" t="s">
        <v>4595</v>
      </c>
      <c r="L11" s="375" t="s">
        <v>4596</v>
      </c>
      <c r="M11" s="375" t="s">
        <v>4597</v>
      </c>
      <c r="N11" s="375" t="s">
        <v>4598</v>
      </c>
      <c r="O11" s="375" t="s">
        <v>4599</v>
      </c>
      <c r="P11" s="375" t="s">
        <v>4600</v>
      </c>
      <c r="Q11" s="376">
        <f>SUMIF($G$2:P$2,P$2,$G11:P11)</f>
        <v>0</v>
      </c>
    </row>
    <row r="12" ht="280" customHeight="1" spans="1:17" x14ac:dyDescent="0.25">
      <c r="A12" s="371" t="s">
        <v>4265</v>
      </c>
      <c r="B12" s="372"/>
      <c r="C12" s="372"/>
      <c r="D12" s="372"/>
      <c r="E12" s="372" t="s">
        <v>4183</v>
      </c>
      <c r="F12" s="373" t="s">
        <v>4184</v>
      </c>
      <c r="G12" s="377"/>
      <c r="H12" s="375" t="s">
        <v>4601</v>
      </c>
      <c r="I12" s="375" t="s">
        <v>4602</v>
      </c>
      <c r="J12" s="375" t="s">
        <v>4603</v>
      </c>
      <c r="K12" s="375" t="s">
        <v>4604</v>
      </c>
      <c r="L12" s="375" t="s">
        <v>4605</v>
      </c>
      <c r="M12" s="375" t="s">
        <v>4606</v>
      </c>
      <c r="N12" s="375" t="s">
        <v>4607</v>
      </c>
      <c r="O12" s="375" t="s">
        <v>4608</v>
      </c>
      <c r="P12" s="375" t="s">
        <v>4609</v>
      </c>
      <c r="Q12" s="376">
        <f>SUMIF($G$2:P$2,P$2,$G12:P12)</f>
        <v>0</v>
      </c>
    </row>
    <row r="13" spans="1:17" x14ac:dyDescent="0.25">
      <c r="A13" s="378"/>
      <c r="B13" s="379"/>
      <c r="C13" s="379"/>
      <c r="D13" s="380"/>
      <c r="E13" s="379"/>
      <c r="F13" s="381" t="s">
        <v>4189</v>
      </c>
      <c r="G13" s="376">
        <f>SUMIF($C$5:$C12,$C12,G$5:G12)</f>
        <v>0</v>
      </c>
      <c r="H13" s="376">
        <f>SUMIF($C$5:$C12,$C12,H$5:H12)</f>
        <v>0</v>
      </c>
      <c r="I13" s="376">
        <f>SUMIF($C$5:$C12,$C12,I$5:I12)</f>
        <v>0</v>
      </c>
      <c r="J13" s="376">
        <f>SUMIF($C$5:$C12,$C12,J$5:J12)</f>
        <v>0</v>
      </c>
      <c r="K13" s="376">
        <f>SUMIF($C$5:$C12,$C12,K$5:K12)</f>
        <v>0</v>
      </c>
      <c r="L13" s="376">
        <f>SUMIF($C$5:$C12,$C12,L$5:L12)</f>
        <v>0</v>
      </c>
      <c r="M13" s="376">
        <f>SUMIF($C$5:$C12,$C12,M$5:M12)</f>
        <v>0</v>
      </c>
      <c r="N13" s="376">
        <f>SUMIF($C$5:$C12,$C12,N$5:N12)</f>
        <v>0</v>
      </c>
      <c r="O13" s="376">
        <f>SUMIF($C$5:$C12,$C12,O$5:O12)</f>
        <v>0</v>
      </c>
      <c r="P13" s="376">
        <f>SUMIF($C$5:$C12,$C12,P$5:P12)</f>
        <v>0</v>
      </c>
      <c r="Q13" s="376">
        <f>SUMIF($C$5:$C12,$C12,Q$5:Q12)</f>
        <v>0</v>
      </c>
    </row>
  </sheetData>
  <mergeCells count="2">
    <mergeCell ref="B1:E1"/>
    <mergeCell ref="Q2:Q4"/>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52"/>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3250</v>
      </c>
      <c r="C1" s="46" t="s">
        <v>33</v>
      </c>
      <c r="D1" s="46" t="s">
        <v>39</v>
      </c>
      <c r="E1" s="46" t="s">
        <v>40</v>
      </c>
      <c r="F1" s="46"/>
      <c r="G1" s="80" t="s">
        <v>3251</v>
      </c>
      <c r="H1" s="80" t="s">
        <v>3252</v>
      </c>
      <c r="I1" s="81" t="s">
        <v>3253</v>
      </c>
      <c r="J1" s="81" t="s">
        <v>3254</v>
      </c>
      <c r="K1" s="81" t="s">
        <v>3255</v>
      </c>
      <c r="L1" s="82" t="s">
        <v>3256</v>
      </c>
      <c r="M1" s="46" t="s">
        <v>3257</v>
      </c>
      <c r="N1" s="82" t="s">
        <v>3258</v>
      </c>
      <c r="O1" s="83" t="s">
        <v>3259</v>
      </c>
      <c r="P1" s="46" t="s">
        <v>3260</v>
      </c>
      <c r="Q1" s="83" t="s">
        <v>3261</v>
      </c>
      <c r="R1" s="83" t="s">
        <v>3262</v>
      </c>
      <c r="S1" s="80" t="s">
        <v>3263</v>
      </c>
      <c r="T1" s="80" t="s">
        <v>2473</v>
      </c>
      <c r="U1" s="46" t="s">
        <v>3264</v>
      </c>
      <c r="V1" s="84" t="s">
        <v>3265</v>
      </c>
    </row>
    <row r="2" ht="15" customHeight="1" spans="1:23" x14ac:dyDescent="0.25">
      <c r="A2" s="85">
        <v>489</v>
      </c>
      <c r="B2" s="85" t="s">
        <v>3266</v>
      </c>
      <c r="C2" s="85" t="s">
        <v>173</v>
      </c>
      <c r="D2" s="85" t="s">
        <v>163</v>
      </c>
      <c r="E2" s="85"/>
      <c r="F2" s="85" t="s">
        <v>157</v>
      </c>
      <c r="G2" s="85"/>
      <c r="H2" s="85"/>
      <c r="I2" s="86"/>
      <c r="J2" s="86"/>
      <c r="K2" s="87"/>
      <c r="L2" s="87"/>
      <c r="M2" s="88"/>
      <c r="N2" s="89"/>
      <c r="O2" s="87"/>
      <c r="P2" s="87"/>
      <c r="Q2" s="87"/>
      <c r="R2" s="87"/>
      <c r="S2" s="87">
        <v>1</v>
      </c>
      <c r="T2" s="87">
        <v>1</v>
      </c>
      <c r="U2" s="87">
        <v>1</v>
      </c>
      <c r="V2" s="90" t="s">
        <v>3267</v>
      </c>
    </row>
    <row r="3" ht="15" customHeight="1" spans="1:23" x14ac:dyDescent="0.25">
      <c r="A3" s="85">
        <v>489</v>
      </c>
      <c r="B3" s="85" t="s">
        <v>3266</v>
      </c>
      <c r="C3" s="85" t="s">
        <v>173</v>
      </c>
      <c r="D3" s="85" t="s">
        <v>163</v>
      </c>
      <c r="E3" s="85"/>
      <c r="F3" s="85" t="s">
        <v>2472</v>
      </c>
      <c r="G3" s="85" t="s">
        <v>288</v>
      </c>
      <c r="H3" s="85" t="s">
        <v>3268</v>
      </c>
      <c r="I3" s="86">
        <v>65</v>
      </c>
      <c r="J3" s="86">
        <v>65</v>
      </c>
      <c r="K3" s="87">
        <v>1</v>
      </c>
      <c r="L3" s="87">
        <v>1</v>
      </c>
      <c r="M3" s="88">
        <v>1</v>
      </c>
      <c r="N3" s="89"/>
      <c r="O3" s="87"/>
      <c r="P3" s="87"/>
      <c r="Q3" s="87"/>
      <c r="R3" s="87"/>
      <c r="S3" s="87">
        <v>1</v>
      </c>
      <c r="T3" s="87"/>
      <c r="U3" s="87">
        <v>1</v>
      </c>
      <c r="V3" s="90" t="s">
        <v>3267</v>
      </c>
    </row>
    <row r="4" ht="15" customHeight="1" spans="1:23" x14ac:dyDescent="0.25">
      <c r="A4" s="85">
        <v>491</v>
      </c>
      <c r="B4" s="85" t="s">
        <v>3269</v>
      </c>
      <c r="C4" s="85" t="s">
        <v>173</v>
      </c>
      <c r="D4" s="85" t="s">
        <v>163</v>
      </c>
      <c r="E4" s="85" t="s">
        <v>555</v>
      </c>
      <c r="F4" s="85" t="s">
        <v>157</v>
      </c>
      <c r="G4" s="85"/>
      <c r="H4" s="85"/>
      <c r="I4" s="86"/>
      <c r="J4" s="86"/>
      <c r="K4" s="87"/>
      <c r="L4" s="87"/>
      <c r="M4" s="88"/>
      <c r="N4" s="89"/>
      <c r="O4" s="87"/>
      <c r="P4" s="87"/>
      <c r="Q4" s="87"/>
      <c r="R4" s="87"/>
      <c r="S4" s="87">
        <v>1</v>
      </c>
      <c r="T4" s="87">
        <v>1</v>
      </c>
      <c r="U4" s="87">
        <v>1</v>
      </c>
      <c r="V4" s="90" t="s">
        <v>3270</v>
      </c>
    </row>
    <row r="5" ht="15" customHeight="1" spans="1:23" x14ac:dyDescent="0.25">
      <c r="A5" s="85">
        <v>491</v>
      </c>
      <c r="B5" s="85" t="s">
        <v>3269</v>
      </c>
      <c r="C5" s="85" t="s">
        <v>173</v>
      </c>
      <c r="D5" s="85" t="s">
        <v>163</v>
      </c>
      <c r="E5" s="85" t="s">
        <v>555</v>
      </c>
      <c r="F5" s="85" t="s">
        <v>2472</v>
      </c>
      <c r="G5" s="85" t="s">
        <v>288</v>
      </c>
      <c r="H5" s="85" t="s">
        <v>3268</v>
      </c>
      <c r="I5" s="86">
        <v>65</v>
      </c>
      <c r="J5" s="86">
        <v>65</v>
      </c>
      <c r="K5" s="87">
        <v>1</v>
      </c>
      <c r="L5" s="87">
        <v>1</v>
      </c>
      <c r="M5" s="88">
        <v>1</v>
      </c>
      <c r="N5" s="89"/>
      <c r="O5" s="87"/>
      <c r="P5" s="87"/>
      <c r="Q5" s="87"/>
      <c r="R5" s="87"/>
      <c r="S5" s="87">
        <v>1</v>
      </c>
      <c r="T5" s="87"/>
      <c r="U5" s="87">
        <v>1</v>
      </c>
      <c r="V5" s="90" t="s">
        <v>3270</v>
      </c>
    </row>
    <row r="6" ht="15" customHeight="1" spans="1:23" x14ac:dyDescent="0.25">
      <c r="A6" s="85">
        <v>492</v>
      </c>
      <c r="B6" s="85" t="s">
        <v>3271</v>
      </c>
      <c r="C6" s="85" t="s">
        <v>173</v>
      </c>
      <c r="D6" s="85" t="s">
        <v>163</v>
      </c>
      <c r="E6" s="85" t="s">
        <v>211</v>
      </c>
      <c r="F6" s="85" t="s">
        <v>157</v>
      </c>
      <c r="G6" s="85"/>
      <c r="H6" s="85"/>
      <c r="I6" s="86"/>
      <c r="J6" s="86"/>
      <c r="K6" s="87"/>
      <c r="L6" s="87"/>
      <c r="M6" s="88"/>
      <c r="N6" s="89"/>
      <c r="O6" s="87"/>
      <c r="P6" s="87"/>
      <c r="Q6" s="87"/>
      <c r="R6" s="87"/>
      <c r="S6" s="87">
        <v>1</v>
      </c>
      <c r="T6" s="87">
        <v>1</v>
      </c>
      <c r="U6" s="87">
        <v>0.5</v>
      </c>
      <c r="V6" s="90" t="s">
        <v>3272</v>
      </c>
    </row>
    <row r="7" ht="15" customHeight="1" spans="1:23" x14ac:dyDescent="0.25">
      <c r="A7" s="85">
        <v>492</v>
      </c>
      <c r="B7" s="85" t="s">
        <v>3271</v>
      </c>
      <c r="C7" s="85" t="s">
        <v>173</v>
      </c>
      <c r="D7" s="85" t="s">
        <v>163</v>
      </c>
      <c r="E7" s="85" t="s">
        <v>211</v>
      </c>
      <c r="F7" s="85" t="s">
        <v>2472</v>
      </c>
      <c r="G7" s="85" t="s">
        <v>288</v>
      </c>
      <c r="H7" s="85" t="s">
        <v>3268</v>
      </c>
      <c r="I7" s="86">
        <v>65</v>
      </c>
      <c r="J7" s="86">
        <v>65</v>
      </c>
      <c r="K7" s="87">
        <v>1</v>
      </c>
      <c r="L7" s="87">
        <v>1</v>
      </c>
      <c r="M7" s="88">
        <v>1</v>
      </c>
      <c r="N7" s="89"/>
      <c r="O7" s="87"/>
      <c r="P7" s="87"/>
      <c r="Q7" s="87"/>
      <c r="R7" s="87"/>
      <c r="S7" s="87">
        <v>1</v>
      </c>
      <c r="T7" s="87"/>
      <c r="U7" s="87">
        <v>0.5</v>
      </c>
      <c r="V7" s="90" t="s">
        <v>3273</v>
      </c>
    </row>
    <row r="8" ht="15" customHeight="1" spans="1:23" x14ac:dyDescent="0.25">
      <c r="A8" s="85">
        <v>493</v>
      </c>
      <c r="B8" s="85" t="s">
        <v>3274</v>
      </c>
      <c r="C8" s="85" t="s">
        <v>173</v>
      </c>
      <c r="D8" s="85" t="s">
        <v>163</v>
      </c>
      <c r="E8" s="85"/>
      <c r="F8" s="85" t="s">
        <v>157</v>
      </c>
      <c r="G8" s="85"/>
      <c r="H8" s="85"/>
      <c r="I8" s="86"/>
      <c r="J8" s="86"/>
      <c r="K8" s="87"/>
      <c r="L8" s="87"/>
      <c r="M8" s="88"/>
      <c r="N8" s="89"/>
      <c r="O8" s="87"/>
      <c r="P8" s="87"/>
      <c r="Q8" s="87"/>
      <c r="R8" s="87"/>
      <c r="S8" s="87">
        <v>1</v>
      </c>
      <c r="T8" s="87">
        <v>1</v>
      </c>
      <c r="U8" s="87">
        <v>1</v>
      </c>
      <c r="V8" s="90" t="s">
        <v>3275</v>
      </c>
    </row>
    <row r="9" ht="15" customHeight="1" spans="1:23" x14ac:dyDescent="0.25">
      <c r="A9" s="85">
        <v>493</v>
      </c>
      <c r="B9" s="85" t="s">
        <v>3274</v>
      </c>
      <c r="C9" s="85" t="s">
        <v>173</v>
      </c>
      <c r="D9" s="85" t="s">
        <v>163</v>
      </c>
      <c r="E9" s="85"/>
      <c r="F9" s="85" t="s">
        <v>2472</v>
      </c>
      <c r="G9" s="85" t="s">
        <v>288</v>
      </c>
      <c r="H9" s="85" t="s">
        <v>3268</v>
      </c>
      <c r="I9" s="86">
        <v>65</v>
      </c>
      <c r="J9" s="86">
        <v>65</v>
      </c>
      <c r="K9" s="87">
        <v>1</v>
      </c>
      <c r="L9" s="87">
        <v>1</v>
      </c>
      <c r="M9" s="88">
        <v>1</v>
      </c>
      <c r="N9" s="89"/>
      <c r="O9" s="87"/>
      <c r="P9" s="87"/>
      <c r="Q9" s="87"/>
      <c r="R9" s="87"/>
      <c r="S9" s="87">
        <v>1</v>
      </c>
      <c r="T9" s="87"/>
      <c r="U9" s="87">
        <v>1</v>
      </c>
      <c r="V9" s="90" t="s">
        <v>3276</v>
      </c>
    </row>
    <row r="10" ht="15" customHeight="1" spans="1:23" x14ac:dyDescent="0.25">
      <c r="A10" s="85">
        <v>495</v>
      </c>
      <c r="B10" s="85" t="s">
        <v>3277</v>
      </c>
      <c r="C10" s="85" t="s">
        <v>173</v>
      </c>
      <c r="D10" s="85" t="s">
        <v>163</v>
      </c>
      <c r="E10" s="85"/>
      <c r="F10" s="85" t="s">
        <v>157</v>
      </c>
      <c r="G10" s="85"/>
      <c r="H10" s="85"/>
      <c r="I10" s="86"/>
      <c r="J10" s="86"/>
      <c r="K10" s="87"/>
      <c r="L10" s="87"/>
      <c r="M10" s="88"/>
      <c r="N10" s="89"/>
      <c r="O10" s="87"/>
      <c r="P10" s="87"/>
      <c r="Q10" s="87"/>
      <c r="R10" s="87"/>
      <c r="S10" s="87">
        <v>1</v>
      </c>
      <c r="T10" s="87">
        <v>1</v>
      </c>
      <c r="U10" s="87">
        <v>1</v>
      </c>
      <c r="V10" s="90" t="s">
        <v>3278</v>
      </c>
    </row>
    <row r="11" ht="15" customHeight="1" spans="1:23" x14ac:dyDescent="0.25">
      <c r="A11" s="85">
        <v>495</v>
      </c>
      <c r="B11" s="85" t="s">
        <v>3277</v>
      </c>
      <c r="C11" s="85" t="s">
        <v>173</v>
      </c>
      <c r="D11" s="85" t="s">
        <v>163</v>
      </c>
      <c r="E11" s="85"/>
      <c r="F11" s="85" t="s">
        <v>2472</v>
      </c>
      <c r="G11" s="85" t="s">
        <v>288</v>
      </c>
      <c r="H11" s="85" t="s">
        <v>3268</v>
      </c>
      <c r="I11" s="86">
        <v>65</v>
      </c>
      <c r="J11" s="86">
        <v>65</v>
      </c>
      <c r="K11" s="87">
        <v>1</v>
      </c>
      <c r="L11" s="87">
        <v>1</v>
      </c>
      <c r="M11" s="88">
        <v>1</v>
      </c>
      <c r="N11" s="89"/>
      <c r="O11" s="87"/>
      <c r="P11" s="87"/>
      <c r="Q11" s="87"/>
      <c r="R11" s="87"/>
      <c r="S11" s="87">
        <v>1</v>
      </c>
      <c r="T11" s="87"/>
      <c r="U11" s="87">
        <v>1</v>
      </c>
      <c r="V11" s="90" t="s">
        <v>3279</v>
      </c>
    </row>
    <row r="12" ht="15" customHeight="1" spans="1:23" x14ac:dyDescent="0.25">
      <c r="A12" s="85">
        <v>496</v>
      </c>
      <c r="B12" s="85" t="s">
        <v>3280</v>
      </c>
      <c r="C12" s="85" t="s">
        <v>173</v>
      </c>
      <c r="D12" s="85" t="s">
        <v>163</v>
      </c>
      <c r="E12" s="85"/>
      <c r="F12" s="85" t="s">
        <v>157</v>
      </c>
      <c r="G12" s="85"/>
      <c r="H12" s="85"/>
      <c r="I12" s="86"/>
      <c r="J12" s="86"/>
      <c r="K12" s="87"/>
      <c r="L12" s="87"/>
      <c r="M12" s="88"/>
      <c r="N12" s="89"/>
      <c r="O12" s="87"/>
      <c r="P12" s="87"/>
      <c r="Q12" s="87"/>
      <c r="R12" s="87"/>
      <c r="S12" s="87">
        <v>1</v>
      </c>
      <c r="T12" s="87">
        <v>1</v>
      </c>
      <c r="U12" s="87">
        <v>1</v>
      </c>
      <c r="V12" s="90" t="s">
        <v>3281</v>
      </c>
    </row>
    <row r="13" ht="15" customHeight="1" spans="1:23" x14ac:dyDescent="0.25">
      <c r="A13" s="85">
        <v>496</v>
      </c>
      <c r="B13" s="85" t="s">
        <v>3280</v>
      </c>
      <c r="C13" s="85" t="s">
        <v>173</v>
      </c>
      <c r="D13" s="85" t="s">
        <v>163</v>
      </c>
      <c r="E13" s="85"/>
      <c r="F13" s="85" t="s">
        <v>2472</v>
      </c>
      <c r="G13" s="85" t="s">
        <v>288</v>
      </c>
      <c r="H13" s="85" t="s">
        <v>3268</v>
      </c>
      <c r="I13" s="86">
        <v>65</v>
      </c>
      <c r="J13" s="86">
        <v>65</v>
      </c>
      <c r="K13" s="87">
        <v>1</v>
      </c>
      <c r="L13" s="87">
        <v>1</v>
      </c>
      <c r="M13" s="88">
        <v>1</v>
      </c>
      <c r="N13" s="89"/>
      <c r="O13" s="87"/>
      <c r="P13" s="87"/>
      <c r="Q13" s="87"/>
      <c r="R13" s="87"/>
      <c r="S13" s="87">
        <v>1</v>
      </c>
      <c r="T13" s="87"/>
      <c r="U13" s="87">
        <v>1</v>
      </c>
      <c r="V13" s="90" t="s">
        <v>3281</v>
      </c>
    </row>
    <row r="14" ht="15" customHeight="1" spans="1:23" x14ac:dyDescent="0.25">
      <c r="A14" s="85">
        <v>497</v>
      </c>
      <c r="B14" s="85" t="s">
        <v>3282</v>
      </c>
      <c r="C14" s="85" t="s">
        <v>173</v>
      </c>
      <c r="D14" s="85" t="s">
        <v>163</v>
      </c>
      <c r="E14" s="85"/>
      <c r="F14" s="85" t="s">
        <v>157</v>
      </c>
      <c r="G14" s="85"/>
      <c r="H14" s="85"/>
      <c r="I14" s="86"/>
      <c r="J14" s="86"/>
      <c r="K14" s="87"/>
      <c r="L14" s="87"/>
      <c r="M14" s="88"/>
      <c r="N14" s="89"/>
      <c r="O14" s="87"/>
      <c r="P14" s="87"/>
      <c r="Q14" s="87"/>
      <c r="R14" s="87"/>
      <c r="S14" s="87">
        <v>1</v>
      </c>
      <c r="T14" s="87">
        <v>1</v>
      </c>
      <c r="U14" s="87">
        <v>1</v>
      </c>
      <c r="V14" s="90" t="s">
        <v>3283</v>
      </c>
    </row>
    <row r="15" ht="15" customHeight="1" spans="1:23" x14ac:dyDescent="0.25">
      <c r="A15" s="85">
        <v>497</v>
      </c>
      <c r="B15" s="85" t="s">
        <v>3282</v>
      </c>
      <c r="C15" s="85" t="s">
        <v>173</v>
      </c>
      <c r="D15" s="85" t="s">
        <v>163</v>
      </c>
      <c r="E15" s="85"/>
      <c r="F15" s="85" t="s">
        <v>2472</v>
      </c>
      <c r="G15" s="85" t="s">
        <v>288</v>
      </c>
      <c r="H15" s="85" t="s">
        <v>3268</v>
      </c>
      <c r="I15" s="86">
        <v>65</v>
      </c>
      <c r="J15" s="86">
        <v>65</v>
      </c>
      <c r="K15" s="87">
        <v>1</v>
      </c>
      <c r="L15" s="87">
        <v>1</v>
      </c>
      <c r="M15" s="88">
        <v>1</v>
      </c>
      <c r="N15" s="89"/>
      <c r="O15" s="87"/>
      <c r="P15" s="87"/>
      <c r="Q15" s="87"/>
      <c r="R15" s="87"/>
      <c r="S15" s="87">
        <v>1</v>
      </c>
      <c r="T15" s="87"/>
      <c r="U15" s="87">
        <v>1</v>
      </c>
      <c r="V15" s="90" t="s">
        <v>3283</v>
      </c>
    </row>
    <row r="16" ht="15" customHeight="1" spans="1:23" x14ac:dyDescent="0.25">
      <c r="A16" s="85">
        <v>499</v>
      </c>
      <c r="B16" s="85" t="s">
        <v>3284</v>
      </c>
      <c r="C16" s="85" t="s">
        <v>173</v>
      </c>
      <c r="D16" s="85" t="s">
        <v>163</v>
      </c>
      <c r="E16" s="85"/>
      <c r="F16" s="85" t="s">
        <v>157</v>
      </c>
      <c r="G16" s="85"/>
      <c r="H16" s="85"/>
      <c r="I16" s="86"/>
      <c r="J16" s="86"/>
      <c r="K16" s="87"/>
      <c r="L16" s="87"/>
      <c r="M16" s="88"/>
      <c r="N16" s="89"/>
      <c r="O16" s="87"/>
      <c r="P16" s="87"/>
      <c r="Q16" s="87"/>
      <c r="R16" s="87"/>
      <c r="S16" s="87">
        <v>0.8</v>
      </c>
      <c r="T16" s="87">
        <v>0.8</v>
      </c>
      <c r="U16" s="87">
        <v>0.8000000000000002</v>
      </c>
      <c r="V16" s="90" t="s">
        <v>3285</v>
      </c>
    </row>
    <row r="17" ht="15" customHeight="1" spans="1:23" x14ac:dyDescent="0.25">
      <c r="A17" s="85">
        <v>499</v>
      </c>
      <c r="B17" s="85" t="s">
        <v>3284</v>
      </c>
      <c r="C17" s="85" t="s">
        <v>173</v>
      </c>
      <c r="D17" s="85" t="s">
        <v>163</v>
      </c>
      <c r="E17" s="85"/>
      <c r="F17" s="85" t="s">
        <v>2472</v>
      </c>
      <c r="G17" s="85" t="s">
        <v>288</v>
      </c>
      <c r="H17" s="85" t="s">
        <v>3268</v>
      </c>
      <c r="I17" s="86">
        <v>65</v>
      </c>
      <c r="J17" s="86">
        <v>65</v>
      </c>
      <c r="K17" s="87">
        <v>1</v>
      </c>
      <c r="L17" s="87">
        <v>0.8</v>
      </c>
      <c r="M17" s="88">
        <v>0.8</v>
      </c>
      <c r="N17" s="89"/>
      <c r="O17" s="87"/>
      <c r="P17" s="87"/>
      <c r="Q17" s="87"/>
      <c r="R17" s="87"/>
      <c r="S17" s="87">
        <v>0.8</v>
      </c>
      <c r="T17" s="87"/>
      <c r="U17" s="87">
        <v>0.8000000000000002</v>
      </c>
      <c r="V17" s="90" t="s">
        <v>3286</v>
      </c>
    </row>
    <row r="18" ht="15" customHeight="1" spans="1:23" x14ac:dyDescent="0.25">
      <c r="A18" s="85">
        <v>500</v>
      </c>
      <c r="B18" s="85" t="s">
        <v>3287</v>
      </c>
      <c r="C18" s="85" t="s">
        <v>173</v>
      </c>
      <c r="D18" s="85" t="s">
        <v>163</v>
      </c>
      <c r="E18" s="85"/>
      <c r="F18" s="85" t="s">
        <v>157</v>
      </c>
      <c r="G18" s="85"/>
      <c r="H18" s="85"/>
      <c r="I18" s="86"/>
      <c r="J18" s="86"/>
      <c r="K18" s="87"/>
      <c r="L18" s="87"/>
      <c r="M18" s="88"/>
      <c r="N18" s="89"/>
      <c r="O18" s="87"/>
      <c r="P18" s="87"/>
      <c r="Q18" s="87"/>
      <c r="R18" s="87"/>
      <c r="S18" s="87">
        <v>1</v>
      </c>
      <c r="T18" s="87">
        <v>1</v>
      </c>
      <c r="U18" s="87">
        <v>1</v>
      </c>
      <c r="V18" s="90" t="s">
        <v>3288</v>
      </c>
    </row>
    <row r="19" ht="15" customHeight="1" spans="1:23" x14ac:dyDescent="0.25">
      <c r="A19" s="85">
        <v>500</v>
      </c>
      <c r="B19" s="85" t="s">
        <v>3287</v>
      </c>
      <c r="C19" s="85" t="s">
        <v>173</v>
      </c>
      <c r="D19" s="85" t="s">
        <v>163</v>
      </c>
      <c r="E19" s="85"/>
      <c r="F19" s="85" t="s">
        <v>2472</v>
      </c>
      <c r="G19" s="85" t="s">
        <v>288</v>
      </c>
      <c r="H19" s="85" t="s">
        <v>3268</v>
      </c>
      <c r="I19" s="86">
        <v>65</v>
      </c>
      <c r="J19" s="86">
        <v>65</v>
      </c>
      <c r="K19" s="87">
        <v>1</v>
      </c>
      <c r="L19" s="87">
        <v>1</v>
      </c>
      <c r="M19" s="88">
        <v>1</v>
      </c>
      <c r="N19" s="89"/>
      <c r="O19" s="87"/>
      <c r="P19" s="87"/>
      <c r="Q19" s="87"/>
      <c r="R19" s="87"/>
      <c r="S19" s="87">
        <v>1</v>
      </c>
      <c r="T19" s="87"/>
      <c r="U19" s="87">
        <v>1</v>
      </c>
      <c r="V19" s="90" t="s">
        <v>3288</v>
      </c>
    </row>
    <row r="20" ht="15" customHeight="1" spans="1:23" x14ac:dyDescent="0.25">
      <c r="A20" s="85">
        <v>501</v>
      </c>
      <c r="B20" s="85" t="s">
        <v>3289</v>
      </c>
      <c r="C20" s="85" t="s">
        <v>173</v>
      </c>
      <c r="D20" s="85" t="s">
        <v>163</v>
      </c>
      <c r="E20" s="85"/>
      <c r="F20" s="85" t="s">
        <v>157</v>
      </c>
      <c r="G20" s="85"/>
      <c r="H20" s="85"/>
      <c r="I20" s="86"/>
      <c r="J20" s="86"/>
      <c r="K20" s="87"/>
      <c r="L20" s="87"/>
      <c r="M20" s="88"/>
      <c r="N20" s="89"/>
      <c r="O20" s="87"/>
      <c r="P20" s="87"/>
      <c r="Q20" s="87"/>
      <c r="R20" s="87"/>
      <c r="S20" s="87">
        <v>1</v>
      </c>
      <c r="T20" s="87">
        <v>1</v>
      </c>
      <c r="U20" s="87">
        <v>1</v>
      </c>
      <c r="V20" s="90" t="s">
        <v>3290</v>
      </c>
    </row>
    <row r="21" ht="15" customHeight="1" spans="1:23" x14ac:dyDescent="0.25">
      <c r="A21" s="85">
        <v>501</v>
      </c>
      <c r="B21" s="85" t="s">
        <v>3289</v>
      </c>
      <c r="C21" s="85" t="s">
        <v>173</v>
      </c>
      <c r="D21" s="85" t="s">
        <v>163</v>
      </c>
      <c r="E21" s="85"/>
      <c r="F21" s="85" t="s">
        <v>2472</v>
      </c>
      <c r="G21" s="85" t="s">
        <v>288</v>
      </c>
      <c r="H21" s="85" t="s">
        <v>3268</v>
      </c>
      <c r="I21" s="86">
        <v>65</v>
      </c>
      <c r="J21" s="86">
        <v>65</v>
      </c>
      <c r="K21" s="87">
        <v>1</v>
      </c>
      <c r="L21" s="87">
        <v>1</v>
      </c>
      <c r="M21" s="88">
        <v>1</v>
      </c>
      <c r="N21" s="89"/>
      <c r="O21" s="87"/>
      <c r="P21" s="87"/>
      <c r="Q21" s="87"/>
      <c r="R21" s="87"/>
      <c r="S21" s="87">
        <v>1</v>
      </c>
      <c r="T21" s="87"/>
      <c r="U21" s="87">
        <v>1</v>
      </c>
      <c r="V21" s="90" t="s">
        <v>3291</v>
      </c>
    </row>
    <row r="22" ht="15" customHeight="1" spans="1:23" x14ac:dyDescent="0.25">
      <c r="A22" s="85">
        <v>502</v>
      </c>
      <c r="B22" s="85" t="s">
        <v>3292</v>
      </c>
      <c r="C22" s="85" t="s">
        <v>173</v>
      </c>
      <c r="D22" s="85" t="s">
        <v>163</v>
      </c>
      <c r="E22" s="85"/>
      <c r="F22" s="85" t="s">
        <v>157</v>
      </c>
      <c r="G22" s="85"/>
      <c r="H22" s="85"/>
      <c r="I22" s="86"/>
      <c r="J22" s="86"/>
      <c r="K22" s="87"/>
      <c r="L22" s="87"/>
      <c r="M22" s="88"/>
      <c r="N22" s="89"/>
      <c r="O22" s="87"/>
      <c r="P22" s="87"/>
      <c r="Q22" s="87"/>
      <c r="R22" s="87"/>
      <c r="S22" s="87">
        <v>1</v>
      </c>
      <c r="T22" s="87">
        <v>1</v>
      </c>
      <c r="U22" s="87">
        <v>1</v>
      </c>
      <c r="V22" s="90" t="s">
        <v>3293</v>
      </c>
    </row>
    <row r="23" ht="15" customHeight="1" spans="1:23" x14ac:dyDescent="0.25">
      <c r="A23" s="85">
        <v>502</v>
      </c>
      <c r="B23" s="85" t="s">
        <v>3292</v>
      </c>
      <c r="C23" s="85" t="s">
        <v>173</v>
      </c>
      <c r="D23" s="85" t="s">
        <v>163</v>
      </c>
      <c r="E23" s="85"/>
      <c r="F23" s="85" t="s">
        <v>2472</v>
      </c>
      <c r="G23" s="85" t="s">
        <v>288</v>
      </c>
      <c r="H23" s="85" t="s">
        <v>3268</v>
      </c>
      <c r="I23" s="86">
        <v>65</v>
      </c>
      <c r="J23" s="86">
        <v>65</v>
      </c>
      <c r="K23" s="87">
        <v>1</v>
      </c>
      <c r="L23" s="87">
        <v>1</v>
      </c>
      <c r="M23" s="88">
        <v>1</v>
      </c>
      <c r="N23" s="89"/>
      <c r="O23" s="87"/>
      <c r="P23" s="87"/>
      <c r="Q23" s="87"/>
      <c r="R23" s="87"/>
      <c r="S23" s="87">
        <v>1</v>
      </c>
      <c r="T23" s="87"/>
      <c r="U23" s="87">
        <v>1</v>
      </c>
      <c r="V23" s="90" t="s">
        <v>3293</v>
      </c>
    </row>
    <row r="24" ht="15" customHeight="1" spans="1:23" x14ac:dyDescent="0.25">
      <c r="A24" s="85">
        <v>503</v>
      </c>
      <c r="B24" s="85" t="s">
        <v>3294</v>
      </c>
      <c r="C24" s="85" t="s">
        <v>173</v>
      </c>
      <c r="D24" s="85" t="s">
        <v>163</v>
      </c>
      <c r="E24" s="85"/>
      <c r="F24" s="85" t="s">
        <v>157</v>
      </c>
      <c r="G24" s="85"/>
      <c r="H24" s="85"/>
      <c r="I24" s="86"/>
      <c r="J24" s="86"/>
      <c r="K24" s="87"/>
      <c r="L24" s="87"/>
      <c r="M24" s="88"/>
      <c r="N24" s="89"/>
      <c r="O24" s="87"/>
      <c r="P24" s="87"/>
      <c r="Q24" s="87"/>
      <c r="R24" s="87"/>
      <c r="S24" s="87">
        <v>1</v>
      </c>
      <c r="T24" s="87">
        <v>1</v>
      </c>
      <c r="U24" s="87">
        <v>1</v>
      </c>
      <c r="V24" s="90" t="s">
        <v>3295</v>
      </c>
    </row>
    <row r="25" ht="15" customHeight="1" spans="1:23" x14ac:dyDescent="0.25">
      <c r="A25" s="85">
        <v>503</v>
      </c>
      <c r="B25" s="85" t="s">
        <v>3294</v>
      </c>
      <c r="C25" s="85" t="s">
        <v>173</v>
      </c>
      <c r="D25" s="85" t="s">
        <v>163</v>
      </c>
      <c r="E25" s="85"/>
      <c r="F25" s="85" t="s">
        <v>2472</v>
      </c>
      <c r="G25" s="85" t="s">
        <v>288</v>
      </c>
      <c r="H25" s="85" t="s">
        <v>3268</v>
      </c>
      <c r="I25" s="86">
        <v>65</v>
      </c>
      <c r="J25" s="86">
        <v>65</v>
      </c>
      <c r="K25" s="87">
        <v>1</v>
      </c>
      <c r="L25" s="87">
        <v>1</v>
      </c>
      <c r="M25" s="88">
        <v>1</v>
      </c>
      <c r="N25" s="89"/>
      <c r="O25" s="87"/>
      <c r="P25" s="87"/>
      <c r="Q25" s="87"/>
      <c r="R25" s="87"/>
      <c r="S25" s="87">
        <v>1</v>
      </c>
      <c r="T25" s="87"/>
      <c r="U25" s="87">
        <v>1</v>
      </c>
      <c r="V25" s="90" t="s">
        <v>3296</v>
      </c>
    </row>
    <row r="26" ht="15" customHeight="1" spans="1:23" x14ac:dyDescent="0.25">
      <c r="A26" s="85">
        <v>504</v>
      </c>
      <c r="B26" s="85" t="s">
        <v>3297</v>
      </c>
      <c r="C26" s="85" t="s">
        <v>173</v>
      </c>
      <c r="D26" s="85" t="s">
        <v>196</v>
      </c>
      <c r="E26" s="85"/>
      <c r="F26" s="85" t="s">
        <v>157</v>
      </c>
      <c r="G26" s="85"/>
      <c r="H26" s="85"/>
      <c r="I26" s="86"/>
      <c r="J26" s="86"/>
      <c r="K26" s="87"/>
      <c r="L26" s="87"/>
      <c r="M26" s="88"/>
      <c r="N26" s="89"/>
      <c r="O26" s="87"/>
      <c r="P26" s="87"/>
      <c r="Q26" s="87"/>
      <c r="R26" s="87"/>
      <c r="S26" s="87">
        <v>1</v>
      </c>
      <c r="T26" s="87">
        <v>1</v>
      </c>
      <c r="U26" s="87">
        <v>1</v>
      </c>
      <c r="V26" s="90" t="s">
        <v>3298</v>
      </c>
    </row>
    <row r="27" ht="15" customHeight="1" spans="1:23" x14ac:dyDescent="0.25">
      <c r="A27" s="85">
        <v>504</v>
      </c>
      <c r="B27" s="85" t="s">
        <v>3297</v>
      </c>
      <c r="C27" s="85" t="s">
        <v>173</v>
      </c>
      <c r="D27" s="85" t="s">
        <v>196</v>
      </c>
      <c r="E27" s="85"/>
      <c r="F27" s="85" t="s">
        <v>2472</v>
      </c>
      <c r="G27" s="85" t="s">
        <v>288</v>
      </c>
      <c r="H27" s="85" t="s">
        <v>3268</v>
      </c>
      <c r="I27" s="86">
        <v>65</v>
      </c>
      <c r="J27" s="86">
        <v>65</v>
      </c>
      <c r="K27" s="87">
        <v>1</v>
      </c>
      <c r="L27" s="87">
        <v>1</v>
      </c>
      <c r="M27" s="88">
        <v>1</v>
      </c>
      <c r="N27" s="89"/>
      <c r="O27" s="87"/>
      <c r="P27" s="87"/>
      <c r="Q27" s="87"/>
      <c r="R27" s="87"/>
      <c r="S27" s="87">
        <v>1</v>
      </c>
      <c r="T27" s="87"/>
      <c r="U27" s="87">
        <v>1</v>
      </c>
      <c r="V27" s="90" t="s">
        <v>3298</v>
      </c>
    </row>
    <row r="28" ht="15" customHeight="1" spans="1:23" x14ac:dyDescent="0.25">
      <c r="A28" s="85">
        <v>505</v>
      </c>
      <c r="B28" s="85" t="s">
        <v>3299</v>
      </c>
      <c r="C28" s="85" t="s">
        <v>173</v>
      </c>
      <c r="D28" s="85" t="s">
        <v>278</v>
      </c>
      <c r="E28" s="85"/>
      <c r="F28" s="85" t="s">
        <v>157</v>
      </c>
      <c r="G28" s="85"/>
      <c r="H28" s="85"/>
      <c r="I28" s="86"/>
      <c r="J28" s="86"/>
      <c r="K28" s="87"/>
      <c r="L28" s="87"/>
      <c r="M28" s="88"/>
      <c r="N28" s="89"/>
      <c r="O28" s="87"/>
      <c r="P28" s="87"/>
      <c r="Q28" s="87"/>
      <c r="R28" s="87">
        <v>0.2</v>
      </c>
      <c r="S28" s="87">
        <v>0.8</v>
      </c>
      <c r="T28" s="87">
        <v>1</v>
      </c>
      <c r="U28" s="87">
        <v>0.8000000000000002</v>
      </c>
      <c r="V28" s="90" t="s">
        <v>3300</v>
      </c>
    </row>
    <row r="29" ht="15" customHeight="1" spans="1:23" x14ac:dyDescent="0.25">
      <c r="A29" s="85">
        <v>505</v>
      </c>
      <c r="B29" s="85" t="s">
        <v>3299</v>
      </c>
      <c r="C29" s="85" t="s">
        <v>173</v>
      </c>
      <c r="D29" s="85" t="s">
        <v>278</v>
      </c>
      <c r="E29" s="85"/>
      <c r="F29" s="85" t="s">
        <v>2472</v>
      </c>
      <c r="G29" s="85" t="s">
        <v>288</v>
      </c>
      <c r="H29" s="85" t="s">
        <v>3268</v>
      </c>
      <c r="I29" s="86">
        <v>65</v>
      </c>
      <c r="J29" s="86">
        <v>65</v>
      </c>
      <c r="K29" s="87">
        <v>1</v>
      </c>
      <c r="L29" s="87">
        <v>1</v>
      </c>
      <c r="M29" s="88">
        <v>1</v>
      </c>
      <c r="N29" s="89">
        <v>0.2</v>
      </c>
      <c r="O29" s="87">
        <v>0.2</v>
      </c>
      <c r="P29" s="87"/>
      <c r="Q29" s="87"/>
      <c r="R29" s="87">
        <v>0.2</v>
      </c>
      <c r="S29" s="87">
        <v>0.8</v>
      </c>
      <c r="T29" s="87"/>
      <c r="U29" s="87">
        <v>0.8000000000000002</v>
      </c>
      <c r="V29" s="90" t="s">
        <v>3301</v>
      </c>
    </row>
    <row r="30" ht="15" customHeight="1" spans="1:23" x14ac:dyDescent="0.25">
      <c r="A30" s="85">
        <v>506</v>
      </c>
      <c r="B30" s="85" t="s">
        <v>3302</v>
      </c>
      <c r="C30" s="85" t="s">
        <v>173</v>
      </c>
      <c r="D30" s="85" t="s">
        <v>163</v>
      </c>
      <c r="E30" s="85"/>
      <c r="F30" s="85" t="s">
        <v>157</v>
      </c>
      <c r="G30" s="85"/>
      <c r="H30" s="85"/>
      <c r="I30" s="86"/>
      <c r="J30" s="86"/>
      <c r="K30" s="87"/>
      <c r="L30" s="87"/>
      <c r="M30" s="88"/>
      <c r="N30" s="89"/>
      <c r="O30" s="87"/>
      <c r="P30" s="87"/>
      <c r="Q30" s="87"/>
      <c r="R30" s="87">
        <v>1</v>
      </c>
      <c r="S30" s="87">
        <v>0</v>
      </c>
      <c r="T30" s="87">
        <v>1</v>
      </c>
      <c r="U30" s="87">
        <v>0</v>
      </c>
      <c r="V30" s="90" t="s">
        <v>3303</v>
      </c>
    </row>
    <row r="31" ht="15" customHeight="1" spans="1:23" x14ac:dyDescent="0.25">
      <c r="A31" s="85">
        <v>506</v>
      </c>
      <c r="B31" s="85" t="s">
        <v>3302</v>
      </c>
      <c r="C31" s="85" t="s">
        <v>173</v>
      </c>
      <c r="D31" s="85" t="s">
        <v>163</v>
      </c>
      <c r="E31" s="85"/>
      <c r="F31" s="85" t="s">
        <v>2472</v>
      </c>
      <c r="G31" s="85" t="s">
        <v>288</v>
      </c>
      <c r="H31" s="85" t="s">
        <v>3268</v>
      </c>
      <c r="I31" s="86">
        <v>65</v>
      </c>
      <c r="J31" s="86">
        <v>65</v>
      </c>
      <c r="K31" s="87">
        <v>1</v>
      </c>
      <c r="L31" s="87">
        <v>1</v>
      </c>
      <c r="M31" s="88">
        <v>1</v>
      </c>
      <c r="N31" s="89">
        <v>1</v>
      </c>
      <c r="O31" s="87">
        <v>1</v>
      </c>
      <c r="P31" s="87"/>
      <c r="Q31" s="87"/>
      <c r="R31" s="87">
        <v>1</v>
      </c>
      <c r="S31" s="87">
        <v>0</v>
      </c>
      <c r="T31" s="87"/>
      <c r="U31" s="87">
        <v>0</v>
      </c>
      <c r="V31" s="90" t="s">
        <v>3304</v>
      </c>
    </row>
    <row r="32" ht="15" customHeight="1" spans="1:23" x14ac:dyDescent="0.25">
      <c r="A32" s="85">
        <v>507</v>
      </c>
      <c r="B32" s="85" t="s">
        <v>3305</v>
      </c>
      <c r="C32" s="85" t="s">
        <v>173</v>
      </c>
      <c r="D32" s="85" t="s">
        <v>163</v>
      </c>
      <c r="E32" s="85"/>
      <c r="F32" s="85" t="s">
        <v>157</v>
      </c>
      <c r="G32" s="85"/>
      <c r="H32" s="85"/>
      <c r="I32" s="86"/>
      <c r="J32" s="86"/>
      <c r="K32" s="87"/>
      <c r="L32" s="87"/>
      <c r="M32" s="88"/>
      <c r="N32" s="89"/>
      <c r="O32" s="87"/>
      <c r="P32" s="87"/>
      <c r="Q32" s="87"/>
      <c r="R32" s="87"/>
      <c r="S32" s="87">
        <v>1</v>
      </c>
      <c r="T32" s="87">
        <v>1</v>
      </c>
      <c r="U32" s="87">
        <v>1</v>
      </c>
      <c r="V32" s="90" t="s">
        <v>3306</v>
      </c>
    </row>
    <row r="33" ht="15" customHeight="1" spans="1:23" x14ac:dyDescent="0.25">
      <c r="A33" s="85">
        <v>507</v>
      </c>
      <c r="B33" s="85" t="s">
        <v>3305</v>
      </c>
      <c r="C33" s="85" t="s">
        <v>173</v>
      </c>
      <c r="D33" s="85" t="s">
        <v>163</v>
      </c>
      <c r="E33" s="85"/>
      <c r="F33" s="85" t="s">
        <v>2472</v>
      </c>
      <c r="G33" s="85" t="s">
        <v>288</v>
      </c>
      <c r="H33" s="85" t="s">
        <v>3268</v>
      </c>
      <c r="I33" s="86">
        <v>65</v>
      </c>
      <c r="J33" s="86">
        <v>65</v>
      </c>
      <c r="K33" s="87">
        <v>1</v>
      </c>
      <c r="L33" s="87">
        <v>1</v>
      </c>
      <c r="M33" s="88">
        <v>1</v>
      </c>
      <c r="N33" s="89"/>
      <c r="O33" s="87"/>
      <c r="P33" s="87"/>
      <c r="Q33" s="87"/>
      <c r="R33" s="87"/>
      <c r="S33" s="87">
        <v>1</v>
      </c>
      <c r="T33" s="87"/>
      <c r="U33" s="87">
        <v>1</v>
      </c>
      <c r="V33" s="90" t="s">
        <v>3307</v>
      </c>
    </row>
    <row r="34" ht="15" customHeight="1" spans="1:23" x14ac:dyDescent="0.25">
      <c r="A34" s="85">
        <v>508</v>
      </c>
      <c r="B34" s="85" t="s">
        <v>3308</v>
      </c>
      <c r="C34" s="85" t="s">
        <v>173</v>
      </c>
      <c r="D34" s="85" t="s">
        <v>163</v>
      </c>
      <c r="E34" s="85"/>
      <c r="F34" s="85" t="s">
        <v>157</v>
      </c>
      <c r="G34" s="85"/>
      <c r="H34" s="85"/>
      <c r="I34" s="86"/>
      <c r="J34" s="86"/>
      <c r="K34" s="87"/>
      <c r="L34" s="87"/>
      <c r="M34" s="88"/>
      <c r="N34" s="89"/>
      <c r="O34" s="87"/>
      <c r="P34" s="87"/>
      <c r="Q34" s="87"/>
      <c r="R34" s="87"/>
      <c r="S34" s="87">
        <v>1</v>
      </c>
      <c r="T34" s="87">
        <v>1</v>
      </c>
      <c r="U34" s="87">
        <v>1</v>
      </c>
      <c r="V34" s="90" t="s">
        <v>3309</v>
      </c>
    </row>
    <row r="35" ht="15" customHeight="1" spans="1:23" x14ac:dyDescent="0.25">
      <c r="A35" s="85">
        <v>508</v>
      </c>
      <c r="B35" s="85" t="s">
        <v>3308</v>
      </c>
      <c r="C35" s="85" t="s">
        <v>173</v>
      </c>
      <c r="D35" s="85" t="s">
        <v>163</v>
      </c>
      <c r="E35" s="85"/>
      <c r="F35" s="85" t="s">
        <v>2472</v>
      </c>
      <c r="G35" s="85" t="s">
        <v>288</v>
      </c>
      <c r="H35" s="85" t="s">
        <v>3268</v>
      </c>
      <c r="I35" s="86">
        <v>65</v>
      </c>
      <c r="J35" s="86">
        <v>65</v>
      </c>
      <c r="K35" s="87">
        <v>1</v>
      </c>
      <c r="L35" s="87">
        <v>1</v>
      </c>
      <c r="M35" s="88">
        <v>1</v>
      </c>
      <c r="N35" s="89"/>
      <c r="O35" s="87"/>
      <c r="P35" s="87"/>
      <c r="Q35" s="87"/>
      <c r="R35" s="87"/>
      <c r="S35" s="87">
        <v>1</v>
      </c>
      <c r="T35" s="87"/>
      <c r="U35" s="87">
        <v>1</v>
      </c>
      <c r="V35" s="90" t="s">
        <v>3310</v>
      </c>
    </row>
    <row r="36" ht="15" customHeight="1" spans="1:23" x14ac:dyDescent="0.25">
      <c r="A36" s="85">
        <v>509</v>
      </c>
      <c r="B36" s="85" t="s">
        <v>3311</v>
      </c>
      <c r="C36" s="85" t="s">
        <v>173</v>
      </c>
      <c r="D36" s="85" t="s">
        <v>163</v>
      </c>
      <c r="E36" s="85"/>
      <c r="F36" s="85" t="s">
        <v>157</v>
      </c>
      <c r="G36" s="85"/>
      <c r="H36" s="85"/>
      <c r="I36" s="86"/>
      <c r="J36" s="86"/>
      <c r="K36" s="87"/>
      <c r="L36" s="87"/>
      <c r="M36" s="88"/>
      <c r="N36" s="89"/>
      <c r="O36" s="87"/>
      <c r="P36" s="87"/>
      <c r="Q36" s="87"/>
      <c r="R36" s="87"/>
      <c r="S36" s="87">
        <v>1</v>
      </c>
      <c r="T36" s="87">
        <v>1</v>
      </c>
      <c r="U36" s="87">
        <v>1</v>
      </c>
      <c r="V36" s="90" t="s">
        <v>3312</v>
      </c>
    </row>
    <row r="37" ht="15" customHeight="1" spans="1:23" x14ac:dyDescent="0.25">
      <c r="A37" s="85">
        <v>509</v>
      </c>
      <c r="B37" s="85" t="s">
        <v>3311</v>
      </c>
      <c r="C37" s="85" t="s">
        <v>173</v>
      </c>
      <c r="D37" s="85" t="s">
        <v>163</v>
      </c>
      <c r="E37" s="85"/>
      <c r="F37" s="85" t="s">
        <v>2472</v>
      </c>
      <c r="G37" s="85" t="s">
        <v>288</v>
      </c>
      <c r="H37" s="85" t="s">
        <v>3268</v>
      </c>
      <c r="I37" s="86">
        <v>65</v>
      </c>
      <c r="J37" s="86">
        <v>65</v>
      </c>
      <c r="K37" s="87">
        <v>1</v>
      </c>
      <c r="L37" s="87">
        <v>1</v>
      </c>
      <c r="M37" s="88">
        <v>1</v>
      </c>
      <c r="N37" s="89"/>
      <c r="O37" s="87"/>
      <c r="P37" s="87"/>
      <c r="Q37" s="87"/>
      <c r="R37" s="87"/>
      <c r="S37" s="87">
        <v>1</v>
      </c>
      <c r="T37" s="87"/>
      <c r="U37" s="87">
        <v>1</v>
      </c>
      <c r="V37" s="90" t="s">
        <v>3313</v>
      </c>
    </row>
    <row r="38" ht="15" customHeight="1" spans="1:23" x14ac:dyDescent="0.25">
      <c r="A38" s="85">
        <v>510</v>
      </c>
      <c r="B38" s="85" t="s">
        <v>3314</v>
      </c>
      <c r="C38" s="85" t="s">
        <v>173</v>
      </c>
      <c r="D38" s="85" t="s">
        <v>163</v>
      </c>
      <c r="E38" s="85"/>
      <c r="F38" s="85" t="s">
        <v>157</v>
      </c>
      <c r="G38" s="85"/>
      <c r="H38" s="85"/>
      <c r="I38" s="86"/>
      <c r="J38" s="86"/>
      <c r="K38" s="87"/>
      <c r="L38" s="87"/>
      <c r="M38" s="88"/>
      <c r="N38" s="89"/>
      <c r="O38" s="87"/>
      <c r="P38" s="87"/>
      <c r="Q38" s="87">
        <v>0.16</v>
      </c>
      <c r="R38" s="87"/>
      <c r="S38" s="87">
        <v>0.8</v>
      </c>
      <c r="T38" s="87">
        <v>0.8</v>
      </c>
      <c r="U38" s="87">
        <v>0.8</v>
      </c>
      <c r="V38" s="90" t="s">
        <v>3315</v>
      </c>
    </row>
    <row r="39" ht="15" customHeight="1" spans="1:23" x14ac:dyDescent="0.25">
      <c r="A39" s="85">
        <v>510</v>
      </c>
      <c r="B39" s="85" t="s">
        <v>3314</v>
      </c>
      <c r="C39" s="85" t="s">
        <v>173</v>
      </c>
      <c r="D39" s="85" t="s">
        <v>163</v>
      </c>
      <c r="E39" s="85"/>
      <c r="F39" s="85" t="s">
        <v>2472</v>
      </c>
      <c r="G39" s="85" t="s">
        <v>3316</v>
      </c>
      <c r="H39" s="85" t="s">
        <v>3268</v>
      </c>
      <c r="I39" s="86">
        <v>65</v>
      </c>
      <c r="J39" s="86">
        <v>30</v>
      </c>
      <c r="K39" s="87">
        <v>0.46153846153846156</v>
      </c>
      <c r="L39" s="87">
        <v>0.8</v>
      </c>
      <c r="M39" s="88">
        <v>0.36923076923076925</v>
      </c>
      <c r="N39" s="89"/>
      <c r="O39" s="87"/>
      <c r="P39" s="87">
        <v>13</v>
      </c>
      <c r="Q39" s="87"/>
      <c r="R39" s="87"/>
      <c r="S39" s="87">
        <v>0.36923076923076925</v>
      </c>
      <c r="T39" s="87"/>
      <c r="U39" s="87">
        <v>0.3692307692307693</v>
      </c>
      <c r="V39" s="90" t="s">
        <v>3317</v>
      </c>
    </row>
    <row r="40" ht="15" customHeight="1" spans="1:23" x14ac:dyDescent="0.25">
      <c r="A40" s="85">
        <v>510</v>
      </c>
      <c r="B40" s="85" t="s">
        <v>3314</v>
      </c>
      <c r="C40" s="85" t="s">
        <v>173</v>
      </c>
      <c r="D40" s="85" t="s">
        <v>163</v>
      </c>
      <c r="E40" s="85"/>
      <c r="F40" s="85" t="s">
        <v>2472</v>
      </c>
      <c r="G40" s="85" t="s">
        <v>3318</v>
      </c>
      <c r="H40" s="85" t="s">
        <v>3319</v>
      </c>
      <c r="I40" s="86">
        <v>65</v>
      </c>
      <c r="J40" s="86">
        <v>13</v>
      </c>
      <c r="K40" s="87">
        <v>0.2</v>
      </c>
      <c r="L40" s="87">
        <v>0.8</v>
      </c>
      <c r="M40" s="88">
        <v>0.16</v>
      </c>
      <c r="N40" s="89">
        <v>1</v>
      </c>
      <c r="O40" s="87">
        <v>0.16000000000000003</v>
      </c>
      <c r="P40" s="87">
        <v>13</v>
      </c>
      <c r="Q40" s="87">
        <v>0.16</v>
      </c>
      <c r="R40" s="87"/>
      <c r="S40" s="87">
        <v>0.16</v>
      </c>
      <c r="T40" s="87"/>
      <c r="U40" s="87">
        <v>0.16000000000000006</v>
      </c>
      <c r="V40" s="90" t="s">
        <v>3320</v>
      </c>
    </row>
    <row r="41" ht="15" customHeight="1" spans="1:23" x14ac:dyDescent="0.25">
      <c r="A41" s="85">
        <v>510</v>
      </c>
      <c r="B41" s="85" t="s">
        <v>3314</v>
      </c>
      <c r="C41" s="85" t="s">
        <v>173</v>
      </c>
      <c r="D41" s="85" t="s">
        <v>163</v>
      </c>
      <c r="E41" s="85"/>
      <c r="F41" s="85" t="s">
        <v>2472</v>
      </c>
      <c r="G41" s="85" t="s">
        <v>288</v>
      </c>
      <c r="H41" s="85" t="s">
        <v>3321</v>
      </c>
      <c r="I41" s="86">
        <v>65</v>
      </c>
      <c r="J41" s="86">
        <v>22</v>
      </c>
      <c r="K41" s="87">
        <v>0.3384615384615385</v>
      </c>
      <c r="L41" s="87">
        <v>0.8</v>
      </c>
      <c r="M41" s="88">
        <v>0.2707692307692308</v>
      </c>
      <c r="N41" s="89"/>
      <c r="O41" s="87"/>
      <c r="P41" s="87">
        <v>13</v>
      </c>
      <c r="Q41" s="87"/>
      <c r="R41" s="87"/>
      <c r="S41" s="87">
        <v>0.2707692307692308</v>
      </c>
      <c r="T41" s="87"/>
      <c r="U41" s="87">
        <v>0.2707692307692308</v>
      </c>
      <c r="V41" s="90" t="s">
        <v>3322</v>
      </c>
    </row>
    <row r="42" ht="15" customHeight="1" spans="1:23" x14ac:dyDescent="0.25">
      <c r="A42" s="85">
        <v>511</v>
      </c>
      <c r="B42" s="85" t="s">
        <v>3323</v>
      </c>
      <c r="C42" s="85" t="s">
        <v>173</v>
      </c>
      <c r="D42" s="85" t="s">
        <v>163</v>
      </c>
      <c r="E42" s="85"/>
      <c r="F42" s="85" t="s">
        <v>157</v>
      </c>
      <c r="G42" s="85"/>
      <c r="H42" s="85"/>
      <c r="I42" s="86"/>
      <c r="J42" s="86"/>
      <c r="K42" s="87"/>
      <c r="L42" s="87"/>
      <c r="M42" s="88"/>
      <c r="N42" s="89"/>
      <c r="O42" s="87"/>
      <c r="P42" s="87"/>
      <c r="Q42" s="87"/>
      <c r="R42" s="87"/>
      <c r="S42" s="87">
        <v>1</v>
      </c>
      <c r="T42" s="87">
        <v>1</v>
      </c>
      <c r="U42" s="87">
        <v>1</v>
      </c>
      <c r="V42" s="90" t="s">
        <v>3324</v>
      </c>
    </row>
    <row r="43" ht="15" customHeight="1" spans="1:23" x14ac:dyDescent="0.25">
      <c r="A43" s="85">
        <v>511</v>
      </c>
      <c r="B43" s="85" t="s">
        <v>3323</v>
      </c>
      <c r="C43" s="85" t="s">
        <v>173</v>
      </c>
      <c r="D43" s="85" t="s">
        <v>163</v>
      </c>
      <c r="E43" s="85"/>
      <c r="F43" s="85" t="s">
        <v>2472</v>
      </c>
      <c r="G43" s="85" t="s">
        <v>288</v>
      </c>
      <c r="H43" s="85" t="s">
        <v>3268</v>
      </c>
      <c r="I43" s="86">
        <v>65</v>
      </c>
      <c r="J43" s="86">
        <v>65</v>
      </c>
      <c r="K43" s="87">
        <v>1</v>
      </c>
      <c r="L43" s="87">
        <v>1</v>
      </c>
      <c r="M43" s="88">
        <v>1</v>
      </c>
      <c r="N43" s="89"/>
      <c r="O43" s="87"/>
      <c r="P43" s="87"/>
      <c r="Q43" s="87"/>
      <c r="R43" s="87"/>
      <c r="S43" s="87">
        <v>1</v>
      </c>
      <c r="T43" s="87"/>
      <c r="U43" s="87">
        <v>1</v>
      </c>
      <c r="V43" s="90" t="s">
        <v>3325</v>
      </c>
    </row>
    <row r="44" ht="15" customHeight="1" spans="1:23" x14ac:dyDescent="0.25">
      <c r="A44" s="85">
        <v>512</v>
      </c>
      <c r="B44" s="85" t="s">
        <v>3326</v>
      </c>
      <c r="C44" s="85" t="s">
        <v>173</v>
      </c>
      <c r="D44" s="85" t="s">
        <v>163</v>
      </c>
      <c r="E44" s="85"/>
      <c r="F44" s="85" t="s">
        <v>157</v>
      </c>
      <c r="G44" s="85"/>
      <c r="H44" s="85"/>
      <c r="I44" s="86"/>
      <c r="J44" s="86"/>
      <c r="K44" s="87"/>
      <c r="L44" s="87"/>
      <c r="M44" s="88"/>
      <c r="N44" s="89"/>
      <c r="O44" s="87"/>
      <c r="P44" s="87"/>
      <c r="Q44" s="87"/>
      <c r="R44" s="87"/>
      <c r="S44" s="87">
        <v>1</v>
      </c>
      <c r="T44" s="87">
        <v>1</v>
      </c>
      <c r="U44" s="87">
        <v>1</v>
      </c>
      <c r="V44" s="90" t="s">
        <v>3327</v>
      </c>
    </row>
    <row r="45" ht="15" customHeight="1" spans="1:23" x14ac:dyDescent="0.25">
      <c r="A45" s="85">
        <v>512</v>
      </c>
      <c r="B45" s="85" t="s">
        <v>3326</v>
      </c>
      <c r="C45" s="85" t="s">
        <v>173</v>
      </c>
      <c r="D45" s="85" t="s">
        <v>163</v>
      </c>
      <c r="E45" s="85"/>
      <c r="F45" s="85" t="s">
        <v>2472</v>
      </c>
      <c r="G45" s="85" t="s">
        <v>288</v>
      </c>
      <c r="H45" s="85" t="s">
        <v>3268</v>
      </c>
      <c r="I45" s="86">
        <v>65</v>
      </c>
      <c r="J45" s="86">
        <v>65</v>
      </c>
      <c r="K45" s="87">
        <v>1</v>
      </c>
      <c r="L45" s="87">
        <v>1</v>
      </c>
      <c r="M45" s="88">
        <v>1</v>
      </c>
      <c r="N45" s="89"/>
      <c r="O45" s="87"/>
      <c r="P45" s="87"/>
      <c r="Q45" s="87"/>
      <c r="R45" s="87"/>
      <c r="S45" s="87">
        <v>1</v>
      </c>
      <c r="T45" s="87"/>
      <c r="U45" s="87">
        <v>1</v>
      </c>
      <c r="V45" s="90" t="s">
        <v>3328</v>
      </c>
    </row>
    <row r="46" ht="15" customHeight="1" spans="1:23" x14ac:dyDescent="0.25">
      <c r="A46" s="85">
        <v>513</v>
      </c>
      <c r="B46" s="85" t="s">
        <v>3329</v>
      </c>
      <c r="C46" s="85" t="s">
        <v>173</v>
      </c>
      <c r="D46" s="85" t="s">
        <v>163</v>
      </c>
      <c r="E46" s="85"/>
      <c r="F46" s="85" t="s">
        <v>157</v>
      </c>
      <c r="G46" s="85"/>
      <c r="H46" s="85"/>
      <c r="I46" s="86"/>
      <c r="J46" s="86"/>
      <c r="K46" s="87"/>
      <c r="L46" s="87"/>
      <c r="M46" s="88"/>
      <c r="N46" s="89"/>
      <c r="O46" s="87"/>
      <c r="P46" s="87"/>
      <c r="Q46" s="87"/>
      <c r="R46" s="87"/>
      <c r="S46" s="87">
        <v>1</v>
      </c>
      <c r="T46" s="87">
        <v>1</v>
      </c>
      <c r="U46" s="87">
        <v>1</v>
      </c>
      <c r="V46" s="90" t="s">
        <v>3330</v>
      </c>
    </row>
    <row r="47" ht="15" customHeight="1" spans="1:23" x14ac:dyDescent="0.25">
      <c r="A47" s="85">
        <v>513</v>
      </c>
      <c r="B47" s="85" t="s">
        <v>3329</v>
      </c>
      <c r="C47" s="85" t="s">
        <v>173</v>
      </c>
      <c r="D47" s="85" t="s">
        <v>163</v>
      </c>
      <c r="E47" s="85"/>
      <c r="F47" s="85" t="s">
        <v>2472</v>
      </c>
      <c r="G47" s="85" t="s">
        <v>288</v>
      </c>
      <c r="H47" s="85" t="s">
        <v>3268</v>
      </c>
      <c r="I47" s="86">
        <v>65</v>
      </c>
      <c r="J47" s="86">
        <v>65</v>
      </c>
      <c r="K47" s="87">
        <v>1</v>
      </c>
      <c r="L47" s="87">
        <v>1</v>
      </c>
      <c r="M47" s="88">
        <v>1</v>
      </c>
      <c r="N47" s="89"/>
      <c r="O47" s="87"/>
      <c r="P47" s="87"/>
      <c r="Q47" s="87"/>
      <c r="R47" s="87"/>
      <c r="S47" s="87">
        <v>1</v>
      </c>
      <c r="T47" s="87"/>
      <c r="U47" s="87">
        <v>1</v>
      </c>
      <c r="V47" s="90" t="s">
        <v>3330</v>
      </c>
    </row>
    <row r="48" ht="15" customHeight="1" spans="1:23" x14ac:dyDescent="0.25">
      <c r="A48" s="85">
        <v>514</v>
      </c>
      <c r="B48" s="85" t="s">
        <v>3331</v>
      </c>
      <c r="C48" s="85" t="s">
        <v>173</v>
      </c>
      <c r="D48" s="85" t="s">
        <v>163</v>
      </c>
      <c r="E48" s="85"/>
      <c r="F48" s="85" t="s">
        <v>157</v>
      </c>
      <c r="G48" s="85"/>
      <c r="H48" s="85"/>
      <c r="I48" s="86"/>
      <c r="J48" s="86"/>
      <c r="K48" s="87"/>
      <c r="L48" s="87"/>
      <c r="M48" s="88"/>
      <c r="N48" s="89"/>
      <c r="O48" s="87"/>
      <c r="P48" s="87"/>
      <c r="Q48" s="87"/>
      <c r="R48" s="87"/>
      <c r="S48" s="87">
        <v>1</v>
      </c>
      <c r="T48" s="87">
        <v>1</v>
      </c>
      <c r="U48" s="87">
        <v>0.14629999999999999</v>
      </c>
      <c r="V48" s="90" t="s">
        <v>3332</v>
      </c>
    </row>
    <row r="49" ht="15" customHeight="1" spans="1:23" x14ac:dyDescent="0.25">
      <c r="A49" s="85">
        <v>514</v>
      </c>
      <c r="B49" s="85" t="s">
        <v>3331</v>
      </c>
      <c r="C49" s="85" t="s">
        <v>173</v>
      </c>
      <c r="D49" s="85" t="s">
        <v>163</v>
      </c>
      <c r="E49" s="85"/>
      <c r="F49" s="85" t="s">
        <v>2472</v>
      </c>
      <c r="G49" s="85" t="s">
        <v>288</v>
      </c>
      <c r="H49" s="85" t="s">
        <v>3268</v>
      </c>
      <c r="I49" s="86">
        <v>65</v>
      </c>
      <c r="J49" s="86">
        <v>65</v>
      </c>
      <c r="K49" s="87">
        <v>1</v>
      </c>
      <c r="L49" s="87">
        <v>1</v>
      </c>
      <c r="M49" s="88">
        <v>1</v>
      </c>
      <c r="N49" s="89"/>
      <c r="O49" s="87"/>
      <c r="P49" s="87"/>
      <c r="Q49" s="87"/>
      <c r="R49" s="87"/>
      <c r="S49" s="87">
        <v>1</v>
      </c>
      <c r="T49" s="87"/>
      <c r="U49" s="87">
        <v>0.14629999999999999</v>
      </c>
      <c r="V49" s="90" t="s">
        <v>3333</v>
      </c>
    </row>
    <row r="50" ht="15" customHeight="1" spans="1:23" x14ac:dyDescent="0.25">
      <c r="A50" s="85">
        <v>515</v>
      </c>
      <c r="B50" s="85" t="s">
        <v>3334</v>
      </c>
      <c r="C50" s="85" t="s">
        <v>173</v>
      </c>
      <c r="D50" s="85" t="s">
        <v>163</v>
      </c>
      <c r="E50" s="85"/>
      <c r="F50" s="85" t="s">
        <v>157</v>
      </c>
      <c r="G50" s="85"/>
      <c r="H50" s="85"/>
      <c r="I50" s="86"/>
      <c r="J50" s="86"/>
      <c r="K50" s="87"/>
      <c r="L50" s="87"/>
      <c r="M50" s="88"/>
      <c r="N50" s="89"/>
      <c r="O50" s="87"/>
      <c r="P50" s="87"/>
      <c r="Q50" s="87"/>
      <c r="R50" s="87"/>
      <c r="S50" s="87">
        <v>1</v>
      </c>
      <c r="T50" s="87">
        <v>1</v>
      </c>
      <c r="U50" s="87">
        <v>1</v>
      </c>
      <c r="V50" s="90" t="s">
        <v>3335</v>
      </c>
    </row>
    <row r="51" ht="15" customHeight="1" spans="1:23" x14ac:dyDescent="0.25">
      <c r="A51" s="85">
        <v>515</v>
      </c>
      <c r="B51" s="85" t="s">
        <v>3334</v>
      </c>
      <c r="C51" s="85" t="s">
        <v>173</v>
      </c>
      <c r="D51" s="85" t="s">
        <v>163</v>
      </c>
      <c r="E51" s="85"/>
      <c r="F51" s="85" t="s">
        <v>2472</v>
      </c>
      <c r="G51" s="85" t="s">
        <v>288</v>
      </c>
      <c r="H51" s="85" t="s">
        <v>3268</v>
      </c>
      <c r="I51" s="86">
        <v>65</v>
      </c>
      <c r="J51" s="86">
        <v>65</v>
      </c>
      <c r="K51" s="87">
        <v>1</v>
      </c>
      <c r="L51" s="87">
        <v>1</v>
      </c>
      <c r="M51" s="88">
        <v>1</v>
      </c>
      <c r="N51" s="89"/>
      <c r="O51" s="87"/>
      <c r="P51" s="87"/>
      <c r="Q51" s="87"/>
      <c r="R51" s="87"/>
      <c r="S51" s="87">
        <v>1</v>
      </c>
      <c r="T51" s="87"/>
      <c r="U51" s="87">
        <v>1</v>
      </c>
      <c r="V51" s="90" t="s">
        <v>3336</v>
      </c>
    </row>
    <row r="52" ht="15" customHeight="1" spans="1:23" x14ac:dyDescent="0.25">
      <c r="A52" s="85">
        <v>516</v>
      </c>
      <c r="B52" s="85" t="s">
        <v>3337</v>
      </c>
      <c r="C52" s="85" t="s">
        <v>173</v>
      </c>
      <c r="D52" s="85" t="s">
        <v>163</v>
      </c>
      <c r="E52" s="85"/>
      <c r="F52" s="85" t="s">
        <v>157</v>
      </c>
      <c r="G52" s="85"/>
      <c r="H52" s="85"/>
      <c r="I52" s="86"/>
      <c r="J52" s="86"/>
      <c r="K52" s="87"/>
      <c r="L52" s="87"/>
      <c r="M52" s="88"/>
      <c r="N52" s="89"/>
      <c r="O52" s="87"/>
      <c r="P52" s="87"/>
      <c r="Q52" s="87"/>
      <c r="R52" s="87"/>
      <c r="S52" s="87">
        <v>0.8</v>
      </c>
      <c r="T52" s="87">
        <v>0.8</v>
      </c>
      <c r="U52" s="87">
        <v>0.8000000000000002</v>
      </c>
      <c r="V52" s="90" t="s">
        <v>3338</v>
      </c>
    </row>
    <row r="53" ht="15" customHeight="1" spans="1:23" x14ac:dyDescent="0.25">
      <c r="A53" s="85">
        <v>516</v>
      </c>
      <c r="B53" s="85" t="s">
        <v>3337</v>
      </c>
      <c r="C53" s="85" t="s">
        <v>173</v>
      </c>
      <c r="D53" s="85" t="s">
        <v>163</v>
      </c>
      <c r="E53" s="85"/>
      <c r="F53" s="85" t="s">
        <v>2472</v>
      </c>
      <c r="G53" s="85" t="s">
        <v>288</v>
      </c>
      <c r="H53" s="85" t="s">
        <v>3268</v>
      </c>
      <c r="I53" s="86">
        <v>65</v>
      </c>
      <c r="J53" s="86">
        <v>65</v>
      </c>
      <c r="K53" s="87">
        <v>1</v>
      </c>
      <c r="L53" s="87">
        <v>0.8</v>
      </c>
      <c r="M53" s="88">
        <v>0.8</v>
      </c>
      <c r="N53" s="89"/>
      <c r="O53" s="87"/>
      <c r="P53" s="87"/>
      <c r="Q53" s="87"/>
      <c r="R53" s="87"/>
      <c r="S53" s="87">
        <v>0.8</v>
      </c>
      <c r="T53" s="87"/>
      <c r="U53" s="87">
        <v>0.8000000000000002</v>
      </c>
      <c r="V53" s="90" t="s">
        <v>3339</v>
      </c>
    </row>
    <row r="54" ht="15" customHeight="1" spans="1:23" x14ac:dyDescent="0.25">
      <c r="A54" s="85">
        <v>517</v>
      </c>
      <c r="B54" s="85" t="s">
        <v>3340</v>
      </c>
      <c r="C54" s="85" t="s">
        <v>173</v>
      </c>
      <c r="D54" s="85" t="s">
        <v>163</v>
      </c>
      <c r="E54" s="85"/>
      <c r="F54" s="85" t="s">
        <v>157</v>
      </c>
      <c r="G54" s="85"/>
      <c r="H54" s="85"/>
      <c r="I54" s="86"/>
      <c r="J54" s="86"/>
      <c r="K54" s="87"/>
      <c r="L54" s="87"/>
      <c r="M54" s="88"/>
      <c r="N54" s="89"/>
      <c r="O54" s="87"/>
      <c r="P54" s="87"/>
      <c r="Q54" s="87"/>
      <c r="R54" s="87"/>
      <c r="S54" s="87">
        <v>1</v>
      </c>
      <c r="T54" s="87">
        <v>1</v>
      </c>
      <c r="U54" s="87">
        <v>1</v>
      </c>
      <c r="V54" s="90" t="s">
        <v>3341</v>
      </c>
    </row>
    <row r="55" ht="15" customHeight="1" spans="1:23" x14ac:dyDescent="0.25">
      <c r="A55" s="85">
        <v>517</v>
      </c>
      <c r="B55" s="85" t="s">
        <v>3340</v>
      </c>
      <c r="C55" s="85" t="s">
        <v>173</v>
      </c>
      <c r="D55" s="85" t="s">
        <v>163</v>
      </c>
      <c r="E55" s="85"/>
      <c r="F55" s="85" t="s">
        <v>2472</v>
      </c>
      <c r="G55" s="85" t="s">
        <v>288</v>
      </c>
      <c r="H55" s="85" t="s">
        <v>3268</v>
      </c>
      <c r="I55" s="86">
        <v>65</v>
      </c>
      <c r="J55" s="86">
        <v>65</v>
      </c>
      <c r="K55" s="87">
        <v>1</v>
      </c>
      <c r="L55" s="87">
        <v>1</v>
      </c>
      <c r="M55" s="88">
        <v>1</v>
      </c>
      <c r="N55" s="89"/>
      <c r="O55" s="87"/>
      <c r="P55" s="87"/>
      <c r="Q55" s="87"/>
      <c r="R55" s="87"/>
      <c r="S55" s="87">
        <v>1</v>
      </c>
      <c r="T55" s="87"/>
      <c r="U55" s="87">
        <v>1</v>
      </c>
      <c r="V55" s="90" t="s">
        <v>3342</v>
      </c>
    </row>
    <row r="56" ht="15" customHeight="1" spans="1:23" x14ac:dyDescent="0.25">
      <c r="A56" s="85">
        <v>518</v>
      </c>
      <c r="B56" s="85" t="s">
        <v>3343</v>
      </c>
      <c r="C56" s="85" t="s">
        <v>173</v>
      </c>
      <c r="D56" s="85" t="s">
        <v>163</v>
      </c>
      <c r="E56" s="85"/>
      <c r="F56" s="85" t="s">
        <v>157</v>
      </c>
      <c r="G56" s="85"/>
      <c r="H56" s="85"/>
      <c r="I56" s="86"/>
      <c r="J56" s="86"/>
      <c r="K56" s="87"/>
      <c r="L56" s="87"/>
      <c r="M56" s="88"/>
      <c r="N56" s="89"/>
      <c r="O56" s="87"/>
      <c r="P56" s="87"/>
      <c r="Q56" s="87"/>
      <c r="R56" s="87"/>
      <c r="S56" s="87">
        <v>0.5</v>
      </c>
      <c r="T56" s="87">
        <v>0.5</v>
      </c>
      <c r="U56" s="87">
        <v>0.5</v>
      </c>
      <c r="V56" s="90" t="s">
        <v>3344</v>
      </c>
    </row>
    <row r="57" ht="15" customHeight="1" spans="1:23" x14ac:dyDescent="0.25">
      <c r="A57" s="85">
        <v>518</v>
      </c>
      <c r="B57" s="85" t="s">
        <v>3343</v>
      </c>
      <c r="C57" s="85" t="s">
        <v>173</v>
      </c>
      <c r="D57" s="85" t="s">
        <v>163</v>
      </c>
      <c r="E57" s="85"/>
      <c r="F57" s="85" t="s">
        <v>2472</v>
      </c>
      <c r="G57" s="85" t="s">
        <v>288</v>
      </c>
      <c r="H57" s="85" t="s">
        <v>3268</v>
      </c>
      <c r="I57" s="86">
        <v>65</v>
      </c>
      <c r="J57" s="86">
        <v>65</v>
      </c>
      <c r="K57" s="87">
        <v>1</v>
      </c>
      <c r="L57" s="87">
        <v>0.5</v>
      </c>
      <c r="M57" s="88">
        <v>0.5</v>
      </c>
      <c r="N57" s="89"/>
      <c r="O57" s="87"/>
      <c r="P57" s="87"/>
      <c r="Q57" s="87"/>
      <c r="R57" s="87"/>
      <c r="S57" s="87">
        <v>0.5</v>
      </c>
      <c r="T57" s="87"/>
      <c r="U57" s="87">
        <v>0.5</v>
      </c>
      <c r="V57" s="90" t="s">
        <v>3344</v>
      </c>
    </row>
    <row r="58" ht="15" customHeight="1" spans="1:23" x14ac:dyDescent="0.25">
      <c r="A58" s="85">
        <v>519</v>
      </c>
      <c r="B58" s="85" t="s">
        <v>3345</v>
      </c>
      <c r="C58" s="85" t="s">
        <v>173</v>
      </c>
      <c r="D58" s="85" t="s">
        <v>163</v>
      </c>
      <c r="E58" s="85"/>
      <c r="F58" s="85" t="s">
        <v>157</v>
      </c>
      <c r="G58" s="85"/>
      <c r="H58" s="85"/>
      <c r="I58" s="86"/>
      <c r="J58" s="86"/>
      <c r="K58" s="87"/>
      <c r="L58" s="87"/>
      <c r="M58" s="88"/>
      <c r="N58" s="89"/>
      <c r="O58" s="87"/>
      <c r="P58" s="87"/>
      <c r="Q58" s="87"/>
      <c r="R58" s="87"/>
      <c r="S58" s="87">
        <v>1</v>
      </c>
      <c r="T58" s="87">
        <v>1</v>
      </c>
      <c r="U58" s="87">
        <v>1</v>
      </c>
      <c r="V58" s="90" t="s">
        <v>3346</v>
      </c>
    </row>
    <row r="59" ht="15" customHeight="1" spans="1:23" x14ac:dyDescent="0.25">
      <c r="A59" s="85">
        <v>519</v>
      </c>
      <c r="B59" s="85" t="s">
        <v>3345</v>
      </c>
      <c r="C59" s="85" t="s">
        <v>173</v>
      </c>
      <c r="D59" s="85" t="s">
        <v>163</v>
      </c>
      <c r="E59" s="85"/>
      <c r="F59" s="85" t="s">
        <v>2472</v>
      </c>
      <c r="G59" s="85" t="s">
        <v>288</v>
      </c>
      <c r="H59" s="85" t="s">
        <v>3268</v>
      </c>
      <c r="I59" s="86">
        <v>65</v>
      </c>
      <c r="J59" s="86">
        <v>65</v>
      </c>
      <c r="K59" s="87">
        <v>1</v>
      </c>
      <c r="L59" s="87">
        <v>1</v>
      </c>
      <c r="M59" s="88">
        <v>1</v>
      </c>
      <c r="N59" s="89"/>
      <c r="O59" s="87"/>
      <c r="P59" s="87"/>
      <c r="Q59" s="87"/>
      <c r="R59" s="87"/>
      <c r="S59" s="87">
        <v>1</v>
      </c>
      <c r="T59" s="87"/>
      <c r="U59" s="87">
        <v>1</v>
      </c>
      <c r="V59" s="90" t="s">
        <v>3347</v>
      </c>
    </row>
    <row r="60" ht="15" customHeight="1" spans="1:23" x14ac:dyDescent="0.25">
      <c r="A60" s="85">
        <v>520</v>
      </c>
      <c r="B60" s="85" t="s">
        <v>3348</v>
      </c>
      <c r="C60" s="85" t="s">
        <v>173</v>
      </c>
      <c r="D60" s="85" t="s">
        <v>163</v>
      </c>
      <c r="E60" s="85"/>
      <c r="F60" s="85" t="s">
        <v>157</v>
      </c>
      <c r="G60" s="85"/>
      <c r="H60" s="85"/>
      <c r="I60" s="86"/>
      <c r="J60" s="86"/>
      <c r="K60" s="87"/>
      <c r="L60" s="87"/>
      <c r="M60" s="88"/>
      <c r="N60" s="89"/>
      <c r="O60" s="87"/>
      <c r="P60" s="87"/>
      <c r="Q60" s="87"/>
      <c r="R60" s="87"/>
      <c r="S60" s="87">
        <v>1</v>
      </c>
      <c r="T60" s="87">
        <v>1</v>
      </c>
      <c r="U60" s="87">
        <v>1</v>
      </c>
      <c r="V60" s="90" t="s">
        <v>3349</v>
      </c>
    </row>
    <row r="61" ht="15" customHeight="1" spans="1:23" x14ac:dyDescent="0.25">
      <c r="A61" s="85">
        <v>520</v>
      </c>
      <c r="B61" s="85" t="s">
        <v>3348</v>
      </c>
      <c r="C61" s="85" t="s">
        <v>173</v>
      </c>
      <c r="D61" s="85" t="s">
        <v>163</v>
      </c>
      <c r="E61" s="85"/>
      <c r="F61" s="85" t="s">
        <v>2472</v>
      </c>
      <c r="G61" s="85" t="s">
        <v>288</v>
      </c>
      <c r="H61" s="85" t="s">
        <v>3268</v>
      </c>
      <c r="I61" s="86">
        <v>65</v>
      </c>
      <c r="J61" s="86">
        <v>65</v>
      </c>
      <c r="K61" s="87">
        <v>1</v>
      </c>
      <c r="L61" s="87">
        <v>1</v>
      </c>
      <c r="M61" s="88">
        <v>1</v>
      </c>
      <c r="N61" s="89"/>
      <c r="O61" s="87"/>
      <c r="P61" s="87"/>
      <c r="Q61" s="87"/>
      <c r="R61" s="87"/>
      <c r="S61" s="87">
        <v>1</v>
      </c>
      <c r="T61" s="87"/>
      <c r="U61" s="87">
        <v>1</v>
      </c>
      <c r="V61" s="90" t="s">
        <v>3350</v>
      </c>
    </row>
    <row r="62" ht="15" customHeight="1" spans="1:23" x14ac:dyDescent="0.25">
      <c r="A62" s="85">
        <v>521</v>
      </c>
      <c r="B62" s="85" t="s">
        <v>3351</v>
      </c>
      <c r="C62" s="85" t="s">
        <v>173</v>
      </c>
      <c r="D62" s="85" t="s">
        <v>163</v>
      </c>
      <c r="E62" s="85"/>
      <c r="F62" s="85" t="s">
        <v>157</v>
      </c>
      <c r="G62" s="85"/>
      <c r="H62" s="85"/>
      <c r="I62" s="86"/>
      <c r="J62" s="86"/>
      <c r="K62" s="87"/>
      <c r="L62" s="87"/>
      <c r="M62" s="88"/>
      <c r="N62" s="89"/>
      <c r="O62" s="87"/>
      <c r="P62" s="87"/>
      <c r="Q62" s="87"/>
      <c r="R62" s="87"/>
      <c r="S62" s="87">
        <v>1</v>
      </c>
      <c r="T62" s="87">
        <v>1</v>
      </c>
      <c r="U62" s="87">
        <v>1</v>
      </c>
      <c r="V62" s="90" t="s">
        <v>3352</v>
      </c>
    </row>
    <row r="63" ht="15" customHeight="1" spans="1:23" x14ac:dyDescent="0.25">
      <c r="A63" s="85">
        <v>521</v>
      </c>
      <c r="B63" s="85" t="s">
        <v>3351</v>
      </c>
      <c r="C63" s="85" t="s">
        <v>173</v>
      </c>
      <c r="D63" s="85" t="s">
        <v>163</v>
      </c>
      <c r="E63" s="85"/>
      <c r="F63" s="85" t="s">
        <v>2472</v>
      </c>
      <c r="G63" s="85" t="s">
        <v>288</v>
      </c>
      <c r="H63" s="85" t="s">
        <v>3268</v>
      </c>
      <c r="I63" s="86">
        <v>65</v>
      </c>
      <c r="J63" s="86">
        <v>65</v>
      </c>
      <c r="K63" s="87">
        <v>1</v>
      </c>
      <c r="L63" s="87">
        <v>1</v>
      </c>
      <c r="M63" s="88">
        <v>1</v>
      </c>
      <c r="N63" s="89"/>
      <c r="O63" s="87"/>
      <c r="P63" s="87"/>
      <c r="Q63" s="87"/>
      <c r="R63" s="87"/>
      <c r="S63" s="87">
        <v>1</v>
      </c>
      <c r="T63" s="87"/>
      <c r="U63" s="87">
        <v>1</v>
      </c>
      <c r="V63" s="90" t="s">
        <v>3353</v>
      </c>
    </row>
    <row r="64" ht="15" customHeight="1" spans="1:23" x14ac:dyDescent="0.25">
      <c r="A64" s="85">
        <v>522</v>
      </c>
      <c r="B64" s="85" t="s">
        <v>3354</v>
      </c>
      <c r="C64" s="85" t="s">
        <v>173</v>
      </c>
      <c r="D64" s="85" t="s">
        <v>163</v>
      </c>
      <c r="E64" s="85"/>
      <c r="F64" s="85" t="s">
        <v>157</v>
      </c>
      <c r="G64" s="85"/>
      <c r="H64" s="85"/>
      <c r="I64" s="86"/>
      <c r="J64" s="86"/>
      <c r="K64" s="87"/>
      <c r="L64" s="87"/>
      <c r="M64" s="88"/>
      <c r="N64" s="89"/>
      <c r="O64" s="87"/>
      <c r="P64" s="87"/>
      <c r="Q64" s="87"/>
      <c r="R64" s="87"/>
      <c r="S64" s="87">
        <v>1</v>
      </c>
      <c r="T64" s="87">
        <v>1</v>
      </c>
      <c r="U64" s="87">
        <v>1</v>
      </c>
      <c r="V64" s="90" t="s">
        <v>3355</v>
      </c>
    </row>
    <row r="65" ht="15" customHeight="1" spans="1:23" x14ac:dyDescent="0.25">
      <c r="A65" s="85">
        <v>522</v>
      </c>
      <c r="B65" s="85" t="s">
        <v>3354</v>
      </c>
      <c r="C65" s="85" t="s">
        <v>173</v>
      </c>
      <c r="D65" s="85" t="s">
        <v>163</v>
      </c>
      <c r="E65" s="85"/>
      <c r="F65" s="85" t="s">
        <v>2472</v>
      </c>
      <c r="G65" s="85" t="s">
        <v>288</v>
      </c>
      <c r="H65" s="85" t="s">
        <v>3268</v>
      </c>
      <c r="I65" s="86">
        <v>65</v>
      </c>
      <c r="J65" s="86">
        <v>65</v>
      </c>
      <c r="K65" s="87">
        <v>1</v>
      </c>
      <c r="L65" s="87">
        <v>1</v>
      </c>
      <c r="M65" s="88">
        <v>1</v>
      </c>
      <c r="N65" s="89"/>
      <c r="O65" s="87"/>
      <c r="P65" s="87"/>
      <c r="Q65" s="87"/>
      <c r="R65" s="87"/>
      <c r="S65" s="87">
        <v>1</v>
      </c>
      <c r="T65" s="87"/>
      <c r="U65" s="87">
        <v>1</v>
      </c>
      <c r="V65" s="90" t="s">
        <v>3356</v>
      </c>
    </row>
    <row r="66" ht="15" customHeight="1" spans="1:23" x14ac:dyDescent="0.25">
      <c r="A66" s="85">
        <v>523</v>
      </c>
      <c r="B66" s="85" t="s">
        <v>3357</v>
      </c>
      <c r="C66" s="85" t="s">
        <v>173</v>
      </c>
      <c r="D66" s="85" t="s">
        <v>163</v>
      </c>
      <c r="E66" s="85"/>
      <c r="F66" s="85" t="s">
        <v>157</v>
      </c>
      <c r="G66" s="85"/>
      <c r="H66" s="85"/>
      <c r="I66" s="86"/>
      <c r="J66" s="86"/>
      <c r="K66" s="87"/>
      <c r="L66" s="87"/>
      <c r="M66" s="88"/>
      <c r="N66" s="89"/>
      <c r="O66" s="87"/>
      <c r="P66" s="87"/>
      <c r="Q66" s="87"/>
      <c r="R66" s="87"/>
      <c r="S66" s="87">
        <v>0.8</v>
      </c>
      <c r="T66" s="87">
        <v>0.8</v>
      </c>
      <c r="U66" s="87">
        <v>0.8</v>
      </c>
      <c r="V66" s="90" t="s">
        <v>3358</v>
      </c>
    </row>
    <row r="67" ht="15" customHeight="1" spans="1:23" x14ac:dyDescent="0.25">
      <c r="A67" s="85">
        <v>523</v>
      </c>
      <c r="B67" s="85" t="s">
        <v>3357</v>
      </c>
      <c r="C67" s="85" t="s">
        <v>173</v>
      </c>
      <c r="D67" s="85" t="s">
        <v>163</v>
      </c>
      <c r="E67" s="85"/>
      <c r="F67" s="85" t="s">
        <v>2472</v>
      </c>
      <c r="G67" s="85" t="s">
        <v>288</v>
      </c>
      <c r="H67" s="85" t="s">
        <v>3268</v>
      </c>
      <c r="I67" s="86">
        <v>65</v>
      </c>
      <c r="J67" s="86">
        <v>65</v>
      </c>
      <c r="K67" s="87">
        <v>1</v>
      </c>
      <c r="L67" s="87">
        <v>0.8</v>
      </c>
      <c r="M67" s="88">
        <v>0.8</v>
      </c>
      <c r="N67" s="89"/>
      <c r="O67" s="87"/>
      <c r="P67" s="87"/>
      <c r="Q67" s="87"/>
      <c r="R67" s="87"/>
      <c r="S67" s="87">
        <v>0.8</v>
      </c>
      <c r="T67" s="87"/>
      <c r="U67" s="87">
        <v>0.8</v>
      </c>
      <c r="V67" s="90" t="s">
        <v>3358</v>
      </c>
    </row>
    <row r="68" ht="15" customHeight="1" spans="1:23" x14ac:dyDescent="0.25">
      <c r="A68" s="85">
        <v>524</v>
      </c>
      <c r="B68" s="85" t="s">
        <v>3359</v>
      </c>
      <c r="C68" s="85" t="s">
        <v>173</v>
      </c>
      <c r="D68" s="85" t="s">
        <v>163</v>
      </c>
      <c r="E68" s="85"/>
      <c r="F68" s="85" t="s">
        <v>157</v>
      </c>
      <c r="G68" s="85"/>
      <c r="H68" s="85"/>
      <c r="I68" s="86"/>
      <c r="J68" s="86"/>
      <c r="K68" s="87"/>
      <c r="L68" s="87"/>
      <c r="M68" s="88"/>
      <c r="N68" s="89"/>
      <c r="O68" s="87"/>
      <c r="P68" s="87"/>
      <c r="Q68" s="87"/>
      <c r="R68" s="87"/>
      <c r="S68" s="87">
        <v>1</v>
      </c>
      <c r="T68" s="87">
        <v>1</v>
      </c>
      <c r="U68" s="87">
        <v>1</v>
      </c>
      <c r="V68" s="90" t="s">
        <v>3360</v>
      </c>
    </row>
    <row r="69" ht="15" customHeight="1" spans="1:23" x14ac:dyDescent="0.25">
      <c r="A69" s="85">
        <v>524</v>
      </c>
      <c r="B69" s="85" t="s">
        <v>3359</v>
      </c>
      <c r="C69" s="85" t="s">
        <v>173</v>
      </c>
      <c r="D69" s="85" t="s">
        <v>163</v>
      </c>
      <c r="E69" s="85"/>
      <c r="F69" s="85" t="s">
        <v>2472</v>
      </c>
      <c r="G69" s="85" t="s">
        <v>288</v>
      </c>
      <c r="H69" s="85" t="s">
        <v>3268</v>
      </c>
      <c r="I69" s="86">
        <v>65</v>
      </c>
      <c r="J69" s="86">
        <v>65</v>
      </c>
      <c r="K69" s="87">
        <v>1</v>
      </c>
      <c r="L69" s="87">
        <v>1</v>
      </c>
      <c r="M69" s="88">
        <v>1</v>
      </c>
      <c r="N69" s="89"/>
      <c r="O69" s="87"/>
      <c r="P69" s="87"/>
      <c r="Q69" s="87"/>
      <c r="R69" s="87"/>
      <c r="S69" s="87">
        <v>1</v>
      </c>
      <c r="T69" s="87"/>
      <c r="U69" s="87">
        <v>1</v>
      </c>
      <c r="V69" s="90" t="s">
        <v>3361</v>
      </c>
    </row>
    <row r="70" ht="15" customHeight="1" spans="1:23" x14ac:dyDescent="0.25">
      <c r="A70" s="85">
        <v>525</v>
      </c>
      <c r="B70" s="85" t="s">
        <v>3362</v>
      </c>
      <c r="C70" s="85" t="s">
        <v>173</v>
      </c>
      <c r="D70" s="85" t="s">
        <v>163</v>
      </c>
      <c r="E70" s="85"/>
      <c r="F70" s="85" t="s">
        <v>157</v>
      </c>
      <c r="G70" s="85"/>
      <c r="H70" s="85"/>
      <c r="I70" s="86"/>
      <c r="J70" s="86"/>
      <c r="K70" s="87"/>
      <c r="L70" s="87"/>
      <c r="M70" s="88"/>
      <c r="N70" s="89"/>
      <c r="O70" s="87"/>
      <c r="P70" s="87"/>
      <c r="Q70" s="87"/>
      <c r="R70" s="87"/>
      <c r="S70" s="87">
        <v>0.83</v>
      </c>
      <c r="T70" s="87">
        <v>0.83</v>
      </c>
      <c r="U70" s="87">
        <v>0.8299999999999998</v>
      </c>
      <c r="V70" s="90" t="s">
        <v>3363</v>
      </c>
    </row>
    <row r="71" ht="15" customHeight="1" spans="1:23" x14ac:dyDescent="0.25">
      <c r="A71" s="85">
        <v>525</v>
      </c>
      <c r="B71" s="85" t="s">
        <v>3362</v>
      </c>
      <c r="C71" s="85" t="s">
        <v>173</v>
      </c>
      <c r="D71" s="85" t="s">
        <v>163</v>
      </c>
      <c r="E71" s="85"/>
      <c r="F71" s="85" t="s">
        <v>2472</v>
      </c>
      <c r="G71" s="85" t="s">
        <v>288</v>
      </c>
      <c r="H71" s="85" t="s">
        <v>3268</v>
      </c>
      <c r="I71" s="86">
        <v>65</v>
      </c>
      <c r="J71" s="86">
        <v>65</v>
      </c>
      <c r="K71" s="87">
        <v>1</v>
      </c>
      <c r="L71" s="87">
        <v>1</v>
      </c>
      <c r="M71" s="88">
        <v>1</v>
      </c>
      <c r="N71" s="89">
        <v>0.17</v>
      </c>
      <c r="O71" s="87">
        <v>0.17</v>
      </c>
      <c r="P71" s="87"/>
      <c r="Q71" s="87"/>
      <c r="R71" s="87"/>
      <c r="S71" s="87">
        <v>0.83</v>
      </c>
      <c r="T71" s="87"/>
      <c r="U71" s="87">
        <v>0.8299999999999998</v>
      </c>
      <c r="V71" s="90" t="s">
        <v>3363</v>
      </c>
    </row>
    <row r="72" ht="15" customHeight="1" spans="1:23" x14ac:dyDescent="0.25">
      <c r="A72" s="85">
        <v>526</v>
      </c>
      <c r="B72" s="85" t="s">
        <v>3364</v>
      </c>
      <c r="C72" s="85" t="s">
        <v>173</v>
      </c>
      <c r="D72" s="85" t="s">
        <v>163</v>
      </c>
      <c r="E72" s="85"/>
      <c r="F72" s="85" t="s">
        <v>157</v>
      </c>
      <c r="G72" s="85"/>
      <c r="H72" s="85"/>
      <c r="I72" s="86"/>
      <c r="J72" s="86"/>
      <c r="K72" s="87"/>
      <c r="L72" s="87"/>
      <c r="M72" s="88"/>
      <c r="N72" s="89"/>
      <c r="O72" s="87"/>
      <c r="P72" s="87"/>
      <c r="Q72" s="87"/>
      <c r="R72" s="87"/>
      <c r="S72" s="87">
        <v>1</v>
      </c>
      <c r="T72" s="87">
        <v>1</v>
      </c>
      <c r="U72" s="87">
        <v>1</v>
      </c>
      <c r="V72" s="90" t="s">
        <v>3365</v>
      </c>
    </row>
    <row r="73" ht="15" customHeight="1" spans="1:23" x14ac:dyDescent="0.25">
      <c r="A73" s="85">
        <v>526</v>
      </c>
      <c r="B73" s="85" t="s">
        <v>3364</v>
      </c>
      <c r="C73" s="85" t="s">
        <v>173</v>
      </c>
      <c r="D73" s="85" t="s">
        <v>163</v>
      </c>
      <c r="E73" s="85"/>
      <c r="F73" s="85" t="s">
        <v>2472</v>
      </c>
      <c r="G73" s="85" t="s">
        <v>288</v>
      </c>
      <c r="H73" s="85" t="s">
        <v>3268</v>
      </c>
      <c r="I73" s="86">
        <v>65</v>
      </c>
      <c r="J73" s="86">
        <v>65</v>
      </c>
      <c r="K73" s="87">
        <v>1</v>
      </c>
      <c r="L73" s="87">
        <v>1</v>
      </c>
      <c r="M73" s="88">
        <v>1</v>
      </c>
      <c r="N73" s="89"/>
      <c r="O73" s="87"/>
      <c r="P73" s="87"/>
      <c r="Q73" s="87"/>
      <c r="R73" s="87"/>
      <c r="S73" s="87">
        <v>1</v>
      </c>
      <c r="T73" s="87"/>
      <c r="U73" s="87">
        <v>1</v>
      </c>
      <c r="V73" s="90" t="s">
        <v>3366</v>
      </c>
    </row>
    <row r="74" ht="15" customHeight="1" spans="1:23" x14ac:dyDescent="0.25">
      <c r="A74" s="85">
        <v>527</v>
      </c>
      <c r="B74" s="85" t="s">
        <v>3367</v>
      </c>
      <c r="C74" s="85" t="s">
        <v>173</v>
      </c>
      <c r="D74" s="85" t="s">
        <v>163</v>
      </c>
      <c r="E74" s="85"/>
      <c r="F74" s="85" t="s">
        <v>157</v>
      </c>
      <c r="G74" s="85"/>
      <c r="H74" s="85"/>
      <c r="I74" s="86"/>
      <c r="J74" s="86"/>
      <c r="K74" s="87"/>
      <c r="L74" s="87"/>
      <c r="M74" s="88"/>
      <c r="N74" s="89"/>
      <c r="O74" s="87"/>
      <c r="P74" s="87"/>
      <c r="Q74" s="87"/>
      <c r="R74" s="87"/>
      <c r="S74" s="87">
        <v>0.8</v>
      </c>
      <c r="T74" s="87">
        <v>0.8</v>
      </c>
      <c r="U74" s="87">
        <v>0.6720000000000002</v>
      </c>
      <c r="V74" s="90" t="s">
        <v>3368</v>
      </c>
    </row>
    <row r="75" ht="15" customHeight="1" spans="1:23" x14ac:dyDescent="0.25">
      <c r="A75" s="85">
        <v>527</v>
      </c>
      <c r="B75" s="85" t="s">
        <v>3367</v>
      </c>
      <c r="C75" s="85" t="s">
        <v>173</v>
      </c>
      <c r="D75" s="85" t="s">
        <v>163</v>
      </c>
      <c r="E75" s="85"/>
      <c r="F75" s="85" t="s">
        <v>2472</v>
      </c>
      <c r="G75" s="85" t="s">
        <v>288</v>
      </c>
      <c r="H75" s="85" t="s">
        <v>3268</v>
      </c>
      <c r="I75" s="86">
        <v>65</v>
      </c>
      <c r="J75" s="86">
        <v>65</v>
      </c>
      <c r="K75" s="87">
        <v>1</v>
      </c>
      <c r="L75" s="87">
        <v>0.8</v>
      </c>
      <c r="M75" s="88">
        <v>0.8</v>
      </c>
      <c r="N75" s="89"/>
      <c r="O75" s="87"/>
      <c r="P75" s="87"/>
      <c r="Q75" s="87"/>
      <c r="R75" s="87"/>
      <c r="S75" s="87">
        <v>0.8</v>
      </c>
      <c r="T75" s="87"/>
      <c r="U75" s="87">
        <v>0.6720000000000002</v>
      </c>
      <c r="V75" s="90" t="s">
        <v>3369</v>
      </c>
    </row>
    <row r="76" ht="15" customHeight="1" spans="1:23" x14ac:dyDescent="0.25">
      <c r="A76" s="85">
        <v>528</v>
      </c>
      <c r="B76" s="85" t="s">
        <v>3370</v>
      </c>
      <c r="C76" s="85" t="s">
        <v>173</v>
      </c>
      <c r="D76" s="85" t="s">
        <v>163</v>
      </c>
      <c r="E76" s="85"/>
      <c r="F76" s="85" t="s">
        <v>157</v>
      </c>
      <c r="G76" s="85"/>
      <c r="H76" s="85"/>
      <c r="I76" s="86"/>
      <c r="J76" s="86"/>
      <c r="K76" s="87"/>
      <c r="L76" s="87"/>
      <c r="M76" s="88"/>
      <c r="N76" s="89"/>
      <c r="O76" s="87"/>
      <c r="P76" s="87"/>
      <c r="Q76" s="87"/>
      <c r="R76" s="87"/>
      <c r="S76" s="87">
        <v>1</v>
      </c>
      <c r="T76" s="87">
        <v>1</v>
      </c>
      <c r="U76" s="87">
        <v>0.33</v>
      </c>
      <c r="V76" s="90" t="s">
        <v>3371</v>
      </c>
    </row>
    <row r="77" ht="15" customHeight="1" spans="1:23" x14ac:dyDescent="0.25">
      <c r="A77" s="85">
        <v>528</v>
      </c>
      <c r="B77" s="85" t="s">
        <v>3370</v>
      </c>
      <c r="C77" s="85" t="s">
        <v>173</v>
      </c>
      <c r="D77" s="85" t="s">
        <v>163</v>
      </c>
      <c r="E77" s="85"/>
      <c r="F77" s="85" t="s">
        <v>2472</v>
      </c>
      <c r="G77" s="85" t="s">
        <v>288</v>
      </c>
      <c r="H77" s="85" t="s">
        <v>3268</v>
      </c>
      <c r="I77" s="86">
        <v>65</v>
      </c>
      <c r="J77" s="86">
        <v>65</v>
      </c>
      <c r="K77" s="87">
        <v>1</v>
      </c>
      <c r="L77" s="87">
        <v>1</v>
      </c>
      <c r="M77" s="88">
        <v>1</v>
      </c>
      <c r="N77" s="89"/>
      <c r="O77" s="87"/>
      <c r="P77" s="87"/>
      <c r="Q77" s="87"/>
      <c r="R77" s="87"/>
      <c r="S77" s="87">
        <v>1</v>
      </c>
      <c r="T77" s="87"/>
      <c r="U77" s="87">
        <v>0.33</v>
      </c>
      <c r="V77" s="90" t="s">
        <v>3372</v>
      </c>
    </row>
    <row r="78" ht="15" customHeight="1" spans="1:23" x14ac:dyDescent="0.25">
      <c r="A78" s="85">
        <v>529</v>
      </c>
      <c r="B78" s="85" t="s">
        <v>3373</v>
      </c>
      <c r="C78" s="85" t="s">
        <v>173</v>
      </c>
      <c r="D78" s="85" t="s">
        <v>163</v>
      </c>
      <c r="E78" s="85"/>
      <c r="F78" s="85" t="s">
        <v>157</v>
      </c>
      <c r="G78" s="85"/>
      <c r="H78" s="85"/>
      <c r="I78" s="86"/>
      <c r="J78" s="86"/>
      <c r="K78" s="87"/>
      <c r="L78" s="87"/>
      <c r="M78" s="88"/>
      <c r="N78" s="89"/>
      <c r="O78" s="87"/>
      <c r="P78" s="87"/>
      <c r="Q78" s="87"/>
      <c r="R78" s="87"/>
      <c r="S78" s="87">
        <v>1</v>
      </c>
      <c r="T78" s="87">
        <v>1</v>
      </c>
      <c r="U78" s="87">
        <v>1</v>
      </c>
      <c r="V78" s="90" t="s">
        <v>3374</v>
      </c>
    </row>
    <row r="79" ht="15" customHeight="1" spans="1:23" x14ac:dyDescent="0.25">
      <c r="A79" s="85">
        <v>529</v>
      </c>
      <c r="B79" s="85" t="s">
        <v>3373</v>
      </c>
      <c r="C79" s="85" t="s">
        <v>173</v>
      </c>
      <c r="D79" s="85" t="s">
        <v>163</v>
      </c>
      <c r="E79" s="85"/>
      <c r="F79" s="85" t="s">
        <v>2472</v>
      </c>
      <c r="G79" s="85" t="s">
        <v>288</v>
      </c>
      <c r="H79" s="85" t="s">
        <v>3268</v>
      </c>
      <c r="I79" s="86">
        <v>65</v>
      </c>
      <c r="J79" s="86">
        <v>65</v>
      </c>
      <c r="K79" s="87">
        <v>1</v>
      </c>
      <c r="L79" s="87">
        <v>1</v>
      </c>
      <c r="M79" s="88">
        <v>1</v>
      </c>
      <c r="N79" s="89"/>
      <c r="O79" s="87"/>
      <c r="P79" s="87"/>
      <c r="Q79" s="87"/>
      <c r="R79" s="87"/>
      <c r="S79" s="87">
        <v>1</v>
      </c>
      <c r="T79" s="87"/>
      <c r="U79" s="87">
        <v>1</v>
      </c>
      <c r="V79" s="90" t="s">
        <v>3375</v>
      </c>
    </row>
    <row r="80" ht="15" customHeight="1" spans="1:23" x14ac:dyDescent="0.25">
      <c r="A80" s="85">
        <v>530</v>
      </c>
      <c r="B80" s="85" t="s">
        <v>3376</v>
      </c>
      <c r="C80" s="85" t="s">
        <v>173</v>
      </c>
      <c r="D80" s="85" t="s">
        <v>163</v>
      </c>
      <c r="E80" s="85"/>
      <c r="F80" s="85" t="s">
        <v>157</v>
      </c>
      <c r="G80" s="85"/>
      <c r="H80" s="85"/>
      <c r="I80" s="86"/>
      <c r="J80" s="86"/>
      <c r="K80" s="87"/>
      <c r="L80" s="87"/>
      <c r="M80" s="88"/>
      <c r="N80" s="89"/>
      <c r="O80" s="87"/>
      <c r="P80" s="87"/>
      <c r="Q80" s="87"/>
      <c r="R80" s="87"/>
      <c r="S80" s="87">
        <v>1</v>
      </c>
      <c r="T80" s="87">
        <v>1</v>
      </c>
      <c r="U80" s="87">
        <v>0.9999999999999999</v>
      </c>
      <c r="V80" s="90" t="s">
        <v>3377</v>
      </c>
    </row>
    <row r="81" ht="15" customHeight="1" spans="1:23" x14ac:dyDescent="0.25">
      <c r="A81" s="85">
        <v>530</v>
      </c>
      <c r="B81" s="85" t="s">
        <v>3376</v>
      </c>
      <c r="C81" s="85" t="s">
        <v>173</v>
      </c>
      <c r="D81" s="85" t="s">
        <v>163</v>
      </c>
      <c r="E81" s="85"/>
      <c r="F81" s="85" t="s">
        <v>2472</v>
      </c>
      <c r="G81" s="85" t="s">
        <v>288</v>
      </c>
      <c r="H81" s="85" t="s">
        <v>3268</v>
      </c>
      <c r="I81" s="86">
        <v>65</v>
      </c>
      <c r="J81" s="86">
        <v>65</v>
      </c>
      <c r="K81" s="87">
        <v>1</v>
      </c>
      <c r="L81" s="87">
        <v>1</v>
      </c>
      <c r="M81" s="88">
        <v>1</v>
      </c>
      <c r="N81" s="89"/>
      <c r="O81" s="87"/>
      <c r="P81" s="87"/>
      <c r="Q81" s="87"/>
      <c r="R81" s="87"/>
      <c r="S81" s="87">
        <v>1</v>
      </c>
      <c r="T81" s="87"/>
      <c r="U81" s="87">
        <v>0.9999999999999999</v>
      </c>
      <c r="V81" s="90" t="s">
        <v>3377</v>
      </c>
    </row>
    <row r="82" ht="15" customHeight="1" spans="1:23" x14ac:dyDescent="0.25">
      <c r="A82" s="85">
        <v>531</v>
      </c>
      <c r="B82" s="85" t="s">
        <v>3378</v>
      </c>
      <c r="C82" s="85" t="s">
        <v>173</v>
      </c>
      <c r="D82" s="85" t="s">
        <v>163</v>
      </c>
      <c r="E82" s="85"/>
      <c r="F82" s="85" t="s">
        <v>157</v>
      </c>
      <c r="G82" s="85"/>
      <c r="H82" s="85"/>
      <c r="I82" s="86"/>
      <c r="J82" s="86"/>
      <c r="K82" s="87"/>
      <c r="L82" s="87"/>
      <c r="M82" s="88"/>
      <c r="N82" s="89"/>
      <c r="O82" s="87"/>
      <c r="P82" s="87"/>
      <c r="Q82" s="87"/>
      <c r="R82" s="87"/>
      <c r="S82" s="87">
        <v>1</v>
      </c>
      <c r="T82" s="87">
        <v>1</v>
      </c>
      <c r="U82" s="87">
        <v>1</v>
      </c>
      <c r="V82" s="90" t="s">
        <v>3379</v>
      </c>
    </row>
    <row r="83" ht="15" customHeight="1" spans="1:23" x14ac:dyDescent="0.25">
      <c r="A83" s="85">
        <v>531</v>
      </c>
      <c r="B83" s="85" t="s">
        <v>3378</v>
      </c>
      <c r="C83" s="85" t="s">
        <v>173</v>
      </c>
      <c r="D83" s="85" t="s">
        <v>163</v>
      </c>
      <c r="E83" s="85"/>
      <c r="F83" s="85" t="s">
        <v>2472</v>
      </c>
      <c r="G83" s="85" t="s">
        <v>288</v>
      </c>
      <c r="H83" s="85" t="s">
        <v>3268</v>
      </c>
      <c r="I83" s="86">
        <v>65</v>
      </c>
      <c r="J83" s="86">
        <v>65</v>
      </c>
      <c r="K83" s="87">
        <v>1</v>
      </c>
      <c r="L83" s="87">
        <v>1</v>
      </c>
      <c r="M83" s="88">
        <v>1</v>
      </c>
      <c r="N83" s="89"/>
      <c r="O83" s="87"/>
      <c r="P83" s="87"/>
      <c r="Q83" s="87"/>
      <c r="R83" s="87"/>
      <c r="S83" s="87">
        <v>1</v>
      </c>
      <c r="T83" s="87"/>
      <c r="U83" s="87">
        <v>1</v>
      </c>
      <c r="V83" s="90" t="s">
        <v>3380</v>
      </c>
    </row>
    <row r="84" ht="15" customHeight="1" spans="1:23" x14ac:dyDescent="0.25">
      <c r="A84" s="85">
        <v>532</v>
      </c>
      <c r="B84" s="85" t="s">
        <v>3381</v>
      </c>
      <c r="C84" s="85" t="s">
        <v>173</v>
      </c>
      <c r="D84" s="85" t="s">
        <v>163</v>
      </c>
      <c r="E84" s="85"/>
      <c r="F84" s="85" t="s">
        <v>157</v>
      </c>
      <c r="G84" s="85"/>
      <c r="H84" s="85"/>
      <c r="I84" s="86"/>
      <c r="J84" s="86"/>
      <c r="K84" s="87"/>
      <c r="L84" s="87"/>
      <c r="M84" s="88"/>
      <c r="N84" s="89"/>
      <c r="O84" s="87"/>
      <c r="P84" s="87"/>
      <c r="Q84" s="87"/>
      <c r="R84" s="87"/>
      <c r="S84" s="87">
        <v>1</v>
      </c>
      <c r="T84" s="87">
        <v>1</v>
      </c>
      <c r="U84" s="87">
        <v>1</v>
      </c>
      <c r="V84" s="90" t="s">
        <v>3382</v>
      </c>
    </row>
    <row r="85" ht="15" customHeight="1" spans="1:23" x14ac:dyDescent="0.25">
      <c r="A85" s="85">
        <v>532</v>
      </c>
      <c r="B85" s="85" t="s">
        <v>3381</v>
      </c>
      <c r="C85" s="85" t="s">
        <v>173</v>
      </c>
      <c r="D85" s="85" t="s">
        <v>163</v>
      </c>
      <c r="E85" s="85"/>
      <c r="F85" s="85" t="s">
        <v>2472</v>
      </c>
      <c r="G85" s="85" t="s">
        <v>288</v>
      </c>
      <c r="H85" s="85" t="s">
        <v>3268</v>
      </c>
      <c r="I85" s="86">
        <v>65</v>
      </c>
      <c r="J85" s="86">
        <v>65</v>
      </c>
      <c r="K85" s="87">
        <v>1</v>
      </c>
      <c r="L85" s="87">
        <v>1</v>
      </c>
      <c r="M85" s="88">
        <v>1</v>
      </c>
      <c r="N85" s="89"/>
      <c r="O85" s="87"/>
      <c r="P85" s="87"/>
      <c r="Q85" s="87"/>
      <c r="R85" s="87"/>
      <c r="S85" s="87">
        <v>1</v>
      </c>
      <c r="T85" s="87"/>
      <c r="U85" s="87">
        <v>1</v>
      </c>
      <c r="V85" s="90" t="s">
        <v>3382</v>
      </c>
    </row>
    <row r="86" ht="15" customHeight="1" spans="1:23" x14ac:dyDescent="0.25">
      <c r="A86" s="85">
        <v>533</v>
      </c>
      <c r="B86" s="85" t="s">
        <v>3383</v>
      </c>
      <c r="C86" s="85" t="s">
        <v>173</v>
      </c>
      <c r="D86" s="85" t="s">
        <v>163</v>
      </c>
      <c r="E86" s="85"/>
      <c r="F86" s="85" t="s">
        <v>157</v>
      </c>
      <c r="G86" s="85"/>
      <c r="H86" s="85"/>
      <c r="I86" s="86"/>
      <c r="J86" s="86"/>
      <c r="K86" s="87"/>
      <c r="L86" s="87"/>
      <c r="M86" s="88"/>
      <c r="N86" s="89"/>
      <c r="O86" s="87"/>
      <c r="P86" s="87"/>
      <c r="Q86" s="87"/>
      <c r="R86" s="87"/>
      <c r="S86" s="87">
        <v>1</v>
      </c>
      <c r="T86" s="87">
        <v>1</v>
      </c>
      <c r="U86" s="87">
        <v>1</v>
      </c>
      <c r="V86" s="90" t="s">
        <v>3384</v>
      </c>
    </row>
    <row r="87" ht="15" customHeight="1" spans="1:23" x14ac:dyDescent="0.25">
      <c r="A87" s="85">
        <v>533</v>
      </c>
      <c r="B87" s="85" t="s">
        <v>3383</v>
      </c>
      <c r="C87" s="85" t="s">
        <v>173</v>
      </c>
      <c r="D87" s="85" t="s">
        <v>163</v>
      </c>
      <c r="E87" s="85"/>
      <c r="F87" s="85" t="s">
        <v>2472</v>
      </c>
      <c r="G87" s="85" t="s">
        <v>288</v>
      </c>
      <c r="H87" s="85" t="s">
        <v>3268</v>
      </c>
      <c r="I87" s="86">
        <v>65</v>
      </c>
      <c r="J87" s="86">
        <v>65</v>
      </c>
      <c r="K87" s="87">
        <v>1</v>
      </c>
      <c r="L87" s="87">
        <v>1</v>
      </c>
      <c r="M87" s="88">
        <v>1</v>
      </c>
      <c r="N87" s="89"/>
      <c r="O87" s="87"/>
      <c r="P87" s="87"/>
      <c r="Q87" s="87"/>
      <c r="R87" s="87"/>
      <c r="S87" s="87">
        <v>1</v>
      </c>
      <c r="T87" s="87"/>
      <c r="U87" s="87">
        <v>1</v>
      </c>
      <c r="V87" s="90" t="s">
        <v>3385</v>
      </c>
    </row>
    <row r="88" ht="15" customHeight="1" spans="1:23" x14ac:dyDescent="0.25">
      <c r="A88" s="85">
        <v>534</v>
      </c>
      <c r="B88" s="85" t="s">
        <v>3386</v>
      </c>
      <c r="C88" s="85" t="s">
        <v>173</v>
      </c>
      <c r="D88" s="85" t="s">
        <v>163</v>
      </c>
      <c r="E88" s="85"/>
      <c r="F88" s="85" t="s">
        <v>157</v>
      </c>
      <c r="G88" s="85"/>
      <c r="H88" s="85"/>
      <c r="I88" s="86"/>
      <c r="J88" s="86"/>
      <c r="K88" s="87"/>
      <c r="L88" s="87"/>
      <c r="M88" s="88"/>
      <c r="N88" s="89"/>
      <c r="O88" s="87"/>
      <c r="P88" s="87"/>
      <c r="Q88" s="87"/>
      <c r="R88" s="87"/>
      <c r="S88" s="87">
        <v>1</v>
      </c>
      <c r="T88" s="87">
        <v>1</v>
      </c>
      <c r="U88" s="87">
        <v>1</v>
      </c>
      <c r="V88" s="90" t="s">
        <v>3387</v>
      </c>
    </row>
    <row r="89" ht="15" customHeight="1" spans="1:23" x14ac:dyDescent="0.25">
      <c r="A89" s="85">
        <v>534</v>
      </c>
      <c r="B89" s="85" t="s">
        <v>3386</v>
      </c>
      <c r="C89" s="85" t="s">
        <v>173</v>
      </c>
      <c r="D89" s="85" t="s">
        <v>163</v>
      </c>
      <c r="E89" s="85"/>
      <c r="F89" s="85" t="s">
        <v>2472</v>
      </c>
      <c r="G89" s="85" t="s">
        <v>288</v>
      </c>
      <c r="H89" s="85" t="s">
        <v>3268</v>
      </c>
      <c r="I89" s="86">
        <v>65</v>
      </c>
      <c r="J89" s="86">
        <v>65</v>
      </c>
      <c r="K89" s="87">
        <v>1</v>
      </c>
      <c r="L89" s="87">
        <v>1</v>
      </c>
      <c r="M89" s="88">
        <v>1</v>
      </c>
      <c r="N89" s="89"/>
      <c r="O89" s="87"/>
      <c r="P89" s="87"/>
      <c r="Q89" s="87"/>
      <c r="R89" s="87"/>
      <c r="S89" s="87">
        <v>1</v>
      </c>
      <c r="T89" s="87"/>
      <c r="U89" s="87">
        <v>1</v>
      </c>
      <c r="V89" s="90" t="s">
        <v>3388</v>
      </c>
    </row>
    <row r="90" ht="15" customHeight="1" spans="1:23" x14ac:dyDescent="0.25">
      <c r="A90" s="85">
        <v>535</v>
      </c>
      <c r="B90" s="85" t="s">
        <v>3389</v>
      </c>
      <c r="C90" s="85" t="s">
        <v>173</v>
      </c>
      <c r="D90" s="85" t="s">
        <v>163</v>
      </c>
      <c r="E90" s="85"/>
      <c r="F90" s="85" t="s">
        <v>157</v>
      </c>
      <c r="G90" s="85"/>
      <c r="H90" s="85"/>
      <c r="I90" s="86"/>
      <c r="J90" s="86"/>
      <c r="K90" s="87"/>
      <c r="L90" s="87"/>
      <c r="M90" s="88"/>
      <c r="N90" s="89"/>
      <c r="O90" s="87"/>
      <c r="P90" s="87"/>
      <c r="Q90" s="87"/>
      <c r="R90" s="87"/>
      <c r="S90" s="87">
        <v>1</v>
      </c>
      <c r="T90" s="87">
        <v>1</v>
      </c>
      <c r="U90" s="87">
        <v>1</v>
      </c>
      <c r="V90" s="90" t="s">
        <v>3390</v>
      </c>
    </row>
    <row r="91" ht="15" customHeight="1" spans="1:23" x14ac:dyDescent="0.25">
      <c r="A91" s="85">
        <v>535</v>
      </c>
      <c r="B91" s="85" t="s">
        <v>3389</v>
      </c>
      <c r="C91" s="85" t="s">
        <v>173</v>
      </c>
      <c r="D91" s="85" t="s">
        <v>163</v>
      </c>
      <c r="E91" s="85"/>
      <c r="F91" s="85" t="s">
        <v>2472</v>
      </c>
      <c r="G91" s="85" t="s">
        <v>288</v>
      </c>
      <c r="H91" s="85" t="s">
        <v>3268</v>
      </c>
      <c r="I91" s="86">
        <v>65</v>
      </c>
      <c r="J91" s="86">
        <v>65</v>
      </c>
      <c r="K91" s="87">
        <v>1</v>
      </c>
      <c r="L91" s="87">
        <v>1</v>
      </c>
      <c r="M91" s="88">
        <v>1</v>
      </c>
      <c r="N91" s="89"/>
      <c r="O91" s="87"/>
      <c r="P91" s="87"/>
      <c r="Q91" s="87"/>
      <c r="R91" s="87"/>
      <c r="S91" s="87">
        <v>1</v>
      </c>
      <c r="T91" s="87"/>
      <c r="U91" s="87">
        <v>1</v>
      </c>
      <c r="V91" s="90" t="s">
        <v>3391</v>
      </c>
    </row>
    <row r="92" ht="15" customHeight="1" spans="1:23" x14ac:dyDescent="0.25">
      <c r="A92" s="85">
        <v>536</v>
      </c>
      <c r="B92" s="85" t="s">
        <v>3392</v>
      </c>
      <c r="C92" s="85" t="s">
        <v>173</v>
      </c>
      <c r="D92" s="85" t="s">
        <v>163</v>
      </c>
      <c r="E92" s="85"/>
      <c r="F92" s="85" t="s">
        <v>157</v>
      </c>
      <c r="G92" s="85"/>
      <c r="H92" s="85"/>
      <c r="I92" s="86"/>
      <c r="J92" s="86"/>
      <c r="K92" s="87"/>
      <c r="L92" s="87"/>
      <c r="M92" s="88"/>
      <c r="N92" s="89"/>
      <c r="O92" s="87"/>
      <c r="P92" s="87"/>
      <c r="Q92" s="87"/>
      <c r="R92" s="87"/>
      <c r="S92" s="87">
        <v>1</v>
      </c>
      <c r="T92" s="87">
        <v>1</v>
      </c>
      <c r="U92" s="87">
        <v>1</v>
      </c>
      <c r="V92" s="90" t="s">
        <v>3393</v>
      </c>
    </row>
    <row r="93" ht="15" customHeight="1" spans="1:23" x14ac:dyDescent="0.25">
      <c r="A93" s="85">
        <v>536</v>
      </c>
      <c r="B93" s="85" t="s">
        <v>3392</v>
      </c>
      <c r="C93" s="85" t="s">
        <v>173</v>
      </c>
      <c r="D93" s="85" t="s">
        <v>163</v>
      </c>
      <c r="E93" s="85"/>
      <c r="F93" s="85" t="s">
        <v>2472</v>
      </c>
      <c r="G93" s="85" t="s">
        <v>288</v>
      </c>
      <c r="H93" s="85" t="s">
        <v>3268</v>
      </c>
      <c r="I93" s="86">
        <v>65</v>
      </c>
      <c r="J93" s="86">
        <v>65</v>
      </c>
      <c r="K93" s="87">
        <v>1</v>
      </c>
      <c r="L93" s="87">
        <v>1</v>
      </c>
      <c r="M93" s="88">
        <v>1</v>
      </c>
      <c r="N93" s="89"/>
      <c r="O93" s="87"/>
      <c r="P93" s="87"/>
      <c r="Q93" s="87"/>
      <c r="R93" s="87"/>
      <c r="S93" s="87">
        <v>1</v>
      </c>
      <c r="T93" s="87"/>
      <c r="U93" s="87">
        <v>1</v>
      </c>
      <c r="V93" s="90" t="s">
        <v>3394</v>
      </c>
    </row>
    <row r="94" ht="15" customHeight="1" spans="1:23" x14ac:dyDescent="0.25">
      <c r="A94" s="85">
        <v>537</v>
      </c>
      <c r="B94" s="85" t="s">
        <v>3395</v>
      </c>
      <c r="C94" s="85" t="s">
        <v>173</v>
      </c>
      <c r="D94" s="85" t="s">
        <v>163</v>
      </c>
      <c r="E94" s="85"/>
      <c r="F94" s="85" t="s">
        <v>157</v>
      </c>
      <c r="G94" s="85"/>
      <c r="H94" s="85"/>
      <c r="I94" s="86"/>
      <c r="J94" s="86"/>
      <c r="K94" s="87"/>
      <c r="L94" s="87"/>
      <c r="M94" s="88"/>
      <c r="N94" s="89"/>
      <c r="O94" s="87"/>
      <c r="P94" s="87"/>
      <c r="Q94" s="87"/>
      <c r="R94" s="87"/>
      <c r="S94" s="87">
        <v>1</v>
      </c>
      <c r="T94" s="87">
        <v>1</v>
      </c>
      <c r="U94" s="87">
        <v>1</v>
      </c>
      <c r="V94" s="90" t="s">
        <v>3396</v>
      </c>
    </row>
    <row r="95" ht="15" customHeight="1" spans="1:23" x14ac:dyDescent="0.25">
      <c r="A95" s="85">
        <v>537</v>
      </c>
      <c r="B95" s="85" t="s">
        <v>3395</v>
      </c>
      <c r="C95" s="85" t="s">
        <v>173</v>
      </c>
      <c r="D95" s="85" t="s">
        <v>163</v>
      </c>
      <c r="E95" s="85"/>
      <c r="F95" s="85" t="s">
        <v>2472</v>
      </c>
      <c r="G95" s="85" t="s">
        <v>288</v>
      </c>
      <c r="H95" s="85" t="s">
        <v>3268</v>
      </c>
      <c r="I95" s="86">
        <v>65</v>
      </c>
      <c r="J95" s="86">
        <v>65</v>
      </c>
      <c r="K95" s="87">
        <v>1</v>
      </c>
      <c r="L95" s="87">
        <v>1</v>
      </c>
      <c r="M95" s="88">
        <v>1</v>
      </c>
      <c r="N95" s="89"/>
      <c r="O95" s="87"/>
      <c r="P95" s="87"/>
      <c r="Q95" s="87"/>
      <c r="R95" s="87"/>
      <c r="S95" s="87">
        <v>1</v>
      </c>
      <c r="T95" s="87"/>
      <c r="U95" s="87">
        <v>1</v>
      </c>
      <c r="V95" s="90" t="s">
        <v>3397</v>
      </c>
    </row>
    <row r="96" ht="15" customHeight="1" spans="1:23" x14ac:dyDescent="0.25">
      <c r="A96" s="85">
        <v>538</v>
      </c>
      <c r="B96" s="85" t="s">
        <v>3398</v>
      </c>
      <c r="C96" s="85" t="s">
        <v>173</v>
      </c>
      <c r="D96" s="85" t="s">
        <v>163</v>
      </c>
      <c r="E96" s="85"/>
      <c r="F96" s="85" t="s">
        <v>157</v>
      </c>
      <c r="G96" s="85"/>
      <c r="H96" s="85"/>
      <c r="I96" s="86"/>
      <c r="J96" s="86"/>
      <c r="K96" s="87"/>
      <c r="L96" s="87"/>
      <c r="M96" s="88"/>
      <c r="N96" s="89"/>
      <c r="O96" s="87"/>
      <c r="P96" s="87"/>
      <c r="Q96" s="87"/>
      <c r="R96" s="87"/>
      <c r="S96" s="87">
        <v>1</v>
      </c>
      <c r="T96" s="87">
        <v>1</v>
      </c>
      <c r="U96" s="87">
        <v>1</v>
      </c>
      <c r="V96" s="90" t="s">
        <v>3399</v>
      </c>
    </row>
    <row r="97" ht="15" customHeight="1" spans="1:23" x14ac:dyDescent="0.25">
      <c r="A97" s="85">
        <v>538</v>
      </c>
      <c r="B97" s="85" t="s">
        <v>3398</v>
      </c>
      <c r="C97" s="85" t="s">
        <v>173</v>
      </c>
      <c r="D97" s="85" t="s">
        <v>163</v>
      </c>
      <c r="E97" s="85"/>
      <c r="F97" s="85" t="s">
        <v>2472</v>
      </c>
      <c r="G97" s="85" t="s">
        <v>288</v>
      </c>
      <c r="H97" s="85" t="s">
        <v>3268</v>
      </c>
      <c r="I97" s="86">
        <v>65</v>
      </c>
      <c r="J97" s="86">
        <v>65</v>
      </c>
      <c r="K97" s="87">
        <v>1</v>
      </c>
      <c r="L97" s="87">
        <v>1</v>
      </c>
      <c r="M97" s="88">
        <v>1</v>
      </c>
      <c r="N97" s="89"/>
      <c r="O97" s="87"/>
      <c r="P97" s="87"/>
      <c r="Q97" s="87"/>
      <c r="R97" s="87"/>
      <c r="S97" s="87">
        <v>1</v>
      </c>
      <c r="T97" s="87"/>
      <c r="U97" s="87">
        <v>1</v>
      </c>
      <c r="V97" s="90" t="s">
        <v>3400</v>
      </c>
    </row>
    <row r="98" ht="15" customHeight="1" spans="1:23" x14ac:dyDescent="0.25">
      <c r="A98" s="85">
        <v>539</v>
      </c>
      <c r="B98" s="85" t="s">
        <v>3401</v>
      </c>
      <c r="C98" s="85" t="s">
        <v>173</v>
      </c>
      <c r="D98" s="85" t="s">
        <v>163</v>
      </c>
      <c r="E98" s="85"/>
      <c r="F98" s="85" t="s">
        <v>157</v>
      </c>
      <c r="G98" s="85"/>
      <c r="H98" s="85"/>
      <c r="I98" s="86"/>
      <c r="J98" s="86"/>
      <c r="K98" s="87"/>
      <c r="L98" s="87"/>
      <c r="M98" s="88"/>
      <c r="N98" s="89"/>
      <c r="O98" s="87"/>
      <c r="P98" s="87"/>
      <c r="Q98" s="87"/>
      <c r="R98" s="87"/>
      <c r="S98" s="87">
        <v>1</v>
      </c>
      <c r="T98" s="87">
        <v>1</v>
      </c>
      <c r="U98" s="87">
        <v>1</v>
      </c>
      <c r="V98" s="90" t="s">
        <v>3402</v>
      </c>
    </row>
    <row r="99" ht="15" customHeight="1" spans="1:23" x14ac:dyDescent="0.25">
      <c r="A99" s="85">
        <v>539</v>
      </c>
      <c r="B99" s="85" t="s">
        <v>3401</v>
      </c>
      <c r="C99" s="85" t="s">
        <v>173</v>
      </c>
      <c r="D99" s="85" t="s">
        <v>163</v>
      </c>
      <c r="E99" s="85"/>
      <c r="F99" s="85" t="s">
        <v>2472</v>
      </c>
      <c r="G99" s="85" t="s">
        <v>288</v>
      </c>
      <c r="H99" s="85" t="s">
        <v>3268</v>
      </c>
      <c r="I99" s="86">
        <v>65</v>
      </c>
      <c r="J99" s="86">
        <v>65</v>
      </c>
      <c r="K99" s="87">
        <v>1</v>
      </c>
      <c r="L99" s="87">
        <v>1</v>
      </c>
      <c r="M99" s="88">
        <v>1</v>
      </c>
      <c r="N99" s="89"/>
      <c r="O99" s="87"/>
      <c r="P99" s="87"/>
      <c r="Q99" s="87"/>
      <c r="R99" s="87"/>
      <c r="S99" s="87">
        <v>1</v>
      </c>
      <c r="T99" s="87"/>
      <c r="U99" s="87">
        <v>1</v>
      </c>
      <c r="V99" s="90" t="s">
        <v>3403</v>
      </c>
    </row>
    <row r="100" ht="15" customHeight="1" spans="1:23" x14ac:dyDescent="0.25">
      <c r="A100" s="85">
        <v>540</v>
      </c>
      <c r="B100" s="85" t="s">
        <v>3404</v>
      </c>
      <c r="C100" s="85" t="s">
        <v>173</v>
      </c>
      <c r="D100" s="85" t="s">
        <v>163</v>
      </c>
      <c r="E100" s="85"/>
      <c r="F100" s="85" t="s">
        <v>157</v>
      </c>
      <c r="G100" s="85"/>
      <c r="H100" s="85"/>
      <c r="I100" s="86"/>
      <c r="J100" s="86"/>
      <c r="K100" s="87"/>
      <c r="L100" s="87"/>
      <c r="M100" s="88"/>
      <c r="N100" s="89"/>
      <c r="O100" s="87"/>
      <c r="P100" s="87"/>
      <c r="Q100" s="87"/>
      <c r="R100" s="87"/>
      <c r="S100" s="87">
        <v>1</v>
      </c>
      <c r="T100" s="87">
        <v>1</v>
      </c>
      <c r="U100" s="87">
        <v>1</v>
      </c>
      <c r="V100" s="90" t="s">
        <v>3405</v>
      </c>
    </row>
    <row r="101" ht="15" customHeight="1" spans="1:23" x14ac:dyDescent="0.25">
      <c r="A101" s="85">
        <v>540</v>
      </c>
      <c r="B101" s="85" t="s">
        <v>3404</v>
      </c>
      <c r="C101" s="85" t="s">
        <v>173</v>
      </c>
      <c r="D101" s="85" t="s">
        <v>163</v>
      </c>
      <c r="E101" s="85"/>
      <c r="F101" s="85" t="s">
        <v>2472</v>
      </c>
      <c r="G101" s="85" t="s">
        <v>288</v>
      </c>
      <c r="H101" s="85" t="s">
        <v>3268</v>
      </c>
      <c r="I101" s="86">
        <v>65</v>
      </c>
      <c r="J101" s="86">
        <v>65</v>
      </c>
      <c r="K101" s="87">
        <v>1</v>
      </c>
      <c r="L101" s="87">
        <v>1</v>
      </c>
      <c r="M101" s="88">
        <v>1</v>
      </c>
      <c r="N101" s="89"/>
      <c r="O101" s="87"/>
      <c r="P101" s="87"/>
      <c r="Q101" s="87"/>
      <c r="R101" s="87"/>
      <c r="S101" s="87">
        <v>1</v>
      </c>
      <c r="T101" s="87"/>
      <c r="U101" s="87">
        <v>1</v>
      </c>
      <c r="V101" s="90" t="s">
        <v>3406</v>
      </c>
    </row>
    <row r="102" ht="15" customHeight="1" spans="1:23" x14ac:dyDescent="0.25">
      <c r="A102" s="85">
        <v>541</v>
      </c>
      <c r="B102" s="85" t="s">
        <v>3407</v>
      </c>
      <c r="C102" s="85" t="s">
        <v>173</v>
      </c>
      <c r="D102" s="85" t="s">
        <v>163</v>
      </c>
      <c r="E102" s="85"/>
      <c r="F102" s="85" t="s">
        <v>157</v>
      </c>
      <c r="G102" s="85"/>
      <c r="H102" s="85"/>
      <c r="I102" s="86"/>
      <c r="J102" s="86"/>
      <c r="K102" s="87"/>
      <c r="L102" s="87"/>
      <c r="M102" s="88"/>
      <c r="N102" s="89"/>
      <c r="O102" s="87"/>
      <c r="P102" s="87"/>
      <c r="Q102" s="87"/>
      <c r="R102" s="87"/>
      <c r="S102" s="87">
        <v>1</v>
      </c>
      <c r="T102" s="87">
        <v>1</v>
      </c>
      <c r="U102" s="87">
        <v>1</v>
      </c>
      <c r="V102" s="90" t="s">
        <v>3408</v>
      </c>
    </row>
    <row r="103" ht="15" customHeight="1" spans="1:23" x14ac:dyDescent="0.25">
      <c r="A103" s="85">
        <v>541</v>
      </c>
      <c r="B103" s="85" t="s">
        <v>3407</v>
      </c>
      <c r="C103" s="85" t="s">
        <v>173</v>
      </c>
      <c r="D103" s="85" t="s">
        <v>163</v>
      </c>
      <c r="E103" s="85"/>
      <c r="F103" s="85" t="s">
        <v>2472</v>
      </c>
      <c r="G103" s="85" t="s">
        <v>288</v>
      </c>
      <c r="H103" s="85" t="s">
        <v>3268</v>
      </c>
      <c r="I103" s="86">
        <v>65</v>
      </c>
      <c r="J103" s="86">
        <v>65</v>
      </c>
      <c r="K103" s="87">
        <v>1</v>
      </c>
      <c r="L103" s="87">
        <v>1</v>
      </c>
      <c r="M103" s="88">
        <v>1</v>
      </c>
      <c r="N103" s="89"/>
      <c r="O103" s="87"/>
      <c r="P103" s="87"/>
      <c r="Q103" s="87"/>
      <c r="R103" s="87"/>
      <c r="S103" s="87">
        <v>1</v>
      </c>
      <c r="T103" s="87"/>
      <c r="U103" s="87">
        <v>1</v>
      </c>
      <c r="V103" s="90" t="s">
        <v>3409</v>
      </c>
    </row>
    <row r="104" ht="15" customHeight="1" spans="1:23" x14ac:dyDescent="0.25">
      <c r="A104" s="85">
        <v>542</v>
      </c>
      <c r="B104" s="85" t="s">
        <v>3410</v>
      </c>
      <c r="C104" s="85" t="s">
        <v>173</v>
      </c>
      <c r="D104" s="85" t="s">
        <v>163</v>
      </c>
      <c r="E104" s="85"/>
      <c r="F104" s="85" t="s">
        <v>157</v>
      </c>
      <c r="G104" s="85"/>
      <c r="H104" s="85"/>
      <c r="I104" s="86"/>
      <c r="J104" s="86"/>
      <c r="K104" s="87"/>
      <c r="L104" s="87"/>
      <c r="M104" s="88"/>
      <c r="N104" s="89"/>
      <c r="O104" s="87"/>
      <c r="P104" s="87"/>
      <c r="Q104" s="87"/>
      <c r="R104" s="87"/>
      <c r="S104" s="87">
        <v>1</v>
      </c>
      <c r="T104" s="87">
        <v>1</v>
      </c>
      <c r="U104" s="87">
        <v>1</v>
      </c>
      <c r="V104" s="90" t="s">
        <v>3411</v>
      </c>
    </row>
    <row r="105" ht="15" customHeight="1" spans="1:23" x14ac:dyDescent="0.25">
      <c r="A105" s="85">
        <v>542</v>
      </c>
      <c r="B105" s="85" t="s">
        <v>3410</v>
      </c>
      <c r="C105" s="85" t="s">
        <v>173</v>
      </c>
      <c r="D105" s="85" t="s">
        <v>163</v>
      </c>
      <c r="E105" s="85"/>
      <c r="F105" s="85" t="s">
        <v>2472</v>
      </c>
      <c r="G105" s="85" t="s">
        <v>288</v>
      </c>
      <c r="H105" s="85" t="s">
        <v>3268</v>
      </c>
      <c r="I105" s="86">
        <v>65</v>
      </c>
      <c r="J105" s="86">
        <v>65</v>
      </c>
      <c r="K105" s="87">
        <v>1</v>
      </c>
      <c r="L105" s="87">
        <v>1</v>
      </c>
      <c r="M105" s="88">
        <v>1</v>
      </c>
      <c r="N105" s="89"/>
      <c r="O105" s="87"/>
      <c r="P105" s="87"/>
      <c r="Q105" s="87"/>
      <c r="R105" s="87"/>
      <c r="S105" s="87">
        <v>1</v>
      </c>
      <c r="T105" s="87"/>
      <c r="U105" s="87">
        <v>1</v>
      </c>
      <c r="V105" s="90" t="s">
        <v>3412</v>
      </c>
    </row>
    <row r="106" ht="15" customHeight="1" spans="1:23" x14ac:dyDescent="0.25">
      <c r="A106" s="85">
        <v>543</v>
      </c>
      <c r="B106" s="85" t="s">
        <v>3413</v>
      </c>
      <c r="C106" s="85" t="s">
        <v>173</v>
      </c>
      <c r="D106" s="85" t="s">
        <v>163</v>
      </c>
      <c r="E106" s="85"/>
      <c r="F106" s="85" t="s">
        <v>157</v>
      </c>
      <c r="G106" s="85"/>
      <c r="H106" s="85"/>
      <c r="I106" s="86"/>
      <c r="J106" s="86"/>
      <c r="K106" s="87"/>
      <c r="L106" s="87"/>
      <c r="M106" s="88"/>
      <c r="N106" s="89"/>
      <c r="O106" s="87"/>
      <c r="P106" s="87"/>
      <c r="Q106" s="87"/>
      <c r="R106" s="87"/>
      <c r="S106" s="87">
        <v>0.8</v>
      </c>
      <c r="T106" s="87">
        <v>0.8</v>
      </c>
      <c r="U106" s="87">
        <v>0.8000000000000003</v>
      </c>
      <c r="V106" s="90" t="s">
        <v>3414</v>
      </c>
    </row>
    <row r="107" ht="15" customHeight="1" spans="1:23" x14ac:dyDescent="0.25">
      <c r="A107" s="85">
        <v>543</v>
      </c>
      <c r="B107" s="85" t="s">
        <v>3413</v>
      </c>
      <c r="C107" s="85" t="s">
        <v>173</v>
      </c>
      <c r="D107" s="85" t="s">
        <v>163</v>
      </c>
      <c r="E107" s="85"/>
      <c r="F107" s="85" t="s">
        <v>2472</v>
      </c>
      <c r="G107" s="85" t="s">
        <v>288</v>
      </c>
      <c r="H107" s="85" t="s">
        <v>3268</v>
      </c>
      <c r="I107" s="86">
        <v>65</v>
      </c>
      <c r="J107" s="86">
        <v>65</v>
      </c>
      <c r="K107" s="87">
        <v>1</v>
      </c>
      <c r="L107" s="87">
        <v>0.8</v>
      </c>
      <c r="M107" s="88">
        <v>0.8</v>
      </c>
      <c r="N107" s="89"/>
      <c r="O107" s="87"/>
      <c r="P107" s="87"/>
      <c r="Q107" s="87"/>
      <c r="R107" s="87"/>
      <c r="S107" s="87">
        <v>0.8</v>
      </c>
      <c r="T107" s="87"/>
      <c r="U107" s="87">
        <v>0.8000000000000003</v>
      </c>
      <c r="V107" s="90" t="s">
        <v>3414</v>
      </c>
    </row>
    <row r="108" ht="15" customHeight="1" spans="1:23" x14ac:dyDescent="0.25">
      <c r="A108" s="85">
        <v>544</v>
      </c>
      <c r="B108" s="85" t="s">
        <v>3415</v>
      </c>
      <c r="C108" s="85" t="s">
        <v>173</v>
      </c>
      <c r="D108" s="85" t="s">
        <v>163</v>
      </c>
      <c r="E108" s="85"/>
      <c r="F108" s="85" t="s">
        <v>157</v>
      </c>
      <c r="G108" s="85"/>
      <c r="H108" s="85"/>
      <c r="I108" s="86"/>
      <c r="J108" s="86"/>
      <c r="K108" s="87"/>
      <c r="L108" s="87"/>
      <c r="M108" s="88"/>
      <c r="N108" s="89"/>
      <c r="O108" s="87"/>
      <c r="P108" s="87"/>
      <c r="Q108" s="87"/>
      <c r="R108" s="87"/>
      <c r="S108" s="87">
        <v>0.8</v>
      </c>
      <c r="T108" s="87">
        <v>0.8</v>
      </c>
      <c r="U108" s="87">
        <v>0.8</v>
      </c>
      <c r="V108" s="90" t="s">
        <v>3416</v>
      </c>
    </row>
    <row r="109" ht="15" customHeight="1" spans="1:23" x14ac:dyDescent="0.25">
      <c r="A109" s="85">
        <v>544</v>
      </c>
      <c r="B109" s="85" t="s">
        <v>3415</v>
      </c>
      <c r="C109" s="85" t="s">
        <v>173</v>
      </c>
      <c r="D109" s="85" t="s">
        <v>163</v>
      </c>
      <c r="E109" s="85"/>
      <c r="F109" s="85" t="s">
        <v>2472</v>
      </c>
      <c r="G109" s="85" t="s">
        <v>288</v>
      </c>
      <c r="H109" s="85" t="s">
        <v>3268</v>
      </c>
      <c r="I109" s="86">
        <v>65</v>
      </c>
      <c r="J109" s="86">
        <v>65</v>
      </c>
      <c r="K109" s="87">
        <v>1</v>
      </c>
      <c r="L109" s="87">
        <v>1</v>
      </c>
      <c r="M109" s="88">
        <v>1</v>
      </c>
      <c r="N109" s="89">
        <v>0.2</v>
      </c>
      <c r="O109" s="87">
        <v>0.2</v>
      </c>
      <c r="P109" s="87"/>
      <c r="Q109" s="87"/>
      <c r="R109" s="87"/>
      <c r="S109" s="87">
        <v>0.8</v>
      </c>
      <c r="T109" s="87"/>
      <c r="U109" s="87">
        <v>0.8</v>
      </c>
      <c r="V109" s="90" t="s">
        <v>3416</v>
      </c>
    </row>
    <row r="110" ht="15" customHeight="1" spans="1:23" x14ac:dyDescent="0.25">
      <c r="A110" s="85">
        <v>545</v>
      </c>
      <c r="B110" s="85" t="s">
        <v>3417</v>
      </c>
      <c r="C110" s="85" t="s">
        <v>173</v>
      </c>
      <c r="D110" s="85" t="s">
        <v>163</v>
      </c>
      <c r="E110" s="85"/>
      <c r="F110" s="85" t="s">
        <v>157</v>
      </c>
      <c r="G110" s="85"/>
      <c r="H110" s="85"/>
      <c r="I110" s="86"/>
      <c r="J110" s="86"/>
      <c r="K110" s="87"/>
      <c r="L110" s="87"/>
      <c r="M110" s="88"/>
      <c r="N110" s="89"/>
      <c r="O110" s="87"/>
      <c r="P110" s="87"/>
      <c r="Q110" s="87"/>
      <c r="R110" s="87"/>
      <c r="S110" s="87">
        <v>1</v>
      </c>
      <c r="T110" s="87">
        <v>1</v>
      </c>
      <c r="U110" s="87">
        <v>1</v>
      </c>
      <c r="V110" s="90" t="s">
        <v>3418</v>
      </c>
    </row>
    <row r="111" ht="15" customHeight="1" spans="1:23" x14ac:dyDescent="0.25">
      <c r="A111" s="85">
        <v>545</v>
      </c>
      <c r="B111" s="85" t="s">
        <v>3417</v>
      </c>
      <c r="C111" s="85" t="s">
        <v>173</v>
      </c>
      <c r="D111" s="85" t="s">
        <v>163</v>
      </c>
      <c r="E111" s="85"/>
      <c r="F111" s="85" t="s">
        <v>2472</v>
      </c>
      <c r="G111" s="85" t="s">
        <v>288</v>
      </c>
      <c r="H111" s="85" t="s">
        <v>3268</v>
      </c>
      <c r="I111" s="86">
        <v>65</v>
      </c>
      <c r="J111" s="86">
        <v>65</v>
      </c>
      <c r="K111" s="87">
        <v>1</v>
      </c>
      <c r="L111" s="87">
        <v>1</v>
      </c>
      <c r="M111" s="88">
        <v>1</v>
      </c>
      <c r="N111" s="89"/>
      <c r="O111" s="87"/>
      <c r="P111" s="87"/>
      <c r="Q111" s="87"/>
      <c r="R111" s="87"/>
      <c r="S111" s="87">
        <v>1</v>
      </c>
      <c r="T111" s="87"/>
      <c r="U111" s="87">
        <v>1</v>
      </c>
      <c r="V111" s="90" t="s">
        <v>3419</v>
      </c>
    </row>
    <row r="112" ht="15" customHeight="1" spans="1:23" x14ac:dyDescent="0.25">
      <c r="A112" s="85">
        <v>546</v>
      </c>
      <c r="B112" s="85" t="s">
        <v>3420</v>
      </c>
      <c r="C112" s="85" t="s">
        <v>173</v>
      </c>
      <c r="D112" s="85" t="s">
        <v>593</v>
      </c>
      <c r="E112" s="85"/>
      <c r="F112" s="85" t="s">
        <v>157</v>
      </c>
      <c r="G112" s="85"/>
      <c r="H112" s="85"/>
      <c r="I112" s="86"/>
      <c r="J112" s="86"/>
      <c r="K112" s="87"/>
      <c r="L112" s="87"/>
      <c r="M112" s="88"/>
      <c r="N112" s="89"/>
      <c r="O112" s="87"/>
      <c r="P112" s="87"/>
      <c r="Q112" s="87"/>
      <c r="R112" s="87"/>
      <c r="S112" s="87">
        <v>0.8</v>
      </c>
      <c r="T112" s="87">
        <v>0.8</v>
      </c>
      <c r="U112" s="87">
        <v>0.8</v>
      </c>
      <c r="V112" s="90" t="s">
        <v>3421</v>
      </c>
    </row>
    <row r="113" ht="15" customHeight="1" spans="1:23" x14ac:dyDescent="0.25">
      <c r="A113" s="85">
        <v>546</v>
      </c>
      <c r="B113" s="85" t="s">
        <v>3420</v>
      </c>
      <c r="C113" s="85" t="s">
        <v>173</v>
      </c>
      <c r="D113" s="85" t="s">
        <v>593</v>
      </c>
      <c r="E113" s="85"/>
      <c r="F113" s="85" t="s">
        <v>2472</v>
      </c>
      <c r="G113" s="85" t="s">
        <v>288</v>
      </c>
      <c r="H113" s="85" t="s">
        <v>3268</v>
      </c>
      <c r="I113" s="86">
        <v>65</v>
      </c>
      <c r="J113" s="86">
        <v>65</v>
      </c>
      <c r="K113" s="87">
        <v>1</v>
      </c>
      <c r="L113" s="87">
        <v>0.8</v>
      </c>
      <c r="M113" s="88">
        <v>0.8</v>
      </c>
      <c r="N113" s="89"/>
      <c r="O113" s="87"/>
      <c r="P113" s="87"/>
      <c r="Q113" s="87"/>
      <c r="R113" s="87"/>
      <c r="S113" s="87">
        <v>0.8</v>
      </c>
      <c r="T113" s="87"/>
      <c r="U113" s="87">
        <v>0.8</v>
      </c>
      <c r="V113" s="90" t="s">
        <v>3421</v>
      </c>
    </row>
    <row r="114" ht="15" customHeight="1" spans="1:23" x14ac:dyDescent="0.25">
      <c r="A114" s="85">
        <v>547</v>
      </c>
      <c r="B114" s="85" t="s">
        <v>3422</v>
      </c>
      <c r="C114" s="85" t="s">
        <v>173</v>
      </c>
      <c r="D114" s="85" t="s">
        <v>163</v>
      </c>
      <c r="E114" s="85"/>
      <c r="F114" s="85" t="s">
        <v>157</v>
      </c>
      <c r="G114" s="85"/>
      <c r="H114" s="85"/>
      <c r="I114" s="86"/>
      <c r="J114" s="86"/>
      <c r="K114" s="87"/>
      <c r="L114" s="87"/>
      <c r="M114" s="88"/>
      <c r="N114" s="89"/>
      <c r="O114" s="87"/>
      <c r="P114" s="87"/>
      <c r="Q114" s="87"/>
      <c r="R114" s="87"/>
      <c r="S114" s="87">
        <v>1</v>
      </c>
      <c r="T114" s="87">
        <v>1</v>
      </c>
      <c r="U114" s="87">
        <v>1</v>
      </c>
      <c r="V114" s="90" t="s">
        <v>3423</v>
      </c>
    </row>
    <row r="115" ht="15" customHeight="1" spans="1:23" x14ac:dyDescent="0.25">
      <c r="A115" s="85">
        <v>547</v>
      </c>
      <c r="B115" s="85" t="s">
        <v>3422</v>
      </c>
      <c r="C115" s="85" t="s">
        <v>173</v>
      </c>
      <c r="D115" s="85" t="s">
        <v>163</v>
      </c>
      <c r="E115" s="85"/>
      <c r="F115" s="85" t="s">
        <v>2472</v>
      </c>
      <c r="G115" s="85" t="s">
        <v>288</v>
      </c>
      <c r="H115" s="85" t="s">
        <v>3268</v>
      </c>
      <c r="I115" s="86">
        <v>65</v>
      </c>
      <c r="J115" s="86">
        <v>65</v>
      </c>
      <c r="K115" s="87">
        <v>1</v>
      </c>
      <c r="L115" s="87">
        <v>1</v>
      </c>
      <c r="M115" s="88">
        <v>1</v>
      </c>
      <c r="N115" s="89"/>
      <c r="O115" s="87"/>
      <c r="P115" s="87"/>
      <c r="Q115" s="87"/>
      <c r="R115" s="87"/>
      <c r="S115" s="87">
        <v>1</v>
      </c>
      <c r="T115" s="87"/>
      <c r="U115" s="87">
        <v>1</v>
      </c>
      <c r="V115" s="90" t="s">
        <v>3424</v>
      </c>
    </row>
    <row r="116" ht="15" customHeight="1" spans="1:23" x14ac:dyDescent="0.25">
      <c r="A116" s="85">
        <v>548</v>
      </c>
      <c r="B116" s="85" t="s">
        <v>3425</v>
      </c>
      <c r="C116" s="85" t="s">
        <v>173</v>
      </c>
      <c r="D116" s="85" t="s">
        <v>278</v>
      </c>
      <c r="E116" s="85"/>
      <c r="F116" s="85" t="s">
        <v>157</v>
      </c>
      <c r="G116" s="85"/>
      <c r="H116" s="85"/>
      <c r="I116" s="86"/>
      <c r="J116" s="86"/>
      <c r="K116" s="87"/>
      <c r="L116" s="87"/>
      <c r="M116" s="88"/>
      <c r="N116" s="89"/>
      <c r="O116" s="87"/>
      <c r="P116" s="87"/>
      <c r="Q116" s="87"/>
      <c r="R116" s="87"/>
      <c r="S116" s="87">
        <v>1</v>
      </c>
      <c r="T116" s="87">
        <v>1</v>
      </c>
      <c r="U116" s="87">
        <v>1</v>
      </c>
      <c r="V116" s="90" t="s">
        <v>3426</v>
      </c>
    </row>
    <row r="117" ht="15" customHeight="1" spans="1:23" x14ac:dyDescent="0.25">
      <c r="A117" s="85">
        <v>548</v>
      </c>
      <c r="B117" s="85" t="s">
        <v>3425</v>
      </c>
      <c r="C117" s="85" t="s">
        <v>173</v>
      </c>
      <c r="D117" s="85" t="s">
        <v>278</v>
      </c>
      <c r="E117" s="85"/>
      <c r="F117" s="85" t="s">
        <v>2472</v>
      </c>
      <c r="G117" s="85" t="s">
        <v>288</v>
      </c>
      <c r="H117" s="85" t="s">
        <v>3268</v>
      </c>
      <c r="I117" s="86">
        <v>65</v>
      </c>
      <c r="J117" s="86">
        <v>65</v>
      </c>
      <c r="K117" s="87">
        <v>1</v>
      </c>
      <c r="L117" s="87">
        <v>1</v>
      </c>
      <c r="M117" s="88">
        <v>1</v>
      </c>
      <c r="N117" s="89"/>
      <c r="O117" s="87"/>
      <c r="P117" s="87"/>
      <c r="Q117" s="87"/>
      <c r="R117" s="87"/>
      <c r="S117" s="87">
        <v>1</v>
      </c>
      <c r="T117" s="87"/>
      <c r="U117" s="87">
        <v>1</v>
      </c>
      <c r="V117" s="90" t="s">
        <v>3427</v>
      </c>
    </row>
    <row r="118" ht="15" customHeight="1" spans="1:23" x14ac:dyDescent="0.25">
      <c r="A118" s="85">
        <v>549</v>
      </c>
      <c r="B118" s="85" t="s">
        <v>3428</v>
      </c>
      <c r="C118" s="85" t="s">
        <v>173</v>
      </c>
      <c r="D118" s="85" t="s">
        <v>163</v>
      </c>
      <c r="E118" s="85"/>
      <c r="F118" s="85" t="s">
        <v>157</v>
      </c>
      <c r="G118" s="85"/>
      <c r="H118" s="85"/>
      <c r="I118" s="86"/>
      <c r="J118" s="86"/>
      <c r="K118" s="87"/>
      <c r="L118" s="87"/>
      <c r="M118" s="88"/>
      <c r="N118" s="89"/>
      <c r="O118" s="87"/>
      <c r="P118" s="87"/>
      <c r="Q118" s="87"/>
      <c r="R118" s="87"/>
      <c r="S118" s="87">
        <v>1</v>
      </c>
      <c r="T118" s="87">
        <v>1</v>
      </c>
      <c r="U118" s="87">
        <v>0.9999999999999999</v>
      </c>
      <c r="V118" s="90" t="s">
        <v>3429</v>
      </c>
    </row>
    <row r="119" ht="15" customHeight="1" spans="1:23" x14ac:dyDescent="0.25">
      <c r="A119" s="85">
        <v>549</v>
      </c>
      <c r="B119" s="85" t="s">
        <v>3428</v>
      </c>
      <c r="C119" s="85" t="s">
        <v>173</v>
      </c>
      <c r="D119" s="85" t="s">
        <v>163</v>
      </c>
      <c r="E119" s="85"/>
      <c r="F119" s="85" t="s">
        <v>2472</v>
      </c>
      <c r="G119" s="85" t="s">
        <v>288</v>
      </c>
      <c r="H119" s="85" t="s">
        <v>3268</v>
      </c>
      <c r="I119" s="86">
        <v>65</v>
      </c>
      <c r="J119" s="86">
        <v>65</v>
      </c>
      <c r="K119" s="87">
        <v>1</v>
      </c>
      <c r="L119" s="87">
        <v>1</v>
      </c>
      <c r="M119" s="88">
        <v>1</v>
      </c>
      <c r="N119" s="89"/>
      <c r="O119" s="87"/>
      <c r="P119" s="87"/>
      <c r="Q119" s="87"/>
      <c r="R119" s="87"/>
      <c r="S119" s="87">
        <v>1</v>
      </c>
      <c r="T119" s="87"/>
      <c r="U119" s="87">
        <v>0.9999999999999999</v>
      </c>
      <c r="V119" s="90" t="s">
        <v>3429</v>
      </c>
    </row>
    <row r="120" ht="15" customHeight="1" spans="1:23" x14ac:dyDescent="0.25">
      <c r="A120" s="85">
        <v>550</v>
      </c>
      <c r="B120" s="85" t="s">
        <v>3430</v>
      </c>
      <c r="C120" s="85" t="s">
        <v>173</v>
      </c>
      <c r="D120" s="85" t="s">
        <v>163</v>
      </c>
      <c r="E120" s="85"/>
      <c r="F120" s="85" t="s">
        <v>157</v>
      </c>
      <c r="G120" s="85"/>
      <c r="H120" s="85"/>
      <c r="I120" s="86"/>
      <c r="J120" s="86"/>
      <c r="K120" s="87"/>
      <c r="L120" s="87"/>
      <c r="M120" s="88"/>
      <c r="N120" s="89"/>
      <c r="O120" s="87"/>
      <c r="P120" s="87"/>
      <c r="Q120" s="87"/>
      <c r="R120" s="87"/>
      <c r="S120" s="87">
        <v>1</v>
      </c>
      <c r="T120" s="87">
        <v>1</v>
      </c>
      <c r="U120" s="87">
        <v>1</v>
      </c>
      <c r="V120" s="90" t="s">
        <v>3431</v>
      </c>
    </row>
    <row r="121" ht="15" customHeight="1" spans="1:23" x14ac:dyDescent="0.25">
      <c r="A121" s="85">
        <v>550</v>
      </c>
      <c r="B121" s="85" t="s">
        <v>3430</v>
      </c>
      <c r="C121" s="85" t="s">
        <v>173</v>
      </c>
      <c r="D121" s="85" t="s">
        <v>163</v>
      </c>
      <c r="E121" s="85"/>
      <c r="F121" s="85" t="s">
        <v>2472</v>
      </c>
      <c r="G121" s="85" t="s">
        <v>288</v>
      </c>
      <c r="H121" s="85" t="s">
        <v>3268</v>
      </c>
      <c r="I121" s="86">
        <v>65</v>
      </c>
      <c r="J121" s="86">
        <v>65</v>
      </c>
      <c r="K121" s="87">
        <v>1</v>
      </c>
      <c r="L121" s="87">
        <v>1</v>
      </c>
      <c r="M121" s="88">
        <v>1</v>
      </c>
      <c r="N121" s="89"/>
      <c r="O121" s="87"/>
      <c r="P121" s="87"/>
      <c r="Q121" s="87"/>
      <c r="R121" s="87"/>
      <c r="S121" s="87">
        <v>1</v>
      </c>
      <c r="T121" s="87"/>
      <c r="U121" s="87">
        <v>1</v>
      </c>
      <c r="V121" s="90" t="s">
        <v>3432</v>
      </c>
    </row>
    <row r="122" ht="15" customHeight="1" spans="1:23" x14ac:dyDescent="0.25">
      <c r="A122" s="85">
        <v>551</v>
      </c>
      <c r="B122" s="85" t="s">
        <v>3433</v>
      </c>
      <c r="C122" s="85" t="s">
        <v>173</v>
      </c>
      <c r="D122" s="85" t="s">
        <v>175</v>
      </c>
      <c r="E122" s="85"/>
      <c r="F122" s="85" t="s">
        <v>157</v>
      </c>
      <c r="G122" s="85"/>
      <c r="H122" s="85"/>
      <c r="I122" s="86"/>
      <c r="J122" s="86"/>
      <c r="K122" s="87"/>
      <c r="L122" s="87"/>
      <c r="M122" s="88"/>
      <c r="N122" s="89"/>
      <c r="O122" s="87"/>
      <c r="P122" s="87"/>
      <c r="Q122" s="87"/>
      <c r="R122" s="87"/>
      <c r="S122" s="87">
        <v>1</v>
      </c>
      <c r="T122" s="87">
        <v>1</v>
      </c>
      <c r="U122" s="87">
        <v>1</v>
      </c>
      <c r="V122" s="90" t="s">
        <v>3434</v>
      </c>
    </row>
    <row r="123" ht="15" customHeight="1" spans="1:23" x14ac:dyDescent="0.25">
      <c r="A123" s="85">
        <v>551</v>
      </c>
      <c r="B123" s="85" t="s">
        <v>3433</v>
      </c>
      <c r="C123" s="85" t="s">
        <v>173</v>
      </c>
      <c r="D123" s="85" t="s">
        <v>175</v>
      </c>
      <c r="E123" s="85"/>
      <c r="F123" s="85" t="s">
        <v>2472</v>
      </c>
      <c r="G123" s="85" t="s">
        <v>288</v>
      </c>
      <c r="H123" s="85" t="s">
        <v>3268</v>
      </c>
      <c r="I123" s="86">
        <v>65</v>
      </c>
      <c r="J123" s="86">
        <v>65</v>
      </c>
      <c r="K123" s="87">
        <v>1</v>
      </c>
      <c r="L123" s="87">
        <v>1</v>
      </c>
      <c r="M123" s="88">
        <v>1</v>
      </c>
      <c r="N123" s="89"/>
      <c r="O123" s="87"/>
      <c r="P123" s="87"/>
      <c r="Q123" s="87"/>
      <c r="R123" s="87"/>
      <c r="S123" s="87">
        <v>1</v>
      </c>
      <c r="T123" s="87"/>
      <c r="U123" s="87">
        <v>1</v>
      </c>
      <c r="V123" s="90" t="s">
        <v>3434</v>
      </c>
    </row>
    <row r="124" ht="15" customHeight="1" spans="1:23" x14ac:dyDescent="0.25">
      <c r="A124" s="85">
        <v>552</v>
      </c>
      <c r="B124" s="85" t="s">
        <v>3435</v>
      </c>
      <c r="C124" s="85" t="s">
        <v>173</v>
      </c>
      <c r="D124" s="85" t="s">
        <v>163</v>
      </c>
      <c r="E124" s="85"/>
      <c r="F124" s="85" t="s">
        <v>157</v>
      </c>
      <c r="G124" s="85"/>
      <c r="H124" s="85"/>
      <c r="I124" s="86"/>
      <c r="J124" s="86"/>
      <c r="K124" s="87"/>
      <c r="L124" s="87"/>
      <c r="M124" s="88"/>
      <c r="N124" s="89"/>
      <c r="O124" s="87"/>
      <c r="P124" s="87"/>
      <c r="Q124" s="87"/>
      <c r="R124" s="87"/>
      <c r="S124" s="87">
        <v>1</v>
      </c>
      <c r="T124" s="87">
        <v>1</v>
      </c>
      <c r="U124" s="87">
        <v>1</v>
      </c>
      <c r="V124" s="90" t="s">
        <v>3436</v>
      </c>
    </row>
    <row r="125" ht="15" customHeight="1" spans="1:23" x14ac:dyDescent="0.25">
      <c r="A125" s="85">
        <v>552</v>
      </c>
      <c r="B125" s="85" t="s">
        <v>3435</v>
      </c>
      <c r="C125" s="85" t="s">
        <v>173</v>
      </c>
      <c r="D125" s="85" t="s">
        <v>163</v>
      </c>
      <c r="E125" s="85"/>
      <c r="F125" s="85" t="s">
        <v>2472</v>
      </c>
      <c r="G125" s="85" t="s">
        <v>288</v>
      </c>
      <c r="H125" s="85" t="s">
        <v>3268</v>
      </c>
      <c r="I125" s="86">
        <v>65</v>
      </c>
      <c r="J125" s="86">
        <v>65</v>
      </c>
      <c r="K125" s="87">
        <v>1</v>
      </c>
      <c r="L125" s="87">
        <v>1</v>
      </c>
      <c r="M125" s="88">
        <v>1</v>
      </c>
      <c r="N125" s="89"/>
      <c r="O125" s="87"/>
      <c r="P125" s="87"/>
      <c r="Q125" s="87"/>
      <c r="R125" s="87"/>
      <c r="S125" s="87">
        <v>1</v>
      </c>
      <c r="T125" s="87"/>
      <c r="U125" s="87">
        <v>1</v>
      </c>
      <c r="V125" s="90" t="s">
        <v>3436</v>
      </c>
    </row>
    <row r="126" ht="15" customHeight="1" spans="1:23" x14ac:dyDescent="0.25">
      <c r="A126" s="85">
        <v>553</v>
      </c>
      <c r="B126" s="85" t="s">
        <v>3437</v>
      </c>
      <c r="C126" s="85" t="s">
        <v>173</v>
      </c>
      <c r="D126" s="85" t="s">
        <v>163</v>
      </c>
      <c r="E126" s="85"/>
      <c r="F126" s="85" t="s">
        <v>157</v>
      </c>
      <c r="G126" s="85"/>
      <c r="H126" s="85"/>
      <c r="I126" s="86"/>
      <c r="J126" s="86"/>
      <c r="K126" s="87"/>
      <c r="L126" s="87"/>
      <c r="M126" s="88"/>
      <c r="N126" s="89"/>
      <c r="O126" s="87"/>
      <c r="P126" s="87"/>
      <c r="Q126" s="87"/>
      <c r="R126" s="87"/>
      <c r="S126" s="87">
        <v>1</v>
      </c>
      <c r="T126" s="87">
        <v>1</v>
      </c>
      <c r="U126" s="87">
        <v>1</v>
      </c>
      <c r="V126" s="90" t="s">
        <v>3438</v>
      </c>
    </row>
    <row r="127" ht="15" customHeight="1" spans="1:23" x14ac:dyDescent="0.25">
      <c r="A127" s="85">
        <v>553</v>
      </c>
      <c r="B127" s="85" t="s">
        <v>3437</v>
      </c>
      <c r="C127" s="85" t="s">
        <v>173</v>
      </c>
      <c r="D127" s="85" t="s">
        <v>163</v>
      </c>
      <c r="E127" s="85"/>
      <c r="F127" s="85" t="s">
        <v>2472</v>
      </c>
      <c r="G127" s="85" t="s">
        <v>288</v>
      </c>
      <c r="H127" s="85" t="s">
        <v>3268</v>
      </c>
      <c r="I127" s="86">
        <v>65</v>
      </c>
      <c r="J127" s="86">
        <v>65</v>
      </c>
      <c r="K127" s="87">
        <v>1</v>
      </c>
      <c r="L127" s="87">
        <v>1</v>
      </c>
      <c r="M127" s="88">
        <v>1</v>
      </c>
      <c r="N127" s="89"/>
      <c r="O127" s="87"/>
      <c r="P127" s="87"/>
      <c r="Q127" s="87"/>
      <c r="R127" s="87"/>
      <c r="S127" s="87">
        <v>1</v>
      </c>
      <c r="T127" s="87"/>
      <c r="U127" s="87">
        <v>1</v>
      </c>
      <c r="V127" s="90" t="s">
        <v>3438</v>
      </c>
    </row>
    <row r="128" ht="15" customHeight="1" spans="1:23" x14ac:dyDescent="0.25">
      <c r="A128" s="85">
        <v>554</v>
      </c>
      <c r="B128" s="85" t="s">
        <v>3439</v>
      </c>
      <c r="C128" s="85" t="s">
        <v>173</v>
      </c>
      <c r="D128" s="85" t="s">
        <v>163</v>
      </c>
      <c r="E128" s="85"/>
      <c r="F128" s="85" t="s">
        <v>157</v>
      </c>
      <c r="G128" s="85"/>
      <c r="H128" s="85"/>
      <c r="I128" s="86"/>
      <c r="J128" s="86"/>
      <c r="K128" s="87"/>
      <c r="L128" s="87"/>
      <c r="M128" s="88"/>
      <c r="N128" s="89"/>
      <c r="O128" s="87"/>
      <c r="P128" s="87"/>
      <c r="Q128" s="87"/>
      <c r="R128" s="87"/>
      <c r="S128" s="87">
        <v>1</v>
      </c>
      <c r="T128" s="87">
        <v>1</v>
      </c>
      <c r="U128" s="87">
        <v>1</v>
      </c>
      <c r="V128" s="90" t="s">
        <v>3440</v>
      </c>
    </row>
    <row r="129" ht="15" customHeight="1" spans="1:23" x14ac:dyDescent="0.25">
      <c r="A129" s="85">
        <v>554</v>
      </c>
      <c r="B129" s="85" t="s">
        <v>3439</v>
      </c>
      <c r="C129" s="85" t="s">
        <v>173</v>
      </c>
      <c r="D129" s="85" t="s">
        <v>163</v>
      </c>
      <c r="E129" s="85"/>
      <c r="F129" s="85" t="s">
        <v>2472</v>
      </c>
      <c r="G129" s="85" t="s">
        <v>288</v>
      </c>
      <c r="H129" s="85" t="s">
        <v>3268</v>
      </c>
      <c r="I129" s="86">
        <v>65</v>
      </c>
      <c r="J129" s="86">
        <v>65</v>
      </c>
      <c r="K129" s="87">
        <v>1</v>
      </c>
      <c r="L129" s="87">
        <v>1</v>
      </c>
      <c r="M129" s="88">
        <v>1</v>
      </c>
      <c r="N129" s="89"/>
      <c r="O129" s="87"/>
      <c r="P129" s="87"/>
      <c r="Q129" s="87"/>
      <c r="R129" s="87"/>
      <c r="S129" s="87">
        <v>1</v>
      </c>
      <c r="T129" s="87"/>
      <c r="U129" s="87">
        <v>1</v>
      </c>
      <c r="V129" s="90" t="s">
        <v>3440</v>
      </c>
    </row>
    <row r="130" ht="15" customHeight="1" spans="1:23" x14ac:dyDescent="0.25">
      <c r="A130" s="85">
        <v>555</v>
      </c>
      <c r="B130" s="85" t="s">
        <v>3441</v>
      </c>
      <c r="C130" s="85" t="s">
        <v>173</v>
      </c>
      <c r="D130" s="85" t="s">
        <v>163</v>
      </c>
      <c r="E130" s="85"/>
      <c r="F130" s="85" t="s">
        <v>157</v>
      </c>
      <c r="G130" s="85"/>
      <c r="H130" s="85"/>
      <c r="I130" s="86"/>
      <c r="J130" s="86"/>
      <c r="K130" s="87"/>
      <c r="L130" s="87"/>
      <c r="M130" s="88"/>
      <c r="N130" s="89"/>
      <c r="O130" s="87"/>
      <c r="P130" s="87"/>
      <c r="Q130" s="87"/>
      <c r="R130" s="87"/>
      <c r="S130" s="87">
        <v>1</v>
      </c>
      <c r="T130" s="87">
        <v>1</v>
      </c>
      <c r="U130" s="87">
        <v>1</v>
      </c>
      <c r="V130" s="90" t="s">
        <v>3442</v>
      </c>
    </row>
    <row r="131" ht="15" customHeight="1" spans="1:23" x14ac:dyDescent="0.25">
      <c r="A131" s="85">
        <v>555</v>
      </c>
      <c r="B131" s="85" t="s">
        <v>3441</v>
      </c>
      <c r="C131" s="85" t="s">
        <v>173</v>
      </c>
      <c r="D131" s="85" t="s">
        <v>163</v>
      </c>
      <c r="E131" s="85"/>
      <c r="F131" s="85" t="s">
        <v>2472</v>
      </c>
      <c r="G131" s="85" t="s">
        <v>288</v>
      </c>
      <c r="H131" s="85" t="s">
        <v>3268</v>
      </c>
      <c r="I131" s="86">
        <v>65</v>
      </c>
      <c r="J131" s="86">
        <v>65</v>
      </c>
      <c r="K131" s="87">
        <v>1</v>
      </c>
      <c r="L131" s="87">
        <v>1</v>
      </c>
      <c r="M131" s="88">
        <v>1</v>
      </c>
      <c r="N131" s="89"/>
      <c r="O131" s="87"/>
      <c r="P131" s="87"/>
      <c r="Q131" s="87"/>
      <c r="R131" s="87"/>
      <c r="S131" s="87">
        <v>1</v>
      </c>
      <c r="T131" s="87"/>
      <c r="U131" s="87">
        <v>1</v>
      </c>
      <c r="V131" s="90" t="s">
        <v>3442</v>
      </c>
    </row>
    <row r="132" ht="15" customHeight="1" spans="1:23" x14ac:dyDescent="0.25">
      <c r="A132" s="85">
        <v>556</v>
      </c>
      <c r="B132" s="85" t="s">
        <v>3443</v>
      </c>
      <c r="C132" s="85" t="s">
        <v>173</v>
      </c>
      <c r="D132" s="85" t="s">
        <v>163</v>
      </c>
      <c r="E132" s="85"/>
      <c r="F132" s="85" t="s">
        <v>157</v>
      </c>
      <c r="G132" s="85"/>
      <c r="H132" s="85"/>
      <c r="I132" s="86"/>
      <c r="J132" s="86"/>
      <c r="K132" s="87"/>
      <c r="L132" s="87"/>
      <c r="M132" s="88"/>
      <c r="N132" s="89"/>
      <c r="O132" s="87"/>
      <c r="P132" s="87"/>
      <c r="Q132" s="87"/>
      <c r="R132" s="87"/>
      <c r="S132" s="87">
        <v>1</v>
      </c>
      <c r="T132" s="87">
        <v>1</v>
      </c>
      <c r="U132" s="87">
        <v>1</v>
      </c>
      <c r="V132" s="90" t="s">
        <v>3444</v>
      </c>
    </row>
    <row r="133" ht="15" customHeight="1" spans="1:23" x14ac:dyDescent="0.25">
      <c r="A133" s="85">
        <v>556</v>
      </c>
      <c r="B133" s="85" t="s">
        <v>3443</v>
      </c>
      <c r="C133" s="85" t="s">
        <v>173</v>
      </c>
      <c r="D133" s="85" t="s">
        <v>163</v>
      </c>
      <c r="E133" s="85"/>
      <c r="F133" s="85" t="s">
        <v>2472</v>
      </c>
      <c r="G133" s="85" t="s">
        <v>288</v>
      </c>
      <c r="H133" s="85" t="s">
        <v>3268</v>
      </c>
      <c r="I133" s="86">
        <v>65</v>
      </c>
      <c r="J133" s="86">
        <v>65</v>
      </c>
      <c r="K133" s="87">
        <v>1</v>
      </c>
      <c r="L133" s="87">
        <v>1</v>
      </c>
      <c r="M133" s="88">
        <v>1</v>
      </c>
      <c r="N133" s="89"/>
      <c r="O133" s="87"/>
      <c r="P133" s="87"/>
      <c r="Q133" s="87"/>
      <c r="R133" s="87"/>
      <c r="S133" s="87">
        <v>1</v>
      </c>
      <c r="T133" s="87"/>
      <c r="U133" s="87">
        <v>1</v>
      </c>
      <c r="V133" s="90" t="s">
        <v>3444</v>
      </c>
    </row>
    <row r="134" ht="15" customHeight="1" spans="1:23" x14ac:dyDescent="0.25">
      <c r="A134" s="85">
        <v>557</v>
      </c>
      <c r="B134" s="85" t="s">
        <v>3445</v>
      </c>
      <c r="C134" s="85" t="s">
        <v>173</v>
      </c>
      <c r="D134" s="85" t="s">
        <v>163</v>
      </c>
      <c r="E134" s="85"/>
      <c r="F134" s="85" t="s">
        <v>157</v>
      </c>
      <c r="G134" s="85"/>
      <c r="H134" s="85"/>
      <c r="I134" s="86"/>
      <c r="J134" s="86"/>
      <c r="K134" s="87"/>
      <c r="L134" s="87"/>
      <c r="M134" s="88"/>
      <c r="N134" s="89"/>
      <c r="O134" s="87"/>
      <c r="P134" s="87"/>
      <c r="Q134" s="87"/>
      <c r="R134" s="87"/>
      <c r="S134" s="87">
        <v>1</v>
      </c>
      <c r="T134" s="87">
        <v>1</v>
      </c>
      <c r="U134" s="87">
        <v>0.75</v>
      </c>
      <c r="V134" s="90" t="s">
        <v>3446</v>
      </c>
    </row>
    <row r="135" ht="15" customHeight="1" spans="1:23" x14ac:dyDescent="0.25">
      <c r="A135" s="85">
        <v>557</v>
      </c>
      <c r="B135" s="85" t="s">
        <v>3445</v>
      </c>
      <c r="C135" s="85" t="s">
        <v>173</v>
      </c>
      <c r="D135" s="85" t="s">
        <v>163</v>
      </c>
      <c r="E135" s="85"/>
      <c r="F135" s="85" t="s">
        <v>2472</v>
      </c>
      <c r="G135" s="85" t="s">
        <v>288</v>
      </c>
      <c r="H135" s="85" t="s">
        <v>3268</v>
      </c>
      <c r="I135" s="86">
        <v>65</v>
      </c>
      <c r="J135" s="86">
        <v>65</v>
      </c>
      <c r="K135" s="87">
        <v>1</v>
      </c>
      <c r="L135" s="87">
        <v>1</v>
      </c>
      <c r="M135" s="88">
        <v>1</v>
      </c>
      <c r="N135" s="89"/>
      <c r="O135" s="87"/>
      <c r="P135" s="87"/>
      <c r="Q135" s="87"/>
      <c r="R135" s="87"/>
      <c r="S135" s="87">
        <v>1</v>
      </c>
      <c r="T135" s="87"/>
      <c r="U135" s="87">
        <v>0.75</v>
      </c>
      <c r="V135" s="90" t="s">
        <v>3447</v>
      </c>
    </row>
    <row r="136" ht="15" customHeight="1" spans="1:23" x14ac:dyDescent="0.25">
      <c r="A136" s="85">
        <v>559</v>
      </c>
      <c r="B136" s="85" t="s">
        <v>3448</v>
      </c>
      <c r="C136" s="85" t="s">
        <v>173</v>
      </c>
      <c r="D136" s="85" t="s">
        <v>163</v>
      </c>
      <c r="E136" s="85"/>
      <c r="F136" s="85" t="s">
        <v>157</v>
      </c>
      <c r="G136" s="85"/>
      <c r="H136" s="85"/>
      <c r="I136" s="86"/>
      <c r="J136" s="86"/>
      <c r="K136" s="87"/>
      <c r="L136" s="87"/>
      <c r="M136" s="88"/>
      <c r="N136" s="89"/>
      <c r="O136" s="87"/>
      <c r="P136" s="87"/>
      <c r="Q136" s="87"/>
      <c r="R136" s="87"/>
      <c r="S136" s="87">
        <v>1</v>
      </c>
      <c r="T136" s="87">
        <v>1</v>
      </c>
      <c r="U136" s="87">
        <v>1</v>
      </c>
      <c r="V136" s="90" t="s">
        <v>3449</v>
      </c>
    </row>
    <row r="137" ht="15" customHeight="1" spans="1:23" x14ac:dyDescent="0.25">
      <c r="A137" s="85">
        <v>559</v>
      </c>
      <c r="B137" s="85" t="s">
        <v>3448</v>
      </c>
      <c r="C137" s="85" t="s">
        <v>173</v>
      </c>
      <c r="D137" s="85" t="s">
        <v>163</v>
      </c>
      <c r="E137" s="85"/>
      <c r="F137" s="85" t="s">
        <v>2472</v>
      </c>
      <c r="G137" s="85" t="s">
        <v>288</v>
      </c>
      <c r="H137" s="85" t="s">
        <v>3268</v>
      </c>
      <c r="I137" s="86">
        <v>65</v>
      </c>
      <c r="J137" s="86">
        <v>65</v>
      </c>
      <c r="K137" s="87">
        <v>1</v>
      </c>
      <c r="L137" s="87">
        <v>1</v>
      </c>
      <c r="M137" s="88">
        <v>1</v>
      </c>
      <c r="N137" s="89"/>
      <c r="O137" s="87"/>
      <c r="P137" s="87"/>
      <c r="Q137" s="87"/>
      <c r="R137" s="87"/>
      <c r="S137" s="87">
        <v>1</v>
      </c>
      <c r="T137" s="87"/>
      <c r="U137" s="87">
        <v>1</v>
      </c>
      <c r="V137" s="90" t="s">
        <v>3449</v>
      </c>
    </row>
    <row r="138" ht="15" customHeight="1" spans="1:23" x14ac:dyDescent="0.25">
      <c r="A138" s="85">
        <v>560</v>
      </c>
      <c r="B138" s="85" t="s">
        <v>3450</v>
      </c>
      <c r="C138" s="85" t="s">
        <v>173</v>
      </c>
      <c r="D138" s="85" t="s">
        <v>163</v>
      </c>
      <c r="E138" s="85"/>
      <c r="F138" s="85" t="s">
        <v>157</v>
      </c>
      <c r="G138" s="85"/>
      <c r="H138" s="85"/>
      <c r="I138" s="86"/>
      <c r="J138" s="86"/>
      <c r="K138" s="87"/>
      <c r="L138" s="87"/>
      <c r="M138" s="88"/>
      <c r="N138" s="89"/>
      <c r="O138" s="87"/>
      <c r="P138" s="87"/>
      <c r="Q138" s="87"/>
      <c r="R138" s="87"/>
      <c r="S138" s="87">
        <v>1</v>
      </c>
      <c r="T138" s="87">
        <v>1</v>
      </c>
      <c r="U138" s="87">
        <v>1</v>
      </c>
      <c r="V138" s="90" t="s">
        <v>3451</v>
      </c>
    </row>
    <row r="139" ht="15" customHeight="1" spans="1:23" x14ac:dyDescent="0.25">
      <c r="A139" s="85">
        <v>560</v>
      </c>
      <c r="B139" s="85" t="s">
        <v>3450</v>
      </c>
      <c r="C139" s="85" t="s">
        <v>173</v>
      </c>
      <c r="D139" s="85" t="s">
        <v>163</v>
      </c>
      <c r="E139" s="85"/>
      <c r="F139" s="85" t="s">
        <v>2472</v>
      </c>
      <c r="G139" s="85" t="s">
        <v>288</v>
      </c>
      <c r="H139" s="85" t="s">
        <v>3268</v>
      </c>
      <c r="I139" s="86">
        <v>65</v>
      </c>
      <c r="J139" s="86">
        <v>65</v>
      </c>
      <c r="K139" s="87">
        <v>1</v>
      </c>
      <c r="L139" s="87">
        <v>1</v>
      </c>
      <c r="M139" s="88">
        <v>1</v>
      </c>
      <c r="N139" s="89"/>
      <c r="O139" s="87"/>
      <c r="P139" s="87"/>
      <c r="Q139" s="87"/>
      <c r="R139" s="87"/>
      <c r="S139" s="87">
        <v>1</v>
      </c>
      <c r="T139" s="87"/>
      <c r="U139" s="87">
        <v>1</v>
      </c>
      <c r="V139" s="90" t="s">
        <v>3452</v>
      </c>
    </row>
    <row r="140" ht="15" customHeight="1" spans="1:23" x14ac:dyDescent="0.25">
      <c r="A140" s="85">
        <v>561</v>
      </c>
      <c r="B140" s="85" t="s">
        <v>3453</v>
      </c>
      <c r="C140" s="85" t="s">
        <v>173</v>
      </c>
      <c r="D140" s="85" t="s">
        <v>163</v>
      </c>
      <c r="E140" s="85"/>
      <c r="F140" s="85" t="s">
        <v>157</v>
      </c>
      <c r="G140" s="85"/>
      <c r="H140" s="85"/>
      <c r="I140" s="86"/>
      <c r="J140" s="86"/>
      <c r="K140" s="87"/>
      <c r="L140" s="87"/>
      <c r="M140" s="88"/>
      <c r="N140" s="89"/>
      <c r="O140" s="87"/>
      <c r="P140" s="87"/>
      <c r="Q140" s="87"/>
      <c r="R140" s="87"/>
      <c r="S140" s="87">
        <v>1</v>
      </c>
      <c r="T140" s="87">
        <v>1</v>
      </c>
      <c r="U140" s="87">
        <v>1</v>
      </c>
      <c r="V140" s="90" t="s">
        <v>3454</v>
      </c>
    </row>
    <row r="141" ht="15" customHeight="1" spans="1:23" x14ac:dyDescent="0.25">
      <c r="A141" s="85">
        <v>561</v>
      </c>
      <c r="B141" s="85" t="s">
        <v>3453</v>
      </c>
      <c r="C141" s="85" t="s">
        <v>173</v>
      </c>
      <c r="D141" s="85" t="s">
        <v>163</v>
      </c>
      <c r="E141" s="85"/>
      <c r="F141" s="85" t="s">
        <v>2472</v>
      </c>
      <c r="G141" s="85" t="s">
        <v>288</v>
      </c>
      <c r="H141" s="85" t="s">
        <v>3268</v>
      </c>
      <c r="I141" s="86">
        <v>65</v>
      </c>
      <c r="J141" s="86">
        <v>65</v>
      </c>
      <c r="K141" s="87">
        <v>1</v>
      </c>
      <c r="L141" s="87">
        <v>1</v>
      </c>
      <c r="M141" s="88">
        <v>1</v>
      </c>
      <c r="N141" s="89"/>
      <c r="O141" s="87"/>
      <c r="P141" s="87"/>
      <c r="Q141" s="87"/>
      <c r="R141" s="87"/>
      <c r="S141" s="87">
        <v>1</v>
      </c>
      <c r="T141" s="87"/>
      <c r="U141" s="87">
        <v>1</v>
      </c>
      <c r="V141" s="90" t="s">
        <v>3455</v>
      </c>
    </row>
    <row r="142" ht="15" customHeight="1" spans="1:23" x14ac:dyDescent="0.25">
      <c r="A142" s="85">
        <v>562</v>
      </c>
      <c r="B142" s="85" t="s">
        <v>3456</v>
      </c>
      <c r="C142" s="85" t="s">
        <v>173</v>
      </c>
      <c r="D142" s="85" t="s">
        <v>163</v>
      </c>
      <c r="E142" s="85"/>
      <c r="F142" s="85" t="s">
        <v>157</v>
      </c>
      <c r="G142" s="85"/>
      <c r="H142" s="85"/>
      <c r="I142" s="86"/>
      <c r="J142" s="86"/>
      <c r="K142" s="87"/>
      <c r="L142" s="87"/>
      <c r="M142" s="88"/>
      <c r="N142" s="89"/>
      <c r="O142" s="87"/>
      <c r="P142" s="87"/>
      <c r="Q142" s="87"/>
      <c r="R142" s="87"/>
      <c r="S142" s="87">
        <v>1</v>
      </c>
      <c r="T142" s="87">
        <v>1</v>
      </c>
      <c r="U142" s="87">
        <v>1</v>
      </c>
      <c r="V142" s="90" t="s">
        <v>3457</v>
      </c>
    </row>
    <row r="143" ht="15" customHeight="1" spans="1:23" x14ac:dyDescent="0.25">
      <c r="A143" s="85">
        <v>562</v>
      </c>
      <c r="B143" s="85" t="s">
        <v>3456</v>
      </c>
      <c r="C143" s="85" t="s">
        <v>173</v>
      </c>
      <c r="D143" s="85" t="s">
        <v>163</v>
      </c>
      <c r="E143" s="85"/>
      <c r="F143" s="85" t="s">
        <v>2472</v>
      </c>
      <c r="G143" s="85" t="s">
        <v>288</v>
      </c>
      <c r="H143" s="85" t="s">
        <v>3268</v>
      </c>
      <c r="I143" s="86">
        <v>65</v>
      </c>
      <c r="J143" s="86">
        <v>65</v>
      </c>
      <c r="K143" s="87">
        <v>1</v>
      </c>
      <c r="L143" s="87">
        <v>1</v>
      </c>
      <c r="M143" s="88">
        <v>1</v>
      </c>
      <c r="N143" s="89"/>
      <c r="O143" s="87"/>
      <c r="P143" s="87"/>
      <c r="Q143" s="87"/>
      <c r="R143" s="87"/>
      <c r="S143" s="87">
        <v>1</v>
      </c>
      <c r="T143" s="87"/>
      <c r="U143" s="87">
        <v>1</v>
      </c>
      <c r="V143" s="90" t="s">
        <v>3458</v>
      </c>
    </row>
    <row r="144" ht="15" customHeight="1" spans="1:23" x14ac:dyDescent="0.25">
      <c r="A144" s="85">
        <v>563</v>
      </c>
      <c r="B144" s="85" t="s">
        <v>3459</v>
      </c>
      <c r="C144" s="85" t="s">
        <v>173</v>
      </c>
      <c r="D144" s="85" t="s">
        <v>163</v>
      </c>
      <c r="E144" s="85"/>
      <c r="F144" s="85" t="s">
        <v>157</v>
      </c>
      <c r="G144" s="85"/>
      <c r="H144" s="85"/>
      <c r="I144" s="86"/>
      <c r="J144" s="86"/>
      <c r="K144" s="87"/>
      <c r="L144" s="87"/>
      <c r="M144" s="88"/>
      <c r="N144" s="89"/>
      <c r="O144" s="87"/>
      <c r="P144" s="87"/>
      <c r="Q144" s="87"/>
      <c r="R144" s="87"/>
      <c r="S144" s="87">
        <v>1</v>
      </c>
      <c r="T144" s="87">
        <v>1</v>
      </c>
      <c r="U144" s="87">
        <v>1</v>
      </c>
      <c r="V144" s="90" t="s">
        <v>3460</v>
      </c>
    </row>
    <row r="145" ht="15" customHeight="1" spans="1:23" x14ac:dyDescent="0.25">
      <c r="A145" s="85">
        <v>563</v>
      </c>
      <c r="B145" s="85" t="s">
        <v>3459</v>
      </c>
      <c r="C145" s="85" t="s">
        <v>173</v>
      </c>
      <c r="D145" s="85" t="s">
        <v>163</v>
      </c>
      <c r="E145" s="85"/>
      <c r="F145" s="85" t="s">
        <v>2472</v>
      </c>
      <c r="G145" s="85" t="s">
        <v>288</v>
      </c>
      <c r="H145" s="85" t="s">
        <v>3268</v>
      </c>
      <c r="I145" s="86">
        <v>65</v>
      </c>
      <c r="J145" s="86">
        <v>65</v>
      </c>
      <c r="K145" s="87">
        <v>1</v>
      </c>
      <c r="L145" s="87">
        <v>1</v>
      </c>
      <c r="M145" s="88">
        <v>1</v>
      </c>
      <c r="N145" s="89"/>
      <c r="O145" s="87"/>
      <c r="P145" s="87"/>
      <c r="Q145" s="87"/>
      <c r="R145" s="87"/>
      <c r="S145" s="87">
        <v>1</v>
      </c>
      <c r="T145" s="87"/>
      <c r="U145" s="87">
        <v>1</v>
      </c>
      <c r="V145" s="90" t="s">
        <v>3460</v>
      </c>
    </row>
    <row r="146" ht="15" customHeight="1" spans="1:23" x14ac:dyDescent="0.25">
      <c r="A146" s="85">
        <v>564</v>
      </c>
      <c r="B146" s="85" t="s">
        <v>3461</v>
      </c>
      <c r="C146" s="85" t="s">
        <v>173</v>
      </c>
      <c r="D146" s="85" t="s">
        <v>163</v>
      </c>
      <c r="E146" s="85"/>
      <c r="F146" s="85" t="s">
        <v>157</v>
      </c>
      <c r="G146" s="85"/>
      <c r="H146" s="85"/>
      <c r="I146" s="86"/>
      <c r="J146" s="86"/>
      <c r="K146" s="87"/>
      <c r="L146" s="87"/>
      <c r="M146" s="88"/>
      <c r="N146" s="89"/>
      <c r="O146" s="87"/>
      <c r="P146" s="87"/>
      <c r="Q146" s="87"/>
      <c r="R146" s="87"/>
      <c r="S146" s="87">
        <v>1</v>
      </c>
      <c r="T146" s="87">
        <v>1</v>
      </c>
      <c r="U146" s="87">
        <v>1</v>
      </c>
      <c r="V146" s="90" t="s">
        <v>3462</v>
      </c>
    </row>
    <row r="147" ht="15" customHeight="1" spans="1:23" x14ac:dyDescent="0.25">
      <c r="A147" s="85">
        <v>564</v>
      </c>
      <c r="B147" s="85" t="s">
        <v>3461</v>
      </c>
      <c r="C147" s="85" t="s">
        <v>173</v>
      </c>
      <c r="D147" s="85" t="s">
        <v>163</v>
      </c>
      <c r="E147" s="85"/>
      <c r="F147" s="85" t="s">
        <v>2472</v>
      </c>
      <c r="G147" s="85" t="s">
        <v>288</v>
      </c>
      <c r="H147" s="85" t="s">
        <v>3268</v>
      </c>
      <c r="I147" s="86">
        <v>65</v>
      </c>
      <c r="J147" s="86">
        <v>65</v>
      </c>
      <c r="K147" s="87">
        <v>1</v>
      </c>
      <c r="L147" s="87">
        <v>1</v>
      </c>
      <c r="M147" s="88">
        <v>1</v>
      </c>
      <c r="N147" s="89"/>
      <c r="O147" s="87"/>
      <c r="P147" s="87"/>
      <c r="Q147" s="87"/>
      <c r="R147" s="87"/>
      <c r="S147" s="87">
        <v>1</v>
      </c>
      <c r="T147" s="87"/>
      <c r="U147" s="87">
        <v>1</v>
      </c>
      <c r="V147" s="90" t="s">
        <v>3463</v>
      </c>
    </row>
    <row r="148" ht="15" customHeight="1" spans="1:23" x14ac:dyDescent="0.25">
      <c r="A148" s="85">
        <v>565</v>
      </c>
      <c r="B148" s="85" t="s">
        <v>3464</v>
      </c>
      <c r="C148" s="85" t="s">
        <v>173</v>
      </c>
      <c r="D148" s="85" t="s">
        <v>163</v>
      </c>
      <c r="E148" s="85"/>
      <c r="F148" s="85" t="s">
        <v>157</v>
      </c>
      <c r="G148" s="85"/>
      <c r="H148" s="85"/>
      <c r="I148" s="86"/>
      <c r="J148" s="86"/>
      <c r="K148" s="87"/>
      <c r="L148" s="87"/>
      <c r="M148" s="88"/>
      <c r="N148" s="89"/>
      <c r="O148" s="87"/>
      <c r="P148" s="87"/>
      <c r="Q148" s="87"/>
      <c r="R148" s="87"/>
      <c r="S148" s="87">
        <v>1</v>
      </c>
      <c r="T148" s="87">
        <v>1</v>
      </c>
      <c r="U148" s="87">
        <v>1</v>
      </c>
      <c r="V148" s="90" t="s">
        <v>3465</v>
      </c>
    </row>
    <row r="149" ht="15" customHeight="1" spans="1:23" x14ac:dyDescent="0.25">
      <c r="A149" s="85">
        <v>565</v>
      </c>
      <c r="B149" s="85" t="s">
        <v>3464</v>
      </c>
      <c r="C149" s="85" t="s">
        <v>173</v>
      </c>
      <c r="D149" s="85" t="s">
        <v>163</v>
      </c>
      <c r="E149" s="85"/>
      <c r="F149" s="85" t="s">
        <v>2472</v>
      </c>
      <c r="G149" s="85" t="s">
        <v>288</v>
      </c>
      <c r="H149" s="85" t="s">
        <v>3268</v>
      </c>
      <c r="I149" s="86">
        <v>65</v>
      </c>
      <c r="J149" s="86">
        <v>65</v>
      </c>
      <c r="K149" s="87">
        <v>1</v>
      </c>
      <c r="L149" s="87">
        <v>1</v>
      </c>
      <c r="M149" s="88">
        <v>1</v>
      </c>
      <c r="N149" s="89"/>
      <c r="O149" s="87"/>
      <c r="P149" s="87"/>
      <c r="Q149" s="87"/>
      <c r="R149" s="87"/>
      <c r="S149" s="87">
        <v>1</v>
      </c>
      <c r="T149" s="87"/>
      <c r="U149" s="87">
        <v>1</v>
      </c>
      <c r="V149" s="90" t="s">
        <v>3466</v>
      </c>
    </row>
    <row r="150" ht="15" customHeight="1" spans="1:23" x14ac:dyDescent="0.25">
      <c r="A150" s="85">
        <v>566</v>
      </c>
      <c r="B150" s="85" t="s">
        <v>3467</v>
      </c>
      <c r="C150" s="85" t="s">
        <v>173</v>
      </c>
      <c r="D150" s="85" t="s">
        <v>163</v>
      </c>
      <c r="E150" s="85"/>
      <c r="F150" s="85" t="s">
        <v>157</v>
      </c>
      <c r="G150" s="85"/>
      <c r="H150" s="85"/>
      <c r="I150" s="86"/>
      <c r="J150" s="86"/>
      <c r="K150" s="87"/>
      <c r="L150" s="87"/>
      <c r="M150" s="88"/>
      <c r="N150" s="89"/>
      <c r="O150" s="87"/>
      <c r="P150" s="87"/>
      <c r="Q150" s="87"/>
      <c r="R150" s="87"/>
      <c r="S150" s="87">
        <v>1</v>
      </c>
      <c r="T150" s="87">
        <v>1</v>
      </c>
      <c r="U150" s="87">
        <v>1</v>
      </c>
      <c r="V150" s="90" t="s">
        <v>3468</v>
      </c>
    </row>
    <row r="151" ht="15" customHeight="1" spans="1:23" x14ac:dyDescent="0.25">
      <c r="A151" s="85">
        <v>566</v>
      </c>
      <c r="B151" s="85" t="s">
        <v>3467</v>
      </c>
      <c r="C151" s="85" t="s">
        <v>173</v>
      </c>
      <c r="D151" s="85" t="s">
        <v>163</v>
      </c>
      <c r="E151" s="85"/>
      <c r="F151" s="85" t="s">
        <v>2472</v>
      </c>
      <c r="G151" s="85" t="s">
        <v>288</v>
      </c>
      <c r="H151" s="85" t="s">
        <v>3268</v>
      </c>
      <c r="I151" s="86">
        <v>65</v>
      </c>
      <c r="J151" s="86">
        <v>65</v>
      </c>
      <c r="K151" s="87">
        <v>1</v>
      </c>
      <c r="L151" s="87">
        <v>1</v>
      </c>
      <c r="M151" s="88">
        <v>1</v>
      </c>
      <c r="N151" s="89"/>
      <c r="O151" s="87"/>
      <c r="P151" s="87"/>
      <c r="Q151" s="87"/>
      <c r="R151" s="87"/>
      <c r="S151" s="87">
        <v>1</v>
      </c>
      <c r="T151" s="87"/>
      <c r="U151" s="87">
        <v>1</v>
      </c>
      <c r="V151" s="90" t="s">
        <v>3469</v>
      </c>
    </row>
    <row r="152" ht="15" customHeight="1" spans="1:23" x14ac:dyDescent="0.25">
      <c r="A152" s="85">
        <v>567</v>
      </c>
      <c r="B152" s="85" t="s">
        <v>3470</v>
      </c>
      <c r="C152" s="85" t="s">
        <v>173</v>
      </c>
      <c r="D152" s="85" t="s">
        <v>163</v>
      </c>
      <c r="E152" s="85"/>
      <c r="F152" s="85" t="s">
        <v>157</v>
      </c>
      <c r="G152" s="85"/>
      <c r="H152" s="85"/>
      <c r="I152" s="86"/>
      <c r="J152" s="86"/>
      <c r="K152" s="87"/>
      <c r="L152" s="87"/>
      <c r="M152" s="88"/>
      <c r="N152" s="89"/>
      <c r="O152" s="87"/>
      <c r="P152" s="87"/>
      <c r="Q152" s="87"/>
      <c r="R152" s="87"/>
      <c r="S152" s="87">
        <v>1</v>
      </c>
      <c r="T152" s="87">
        <v>1</v>
      </c>
      <c r="U152" s="87">
        <v>0.9999999999999999</v>
      </c>
      <c r="V152" s="90" t="s">
        <v>3471</v>
      </c>
    </row>
    <row r="153" ht="15" customHeight="1" spans="1:23" x14ac:dyDescent="0.25">
      <c r="A153" s="85">
        <v>567</v>
      </c>
      <c r="B153" s="85" t="s">
        <v>3470</v>
      </c>
      <c r="C153" s="85" t="s">
        <v>173</v>
      </c>
      <c r="D153" s="85" t="s">
        <v>163</v>
      </c>
      <c r="E153" s="85"/>
      <c r="F153" s="85" t="s">
        <v>2472</v>
      </c>
      <c r="G153" s="85" t="s">
        <v>288</v>
      </c>
      <c r="H153" s="85" t="s">
        <v>3268</v>
      </c>
      <c r="I153" s="86">
        <v>65</v>
      </c>
      <c r="J153" s="86">
        <v>65</v>
      </c>
      <c r="K153" s="87">
        <v>1</v>
      </c>
      <c r="L153" s="87">
        <v>1</v>
      </c>
      <c r="M153" s="88">
        <v>1</v>
      </c>
      <c r="N153" s="89"/>
      <c r="O153" s="87"/>
      <c r="P153" s="87"/>
      <c r="Q153" s="87"/>
      <c r="R153" s="87"/>
      <c r="S153" s="87">
        <v>1</v>
      </c>
      <c r="T153" s="87"/>
      <c r="U153" s="87">
        <v>0.9999999999999999</v>
      </c>
      <c r="V153" s="90" t="s">
        <v>3472</v>
      </c>
    </row>
    <row r="154" ht="15" customHeight="1" spans="1:23" x14ac:dyDescent="0.25">
      <c r="A154" s="85">
        <v>568</v>
      </c>
      <c r="B154" s="85" t="s">
        <v>3473</v>
      </c>
      <c r="C154" s="85" t="s">
        <v>173</v>
      </c>
      <c r="D154" s="85" t="s">
        <v>163</v>
      </c>
      <c r="E154" s="85"/>
      <c r="F154" s="85" t="s">
        <v>157</v>
      </c>
      <c r="G154" s="85"/>
      <c r="H154" s="85"/>
      <c r="I154" s="86"/>
      <c r="J154" s="86"/>
      <c r="K154" s="87"/>
      <c r="L154" s="87"/>
      <c r="M154" s="88"/>
      <c r="N154" s="89"/>
      <c r="O154" s="87"/>
      <c r="P154" s="87"/>
      <c r="Q154" s="87"/>
      <c r="R154" s="87"/>
      <c r="S154" s="87">
        <v>1</v>
      </c>
      <c r="T154" s="87">
        <v>1</v>
      </c>
      <c r="U154" s="87">
        <v>1</v>
      </c>
      <c r="V154" s="90" t="s">
        <v>3474</v>
      </c>
    </row>
    <row r="155" ht="15" customHeight="1" spans="1:23" x14ac:dyDescent="0.25">
      <c r="A155" s="85">
        <v>568</v>
      </c>
      <c r="B155" s="85" t="s">
        <v>3473</v>
      </c>
      <c r="C155" s="85" t="s">
        <v>173</v>
      </c>
      <c r="D155" s="85" t="s">
        <v>163</v>
      </c>
      <c r="E155" s="85"/>
      <c r="F155" s="85" t="s">
        <v>2472</v>
      </c>
      <c r="G155" s="85" t="s">
        <v>288</v>
      </c>
      <c r="H155" s="85" t="s">
        <v>3268</v>
      </c>
      <c r="I155" s="86">
        <v>65</v>
      </c>
      <c r="J155" s="86">
        <v>65</v>
      </c>
      <c r="K155" s="87">
        <v>1</v>
      </c>
      <c r="L155" s="87">
        <v>1</v>
      </c>
      <c r="M155" s="88">
        <v>1</v>
      </c>
      <c r="N155" s="89"/>
      <c r="O155" s="87"/>
      <c r="P155" s="87"/>
      <c r="Q155" s="87"/>
      <c r="R155" s="87"/>
      <c r="S155" s="87">
        <v>1</v>
      </c>
      <c r="T155" s="87"/>
      <c r="U155" s="87">
        <v>1</v>
      </c>
      <c r="V155" s="90" t="s">
        <v>3475</v>
      </c>
    </row>
    <row r="156" ht="15" customHeight="1" spans="1:23" x14ac:dyDescent="0.25">
      <c r="A156" s="85">
        <v>569</v>
      </c>
      <c r="B156" s="85" t="s">
        <v>3476</v>
      </c>
      <c r="C156" s="85" t="s">
        <v>173</v>
      </c>
      <c r="D156" s="85" t="s">
        <v>163</v>
      </c>
      <c r="E156" s="85"/>
      <c r="F156" s="85" t="s">
        <v>157</v>
      </c>
      <c r="G156" s="85"/>
      <c r="H156" s="85"/>
      <c r="I156" s="86"/>
      <c r="J156" s="86"/>
      <c r="K156" s="87"/>
      <c r="L156" s="87"/>
      <c r="M156" s="88"/>
      <c r="N156" s="89"/>
      <c r="O156" s="87"/>
      <c r="P156" s="87"/>
      <c r="Q156" s="87"/>
      <c r="R156" s="87"/>
      <c r="S156" s="87">
        <v>1</v>
      </c>
      <c r="T156" s="87">
        <v>1</v>
      </c>
      <c r="U156" s="87">
        <v>0.9999999999999999</v>
      </c>
      <c r="V156" s="90" t="s">
        <v>3477</v>
      </c>
    </row>
    <row r="157" ht="15" customHeight="1" spans="1:23" x14ac:dyDescent="0.25">
      <c r="A157" s="85">
        <v>569</v>
      </c>
      <c r="B157" s="85" t="s">
        <v>3476</v>
      </c>
      <c r="C157" s="85" t="s">
        <v>173</v>
      </c>
      <c r="D157" s="85" t="s">
        <v>163</v>
      </c>
      <c r="E157" s="85"/>
      <c r="F157" s="85" t="s">
        <v>2472</v>
      </c>
      <c r="G157" s="85" t="s">
        <v>288</v>
      </c>
      <c r="H157" s="85" t="s">
        <v>3268</v>
      </c>
      <c r="I157" s="86">
        <v>65</v>
      </c>
      <c r="J157" s="86">
        <v>65</v>
      </c>
      <c r="K157" s="87">
        <v>1</v>
      </c>
      <c r="L157" s="87">
        <v>1</v>
      </c>
      <c r="M157" s="88">
        <v>1</v>
      </c>
      <c r="N157" s="89"/>
      <c r="O157" s="87"/>
      <c r="P157" s="87"/>
      <c r="Q157" s="87"/>
      <c r="R157" s="87"/>
      <c r="S157" s="87">
        <v>1</v>
      </c>
      <c r="T157" s="87"/>
      <c r="U157" s="87">
        <v>0.9999999999999999</v>
      </c>
      <c r="V157" s="90" t="s">
        <v>3478</v>
      </c>
    </row>
    <row r="158" ht="15" customHeight="1" spans="1:23" x14ac:dyDescent="0.25">
      <c r="A158" s="85">
        <v>570</v>
      </c>
      <c r="B158" s="85" t="s">
        <v>3479</v>
      </c>
      <c r="C158" s="85" t="s">
        <v>173</v>
      </c>
      <c r="D158" s="85" t="s">
        <v>163</v>
      </c>
      <c r="E158" s="85"/>
      <c r="F158" s="85" t="s">
        <v>157</v>
      </c>
      <c r="G158" s="85"/>
      <c r="H158" s="85"/>
      <c r="I158" s="86"/>
      <c r="J158" s="86"/>
      <c r="K158" s="87"/>
      <c r="L158" s="87"/>
      <c r="M158" s="88"/>
      <c r="N158" s="89"/>
      <c r="O158" s="87"/>
      <c r="P158" s="87"/>
      <c r="Q158" s="87"/>
      <c r="R158" s="87"/>
      <c r="S158" s="87">
        <v>1</v>
      </c>
      <c r="T158" s="87">
        <v>1</v>
      </c>
      <c r="U158" s="87">
        <v>1</v>
      </c>
      <c r="V158" s="90" t="s">
        <v>3480</v>
      </c>
    </row>
    <row r="159" ht="15" customHeight="1" spans="1:23" x14ac:dyDescent="0.25">
      <c r="A159" s="85">
        <v>570</v>
      </c>
      <c r="B159" s="85" t="s">
        <v>3479</v>
      </c>
      <c r="C159" s="85" t="s">
        <v>173</v>
      </c>
      <c r="D159" s="85" t="s">
        <v>163</v>
      </c>
      <c r="E159" s="85"/>
      <c r="F159" s="85" t="s">
        <v>2472</v>
      </c>
      <c r="G159" s="85" t="s">
        <v>288</v>
      </c>
      <c r="H159" s="85" t="s">
        <v>3268</v>
      </c>
      <c r="I159" s="86">
        <v>65</v>
      </c>
      <c r="J159" s="86">
        <v>65</v>
      </c>
      <c r="K159" s="87">
        <v>1</v>
      </c>
      <c r="L159" s="87">
        <v>1</v>
      </c>
      <c r="M159" s="88">
        <v>1</v>
      </c>
      <c r="N159" s="89"/>
      <c r="O159" s="87"/>
      <c r="P159" s="87"/>
      <c r="Q159" s="87"/>
      <c r="R159" s="87"/>
      <c r="S159" s="87">
        <v>1</v>
      </c>
      <c r="T159" s="87"/>
      <c r="U159" s="87">
        <v>1</v>
      </c>
      <c r="V159" s="90" t="s">
        <v>3481</v>
      </c>
    </row>
    <row r="160" ht="15" customHeight="1" spans="1:23" x14ac:dyDescent="0.25">
      <c r="A160" s="85">
        <v>571</v>
      </c>
      <c r="B160" s="85" t="s">
        <v>3482</v>
      </c>
      <c r="C160" s="85" t="s">
        <v>173</v>
      </c>
      <c r="D160" s="85" t="s">
        <v>163</v>
      </c>
      <c r="E160" s="85"/>
      <c r="F160" s="85" t="s">
        <v>157</v>
      </c>
      <c r="G160" s="85"/>
      <c r="H160" s="85"/>
      <c r="I160" s="86"/>
      <c r="J160" s="86"/>
      <c r="K160" s="87"/>
      <c r="L160" s="87"/>
      <c r="M160" s="88"/>
      <c r="N160" s="89"/>
      <c r="O160" s="87"/>
      <c r="P160" s="87"/>
      <c r="Q160" s="87"/>
      <c r="R160" s="87"/>
      <c r="S160" s="87">
        <v>1</v>
      </c>
      <c r="T160" s="87">
        <v>1</v>
      </c>
      <c r="U160" s="87">
        <v>1</v>
      </c>
      <c r="V160" s="90" t="s">
        <v>3474</v>
      </c>
    </row>
    <row r="161" ht="15" customHeight="1" spans="1:23" x14ac:dyDescent="0.25">
      <c r="A161" s="85">
        <v>571</v>
      </c>
      <c r="B161" s="85" t="s">
        <v>3482</v>
      </c>
      <c r="C161" s="85" t="s">
        <v>173</v>
      </c>
      <c r="D161" s="85" t="s">
        <v>163</v>
      </c>
      <c r="E161" s="85"/>
      <c r="F161" s="85" t="s">
        <v>2472</v>
      </c>
      <c r="G161" s="85" t="s">
        <v>288</v>
      </c>
      <c r="H161" s="85" t="s">
        <v>3268</v>
      </c>
      <c r="I161" s="86">
        <v>65</v>
      </c>
      <c r="J161" s="86">
        <v>65</v>
      </c>
      <c r="K161" s="87">
        <v>1</v>
      </c>
      <c r="L161" s="87">
        <v>1</v>
      </c>
      <c r="M161" s="88">
        <v>1</v>
      </c>
      <c r="N161" s="89"/>
      <c r="O161" s="87"/>
      <c r="P161" s="87"/>
      <c r="Q161" s="87"/>
      <c r="R161" s="87"/>
      <c r="S161" s="87">
        <v>1</v>
      </c>
      <c r="T161" s="87"/>
      <c r="U161" s="87">
        <v>1</v>
      </c>
      <c r="V161" s="90" t="s">
        <v>3475</v>
      </c>
    </row>
    <row r="162" ht="15" customHeight="1" spans="1:23" x14ac:dyDescent="0.25">
      <c r="A162" s="85">
        <v>572</v>
      </c>
      <c r="B162" s="85" t="s">
        <v>3483</v>
      </c>
      <c r="C162" s="85" t="s">
        <v>173</v>
      </c>
      <c r="D162" s="85" t="s">
        <v>163</v>
      </c>
      <c r="E162" s="85"/>
      <c r="F162" s="85" t="s">
        <v>157</v>
      </c>
      <c r="G162" s="85"/>
      <c r="H162" s="85"/>
      <c r="I162" s="86"/>
      <c r="J162" s="86"/>
      <c r="K162" s="87"/>
      <c r="L162" s="87"/>
      <c r="M162" s="88"/>
      <c r="N162" s="89"/>
      <c r="O162" s="87"/>
      <c r="P162" s="87"/>
      <c r="Q162" s="87"/>
      <c r="R162" s="87"/>
      <c r="S162" s="87">
        <v>1</v>
      </c>
      <c r="T162" s="87">
        <v>1</v>
      </c>
      <c r="U162" s="87">
        <v>1</v>
      </c>
      <c r="V162" s="90" t="s">
        <v>3484</v>
      </c>
    </row>
    <row r="163" ht="15" customHeight="1" spans="1:23" x14ac:dyDescent="0.25">
      <c r="A163" s="85">
        <v>572</v>
      </c>
      <c r="B163" s="85" t="s">
        <v>3483</v>
      </c>
      <c r="C163" s="85" t="s">
        <v>173</v>
      </c>
      <c r="D163" s="85" t="s">
        <v>163</v>
      </c>
      <c r="E163" s="85"/>
      <c r="F163" s="85" t="s">
        <v>2472</v>
      </c>
      <c r="G163" s="85" t="s">
        <v>288</v>
      </c>
      <c r="H163" s="85" t="s">
        <v>3268</v>
      </c>
      <c r="I163" s="86">
        <v>65</v>
      </c>
      <c r="J163" s="86">
        <v>65</v>
      </c>
      <c r="K163" s="87">
        <v>1</v>
      </c>
      <c r="L163" s="87">
        <v>1</v>
      </c>
      <c r="M163" s="88">
        <v>1</v>
      </c>
      <c r="N163" s="89"/>
      <c r="O163" s="87"/>
      <c r="P163" s="87"/>
      <c r="Q163" s="87"/>
      <c r="R163" s="87"/>
      <c r="S163" s="87">
        <v>1</v>
      </c>
      <c r="T163" s="87"/>
      <c r="U163" s="87">
        <v>1</v>
      </c>
      <c r="V163" s="90" t="s">
        <v>3484</v>
      </c>
    </row>
    <row r="164" ht="15" customHeight="1" spans="1:23" x14ac:dyDescent="0.25">
      <c r="A164" s="85">
        <v>573</v>
      </c>
      <c r="B164" s="85" t="s">
        <v>3485</v>
      </c>
      <c r="C164" s="85" t="s">
        <v>173</v>
      </c>
      <c r="D164" s="85" t="s">
        <v>163</v>
      </c>
      <c r="E164" s="85"/>
      <c r="F164" s="85" t="s">
        <v>157</v>
      </c>
      <c r="G164" s="85"/>
      <c r="H164" s="85"/>
      <c r="I164" s="86"/>
      <c r="J164" s="86"/>
      <c r="K164" s="87"/>
      <c r="L164" s="87"/>
      <c r="M164" s="88"/>
      <c r="N164" s="89"/>
      <c r="O164" s="87"/>
      <c r="P164" s="87"/>
      <c r="Q164" s="87"/>
      <c r="R164" s="87"/>
      <c r="S164" s="87">
        <v>1</v>
      </c>
      <c r="T164" s="87">
        <v>1</v>
      </c>
      <c r="U164" s="87">
        <v>0.45</v>
      </c>
      <c r="V164" s="90" t="s">
        <v>3486</v>
      </c>
    </row>
    <row r="165" ht="15" customHeight="1" spans="1:23" x14ac:dyDescent="0.25">
      <c r="A165" s="85">
        <v>573</v>
      </c>
      <c r="B165" s="85" t="s">
        <v>3485</v>
      </c>
      <c r="C165" s="85" t="s">
        <v>173</v>
      </c>
      <c r="D165" s="85" t="s">
        <v>163</v>
      </c>
      <c r="E165" s="85"/>
      <c r="F165" s="85" t="s">
        <v>2472</v>
      </c>
      <c r="G165" s="85" t="s">
        <v>288</v>
      </c>
      <c r="H165" s="85" t="s">
        <v>3268</v>
      </c>
      <c r="I165" s="86">
        <v>65</v>
      </c>
      <c r="J165" s="86">
        <v>65</v>
      </c>
      <c r="K165" s="87">
        <v>1</v>
      </c>
      <c r="L165" s="87">
        <v>1</v>
      </c>
      <c r="M165" s="88">
        <v>1</v>
      </c>
      <c r="N165" s="89"/>
      <c r="O165" s="87"/>
      <c r="P165" s="87"/>
      <c r="Q165" s="87"/>
      <c r="R165" s="87"/>
      <c r="S165" s="87">
        <v>1</v>
      </c>
      <c r="T165" s="87"/>
      <c r="U165" s="87">
        <v>0.45</v>
      </c>
      <c r="V165" s="90" t="s">
        <v>3487</v>
      </c>
    </row>
    <row r="166" ht="15" customHeight="1" spans="1:23" x14ac:dyDescent="0.25">
      <c r="A166" s="85">
        <v>574</v>
      </c>
      <c r="B166" s="85" t="s">
        <v>3488</v>
      </c>
      <c r="C166" s="85" t="s">
        <v>173</v>
      </c>
      <c r="D166" s="85" t="s">
        <v>163</v>
      </c>
      <c r="E166" s="85"/>
      <c r="F166" s="85" t="s">
        <v>157</v>
      </c>
      <c r="G166" s="85"/>
      <c r="H166" s="85"/>
      <c r="I166" s="86"/>
      <c r="J166" s="86"/>
      <c r="K166" s="87"/>
      <c r="L166" s="87"/>
      <c r="M166" s="88"/>
      <c r="N166" s="89"/>
      <c r="O166" s="87"/>
      <c r="P166" s="87"/>
      <c r="Q166" s="87"/>
      <c r="R166" s="87"/>
      <c r="S166" s="87">
        <v>0.8</v>
      </c>
      <c r="T166" s="87">
        <v>0.8</v>
      </c>
      <c r="U166" s="87">
        <v>0.10400000000000001</v>
      </c>
      <c r="V166" s="90" t="s">
        <v>3489</v>
      </c>
    </row>
    <row r="167" ht="15" customHeight="1" spans="1:23" x14ac:dyDescent="0.25">
      <c r="A167" s="85">
        <v>574</v>
      </c>
      <c r="B167" s="85" t="s">
        <v>3488</v>
      </c>
      <c r="C167" s="85" t="s">
        <v>173</v>
      </c>
      <c r="D167" s="85" t="s">
        <v>163</v>
      </c>
      <c r="E167" s="85"/>
      <c r="F167" s="85" t="s">
        <v>2472</v>
      </c>
      <c r="G167" s="85" t="s">
        <v>288</v>
      </c>
      <c r="H167" s="85" t="s">
        <v>3268</v>
      </c>
      <c r="I167" s="86">
        <v>65</v>
      </c>
      <c r="J167" s="86">
        <v>65</v>
      </c>
      <c r="K167" s="87">
        <v>1</v>
      </c>
      <c r="L167" s="87">
        <v>0.8</v>
      </c>
      <c r="M167" s="88">
        <v>0.8</v>
      </c>
      <c r="N167" s="89"/>
      <c r="O167" s="87"/>
      <c r="P167" s="87"/>
      <c r="Q167" s="87"/>
      <c r="R167" s="87"/>
      <c r="S167" s="87">
        <v>0.8</v>
      </c>
      <c r="T167" s="87"/>
      <c r="U167" s="87">
        <v>0.10400000000000001</v>
      </c>
      <c r="V167" s="90" t="s">
        <v>3490</v>
      </c>
    </row>
    <row r="168" ht="15" customHeight="1" spans="1:23" x14ac:dyDescent="0.25">
      <c r="A168" s="85">
        <v>575</v>
      </c>
      <c r="B168" s="85" t="s">
        <v>3491</v>
      </c>
      <c r="C168" s="85" t="s">
        <v>173</v>
      </c>
      <c r="D168" s="85" t="s">
        <v>163</v>
      </c>
      <c r="E168" s="85"/>
      <c r="F168" s="85" t="s">
        <v>157</v>
      </c>
      <c r="G168" s="85"/>
      <c r="H168" s="85"/>
      <c r="I168" s="86"/>
      <c r="J168" s="86"/>
      <c r="K168" s="87"/>
      <c r="L168" s="87"/>
      <c r="M168" s="88"/>
      <c r="N168" s="89"/>
      <c r="O168" s="87"/>
      <c r="P168" s="87"/>
      <c r="Q168" s="87"/>
      <c r="R168" s="87"/>
      <c r="S168" s="87">
        <v>1</v>
      </c>
      <c r="T168" s="87">
        <v>1</v>
      </c>
      <c r="U168" s="87">
        <v>0.14</v>
      </c>
      <c r="V168" s="90" t="s">
        <v>3492</v>
      </c>
    </row>
    <row r="169" ht="15" customHeight="1" spans="1:23" x14ac:dyDescent="0.25">
      <c r="A169" s="85">
        <v>575</v>
      </c>
      <c r="B169" s="85" t="s">
        <v>3491</v>
      </c>
      <c r="C169" s="85" t="s">
        <v>173</v>
      </c>
      <c r="D169" s="85" t="s">
        <v>163</v>
      </c>
      <c r="E169" s="85"/>
      <c r="F169" s="85" t="s">
        <v>2472</v>
      </c>
      <c r="G169" s="85" t="s">
        <v>288</v>
      </c>
      <c r="H169" s="85" t="s">
        <v>3268</v>
      </c>
      <c r="I169" s="86">
        <v>65</v>
      </c>
      <c r="J169" s="86">
        <v>65</v>
      </c>
      <c r="K169" s="87">
        <v>1</v>
      </c>
      <c r="L169" s="87">
        <v>1</v>
      </c>
      <c r="M169" s="88">
        <v>1</v>
      </c>
      <c r="N169" s="89"/>
      <c r="O169" s="87"/>
      <c r="P169" s="87"/>
      <c r="Q169" s="87"/>
      <c r="R169" s="87"/>
      <c r="S169" s="87">
        <v>1</v>
      </c>
      <c r="T169" s="87"/>
      <c r="U169" s="87">
        <v>0.14</v>
      </c>
      <c r="V169" s="90" t="s">
        <v>3493</v>
      </c>
    </row>
    <row r="170" ht="15" customHeight="1" spans="1:23" x14ac:dyDescent="0.25">
      <c r="A170" s="85">
        <v>576</v>
      </c>
      <c r="B170" s="85" t="s">
        <v>3494</v>
      </c>
      <c r="C170" s="85" t="s">
        <v>173</v>
      </c>
      <c r="D170" s="85" t="s">
        <v>163</v>
      </c>
      <c r="E170" s="85"/>
      <c r="F170" s="85" t="s">
        <v>157</v>
      </c>
      <c r="G170" s="85"/>
      <c r="H170" s="85"/>
      <c r="I170" s="86"/>
      <c r="J170" s="86"/>
      <c r="K170" s="87"/>
      <c r="L170" s="87"/>
      <c r="M170" s="88"/>
      <c r="N170" s="89"/>
      <c r="O170" s="87"/>
      <c r="P170" s="87"/>
      <c r="Q170" s="87"/>
      <c r="R170" s="87"/>
      <c r="S170" s="87">
        <v>1</v>
      </c>
      <c r="T170" s="87">
        <v>1</v>
      </c>
      <c r="U170" s="87">
        <v>1</v>
      </c>
      <c r="V170" s="90" t="s">
        <v>3495</v>
      </c>
    </row>
    <row r="171" ht="15" customHeight="1" spans="1:23" x14ac:dyDescent="0.25">
      <c r="A171" s="85">
        <v>576</v>
      </c>
      <c r="B171" s="85" t="s">
        <v>3494</v>
      </c>
      <c r="C171" s="85" t="s">
        <v>173</v>
      </c>
      <c r="D171" s="85" t="s">
        <v>163</v>
      </c>
      <c r="E171" s="85"/>
      <c r="F171" s="85" t="s">
        <v>2472</v>
      </c>
      <c r="G171" s="85" t="s">
        <v>288</v>
      </c>
      <c r="H171" s="85" t="s">
        <v>3268</v>
      </c>
      <c r="I171" s="86">
        <v>65</v>
      </c>
      <c r="J171" s="86">
        <v>65</v>
      </c>
      <c r="K171" s="87">
        <v>1</v>
      </c>
      <c r="L171" s="87">
        <v>1</v>
      </c>
      <c r="M171" s="88">
        <v>1</v>
      </c>
      <c r="N171" s="89"/>
      <c r="O171" s="87"/>
      <c r="P171" s="87"/>
      <c r="Q171" s="87"/>
      <c r="R171" s="87"/>
      <c r="S171" s="87">
        <v>1</v>
      </c>
      <c r="T171" s="87"/>
      <c r="U171" s="87">
        <v>1</v>
      </c>
      <c r="V171" s="90" t="s">
        <v>3495</v>
      </c>
    </row>
    <row r="172" ht="15" customHeight="1" spans="1:23" x14ac:dyDescent="0.25">
      <c r="A172" s="85">
        <v>577</v>
      </c>
      <c r="B172" s="85" t="s">
        <v>3496</v>
      </c>
      <c r="C172" s="85" t="s">
        <v>173</v>
      </c>
      <c r="D172" s="85" t="s">
        <v>163</v>
      </c>
      <c r="E172" s="85"/>
      <c r="F172" s="85" t="s">
        <v>157</v>
      </c>
      <c r="G172" s="85"/>
      <c r="H172" s="85"/>
      <c r="I172" s="86"/>
      <c r="J172" s="86"/>
      <c r="K172" s="87"/>
      <c r="L172" s="87"/>
      <c r="M172" s="88"/>
      <c r="N172" s="89"/>
      <c r="O172" s="87"/>
      <c r="P172" s="87"/>
      <c r="Q172" s="87"/>
      <c r="R172" s="87"/>
      <c r="S172" s="87">
        <v>1</v>
      </c>
      <c r="T172" s="87">
        <v>1</v>
      </c>
      <c r="U172" s="87">
        <v>1</v>
      </c>
      <c r="V172" s="90" t="s">
        <v>3497</v>
      </c>
    </row>
    <row r="173" ht="15" customHeight="1" spans="1:23" x14ac:dyDescent="0.25">
      <c r="A173" s="85">
        <v>577</v>
      </c>
      <c r="B173" s="85" t="s">
        <v>3496</v>
      </c>
      <c r="C173" s="85" t="s">
        <v>173</v>
      </c>
      <c r="D173" s="85" t="s">
        <v>163</v>
      </c>
      <c r="E173" s="85"/>
      <c r="F173" s="85" t="s">
        <v>2472</v>
      </c>
      <c r="G173" s="85" t="s">
        <v>288</v>
      </c>
      <c r="H173" s="85" t="s">
        <v>3268</v>
      </c>
      <c r="I173" s="86">
        <v>65</v>
      </c>
      <c r="J173" s="86">
        <v>65</v>
      </c>
      <c r="K173" s="87">
        <v>1</v>
      </c>
      <c r="L173" s="87">
        <v>1</v>
      </c>
      <c r="M173" s="88">
        <v>1</v>
      </c>
      <c r="N173" s="89"/>
      <c r="O173" s="87"/>
      <c r="P173" s="87"/>
      <c r="Q173" s="87"/>
      <c r="R173" s="87"/>
      <c r="S173" s="87">
        <v>1</v>
      </c>
      <c r="T173" s="87"/>
      <c r="U173" s="87">
        <v>1</v>
      </c>
      <c r="V173" s="90" t="s">
        <v>3497</v>
      </c>
    </row>
    <row r="174" ht="15" customHeight="1" spans="1:23" x14ac:dyDescent="0.25">
      <c r="A174" s="85">
        <v>578</v>
      </c>
      <c r="B174" s="85" t="s">
        <v>3498</v>
      </c>
      <c r="C174" s="85" t="s">
        <v>173</v>
      </c>
      <c r="D174" s="85" t="s">
        <v>263</v>
      </c>
      <c r="E174" s="85"/>
      <c r="F174" s="85" t="s">
        <v>157</v>
      </c>
      <c r="G174" s="85"/>
      <c r="H174" s="85"/>
      <c r="I174" s="86"/>
      <c r="J174" s="86"/>
      <c r="K174" s="87"/>
      <c r="L174" s="87"/>
      <c r="M174" s="88"/>
      <c r="N174" s="89"/>
      <c r="O174" s="87"/>
      <c r="P174" s="87"/>
      <c r="Q174" s="87"/>
      <c r="R174" s="87"/>
      <c r="S174" s="87">
        <v>1</v>
      </c>
      <c r="T174" s="87">
        <v>1</v>
      </c>
      <c r="U174" s="87">
        <v>1</v>
      </c>
      <c r="V174" s="90" t="s">
        <v>3499</v>
      </c>
    </row>
    <row r="175" ht="15" customHeight="1" spans="1:23" x14ac:dyDescent="0.25">
      <c r="A175" s="85">
        <v>578</v>
      </c>
      <c r="B175" s="85" t="s">
        <v>3498</v>
      </c>
      <c r="C175" s="85" t="s">
        <v>173</v>
      </c>
      <c r="D175" s="85" t="s">
        <v>263</v>
      </c>
      <c r="E175" s="85"/>
      <c r="F175" s="85" t="s">
        <v>2472</v>
      </c>
      <c r="G175" s="85" t="s">
        <v>288</v>
      </c>
      <c r="H175" s="85" t="s">
        <v>3268</v>
      </c>
      <c r="I175" s="86">
        <v>65</v>
      </c>
      <c r="J175" s="86">
        <v>65</v>
      </c>
      <c r="K175" s="87">
        <v>1</v>
      </c>
      <c r="L175" s="87">
        <v>1</v>
      </c>
      <c r="M175" s="88">
        <v>1</v>
      </c>
      <c r="N175" s="89"/>
      <c r="O175" s="87"/>
      <c r="P175" s="87"/>
      <c r="Q175" s="87"/>
      <c r="R175" s="87"/>
      <c r="S175" s="87">
        <v>1</v>
      </c>
      <c r="T175" s="87"/>
      <c r="U175" s="87">
        <v>1</v>
      </c>
      <c r="V175" s="90" t="s">
        <v>3499</v>
      </c>
    </row>
    <row r="176" ht="15" customHeight="1" spans="1:23" x14ac:dyDescent="0.25">
      <c r="A176" s="85">
        <v>579</v>
      </c>
      <c r="B176" s="85" t="s">
        <v>3500</v>
      </c>
      <c r="C176" s="85" t="s">
        <v>173</v>
      </c>
      <c r="D176" s="85" t="s">
        <v>163</v>
      </c>
      <c r="E176" s="85"/>
      <c r="F176" s="85" t="s">
        <v>157</v>
      </c>
      <c r="G176" s="85"/>
      <c r="H176" s="85"/>
      <c r="I176" s="86"/>
      <c r="J176" s="86"/>
      <c r="K176" s="87"/>
      <c r="L176" s="87"/>
      <c r="M176" s="88"/>
      <c r="N176" s="89"/>
      <c r="O176" s="87"/>
      <c r="P176" s="87"/>
      <c r="Q176" s="87"/>
      <c r="R176" s="87"/>
      <c r="S176" s="87">
        <v>1</v>
      </c>
      <c r="T176" s="87">
        <v>1</v>
      </c>
      <c r="U176" s="87">
        <v>1</v>
      </c>
      <c r="V176" s="90" t="s">
        <v>3501</v>
      </c>
    </row>
    <row r="177" ht="15" customHeight="1" spans="1:23" x14ac:dyDescent="0.25">
      <c r="A177" s="85">
        <v>579</v>
      </c>
      <c r="B177" s="85" t="s">
        <v>3500</v>
      </c>
      <c r="C177" s="85" t="s">
        <v>173</v>
      </c>
      <c r="D177" s="85" t="s">
        <v>163</v>
      </c>
      <c r="E177" s="85"/>
      <c r="F177" s="85" t="s">
        <v>2472</v>
      </c>
      <c r="G177" s="85" t="s">
        <v>288</v>
      </c>
      <c r="H177" s="85" t="s">
        <v>3268</v>
      </c>
      <c r="I177" s="86">
        <v>65</v>
      </c>
      <c r="J177" s="86">
        <v>65</v>
      </c>
      <c r="K177" s="87">
        <v>1</v>
      </c>
      <c r="L177" s="87">
        <v>1</v>
      </c>
      <c r="M177" s="88">
        <v>1</v>
      </c>
      <c r="N177" s="89"/>
      <c r="O177" s="87"/>
      <c r="P177" s="87"/>
      <c r="Q177" s="87"/>
      <c r="R177" s="87"/>
      <c r="S177" s="87">
        <v>1</v>
      </c>
      <c r="T177" s="87"/>
      <c r="U177" s="87">
        <v>1</v>
      </c>
      <c r="V177" s="90" t="s">
        <v>3501</v>
      </c>
    </row>
    <row r="178" ht="15" customHeight="1" spans="1:23" x14ac:dyDescent="0.25">
      <c r="A178" s="85">
        <v>580</v>
      </c>
      <c r="B178" s="85" t="s">
        <v>3502</v>
      </c>
      <c r="C178" s="85" t="s">
        <v>173</v>
      </c>
      <c r="D178" s="85" t="s">
        <v>163</v>
      </c>
      <c r="E178" s="85"/>
      <c r="F178" s="85" t="s">
        <v>157</v>
      </c>
      <c r="G178" s="85"/>
      <c r="H178" s="85"/>
      <c r="I178" s="86"/>
      <c r="J178" s="86"/>
      <c r="K178" s="87"/>
      <c r="L178" s="87"/>
      <c r="M178" s="88"/>
      <c r="N178" s="89"/>
      <c r="O178" s="87"/>
      <c r="P178" s="87"/>
      <c r="Q178" s="87"/>
      <c r="R178" s="87"/>
      <c r="S178" s="87">
        <v>1</v>
      </c>
      <c r="T178" s="87">
        <v>1</v>
      </c>
      <c r="U178" s="87">
        <v>1</v>
      </c>
      <c r="V178" s="90" t="s">
        <v>3503</v>
      </c>
    </row>
    <row r="179" ht="15" customHeight="1" spans="1:23" x14ac:dyDescent="0.25">
      <c r="A179" s="85">
        <v>580</v>
      </c>
      <c r="B179" s="85" t="s">
        <v>3502</v>
      </c>
      <c r="C179" s="85" t="s">
        <v>173</v>
      </c>
      <c r="D179" s="85" t="s">
        <v>163</v>
      </c>
      <c r="E179" s="85"/>
      <c r="F179" s="85" t="s">
        <v>2472</v>
      </c>
      <c r="G179" s="85" t="s">
        <v>288</v>
      </c>
      <c r="H179" s="85" t="s">
        <v>3268</v>
      </c>
      <c r="I179" s="86">
        <v>65</v>
      </c>
      <c r="J179" s="86">
        <v>65</v>
      </c>
      <c r="K179" s="87">
        <v>1</v>
      </c>
      <c r="L179" s="87">
        <v>1</v>
      </c>
      <c r="M179" s="88">
        <v>1</v>
      </c>
      <c r="N179" s="89"/>
      <c r="O179" s="87"/>
      <c r="P179" s="87"/>
      <c r="Q179" s="87"/>
      <c r="R179" s="87"/>
      <c r="S179" s="87">
        <v>1</v>
      </c>
      <c r="T179" s="87"/>
      <c r="U179" s="87">
        <v>1</v>
      </c>
      <c r="V179" s="90" t="s">
        <v>3503</v>
      </c>
    </row>
    <row r="180" ht="15" customHeight="1" spans="1:23" x14ac:dyDescent="0.25">
      <c r="A180" s="85">
        <v>581</v>
      </c>
      <c r="B180" s="85" t="s">
        <v>3504</v>
      </c>
      <c r="C180" s="85" t="s">
        <v>173</v>
      </c>
      <c r="D180" s="85" t="s">
        <v>163</v>
      </c>
      <c r="E180" s="85"/>
      <c r="F180" s="85" t="s">
        <v>157</v>
      </c>
      <c r="G180" s="85"/>
      <c r="H180" s="85"/>
      <c r="I180" s="86"/>
      <c r="J180" s="86"/>
      <c r="K180" s="87"/>
      <c r="L180" s="87"/>
      <c r="M180" s="88"/>
      <c r="N180" s="89"/>
      <c r="O180" s="87"/>
      <c r="P180" s="87"/>
      <c r="Q180" s="87"/>
      <c r="R180" s="87"/>
      <c r="S180" s="87">
        <v>1</v>
      </c>
      <c r="T180" s="87">
        <v>1</v>
      </c>
      <c r="U180" s="87">
        <v>1</v>
      </c>
      <c r="V180" s="90" t="s">
        <v>3505</v>
      </c>
    </row>
    <row r="181" ht="15" customHeight="1" spans="1:23" x14ac:dyDescent="0.25">
      <c r="A181" s="85">
        <v>581</v>
      </c>
      <c r="B181" s="85" t="s">
        <v>3504</v>
      </c>
      <c r="C181" s="85" t="s">
        <v>173</v>
      </c>
      <c r="D181" s="85" t="s">
        <v>163</v>
      </c>
      <c r="E181" s="85"/>
      <c r="F181" s="85" t="s">
        <v>2472</v>
      </c>
      <c r="G181" s="85" t="s">
        <v>288</v>
      </c>
      <c r="H181" s="85" t="s">
        <v>3268</v>
      </c>
      <c r="I181" s="86">
        <v>65</v>
      </c>
      <c r="J181" s="86">
        <v>65</v>
      </c>
      <c r="K181" s="87">
        <v>1</v>
      </c>
      <c r="L181" s="87">
        <v>1</v>
      </c>
      <c r="M181" s="88">
        <v>1</v>
      </c>
      <c r="N181" s="89"/>
      <c r="O181" s="87"/>
      <c r="P181" s="87"/>
      <c r="Q181" s="87"/>
      <c r="R181" s="87"/>
      <c r="S181" s="87">
        <v>1</v>
      </c>
      <c r="T181" s="87"/>
      <c r="U181" s="87">
        <v>1</v>
      </c>
      <c r="V181" s="90" t="s">
        <v>3505</v>
      </c>
    </row>
    <row r="182" ht="15" customHeight="1" spans="1:23" x14ac:dyDescent="0.25">
      <c r="A182" s="85">
        <v>582</v>
      </c>
      <c r="B182" s="85" t="s">
        <v>3506</v>
      </c>
      <c r="C182" s="85" t="s">
        <v>173</v>
      </c>
      <c r="D182" s="85" t="s">
        <v>163</v>
      </c>
      <c r="E182" s="85"/>
      <c r="F182" s="85" t="s">
        <v>157</v>
      </c>
      <c r="G182" s="85"/>
      <c r="H182" s="85"/>
      <c r="I182" s="86"/>
      <c r="J182" s="86"/>
      <c r="K182" s="87"/>
      <c r="L182" s="87"/>
      <c r="M182" s="88"/>
      <c r="N182" s="89"/>
      <c r="O182" s="87"/>
      <c r="P182" s="87"/>
      <c r="Q182" s="87"/>
      <c r="R182" s="87"/>
      <c r="S182" s="87">
        <v>1</v>
      </c>
      <c r="T182" s="87">
        <v>1</v>
      </c>
      <c r="U182" s="87">
        <v>1</v>
      </c>
      <c r="V182" s="90" t="s">
        <v>3507</v>
      </c>
    </row>
    <row r="183" ht="15" customHeight="1" spans="1:23" x14ac:dyDescent="0.25">
      <c r="A183" s="85">
        <v>582</v>
      </c>
      <c r="B183" s="85" t="s">
        <v>3506</v>
      </c>
      <c r="C183" s="85" t="s">
        <v>173</v>
      </c>
      <c r="D183" s="85" t="s">
        <v>163</v>
      </c>
      <c r="E183" s="85"/>
      <c r="F183" s="85" t="s">
        <v>2472</v>
      </c>
      <c r="G183" s="85" t="s">
        <v>288</v>
      </c>
      <c r="H183" s="85" t="s">
        <v>3268</v>
      </c>
      <c r="I183" s="86">
        <v>65</v>
      </c>
      <c r="J183" s="86">
        <v>65</v>
      </c>
      <c r="K183" s="87">
        <v>1</v>
      </c>
      <c r="L183" s="87">
        <v>1</v>
      </c>
      <c r="M183" s="88">
        <v>1</v>
      </c>
      <c r="N183" s="89"/>
      <c r="O183" s="87"/>
      <c r="P183" s="87"/>
      <c r="Q183" s="87"/>
      <c r="R183" s="87"/>
      <c r="S183" s="87">
        <v>1</v>
      </c>
      <c r="T183" s="87"/>
      <c r="U183" s="87">
        <v>1</v>
      </c>
      <c r="V183" s="90" t="s">
        <v>3507</v>
      </c>
    </row>
    <row r="184" ht="15" customHeight="1" spans="1:23" x14ac:dyDescent="0.25">
      <c r="A184" s="85">
        <v>583</v>
      </c>
      <c r="B184" s="85" t="s">
        <v>3508</v>
      </c>
      <c r="C184" s="85" t="s">
        <v>173</v>
      </c>
      <c r="D184" s="85" t="s">
        <v>163</v>
      </c>
      <c r="E184" s="85"/>
      <c r="F184" s="85" t="s">
        <v>157</v>
      </c>
      <c r="G184" s="85"/>
      <c r="H184" s="85"/>
      <c r="I184" s="86"/>
      <c r="J184" s="86"/>
      <c r="K184" s="87"/>
      <c r="L184" s="87"/>
      <c r="M184" s="88"/>
      <c r="N184" s="89"/>
      <c r="O184" s="87"/>
      <c r="P184" s="87"/>
      <c r="Q184" s="87"/>
      <c r="R184" s="87"/>
      <c r="S184" s="87">
        <v>1</v>
      </c>
      <c r="T184" s="87">
        <v>1</v>
      </c>
      <c r="U184" s="87">
        <v>0.2081</v>
      </c>
      <c r="V184" s="90" t="s">
        <v>3509</v>
      </c>
    </row>
    <row r="185" ht="15" customHeight="1" spans="1:23" x14ac:dyDescent="0.25">
      <c r="A185" s="85">
        <v>583</v>
      </c>
      <c r="B185" s="85" t="s">
        <v>3508</v>
      </c>
      <c r="C185" s="85" t="s">
        <v>173</v>
      </c>
      <c r="D185" s="85" t="s">
        <v>163</v>
      </c>
      <c r="E185" s="85"/>
      <c r="F185" s="85" t="s">
        <v>2472</v>
      </c>
      <c r="G185" s="85" t="s">
        <v>288</v>
      </c>
      <c r="H185" s="85" t="s">
        <v>3268</v>
      </c>
      <c r="I185" s="86">
        <v>65</v>
      </c>
      <c r="J185" s="86">
        <v>65</v>
      </c>
      <c r="K185" s="87">
        <v>1</v>
      </c>
      <c r="L185" s="87">
        <v>1</v>
      </c>
      <c r="M185" s="88">
        <v>1</v>
      </c>
      <c r="N185" s="89"/>
      <c r="O185" s="87"/>
      <c r="P185" s="87"/>
      <c r="Q185" s="87"/>
      <c r="R185" s="87"/>
      <c r="S185" s="87">
        <v>1</v>
      </c>
      <c r="T185" s="87"/>
      <c r="U185" s="87">
        <v>0.2081</v>
      </c>
      <c r="V185" s="90" t="s">
        <v>3510</v>
      </c>
    </row>
    <row r="186" ht="15" customHeight="1" spans="1:23" x14ac:dyDescent="0.25">
      <c r="A186" s="85">
        <v>584</v>
      </c>
      <c r="B186" s="85" t="s">
        <v>3511</v>
      </c>
      <c r="C186" s="85" t="s">
        <v>173</v>
      </c>
      <c r="D186" s="85" t="s">
        <v>163</v>
      </c>
      <c r="E186" s="85"/>
      <c r="F186" s="85" t="s">
        <v>157</v>
      </c>
      <c r="G186" s="85"/>
      <c r="H186" s="85"/>
      <c r="I186" s="86"/>
      <c r="J186" s="86"/>
      <c r="K186" s="87"/>
      <c r="L186" s="87"/>
      <c r="M186" s="88"/>
      <c r="N186" s="89"/>
      <c r="O186" s="87"/>
      <c r="P186" s="87"/>
      <c r="Q186" s="87"/>
      <c r="R186" s="87"/>
      <c r="S186" s="87">
        <v>1</v>
      </c>
      <c r="T186" s="87">
        <v>1</v>
      </c>
      <c r="U186" s="87">
        <v>0.151</v>
      </c>
      <c r="V186" s="90" t="s">
        <v>3512</v>
      </c>
    </row>
    <row r="187" ht="15" customHeight="1" spans="1:23" x14ac:dyDescent="0.25">
      <c r="A187" s="85">
        <v>584</v>
      </c>
      <c r="B187" s="85" t="s">
        <v>3511</v>
      </c>
      <c r="C187" s="85" t="s">
        <v>173</v>
      </c>
      <c r="D187" s="85" t="s">
        <v>163</v>
      </c>
      <c r="E187" s="85"/>
      <c r="F187" s="85" t="s">
        <v>2472</v>
      </c>
      <c r="G187" s="85" t="s">
        <v>288</v>
      </c>
      <c r="H187" s="85" t="s">
        <v>3268</v>
      </c>
      <c r="I187" s="86">
        <v>65</v>
      </c>
      <c r="J187" s="86">
        <v>65</v>
      </c>
      <c r="K187" s="87">
        <v>1</v>
      </c>
      <c r="L187" s="87">
        <v>1</v>
      </c>
      <c r="M187" s="88">
        <v>1</v>
      </c>
      <c r="N187" s="89"/>
      <c r="O187" s="87"/>
      <c r="P187" s="87"/>
      <c r="Q187" s="87"/>
      <c r="R187" s="87"/>
      <c r="S187" s="87">
        <v>1</v>
      </c>
      <c r="T187" s="87"/>
      <c r="U187" s="87">
        <v>0.151</v>
      </c>
      <c r="V187" s="90" t="s">
        <v>3513</v>
      </c>
    </row>
    <row r="188" ht="15" customHeight="1" spans="1:23" x14ac:dyDescent="0.25">
      <c r="A188" s="85">
        <v>585</v>
      </c>
      <c r="B188" s="85" t="s">
        <v>3514</v>
      </c>
      <c r="C188" s="85" t="s">
        <v>173</v>
      </c>
      <c r="D188" s="85" t="s">
        <v>163</v>
      </c>
      <c r="E188" s="85"/>
      <c r="F188" s="85" t="s">
        <v>157</v>
      </c>
      <c r="G188" s="85"/>
      <c r="H188" s="85"/>
      <c r="I188" s="86"/>
      <c r="J188" s="86"/>
      <c r="K188" s="87"/>
      <c r="L188" s="87"/>
      <c r="M188" s="88"/>
      <c r="N188" s="89"/>
      <c r="O188" s="87"/>
      <c r="P188" s="87"/>
      <c r="Q188" s="87"/>
      <c r="R188" s="87"/>
      <c r="S188" s="87">
        <v>1</v>
      </c>
      <c r="T188" s="87">
        <v>1</v>
      </c>
      <c r="U188" s="87">
        <v>1</v>
      </c>
      <c r="V188" s="90" t="s">
        <v>3515</v>
      </c>
    </row>
    <row r="189" ht="15" customHeight="1" spans="1:23" x14ac:dyDescent="0.25">
      <c r="A189" s="85">
        <v>585</v>
      </c>
      <c r="B189" s="85" t="s">
        <v>3514</v>
      </c>
      <c r="C189" s="85" t="s">
        <v>173</v>
      </c>
      <c r="D189" s="85" t="s">
        <v>163</v>
      </c>
      <c r="E189" s="85"/>
      <c r="F189" s="85" t="s">
        <v>2472</v>
      </c>
      <c r="G189" s="85" t="s">
        <v>288</v>
      </c>
      <c r="H189" s="85" t="s">
        <v>3268</v>
      </c>
      <c r="I189" s="86">
        <v>65</v>
      </c>
      <c r="J189" s="86">
        <v>65</v>
      </c>
      <c r="K189" s="87">
        <v>1</v>
      </c>
      <c r="L189" s="87">
        <v>1</v>
      </c>
      <c r="M189" s="88">
        <v>1</v>
      </c>
      <c r="N189" s="89"/>
      <c r="O189" s="87"/>
      <c r="P189" s="87"/>
      <c r="Q189" s="87"/>
      <c r="R189" s="87"/>
      <c r="S189" s="87">
        <v>1</v>
      </c>
      <c r="T189" s="87"/>
      <c r="U189" s="87">
        <v>1</v>
      </c>
      <c r="V189" s="90" t="s">
        <v>3515</v>
      </c>
    </row>
    <row r="190" ht="15" customHeight="1" spans="1:23" x14ac:dyDescent="0.25">
      <c r="A190" s="85">
        <v>586</v>
      </c>
      <c r="B190" s="85" t="s">
        <v>3516</v>
      </c>
      <c r="C190" s="85" t="s">
        <v>173</v>
      </c>
      <c r="D190" s="85" t="s">
        <v>630</v>
      </c>
      <c r="E190" s="85"/>
      <c r="F190" s="85" t="s">
        <v>157</v>
      </c>
      <c r="G190" s="85"/>
      <c r="H190" s="85"/>
      <c r="I190" s="86"/>
      <c r="J190" s="86"/>
      <c r="K190" s="87"/>
      <c r="L190" s="87"/>
      <c r="M190" s="88"/>
      <c r="N190" s="89"/>
      <c r="O190" s="87"/>
      <c r="P190" s="87"/>
      <c r="Q190" s="87"/>
      <c r="R190" s="87"/>
      <c r="S190" s="87">
        <v>1</v>
      </c>
      <c r="T190" s="87">
        <v>1</v>
      </c>
      <c r="U190" s="87">
        <v>1</v>
      </c>
      <c r="V190" s="90" t="s">
        <v>3495</v>
      </c>
    </row>
    <row r="191" ht="15" customHeight="1" spans="1:23" x14ac:dyDescent="0.25">
      <c r="A191" s="85">
        <v>586</v>
      </c>
      <c r="B191" s="85" t="s">
        <v>3516</v>
      </c>
      <c r="C191" s="85" t="s">
        <v>173</v>
      </c>
      <c r="D191" s="85" t="s">
        <v>630</v>
      </c>
      <c r="E191" s="85"/>
      <c r="F191" s="85" t="s">
        <v>2472</v>
      </c>
      <c r="G191" s="85" t="s">
        <v>288</v>
      </c>
      <c r="H191" s="85" t="s">
        <v>3268</v>
      </c>
      <c r="I191" s="86">
        <v>65</v>
      </c>
      <c r="J191" s="86">
        <v>65</v>
      </c>
      <c r="K191" s="87">
        <v>1</v>
      </c>
      <c r="L191" s="87">
        <v>1</v>
      </c>
      <c r="M191" s="88">
        <v>1</v>
      </c>
      <c r="N191" s="89"/>
      <c r="O191" s="87"/>
      <c r="P191" s="87"/>
      <c r="Q191" s="87"/>
      <c r="R191" s="87"/>
      <c r="S191" s="87">
        <v>1</v>
      </c>
      <c r="T191" s="87"/>
      <c r="U191" s="87">
        <v>1</v>
      </c>
      <c r="V191" s="90" t="s">
        <v>3495</v>
      </c>
    </row>
    <row r="192" ht="15" customHeight="1" spans="1:23" x14ac:dyDescent="0.25">
      <c r="A192" s="85">
        <v>587</v>
      </c>
      <c r="B192" s="85" t="s">
        <v>3517</v>
      </c>
      <c r="C192" s="85" t="s">
        <v>173</v>
      </c>
      <c r="D192" s="85" t="s">
        <v>163</v>
      </c>
      <c r="E192" s="85"/>
      <c r="F192" s="85" t="s">
        <v>157</v>
      </c>
      <c r="G192" s="85"/>
      <c r="H192" s="85"/>
      <c r="I192" s="86"/>
      <c r="J192" s="86"/>
      <c r="K192" s="87"/>
      <c r="L192" s="87"/>
      <c r="M192" s="88"/>
      <c r="N192" s="89"/>
      <c r="O192" s="87"/>
      <c r="P192" s="87"/>
      <c r="Q192" s="87"/>
      <c r="R192" s="87"/>
      <c r="S192" s="87">
        <v>1</v>
      </c>
      <c r="T192" s="87">
        <v>1</v>
      </c>
      <c r="U192" s="87">
        <v>1</v>
      </c>
      <c r="V192" s="90" t="s">
        <v>3518</v>
      </c>
    </row>
    <row r="193" ht="15" customHeight="1" spans="1:23" x14ac:dyDescent="0.25">
      <c r="A193" s="85">
        <v>587</v>
      </c>
      <c r="B193" s="85" t="s">
        <v>3517</v>
      </c>
      <c r="C193" s="85" t="s">
        <v>173</v>
      </c>
      <c r="D193" s="85" t="s">
        <v>163</v>
      </c>
      <c r="E193" s="85"/>
      <c r="F193" s="85" t="s">
        <v>2472</v>
      </c>
      <c r="G193" s="85" t="s">
        <v>288</v>
      </c>
      <c r="H193" s="85" t="s">
        <v>3268</v>
      </c>
      <c r="I193" s="86">
        <v>65</v>
      </c>
      <c r="J193" s="86">
        <v>65</v>
      </c>
      <c r="K193" s="87">
        <v>1</v>
      </c>
      <c r="L193" s="87">
        <v>1</v>
      </c>
      <c r="M193" s="88">
        <v>1</v>
      </c>
      <c r="N193" s="89"/>
      <c r="O193" s="87"/>
      <c r="P193" s="87"/>
      <c r="Q193" s="87"/>
      <c r="R193" s="87"/>
      <c r="S193" s="87">
        <v>1</v>
      </c>
      <c r="T193" s="87"/>
      <c r="U193" s="87">
        <v>1</v>
      </c>
      <c r="V193" s="90" t="s">
        <v>3518</v>
      </c>
    </row>
    <row r="194" ht="15" customHeight="1" spans="1:23" x14ac:dyDescent="0.25">
      <c r="A194" s="85">
        <v>588</v>
      </c>
      <c r="B194" s="85" t="s">
        <v>3519</v>
      </c>
      <c r="C194" s="85" t="s">
        <v>173</v>
      </c>
      <c r="D194" s="85" t="s">
        <v>163</v>
      </c>
      <c r="E194" s="85"/>
      <c r="F194" s="85" t="s">
        <v>157</v>
      </c>
      <c r="G194" s="85"/>
      <c r="H194" s="85"/>
      <c r="I194" s="86"/>
      <c r="J194" s="86"/>
      <c r="K194" s="87"/>
      <c r="L194" s="87"/>
      <c r="M194" s="88"/>
      <c r="N194" s="89"/>
      <c r="O194" s="87"/>
      <c r="P194" s="87"/>
      <c r="Q194" s="87"/>
      <c r="R194" s="87"/>
      <c r="S194" s="87">
        <v>1</v>
      </c>
      <c r="T194" s="87">
        <v>1</v>
      </c>
      <c r="U194" s="87">
        <v>1</v>
      </c>
      <c r="V194" s="90" t="s">
        <v>3520</v>
      </c>
    </row>
    <row r="195" ht="15" customHeight="1" spans="1:23" x14ac:dyDescent="0.25">
      <c r="A195" s="85">
        <v>588</v>
      </c>
      <c r="B195" s="85" t="s">
        <v>3519</v>
      </c>
      <c r="C195" s="85" t="s">
        <v>173</v>
      </c>
      <c r="D195" s="85" t="s">
        <v>163</v>
      </c>
      <c r="E195" s="85"/>
      <c r="F195" s="85" t="s">
        <v>2472</v>
      </c>
      <c r="G195" s="85" t="s">
        <v>288</v>
      </c>
      <c r="H195" s="85" t="s">
        <v>3268</v>
      </c>
      <c r="I195" s="86">
        <v>65</v>
      </c>
      <c r="J195" s="86">
        <v>65</v>
      </c>
      <c r="K195" s="87">
        <v>1</v>
      </c>
      <c r="L195" s="87">
        <v>1</v>
      </c>
      <c r="M195" s="88">
        <v>1</v>
      </c>
      <c r="N195" s="89"/>
      <c r="O195" s="87"/>
      <c r="P195" s="87"/>
      <c r="Q195" s="87"/>
      <c r="R195" s="87"/>
      <c r="S195" s="87">
        <v>1</v>
      </c>
      <c r="T195" s="87"/>
      <c r="U195" s="87">
        <v>1</v>
      </c>
      <c r="V195" s="90" t="s">
        <v>3520</v>
      </c>
    </row>
    <row r="196" ht="15" customHeight="1" spans="1:23" x14ac:dyDescent="0.25">
      <c r="A196" s="85">
        <v>589</v>
      </c>
      <c r="B196" s="85" t="s">
        <v>3521</v>
      </c>
      <c r="C196" s="85" t="s">
        <v>173</v>
      </c>
      <c r="D196" s="85" t="s">
        <v>163</v>
      </c>
      <c r="E196" s="85"/>
      <c r="F196" s="85" t="s">
        <v>157</v>
      </c>
      <c r="G196" s="85"/>
      <c r="H196" s="85"/>
      <c r="I196" s="86"/>
      <c r="J196" s="86"/>
      <c r="K196" s="87"/>
      <c r="L196" s="87"/>
      <c r="M196" s="88"/>
      <c r="N196" s="89"/>
      <c r="O196" s="87"/>
      <c r="P196" s="87"/>
      <c r="Q196" s="87"/>
      <c r="R196" s="87"/>
      <c r="S196" s="87">
        <v>1</v>
      </c>
      <c r="T196" s="87">
        <v>1</v>
      </c>
      <c r="U196" s="87">
        <v>1</v>
      </c>
      <c r="V196" s="90" t="s">
        <v>3522</v>
      </c>
    </row>
    <row r="197" ht="15" customHeight="1" spans="1:23" x14ac:dyDescent="0.25">
      <c r="A197" s="85">
        <v>589</v>
      </c>
      <c r="B197" s="85" t="s">
        <v>3521</v>
      </c>
      <c r="C197" s="85" t="s">
        <v>173</v>
      </c>
      <c r="D197" s="85" t="s">
        <v>163</v>
      </c>
      <c r="E197" s="85"/>
      <c r="F197" s="85" t="s">
        <v>2472</v>
      </c>
      <c r="G197" s="85" t="s">
        <v>288</v>
      </c>
      <c r="H197" s="85" t="s">
        <v>3268</v>
      </c>
      <c r="I197" s="86">
        <v>65</v>
      </c>
      <c r="J197" s="86">
        <v>65</v>
      </c>
      <c r="K197" s="87">
        <v>1</v>
      </c>
      <c r="L197" s="87">
        <v>1</v>
      </c>
      <c r="M197" s="88">
        <v>1</v>
      </c>
      <c r="N197" s="89"/>
      <c r="O197" s="87"/>
      <c r="P197" s="87"/>
      <c r="Q197" s="87"/>
      <c r="R197" s="87"/>
      <c r="S197" s="87">
        <v>1</v>
      </c>
      <c r="T197" s="87"/>
      <c r="U197" s="87">
        <v>1</v>
      </c>
      <c r="V197" s="90" t="s">
        <v>3522</v>
      </c>
    </row>
    <row r="198" ht="15" customHeight="1" spans="1:23" x14ac:dyDescent="0.25">
      <c r="A198" s="85">
        <v>590</v>
      </c>
      <c r="B198" s="85" t="s">
        <v>3523</v>
      </c>
      <c r="C198" s="85"/>
      <c r="D198" s="85" t="s">
        <v>163</v>
      </c>
      <c r="E198" s="85"/>
      <c r="F198" s="85" t="s">
        <v>2472</v>
      </c>
      <c r="G198" s="85"/>
      <c r="H198" s="85"/>
      <c r="I198" s="86"/>
      <c r="J198" s="86"/>
      <c r="K198" s="87"/>
      <c r="L198" s="87"/>
      <c r="M198" s="88"/>
      <c r="N198" s="89"/>
      <c r="O198" s="87"/>
      <c r="P198" s="87"/>
      <c r="Q198" s="87"/>
      <c r="R198" s="87"/>
      <c r="S198" s="87"/>
      <c r="T198" s="87"/>
      <c r="U198" s="87"/>
      <c r="V198" s="90"/>
    </row>
    <row r="199" ht="15" customHeight="1" spans="1:23" x14ac:dyDescent="0.25">
      <c r="A199" s="85">
        <v>590</v>
      </c>
      <c r="B199" s="85" t="s">
        <v>3523</v>
      </c>
      <c r="C199" s="85"/>
      <c r="D199" s="85" t="s">
        <v>163</v>
      </c>
      <c r="E199" s="85"/>
      <c r="F199" s="85" t="s">
        <v>157</v>
      </c>
      <c r="G199" s="85"/>
      <c r="H199" s="85"/>
      <c r="I199" s="86"/>
      <c r="J199" s="86"/>
      <c r="K199" s="87"/>
      <c r="L199" s="87"/>
      <c r="M199" s="88"/>
      <c r="N199" s="89"/>
      <c r="O199" s="87"/>
      <c r="P199" s="87"/>
      <c r="Q199" s="87"/>
      <c r="R199" s="87"/>
      <c r="S199" s="87"/>
      <c r="T199" s="87">
        <v>0</v>
      </c>
      <c r="U199" s="87"/>
      <c r="V199" s="90" t="s">
        <v>2472</v>
      </c>
    </row>
    <row r="200" ht="15" customHeight="1" spans="1:23" x14ac:dyDescent="0.25">
      <c r="A200" s="85">
        <v>591</v>
      </c>
      <c r="B200" s="85" t="s">
        <v>3524</v>
      </c>
      <c r="C200" s="85" t="s">
        <v>173</v>
      </c>
      <c r="D200" s="85" t="s">
        <v>163</v>
      </c>
      <c r="E200" s="85"/>
      <c r="F200" s="85" t="s">
        <v>157</v>
      </c>
      <c r="G200" s="85"/>
      <c r="H200" s="85"/>
      <c r="I200" s="86"/>
      <c r="J200" s="86"/>
      <c r="K200" s="87"/>
      <c r="L200" s="87"/>
      <c r="M200" s="88"/>
      <c r="N200" s="89"/>
      <c r="O200" s="87"/>
      <c r="P200" s="87"/>
      <c r="Q200" s="87"/>
      <c r="R200" s="87"/>
      <c r="S200" s="87">
        <v>1</v>
      </c>
      <c r="T200" s="87">
        <v>1</v>
      </c>
      <c r="U200" s="87">
        <v>0.07980000000000001</v>
      </c>
      <c r="V200" s="90" t="s">
        <v>3525</v>
      </c>
    </row>
    <row r="201" ht="15" customHeight="1" spans="1:23" x14ac:dyDescent="0.25">
      <c r="A201" s="85">
        <v>591</v>
      </c>
      <c r="B201" s="85" t="s">
        <v>3524</v>
      </c>
      <c r="C201" s="85" t="s">
        <v>173</v>
      </c>
      <c r="D201" s="85" t="s">
        <v>163</v>
      </c>
      <c r="E201" s="85"/>
      <c r="F201" s="85" t="s">
        <v>2472</v>
      </c>
      <c r="G201" s="85" t="s">
        <v>288</v>
      </c>
      <c r="H201" s="85" t="s">
        <v>3268</v>
      </c>
      <c r="I201" s="86">
        <v>65</v>
      </c>
      <c r="J201" s="86">
        <v>65</v>
      </c>
      <c r="K201" s="87">
        <v>1</v>
      </c>
      <c r="L201" s="87">
        <v>1</v>
      </c>
      <c r="M201" s="88">
        <v>1</v>
      </c>
      <c r="N201" s="89"/>
      <c r="O201" s="87"/>
      <c r="P201" s="87"/>
      <c r="Q201" s="87"/>
      <c r="R201" s="87"/>
      <c r="S201" s="87">
        <v>1</v>
      </c>
      <c r="T201" s="87"/>
      <c r="U201" s="87">
        <v>0.07980000000000001</v>
      </c>
      <c r="V201" s="90" t="s">
        <v>3526</v>
      </c>
    </row>
    <row r="202" ht="15" customHeight="1" spans="1:23" x14ac:dyDescent="0.25">
      <c r="A202" s="85">
        <v>592</v>
      </c>
      <c r="B202" s="85" t="s">
        <v>3527</v>
      </c>
      <c r="C202" s="85" t="s">
        <v>173</v>
      </c>
      <c r="D202" s="85" t="s">
        <v>163</v>
      </c>
      <c r="E202" s="85"/>
      <c r="F202" s="85" t="s">
        <v>157</v>
      </c>
      <c r="G202" s="85"/>
      <c r="H202" s="85"/>
      <c r="I202" s="86"/>
      <c r="J202" s="86"/>
      <c r="K202" s="87"/>
      <c r="L202" s="87"/>
      <c r="M202" s="88"/>
      <c r="N202" s="89"/>
      <c r="O202" s="87"/>
      <c r="P202" s="87"/>
      <c r="Q202" s="87"/>
      <c r="R202" s="87"/>
      <c r="S202" s="87">
        <v>1</v>
      </c>
      <c r="T202" s="87">
        <v>1</v>
      </c>
      <c r="U202" s="87">
        <v>1</v>
      </c>
      <c r="V202" s="90" t="s">
        <v>3528</v>
      </c>
    </row>
    <row r="203" ht="15" customHeight="1" spans="1:23" x14ac:dyDescent="0.25">
      <c r="A203" s="85">
        <v>592</v>
      </c>
      <c r="B203" s="85" t="s">
        <v>3527</v>
      </c>
      <c r="C203" s="85" t="s">
        <v>173</v>
      </c>
      <c r="D203" s="85" t="s">
        <v>163</v>
      </c>
      <c r="E203" s="85"/>
      <c r="F203" s="85" t="s">
        <v>2472</v>
      </c>
      <c r="G203" s="85" t="s">
        <v>288</v>
      </c>
      <c r="H203" s="85" t="s">
        <v>3268</v>
      </c>
      <c r="I203" s="86">
        <v>65</v>
      </c>
      <c r="J203" s="86">
        <v>65</v>
      </c>
      <c r="K203" s="87">
        <v>1</v>
      </c>
      <c r="L203" s="87">
        <v>1</v>
      </c>
      <c r="M203" s="88">
        <v>1</v>
      </c>
      <c r="N203" s="89"/>
      <c r="O203" s="87"/>
      <c r="P203" s="87"/>
      <c r="Q203" s="87"/>
      <c r="R203" s="87"/>
      <c r="S203" s="87">
        <v>1</v>
      </c>
      <c r="T203" s="87"/>
      <c r="U203" s="87">
        <v>1</v>
      </c>
      <c r="V203" s="90" t="s">
        <v>3529</v>
      </c>
    </row>
    <row r="204" ht="15" customHeight="1" spans="1:23" x14ac:dyDescent="0.25">
      <c r="A204" s="85">
        <v>593</v>
      </c>
      <c r="B204" s="85" t="s">
        <v>3530</v>
      </c>
      <c r="C204" s="85" t="s">
        <v>173</v>
      </c>
      <c r="D204" s="85" t="s">
        <v>163</v>
      </c>
      <c r="E204" s="85"/>
      <c r="F204" s="85" t="s">
        <v>157</v>
      </c>
      <c r="G204" s="85"/>
      <c r="H204" s="85"/>
      <c r="I204" s="86"/>
      <c r="J204" s="86"/>
      <c r="K204" s="87"/>
      <c r="L204" s="87"/>
      <c r="M204" s="88"/>
      <c r="N204" s="89"/>
      <c r="O204" s="87"/>
      <c r="P204" s="87"/>
      <c r="Q204" s="87"/>
      <c r="R204" s="87"/>
      <c r="S204" s="87">
        <v>1</v>
      </c>
      <c r="T204" s="87">
        <v>1</v>
      </c>
      <c r="U204" s="87">
        <v>1</v>
      </c>
      <c r="V204" s="90" t="s">
        <v>3531</v>
      </c>
    </row>
    <row r="205" ht="15" customHeight="1" spans="1:23" x14ac:dyDescent="0.25">
      <c r="A205" s="85">
        <v>593</v>
      </c>
      <c r="B205" s="85" t="s">
        <v>3530</v>
      </c>
      <c r="C205" s="85" t="s">
        <v>173</v>
      </c>
      <c r="D205" s="85" t="s">
        <v>163</v>
      </c>
      <c r="E205" s="85"/>
      <c r="F205" s="85" t="s">
        <v>2472</v>
      </c>
      <c r="G205" s="85" t="s">
        <v>288</v>
      </c>
      <c r="H205" s="85" t="s">
        <v>3268</v>
      </c>
      <c r="I205" s="86">
        <v>65</v>
      </c>
      <c r="J205" s="86">
        <v>65</v>
      </c>
      <c r="K205" s="87">
        <v>1</v>
      </c>
      <c r="L205" s="87">
        <v>1</v>
      </c>
      <c r="M205" s="88">
        <v>1</v>
      </c>
      <c r="N205" s="89"/>
      <c r="O205" s="87"/>
      <c r="P205" s="87"/>
      <c r="Q205" s="87"/>
      <c r="R205" s="87"/>
      <c r="S205" s="87">
        <v>1</v>
      </c>
      <c r="T205" s="87"/>
      <c r="U205" s="87">
        <v>1</v>
      </c>
      <c r="V205" s="90" t="s">
        <v>3532</v>
      </c>
    </row>
    <row r="206" ht="15" customHeight="1" spans="1:23" x14ac:dyDescent="0.25">
      <c r="A206" s="85">
        <v>594</v>
      </c>
      <c r="B206" s="85" t="s">
        <v>3533</v>
      </c>
      <c r="C206" s="85" t="s">
        <v>173</v>
      </c>
      <c r="D206" s="85" t="s">
        <v>163</v>
      </c>
      <c r="E206" s="85"/>
      <c r="F206" s="85" t="s">
        <v>157</v>
      </c>
      <c r="G206" s="85"/>
      <c r="H206" s="85"/>
      <c r="I206" s="86"/>
      <c r="J206" s="86"/>
      <c r="K206" s="87"/>
      <c r="L206" s="87"/>
      <c r="M206" s="88"/>
      <c r="N206" s="89"/>
      <c r="O206" s="87"/>
      <c r="P206" s="87"/>
      <c r="Q206" s="87"/>
      <c r="R206" s="87"/>
      <c r="S206" s="87">
        <v>1</v>
      </c>
      <c r="T206" s="87">
        <v>1</v>
      </c>
      <c r="U206" s="87">
        <v>1</v>
      </c>
      <c r="V206" s="90" t="s">
        <v>3534</v>
      </c>
    </row>
    <row r="207" ht="15" customHeight="1" spans="1:23" x14ac:dyDescent="0.25">
      <c r="A207" s="85">
        <v>594</v>
      </c>
      <c r="B207" s="85" t="s">
        <v>3533</v>
      </c>
      <c r="C207" s="85" t="s">
        <v>173</v>
      </c>
      <c r="D207" s="85" t="s">
        <v>163</v>
      </c>
      <c r="E207" s="85"/>
      <c r="F207" s="85" t="s">
        <v>2472</v>
      </c>
      <c r="G207" s="85" t="s">
        <v>288</v>
      </c>
      <c r="H207" s="85" t="s">
        <v>3268</v>
      </c>
      <c r="I207" s="86">
        <v>65</v>
      </c>
      <c r="J207" s="86">
        <v>65</v>
      </c>
      <c r="K207" s="87">
        <v>1</v>
      </c>
      <c r="L207" s="87">
        <v>1</v>
      </c>
      <c r="M207" s="88">
        <v>1</v>
      </c>
      <c r="N207" s="89"/>
      <c r="O207" s="87"/>
      <c r="P207" s="87"/>
      <c r="Q207" s="87"/>
      <c r="R207" s="87"/>
      <c r="S207" s="87">
        <v>1</v>
      </c>
      <c r="T207" s="87"/>
      <c r="U207" s="87">
        <v>1</v>
      </c>
      <c r="V207" s="90" t="s">
        <v>3535</v>
      </c>
    </row>
    <row r="208" ht="15" customHeight="1" spans="1:23" x14ac:dyDescent="0.25">
      <c r="A208" s="85">
        <v>595</v>
      </c>
      <c r="B208" s="85" t="s">
        <v>3536</v>
      </c>
      <c r="C208" s="85" t="s">
        <v>173</v>
      </c>
      <c r="D208" s="85" t="s">
        <v>163</v>
      </c>
      <c r="E208" s="85"/>
      <c r="F208" s="85" t="s">
        <v>157</v>
      </c>
      <c r="G208" s="85"/>
      <c r="H208" s="85"/>
      <c r="I208" s="86"/>
      <c r="J208" s="86"/>
      <c r="K208" s="87"/>
      <c r="L208" s="87"/>
      <c r="M208" s="88"/>
      <c r="N208" s="89"/>
      <c r="O208" s="87"/>
      <c r="P208" s="87"/>
      <c r="Q208" s="87"/>
      <c r="R208" s="87"/>
      <c r="S208" s="87">
        <v>1</v>
      </c>
      <c r="T208" s="87">
        <v>1</v>
      </c>
      <c r="U208" s="87">
        <v>1</v>
      </c>
      <c r="V208" s="90" t="s">
        <v>3537</v>
      </c>
    </row>
    <row r="209" ht="15" customHeight="1" spans="1:23" x14ac:dyDescent="0.25">
      <c r="A209" s="85">
        <v>595</v>
      </c>
      <c r="B209" s="85" t="s">
        <v>3536</v>
      </c>
      <c r="C209" s="85" t="s">
        <v>173</v>
      </c>
      <c r="D209" s="85" t="s">
        <v>163</v>
      </c>
      <c r="E209" s="85"/>
      <c r="F209" s="85" t="s">
        <v>2472</v>
      </c>
      <c r="G209" s="85" t="s">
        <v>288</v>
      </c>
      <c r="H209" s="85" t="s">
        <v>3268</v>
      </c>
      <c r="I209" s="86">
        <v>65</v>
      </c>
      <c r="J209" s="86">
        <v>65</v>
      </c>
      <c r="K209" s="87">
        <v>1</v>
      </c>
      <c r="L209" s="87">
        <v>1</v>
      </c>
      <c r="M209" s="88">
        <v>1</v>
      </c>
      <c r="N209" s="89"/>
      <c r="O209" s="87"/>
      <c r="P209" s="87"/>
      <c r="Q209" s="87"/>
      <c r="R209" s="87"/>
      <c r="S209" s="87">
        <v>1</v>
      </c>
      <c r="T209" s="87"/>
      <c r="U209" s="87">
        <v>1</v>
      </c>
      <c r="V209" s="90" t="s">
        <v>3538</v>
      </c>
    </row>
    <row r="210" ht="15" customHeight="1" spans="1:23" x14ac:dyDescent="0.25">
      <c r="A210" s="85">
        <v>596</v>
      </c>
      <c r="B210" s="85" t="s">
        <v>3539</v>
      </c>
      <c r="C210" s="85" t="s">
        <v>173</v>
      </c>
      <c r="D210" s="85" t="s">
        <v>163</v>
      </c>
      <c r="E210" s="85"/>
      <c r="F210" s="85" t="s">
        <v>157</v>
      </c>
      <c r="G210" s="85"/>
      <c r="H210" s="85"/>
      <c r="I210" s="86"/>
      <c r="J210" s="86"/>
      <c r="K210" s="87"/>
      <c r="L210" s="87"/>
      <c r="M210" s="88"/>
      <c r="N210" s="89"/>
      <c r="O210" s="87"/>
      <c r="P210" s="87"/>
      <c r="Q210" s="87"/>
      <c r="R210" s="87"/>
      <c r="S210" s="87">
        <v>0.8</v>
      </c>
      <c r="T210" s="87">
        <v>0.8</v>
      </c>
      <c r="U210" s="87">
        <v>0.8</v>
      </c>
      <c r="V210" s="90" t="s">
        <v>3540</v>
      </c>
    </row>
    <row r="211" ht="15" customHeight="1" spans="1:23" x14ac:dyDescent="0.25">
      <c r="A211" s="85">
        <v>596</v>
      </c>
      <c r="B211" s="85" t="s">
        <v>3539</v>
      </c>
      <c r="C211" s="85" t="s">
        <v>173</v>
      </c>
      <c r="D211" s="85" t="s">
        <v>163</v>
      </c>
      <c r="E211" s="85"/>
      <c r="F211" s="85" t="s">
        <v>2472</v>
      </c>
      <c r="G211" s="85" t="s">
        <v>288</v>
      </c>
      <c r="H211" s="85" t="s">
        <v>3268</v>
      </c>
      <c r="I211" s="86">
        <v>65</v>
      </c>
      <c r="J211" s="86">
        <v>65</v>
      </c>
      <c r="K211" s="87">
        <v>1</v>
      </c>
      <c r="L211" s="87">
        <v>0.8</v>
      </c>
      <c r="M211" s="88">
        <v>0.8</v>
      </c>
      <c r="N211" s="89"/>
      <c r="O211" s="87"/>
      <c r="P211" s="87"/>
      <c r="Q211" s="87"/>
      <c r="R211" s="87"/>
      <c r="S211" s="87">
        <v>0.8</v>
      </c>
      <c r="T211" s="87"/>
      <c r="U211" s="87">
        <v>0.8</v>
      </c>
      <c r="V211" s="90" t="s">
        <v>3541</v>
      </c>
    </row>
    <row r="212" ht="15" customHeight="1" spans="1:23" x14ac:dyDescent="0.25">
      <c r="A212" s="85">
        <v>597</v>
      </c>
      <c r="B212" s="85" t="s">
        <v>3542</v>
      </c>
      <c r="C212" s="85" t="s">
        <v>173</v>
      </c>
      <c r="D212" s="85" t="s">
        <v>163</v>
      </c>
      <c r="E212" s="85"/>
      <c r="F212" s="85" t="s">
        <v>157</v>
      </c>
      <c r="G212" s="85"/>
      <c r="H212" s="85"/>
      <c r="I212" s="86"/>
      <c r="J212" s="86"/>
      <c r="K212" s="87"/>
      <c r="L212" s="87"/>
      <c r="M212" s="88"/>
      <c r="N212" s="89"/>
      <c r="O212" s="87"/>
      <c r="P212" s="87"/>
      <c r="Q212" s="87"/>
      <c r="R212" s="87"/>
      <c r="S212" s="87">
        <v>1</v>
      </c>
      <c r="T212" s="87">
        <v>1</v>
      </c>
      <c r="U212" s="87">
        <v>0.4667</v>
      </c>
      <c r="V212" s="90" t="s">
        <v>3543</v>
      </c>
    </row>
    <row r="213" ht="15" customHeight="1" spans="1:23" x14ac:dyDescent="0.25">
      <c r="A213" s="85">
        <v>597</v>
      </c>
      <c r="B213" s="85" t="s">
        <v>3542</v>
      </c>
      <c r="C213" s="85" t="s">
        <v>173</v>
      </c>
      <c r="D213" s="85" t="s">
        <v>163</v>
      </c>
      <c r="E213" s="85"/>
      <c r="F213" s="85" t="s">
        <v>2472</v>
      </c>
      <c r="G213" s="85" t="s">
        <v>288</v>
      </c>
      <c r="H213" s="85" t="s">
        <v>3268</v>
      </c>
      <c r="I213" s="86">
        <v>65</v>
      </c>
      <c r="J213" s="86">
        <v>65</v>
      </c>
      <c r="K213" s="87">
        <v>1</v>
      </c>
      <c r="L213" s="87">
        <v>1</v>
      </c>
      <c r="M213" s="88">
        <v>1</v>
      </c>
      <c r="N213" s="89"/>
      <c r="O213" s="87"/>
      <c r="P213" s="87"/>
      <c r="Q213" s="87"/>
      <c r="R213" s="87"/>
      <c r="S213" s="87">
        <v>1</v>
      </c>
      <c r="T213" s="87"/>
      <c r="U213" s="87">
        <v>0.4667</v>
      </c>
      <c r="V213" s="90" t="s">
        <v>3544</v>
      </c>
    </row>
    <row r="214" ht="15" customHeight="1" spans="1:23" x14ac:dyDescent="0.25">
      <c r="A214" s="85">
        <v>598</v>
      </c>
      <c r="B214" s="85" t="s">
        <v>3545</v>
      </c>
      <c r="C214" s="85" t="s">
        <v>173</v>
      </c>
      <c r="D214" s="85" t="s">
        <v>163</v>
      </c>
      <c r="E214" s="85"/>
      <c r="F214" s="85" t="s">
        <v>157</v>
      </c>
      <c r="G214" s="85"/>
      <c r="H214" s="85"/>
      <c r="I214" s="86"/>
      <c r="J214" s="86"/>
      <c r="K214" s="87"/>
      <c r="L214" s="87"/>
      <c r="M214" s="88"/>
      <c r="N214" s="89"/>
      <c r="O214" s="87"/>
      <c r="P214" s="87"/>
      <c r="Q214" s="87"/>
      <c r="R214" s="87"/>
      <c r="S214" s="87">
        <v>1</v>
      </c>
      <c r="T214" s="87">
        <v>1</v>
      </c>
      <c r="U214" s="87">
        <v>1</v>
      </c>
      <c r="V214" s="90" t="s">
        <v>3546</v>
      </c>
    </row>
    <row r="215" ht="15" customHeight="1" spans="1:23" x14ac:dyDescent="0.25">
      <c r="A215" s="85">
        <v>598</v>
      </c>
      <c r="B215" s="85" t="s">
        <v>3545</v>
      </c>
      <c r="C215" s="85" t="s">
        <v>173</v>
      </c>
      <c r="D215" s="85" t="s">
        <v>163</v>
      </c>
      <c r="E215" s="85"/>
      <c r="F215" s="85" t="s">
        <v>2472</v>
      </c>
      <c r="G215" s="85" t="s">
        <v>288</v>
      </c>
      <c r="H215" s="85" t="s">
        <v>3268</v>
      </c>
      <c r="I215" s="86">
        <v>65</v>
      </c>
      <c r="J215" s="86">
        <v>65</v>
      </c>
      <c r="K215" s="87">
        <v>1</v>
      </c>
      <c r="L215" s="87">
        <v>1</v>
      </c>
      <c r="M215" s="88">
        <v>1</v>
      </c>
      <c r="N215" s="89"/>
      <c r="O215" s="87"/>
      <c r="P215" s="87"/>
      <c r="Q215" s="87"/>
      <c r="R215" s="87"/>
      <c r="S215" s="87">
        <v>1</v>
      </c>
      <c r="T215" s="87"/>
      <c r="U215" s="87">
        <v>1</v>
      </c>
      <c r="V215" s="90" t="s">
        <v>3547</v>
      </c>
    </row>
    <row r="216" ht="15" customHeight="1" spans="1:23" x14ac:dyDescent="0.25">
      <c r="A216" s="85">
        <v>599</v>
      </c>
      <c r="B216" s="85" t="s">
        <v>3548</v>
      </c>
      <c r="C216" s="85" t="s">
        <v>173</v>
      </c>
      <c r="D216" s="85" t="s">
        <v>163</v>
      </c>
      <c r="E216" s="85"/>
      <c r="F216" s="85" t="s">
        <v>157</v>
      </c>
      <c r="G216" s="85"/>
      <c r="H216" s="85"/>
      <c r="I216" s="86"/>
      <c r="J216" s="86"/>
      <c r="K216" s="87"/>
      <c r="L216" s="87"/>
      <c r="M216" s="88"/>
      <c r="N216" s="89"/>
      <c r="O216" s="87"/>
      <c r="P216" s="87"/>
      <c r="Q216" s="87"/>
      <c r="R216" s="87"/>
      <c r="S216" s="87">
        <v>1</v>
      </c>
      <c r="T216" s="87">
        <v>1</v>
      </c>
      <c r="U216" s="87">
        <v>1</v>
      </c>
      <c r="V216" s="90" t="s">
        <v>3549</v>
      </c>
    </row>
    <row r="217" ht="15" customHeight="1" spans="1:23" x14ac:dyDescent="0.25">
      <c r="A217" s="85">
        <v>599</v>
      </c>
      <c r="B217" s="85" t="s">
        <v>3548</v>
      </c>
      <c r="C217" s="85" t="s">
        <v>173</v>
      </c>
      <c r="D217" s="85" t="s">
        <v>163</v>
      </c>
      <c r="E217" s="85"/>
      <c r="F217" s="85" t="s">
        <v>2472</v>
      </c>
      <c r="G217" s="85" t="s">
        <v>288</v>
      </c>
      <c r="H217" s="85" t="s">
        <v>3268</v>
      </c>
      <c r="I217" s="86">
        <v>65</v>
      </c>
      <c r="J217" s="86">
        <v>65</v>
      </c>
      <c r="K217" s="87">
        <v>1</v>
      </c>
      <c r="L217" s="87">
        <v>1</v>
      </c>
      <c r="M217" s="88">
        <v>1</v>
      </c>
      <c r="N217" s="89"/>
      <c r="O217" s="87"/>
      <c r="P217" s="87"/>
      <c r="Q217" s="87"/>
      <c r="R217" s="87"/>
      <c r="S217" s="87">
        <v>1</v>
      </c>
      <c r="T217" s="87"/>
      <c r="U217" s="87">
        <v>1</v>
      </c>
      <c r="V217" s="90" t="s">
        <v>3549</v>
      </c>
    </row>
    <row r="218" ht="15" customHeight="1" spans="1:23" x14ac:dyDescent="0.25">
      <c r="A218" s="85">
        <v>600</v>
      </c>
      <c r="B218" s="85" t="s">
        <v>3550</v>
      </c>
      <c r="C218" s="85" t="s">
        <v>173</v>
      </c>
      <c r="D218" s="85" t="s">
        <v>163</v>
      </c>
      <c r="E218" s="85"/>
      <c r="F218" s="85" t="s">
        <v>157</v>
      </c>
      <c r="G218" s="85"/>
      <c r="H218" s="85"/>
      <c r="I218" s="86"/>
      <c r="J218" s="86"/>
      <c r="K218" s="87"/>
      <c r="L218" s="87"/>
      <c r="M218" s="88"/>
      <c r="N218" s="89"/>
      <c r="O218" s="87"/>
      <c r="P218" s="87"/>
      <c r="Q218" s="87"/>
      <c r="R218" s="87"/>
      <c r="S218" s="87">
        <v>1</v>
      </c>
      <c r="T218" s="87">
        <v>1</v>
      </c>
      <c r="U218" s="87">
        <v>1</v>
      </c>
      <c r="V218" s="90" t="s">
        <v>3551</v>
      </c>
    </row>
    <row r="219" ht="15" customHeight="1" spans="1:23" x14ac:dyDescent="0.25">
      <c r="A219" s="85">
        <v>600</v>
      </c>
      <c r="B219" s="85" t="s">
        <v>3550</v>
      </c>
      <c r="C219" s="85" t="s">
        <v>173</v>
      </c>
      <c r="D219" s="85" t="s">
        <v>163</v>
      </c>
      <c r="E219" s="85"/>
      <c r="F219" s="85" t="s">
        <v>2472</v>
      </c>
      <c r="G219" s="85" t="s">
        <v>288</v>
      </c>
      <c r="H219" s="85" t="s">
        <v>3268</v>
      </c>
      <c r="I219" s="86">
        <v>65</v>
      </c>
      <c r="J219" s="86">
        <v>65</v>
      </c>
      <c r="K219" s="87">
        <v>1</v>
      </c>
      <c r="L219" s="87">
        <v>1</v>
      </c>
      <c r="M219" s="88">
        <v>1</v>
      </c>
      <c r="N219" s="89"/>
      <c r="O219" s="87"/>
      <c r="P219" s="87"/>
      <c r="Q219" s="87"/>
      <c r="R219" s="87"/>
      <c r="S219" s="87">
        <v>1</v>
      </c>
      <c r="T219" s="87"/>
      <c r="U219" s="87">
        <v>1</v>
      </c>
      <c r="V219" s="90" t="s">
        <v>3551</v>
      </c>
    </row>
    <row r="220" ht="15" customHeight="1" spans="1:23" x14ac:dyDescent="0.25">
      <c r="A220" s="85">
        <v>601</v>
      </c>
      <c r="B220" s="85" t="s">
        <v>3552</v>
      </c>
      <c r="C220" s="85" t="s">
        <v>173</v>
      </c>
      <c r="D220" s="85" t="s">
        <v>163</v>
      </c>
      <c r="E220" s="85"/>
      <c r="F220" s="85" t="s">
        <v>157</v>
      </c>
      <c r="G220" s="85"/>
      <c r="H220" s="85"/>
      <c r="I220" s="86"/>
      <c r="J220" s="86"/>
      <c r="K220" s="87"/>
      <c r="L220" s="87"/>
      <c r="M220" s="88"/>
      <c r="N220" s="89"/>
      <c r="O220" s="87"/>
      <c r="P220" s="87"/>
      <c r="Q220" s="87"/>
      <c r="R220" s="87"/>
      <c r="S220" s="87">
        <v>0.8200000000000001</v>
      </c>
      <c r="T220" s="87">
        <v>0.8200000000000001</v>
      </c>
      <c r="U220" s="87">
        <v>0.8200000000000001</v>
      </c>
      <c r="V220" s="90" t="s">
        <v>3553</v>
      </c>
    </row>
    <row r="221" ht="15" customHeight="1" spans="1:23" x14ac:dyDescent="0.25">
      <c r="A221" s="85">
        <v>601</v>
      </c>
      <c r="B221" s="85" t="s">
        <v>3552</v>
      </c>
      <c r="C221" s="85" t="s">
        <v>173</v>
      </c>
      <c r="D221" s="85" t="s">
        <v>163</v>
      </c>
      <c r="E221" s="85"/>
      <c r="F221" s="85" t="s">
        <v>2472</v>
      </c>
      <c r="G221" s="85" t="s">
        <v>288</v>
      </c>
      <c r="H221" s="85" t="s">
        <v>3268</v>
      </c>
      <c r="I221" s="86">
        <v>65</v>
      </c>
      <c r="J221" s="86">
        <v>65</v>
      </c>
      <c r="K221" s="87">
        <v>1</v>
      </c>
      <c r="L221" s="87">
        <v>1</v>
      </c>
      <c r="M221" s="88">
        <v>1</v>
      </c>
      <c r="N221" s="89">
        <v>0.18</v>
      </c>
      <c r="O221" s="87">
        <v>0.18</v>
      </c>
      <c r="P221" s="87"/>
      <c r="Q221" s="87"/>
      <c r="R221" s="87"/>
      <c r="S221" s="87">
        <v>0.8200000000000001</v>
      </c>
      <c r="T221" s="87"/>
      <c r="U221" s="87">
        <v>0.8200000000000001</v>
      </c>
      <c r="V221" s="90" t="s">
        <v>3553</v>
      </c>
    </row>
    <row r="222" ht="15" customHeight="1" spans="1:23" x14ac:dyDescent="0.25">
      <c r="A222" s="85">
        <v>602</v>
      </c>
      <c r="B222" s="85" t="s">
        <v>3554</v>
      </c>
      <c r="C222" s="85" t="s">
        <v>173</v>
      </c>
      <c r="D222" s="85" t="s">
        <v>163</v>
      </c>
      <c r="E222" s="85"/>
      <c r="F222" s="85" t="s">
        <v>157</v>
      </c>
      <c r="G222" s="85"/>
      <c r="H222" s="85"/>
      <c r="I222" s="86"/>
      <c r="J222" s="86"/>
      <c r="K222" s="87"/>
      <c r="L222" s="87"/>
      <c r="M222" s="88"/>
      <c r="N222" s="89"/>
      <c r="O222" s="87"/>
      <c r="P222" s="87"/>
      <c r="Q222" s="87"/>
      <c r="R222" s="87"/>
      <c r="S222" s="87">
        <v>1</v>
      </c>
      <c r="T222" s="87">
        <v>1</v>
      </c>
      <c r="U222" s="87">
        <v>1</v>
      </c>
      <c r="V222" s="90" t="s">
        <v>3555</v>
      </c>
    </row>
    <row r="223" ht="15" customHeight="1" spans="1:23" x14ac:dyDescent="0.25">
      <c r="A223" s="85">
        <v>602</v>
      </c>
      <c r="B223" s="85" t="s">
        <v>3554</v>
      </c>
      <c r="C223" s="85" t="s">
        <v>173</v>
      </c>
      <c r="D223" s="85" t="s">
        <v>163</v>
      </c>
      <c r="E223" s="85"/>
      <c r="F223" s="85" t="s">
        <v>2472</v>
      </c>
      <c r="G223" s="85" t="s">
        <v>288</v>
      </c>
      <c r="H223" s="85" t="s">
        <v>3268</v>
      </c>
      <c r="I223" s="86">
        <v>65</v>
      </c>
      <c r="J223" s="86">
        <v>65</v>
      </c>
      <c r="K223" s="87">
        <v>1</v>
      </c>
      <c r="L223" s="87">
        <v>1</v>
      </c>
      <c r="M223" s="88">
        <v>1</v>
      </c>
      <c r="N223" s="89"/>
      <c r="O223" s="87"/>
      <c r="P223" s="87"/>
      <c r="Q223" s="87"/>
      <c r="R223" s="87"/>
      <c r="S223" s="87">
        <v>1</v>
      </c>
      <c r="T223" s="87"/>
      <c r="U223" s="87">
        <v>1</v>
      </c>
      <c r="V223" s="90" t="s">
        <v>3555</v>
      </c>
    </row>
    <row r="224" ht="15" customHeight="1" spans="1:23" x14ac:dyDescent="0.25">
      <c r="A224" s="85">
        <v>603</v>
      </c>
      <c r="B224" s="85" t="s">
        <v>3556</v>
      </c>
      <c r="C224" s="85" t="s">
        <v>173</v>
      </c>
      <c r="D224" s="85" t="s">
        <v>163</v>
      </c>
      <c r="E224" s="85"/>
      <c r="F224" s="85" t="s">
        <v>157</v>
      </c>
      <c r="G224" s="85"/>
      <c r="H224" s="85"/>
      <c r="I224" s="86"/>
      <c r="J224" s="86"/>
      <c r="K224" s="87"/>
      <c r="L224" s="87"/>
      <c r="M224" s="88"/>
      <c r="N224" s="89"/>
      <c r="O224" s="87"/>
      <c r="P224" s="87"/>
      <c r="Q224" s="87"/>
      <c r="R224" s="87"/>
      <c r="S224" s="87">
        <v>1</v>
      </c>
      <c r="T224" s="87">
        <v>1</v>
      </c>
      <c r="U224" s="87">
        <v>1</v>
      </c>
      <c r="V224" s="90" t="s">
        <v>3557</v>
      </c>
    </row>
    <row r="225" ht="15" customHeight="1" spans="1:23" x14ac:dyDescent="0.25">
      <c r="A225" s="85">
        <v>603</v>
      </c>
      <c r="B225" s="85" t="s">
        <v>3556</v>
      </c>
      <c r="C225" s="85" t="s">
        <v>173</v>
      </c>
      <c r="D225" s="85" t="s">
        <v>163</v>
      </c>
      <c r="E225" s="85"/>
      <c r="F225" s="85" t="s">
        <v>2472</v>
      </c>
      <c r="G225" s="85" t="s">
        <v>288</v>
      </c>
      <c r="H225" s="85" t="s">
        <v>3268</v>
      </c>
      <c r="I225" s="86">
        <v>65</v>
      </c>
      <c r="J225" s="86">
        <v>65</v>
      </c>
      <c r="K225" s="87">
        <v>1</v>
      </c>
      <c r="L225" s="87">
        <v>1</v>
      </c>
      <c r="M225" s="88">
        <v>1</v>
      </c>
      <c r="N225" s="89"/>
      <c r="O225" s="87"/>
      <c r="P225" s="87"/>
      <c r="Q225" s="87"/>
      <c r="R225" s="87"/>
      <c r="S225" s="87">
        <v>1</v>
      </c>
      <c r="T225" s="87"/>
      <c r="U225" s="87">
        <v>1</v>
      </c>
      <c r="V225" s="90" t="s">
        <v>3557</v>
      </c>
    </row>
    <row r="226" ht="15" customHeight="1" spans="1:23" x14ac:dyDescent="0.25">
      <c r="A226" s="85">
        <v>604</v>
      </c>
      <c r="B226" s="85" t="s">
        <v>3558</v>
      </c>
      <c r="C226" s="85" t="s">
        <v>173</v>
      </c>
      <c r="D226" s="85" t="s">
        <v>163</v>
      </c>
      <c r="E226" s="85"/>
      <c r="F226" s="85" t="s">
        <v>157</v>
      </c>
      <c r="G226" s="85"/>
      <c r="H226" s="85"/>
      <c r="I226" s="86"/>
      <c r="J226" s="86"/>
      <c r="K226" s="87"/>
      <c r="L226" s="87"/>
      <c r="M226" s="88"/>
      <c r="N226" s="89"/>
      <c r="O226" s="87"/>
      <c r="P226" s="87"/>
      <c r="Q226" s="87"/>
      <c r="R226" s="87"/>
      <c r="S226" s="87">
        <v>1</v>
      </c>
      <c r="T226" s="87">
        <v>1</v>
      </c>
      <c r="U226" s="87">
        <v>1</v>
      </c>
      <c r="V226" s="90" t="s">
        <v>3559</v>
      </c>
    </row>
    <row r="227" ht="15" customHeight="1" spans="1:23" x14ac:dyDescent="0.25">
      <c r="A227" s="85">
        <v>604</v>
      </c>
      <c r="B227" s="85" t="s">
        <v>3558</v>
      </c>
      <c r="C227" s="85" t="s">
        <v>173</v>
      </c>
      <c r="D227" s="85" t="s">
        <v>163</v>
      </c>
      <c r="E227" s="85"/>
      <c r="F227" s="85" t="s">
        <v>2472</v>
      </c>
      <c r="G227" s="85" t="s">
        <v>288</v>
      </c>
      <c r="H227" s="85" t="s">
        <v>3268</v>
      </c>
      <c r="I227" s="86">
        <v>65</v>
      </c>
      <c r="J227" s="86">
        <v>65</v>
      </c>
      <c r="K227" s="87">
        <v>1</v>
      </c>
      <c r="L227" s="87">
        <v>1</v>
      </c>
      <c r="M227" s="88">
        <v>1</v>
      </c>
      <c r="N227" s="89"/>
      <c r="O227" s="87"/>
      <c r="P227" s="87"/>
      <c r="Q227" s="87"/>
      <c r="R227" s="87"/>
      <c r="S227" s="87">
        <v>1</v>
      </c>
      <c r="T227" s="87"/>
      <c r="U227" s="87">
        <v>1</v>
      </c>
      <c r="V227" s="90" t="s">
        <v>3560</v>
      </c>
    </row>
    <row r="228" ht="15" customHeight="1" spans="1:23" x14ac:dyDescent="0.25">
      <c r="A228" s="85">
        <v>605</v>
      </c>
      <c r="B228" s="85" t="s">
        <v>3561</v>
      </c>
      <c r="C228" s="85" t="s">
        <v>173</v>
      </c>
      <c r="D228" s="85" t="s">
        <v>163</v>
      </c>
      <c r="E228" s="85"/>
      <c r="F228" s="85" t="s">
        <v>157</v>
      </c>
      <c r="G228" s="85"/>
      <c r="H228" s="85"/>
      <c r="I228" s="86"/>
      <c r="J228" s="86"/>
      <c r="K228" s="87"/>
      <c r="L228" s="87"/>
      <c r="M228" s="88"/>
      <c r="N228" s="89"/>
      <c r="O228" s="87"/>
      <c r="P228" s="87"/>
      <c r="Q228" s="87"/>
      <c r="R228" s="87"/>
      <c r="S228" s="87">
        <v>1</v>
      </c>
      <c r="T228" s="87">
        <v>1</v>
      </c>
      <c r="U228" s="87">
        <v>1</v>
      </c>
      <c r="V228" s="90" t="s">
        <v>3562</v>
      </c>
    </row>
    <row r="229" ht="15" customHeight="1" spans="1:23" x14ac:dyDescent="0.25">
      <c r="A229" s="85">
        <v>605</v>
      </c>
      <c r="B229" s="85" t="s">
        <v>3561</v>
      </c>
      <c r="C229" s="85" t="s">
        <v>173</v>
      </c>
      <c r="D229" s="85" t="s">
        <v>163</v>
      </c>
      <c r="E229" s="85"/>
      <c r="F229" s="85" t="s">
        <v>2472</v>
      </c>
      <c r="G229" s="85" t="s">
        <v>288</v>
      </c>
      <c r="H229" s="85" t="s">
        <v>3268</v>
      </c>
      <c r="I229" s="86">
        <v>65</v>
      </c>
      <c r="J229" s="86">
        <v>65</v>
      </c>
      <c r="K229" s="87">
        <v>1</v>
      </c>
      <c r="L229" s="87">
        <v>1</v>
      </c>
      <c r="M229" s="88">
        <v>1</v>
      </c>
      <c r="N229" s="89"/>
      <c r="O229" s="87"/>
      <c r="P229" s="87"/>
      <c r="Q229" s="87"/>
      <c r="R229" s="87"/>
      <c r="S229" s="87">
        <v>1</v>
      </c>
      <c r="T229" s="87"/>
      <c r="U229" s="87">
        <v>1</v>
      </c>
      <c r="V229" s="90" t="s">
        <v>3563</v>
      </c>
    </row>
    <row r="230" ht="15" customHeight="1" spans="1:23" x14ac:dyDescent="0.25">
      <c r="A230" s="85">
        <v>606</v>
      </c>
      <c r="B230" s="85" t="s">
        <v>3564</v>
      </c>
      <c r="C230" s="85" t="s">
        <v>173</v>
      </c>
      <c r="D230" s="85" t="s">
        <v>163</v>
      </c>
      <c r="E230" s="85"/>
      <c r="F230" s="85" t="s">
        <v>157</v>
      </c>
      <c r="G230" s="85"/>
      <c r="H230" s="85"/>
      <c r="I230" s="86"/>
      <c r="J230" s="86"/>
      <c r="K230" s="87"/>
      <c r="L230" s="87"/>
      <c r="M230" s="88"/>
      <c r="N230" s="89"/>
      <c r="O230" s="87"/>
      <c r="P230" s="87"/>
      <c r="Q230" s="87"/>
      <c r="R230" s="87"/>
      <c r="S230" s="87">
        <v>0.95</v>
      </c>
      <c r="T230" s="87">
        <v>0.95</v>
      </c>
      <c r="U230" s="87">
        <v>0.95</v>
      </c>
      <c r="V230" s="90" t="s">
        <v>3565</v>
      </c>
    </row>
    <row r="231" ht="15" customHeight="1" spans="1:23" x14ac:dyDescent="0.25">
      <c r="A231" s="85">
        <v>606</v>
      </c>
      <c r="B231" s="85" t="s">
        <v>3564</v>
      </c>
      <c r="C231" s="85" t="s">
        <v>173</v>
      </c>
      <c r="D231" s="85" t="s">
        <v>163</v>
      </c>
      <c r="E231" s="85"/>
      <c r="F231" s="85" t="s">
        <v>2472</v>
      </c>
      <c r="G231" s="85" t="s">
        <v>288</v>
      </c>
      <c r="H231" s="85" t="s">
        <v>3268</v>
      </c>
      <c r="I231" s="86">
        <v>65</v>
      </c>
      <c r="J231" s="86">
        <v>65</v>
      </c>
      <c r="K231" s="87">
        <v>1</v>
      </c>
      <c r="L231" s="87">
        <v>1</v>
      </c>
      <c r="M231" s="88">
        <v>1</v>
      </c>
      <c r="N231" s="89">
        <v>0.05</v>
      </c>
      <c r="O231" s="87">
        <v>0.05</v>
      </c>
      <c r="P231" s="87"/>
      <c r="Q231" s="87"/>
      <c r="R231" s="87"/>
      <c r="S231" s="87">
        <v>0.95</v>
      </c>
      <c r="T231" s="87"/>
      <c r="U231" s="87">
        <v>0.95</v>
      </c>
      <c r="V231" s="90" t="s">
        <v>3565</v>
      </c>
    </row>
    <row r="232" ht="15" customHeight="1" spans="1:23" x14ac:dyDescent="0.25">
      <c r="A232" s="85">
        <v>607</v>
      </c>
      <c r="B232" s="85" t="s">
        <v>3566</v>
      </c>
      <c r="C232" s="85" t="s">
        <v>173</v>
      </c>
      <c r="D232" s="85" t="s">
        <v>163</v>
      </c>
      <c r="E232" s="85"/>
      <c r="F232" s="85" t="s">
        <v>157</v>
      </c>
      <c r="G232" s="85"/>
      <c r="H232" s="85"/>
      <c r="I232" s="86"/>
      <c r="J232" s="86"/>
      <c r="K232" s="87"/>
      <c r="L232" s="87"/>
      <c r="M232" s="88"/>
      <c r="N232" s="89"/>
      <c r="O232" s="87"/>
      <c r="P232" s="87"/>
      <c r="Q232" s="87"/>
      <c r="R232" s="87"/>
      <c r="S232" s="87">
        <v>1</v>
      </c>
      <c r="T232" s="87">
        <v>1</v>
      </c>
      <c r="U232" s="87">
        <v>1</v>
      </c>
      <c r="V232" s="90" t="s">
        <v>3567</v>
      </c>
    </row>
    <row r="233" ht="15" customHeight="1" spans="1:23" x14ac:dyDescent="0.25">
      <c r="A233" s="85">
        <v>607</v>
      </c>
      <c r="B233" s="85" t="s">
        <v>3566</v>
      </c>
      <c r="C233" s="85" t="s">
        <v>173</v>
      </c>
      <c r="D233" s="85" t="s">
        <v>163</v>
      </c>
      <c r="E233" s="85"/>
      <c r="F233" s="85" t="s">
        <v>2472</v>
      </c>
      <c r="G233" s="85" t="s">
        <v>288</v>
      </c>
      <c r="H233" s="85" t="s">
        <v>3268</v>
      </c>
      <c r="I233" s="86">
        <v>65</v>
      </c>
      <c r="J233" s="86">
        <v>65</v>
      </c>
      <c r="K233" s="87">
        <v>1</v>
      </c>
      <c r="L233" s="87">
        <v>1</v>
      </c>
      <c r="M233" s="88">
        <v>1</v>
      </c>
      <c r="N233" s="89"/>
      <c r="O233" s="87"/>
      <c r="P233" s="87"/>
      <c r="Q233" s="87"/>
      <c r="R233" s="87"/>
      <c r="S233" s="87">
        <v>1</v>
      </c>
      <c r="T233" s="87"/>
      <c r="U233" s="87">
        <v>1</v>
      </c>
      <c r="V233" s="90" t="s">
        <v>3568</v>
      </c>
    </row>
    <row r="234" ht="15" customHeight="1" spans="1:23" x14ac:dyDescent="0.25">
      <c r="A234" s="85">
        <v>608</v>
      </c>
      <c r="B234" s="85" t="s">
        <v>3569</v>
      </c>
      <c r="C234" s="85" t="s">
        <v>173</v>
      </c>
      <c r="D234" s="85" t="s">
        <v>163</v>
      </c>
      <c r="E234" s="85"/>
      <c r="F234" s="85" t="s">
        <v>157</v>
      </c>
      <c r="G234" s="85"/>
      <c r="H234" s="85"/>
      <c r="I234" s="86"/>
      <c r="J234" s="86"/>
      <c r="K234" s="87"/>
      <c r="L234" s="87"/>
      <c r="M234" s="88"/>
      <c r="N234" s="89"/>
      <c r="O234" s="87"/>
      <c r="P234" s="87"/>
      <c r="Q234" s="87"/>
      <c r="R234" s="87"/>
      <c r="S234" s="87">
        <v>1</v>
      </c>
      <c r="T234" s="87">
        <v>1</v>
      </c>
      <c r="U234" s="87">
        <v>1</v>
      </c>
      <c r="V234" s="90" t="s">
        <v>3567</v>
      </c>
    </row>
    <row r="235" ht="15" customHeight="1" spans="1:23" x14ac:dyDescent="0.25">
      <c r="A235" s="85">
        <v>608</v>
      </c>
      <c r="B235" s="85" t="s">
        <v>3569</v>
      </c>
      <c r="C235" s="85" t="s">
        <v>173</v>
      </c>
      <c r="D235" s="85" t="s">
        <v>163</v>
      </c>
      <c r="E235" s="85"/>
      <c r="F235" s="85" t="s">
        <v>2472</v>
      </c>
      <c r="G235" s="85" t="s">
        <v>288</v>
      </c>
      <c r="H235" s="85" t="s">
        <v>3268</v>
      </c>
      <c r="I235" s="86">
        <v>65</v>
      </c>
      <c r="J235" s="86">
        <v>65</v>
      </c>
      <c r="K235" s="87">
        <v>1</v>
      </c>
      <c r="L235" s="87">
        <v>1</v>
      </c>
      <c r="M235" s="88">
        <v>1</v>
      </c>
      <c r="N235" s="89"/>
      <c r="O235" s="87"/>
      <c r="P235" s="87"/>
      <c r="Q235" s="87"/>
      <c r="R235" s="87"/>
      <c r="S235" s="87">
        <v>1</v>
      </c>
      <c r="T235" s="87"/>
      <c r="U235" s="87">
        <v>1</v>
      </c>
      <c r="V235" s="90" t="s">
        <v>3568</v>
      </c>
    </row>
    <row r="236" ht="15" customHeight="1" spans="1:23" x14ac:dyDescent="0.25">
      <c r="A236" s="85">
        <v>609</v>
      </c>
      <c r="B236" s="85" t="s">
        <v>3570</v>
      </c>
      <c r="C236" s="85" t="s">
        <v>173</v>
      </c>
      <c r="D236" s="85" t="s">
        <v>163</v>
      </c>
      <c r="E236" s="85"/>
      <c r="F236" s="85" t="s">
        <v>157</v>
      </c>
      <c r="G236" s="85"/>
      <c r="H236" s="85"/>
      <c r="I236" s="86"/>
      <c r="J236" s="86"/>
      <c r="K236" s="87"/>
      <c r="L236" s="87"/>
      <c r="M236" s="88"/>
      <c r="N236" s="89"/>
      <c r="O236" s="87"/>
      <c r="P236" s="87"/>
      <c r="Q236" s="87"/>
      <c r="R236" s="87"/>
      <c r="S236" s="87">
        <v>1</v>
      </c>
      <c r="T236" s="87">
        <v>1</v>
      </c>
      <c r="U236" s="87">
        <v>1</v>
      </c>
      <c r="V236" s="90" t="s">
        <v>3571</v>
      </c>
    </row>
    <row r="237" ht="15" customHeight="1" spans="1:23" x14ac:dyDescent="0.25">
      <c r="A237" s="85">
        <v>609</v>
      </c>
      <c r="B237" s="85" t="s">
        <v>3570</v>
      </c>
      <c r="C237" s="85" t="s">
        <v>173</v>
      </c>
      <c r="D237" s="85" t="s">
        <v>163</v>
      </c>
      <c r="E237" s="85"/>
      <c r="F237" s="85" t="s">
        <v>2472</v>
      </c>
      <c r="G237" s="85" t="s">
        <v>288</v>
      </c>
      <c r="H237" s="85" t="s">
        <v>3268</v>
      </c>
      <c r="I237" s="86">
        <v>65</v>
      </c>
      <c r="J237" s="86">
        <v>65</v>
      </c>
      <c r="K237" s="87">
        <v>1</v>
      </c>
      <c r="L237" s="87">
        <v>1</v>
      </c>
      <c r="M237" s="88">
        <v>1</v>
      </c>
      <c r="N237" s="89"/>
      <c r="O237" s="87"/>
      <c r="P237" s="87"/>
      <c r="Q237" s="87"/>
      <c r="R237" s="87"/>
      <c r="S237" s="87">
        <v>1</v>
      </c>
      <c r="T237" s="87"/>
      <c r="U237" s="87">
        <v>1</v>
      </c>
      <c r="V237" s="90" t="s">
        <v>3572</v>
      </c>
    </row>
    <row r="238" ht="15" customHeight="1" spans="1:23" x14ac:dyDescent="0.25">
      <c r="A238" s="85">
        <v>610</v>
      </c>
      <c r="B238" s="85" t="s">
        <v>3573</v>
      </c>
      <c r="C238" s="85" t="s">
        <v>173</v>
      </c>
      <c r="D238" s="85" t="s">
        <v>163</v>
      </c>
      <c r="E238" s="85"/>
      <c r="F238" s="85" t="s">
        <v>157</v>
      </c>
      <c r="G238" s="85"/>
      <c r="H238" s="85"/>
      <c r="I238" s="86"/>
      <c r="J238" s="86"/>
      <c r="K238" s="87"/>
      <c r="L238" s="87"/>
      <c r="M238" s="88"/>
      <c r="N238" s="89"/>
      <c r="O238" s="87"/>
      <c r="P238" s="87"/>
      <c r="Q238" s="87"/>
      <c r="R238" s="87"/>
      <c r="S238" s="87">
        <v>1</v>
      </c>
      <c r="T238" s="87">
        <v>1</v>
      </c>
      <c r="U238" s="87">
        <v>1</v>
      </c>
      <c r="V238" s="90" t="s">
        <v>3574</v>
      </c>
    </row>
    <row r="239" ht="15" customHeight="1" spans="1:23" x14ac:dyDescent="0.25">
      <c r="A239" s="85">
        <v>610</v>
      </c>
      <c r="B239" s="85" t="s">
        <v>3573</v>
      </c>
      <c r="C239" s="85" t="s">
        <v>173</v>
      </c>
      <c r="D239" s="85" t="s">
        <v>163</v>
      </c>
      <c r="E239" s="85"/>
      <c r="F239" s="85" t="s">
        <v>2472</v>
      </c>
      <c r="G239" s="85" t="s">
        <v>288</v>
      </c>
      <c r="H239" s="85" t="s">
        <v>3268</v>
      </c>
      <c r="I239" s="86">
        <v>65</v>
      </c>
      <c r="J239" s="86">
        <v>65</v>
      </c>
      <c r="K239" s="87">
        <v>1</v>
      </c>
      <c r="L239" s="87">
        <v>1</v>
      </c>
      <c r="M239" s="88">
        <v>1</v>
      </c>
      <c r="N239" s="89"/>
      <c r="O239" s="87"/>
      <c r="P239" s="87"/>
      <c r="Q239" s="87"/>
      <c r="R239" s="87"/>
      <c r="S239" s="87">
        <v>1</v>
      </c>
      <c r="T239" s="87"/>
      <c r="U239" s="87">
        <v>1</v>
      </c>
      <c r="V239" s="90" t="s">
        <v>3575</v>
      </c>
    </row>
    <row r="240" ht="15" customHeight="1" spans="1:23" x14ac:dyDescent="0.25">
      <c r="A240" s="85">
        <v>3651</v>
      </c>
      <c r="B240" s="85" t="s">
        <v>3576</v>
      </c>
      <c r="C240" s="85" t="s">
        <v>698</v>
      </c>
      <c r="D240" s="85" t="s">
        <v>902</v>
      </c>
      <c r="E240" s="85"/>
      <c r="F240" s="85" t="s">
        <v>157</v>
      </c>
      <c r="G240" s="85"/>
      <c r="H240" s="85"/>
      <c r="I240" s="86"/>
      <c r="J240" s="86"/>
      <c r="K240" s="87"/>
      <c r="L240" s="87"/>
      <c r="M240" s="88"/>
      <c r="N240" s="89"/>
      <c r="O240" s="87"/>
      <c r="P240" s="87"/>
      <c r="Q240" s="87"/>
      <c r="R240" s="87"/>
      <c r="S240" s="87">
        <v>1</v>
      </c>
      <c r="T240" s="87">
        <v>1</v>
      </c>
      <c r="U240" s="87">
        <v>0</v>
      </c>
      <c r="V240" s="90" t="s">
        <v>2472</v>
      </c>
    </row>
    <row r="241" ht="15" customHeight="1" spans="1:23" x14ac:dyDescent="0.25">
      <c r="A241" s="85">
        <v>3651</v>
      </c>
      <c r="B241" s="85" t="s">
        <v>3576</v>
      </c>
      <c r="C241" s="85" t="s">
        <v>698</v>
      </c>
      <c r="D241" s="85" t="s">
        <v>902</v>
      </c>
      <c r="E241" s="85"/>
      <c r="F241" s="85" t="s">
        <v>2472</v>
      </c>
      <c r="G241" s="85" t="s">
        <v>288</v>
      </c>
      <c r="H241" s="85" t="s">
        <v>3268</v>
      </c>
      <c r="I241" s="86">
        <v>65</v>
      </c>
      <c r="J241" s="86">
        <v>65</v>
      </c>
      <c r="K241" s="87">
        <v>1</v>
      </c>
      <c r="L241" s="87">
        <v>1</v>
      </c>
      <c r="M241" s="88">
        <v>1</v>
      </c>
      <c r="N241" s="89"/>
      <c r="O241" s="87"/>
      <c r="P241" s="87"/>
      <c r="Q241" s="87"/>
      <c r="R241" s="87"/>
      <c r="S241" s="87">
        <v>1</v>
      </c>
      <c r="T241" s="87"/>
      <c r="U241" s="87">
        <v>0</v>
      </c>
      <c r="V241" s="90" t="s">
        <v>3577</v>
      </c>
    </row>
    <row r="242" ht="15" customHeight="1" spans="1:23" x14ac:dyDescent="0.25">
      <c r="A242" s="85">
        <v>3652</v>
      </c>
      <c r="B242" s="85" t="s">
        <v>3578</v>
      </c>
      <c r="C242" s="85" t="s">
        <v>698</v>
      </c>
      <c r="D242" s="85" t="s">
        <v>871</v>
      </c>
      <c r="E242" s="85"/>
      <c r="F242" s="85" t="s">
        <v>157</v>
      </c>
      <c r="G242" s="85"/>
      <c r="H242" s="85"/>
      <c r="I242" s="86"/>
      <c r="J242" s="86"/>
      <c r="K242" s="87"/>
      <c r="L242" s="87"/>
      <c r="M242" s="88"/>
      <c r="N242" s="89"/>
      <c r="O242" s="87"/>
      <c r="P242" s="87"/>
      <c r="Q242" s="87"/>
      <c r="R242" s="87"/>
      <c r="S242" s="87">
        <v>1</v>
      </c>
      <c r="T242" s="87">
        <v>1</v>
      </c>
      <c r="U242" s="87">
        <v>1</v>
      </c>
      <c r="V242" s="90" t="s">
        <v>3579</v>
      </c>
    </row>
    <row r="243" ht="15" customHeight="1" spans="1:23" x14ac:dyDescent="0.25">
      <c r="A243" s="85">
        <v>3652</v>
      </c>
      <c r="B243" s="85" t="s">
        <v>3578</v>
      </c>
      <c r="C243" s="85" t="s">
        <v>698</v>
      </c>
      <c r="D243" s="85" t="s">
        <v>871</v>
      </c>
      <c r="E243" s="85"/>
      <c r="F243" s="85" t="s">
        <v>2472</v>
      </c>
      <c r="G243" s="85" t="s">
        <v>288</v>
      </c>
      <c r="H243" s="85" t="s">
        <v>3268</v>
      </c>
      <c r="I243" s="86">
        <v>65</v>
      </c>
      <c r="J243" s="86">
        <v>65</v>
      </c>
      <c r="K243" s="87">
        <v>1</v>
      </c>
      <c r="L243" s="87">
        <v>1</v>
      </c>
      <c r="M243" s="88">
        <v>1</v>
      </c>
      <c r="N243" s="89"/>
      <c r="O243" s="87"/>
      <c r="P243" s="87"/>
      <c r="Q243" s="87"/>
      <c r="R243" s="87"/>
      <c r="S243" s="87">
        <v>1</v>
      </c>
      <c r="T243" s="87"/>
      <c r="U243" s="87">
        <v>1</v>
      </c>
      <c r="V243" s="90" t="s">
        <v>3579</v>
      </c>
    </row>
    <row r="244" ht="15" customHeight="1" spans="1:23" x14ac:dyDescent="0.25">
      <c r="A244" s="85">
        <v>3653</v>
      </c>
      <c r="B244" s="85" t="s">
        <v>3580</v>
      </c>
      <c r="C244" s="85" t="s">
        <v>698</v>
      </c>
      <c r="D244" s="85" t="s">
        <v>942</v>
      </c>
      <c r="E244" s="85"/>
      <c r="F244" s="85" t="s">
        <v>157</v>
      </c>
      <c r="G244" s="85"/>
      <c r="H244" s="85"/>
      <c r="I244" s="86"/>
      <c r="J244" s="86"/>
      <c r="K244" s="87"/>
      <c r="L244" s="87"/>
      <c r="M244" s="88"/>
      <c r="N244" s="89"/>
      <c r="O244" s="87"/>
      <c r="P244" s="87"/>
      <c r="Q244" s="87"/>
      <c r="R244" s="87"/>
      <c r="S244" s="87">
        <v>1</v>
      </c>
      <c r="T244" s="87">
        <v>1</v>
      </c>
      <c r="U244" s="87">
        <v>1</v>
      </c>
      <c r="V244" s="90" t="s">
        <v>3581</v>
      </c>
    </row>
    <row r="245" ht="15" customHeight="1" spans="1:23" x14ac:dyDescent="0.25">
      <c r="A245" s="85">
        <v>3653</v>
      </c>
      <c r="B245" s="85" t="s">
        <v>3580</v>
      </c>
      <c r="C245" s="85" t="s">
        <v>698</v>
      </c>
      <c r="D245" s="85" t="s">
        <v>942</v>
      </c>
      <c r="E245" s="85"/>
      <c r="F245" s="85" t="s">
        <v>2472</v>
      </c>
      <c r="G245" s="85" t="s">
        <v>288</v>
      </c>
      <c r="H245" s="85" t="s">
        <v>3268</v>
      </c>
      <c r="I245" s="86">
        <v>65</v>
      </c>
      <c r="J245" s="86">
        <v>65</v>
      </c>
      <c r="K245" s="87">
        <v>1</v>
      </c>
      <c r="L245" s="87">
        <v>1</v>
      </c>
      <c r="M245" s="88">
        <v>1</v>
      </c>
      <c r="N245" s="89"/>
      <c r="O245" s="87"/>
      <c r="P245" s="87"/>
      <c r="Q245" s="87"/>
      <c r="R245" s="87"/>
      <c r="S245" s="87">
        <v>1</v>
      </c>
      <c r="T245" s="87"/>
      <c r="U245" s="87">
        <v>1</v>
      </c>
      <c r="V245" s="90" t="s">
        <v>3581</v>
      </c>
    </row>
    <row r="246" ht="15" customHeight="1" spans="1:23" x14ac:dyDescent="0.25">
      <c r="A246" s="85">
        <v>3654</v>
      </c>
      <c r="B246" s="85" t="s">
        <v>3582</v>
      </c>
      <c r="C246" s="85" t="s">
        <v>698</v>
      </c>
      <c r="D246" s="85" t="s">
        <v>1039</v>
      </c>
      <c r="E246" s="85"/>
      <c r="F246" s="85" t="s">
        <v>157</v>
      </c>
      <c r="G246" s="85"/>
      <c r="H246" s="85"/>
      <c r="I246" s="86"/>
      <c r="J246" s="86"/>
      <c r="K246" s="87"/>
      <c r="L246" s="87"/>
      <c r="M246" s="88"/>
      <c r="N246" s="89"/>
      <c r="O246" s="87"/>
      <c r="P246" s="87"/>
      <c r="Q246" s="87"/>
      <c r="R246" s="87"/>
      <c r="S246" s="87">
        <v>0.8</v>
      </c>
      <c r="T246" s="87">
        <v>0.8</v>
      </c>
      <c r="U246" s="87"/>
      <c r="V246" s="90" t="s">
        <v>2472</v>
      </c>
    </row>
    <row r="247" ht="15" customHeight="1" spans="1:23" x14ac:dyDescent="0.25">
      <c r="A247" s="85">
        <v>3654</v>
      </c>
      <c r="B247" s="85" t="s">
        <v>3582</v>
      </c>
      <c r="C247" s="85" t="s">
        <v>698</v>
      </c>
      <c r="D247" s="85" t="s">
        <v>1039</v>
      </c>
      <c r="E247" s="85"/>
      <c r="F247" s="85" t="s">
        <v>2472</v>
      </c>
      <c r="G247" s="85" t="s">
        <v>288</v>
      </c>
      <c r="H247" s="85" t="s">
        <v>3268</v>
      </c>
      <c r="I247" s="86">
        <v>65</v>
      </c>
      <c r="J247" s="86">
        <v>65</v>
      </c>
      <c r="K247" s="87">
        <v>1</v>
      </c>
      <c r="L247" s="87">
        <v>0.8</v>
      </c>
      <c r="M247" s="88">
        <v>0.8</v>
      </c>
      <c r="N247" s="89"/>
      <c r="O247" s="87"/>
      <c r="P247" s="87"/>
      <c r="Q247" s="87"/>
      <c r="R247" s="87"/>
      <c r="S247" s="87">
        <v>0.8</v>
      </c>
      <c r="T247" s="87"/>
      <c r="U247" s="87">
        <v>0</v>
      </c>
      <c r="V247" s="90" t="s">
        <v>2472</v>
      </c>
    </row>
    <row r="248" ht="15" customHeight="1" spans="1:23" x14ac:dyDescent="0.25">
      <c r="A248" s="85">
        <v>3655</v>
      </c>
      <c r="B248" s="85" t="s">
        <v>3583</v>
      </c>
      <c r="C248" s="85" t="s">
        <v>698</v>
      </c>
      <c r="D248" s="85" t="s">
        <v>739</v>
      </c>
      <c r="E248" s="85"/>
      <c r="F248" s="85" t="s">
        <v>157</v>
      </c>
      <c r="G248" s="85"/>
      <c r="H248" s="85"/>
      <c r="I248" s="86"/>
      <c r="J248" s="86"/>
      <c r="K248" s="87"/>
      <c r="L248" s="87"/>
      <c r="M248" s="88"/>
      <c r="N248" s="89"/>
      <c r="O248" s="87"/>
      <c r="P248" s="87"/>
      <c r="Q248" s="87"/>
      <c r="R248" s="87"/>
      <c r="S248" s="87">
        <v>1</v>
      </c>
      <c r="T248" s="87">
        <v>1</v>
      </c>
      <c r="U248" s="87"/>
      <c r="V248" s="90" t="s">
        <v>2472</v>
      </c>
    </row>
    <row r="249" ht="15" customHeight="1" spans="1:23" x14ac:dyDescent="0.25">
      <c r="A249" s="85">
        <v>3655</v>
      </c>
      <c r="B249" s="85" t="s">
        <v>3583</v>
      </c>
      <c r="C249" s="85" t="s">
        <v>698</v>
      </c>
      <c r="D249" s="85" t="s">
        <v>739</v>
      </c>
      <c r="E249" s="85"/>
      <c r="F249" s="85" t="s">
        <v>2472</v>
      </c>
      <c r="G249" s="85" t="s">
        <v>288</v>
      </c>
      <c r="H249" s="85" t="s">
        <v>3268</v>
      </c>
      <c r="I249" s="86">
        <v>65</v>
      </c>
      <c r="J249" s="86">
        <v>65</v>
      </c>
      <c r="K249" s="87">
        <v>1</v>
      </c>
      <c r="L249" s="87">
        <v>1</v>
      </c>
      <c r="M249" s="88">
        <v>1</v>
      </c>
      <c r="N249" s="89"/>
      <c r="O249" s="87"/>
      <c r="P249" s="87"/>
      <c r="Q249" s="87"/>
      <c r="R249" s="87"/>
      <c r="S249" s="87">
        <v>1</v>
      </c>
      <c r="T249" s="87"/>
      <c r="U249" s="87">
        <v>0</v>
      </c>
      <c r="V249" s="90" t="s">
        <v>2472</v>
      </c>
    </row>
    <row r="250" ht="15" customHeight="1" spans="1:23" x14ac:dyDescent="0.25">
      <c r="A250" s="85">
        <v>3656</v>
      </c>
      <c r="B250" s="85" t="s">
        <v>3584</v>
      </c>
      <c r="C250" s="85" t="s">
        <v>698</v>
      </c>
      <c r="D250" s="85" t="s">
        <v>593</v>
      </c>
      <c r="E250" s="85"/>
      <c r="F250" s="85" t="s">
        <v>157</v>
      </c>
      <c r="G250" s="85"/>
      <c r="H250" s="85"/>
      <c r="I250" s="86"/>
      <c r="J250" s="86"/>
      <c r="K250" s="87"/>
      <c r="L250" s="87"/>
      <c r="M250" s="88"/>
      <c r="N250" s="89"/>
      <c r="O250" s="87"/>
      <c r="P250" s="87"/>
      <c r="Q250" s="87"/>
      <c r="R250" s="87"/>
      <c r="S250" s="87">
        <v>1</v>
      </c>
      <c r="T250" s="87">
        <v>1</v>
      </c>
      <c r="U250" s="87"/>
      <c r="V250" s="90" t="s">
        <v>2472</v>
      </c>
    </row>
    <row r="251" ht="15" customHeight="1" spans="1:23" x14ac:dyDescent="0.25">
      <c r="A251" s="85">
        <v>3656</v>
      </c>
      <c r="B251" s="85" t="s">
        <v>3584</v>
      </c>
      <c r="C251" s="85" t="s">
        <v>698</v>
      </c>
      <c r="D251" s="85" t="s">
        <v>593</v>
      </c>
      <c r="E251" s="85"/>
      <c r="F251" s="85" t="s">
        <v>2472</v>
      </c>
      <c r="G251" s="85" t="s">
        <v>288</v>
      </c>
      <c r="H251" s="85" t="s">
        <v>3268</v>
      </c>
      <c r="I251" s="86">
        <v>65</v>
      </c>
      <c r="J251" s="86">
        <v>65</v>
      </c>
      <c r="K251" s="87">
        <v>1</v>
      </c>
      <c r="L251" s="87">
        <v>1</v>
      </c>
      <c r="M251" s="88">
        <v>1</v>
      </c>
      <c r="N251" s="89"/>
      <c r="O251" s="87"/>
      <c r="P251" s="87"/>
      <c r="Q251" s="87"/>
      <c r="R251" s="87"/>
      <c r="S251" s="87">
        <v>1</v>
      </c>
      <c r="T251" s="87"/>
      <c r="U251" s="87">
        <v>0</v>
      </c>
      <c r="V251" s="90" t="s">
        <v>2472</v>
      </c>
    </row>
    <row r="252" ht="15" customHeight="1" spans="1:23" x14ac:dyDescent="0.25">
      <c r="A252" s="85">
        <v>3657</v>
      </c>
      <c r="B252" s="85" t="s">
        <v>3585</v>
      </c>
      <c r="C252" s="85" t="s">
        <v>698</v>
      </c>
      <c r="D252" s="85" t="s">
        <v>1053</v>
      </c>
      <c r="E252" s="85"/>
      <c r="F252" s="85" t="s">
        <v>157</v>
      </c>
      <c r="G252" s="85"/>
      <c r="H252" s="85"/>
      <c r="I252" s="86"/>
      <c r="J252" s="86"/>
      <c r="K252" s="87"/>
      <c r="L252" s="87"/>
      <c r="M252" s="88"/>
      <c r="N252" s="89"/>
      <c r="O252" s="87"/>
      <c r="P252" s="87"/>
      <c r="Q252" s="87"/>
      <c r="R252" s="87"/>
      <c r="S252" s="87">
        <v>0.8</v>
      </c>
      <c r="T252" s="87">
        <v>0.8</v>
      </c>
      <c r="U252" s="87"/>
      <c r="V252" s="90" t="s">
        <v>2472</v>
      </c>
    </row>
    <row r="253" ht="15" customHeight="1" spans="1:23" x14ac:dyDescent="0.25">
      <c r="A253" s="85">
        <v>3657</v>
      </c>
      <c r="B253" s="85" t="s">
        <v>3585</v>
      </c>
      <c r="C253" s="85" t="s">
        <v>698</v>
      </c>
      <c r="D253" s="85" t="s">
        <v>1053</v>
      </c>
      <c r="E253" s="85"/>
      <c r="F253" s="85" t="s">
        <v>2472</v>
      </c>
      <c r="G253" s="85" t="s">
        <v>288</v>
      </c>
      <c r="H253" s="85" t="s">
        <v>3268</v>
      </c>
      <c r="I253" s="86">
        <v>65</v>
      </c>
      <c r="J253" s="86">
        <v>65</v>
      </c>
      <c r="K253" s="87">
        <v>1</v>
      </c>
      <c r="L253" s="87">
        <v>0.8</v>
      </c>
      <c r="M253" s="88">
        <v>0.8</v>
      </c>
      <c r="N253" s="89"/>
      <c r="O253" s="87"/>
      <c r="P253" s="87"/>
      <c r="Q253" s="87"/>
      <c r="R253" s="87"/>
      <c r="S253" s="87">
        <v>0.8</v>
      </c>
      <c r="T253" s="87"/>
      <c r="U253" s="87">
        <v>0</v>
      </c>
      <c r="V253" s="90" t="s">
        <v>2472</v>
      </c>
    </row>
    <row r="254" ht="15" customHeight="1" spans="1:23" x14ac:dyDescent="0.25">
      <c r="A254" s="85">
        <v>3658</v>
      </c>
      <c r="B254" s="85" t="s">
        <v>3586</v>
      </c>
      <c r="C254" s="85" t="s">
        <v>698</v>
      </c>
      <c r="D254" s="85" t="s">
        <v>1085</v>
      </c>
      <c r="E254" s="85"/>
      <c r="F254" s="85" t="s">
        <v>157</v>
      </c>
      <c r="G254" s="85"/>
      <c r="H254" s="85"/>
      <c r="I254" s="86"/>
      <c r="J254" s="86"/>
      <c r="K254" s="87"/>
      <c r="L254" s="87"/>
      <c r="M254" s="88"/>
      <c r="N254" s="89"/>
      <c r="O254" s="87"/>
      <c r="P254" s="87"/>
      <c r="Q254" s="87"/>
      <c r="R254" s="87"/>
      <c r="S254" s="87">
        <v>1</v>
      </c>
      <c r="T254" s="87">
        <v>1</v>
      </c>
      <c r="U254" s="87">
        <v>1</v>
      </c>
      <c r="V254" s="90" t="s">
        <v>3587</v>
      </c>
    </row>
    <row r="255" ht="15" customHeight="1" spans="1:23" x14ac:dyDescent="0.25">
      <c r="A255" s="85">
        <v>3658</v>
      </c>
      <c r="B255" s="85" t="s">
        <v>3586</v>
      </c>
      <c r="C255" s="85" t="s">
        <v>698</v>
      </c>
      <c r="D255" s="85" t="s">
        <v>1085</v>
      </c>
      <c r="E255" s="85"/>
      <c r="F255" s="85" t="s">
        <v>2472</v>
      </c>
      <c r="G255" s="85" t="s">
        <v>288</v>
      </c>
      <c r="H255" s="85" t="s">
        <v>3268</v>
      </c>
      <c r="I255" s="86">
        <v>65</v>
      </c>
      <c r="J255" s="86">
        <v>65</v>
      </c>
      <c r="K255" s="87">
        <v>1</v>
      </c>
      <c r="L255" s="87">
        <v>1</v>
      </c>
      <c r="M255" s="88">
        <v>1</v>
      </c>
      <c r="N255" s="89"/>
      <c r="O255" s="87"/>
      <c r="P255" s="87"/>
      <c r="Q255" s="87"/>
      <c r="R255" s="87"/>
      <c r="S255" s="87">
        <v>1</v>
      </c>
      <c r="T255" s="87"/>
      <c r="U255" s="87">
        <v>1</v>
      </c>
      <c r="V255" s="90" t="s">
        <v>3587</v>
      </c>
    </row>
    <row r="256" ht="15" customHeight="1" spans="1:23" x14ac:dyDescent="0.25">
      <c r="A256" s="85">
        <v>3659</v>
      </c>
      <c r="B256" s="85" t="s">
        <v>3588</v>
      </c>
      <c r="C256" s="85" t="s">
        <v>698</v>
      </c>
      <c r="D256" s="85" t="s">
        <v>806</v>
      </c>
      <c r="E256" s="85"/>
      <c r="F256" s="85" t="s">
        <v>157</v>
      </c>
      <c r="G256" s="85"/>
      <c r="H256" s="85"/>
      <c r="I256" s="86"/>
      <c r="J256" s="86"/>
      <c r="K256" s="87"/>
      <c r="L256" s="87"/>
      <c r="M256" s="88"/>
      <c r="N256" s="89"/>
      <c r="O256" s="87"/>
      <c r="P256" s="87"/>
      <c r="Q256" s="87"/>
      <c r="R256" s="87"/>
      <c r="S256" s="87">
        <v>1</v>
      </c>
      <c r="T256" s="87">
        <v>1</v>
      </c>
      <c r="U256" s="87"/>
      <c r="V256" s="90" t="s">
        <v>2472</v>
      </c>
    </row>
    <row r="257" ht="15" customHeight="1" spans="1:23" x14ac:dyDescent="0.25">
      <c r="A257" s="85">
        <v>3659</v>
      </c>
      <c r="B257" s="85" t="s">
        <v>3588</v>
      </c>
      <c r="C257" s="85" t="s">
        <v>698</v>
      </c>
      <c r="D257" s="85" t="s">
        <v>806</v>
      </c>
      <c r="E257" s="85"/>
      <c r="F257" s="85" t="s">
        <v>2472</v>
      </c>
      <c r="G257" s="85" t="s">
        <v>288</v>
      </c>
      <c r="H257" s="85" t="s">
        <v>3268</v>
      </c>
      <c r="I257" s="86">
        <v>65</v>
      </c>
      <c r="J257" s="86">
        <v>65</v>
      </c>
      <c r="K257" s="87">
        <v>1</v>
      </c>
      <c r="L257" s="87">
        <v>1</v>
      </c>
      <c r="M257" s="88">
        <v>1</v>
      </c>
      <c r="N257" s="89"/>
      <c r="O257" s="87"/>
      <c r="P257" s="87"/>
      <c r="Q257" s="87"/>
      <c r="R257" s="87"/>
      <c r="S257" s="87">
        <v>1</v>
      </c>
      <c r="T257" s="87"/>
      <c r="U257" s="87">
        <v>0</v>
      </c>
      <c r="V257" s="90" t="s">
        <v>2472</v>
      </c>
    </row>
    <row r="258" ht="15" customHeight="1" spans="1:23" x14ac:dyDescent="0.25">
      <c r="A258" s="85">
        <v>3660</v>
      </c>
      <c r="B258" s="85" t="s">
        <v>3589</v>
      </c>
      <c r="C258" s="85" t="s">
        <v>698</v>
      </c>
      <c r="D258" s="85" t="s">
        <v>801</v>
      </c>
      <c r="E258" s="85"/>
      <c r="F258" s="85" t="s">
        <v>157</v>
      </c>
      <c r="G258" s="85"/>
      <c r="H258" s="85"/>
      <c r="I258" s="86"/>
      <c r="J258" s="86"/>
      <c r="K258" s="87"/>
      <c r="L258" s="87"/>
      <c r="M258" s="88"/>
      <c r="N258" s="89"/>
      <c r="O258" s="87"/>
      <c r="P258" s="87"/>
      <c r="Q258" s="87"/>
      <c r="R258" s="87"/>
      <c r="S258" s="87">
        <v>1</v>
      </c>
      <c r="T258" s="87">
        <v>1</v>
      </c>
      <c r="U258" s="87">
        <v>1</v>
      </c>
      <c r="V258" s="90" t="s">
        <v>3590</v>
      </c>
    </row>
    <row r="259" ht="15" customHeight="1" spans="1:23" x14ac:dyDescent="0.25">
      <c r="A259" s="85">
        <v>3660</v>
      </c>
      <c r="B259" s="85" t="s">
        <v>3589</v>
      </c>
      <c r="C259" s="85" t="s">
        <v>698</v>
      </c>
      <c r="D259" s="85" t="s">
        <v>801</v>
      </c>
      <c r="E259" s="85"/>
      <c r="F259" s="85" t="s">
        <v>2472</v>
      </c>
      <c r="G259" s="85" t="s">
        <v>288</v>
      </c>
      <c r="H259" s="85" t="s">
        <v>3268</v>
      </c>
      <c r="I259" s="86">
        <v>65</v>
      </c>
      <c r="J259" s="86">
        <v>65</v>
      </c>
      <c r="K259" s="87">
        <v>1</v>
      </c>
      <c r="L259" s="87">
        <v>1</v>
      </c>
      <c r="M259" s="88">
        <v>1</v>
      </c>
      <c r="N259" s="89"/>
      <c r="O259" s="87"/>
      <c r="P259" s="87"/>
      <c r="Q259" s="87"/>
      <c r="R259" s="87"/>
      <c r="S259" s="87">
        <v>1</v>
      </c>
      <c r="T259" s="87"/>
      <c r="U259" s="87">
        <v>1</v>
      </c>
      <c r="V259" s="90" t="s">
        <v>3590</v>
      </c>
    </row>
    <row r="260" ht="15" customHeight="1" spans="1:23" x14ac:dyDescent="0.25">
      <c r="A260" s="85">
        <v>3661</v>
      </c>
      <c r="B260" s="85" t="s">
        <v>3591</v>
      </c>
      <c r="C260" s="85" t="s">
        <v>698</v>
      </c>
      <c r="D260" s="85" t="s">
        <v>2027</v>
      </c>
      <c r="E260" s="85"/>
      <c r="F260" s="85" t="s">
        <v>157</v>
      </c>
      <c r="G260" s="85"/>
      <c r="H260" s="85"/>
      <c r="I260" s="86"/>
      <c r="J260" s="86"/>
      <c r="K260" s="87"/>
      <c r="L260" s="87"/>
      <c r="M260" s="88"/>
      <c r="N260" s="89"/>
      <c r="O260" s="87"/>
      <c r="P260" s="87"/>
      <c r="Q260" s="87"/>
      <c r="R260" s="87"/>
      <c r="S260" s="87">
        <v>1</v>
      </c>
      <c r="T260" s="87">
        <v>1</v>
      </c>
      <c r="U260" s="87"/>
      <c r="V260" s="90" t="s">
        <v>2472</v>
      </c>
    </row>
    <row r="261" ht="15" customHeight="1" spans="1:23" x14ac:dyDescent="0.25">
      <c r="A261" s="85">
        <v>3661</v>
      </c>
      <c r="B261" s="85" t="s">
        <v>3591</v>
      </c>
      <c r="C261" s="85" t="s">
        <v>698</v>
      </c>
      <c r="D261" s="85" t="s">
        <v>2027</v>
      </c>
      <c r="E261" s="85"/>
      <c r="F261" s="85" t="s">
        <v>2472</v>
      </c>
      <c r="G261" s="85" t="s">
        <v>288</v>
      </c>
      <c r="H261" s="85" t="s">
        <v>3268</v>
      </c>
      <c r="I261" s="86">
        <v>65</v>
      </c>
      <c r="J261" s="86">
        <v>65</v>
      </c>
      <c r="K261" s="87">
        <v>1</v>
      </c>
      <c r="L261" s="87">
        <v>1</v>
      </c>
      <c r="M261" s="88">
        <v>1</v>
      </c>
      <c r="N261" s="89"/>
      <c r="O261" s="87"/>
      <c r="P261" s="87"/>
      <c r="Q261" s="87"/>
      <c r="R261" s="87"/>
      <c r="S261" s="87">
        <v>1</v>
      </c>
      <c r="T261" s="87"/>
      <c r="U261" s="87">
        <v>0</v>
      </c>
      <c r="V261" s="90" t="s">
        <v>2472</v>
      </c>
    </row>
    <row r="262" ht="15" customHeight="1" spans="1:23" x14ac:dyDescent="0.25">
      <c r="A262" s="85">
        <v>3662</v>
      </c>
      <c r="B262" s="85" t="s">
        <v>3592</v>
      </c>
      <c r="C262" s="85" t="s">
        <v>698</v>
      </c>
      <c r="D262" s="85" t="s">
        <v>849</v>
      </c>
      <c r="E262" s="85"/>
      <c r="F262" s="85" t="s">
        <v>157</v>
      </c>
      <c r="G262" s="85"/>
      <c r="H262" s="85"/>
      <c r="I262" s="86"/>
      <c r="J262" s="86"/>
      <c r="K262" s="87"/>
      <c r="L262" s="87"/>
      <c r="M262" s="88"/>
      <c r="N262" s="89"/>
      <c r="O262" s="87"/>
      <c r="P262" s="87"/>
      <c r="Q262" s="87"/>
      <c r="R262" s="87"/>
      <c r="S262" s="87">
        <v>1</v>
      </c>
      <c r="T262" s="87">
        <v>1</v>
      </c>
      <c r="U262" s="87">
        <v>1</v>
      </c>
      <c r="V262" s="90" t="s">
        <v>3593</v>
      </c>
    </row>
    <row r="263" ht="15" customHeight="1" spans="1:23" x14ac:dyDescent="0.25">
      <c r="A263" s="85">
        <v>3662</v>
      </c>
      <c r="B263" s="85" t="s">
        <v>3592</v>
      </c>
      <c r="C263" s="85" t="s">
        <v>698</v>
      </c>
      <c r="D263" s="85" t="s">
        <v>849</v>
      </c>
      <c r="E263" s="85"/>
      <c r="F263" s="85" t="s">
        <v>2472</v>
      </c>
      <c r="G263" s="85" t="s">
        <v>288</v>
      </c>
      <c r="H263" s="85" t="s">
        <v>3268</v>
      </c>
      <c r="I263" s="86">
        <v>65</v>
      </c>
      <c r="J263" s="86">
        <v>65</v>
      </c>
      <c r="K263" s="87">
        <v>1</v>
      </c>
      <c r="L263" s="87">
        <v>1</v>
      </c>
      <c r="M263" s="88">
        <v>1</v>
      </c>
      <c r="N263" s="89"/>
      <c r="O263" s="87"/>
      <c r="P263" s="87"/>
      <c r="Q263" s="87"/>
      <c r="R263" s="87"/>
      <c r="S263" s="87">
        <v>1</v>
      </c>
      <c r="T263" s="87"/>
      <c r="U263" s="87">
        <v>1</v>
      </c>
      <c r="V263" s="90" t="s">
        <v>3593</v>
      </c>
    </row>
    <row r="264" ht="15" customHeight="1" spans="1:23" x14ac:dyDescent="0.25">
      <c r="A264" s="85">
        <v>3663</v>
      </c>
      <c r="B264" s="85" t="s">
        <v>3594</v>
      </c>
      <c r="C264" s="85" t="s">
        <v>698</v>
      </c>
      <c r="D264" s="85" t="s">
        <v>791</v>
      </c>
      <c r="E264" s="85"/>
      <c r="F264" s="85" t="s">
        <v>157</v>
      </c>
      <c r="G264" s="85"/>
      <c r="H264" s="85"/>
      <c r="I264" s="86"/>
      <c r="J264" s="86"/>
      <c r="K264" s="87"/>
      <c r="L264" s="87"/>
      <c r="M264" s="88"/>
      <c r="N264" s="89"/>
      <c r="O264" s="87"/>
      <c r="P264" s="87"/>
      <c r="Q264" s="87"/>
      <c r="R264" s="87"/>
      <c r="S264" s="87">
        <v>1</v>
      </c>
      <c r="T264" s="87">
        <v>1</v>
      </c>
      <c r="U264" s="87"/>
      <c r="V264" s="90" t="s">
        <v>2472</v>
      </c>
    </row>
    <row r="265" ht="15" customHeight="1" spans="1:23" x14ac:dyDescent="0.25">
      <c r="A265" s="85">
        <v>3663</v>
      </c>
      <c r="B265" s="85" t="s">
        <v>3594</v>
      </c>
      <c r="C265" s="85" t="s">
        <v>698</v>
      </c>
      <c r="D265" s="85" t="s">
        <v>791</v>
      </c>
      <c r="E265" s="85"/>
      <c r="F265" s="85" t="s">
        <v>2472</v>
      </c>
      <c r="G265" s="85" t="s">
        <v>288</v>
      </c>
      <c r="H265" s="85" t="s">
        <v>3268</v>
      </c>
      <c r="I265" s="86">
        <v>65</v>
      </c>
      <c r="J265" s="86">
        <v>65</v>
      </c>
      <c r="K265" s="87">
        <v>1</v>
      </c>
      <c r="L265" s="87">
        <v>1</v>
      </c>
      <c r="M265" s="88">
        <v>1</v>
      </c>
      <c r="N265" s="89"/>
      <c r="O265" s="87"/>
      <c r="P265" s="87"/>
      <c r="Q265" s="87"/>
      <c r="R265" s="87"/>
      <c r="S265" s="87">
        <v>1</v>
      </c>
      <c r="T265" s="87"/>
      <c r="U265" s="87">
        <v>0</v>
      </c>
      <c r="V265" s="90" t="s">
        <v>2472</v>
      </c>
    </row>
    <row r="266" ht="15" customHeight="1" spans="1:23" x14ac:dyDescent="0.25">
      <c r="A266" s="85">
        <v>3664</v>
      </c>
      <c r="B266" s="85" t="s">
        <v>3595</v>
      </c>
      <c r="C266" s="85" t="s">
        <v>698</v>
      </c>
      <c r="D266" s="85" t="s">
        <v>1309</v>
      </c>
      <c r="E266" s="85"/>
      <c r="F266" s="85" t="s">
        <v>157</v>
      </c>
      <c r="G266" s="85"/>
      <c r="H266" s="85"/>
      <c r="I266" s="86"/>
      <c r="J266" s="86"/>
      <c r="K266" s="87"/>
      <c r="L266" s="87"/>
      <c r="M266" s="88"/>
      <c r="N266" s="89"/>
      <c r="O266" s="87"/>
      <c r="P266" s="87"/>
      <c r="Q266" s="87"/>
      <c r="R266" s="87"/>
      <c r="S266" s="87">
        <v>1</v>
      </c>
      <c r="T266" s="87">
        <v>1</v>
      </c>
      <c r="U266" s="87">
        <v>1</v>
      </c>
      <c r="V266" s="90" t="s">
        <v>3593</v>
      </c>
    </row>
    <row r="267" ht="15" customHeight="1" spans="1:23" x14ac:dyDescent="0.25">
      <c r="A267" s="85">
        <v>3664</v>
      </c>
      <c r="B267" s="85" t="s">
        <v>3595</v>
      </c>
      <c r="C267" s="85" t="s">
        <v>698</v>
      </c>
      <c r="D267" s="85" t="s">
        <v>1309</v>
      </c>
      <c r="E267" s="85"/>
      <c r="F267" s="85" t="s">
        <v>2472</v>
      </c>
      <c r="G267" s="85" t="s">
        <v>288</v>
      </c>
      <c r="H267" s="85" t="s">
        <v>3268</v>
      </c>
      <c r="I267" s="86">
        <v>65</v>
      </c>
      <c r="J267" s="86">
        <v>65</v>
      </c>
      <c r="K267" s="87">
        <v>1</v>
      </c>
      <c r="L267" s="87">
        <v>1</v>
      </c>
      <c r="M267" s="88">
        <v>1</v>
      </c>
      <c r="N267" s="89"/>
      <c r="O267" s="87"/>
      <c r="P267" s="87"/>
      <c r="Q267" s="87"/>
      <c r="R267" s="87"/>
      <c r="S267" s="87">
        <v>1</v>
      </c>
      <c r="T267" s="87"/>
      <c r="U267" s="87">
        <v>1</v>
      </c>
      <c r="V267" s="90" t="s">
        <v>3593</v>
      </c>
    </row>
    <row r="268" ht="15" customHeight="1" spans="1:23" x14ac:dyDescent="0.25">
      <c r="A268" s="85">
        <v>3665</v>
      </c>
      <c r="B268" s="85" t="s">
        <v>3596</v>
      </c>
      <c r="C268" s="85" t="s">
        <v>698</v>
      </c>
      <c r="D268" s="85" t="s">
        <v>722</v>
      </c>
      <c r="E268" s="85"/>
      <c r="F268" s="85" t="s">
        <v>157</v>
      </c>
      <c r="G268" s="85"/>
      <c r="H268" s="85"/>
      <c r="I268" s="86"/>
      <c r="J268" s="86"/>
      <c r="K268" s="87"/>
      <c r="L268" s="87"/>
      <c r="M268" s="88"/>
      <c r="N268" s="89"/>
      <c r="O268" s="87"/>
      <c r="P268" s="87"/>
      <c r="Q268" s="87"/>
      <c r="R268" s="87"/>
      <c r="S268" s="87">
        <v>1</v>
      </c>
      <c r="T268" s="87">
        <v>1</v>
      </c>
      <c r="U268" s="87"/>
      <c r="V268" s="90" t="s">
        <v>2472</v>
      </c>
    </row>
    <row r="269" ht="15" customHeight="1" spans="1:23" x14ac:dyDescent="0.25">
      <c r="A269" s="85">
        <v>3665</v>
      </c>
      <c r="B269" s="85" t="s">
        <v>3596</v>
      </c>
      <c r="C269" s="85" t="s">
        <v>698</v>
      </c>
      <c r="D269" s="85" t="s">
        <v>722</v>
      </c>
      <c r="E269" s="85"/>
      <c r="F269" s="85" t="s">
        <v>2472</v>
      </c>
      <c r="G269" s="85" t="s">
        <v>288</v>
      </c>
      <c r="H269" s="85" t="s">
        <v>3268</v>
      </c>
      <c r="I269" s="86">
        <v>65</v>
      </c>
      <c r="J269" s="86">
        <v>65</v>
      </c>
      <c r="K269" s="87">
        <v>1</v>
      </c>
      <c r="L269" s="87">
        <v>1</v>
      </c>
      <c r="M269" s="88">
        <v>1</v>
      </c>
      <c r="N269" s="89"/>
      <c r="O269" s="87"/>
      <c r="P269" s="87"/>
      <c r="Q269" s="87"/>
      <c r="R269" s="87"/>
      <c r="S269" s="87">
        <v>1</v>
      </c>
      <c r="T269" s="87"/>
      <c r="U269" s="87">
        <v>0</v>
      </c>
      <c r="V269" s="90" t="s">
        <v>2472</v>
      </c>
    </row>
    <row r="270" ht="15" customHeight="1" spans="1:23" x14ac:dyDescent="0.25">
      <c r="A270" s="85">
        <v>3666</v>
      </c>
      <c r="B270" s="85" t="s">
        <v>3597</v>
      </c>
      <c r="C270" s="85" t="s">
        <v>698</v>
      </c>
      <c r="D270" s="85" t="s">
        <v>722</v>
      </c>
      <c r="E270" s="85"/>
      <c r="F270" s="85" t="s">
        <v>157</v>
      </c>
      <c r="G270" s="85"/>
      <c r="H270" s="85"/>
      <c r="I270" s="86"/>
      <c r="J270" s="86"/>
      <c r="K270" s="87"/>
      <c r="L270" s="87"/>
      <c r="M270" s="88"/>
      <c r="N270" s="89"/>
      <c r="O270" s="87"/>
      <c r="P270" s="87"/>
      <c r="Q270" s="87"/>
      <c r="R270" s="87"/>
      <c r="S270" s="87">
        <v>1</v>
      </c>
      <c r="T270" s="87">
        <v>1</v>
      </c>
      <c r="U270" s="87"/>
      <c r="V270" s="90" t="s">
        <v>2472</v>
      </c>
    </row>
    <row r="271" ht="15" customHeight="1" spans="1:23" x14ac:dyDescent="0.25">
      <c r="A271" s="85">
        <v>3666</v>
      </c>
      <c r="B271" s="85" t="s">
        <v>3597</v>
      </c>
      <c r="C271" s="85" t="s">
        <v>698</v>
      </c>
      <c r="D271" s="85" t="s">
        <v>722</v>
      </c>
      <c r="E271" s="85"/>
      <c r="F271" s="85" t="s">
        <v>2472</v>
      </c>
      <c r="G271" s="85" t="s">
        <v>288</v>
      </c>
      <c r="H271" s="85" t="s">
        <v>3268</v>
      </c>
      <c r="I271" s="86">
        <v>65</v>
      </c>
      <c r="J271" s="86">
        <v>65</v>
      </c>
      <c r="K271" s="87">
        <v>1</v>
      </c>
      <c r="L271" s="87">
        <v>1</v>
      </c>
      <c r="M271" s="88">
        <v>1</v>
      </c>
      <c r="N271" s="89"/>
      <c r="O271" s="87"/>
      <c r="P271" s="87"/>
      <c r="Q271" s="87"/>
      <c r="R271" s="87"/>
      <c r="S271" s="87">
        <v>1</v>
      </c>
      <c r="T271" s="87"/>
      <c r="U271" s="87">
        <v>0</v>
      </c>
      <c r="V271" s="90" t="s">
        <v>2472</v>
      </c>
    </row>
    <row r="272" ht="15" customHeight="1" spans="1:23" x14ac:dyDescent="0.25">
      <c r="A272" s="85">
        <v>3667</v>
      </c>
      <c r="B272" s="85" t="s">
        <v>3598</v>
      </c>
      <c r="C272" s="85" t="s">
        <v>698</v>
      </c>
      <c r="D272" s="85" t="s">
        <v>960</v>
      </c>
      <c r="E272" s="85"/>
      <c r="F272" s="85" t="s">
        <v>157</v>
      </c>
      <c r="G272" s="85"/>
      <c r="H272" s="85"/>
      <c r="I272" s="86"/>
      <c r="J272" s="86"/>
      <c r="K272" s="87"/>
      <c r="L272" s="87"/>
      <c r="M272" s="88"/>
      <c r="N272" s="89"/>
      <c r="O272" s="87"/>
      <c r="P272" s="87"/>
      <c r="Q272" s="87"/>
      <c r="R272" s="87"/>
      <c r="S272" s="87">
        <v>1</v>
      </c>
      <c r="T272" s="87">
        <v>1</v>
      </c>
      <c r="U272" s="87">
        <v>1</v>
      </c>
      <c r="V272" s="90" t="s">
        <v>3599</v>
      </c>
    </row>
    <row r="273" ht="15" customHeight="1" spans="1:23" x14ac:dyDescent="0.25">
      <c r="A273" s="85">
        <v>3667</v>
      </c>
      <c r="B273" s="85" t="s">
        <v>3598</v>
      </c>
      <c r="C273" s="85" t="s">
        <v>698</v>
      </c>
      <c r="D273" s="85" t="s">
        <v>960</v>
      </c>
      <c r="E273" s="85"/>
      <c r="F273" s="85" t="s">
        <v>2472</v>
      </c>
      <c r="G273" s="85" t="s">
        <v>288</v>
      </c>
      <c r="H273" s="85" t="s">
        <v>3268</v>
      </c>
      <c r="I273" s="86">
        <v>65</v>
      </c>
      <c r="J273" s="86">
        <v>65</v>
      </c>
      <c r="K273" s="87">
        <v>1</v>
      </c>
      <c r="L273" s="87">
        <v>1</v>
      </c>
      <c r="M273" s="88">
        <v>1</v>
      </c>
      <c r="N273" s="89"/>
      <c r="O273" s="87"/>
      <c r="P273" s="87"/>
      <c r="Q273" s="87"/>
      <c r="R273" s="87"/>
      <c r="S273" s="87">
        <v>1</v>
      </c>
      <c r="T273" s="87"/>
      <c r="U273" s="87">
        <v>1</v>
      </c>
      <c r="V273" s="90" t="s">
        <v>3599</v>
      </c>
    </row>
    <row r="274" ht="15" customHeight="1" spans="1:23" x14ac:dyDescent="0.25">
      <c r="A274" s="85">
        <v>3668</v>
      </c>
      <c r="B274" s="85" t="s">
        <v>3600</v>
      </c>
      <c r="C274" s="85" t="s">
        <v>698</v>
      </c>
      <c r="D274" s="85" t="s">
        <v>1485</v>
      </c>
      <c r="E274" s="85" t="s">
        <v>1486</v>
      </c>
      <c r="F274" s="85" t="s">
        <v>157</v>
      </c>
      <c r="G274" s="85"/>
      <c r="H274" s="85"/>
      <c r="I274" s="86"/>
      <c r="J274" s="86"/>
      <c r="K274" s="87"/>
      <c r="L274" s="87"/>
      <c r="M274" s="88"/>
      <c r="N274" s="89"/>
      <c r="O274" s="87"/>
      <c r="P274" s="87"/>
      <c r="Q274" s="87"/>
      <c r="R274" s="87"/>
      <c r="S274" s="87">
        <v>1</v>
      </c>
      <c r="T274" s="87">
        <v>1</v>
      </c>
      <c r="U274" s="87">
        <v>1</v>
      </c>
      <c r="V274" s="90" t="s">
        <v>3601</v>
      </c>
    </row>
    <row r="275" ht="15" customHeight="1" spans="1:23" x14ac:dyDescent="0.25">
      <c r="A275" s="85">
        <v>3668</v>
      </c>
      <c r="B275" s="85" t="s">
        <v>3600</v>
      </c>
      <c r="C275" s="85" t="s">
        <v>698</v>
      </c>
      <c r="D275" s="85" t="s">
        <v>1485</v>
      </c>
      <c r="E275" s="85" t="s">
        <v>1486</v>
      </c>
      <c r="F275" s="85" t="s">
        <v>2472</v>
      </c>
      <c r="G275" s="85" t="s">
        <v>288</v>
      </c>
      <c r="H275" s="85" t="s">
        <v>3268</v>
      </c>
      <c r="I275" s="86">
        <v>65</v>
      </c>
      <c r="J275" s="86">
        <v>65</v>
      </c>
      <c r="K275" s="87">
        <v>1</v>
      </c>
      <c r="L275" s="87">
        <v>1</v>
      </c>
      <c r="M275" s="88">
        <v>1</v>
      </c>
      <c r="N275" s="89"/>
      <c r="O275" s="87"/>
      <c r="P275" s="87"/>
      <c r="Q275" s="87"/>
      <c r="R275" s="87"/>
      <c r="S275" s="87">
        <v>1</v>
      </c>
      <c r="T275" s="87"/>
      <c r="U275" s="87">
        <v>1</v>
      </c>
      <c r="V275" s="90" t="s">
        <v>3601</v>
      </c>
    </row>
    <row r="276" ht="15" customHeight="1" spans="1:23" x14ac:dyDescent="0.25">
      <c r="A276" s="85">
        <v>3669</v>
      </c>
      <c r="B276" s="85" t="s">
        <v>3602</v>
      </c>
      <c r="C276" s="85" t="s">
        <v>698</v>
      </c>
      <c r="D276" s="85" t="s">
        <v>1368</v>
      </c>
      <c r="E276" s="85"/>
      <c r="F276" s="85" t="s">
        <v>157</v>
      </c>
      <c r="G276" s="85"/>
      <c r="H276" s="85"/>
      <c r="I276" s="86"/>
      <c r="J276" s="86"/>
      <c r="K276" s="87"/>
      <c r="L276" s="87"/>
      <c r="M276" s="88"/>
      <c r="N276" s="89"/>
      <c r="O276" s="87"/>
      <c r="P276" s="87"/>
      <c r="Q276" s="87"/>
      <c r="R276" s="87"/>
      <c r="S276" s="87">
        <v>0.8</v>
      </c>
      <c r="T276" s="87">
        <v>0.8</v>
      </c>
      <c r="U276" s="87">
        <v>0.8</v>
      </c>
      <c r="V276" s="90" t="s">
        <v>3603</v>
      </c>
    </row>
    <row r="277" ht="15" customHeight="1" spans="1:23" x14ac:dyDescent="0.25">
      <c r="A277" s="85">
        <v>3669</v>
      </c>
      <c r="B277" s="85" t="s">
        <v>3602</v>
      </c>
      <c r="C277" s="85" t="s">
        <v>698</v>
      </c>
      <c r="D277" s="85" t="s">
        <v>1368</v>
      </c>
      <c r="E277" s="85"/>
      <c r="F277" s="85" t="s">
        <v>2472</v>
      </c>
      <c r="G277" s="85" t="s">
        <v>288</v>
      </c>
      <c r="H277" s="85" t="s">
        <v>3268</v>
      </c>
      <c r="I277" s="86">
        <v>65</v>
      </c>
      <c r="J277" s="86">
        <v>65</v>
      </c>
      <c r="K277" s="87">
        <v>1</v>
      </c>
      <c r="L277" s="87">
        <v>0.8</v>
      </c>
      <c r="M277" s="88">
        <v>0.8</v>
      </c>
      <c r="N277" s="89"/>
      <c r="O277" s="87"/>
      <c r="P277" s="87"/>
      <c r="Q277" s="87"/>
      <c r="R277" s="87"/>
      <c r="S277" s="87">
        <v>0.8</v>
      </c>
      <c r="T277" s="87"/>
      <c r="U277" s="87">
        <v>0.8</v>
      </c>
      <c r="V277" s="90" t="s">
        <v>3603</v>
      </c>
    </row>
    <row r="278" ht="15" customHeight="1" spans="1:23" x14ac:dyDescent="0.25">
      <c r="A278" s="85">
        <v>3670</v>
      </c>
      <c r="B278" s="85" t="s">
        <v>3604</v>
      </c>
      <c r="C278" s="85"/>
      <c r="D278" s="85" t="s">
        <v>168</v>
      </c>
      <c r="E278" s="85"/>
      <c r="F278" s="85" t="s">
        <v>2472</v>
      </c>
      <c r="G278" s="85"/>
      <c r="H278" s="85"/>
      <c r="I278" s="86"/>
      <c r="J278" s="86"/>
      <c r="K278" s="87"/>
      <c r="L278" s="87"/>
      <c r="M278" s="88"/>
      <c r="N278" s="89"/>
      <c r="O278" s="87"/>
      <c r="P278" s="87"/>
      <c r="Q278" s="87"/>
      <c r="R278" s="87"/>
      <c r="S278" s="87"/>
      <c r="T278" s="87"/>
      <c r="U278" s="87"/>
      <c r="V278" s="90"/>
    </row>
    <row r="279" ht="15" customHeight="1" spans="1:23" x14ac:dyDescent="0.25">
      <c r="A279" s="85">
        <v>3670</v>
      </c>
      <c r="B279" s="85" t="s">
        <v>3604</v>
      </c>
      <c r="C279" s="85"/>
      <c r="D279" s="85" t="s">
        <v>168</v>
      </c>
      <c r="E279" s="85"/>
      <c r="F279" s="85" t="s">
        <v>157</v>
      </c>
      <c r="G279" s="85"/>
      <c r="H279" s="85"/>
      <c r="I279" s="86"/>
      <c r="J279" s="86"/>
      <c r="K279" s="87"/>
      <c r="L279" s="87"/>
      <c r="M279" s="88"/>
      <c r="N279" s="89"/>
      <c r="O279" s="87"/>
      <c r="P279" s="87"/>
      <c r="Q279" s="87"/>
      <c r="R279" s="87"/>
      <c r="S279" s="87"/>
      <c r="T279" s="87">
        <v>0</v>
      </c>
      <c r="U279" s="87"/>
      <c r="V279" s="90" t="s">
        <v>2472</v>
      </c>
    </row>
    <row r="280" ht="15" customHeight="1" spans="1:23" x14ac:dyDescent="0.25">
      <c r="A280" s="85">
        <v>3671</v>
      </c>
      <c r="B280" s="85" t="s">
        <v>3605</v>
      </c>
      <c r="C280" s="85" t="s">
        <v>698</v>
      </c>
      <c r="D280" s="85" t="s">
        <v>1113</v>
      </c>
      <c r="E280" s="85"/>
      <c r="F280" s="85" t="s">
        <v>157</v>
      </c>
      <c r="G280" s="85"/>
      <c r="H280" s="85"/>
      <c r="I280" s="86"/>
      <c r="J280" s="86"/>
      <c r="K280" s="87"/>
      <c r="L280" s="87"/>
      <c r="M280" s="88"/>
      <c r="N280" s="89"/>
      <c r="O280" s="87"/>
      <c r="P280" s="87"/>
      <c r="Q280" s="87"/>
      <c r="R280" s="87"/>
      <c r="S280" s="87">
        <v>1</v>
      </c>
      <c r="T280" s="87">
        <v>1</v>
      </c>
      <c r="U280" s="87">
        <v>1</v>
      </c>
      <c r="V280" s="90" t="s">
        <v>3579</v>
      </c>
    </row>
    <row r="281" ht="15" customHeight="1" spans="1:23" x14ac:dyDescent="0.25">
      <c r="A281" s="85">
        <v>3671</v>
      </c>
      <c r="B281" s="85" t="s">
        <v>3605</v>
      </c>
      <c r="C281" s="85" t="s">
        <v>698</v>
      </c>
      <c r="D281" s="85" t="s">
        <v>1113</v>
      </c>
      <c r="E281" s="85"/>
      <c r="F281" s="85" t="s">
        <v>2472</v>
      </c>
      <c r="G281" s="85" t="s">
        <v>288</v>
      </c>
      <c r="H281" s="85" t="s">
        <v>3268</v>
      </c>
      <c r="I281" s="86">
        <v>65</v>
      </c>
      <c r="J281" s="86">
        <v>65</v>
      </c>
      <c r="K281" s="87">
        <v>1</v>
      </c>
      <c r="L281" s="87">
        <v>1</v>
      </c>
      <c r="M281" s="88">
        <v>1</v>
      </c>
      <c r="N281" s="89"/>
      <c r="O281" s="87"/>
      <c r="P281" s="87"/>
      <c r="Q281" s="87"/>
      <c r="R281" s="87"/>
      <c r="S281" s="87">
        <v>1</v>
      </c>
      <c r="T281" s="87"/>
      <c r="U281" s="87">
        <v>1</v>
      </c>
      <c r="V281" s="90" t="s">
        <v>3579</v>
      </c>
    </row>
    <row r="282" ht="15" customHeight="1" spans="1:23" x14ac:dyDescent="0.25">
      <c r="A282" s="85">
        <v>3672</v>
      </c>
      <c r="B282" s="85" t="s">
        <v>3606</v>
      </c>
      <c r="C282" s="85" t="s">
        <v>698</v>
      </c>
      <c r="D282" s="85" t="s">
        <v>1758</v>
      </c>
      <c r="E282" s="85"/>
      <c r="F282" s="85" t="s">
        <v>157</v>
      </c>
      <c r="G282" s="85"/>
      <c r="H282" s="85"/>
      <c r="I282" s="86"/>
      <c r="J282" s="86"/>
      <c r="K282" s="87"/>
      <c r="L282" s="87"/>
      <c r="M282" s="88"/>
      <c r="N282" s="89"/>
      <c r="O282" s="87"/>
      <c r="P282" s="87"/>
      <c r="Q282" s="87"/>
      <c r="R282" s="87"/>
      <c r="S282" s="87">
        <v>0.8</v>
      </c>
      <c r="T282" s="87">
        <v>0.8</v>
      </c>
      <c r="U282" s="87"/>
      <c r="V282" s="90" t="s">
        <v>2472</v>
      </c>
    </row>
    <row r="283" ht="15" customHeight="1" spans="1:23" x14ac:dyDescent="0.25">
      <c r="A283" s="85">
        <v>3672</v>
      </c>
      <c r="B283" s="85" t="s">
        <v>3606</v>
      </c>
      <c r="C283" s="85" t="s">
        <v>698</v>
      </c>
      <c r="D283" s="85" t="s">
        <v>1758</v>
      </c>
      <c r="E283" s="85"/>
      <c r="F283" s="85" t="s">
        <v>2472</v>
      </c>
      <c r="G283" s="85" t="s">
        <v>288</v>
      </c>
      <c r="H283" s="85" t="s">
        <v>3268</v>
      </c>
      <c r="I283" s="86">
        <v>65</v>
      </c>
      <c r="J283" s="86">
        <v>65</v>
      </c>
      <c r="K283" s="87">
        <v>1</v>
      </c>
      <c r="L283" s="87">
        <v>0.8</v>
      </c>
      <c r="M283" s="88">
        <v>0.8</v>
      </c>
      <c r="N283" s="89"/>
      <c r="O283" s="87"/>
      <c r="P283" s="87"/>
      <c r="Q283" s="87"/>
      <c r="R283" s="87"/>
      <c r="S283" s="87">
        <v>0.8</v>
      </c>
      <c r="T283" s="87"/>
      <c r="U283" s="87">
        <v>0</v>
      </c>
      <c r="V283" s="90" t="s">
        <v>2472</v>
      </c>
    </row>
    <row r="284" ht="15" customHeight="1" spans="1:23" x14ac:dyDescent="0.25">
      <c r="A284" s="85">
        <v>3673</v>
      </c>
      <c r="B284" s="85" t="s">
        <v>3607</v>
      </c>
      <c r="C284" s="85" t="s">
        <v>698</v>
      </c>
      <c r="D284" s="85" t="s">
        <v>722</v>
      </c>
      <c r="E284" s="85"/>
      <c r="F284" s="85" t="s">
        <v>157</v>
      </c>
      <c r="G284" s="85"/>
      <c r="H284" s="85"/>
      <c r="I284" s="86"/>
      <c r="J284" s="86"/>
      <c r="K284" s="87"/>
      <c r="L284" s="87"/>
      <c r="M284" s="88"/>
      <c r="N284" s="89"/>
      <c r="O284" s="87"/>
      <c r="P284" s="87"/>
      <c r="Q284" s="87"/>
      <c r="R284" s="87"/>
      <c r="S284" s="87">
        <v>1</v>
      </c>
      <c r="T284" s="87">
        <v>1</v>
      </c>
      <c r="U284" s="87"/>
      <c r="V284" s="90" t="s">
        <v>2472</v>
      </c>
    </row>
    <row r="285" ht="15" customHeight="1" spans="1:23" x14ac:dyDescent="0.25">
      <c r="A285" s="85">
        <v>3673</v>
      </c>
      <c r="B285" s="85" t="s">
        <v>3607</v>
      </c>
      <c r="C285" s="85" t="s">
        <v>698</v>
      </c>
      <c r="D285" s="85" t="s">
        <v>722</v>
      </c>
      <c r="E285" s="85"/>
      <c r="F285" s="85" t="s">
        <v>2472</v>
      </c>
      <c r="G285" s="85" t="s">
        <v>288</v>
      </c>
      <c r="H285" s="85" t="s">
        <v>3268</v>
      </c>
      <c r="I285" s="86">
        <v>65</v>
      </c>
      <c r="J285" s="86">
        <v>65</v>
      </c>
      <c r="K285" s="87">
        <v>1</v>
      </c>
      <c r="L285" s="87">
        <v>1</v>
      </c>
      <c r="M285" s="88">
        <v>1</v>
      </c>
      <c r="N285" s="89"/>
      <c r="O285" s="87"/>
      <c r="P285" s="87"/>
      <c r="Q285" s="87"/>
      <c r="R285" s="87"/>
      <c r="S285" s="87">
        <v>1</v>
      </c>
      <c r="T285" s="87"/>
      <c r="U285" s="87">
        <v>0</v>
      </c>
      <c r="V285" s="90" t="s">
        <v>2472</v>
      </c>
    </row>
    <row r="286" ht="15" customHeight="1" spans="1:23" x14ac:dyDescent="0.25">
      <c r="A286" s="85">
        <v>3674</v>
      </c>
      <c r="B286" s="85" t="s">
        <v>3608</v>
      </c>
      <c r="C286" s="85" t="s">
        <v>698</v>
      </c>
      <c r="D286" s="85" t="s">
        <v>836</v>
      </c>
      <c r="E286" s="85"/>
      <c r="F286" s="85" t="s">
        <v>157</v>
      </c>
      <c r="G286" s="85"/>
      <c r="H286" s="85"/>
      <c r="I286" s="86"/>
      <c r="J286" s="86"/>
      <c r="K286" s="87"/>
      <c r="L286" s="87"/>
      <c r="M286" s="88"/>
      <c r="N286" s="89"/>
      <c r="O286" s="87"/>
      <c r="P286" s="87"/>
      <c r="Q286" s="87"/>
      <c r="R286" s="87"/>
      <c r="S286" s="87">
        <v>1</v>
      </c>
      <c r="T286" s="87">
        <v>1</v>
      </c>
      <c r="U286" s="87">
        <v>1</v>
      </c>
      <c r="V286" s="90" t="s">
        <v>3609</v>
      </c>
    </row>
    <row r="287" ht="15" customHeight="1" spans="1:23" x14ac:dyDescent="0.25">
      <c r="A287" s="85">
        <v>3674</v>
      </c>
      <c r="B287" s="85" t="s">
        <v>3608</v>
      </c>
      <c r="C287" s="85" t="s">
        <v>698</v>
      </c>
      <c r="D287" s="85" t="s">
        <v>836</v>
      </c>
      <c r="E287" s="85"/>
      <c r="F287" s="85" t="s">
        <v>2472</v>
      </c>
      <c r="G287" s="85" t="s">
        <v>288</v>
      </c>
      <c r="H287" s="85" t="s">
        <v>3268</v>
      </c>
      <c r="I287" s="86">
        <v>65</v>
      </c>
      <c r="J287" s="86">
        <v>65</v>
      </c>
      <c r="K287" s="87">
        <v>1</v>
      </c>
      <c r="L287" s="87">
        <v>1</v>
      </c>
      <c r="M287" s="88">
        <v>1</v>
      </c>
      <c r="N287" s="89"/>
      <c r="O287" s="87"/>
      <c r="P287" s="87"/>
      <c r="Q287" s="87"/>
      <c r="R287" s="87"/>
      <c r="S287" s="87">
        <v>1</v>
      </c>
      <c r="T287" s="87"/>
      <c r="U287" s="87">
        <v>1</v>
      </c>
      <c r="V287" s="90" t="s">
        <v>3609</v>
      </c>
    </row>
    <row r="288" ht="15" customHeight="1" spans="1:23" x14ac:dyDescent="0.25">
      <c r="A288" s="85">
        <v>3675</v>
      </c>
      <c r="B288" s="85" t="s">
        <v>3610</v>
      </c>
      <c r="C288" s="85" t="s">
        <v>698</v>
      </c>
      <c r="D288" s="85" t="s">
        <v>1173</v>
      </c>
      <c r="E288" s="85"/>
      <c r="F288" s="85" t="s">
        <v>157</v>
      </c>
      <c r="G288" s="85"/>
      <c r="H288" s="85"/>
      <c r="I288" s="86"/>
      <c r="J288" s="86"/>
      <c r="K288" s="87"/>
      <c r="L288" s="87"/>
      <c r="M288" s="88"/>
      <c r="N288" s="89"/>
      <c r="O288" s="87"/>
      <c r="P288" s="87"/>
      <c r="Q288" s="87"/>
      <c r="R288" s="87"/>
      <c r="S288" s="87">
        <v>1</v>
      </c>
      <c r="T288" s="87">
        <v>1</v>
      </c>
      <c r="U288" s="87">
        <v>1</v>
      </c>
      <c r="V288" s="90" t="s">
        <v>3611</v>
      </c>
    </row>
    <row r="289" ht="15" customHeight="1" spans="1:23" x14ac:dyDescent="0.25">
      <c r="A289" s="85">
        <v>3675</v>
      </c>
      <c r="B289" s="85" t="s">
        <v>3610</v>
      </c>
      <c r="C289" s="85" t="s">
        <v>698</v>
      </c>
      <c r="D289" s="85" t="s">
        <v>1173</v>
      </c>
      <c r="E289" s="85"/>
      <c r="F289" s="85" t="s">
        <v>2472</v>
      </c>
      <c r="G289" s="85" t="s">
        <v>288</v>
      </c>
      <c r="H289" s="85" t="s">
        <v>3268</v>
      </c>
      <c r="I289" s="86">
        <v>65</v>
      </c>
      <c r="J289" s="86">
        <v>65</v>
      </c>
      <c r="K289" s="87">
        <v>1</v>
      </c>
      <c r="L289" s="87">
        <v>1</v>
      </c>
      <c r="M289" s="88">
        <v>1</v>
      </c>
      <c r="N289" s="89"/>
      <c r="O289" s="87"/>
      <c r="P289" s="87"/>
      <c r="Q289" s="87"/>
      <c r="R289" s="87"/>
      <c r="S289" s="87">
        <v>1</v>
      </c>
      <c r="T289" s="87"/>
      <c r="U289" s="87">
        <v>1</v>
      </c>
      <c r="V289" s="90" t="s">
        <v>3611</v>
      </c>
    </row>
    <row r="290" ht="15" customHeight="1" spans="1:23" x14ac:dyDescent="0.25">
      <c r="A290" s="85">
        <v>3676</v>
      </c>
      <c r="B290" s="85" t="s">
        <v>3612</v>
      </c>
      <c r="C290" s="85" t="s">
        <v>698</v>
      </c>
      <c r="D290" s="85" t="s">
        <v>168</v>
      </c>
      <c r="E290" s="85"/>
      <c r="F290" s="85" t="s">
        <v>157</v>
      </c>
      <c r="G290" s="85"/>
      <c r="H290" s="85"/>
      <c r="I290" s="86"/>
      <c r="J290" s="86"/>
      <c r="K290" s="87"/>
      <c r="L290" s="87"/>
      <c r="M290" s="88"/>
      <c r="N290" s="89"/>
      <c r="O290" s="87"/>
      <c r="P290" s="87"/>
      <c r="Q290" s="87"/>
      <c r="R290" s="87"/>
      <c r="S290" s="87">
        <v>1</v>
      </c>
      <c r="T290" s="87">
        <v>1</v>
      </c>
      <c r="U290" s="87">
        <v>1</v>
      </c>
      <c r="V290" s="90" t="s">
        <v>3613</v>
      </c>
    </row>
    <row r="291" ht="15" customHeight="1" spans="1:23" x14ac:dyDescent="0.25">
      <c r="A291" s="85">
        <v>3676</v>
      </c>
      <c r="B291" s="85" t="s">
        <v>3612</v>
      </c>
      <c r="C291" s="85" t="s">
        <v>698</v>
      </c>
      <c r="D291" s="85" t="s">
        <v>168</v>
      </c>
      <c r="E291" s="85"/>
      <c r="F291" s="85" t="s">
        <v>2472</v>
      </c>
      <c r="G291" s="85" t="s">
        <v>288</v>
      </c>
      <c r="H291" s="85" t="s">
        <v>3268</v>
      </c>
      <c r="I291" s="86">
        <v>65</v>
      </c>
      <c r="J291" s="86">
        <v>65</v>
      </c>
      <c r="K291" s="87">
        <v>1</v>
      </c>
      <c r="L291" s="87">
        <v>1</v>
      </c>
      <c r="M291" s="88">
        <v>1</v>
      </c>
      <c r="N291" s="89"/>
      <c r="O291" s="87"/>
      <c r="P291" s="87"/>
      <c r="Q291" s="87"/>
      <c r="R291" s="87"/>
      <c r="S291" s="87">
        <v>1</v>
      </c>
      <c r="T291" s="87"/>
      <c r="U291" s="87">
        <v>1</v>
      </c>
      <c r="V291" s="90" t="s">
        <v>3613</v>
      </c>
    </row>
    <row r="292" ht="15" customHeight="1" spans="1:23" x14ac:dyDescent="0.25">
      <c r="A292" s="85">
        <v>3677</v>
      </c>
      <c r="B292" s="85" t="s">
        <v>3614</v>
      </c>
      <c r="C292" s="85" t="s">
        <v>698</v>
      </c>
      <c r="D292" s="85" t="s">
        <v>1090</v>
      </c>
      <c r="E292" s="85"/>
      <c r="F292" s="85" t="s">
        <v>157</v>
      </c>
      <c r="G292" s="85"/>
      <c r="H292" s="85"/>
      <c r="I292" s="86"/>
      <c r="J292" s="86"/>
      <c r="K292" s="87"/>
      <c r="L292" s="87"/>
      <c r="M292" s="88"/>
      <c r="N292" s="89"/>
      <c r="O292" s="87"/>
      <c r="P292" s="87"/>
      <c r="Q292" s="87"/>
      <c r="R292" s="87"/>
      <c r="S292" s="87">
        <v>1</v>
      </c>
      <c r="T292" s="87">
        <v>1</v>
      </c>
      <c r="U292" s="87">
        <v>1</v>
      </c>
      <c r="V292" s="90" t="s">
        <v>3613</v>
      </c>
    </row>
    <row r="293" ht="15" customHeight="1" spans="1:23" x14ac:dyDescent="0.25">
      <c r="A293" s="85">
        <v>3677</v>
      </c>
      <c r="B293" s="85" t="s">
        <v>3614</v>
      </c>
      <c r="C293" s="85" t="s">
        <v>698</v>
      </c>
      <c r="D293" s="85" t="s">
        <v>1090</v>
      </c>
      <c r="E293" s="85"/>
      <c r="F293" s="85" t="s">
        <v>2472</v>
      </c>
      <c r="G293" s="85" t="s">
        <v>288</v>
      </c>
      <c r="H293" s="85" t="s">
        <v>3268</v>
      </c>
      <c r="I293" s="86">
        <v>65</v>
      </c>
      <c r="J293" s="86">
        <v>65</v>
      </c>
      <c r="K293" s="87">
        <v>1</v>
      </c>
      <c r="L293" s="87">
        <v>1</v>
      </c>
      <c r="M293" s="88">
        <v>1</v>
      </c>
      <c r="N293" s="89"/>
      <c r="O293" s="87"/>
      <c r="P293" s="87"/>
      <c r="Q293" s="87"/>
      <c r="R293" s="87"/>
      <c r="S293" s="87">
        <v>1</v>
      </c>
      <c r="T293" s="87"/>
      <c r="U293" s="87">
        <v>1</v>
      </c>
      <c r="V293" s="90" t="s">
        <v>3613</v>
      </c>
    </row>
    <row r="294" ht="15" customHeight="1" spans="1:23" x14ac:dyDescent="0.25">
      <c r="A294" s="85">
        <v>3678</v>
      </c>
      <c r="B294" s="85" t="s">
        <v>3615</v>
      </c>
      <c r="C294" s="85" t="s">
        <v>698</v>
      </c>
      <c r="D294" s="85" t="s">
        <v>2283</v>
      </c>
      <c r="E294" s="85"/>
      <c r="F294" s="85" t="s">
        <v>157</v>
      </c>
      <c r="G294" s="85"/>
      <c r="H294" s="85"/>
      <c r="I294" s="86"/>
      <c r="J294" s="86"/>
      <c r="K294" s="87"/>
      <c r="L294" s="87"/>
      <c r="M294" s="88"/>
      <c r="N294" s="89"/>
      <c r="O294" s="87"/>
      <c r="P294" s="87"/>
      <c r="Q294" s="87"/>
      <c r="R294" s="87"/>
      <c r="S294" s="87">
        <v>1</v>
      </c>
      <c r="T294" s="87">
        <v>1</v>
      </c>
      <c r="U294" s="87">
        <v>1</v>
      </c>
      <c r="V294" s="90" t="s">
        <v>3581</v>
      </c>
    </row>
    <row r="295" ht="15" customHeight="1" spans="1:23" x14ac:dyDescent="0.25">
      <c r="A295" s="85">
        <v>3678</v>
      </c>
      <c r="B295" s="85" t="s">
        <v>3615</v>
      </c>
      <c r="C295" s="85" t="s">
        <v>698</v>
      </c>
      <c r="D295" s="85" t="s">
        <v>2283</v>
      </c>
      <c r="E295" s="85"/>
      <c r="F295" s="85" t="s">
        <v>2472</v>
      </c>
      <c r="G295" s="85" t="s">
        <v>288</v>
      </c>
      <c r="H295" s="85" t="s">
        <v>3268</v>
      </c>
      <c r="I295" s="86">
        <v>65</v>
      </c>
      <c r="J295" s="86">
        <v>65</v>
      </c>
      <c r="K295" s="87">
        <v>1</v>
      </c>
      <c r="L295" s="87">
        <v>1</v>
      </c>
      <c r="M295" s="88">
        <v>1</v>
      </c>
      <c r="N295" s="89"/>
      <c r="O295" s="87"/>
      <c r="P295" s="87"/>
      <c r="Q295" s="87"/>
      <c r="R295" s="87"/>
      <c r="S295" s="87">
        <v>1</v>
      </c>
      <c r="T295" s="87"/>
      <c r="U295" s="87">
        <v>1</v>
      </c>
      <c r="V295" s="90" t="s">
        <v>3581</v>
      </c>
    </row>
    <row r="296" ht="15" customHeight="1" spans="1:23" x14ac:dyDescent="0.25">
      <c r="A296" s="85">
        <v>3679</v>
      </c>
      <c r="B296" s="85" t="s">
        <v>3616</v>
      </c>
      <c r="C296" s="85" t="s">
        <v>698</v>
      </c>
      <c r="D296" s="85" t="s">
        <v>2274</v>
      </c>
      <c r="E296" s="85"/>
      <c r="F296" s="85" t="s">
        <v>157</v>
      </c>
      <c r="G296" s="85"/>
      <c r="H296" s="85"/>
      <c r="I296" s="86"/>
      <c r="J296" s="86"/>
      <c r="K296" s="87"/>
      <c r="L296" s="87"/>
      <c r="M296" s="88"/>
      <c r="N296" s="89"/>
      <c r="O296" s="87"/>
      <c r="P296" s="87"/>
      <c r="Q296" s="87"/>
      <c r="R296" s="87"/>
      <c r="S296" s="87">
        <v>1</v>
      </c>
      <c r="T296" s="87">
        <v>1</v>
      </c>
      <c r="U296" s="87"/>
      <c r="V296" s="90" t="s">
        <v>2472</v>
      </c>
    </row>
    <row r="297" ht="15" customHeight="1" spans="1:23" x14ac:dyDescent="0.25">
      <c r="A297" s="85">
        <v>3679</v>
      </c>
      <c r="B297" s="85" t="s">
        <v>3616</v>
      </c>
      <c r="C297" s="85" t="s">
        <v>698</v>
      </c>
      <c r="D297" s="85" t="s">
        <v>2274</v>
      </c>
      <c r="E297" s="85"/>
      <c r="F297" s="85" t="s">
        <v>2472</v>
      </c>
      <c r="G297" s="85" t="s">
        <v>288</v>
      </c>
      <c r="H297" s="85" t="s">
        <v>3268</v>
      </c>
      <c r="I297" s="86">
        <v>65</v>
      </c>
      <c r="J297" s="86">
        <v>65</v>
      </c>
      <c r="K297" s="87">
        <v>1</v>
      </c>
      <c r="L297" s="87">
        <v>1</v>
      </c>
      <c r="M297" s="88">
        <v>1</v>
      </c>
      <c r="N297" s="89"/>
      <c r="O297" s="87"/>
      <c r="P297" s="87"/>
      <c r="Q297" s="87"/>
      <c r="R297" s="87"/>
      <c r="S297" s="87">
        <v>1</v>
      </c>
      <c r="T297" s="87"/>
      <c r="U297" s="87">
        <v>0</v>
      </c>
      <c r="V297" s="90" t="s">
        <v>2472</v>
      </c>
    </row>
    <row r="298" ht="15" customHeight="1" spans="1:23" x14ac:dyDescent="0.25">
      <c r="A298" s="85">
        <v>3680</v>
      </c>
      <c r="B298" s="85" t="s">
        <v>3617</v>
      </c>
      <c r="C298" s="85" t="s">
        <v>698</v>
      </c>
      <c r="D298" s="85" t="s">
        <v>1368</v>
      </c>
      <c r="E298" s="85"/>
      <c r="F298" s="85" t="s">
        <v>157</v>
      </c>
      <c r="G298" s="85"/>
      <c r="H298" s="85"/>
      <c r="I298" s="86"/>
      <c r="J298" s="86"/>
      <c r="K298" s="87"/>
      <c r="L298" s="87"/>
      <c r="M298" s="88"/>
      <c r="N298" s="89"/>
      <c r="O298" s="87"/>
      <c r="P298" s="87"/>
      <c r="Q298" s="87"/>
      <c r="R298" s="87"/>
      <c r="S298" s="87">
        <v>1</v>
      </c>
      <c r="T298" s="87">
        <v>1</v>
      </c>
      <c r="U298" s="87">
        <v>1</v>
      </c>
      <c r="V298" s="90" t="s">
        <v>3581</v>
      </c>
    </row>
    <row r="299" ht="15" customHeight="1" spans="1:23" x14ac:dyDescent="0.25">
      <c r="A299" s="85">
        <v>3680</v>
      </c>
      <c r="B299" s="85" t="s">
        <v>3617</v>
      </c>
      <c r="C299" s="85" t="s">
        <v>698</v>
      </c>
      <c r="D299" s="85" t="s">
        <v>1368</v>
      </c>
      <c r="E299" s="85"/>
      <c r="F299" s="85" t="s">
        <v>2472</v>
      </c>
      <c r="G299" s="85" t="s">
        <v>288</v>
      </c>
      <c r="H299" s="85" t="s">
        <v>3268</v>
      </c>
      <c r="I299" s="86">
        <v>65</v>
      </c>
      <c r="J299" s="86">
        <v>65</v>
      </c>
      <c r="K299" s="87">
        <v>1</v>
      </c>
      <c r="L299" s="87">
        <v>1</v>
      </c>
      <c r="M299" s="88">
        <v>1</v>
      </c>
      <c r="N299" s="89"/>
      <c r="O299" s="87"/>
      <c r="P299" s="87"/>
      <c r="Q299" s="87"/>
      <c r="R299" s="87"/>
      <c r="S299" s="87">
        <v>1</v>
      </c>
      <c r="T299" s="87"/>
      <c r="U299" s="87">
        <v>1</v>
      </c>
      <c r="V299" s="90" t="s">
        <v>3581</v>
      </c>
    </row>
    <row r="300" ht="15" customHeight="1" spans="1:23" x14ac:dyDescent="0.25">
      <c r="A300" s="85">
        <v>3681</v>
      </c>
      <c r="B300" s="85" t="s">
        <v>3618</v>
      </c>
      <c r="C300" s="85" t="s">
        <v>698</v>
      </c>
      <c r="D300" s="85" t="s">
        <v>1893</v>
      </c>
      <c r="E300" s="85"/>
      <c r="F300" s="85" t="s">
        <v>157</v>
      </c>
      <c r="G300" s="85"/>
      <c r="H300" s="85"/>
      <c r="I300" s="86"/>
      <c r="J300" s="86"/>
      <c r="K300" s="87"/>
      <c r="L300" s="87"/>
      <c r="M300" s="88"/>
      <c r="N300" s="89"/>
      <c r="O300" s="87"/>
      <c r="P300" s="87"/>
      <c r="Q300" s="87"/>
      <c r="R300" s="87"/>
      <c r="S300" s="87">
        <v>1</v>
      </c>
      <c r="T300" s="87">
        <v>1</v>
      </c>
      <c r="U300" s="87"/>
      <c r="V300" s="90" t="s">
        <v>2472</v>
      </c>
    </row>
    <row r="301" ht="15" customHeight="1" spans="1:23" x14ac:dyDescent="0.25">
      <c r="A301" s="85">
        <v>3681</v>
      </c>
      <c r="B301" s="85" t="s">
        <v>3618</v>
      </c>
      <c r="C301" s="85" t="s">
        <v>698</v>
      </c>
      <c r="D301" s="85" t="s">
        <v>1893</v>
      </c>
      <c r="E301" s="85"/>
      <c r="F301" s="85" t="s">
        <v>2472</v>
      </c>
      <c r="G301" s="85" t="s">
        <v>288</v>
      </c>
      <c r="H301" s="85" t="s">
        <v>3268</v>
      </c>
      <c r="I301" s="86">
        <v>65</v>
      </c>
      <c r="J301" s="86">
        <v>65</v>
      </c>
      <c r="K301" s="87">
        <v>1</v>
      </c>
      <c r="L301" s="87">
        <v>1</v>
      </c>
      <c r="M301" s="88">
        <v>1</v>
      </c>
      <c r="N301" s="89"/>
      <c r="O301" s="87"/>
      <c r="P301" s="87"/>
      <c r="Q301" s="87"/>
      <c r="R301" s="87"/>
      <c r="S301" s="87">
        <v>1</v>
      </c>
      <c r="T301" s="87"/>
      <c r="U301" s="87">
        <v>0</v>
      </c>
      <c r="V301" s="90" t="s">
        <v>2472</v>
      </c>
    </row>
    <row r="302" ht="15" customHeight="1" spans="1:23" x14ac:dyDescent="0.25">
      <c r="A302" s="85">
        <v>3682</v>
      </c>
      <c r="B302" s="85" t="s">
        <v>3619</v>
      </c>
      <c r="C302" s="85" t="s">
        <v>698</v>
      </c>
      <c r="D302" s="85" t="s">
        <v>816</v>
      </c>
      <c r="E302" s="85"/>
      <c r="F302" s="85" t="s">
        <v>157</v>
      </c>
      <c r="G302" s="85"/>
      <c r="H302" s="85"/>
      <c r="I302" s="86"/>
      <c r="J302" s="86"/>
      <c r="K302" s="87"/>
      <c r="L302" s="87"/>
      <c r="M302" s="88"/>
      <c r="N302" s="89"/>
      <c r="O302" s="87"/>
      <c r="P302" s="87"/>
      <c r="Q302" s="87"/>
      <c r="R302" s="87"/>
      <c r="S302" s="87">
        <v>0.8</v>
      </c>
      <c r="T302" s="87">
        <v>0.8</v>
      </c>
      <c r="U302" s="87"/>
      <c r="V302" s="90" t="s">
        <v>2472</v>
      </c>
    </row>
    <row r="303" ht="15" customHeight="1" spans="1:23" x14ac:dyDescent="0.25">
      <c r="A303" s="85">
        <v>3682</v>
      </c>
      <c r="B303" s="85" t="s">
        <v>3619</v>
      </c>
      <c r="C303" s="85" t="s">
        <v>698</v>
      </c>
      <c r="D303" s="85" t="s">
        <v>816</v>
      </c>
      <c r="E303" s="85"/>
      <c r="F303" s="85" t="s">
        <v>2472</v>
      </c>
      <c r="G303" s="85" t="s">
        <v>288</v>
      </c>
      <c r="H303" s="85" t="s">
        <v>3268</v>
      </c>
      <c r="I303" s="86">
        <v>65</v>
      </c>
      <c r="J303" s="86">
        <v>65</v>
      </c>
      <c r="K303" s="87">
        <v>1</v>
      </c>
      <c r="L303" s="87">
        <v>0.8</v>
      </c>
      <c r="M303" s="88">
        <v>0.8</v>
      </c>
      <c r="N303" s="89"/>
      <c r="O303" s="87"/>
      <c r="P303" s="87"/>
      <c r="Q303" s="87"/>
      <c r="R303" s="87"/>
      <c r="S303" s="87">
        <v>0.8</v>
      </c>
      <c r="T303" s="87"/>
      <c r="U303" s="87">
        <v>0</v>
      </c>
      <c r="V303" s="90" t="s">
        <v>2472</v>
      </c>
    </row>
    <row r="304" ht="15" customHeight="1" spans="1:23" x14ac:dyDescent="0.25">
      <c r="A304" s="85">
        <v>3683</v>
      </c>
      <c r="B304" s="85" t="s">
        <v>3620</v>
      </c>
      <c r="C304" s="85" t="s">
        <v>698</v>
      </c>
      <c r="D304" s="85" t="s">
        <v>1456</v>
      </c>
      <c r="E304" s="85"/>
      <c r="F304" s="85" t="s">
        <v>157</v>
      </c>
      <c r="G304" s="85"/>
      <c r="H304" s="85"/>
      <c r="I304" s="86"/>
      <c r="J304" s="86"/>
      <c r="K304" s="87"/>
      <c r="L304" s="87"/>
      <c r="M304" s="88"/>
      <c r="N304" s="89"/>
      <c r="O304" s="87"/>
      <c r="P304" s="87"/>
      <c r="Q304" s="87"/>
      <c r="R304" s="87"/>
      <c r="S304" s="87">
        <v>0.8</v>
      </c>
      <c r="T304" s="87">
        <v>0.8</v>
      </c>
      <c r="U304" s="87"/>
      <c r="V304" s="90" t="s">
        <v>2472</v>
      </c>
    </row>
    <row r="305" ht="15" customHeight="1" spans="1:23" x14ac:dyDescent="0.25">
      <c r="A305" s="85">
        <v>3683</v>
      </c>
      <c r="B305" s="85" t="s">
        <v>3620</v>
      </c>
      <c r="C305" s="85" t="s">
        <v>698</v>
      </c>
      <c r="D305" s="85" t="s">
        <v>1456</v>
      </c>
      <c r="E305" s="85"/>
      <c r="F305" s="85" t="s">
        <v>2472</v>
      </c>
      <c r="G305" s="85" t="s">
        <v>288</v>
      </c>
      <c r="H305" s="85" t="s">
        <v>3268</v>
      </c>
      <c r="I305" s="86">
        <v>65</v>
      </c>
      <c r="J305" s="86">
        <v>65</v>
      </c>
      <c r="K305" s="87">
        <v>1</v>
      </c>
      <c r="L305" s="87">
        <v>0.8</v>
      </c>
      <c r="M305" s="88">
        <v>0.8</v>
      </c>
      <c r="N305" s="89"/>
      <c r="O305" s="87"/>
      <c r="P305" s="87"/>
      <c r="Q305" s="87"/>
      <c r="R305" s="87"/>
      <c r="S305" s="87">
        <v>0.8</v>
      </c>
      <c r="T305" s="87"/>
      <c r="U305" s="87">
        <v>0</v>
      </c>
      <c r="V305" s="90" t="s">
        <v>2472</v>
      </c>
    </row>
    <row r="306" ht="15" customHeight="1" spans="1:23" x14ac:dyDescent="0.25">
      <c r="A306" s="85">
        <v>3684</v>
      </c>
      <c r="B306" s="85" t="s">
        <v>3621</v>
      </c>
      <c r="C306" s="85" t="s">
        <v>698</v>
      </c>
      <c r="D306" s="85" t="s">
        <v>782</v>
      </c>
      <c r="E306" s="85"/>
      <c r="F306" s="85" t="s">
        <v>157</v>
      </c>
      <c r="G306" s="85"/>
      <c r="H306" s="85"/>
      <c r="I306" s="86"/>
      <c r="J306" s="86"/>
      <c r="K306" s="87"/>
      <c r="L306" s="87"/>
      <c r="M306" s="88"/>
      <c r="N306" s="89"/>
      <c r="O306" s="87"/>
      <c r="P306" s="87"/>
      <c r="Q306" s="87"/>
      <c r="R306" s="87"/>
      <c r="S306" s="87">
        <v>1</v>
      </c>
      <c r="T306" s="87">
        <v>1</v>
      </c>
      <c r="U306" s="87"/>
      <c r="V306" s="90" t="s">
        <v>2472</v>
      </c>
    </row>
    <row r="307" ht="15" customHeight="1" spans="1:23" x14ac:dyDescent="0.25">
      <c r="A307" s="85">
        <v>3684</v>
      </c>
      <c r="B307" s="85" t="s">
        <v>3621</v>
      </c>
      <c r="C307" s="85" t="s">
        <v>698</v>
      </c>
      <c r="D307" s="85" t="s">
        <v>782</v>
      </c>
      <c r="E307" s="85"/>
      <c r="F307" s="85" t="s">
        <v>2472</v>
      </c>
      <c r="G307" s="85" t="s">
        <v>288</v>
      </c>
      <c r="H307" s="85" t="s">
        <v>3268</v>
      </c>
      <c r="I307" s="86">
        <v>65</v>
      </c>
      <c r="J307" s="86">
        <v>65</v>
      </c>
      <c r="K307" s="87">
        <v>1</v>
      </c>
      <c r="L307" s="87">
        <v>1</v>
      </c>
      <c r="M307" s="88">
        <v>1</v>
      </c>
      <c r="N307" s="89"/>
      <c r="O307" s="87"/>
      <c r="P307" s="87"/>
      <c r="Q307" s="87"/>
      <c r="R307" s="87"/>
      <c r="S307" s="87">
        <v>1</v>
      </c>
      <c r="T307" s="87"/>
      <c r="U307" s="87">
        <v>0</v>
      </c>
      <c r="V307" s="90" t="s">
        <v>2472</v>
      </c>
    </row>
    <row r="308" ht="15" customHeight="1" spans="1:23" x14ac:dyDescent="0.25">
      <c r="A308" s="85">
        <v>3685</v>
      </c>
      <c r="B308" s="85" t="s">
        <v>3622</v>
      </c>
      <c r="C308" s="85" t="s">
        <v>698</v>
      </c>
      <c r="D308" s="85" t="s">
        <v>739</v>
      </c>
      <c r="E308" s="85"/>
      <c r="F308" s="85" t="s">
        <v>157</v>
      </c>
      <c r="G308" s="85"/>
      <c r="H308" s="85"/>
      <c r="I308" s="86"/>
      <c r="J308" s="86"/>
      <c r="K308" s="87"/>
      <c r="L308" s="87"/>
      <c r="M308" s="88"/>
      <c r="N308" s="89"/>
      <c r="O308" s="87"/>
      <c r="P308" s="87"/>
      <c r="Q308" s="87"/>
      <c r="R308" s="87"/>
      <c r="S308" s="87">
        <v>1</v>
      </c>
      <c r="T308" s="87">
        <v>1</v>
      </c>
      <c r="U308" s="87"/>
      <c r="V308" s="90" t="s">
        <v>2472</v>
      </c>
    </row>
    <row r="309" ht="15" customHeight="1" spans="1:23" x14ac:dyDescent="0.25">
      <c r="A309" s="85">
        <v>3685</v>
      </c>
      <c r="B309" s="85" t="s">
        <v>3622</v>
      </c>
      <c r="C309" s="85" t="s">
        <v>698</v>
      </c>
      <c r="D309" s="85" t="s">
        <v>739</v>
      </c>
      <c r="E309" s="85"/>
      <c r="F309" s="85" t="s">
        <v>2472</v>
      </c>
      <c r="G309" s="85" t="s">
        <v>288</v>
      </c>
      <c r="H309" s="85" t="s">
        <v>3268</v>
      </c>
      <c r="I309" s="86">
        <v>65</v>
      </c>
      <c r="J309" s="86">
        <v>65</v>
      </c>
      <c r="K309" s="87">
        <v>1</v>
      </c>
      <c r="L309" s="87">
        <v>1</v>
      </c>
      <c r="M309" s="88">
        <v>1</v>
      </c>
      <c r="N309" s="89"/>
      <c r="O309" s="87"/>
      <c r="P309" s="87"/>
      <c r="Q309" s="87"/>
      <c r="R309" s="87"/>
      <c r="S309" s="87">
        <v>1</v>
      </c>
      <c r="T309" s="87"/>
      <c r="U309" s="87">
        <v>0</v>
      </c>
      <c r="V309" s="90" t="s">
        <v>2472</v>
      </c>
    </row>
    <row r="310" ht="15" customHeight="1" spans="1:23" x14ac:dyDescent="0.25">
      <c r="A310" s="85">
        <v>3686</v>
      </c>
      <c r="B310" s="85" t="s">
        <v>3623</v>
      </c>
      <c r="C310" s="85" t="s">
        <v>698</v>
      </c>
      <c r="D310" s="85" t="s">
        <v>1173</v>
      </c>
      <c r="E310" s="85"/>
      <c r="F310" s="85" t="s">
        <v>157</v>
      </c>
      <c r="G310" s="85"/>
      <c r="H310" s="85"/>
      <c r="I310" s="86"/>
      <c r="J310" s="86"/>
      <c r="K310" s="87"/>
      <c r="L310" s="87"/>
      <c r="M310" s="88"/>
      <c r="N310" s="89"/>
      <c r="O310" s="87"/>
      <c r="P310" s="87"/>
      <c r="Q310" s="87"/>
      <c r="R310" s="87"/>
      <c r="S310" s="87">
        <v>0.8</v>
      </c>
      <c r="T310" s="87">
        <v>0.8</v>
      </c>
      <c r="U310" s="87"/>
      <c r="V310" s="90" t="s">
        <v>2472</v>
      </c>
    </row>
    <row r="311" ht="15" customHeight="1" spans="1:23" x14ac:dyDescent="0.25">
      <c r="A311" s="85">
        <v>3686</v>
      </c>
      <c r="B311" s="85" t="s">
        <v>3623</v>
      </c>
      <c r="C311" s="85" t="s">
        <v>698</v>
      </c>
      <c r="D311" s="85" t="s">
        <v>1173</v>
      </c>
      <c r="E311" s="85"/>
      <c r="F311" s="85" t="s">
        <v>2472</v>
      </c>
      <c r="G311" s="85" t="s">
        <v>288</v>
      </c>
      <c r="H311" s="85" t="s">
        <v>3268</v>
      </c>
      <c r="I311" s="86">
        <v>65</v>
      </c>
      <c r="J311" s="86">
        <v>65</v>
      </c>
      <c r="K311" s="87">
        <v>1</v>
      </c>
      <c r="L311" s="87">
        <v>0.8</v>
      </c>
      <c r="M311" s="88">
        <v>0.8</v>
      </c>
      <c r="N311" s="89"/>
      <c r="O311" s="87"/>
      <c r="P311" s="87"/>
      <c r="Q311" s="87"/>
      <c r="R311" s="87"/>
      <c r="S311" s="87">
        <v>0.8</v>
      </c>
      <c r="T311" s="87"/>
      <c r="U311" s="87">
        <v>0</v>
      </c>
      <c r="V311" s="90" t="s">
        <v>2472</v>
      </c>
    </row>
    <row r="312" ht="15" customHeight="1" spans="1:23" x14ac:dyDescent="0.25">
      <c r="A312" s="85">
        <v>3687</v>
      </c>
      <c r="B312" s="85" t="s">
        <v>3624</v>
      </c>
      <c r="C312" s="85" t="s">
        <v>698</v>
      </c>
      <c r="D312" s="85" t="s">
        <v>1118</v>
      </c>
      <c r="E312" s="85"/>
      <c r="F312" s="85" t="s">
        <v>157</v>
      </c>
      <c r="G312" s="85"/>
      <c r="H312" s="85"/>
      <c r="I312" s="86"/>
      <c r="J312" s="86"/>
      <c r="K312" s="87"/>
      <c r="L312" s="87"/>
      <c r="M312" s="88"/>
      <c r="N312" s="89"/>
      <c r="O312" s="87"/>
      <c r="P312" s="87"/>
      <c r="Q312" s="87"/>
      <c r="R312" s="87"/>
      <c r="S312" s="87">
        <v>1</v>
      </c>
      <c r="T312" s="87">
        <v>1</v>
      </c>
      <c r="U312" s="87"/>
      <c r="V312" s="90" t="s">
        <v>2472</v>
      </c>
    </row>
    <row r="313" ht="15" customHeight="1" spans="1:23" x14ac:dyDescent="0.25">
      <c r="A313" s="85">
        <v>3687</v>
      </c>
      <c r="B313" s="85" t="s">
        <v>3624</v>
      </c>
      <c r="C313" s="85" t="s">
        <v>698</v>
      </c>
      <c r="D313" s="85" t="s">
        <v>1118</v>
      </c>
      <c r="E313" s="85"/>
      <c r="F313" s="85" t="s">
        <v>2472</v>
      </c>
      <c r="G313" s="85" t="s">
        <v>288</v>
      </c>
      <c r="H313" s="85" t="s">
        <v>3268</v>
      </c>
      <c r="I313" s="86">
        <v>65</v>
      </c>
      <c r="J313" s="86">
        <v>65</v>
      </c>
      <c r="K313" s="87">
        <v>1</v>
      </c>
      <c r="L313" s="87">
        <v>1</v>
      </c>
      <c r="M313" s="88">
        <v>1</v>
      </c>
      <c r="N313" s="89"/>
      <c r="O313" s="87"/>
      <c r="P313" s="87"/>
      <c r="Q313" s="87"/>
      <c r="R313" s="87"/>
      <c r="S313" s="87">
        <v>1</v>
      </c>
      <c r="T313" s="87"/>
      <c r="U313" s="87">
        <v>0</v>
      </c>
      <c r="V313" s="90" t="s">
        <v>2472</v>
      </c>
    </row>
    <row r="314" ht="15" customHeight="1" spans="1:23" x14ac:dyDescent="0.25">
      <c r="A314" s="85">
        <v>3688</v>
      </c>
      <c r="B314" s="85" t="s">
        <v>3625</v>
      </c>
      <c r="C314" s="85" t="s">
        <v>698</v>
      </c>
      <c r="D314" s="85" t="s">
        <v>728</v>
      </c>
      <c r="E314" s="85"/>
      <c r="F314" s="85" t="s">
        <v>157</v>
      </c>
      <c r="G314" s="85"/>
      <c r="H314" s="85"/>
      <c r="I314" s="86"/>
      <c r="J314" s="86"/>
      <c r="K314" s="87"/>
      <c r="L314" s="87"/>
      <c r="M314" s="88"/>
      <c r="N314" s="89"/>
      <c r="O314" s="87"/>
      <c r="P314" s="87"/>
      <c r="Q314" s="87"/>
      <c r="R314" s="87"/>
      <c r="S314" s="87">
        <v>1</v>
      </c>
      <c r="T314" s="87">
        <v>1</v>
      </c>
      <c r="U314" s="87"/>
      <c r="V314" s="90" t="s">
        <v>2472</v>
      </c>
    </row>
    <row r="315" ht="15" customHeight="1" spans="1:23" x14ac:dyDescent="0.25">
      <c r="A315" s="85">
        <v>3688</v>
      </c>
      <c r="B315" s="85" t="s">
        <v>3625</v>
      </c>
      <c r="C315" s="85" t="s">
        <v>698</v>
      </c>
      <c r="D315" s="85" t="s">
        <v>728</v>
      </c>
      <c r="E315" s="85"/>
      <c r="F315" s="85" t="s">
        <v>2472</v>
      </c>
      <c r="G315" s="85" t="s">
        <v>288</v>
      </c>
      <c r="H315" s="85" t="s">
        <v>3268</v>
      </c>
      <c r="I315" s="86">
        <v>65</v>
      </c>
      <c r="J315" s="86">
        <v>65</v>
      </c>
      <c r="K315" s="87">
        <v>1</v>
      </c>
      <c r="L315" s="87">
        <v>1</v>
      </c>
      <c r="M315" s="88">
        <v>1</v>
      </c>
      <c r="N315" s="89"/>
      <c r="O315" s="87"/>
      <c r="P315" s="87"/>
      <c r="Q315" s="87"/>
      <c r="R315" s="87"/>
      <c r="S315" s="87">
        <v>1</v>
      </c>
      <c r="T315" s="87"/>
      <c r="U315" s="87">
        <v>0</v>
      </c>
      <c r="V315" s="90" t="s">
        <v>2472</v>
      </c>
    </row>
    <row r="316" ht="15" customHeight="1" spans="1:23" x14ac:dyDescent="0.25">
      <c r="A316" s="85">
        <v>3689</v>
      </c>
      <c r="B316" s="85" t="s">
        <v>3626</v>
      </c>
      <c r="C316" s="85" t="s">
        <v>698</v>
      </c>
      <c r="D316" s="85" t="s">
        <v>1173</v>
      </c>
      <c r="E316" s="85"/>
      <c r="F316" s="85" t="s">
        <v>157</v>
      </c>
      <c r="G316" s="85"/>
      <c r="H316" s="85"/>
      <c r="I316" s="86"/>
      <c r="J316" s="86"/>
      <c r="K316" s="87"/>
      <c r="L316" s="87"/>
      <c r="M316" s="88"/>
      <c r="N316" s="89"/>
      <c r="O316" s="87"/>
      <c r="P316" s="87"/>
      <c r="Q316" s="87"/>
      <c r="R316" s="87"/>
      <c r="S316" s="87">
        <v>1</v>
      </c>
      <c r="T316" s="87">
        <v>1</v>
      </c>
      <c r="U316" s="87"/>
      <c r="V316" s="90" t="s">
        <v>2472</v>
      </c>
    </row>
    <row r="317" ht="15" customHeight="1" spans="1:23" x14ac:dyDescent="0.25">
      <c r="A317" s="85">
        <v>3689</v>
      </c>
      <c r="B317" s="85" t="s">
        <v>3626</v>
      </c>
      <c r="C317" s="85" t="s">
        <v>698</v>
      </c>
      <c r="D317" s="85" t="s">
        <v>1173</v>
      </c>
      <c r="E317" s="85"/>
      <c r="F317" s="85" t="s">
        <v>2472</v>
      </c>
      <c r="G317" s="85" t="s">
        <v>288</v>
      </c>
      <c r="H317" s="85" t="s">
        <v>3268</v>
      </c>
      <c r="I317" s="86">
        <v>65</v>
      </c>
      <c r="J317" s="86">
        <v>65</v>
      </c>
      <c r="K317" s="87">
        <v>1</v>
      </c>
      <c r="L317" s="87">
        <v>1</v>
      </c>
      <c r="M317" s="88">
        <v>1</v>
      </c>
      <c r="N317" s="89"/>
      <c r="O317" s="87"/>
      <c r="P317" s="87"/>
      <c r="Q317" s="87"/>
      <c r="R317" s="87"/>
      <c r="S317" s="87">
        <v>1</v>
      </c>
      <c r="T317" s="87"/>
      <c r="U317" s="87">
        <v>0</v>
      </c>
      <c r="V317" s="90" t="s">
        <v>2472</v>
      </c>
    </row>
    <row r="318" ht="15" customHeight="1" spans="1:23" x14ac:dyDescent="0.25">
      <c r="A318" s="85">
        <v>3690</v>
      </c>
      <c r="B318" s="85" t="s">
        <v>3627</v>
      </c>
      <c r="C318" s="85" t="s">
        <v>698</v>
      </c>
      <c r="D318" s="85" t="s">
        <v>801</v>
      </c>
      <c r="E318" s="85"/>
      <c r="F318" s="85" t="s">
        <v>157</v>
      </c>
      <c r="G318" s="85"/>
      <c r="H318" s="85"/>
      <c r="I318" s="86"/>
      <c r="J318" s="86"/>
      <c r="K318" s="87"/>
      <c r="L318" s="87"/>
      <c r="M318" s="88"/>
      <c r="N318" s="89"/>
      <c r="O318" s="87"/>
      <c r="P318" s="87"/>
      <c r="Q318" s="87"/>
      <c r="R318" s="87"/>
      <c r="S318" s="87">
        <v>1</v>
      </c>
      <c r="T318" s="87">
        <v>1</v>
      </c>
      <c r="U318" s="87"/>
      <c r="V318" s="90" t="s">
        <v>2472</v>
      </c>
    </row>
    <row r="319" ht="15" customHeight="1" spans="1:23" x14ac:dyDescent="0.25">
      <c r="A319" s="85">
        <v>3690</v>
      </c>
      <c r="B319" s="85" t="s">
        <v>3627</v>
      </c>
      <c r="C319" s="85" t="s">
        <v>698</v>
      </c>
      <c r="D319" s="85" t="s">
        <v>801</v>
      </c>
      <c r="E319" s="85"/>
      <c r="F319" s="85" t="s">
        <v>2472</v>
      </c>
      <c r="G319" s="85" t="s">
        <v>288</v>
      </c>
      <c r="H319" s="85" t="s">
        <v>3268</v>
      </c>
      <c r="I319" s="86">
        <v>65</v>
      </c>
      <c r="J319" s="86">
        <v>65</v>
      </c>
      <c r="K319" s="87">
        <v>1</v>
      </c>
      <c r="L319" s="87">
        <v>1</v>
      </c>
      <c r="M319" s="88">
        <v>1</v>
      </c>
      <c r="N319" s="89"/>
      <c r="O319" s="87"/>
      <c r="P319" s="87"/>
      <c r="Q319" s="87"/>
      <c r="R319" s="87"/>
      <c r="S319" s="87">
        <v>1</v>
      </c>
      <c r="T319" s="87"/>
      <c r="U319" s="87">
        <v>0</v>
      </c>
      <c r="V319" s="90" t="s">
        <v>2472</v>
      </c>
    </row>
    <row r="320" ht="15" customHeight="1" spans="1:23" x14ac:dyDescent="0.25">
      <c r="A320" s="85">
        <v>3691</v>
      </c>
      <c r="B320" s="85" t="s">
        <v>3628</v>
      </c>
      <c r="C320" s="85" t="s">
        <v>698</v>
      </c>
      <c r="D320" s="85" t="s">
        <v>1039</v>
      </c>
      <c r="E320" s="85"/>
      <c r="F320" s="85" t="s">
        <v>157</v>
      </c>
      <c r="G320" s="85"/>
      <c r="H320" s="85"/>
      <c r="I320" s="86"/>
      <c r="J320" s="86"/>
      <c r="K320" s="87"/>
      <c r="L320" s="87"/>
      <c r="M320" s="88"/>
      <c r="N320" s="89"/>
      <c r="O320" s="87"/>
      <c r="P320" s="87"/>
      <c r="Q320" s="87"/>
      <c r="R320" s="87"/>
      <c r="S320" s="87">
        <v>0.8</v>
      </c>
      <c r="T320" s="87">
        <v>0.8</v>
      </c>
      <c r="U320" s="87"/>
      <c r="V320" s="90" t="s">
        <v>2472</v>
      </c>
    </row>
    <row r="321" ht="15" customHeight="1" spans="1:23" x14ac:dyDescent="0.25">
      <c r="A321" s="85">
        <v>3691</v>
      </c>
      <c r="B321" s="85" t="s">
        <v>3628</v>
      </c>
      <c r="C321" s="85" t="s">
        <v>698</v>
      </c>
      <c r="D321" s="85" t="s">
        <v>1039</v>
      </c>
      <c r="E321" s="85"/>
      <c r="F321" s="85" t="s">
        <v>2472</v>
      </c>
      <c r="G321" s="85" t="s">
        <v>288</v>
      </c>
      <c r="H321" s="85" t="s">
        <v>3268</v>
      </c>
      <c r="I321" s="86">
        <v>65</v>
      </c>
      <c r="J321" s="86">
        <v>65</v>
      </c>
      <c r="K321" s="87">
        <v>1</v>
      </c>
      <c r="L321" s="87">
        <v>0.8</v>
      </c>
      <c r="M321" s="88">
        <v>0.8</v>
      </c>
      <c r="N321" s="89"/>
      <c r="O321" s="87"/>
      <c r="P321" s="87"/>
      <c r="Q321" s="87"/>
      <c r="R321" s="87"/>
      <c r="S321" s="87">
        <v>0.8</v>
      </c>
      <c r="T321" s="87"/>
      <c r="U321" s="87">
        <v>0</v>
      </c>
      <c r="V321" s="90" t="s">
        <v>2472</v>
      </c>
    </row>
    <row r="322" ht="15" customHeight="1" spans="1:23" x14ac:dyDescent="0.25">
      <c r="A322" s="85">
        <v>3692</v>
      </c>
      <c r="B322" s="85" t="s">
        <v>3629</v>
      </c>
      <c r="C322" s="85" t="s">
        <v>698</v>
      </c>
      <c r="D322" s="85" t="s">
        <v>728</v>
      </c>
      <c r="E322" s="85"/>
      <c r="F322" s="85" t="s">
        <v>157</v>
      </c>
      <c r="G322" s="85"/>
      <c r="H322" s="85"/>
      <c r="I322" s="86"/>
      <c r="J322" s="86"/>
      <c r="K322" s="87"/>
      <c r="L322" s="87"/>
      <c r="M322" s="88"/>
      <c r="N322" s="89"/>
      <c r="O322" s="87"/>
      <c r="P322" s="87"/>
      <c r="Q322" s="87"/>
      <c r="R322" s="87"/>
      <c r="S322" s="87">
        <v>1</v>
      </c>
      <c r="T322" s="87">
        <v>1</v>
      </c>
      <c r="U322" s="87"/>
      <c r="V322" s="90" t="s">
        <v>2472</v>
      </c>
    </row>
    <row r="323" ht="15" customHeight="1" spans="1:23" x14ac:dyDescent="0.25">
      <c r="A323" s="85">
        <v>3692</v>
      </c>
      <c r="B323" s="85" t="s">
        <v>3629</v>
      </c>
      <c r="C323" s="85" t="s">
        <v>698</v>
      </c>
      <c r="D323" s="85" t="s">
        <v>728</v>
      </c>
      <c r="E323" s="85"/>
      <c r="F323" s="85" t="s">
        <v>2472</v>
      </c>
      <c r="G323" s="85" t="s">
        <v>288</v>
      </c>
      <c r="H323" s="85" t="s">
        <v>3268</v>
      </c>
      <c r="I323" s="86">
        <v>65</v>
      </c>
      <c r="J323" s="86">
        <v>65</v>
      </c>
      <c r="K323" s="87">
        <v>1</v>
      </c>
      <c r="L323" s="87">
        <v>1</v>
      </c>
      <c r="M323" s="88">
        <v>1</v>
      </c>
      <c r="N323" s="89"/>
      <c r="O323" s="87"/>
      <c r="P323" s="87"/>
      <c r="Q323" s="87"/>
      <c r="R323" s="87"/>
      <c r="S323" s="87">
        <v>1</v>
      </c>
      <c r="T323" s="87"/>
      <c r="U323" s="87">
        <v>0</v>
      </c>
      <c r="V323" s="90" t="s">
        <v>2472</v>
      </c>
    </row>
    <row r="324" ht="15" customHeight="1" spans="1:23" x14ac:dyDescent="0.25">
      <c r="A324" s="85">
        <v>3693</v>
      </c>
      <c r="B324" s="85" t="s">
        <v>3630</v>
      </c>
      <c r="C324" s="85" t="s">
        <v>698</v>
      </c>
      <c r="D324" s="85" t="s">
        <v>942</v>
      </c>
      <c r="E324" s="85"/>
      <c r="F324" s="85" t="s">
        <v>157</v>
      </c>
      <c r="G324" s="85"/>
      <c r="H324" s="85"/>
      <c r="I324" s="86"/>
      <c r="J324" s="86"/>
      <c r="K324" s="87"/>
      <c r="L324" s="87"/>
      <c r="M324" s="88"/>
      <c r="N324" s="89"/>
      <c r="O324" s="87"/>
      <c r="P324" s="87"/>
      <c r="Q324" s="87"/>
      <c r="R324" s="87"/>
      <c r="S324" s="87">
        <v>1</v>
      </c>
      <c r="T324" s="87">
        <v>1</v>
      </c>
      <c r="U324" s="87"/>
      <c r="V324" s="90" t="s">
        <v>2472</v>
      </c>
    </row>
    <row r="325" ht="15" customHeight="1" spans="1:23" x14ac:dyDescent="0.25">
      <c r="A325" s="85">
        <v>3693</v>
      </c>
      <c r="B325" s="85" t="s">
        <v>3630</v>
      </c>
      <c r="C325" s="85" t="s">
        <v>698</v>
      </c>
      <c r="D325" s="85" t="s">
        <v>942</v>
      </c>
      <c r="E325" s="85"/>
      <c r="F325" s="85" t="s">
        <v>2472</v>
      </c>
      <c r="G325" s="85" t="s">
        <v>288</v>
      </c>
      <c r="H325" s="85" t="s">
        <v>3268</v>
      </c>
      <c r="I325" s="86">
        <v>65</v>
      </c>
      <c r="J325" s="86">
        <v>65</v>
      </c>
      <c r="K325" s="87">
        <v>1</v>
      </c>
      <c r="L325" s="87">
        <v>1</v>
      </c>
      <c r="M325" s="88">
        <v>1</v>
      </c>
      <c r="N325" s="89"/>
      <c r="O325" s="87"/>
      <c r="P325" s="87"/>
      <c r="Q325" s="87"/>
      <c r="R325" s="87"/>
      <c r="S325" s="87">
        <v>1</v>
      </c>
      <c r="T325" s="87"/>
      <c r="U325" s="87">
        <v>0</v>
      </c>
      <c r="V325" s="90" t="s">
        <v>2472</v>
      </c>
    </row>
    <row r="326" ht="15" customHeight="1" spans="1:23" x14ac:dyDescent="0.25">
      <c r="A326" s="85">
        <v>3694</v>
      </c>
      <c r="B326" s="85" t="s">
        <v>3631</v>
      </c>
      <c r="C326" s="85" t="s">
        <v>698</v>
      </c>
      <c r="D326" s="85" t="s">
        <v>712</v>
      </c>
      <c r="E326" s="85"/>
      <c r="F326" s="85" t="s">
        <v>157</v>
      </c>
      <c r="G326" s="85"/>
      <c r="H326" s="85"/>
      <c r="I326" s="86"/>
      <c r="J326" s="86"/>
      <c r="K326" s="87"/>
      <c r="L326" s="87"/>
      <c r="M326" s="88"/>
      <c r="N326" s="89"/>
      <c r="O326" s="87"/>
      <c r="P326" s="87"/>
      <c r="Q326" s="87"/>
      <c r="R326" s="87"/>
      <c r="S326" s="87">
        <v>1</v>
      </c>
      <c r="T326" s="87">
        <v>1</v>
      </c>
      <c r="U326" s="87"/>
      <c r="V326" s="90" t="s">
        <v>2472</v>
      </c>
    </row>
    <row r="327" ht="15" customHeight="1" spans="1:23" x14ac:dyDescent="0.25">
      <c r="A327" s="85">
        <v>3694</v>
      </c>
      <c r="B327" s="85" t="s">
        <v>3631</v>
      </c>
      <c r="C327" s="85" t="s">
        <v>698</v>
      </c>
      <c r="D327" s="85" t="s">
        <v>712</v>
      </c>
      <c r="E327" s="85"/>
      <c r="F327" s="85" t="s">
        <v>2472</v>
      </c>
      <c r="G327" s="85" t="s">
        <v>288</v>
      </c>
      <c r="H327" s="85" t="s">
        <v>3268</v>
      </c>
      <c r="I327" s="86">
        <v>65</v>
      </c>
      <c r="J327" s="86">
        <v>65</v>
      </c>
      <c r="K327" s="87">
        <v>1</v>
      </c>
      <c r="L327" s="87">
        <v>1</v>
      </c>
      <c r="M327" s="88">
        <v>1</v>
      </c>
      <c r="N327" s="89"/>
      <c r="O327" s="87"/>
      <c r="P327" s="87"/>
      <c r="Q327" s="87"/>
      <c r="R327" s="87"/>
      <c r="S327" s="87">
        <v>1</v>
      </c>
      <c r="T327" s="87"/>
      <c r="U327" s="87">
        <v>0</v>
      </c>
      <c r="V327" s="90" t="s">
        <v>2472</v>
      </c>
    </row>
    <row r="328" ht="15" customHeight="1" spans="1:23" x14ac:dyDescent="0.25">
      <c r="A328" s="85">
        <v>3695</v>
      </c>
      <c r="B328" s="85" t="s">
        <v>3632</v>
      </c>
      <c r="C328" s="85" t="s">
        <v>698</v>
      </c>
      <c r="D328" s="85" t="s">
        <v>1216</v>
      </c>
      <c r="E328" s="85"/>
      <c r="F328" s="85" t="s">
        <v>157</v>
      </c>
      <c r="G328" s="85"/>
      <c r="H328" s="85"/>
      <c r="I328" s="86"/>
      <c r="J328" s="86"/>
      <c r="K328" s="87"/>
      <c r="L328" s="87"/>
      <c r="M328" s="88"/>
      <c r="N328" s="89"/>
      <c r="O328" s="87"/>
      <c r="P328" s="87"/>
      <c r="Q328" s="87"/>
      <c r="R328" s="87"/>
      <c r="S328" s="87">
        <v>1</v>
      </c>
      <c r="T328" s="87">
        <v>1</v>
      </c>
      <c r="U328" s="87">
        <v>1</v>
      </c>
      <c r="V328" s="90" t="s">
        <v>3633</v>
      </c>
    </row>
    <row r="329" ht="15" customHeight="1" spans="1:23" x14ac:dyDescent="0.25">
      <c r="A329" s="85">
        <v>3695</v>
      </c>
      <c r="B329" s="85" t="s">
        <v>3632</v>
      </c>
      <c r="C329" s="85" t="s">
        <v>698</v>
      </c>
      <c r="D329" s="85" t="s">
        <v>1216</v>
      </c>
      <c r="E329" s="85"/>
      <c r="F329" s="85" t="s">
        <v>2472</v>
      </c>
      <c r="G329" s="85" t="s">
        <v>288</v>
      </c>
      <c r="H329" s="85" t="s">
        <v>3268</v>
      </c>
      <c r="I329" s="86">
        <v>65</v>
      </c>
      <c r="J329" s="86">
        <v>65</v>
      </c>
      <c r="K329" s="87">
        <v>1</v>
      </c>
      <c r="L329" s="87">
        <v>1</v>
      </c>
      <c r="M329" s="88">
        <v>1</v>
      </c>
      <c r="N329" s="89"/>
      <c r="O329" s="87"/>
      <c r="P329" s="87"/>
      <c r="Q329" s="87"/>
      <c r="R329" s="87"/>
      <c r="S329" s="87">
        <v>1</v>
      </c>
      <c r="T329" s="87"/>
      <c r="U329" s="87">
        <v>1</v>
      </c>
      <c r="V329" s="90" t="s">
        <v>3633</v>
      </c>
    </row>
    <row r="330" ht="15" customHeight="1" spans="1:23" x14ac:dyDescent="0.25">
      <c r="A330" s="85">
        <v>3696</v>
      </c>
      <c r="B330" s="85" t="s">
        <v>3634</v>
      </c>
      <c r="C330" s="85" t="s">
        <v>698</v>
      </c>
      <c r="D330" s="85" t="s">
        <v>849</v>
      </c>
      <c r="E330" s="85"/>
      <c r="F330" s="85" t="s">
        <v>157</v>
      </c>
      <c r="G330" s="85"/>
      <c r="H330" s="85"/>
      <c r="I330" s="86"/>
      <c r="J330" s="86"/>
      <c r="K330" s="87"/>
      <c r="L330" s="87"/>
      <c r="M330" s="88"/>
      <c r="N330" s="89"/>
      <c r="O330" s="87"/>
      <c r="P330" s="87"/>
      <c r="Q330" s="87"/>
      <c r="R330" s="87"/>
      <c r="S330" s="87">
        <v>1</v>
      </c>
      <c r="T330" s="87">
        <v>1</v>
      </c>
      <c r="U330" s="87"/>
      <c r="V330" s="90" t="s">
        <v>2472</v>
      </c>
    </row>
    <row r="331" ht="15" customHeight="1" spans="1:23" x14ac:dyDescent="0.25">
      <c r="A331" s="85">
        <v>3696</v>
      </c>
      <c r="B331" s="85" t="s">
        <v>3634</v>
      </c>
      <c r="C331" s="85" t="s">
        <v>698</v>
      </c>
      <c r="D331" s="85" t="s">
        <v>849</v>
      </c>
      <c r="E331" s="85"/>
      <c r="F331" s="85" t="s">
        <v>2472</v>
      </c>
      <c r="G331" s="85" t="s">
        <v>288</v>
      </c>
      <c r="H331" s="85" t="s">
        <v>3268</v>
      </c>
      <c r="I331" s="86">
        <v>65</v>
      </c>
      <c r="J331" s="86">
        <v>65</v>
      </c>
      <c r="K331" s="87">
        <v>1</v>
      </c>
      <c r="L331" s="87">
        <v>1</v>
      </c>
      <c r="M331" s="88">
        <v>1</v>
      </c>
      <c r="N331" s="89"/>
      <c r="O331" s="87"/>
      <c r="P331" s="87"/>
      <c r="Q331" s="87"/>
      <c r="R331" s="87"/>
      <c r="S331" s="87">
        <v>1</v>
      </c>
      <c r="T331" s="87"/>
      <c r="U331" s="87">
        <v>0</v>
      </c>
      <c r="V331" s="90" t="s">
        <v>2472</v>
      </c>
    </row>
    <row r="332" ht="15" customHeight="1" spans="1:23" x14ac:dyDescent="0.25">
      <c r="A332" s="85">
        <v>3697</v>
      </c>
      <c r="B332" s="85" t="s">
        <v>3635</v>
      </c>
      <c r="C332" s="85" t="s">
        <v>698</v>
      </c>
      <c r="D332" s="85" t="s">
        <v>791</v>
      </c>
      <c r="E332" s="85"/>
      <c r="F332" s="85" t="s">
        <v>157</v>
      </c>
      <c r="G332" s="85"/>
      <c r="H332" s="85"/>
      <c r="I332" s="86"/>
      <c r="J332" s="86"/>
      <c r="K332" s="87"/>
      <c r="L332" s="87"/>
      <c r="M332" s="88"/>
      <c r="N332" s="89"/>
      <c r="O332" s="87"/>
      <c r="P332" s="87"/>
      <c r="Q332" s="87"/>
      <c r="R332" s="87"/>
      <c r="S332" s="87">
        <v>0.8</v>
      </c>
      <c r="T332" s="87">
        <v>0.8</v>
      </c>
      <c r="U332" s="87">
        <v>0.8</v>
      </c>
      <c r="V332" s="90" t="s">
        <v>3636</v>
      </c>
    </row>
    <row r="333" ht="15" customHeight="1" spans="1:23" x14ac:dyDescent="0.25">
      <c r="A333" s="85">
        <v>3697</v>
      </c>
      <c r="B333" s="85" t="s">
        <v>3635</v>
      </c>
      <c r="C333" s="85" t="s">
        <v>698</v>
      </c>
      <c r="D333" s="85" t="s">
        <v>791</v>
      </c>
      <c r="E333" s="85"/>
      <c r="F333" s="85" t="s">
        <v>2472</v>
      </c>
      <c r="G333" s="85" t="s">
        <v>288</v>
      </c>
      <c r="H333" s="85" t="s">
        <v>3268</v>
      </c>
      <c r="I333" s="86">
        <v>65</v>
      </c>
      <c r="J333" s="86">
        <v>65</v>
      </c>
      <c r="K333" s="87">
        <v>1</v>
      </c>
      <c r="L333" s="87">
        <v>0.8</v>
      </c>
      <c r="M333" s="88">
        <v>0.8</v>
      </c>
      <c r="N333" s="89"/>
      <c r="O333" s="87"/>
      <c r="P333" s="87"/>
      <c r="Q333" s="87"/>
      <c r="R333" s="87"/>
      <c r="S333" s="87">
        <v>0.8</v>
      </c>
      <c r="T333" s="87"/>
      <c r="U333" s="87">
        <v>0.8</v>
      </c>
      <c r="V333" s="90" t="s">
        <v>3636</v>
      </c>
    </row>
    <row r="334" ht="15" customHeight="1" spans="1:23" x14ac:dyDescent="0.25">
      <c r="A334" s="85">
        <v>3699</v>
      </c>
      <c r="B334" s="85" t="s">
        <v>3637</v>
      </c>
      <c r="C334" s="85" t="s">
        <v>698</v>
      </c>
      <c r="D334" s="85" t="s">
        <v>593</v>
      </c>
      <c r="E334" s="85"/>
      <c r="F334" s="85" t="s">
        <v>157</v>
      </c>
      <c r="G334" s="85"/>
      <c r="H334" s="85"/>
      <c r="I334" s="86"/>
      <c r="J334" s="86"/>
      <c r="K334" s="87"/>
      <c r="L334" s="87"/>
      <c r="M334" s="88"/>
      <c r="N334" s="89"/>
      <c r="O334" s="87"/>
      <c r="P334" s="87"/>
      <c r="Q334" s="87"/>
      <c r="R334" s="87"/>
      <c r="S334" s="87">
        <v>1</v>
      </c>
      <c r="T334" s="87">
        <v>1</v>
      </c>
      <c r="U334" s="87">
        <v>1</v>
      </c>
      <c r="V334" s="90" t="s">
        <v>3638</v>
      </c>
    </row>
    <row r="335" ht="15" customHeight="1" spans="1:23" x14ac:dyDescent="0.25">
      <c r="A335" s="85">
        <v>3699</v>
      </c>
      <c r="B335" s="85" t="s">
        <v>3637</v>
      </c>
      <c r="C335" s="85" t="s">
        <v>698</v>
      </c>
      <c r="D335" s="85" t="s">
        <v>593</v>
      </c>
      <c r="E335" s="85"/>
      <c r="F335" s="85" t="s">
        <v>2472</v>
      </c>
      <c r="G335" s="85" t="s">
        <v>288</v>
      </c>
      <c r="H335" s="85" t="s">
        <v>3268</v>
      </c>
      <c r="I335" s="86">
        <v>65</v>
      </c>
      <c r="J335" s="86">
        <v>65</v>
      </c>
      <c r="K335" s="87">
        <v>1</v>
      </c>
      <c r="L335" s="87">
        <v>1</v>
      </c>
      <c r="M335" s="88">
        <v>1</v>
      </c>
      <c r="N335" s="89"/>
      <c r="O335" s="87"/>
      <c r="P335" s="87"/>
      <c r="Q335" s="87"/>
      <c r="R335" s="87"/>
      <c r="S335" s="87">
        <v>1</v>
      </c>
      <c r="T335" s="87"/>
      <c r="U335" s="87">
        <v>1</v>
      </c>
      <c r="V335" s="90" t="s">
        <v>3638</v>
      </c>
    </row>
    <row r="336" ht="15" customHeight="1" spans="1:23" x14ac:dyDescent="0.25">
      <c r="A336" s="85">
        <v>3700</v>
      </c>
      <c r="B336" s="85" t="s">
        <v>3639</v>
      </c>
      <c r="C336" s="85" t="s">
        <v>698</v>
      </c>
      <c r="D336" s="85" t="s">
        <v>717</v>
      </c>
      <c r="E336" s="85"/>
      <c r="F336" s="85" t="s">
        <v>157</v>
      </c>
      <c r="G336" s="85"/>
      <c r="H336" s="85"/>
      <c r="I336" s="86"/>
      <c r="J336" s="86"/>
      <c r="K336" s="87"/>
      <c r="L336" s="87"/>
      <c r="M336" s="88"/>
      <c r="N336" s="89"/>
      <c r="O336" s="87"/>
      <c r="P336" s="87"/>
      <c r="Q336" s="87"/>
      <c r="R336" s="87"/>
      <c r="S336" s="87">
        <v>0.8</v>
      </c>
      <c r="T336" s="87">
        <v>0.8</v>
      </c>
      <c r="U336" s="87">
        <v>0.8</v>
      </c>
      <c r="V336" s="90" t="s">
        <v>3640</v>
      </c>
    </row>
    <row r="337" ht="15" customHeight="1" spans="1:23" x14ac:dyDescent="0.25">
      <c r="A337" s="85">
        <v>3700</v>
      </c>
      <c r="B337" s="85" t="s">
        <v>3639</v>
      </c>
      <c r="C337" s="85" t="s">
        <v>698</v>
      </c>
      <c r="D337" s="85" t="s">
        <v>717</v>
      </c>
      <c r="E337" s="85"/>
      <c r="F337" s="85" t="s">
        <v>2472</v>
      </c>
      <c r="G337" s="85" t="s">
        <v>288</v>
      </c>
      <c r="H337" s="85" t="s">
        <v>3268</v>
      </c>
      <c r="I337" s="86">
        <v>65</v>
      </c>
      <c r="J337" s="86">
        <v>65</v>
      </c>
      <c r="K337" s="87">
        <v>1</v>
      </c>
      <c r="L337" s="87">
        <v>0.8</v>
      </c>
      <c r="M337" s="88">
        <v>0.8</v>
      </c>
      <c r="N337" s="89"/>
      <c r="O337" s="87"/>
      <c r="P337" s="87"/>
      <c r="Q337" s="87"/>
      <c r="R337" s="87"/>
      <c r="S337" s="87">
        <v>0.8</v>
      </c>
      <c r="T337" s="87"/>
      <c r="U337" s="87">
        <v>0.8</v>
      </c>
      <c r="V337" s="90" t="s">
        <v>3640</v>
      </c>
    </row>
    <row r="338" ht="15" customHeight="1" spans="1:23" x14ac:dyDescent="0.25">
      <c r="A338" s="85">
        <v>3701</v>
      </c>
      <c r="B338" s="85" t="s">
        <v>3641</v>
      </c>
      <c r="C338" s="85" t="s">
        <v>698</v>
      </c>
      <c r="D338" s="85" t="s">
        <v>1071</v>
      </c>
      <c r="E338" s="85"/>
      <c r="F338" s="85" t="s">
        <v>157</v>
      </c>
      <c r="G338" s="85"/>
      <c r="H338" s="85"/>
      <c r="I338" s="86"/>
      <c r="J338" s="86"/>
      <c r="K338" s="87"/>
      <c r="L338" s="87"/>
      <c r="M338" s="88"/>
      <c r="N338" s="89"/>
      <c r="O338" s="87"/>
      <c r="P338" s="87"/>
      <c r="Q338" s="87"/>
      <c r="R338" s="87"/>
      <c r="S338" s="87">
        <v>1</v>
      </c>
      <c r="T338" s="87">
        <v>1</v>
      </c>
      <c r="U338" s="87">
        <v>1</v>
      </c>
      <c r="V338" s="90" t="s">
        <v>3642</v>
      </c>
    </row>
    <row r="339" ht="15" customHeight="1" spans="1:23" x14ac:dyDescent="0.25">
      <c r="A339" s="85">
        <v>3701</v>
      </c>
      <c r="B339" s="85" t="s">
        <v>3641</v>
      </c>
      <c r="C339" s="85" t="s">
        <v>698</v>
      </c>
      <c r="D339" s="85" t="s">
        <v>1071</v>
      </c>
      <c r="E339" s="85"/>
      <c r="F339" s="85" t="s">
        <v>2472</v>
      </c>
      <c r="G339" s="85" t="s">
        <v>288</v>
      </c>
      <c r="H339" s="85" t="s">
        <v>3268</v>
      </c>
      <c r="I339" s="86">
        <v>65</v>
      </c>
      <c r="J339" s="86">
        <v>65</v>
      </c>
      <c r="K339" s="87">
        <v>1</v>
      </c>
      <c r="L339" s="87">
        <v>1</v>
      </c>
      <c r="M339" s="88">
        <v>1</v>
      </c>
      <c r="N339" s="89"/>
      <c r="O339" s="87"/>
      <c r="P339" s="87"/>
      <c r="Q339" s="87"/>
      <c r="R339" s="87"/>
      <c r="S339" s="87">
        <v>1</v>
      </c>
      <c r="T339" s="87"/>
      <c r="U339" s="87">
        <v>1</v>
      </c>
      <c r="V339" s="90" t="s">
        <v>3642</v>
      </c>
    </row>
    <row r="340" ht="15" customHeight="1" spans="1:23" x14ac:dyDescent="0.25">
      <c r="A340" s="85">
        <v>3703</v>
      </c>
      <c r="B340" s="85" t="s">
        <v>3643</v>
      </c>
      <c r="C340" s="85" t="s">
        <v>698</v>
      </c>
      <c r="D340" s="85" t="s">
        <v>1613</v>
      </c>
      <c r="E340" s="85"/>
      <c r="F340" s="85" t="s">
        <v>157</v>
      </c>
      <c r="G340" s="85"/>
      <c r="H340" s="85"/>
      <c r="I340" s="86"/>
      <c r="J340" s="86"/>
      <c r="K340" s="87"/>
      <c r="L340" s="87"/>
      <c r="M340" s="88"/>
      <c r="N340" s="89"/>
      <c r="O340" s="87"/>
      <c r="P340" s="87"/>
      <c r="Q340" s="87"/>
      <c r="R340" s="87"/>
      <c r="S340" s="87">
        <v>1</v>
      </c>
      <c r="T340" s="87">
        <v>1</v>
      </c>
      <c r="U340" s="87"/>
      <c r="V340" s="90" t="s">
        <v>2472</v>
      </c>
    </row>
    <row r="341" ht="15" customHeight="1" spans="1:23" x14ac:dyDescent="0.25">
      <c r="A341" s="85">
        <v>3703</v>
      </c>
      <c r="B341" s="85" t="s">
        <v>3643</v>
      </c>
      <c r="C341" s="85" t="s">
        <v>698</v>
      </c>
      <c r="D341" s="85" t="s">
        <v>1613</v>
      </c>
      <c r="E341" s="85"/>
      <c r="F341" s="85" t="s">
        <v>2472</v>
      </c>
      <c r="G341" s="85" t="s">
        <v>288</v>
      </c>
      <c r="H341" s="85" t="s">
        <v>3268</v>
      </c>
      <c r="I341" s="86">
        <v>65</v>
      </c>
      <c r="J341" s="86">
        <v>65</v>
      </c>
      <c r="K341" s="87">
        <v>1</v>
      </c>
      <c r="L341" s="87">
        <v>1</v>
      </c>
      <c r="M341" s="88">
        <v>1</v>
      </c>
      <c r="N341" s="89"/>
      <c r="O341" s="87"/>
      <c r="P341" s="87"/>
      <c r="Q341" s="87"/>
      <c r="R341" s="87"/>
      <c r="S341" s="87">
        <v>1</v>
      </c>
      <c r="T341" s="87"/>
      <c r="U341" s="87">
        <v>0</v>
      </c>
      <c r="V341" s="90" t="s">
        <v>2472</v>
      </c>
    </row>
    <row r="342" ht="15" customHeight="1" spans="1:23" x14ac:dyDescent="0.25">
      <c r="A342" s="85">
        <v>3704</v>
      </c>
      <c r="B342" s="85" t="s">
        <v>3644</v>
      </c>
      <c r="C342" s="85" t="s">
        <v>698</v>
      </c>
      <c r="D342" s="85" t="s">
        <v>876</v>
      </c>
      <c r="E342" s="85"/>
      <c r="F342" s="85" t="s">
        <v>157</v>
      </c>
      <c r="G342" s="85"/>
      <c r="H342" s="85"/>
      <c r="I342" s="86"/>
      <c r="J342" s="86"/>
      <c r="K342" s="87"/>
      <c r="L342" s="87"/>
      <c r="M342" s="88"/>
      <c r="N342" s="89"/>
      <c r="O342" s="87"/>
      <c r="P342" s="87"/>
      <c r="Q342" s="87"/>
      <c r="R342" s="87"/>
      <c r="S342" s="87">
        <v>1</v>
      </c>
      <c r="T342" s="87">
        <v>1</v>
      </c>
      <c r="U342" s="87"/>
      <c r="V342" s="90" t="s">
        <v>2472</v>
      </c>
    </row>
    <row r="343" ht="15" customHeight="1" spans="1:23" x14ac:dyDescent="0.25">
      <c r="A343" s="85">
        <v>3704</v>
      </c>
      <c r="B343" s="85" t="s">
        <v>3644</v>
      </c>
      <c r="C343" s="85" t="s">
        <v>698</v>
      </c>
      <c r="D343" s="85" t="s">
        <v>876</v>
      </c>
      <c r="E343" s="85"/>
      <c r="F343" s="85" t="s">
        <v>2472</v>
      </c>
      <c r="G343" s="85" t="s">
        <v>288</v>
      </c>
      <c r="H343" s="85" t="s">
        <v>3268</v>
      </c>
      <c r="I343" s="86">
        <v>65</v>
      </c>
      <c r="J343" s="86">
        <v>65</v>
      </c>
      <c r="K343" s="87">
        <v>1</v>
      </c>
      <c r="L343" s="87">
        <v>1</v>
      </c>
      <c r="M343" s="88">
        <v>1</v>
      </c>
      <c r="N343" s="89"/>
      <c r="O343" s="87"/>
      <c r="P343" s="87"/>
      <c r="Q343" s="87"/>
      <c r="R343" s="87"/>
      <c r="S343" s="87">
        <v>1</v>
      </c>
      <c r="T343" s="87"/>
      <c r="U343" s="87">
        <v>0</v>
      </c>
      <c r="V343" s="90" t="s">
        <v>2472</v>
      </c>
    </row>
    <row r="344" ht="15" customHeight="1" spans="1:23" x14ac:dyDescent="0.25">
      <c r="A344" s="85">
        <v>3705</v>
      </c>
      <c r="B344" s="85" t="s">
        <v>3645</v>
      </c>
      <c r="C344" s="85" t="s">
        <v>698</v>
      </c>
      <c r="D344" s="85" t="s">
        <v>2304</v>
      </c>
      <c r="E344" s="85"/>
      <c r="F344" s="85" t="s">
        <v>157</v>
      </c>
      <c r="G344" s="85"/>
      <c r="H344" s="85"/>
      <c r="I344" s="86"/>
      <c r="J344" s="86"/>
      <c r="K344" s="87"/>
      <c r="L344" s="87"/>
      <c r="M344" s="88"/>
      <c r="N344" s="89"/>
      <c r="O344" s="87"/>
      <c r="P344" s="87"/>
      <c r="Q344" s="87"/>
      <c r="R344" s="87"/>
      <c r="S344" s="87">
        <v>1</v>
      </c>
      <c r="T344" s="87">
        <v>1</v>
      </c>
      <c r="U344" s="87"/>
      <c r="V344" s="90" t="s">
        <v>2472</v>
      </c>
    </row>
    <row r="345" ht="15" customHeight="1" spans="1:23" x14ac:dyDescent="0.25">
      <c r="A345" s="85">
        <v>3705</v>
      </c>
      <c r="B345" s="85" t="s">
        <v>3645</v>
      </c>
      <c r="C345" s="85" t="s">
        <v>698</v>
      </c>
      <c r="D345" s="85" t="s">
        <v>2304</v>
      </c>
      <c r="E345" s="85"/>
      <c r="F345" s="85" t="s">
        <v>2472</v>
      </c>
      <c r="G345" s="85" t="s">
        <v>288</v>
      </c>
      <c r="H345" s="85" t="s">
        <v>3268</v>
      </c>
      <c r="I345" s="86">
        <v>65</v>
      </c>
      <c r="J345" s="86">
        <v>65</v>
      </c>
      <c r="K345" s="87">
        <v>1</v>
      </c>
      <c r="L345" s="87">
        <v>1</v>
      </c>
      <c r="M345" s="88">
        <v>1</v>
      </c>
      <c r="N345" s="89"/>
      <c r="O345" s="87"/>
      <c r="P345" s="87"/>
      <c r="Q345" s="87"/>
      <c r="R345" s="87"/>
      <c r="S345" s="87">
        <v>1</v>
      </c>
      <c r="T345" s="87"/>
      <c r="U345" s="87">
        <v>0</v>
      </c>
      <c r="V345" s="90" t="s">
        <v>2472</v>
      </c>
    </row>
    <row r="346" ht="15" customHeight="1" spans="1:23" x14ac:dyDescent="0.25">
      <c r="A346" s="85">
        <v>3706</v>
      </c>
      <c r="B346" s="85" t="s">
        <v>3646</v>
      </c>
      <c r="C346" s="85" t="s">
        <v>698</v>
      </c>
      <c r="D346" s="85" t="s">
        <v>2050</v>
      </c>
      <c r="E346" s="85"/>
      <c r="F346" s="85" t="s">
        <v>157</v>
      </c>
      <c r="G346" s="85"/>
      <c r="H346" s="85"/>
      <c r="I346" s="86"/>
      <c r="J346" s="86"/>
      <c r="K346" s="87"/>
      <c r="L346" s="87"/>
      <c r="M346" s="88"/>
      <c r="N346" s="89"/>
      <c r="O346" s="87"/>
      <c r="P346" s="87"/>
      <c r="Q346" s="87"/>
      <c r="R346" s="87"/>
      <c r="S346" s="87">
        <v>1</v>
      </c>
      <c r="T346" s="87">
        <v>1</v>
      </c>
      <c r="U346" s="87">
        <v>1</v>
      </c>
      <c r="V346" s="90" t="s">
        <v>3647</v>
      </c>
    </row>
    <row r="347" ht="15" customHeight="1" spans="1:23" x14ac:dyDescent="0.25">
      <c r="A347" s="85">
        <v>3706</v>
      </c>
      <c r="B347" s="85" t="s">
        <v>3646</v>
      </c>
      <c r="C347" s="85" t="s">
        <v>698</v>
      </c>
      <c r="D347" s="85" t="s">
        <v>2050</v>
      </c>
      <c r="E347" s="85"/>
      <c r="F347" s="85" t="s">
        <v>2472</v>
      </c>
      <c r="G347" s="85" t="s">
        <v>288</v>
      </c>
      <c r="H347" s="85" t="s">
        <v>3268</v>
      </c>
      <c r="I347" s="86">
        <v>65</v>
      </c>
      <c r="J347" s="86">
        <v>65</v>
      </c>
      <c r="K347" s="87">
        <v>1</v>
      </c>
      <c r="L347" s="87">
        <v>1</v>
      </c>
      <c r="M347" s="88">
        <v>1</v>
      </c>
      <c r="N347" s="89"/>
      <c r="O347" s="87"/>
      <c r="P347" s="87"/>
      <c r="Q347" s="87"/>
      <c r="R347" s="87"/>
      <c r="S347" s="87">
        <v>1</v>
      </c>
      <c r="T347" s="87"/>
      <c r="U347" s="87">
        <v>1</v>
      </c>
      <c r="V347" s="90" t="s">
        <v>3647</v>
      </c>
    </row>
    <row r="348" ht="15" customHeight="1" spans="1:23" x14ac:dyDescent="0.25">
      <c r="A348" s="85">
        <v>3707</v>
      </c>
      <c r="B348" s="85" t="s">
        <v>3648</v>
      </c>
      <c r="C348" s="85" t="s">
        <v>698</v>
      </c>
      <c r="D348" s="85" t="s">
        <v>2231</v>
      </c>
      <c r="E348" s="85"/>
      <c r="F348" s="85" t="s">
        <v>157</v>
      </c>
      <c r="G348" s="85"/>
      <c r="H348" s="85"/>
      <c r="I348" s="86"/>
      <c r="J348" s="86"/>
      <c r="K348" s="87"/>
      <c r="L348" s="87"/>
      <c r="M348" s="88"/>
      <c r="N348" s="89"/>
      <c r="O348" s="87"/>
      <c r="P348" s="87"/>
      <c r="Q348" s="87"/>
      <c r="R348" s="87"/>
      <c r="S348" s="87">
        <v>0.8</v>
      </c>
      <c r="T348" s="87">
        <v>0.8</v>
      </c>
      <c r="U348" s="87">
        <v>0.8</v>
      </c>
      <c r="V348" s="90" t="s">
        <v>3649</v>
      </c>
    </row>
    <row r="349" ht="15" customHeight="1" spans="1:23" x14ac:dyDescent="0.25">
      <c r="A349" s="85">
        <v>3707</v>
      </c>
      <c r="B349" s="85" t="s">
        <v>3648</v>
      </c>
      <c r="C349" s="85" t="s">
        <v>698</v>
      </c>
      <c r="D349" s="85" t="s">
        <v>2231</v>
      </c>
      <c r="E349" s="85"/>
      <c r="F349" s="85" t="s">
        <v>2472</v>
      </c>
      <c r="G349" s="85" t="s">
        <v>288</v>
      </c>
      <c r="H349" s="85" t="s">
        <v>3268</v>
      </c>
      <c r="I349" s="86">
        <v>65</v>
      </c>
      <c r="J349" s="86">
        <v>65</v>
      </c>
      <c r="K349" s="87">
        <v>1</v>
      </c>
      <c r="L349" s="87">
        <v>0.8</v>
      </c>
      <c r="M349" s="88">
        <v>0.8</v>
      </c>
      <c r="N349" s="89"/>
      <c r="O349" s="87"/>
      <c r="P349" s="87"/>
      <c r="Q349" s="87"/>
      <c r="R349" s="87"/>
      <c r="S349" s="87">
        <v>0.8</v>
      </c>
      <c r="T349" s="87"/>
      <c r="U349" s="87">
        <v>0.8</v>
      </c>
      <c r="V349" s="90" t="s">
        <v>3649</v>
      </c>
    </row>
    <row r="350" ht="15" customHeight="1" spans="1:23" x14ac:dyDescent="0.25">
      <c r="A350" s="85">
        <v>3708</v>
      </c>
      <c r="B350" s="85" t="s">
        <v>3650</v>
      </c>
      <c r="C350" s="85" t="s">
        <v>698</v>
      </c>
      <c r="D350" s="85" t="s">
        <v>1000</v>
      </c>
      <c r="E350" s="85"/>
      <c r="F350" s="85" t="s">
        <v>157</v>
      </c>
      <c r="G350" s="85"/>
      <c r="H350" s="85"/>
      <c r="I350" s="86"/>
      <c r="J350" s="86"/>
      <c r="K350" s="87"/>
      <c r="L350" s="87"/>
      <c r="M350" s="88"/>
      <c r="N350" s="89"/>
      <c r="O350" s="87"/>
      <c r="P350" s="87"/>
      <c r="Q350" s="87"/>
      <c r="R350" s="87"/>
      <c r="S350" s="87">
        <v>1</v>
      </c>
      <c r="T350" s="87">
        <v>1</v>
      </c>
      <c r="U350" s="87"/>
      <c r="V350" s="90" t="s">
        <v>2472</v>
      </c>
    </row>
    <row r="351" ht="15" customHeight="1" spans="1:23" x14ac:dyDescent="0.25">
      <c r="A351" s="85">
        <v>3708</v>
      </c>
      <c r="B351" s="85" t="s">
        <v>3650</v>
      </c>
      <c r="C351" s="85" t="s">
        <v>698</v>
      </c>
      <c r="D351" s="85" t="s">
        <v>1000</v>
      </c>
      <c r="E351" s="85"/>
      <c r="F351" s="85" t="s">
        <v>2472</v>
      </c>
      <c r="G351" s="85" t="s">
        <v>288</v>
      </c>
      <c r="H351" s="85" t="s">
        <v>3268</v>
      </c>
      <c r="I351" s="86">
        <v>65</v>
      </c>
      <c r="J351" s="86">
        <v>65</v>
      </c>
      <c r="K351" s="87">
        <v>1</v>
      </c>
      <c r="L351" s="87">
        <v>1</v>
      </c>
      <c r="M351" s="88">
        <v>1</v>
      </c>
      <c r="N351" s="89"/>
      <c r="O351" s="87"/>
      <c r="P351" s="87"/>
      <c r="Q351" s="87"/>
      <c r="R351" s="87"/>
      <c r="S351" s="87">
        <v>1</v>
      </c>
      <c r="T351" s="87"/>
      <c r="U351" s="87">
        <v>0</v>
      </c>
      <c r="V351" s="90" t="s">
        <v>2472</v>
      </c>
    </row>
    <row r="352" ht="15" customHeight="1" spans="1:23" x14ac:dyDescent="0.25">
      <c r="A352" s="85">
        <v>3709</v>
      </c>
      <c r="B352" s="85" t="s">
        <v>3651</v>
      </c>
      <c r="C352" s="85" t="s">
        <v>698</v>
      </c>
      <c r="D352" s="85" t="s">
        <v>1013</v>
      </c>
      <c r="E352" s="85"/>
      <c r="F352" s="85" t="s">
        <v>157</v>
      </c>
      <c r="G352" s="85"/>
      <c r="H352" s="85"/>
      <c r="I352" s="86"/>
      <c r="J352" s="86"/>
      <c r="K352" s="87"/>
      <c r="L352" s="87"/>
      <c r="M352" s="88"/>
      <c r="N352" s="89"/>
      <c r="O352" s="87"/>
      <c r="P352" s="87"/>
      <c r="Q352" s="87"/>
      <c r="R352" s="87"/>
      <c r="S352" s="87">
        <v>1</v>
      </c>
      <c r="T352" s="87">
        <v>1</v>
      </c>
      <c r="U352" s="87"/>
      <c r="V352" s="90" t="s">
        <v>2472</v>
      </c>
    </row>
    <row r="353" ht="15" customHeight="1" spans="1:23" x14ac:dyDescent="0.25">
      <c r="A353" s="85">
        <v>3709</v>
      </c>
      <c r="B353" s="85" t="s">
        <v>3651</v>
      </c>
      <c r="C353" s="85" t="s">
        <v>698</v>
      </c>
      <c r="D353" s="85" t="s">
        <v>1013</v>
      </c>
      <c r="E353" s="85"/>
      <c r="F353" s="85" t="s">
        <v>2472</v>
      </c>
      <c r="G353" s="85" t="s">
        <v>288</v>
      </c>
      <c r="H353" s="85" t="s">
        <v>3268</v>
      </c>
      <c r="I353" s="86">
        <v>65</v>
      </c>
      <c r="J353" s="86">
        <v>65</v>
      </c>
      <c r="K353" s="87">
        <v>1</v>
      </c>
      <c r="L353" s="87">
        <v>1</v>
      </c>
      <c r="M353" s="88">
        <v>1</v>
      </c>
      <c r="N353" s="89"/>
      <c r="O353" s="87"/>
      <c r="P353" s="87"/>
      <c r="Q353" s="87"/>
      <c r="R353" s="87"/>
      <c r="S353" s="87">
        <v>1</v>
      </c>
      <c r="T353" s="87"/>
      <c r="U353" s="87">
        <v>0</v>
      </c>
      <c r="V353" s="90" t="s">
        <v>2472</v>
      </c>
    </row>
    <row r="354" ht="15" customHeight="1" spans="1:23" x14ac:dyDescent="0.25">
      <c r="A354" s="85">
        <v>3710</v>
      </c>
      <c r="B354" s="85" t="s">
        <v>3652</v>
      </c>
      <c r="C354" s="85" t="s">
        <v>698</v>
      </c>
      <c r="D354" s="85" t="s">
        <v>1039</v>
      </c>
      <c r="E354" s="85"/>
      <c r="F354" s="85" t="s">
        <v>157</v>
      </c>
      <c r="G354" s="85"/>
      <c r="H354" s="85"/>
      <c r="I354" s="86"/>
      <c r="J354" s="86"/>
      <c r="K354" s="87"/>
      <c r="L354" s="87"/>
      <c r="M354" s="88"/>
      <c r="N354" s="89"/>
      <c r="O354" s="87"/>
      <c r="P354" s="87"/>
      <c r="Q354" s="87"/>
      <c r="R354" s="87"/>
      <c r="S354" s="87">
        <v>1</v>
      </c>
      <c r="T354" s="87">
        <v>1</v>
      </c>
      <c r="U354" s="87">
        <v>0</v>
      </c>
      <c r="V354" s="90" t="s">
        <v>2472</v>
      </c>
    </row>
    <row r="355" ht="15" customHeight="1" spans="1:23" x14ac:dyDescent="0.25">
      <c r="A355" s="85">
        <v>3710</v>
      </c>
      <c r="B355" s="85" t="s">
        <v>3652</v>
      </c>
      <c r="C355" s="85" t="s">
        <v>698</v>
      </c>
      <c r="D355" s="85" t="s">
        <v>1039</v>
      </c>
      <c r="E355" s="85"/>
      <c r="F355" s="85" t="s">
        <v>2472</v>
      </c>
      <c r="G355" s="85" t="s">
        <v>288</v>
      </c>
      <c r="H355" s="85" t="s">
        <v>3268</v>
      </c>
      <c r="I355" s="86">
        <v>65</v>
      </c>
      <c r="J355" s="86">
        <v>65</v>
      </c>
      <c r="K355" s="87">
        <v>1</v>
      </c>
      <c r="L355" s="87">
        <v>1</v>
      </c>
      <c r="M355" s="88">
        <v>1</v>
      </c>
      <c r="N355" s="89"/>
      <c r="O355" s="87"/>
      <c r="P355" s="87"/>
      <c r="Q355" s="87"/>
      <c r="R355" s="87"/>
      <c r="S355" s="87">
        <v>1</v>
      </c>
      <c r="T355" s="87"/>
      <c r="U355" s="87">
        <v>0</v>
      </c>
      <c r="V355" s="90" t="s">
        <v>3577</v>
      </c>
    </row>
    <row r="356" ht="15" customHeight="1" spans="1:23" x14ac:dyDescent="0.25">
      <c r="A356" s="85">
        <v>3711</v>
      </c>
      <c r="B356" s="85" t="s">
        <v>3653</v>
      </c>
      <c r="C356" s="85" t="s">
        <v>698</v>
      </c>
      <c r="D356" s="85" t="s">
        <v>1173</v>
      </c>
      <c r="E356" s="85"/>
      <c r="F356" s="85" t="s">
        <v>157</v>
      </c>
      <c r="G356" s="85"/>
      <c r="H356" s="85"/>
      <c r="I356" s="86"/>
      <c r="J356" s="86"/>
      <c r="K356" s="87"/>
      <c r="L356" s="87"/>
      <c r="M356" s="88"/>
      <c r="N356" s="89"/>
      <c r="O356" s="87"/>
      <c r="P356" s="87"/>
      <c r="Q356" s="87"/>
      <c r="R356" s="87"/>
      <c r="S356" s="87">
        <v>0.8</v>
      </c>
      <c r="T356" s="87">
        <v>0.8</v>
      </c>
      <c r="U356" s="87"/>
      <c r="V356" s="90" t="s">
        <v>2472</v>
      </c>
    </row>
    <row r="357" ht="15" customHeight="1" spans="1:23" x14ac:dyDescent="0.25">
      <c r="A357" s="85">
        <v>3711</v>
      </c>
      <c r="B357" s="85" t="s">
        <v>3653</v>
      </c>
      <c r="C357" s="85" t="s">
        <v>698</v>
      </c>
      <c r="D357" s="85" t="s">
        <v>1173</v>
      </c>
      <c r="E357" s="85"/>
      <c r="F357" s="85" t="s">
        <v>2472</v>
      </c>
      <c r="G357" s="85" t="s">
        <v>288</v>
      </c>
      <c r="H357" s="85" t="s">
        <v>3268</v>
      </c>
      <c r="I357" s="86">
        <v>65</v>
      </c>
      <c r="J357" s="86">
        <v>65</v>
      </c>
      <c r="K357" s="87">
        <v>1</v>
      </c>
      <c r="L357" s="87">
        <v>0.8</v>
      </c>
      <c r="M357" s="88">
        <v>0.8</v>
      </c>
      <c r="N357" s="89"/>
      <c r="O357" s="87"/>
      <c r="P357" s="87"/>
      <c r="Q357" s="87"/>
      <c r="R357" s="87"/>
      <c r="S357" s="87">
        <v>0.8</v>
      </c>
      <c r="T357" s="87"/>
      <c r="U357" s="87">
        <v>0</v>
      </c>
      <c r="V357" s="90" t="s">
        <v>2472</v>
      </c>
    </row>
    <row r="358" ht="15" customHeight="1" spans="1:23" x14ac:dyDescent="0.25">
      <c r="A358" s="85">
        <v>3712</v>
      </c>
      <c r="B358" s="85" t="s">
        <v>3654</v>
      </c>
      <c r="C358" s="85" t="s">
        <v>698</v>
      </c>
      <c r="D358" s="85" t="s">
        <v>1113</v>
      </c>
      <c r="E358" s="85"/>
      <c r="F358" s="85" t="s">
        <v>157</v>
      </c>
      <c r="G358" s="85"/>
      <c r="H358" s="85"/>
      <c r="I358" s="86"/>
      <c r="J358" s="86"/>
      <c r="K358" s="87"/>
      <c r="L358" s="87"/>
      <c r="M358" s="88"/>
      <c r="N358" s="89"/>
      <c r="O358" s="87"/>
      <c r="P358" s="87"/>
      <c r="Q358" s="87"/>
      <c r="R358" s="87"/>
      <c r="S358" s="87">
        <v>0.8</v>
      </c>
      <c r="T358" s="87">
        <v>0.8</v>
      </c>
      <c r="U358" s="87"/>
      <c r="V358" s="90" t="s">
        <v>2472</v>
      </c>
    </row>
    <row r="359" ht="15" customHeight="1" spans="1:23" x14ac:dyDescent="0.25">
      <c r="A359" s="85">
        <v>3712</v>
      </c>
      <c r="B359" s="85" t="s">
        <v>3654</v>
      </c>
      <c r="C359" s="85" t="s">
        <v>698</v>
      </c>
      <c r="D359" s="85" t="s">
        <v>1113</v>
      </c>
      <c r="E359" s="85"/>
      <c r="F359" s="85" t="s">
        <v>2472</v>
      </c>
      <c r="G359" s="85" t="s">
        <v>288</v>
      </c>
      <c r="H359" s="85" t="s">
        <v>3268</v>
      </c>
      <c r="I359" s="86">
        <v>65</v>
      </c>
      <c r="J359" s="86">
        <v>65</v>
      </c>
      <c r="K359" s="87">
        <v>1</v>
      </c>
      <c r="L359" s="87">
        <v>0.8</v>
      </c>
      <c r="M359" s="88">
        <v>0.8</v>
      </c>
      <c r="N359" s="89"/>
      <c r="O359" s="87"/>
      <c r="P359" s="87"/>
      <c r="Q359" s="87"/>
      <c r="R359" s="87"/>
      <c r="S359" s="87">
        <v>0.8</v>
      </c>
      <c r="T359" s="87"/>
      <c r="U359" s="87">
        <v>0</v>
      </c>
      <c r="V359" s="90" t="s">
        <v>2472</v>
      </c>
    </row>
    <row r="360" ht="15" customHeight="1" spans="1:23" x14ac:dyDescent="0.25">
      <c r="A360" s="85">
        <v>3713</v>
      </c>
      <c r="B360" s="85" t="s">
        <v>3655</v>
      </c>
      <c r="C360" s="85" t="s">
        <v>698</v>
      </c>
      <c r="D360" s="85" t="s">
        <v>1085</v>
      </c>
      <c r="E360" s="85"/>
      <c r="F360" s="85" t="s">
        <v>157</v>
      </c>
      <c r="G360" s="85"/>
      <c r="H360" s="85"/>
      <c r="I360" s="86"/>
      <c r="J360" s="86"/>
      <c r="K360" s="87"/>
      <c r="L360" s="87"/>
      <c r="M360" s="88"/>
      <c r="N360" s="89"/>
      <c r="O360" s="87"/>
      <c r="P360" s="87"/>
      <c r="Q360" s="87"/>
      <c r="R360" s="87"/>
      <c r="S360" s="87">
        <v>1</v>
      </c>
      <c r="T360" s="87">
        <v>1</v>
      </c>
      <c r="U360" s="87"/>
      <c r="V360" s="90" t="s">
        <v>2472</v>
      </c>
    </row>
    <row r="361" ht="15" customHeight="1" spans="1:23" x14ac:dyDescent="0.25">
      <c r="A361" s="85">
        <v>3713</v>
      </c>
      <c r="B361" s="85" t="s">
        <v>3655</v>
      </c>
      <c r="C361" s="85" t="s">
        <v>698</v>
      </c>
      <c r="D361" s="85" t="s">
        <v>1085</v>
      </c>
      <c r="E361" s="85"/>
      <c r="F361" s="85" t="s">
        <v>2472</v>
      </c>
      <c r="G361" s="85" t="s">
        <v>288</v>
      </c>
      <c r="H361" s="85" t="s">
        <v>3268</v>
      </c>
      <c r="I361" s="86">
        <v>65</v>
      </c>
      <c r="J361" s="86">
        <v>65</v>
      </c>
      <c r="K361" s="87">
        <v>1</v>
      </c>
      <c r="L361" s="87">
        <v>1</v>
      </c>
      <c r="M361" s="88">
        <v>1</v>
      </c>
      <c r="N361" s="89"/>
      <c r="O361" s="87"/>
      <c r="P361" s="87"/>
      <c r="Q361" s="87"/>
      <c r="R361" s="87"/>
      <c r="S361" s="87">
        <v>1</v>
      </c>
      <c r="T361" s="87"/>
      <c r="U361" s="87">
        <v>0</v>
      </c>
      <c r="V361" s="90" t="s">
        <v>2472</v>
      </c>
    </row>
    <row r="362" ht="15" customHeight="1" spans="1:23" x14ac:dyDescent="0.25">
      <c r="A362" s="85">
        <v>3714</v>
      </c>
      <c r="B362" s="85" t="s">
        <v>3656</v>
      </c>
      <c r="C362" s="85" t="s">
        <v>698</v>
      </c>
      <c r="D362" s="85" t="s">
        <v>1243</v>
      </c>
      <c r="E362" s="85"/>
      <c r="F362" s="85" t="s">
        <v>157</v>
      </c>
      <c r="G362" s="85"/>
      <c r="H362" s="85"/>
      <c r="I362" s="86"/>
      <c r="J362" s="86"/>
      <c r="K362" s="87"/>
      <c r="L362" s="87"/>
      <c r="M362" s="88"/>
      <c r="N362" s="89"/>
      <c r="O362" s="87"/>
      <c r="P362" s="87"/>
      <c r="Q362" s="87"/>
      <c r="R362" s="87"/>
      <c r="S362" s="87">
        <v>0.8</v>
      </c>
      <c r="T362" s="87">
        <v>0.8</v>
      </c>
      <c r="U362" s="87"/>
      <c r="V362" s="90" t="s">
        <v>2472</v>
      </c>
    </row>
    <row r="363" ht="15" customHeight="1" spans="1:23" x14ac:dyDescent="0.25">
      <c r="A363" s="85">
        <v>3714</v>
      </c>
      <c r="B363" s="85" t="s">
        <v>3656</v>
      </c>
      <c r="C363" s="85" t="s">
        <v>698</v>
      </c>
      <c r="D363" s="85" t="s">
        <v>1243</v>
      </c>
      <c r="E363" s="85"/>
      <c r="F363" s="85" t="s">
        <v>2472</v>
      </c>
      <c r="G363" s="85" t="s">
        <v>288</v>
      </c>
      <c r="H363" s="85" t="s">
        <v>3268</v>
      </c>
      <c r="I363" s="86">
        <v>65</v>
      </c>
      <c r="J363" s="86">
        <v>65</v>
      </c>
      <c r="K363" s="87">
        <v>1</v>
      </c>
      <c r="L363" s="87">
        <v>0.8</v>
      </c>
      <c r="M363" s="88">
        <v>0.8</v>
      </c>
      <c r="N363" s="89"/>
      <c r="O363" s="87"/>
      <c r="P363" s="87"/>
      <c r="Q363" s="87"/>
      <c r="R363" s="87"/>
      <c r="S363" s="87">
        <v>0.8</v>
      </c>
      <c r="T363" s="87"/>
      <c r="U363" s="87">
        <v>0</v>
      </c>
      <c r="V363" s="90" t="s">
        <v>2472</v>
      </c>
    </row>
    <row r="364" ht="15" customHeight="1" spans="1:23" x14ac:dyDescent="0.25">
      <c r="A364" s="85">
        <v>3715</v>
      </c>
      <c r="B364" s="85" t="s">
        <v>3657</v>
      </c>
      <c r="C364" s="85" t="s">
        <v>698</v>
      </c>
      <c r="D364" s="85" t="s">
        <v>836</v>
      </c>
      <c r="E364" s="85"/>
      <c r="F364" s="85" t="s">
        <v>157</v>
      </c>
      <c r="G364" s="85"/>
      <c r="H364" s="85"/>
      <c r="I364" s="86"/>
      <c r="J364" s="86"/>
      <c r="K364" s="87"/>
      <c r="L364" s="87"/>
      <c r="M364" s="88"/>
      <c r="N364" s="89"/>
      <c r="O364" s="87"/>
      <c r="P364" s="87"/>
      <c r="Q364" s="87"/>
      <c r="R364" s="87"/>
      <c r="S364" s="87">
        <v>1</v>
      </c>
      <c r="T364" s="87">
        <v>1</v>
      </c>
      <c r="U364" s="87"/>
      <c r="V364" s="90" t="s">
        <v>2472</v>
      </c>
    </row>
    <row r="365" ht="15" customHeight="1" spans="1:23" x14ac:dyDescent="0.25">
      <c r="A365" s="85">
        <v>3715</v>
      </c>
      <c r="B365" s="85" t="s">
        <v>3657</v>
      </c>
      <c r="C365" s="85" t="s">
        <v>698</v>
      </c>
      <c r="D365" s="85" t="s">
        <v>836</v>
      </c>
      <c r="E365" s="85"/>
      <c r="F365" s="85" t="s">
        <v>2472</v>
      </c>
      <c r="G365" s="85" t="s">
        <v>288</v>
      </c>
      <c r="H365" s="85" t="s">
        <v>3268</v>
      </c>
      <c r="I365" s="86">
        <v>65</v>
      </c>
      <c r="J365" s="86">
        <v>65</v>
      </c>
      <c r="K365" s="87">
        <v>1</v>
      </c>
      <c r="L365" s="87">
        <v>1</v>
      </c>
      <c r="M365" s="88">
        <v>1</v>
      </c>
      <c r="N365" s="89"/>
      <c r="O365" s="87"/>
      <c r="P365" s="87"/>
      <c r="Q365" s="87"/>
      <c r="R365" s="87"/>
      <c r="S365" s="87">
        <v>1</v>
      </c>
      <c r="T365" s="87"/>
      <c r="U365" s="87">
        <v>0</v>
      </c>
      <c r="V365" s="90" t="s">
        <v>2472</v>
      </c>
    </row>
    <row r="366" ht="15" customHeight="1" spans="1:23" x14ac:dyDescent="0.25">
      <c r="A366" s="85">
        <v>3716</v>
      </c>
      <c r="B366" s="85" t="s">
        <v>3658</v>
      </c>
      <c r="C366" s="85" t="s">
        <v>698</v>
      </c>
      <c r="D366" s="85" t="s">
        <v>777</v>
      </c>
      <c r="E366" s="85"/>
      <c r="F366" s="85" t="s">
        <v>157</v>
      </c>
      <c r="G366" s="85"/>
      <c r="H366" s="85"/>
      <c r="I366" s="86"/>
      <c r="J366" s="86"/>
      <c r="K366" s="87"/>
      <c r="L366" s="87"/>
      <c r="M366" s="88"/>
      <c r="N366" s="89"/>
      <c r="O366" s="87"/>
      <c r="P366" s="87"/>
      <c r="Q366" s="87"/>
      <c r="R366" s="87"/>
      <c r="S366" s="87">
        <v>1</v>
      </c>
      <c r="T366" s="87">
        <v>1</v>
      </c>
      <c r="U366" s="87"/>
      <c r="V366" s="90" t="s">
        <v>2472</v>
      </c>
    </row>
    <row r="367" ht="15" customHeight="1" spans="1:23" x14ac:dyDescent="0.25">
      <c r="A367" s="85">
        <v>3716</v>
      </c>
      <c r="B367" s="85" t="s">
        <v>3658</v>
      </c>
      <c r="C367" s="85" t="s">
        <v>698</v>
      </c>
      <c r="D367" s="85" t="s">
        <v>777</v>
      </c>
      <c r="E367" s="85"/>
      <c r="F367" s="85" t="s">
        <v>2472</v>
      </c>
      <c r="G367" s="85" t="s">
        <v>288</v>
      </c>
      <c r="H367" s="85" t="s">
        <v>3268</v>
      </c>
      <c r="I367" s="86">
        <v>65</v>
      </c>
      <c r="J367" s="86">
        <v>65</v>
      </c>
      <c r="K367" s="87">
        <v>1</v>
      </c>
      <c r="L367" s="87">
        <v>1</v>
      </c>
      <c r="M367" s="88">
        <v>1</v>
      </c>
      <c r="N367" s="89"/>
      <c r="O367" s="87"/>
      <c r="P367" s="87"/>
      <c r="Q367" s="87"/>
      <c r="R367" s="87"/>
      <c r="S367" s="87">
        <v>1</v>
      </c>
      <c r="T367" s="87"/>
      <c r="U367" s="87">
        <v>0</v>
      </c>
      <c r="V367" s="90" t="s">
        <v>2472</v>
      </c>
    </row>
    <row r="368" ht="15" customHeight="1" spans="1:23" x14ac:dyDescent="0.25">
      <c r="A368" s="85">
        <v>3717</v>
      </c>
      <c r="B368" s="85" t="s">
        <v>3659</v>
      </c>
      <c r="C368" s="85" t="s">
        <v>698</v>
      </c>
      <c r="D368" s="85" t="s">
        <v>739</v>
      </c>
      <c r="E368" s="85"/>
      <c r="F368" s="85" t="s">
        <v>157</v>
      </c>
      <c r="G368" s="85"/>
      <c r="H368" s="85"/>
      <c r="I368" s="86"/>
      <c r="J368" s="86"/>
      <c r="K368" s="87"/>
      <c r="L368" s="87"/>
      <c r="M368" s="88"/>
      <c r="N368" s="89"/>
      <c r="O368" s="87"/>
      <c r="P368" s="87"/>
      <c r="Q368" s="87"/>
      <c r="R368" s="87"/>
      <c r="S368" s="87">
        <v>1</v>
      </c>
      <c r="T368" s="87">
        <v>1</v>
      </c>
      <c r="U368" s="87"/>
      <c r="V368" s="90" t="s">
        <v>2472</v>
      </c>
    </row>
    <row r="369" ht="15" customHeight="1" spans="1:23" x14ac:dyDescent="0.25">
      <c r="A369" s="85">
        <v>3717</v>
      </c>
      <c r="B369" s="85" t="s">
        <v>3659</v>
      </c>
      <c r="C369" s="85" t="s">
        <v>698</v>
      </c>
      <c r="D369" s="85" t="s">
        <v>739</v>
      </c>
      <c r="E369" s="85"/>
      <c r="F369" s="85" t="s">
        <v>2472</v>
      </c>
      <c r="G369" s="85" t="s">
        <v>288</v>
      </c>
      <c r="H369" s="85" t="s">
        <v>3268</v>
      </c>
      <c r="I369" s="86">
        <v>65</v>
      </c>
      <c r="J369" s="86">
        <v>65</v>
      </c>
      <c r="K369" s="87">
        <v>1</v>
      </c>
      <c r="L369" s="87">
        <v>1</v>
      </c>
      <c r="M369" s="88">
        <v>1</v>
      </c>
      <c r="N369" s="89"/>
      <c r="O369" s="87"/>
      <c r="P369" s="87"/>
      <c r="Q369" s="87"/>
      <c r="R369" s="87"/>
      <c r="S369" s="87">
        <v>1</v>
      </c>
      <c r="T369" s="87"/>
      <c r="U369" s="87">
        <v>0</v>
      </c>
      <c r="V369" s="90" t="s">
        <v>2472</v>
      </c>
    </row>
    <row r="370" ht="15" customHeight="1" spans="1:23" x14ac:dyDescent="0.25">
      <c r="A370" s="85">
        <v>3718</v>
      </c>
      <c r="B370" s="85" t="s">
        <v>3660</v>
      </c>
      <c r="C370" s="85" t="s">
        <v>698</v>
      </c>
      <c r="D370" s="85" t="s">
        <v>593</v>
      </c>
      <c r="E370" s="85"/>
      <c r="F370" s="85" t="s">
        <v>157</v>
      </c>
      <c r="G370" s="85"/>
      <c r="H370" s="85"/>
      <c r="I370" s="86"/>
      <c r="J370" s="86"/>
      <c r="K370" s="87"/>
      <c r="L370" s="87"/>
      <c r="M370" s="88"/>
      <c r="N370" s="89"/>
      <c r="O370" s="87"/>
      <c r="P370" s="87"/>
      <c r="Q370" s="87"/>
      <c r="R370" s="87"/>
      <c r="S370" s="87">
        <v>1</v>
      </c>
      <c r="T370" s="87">
        <v>1</v>
      </c>
      <c r="U370" s="87"/>
      <c r="V370" s="90" t="s">
        <v>2472</v>
      </c>
    </row>
    <row r="371" ht="15" customHeight="1" spans="1:23" x14ac:dyDescent="0.25">
      <c r="A371" s="85">
        <v>3718</v>
      </c>
      <c r="B371" s="85" t="s">
        <v>3660</v>
      </c>
      <c r="C371" s="85" t="s">
        <v>698</v>
      </c>
      <c r="D371" s="85" t="s">
        <v>593</v>
      </c>
      <c r="E371" s="85"/>
      <c r="F371" s="85" t="s">
        <v>2472</v>
      </c>
      <c r="G371" s="85" t="s">
        <v>288</v>
      </c>
      <c r="H371" s="85" t="s">
        <v>3268</v>
      </c>
      <c r="I371" s="86">
        <v>65</v>
      </c>
      <c r="J371" s="86">
        <v>65</v>
      </c>
      <c r="K371" s="87">
        <v>1</v>
      </c>
      <c r="L371" s="87">
        <v>1</v>
      </c>
      <c r="M371" s="88">
        <v>1</v>
      </c>
      <c r="N371" s="89"/>
      <c r="O371" s="87"/>
      <c r="P371" s="87"/>
      <c r="Q371" s="87"/>
      <c r="R371" s="87"/>
      <c r="S371" s="87">
        <v>1</v>
      </c>
      <c r="T371" s="87"/>
      <c r="U371" s="87">
        <v>0</v>
      </c>
      <c r="V371" s="90" t="s">
        <v>2472</v>
      </c>
    </row>
    <row r="372" ht="15" customHeight="1" spans="1:23" x14ac:dyDescent="0.25">
      <c r="A372" s="85">
        <v>3719</v>
      </c>
      <c r="B372" s="85" t="s">
        <v>3661</v>
      </c>
      <c r="C372" s="85" t="s">
        <v>698</v>
      </c>
      <c r="D372" s="85" t="s">
        <v>712</v>
      </c>
      <c r="E372" s="85"/>
      <c r="F372" s="85" t="s">
        <v>157</v>
      </c>
      <c r="G372" s="85"/>
      <c r="H372" s="85"/>
      <c r="I372" s="86"/>
      <c r="J372" s="86"/>
      <c r="K372" s="87"/>
      <c r="L372" s="87"/>
      <c r="M372" s="88"/>
      <c r="N372" s="89"/>
      <c r="O372" s="87"/>
      <c r="P372" s="87"/>
      <c r="Q372" s="87"/>
      <c r="R372" s="87"/>
      <c r="S372" s="87">
        <v>0.8</v>
      </c>
      <c r="T372" s="87">
        <v>0.8</v>
      </c>
      <c r="U372" s="87">
        <v>0.8</v>
      </c>
      <c r="V372" s="90" t="s">
        <v>3662</v>
      </c>
    </row>
    <row r="373" ht="15" customHeight="1" spans="1:23" x14ac:dyDescent="0.25">
      <c r="A373" s="85">
        <v>3719</v>
      </c>
      <c r="B373" s="85" t="s">
        <v>3661</v>
      </c>
      <c r="C373" s="85" t="s">
        <v>698</v>
      </c>
      <c r="D373" s="85" t="s">
        <v>712</v>
      </c>
      <c r="E373" s="85"/>
      <c r="F373" s="85" t="s">
        <v>2472</v>
      </c>
      <c r="G373" s="85" t="s">
        <v>288</v>
      </c>
      <c r="H373" s="85" t="s">
        <v>3268</v>
      </c>
      <c r="I373" s="86">
        <v>65</v>
      </c>
      <c r="J373" s="86">
        <v>65</v>
      </c>
      <c r="K373" s="87">
        <v>1</v>
      </c>
      <c r="L373" s="87">
        <v>0.8</v>
      </c>
      <c r="M373" s="88">
        <v>0.8</v>
      </c>
      <c r="N373" s="89"/>
      <c r="O373" s="87"/>
      <c r="P373" s="87"/>
      <c r="Q373" s="87"/>
      <c r="R373" s="87"/>
      <c r="S373" s="87">
        <v>0.8</v>
      </c>
      <c r="T373" s="87"/>
      <c r="U373" s="87">
        <v>0.8</v>
      </c>
      <c r="V373" s="90" t="s">
        <v>3662</v>
      </c>
    </row>
    <row r="374" ht="15" customHeight="1" spans="1:23" x14ac:dyDescent="0.25">
      <c r="A374" s="85">
        <v>3720</v>
      </c>
      <c r="B374" s="85" t="s">
        <v>3663</v>
      </c>
      <c r="C374" s="85" t="s">
        <v>698</v>
      </c>
      <c r="D374" s="85" t="s">
        <v>712</v>
      </c>
      <c r="E374" s="85"/>
      <c r="F374" s="85" t="s">
        <v>157</v>
      </c>
      <c r="G374" s="85"/>
      <c r="H374" s="85"/>
      <c r="I374" s="86"/>
      <c r="J374" s="86"/>
      <c r="K374" s="87"/>
      <c r="L374" s="87"/>
      <c r="M374" s="88"/>
      <c r="N374" s="89"/>
      <c r="O374" s="87"/>
      <c r="P374" s="87"/>
      <c r="Q374" s="87"/>
      <c r="R374" s="87"/>
      <c r="S374" s="87">
        <v>1</v>
      </c>
      <c r="T374" s="87">
        <v>1</v>
      </c>
      <c r="U374" s="87">
        <v>1</v>
      </c>
      <c r="V374" s="90" t="s">
        <v>3664</v>
      </c>
    </row>
    <row r="375" ht="15" customHeight="1" spans="1:23" x14ac:dyDescent="0.25">
      <c r="A375" s="85">
        <v>3720</v>
      </c>
      <c r="B375" s="85" t="s">
        <v>3663</v>
      </c>
      <c r="C375" s="85" t="s">
        <v>698</v>
      </c>
      <c r="D375" s="85" t="s">
        <v>712</v>
      </c>
      <c r="E375" s="85"/>
      <c r="F375" s="85" t="s">
        <v>2472</v>
      </c>
      <c r="G375" s="85" t="s">
        <v>288</v>
      </c>
      <c r="H375" s="85" t="s">
        <v>3268</v>
      </c>
      <c r="I375" s="86">
        <v>65</v>
      </c>
      <c r="J375" s="86">
        <v>65</v>
      </c>
      <c r="K375" s="87">
        <v>1</v>
      </c>
      <c r="L375" s="87">
        <v>1</v>
      </c>
      <c r="M375" s="88">
        <v>1</v>
      </c>
      <c r="N375" s="89"/>
      <c r="O375" s="87"/>
      <c r="P375" s="87"/>
      <c r="Q375" s="87"/>
      <c r="R375" s="87"/>
      <c r="S375" s="87">
        <v>1</v>
      </c>
      <c r="T375" s="87"/>
      <c r="U375" s="87">
        <v>1</v>
      </c>
      <c r="V375" s="90" t="s">
        <v>3664</v>
      </c>
    </row>
    <row r="376" ht="15" customHeight="1" spans="1:23" x14ac:dyDescent="0.25">
      <c r="A376" s="85">
        <v>3721</v>
      </c>
      <c r="B376" s="85" t="s">
        <v>3665</v>
      </c>
      <c r="C376" s="85" t="s">
        <v>698</v>
      </c>
      <c r="D376" s="85" t="s">
        <v>806</v>
      </c>
      <c r="E376" s="85"/>
      <c r="F376" s="85" t="s">
        <v>157</v>
      </c>
      <c r="G376" s="85"/>
      <c r="H376" s="85"/>
      <c r="I376" s="86"/>
      <c r="J376" s="86"/>
      <c r="K376" s="87"/>
      <c r="L376" s="87"/>
      <c r="M376" s="88"/>
      <c r="N376" s="89"/>
      <c r="O376" s="87"/>
      <c r="P376" s="87"/>
      <c r="Q376" s="87"/>
      <c r="R376" s="87"/>
      <c r="S376" s="87">
        <v>1</v>
      </c>
      <c r="T376" s="87">
        <v>1</v>
      </c>
      <c r="U376" s="87"/>
      <c r="V376" s="90" t="s">
        <v>2472</v>
      </c>
    </row>
    <row r="377" ht="15" customHeight="1" spans="1:23" x14ac:dyDescent="0.25">
      <c r="A377" s="85">
        <v>3721</v>
      </c>
      <c r="B377" s="85" t="s">
        <v>3665</v>
      </c>
      <c r="C377" s="85" t="s">
        <v>698</v>
      </c>
      <c r="D377" s="85" t="s">
        <v>806</v>
      </c>
      <c r="E377" s="85"/>
      <c r="F377" s="85" t="s">
        <v>2472</v>
      </c>
      <c r="G377" s="85" t="s">
        <v>288</v>
      </c>
      <c r="H377" s="85" t="s">
        <v>3268</v>
      </c>
      <c r="I377" s="86">
        <v>65</v>
      </c>
      <c r="J377" s="86">
        <v>65</v>
      </c>
      <c r="K377" s="87">
        <v>1</v>
      </c>
      <c r="L377" s="87">
        <v>1</v>
      </c>
      <c r="M377" s="88">
        <v>1</v>
      </c>
      <c r="N377" s="89"/>
      <c r="O377" s="87"/>
      <c r="P377" s="87"/>
      <c r="Q377" s="87"/>
      <c r="R377" s="87"/>
      <c r="S377" s="87">
        <v>1</v>
      </c>
      <c r="T377" s="87"/>
      <c r="U377" s="87">
        <v>0</v>
      </c>
      <c r="V377" s="90" t="s">
        <v>2472</v>
      </c>
    </row>
    <row r="378" ht="15" customHeight="1" spans="1:23" x14ac:dyDescent="0.25">
      <c r="A378" s="85">
        <v>3722</v>
      </c>
      <c r="B378" s="85" t="s">
        <v>3666</v>
      </c>
      <c r="C378" s="85" t="s">
        <v>698</v>
      </c>
      <c r="D378" s="85" t="s">
        <v>700</v>
      </c>
      <c r="E378" s="85"/>
      <c r="F378" s="85" t="s">
        <v>157</v>
      </c>
      <c r="G378" s="85"/>
      <c r="H378" s="85"/>
      <c r="I378" s="86"/>
      <c r="J378" s="86"/>
      <c r="K378" s="87"/>
      <c r="L378" s="87"/>
      <c r="M378" s="88"/>
      <c r="N378" s="89"/>
      <c r="O378" s="87"/>
      <c r="P378" s="87"/>
      <c r="Q378" s="87"/>
      <c r="R378" s="87"/>
      <c r="S378" s="87">
        <v>1</v>
      </c>
      <c r="T378" s="87">
        <v>1</v>
      </c>
      <c r="U378" s="87">
        <v>1</v>
      </c>
      <c r="V378" s="90" t="s">
        <v>3667</v>
      </c>
    </row>
    <row r="379" ht="15" customHeight="1" spans="1:23" x14ac:dyDescent="0.25">
      <c r="A379" s="85">
        <v>3722</v>
      </c>
      <c r="B379" s="85" t="s">
        <v>3666</v>
      </c>
      <c r="C379" s="85" t="s">
        <v>698</v>
      </c>
      <c r="D379" s="85" t="s">
        <v>700</v>
      </c>
      <c r="E379" s="85"/>
      <c r="F379" s="85" t="s">
        <v>2472</v>
      </c>
      <c r="G379" s="85" t="s">
        <v>288</v>
      </c>
      <c r="H379" s="85" t="s">
        <v>3268</v>
      </c>
      <c r="I379" s="86">
        <v>65</v>
      </c>
      <c r="J379" s="86">
        <v>65</v>
      </c>
      <c r="K379" s="87">
        <v>1</v>
      </c>
      <c r="L379" s="87">
        <v>1</v>
      </c>
      <c r="M379" s="88">
        <v>1</v>
      </c>
      <c r="N379" s="89"/>
      <c r="O379" s="87"/>
      <c r="P379" s="87"/>
      <c r="Q379" s="87"/>
      <c r="R379" s="87"/>
      <c r="S379" s="87">
        <v>1</v>
      </c>
      <c r="T379" s="87"/>
      <c r="U379" s="87">
        <v>1</v>
      </c>
      <c r="V379" s="90" t="s">
        <v>3667</v>
      </c>
    </row>
    <row r="380" ht="15" customHeight="1" spans="1:23" x14ac:dyDescent="0.25">
      <c r="A380" s="85">
        <v>3723</v>
      </c>
      <c r="B380" s="85" t="s">
        <v>3668</v>
      </c>
      <c r="C380" s="85" t="s">
        <v>698</v>
      </c>
      <c r="D380" s="85" t="s">
        <v>1304</v>
      </c>
      <c r="E380" s="85"/>
      <c r="F380" s="85" t="s">
        <v>157</v>
      </c>
      <c r="G380" s="85"/>
      <c r="H380" s="85"/>
      <c r="I380" s="86"/>
      <c r="J380" s="86"/>
      <c r="K380" s="87"/>
      <c r="L380" s="87"/>
      <c r="M380" s="88"/>
      <c r="N380" s="89"/>
      <c r="O380" s="87"/>
      <c r="P380" s="87"/>
      <c r="Q380" s="87"/>
      <c r="R380" s="87"/>
      <c r="S380" s="87">
        <v>1</v>
      </c>
      <c r="T380" s="87">
        <v>1</v>
      </c>
      <c r="U380" s="87"/>
      <c r="V380" s="90" t="s">
        <v>2472</v>
      </c>
    </row>
    <row r="381" ht="15" customHeight="1" spans="1:23" x14ac:dyDescent="0.25">
      <c r="A381" s="85">
        <v>3723</v>
      </c>
      <c r="B381" s="85" t="s">
        <v>3668</v>
      </c>
      <c r="C381" s="85" t="s">
        <v>698</v>
      </c>
      <c r="D381" s="85" t="s">
        <v>1304</v>
      </c>
      <c r="E381" s="85"/>
      <c r="F381" s="85" t="s">
        <v>2472</v>
      </c>
      <c r="G381" s="85" t="s">
        <v>288</v>
      </c>
      <c r="H381" s="85" t="s">
        <v>3268</v>
      </c>
      <c r="I381" s="86">
        <v>65</v>
      </c>
      <c r="J381" s="86">
        <v>65</v>
      </c>
      <c r="K381" s="87">
        <v>1</v>
      </c>
      <c r="L381" s="87">
        <v>1</v>
      </c>
      <c r="M381" s="88">
        <v>1</v>
      </c>
      <c r="N381" s="89"/>
      <c r="O381" s="87"/>
      <c r="P381" s="87"/>
      <c r="Q381" s="87"/>
      <c r="R381" s="87"/>
      <c r="S381" s="87">
        <v>1</v>
      </c>
      <c r="T381" s="87"/>
      <c r="U381" s="87">
        <v>0</v>
      </c>
      <c r="V381" s="90" t="s">
        <v>2472</v>
      </c>
    </row>
    <row r="382" ht="15" customHeight="1" spans="1:23" x14ac:dyDescent="0.25">
      <c r="A382" s="85">
        <v>3724</v>
      </c>
      <c r="B382" s="85" t="s">
        <v>3669</v>
      </c>
      <c r="C382" s="85" t="s">
        <v>698</v>
      </c>
      <c r="D382" s="85" t="s">
        <v>2142</v>
      </c>
      <c r="E382" s="85"/>
      <c r="F382" s="85" t="s">
        <v>157</v>
      </c>
      <c r="G382" s="85"/>
      <c r="H382" s="85"/>
      <c r="I382" s="86"/>
      <c r="J382" s="86"/>
      <c r="K382" s="87"/>
      <c r="L382" s="87"/>
      <c r="M382" s="88"/>
      <c r="N382" s="89"/>
      <c r="O382" s="87"/>
      <c r="P382" s="87"/>
      <c r="Q382" s="87"/>
      <c r="R382" s="87"/>
      <c r="S382" s="87">
        <v>1</v>
      </c>
      <c r="T382" s="87">
        <v>1</v>
      </c>
      <c r="U382" s="87"/>
      <c r="V382" s="90" t="s">
        <v>2472</v>
      </c>
    </row>
    <row r="383" ht="15" customHeight="1" spans="1:23" x14ac:dyDescent="0.25">
      <c r="A383" s="85">
        <v>3724</v>
      </c>
      <c r="B383" s="85" t="s">
        <v>3669</v>
      </c>
      <c r="C383" s="85" t="s">
        <v>698</v>
      </c>
      <c r="D383" s="85" t="s">
        <v>2142</v>
      </c>
      <c r="E383" s="85"/>
      <c r="F383" s="85" t="s">
        <v>2472</v>
      </c>
      <c r="G383" s="85" t="s">
        <v>288</v>
      </c>
      <c r="H383" s="85" t="s">
        <v>3268</v>
      </c>
      <c r="I383" s="86">
        <v>65</v>
      </c>
      <c r="J383" s="86">
        <v>65</v>
      </c>
      <c r="K383" s="87">
        <v>1</v>
      </c>
      <c r="L383" s="87">
        <v>1</v>
      </c>
      <c r="M383" s="88">
        <v>1</v>
      </c>
      <c r="N383" s="89"/>
      <c r="O383" s="87"/>
      <c r="P383" s="87"/>
      <c r="Q383" s="87"/>
      <c r="R383" s="87"/>
      <c r="S383" s="87">
        <v>1</v>
      </c>
      <c r="T383" s="87"/>
      <c r="U383" s="87">
        <v>0</v>
      </c>
      <c r="V383" s="90" t="s">
        <v>2472</v>
      </c>
    </row>
    <row r="384" ht="15" customHeight="1" spans="1:23" x14ac:dyDescent="0.25">
      <c r="A384" s="85">
        <v>3725</v>
      </c>
      <c r="B384" s="85" t="s">
        <v>3670</v>
      </c>
      <c r="C384" s="85" t="s">
        <v>698</v>
      </c>
      <c r="D384" s="85" t="s">
        <v>907</v>
      </c>
      <c r="E384" s="85"/>
      <c r="F384" s="85" t="s">
        <v>157</v>
      </c>
      <c r="G384" s="85"/>
      <c r="H384" s="85"/>
      <c r="I384" s="86"/>
      <c r="J384" s="86"/>
      <c r="K384" s="87"/>
      <c r="L384" s="87"/>
      <c r="M384" s="88"/>
      <c r="N384" s="89"/>
      <c r="O384" s="87"/>
      <c r="P384" s="87"/>
      <c r="Q384" s="87"/>
      <c r="R384" s="87"/>
      <c r="S384" s="87">
        <v>1</v>
      </c>
      <c r="T384" s="87">
        <v>1</v>
      </c>
      <c r="U384" s="87">
        <v>1</v>
      </c>
      <c r="V384" s="90" t="s">
        <v>3671</v>
      </c>
    </row>
    <row r="385" ht="15" customHeight="1" spans="1:23" x14ac:dyDescent="0.25">
      <c r="A385" s="85">
        <v>3725</v>
      </c>
      <c r="B385" s="85" t="s">
        <v>3670</v>
      </c>
      <c r="C385" s="85" t="s">
        <v>698</v>
      </c>
      <c r="D385" s="85" t="s">
        <v>907</v>
      </c>
      <c r="E385" s="85"/>
      <c r="F385" s="85" t="s">
        <v>2472</v>
      </c>
      <c r="G385" s="85" t="s">
        <v>288</v>
      </c>
      <c r="H385" s="85" t="s">
        <v>3268</v>
      </c>
      <c r="I385" s="86">
        <v>65</v>
      </c>
      <c r="J385" s="86">
        <v>65</v>
      </c>
      <c r="K385" s="87">
        <v>1</v>
      </c>
      <c r="L385" s="87">
        <v>1</v>
      </c>
      <c r="M385" s="88">
        <v>1</v>
      </c>
      <c r="N385" s="89"/>
      <c r="O385" s="87"/>
      <c r="P385" s="87"/>
      <c r="Q385" s="87"/>
      <c r="R385" s="87"/>
      <c r="S385" s="87">
        <v>1</v>
      </c>
      <c r="T385" s="87"/>
      <c r="U385" s="87">
        <v>1</v>
      </c>
      <c r="V385" s="90" t="s">
        <v>3671</v>
      </c>
    </row>
    <row r="386" ht="15" customHeight="1" spans="1:23" x14ac:dyDescent="0.25">
      <c r="A386" s="85">
        <v>3726</v>
      </c>
      <c r="B386" s="85" t="s">
        <v>3672</v>
      </c>
      <c r="C386" s="85" t="s">
        <v>698</v>
      </c>
      <c r="D386" s="85" t="s">
        <v>849</v>
      </c>
      <c r="E386" s="85"/>
      <c r="F386" s="85" t="s">
        <v>157</v>
      </c>
      <c r="G386" s="85"/>
      <c r="H386" s="85"/>
      <c r="I386" s="86"/>
      <c r="J386" s="86"/>
      <c r="K386" s="87"/>
      <c r="L386" s="87"/>
      <c r="M386" s="88"/>
      <c r="N386" s="89"/>
      <c r="O386" s="87"/>
      <c r="P386" s="87"/>
      <c r="Q386" s="87"/>
      <c r="R386" s="87"/>
      <c r="S386" s="87">
        <v>1</v>
      </c>
      <c r="T386" s="87">
        <v>1</v>
      </c>
      <c r="U386" s="87"/>
      <c r="V386" s="90" t="s">
        <v>2472</v>
      </c>
    </row>
    <row r="387" ht="15" customHeight="1" spans="1:23" x14ac:dyDescent="0.25">
      <c r="A387" s="85">
        <v>3726</v>
      </c>
      <c r="B387" s="85" t="s">
        <v>3672</v>
      </c>
      <c r="C387" s="85" t="s">
        <v>698</v>
      </c>
      <c r="D387" s="85" t="s">
        <v>849</v>
      </c>
      <c r="E387" s="85"/>
      <c r="F387" s="85" t="s">
        <v>2472</v>
      </c>
      <c r="G387" s="85" t="s">
        <v>288</v>
      </c>
      <c r="H387" s="85" t="s">
        <v>3268</v>
      </c>
      <c r="I387" s="86">
        <v>65</v>
      </c>
      <c r="J387" s="86">
        <v>65</v>
      </c>
      <c r="K387" s="87">
        <v>1</v>
      </c>
      <c r="L387" s="87">
        <v>1</v>
      </c>
      <c r="M387" s="88">
        <v>1</v>
      </c>
      <c r="N387" s="89"/>
      <c r="O387" s="87"/>
      <c r="P387" s="87"/>
      <c r="Q387" s="87"/>
      <c r="R387" s="87"/>
      <c r="S387" s="87">
        <v>1</v>
      </c>
      <c r="T387" s="87"/>
      <c r="U387" s="87">
        <v>0</v>
      </c>
      <c r="V387" s="90" t="s">
        <v>2472</v>
      </c>
    </row>
    <row r="388" ht="15" customHeight="1" spans="1:23" x14ac:dyDescent="0.25">
      <c r="A388" s="85">
        <v>3727</v>
      </c>
      <c r="B388" s="85" t="s">
        <v>3673</v>
      </c>
      <c r="C388" s="85" t="s">
        <v>698</v>
      </c>
      <c r="D388" s="85" t="s">
        <v>1309</v>
      </c>
      <c r="E388" s="85"/>
      <c r="F388" s="85" t="s">
        <v>157</v>
      </c>
      <c r="G388" s="85"/>
      <c r="H388" s="85"/>
      <c r="I388" s="86"/>
      <c r="J388" s="86"/>
      <c r="K388" s="87"/>
      <c r="L388" s="87"/>
      <c r="M388" s="88"/>
      <c r="N388" s="89"/>
      <c r="O388" s="87"/>
      <c r="P388" s="87"/>
      <c r="Q388" s="87"/>
      <c r="R388" s="87"/>
      <c r="S388" s="87">
        <v>1</v>
      </c>
      <c r="T388" s="87">
        <v>1</v>
      </c>
      <c r="U388" s="87"/>
      <c r="V388" s="90" t="s">
        <v>2472</v>
      </c>
    </row>
    <row r="389" ht="15" customHeight="1" spans="1:23" x14ac:dyDescent="0.25">
      <c r="A389" s="85">
        <v>3727</v>
      </c>
      <c r="B389" s="85" t="s">
        <v>3673</v>
      </c>
      <c r="C389" s="85" t="s">
        <v>698</v>
      </c>
      <c r="D389" s="85" t="s">
        <v>1309</v>
      </c>
      <c r="E389" s="85"/>
      <c r="F389" s="85" t="s">
        <v>2472</v>
      </c>
      <c r="G389" s="85" t="s">
        <v>288</v>
      </c>
      <c r="H389" s="85" t="s">
        <v>3268</v>
      </c>
      <c r="I389" s="86">
        <v>65</v>
      </c>
      <c r="J389" s="86">
        <v>65</v>
      </c>
      <c r="K389" s="87">
        <v>1</v>
      </c>
      <c r="L389" s="87">
        <v>1</v>
      </c>
      <c r="M389" s="88">
        <v>1</v>
      </c>
      <c r="N389" s="89"/>
      <c r="O389" s="87"/>
      <c r="P389" s="87"/>
      <c r="Q389" s="87"/>
      <c r="R389" s="87"/>
      <c r="S389" s="87">
        <v>1</v>
      </c>
      <c r="T389" s="87"/>
      <c r="U389" s="87">
        <v>0</v>
      </c>
      <c r="V389" s="90" t="s">
        <v>2472</v>
      </c>
    </row>
    <row r="390" ht="15" customHeight="1" spans="1:23" x14ac:dyDescent="0.25">
      <c r="A390" s="85">
        <v>3728</v>
      </c>
      <c r="B390" s="85" t="s">
        <v>3674</v>
      </c>
      <c r="C390" s="85" t="s">
        <v>698</v>
      </c>
      <c r="D390" s="85" t="s">
        <v>593</v>
      </c>
      <c r="E390" s="85"/>
      <c r="F390" s="85" t="s">
        <v>157</v>
      </c>
      <c r="G390" s="85"/>
      <c r="H390" s="85"/>
      <c r="I390" s="86"/>
      <c r="J390" s="86"/>
      <c r="K390" s="87"/>
      <c r="L390" s="87"/>
      <c r="M390" s="88"/>
      <c r="N390" s="89"/>
      <c r="O390" s="87"/>
      <c r="P390" s="87"/>
      <c r="Q390" s="87"/>
      <c r="R390" s="87"/>
      <c r="S390" s="87">
        <v>1</v>
      </c>
      <c r="T390" s="87">
        <v>1</v>
      </c>
      <c r="U390" s="87">
        <v>0</v>
      </c>
      <c r="V390" s="90" t="s">
        <v>2472</v>
      </c>
    </row>
    <row r="391" ht="15" customHeight="1" spans="1:23" x14ac:dyDescent="0.25">
      <c r="A391" s="85">
        <v>3728</v>
      </c>
      <c r="B391" s="85" t="s">
        <v>3674</v>
      </c>
      <c r="C391" s="85" t="s">
        <v>698</v>
      </c>
      <c r="D391" s="85" t="s">
        <v>593</v>
      </c>
      <c r="E391" s="85"/>
      <c r="F391" s="85" t="s">
        <v>2472</v>
      </c>
      <c r="G391" s="85" t="s">
        <v>288</v>
      </c>
      <c r="H391" s="85" t="s">
        <v>3268</v>
      </c>
      <c r="I391" s="86">
        <v>65</v>
      </c>
      <c r="J391" s="86">
        <v>65</v>
      </c>
      <c r="K391" s="87">
        <v>1</v>
      </c>
      <c r="L391" s="87">
        <v>1</v>
      </c>
      <c r="M391" s="88">
        <v>1</v>
      </c>
      <c r="N391" s="89"/>
      <c r="O391" s="87"/>
      <c r="P391" s="87"/>
      <c r="Q391" s="87"/>
      <c r="R391" s="87"/>
      <c r="S391" s="87">
        <v>1</v>
      </c>
      <c r="T391" s="87"/>
      <c r="U391" s="87">
        <v>0</v>
      </c>
      <c r="V391" s="90" t="s">
        <v>3577</v>
      </c>
    </row>
    <row r="392" ht="15" customHeight="1" spans="1:23" x14ac:dyDescent="0.25">
      <c r="A392" s="85">
        <v>3729</v>
      </c>
      <c r="B392" s="85" t="s">
        <v>3675</v>
      </c>
      <c r="C392" s="85" t="s">
        <v>698</v>
      </c>
      <c r="D392" s="85" t="s">
        <v>1947</v>
      </c>
      <c r="E392" s="85"/>
      <c r="F392" s="85" t="s">
        <v>157</v>
      </c>
      <c r="G392" s="85"/>
      <c r="H392" s="85"/>
      <c r="I392" s="86"/>
      <c r="J392" s="86"/>
      <c r="K392" s="87"/>
      <c r="L392" s="87"/>
      <c r="M392" s="88"/>
      <c r="N392" s="89"/>
      <c r="O392" s="87"/>
      <c r="P392" s="87"/>
      <c r="Q392" s="87"/>
      <c r="R392" s="87"/>
      <c r="S392" s="87">
        <v>1</v>
      </c>
      <c r="T392" s="87">
        <v>1</v>
      </c>
      <c r="U392" s="87"/>
      <c r="V392" s="90" t="s">
        <v>2472</v>
      </c>
    </row>
    <row r="393" ht="15" customHeight="1" spans="1:23" x14ac:dyDescent="0.25">
      <c r="A393" s="85">
        <v>3729</v>
      </c>
      <c r="B393" s="85" t="s">
        <v>3675</v>
      </c>
      <c r="C393" s="85" t="s">
        <v>698</v>
      </c>
      <c r="D393" s="85" t="s">
        <v>1947</v>
      </c>
      <c r="E393" s="85"/>
      <c r="F393" s="85" t="s">
        <v>2472</v>
      </c>
      <c r="G393" s="85" t="s">
        <v>288</v>
      </c>
      <c r="H393" s="85" t="s">
        <v>3268</v>
      </c>
      <c r="I393" s="86">
        <v>65</v>
      </c>
      <c r="J393" s="86">
        <v>65</v>
      </c>
      <c r="K393" s="87">
        <v>1</v>
      </c>
      <c r="L393" s="87">
        <v>1</v>
      </c>
      <c r="M393" s="88">
        <v>1</v>
      </c>
      <c r="N393" s="89"/>
      <c r="O393" s="87"/>
      <c r="P393" s="87"/>
      <c r="Q393" s="87"/>
      <c r="R393" s="87"/>
      <c r="S393" s="87">
        <v>1</v>
      </c>
      <c r="T393" s="87"/>
      <c r="U393" s="87">
        <v>0</v>
      </c>
      <c r="V393" s="90" t="s">
        <v>2472</v>
      </c>
    </row>
    <row r="394" ht="15" customHeight="1" spans="1:23" x14ac:dyDescent="0.25">
      <c r="A394" s="85">
        <v>3730</v>
      </c>
      <c r="B394" s="85" t="s">
        <v>3676</v>
      </c>
      <c r="C394" s="85" t="s">
        <v>698</v>
      </c>
      <c r="D394" s="85" t="s">
        <v>717</v>
      </c>
      <c r="E394" s="85"/>
      <c r="F394" s="85" t="s">
        <v>157</v>
      </c>
      <c r="G394" s="85"/>
      <c r="H394" s="85"/>
      <c r="I394" s="86"/>
      <c r="J394" s="86"/>
      <c r="K394" s="87"/>
      <c r="L394" s="87"/>
      <c r="M394" s="88"/>
      <c r="N394" s="89"/>
      <c r="O394" s="87"/>
      <c r="P394" s="87"/>
      <c r="Q394" s="87"/>
      <c r="R394" s="87"/>
      <c r="S394" s="87">
        <v>1</v>
      </c>
      <c r="T394" s="87">
        <v>1</v>
      </c>
      <c r="U394" s="87">
        <v>1</v>
      </c>
      <c r="V394" s="90" t="s">
        <v>3677</v>
      </c>
    </row>
    <row r="395" ht="15" customHeight="1" spans="1:23" x14ac:dyDescent="0.25">
      <c r="A395" s="85">
        <v>3730</v>
      </c>
      <c r="B395" s="85" t="s">
        <v>3676</v>
      </c>
      <c r="C395" s="85" t="s">
        <v>698</v>
      </c>
      <c r="D395" s="85" t="s">
        <v>717</v>
      </c>
      <c r="E395" s="85"/>
      <c r="F395" s="85" t="s">
        <v>2472</v>
      </c>
      <c r="G395" s="85" t="s">
        <v>288</v>
      </c>
      <c r="H395" s="85" t="s">
        <v>3268</v>
      </c>
      <c r="I395" s="86">
        <v>65</v>
      </c>
      <c r="J395" s="86">
        <v>65</v>
      </c>
      <c r="K395" s="87">
        <v>1</v>
      </c>
      <c r="L395" s="87">
        <v>1</v>
      </c>
      <c r="M395" s="88">
        <v>1</v>
      </c>
      <c r="N395" s="89"/>
      <c r="O395" s="87"/>
      <c r="P395" s="87"/>
      <c r="Q395" s="87"/>
      <c r="R395" s="87"/>
      <c r="S395" s="87">
        <v>1</v>
      </c>
      <c r="T395" s="87"/>
      <c r="U395" s="87">
        <v>1</v>
      </c>
      <c r="V395" s="90" t="s">
        <v>3677</v>
      </c>
    </row>
    <row r="396" ht="15" customHeight="1" spans="1:23" x14ac:dyDescent="0.25">
      <c r="A396" s="85">
        <v>3731</v>
      </c>
      <c r="B396" s="85" t="s">
        <v>3678</v>
      </c>
      <c r="C396" s="85" t="s">
        <v>698</v>
      </c>
      <c r="D396" s="85" t="s">
        <v>791</v>
      </c>
      <c r="E396" s="85"/>
      <c r="F396" s="85" t="s">
        <v>157</v>
      </c>
      <c r="G396" s="85"/>
      <c r="H396" s="85"/>
      <c r="I396" s="86"/>
      <c r="J396" s="86"/>
      <c r="K396" s="87"/>
      <c r="L396" s="87"/>
      <c r="M396" s="88"/>
      <c r="N396" s="89"/>
      <c r="O396" s="87"/>
      <c r="P396" s="87"/>
      <c r="Q396" s="87"/>
      <c r="R396" s="87"/>
      <c r="S396" s="87">
        <v>1</v>
      </c>
      <c r="T396" s="87">
        <v>1</v>
      </c>
      <c r="U396" s="87">
        <v>1</v>
      </c>
      <c r="V396" s="90" t="s">
        <v>3679</v>
      </c>
    </row>
    <row r="397" ht="15" customHeight="1" spans="1:23" x14ac:dyDescent="0.25">
      <c r="A397" s="85">
        <v>3731</v>
      </c>
      <c r="B397" s="85" t="s">
        <v>3678</v>
      </c>
      <c r="C397" s="85" t="s">
        <v>698</v>
      </c>
      <c r="D397" s="85" t="s">
        <v>791</v>
      </c>
      <c r="E397" s="85"/>
      <c r="F397" s="85" t="s">
        <v>2472</v>
      </c>
      <c r="G397" s="85" t="s">
        <v>288</v>
      </c>
      <c r="H397" s="85" t="s">
        <v>3268</v>
      </c>
      <c r="I397" s="86">
        <v>65</v>
      </c>
      <c r="J397" s="86">
        <v>65</v>
      </c>
      <c r="K397" s="87">
        <v>1</v>
      </c>
      <c r="L397" s="87">
        <v>1</v>
      </c>
      <c r="M397" s="88">
        <v>1</v>
      </c>
      <c r="N397" s="89"/>
      <c r="O397" s="87"/>
      <c r="P397" s="87"/>
      <c r="Q397" s="87"/>
      <c r="R397" s="87"/>
      <c r="S397" s="87">
        <v>1</v>
      </c>
      <c r="T397" s="87"/>
      <c r="U397" s="87">
        <v>1</v>
      </c>
      <c r="V397" s="90" t="s">
        <v>3679</v>
      </c>
    </row>
    <row r="398" ht="15" customHeight="1" spans="1:23" x14ac:dyDescent="0.25">
      <c r="A398" s="85">
        <v>3732</v>
      </c>
      <c r="B398" s="85" t="s">
        <v>3680</v>
      </c>
      <c r="C398" s="85" t="s">
        <v>698</v>
      </c>
      <c r="D398" s="85" t="s">
        <v>791</v>
      </c>
      <c r="E398" s="85"/>
      <c r="F398" s="85" t="s">
        <v>157</v>
      </c>
      <c r="G398" s="85"/>
      <c r="H398" s="85"/>
      <c r="I398" s="86"/>
      <c r="J398" s="86"/>
      <c r="K398" s="87"/>
      <c r="L398" s="87"/>
      <c r="M398" s="88"/>
      <c r="N398" s="89"/>
      <c r="O398" s="87"/>
      <c r="P398" s="87"/>
      <c r="Q398" s="87"/>
      <c r="R398" s="87"/>
      <c r="S398" s="87">
        <v>1</v>
      </c>
      <c r="T398" s="87">
        <v>1</v>
      </c>
      <c r="U398" s="87"/>
      <c r="V398" s="90" t="s">
        <v>2472</v>
      </c>
    </row>
    <row r="399" ht="15" customHeight="1" spans="1:23" x14ac:dyDescent="0.25">
      <c r="A399" s="85">
        <v>3732</v>
      </c>
      <c r="B399" s="85" t="s">
        <v>3680</v>
      </c>
      <c r="C399" s="85" t="s">
        <v>698</v>
      </c>
      <c r="D399" s="85" t="s">
        <v>791</v>
      </c>
      <c r="E399" s="85"/>
      <c r="F399" s="85" t="s">
        <v>2472</v>
      </c>
      <c r="G399" s="85" t="s">
        <v>288</v>
      </c>
      <c r="H399" s="85" t="s">
        <v>3268</v>
      </c>
      <c r="I399" s="86">
        <v>65</v>
      </c>
      <c r="J399" s="86">
        <v>65</v>
      </c>
      <c r="K399" s="87">
        <v>1</v>
      </c>
      <c r="L399" s="87">
        <v>1</v>
      </c>
      <c r="M399" s="88">
        <v>1</v>
      </c>
      <c r="N399" s="89"/>
      <c r="O399" s="87"/>
      <c r="P399" s="87"/>
      <c r="Q399" s="87"/>
      <c r="R399" s="87"/>
      <c r="S399" s="87">
        <v>1</v>
      </c>
      <c r="T399" s="87"/>
      <c r="U399" s="87">
        <v>0</v>
      </c>
      <c r="V399" s="90" t="s">
        <v>2472</v>
      </c>
    </row>
    <row r="400" ht="15" customHeight="1" spans="1:23" x14ac:dyDescent="0.25">
      <c r="A400" s="85">
        <v>3733</v>
      </c>
      <c r="B400" s="85" t="s">
        <v>3681</v>
      </c>
      <c r="C400" s="85" t="s">
        <v>698</v>
      </c>
      <c r="D400" s="85" t="s">
        <v>1243</v>
      </c>
      <c r="E400" s="85"/>
      <c r="F400" s="85" t="s">
        <v>157</v>
      </c>
      <c r="G400" s="85"/>
      <c r="H400" s="85"/>
      <c r="I400" s="86"/>
      <c r="J400" s="86"/>
      <c r="K400" s="87"/>
      <c r="L400" s="87"/>
      <c r="M400" s="88"/>
      <c r="N400" s="89"/>
      <c r="O400" s="87"/>
      <c r="P400" s="87"/>
      <c r="Q400" s="87"/>
      <c r="R400" s="87"/>
      <c r="S400" s="87">
        <v>1</v>
      </c>
      <c r="T400" s="87">
        <v>1</v>
      </c>
      <c r="U400" s="87">
        <v>1</v>
      </c>
      <c r="V400" s="90" t="s">
        <v>3682</v>
      </c>
    </row>
    <row r="401" ht="15" customHeight="1" spans="1:23" x14ac:dyDescent="0.25">
      <c r="A401" s="85">
        <v>3733</v>
      </c>
      <c r="B401" s="85" t="s">
        <v>3681</v>
      </c>
      <c r="C401" s="85" t="s">
        <v>698</v>
      </c>
      <c r="D401" s="85" t="s">
        <v>1243</v>
      </c>
      <c r="E401" s="85"/>
      <c r="F401" s="85" t="s">
        <v>2472</v>
      </c>
      <c r="G401" s="85" t="s">
        <v>288</v>
      </c>
      <c r="H401" s="85" t="s">
        <v>3268</v>
      </c>
      <c r="I401" s="86">
        <v>65</v>
      </c>
      <c r="J401" s="86">
        <v>65</v>
      </c>
      <c r="K401" s="87">
        <v>1</v>
      </c>
      <c r="L401" s="87">
        <v>1</v>
      </c>
      <c r="M401" s="88">
        <v>1</v>
      </c>
      <c r="N401" s="89"/>
      <c r="O401" s="87"/>
      <c r="P401" s="87"/>
      <c r="Q401" s="87"/>
      <c r="R401" s="87"/>
      <c r="S401" s="87">
        <v>1</v>
      </c>
      <c r="T401" s="87"/>
      <c r="U401" s="87">
        <v>1</v>
      </c>
      <c r="V401" s="90" t="s">
        <v>3682</v>
      </c>
    </row>
    <row r="402" ht="15" customHeight="1" spans="1:23" x14ac:dyDescent="0.25">
      <c r="A402" s="85">
        <v>3734</v>
      </c>
      <c r="B402" s="85" t="s">
        <v>3683</v>
      </c>
      <c r="C402" s="85" t="s">
        <v>698</v>
      </c>
      <c r="D402" s="85" t="s">
        <v>2335</v>
      </c>
      <c r="E402" s="85"/>
      <c r="F402" s="85" t="s">
        <v>157</v>
      </c>
      <c r="G402" s="85"/>
      <c r="H402" s="85"/>
      <c r="I402" s="86"/>
      <c r="J402" s="86"/>
      <c r="K402" s="87"/>
      <c r="L402" s="87"/>
      <c r="M402" s="88"/>
      <c r="N402" s="89"/>
      <c r="O402" s="87"/>
      <c r="P402" s="87"/>
      <c r="Q402" s="87"/>
      <c r="R402" s="87"/>
      <c r="S402" s="87">
        <v>1</v>
      </c>
      <c r="T402" s="87">
        <v>1</v>
      </c>
      <c r="U402" s="87">
        <v>0</v>
      </c>
      <c r="V402" s="90" t="s">
        <v>2472</v>
      </c>
    </row>
    <row r="403" ht="15" customHeight="1" spans="1:23" x14ac:dyDescent="0.25">
      <c r="A403" s="85">
        <v>3734</v>
      </c>
      <c r="B403" s="85" t="s">
        <v>3683</v>
      </c>
      <c r="C403" s="85" t="s">
        <v>698</v>
      </c>
      <c r="D403" s="85" t="s">
        <v>2335</v>
      </c>
      <c r="E403" s="85"/>
      <c r="F403" s="85" t="s">
        <v>2472</v>
      </c>
      <c r="G403" s="85" t="s">
        <v>288</v>
      </c>
      <c r="H403" s="85" t="s">
        <v>3268</v>
      </c>
      <c r="I403" s="86">
        <v>65</v>
      </c>
      <c r="J403" s="86">
        <v>65</v>
      </c>
      <c r="K403" s="87">
        <v>1</v>
      </c>
      <c r="L403" s="87">
        <v>1</v>
      </c>
      <c r="M403" s="88">
        <v>1</v>
      </c>
      <c r="N403" s="89"/>
      <c r="O403" s="87"/>
      <c r="P403" s="87"/>
      <c r="Q403" s="87"/>
      <c r="R403" s="87"/>
      <c r="S403" s="87">
        <v>1</v>
      </c>
      <c r="T403" s="87"/>
      <c r="U403" s="87">
        <v>0</v>
      </c>
      <c r="V403" s="90" t="s">
        <v>3577</v>
      </c>
    </row>
    <row r="404" ht="15" customHeight="1" spans="1:23" x14ac:dyDescent="0.25">
      <c r="A404" s="85">
        <v>3735</v>
      </c>
      <c r="B404" s="85" t="s">
        <v>3684</v>
      </c>
      <c r="C404" s="85" t="s">
        <v>698</v>
      </c>
      <c r="D404" s="85" t="s">
        <v>1127</v>
      </c>
      <c r="E404" s="85"/>
      <c r="F404" s="85" t="s">
        <v>157</v>
      </c>
      <c r="G404" s="85"/>
      <c r="H404" s="85"/>
      <c r="I404" s="86"/>
      <c r="J404" s="86"/>
      <c r="K404" s="87"/>
      <c r="L404" s="87"/>
      <c r="M404" s="88"/>
      <c r="N404" s="89"/>
      <c r="O404" s="87"/>
      <c r="P404" s="87"/>
      <c r="Q404" s="87"/>
      <c r="R404" s="87"/>
      <c r="S404" s="87">
        <v>1</v>
      </c>
      <c r="T404" s="87">
        <v>1</v>
      </c>
      <c r="U404" s="87"/>
      <c r="V404" s="90" t="s">
        <v>2472</v>
      </c>
    </row>
    <row r="405" ht="15" customHeight="1" spans="1:23" x14ac:dyDescent="0.25">
      <c r="A405" s="85">
        <v>3735</v>
      </c>
      <c r="B405" s="85" t="s">
        <v>3684</v>
      </c>
      <c r="C405" s="85" t="s">
        <v>698</v>
      </c>
      <c r="D405" s="85" t="s">
        <v>1127</v>
      </c>
      <c r="E405" s="85"/>
      <c r="F405" s="85" t="s">
        <v>2472</v>
      </c>
      <c r="G405" s="85" t="s">
        <v>288</v>
      </c>
      <c r="H405" s="85" t="s">
        <v>3268</v>
      </c>
      <c r="I405" s="86">
        <v>65</v>
      </c>
      <c r="J405" s="86">
        <v>65</v>
      </c>
      <c r="K405" s="87">
        <v>1</v>
      </c>
      <c r="L405" s="87">
        <v>1</v>
      </c>
      <c r="M405" s="88">
        <v>1</v>
      </c>
      <c r="N405" s="89"/>
      <c r="O405" s="87"/>
      <c r="P405" s="87"/>
      <c r="Q405" s="87"/>
      <c r="R405" s="87"/>
      <c r="S405" s="87">
        <v>1</v>
      </c>
      <c r="T405" s="87"/>
      <c r="U405" s="87">
        <v>0</v>
      </c>
      <c r="V405" s="90" t="s">
        <v>2472</v>
      </c>
    </row>
    <row r="406" ht="15" customHeight="1" spans="1:23" x14ac:dyDescent="0.25">
      <c r="A406" s="85">
        <v>3736</v>
      </c>
      <c r="B406" s="85" t="s">
        <v>3685</v>
      </c>
      <c r="C406" s="85" t="s">
        <v>698</v>
      </c>
      <c r="D406" s="85" t="s">
        <v>763</v>
      </c>
      <c r="E406" s="85"/>
      <c r="F406" s="85" t="s">
        <v>157</v>
      </c>
      <c r="G406" s="85"/>
      <c r="H406" s="85"/>
      <c r="I406" s="86"/>
      <c r="J406" s="86"/>
      <c r="K406" s="87"/>
      <c r="L406" s="87"/>
      <c r="M406" s="88"/>
      <c r="N406" s="89"/>
      <c r="O406" s="87"/>
      <c r="P406" s="87"/>
      <c r="Q406" s="87"/>
      <c r="R406" s="87"/>
      <c r="S406" s="87">
        <v>0.8</v>
      </c>
      <c r="T406" s="87">
        <v>0.8</v>
      </c>
      <c r="U406" s="87"/>
      <c r="V406" s="90" t="s">
        <v>2472</v>
      </c>
    </row>
    <row r="407" ht="15" customHeight="1" spans="1:23" x14ac:dyDescent="0.25">
      <c r="A407" s="85">
        <v>3736</v>
      </c>
      <c r="B407" s="85" t="s">
        <v>3685</v>
      </c>
      <c r="C407" s="85" t="s">
        <v>698</v>
      </c>
      <c r="D407" s="85" t="s">
        <v>763</v>
      </c>
      <c r="E407" s="85"/>
      <c r="F407" s="85" t="s">
        <v>2472</v>
      </c>
      <c r="G407" s="85" t="s">
        <v>288</v>
      </c>
      <c r="H407" s="85" t="s">
        <v>3268</v>
      </c>
      <c r="I407" s="86">
        <v>65</v>
      </c>
      <c r="J407" s="86">
        <v>65</v>
      </c>
      <c r="K407" s="87">
        <v>1</v>
      </c>
      <c r="L407" s="87">
        <v>0.8</v>
      </c>
      <c r="M407" s="88">
        <v>0.8</v>
      </c>
      <c r="N407" s="89"/>
      <c r="O407" s="87"/>
      <c r="P407" s="87"/>
      <c r="Q407" s="87"/>
      <c r="R407" s="87"/>
      <c r="S407" s="87">
        <v>0.8</v>
      </c>
      <c r="T407" s="87"/>
      <c r="U407" s="87">
        <v>0</v>
      </c>
      <c r="V407" s="90" t="s">
        <v>2472</v>
      </c>
    </row>
    <row r="408" ht="15" customHeight="1" spans="1:23" x14ac:dyDescent="0.25">
      <c r="A408" s="85">
        <v>3737</v>
      </c>
      <c r="B408" s="85" t="s">
        <v>3686</v>
      </c>
      <c r="C408" s="85" t="s">
        <v>698</v>
      </c>
      <c r="D408" s="85" t="s">
        <v>1053</v>
      </c>
      <c r="E408" s="85"/>
      <c r="F408" s="85" t="s">
        <v>157</v>
      </c>
      <c r="G408" s="85"/>
      <c r="H408" s="85"/>
      <c r="I408" s="86"/>
      <c r="J408" s="86"/>
      <c r="K408" s="87"/>
      <c r="L408" s="87"/>
      <c r="M408" s="88"/>
      <c r="N408" s="89"/>
      <c r="O408" s="87"/>
      <c r="P408" s="87"/>
      <c r="Q408" s="87"/>
      <c r="R408" s="87"/>
      <c r="S408" s="87">
        <v>1</v>
      </c>
      <c r="T408" s="87">
        <v>1</v>
      </c>
      <c r="U408" s="87"/>
      <c r="V408" s="90" t="s">
        <v>2472</v>
      </c>
    </row>
    <row r="409" ht="15" customHeight="1" spans="1:23" x14ac:dyDescent="0.25">
      <c r="A409" s="85">
        <v>3737</v>
      </c>
      <c r="B409" s="85" t="s">
        <v>3686</v>
      </c>
      <c r="C409" s="85" t="s">
        <v>698</v>
      </c>
      <c r="D409" s="85" t="s">
        <v>1053</v>
      </c>
      <c r="E409" s="85"/>
      <c r="F409" s="85" t="s">
        <v>2472</v>
      </c>
      <c r="G409" s="85" t="s">
        <v>288</v>
      </c>
      <c r="H409" s="85" t="s">
        <v>3268</v>
      </c>
      <c r="I409" s="86">
        <v>65</v>
      </c>
      <c r="J409" s="86">
        <v>65</v>
      </c>
      <c r="K409" s="87">
        <v>1</v>
      </c>
      <c r="L409" s="87">
        <v>1</v>
      </c>
      <c r="M409" s="88">
        <v>1</v>
      </c>
      <c r="N409" s="89"/>
      <c r="O409" s="87"/>
      <c r="P409" s="87"/>
      <c r="Q409" s="87"/>
      <c r="R409" s="87"/>
      <c r="S409" s="87">
        <v>1</v>
      </c>
      <c r="T409" s="87"/>
      <c r="U409" s="87">
        <v>0</v>
      </c>
      <c r="V409" s="90" t="s">
        <v>2472</v>
      </c>
    </row>
    <row r="410" ht="15" customHeight="1" spans="1:23" x14ac:dyDescent="0.25">
      <c r="A410" s="85">
        <v>3738</v>
      </c>
      <c r="B410" s="85" t="s">
        <v>3687</v>
      </c>
      <c r="C410" s="85" t="s">
        <v>698</v>
      </c>
      <c r="D410" s="85" t="s">
        <v>1542</v>
      </c>
      <c r="E410" s="85"/>
      <c r="F410" s="85" t="s">
        <v>157</v>
      </c>
      <c r="G410" s="85"/>
      <c r="H410" s="85"/>
      <c r="I410" s="86"/>
      <c r="J410" s="86"/>
      <c r="K410" s="87"/>
      <c r="L410" s="87"/>
      <c r="M410" s="88"/>
      <c r="N410" s="89"/>
      <c r="O410" s="87"/>
      <c r="P410" s="87"/>
      <c r="Q410" s="87"/>
      <c r="R410" s="87"/>
      <c r="S410" s="87">
        <v>0.6</v>
      </c>
      <c r="T410" s="87">
        <v>0.6</v>
      </c>
      <c r="U410" s="87">
        <v>0.6</v>
      </c>
      <c r="V410" s="90" t="s">
        <v>3688</v>
      </c>
    </row>
    <row r="411" ht="15" customHeight="1" spans="1:23" x14ac:dyDescent="0.25">
      <c r="A411" s="85">
        <v>3738</v>
      </c>
      <c r="B411" s="85" t="s">
        <v>3687</v>
      </c>
      <c r="C411" s="85" t="s">
        <v>698</v>
      </c>
      <c r="D411" s="85" t="s">
        <v>1542</v>
      </c>
      <c r="E411" s="85"/>
      <c r="F411" s="85" t="s">
        <v>2472</v>
      </c>
      <c r="G411" s="85" t="s">
        <v>288</v>
      </c>
      <c r="H411" s="85" t="s">
        <v>3268</v>
      </c>
      <c r="I411" s="86">
        <v>65</v>
      </c>
      <c r="J411" s="86">
        <v>65</v>
      </c>
      <c r="K411" s="87">
        <v>1</v>
      </c>
      <c r="L411" s="87">
        <v>0.6</v>
      </c>
      <c r="M411" s="88">
        <v>0.6</v>
      </c>
      <c r="N411" s="89"/>
      <c r="O411" s="87"/>
      <c r="P411" s="87"/>
      <c r="Q411" s="87"/>
      <c r="R411" s="87"/>
      <c r="S411" s="87">
        <v>0.6</v>
      </c>
      <c r="T411" s="87"/>
      <c r="U411" s="87">
        <v>0.6</v>
      </c>
      <c r="V411" s="90" t="s">
        <v>3688</v>
      </c>
    </row>
    <row r="412" ht="15" customHeight="1" spans="1:23" x14ac:dyDescent="0.25">
      <c r="A412" s="85">
        <v>3739</v>
      </c>
      <c r="B412" s="85" t="s">
        <v>3689</v>
      </c>
      <c r="C412" s="85" t="s">
        <v>698</v>
      </c>
      <c r="D412" s="85" t="s">
        <v>816</v>
      </c>
      <c r="E412" s="85"/>
      <c r="F412" s="85" t="s">
        <v>157</v>
      </c>
      <c r="G412" s="85"/>
      <c r="H412" s="85"/>
      <c r="I412" s="86"/>
      <c r="J412" s="86"/>
      <c r="K412" s="87"/>
      <c r="L412" s="87"/>
      <c r="M412" s="88"/>
      <c r="N412" s="89"/>
      <c r="O412" s="87"/>
      <c r="P412" s="87"/>
      <c r="Q412" s="87"/>
      <c r="R412" s="87"/>
      <c r="S412" s="87">
        <v>1</v>
      </c>
      <c r="T412" s="87">
        <v>1</v>
      </c>
      <c r="U412" s="87"/>
      <c r="V412" s="90" t="s">
        <v>2472</v>
      </c>
    </row>
    <row r="413" ht="15" customHeight="1" spans="1:23" x14ac:dyDescent="0.25">
      <c r="A413" s="85">
        <v>3739</v>
      </c>
      <c r="B413" s="85" t="s">
        <v>3689</v>
      </c>
      <c r="C413" s="85" t="s">
        <v>698</v>
      </c>
      <c r="D413" s="85" t="s">
        <v>816</v>
      </c>
      <c r="E413" s="85"/>
      <c r="F413" s="85" t="s">
        <v>2472</v>
      </c>
      <c r="G413" s="85" t="s">
        <v>288</v>
      </c>
      <c r="H413" s="85" t="s">
        <v>3268</v>
      </c>
      <c r="I413" s="86">
        <v>65</v>
      </c>
      <c r="J413" s="86">
        <v>65</v>
      </c>
      <c r="K413" s="87">
        <v>1</v>
      </c>
      <c r="L413" s="87">
        <v>1</v>
      </c>
      <c r="M413" s="88">
        <v>1</v>
      </c>
      <c r="N413" s="89"/>
      <c r="O413" s="87"/>
      <c r="P413" s="87"/>
      <c r="Q413" s="87"/>
      <c r="R413" s="87"/>
      <c r="S413" s="87">
        <v>1</v>
      </c>
      <c r="T413" s="87"/>
      <c r="U413" s="87">
        <v>0</v>
      </c>
      <c r="V413" s="90" t="s">
        <v>2472</v>
      </c>
    </row>
    <row r="414" ht="15" customHeight="1" spans="1:23" x14ac:dyDescent="0.25">
      <c r="A414" s="85">
        <v>3740</v>
      </c>
      <c r="B414" s="85" t="s">
        <v>3690</v>
      </c>
      <c r="C414" s="85" t="s">
        <v>698</v>
      </c>
      <c r="D414" s="85" t="s">
        <v>593</v>
      </c>
      <c r="E414" s="85"/>
      <c r="F414" s="85" t="s">
        <v>157</v>
      </c>
      <c r="G414" s="85"/>
      <c r="H414" s="85"/>
      <c r="I414" s="86"/>
      <c r="J414" s="86"/>
      <c r="K414" s="87"/>
      <c r="L414" s="87"/>
      <c r="M414" s="88"/>
      <c r="N414" s="89"/>
      <c r="O414" s="87"/>
      <c r="P414" s="87"/>
      <c r="Q414" s="87"/>
      <c r="R414" s="87"/>
      <c r="S414" s="87">
        <v>1</v>
      </c>
      <c r="T414" s="87">
        <v>1</v>
      </c>
      <c r="U414" s="87">
        <v>1</v>
      </c>
      <c r="V414" s="90" t="s">
        <v>3691</v>
      </c>
    </row>
    <row r="415" ht="15" customHeight="1" spans="1:23" x14ac:dyDescent="0.25">
      <c r="A415" s="85">
        <v>3740</v>
      </c>
      <c r="B415" s="85" t="s">
        <v>3690</v>
      </c>
      <c r="C415" s="85" t="s">
        <v>698</v>
      </c>
      <c r="D415" s="85" t="s">
        <v>593</v>
      </c>
      <c r="E415" s="85"/>
      <c r="F415" s="85" t="s">
        <v>2472</v>
      </c>
      <c r="G415" s="85" t="s">
        <v>288</v>
      </c>
      <c r="H415" s="85" t="s">
        <v>3268</v>
      </c>
      <c r="I415" s="86">
        <v>65</v>
      </c>
      <c r="J415" s="86">
        <v>65</v>
      </c>
      <c r="K415" s="87">
        <v>1</v>
      </c>
      <c r="L415" s="87">
        <v>1</v>
      </c>
      <c r="M415" s="88">
        <v>1</v>
      </c>
      <c r="N415" s="89"/>
      <c r="O415" s="87"/>
      <c r="P415" s="87"/>
      <c r="Q415" s="87"/>
      <c r="R415" s="87"/>
      <c r="S415" s="87">
        <v>1</v>
      </c>
      <c r="T415" s="87"/>
      <c r="U415" s="87">
        <v>1</v>
      </c>
      <c r="V415" s="90" t="s">
        <v>3691</v>
      </c>
    </row>
    <row r="416" ht="15" customHeight="1" spans="1:23" x14ac:dyDescent="0.25">
      <c r="A416" s="85">
        <v>3741</v>
      </c>
      <c r="B416" s="85" t="s">
        <v>3692</v>
      </c>
      <c r="C416" s="85" t="s">
        <v>698</v>
      </c>
      <c r="D416" s="85" t="s">
        <v>1100</v>
      </c>
      <c r="E416" s="85"/>
      <c r="F416" s="85" t="s">
        <v>157</v>
      </c>
      <c r="G416" s="85"/>
      <c r="H416" s="85"/>
      <c r="I416" s="86"/>
      <c r="J416" s="86"/>
      <c r="K416" s="87"/>
      <c r="L416" s="87"/>
      <c r="M416" s="88"/>
      <c r="N416" s="89"/>
      <c r="O416" s="87"/>
      <c r="P416" s="87"/>
      <c r="Q416" s="87"/>
      <c r="R416" s="87"/>
      <c r="S416" s="87">
        <v>1</v>
      </c>
      <c r="T416" s="87">
        <v>1</v>
      </c>
      <c r="U416" s="87">
        <v>0</v>
      </c>
      <c r="V416" s="90" t="s">
        <v>2472</v>
      </c>
    </row>
    <row r="417" ht="15" customHeight="1" spans="1:23" x14ac:dyDescent="0.25">
      <c r="A417" s="85">
        <v>3741</v>
      </c>
      <c r="B417" s="85" t="s">
        <v>3692</v>
      </c>
      <c r="C417" s="85" t="s">
        <v>698</v>
      </c>
      <c r="D417" s="85" t="s">
        <v>1100</v>
      </c>
      <c r="E417" s="85"/>
      <c r="F417" s="85" t="s">
        <v>2472</v>
      </c>
      <c r="G417" s="85" t="s">
        <v>288</v>
      </c>
      <c r="H417" s="85" t="s">
        <v>3268</v>
      </c>
      <c r="I417" s="86">
        <v>65</v>
      </c>
      <c r="J417" s="86">
        <v>65</v>
      </c>
      <c r="K417" s="87">
        <v>1</v>
      </c>
      <c r="L417" s="87">
        <v>1</v>
      </c>
      <c r="M417" s="88">
        <v>1</v>
      </c>
      <c r="N417" s="89"/>
      <c r="O417" s="87"/>
      <c r="P417" s="87"/>
      <c r="Q417" s="87"/>
      <c r="R417" s="87"/>
      <c r="S417" s="87">
        <v>1</v>
      </c>
      <c r="T417" s="87"/>
      <c r="U417" s="87">
        <v>0</v>
      </c>
      <c r="V417" s="90" t="s">
        <v>3577</v>
      </c>
    </row>
    <row r="418" ht="15" customHeight="1" spans="1:23" x14ac:dyDescent="0.25">
      <c r="A418" s="85">
        <v>3742</v>
      </c>
      <c r="B418" s="85" t="s">
        <v>3693</v>
      </c>
      <c r="C418" s="85" t="s">
        <v>698</v>
      </c>
      <c r="D418" s="85" t="s">
        <v>1048</v>
      </c>
      <c r="E418" s="85"/>
      <c r="F418" s="85" t="s">
        <v>157</v>
      </c>
      <c r="G418" s="85"/>
      <c r="H418" s="85"/>
      <c r="I418" s="86"/>
      <c r="J418" s="86"/>
      <c r="K418" s="87"/>
      <c r="L418" s="87"/>
      <c r="M418" s="88"/>
      <c r="N418" s="89"/>
      <c r="O418" s="87"/>
      <c r="P418" s="87"/>
      <c r="Q418" s="87"/>
      <c r="R418" s="87"/>
      <c r="S418" s="87">
        <v>1</v>
      </c>
      <c r="T418" s="87">
        <v>1</v>
      </c>
      <c r="U418" s="87"/>
      <c r="V418" s="90" t="s">
        <v>2472</v>
      </c>
    </row>
    <row r="419" ht="15" customHeight="1" spans="1:23" x14ac:dyDescent="0.25">
      <c r="A419" s="85">
        <v>3742</v>
      </c>
      <c r="B419" s="85" t="s">
        <v>3693</v>
      </c>
      <c r="C419" s="85" t="s">
        <v>698</v>
      </c>
      <c r="D419" s="85" t="s">
        <v>1048</v>
      </c>
      <c r="E419" s="85"/>
      <c r="F419" s="85" t="s">
        <v>2472</v>
      </c>
      <c r="G419" s="85" t="s">
        <v>288</v>
      </c>
      <c r="H419" s="85" t="s">
        <v>3268</v>
      </c>
      <c r="I419" s="86">
        <v>65</v>
      </c>
      <c r="J419" s="86">
        <v>65</v>
      </c>
      <c r="K419" s="87">
        <v>1</v>
      </c>
      <c r="L419" s="87">
        <v>1</v>
      </c>
      <c r="M419" s="88">
        <v>1</v>
      </c>
      <c r="N419" s="89"/>
      <c r="O419" s="87"/>
      <c r="P419" s="87"/>
      <c r="Q419" s="87"/>
      <c r="R419" s="87"/>
      <c r="S419" s="87">
        <v>1</v>
      </c>
      <c r="T419" s="87"/>
      <c r="U419" s="87">
        <v>0</v>
      </c>
      <c r="V419" s="90" t="s">
        <v>2472</v>
      </c>
    </row>
    <row r="420" ht="15" customHeight="1" spans="1:23" x14ac:dyDescent="0.25">
      <c r="A420" s="85">
        <v>3743</v>
      </c>
      <c r="B420" s="85" t="s">
        <v>3694</v>
      </c>
      <c r="C420" s="85" t="s">
        <v>698</v>
      </c>
      <c r="D420" s="85" t="s">
        <v>763</v>
      </c>
      <c r="E420" s="85"/>
      <c r="F420" s="85" t="s">
        <v>157</v>
      </c>
      <c r="G420" s="85"/>
      <c r="H420" s="85"/>
      <c r="I420" s="86"/>
      <c r="J420" s="86"/>
      <c r="K420" s="87"/>
      <c r="L420" s="87"/>
      <c r="M420" s="88"/>
      <c r="N420" s="89"/>
      <c r="O420" s="87"/>
      <c r="P420" s="87"/>
      <c r="Q420" s="87"/>
      <c r="R420" s="87"/>
      <c r="S420" s="87">
        <v>1</v>
      </c>
      <c r="T420" s="87">
        <v>1</v>
      </c>
      <c r="U420" s="87"/>
      <c r="V420" s="90" t="s">
        <v>2472</v>
      </c>
    </row>
    <row r="421" ht="15" customHeight="1" spans="1:23" x14ac:dyDescent="0.25">
      <c r="A421" s="85">
        <v>3743</v>
      </c>
      <c r="B421" s="85" t="s">
        <v>3694</v>
      </c>
      <c r="C421" s="85" t="s">
        <v>698</v>
      </c>
      <c r="D421" s="85" t="s">
        <v>763</v>
      </c>
      <c r="E421" s="85"/>
      <c r="F421" s="85" t="s">
        <v>2472</v>
      </c>
      <c r="G421" s="85" t="s">
        <v>288</v>
      </c>
      <c r="H421" s="85" t="s">
        <v>3268</v>
      </c>
      <c r="I421" s="86">
        <v>65</v>
      </c>
      <c r="J421" s="86">
        <v>65</v>
      </c>
      <c r="K421" s="87">
        <v>1</v>
      </c>
      <c r="L421" s="87">
        <v>1</v>
      </c>
      <c r="M421" s="88">
        <v>1</v>
      </c>
      <c r="N421" s="89"/>
      <c r="O421" s="87"/>
      <c r="P421" s="87"/>
      <c r="Q421" s="87"/>
      <c r="R421" s="87"/>
      <c r="S421" s="87">
        <v>1</v>
      </c>
      <c r="T421" s="87"/>
      <c r="U421" s="87">
        <v>0</v>
      </c>
      <c r="V421" s="90" t="s">
        <v>2472</v>
      </c>
    </row>
    <row r="422" ht="15" customHeight="1" spans="1:23" x14ac:dyDescent="0.25">
      <c r="A422" s="85">
        <v>3744</v>
      </c>
      <c r="B422" s="85" t="s">
        <v>3695</v>
      </c>
      <c r="C422" s="85" t="s">
        <v>698</v>
      </c>
      <c r="D422" s="85" t="s">
        <v>979</v>
      </c>
      <c r="E422" s="85"/>
      <c r="F422" s="85" t="s">
        <v>157</v>
      </c>
      <c r="G422" s="85"/>
      <c r="H422" s="85"/>
      <c r="I422" s="86"/>
      <c r="J422" s="86"/>
      <c r="K422" s="87"/>
      <c r="L422" s="87"/>
      <c r="M422" s="88"/>
      <c r="N422" s="89"/>
      <c r="O422" s="87"/>
      <c r="P422" s="87"/>
      <c r="Q422" s="87"/>
      <c r="R422" s="87"/>
      <c r="S422" s="87">
        <v>1</v>
      </c>
      <c r="T422" s="87">
        <v>1</v>
      </c>
      <c r="U422" s="87">
        <v>1</v>
      </c>
      <c r="V422" s="90" t="s">
        <v>3696</v>
      </c>
    </row>
    <row r="423" ht="15" customHeight="1" spans="1:23" x14ac:dyDescent="0.25">
      <c r="A423" s="85">
        <v>3744</v>
      </c>
      <c r="B423" s="85" t="s">
        <v>3695</v>
      </c>
      <c r="C423" s="85" t="s">
        <v>698</v>
      </c>
      <c r="D423" s="85" t="s">
        <v>979</v>
      </c>
      <c r="E423" s="85"/>
      <c r="F423" s="85" t="s">
        <v>2472</v>
      </c>
      <c r="G423" s="85" t="s">
        <v>288</v>
      </c>
      <c r="H423" s="85" t="s">
        <v>3268</v>
      </c>
      <c r="I423" s="86">
        <v>65</v>
      </c>
      <c r="J423" s="86">
        <v>65</v>
      </c>
      <c r="K423" s="87">
        <v>1</v>
      </c>
      <c r="L423" s="87">
        <v>1</v>
      </c>
      <c r="M423" s="88">
        <v>1</v>
      </c>
      <c r="N423" s="89"/>
      <c r="O423" s="87"/>
      <c r="P423" s="87"/>
      <c r="Q423" s="87"/>
      <c r="R423" s="87"/>
      <c r="S423" s="87">
        <v>1</v>
      </c>
      <c r="T423" s="87"/>
      <c r="U423" s="87">
        <v>1</v>
      </c>
      <c r="V423" s="90" t="s">
        <v>3696</v>
      </c>
    </row>
    <row r="424" ht="15" customHeight="1" spans="1:23" x14ac:dyDescent="0.25">
      <c r="A424" s="85">
        <v>3745</v>
      </c>
      <c r="B424" s="85" t="s">
        <v>3697</v>
      </c>
      <c r="C424" s="85" t="s">
        <v>698</v>
      </c>
      <c r="D424" s="85" t="s">
        <v>1428</v>
      </c>
      <c r="E424" s="85"/>
      <c r="F424" s="85" t="s">
        <v>157</v>
      </c>
      <c r="G424" s="85"/>
      <c r="H424" s="85"/>
      <c r="I424" s="86"/>
      <c r="J424" s="86"/>
      <c r="K424" s="87"/>
      <c r="L424" s="87"/>
      <c r="M424" s="88"/>
      <c r="N424" s="89"/>
      <c r="O424" s="87"/>
      <c r="P424" s="87"/>
      <c r="Q424" s="87"/>
      <c r="R424" s="87"/>
      <c r="S424" s="87">
        <v>1</v>
      </c>
      <c r="T424" s="87">
        <v>1</v>
      </c>
      <c r="U424" s="87"/>
      <c r="V424" s="90" t="s">
        <v>2472</v>
      </c>
    </row>
    <row r="425" ht="15" customHeight="1" spans="1:23" x14ac:dyDescent="0.25">
      <c r="A425" s="85">
        <v>3745</v>
      </c>
      <c r="B425" s="85" t="s">
        <v>3697</v>
      </c>
      <c r="C425" s="85" t="s">
        <v>698</v>
      </c>
      <c r="D425" s="85" t="s">
        <v>1428</v>
      </c>
      <c r="E425" s="85"/>
      <c r="F425" s="85" t="s">
        <v>2472</v>
      </c>
      <c r="G425" s="85" t="s">
        <v>288</v>
      </c>
      <c r="H425" s="85" t="s">
        <v>3268</v>
      </c>
      <c r="I425" s="86">
        <v>65</v>
      </c>
      <c r="J425" s="86">
        <v>65</v>
      </c>
      <c r="K425" s="87">
        <v>1</v>
      </c>
      <c r="L425" s="87">
        <v>1</v>
      </c>
      <c r="M425" s="88">
        <v>1</v>
      </c>
      <c r="N425" s="89"/>
      <c r="O425" s="87"/>
      <c r="P425" s="87"/>
      <c r="Q425" s="87"/>
      <c r="R425" s="87"/>
      <c r="S425" s="87">
        <v>1</v>
      </c>
      <c r="T425" s="87"/>
      <c r="U425" s="87">
        <v>0</v>
      </c>
      <c r="V425" s="90" t="s">
        <v>2472</v>
      </c>
    </row>
    <row r="426" ht="15" customHeight="1" spans="1:23" x14ac:dyDescent="0.25">
      <c r="A426" s="85">
        <v>3746</v>
      </c>
      <c r="B426" s="85" t="s">
        <v>3698</v>
      </c>
      <c r="C426" s="85" t="s">
        <v>698</v>
      </c>
      <c r="D426" s="85" t="s">
        <v>722</v>
      </c>
      <c r="E426" s="85"/>
      <c r="F426" s="85" t="s">
        <v>157</v>
      </c>
      <c r="G426" s="85"/>
      <c r="H426" s="85"/>
      <c r="I426" s="86"/>
      <c r="J426" s="86"/>
      <c r="K426" s="87"/>
      <c r="L426" s="87"/>
      <c r="M426" s="88"/>
      <c r="N426" s="89"/>
      <c r="O426" s="87"/>
      <c r="P426" s="87"/>
      <c r="Q426" s="87"/>
      <c r="R426" s="87"/>
      <c r="S426" s="87">
        <v>1</v>
      </c>
      <c r="T426" s="87">
        <v>1</v>
      </c>
      <c r="U426" s="87"/>
      <c r="V426" s="90" t="s">
        <v>2472</v>
      </c>
    </row>
    <row r="427" ht="15" customHeight="1" spans="1:23" x14ac:dyDescent="0.25">
      <c r="A427" s="85">
        <v>3746</v>
      </c>
      <c r="B427" s="85" t="s">
        <v>3698</v>
      </c>
      <c r="C427" s="85" t="s">
        <v>698</v>
      </c>
      <c r="D427" s="85" t="s">
        <v>722</v>
      </c>
      <c r="E427" s="85"/>
      <c r="F427" s="85" t="s">
        <v>2472</v>
      </c>
      <c r="G427" s="85" t="s">
        <v>288</v>
      </c>
      <c r="H427" s="85" t="s">
        <v>3268</v>
      </c>
      <c r="I427" s="86">
        <v>65</v>
      </c>
      <c r="J427" s="86">
        <v>65</v>
      </c>
      <c r="K427" s="87">
        <v>1</v>
      </c>
      <c r="L427" s="87">
        <v>1</v>
      </c>
      <c r="M427" s="88">
        <v>1</v>
      </c>
      <c r="N427" s="89"/>
      <c r="O427" s="87"/>
      <c r="P427" s="87"/>
      <c r="Q427" s="87"/>
      <c r="R427" s="87"/>
      <c r="S427" s="87">
        <v>1</v>
      </c>
      <c r="T427" s="87"/>
      <c r="U427" s="87">
        <v>0</v>
      </c>
      <c r="V427" s="90" t="s">
        <v>2472</v>
      </c>
    </row>
    <row r="428" ht="15" customHeight="1" spans="1:23" x14ac:dyDescent="0.25">
      <c r="A428" s="85">
        <v>3747</v>
      </c>
      <c r="B428" s="85" t="s">
        <v>3699</v>
      </c>
      <c r="C428" s="85" t="s">
        <v>698</v>
      </c>
      <c r="D428" s="85" t="s">
        <v>1642</v>
      </c>
      <c r="E428" s="85"/>
      <c r="F428" s="85" t="s">
        <v>157</v>
      </c>
      <c r="G428" s="85"/>
      <c r="H428" s="85"/>
      <c r="I428" s="86"/>
      <c r="J428" s="86"/>
      <c r="K428" s="87"/>
      <c r="L428" s="87"/>
      <c r="M428" s="88"/>
      <c r="N428" s="89"/>
      <c r="O428" s="87"/>
      <c r="P428" s="87"/>
      <c r="Q428" s="87"/>
      <c r="R428" s="87"/>
      <c r="S428" s="87">
        <v>0.8</v>
      </c>
      <c r="T428" s="87">
        <v>0.8</v>
      </c>
      <c r="U428" s="87"/>
      <c r="V428" s="90" t="s">
        <v>2472</v>
      </c>
    </row>
    <row r="429" ht="15" customHeight="1" spans="1:23" x14ac:dyDescent="0.25">
      <c r="A429" s="85">
        <v>3747</v>
      </c>
      <c r="B429" s="85" t="s">
        <v>3699</v>
      </c>
      <c r="C429" s="85" t="s">
        <v>698</v>
      </c>
      <c r="D429" s="85" t="s">
        <v>1642</v>
      </c>
      <c r="E429" s="85"/>
      <c r="F429" s="85" t="s">
        <v>2472</v>
      </c>
      <c r="G429" s="85" t="s">
        <v>288</v>
      </c>
      <c r="H429" s="85" t="s">
        <v>3268</v>
      </c>
      <c r="I429" s="86">
        <v>65</v>
      </c>
      <c r="J429" s="86">
        <v>65</v>
      </c>
      <c r="K429" s="87">
        <v>1</v>
      </c>
      <c r="L429" s="87">
        <v>0.8</v>
      </c>
      <c r="M429" s="88">
        <v>0.8</v>
      </c>
      <c r="N429" s="89"/>
      <c r="O429" s="87"/>
      <c r="P429" s="87"/>
      <c r="Q429" s="87"/>
      <c r="R429" s="87"/>
      <c r="S429" s="87">
        <v>0.8</v>
      </c>
      <c r="T429" s="87"/>
      <c r="U429" s="87">
        <v>0</v>
      </c>
      <c r="V429" s="90" t="s">
        <v>2472</v>
      </c>
    </row>
    <row r="430" ht="15" customHeight="1" spans="1:23" x14ac:dyDescent="0.25">
      <c r="A430" s="85">
        <v>3748</v>
      </c>
      <c r="B430" s="85" t="s">
        <v>3700</v>
      </c>
      <c r="C430" s="85" t="s">
        <v>698</v>
      </c>
      <c r="D430" s="85" t="s">
        <v>1815</v>
      </c>
      <c r="E430" s="85"/>
      <c r="F430" s="85" t="s">
        <v>157</v>
      </c>
      <c r="G430" s="85"/>
      <c r="H430" s="85"/>
      <c r="I430" s="86"/>
      <c r="J430" s="86"/>
      <c r="K430" s="87"/>
      <c r="L430" s="87"/>
      <c r="M430" s="88"/>
      <c r="N430" s="89"/>
      <c r="O430" s="87"/>
      <c r="P430" s="87"/>
      <c r="Q430" s="87"/>
      <c r="R430" s="87"/>
      <c r="S430" s="87">
        <v>1</v>
      </c>
      <c r="T430" s="87">
        <v>1</v>
      </c>
      <c r="U430" s="87">
        <v>0</v>
      </c>
      <c r="V430" s="90" t="s">
        <v>2472</v>
      </c>
    </row>
    <row r="431" ht="15" customHeight="1" spans="1:23" x14ac:dyDescent="0.25">
      <c r="A431" s="85">
        <v>3748</v>
      </c>
      <c r="B431" s="85" t="s">
        <v>3700</v>
      </c>
      <c r="C431" s="85" t="s">
        <v>698</v>
      </c>
      <c r="D431" s="85" t="s">
        <v>1815</v>
      </c>
      <c r="E431" s="85"/>
      <c r="F431" s="85" t="s">
        <v>2472</v>
      </c>
      <c r="G431" s="85" t="s">
        <v>288</v>
      </c>
      <c r="H431" s="85" t="s">
        <v>3268</v>
      </c>
      <c r="I431" s="86">
        <v>65</v>
      </c>
      <c r="J431" s="86">
        <v>65</v>
      </c>
      <c r="K431" s="87">
        <v>1</v>
      </c>
      <c r="L431" s="87">
        <v>1</v>
      </c>
      <c r="M431" s="88">
        <v>1</v>
      </c>
      <c r="N431" s="89"/>
      <c r="O431" s="87"/>
      <c r="P431" s="87"/>
      <c r="Q431" s="87"/>
      <c r="R431" s="87"/>
      <c r="S431" s="87">
        <v>1</v>
      </c>
      <c r="T431" s="87"/>
      <c r="U431" s="87">
        <v>0</v>
      </c>
      <c r="V431" s="90" t="s">
        <v>3577</v>
      </c>
    </row>
    <row r="432" ht="15" customHeight="1" spans="1:23" x14ac:dyDescent="0.25">
      <c r="A432" s="85">
        <v>3749</v>
      </c>
      <c r="B432" s="85" t="s">
        <v>3701</v>
      </c>
      <c r="C432" s="85" t="s">
        <v>698</v>
      </c>
      <c r="D432" s="85" t="s">
        <v>1741</v>
      </c>
      <c r="E432" s="85"/>
      <c r="F432" s="85" t="s">
        <v>157</v>
      </c>
      <c r="G432" s="85"/>
      <c r="H432" s="85"/>
      <c r="I432" s="86"/>
      <c r="J432" s="86"/>
      <c r="K432" s="87"/>
      <c r="L432" s="87"/>
      <c r="M432" s="88"/>
      <c r="N432" s="89"/>
      <c r="O432" s="87"/>
      <c r="P432" s="87"/>
      <c r="Q432" s="87"/>
      <c r="R432" s="87"/>
      <c r="S432" s="87">
        <v>0.8</v>
      </c>
      <c r="T432" s="87">
        <v>0.8</v>
      </c>
      <c r="U432" s="87">
        <v>0.8000000000000002</v>
      </c>
      <c r="V432" s="90" t="s">
        <v>3702</v>
      </c>
    </row>
    <row r="433" ht="15" customHeight="1" spans="1:23" x14ac:dyDescent="0.25">
      <c r="A433" s="85">
        <v>3749</v>
      </c>
      <c r="B433" s="85" t="s">
        <v>3701</v>
      </c>
      <c r="C433" s="85" t="s">
        <v>698</v>
      </c>
      <c r="D433" s="85" t="s">
        <v>1741</v>
      </c>
      <c r="E433" s="85"/>
      <c r="F433" s="85" t="s">
        <v>2472</v>
      </c>
      <c r="G433" s="85" t="s">
        <v>288</v>
      </c>
      <c r="H433" s="85" t="s">
        <v>3268</v>
      </c>
      <c r="I433" s="86">
        <v>65</v>
      </c>
      <c r="J433" s="86">
        <v>65</v>
      </c>
      <c r="K433" s="87">
        <v>1</v>
      </c>
      <c r="L433" s="87">
        <v>0.8</v>
      </c>
      <c r="M433" s="88">
        <v>0.8</v>
      </c>
      <c r="N433" s="89"/>
      <c r="O433" s="87"/>
      <c r="P433" s="87"/>
      <c r="Q433" s="87"/>
      <c r="R433" s="87"/>
      <c r="S433" s="87">
        <v>0.8</v>
      </c>
      <c r="T433" s="87"/>
      <c r="U433" s="87">
        <v>0.8000000000000002</v>
      </c>
      <c r="V433" s="90" t="s">
        <v>3702</v>
      </c>
    </row>
    <row r="434" ht="15" customHeight="1" spans="1:23" x14ac:dyDescent="0.25">
      <c r="A434" s="85">
        <v>3750</v>
      </c>
      <c r="B434" s="85" t="s">
        <v>3703</v>
      </c>
      <c r="C434" s="85" t="s">
        <v>698</v>
      </c>
      <c r="D434" s="85" t="s">
        <v>1243</v>
      </c>
      <c r="E434" s="85"/>
      <c r="F434" s="85" t="s">
        <v>157</v>
      </c>
      <c r="G434" s="85"/>
      <c r="H434" s="85"/>
      <c r="I434" s="86"/>
      <c r="J434" s="86"/>
      <c r="K434" s="87"/>
      <c r="L434" s="87"/>
      <c r="M434" s="88"/>
      <c r="N434" s="89"/>
      <c r="O434" s="87"/>
      <c r="P434" s="87"/>
      <c r="Q434" s="87"/>
      <c r="R434" s="87"/>
      <c r="S434" s="87">
        <v>1</v>
      </c>
      <c r="T434" s="87">
        <v>1</v>
      </c>
      <c r="U434" s="87">
        <v>0</v>
      </c>
      <c r="V434" s="90" t="s">
        <v>2472</v>
      </c>
    </row>
    <row r="435" ht="15" customHeight="1" spans="1:23" x14ac:dyDescent="0.25">
      <c r="A435" s="85">
        <v>3750</v>
      </c>
      <c r="B435" s="85" t="s">
        <v>3703</v>
      </c>
      <c r="C435" s="85" t="s">
        <v>698</v>
      </c>
      <c r="D435" s="85" t="s">
        <v>1243</v>
      </c>
      <c r="E435" s="85"/>
      <c r="F435" s="85" t="s">
        <v>2472</v>
      </c>
      <c r="G435" s="85" t="s">
        <v>288</v>
      </c>
      <c r="H435" s="85" t="s">
        <v>3268</v>
      </c>
      <c r="I435" s="86">
        <v>65</v>
      </c>
      <c r="J435" s="86">
        <v>65</v>
      </c>
      <c r="K435" s="87">
        <v>1</v>
      </c>
      <c r="L435" s="87">
        <v>1</v>
      </c>
      <c r="M435" s="88">
        <v>1</v>
      </c>
      <c r="N435" s="89"/>
      <c r="O435" s="87"/>
      <c r="P435" s="87"/>
      <c r="Q435" s="87"/>
      <c r="R435" s="87"/>
      <c r="S435" s="87">
        <v>1</v>
      </c>
      <c r="T435" s="87"/>
      <c r="U435" s="87">
        <v>0</v>
      </c>
      <c r="V435" s="90" t="s">
        <v>3577</v>
      </c>
    </row>
    <row r="436" ht="15" customHeight="1" spans="1:23" x14ac:dyDescent="0.25">
      <c r="A436" s="85">
        <v>3751</v>
      </c>
      <c r="B436" s="85" t="s">
        <v>3704</v>
      </c>
      <c r="C436" s="85" t="s">
        <v>698</v>
      </c>
      <c r="D436" s="85" t="s">
        <v>849</v>
      </c>
      <c r="E436" s="85"/>
      <c r="F436" s="85" t="s">
        <v>157</v>
      </c>
      <c r="G436" s="85"/>
      <c r="H436" s="85"/>
      <c r="I436" s="86"/>
      <c r="J436" s="86"/>
      <c r="K436" s="87"/>
      <c r="L436" s="87"/>
      <c r="M436" s="88"/>
      <c r="N436" s="89"/>
      <c r="O436" s="87"/>
      <c r="P436" s="87"/>
      <c r="Q436" s="87"/>
      <c r="R436" s="87"/>
      <c r="S436" s="87">
        <v>1</v>
      </c>
      <c r="T436" s="87">
        <v>1</v>
      </c>
      <c r="U436" s="87">
        <v>0</v>
      </c>
      <c r="V436" s="90" t="s">
        <v>2472</v>
      </c>
    </row>
    <row r="437" ht="15" customHeight="1" spans="1:23" x14ac:dyDescent="0.25">
      <c r="A437" s="85">
        <v>3751</v>
      </c>
      <c r="B437" s="85" t="s">
        <v>3704</v>
      </c>
      <c r="C437" s="85" t="s">
        <v>698</v>
      </c>
      <c r="D437" s="85" t="s">
        <v>849</v>
      </c>
      <c r="E437" s="85"/>
      <c r="F437" s="85" t="s">
        <v>2472</v>
      </c>
      <c r="G437" s="85" t="s">
        <v>288</v>
      </c>
      <c r="H437" s="85" t="s">
        <v>3268</v>
      </c>
      <c r="I437" s="86">
        <v>65</v>
      </c>
      <c r="J437" s="86">
        <v>65</v>
      </c>
      <c r="K437" s="87">
        <v>1</v>
      </c>
      <c r="L437" s="87">
        <v>1</v>
      </c>
      <c r="M437" s="88">
        <v>1</v>
      </c>
      <c r="N437" s="89"/>
      <c r="O437" s="87"/>
      <c r="P437" s="87"/>
      <c r="Q437" s="87"/>
      <c r="R437" s="87"/>
      <c r="S437" s="87">
        <v>1</v>
      </c>
      <c r="T437" s="87"/>
      <c r="U437" s="87">
        <v>0</v>
      </c>
      <c r="V437" s="90" t="s">
        <v>3577</v>
      </c>
    </row>
    <row r="438" ht="15" customHeight="1" spans="1:23" x14ac:dyDescent="0.25">
      <c r="A438" s="85">
        <v>3752</v>
      </c>
      <c r="B438" s="85" t="s">
        <v>3705</v>
      </c>
      <c r="C438" s="85" t="s">
        <v>698</v>
      </c>
      <c r="D438" s="85" t="s">
        <v>763</v>
      </c>
      <c r="E438" s="85"/>
      <c r="F438" s="85" t="s">
        <v>157</v>
      </c>
      <c r="G438" s="85"/>
      <c r="H438" s="85"/>
      <c r="I438" s="86"/>
      <c r="J438" s="86"/>
      <c r="K438" s="87"/>
      <c r="L438" s="87"/>
      <c r="M438" s="88"/>
      <c r="N438" s="89"/>
      <c r="O438" s="87"/>
      <c r="P438" s="87"/>
      <c r="Q438" s="87"/>
      <c r="R438" s="87"/>
      <c r="S438" s="87">
        <v>1</v>
      </c>
      <c r="T438" s="87">
        <v>1</v>
      </c>
      <c r="U438" s="87"/>
      <c r="V438" s="90" t="s">
        <v>2472</v>
      </c>
    </row>
    <row r="439" ht="15" customHeight="1" spans="1:23" x14ac:dyDescent="0.25">
      <c r="A439" s="85">
        <v>3752</v>
      </c>
      <c r="B439" s="85" t="s">
        <v>3705</v>
      </c>
      <c r="C439" s="85" t="s">
        <v>698</v>
      </c>
      <c r="D439" s="85" t="s">
        <v>763</v>
      </c>
      <c r="E439" s="85"/>
      <c r="F439" s="85" t="s">
        <v>2472</v>
      </c>
      <c r="G439" s="85" t="s">
        <v>288</v>
      </c>
      <c r="H439" s="85" t="s">
        <v>3268</v>
      </c>
      <c r="I439" s="86">
        <v>65</v>
      </c>
      <c r="J439" s="86">
        <v>65</v>
      </c>
      <c r="K439" s="87">
        <v>1</v>
      </c>
      <c r="L439" s="87">
        <v>1</v>
      </c>
      <c r="M439" s="88">
        <v>1</v>
      </c>
      <c r="N439" s="89"/>
      <c r="O439" s="87"/>
      <c r="P439" s="87"/>
      <c r="Q439" s="87"/>
      <c r="R439" s="87"/>
      <c r="S439" s="87">
        <v>1</v>
      </c>
      <c r="T439" s="87"/>
      <c r="U439" s="87">
        <v>0</v>
      </c>
      <c r="V439" s="90" t="s">
        <v>2472</v>
      </c>
    </row>
    <row r="440" ht="15" customHeight="1" spans="1:23" x14ac:dyDescent="0.25">
      <c r="A440" s="85">
        <v>3753</v>
      </c>
      <c r="B440" s="85" t="s">
        <v>3706</v>
      </c>
      <c r="C440" s="85" t="s">
        <v>698</v>
      </c>
      <c r="D440" s="85" t="s">
        <v>712</v>
      </c>
      <c r="E440" s="85"/>
      <c r="F440" s="85" t="s">
        <v>157</v>
      </c>
      <c r="G440" s="85"/>
      <c r="H440" s="85"/>
      <c r="I440" s="86"/>
      <c r="J440" s="86"/>
      <c r="K440" s="87"/>
      <c r="L440" s="87"/>
      <c r="M440" s="88"/>
      <c r="N440" s="89"/>
      <c r="O440" s="87"/>
      <c r="P440" s="87"/>
      <c r="Q440" s="87"/>
      <c r="R440" s="87"/>
      <c r="S440" s="87">
        <v>1</v>
      </c>
      <c r="T440" s="87">
        <v>1</v>
      </c>
      <c r="U440" s="87">
        <v>0</v>
      </c>
      <c r="V440" s="90" t="s">
        <v>2472</v>
      </c>
    </row>
    <row r="441" ht="15" customHeight="1" spans="1:23" x14ac:dyDescent="0.25">
      <c r="A441" s="85">
        <v>3753</v>
      </c>
      <c r="B441" s="85" t="s">
        <v>3706</v>
      </c>
      <c r="C441" s="85" t="s">
        <v>698</v>
      </c>
      <c r="D441" s="85" t="s">
        <v>712</v>
      </c>
      <c r="E441" s="85"/>
      <c r="F441" s="85" t="s">
        <v>2472</v>
      </c>
      <c r="G441" s="85" t="s">
        <v>288</v>
      </c>
      <c r="H441" s="85" t="s">
        <v>3268</v>
      </c>
      <c r="I441" s="86">
        <v>65</v>
      </c>
      <c r="J441" s="86">
        <v>65</v>
      </c>
      <c r="K441" s="87">
        <v>1</v>
      </c>
      <c r="L441" s="87">
        <v>1</v>
      </c>
      <c r="M441" s="88">
        <v>1</v>
      </c>
      <c r="N441" s="89"/>
      <c r="O441" s="87"/>
      <c r="P441" s="87"/>
      <c r="Q441" s="87"/>
      <c r="R441" s="87"/>
      <c r="S441" s="87">
        <v>1</v>
      </c>
      <c r="T441" s="87"/>
      <c r="U441" s="87">
        <v>0</v>
      </c>
      <c r="V441" s="90" t="s">
        <v>3577</v>
      </c>
    </row>
    <row r="442" ht="15" customHeight="1" spans="1:23" x14ac:dyDescent="0.25">
      <c r="A442" s="85">
        <v>3754</v>
      </c>
      <c r="B442" s="85" t="s">
        <v>3707</v>
      </c>
      <c r="C442" s="85" t="s">
        <v>698</v>
      </c>
      <c r="D442" s="85" t="s">
        <v>929</v>
      </c>
      <c r="E442" s="85"/>
      <c r="F442" s="85" t="s">
        <v>157</v>
      </c>
      <c r="G442" s="85"/>
      <c r="H442" s="85"/>
      <c r="I442" s="86"/>
      <c r="J442" s="86"/>
      <c r="K442" s="87"/>
      <c r="L442" s="87"/>
      <c r="M442" s="88"/>
      <c r="N442" s="89"/>
      <c r="O442" s="87"/>
      <c r="P442" s="87"/>
      <c r="Q442" s="87"/>
      <c r="R442" s="87"/>
      <c r="S442" s="87">
        <v>1</v>
      </c>
      <c r="T442" s="87">
        <v>1</v>
      </c>
      <c r="U442" s="87">
        <v>0</v>
      </c>
      <c r="V442" s="90" t="s">
        <v>2472</v>
      </c>
    </row>
    <row r="443" ht="15" customHeight="1" spans="1:23" x14ac:dyDescent="0.25">
      <c r="A443" s="85">
        <v>3754</v>
      </c>
      <c r="B443" s="85" t="s">
        <v>3707</v>
      </c>
      <c r="C443" s="85" t="s">
        <v>698</v>
      </c>
      <c r="D443" s="85" t="s">
        <v>929</v>
      </c>
      <c r="E443" s="85"/>
      <c r="F443" s="85" t="s">
        <v>2472</v>
      </c>
      <c r="G443" s="85" t="s">
        <v>288</v>
      </c>
      <c r="H443" s="85" t="s">
        <v>3268</v>
      </c>
      <c r="I443" s="86">
        <v>65</v>
      </c>
      <c r="J443" s="86">
        <v>65</v>
      </c>
      <c r="K443" s="87">
        <v>1</v>
      </c>
      <c r="L443" s="87">
        <v>1</v>
      </c>
      <c r="M443" s="88">
        <v>1</v>
      </c>
      <c r="N443" s="89"/>
      <c r="O443" s="87"/>
      <c r="P443" s="87"/>
      <c r="Q443" s="87"/>
      <c r="R443" s="87"/>
      <c r="S443" s="87">
        <v>1</v>
      </c>
      <c r="T443" s="87"/>
      <c r="U443" s="87">
        <v>0</v>
      </c>
      <c r="V443" s="90" t="s">
        <v>3577</v>
      </c>
    </row>
    <row r="444" ht="15" customHeight="1" spans="1:23" x14ac:dyDescent="0.25">
      <c r="A444" s="85">
        <v>3755</v>
      </c>
      <c r="B444" s="85" t="s">
        <v>3708</v>
      </c>
      <c r="C444" s="85" t="s">
        <v>698</v>
      </c>
      <c r="D444" s="85" t="s">
        <v>1475</v>
      </c>
      <c r="E444" s="85"/>
      <c r="F444" s="85" t="s">
        <v>157</v>
      </c>
      <c r="G444" s="85"/>
      <c r="H444" s="85"/>
      <c r="I444" s="86"/>
      <c r="J444" s="86"/>
      <c r="K444" s="87"/>
      <c r="L444" s="87"/>
      <c r="M444" s="88"/>
      <c r="N444" s="89"/>
      <c r="O444" s="87"/>
      <c r="P444" s="87"/>
      <c r="Q444" s="87"/>
      <c r="R444" s="87"/>
      <c r="S444" s="87">
        <v>1</v>
      </c>
      <c r="T444" s="87">
        <v>1</v>
      </c>
      <c r="U444" s="87"/>
      <c r="V444" s="90" t="s">
        <v>2472</v>
      </c>
    </row>
    <row r="445" ht="15" customHeight="1" spans="1:23" x14ac:dyDescent="0.25">
      <c r="A445" s="85">
        <v>3755</v>
      </c>
      <c r="B445" s="85" t="s">
        <v>3708</v>
      </c>
      <c r="C445" s="85" t="s">
        <v>698</v>
      </c>
      <c r="D445" s="85" t="s">
        <v>1475</v>
      </c>
      <c r="E445" s="85"/>
      <c r="F445" s="85" t="s">
        <v>2472</v>
      </c>
      <c r="G445" s="85" t="s">
        <v>288</v>
      </c>
      <c r="H445" s="85" t="s">
        <v>3268</v>
      </c>
      <c r="I445" s="86">
        <v>65</v>
      </c>
      <c r="J445" s="86">
        <v>65</v>
      </c>
      <c r="K445" s="87">
        <v>1</v>
      </c>
      <c r="L445" s="87">
        <v>1</v>
      </c>
      <c r="M445" s="88">
        <v>1</v>
      </c>
      <c r="N445" s="89"/>
      <c r="O445" s="87"/>
      <c r="P445" s="87"/>
      <c r="Q445" s="87"/>
      <c r="R445" s="87"/>
      <c r="S445" s="87">
        <v>1</v>
      </c>
      <c r="T445" s="87"/>
      <c r="U445" s="87">
        <v>0</v>
      </c>
      <c r="V445" s="90" t="s">
        <v>2472</v>
      </c>
    </row>
    <row r="446" ht="15" customHeight="1" spans="1:23" x14ac:dyDescent="0.25">
      <c r="A446" s="85">
        <v>3756</v>
      </c>
      <c r="B446" s="85" t="s">
        <v>3709</v>
      </c>
      <c r="C446" s="85" t="s">
        <v>698</v>
      </c>
      <c r="D446" s="85" t="s">
        <v>866</v>
      </c>
      <c r="E446" s="85"/>
      <c r="F446" s="85" t="s">
        <v>157</v>
      </c>
      <c r="G446" s="85"/>
      <c r="H446" s="85"/>
      <c r="I446" s="86"/>
      <c r="J446" s="86"/>
      <c r="K446" s="87"/>
      <c r="L446" s="87"/>
      <c r="M446" s="88"/>
      <c r="N446" s="89"/>
      <c r="O446" s="87"/>
      <c r="P446" s="87"/>
      <c r="Q446" s="87"/>
      <c r="R446" s="87"/>
      <c r="S446" s="87">
        <v>0.9</v>
      </c>
      <c r="T446" s="87">
        <v>0.9</v>
      </c>
      <c r="U446" s="87">
        <v>0.9</v>
      </c>
      <c r="V446" s="90" t="s">
        <v>3710</v>
      </c>
    </row>
    <row r="447" ht="15" customHeight="1" spans="1:23" x14ac:dyDescent="0.25">
      <c r="A447" s="85">
        <v>3756</v>
      </c>
      <c r="B447" s="85" t="s">
        <v>3709</v>
      </c>
      <c r="C447" s="85" t="s">
        <v>698</v>
      </c>
      <c r="D447" s="85" t="s">
        <v>866</v>
      </c>
      <c r="E447" s="85"/>
      <c r="F447" s="85" t="s">
        <v>2472</v>
      </c>
      <c r="G447" s="85" t="s">
        <v>288</v>
      </c>
      <c r="H447" s="85" t="s">
        <v>3268</v>
      </c>
      <c r="I447" s="86">
        <v>65</v>
      </c>
      <c r="J447" s="86">
        <v>65</v>
      </c>
      <c r="K447" s="87">
        <v>1</v>
      </c>
      <c r="L447" s="87">
        <v>0.9</v>
      </c>
      <c r="M447" s="88">
        <v>0.9</v>
      </c>
      <c r="N447" s="89"/>
      <c r="O447" s="87"/>
      <c r="P447" s="87"/>
      <c r="Q447" s="87"/>
      <c r="R447" s="87"/>
      <c r="S447" s="87">
        <v>0.9</v>
      </c>
      <c r="T447" s="87"/>
      <c r="U447" s="87">
        <v>0.9</v>
      </c>
      <c r="V447" s="90" t="s">
        <v>3710</v>
      </c>
    </row>
    <row r="448" ht="15" customHeight="1" spans="1:23" x14ac:dyDescent="0.25">
      <c r="A448" s="85">
        <v>3757</v>
      </c>
      <c r="B448" s="85" t="s">
        <v>3711</v>
      </c>
      <c r="C448" s="85" t="s">
        <v>698</v>
      </c>
      <c r="D448" s="85" t="s">
        <v>722</v>
      </c>
      <c r="E448" s="85"/>
      <c r="F448" s="85" t="s">
        <v>157</v>
      </c>
      <c r="G448" s="85"/>
      <c r="H448" s="85"/>
      <c r="I448" s="86"/>
      <c r="J448" s="86"/>
      <c r="K448" s="87"/>
      <c r="L448" s="87"/>
      <c r="M448" s="88"/>
      <c r="N448" s="89"/>
      <c r="O448" s="87"/>
      <c r="P448" s="87"/>
      <c r="Q448" s="87"/>
      <c r="R448" s="87"/>
      <c r="S448" s="87">
        <v>1</v>
      </c>
      <c r="T448" s="87">
        <v>1</v>
      </c>
      <c r="U448" s="87">
        <v>0</v>
      </c>
      <c r="V448" s="90" t="s">
        <v>2472</v>
      </c>
    </row>
    <row r="449" ht="15" customHeight="1" spans="1:23" x14ac:dyDescent="0.25">
      <c r="A449" s="85">
        <v>3757</v>
      </c>
      <c r="B449" s="85" t="s">
        <v>3711</v>
      </c>
      <c r="C449" s="85" t="s">
        <v>698</v>
      </c>
      <c r="D449" s="85" t="s">
        <v>722</v>
      </c>
      <c r="E449" s="85"/>
      <c r="F449" s="85" t="s">
        <v>2472</v>
      </c>
      <c r="G449" s="85" t="s">
        <v>288</v>
      </c>
      <c r="H449" s="85" t="s">
        <v>3268</v>
      </c>
      <c r="I449" s="86">
        <v>65</v>
      </c>
      <c r="J449" s="86">
        <v>65</v>
      </c>
      <c r="K449" s="87">
        <v>1</v>
      </c>
      <c r="L449" s="87">
        <v>1</v>
      </c>
      <c r="M449" s="88">
        <v>1</v>
      </c>
      <c r="N449" s="89"/>
      <c r="O449" s="87"/>
      <c r="P449" s="87"/>
      <c r="Q449" s="87"/>
      <c r="R449" s="87"/>
      <c r="S449" s="87">
        <v>1</v>
      </c>
      <c r="T449" s="87"/>
      <c r="U449" s="87">
        <v>0</v>
      </c>
      <c r="V449" s="90" t="s">
        <v>3577</v>
      </c>
    </row>
    <row r="450" ht="15" customHeight="1" spans="1:23" x14ac:dyDescent="0.25">
      <c r="A450" s="85">
        <v>3758</v>
      </c>
      <c r="B450" s="85" t="s">
        <v>3712</v>
      </c>
      <c r="C450" s="85" t="s">
        <v>698</v>
      </c>
      <c r="D450" s="85" t="s">
        <v>706</v>
      </c>
      <c r="E450" s="85"/>
      <c r="F450" s="85" t="s">
        <v>157</v>
      </c>
      <c r="G450" s="85"/>
      <c r="H450" s="85"/>
      <c r="I450" s="86"/>
      <c r="J450" s="86"/>
      <c r="K450" s="87"/>
      <c r="L450" s="87"/>
      <c r="M450" s="88"/>
      <c r="N450" s="89"/>
      <c r="O450" s="87"/>
      <c r="P450" s="87"/>
      <c r="Q450" s="87"/>
      <c r="R450" s="87"/>
      <c r="S450" s="87">
        <v>0.8</v>
      </c>
      <c r="T450" s="87">
        <v>0.8</v>
      </c>
      <c r="U450" s="87"/>
      <c r="V450" s="90" t="s">
        <v>2472</v>
      </c>
    </row>
    <row r="451" ht="15" customHeight="1" spans="1:23" x14ac:dyDescent="0.25">
      <c r="A451" s="85">
        <v>3758</v>
      </c>
      <c r="B451" s="85" t="s">
        <v>3712</v>
      </c>
      <c r="C451" s="85" t="s">
        <v>698</v>
      </c>
      <c r="D451" s="85" t="s">
        <v>706</v>
      </c>
      <c r="E451" s="85"/>
      <c r="F451" s="85" t="s">
        <v>2472</v>
      </c>
      <c r="G451" s="85" t="s">
        <v>288</v>
      </c>
      <c r="H451" s="85" t="s">
        <v>3268</v>
      </c>
      <c r="I451" s="86">
        <v>65</v>
      </c>
      <c r="J451" s="86">
        <v>65</v>
      </c>
      <c r="K451" s="87">
        <v>1</v>
      </c>
      <c r="L451" s="87">
        <v>0.8</v>
      </c>
      <c r="M451" s="88">
        <v>0.8</v>
      </c>
      <c r="N451" s="89"/>
      <c r="O451" s="87"/>
      <c r="P451" s="87"/>
      <c r="Q451" s="87"/>
      <c r="R451" s="87"/>
      <c r="S451" s="87">
        <v>0.8</v>
      </c>
      <c r="T451" s="87"/>
      <c r="U451" s="87">
        <v>0</v>
      </c>
      <c r="V451" s="90" t="s">
        <v>2472</v>
      </c>
    </row>
    <row r="452" ht="15" customHeight="1" spans="1:23" x14ac:dyDescent="0.25">
      <c r="A452" s="85">
        <v>3759</v>
      </c>
      <c r="B452" s="85" t="s">
        <v>3713</v>
      </c>
      <c r="C452" s="85" t="s">
        <v>698</v>
      </c>
      <c r="D452" s="85" t="s">
        <v>728</v>
      </c>
      <c r="E452" s="85"/>
      <c r="F452" s="85" t="s">
        <v>157</v>
      </c>
      <c r="G452" s="85"/>
      <c r="H452" s="85"/>
      <c r="I452" s="86"/>
      <c r="J452" s="86"/>
      <c r="K452" s="87"/>
      <c r="L452" s="87"/>
      <c r="M452" s="88"/>
      <c r="N452" s="89"/>
      <c r="O452" s="87"/>
      <c r="P452" s="87"/>
      <c r="Q452" s="87"/>
      <c r="R452" s="87"/>
      <c r="S452" s="87">
        <v>0.8</v>
      </c>
      <c r="T452" s="87">
        <v>0.8</v>
      </c>
      <c r="U452" s="87">
        <v>0.8</v>
      </c>
      <c r="V452" s="90" t="s">
        <v>3714</v>
      </c>
    </row>
    <row r="453" ht="15" customHeight="1" spans="1:23" x14ac:dyDescent="0.25">
      <c r="A453" s="85">
        <v>3759</v>
      </c>
      <c r="B453" s="85" t="s">
        <v>3713</v>
      </c>
      <c r="C453" s="85" t="s">
        <v>698</v>
      </c>
      <c r="D453" s="85" t="s">
        <v>728</v>
      </c>
      <c r="E453" s="85"/>
      <c r="F453" s="85" t="s">
        <v>2472</v>
      </c>
      <c r="G453" s="85" t="s">
        <v>288</v>
      </c>
      <c r="H453" s="85" t="s">
        <v>3268</v>
      </c>
      <c r="I453" s="86">
        <v>65</v>
      </c>
      <c r="J453" s="86">
        <v>65</v>
      </c>
      <c r="K453" s="87">
        <v>1</v>
      </c>
      <c r="L453" s="87">
        <v>0.8</v>
      </c>
      <c r="M453" s="88">
        <v>0.8</v>
      </c>
      <c r="N453" s="89"/>
      <c r="O453" s="87"/>
      <c r="P453" s="87"/>
      <c r="Q453" s="87"/>
      <c r="R453" s="87"/>
      <c r="S453" s="87">
        <v>0.8</v>
      </c>
      <c r="T453" s="87"/>
      <c r="U453" s="87">
        <v>0.8</v>
      </c>
      <c r="V453" s="90" t="s">
        <v>3714</v>
      </c>
    </row>
    <row r="454" ht="15" customHeight="1" spans="1:23" x14ac:dyDescent="0.25">
      <c r="A454" s="85">
        <v>3760</v>
      </c>
      <c r="B454" s="85" t="s">
        <v>3715</v>
      </c>
      <c r="C454" s="85" t="s">
        <v>698</v>
      </c>
      <c r="D454" s="85" t="s">
        <v>1437</v>
      </c>
      <c r="E454" s="85"/>
      <c r="F454" s="85" t="s">
        <v>157</v>
      </c>
      <c r="G454" s="85"/>
      <c r="H454" s="85"/>
      <c r="I454" s="86"/>
      <c r="J454" s="86"/>
      <c r="K454" s="87"/>
      <c r="L454" s="87"/>
      <c r="M454" s="88"/>
      <c r="N454" s="89"/>
      <c r="O454" s="87"/>
      <c r="P454" s="87"/>
      <c r="Q454" s="87"/>
      <c r="R454" s="87"/>
      <c r="S454" s="87">
        <v>1</v>
      </c>
      <c r="T454" s="87">
        <v>1</v>
      </c>
      <c r="U454" s="87">
        <v>1</v>
      </c>
      <c r="V454" s="90" t="s">
        <v>3593</v>
      </c>
    </row>
    <row r="455" ht="15" customHeight="1" spans="1:23" x14ac:dyDescent="0.25">
      <c r="A455" s="85">
        <v>3760</v>
      </c>
      <c r="B455" s="85" t="s">
        <v>3715</v>
      </c>
      <c r="C455" s="85" t="s">
        <v>698</v>
      </c>
      <c r="D455" s="85" t="s">
        <v>1437</v>
      </c>
      <c r="E455" s="85"/>
      <c r="F455" s="85" t="s">
        <v>2472</v>
      </c>
      <c r="G455" s="85" t="s">
        <v>288</v>
      </c>
      <c r="H455" s="85" t="s">
        <v>3268</v>
      </c>
      <c r="I455" s="86">
        <v>65</v>
      </c>
      <c r="J455" s="86">
        <v>65</v>
      </c>
      <c r="K455" s="87">
        <v>1</v>
      </c>
      <c r="L455" s="87">
        <v>1</v>
      </c>
      <c r="M455" s="88">
        <v>1</v>
      </c>
      <c r="N455" s="89"/>
      <c r="O455" s="87"/>
      <c r="P455" s="87"/>
      <c r="Q455" s="87"/>
      <c r="R455" s="87"/>
      <c r="S455" s="87">
        <v>1</v>
      </c>
      <c r="T455" s="87"/>
      <c r="U455" s="87">
        <v>1</v>
      </c>
      <c r="V455" s="90" t="s">
        <v>3593</v>
      </c>
    </row>
    <row r="456" ht="15" customHeight="1" spans="1:23" x14ac:dyDescent="0.25">
      <c r="A456" s="85">
        <v>3761</v>
      </c>
      <c r="B456" s="85" t="s">
        <v>3716</v>
      </c>
      <c r="C456" s="85" t="s">
        <v>698</v>
      </c>
      <c r="D456" s="85" t="s">
        <v>1053</v>
      </c>
      <c r="E456" s="85"/>
      <c r="F456" s="85" t="s">
        <v>157</v>
      </c>
      <c r="G456" s="85"/>
      <c r="H456" s="85"/>
      <c r="I456" s="86"/>
      <c r="J456" s="86"/>
      <c r="K456" s="87"/>
      <c r="L456" s="87"/>
      <c r="M456" s="88"/>
      <c r="N456" s="89"/>
      <c r="O456" s="87"/>
      <c r="P456" s="87"/>
      <c r="Q456" s="87"/>
      <c r="R456" s="87"/>
      <c r="S456" s="87">
        <v>1</v>
      </c>
      <c r="T456" s="87">
        <v>1</v>
      </c>
      <c r="U456" s="87">
        <v>1</v>
      </c>
      <c r="V456" s="90" t="s">
        <v>3593</v>
      </c>
    </row>
    <row r="457" ht="15" customHeight="1" spans="1:23" x14ac:dyDescent="0.25">
      <c r="A457" s="85">
        <v>3761</v>
      </c>
      <c r="B457" s="85" t="s">
        <v>3716</v>
      </c>
      <c r="C457" s="85" t="s">
        <v>698</v>
      </c>
      <c r="D457" s="85" t="s">
        <v>1053</v>
      </c>
      <c r="E457" s="85"/>
      <c r="F457" s="85" t="s">
        <v>2472</v>
      </c>
      <c r="G457" s="85" t="s">
        <v>288</v>
      </c>
      <c r="H457" s="85" t="s">
        <v>3268</v>
      </c>
      <c r="I457" s="86">
        <v>65</v>
      </c>
      <c r="J457" s="86">
        <v>65</v>
      </c>
      <c r="K457" s="87">
        <v>1</v>
      </c>
      <c r="L457" s="87">
        <v>1</v>
      </c>
      <c r="M457" s="88">
        <v>1</v>
      </c>
      <c r="N457" s="89"/>
      <c r="O457" s="87"/>
      <c r="P457" s="87"/>
      <c r="Q457" s="87"/>
      <c r="R457" s="87"/>
      <c r="S457" s="87">
        <v>1</v>
      </c>
      <c r="T457" s="87"/>
      <c r="U457" s="87">
        <v>1</v>
      </c>
      <c r="V457" s="90" t="s">
        <v>3593</v>
      </c>
    </row>
    <row r="458" ht="15" customHeight="1" spans="1:23" x14ac:dyDescent="0.25">
      <c r="A458" s="85">
        <v>3762</v>
      </c>
      <c r="B458" s="85" t="s">
        <v>3717</v>
      </c>
      <c r="C458" s="85" t="s">
        <v>698</v>
      </c>
      <c r="D458" s="85" t="s">
        <v>1843</v>
      </c>
      <c r="E458" s="85"/>
      <c r="F458" s="85" t="s">
        <v>157</v>
      </c>
      <c r="G458" s="85"/>
      <c r="H458" s="85"/>
      <c r="I458" s="86"/>
      <c r="J458" s="86"/>
      <c r="K458" s="87"/>
      <c r="L458" s="87"/>
      <c r="M458" s="88"/>
      <c r="N458" s="89"/>
      <c r="O458" s="87"/>
      <c r="P458" s="87"/>
      <c r="Q458" s="87"/>
      <c r="R458" s="87"/>
      <c r="S458" s="87">
        <v>0.9</v>
      </c>
      <c r="T458" s="87">
        <v>0.9</v>
      </c>
      <c r="U458" s="87"/>
      <c r="V458" s="90" t="s">
        <v>2472</v>
      </c>
    </row>
    <row r="459" ht="15" customHeight="1" spans="1:23" x14ac:dyDescent="0.25">
      <c r="A459" s="85">
        <v>3762</v>
      </c>
      <c r="B459" s="85" t="s">
        <v>3717</v>
      </c>
      <c r="C459" s="85" t="s">
        <v>698</v>
      </c>
      <c r="D459" s="85" t="s">
        <v>1843</v>
      </c>
      <c r="E459" s="85"/>
      <c r="F459" s="85" t="s">
        <v>2472</v>
      </c>
      <c r="G459" s="85" t="s">
        <v>288</v>
      </c>
      <c r="H459" s="85" t="s">
        <v>3268</v>
      </c>
      <c r="I459" s="86">
        <v>65</v>
      </c>
      <c r="J459" s="86">
        <v>65</v>
      </c>
      <c r="K459" s="87">
        <v>1</v>
      </c>
      <c r="L459" s="87">
        <v>0.9</v>
      </c>
      <c r="M459" s="88">
        <v>0.9</v>
      </c>
      <c r="N459" s="89"/>
      <c r="O459" s="87"/>
      <c r="P459" s="87"/>
      <c r="Q459" s="87"/>
      <c r="R459" s="87"/>
      <c r="S459" s="87">
        <v>0.9</v>
      </c>
      <c r="T459" s="87"/>
      <c r="U459" s="87">
        <v>0</v>
      </c>
      <c r="V459" s="90" t="s">
        <v>2472</v>
      </c>
    </row>
    <row r="460" ht="15" customHeight="1" spans="1:23" x14ac:dyDescent="0.25">
      <c r="A460" s="85">
        <v>3763</v>
      </c>
      <c r="B460" s="85" t="s">
        <v>3718</v>
      </c>
      <c r="C460" s="85" t="s">
        <v>698</v>
      </c>
      <c r="D460" s="85" t="s">
        <v>1456</v>
      </c>
      <c r="E460" s="85"/>
      <c r="F460" s="85" t="s">
        <v>157</v>
      </c>
      <c r="G460" s="85"/>
      <c r="H460" s="85"/>
      <c r="I460" s="86"/>
      <c r="J460" s="86"/>
      <c r="K460" s="87"/>
      <c r="L460" s="87"/>
      <c r="M460" s="88"/>
      <c r="N460" s="89"/>
      <c r="O460" s="87"/>
      <c r="P460" s="87"/>
      <c r="Q460" s="87"/>
      <c r="R460" s="87"/>
      <c r="S460" s="87">
        <v>1</v>
      </c>
      <c r="T460" s="87">
        <v>1</v>
      </c>
      <c r="U460" s="87"/>
      <c r="V460" s="90" t="s">
        <v>2472</v>
      </c>
    </row>
    <row r="461" ht="15" customHeight="1" spans="1:23" x14ac:dyDescent="0.25">
      <c r="A461" s="85">
        <v>3763</v>
      </c>
      <c r="B461" s="85" t="s">
        <v>3718</v>
      </c>
      <c r="C461" s="85" t="s">
        <v>698</v>
      </c>
      <c r="D461" s="85" t="s">
        <v>1456</v>
      </c>
      <c r="E461" s="85"/>
      <c r="F461" s="85" t="s">
        <v>2472</v>
      </c>
      <c r="G461" s="85" t="s">
        <v>288</v>
      </c>
      <c r="H461" s="85" t="s">
        <v>3268</v>
      </c>
      <c r="I461" s="86">
        <v>65</v>
      </c>
      <c r="J461" s="86">
        <v>65</v>
      </c>
      <c r="K461" s="87">
        <v>1</v>
      </c>
      <c r="L461" s="87">
        <v>1</v>
      </c>
      <c r="M461" s="88">
        <v>1</v>
      </c>
      <c r="N461" s="89"/>
      <c r="O461" s="87"/>
      <c r="P461" s="87"/>
      <c r="Q461" s="87"/>
      <c r="R461" s="87"/>
      <c r="S461" s="87">
        <v>1</v>
      </c>
      <c r="T461" s="87"/>
      <c r="U461" s="87">
        <v>0</v>
      </c>
      <c r="V461" s="90" t="s">
        <v>2472</v>
      </c>
    </row>
    <row r="462" ht="15" customHeight="1" spans="1:23" x14ac:dyDescent="0.25">
      <c r="A462" s="85">
        <v>3764</v>
      </c>
      <c r="B462" s="85" t="s">
        <v>3719</v>
      </c>
      <c r="C462" s="85" t="s">
        <v>698</v>
      </c>
      <c r="D462" s="85" t="s">
        <v>1586</v>
      </c>
      <c r="E462" s="85"/>
      <c r="F462" s="85" t="s">
        <v>157</v>
      </c>
      <c r="G462" s="85"/>
      <c r="H462" s="85"/>
      <c r="I462" s="86"/>
      <c r="J462" s="86"/>
      <c r="K462" s="87"/>
      <c r="L462" s="87"/>
      <c r="M462" s="88"/>
      <c r="N462" s="89"/>
      <c r="O462" s="87"/>
      <c r="P462" s="87"/>
      <c r="Q462" s="87"/>
      <c r="R462" s="87"/>
      <c r="S462" s="87">
        <v>1</v>
      </c>
      <c r="T462" s="87">
        <v>1</v>
      </c>
      <c r="U462" s="87"/>
      <c r="V462" s="90" t="s">
        <v>2472</v>
      </c>
    </row>
    <row r="463" ht="15" customHeight="1" spans="1:23" x14ac:dyDescent="0.25">
      <c r="A463" s="85">
        <v>3764</v>
      </c>
      <c r="B463" s="85" t="s">
        <v>3719</v>
      </c>
      <c r="C463" s="85" t="s">
        <v>698</v>
      </c>
      <c r="D463" s="85" t="s">
        <v>1586</v>
      </c>
      <c r="E463" s="85"/>
      <c r="F463" s="85" t="s">
        <v>2472</v>
      </c>
      <c r="G463" s="85" t="s">
        <v>288</v>
      </c>
      <c r="H463" s="85" t="s">
        <v>3268</v>
      </c>
      <c r="I463" s="86">
        <v>65</v>
      </c>
      <c r="J463" s="86">
        <v>65</v>
      </c>
      <c r="K463" s="87">
        <v>1</v>
      </c>
      <c r="L463" s="87">
        <v>1</v>
      </c>
      <c r="M463" s="88">
        <v>1</v>
      </c>
      <c r="N463" s="89"/>
      <c r="O463" s="87"/>
      <c r="P463" s="87"/>
      <c r="Q463" s="87"/>
      <c r="R463" s="87"/>
      <c r="S463" s="87">
        <v>1</v>
      </c>
      <c r="T463" s="87"/>
      <c r="U463" s="87">
        <v>0</v>
      </c>
      <c r="V463" s="90" t="s">
        <v>2472</v>
      </c>
    </row>
    <row r="464" ht="15" customHeight="1" spans="1:23" x14ac:dyDescent="0.25">
      <c r="A464" s="85">
        <v>3765</v>
      </c>
      <c r="B464" s="85" t="s">
        <v>3720</v>
      </c>
      <c r="C464" s="85" t="s">
        <v>698</v>
      </c>
      <c r="D464" s="85" t="s">
        <v>1838</v>
      </c>
      <c r="E464" s="85"/>
      <c r="F464" s="85" t="s">
        <v>157</v>
      </c>
      <c r="G464" s="85"/>
      <c r="H464" s="85"/>
      <c r="I464" s="86"/>
      <c r="J464" s="86"/>
      <c r="K464" s="87"/>
      <c r="L464" s="87"/>
      <c r="M464" s="88"/>
      <c r="N464" s="89"/>
      <c r="O464" s="87"/>
      <c r="P464" s="87"/>
      <c r="Q464" s="87"/>
      <c r="R464" s="87"/>
      <c r="S464" s="87">
        <v>0.8</v>
      </c>
      <c r="T464" s="87">
        <v>0.8</v>
      </c>
      <c r="U464" s="87"/>
      <c r="V464" s="90" t="s">
        <v>2472</v>
      </c>
    </row>
    <row r="465" ht="15" customHeight="1" spans="1:23" x14ac:dyDescent="0.25">
      <c r="A465" s="85">
        <v>3765</v>
      </c>
      <c r="B465" s="85" t="s">
        <v>3720</v>
      </c>
      <c r="C465" s="85" t="s">
        <v>698</v>
      </c>
      <c r="D465" s="85" t="s">
        <v>1838</v>
      </c>
      <c r="E465" s="85"/>
      <c r="F465" s="85" t="s">
        <v>2472</v>
      </c>
      <c r="G465" s="85" t="s">
        <v>288</v>
      </c>
      <c r="H465" s="85" t="s">
        <v>3268</v>
      </c>
      <c r="I465" s="86">
        <v>65</v>
      </c>
      <c r="J465" s="86">
        <v>65</v>
      </c>
      <c r="K465" s="87">
        <v>1</v>
      </c>
      <c r="L465" s="87">
        <v>0.8</v>
      </c>
      <c r="M465" s="88">
        <v>0.8</v>
      </c>
      <c r="N465" s="89"/>
      <c r="O465" s="87"/>
      <c r="P465" s="87"/>
      <c r="Q465" s="87"/>
      <c r="R465" s="87"/>
      <c r="S465" s="87">
        <v>0.8</v>
      </c>
      <c r="T465" s="87"/>
      <c r="U465" s="87">
        <v>0</v>
      </c>
      <c r="V465" s="90" t="s">
        <v>2472</v>
      </c>
    </row>
    <row r="466" ht="15" customHeight="1" spans="1:23" x14ac:dyDescent="0.25">
      <c r="A466" s="85">
        <v>3766</v>
      </c>
      <c r="B466" s="85" t="s">
        <v>3721</v>
      </c>
      <c r="C466" s="85" t="s">
        <v>698</v>
      </c>
      <c r="D466" s="85" t="s">
        <v>1076</v>
      </c>
      <c r="E466" s="85"/>
      <c r="F466" s="85" t="s">
        <v>157</v>
      </c>
      <c r="G466" s="85"/>
      <c r="H466" s="85"/>
      <c r="I466" s="86"/>
      <c r="J466" s="86"/>
      <c r="K466" s="87"/>
      <c r="L466" s="87"/>
      <c r="M466" s="88"/>
      <c r="N466" s="89"/>
      <c r="O466" s="87"/>
      <c r="P466" s="87"/>
      <c r="Q466" s="87"/>
      <c r="R466" s="87"/>
      <c r="S466" s="87">
        <v>1</v>
      </c>
      <c r="T466" s="87">
        <v>1</v>
      </c>
      <c r="U466" s="87">
        <v>1</v>
      </c>
      <c r="V466" s="90" t="s">
        <v>3593</v>
      </c>
    </row>
    <row r="467" ht="15" customHeight="1" spans="1:23" x14ac:dyDescent="0.25">
      <c r="A467" s="85">
        <v>3766</v>
      </c>
      <c r="B467" s="85" t="s">
        <v>3721</v>
      </c>
      <c r="C467" s="85" t="s">
        <v>698</v>
      </c>
      <c r="D467" s="85" t="s">
        <v>1076</v>
      </c>
      <c r="E467" s="85"/>
      <c r="F467" s="85" t="s">
        <v>2472</v>
      </c>
      <c r="G467" s="85" t="s">
        <v>288</v>
      </c>
      <c r="H467" s="85" t="s">
        <v>3268</v>
      </c>
      <c r="I467" s="86">
        <v>65</v>
      </c>
      <c r="J467" s="86">
        <v>65</v>
      </c>
      <c r="K467" s="87">
        <v>1</v>
      </c>
      <c r="L467" s="87">
        <v>1</v>
      </c>
      <c r="M467" s="88">
        <v>1</v>
      </c>
      <c r="N467" s="89"/>
      <c r="O467" s="87"/>
      <c r="P467" s="87"/>
      <c r="Q467" s="87"/>
      <c r="R467" s="87"/>
      <c r="S467" s="87">
        <v>1</v>
      </c>
      <c r="T467" s="87"/>
      <c r="U467" s="87">
        <v>1</v>
      </c>
      <c r="V467" s="90" t="s">
        <v>3593</v>
      </c>
    </row>
    <row r="468" ht="15" customHeight="1" spans="1:23" x14ac:dyDescent="0.25">
      <c r="A468" s="85">
        <v>3767</v>
      </c>
      <c r="B468" s="85" t="s">
        <v>3722</v>
      </c>
      <c r="C468" s="85" t="s">
        <v>698</v>
      </c>
      <c r="D468" s="85" t="s">
        <v>712</v>
      </c>
      <c r="E468" s="85"/>
      <c r="F468" s="85" t="s">
        <v>157</v>
      </c>
      <c r="G468" s="85"/>
      <c r="H468" s="85"/>
      <c r="I468" s="86"/>
      <c r="J468" s="86"/>
      <c r="K468" s="87"/>
      <c r="L468" s="87"/>
      <c r="M468" s="88"/>
      <c r="N468" s="89"/>
      <c r="O468" s="87"/>
      <c r="P468" s="87"/>
      <c r="Q468" s="87"/>
      <c r="R468" s="87"/>
      <c r="S468" s="87">
        <v>1</v>
      </c>
      <c r="T468" s="87">
        <v>1</v>
      </c>
      <c r="U468" s="87">
        <v>1</v>
      </c>
      <c r="V468" s="90" t="s">
        <v>3593</v>
      </c>
    </row>
    <row r="469" ht="15" customHeight="1" spans="1:23" x14ac:dyDescent="0.25">
      <c r="A469" s="85">
        <v>3767</v>
      </c>
      <c r="B469" s="85" t="s">
        <v>3722</v>
      </c>
      <c r="C469" s="85" t="s">
        <v>698</v>
      </c>
      <c r="D469" s="85" t="s">
        <v>712</v>
      </c>
      <c r="E469" s="85"/>
      <c r="F469" s="85" t="s">
        <v>2472</v>
      </c>
      <c r="G469" s="85" t="s">
        <v>288</v>
      </c>
      <c r="H469" s="85" t="s">
        <v>3268</v>
      </c>
      <c r="I469" s="86">
        <v>65</v>
      </c>
      <c r="J469" s="86">
        <v>65</v>
      </c>
      <c r="K469" s="87">
        <v>1</v>
      </c>
      <c r="L469" s="87">
        <v>1</v>
      </c>
      <c r="M469" s="88">
        <v>1</v>
      </c>
      <c r="N469" s="89"/>
      <c r="O469" s="87"/>
      <c r="P469" s="87"/>
      <c r="Q469" s="87"/>
      <c r="R469" s="87"/>
      <c r="S469" s="87">
        <v>1</v>
      </c>
      <c r="T469" s="87"/>
      <c r="U469" s="87">
        <v>1</v>
      </c>
      <c r="V469" s="90" t="s">
        <v>3593</v>
      </c>
    </row>
    <row r="470" ht="15" customHeight="1" spans="1:23" x14ac:dyDescent="0.25">
      <c r="A470" s="85">
        <v>3768</v>
      </c>
      <c r="B470" s="85" t="s">
        <v>3723</v>
      </c>
      <c r="C470" s="85" t="s">
        <v>698</v>
      </c>
      <c r="D470" s="85" t="s">
        <v>722</v>
      </c>
      <c r="E470" s="85"/>
      <c r="F470" s="85" t="s">
        <v>157</v>
      </c>
      <c r="G470" s="85"/>
      <c r="H470" s="85"/>
      <c r="I470" s="86"/>
      <c r="J470" s="86"/>
      <c r="K470" s="87"/>
      <c r="L470" s="87"/>
      <c r="M470" s="88"/>
      <c r="N470" s="89"/>
      <c r="O470" s="87"/>
      <c r="P470" s="87"/>
      <c r="Q470" s="87"/>
      <c r="R470" s="87"/>
      <c r="S470" s="87">
        <v>1</v>
      </c>
      <c r="T470" s="87">
        <v>1</v>
      </c>
      <c r="U470" s="87"/>
      <c r="V470" s="90" t="s">
        <v>2472</v>
      </c>
    </row>
    <row r="471" ht="15" customHeight="1" spans="1:23" x14ac:dyDescent="0.25">
      <c r="A471" s="85">
        <v>3768</v>
      </c>
      <c r="B471" s="85" t="s">
        <v>3723</v>
      </c>
      <c r="C471" s="85" t="s">
        <v>698</v>
      </c>
      <c r="D471" s="85" t="s">
        <v>722</v>
      </c>
      <c r="E471" s="85"/>
      <c r="F471" s="85" t="s">
        <v>2472</v>
      </c>
      <c r="G471" s="85" t="s">
        <v>288</v>
      </c>
      <c r="H471" s="85" t="s">
        <v>3268</v>
      </c>
      <c r="I471" s="86">
        <v>65</v>
      </c>
      <c r="J471" s="86">
        <v>65</v>
      </c>
      <c r="K471" s="87">
        <v>1</v>
      </c>
      <c r="L471" s="87">
        <v>1</v>
      </c>
      <c r="M471" s="88">
        <v>1</v>
      </c>
      <c r="N471" s="89"/>
      <c r="O471" s="87"/>
      <c r="P471" s="87"/>
      <c r="Q471" s="87"/>
      <c r="R471" s="87"/>
      <c r="S471" s="87">
        <v>1</v>
      </c>
      <c r="T471" s="87"/>
      <c r="U471" s="87">
        <v>0</v>
      </c>
      <c r="V471" s="90" t="s">
        <v>2472</v>
      </c>
    </row>
    <row r="472" ht="15" customHeight="1" spans="1:23" x14ac:dyDescent="0.25">
      <c r="A472" s="85">
        <v>3769</v>
      </c>
      <c r="B472" s="85" t="s">
        <v>3724</v>
      </c>
      <c r="C472" s="85" t="s">
        <v>698</v>
      </c>
      <c r="D472" s="85" t="s">
        <v>1299</v>
      </c>
      <c r="E472" s="85"/>
      <c r="F472" s="85" t="s">
        <v>157</v>
      </c>
      <c r="G472" s="85"/>
      <c r="H472" s="85"/>
      <c r="I472" s="86"/>
      <c r="J472" s="86"/>
      <c r="K472" s="87"/>
      <c r="L472" s="87"/>
      <c r="M472" s="88"/>
      <c r="N472" s="89"/>
      <c r="O472" s="87"/>
      <c r="P472" s="87"/>
      <c r="Q472" s="87"/>
      <c r="R472" s="87"/>
      <c r="S472" s="87">
        <v>0.8</v>
      </c>
      <c r="T472" s="87">
        <v>0.8</v>
      </c>
      <c r="U472" s="87">
        <v>0.8</v>
      </c>
      <c r="V472" s="90" t="s">
        <v>3714</v>
      </c>
    </row>
    <row r="473" ht="15" customHeight="1" spans="1:23" x14ac:dyDescent="0.25">
      <c r="A473" s="85">
        <v>3769</v>
      </c>
      <c r="B473" s="85" t="s">
        <v>3724</v>
      </c>
      <c r="C473" s="85" t="s">
        <v>698</v>
      </c>
      <c r="D473" s="85" t="s">
        <v>1299</v>
      </c>
      <c r="E473" s="85"/>
      <c r="F473" s="85" t="s">
        <v>2472</v>
      </c>
      <c r="G473" s="85" t="s">
        <v>288</v>
      </c>
      <c r="H473" s="85" t="s">
        <v>3268</v>
      </c>
      <c r="I473" s="86">
        <v>65</v>
      </c>
      <c r="J473" s="86">
        <v>65</v>
      </c>
      <c r="K473" s="87">
        <v>1</v>
      </c>
      <c r="L473" s="87">
        <v>0.8</v>
      </c>
      <c r="M473" s="88">
        <v>0.8</v>
      </c>
      <c r="N473" s="89"/>
      <c r="O473" s="87"/>
      <c r="P473" s="87"/>
      <c r="Q473" s="87"/>
      <c r="R473" s="87"/>
      <c r="S473" s="87">
        <v>0.8</v>
      </c>
      <c r="T473" s="87"/>
      <c r="U473" s="87">
        <v>0.8</v>
      </c>
      <c r="V473" s="90" t="s">
        <v>3714</v>
      </c>
    </row>
    <row r="474" ht="15" customHeight="1" spans="1:23" x14ac:dyDescent="0.25">
      <c r="A474" s="85">
        <v>3770</v>
      </c>
      <c r="B474" s="85" t="s">
        <v>3725</v>
      </c>
      <c r="C474" s="85" t="s">
        <v>698</v>
      </c>
      <c r="D474" s="85" t="s">
        <v>902</v>
      </c>
      <c r="E474" s="85"/>
      <c r="F474" s="85" t="s">
        <v>157</v>
      </c>
      <c r="G474" s="85"/>
      <c r="H474" s="85"/>
      <c r="I474" s="86"/>
      <c r="J474" s="86"/>
      <c r="K474" s="87"/>
      <c r="L474" s="87"/>
      <c r="M474" s="88"/>
      <c r="N474" s="89"/>
      <c r="O474" s="87"/>
      <c r="P474" s="87"/>
      <c r="Q474" s="87"/>
      <c r="R474" s="87"/>
      <c r="S474" s="87">
        <v>1</v>
      </c>
      <c r="T474" s="87">
        <v>1</v>
      </c>
      <c r="U474" s="87">
        <v>1</v>
      </c>
      <c r="V474" s="90" t="s">
        <v>3593</v>
      </c>
    </row>
    <row r="475" ht="15" customHeight="1" spans="1:23" x14ac:dyDescent="0.25">
      <c r="A475" s="85">
        <v>3770</v>
      </c>
      <c r="B475" s="85" t="s">
        <v>3725</v>
      </c>
      <c r="C475" s="85" t="s">
        <v>698</v>
      </c>
      <c r="D475" s="85" t="s">
        <v>902</v>
      </c>
      <c r="E475" s="85"/>
      <c r="F475" s="85" t="s">
        <v>2472</v>
      </c>
      <c r="G475" s="85" t="s">
        <v>288</v>
      </c>
      <c r="H475" s="85" t="s">
        <v>3268</v>
      </c>
      <c r="I475" s="86">
        <v>65</v>
      </c>
      <c r="J475" s="86">
        <v>65</v>
      </c>
      <c r="K475" s="87">
        <v>1</v>
      </c>
      <c r="L475" s="87">
        <v>1</v>
      </c>
      <c r="M475" s="88">
        <v>1</v>
      </c>
      <c r="N475" s="89"/>
      <c r="O475" s="87"/>
      <c r="P475" s="87"/>
      <c r="Q475" s="87"/>
      <c r="R475" s="87"/>
      <c r="S475" s="87">
        <v>1</v>
      </c>
      <c r="T475" s="87"/>
      <c r="U475" s="87">
        <v>1</v>
      </c>
      <c r="V475" s="90" t="s">
        <v>3593</v>
      </c>
    </row>
    <row r="476" ht="15" customHeight="1" spans="1:23" x14ac:dyDescent="0.25">
      <c r="A476" s="85">
        <v>3771</v>
      </c>
      <c r="B476" s="85" t="s">
        <v>3726</v>
      </c>
      <c r="C476" s="85" t="s">
        <v>698</v>
      </c>
      <c r="D476" s="85" t="s">
        <v>728</v>
      </c>
      <c r="E476" s="85"/>
      <c r="F476" s="85" t="s">
        <v>157</v>
      </c>
      <c r="G476" s="85"/>
      <c r="H476" s="85"/>
      <c r="I476" s="86"/>
      <c r="J476" s="86"/>
      <c r="K476" s="87"/>
      <c r="L476" s="87"/>
      <c r="M476" s="88"/>
      <c r="N476" s="89"/>
      <c r="O476" s="87"/>
      <c r="P476" s="87"/>
      <c r="Q476" s="87"/>
      <c r="R476" s="87"/>
      <c r="S476" s="87">
        <v>0.9</v>
      </c>
      <c r="T476" s="87">
        <v>0.9</v>
      </c>
      <c r="U476" s="87">
        <v>0.9</v>
      </c>
      <c r="V476" s="90" t="s">
        <v>3727</v>
      </c>
    </row>
    <row r="477" ht="15" customHeight="1" spans="1:23" x14ac:dyDescent="0.25">
      <c r="A477" s="85">
        <v>3771</v>
      </c>
      <c r="B477" s="85" t="s">
        <v>3726</v>
      </c>
      <c r="C477" s="85" t="s">
        <v>698</v>
      </c>
      <c r="D477" s="85" t="s">
        <v>728</v>
      </c>
      <c r="E477" s="85"/>
      <c r="F477" s="85" t="s">
        <v>2472</v>
      </c>
      <c r="G477" s="85" t="s">
        <v>288</v>
      </c>
      <c r="H477" s="85" t="s">
        <v>3268</v>
      </c>
      <c r="I477" s="86">
        <v>65</v>
      </c>
      <c r="J477" s="86">
        <v>65</v>
      </c>
      <c r="K477" s="87">
        <v>1</v>
      </c>
      <c r="L477" s="87">
        <v>0.9</v>
      </c>
      <c r="M477" s="88">
        <v>0.9</v>
      </c>
      <c r="N477" s="89"/>
      <c r="O477" s="87"/>
      <c r="P477" s="87"/>
      <c r="Q477" s="87"/>
      <c r="R477" s="87"/>
      <c r="S477" s="87">
        <v>0.9</v>
      </c>
      <c r="T477" s="87"/>
      <c r="U477" s="87">
        <v>0.9</v>
      </c>
      <c r="V477" s="90" t="s">
        <v>3727</v>
      </c>
    </row>
    <row r="478" ht="15" customHeight="1" spans="1:23" x14ac:dyDescent="0.25">
      <c r="A478" s="85">
        <v>3772</v>
      </c>
      <c r="B478" s="85" t="s">
        <v>3728</v>
      </c>
      <c r="C478" s="85" t="s">
        <v>698</v>
      </c>
      <c r="D478" s="85" t="s">
        <v>739</v>
      </c>
      <c r="E478" s="85"/>
      <c r="F478" s="85" t="s">
        <v>157</v>
      </c>
      <c r="G478" s="85"/>
      <c r="H478" s="85"/>
      <c r="I478" s="86"/>
      <c r="J478" s="86"/>
      <c r="K478" s="87"/>
      <c r="L478" s="87"/>
      <c r="M478" s="88"/>
      <c r="N478" s="89"/>
      <c r="O478" s="87"/>
      <c r="P478" s="87"/>
      <c r="Q478" s="87"/>
      <c r="R478" s="87"/>
      <c r="S478" s="87">
        <v>1</v>
      </c>
      <c r="T478" s="87">
        <v>1</v>
      </c>
      <c r="U478" s="87">
        <v>1</v>
      </c>
      <c r="V478" s="90" t="s">
        <v>3593</v>
      </c>
    </row>
    <row r="479" ht="15" customHeight="1" spans="1:23" x14ac:dyDescent="0.25">
      <c r="A479" s="85">
        <v>3772</v>
      </c>
      <c r="B479" s="85" t="s">
        <v>3728</v>
      </c>
      <c r="C479" s="85" t="s">
        <v>698</v>
      </c>
      <c r="D479" s="85" t="s">
        <v>739</v>
      </c>
      <c r="E479" s="85"/>
      <c r="F479" s="85" t="s">
        <v>2472</v>
      </c>
      <c r="G479" s="85" t="s">
        <v>288</v>
      </c>
      <c r="H479" s="85" t="s">
        <v>3268</v>
      </c>
      <c r="I479" s="86">
        <v>65</v>
      </c>
      <c r="J479" s="86">
        <v>65</v>
      </c>
      <c r="K479" s="87">
        <v>1</v>
      </c>
      <c r="L479" s="87">
        <v>1</v>
      </c>
      <c r="M479" s="88">
        <v>1</v>
      </c>
      <c r="N479" s="89"/>
      <c r="O479" s="87"/>
      <c r="P479" s="87"/>
      <c r="Q479" s="87"/>
      <c r="R479" s="87"/>
      <c r="S479" s="87">
        <v>1</v>
      </c>
      <c r="T479" s="87"/>
      <c r="U479" s="87">
        <v>1</v>
      </c>
      <c r="V479" s="90" t="s">
        <v>3593</v>
      </c>
    </row>
    <row r="480" ht="15" customHeight="1" spans="1:23" x14ac:dyDescent="0.25">
      <c r="A480" s="85">
        <v>3773</v>
      </c>
      <c r="B480" s="85" t="s">
        <v>3729</v>
      </c>
      <c r="C480" s="85" t="s">
        <v>698</v>
      </c>
      <c r="D480" s="85" t="s">
        <v>929</v>
      </c>
      <c r="E480" s="85"/>
      <c r="F480" s="85" t="s">
        <v>157</v>
      </c>
      <c r="G480" s="85"/>
      <c r="H480" s="85"/>
      <c r="I480" s="86"/>
      <c r="J480" s="86"/>
      <c r="K480" s="87"/>
      <c r="L480" s="87"/>
      <c r="M480" s="88"/>
      <c r="N480" s="89"/>
      <c r="O480" s="87"/>
      <c r="P480" s="87"/>
      <c r="Q480" s="87"/>
      <c r="R480" s="87"/>
      <c r="S480" s="87">
        <v>1</v>
      </c>
      <c r="T480" s="87">
        <v>1</v>
      </c>
      <c r="U480" s="87">
        <v>1</v>
      </c>
      <c r="V480" s="90" t="s">
        <v>3593</v>
      </c>
    </row>
    <row r="481" ht="15" customHeight="1" spans="1:23" x14ac:dyDescent="0.25">
      <c r="A481" s="85">
        <v>3773</v>
      </c>
      <c r="B481" s="85" t="s">
        <v>3729</v>
      </c>
      <c r="C481" s="85" t="s">
        <v>698</v>
      </c>
      <c r="D481" s="85" t="s">
        <v>929</v>
      </c>
      <c r="E481" s="85"/>
      <c r="F481" s="85" t="s">
        <v>2472</v>
      </c>
      <c r="G481" s="85" t="s">
        <v>288</v>
      </c>
      <c r="H481" s="85" t="s">
        <v>3268</v>
      </c>
      <c r="I481" s="86">
        <v>65</v>
      </c>
      <c r="J481" s="86">
        <v>65</v>
      </c>
      <c r="K481" s="87">
        <v>1</v>
      </c>
      <c r="L481" s="87">
        <v>1</v>
      </c>
      <c r="M481" s="88">
        <v>1</v>
      </c>
      <c r="N481" s="89"/>
      <c r="O481" s="87"/>
      <c r="P481" s="87"/>
      <c r="Q481" s="87"/>
      <c r="R481" s="87"/>
      <c r="S481" s="87">
        <v>1</v>
      </c>
      <c r="T481" s="87"/>
      <c r="U481" s="87">
        <v>1</v>
      </c>
      <c r="V481" s="90" t="s">
        <v>3593</v>
      </c>
    </row>
    <row r="482" ht="15" customHeight="1" spans="1:23" x14ac:dyDescent="0.25">
      <c r="A482" s="85">
        <v>3774</v>
      </c>
      <c r="B482" s="85" t="s">
        <v>3730</v>
      </c>
      <c r="C482" s="85" t="s">
        <v>698</v>
      </c>
      <c r="D482" s="85" t="s">
        <v>1155</v>
      </c>
      <c r="E482" s="85"/>
      <c r="F482" s="85" t="s">
        <v>157</v>
      </c>
      <c r="G482" s="85"/>
      <c r="H482" s="85"/>
      <c r="I482" s="86"/>
      <c r="J482" s="86"/>
      <c r="K482" s="87"/>
      <c r="L482" s="87"/>
      <c r="M482" s="88"/>
      <c r="N482" s="89"/>
      <c r="O482" s="87"/>
      <c r="P482" s="87"/>
      <c r="Q482" s="87"/>
      <c r="R482" s="87"/>
      <c r="S482" s="87">
        <v>1</v>
      </c>
      <c r="T482" s="87">
        <v>1</v>
      </c>
      <c r="U482" s="87"/>
      <c r="V482" s="90" t="s">
        <v>2472</v>
      </c>
    </row>
    <row r="483" ht="15" customHeight="1" spans="1:23" x14ac:dyDescent="0.25">
      <c r="A483" s="85">
        <v>3774</v>
      </c>
      <c r="B483" s="85" t="s">
        <v>3730</v>
      </c>
      <c r="C483" s="85" t="s">
        <v>698</v>
      </c>
      <c r="D483" s="85" t="s">
        <v>1155</v>
      </c>
      <c r="E483" s="85"/>
      <c r="F483" s="85" t="s">
        <v>2472</v>
      </c>
      <c r="G483" s="85" t="s">
        <v>288</v>
      </c>
      <c r="H483" s="85" t="s">
        <v>3268</v>
      </c>
      <c r="I483" s="86">
        <v>65</v>
      </c>
      <c r="J483" s="86">
        <v>65</v>
      </c>
      <c r="K483" s="87">
        <v>1</v>
      </c>
      <c r="L483" s="87">
        <v>1</v>
      </c>
      <c r="M483" s="88">
        <v>1</v>
      </c>
      <c r="N483" s="89"/>
      <c r="O483" s="87"/>
      <c r="P483" s="87"/>
      <c r="Q483" s="87"/>
      <c r="R483" s="87"/>
      <c r="S483" s="87">
        <v>1</v>
      </c>
      <c r="T483" s="87"/>
      <c r="U483" s="87">
        <v>0</v>
      </c>
      <c r="V483" s="90" t="s">
        <v>2472</v>
      </c>
    </row>
    <row r="484" ht="15" customHeight="1" spans="1:23" x14ac:dyDescent="0.25">
      <c r="A484" s="85">
        <v>3775</v>
      </c>
      <c r="B484" s="85" t="s">
        <v>3731</v>
      </c>
      <c r="C484" s="85" t="s">
        <v>698</v>
      </c>
      <c r="D484" s="85" t="s">
        <v>836</v>
      </c>
      <c r="E484" s="85"/>
      <c r="F484" s="85" t="s">
        <v>157</v>
      </c>
      <c r="G484" s="85"/>
      <c r="H484" s="85"/>
      <c r="I484" s="86"/>
      <c r="J484" s="86"/>
      <c r="K484" s="87"/>
      <c r="L484" s="87"/>
      <c r="M484" s="88"/>
      <c r="N484" s="89"/>
      <c r="O484" s="87"/>
      <c r="P484" s="87"/>
      <c r="Q484" s="87"/>
      <c r="R484" s="87"/>
      <c r="S484" s="87">
        <v>0.8</v>
      </c>
      <c r="T484" s="87">
        <v>0.8</v>
      </c>
      <c r="U484" s="87"/>
      <c r="V484" s="90" t="s">
        <v>2472</v>
      </c>
    </row>
    <row r="485" ht="15" customHeight="1" spans="1:23" x14ac:dyDescent="0.25">
      <c r="A485" s="85">
        <v>3775</v>
      </c>
      <c r="B485" s="85" t="s">
        <v>3731</v>
      </c>
      <c r="C485" s="85" t="s">
        <v>698</v>
      </c>
      <c r="D485" s="85" t="s">
        <v>836</v>
      </c>
      <c r="E485" s="85"/>
      <c r="F485" s="85" t="s">
        <v>2472</v>
      </c>
      <c r="G485" s="85" t="s">
        <v>288</v>
      </c>
      <c r="H485" s="85" t="s">
        <v>3268</v>
      </c>
      <c r="I485" s="86">
        <v>65</v>
      </c>
      <c r="J485" s="86">
        <v>65</v>
      </c>
      <c r="K485" s="87">
        <v>1</v>
      </c>
      <c r="L485" s="87">
        <v>0.8</v>
      </c>
      <c r="M485" s="88">
        <v>0.8</v>
      </c>
      <c r="N485" s="89"/>
      <c r="O485" s="87"/>
      <c r="P485" s="87"/>
      <c r="Q485" s="87"/>
      <c r="R485" s="87"/>
      <c r="S485" s="87">
        <v>0.8</v>
      </c>
      <c r="T485" s="87"/>
      <c r="U485" s="87">
        <v>0</v>
      </c>
      <c r="V485" s="90" t="s">
        <v>2472</v>
      </c>
    </row>
    <row r="486" ht="15" customHeight="1" spans="1:23" x14ac:dyDescent="0.25">
      <c r="A486" s="85">
        <v>3776</v>
      </c>
      <c r="B486" s="85" t="s">
        <v>3732</v>
      </c>
      <c r="C486" s="85" t="s">
        <v>698</v>
      </c>
      <c r="D486" s="85" t="s">
        <v>1085</v>
      </c>
      <c r="E486" s="85"/>
      <c r="F486" s="85" t="s">
        <v>157</v>
      </c>
      <c r="G486" s="85"/>
      <c r="H486" s="85"/>
      <c r="I486" s="86"/>
      <c r="J486" s="86"/>
      <c r="K486" s="87"/>
      <c r="L486" s="87"/>
      <c r="M486" s="88"/>
      <c r="N486" s="89"/>
      <c r="O486" s="87"/>
      <c r="P486" s="87"/>
      <c r="Q486" s="87"/>
      <c r="R486" s="87"/>
      <c r="S486" s="87">
        <v>1</v>
      </c>
      <c r="T486" s="87">
        <v>1</v>
      </c>
      <c r="U486" s="87">
        <v>1</v>
      </c>
      <c r="V486" s="90" t="s">
        <v>3593</v>
      </c>
    </row>
    <row r="487" ht="15" customHeight="1" spans="1:23" x14ac:dyDescent="0.25">
      <c r="A487" s="85">
        <v>3776</v>
      </c>
      <c r="B487" s="85" t="s">
        <v>3732</v>
      </c>
      <c r="C487" s="85" t="s">
        <v>698</v>
      </c>
      <c r="D487" s="85" t="s">
        <v>1085</v>
      </c>
      <c r="E487" s="85"/>
      <c r="F487" s="85" t="s">
        <v>2472</v>
      </c>
      <c r="G487" s="85" t="s">
        <v>288</v>
      </c>
      <c r="H487" s="85" t="s">
        <v>3268</v>
      </c>
      <c r="I487" s="86">
        <v>65</v>
      </c>
      <c r="J487" s="86">
        <v>65</v>
      </c>
      <c r="K487" s="87">
        <v>1</v>
      </c>
      <c r="L487" s="87">
        <v>1</v>
      </c>
      <c r="M487" s="88">
        <v>1</v>
      </c>
      <c r="N487" s="89"/>
      <c r="O487" s="87"/>
      <c r="P487" s="87"/>
      <c r="Q487" s="87"/>
      <c r="R487" s="87"/>
      <c r="S487" s="87">
        <v>1</v>
      </c>
      <c r="T487" s="87"/>
      <c r="U487" s="87">
        <v>1</v>
      </c>
      <c r="V487" s="90" t="s">
        <v>3593</v>
      </c>
    </row>
    <row r="488" ht="15" customHeight="1" spans="1:23" x14ac:dyDescent="0.25">
      <c r="A488" s="85">
        <v>3777</v>
      </c>
      <c r="B488" s="85" t="s">
        <v>3733</v>
      </c>
      <c r="C488" s="85" t="s">
        <v>698</v>
      </c>
      <c r="D488" s="85" t="s">
        <v>1261</v>
      </c>
      <c r="E488" s="85"/>
      <c r="F488" s="85" t="s">
        <v>157</v>
      </c>
      <c r="G488" s="85"/>
      <c r="H488" s="85"/>
      <c r="I488" s="86"/>
      <c r="J488" s="86"/>
      <c r="K488" s="87"/>
      <c r="L488" s="87"/>
      <c r="M488" s="88"/>
      <c r="N488" s="89"/>
      <c r="O488" s="87"/>
      <c r="P488" s="87"/>
      <c r="Q488" s="87"/>
      <c r="R488" s="87"/>
      <c r="S488" s="87">
        <v>0.8</v>
      </c>
      <c r="T488" s="87">
        <v>0.8</v>
      </c>
      <c r="U488" s="87">
        <v>0.8</v>
      </c>
      <c r="V488" s="90" t="s">
        <v>3714</v>
      </c>
    </row>
    <row r="489" ht="15" customHeight="1" spans="1:23" x14ac:dyDescent="0.25">
      <c r="A489" s="85">
        <v>3777</v>
      </c>
      <c r="B489" s="85" t="s">
        <v>3733</v>
      </c>
      <c r="C489" s="85" t="s">
        <v>698</v>
      </c>
      <c r="D489" s="85" t="s">
        <v>1261</v>
      </c>
      <c r="E489" s="85"/>
      <c r="F489" s="85" t="s">
        <v>2472</v>
      </c>
      <c r="G489" s="85" t="s">
        <v>288</v>
      </c>
      <c r="H489" s="85" t="s">
        <v>3268</v>
      </c>
      <c r="I489" s="86">
        <v>65</v>
      </c>
      <c r="J489" s="86">
        <v>65</v>
      </c>
      <c r="K489" s="87">
        <v>1</v>
      </c>
      <c r="L489" s="87">
        <v>0.8</v>
      </c>
      <c r="M489" s="88">
        <v>0.8</v>
      </c>
      <c r="N489" s="89"/>
      <c r="O489" s="87"/>
      <c r="P489" s="87"/>
      <c r="Q489" s="87"/>
      <c r="R489" s="87"/>
      <c r="S489" s="87">
        <v>0.8</v>
      </c>
      <c r="T489" s="87"/>
      <c r="U489" s="87">
        <v>0.8</v>
      </c>
      <c r="V489" s="90" t="s">
        <v>3714</v>
      </c>
    </row>
    <row r="490" ht="15" customHeight="1" spans="1:23" x14ac:dyDescent="0.25">
      <c r="A490" s="85">
        <v>3778</v>
      </c>
      <c r="B490" s="85" t="s">
        <v>3734</v>
      </c>
      <c r="C490" s="85" t="s">
        <v>698</v>
      </c>
      <c r="D490" s="85" t="s">
        <v>763</v>
      </c>
      <c r="E490" s="85"/>
      <c r="F490" s="85" t="s">
        <v>157</v>
      </c>
      <c r="G490" s="85"/>
      <c r="H490" s="85"/>
      <c r="I490" s="86"/>
      <c r="J490" s="86"/>
      <c r="K490" s="87"/>
      <c r="L490" s="87"/>
      <c r="M490" s="88"/>
      <c r="N490" s="89"/>
      <c r="O490" s="87"/>
      <c r="P490" s="87"/>
      <c r="Q490" s="87"/>
      <c r="R490" s="87"/>
      <c r="S490" s="87">
        <v>1</v>
      </c>
      <c r="T490" s="87">
        <v>1</v>
      </c>
      <c r="U490" s="87">
        <v>1</v>
      </c>
      <c r="V490" s="90" t="s">
        <v>3593</v>
      </c>
    </row>
    <row r="491" ht="15" customHeight="1" spans="1:23" x14ac:dyDescent="0.25">
      <c r="A491" s="85">
        <v>3778</v>
      </c>
      <c r="B491" s="85" t="s">
        <v>3734</v>
      </c>
      <c r="C491" s="85" t="s">
        <v>698</v>
      </c>
      <c r="D491" s="85" t="s">
        <v>763</v>
      </c>
      <c r="E491" s="85"/>
      <c r="F491" s="85" t="s">
        <v>2472</v>
      </c>
      <c r="G491" s="85" t="s">
        <v>288</v>
      </c>
      <c r="H491" s="85" t="s">
        <v>3268</v>
      </c>
      <c r="I491" s="86">
        <v>65</v>
      </c>
      <c r="J491" s="86">
        <v>65</v>
      </c>
      <c r="K491" s="87">
        <v>1</v>
      </c>
      <c r="L491" s="87">
        <v>1</v>
      </c>
      <c r="M491" s="88">
        <v>1</v>
      </c>
      <c r="N491" s="89"/>
      <c r="O491" s="87"/>
      <c r="P491" s="87"/>
      <c r="Q491" s="87"/>
      <c r="R491" s="87"/>
      <c r="S491" s="87">
        <v>1</v>
      </c>
      <c r="T491" s="87"/>
      <c r="U491" s="87">
        <v>1</v>
      </c>
      <c r="V491" s="90" t="s">
        <v>3593</v>
      </c>
    </row>
    <row r="492" ht="15" customHeight="1" spans="1:23" x14ac:dyDescent="0.25">
      <c r="A492" s="85">
        <v>3779</v>
      </c>
      <c r="B492" s="85" t="s">
        <v>3735</v>
      </c>
      <c r="C492" s="85" t="s">
        <v>698</v>
      </c>
      <c r="D492" s="85" t="s">
        <v>1796</v>
      </c>
      <c r="E492" s="85"/>
      <c r="F492" s="85" t="s">
        <v>157</v>
      </c>
      <c r="G492" s="85"/>
      <c r="H492" s="85"/>
      <c r="I492" s="86"/>
      <c r="J492" s="86"/>
      <c r="K492" s="87"/>
      <c r="L492" s="87"/>
      <c r="M492" s="88"/>
      <c r="N492" s="89"/>
      <c r="O492" s="87"/>
      <c r="P492" s="87"/>
      <c r="Q492" s="87"/>
      <c r="R492" s="87"/>
      <c r="S492" s="87">
        <v>1</v>
      </c>
      <c r="T492" s="87">
        <v>1</v>
      </c>
      <c r="U492" s="87"/>
      <c r="V492" s="90" t="s">
        <v>2472</v>
      </c>
    </row>
    <row r="493" ht="15" customHeight="1" spans="1:23" x14ac:dyDescent="0.25">
      <c r="A493" s="85">
        <v>3779</v>
      </c>
      <c r="B493" s="85" t="s">
        <v>3735</v>
      </c>
      <c r="C493" s="85" t="s">
        <v>698</v>
      </c>
      <c r="D493" s="85" t="s">
        <v>1796</v>
      </c>
      <c r="E493" s="85"/>
      <c r="F493" s="85" t="s">
        <v>2472</v>
      </c>
      <c r="G493" s="85" t="s">
        <v>288</v>
      </c>
      <c r="H493" s="85" t="s">
        <v>3268</v>
      </c>
      <c r="I493" s="86">
        <v>65</v>
      </c>
      <c r="J493" s="86">
        <v>65</v>
      </c>
      <c r="K493" s="87">
        <v>1</v>
      </c>
      <c r="L493" s="87">
        <v>1</v>
      </c>
      <c r="M493" s="88">
        <v>1</v>
      </c>
      <c r="N493" s="89"/>
      <c r="O493" s="87"/>
      <c r="P493" s="87"/>
      <c r="Q493" s="87"/>
      <c r="R493" s="87"/>
      <c r="S493" s="87">
        <v>1</v>
      </c>
      <c r="T493" s="87"/>
      <c r="U493" s="87">
        <v>0</v>
      </c>
      <c r="V493" s="90" t="s">
        <v>2472</v>
      </c>
    </row>
    <row r="494" ht="15" customHeight="1" spans="1:23" x14ac:dyDescent="0.25">
      <c r="A494" s="85">
        <v>3780</v>
      </c>
      <c r="B494" s="85" t="s">
        <v>3736</v>
      </c>
      <c r="C494" s="85" t="s">
        <v>698</v>
      </c>
      <c r="D494" s="85" t="s">
        <v>728</v>
      </c>
      <c r="E494" s="85"/>
      <c r="F494" s="85" t="s">
        <v>157</v>
      </c>
      <c r="G494" s="85"/>
      <c r="H494" s="85"/>
      <c r="I494" s="86"/>
      <c r="J494" s="86"/>
      <c r="K494" s="87"/>
      <c r="L494" s="87"/>
      <c r="M494" s="88"/>
      <c r="N494" s="89"/>
      <c r="O494" s="87"/>
      <c r="P494" s="87"/>
      <c r="Q494" s="87"/>
      <c r="R494" s="87"/>
      <c r="S494" s="87">
        <v>1</v>
      </c>
      <c r="T494" s="87">
        <v>1</v>
      </c>
      <c r="U494" s="87">
        <v>1</v>
      </c>
      <c r="V494" s="90" t="s">
        <v>3593</v>
      </c>
    </row>
    <row r="495" ht="15" customHeight="1" spans="1:23" x14ac:dyDescent="0.25">
      <c r="A495" s="85">
        <v>3780</v>
      </c>
      <c r="B495" s="85" t="s">
        <v>3736</v>
      </c>
      <c r="C495" s="85" t="s">
        <v>698</v>
      </c>
      <c r="D495" s="85" t="s">
        <v>728</v>
      </c>
      <c r="E495" s="85"/>
      <c r="F495" s="85" t="s">
        <v>2472</v>
      </c>
      <c r="G495" s="85" t="s">
        <v>288</v>
      </c>
      <c r="H495" s="85" t="s">
        <v>3268</v>
      </c>
      <c r="I495" s="86">
        <v>65</v>
      </c>
      <c r="J495" s="86">
        <v>65</v>
      </c>
      <c r="K495" s="87">
        <v>1</v>
      </c>
      <c r="L495" s="87">
        <v>1</v>
      </c>
      <c r="M495" s="88">
        <v>1</v>
      </c>
      <c r="N495" s="89"/>
      <c r="O495" s="87"/>
      <c r="P495" s="87"/>
      <c r="Q495" s="87"/>
      <c r="R495" s="87"/>
      <c r="S495" s="87">
        <v>1</v>
      </c>
      <c r="T495" s="87"/>
      <c r="U495" s="87">
        <v>1</v>
      </c>
      <c r="V495" s="90" t="s">
        <v>3593</v>
      </c>
    </row>
    <row r="496" ht="15" customHeight="1" spans="1:23" x14ac:dyDescent="0.25">
      <c r="A496" s="85">
        <v>3781</v>
      </c>
      <c r="B496" s="85" t="s">
        <v>3737</v>
      </c>
      <c r="C496" s="85" t="s">
        <v>698</v>
      </c>
      <c r="D496" s="85" t="s">
        <v>1480</v>
      </c>
      <c r="E496" s="85"/>
      <c r="F496" s="85" t="s">
        <v>157</v>
      </c>
      <c r="G496" s="85"/>
      <c r="H496" s="85"/>
      <c r="I496" s="86"/>
      <c r="J496" s="86"/>
      <c r="K496" s="87"/>
      <c r="L496" s="87"/>
      <c r="M496" s="88"/>
      <c r="N496" s="89"/>
      <c r="O496" s="87"/>
      <c r="P496" s="87"/>
      <c r="Q496" s="87"/>
      <c r="R496" s="87"/>
      <c r="S496" s="87">
        <v>0.8</v>
      </c>
      <c r="T496" s="87">
        <v>0.8</v>
      </c>
      <c r="U496" s="87"/>
      <c r="V496" s="90" t="s">
        <v>2472</v>
      </c>
    </row>
    <row r="497" ht="15" customHeight="1" spans="1:23" x14ac:dyDescent="0.25">
      <c r="A497" s="85">
        <v>3781</v>
      </c>
      <c r="B497" s="85" t="s">
        <v>3737</v>
      </c>
      <c r="C497" s="85" t="s">
        <v>698</v>
      </c>
      <c r="D497" s="85" t="s">
        <v>1480</v>
      </c>
      <c r="E497" s="85"/>
      <c r="F497" s="85" t="s">
        <v>2472</v>
      </c>
      <c r="G497" s="85" t="s">
        <v>288</v>
      </c>
      <c r="H497" s="85" t="s">
        <v>3268</v>
      </c>
      <c r="I497" s="86">
        <v>65</v>
      </c>
      <c r="J497" s="86">
        <v>65</v>
      </c>
      <c r="K497" s="87">
        <v>1</v>
      </c>
      <c r="L497" s="87">
        <v>0.8</v>
      </c>
      <c r="M497" s="88">
        <v>0.8</v>
      </c>
      <c r="N497" s="89"/>
      <c r="O497" s="87"/>
      <c r="P497" s="87"/>
      <c r="Q497" s="87"/>
      <c r="R497" s="87"/>
      <c r="S497" s="87">
        <v>0.8</v>
      </c>
      <c r="T497" s="87"/>
      <c r="U497" s="87">
        <v>0</v>
      </c>
      <c r="V497" s="90" t="s">
        <v>2472</v>
      </c>
    </row>
    <row r="498" ht="15" customHeight="1" spans="1:23" x14ac:dyDescent="0.25">
      <c r="A498" s="85">
        <v>3782</v>
      </c>
      <c r="B498" s="85" t="s">
        <v>3738</v>
      </c>
      <c r="C498" s="85" t="s">
        <v>698</v>
      </c>
      <c r="D498" s="85" t="s">
        <v>1363</v>
      </c>
      <c r="E498" s="85"/>
      <c r="F498" s="85" t="s">
        <v>157</v>
      </c>
      <c r="G498" s="85"/>
      <c r="H498" s="85"/>
      <c r="I498" s="86"/>
      <c r="J498" s="86"/>
      <c r="K498" s="87"/>
      <c r="L498" s="87"/>
      <c r="M498" s="88"/>
      <c r="N498" s="89"/>
      <c r="O498" s="87"/>
      <c r="P498" s="87"/>
      <c r="Q498" s="87"/>
      <c r="R498" s="87"/>
      <c r="S498" s="87">
        <v>0.8</v>
      </c>
      <c r="T498" s="87">
        <v>0.8</v>
      </c>
      <c r="U498" s="87">
        <v>0.8</v>
      </c>
      <c r="V498" s="90" t="s">
        <v>3714</v>
      </c>
    </row>
    <row r="499" ht="15" customHeight="1" spans="1:23" x14ac:dyDescent="0.25">
      <c r="A499" s="85">
        <v>3782</v>
      </c>
      <c r="B499" s="85" t="s">
        <v>3738</v>
      </c>
      <c r="C499" s="85" t="s">
        <v>698</v>
      </c>
      <c r="D499" s="85" t="s">
        <v>1363</v>
      </c>
      <c r="E499" s="85"/>
      <c r="F499" s="85" t="s">
        <v>2472</v>
      </c>
      <c r="G499" s="85" t="s">
        <v>288</v>
      </c>
      <c r="H499" s="85" t="s">
        <v>3268</v>
      </c>
      <c r="I499" s="86">
        <v>65</v>
      </c>
      <c r="J499" s="86">
        <v>65</v>
      </c>
      <c r="K499" s="87">
        <v>1</v>
      </c>
      <c r="L499" s="87">
        <v>0.8</v>
      </c>
      <c r="M499" s="88">
        <v>0.8</v>
      </c>
      <c r="N499" s="89"/>
      <c r="O499" s="87"/>
      <c r="P499" s="87"/>
      <c r="Q499" s="87"/>
      <c r="R499" s="87"/>
      <c r="S499" s="87">
        <v>0.8</v>
      </c>
      <c r="T499" s="87"/>
      <c r="U499" s="87">
        <v>0.8</v>
      </c>
      <c r="V499" s="90" t="s">
        <v>3714</v>
      </c>
    </row>
    <row r="500" ht="15" customHeight="1" spans="1:23" x14ac:dyDescent="0.25">
      <c r="A500" s="85">
        <v>3783</v>
      </c>
      <c r="B500" s="85" t="s">
        <v>3739</v>
      </c>
      <c r="C500" s="85" t="s">
        <v>698</v>
      </c>
      <c r="D500" s="85" t="s">
        <v>722</v>
      </c>
      <c r="E500" s="85"/>
      <c r="F500" s="85" t="s">
        <v>157</v>
      </c>
      <c r="G500" s="85"/>
      <c r="H500" s="85"/>
      <c r="I500" s="86"/>
      <c r="J500" s="86"/>
      <c r="K500" s="87"/>
      <c r="L500" s="87"/>
      <c r="M500" s="88"/>
      <c r="N500" s="89"/>
      <c r="O500" s="87"/>
      <c r="P500" s="87"/>
      <c r="Q500" s="87"/>
      <c r="R500" s="87"/>
      <c r="S500" s="87">
        <v>1</v>
      </c>
      <c r="T500" s="87">
        <v>1</v>
      </c>
      <c r="U500" s="87"/>
      <c r="V500" s="90" t="s">
        <v>2472</v>
      </c>
    </row>
    <row r="501" ht="15" customHeight="1" spans="1:23" x14ac:dyDescent="0.25">
      <c r="A501" s="85">
        <v>3783</v>
      </c>
      <c r="B501" s="85" t="s">
        <v>3739</v>
      </c>
      <c r="C501" s="85" t="s">
        <v>698</v>
      </c>
      <c r="D501" s="85" t="s">
        <v>722</v>
      </c>
      <c r="E501" s="85"/>
      <c r="F501" s="85" t="s">
        <v>2472</v>
      </c>
      <c r="G501" s="85" t="s">
        <v>288</v>
      </c>
      <c r="H501" s="85" t="s">
        <v>3268</v>
      </c>
      <c r="I501" s="86">
        <v>65</v>
      </c>
      <c r="J501" s="86">
        <v>65</v>
      </c>
      <c r="K501" s="87">
        <v>1</v>
      </c>
      <c r="L501" s="87">
        <v>1</v>
      </c>
      <c r="M501" s="88">
        <v>1</v>
      </c>
      <c r="N501" s="89"/>
      <c r="O501" s="87"/>
      <c r="P501" s="87"/>
      <c r="Q501" s="87"/>
      <c r="R501" s="87"/>
      <c r="S501" s="87">
        <v>1</v>
      </c>
      <c r="T501" s="87"/>
      <c r="U501" s="87">
        <v>0</v>
      </c>
      <c r="V501" s="90" t="s">
        <v>2472</v>
      </c>
    </row>
    <row r="502" ht="15" customHeight="1" spans="1:23" x14ac:dyDescent="0.25">
      <c r="A502" s="85">
        <v>3784</v>
      </c>
      <c r="B502" s="85" t="s">
        <v>3740</v>
      </c>
      <c r="C502" s="85" t="s">
        <v>698</v>
      </c>
      <c r="D502" s="85" t="s">
        <v>175</v>
      </c>
      <c r="E502" s="85"/>
      <c r="F502" s="85" t="s">
        <v>157</v>
      </c>
      <c r="G502" s="85"/>
      <c r="H502" s="85"/>
      <c r="I502" s="86"/>
      <c r="J502" s="86"/>
      <c r="K502" s="87"/>
      <c r="L502" s="87"/>
      <c r="M502" s="88"/>
      <c r="N502" s="89"/>
      <c r="O502" s="87"/>
      <c r="P502" s="87"/>
      <c r="Q502" s="87"/>
      <c r="R502" s="87"/>
      <c r="S502" s="87">
        <v>1</v>
      </c>
      <c r="T502" s="87">
        <v>1</v>
      </c>
      <c r="U502" s="87">
        <v>1</v>
      </c>
      <c r="V502" s="90" t="s">
        <v>3593</v>
      </c>
    </row>
    <row r="503" ht="15" customHeight="1" spans="1:23" x14ac:dyDescent="0.25">
      <c r="A503" s="85">
        <v>3784</v>
      </c>
      <c r="B503" s="85" t="s">
        <v>3740</v>
      </c>
      <c r="C503" s="85" t="s">
        <v>698</v>
      </c>
      <c r="D503" s="85" t="s">
        <v>175</v>
      </c>
      <c r="E503" s="85"/>
      <c r="F503" s="85" t="s">
        <v>2472</v>
      </c>
      <c r="G503" s="85" t="s">
        <v>288</v>
      </c>
      <c r="H503" s="85" t="s">
        <v>3268</v>
      </c>
      <c r="I503" s="86">
        <v>65</v>
      </c>
      <c r="J503" s="86">
        <v>65</v>
      </c>
      <c r="K503" s="87">
        <v>1</v>
      </c>
      <c r="L503" s="87">
        <v>1</v>
      </c>
      <c r="M503" s="88">
        <v>1</v>
      </c>
      <c r="N503" s="89"/>
      <c r="O503" s="87"/>
      <c r="P503" s="87"/>
      <c r="Q503" s="87"/>
      <c r="R503" s="87"/>
      <c r="S503" s="87">
        <v>1</v>
      </c>
      <c r="T503" s="87"/>
      <c r="U503" s="87">
        <v>1</v>
      </c>
      <c r="V503" s="90" t="s">
        <v>3593</v>
      </c>
    </row>
    <row r="504" ht="15" customHeight="1" spans="1:23" x14ac:dyDescent="0.25">
      <c r="A504" s="85">
        <v>3785</v>
      </c>
      <c r="B504" s="85" t="s">
        <v>3741</v>
      </c>
      <c r="C504" s="85" t="s">
        <v>698</v>
      </c>
      <c r="D504" s="85" t="s">
        <v>593</v>
      </c>
      <c r="E504" s="85"/>
      <c r="F504" s="85" t="s">
        <v>157</v>
      </c>
      <c r="G504" s="85"/>
      <c r="H504" s="85"/>
      <c r="I504" s="86"/>
      <c r="J504" s="86"/>
      <c r="K504" s="87"/>
      <c r="L504" s="87"/>
      <c r="M504" s="88"/>
      <c r="N504" s="89"/>
      <c r="O504" s="87"/>
      <c r="P504" s="87"/>
      <c r="Q504" s="87"/>
      <c r="R504" s="87"/>
      <c r="S504" s="87">
        <v>1</v>
      </c>
      <c r="T504" s="87">
        <v>1</v>
      </c>
      <c r="U504" s="87">
        <v>1</v>
      </c>
      <c r="V504" s="90" t="s">
        <v>3593</v>
      </c>
    </row>
    <row r="505" ht="15" customHeight="1" spans="1:23" x14ac:dyDescent="0.25">
      <c r="A505" s="85">
        <v>3785</v>
      </c>
      <c r="B505" s="85" t="s">
        <v>3741</v>
      </c>
      <c r="C505" s="85" t="s">
        <v>698</v>
      </c>
      <c r="D505" s="85" t="s">
        <v>593</v>
      </c>
      <c r="E505" s="85"/>
      <c r="F505" s="85" t="s">
        <v>2472</v>
      </c>
      <c r="G505" s="85" t="s">
        <v>288</v>
      </c>
      <c r="H505" s="85" t="s">
        <v>3268</v>
      </c>
      <c r="I505" s="86">
        <v>65</v>
      </c>
      <c r="J505" s="86">
        <v>65</v>
      </c>
      <c r="K505" s="87">
        <v>1</v>
      </c>
      <c r="L505" s="87">
        <v>1</v>
      </c>
      <c r="M505" s="88">
        <v>1</v>
      </c>
      <c r="N505" s="89"/>
      <c r="O505" s="87"/>
      <c r="P505" s="87"/>
      <c r="Q505" s="87"/>
      <c r="R505" s="87"/>
      <c r="S505" s="87">
        <v>1</v>
      </c>
      <c r="T505" s="87"/>
      <c r="U505" s="87">
        <v>1</v>
      </c>
      <c r="V505" s="90" t="s">
        <v>3593</v>
      </c>
    </row>
    <row r="506" ht="15" customHeight="1" spans="1:23" x14ac:dyDescent="0.25">
      <c r="A506" s="85">
        <v>3786</v>
      </c>
      <c r="B506" s="85" t="s">
        <v>3742</v>
      </c>
      <c r="C506" s="85" t="s">
        <v>698</v>
      </c>
      <c r="D506" s="85" t="s">
        <v>1893</v>
      </c>
      <c r="E506" s="85"/>
      <c r="F506" s="85" t="s">
        <v>157</v>
      </c>
      <c r="G506" s="85"/>
      <c r="H506" s="85"/>
      <c r="I506" s="86"/>
      <c r="J506" s="86"/>
      <c r="K506" s="87"/>
      <c r="L506" s="87"/>
      <c r="M506" s="88"/>
      <c r="N506" s="89"/>
      <c r="O506" s="87"/>
      <c r="P506" s="87"/>
      <c r="Q506" s="87"/>
      <c r="R506" s="87"/>
      <c r="S506" s="87">
        <v>1</v>
      </c>
      <c r="T506" s="87">
        <v>1</v>
      </c>
      <c r="U506" s="87"/>
      <c r="V506" s="90" t="s">
        <v>2472</v>
      </c>
    </row>
    <row r="507" ht="15" customHeight="1" spans="1:23" x14ac:dyDescent="0.25">
      <c r="A507" s="85">
        <v>3786</v>
      </c>
      <c r="B507" s="85" t="s">
        <v>3742</v>
      </c>
      <c r="C507" s="85" t="s">
        <v>698</v>
      </c>
      <c r="D507" s="85" t="s">
        <v>1893</v>
      </c>
      <c r="E507" s="85"/>
      <c r="F507" s="85" t="s">
        <v>2472</v>
      </c>
      <c r="G507" s="85" t="s">
        <v>288</v>
      </c>
      <c r="H507" s="85" t="s">
        <v>3268</v>
      </c>
      <c r="I507" s="86">
        <v>65</v>
      </c>
      <c r="J507" s="86">
        <v>65</v>
      </c>
      <c r="K507" s="87">
        <v>1</v>
      </c>
      <c r="L507" s="87">
        <v>1</v>
      </c>
      <c r="M507" s="88">
        <v>1</v>
      </c>
      <c r="N507" s="89"/>
      <c r="O507" s="87"/>
      <c r="P507" s="87"/>
      <c r="Q507" s="87"/>
      <c r="R507" s="87"/>
      <c r="S507" s="87">
        <v>1</v>
      </c>
      <c r="T507" s="87"/>
      <c r="U507" s="87">
        <v>0</v>
      </c>
      <c r="V507" s="90" t="s">
        <v>2472</v>
      </c>
    </row>
    <row r="508" ht="15" customHeight="1" spans="1:23" x14ac:dyDescent="0.25">
      <c r="A508" s="85">
        <v>3787</v>
      </c>
      <c r="B508" s="85" t="s">
        <v>3743</v>
      </c>
      <c r="C508" s="85" t="s">
        <v>698</v>
      </c>
      <c r="D508" s="85" t="s">
        <v>1085</v>
      </c>
      <c r="E508" s="85"/>
      <c r="F508" s="85" t="s">
        <v>157</v>
      </c>
      <c r="G508" s="85"/>
      <c r="H508" s="85"/>
      <c r="I508" s="86"/>
      <c r="J508" s="86"/>
      <c r="K508" s="87"/>
      <c r="L508" s="87"/>
      <c r="M508" s="88"/>
      <c r="N508" s="89"/>
      <c r="O508" s="87"/>
      <c r="P508" s="87"/>
      <c r="Q508" s="87"/>
      <c r="R508" s="87"/>
      <c r="S508" s="87">
        <v>1</v>
      </c>
      <c r="T508" s="87">
        <v>1</v>
      </c>
      <c r="U508" s="87"/>
      <c r="V508" s="90" t="s">
        <v>2472</v>
      </c>
    </row>
    <row r="509" ht="15" customHeight="1" spans="1:23" x14ac:dyDescent="0.25">
      <c r="A509" s="85">
        <v>3787</v>
      </c>
      <c r="B509" s="85" t="s">
        <v>3743</v>
      </c>
      <c r="C509" s="85" t="s">
        <v>698</v>
      </c>
      <c r="D509" s="85" t="s">
        <v>1085</v>
      </c>
      <c r="E509" s="85"/>
      <c r="F509" s="85" t="s">
        <v>2472</v>
      </c>
      <c r="G509" s="85" t="s">
        <v>288</v>
      </c>
      <c r="H509" s="85" t="s">
        <v>3268</v>
      </c>
      <c r="I509" s="86">
        <v>65</v>
      </c>
      <c r="J509" s="86">
        <v>65</v>
      </c>
      <c r="K509" s="87">
        <v>1</v>
      </c>
      <c r="L509" s="87">
        <v>1</v>
      </c>
      <c r="M509" s="88">
        <v>1</v>
      </c>
      <c r="N509" s="89"/>
      <c r="O509" s="87"/>
      <c r="P509" s="87"/>
      <c r="Q509" s="87"/>
      <c r="R509" s="87"/>
      <c r="S509" s="87">
        <v>1</v>
      </c>
      <c r="T509" s="87"/>
      <c r="U509" s="87">
        <v>0</v>
      </c>
      <c r="V509" s="90" t="s">
        <v>2472</v>
      </c>
    </row>
    <row r="510" ht="15" customHeight="1" spans="1:23" x14ac:dyDescent="0.25">
      <c r="A510" s="85">
        <v>3788</v>
      </c>
      <c r="B510" s="85" t="s">
        <v>3744</v>
      </c>
      <c r="C510" s="85" t="s">
        <v>698</v>
      </c>
      <c r="D510" s="85" t="s">
        <v>1414</v>
      </c>
      <c r="E510" s="85"/>
      <c r="F510" s="85" t="s">
        <v>157</v>
      </c>
      <c r="G510" s="85"/>
      <c r="H510" s="85"/>
      <c r="I510" s="86"/>
      <c r="J510" s="86"/>
      <c r="K510" s="87"/>
      <c r="L510" s="87"/>
      <c r="M510" s="88"/>
      <c r="N510" s="89"/>
      <c r="O510" s="87"/>
      <c r="P510" s="87"/>
      <c r="Q510" s="87"/>
      <c r="R510" s="87"/>
      <c r="S510" s="87">
        <v>1</v>
      </c>
      <c r="T510" s="87">
        <v>1</v>
      </c>
      <c r="U510" s="87">
        <v>1</v>
      </c>
      <c r="V510" s="90" t="s">
        <v>3593</v>
      </c>
    </row>
    <row r="511" ht="15" customHeight="1" spans="1:23" x14ac:dyDescent="0.25">
      <c r="A511" s="85">
        <v>3788</v>
      </c>
      <c r="B511" s="85" t="s">
        <v>3744</v>
      </c>
      <c r="C511" s="85" t="s">
        <v>698</v>
      </c>
      <c r="D511" s="85" t="s">
        <v>1414</v>
      </c>
      <c r="E511" s="85"/>
      <c r="F511" s="85" t="s">
        <v>2472</v>
      </c>
      <c r="G511" s="85" t="s">
        <v>288</v>
      </c>
      <c r="H511" s="85" t="s">
        <v>3268</v>
      </c>
      <c r="I511" s="86">
        <v>65</v>
      </c>
      <c r="J511" s="86">
        <v>65</v>
      </c>
      <c r="K511" s="87">
        <v>1</v>
      </c>
      <c r="L511" s="87">
        <v>1</v>
      </c>
      <c r="M511" s="88">
        <v>1</v>
      </c>
      <c r="N511" s="89"/>
      <c r="O511" s="87"/>
      <c r="P511" s="87"/>
      <c r="Q511" s="87"/>
      <c r="R511" s="87"/>
      <c r="S511" s="87">
        <v>1</v>
      </c>
      <c r="T511" s="87"/>
      <c r="U511" s="87">
        <v>1</v>
      </c>
      <c r="V511" s="90" t="s">
        <v>3593</v>
      </c>
    </row>
    <row r="512" ht="15" customHeight="1" spans="1:23" x14ac:dyDescent="0.25">
      <c r="A512" s="85">
        <v>3789</v>
      </c>
      <c r="B512" s="85" t="s">
        <v>3745</v>
      </c>
      <c r="C512" s="85" t="s">
        <v>698</v>
      </c>
      <c r="D512" s="85" t="s">
        <v>1039</v>
      </c>
      <c r="E512" s="85"/>
      <c r="F512" s="85" t="s">
        <v>157</v>
      </c>
      <c r="G512" s="85"/>
      <c r="H512" s="85"/>
      <c r="I512" s="86"/>
      <c r="J512" s="86"/>
      <c r="K512" s="87"/>
      <c r="L512" s="87"/>
      <c r="M512" s="88"/>
      <c r="N512" s="89"/>
      <c r="O512" s="87"/>
      <c r="P512" s="87"/>
      <c r="Q512" s="87"/>
      <c r="R512" s="87"/>
      <c r="S512" s="87">
        <v>1</v>
      </c>
      <c r="T512" s="87">
        <v>1</v>
      </c>
      <c r="U512" s="87"/>
      <c r="V512" s="90" t="s">
        <v>2472</v>
      </c>
    </row>
    <row r="513" ht="15" customHeight="1" spans="1:23" x14ac:dyDescent="0.25">
      <c r="A513" s="85">
        <v>3789</v>
      </c>
      <c r="B513" s="85" t="s">
        <v>3745</v>
      </c>
      <c r="C513" s="85" t="s">
        <v>698</v>
      </c>
      <c r="D513" s="85" t="s">
        <v>1039</v>
      </c>
      <c r="E513" s="85"/>
      <c r="F513" s="85" t="s">
        <v>2472</v>
      </c>
      <c r="G513" s="85" t="s">
        <v>288</v>
      </c>
      <c r="H513" s="85" t="s">
        <v>3268</v>
      </c>
      <c r="I513" s="86">
        <v>65</v>
      </c>
      <c r="J513" s="86">
        <v>65</v>
      </c>
      <c r="K513" s="87">
        <v>1</v>
      </c>
      <c r="L513" s="87">
        <v>1</v>
      </c>
      <c r="M513" s="88">
        <v>1</v>
      </c>
      <c r="N513" s="89"/>
      <c r="O513" s="87"/>
      <c r="P513" s="87"/>
      <c r="Q513" s="87"/>
      <c r="R513" s="87"/>
      <c r="S513" s="87">
        <v>1</v>
      </c>
      <c r="T513" s="87"/>
      <c r="U513" s="87">
        <v>0</v>
      </c>
      <c r="V513" s="90" t="s">
        <v>2472</v>
      </c>
    </row>
    <row r="514" ht="15" customHeight="1" spans="1:23" x14ac:dyDescent="0.25">
      <c r="A514" s="85">
        <v>3790</v>
      </c>
      <c r="B514" s="85" t="s">
        <v>3746</v>
      </c>
      <c r="C514" s="85" t="s">
        <v>698</v>
      </c>
      <c r="D514" s="85" t="s">
        <v>1613</v>
      </c>
      <c r="E514" s="85"/>
      <c r="F514" s="85" t="s">
        <v>157</v>
      </c>
      <c r="G514" s="85"/>
      <c r="H514" s="85"/>
      <c r="I514" s="86"/>
      <c r="J514" s="86"/>
      <c r="K514" s="87"/>
      <c r="L514" s="87"/>
      <c r="M514" s="88"/>
      <c r="N514" s="89"/>
      <c r="O514" s="87"/>
      <c r="P514" s="87"/>
      <c r="Q514" s="87"/>
      <c r="R514" s="87"/>
      <c r="S514" s="87">
        <v>1</v>
      </c>
      <c r="T514" s="87">
        <v>1</v>
      </c>
      <c r="U514" s="87">
        <v>1</v>
      </c>
      <c r="V514" s="90" t="s">
        <v>3593</v>
      </c>
    </row>
    <row r="515" ht="15" customHeight="1" spans="1:23" x14ac:dyDescent="0.25">
      <c r="A515" s="85">
        <v>3790</v>
      </c>
      <c r="B515" s="85" t="s">
        <v>3746</v>
      </c>
      <c r="C515" s="85" t="s">
        <v>698</v>
      </c>
      <c r="D515" s="85" t="s">
        <v>1613</v>
      </c>
      <c r="E515" s="85"/>
      <c r="F515" s="85" t="s">
        <v>2472</v>
      </c>
      <c r="G515" s="85" t="s">
        <v>288</v>
      </c>
      <c r="H515" s="85" t="s">
        <v>3268</v>
      </c>
      <c r="I515" s="86">
        <v>65</v>
      </c>
      <c r="J515" s="86">
        <v>65</v>
      </c>
      <c r="K515" s="87">
        <v>1</v>
      </c>
      <c r="L515" s="87">
        <v>1</v>
      </c>
      <c r="M515" s="88">
        <v>1</v>
      </c>
      <c r="N515" s="89"/>
      <c r="O515" s="87"/>
      <c r="P515" s="87"/>
      <c r="Q515" s="87"/>
      <c r="R515" s="87"/>
      <c r="S515" s="87">
        <v>1</v>
      </c>
      <c r="T515" s="87"/>
      <c r="U515" s="87">
        <v>1</v>
      </c>
      <c r="V515" s="90" t="s">
        <v>3593</v>
      </c>
    </row>
    <row r="516" ht="15" customHeight="1" spans="1:23" x14ac:dyDescent="0.25">
      <c r="A516" s="85">
        <v>3791</v>
      </c>
      <c r="B516" s="85" t="s">
        <v>3747</v>
      </c>
      <c r="C516" s="85" t="s">
        <v>698</v>
      </c>
      <c r="D516" s="85" t="s">
        <v>712</v>
      </c>
      <c r="E516" s="85"/>
      <c r="F516" s="85" t="s">
        <v>157</v>
      </c>
      <c r="G516" s="85"/>
      <c r="H516" s="85"/>
      <c r="I516" s="86"/>
      <c r="J516" s="86"/>
      <c r="K516" s="87"/>
      <c r="L516" s="87"/>
      <c r="M516" s="88"/>
      <c r="N516" s="89"/>
      <c r="O516" s="87"/>
      <c r="P516" s="87"/>
      <c r="Q516" s="87"/>
      <c r="R516" s="87"/>
      <c r="S516" s="87">
        <v>1</v>
      </c>
      <c r="T516" s="87">
        <v>1</v>
      </c>
      <c r="U516" s="87"/>
      <c r="V516" s="90" t="s">
        <v>2472</v>
      </c>
    </row>
    <row r="517" ht="15" customHeight="1" spans="1:23" x14ac:dyDescent="0.25">
      <c r="A517" s="85">
        <v>3791</v>
      </c>
      <c r="B517" s="85" t="s">
        <v>3747</v>
      </c>
      <c r="C517" s="85" t="s">
        <v>698</v>
      </c>
      <c r="D517" s="85" t="s">
        <v>712</v>
      </c>
      <c r="E517" s="85"/>
      <c r="F517" s="85" t="s">
        <v>2472</v>
      </c>
      <c r="G517" s="85" t="s">
        <v>288</v>
      </c>
      <c r="H517" s="85" t="s">
        <v>3268</v>
      </c>
      <c r="I517" s="86">
        <v>65</v>
      </c>
      <c r="J517" s="86">
        <v>65</v>
      </c>
      <c r="K517" s="87">
        <v>1</v>
      </c>
      <c r="L517" s="87">
        <v>1</v>
      </c>
      <c r="M517" s="88">
        <v>1</v>
      </c>
      <c r="N517" s="89"/>
      <c r="O517" s="87"/>
      <c r="P517" s="87"/>
      <c r="Q517" s="87"/>
      <c r="R517" s="87"/>
      <c r="S517" s="87">
        <v>1</v>
      </c>
      <c r="T517" s="87"/>
      <c r="U517" s="87">
        <v>0</v>
      </c>
      <c r="V517" s="90" t="s">
        <v>2472</v>
      </c>
    </row>
    <row r="518" ht="15" customHeight="1" spans="1:23" x14ac:dyDescent="0.25">
      <c r="A518" s="85">
        <v>3792</v>
      </c>
      <c r="B518" s="85" t="s">
        <v>3748</v>
      </c>
      <c r="C518" s="85" t="s">
        <v>698</v>
      </c>
      <c r="D518" s="85" t="s">
        <v>722</v>
      </c>
      <c r="E518" s="85"/>
      <c r="F518" s="85" t="s">
        <v>157</v>
      </c>
      <c r="G518" s="85"/>
      <c r="H518" s="85"/>
      <c r="I518" s="86"/>
      <c r="J518" s="86"/>
      <c r="K518" s="87"/>
      <c r="L518" s="87"/>
      <c r="M518" s="88"/>
      <c r="N518" s="89"/>
      <c r="O518" s="87"/>
      <c r="P518" s="87"/>
      <c r="Q518" s="87"/>
      <c r="R518" s="87"/>
      <c r="S518" s="87">
        <v>1</v>
      </c>
      <c r="T518" s="87">
        <v>1</v>
      </c>
      <c r="U518" s="87"/>
      <c r="V518" s="90" t="s">
        <v>2472</v>
      </c>
    </row>
    <row r="519" ht="15" customHeight="1" spans="1:23" x14ac:dyDescent="0.25">
      <c r="A519" s="85">
        <v>3792</v>
      </c>
      <c r="B519" s="85" t="s">
        <v>3748</v>
      </c>
      <c r="C519" s="85" t="s">
        <v>698</v>
      </c>
      <c r="D519" s="85" t="s">
        <v>722</v>
      </c>
      <c r="E519" s="85"/>
      <c r="F519" s="85" t="s">
        <v>2472</v>
      </c>
      <c r="G519" s="85" t="s">
        <v>288</v>
      </c>
      <c r="H519" s="85" t="s">
        <v>3268</v>
      </c>
      <c r="I519" s="86">
        <v>65</v>
      </c>
      <c r="J519" s="86">
        <v>65</v>
      </c>
      <c r="K519" s="87">
        <v>1</v>
      </c>
      <c r="L519" s="87">
        <v>1</v>
      </c>
      <c r="M519" s="88">
        <v>1</v>
      </c>
      <c r="N519" s="89"/>
      <c r="O519" s="87"/>
      <c r="P519" s="87"/>
      <c r="Q519" s="87"/>
      <c r="R519" s="87"/>
      <c r="S519" s="87">
        <v>1</v>
      </c>
      <c r="T519" s="87"/>
      <c r="U519" s="87">
        <v>0</v>
      </c>
      <c r="V519" s="90" t="s">
        <v>2472</v>
      </c>
    </row>
    <row r="520" ht="15" customHeight="1" spans="1:23" x14ac:dyDescent="0.25">
      <c r="A520" s="85">
        <v>3793</v>
      </c>
      <c r="B520" s="85" t="s">
        <v>3749</v>
      </c>
      <c r="C520" s="85" t="s">
        <v>698</v>
      </c>
      <c r="D520" s="85" t="s">
        <v>2198</v>
      </c>
      <c r="E520" s="85"/>
      <c r="F520" s="85" t="s">
        <v>157</v>
      </c>
      <c r="G520" s="85"/>
      <c r="H520" s="85"/>
      <c r="I520" s="86"/>
      <c r="J520" s="86"/>
      <c r="K520" s="87"/>
      <c r="L520" s="87"/>
      <c r="M520" s="88"/>
      <c r="N520" s="89"/>
      <c r="O520" s="87"/>
      <c r="P520" s="87"/>
      <c r="Q520" s="87"/>
      <c r="R520" s="87"/>
      <c r="S520" s="87">
        <v>1</v>
      </c>
      <c r="T520" s="87">
        <v>1</v>
      </c>
      <c r="U520" s="87"/>
      <c r="V520" s="90" t="s">
        <v>2472</v>
      </c>
    </row>
    <row r="521" ht="15" customHeight="1" spans="1:23" x14ac:dyDescent="0.25">
      <c r="A521" s="85">
        <v>3793</v>
      </c>
      <c r="B521" s="85" t="s">
        <v>3749</v>
      </c>
      <c r="C521" s="85" t="s">
        <v>698</v>
      </c>
      <c r="D521" s="85" t="s">
        <v>2198</v>
      </c>
      <c r="E521" s="85"/>
      <c r="F521" s="85" t="s">
        <v>2472</v>
      </c>
      <c r="G521" s="85" t="s">
        <v>288</v>
      </c>
      <c r="H521" s="85" t="s">
        <v>3268</v>
      </c>
      <c r="I521" s="86">
        <v>65</v>
      </c>
      <c r="J521" s="86">
        <v>65</v>
      </c>
      <c r="K521" s="87">
        <v>1</v>
      </c>
      <c r="L521" s="87">
        <v>1</v>
      </c>
      <c r="M521" s="88">
        <v>1</v>
      </c>
      <c r="N521" s="89"/>
      <c r="O521" s="87"/>
      <c r="P521" s="87"/>
      <c r="Q521" s="87"/>
      <c r="R521" s="87"/>
      <c r="S521" s="87">
        <v>1</v>
      </c>
      <c r="T521" s="87"/>
      <c r="U521" s="87">
        <v>0</v>
      </c>
      <c r="V521" s="90" t="s">
        <v>2472</v>
      </c>
    </row>
    <row r="522" ht="15" customHeight="1" spans="1:23" x14ac:dyDescent="0.25">
      <c r="A522" s="85">
        <v>3794</v>
      </c>
      <c r="B522" s="85" t="s">
        <v>3750</v>
      </c>
      <c r="C522" s="85" t="s">
        <v>698</v>
      </c>
      <c r="D522" s="85" t="s">
        <v>1525</v>
      </c>
      <c r="E522" s="85"/>
      <c r="F522" s="85" t="s">
        <v>157</v>
      </c>
      <c r="G522" s="85"/>
      <c r="H522" s="85"/>
      <c r="I522" s="86"/>
      <c r="J522" s="86"/>
      <c r="K522" s="87"/>
      <c r="L522" s="87"/>
      <c r="M522" s="88"/>
      <c r="N522" s="89"/>
      <c r="O522" s="87"/>
      <c r="P522" s="87"/>
      <c r="Q522" s="87"/>
      <c r="R522" s="87"/>
      <c r="S522" s="87">
        <v>1</v>
      </c>
      <c r="T522" s="87">
        <v>1</v>
      </c>
      <c r="U522" s="87"/>
      <c r="V522" s="90" t="s">
        <v>2472</v>
      </c>
    </row>
    <row r="523" ht="15" customHeight="1" spans="1:23" x14ac:dyDescent="0.25">
      <c r="A523" s="85">
        <v>3794</v>
      </c>
      <c r="B523" s="85" t="s">
        <v>3750</v>
      </c>
      <c r="C523" s="85" t="s">
        <v>698</v>
      </c>
      <c r="D523" s="85" t="s">
        <v>1525</v>
      </c>
      <c r="E523" s="85"/>
      <c r="F523" s="85" t="s">
        <v>2472</v>
      </c>
      <c r="G523" s="85" t="s">
        <v>288</v>
      </c>
      <c r="H523" s="85" t="s">
        <v>3268</v>
      </c>
      <c r="I523" s="86">
        <v>65</v>
      </c>
      <c r="J523" s="86">
        <v>65</v>
      </c>
      <c r="K523" s="87">
        <v>1</v>
      </c>
      <c r="L523" s="87">
        <v>1</v>
      </c>
      <c r="M523" s="88">
        <v>1</v>
      </c>
      <c r="N523" s="89"/>
      <c r="O523" s="87"/>
      <c r="P523" s="87"/>
      <c r="Q523" s="87"/>
      <c r="R523" s="87"/>
      <c r="S523" s="87">
        <v>1</v>
      </c>
      <c r="T523" s="87"/>
      <c r="U523" s="87">
        <v>0</v>
      </c>
      <c r="V523" s="90" t="s">
        <v>2472</v>
      </c>
    </row>
    <row r="524" ht="15" customHeight="1" spans="1:23" x14ac:dyDescent="0.25">
      <c r="A524" s="85">
        <v>3795</v>
      </c>
      <c r="B524" s="85" t="s">
        <v>3751</v>
      </c>
      <c r="C524" s="85" t="s">
        <v>698</v>
      </c>
      <c r="D524" s="85" t="s">
        <v>902</v>
      </c>
      <c r="E524" s="85"/>
      <c r="F524" s="85" t="s">
        <v>157</v>
      </c>
      <c r="G524" s="85"/>
      <c r="H524" s="85"/>
      <c r="I524" s="86"/>
      <c r="J524" s="86"/>
      <c r="K524" s="87"/>
      <c r="L524" s="87"/>
      <c r="M524" s="88"/>
      <c r="N524" s="89"/>
      <c r="O524" s="87"/>
      <c r="P524" s="87"/>
      <c r="Q524" s="87"/>
      <c r="R524" s="87"/>
      <c r="S524" s="87">
        <v>1</v>
      </c>
      <c r="T524" s="87">
        <v>1</v>
      </c>
      <c r="U524" s="87">
        <v>1</v>
      </c>
      <c r="V524" s="90" t="s">
        <v>3593</v>
      </c>
    </row>
    <row r="525" ht="15" customHeight="1" spans="1:23" x14ac:dyDescent="0.25">
      <c r="A525" s="85">
        <v>3795</v>
      </c>
      <c r="B525" s="85" t="s">
        <v>3751</v>
      </c>
      <c r="C525" s="85" t="s">
        <v>698</v>
      </c>
      <c r="D525" s="85" t="s">
        <v>902</v>
      </c>
      <c r="E525" s="85"/>
      <c r="F525" s="85" t="s">
        <v>2472</v>
      </c>
      <c r="G525" s="85" t="s">
        <v>288</v>
      </c>
      <c r="H525" s="85" t="s">
        <v>3268</v>
      </c>
      <c r="I525" s="86">
        <v>65</v>
      </c>
      <c r="J525" s="86">
        <v>65</v>
      </c>
      <c r="K525" s="87">
        <v>1</v>
      </c>
      <c r="L525" s="87">
        <v>1</v>
      </c>
      <c r="M525" s="88">
        <v>1</v>
      </c>
      <c r="N525" s="89"/>
      <c r="O525" s="87"/>
      <c r="P525" s="87"/>
      <c r="Q525" s="87"/>
      <c r="R525" s="87"/>
      <c r="S525" s="87">
        <v>1</v>
      </c>
      <c r="T525" s="87"/>
      <c r="U525" s="87">
        <v>1</v>
      </c>
      <c r="V525" s="90" t="s">
        <v>3593</v>
      </c>
    </row>
    <row r="526" ht="15" customHeight="1" spans="1:23" x14ac:dyDescent="0.25">
      <c r="A526" s="85">
        <v>3796</v>
      </c>
      <c r="B526" s="85" t="s">
        <v>3752</v>
      </c>
      <c r="C526" s="85" t="s">
        <v>698</v>
      </c>
      <c r="D526" s="85" t="s">
        <v>175</v>
      </c>
      <c r="E526" s="85"/>
      <c r="F526" s="85" t="s">
        <v>157</v>
      </c>
      <c r="G526" s="85"/>
      <c r="H526" s="85"/>
      <c r="I526" s="86"/>
      <c r="J526" s="86"/>
      <c r="K526" s="87"/>
      <c r="L526" s="87"/>
      <c r="M526" s="88"/>
      <c r="N526" s="89"/>
      <c r="O526" s="87"/>
      <c r="P526" s="87"/>
      <c r="Q526" s="87"/>
      <c r="R526" s="87"/>
      <c r="S526" s="87">
        <v>1</v>
      </c>
      <c r="T526" s="87">
        <v>1</v>
      </c>
      <c r="U526" s="87">
        <v>1</v>
      </c>
      <c r="V526" s="90" t="s">
        <v>3593</v>
      </c>
    </row>
    <row r="527" ht="15" customHeight="1" spans="1:23" x14ac:dyDescent="0.25">
      <c r="A527" s="85">
        <v>3796</v>
      </c>
      <c r="B527" s="85" t="s">
        <v>3752</v>
      </c>
      <c r="C527" s="85" t="s">
        <v>698</v>
      </c>
      <c r="D527" s="85" t="s">
        <v>175</v>
      </c>
      <c r="E527" s="85"/>
      <c r="F527" s="85" t="s">
        <v>2472</v>
      </c>
      <c r="G527" s="85" t="s">
        <v>288</v>
      </c>
      <c r="H527" s="85" t="s">
        <v>3268</v>
      </c>
      <c r="I527" s="86">
        <v>65</v>
      </c>
      <c r="J527" s="86">
        <v>65</v>
      </c>
      <c r="K527" s="87">
        <v>1</v>
      </c>
      <c r="L527" s="87">
        <v>1</v>
      </c>
      <c r="M527" s="88">
        <v>1</v>
      </c>
      <c r="N527" s="89"/>
      <c r="O527" s="87"/>
      <c r="P527" s="87"/>
      <c r="Q527" s="87"/>
      <c r="R527" s="87"/>
      <c r="S527" s="87">
        <v>1</v>
      </c>
      <c r="T527" s="87"/>
      <c r="U527" s="87">
        <v>1</v>
      </c>
      <c r="V527" s="90" t="s">
        <v>3593</v>
      </c>
    </row>
    <row r="528" ht="15" customHeight="1" spans="1:23" x14ac:dyDescent="0.25">
      <c r="A528" s="85">
        <v>3797</v>
      </c>
      <c r="B528" s="85" t="s">
        <v>3753</v>
      </c>
      <c r="C528" s="85" t="s">
        <v>698</v>
      </c>
      <c r="D528" s="85" t="s">
        <v>2050</v>
      </c>
      <c r="E528" s="85"/>
      <c r="F528" s="85" t="s">
        <v>157</v>
      </c>
      <c r="G528" s="85"/>
      <c r="H528" s="85"/>
      <c r="I528" s="86"/>
      <c r="J528" s="86"/>
      <c r="K528" s="87"/>
      <c r="L528" s="87"/>
      <c r="M528" s="88"/>
      <c r="N528" s="89"/>
      <c r="O528" s="87"/>
      <c r="P528" s="87"/>
      <c r="Q528" s="87"/>
      <c r="R528" s="87"/>
      <c r="S528" s="87">
        <v>1</v>
      </c>
      <c r="T528" s="87">
        <v>1</v>
      </c>
      <c r="U528" s="87">
        <v>1</v>
      </c>
      <c r="V528" s="90" t="s">
        <v>3754</v>
      </c>
    </row>
    <row r="529" ht="15" customHeight="1" spans="1:23" x14ac:dyDescent="0.25">
      <c r="A529" s="85">
        <v>3797</v>
      </c>
      <c r="B529" s="85" t="s">
        <v>3753</v>
      </c>
      <c r="C529" s="85" t="s">
        <v>698</v>
      </c>
      <c r="D529" s="85" t="s">
        <v>2050</v>
      </c>
      <c r="E529" s="85"/>
      <c r="F529" s="85" t="s">
        <v>2472</v>
      </c>
      <c r="G529" s="85" t="s">
        <v>288</v>
      </c>
      <c r="H529" s="85" t="s">
        <v>3268</v>
      </c>
      <c r="I529" s="86">
        <v>65</v>
      </c>
      <c r="J529" s="86">
        <v>65</v>
      </c>
      <c r="K529" s="87">
        <v>1</v>
      </c>
      <c r="L529" s="87">
        <v>1</v>
      </c>
      <c r="M529" s="88">
        <v>1</v>
      </c>
      <c r="N529" s="89"/>
      <c r="O529" s="87"/>
      <c r="P529" s="87"/>
      <c r="Q529" s="87"/>
      <c r="R529" s="87"/>
      <c r="S529" s="87">
        <v>1</v>
      </c>
      <c r="T529" s="87"/>
      <c r="U529" s="87">
        <v>1</v>
      </c>
      <c r="V529" s="90" t="s">
        <v>3754</v>
      </c>
    </row>
    <row r="530" ht="15" customHeight="1" spans="1:23" x14ac:dyDescent="0.25">
      <c r="A530" s="85">
        <v>3798</v>
      </c>
      <c r="B530" s="85" t="s">
        <v>3755</v>
      </c>
      <c r="C530" s="85" t="s">
        <v>698</v>
      </c>
      <c r="D530" s="85" t="s">
        <v>1113</v>
      </c>
      <c r="E530" s="85"/>
      <c r="F530" s="85" t="s">
        <v>157</v>
      </c>
      <c r="G530" s="85"/>
      <c r="H530" s="85"/>
      <c r="I530" s="86"/>
      <c r="J530" s="86"/>
      <c r="K530" s="87"/>
      <c r="L530" s="87"/>
      <c r="M530" s="88"/>
      <c r="N530" s="89"/>
      <c r="O530" s="87"/>
      <c r="P530" s="87"/>
      <c r="Q530" s="87"/>
      <c r="R530" s="87"/>
      <c r="S530" s="87">
        <v>1</v>
      </c>
      <c r="T530" s="87">
        <v>1</v>
      </c>
      <c r="U530" s="87">
        <v>1</v>
      </c>
      <c r="V530" s="90" t="s">
        <v>3593</v>
      </c>
    </row>
    <row r="531" ht="15" customHeight="1" spans="1:23" x14ac:dyDescent="0.25">
      <c r="A531" s="85">
        <v>3798</v>
      </c>
      <c r="B531" s="85" t="s">
        <v>3755</v>
      </c>
      <c r="C531" s="85" t="s">
        <v>698</v>
      </c>
      <c r="D531" s="85" t="s">
        <v>1113</v>
      </c>
      <c r="E531" s="85"/>
      <c r="F531" s="85" t="s">
        <v>2472</v>
      </c>
      <c r="G531" s="85" t="s">
        <v>288</v>
      </c>
      <c r="H531" s="85" t="s">
        <v>3268</v>
      </c>
      <c r="I531" s="86">
        <v>65</v>
      </c>
      <c r="J531" s="86">
        <v>65</v>
      </c>
      <c r="K531" s="87">
        <v>1</v>
      </c>
      <c r="L531" s="87">
        <v>1</v>
      </c>
      <c r="M531" s="88">
        <v>1</v>
      </c>
      <c r="N531" s="89"/>
      <c r="O531" s="87"/>
      <c r="P531" s="87"/>
      <c r="Q531" s="87"/>
      <c r="R531" s="87"/>
      <c r="S531" s="87">
        <v>1</v>
      </c>
      <c r="T531" s="87"/>
      <c r="U531" s="87">
        <v>1</v>
      </c>
      <c r="V531" s="90" t="s">
        <v>3593</v>
      </c>
    </row>
    <row r="532" ht="15" customHeight="1" spans="1:23" x14ac:dyDescent="0.25">
      <c r="A532" s="85">
        <v>3799</v>
      </c>
      <c r="B532" s="85" t="s">
        <v>3756</v>
      </c>
      <c r="C532" s="85" t="s">
        <v>698</v>
      </c>
      <c r="D532" s="85" t="s">
        <v>763</v>
      </c>
      <c r="E532" s="85"/>
      <c r="F532" s="85" t="s">
        <v>157</v>
      </c>
      <c r="G532" s="85"/>
      <c r="H532" s="85"/>
      <c r="I532" s="86"/>
      <c r="J532" s="86"/>
      <c r="K532" s="87"/>
      <c r="L532" s="87"/>
      <c r="M532" s="88"/>
      <c r="N532" s="89"/>
      <c r="O532" s="87"/>
      <c r="P532" s="87"/>
      <c r="Q532" s="87"/>
      <c r="R532" s="87"/>
      <c r="S532" s="87">
        <v>1</v>
      </c>
      <c r="T532" s="87">
        <v>1</v>
      </c>
      <c r="U532" s="87">
        <v>1</v>
      </c>
      <c r="V532" s="90" t="s">
        <v>3593</v>
      </c>
    </row>
    <row r="533" ht="15" customHeight="1" spans="1:23" x14ac:dyDescent="0.25">
      <c r="A533" s="85">
        <v>3799</v>
      </c>
      <c r="B533" s="85" t="s">
        <v>3756</v>
      </c>
      <c r="C533" s="85" t="s">
        <v>698</v>
      </c>
      <c r="D533" s="85" t="s">
        <v>763</v>
      </c>
      <c r="E533" s="85"/>
      <c r="F533" s="85" t="s">
        <v>2472</v>
      </c>
      <c r="G533" s="85" t="s">
        <v>288</v>
      </c>
      <c r="H533" s="85" t="s">
        <v>3268</v>
      </c>
      <c r="I533" s="86">
        <v>65</v>
      </c>
      <c r="J533" s="86">
        <v>65</v>
      </c>
      <c r="K533" s="87">
        <v>1</v>
      </c>
      <c r="L533" s="87">
        <v>1</v>
      </c>
      <c r="M533" s="88">
        <v>1</v>
      </c>
      <c r="N533" s="89"/>
      <c r="O533" s="87"/>
      <c r="P533" s="87"/>
      <c r="Q533" s="87"/>
      <c r="R533" s="87"/>
      <c r="S533" s="87">
        <v>1</v>
      </c>
      <c r="T533" s="87"/>
      <c r="U533" s="87">
        <v>1</v>
      </c>
      <c r="V533" s="90" t="s">
        <v>3593</v>
      </c>
    </row>
    <row r="534" ht="15" customHeight="1" spans="1:23" x14ac:dyDescent="0.25">
      <c r="A534" s="85">
        <v>3800</v>
      </c>
      <c r="B534" s="85" t="s">
        <v>3757</v>
      </c>
      <c r="C534" s="85" t="s">
        <v>698</v>
      </c>
      <c r="D534" s="85" t="s">
        <v>1771</v>
      </c>
      <c r="E534" s="85"/>
      <c r="F534" s="85" t="s">
        <v>157</v>
      </c>
      <c r="G534" s="85"/>
      <c r="H534" s="85"/>
      <c r="I534" s="86"/>
      <c r="J534" s="86"/>
      <c r="K534" s="87"/>
      <c r="L534" s="87"/>
      <c r="M534" s="88"/>
      <c r="N534" s="89"/>
      <c r="O534" s="87"/>
      <c r="P534" s="87"/>
      <c r="Q534" s="87"/>
      <c r="R534" s="87"/>
      <c r="S534" s="87">
        <v>0.5</v>
      </c>
      <c r="T534" s="87">
        <v>0.5</v>
      </c>
      <c r="U534" s="87">
        <v>0.5</v>
      </c>
      <c r="V534" s="90" t="s">
        <v>3758</v>
      </c>
    </row>
    <row r="535" ht="15" customHeight="1" spans="1:23" x14ac:dyDescent="0.25">
      <c r="A535" s="85">
        <v>3800</v>
      </c>
      <c r="B535" s="85" t="s">
        <v>3757</v>
      </c>
      <c r="C535" s="85" t="s">
        <v>698</v>
      </c>
      <c r="D535" s="85" t="s">
        <v>1771</v>
      </c>
      <c r="E535" s="85"/>
      <c r="F535" s="85" t="s">
        <v>2472</v>
      </c>
      <c r="G535" s="85" t="s">
        <v>288</v>
      </c>
      <c r="H535" s="85" t="s">
        <v>3268</v>
      </c>
      <c r="I535" s="86">
        <v>65</v>
      </c>
      <c r="J535" s="86">
        <v>65</v>
      </c>
      <c r="K535" s="87">
        <v>1</v>
      </c>
      <c r="L535" s="87">
        <v>0.5</v>
      </c>
      <c r="M535" s="88">
        <v>0.5</v>
      </c>
      <c r="N535" s="89"/>
      <c r="O535" s="87"/>
      <c r="P535" s="87"/>
      <c r="Q535" s="87"/>
      <c r="R535" s="87"/>
      <c r="S535" s="87">
        <v>0.5</v>
      </c>
      <c r="T535" s="87"/>
      <c r="U535" s="87">
        <v>0.5</v>
      </c>
      <c r="V535" s="90" t="s">
        <v>3758</v>
      </c>
    </row>
    <row r="536" ht="15" customHeight="1" spans="1:23" x14ac:dyDescent="0.25">
      <c r="A536" s="85">
        <v>3801</v>
      </c>
      <c r="B536" s="85" t="s">
        <v>3759</v>
      </c>
      <c r="C536" s="85" t="s">
        <v>698</v>
      </c>
      <c r="D536" s="85" t="s">
        <v>2253</v>
      </c>
      <c r="E536" s="85"/>
      <c r="F536" s="85" t="s">
        <v>157</v>
      </c>
      <c r="G536" s="85"/>
      <c r="H536" s="85"/>
      <c r="I536" s="86"/>
      <c r="J536" s="86"/>
      <c r="K536" s="87"/>
      <c r="L536" s="87"/>
      <c r="M536" s="88"/>
      <c r="N536" s="89"/>
      <c r="O536" s="87"/>
      <c r="P536" s="87"/>
      <c r="Q536" s="87"/>
      <c r="R536" s="87"/>
      <c r="S536" s="87">
        <v>0.9</v>
      </c>
      <c r="T536" s="87">
        <v>0.9</v>
      </c>
      <c r="U536" s="87"/>
      <c r="V536" s="90" t="s">
        <v>2472</v>
      </c>
    </row>
    <row r="537" ht="15" customHeight="1" spans="1:23" x14ac:dyDescent="0.25">
      <c r="A537" s="85">
        <v>3801</v>
      </c>
      <c r="B537" s="85" t="s">
        <v>3759</v>
      </c>
      <c r="C537" s="85" t="s">
        <v>698</v>
      </c>
      <c r="D537" s="85" t="s">
        <v>2253</v>
      </c>
      <c r="E537" s="85"/>
      <c r="F537" s="85" t="s">
        <v>2472</v>
      </c>
      <c r="G537" s="85" t="s">
        <v>288</v>
      </c>
      <c r="H537" s="85" t="s">
        <v>3268</v>
      </c>
      <c r="I537" s="86">
        <v>65</v>
      </c>
      <c r="J537" s="86">
        <v>65</v>
      </c>
      <c r="K537" s="87">
        <v>1</v>
      </c>
      <c r="L537" s="87">
        <v>0.9</v>
      </c>
      <c r="M537" s="88">
        <v>0.9</v>
      </c>
      <c r="N537" s="89"/>
      <c r="O537" s="87"/>
      <c r="P537" s="87"/>
      <c r="Q537" s="87"/>
      <c r="R537" s="87"/>
      <c r="S537" s="87">
        <v>0.9</v>
      </c>
      <c r="T537" s="87"/>
      <c r="U537" s="87">
        <v>0</v>
      </c>
      <c r="V537" s="90" t="s">
        <v>2472</v>
      </c>
    </row>
    <row r="538" ht="15" customHeight="1" spans="1:23" x14ac:dyDescent="0.25">
      <c r="A538" s="85">
        <v>3802</v>
      </c>
      <c r="B538" s="85" t="s">
        <v>3760</v>
      </c>
      <c r="C538" s="85" t="s">
        <v>698</v>
      </c>
      <c r="D538" s="85" t="s">
        <v>1150</v>
      </c>
      <c r="E538" s="85"/>
      <c r="F538" s="85" t="s">
        <v>157</v>
      </c>
      <c r="G538" s="85"/>
      <c r="H538" s="85"/>
      <c r="I538" s="86"/>
      <c r="J538" s="86"/>
      <c r="K538" s="87"/>
      <c r="L538" s="87"/>
      <c r="M538" s="88"/>
      <c r="N538" s="89"/>
      <c r="O538" s="87"/>
      <c r="P538" s="87"/>
      <c r="Q538" s="87"/>
      <c r="R538" s="87"/>
      <c r="S538" s="87">
        <v>1</v>
      </c>
      <c r="T538" s="87">
        <v>1</v>
      </c>
      <c r="U538" s="87">
        <v>1</v>
      </c>
      <c r="V538" s="90" t="s">
        <v>3593</v>
      </c>
    </row>
    <row r="539" ht="15" customHeight="1" spans="1:23" x14ac:dyDescent="0.25">
      <c r="A539" s="85">
        <v>3802</v>
      </c>
      <c r="B539" s="85" t="s">
        <v>3760</v>
      </c>
      <c r="C539" s="85" t="s">
        <v>698</v>
      </c>
      <c r="D539" s="85" t="s">
        <v>1150</v>
      </c>
      <c r="E539" s="85"/>
      <c r="F539" s="85" t="s">
        <v>2472</v>
      </c>
      <c r="G539" s="85" t="s">
        <v>288</v>
      </c>
      <c r="H539" s="85" t="s">
        <v>3268</v>
      </c>
      <c r="I539" s="86">
        <v>65</v>
      </c>
      <c r="J539" s="86">
        <v>65</v>
      </c>
      <c r="K539" s="87">
        <v>1</v>
      </c>
      <c r="L539" s="87">
        <v>1</v>
      </c>
      <c r="M539" s="88">
        <v>1</v>
      </c>
      <c r="N539" s="89"/>
      <c r="O539" s="87"/>
      <c r="P539" s="87"/>
      <c r="Q539" s="87"/>
      <c r="R539" s="87"/>
      <c r="S539" s="87">
        <v>1</v>
      </c>
      <c r="T539" s="87"/>
      <c r="U539" s="87">
        <v>1</v>
      </c>
      <c r="V539" s="90" t="s">
        <v>3593</v>
      </c>
    </row>
    <row r="540" ht="15" customHeight="1" spans="1:23" x14ac:dyDescent="0.25">
      <c r="A540" s="85">
        <v>3803</v>
      </c>
      <c r="B540" s="85" t="s">
        <v>3761</v>
      </c>
      <c r="C540" s="85" t="s">
        <v>698</v>
      </c>
      <c r="D540" s="85" t="s">
        <v>1085</v>
      </c>
      <c r="E540" s="85"/>
      <c r="F540" s="85" t="s">
        <v>157</v>
      </c>
      <c r="G540" s="85"/>
      <c r="H540" s="85"/>
      <c r="I540" s="86"/>
      <c r="J540" s="86"/>
      <c r="K540" s="87"/>
      <c r="L540" s="87"/>
      <c r="M540" s="88"/>
      <c r="N540" s="89"/>
      <c r="O540" s="87"/>
      <c r="P540" s="87"/>
      <c r="Q540" s="87"/>
      <c r="R540" s="87"/>
      <c r="S540" s="87">
        <v>0.9</v>
      </c>
      <c r="T540" s="87">
        <v>0.9</v>
      </c>
      <c r="U540" s="87"/>
      <c r="V540" s="90" t="s">
        <v>2472</v>
      </c>
    </row>
    <row r="541" ht="15" customHeight="1" spans="1:23" x14ac:dyDescent="0.25">
      <c r="A541" s="85">
        <v>3803</v>
      </c>
      <c r="B541" s="85" t="s">
        <v>3761</v>
      </c>
      <c r="C541" s="85" t="s">
        <v>698</v>
      </c>
      <c r="D541" s="85" t="s">
        <v>1085</v>
      </c>
      <c r="E541" s="85"/>
      <c r="F541" s="85" t="s">
        <v>2472</v>
      </c>
      <c r="G541" s="85" t="s">
        <v>288</v>
      </c>
      <c r="H541" s="85" t="s">
        <v>3268</v>
      </c>
      <c r="I541" s="86">
        <v>65</v>
      </c>
      <c r="J541" s="86">
        <v>65</v>
      </c>
      <c r="K541" s="87">
        <v>1</v>
      </c>
      <c r="L541" s="87">
        <v>0.9</v>
      </c>
      <c r="M541" s="88">
        <v>0.9</v>
      </c>
      <c r="N541" s="89"/>
      <c r="O541" s="87"/>
      <c r="P541" s="87"/>
      <c r="Q541" s="87"/>
      <c r="R541" s="87"/>
      <c r="S541" s="87">
        <v>0.9</v>
      </c>
      <c r="T541" s="87"/>
      <c r="U541" s="87">
        <v>0</v>
      </c>
      <c r="V541" s="90" t="s">
        <v>2472</v>
      </c>
    </row>
    <row r="542" ht="15" customHeight="1" spans="1:23" x14ac:dyDescent="0.25">
      <c r="A542" s="85">
        <v>3804</v>
      </c>
      <c r="B542" s="85" t="s">
        <v>3762</v>
      </c>
      <c r="C542" s="85" t="s">
        <v>698</v>
      </c>
      <c r="D542" s="85" t="s">
        <v>836</v>
      </c>
      <c r="E542" s="85"/>
      <c r="F542" s="85" t="s">
        <v>157</v>
      </c>
      <c r="G542" s="85"/>
      <c r="H542" s="85"/>
      <c r="I542" s="86"/>
      <c r="J542" s="86"/>
      <c r="K542" s="87"/>
      <c r="L542" s="87"/>
      <c r="M542" s="88"/>
      <c r="N542" s="89"/>
      <c r="O542" s="87"/>
      <c r="P542" s="87"/>
      <c r="Q542" s="87"/>
      <c r="R542" s="87"/>
      <c r="S542" s="87">
        <v>1</v>
      </c>
      <c r="T542" s="87">
        <v>1</v>
      </c>
      <c r="U542" s="87">
        <v>1</v>
      </c>
      <c r="V542" s="90" t="s">
        <v>3593</v>
      </c>
    </row>
    <row r="543" ht="15" customHeight="1" spans="1:23" x14ac:dyDescent="0.25">
      <c r="A543" s="85">
        <v>3804</v>
      </c>
      <c r="B543" s="85" t="s">
        <v>3762</v>
      </c>
      <c r="C543" s="85" t="s">
        <v>698</v>
      </c>
      <c r="D543" s="85" t="s">
        <v>836</v>
      </c>
      <c r="E543" s="85"/>
      <c r="F543" s="85" t="s">
        <v>2472</v>
      </c>
      <c r="G543" s="85" t="s">
        <v>288</v>
      </c>
      <c r="H543" s="85" t="s">
        <v>3268</v>
      </c>
      <c r="I543" s="86">
        <v>65</v>
      </c>
      <c r="J543" s="86">
        <v>65</v>
      </c>
      <c r="K543" s="87">
        <v>1</v>
      </c>
      <c r="L543" s="87">
        <v>1</v>
      </c>
      <c r="M543" s="88">
        <v>1</v>
      </c>
      <c r="N543" s="89"/>
      <c r="O543" s="87"/>
      <c r="P543" s="87"/>
      <c r="Q543" s="87"/>
      <c r="R543" s="87"/>
      <c r="S543" s="87">
        <v>1</v>
      </c>
      <c r="T543" s="87"/>
      <c r="U543" s="87">
        <v>1</v>
      </c>
      <c r="V543" s="90" t="s">
        <v>3593</v>
      </c>
    </row>
    <row r="544" ht="15" customHeight="1" spans="1:23" x14ac:dyDescent="0.25">
      <c r="A544" s="85">
        <v>3805</v>
      </c>
      <c r="B544" s="85" t="s">
        <v>3763</v>
      </c>
      <c r="C544" s="85" t="s">
        <v>698</v>
      </c>
      <c r="D544" s="85" t="s">
        <v>1451</v>
      </c>
      <c r="E544" s="85"/>
      <c r="F544" s="85" t="s">
        <v>157</v>
      </c>
      <c r="G544" s="85"/>
      <c r="H544" s="85"/>
      <c r="I544" s="86"/>
      <c r="J544" s="86"/>
      <c r="K544" s="87"/>
      <c r="L544" s="87"/>
      <c r="M544" s="88"/>
      <c r="N544" s="89"/>
      <c r="O544" s="87"/>
      <c r="P544" s="87"/>
      <c r="Q544" s="87"/>
      <c r="R544" s="87"/>
      <c r="S544" s="87">
        <v>1</v>
      </c>
      <c r="T544" s="87">
        <v>1</v>
      </c>
      <c r="U544" s="87"/>
      <c r="V544" s="90" t="s">
        <v>2472</v>
      </c>
    </row>
    <row r="545" ht="15" customHeight="1" spans="1:23" x14ac:dyDescent="0.25">
      <c r="A545" s="85">
        <v>3805</v>
      </c>
      <c r="B545" s="85" t="s">
        <v>3763</v>
      </c>
      <c r="C545" s="85" t="s">
        <v>698</v>
      </c>
      <c r="D545" s="85" t="s">
        <v>1451</v>
      </c>
      <c r="E545" s="85"/>
      <c r="F545" s="85" t="s">
        <v>2472</v>
      </c>
      <c r="G545" s="85" t="s">
        <v>288</v>
      </c>
      <c r="H545" s="85" t="s">
        <v>3268</v>
      </c>
      <c r="I545" s="86">
        <v>65</v>
      </c>
      <c r="J545" s="86">
        <v>65</v>
      </c>
      <c r="K545" s="87">
        <v>1</v>
      </c>
      <c r="L545" s="87">
        <v>1</v>
      </c>
      <c r="M545" s="88">
        <v>1</v>
      </c>
      <c r="N545" s="89"/>
      <c r="O545" s="87"/>
      <c r="P545" s="87"/>
      <c r="Q545" s="87"/>
      <c r="R545" s="87"/>
      <c r="S545" s="87">
        <v>1</v>
      </c>
      <c r="T545" s="87"/>
      <c r="U545" s="87">
        <v>0</v>
      </c>
      <c r="V545" s="90" t="s">
        <v>2472</v>
      </c>
    </row>
    <row r="546" ht="15" customHeight="1" spans="1:23" x14ac:dyDescent="0.25">
      <c r="A546" s="85">
        <v>3806</v>
      </c>
      <c r="B546" s="85" t="s">
        <v>3764</v>
      </c>
      <c r="C546" s="85" t="s">
        <v>698</v>
      </c>
      <c r="D546" s="85" t="s">
        <v>593</v>
      </c>
      <c r="E546" s="85"/>
      <c r="F546" s="85" t="s">
        <v>157</v>
      </c>
      <c r="G546" s="85"/>
      <c r="H546" s="85"/>
      <c r="I546" s="86"/>
      <c r="J546" s="86"/>
      <c r="K546" s="87"/>
      <c r="L546" s="87"/>
      <c r="M546" s="88"/>
      <c r="N546" s="89"/>
      <c r="O546" s="87"/>
      <c r="P546" s="87"/>
      <c r="Q546" s="87"/>
      <c r="R546" s="87"/>
      <c r="S546" s="87">
        <v>1</v>
      </c>
      <c r="T546" s="87">
        <v>1</v>
      </c>
      <c r="U546" s="87"/>
      <c r="V546" s="90" t="s">
        <v>2472</v>
      </c>
    </row>
    <row r="547" ht="15" customHeight="1" spans="1:23" x14ac:dyDescent="0.25">
      <c r="A547" s="85">
        <v>3806</v>
      </c>
      <c r="B547" s="85" t="s">
        <v>3764</v>
      </c>
      <c r="C547" s="85" t="s">
        <v>698</v>
      </c>
      <c r="D547" s="85" t="s">
        <v>593</v>
      </c>
      <c r="E547" s="85"/>
      <c r="F547" s="85" t="s">
        <v>2472</v>
      </c>
      <c r="G547" s="85" t="s">
        <v>288</v>
      </c>
      <c r="H547" s="85" t="s">
        <v>3268</v>
      </c>
      <c r="I547" s="86">
        <v>65</v>
      </c>
      <c r="J547" s="86">
        <v>65</v>
      </c>
      <c r="K547" s="87">
        <v>1</v>
      </c>
      <c r="L547" s="87">
        <v>1</v>
      </c>
      <c r="M547" s="88">
        <v>1</v>
      </c>
      <c r="N547" s="89"/>
      <c r="O547" s="87"/>
      <c r="P547" s="87"/>
      <c r="Q547" s="87"/>
      <c r="R547" s="87"/>
      <c r="S547" s="87">
        <v>1</v>
      </c>
      <c r="T547" s="87"/>
      <c r="U547" s="87">
        <v>0</v>
      </c>
      <c r="V547" s="90" t="s">
        <v>2472</v>
      </c>
    </row>
    <row r="548" ht="15" customHeight="1" spans="1:23" x14ac:dyDescent="0.25">
      <c r="A548" s="85">
        <v>3807</v>
      </c>
      <c r="B548" s="85" t="s">
        <v>3765</v>
      </c>
      <c r="C548" s="85" t="s">
        <v>698</v>
      </c>
      <c r="D548" s="85" t="s">
        <v>2096</v>
      </c>
      <c r="E548" s="85" t="s">
        <v>2097</v>
      </c>
      <c r="F548" s="85" t="s">
        <v>157</v>
      </c>
      <c r="G548" s="85"/>
      <c r="H548" s="85"/>
      <c r="I548" s="86"/>
      <c r="J548" s="86"/>
      <c r="K548" s="87"/>
      <c r="L548" s="87"/>
      <c r="M548" s="88"/>
      <c r="N548" s="89"/>
      <c r="O548" s="87"/>
      <c r="P548" s="87"/>
      <c r="Q548" s="87"/>
      <c r="R548" s="87"/>
      <c r="S548" s="87">
        <v>1</v>
      </c>
      <c r="T548" s="87">
        <v>1</v>
      </c>
      <c r="U548" s="87">
        <v>1</v>
      </c>
      <c r="V548" s="90" t="s">
        <v>3766</v>
      </c>
    </row>
    <row r="549" ht="15" customHeight="1" spans="1:23" x14ac:dyDescent="0.25">
      <c r="A549" s="85">
        <v>3807</v>
      </c>
      <c r="B549" s="85" t="s">
        <v>3765</v>
      </c>
      <c r="C549" s="85" t="s">
        <v>698</v>
      </c>
      <c r="D549" s="85" t="s">
        <v>2096</v>
      </c>
      <c r="E549" s="85" t="s">
        <v>2097</v>
      </c>
      <c r="F549" s="85" t="s">
        <v>2472</v>
      </c>
      <c r="G549" s="85" t="s">
        <v>288</v>
      </c>
      <c r="H549" s="85" t="s">
        <v>3268</v>
      </c>
      <c r="I549" s="86">
        <v>65</v>
      </c>
      <c r="J549" s="86">
        <v>65</v>
      </c>
      <c r="K549" s="87">
        <v>1</v>
      </c>
      <c r="L549" s="87">
        <v>1</v>
      </c>
      <c r="M549" s="88">
        <v>1</v>
      </c>
      <c r="N549" s="89"/>
      <c r="O549" s="87"/>
      <c r="P549" s="87"/>
      <c r="Q549" s="87"/>
      <c r="R549" s="87"/>
      <c r="S549" s="87">
        <v>1</v>
      </c>
      <c r="T549" s="87"/>
      <c r="U549" s="87">
        <v>1</v>
      </c>
      <c r="V549" s="90" t="s">
        <v>3766</v>
      </c>
    </row>
    <row r="550" ht="15" customHeight="1" spans="1:23" x14ac:dyDescent="0.25">
      <c r="A550" s="85">
        <v>3808</v>
      </c>
      <c r="B550" s="85" t="s">
        <v>3767</v>
      </c>
      <c r="C550" s="85" t="s">
        <v>698</v>
      </c>
      <c r="D550" s="85" t="s">
        <v>1071</v>
      </c>
      <c r="E550" s="85"/>
      <c r="F550" s="85" t="s">
        <v>157</v>
      </c>
      <c r="G550" s="85"/>
      <c r="H550" s="85"/>
      <c r="I550" s="86"/>
      <c r="J550" s="86"/>
      <c r="K550" s="87"/>
      <c r="L550" s="87"/>
      <c r="M550" s="88"/>
      <c r="N550" s="89"/>
      <c r="O550" s="87"/>
      <c r="P550" s="87"/>
      <c r="Q550" s="87"/>
      <c r="R550" s="87"/>
      <c r="S550" s="87">
        <v>1</v>
      </c>
      <c r="T550" s="87">
        <v>1</v>
      </c>
      <c r="U550" s="87"/>
      <c r="V550" s="90" t="s">
        <v>2472</v>
      </c>
    </row>
    <row r="551" ht="15" customHeight="1" spans="1:23" x14ac:dyDescent="0.25">
      <c r="A551" s="85">
        <v>3808</v>
      </c>
      <c r="B551" s="85" t="s">
        <v>3767</v>
      </c>
      <c r="C551" s="85" t="s">
        <v>698</v>
      </c>
      <c r="D551" s="85" t="s">
        <v>1071</v>
      </c>
      <c r="E551" s="85"/>
      <c r="F551" s="85" t="s">
        <v>2472</v>
      </c>
      <c r="G551" s="85" t="s">
        <v>288</v>
      </c>
      <c r="H551" s="85" t="s">
        <v>3268</v>
      </c>
      <c r="I551" s="86">
        <v>65</v>
      </c>
      <c r="J551" s="86">
        <v>65</v>
      </c>
      <c r="K551" s="87">
        <v>1</v>
      </c>
      <c r="L551" s="87">
        <v>1</v>
      </c>
      <c r="M551" s="88">
        <v>1</v>
      </c>
      <c r="N551" s="89"/>
      <c r="O551" s="87"/>
      <c r="P551" s="87"/>
      <c r="Q551" s="87"/>
      <c r="R551" s="87"/>
      <c r="S551" s="87">
        <v>1</v>
      </c>
      <c r="T551" s="87"/>
      <c r="U551" s="87">
        <v>0</v>
      </c>
      <c r="V551" s="90" t="s">
        <v>2472</v>
      </c>
    </row>
    <row r="552" ht="15" customHeight="1" spans="1:23" x14ac:dyDescent="0.25">
      <c r="A552" s="85">
        <v>3809</v>
      </c>
      <c r="B552" s="85" t="s">
        <v>3768</v>
      </c>
      <c r="C552" s="85" t="s">
        <v>698</v>
      </c>
      <c r="D552" s="85" t="s">
        <v>722</v>
      </c>
      <c r="E552" s="85"/>
      <c r="F552" s="85" t="s">
        <v>157</v>
      </c>
      <c r="G552" s="85"/>
      <c r="H552" s="85"/>
      <c r="I552" s="86"/>
      <c r="J552" s="86"/>
      <c r="K552" s="87"/>
      <c r="L552" s="87"/>
      <c r="M552" s="88"/>
      <c r="N552" s="89"/>
      <c r="O552" s="87"/>
      <c r="P552" s="87"/>
      <c r="Q552" s="87"/>
      <c r="R552" s="87"/>
      <c r="S552" s="87">
        <v>1</v>
      </c>
      <c r="T552" s="87">
        <v>1</v>
      </c>
      <c r="U552" s="87"/>
      <c r="V552" s="90" t="s">
        <v>2472</v>
      </c>
    </row>
    <row r="553" ht="15" customHeight="1" spans="1:23" x14ac:dyDescent="0.25">
      <c r="A553" s="85">
        <v>3809</v>
      </c>
      <c r="B553" s="85" t="s">
        <v>3768</v>
      </c>
      <c r="C553" s="85" t="s">
        <v>698</v>
      </c>
      <c r="D553" s="85" t="s">
        <v>722</v>
      </c>
      <c r="E553" s="85"/>
      <c r="F553" s="85" t="s">
        <v>2472</v>
      </c>
      <c r="G553" s="85" t="s">
        <v>288</v>
      </c>
      <c r="H553" s="85" t="s">
        <v>3268</v>
      </c>
      <c r="I553" s="86">
        <v>65</v>
      </c>
      <c r="J553" s="86">
        <v>65</v>
      </c>
      <c r="K553" s="87">
        <v>1</v>
      </c>
      <c r="L553" s="87">
        <v>1</v>
      </c>
      <c r="M553" s="88">
        <v>1</v>
      </c>
      <c r="N553" s="89"/>
      <c r="O553" s="87"/>
      <c r="P553" s="87"/>
      <c r="Q553" s="87"/>
      <c r="R553" s="87"/>
      <c r="S553" s="87">
        <v>1</v>
      </c>
      <c r="T553" s="87"/>
      <c r="U553" s="87">
        <v>0</v>
      </c>
      <c r="V553" s="90" t="s">
        <v>2472</v>
      </c>
    </row>
    <row r="554" ht="15" customHeight="1" spans="1:23" x14ac:dyDescent="0.25">
      <c r="A554" s="85">
        <v>3810</v>
      </c>
      <c r="B554" s="85" t="s">
        <v>3769</v>
      </c>
      <c r="C554" s="85" t="s">
        <v>698</v>
      </c>
      <c r="D554" s="85" t="s">
        <v>2119</v>
      </c>
      <c r="E554" s="85"/>
      <c r="F554" s="85" t="s">
        <v>157</v>
      </c>
      <c r="G554" s="85"/>
      <c r="H554" s="85"/>
      <c r="I554" s="86"/>
      <c r="J554" s="86"/>
      <c r="K554" s="87"/>
      <c r="L554" s="87"/>
      <c r="M554" s="88"/>
      <c r="N554" s="89"/>
      <c r="O554" s="87"/>
      <c r="P554" s="87"/>
      <c r="Q554" s="87"/>
      <c r="R554" s="87"/>
      <c r="S554" s="87">
        <v>1</v>
      </c>
      <c r="T554" s="87">
        <v>1</v>
      </c>
      <c r="U554" s="87">
        <v>1</v>
      </c>
      <c r="V554" s="90" t="s">
        <v>3593</v>
      </c>
    </row>
    <row r="555" ht="15" customHeight="1" spans="1:23" x14ac:dyDescent="0.25">
      <c r="A555" s="85">
        <v>3810</v>
      </c>
      <c r="B555" s="85" t="s">
        <v>3769</v>
      </c>
      <c r="C555" s="85" t="s">
        <v>698</v>
      </c>
      <c r="D555" s="85" t="s">
        <v>2119</v>
      </c>
      <c r="E555" s="85"/>
      <c r="F555" s="85" t="s">
        <v>2472</v>
      </c>
      <c r="G555" s="85" t="s">
        <v>288</v>
      </c>
      <c r="H555" s="85" t="s">
        <v>3268</v>
      </c>
      <c r="I555" s="86">
        <v>65</v>
      </c>
      <c r="J555" s="86">
        <v>65</v>
      </c>
      <c r="K555" s="87">
        <v>1</v>
      </c>
      <c r="L555" s="87">
        <v>1</v>
      </c>
      <c r="M555" s="88">
        <v>1</v>
      </c>
      <c r="N555" s="89"/>
      <c r="O555" s="87"/>
      <c r="P555" s="87"/>
      <c r="Q555" s="87"/>
      <c r="R555" s="87"/>
      <c r="S555" s="87">
        <v>1</v>
      </c>
      <c r="T555" s="87"/>
      <c r="U555" s="87">
        <v>1</v>
      </c>
      <c r="V555" s="90" t="s">
        <v>3593</v>
      </c>
    </row>
    <row r="556" ht="15" customHeight="1" spans="1:23" x14ac:dyDescent="0.25">
      <c r="A556" s="85">
        <v>3811</v>
      </c>
      <c r="B556" s="85" t="s">
        <v>3770</v>
      </c>
      <c r="C556" s="85" t="s">
        <v>698</v>
      </c>
      <c r="D556" s="85" t="s">
        <v>902</v>
      </c>
      <c r="E556" s="85"/>
      <c r="F556" s="85" t="s">
        <v>157</v>
      </c>
      <c r="G556" s="85"/>
      <c r="H556" s="85"/>
      <c r="I556" s="86"/>
      <c r="J556" s="86"/>
      <c r="K556" s="87"/>
      <c r="L556" s="87"/>
      <c r="M556" s="88"/>
      <c r="N556" s="89"/>
      <c r="O556" s="87"/>
      <c r="P556" s="87"/>
      <c r="Q556" s="87"/>
      <c r="R556" s="87"/>
      <c r="S556" s="87">
        <v>1</v>
      </c>
      <c r="T556" s="87">
        <v>1</v>
      </c>
      <c r="U556" s="87">
        <v>1</v>
      </c>
      <c r="V556" s="90" t="s">
        <v>3593</v>
      </c>
    </row>
    <row r="557" ht="15" customHeight="1" spans="1:23" x14ac:dyDescent="0.25">
      <c r="A557" s="85">
        <v>3811</v>
      </c>
      <c r="B557" s="85" t="s">
        <v>3770</v>
      </c>
      <c r="C557" s="85" t="s">
        <v>698</v>
      </c>
      <c r="D557" s="85" t="s">
        <v>902</v>
      </c>
      <c r="E557" s="85"/>
      <c r="F557" s="85" t="s">
        <v>2472</v>
      </c>
      <c r="G557" s="85" t="s">
        <v>288</v>
      </c>
      <c r="H557" s="85" t="s">
        <v>3268</v>
      </c>
      <c r="I557" s="86">
        <v>65</v>
      </c>
      <c r="J557" s="86">
        <v>65</v>
      </c>
      <c r="K557" s="87">
        <v>1</v>
      </c>
      <c r="L557" s="87">
        <v>1</v>
      </c>
      <c r="M557" s="88">
        <v>1</v>
      </c>
      <c r="N557" s="89"/>
      <c r="O557" s="87"/>
      <c r="P557" s="87"/>
      <c r="Q557" s="87"/>
      <c r="R557" s="87"/>
      <c r="S557" s="87">
        <v>1</v>
      </c>
      <c r="T557" s="87"/>
      <c r="U557" s="87">
        <v>1</v>
      </c>
      <c r="V557" s="90" t="s">
        <v>3593</v>
      </c>
    </row>
    <row r="558" ht="15" customHeight="1" spans="1:23" x14ac:dyDescent="0.25">
      <c r="A558" s="85">
        <v>3812</v>
      </c>
      <c r="B558" s="85" t="s">
        <v>3771</v>
      </c>
      <c r="C558" s="85" t="s">
        <v>698</v>
      </c>
      <c r="D558" s="85" t="s">
        <v>902</v>
      </c>
      <c r="E558" s="85"/>
      <c r="F558" s="85" t="s">
        <v>157</v>
      </c>
      <c r="G558" s="85"/>
      <c r="H558" s="85"/>
      <c r="I558" s="86"/>
      <c r="J558" s="86"/>
      <c r="K558" s="87"/>
      <c r="L558" s="87"/>
      <c r="M558" s="88"/>
      <c r="N558" s="89"/>
      <c r="O558" s="87"/>
      <c r="P558" s="87"/>
      <c r="Q558" s="87"/>
      <c r="R558" s="87"/>
      <c r="S558" s="87">
        <v>0.8</v>
      </c>
      <c r="T558" s="87">
        <v>0.8</v>
      </c>
      <c r="U558" s="87"/>
      <c r="V558" s="90" t="s">
        <v>2472</v>
      </c>
    </row>
    <row r="559" ht="15" customHeight="1" spans="1:23" x14ac:dyDescent="0.25">
      <c r="A559" s="85">
        <v>3812</v>
      </c>
      <c r="B559" s="85" t="s">
        <v>3771</v>
      </c>
      <c r="C559" s="85" t="s">
        <v>698</v>
      </c>
      <c r="D559" s="85" t="s">
        <v>902</v>
      </c>
      <c r="E559" s="85"/>
      <c r="F559" s="85" t="s">
        <v>2472</v>
      </c>
      <c r="G559" s="85" t="s">
        <v>288</v>
      </c>
      <c r="H559" s="85" t="s">
        <v>3268</v>
      </c>
      <c r="I559" s="86">
        <v>65</v>
      </c>
      <c r="J559" s="86">
        <v>65</v>
      </c>
      <c r="K559" s="87">
        <v>1</v>
      </c>
      <c r="L559" s="87">
        <v>0.8</v>
      </c>
      <c r="M559" s="88">
        <v>0.8</v>
      </c>
      <c r="N559" s="89"/>
      <c r="O559" s="87"/>
      <c r="P559" s="87"/>
      <c r="Q559" s="87"/>
      <c r="R559" s="87"/>
      <c r="S559" s="87">
        <v>0.8</v>
      </c>
      <c r="T559" s="87"/>
      <c r="U559" s="87">
        <v>0</v>
      </c>
      <c r="V559" s="90" t="s">
        <v>2472</v>
      </c>
    </row>
    <row r="560" ht="15" customHeight="1" spans="1:23" x14ac:dyDescent="0.25">
      <c r="A560" s="85">
        <v>3813</v>
      </c>
      <c r="B560" s="85" t="s">
        <v>3772</v>
      </c>
      <c r="C560" s="85" t="s">
        <v>698</v>
      </c>
      <c r="D560" s="85" t="s">
        <v>2330</v>
      </c>
      <c r="E560" s="85"/>
      <c r="F560" s="85" t="s">
        <v>157</v>
      </c>
      <c r="G560" s="85"/>
      <c r="H560" s="85"/>
      <c r="I560" s="86"/>
      <c r="J560" s="86"/>
      <c r="K560" s="87"/>
      <c r="L560" s="87"/>
      <c r="M560" s="88"/>
      <c r="N560" s="89"/>
      <c r="O560" s="87"/>
      <c r="P560" s="87"/>
      <c r="Q560" s="87"/>
      <c r="R560" s="87"/>
      <c r="S560" s="87">
        <v>1</v>
      </c>
      <c r="T560" s="87">
        <v>1</v>
      </c>
      <c r="U560" s="87"/>
      <c r="V560" s="90" t="s">
        <v>2472</v>
      </c>
    </row>
    <row r="561" ht="15" customHeight="1" spans="1:23" x14ac:dyDescent="0.25">
      <c r="A561" s="85">
        <v>3813</v>
      </c>
      <c r="B561" s="85" t="s">
        <v>3772</v>
      </c>
      <c r="C561" s="85" t="s">
        <v>698</v>
      </c>
      <c r="D561" s="85" t="s">
        <v>2330</v>
      </c>
      <c r="E561" s="85"/>
      <c r="F561" s="85" t="s">
        <v>2472</v>
      </c>
      <c r="G561" s="85" t="s">
        <v>288</v>
      </c>
      <c r="H561" s="85" t="s">
        <v>3268</v>
      </c>
      <c r="I561" s="86">
        <v>65</v>
      </c>
      <c r="J561" s="86">
        <v>65</v>
      </c>
      <c r="K561" s="87">
        <v>1</v>
      </c>
      <c r="L561" s="87">
        <v>1</v>
      </c>
      <c r="M561" s="88">
        <v>1</v>
      </c>
      <c r="N561" s="89"/>
      <c r="O561" s="87"/>
      <c r="P561" s="87"/>
      <c r="Q561" s="87"/>
      <c r="R561" s="87"/>
      <c r="S561" s="87">
        <v>1</v>
      </c>
      <c r="T561" s="87"/>
      <c r="U561" s="87">
        <v>0</v>
      </c>
      <c r="V561" s="90" t="s">
        <v>2472</v>
      </c>
    </row>
    <row r="562" ht="15" customHeight="1" spans="1:23" x14ac:dyDescent="0.25">
      <c r="A562" s="85">
        <v>3814</v>
      </c>
      <c r="B562" s="85" t="s">
        <v>3773</v>
      </c>
      <c r="C562" s="85" t="s">
        <v>698</v>
      </c>
      <c r="D562" s="85" t="s">
        <v>763</v>
      </c>
      <c r="E562" s="85"/>
      <c r="F562" s="85" t="s">
        <v>157</v>
      </c>
      <c r="G562" s="85"/>
      <c r="H562" s="85"/>
      <c r="I562" s="86"/>
      <c r="J562" s="86"/>
      <c r="K562" s="87"/>
      <c r="L562" s="87"/>
      <c r="M562" s="88"/>
      <c r="N562" s="89"/>
      <c r="O562" s="87"/>
      <c r="P562" s="87"/>
      <c r="Q562" s="87"/>
      <c r="R562" s="87"/>
      <c r="S562" s="87">
        <v>1</v>
      </c>
      <c r="T562" s="87">
        <v>1</v>
      </c>
      <c r="U562" s="87">
        <v>1</v>
      </c>
      <c r="V562" s="90" t="s">
        <v>3593</v>
      </c>
    </row>
    <row r="563" ht="15" customHeight="1" spans="1:23" x14ac:dyDescent="0.25">
      <c r="A563" s="85">
        <v>3814</v>
      </c>
      <c r="B563" s="85" t="s">
        <v>3773</v>
      </c>
      <c r="C563" s="85" t="s">
        <v>698</v>
      </c>
      <c r="D563" s="85" t="s">
        <v>763</v>
      </c>
      <c r="E563" s="85"/>
      <c r="F563" s="85" t="s">
        <v>2472</v>
      </c>
      <c r="G563" s="85" t="s">
        <v>288</v>
      </c>
      <c r="H563" s="85" t="s">
        <v>3268</v>
      </c>
      <c r="I563" s="86">
        <v>65</v>
      </c>
      <c r="J563" s="86">
        <v>65</v>
      </c>
      <c r="K563" s="87">
        <v>1</v>
      </c>
      <c r="L563" s="87">
        <v>1</v>
      </c>
      <c r="M563" s="88">
        <v>1</v>
      </c>
      <c r="N563" s="89"/>
      <c r="O563" s="87"/>
      <c r="P563" s="87"/>
      <c r="Q563" s="87"/>
      <c r="R563" s="87"/>
      <c r="S563" s="87">
        <v>1</v>
      </c>
      <c r="T563" s="87"/>
      <c r="U563" s="87">
        <v>1</v>
      </c>
      <c r="V563" s="90" t="s">
        <v>3593</v>
      </c>
    </row>
    <row r="564" ht="15" customHeight="1" spans="1:23" x14ac:dyDescent="0.25">
      <c r="A564" s="85">
        <v>3815</v>
      </c>
      <c r="B564" s="85" t="s">
        <v>3774</v>
      </c>
      <c r="C564" s="85" t="s">
        <v>698</v>
      </c>
      <c r="D564" s="85" t="s">
        <v>2420</v>
      </c>
      <c r="E564" s="85"/>
      <c r="F564" s="85" t="s">
        <v>157</v>
      </c>
      <c r="G564" s="85"/>
      <c r="H564" s="85"/>
      <c r="I564" s="86"/>
      <c r="J564" s="86"/>
      <c r="K564" s="87"/>
      <c r="L564" s="87"/>
      <c r="M564" s="88"/>
      <c r="N564" s="89"/>
      <c r="O564" s="87"/>
      <c r="P564" s="87"/>
      <c r="Q564" s="87"/>
      <c r="R564" s="87"/>
      <c r="S564" s="87">
        <v>0.8</v>
      </c>
      <c r="T564" s="87">
        <v>0.8</v>
      </c>
      <c r="U564" s="87"/>
      <c r="V564" s="90" t="s">
        <v>2472</v>
      </c>
    </row>
    <row r="565" ht="15" customHeight="1" spans="1:23" x14ac:dyDescent="0.25">
      <c r="A565" s="85">
        <v>3815</v>
      </c>
      <c r="B565" s="85" t="s">
        <v>3774</v>
      </c>
      <c r="C565" s="85" t="s">
        <v>698</v>
      </c>
      <c r="D565" s="85" t="s">
        <v>2420</v>
      </c>
      <c r="E565" s="85"/>
      <c r="F565" s="85" t="s">
        <v>2472</v>
      </c>
      <c r="G565" s="85" t="s">
        <v>288</v>
      </c>
      <c r="H565" s="85" t="s">
        <v>3268</v>
      </c>
      <c r="I565" s="86">
        <v>65</v>
      </c>
      <c r="J565" s="86">
        <v>65</v>
      </c>
      <c r="K565" s="87">
        <v>1</v>
      </c>
      <c r="L565" s="87">
        <v>0.8</v>
      </c>
      <c r="M565" s="88">
        <v>0.8</v>
      </c>
      <c r="N565" s="89"/>
      <c r="O565" s="87"/>
      <c r="P565" s="87"/>
      <c r="Q565" s="87"/>
      <c r="R565" s="87"/>
      <c r="S565" s="87">
        <v>0.8</v>
      </c>
      <c r="T565" s="87"/>
      <c r="U565" s="87">
        <v>0</v>
      </c>
      <c r="V565" s="90" t="s">
        <v>2472</v>
      </c>
    </row>
    <row r="566" ht="15" customHeight="1" spans="1:23" x14ac:dyDescent="0.25">
      <c r="A566" s="85">
        <v>3816</v>
      </c>
      <c r="B566" s="85" t="s">
        <v>3775</v>
      </c>
      <c r="C566" s="85" t="s">
        <v>698</v>
      </c>
      <c r="D566" s="85" t="s">
        <v>1495</v>
      </c>
      <c r="E566" s="85"/>
      <c r="F566" s="85" t="s">
        <v>157</v>
      </c>
      <c r="G566" s="85"/>
      <c r="H566" s="85"/>
      <c r="I566" s="86"/>
      <c r="J566" s="86"/>
      <c r="K566" s="87"/>
      <c r="L566" s="87"/>
      <c r="M566" s="88"/>
      <c r="N566" s="89"/>
      <c r="O566" s="87"/>
      <c r="P566" s="87"/>
      <c r="Q566" s="87"/>
      <c r="R566" s="87"/>
      <c r="S566" s="87">
        <v>1</v>
      </c>
      <c r="T566" s="87">
        <v>1</v>
      </c>
      <c r="U566" s="87">
        <v>1</v>
      </c>
      <c r="V566" s="90" t="s">
        <v>3593</v>
      </c>
    </row>
    <row r="567" ht="15" customHeight="1" spans="1:23" x14ac:dyDescent="0.25">
      <c r="A567" s="85">
        <v>3816</v>
      </c>
      <c r="B567" s="85" t="s">
        <v>3775</v>
      </c>
      <c r="C567" s="85" t="s">
        <v>698</v>
      </c>
      <c r="D567" s="85" t="s">
        <v>1495</v>
      </c>
      <c r="E567" s="85"/>
      <c r="F567" s="85" t="s">
        <v>2472</v>
      </c>
      <c r="G567" s="85" t="s">
        <v>288</v>
      </c>
      <c r="H567" s="85" t="s">
        <v>3268</v>
      </c>
      <c r="I567" s="86">
        <v>65</v>
      </c>
      <c r="J567" s="86">
        <v>65</v>
      </c>
      <c r="K567" s="87">
        <v>1</v>
      </c>
      <c r="L567" s="87">
        <v>1</v>
      </c>
      <c r="M567" s="88">
        <v>1</v>
      </c>
      <c r="N567" s="89"/>
      <c r="O567" s="87"/>
      <c r="P567" s="87"/>
      <c r="Q567" s="87"/>
      <c r="R567" s="87"/>
      <c r="S567" s="87">
        <v>1</v>
      </c>
      <c r="T567" s="87"/>
      <c r="U567" s="87">
        <v>1</v>
      </c>
      <c r="V567" s="90" t="s">
        <v>3593</v>
      </c>
    </row>
    <row r="568" ht="15" customHeight="1" spans="1:23" x14ac:dyDescent="0.25">
      <c r="A568" s="85">
        <v>3817</v>
      </c>
      <c r="B568" s="85" t="s">
        <v>3776</v>
      </c>
      <c r="C568" s="85" t="s">
        <v>698</v>
      </c>
      <c r="D568" s="85" t="s">
        <v>1390</v>
      </c>
      <c r="E568" s="85"/>
      <c r="F568" s="85" t="s">
        <v>157</v>
      </c>
      <c r="G568" s="85"/>
      <c r="H568" s="85"/>
      <c r="I568" s="86"/>
      <c r="J568" s="86"/>
      <c r="K568" s="87"/>
      <c r="L568" s="87"/>
      <c r="M568" s="88"/>
      <c r="N568" s="89"/>
      <c r="O568" s="87"/>
      <c r="P568" s="87"/>
      <c r="Q568" s="87"/>
      <c r="R568" s="87"/>
      <c r="S568" s="87">
        <v>1</v>
      </c>
      <c r="T568" s="87">
        <v>1</v>
      </c>
      <c r="U568" s="87"/>
      <c r="V568" s="90" t="s">
        <v>2472</v>
      </c>
    </row>
    <row r="569" ht="15" customHeight="1" spans="1:23" x14ac:dyDescent="0.25">
      <c r="A569" s="85">
        <v>3817</v>
      </c>
      <c r="B569" s="85" t="s">
        <v>3776</v>
      </c>
      <c r="C569" s="85" t="s">
        <v>698</v>
      </c>
      <c r="D569" s="85" t="s">
        <v>1390</v>
      </c>
      <c r="E569" s="85"/>
      <c r="F569" s="85" t="s">
        <v>2472</v>
      </c>
      <c r="G569" s="85" t="s">
        <v>288</v>
      </c>
      <c r="H569" s="85" t="s">
        <v>3268</v>
      </c>
      <c r="I569" s="86">
        <v>65</v>
      </c>
      <c r="J569" s="86">
        <v>65</v>
      </c>
      <c r="K569" s="87">
        <v>1</v>
      </c>
      <c r="L569" s="87">
        <v>1</v>
      </c>
      <c r="M569" s="88">
        <v>1</v>
      </c>
      <c r="N569" s="89"/>
      <c r="O569" s="87"/>
      <c r="P569" s="87"/>
      <c r="Q569" s="87"/>
      <c r="R569" s="87"/>
      <c r="S569" s="87">
        <v>1</v>
      </c>
      <c r="T569" s="87"/>
      <c r="U569" s="87">
        <v>0</v>
      </c>
      <c r="V569" s="90" t="s">
        <v>2472</v>
      </c>
    </row>
    <row r="570" ht="15" customHeight="1" spans="1:23" x14ac:dyDescent="0.25">
      <c r="A570" s="85">
        <v>3818</v>
      </c>
      <c r="B570" s="85" t="s">
        <v>3777</v>
      </c>
      <c r="C570" s="85" t="s">
        <v>698</v>
      </c>
      <c r="D570" s="85" t="s">
        <v>871</v>
      </c>
      <c r="E570" s="85"/>
      <c r="F570" s="85" t="s">
        <v>157</v>
      </c>
      <c r="G570" s="85"/>
      <c r="H570" s="85"/>
      <c r="I570" s="86"/>
      <c r="J570" s="86"/>
      <c r="K570" s="87"/>
      <c r="L570" s="87"/>
      <c r="M570" s="88"/>
      <c r="N570" s="89"/>
      <c r="O570" s="87"/>
      <c r="P570" s="87"/>
      <c r="Q570" s="87"/>
      <c r="R570" s="87"/>
      <c r="S570" s="87">
        <v>1</v>
      </c>
      <c r="T570" s="87">
        <v>1</v>
      </c>
      <c r="U570" s="87"/>
      <c r="V570" s="90" t="s">
        <v>2472</v>
      </c>
    </row>
    <row r="571" ht="15" customHeight="1" spans="1:23" x14ac:dyDescent="0.25">
      <c r="A571" s="85">
        <v>3818</v>
      </c>
      <c r="B571" s="85" t="s">
        <v>3777</v>
      </c>
      <c r="C571" s="85" t="s">
        <v>698</v>
      </c>
      <c r="D571" s="85" t="s">
        <v>871</v>
      </c>
      <c r="E571" s="85"/>
      <c r="F571" s="85" t="s">
        <v>2472</v>
      </c>
      <c r="G571" s="85" t="s">
        <v>288</v>
      </c>
      <c r="H571" s="85" t="s">
        <v>3268</v>
      </c>
      <c r="I571" s="86">
        <v>65</v>
      </c>
      <c r="J571" s="86">
        <v>65</v>
      </c>
      <c r="K571" s="87">
        <v>1</v>
      </c>
      <c r="L571" s="87">
        <v>1</v>
      </c>
      <c r="M571" s="88">
        <v>1</v>
      </c>
      <c r="N571" s="89"/>
      <c r="O571" s="87"/>
      <c r="P571" s="87"/>
      <c r="Q571" s="87"/>
      <c r="R571" s="87"/>
      <c r="S571" s="87">
        <v>1</v>
      </c>
      <c r="T571" s="87"/>
      <c r="U571" s="87">
        <v>0</v>
      </c>
      <c r="V571" s="90" t="s">
        <v>2472</v>
      </c>
    </row>
    <row r="572" ht="15" customHeight="1" spans="1:23" x14ac:dyDescent="0.25">
      <c r="A572" s="85">
        <v>3819</v>
      </c>
      <c r="B572" s="85" t="s">
        <v>3778</v>
      </c>
      <c r="C572" s="85" t="s">
        <v>698</v>
      </c>
      <c r="D572" s="85" t="s">
        <v>2137</v>
      </c>
      <c r="E572" s="85"/>
      <c r="F572" s="85" t="s">
        <v>157</v>
      </c>
      <c r="G572" s="85"/>
      <c r="H572" s="85"/>
      <c r="I572" s="86"/>
      <c r="J572" s="86"/>
      <c r="K572" s="87"/>
      <c r="L572" s="87"/>
      <c r="M572" s="88"/>
      <c r="N572" s="89"/>
      <c r="O572" s="87"/>
      <c r="P572" s="87"/>
      <c r="Q572" s="87"/>
      <c r="R572" s="87"/>
      <c r="S572" s="87">
        <v>1</v>
      </c>
      <c r="T572" s="87">
        <v>1</v>
      </c>
      <c r="U572" s="87">
        <v>1</v>
      </c>
      <c r="V572" s="90" t="s">
        <v>3779</v>
      </c>
    </row>
    <row r="573" ht="15" customHeight="1" spans="1:23" x14ac:dyDescent="0.25">
      <c r="A573" s="85">
        <v>3819</v>
      </c>
      <c r="B573" s="85" t="s">
        <v>3778</v>
      </c>
      <c r="C573" s="85" t="s">
        <v>698</v>
      </c>
      <c r="D573" s="85" t="s">
        <v>2137</v>
      </c>
      <c r="E573" s="85"/>
      <c r="F573" s="85" t="s">
        <v>2472</v>
      </c>
      <c r="G573" s="85" t="s">
        <v>288</v>
      </c>
      <c r="H573" s="85" t="s">
        <v>3268</v>
      </c>
      <c r="I573" s="86">
        <v>65</v>
      </c>
      <c r="J573" s="86">
        <v>65</v>
      </c>
      <c r="K573" s="87">
        <v>1</v>
      </c>
      <c r="L573" s="87">
        <v>1</v>
      </c>
      <c r="M573" s="88">
        <v>1</v>
      </c>
      <c r="N573" s="89"/>
      <c r="O573" s="87"/>
      <c r="P573" s="87"/>
      <c r="Q573" s="87"/>
      <c r="R573" s="87"/>
      <c r="S573" s="87">
        <v>1</v>
      </c>
      <c r="T573" s="87"/>
      <c r="U573" s="87">
        <v>1</v>
      </c>
      <c r="V573" s="90" t="s">
        <v>3779</v>
      </c>
    </row>
    <row r="574" ht="15" customHeight="1" spans="1:23" x14ac:dyDescent="0.25">
      <c r="A574" s="85">
        <v>3820</v>
      </c>
      <c r="B574" s="85" t="s">
        <v>3780</v>
      </c>
      <c r="C574" s="85" t="s">
        <v>698</v>
      </c>
      <c r="D574" s="85" t="s">
        <v>1409</v>
      </c>
      <c r="E574" s="85"/>
      <c r="F574" s="85" t="s">
        <v>157</v>
      </c>
      <c r="G574" s="85"/>
      <c r="H574" s="85"/>
      <c r="I574" s="86"/>
      <c r="J574" s="86"/>
      <c r="K574" s="87"/>
      <c r="L574" s="87"/>
      <c r="M574" s="88"/>
      <c r="N574" s="89"/>
      <c r="O574" s="87"/>
      <c r="P574" s="87"/>
      <c r="Q574" s="87"/>
      <c r="R574" s="87"/>
      <c r="S574" s="87">
        <v>0.9</v>
      </c>
      <c r="T574" s="87">
        <v>0.9</v>
      </c>
      <c r="U574" s="87">
        <v>0.9</v>
      </c>
      <c r="V574" s="90" t="s">
        <v>3781</v>
      </c>
    </row>
    <row r="575" ht="15" customHeight="1" spans="1:23" x14ac:dyDescent="0.25">
      <c r="A575" s="85">
        <v>3820</v>
      </c>
      <c r="B575" s="85" t="s">
        <v>3780</v>
      </c>
      <c r="C575" s="85" t="s">
        <v>698</v>
      </c>
      <c r="D575" s="85" t="s">
        <v>1409</v>
      </c>
      <c r="E575" s="85"/>
      <c r="F575" s="85" t="s">
        <v>2472</v>
      </c>
      <c r="G575" s="85" t="s">
        <v>288</v>
      </c>
      <c r="H575" s="85" t="s">
        <v>3268</v>
      </c>
      <c r="I575" s="86">
        <v>65</v>
      </c>
      <c r="J575" s="86">
        <v>65</v>
      </c>
      <c r="K575" s="87">
        <v>1</v>
      </c>
      <c r="L575" s="87">
        <v>0.9</v>
      </c>
      <c r="M575" s="88">
        <v>0.9</v>
      </c>
      <c r="N575" s="89"/>
      <c r="O575" s="87"/>
      <c r="P575" s="87"/>
      <c r="Q575" s="87"/>
      <c r="R575" s="87"/>
      <c r="S575" s="87">
        <v>0.9</v>
      </c>
      <c r="T575" s="87"/>
      <c r="U575" s="87">
        <v>0.9</v>
      </c>
      <c r="V575" s="90" t="s">
        <v>3781</v>
      </c>
    </row>
    <row r="576" ht="15" customHeight="1" spans="1:23" x14ac:dyDescent="0.25">
      <c r="A576" s="85">
        <v>3821</v>
      </c>
      <c r="B576" s="85" t="s">
        <v>3782</v>
      </c>
      <c r="C576" s="85" t="s">
        <v>698</v>
      </c>
      <c r="D576" s="85" t="s">
        <v>1243</v>
      </c>
      <c r="E576" s="85"/>
      <c r="F576" s="85" t="s">
        <v>157</v>
      </c>
      <c r="G576" s="85"/>
      <c r="H576" s="85"/>
      <c r="I576" s="86"/>
      <c r="J576" s="86"/>
      <c r="K576" s="87"/>
      <c r="L576" s="87"/>
      <c r="M576" s="88"/>
      <c r="N576" s="89"/>
      <c r="O576" s="87"/>
      <c r="P576" s="87"/>
      <c r="Q576" s="87"/>
      <c r="R576" s="87"/>
      <c r="S576" s="87">
        <v>0.8</v>
      </c>
      <c r="T576" s="87">
        <v>0.8</v>
      </c>
      <c r="U576" s="87">
        <v>0.8</v>
      </c>
      <c r="V576" s="90" t="s">
        <v>3603</v>
      </c>
    </row>
    <row r="577" ht="15" customHeight="1" spans="1:23" x14ac:dyDescent="0.25">
      <c r="A577" s="85">
        <v>3821</v>
      </c>
      <c r="B577" s="85" t="s">
        <v>3782</v>
      </c>
      <c r="C577" s="85" t="s">
        <v>698</v>
      </c>
      <c r="D577" s="85" t="s">
        <v>1243</v>
      </c>
      <c r="E577" s="85"/>
      <c r="F577" s="85" t="s">
        <v>2472</v>
      </c>
      <c r="G577" s="85" t="s">
        <v>288</v>
      </c>
      <c r="H577" s="85" t="s">
        <v>3268</v>
      </c>
      <c r="I577" s="86">
        <v>65</v>
      </c>
      <c r="J577" s="86">
        <v>65</v>
      </c>
      <c r="K577" s="87">
        <v>1</v>
      </c>
      <c r="L577" s="87">
        <v>0.8</v>
      </c>
      <c r="M577" s="88">
        <v>0.8</v>
      </c>
      <c r="N577" s="89"/>
      <c r="O577" s="87"/>
      <c r="P577" s="87"/>
      <c r="Q577" s="87"/>
      <c r="R577" s="87"/>
      <c r="S577" s="87">
        <v>0.8</v>
      </c>
      <c r="T577" s="87"/>
      <c r="U577" s="87">
        <v>0.8</v>
      </c>
      <c r="V577" s="90" t="s">
        <v>3603</v>
      </c>
    </row>
    <row r="578" ht="15" customHeight="1" spans="1:23" x14ac:dyDescent="0.25">
      <c r="A578" s="85">
        <v>3822</v>
      </c>
      <c r="B578" s="85" t="s">
        <v>3783</v>
      </c>
      <c r="C578" s="85" t="s">
        <v>698</v>
      </c>
      <c r="D578" s="85" t="s">
        <v>728</v>
      </c>
      <c r="E578" s="85"/>
      <c r="F578" s="85" t="s">
        <v>157</v>
      </c>
      <c r="G578" s="85"/>
      <c r="H578" s="85"/>
      <c r="I578" s="86"/>
      <c r="J578" s="86"/>
      <c r="K578" s="87"/>
      <c r="L578" s="87"/>
      <c r="M578" s="88"/>
      <c r="N578" s="89"/>
      <c r="O578" s="87"/>
      <c r="P578" s="87"/>
      <c r="Q578" s="87"/>
      <c r="R578" s="87"/>
      <c r="S578" s="87">
        <v>1</v>
      </c>
      <c r="T578" s="87">
        <v>1</v>
      </c>
      <c r="U578" s="87">
        <v>1</v>
      </c>
      <c r="V578" s="90" t="s">
        <v>3779</v>
      </c>
    </row>
    <row r="579" ht="15" customHeight="1" spans="1:23" x14ac:dyDescent="0.25">
      <c r="A579" s="85">
        <v>3822</v>
      </c>
      <c r="B579" s="85" t="s">
        <v>3783</v>
      </c>
      <c r="C579" s="85" t="s">
        <v>698</v>
      </c>
      <c r="D579" s="85" t="s">
        <v>728</v>
      </c>
      <c r="E579" s="85"/>
      <c r="F579" s="85" t="s">
        <v>2472</v>
      </c>
      <c r="G579" s="85" t="s">
        <v>288</v>
      </c>
      <c r="H579" s="85" t="s">
        <v>3268</v>
      </c>
      <c r="I579" s="86">
        <v>65</v>
      </c>
      <c r="J579" s="86">
        <v>65</v>
      </c>
      <c r="K579" s="87">
        <v>1</v>
      </c>
      <c r="L579" s="87">
        <v>1</v>
      </c>
      <c r="M579" s="88">
        <v>1</v>
      </c>
      <c r="N579" s="89"/>
      <c r="O579" s="87"/>
      <c r="P579" s="87"/>
      <c r="Q579" s="87"/>
      <c r="R579" s="87"/>
      <c r="S579" s="87">
        <v>1</v>
      </c>
      <c r="T579" s="87"/>
      <c r="U579" s="87">
        <v>1</v>
      </c>
      <c r="V579" s="90" t="s">
        <v>3779</v>
      </c>
    </row>
    <row r="580" ht="15" customHeight="1" spans="1:23" x14ac:dyDescent="0.25">
      <c r="A580" s="85">
        <v>3823</v>
      </c>
      <c r="B580" s="85" t="s">
        <v>3784</v>
      </c>
      <c r="C580" s="85" t="s">
        <v>698</v>
      </c>
      <c r="D580" s="85" t="s">
        <v>777</v>
      </c>
      <c r="E580" s="85"/>
      <c r="F580" s="85" t="s">
        <v>157</v>
      </c>
      <c r="G580" s="85"/>
      <c r="H580" s="85"/>
      <c r="I580" s="86"/>
      <c r="J580" s="86"/>
      <c r="K580" s="87"/>
      <c r="L580" s="87"/>
      <c r="M580" s="88"/>
      <c r="N580" s="89"/>
      <c r="O580" s="87"/>
      <c r="P580" s="87"/>
      <c r="Q580" s="87"/>
      <c r="R580" s="87"/>
      <c r="S580" s="87">
        <v>1</v>
      </c>
      <c r="T580" s="87">
        <v>1</v>
      </c>
      <c r="U580" s="87"/>
      <c r="V580" s="90" t="s">
        <v>2472</v>
      </c>
    </row>
    <row r="581" ht="15" customHeight="1" spans="1:23" x14ac:dyDescent="0.25">
      <c r="A581" s="85">
        <v>3823</v>
      </c>
      <c r="B581" s="85" t="s">
        <v>3784</v>
      </c>
      <c r="C581" s="85" t="s">
        <v>698</v>
      </c>
      <c r="D581" s="85" t="s">
        <v>777</v>
      </c>
      <c r="E581" s="85"/>
      <c r="F581" s="85" t="s">
        <v>2472</v>
      </c>
      <c r="G581" s="85" t="s">
        <v>288</v>
      </c>
      <c r="H581" s="85" t="s">
        <v>3268</v>
      </c>
      <c r="I581" s="86">
        <v>65</v>
      </c>
      <c r="J581" s="86">
        <v>65</v>
      </c>
      <c r="K581" s="87">
        <v>1</v>
      </c>
      <c r="L581" s="87">
        <v>1</v>
      </c>
      <c r="M581" s="88">
        <v>1</v>
      </c>
      <c r="N581" s="89"/>
      <c r="O581" s="87"/>
      <c r="P581" s="87"/>
      <c r="Q581" s="87"/>
      <c r="R581" s="87"/>
      <c r="S581" s="87">
        <v>1</v>
      </c>
      <c r="T581" s="87"/>
      <c r="U581" s="87">
        <v>0</v>
      </c>
      <c r="V581" s="90" t="s">
        <v>2472</v>
      </c>
    </row>
    <row r="582" ht="15" customHeight="1" spans="1:23" x14ac:dyDescent="0.25">
      <c r="A582" s="85">
        <v>3824</v>
      </c>
      <c r="B582" s="85" t="s">
        <v>3785</v>
      </c>
      <c r="C582" s="85" t="s">
        <v>698</v>
      </c>
      <c r="D582" s="85" t="s">
        <v>1698</v>
      </c>
      <c r="E582" s="85"/>
      <c r="F582" s="85" t="s">
        <v>157</v>
      </c>
      <c r="G582" s="85"/>
      <c r="H582" s="85"/>
      <c r="I582" s="86"/>
      <c r="J582" s="86"/>
      <c r="K582" s="87"/>
      <c r="L582" s="87"/>
      <c r="M582" s="88"/>
      <c r="N582" s="89"/>
      <c r="O582" s="87"/>
      <c r="P582" s="87"/>
      <c r="Q582" s="87"/>
      <c r="R582" s="87"/>
      <c r="S582" s="87">
        <v>1</v>
      </c>
      <c r="T582" s="87">
        <v>1</v>
      </c>
      <c r="U582" s="87">
        <v>1</v>
      </c>
      <c r="V582" s="90" t="s">
        <v>3779</v>
      </c>
    </row>
    <row r="583" ht="15" customHeight="1" spans="1:23" x14ac:dyDescent="0.25">
      <c r="A583" s="85">
        <v>3824</v>
      </c>
      <c r="B583" s="85" t="s">
        <v>3785</v>
      </c>
      <c r="C583" s="85" t="s">
        <v>698</v>
      </c>
      <c r="D583" s="85" t="s">
        <v>1698</v>
      </c>
      <c r="E583" s="85"/>
      <c r="F583" s="85" t="s">
        <v>2472</v>
      </c>
      <c r="G583" s="85" t="s">
        <v>288</v>
      </c>
      <c r="H583" s="85" t="s">
        <v>3268</v>
      </c>
      <c r="I583" s="86">
        <v>65</v>
      </c>
      <c r="J583" s="86">
        <v>65</v>
      </c>
      <c r="K583" s="87">
        <v>1</v>
      </c>
      <c r="L583" s="87">
        <v>1</v>
      </c>
      <c r="M583" s="88">
        <v>1</v>
      </c>
      <c r="N583" s="89"/>
      <c r="O583" s="87"/>
      <c r="P583" s="87"/>
      <c r="Q583" s="87"/>
      <c r="R583" s="87"/>
      <c r="S583" s="87">
        <v>1</v>
      </c>
      <c r="T583" s="87"/>
      <c r="U583" s="87">
        <v>1</v>
      </c>
      <c r="V583" s="90" t="s">
        <v>3779</v>
      </c>
    </row>
    <row r="584" ht="15" customHeight="1" spans="1:23" x14ac:dyDescent="0.25">
      <c r="A584" s="85">
        <v>3825</v>
      </c>
      <c r="B584" s="85" t="s">
        <v>3786</v>
      </c>
      <c r="C584" s="85" t="s">
        <v>698</v>
      </c>
      <c r="D584" s="85" t="s">
        <v>1952</v>
      </c>
      <c r="E584" s="85"/>
      <c r="F584" s="85" t="s">
        <v>157</v>
      </c>
      <c r="G584" s="85"/>
      <c r="H584" s="85"/>
      <c r="I584" s="86"/>
      <c r="J584" s="86"/>
      <c r="K584" s="87"/>
      <c r="L584" s="87"/>
      <c r="M584" s="88"/>
      <c r="N584" s="89"/>
      <c r="O584" s="87"/>
      <c r="P584" s="87"/>
      <c r="Q584" s="87"/>
      <c r="R584" s="87"/>
      <c r="S584" s="87">
        <v>0.8</v>
      </c>
      <c r="T584" s="87">
        <v>0.8</v>
      </c>
      <c r="U584" s="87">
        <v>0.8</v>
      </c>
      <c r="V584" s="90" t="s">
        <v>3603</v>
      </c>
    </row>
    <row r="585" ht="15" customHeight="1" spans="1:23" x14ac:dyDescent="0.25">
      <c r="A585" s="85">
        <v>3825</v>
      </c>
      <c r="B585" s="85" t="s">
        <v>3786</v>
      </c>
      <c r="C585" s="85" t="s">
        <v>698</v>
      </c>
      <c r="D585" s="85" t="s">
        <v>1952</v>
      </c>
      <c r="E585" s="85"/>
      <c r="F585" s="85" t="s">
        <v>2472</v>
      </c>
      <c r="G585" s="85" t="s">
        <v>288</v>
      </c>
      <c r="H585" s="85" t="s">
        <v>3268</v>
      </c>
      <c r="I585" s="86">
        <v>65</v>
      </c>
      <c r="J585" s="86">
        <v>65</v>
      </c>
      <c r="K585" s="87">
        <v>1</v>
      </c>
      <c r="L585" s="87">
        <v>0.8</v>
      </c>
      <c r="M585" s="88">
        <v>0.8</v>
      </c>
      <c r="N585" s="89"/>
      <c r="O585" s="87"/>
      <c r="P585" s="87"/>
      <c r="Q585" s="87"/>
      <c r="R585" s="87"/>
      <c r="S585" s="87">
        <v>0.8</v>
      </c>
      <c r="T585" s="87"/>
      <c r="U585" s="87">
        <v>0.8</v>
      </c>
      <c r="V585" s="90" t="s">
        <v>3603</v>
      </c>
    </row>
    <row r="586" ht="15" customHeight="1" spans="1:23" x14ac:dyDescent="0.25">
      <c r="A586" s="85">
        <v>3826</v>
      </c>
      <c r="B586" s="85" t="s">
        <v>3787</v>
      </c>
      <c r="C586" s="85" t="s">
        <v>698</v>
      </c>
      <c r="D586" s="85" t="s">
        <v>831</v>
      </c>
      <c r="E586" s="85"/>
      <c r="F586" s="85" t="s">
        <v>157</v>
      </c>
      <c r="G586" s="85"/>
      <c r="H586" s="85"/>
      <c r="I586" s="86"/>
      <c r="J586" s="86"/>
      <c r="K586" s="87"/>
      <c r="L586" s="87"/>
      <c r="M586" s="88"/>
      <c r="N586" s="89"/>
      <c r="O586" s="87"/>
      <c r="P586" s="87"/>
      <c r="Q586" s="87"/>
      <c r="R586" s="87"/>
      <c r="S586" s="87">
        <v>1</v>
      </c>
      <c r="T586" s="87">
        <v>1</v>
      </c>
      <c r="U586" s="87">
        <v>1</v>
      </c>
      <c r="V586" s="90" t="s">
        <v>3779</v>
      </c>
    </row>
    <row r="587" ht="15" customHeight="1" spans="1:23" x14ac:dyDescent="0.25">
      <c r="A587" s="85">
        <v>3826</v>
      </c>
      <c r="B587" s="85" t="s">
        <v>3787</v>
      </c>
      <c r="C587" s="85" t="s">
        <v>698</v>
      </c>
      <c r="D587" s="85" t="s">
        <v>831</v>
      </c>
      <c r="E587" s="85"/>
      <c r="F587" s="85" t="s">
        <v>2472</v>
      </c>
      <c r="G587" s="85" t="s">
        <v>288</v>
      </c>
      <c r="H587" s="85" t="s">
        <v>3268</v>
      </c>
      <c r="I587" s="86">
        <v>65</v>
      </c>
      <c r="J587" s="86">
        <v>65</v>
      </c>
      <c r="K587" s="87">
        <v>1</v>
      </c>
      <c r="L587" s="87">
        <v>1</v>
      </c>
      <c r="M587" s="88">
        <v>1</v>
      </c>
      <c r="N587" s="89"/>
      <c r="O587" s="87"/>
      <c r="P587" s="87"/>
      <c r="Q587" s="87"/>
      <c r="R587" s="87"/>
      <c r="S587" s="87">
        <v>1</v>
      </c>
      <c r="T587" s="87"/>
      <c r="U587" s="87">
        <v>1</v>
      </c>
      <c r="V587" s="90" t="s">
        <v>3779</v>
      </c>
    </row>
    <row r="588" ht="15" customHeight="1" spans="1:23" x14ac:dyDescent="0.25">
      <c r="A588" s="85">
        <v>3827</v>
      </c>
      <c r="B588" s="85" t="s">
        <v>3788</v>
      </c>
      <c r="C588" s="85" t="s">
        <v>698</v>
      </c>
      <c r="D588" s="85" t="s">
        <v>881</v>
      </c>
      <c r="E588" s="85"/>
      <c r="F588" s="85" t="s">
        <v>157</v>
      </c>
      <c r="G588" s="85"/>
      <c r="H588" s="85"/>
      <c r="I588" s="86"/>
      <c r="J588" s="86"/>
      <c r="K588" s="87"/>
      <c r="L588" s="87"/>
      <c r="M588" s="88"/>
      <c r="N588" s="89"/>
      <c r="O588" s="87"/>
      <c r="P588" s="87"/>
      <c r="Q588" s="87"/>
      <c r="R588" s="87"/>
      <c r="S588" s="87">
        <v>1</v>
      </c>
      <c r="T588" s="87">
        <v>1</v>
      </c>
      <c r="U588" s="87"/>
      <c r="V588" s="90" t="s">
        <v>2472</v>
      </c>
    </row>
    <row r="589" ht="15" customHeight="1" spans="1:23" x14ac:dyDescent="0.25">
      <c r="A589" s="85">
        <v>3827</v>
      </c>
      <c r="B589" s="85" t="s">
        <v>3788</v>
      </c>
      <c r="C589" s="85" t="s">
        <v>698</v>
      </c>
      <c r="D589" s="85" t="s">
        <v>881</v>
      </c>
      <c r="E589" s="85"/>
      <c r="F589" s="85" t="s">
        <v>2472</v>
      </c>
      <c r="G589" s="85" t="s">
        <v>288</v>
      </c>
      <c r="H589" s="85" t="s">
        <v>3268</v>
      </c>
      <c r="I589" s="86">
        <v>65</v>
      </c>
      <c r="J589" s="86">
        <v>65</v>
      </c>
      <c r="K589" s="87">
        <v>1</v>
      </c>
      <c r="L589" s="87">
        <v>1</v>
      </c>
      <c r="M589" s="88">
        <v>1</v>
      </c>
      <c r="N589" s="89"/>
      <c r="O589" s="87"/>
      <c r="P589" s="87"/>
      <c r="Q589" s="87"/>
      <c r="R589" s="87"/>
      <c r="S589" s="87">
        <v>1</v>
      </c>
      <c r="T589" s="87"/>
      <c r="U589" s="87">
        <v>0</v>
      </c>
      <c r="V589" s="90" t="s">
        <v>2472</v>
      </c>
    </row>
    <row r="590" ht="15" customHeight="1" spans="1:23" x14ac:dyDescent="0.25">
      <c r="A590" s="85">
        <v>3828</v>
      </c>
      <c r="B590" s="85" t="s">
        <v>3789</v>
      </c>
      <c r="C590" s="85" t="s">
        <v>698</v>
      </c>
      <c r="D590" s="85" t="s">
        <v>2128</v>
      </c>
      <c r="E590" s="85"/>
      <c r="F590" s="85" t="s">
        <v>157</v>
      </c>
      <c r="G590" s="85"/>
      <c r="H590" s="85"/>
      <c r="I590" s="86"/>
      <c r="J590" s="86"/>
      <c r="K590" s="87"/>
      <c r="L590" s="87"/>
      <c r="M590" s="88"/>
      <c r="N590" s="89"/>
      <c r="O590" s="87"/>
      <c r="P590" s="87"/>
      <c r="Q590" s="87"/>
      <c r="R590" s="87"/>
      <c r="S590" s="87">
        <v>1</v>
      </c>
      <c r="T590" s="87">
        <v>1</v>
      </c>
      <c r="U590" s="87"/>
      <c r="V590" s="90" t="s">
        <v>2472</v>
      </c>
    </row>
    <row r="591" ht="15" customHeight="1" spans="1:23" x14ac:dyDescent="0.25">
      <c r="A591" s="85">
        <v>3828</v>
      </c>
      <c r="B591" s="85" t="s">
        <v>3789</v>
      </c>
      <c r="C591" s="85" t="s">
        <v>698</v>
      </c>
      <c r="D591" s="85" t="s">
        <v>2128</v>
      </c>
      <c r="E591" s="85"/>
      <c r="F591" s="85" t="s">
        <v>2472</v>
      </c>
      <c r="G591" s="85" t="s">
        <v>288</v>
      </c>
      <c r="H591" s="85" t="s">
        <v>3268</v>
      </c>
      <c r="I591" s="86">
        <v>65</v>
      </c>
      <c r="J591" s="86">
        <v>65</v>
      </c>
      <c r="K591" s="87">
        <v>1</v>
      </c>
      <c r="L591" s="87">
        <v>1</v>
      </c>
      <c r="M591" s="88">
        <v>1</v>
      </c>
      <c r="N591" s="89"/>
      <c r="O591" s="87"/>
      <c r="P591" s="87"/>
      <c r="Q591" s="87"/>
      <c r="R591" s="87"/>
      <c r="S591" s="87">
        <v>1</v>
      </c>
      <c r="T591" s="87"/>
      <c r="U591" s="87">
        <v>0</v>
      </c>
      <c r="V591" s="90" t="s">
        <v>2472</v>
      </c>
    </row>
    <row r="592" ht="15" customHeight="1" spans="1:23" x14ac:dyDescent="0.25">
      <c r="A592" s="85">
        <v>3829</v>
      </c>
      <c r="B592" s="85" t="s">
        <v>3790</v>
      </c>
      <c r="C592" s="85" t="s">
        <v>698</v>
      </c>
      <c r="D592" s="85" t="s">
        <v>753</v>
      </c>
      <c r="E592" s="85"/>
      <c r="F592" s="85" t="s">
        <v>157</v>
      </c>
      <c r="G592" s="85"/>
      <c r="H592" s="85"/>
      <c r="I592" s="86"/>
      <c r="J592" s="86"/>
      <c r="K592" s="87"/>
      <c r="L592" s="87"/>
      <c r="M592" s="88"/>
      <c r="N592" s="89"/>
      <c r="O592" s="87"/>
      <c r="P592" s="87"/>
      <c r="Q592" s="87"/>
      <c r="R592" s="87"/>
      <c r="S592" s="87">
        <v>1</v>
      </c>
      <c r="T592" s="87">
        <v>1</v>
      </c>
      <c r="U592" s="87">
        <v>1</v>
      </c>
      <c r="V592" s="90" t="s">
        <v>3779</v>
      </c>
    </row>
    <row r="593" ht="15" customHeight="1" spans="1:23" x14ac:dyDescent="0.25">
      <c r="A593" s="85">
        <v>3829</v>
      </c>
      <c r="B593" s="85" t="s">
        <v>3790</v>
      </c>
      <c r="C593" s="85" t="s">
        <v>698</v>
      </c>
      <c r="D593" s="85" t="s">
        <v>753</v>
      </c>
      <c r="E593" s="85"/>
      <c r="F593" s="85" t="s">
        <v>2472</v>
      </c>
      <c r="G593" s="85" t="s">
        <v>288</v>
      </c>
      <c r="H593" s="85" t="s">
        <v>3268</v>
      </c>
      <c r="I593" s="86">
        <v>65</v>
      </c>
      <c r="J593" s="86">
        <v>65</v>
      </c>
      <c r="K593" s="87">
        <v>1</v>
      </c>
      <c r="L593" s="87">
        <v>1</v>
      </c>
      <c r="M593" s="88">
        <v>1</v>
      </c>
      <c r="N593" s="89"/>
      <c r="O593" s="87"/>
      <c r="P593" s="87"/>
      <c r="Q593" s="87"/>
      <c r="R593" s="87"/>
      <c r="S593" s="87">
        <v>1</v>
      </c>
      <c r="T593" s="87"/>
      <c r="U593" s="87">
        <v>1</v>
      </c>
      <c r="V593" s="90" t="s">
        <v>3779</v>
      </c>
    </row>
    <row r="594" ht="15" customHeight="1" spans="1:23" x14ac:dyDescent="0.25">
      <c r="A594" s="85">
        <v>3830</v>
      </c>
      <c r="B594" s="85" t="s">
        <v>3791</v>
      </c>
      <c r="C594" s="85" t="s">
        <v>698</v>
      </c>
      <c r="D594" s="85" t="s">
        <v>1442</v>
      </c>
      <c r="E594" s="85"/>
      <c r="F594" s="85" t="s">
        <v>157</v>
      </c>
      <c r="G594" s="85"/>
      <c r="H594" s="85"/>
      <c r="I594" s="86"/>
      <c r="J594" s="86"/>
      <c r="K594" s="87"/>
      <c r="L594" s="87"/>
      <c r="M594" s="88"/>
      <c r="N594" s="89"/>
      <c r="O594" s="87"/>
      <c r="P594" s="87"/>
      <c r="Q594" s="87"/>
      <c r="R594" s="87"/>
      <c r="S594" s="87">
        <v>1</v>
      </c>
      <c r="T594" s="87">
        <v>1</v>
      </c>
      <c r="U594" s="87">
        <v>1</v>
      </c>
      <c r="V594" s="90" t="s">
        <v>3779</v>
      </c>
    </row>
    <row r="595" ht="15" customHeight="1" spans="1:23" x14ac:dyDescent="0.25">
      <c r="A595" s="85">
        <v>3830</v>
      </c>
      <c r="B595" s="85" t="s">
        <v>3791</v>
      </c>
      <c r="C595" s="85" t="s">
        <v>698</v>
      </c>
      <c r="D595" s="85" t="s">
        <v>1442</v>
      </c>
      <c r="E595" s="85"/>
      <c r="F595" s="85" t="s">
        <v>2472</v>
      </c>
      <c r="G595" s="85" t="s">
        <v>288</v>
      </c>
      <c r="H595" s="85" t="s">
        <v>3268</v>
      </c>
      <c r="I595" s="86">
        <v>65</v>
      </c>
      <c r="J595" s="86">
        <v>65</v>
      </c>
      <c r="K595" s="87">
        <v>1</v>
      </c>
      <c r="L595" s="87">
        <v>1</v>
      </c>
      <c r="M595" s="88">
        <v>1</v>
      </c>
      <c r="N595" s="89"/>
      <c r="O595" s="87"/>
      <c r="P595" s="87"/>
      <c r="Q595" s="87"/>
      <c r="R595" s="87"/>
      <c r="S595" s="87">
        <v>1</v>
      </c>
      <c r="T595" s="87"/>
      <c r="U595" s="87">
        <v>1</v>
      </c>
      <c r="V595" s="90" t="s">
        <v>3779</v>
      </c>
    </row>
    <row r="596" ht="15" customHeight="1" spans="1:23" x14ac:dyDescent="0.25">
      <c r="A596" s="85">
        <v>3831</v>
      </c>
      <c r="B596" s="85" t="s">
        <v>3792</v>
      </c>
      <c r="C596" s="85" t="s">
        <v>698</v>
      </c>
      <c r="D596" s="85" t="s">
        <v>763</v>
      </c>
      <c r="E596" s="85"/>
      <c r="F596" s="85" t="s">
        <v>157</v>
      </c>
      <c r="G596" s="85"/>
      <c r="H596" s="85"/>
      <c r="I596" s="86"/>
      <c r="J596" s="86"/>
      <c r="K596" s="87"/>
      <c r="L596" s="87"/>
      <c r="M596" s="88"/>
      <c r="N596" s="89"/>
      <c r="O596" s="87"/>
      <c r="P596" s="87"/>
      <c r="Q596" s="87"/>
      <c r="R596" s="87"/>
      <c r="S596" s="87">
        <v>0.8</v>
      </c>
      <c r="T596" s="87">
        <v>0.8</v>
      </c>
      <c r="U596" s="87">
        <v>0.8</v>
      </c>
      <c r="V596" s="90" t="s">
        <v>3793</v>
      </c>
    </row>
    <row r="597" ht="15" customHeight="1" spans="1:23" x14ac:dyDescent="0.25">
      <c r="A597" s="85">
        <v>3831</v>
      </c>
      <c r="B597" s="85" t="s">
        <v>3792</v>
      </c>
      <c r="C597" s="85" t="s">
        <v>698</v>
      </c>
      <c r="D597" s="85" t="s">
        <v>763</v>
      </c>
      <c r="E597" s="85"/>
      <c r="F597" s="85" t="s">
        <v>2472</v>
      </c>
      <c r="G597" s="85" t="s">
        <v>288</v>
      </c>
      <c r="H597" s="85" t="s">
        <v>3268</v>
      </c>
      <c r="I597" s="86">
        <v>65</v>
      </c>
      <c r="J597" s="86">
        <v>65</v>
      </c>
      <c r="K597" s="87">
        <v>1</v>
      </c>
      <c r="L597" s="87">
        <v>0.8</v>
      </c>
      <c r="M597" s="88">
        <v>0.8</v>
      </c>
      <c r="N597" s="89"/>
      <c r="O597" s="87"/>
      <c r="P597" s="87"/>
      <c r="Q597" s="87"/>
      <c r="R597" s="87"/>
      <c r="S597" s="87">
        <v>0.8</v>
      </c>
      <c r="T597" s="87"/>
      <c r="U597" s="87">
        <v>0.8</v>
      </c>
      <c r="V597" s="90" t="s">
        <v>3793</v>
      </c>
    </row>
    <row r="598" ht="15" customHeight="1" spans="1:23" x14ac:dyDescent="0.25">
      <c r="A598" s="85">
        <v>3832</v>
      </c>
      <c r="B598" s="85" t="s">
        <v>3794</v>
      </c>
      <c r="C598" s="85" t="s">
        <v>698</v>
      </c>
      <c r="D598" s="85" t="s">
        <v>593</v>
      </c>
      <c r="E598" s="85"/>
      <c r="F598" s="85" t="s">
        <v>157</v>
      </c>
      <c r="G598" s="85"/>
      <c r="H598" s="85"/>
      <c r="I598" s="86"/>
      <c r="J598" s="86"/>
      <c r="K598" s="87"/>
      <c r="L598" s="87"/>
      <c r="M598" s="88"/>
      <c r="N598" s="89"/>
      <c r="O598" s="87"/>
      <c r="P598" s="87"/>
      <c r="Q598" s="87"/>
      <c r="R598" s="87"/>
      <c r="S598" s="87">
        <v>1</v>
      </c>
      <c r="T598" s="87">
        <v>1</v>
      </c>
      <c r="U598" s="87">
        <v>1</v>
      </c>
      <c r="V598" s="90" t="s">
        <v>3664</v>
      </c>
    </row>
    <row r="599" ht="15" customHeight="1" spans="1:23" x14ac:dyDescent="0.25">
      <c r="A599" s="85">
        <v>3832</v>
      </c>
      <c r="B599" s="85" t="s">
        <v>3794</v>
      </c>
      <c r="C599" s="85" t="s">
        <v>698</v>
      </c>
      <c r="D599" s="85" t="s">
        <v>593</v>
      </c>
      <c r="E599" s="85"/>
      <c r="F599" s="85" t="s">
        <v>2472</v>
      </c>
      <c r="G599" s="85" t="s">
        <v>288</v>
      </c>
      <c r="H599" s="85" t="s">
        <v>3268</v>
      </c>
      <c r="I599" s="86">
        <v>65</v>
      </c>
      <c r="J599" s="86">
        <v>65</v>
      </c>
      <c r="K599" s="87">
        <v>1</v>
      </c>
      <c r="L599" s="87">
        <v>1</v>
      </c>
      <c r="M599" s="88">
        <v>1</v>
      </c>
      <c r="N599" s="89"/>
      <c r="O599" s="87"/>
      <c r="P599" s="87"/>
      <c r="Q599" s="87"/>
      <c r="R599" s="87"/>
      <c r="S599" s="87">
        <v>1</v>
      </c>
      <c r="T599" s="87"/>
      <c r="U599" s="87">
        <v>1</v>
      </c>
      <c r="V599" s="90" t="s">
        <v>3664</v>
      </c>
    </row>
    <row r="600" ht="15" customHeight="1" spans="1:23" x14ac:dyDescent="0.25">
      <c r="A600" s="85">
        <v>3833</v>
      </c>
      <c r="B600" s="85" t="s">
        <v>3795</v>
      </c>
      <c r="C600" s="85" t="s">
        <v>698</v>
      </c>
      <c r="D600" s="85" t="s">
        <v>753</v>
      </c>
      <c r="E600" s="85"/>
      <c r="F600" s="85" t="s">
        <v>157</v>
      </c>
      <c r="G600" s="85"/>
      <c r="H600" s="85"/>
      <c r="I600" s="86"/>
      <c r="J600" s="86"/>
      <c r="K600" s="87"/>
      <c r="L600" s="87"/>
      <c r="M600" s="88"/>
      <c r="N600" s="89"/>
      <c r="O600" s="87"/>
      <c r="P600" s="87"/>
      <c r="Q600" s="87"/>
      <c r="R600" s="87"/>
      <c r="S600" s="87">
        <v>1</v>
      </c>
      <c r="T600" s="87">
        <v>1</v>
      </c>
      <c r="U600" s="87">
        <v>1</v>
      </c>
      <c r="V600" s="90" t="s">
        <v>3779</v>
      </c>
    </row>
    <row r="601" ht="15" customHeight="1" spans="1:23" x14ac:dyDescent="0.25">
      <c r="A601" s="85">
        <v>3833</v>
      </c>
      <c r="B601" s="85" t="s">
        <v>3795</v>
      </c>
      <c r="C601" s="85" t="s">
        <v>698</v>
      </c>
      <c r="D601" s="85" t="s">
        <v>753</v>
      </c>
      <c r="E601" s="85"/>
      <c r="F601" s="85" t="s">
        <v>2472</v>
      </c>
      <c r="G601" s="85" t="s">
        <v>288</v>
      </c>
      <c r="H601" s="85" t="s">
        <v>3268</v>
      </c>
      <c r="I601" s="86">
        <v>65</v>
      </c>
      <c r="J601" s="86">
        <v>65</v>
      </c>
      <c r="K601" s="87">
        <v>1</v>
      </c>
      <c r="L601" s="87">
        <v>1</v>
      </c>
      <c r="M601" s="88">
        <v>1</v>
      </c>
      <c r="N601" s="89"/>
      <c r="O601" s="87"/>
      <c r="P601" s="87"/>
      <c r="Q601" s="87"/>
      <c r="R601" s="87"/>
      <c r="S601" s="87">
        <v>1</v>
      </c>
      <c r="T601" s="87"/>
      <c r="U601" s="87">
        <v>1</v>
      </c>
      <c r="V601" s="90" t="s">
        <v>3779</v>
      </c>
    </row>
    <row r="602" ht="15" customHeight="1" spans="1:23" x14ac:dyDescent="0.25">
      <c r="A602" s="85">
        <v>3834</v>
      </c>
      <c r="B602" s="85" t="s">
        <v>3796</v>
      </c>
      <c r="C602" s="85" t="s">
        <v>698</v>
      </c>
      <c r="D602" s="85" t="s">
        <v>942</v>
      </c>
      <c r="E602" s="85"/>
      <c r="F602" s="85" t="s">
        <v>157</v>
      </c>
      <c r="G602" s="85"/>
      <c r="H602" s="85"/>
      <c r="I602" s="86"/>
      <c r="J602" s="86"/>
      <c r="K602" s="87"/>
      <c r="L602" s="87"/>
      <c r="M602" s="88"/>
      <c r="N602" s="89"/>
      <c r="O602" s="87"/>
      <c r="P602" s="87"/>
      <c r="Q602" s="87">
        <v>1</v>
      </c>
      <c r="R602" s="87"/>
      <c r="S602" s="87">
        <v>1</v>
      </c>
      <c r="T602" s="87">
        <v>1</v>
      </c>
      <c r="U602" s="87"/>
      <c r="V602" s="90" t="s">
        <v>3797</v>
      </c>
    </row>
    <row r="603" ht="15" customHeight="1" spans="1:23" x14ac:dyDescent="0.25">
      <c r="A603" s="85">
        <v>3834</v>
      </c>
      <c r="B603" s="85" t="s">
        <v>3796</v>
      </c>
      <c r="C603" s="85" t="s">
        <v>698</v>
      </c>
      <c r="D603" s="85" t="s">
        <v>942</v>
      </c>
      <c r="E603" s="85"/>
      <c r="F603" s="85" t="s">
        <v>2472</v>
      </c>
      <c r="G603" s="85" t="s">
        <v>288</v>
      </c>
      <c r="H603" s="85" t="s">
        <v>3268</v>
      </c>
      <c r="I603" s="86">
        <v>65</v>
      </c>
      <c r="J603" s="86">
        <v>65</v>
      </c>
      <c r="K603" s="87">
        <v>1</v>
      </c>
      <c r="L603" s="87">
        <v>1</v>
      </c>
      <c r="M603" s="88">
        <v>1</v>
      </c>
      <c r="N603" s="89">
        <v>1</v>
      </c>
      <c r="O603" s="87">
        <v>1</v>
      </c>
      <c r="P603" s="87"/>
      <c r="Q603" s="87">
        <v>1</v>
      </c>
      <c r="R603" s="87"/>
      <c r="S603" s="87">
        <v>1</v>
      </c>
      <c r="T603" s="87"/>
      <c r="U603" s="87">
        <v>0</v>
      </c>
      <c r="V603" s="90" t="s">
        <v>3798</v>
      </c>
    </row>
    <row r="604" ht="15" customHeight="1" spans="1:23" x14ac:dyDescent="0.25">
      <c r="A604" s="85">
        <v>3835</v>
      </c>
      <c r="B604" s="85" t="s">
        <v>3799</v>
      </c>
      <c r="C604" s="85" t="s">
        <v>698</v>
      </c>
      <c r="D604" s="85" t="s">
        <v>849</v>
      </c>
      <c r="E604" s="85"/>
      <c r="F604" s="85" t="s">
        <v>157</v>
      </c>
      <c r="G604" s="85"/>
      <c r="H604" s="85"/>
      <c r="I604" s="86"/>
      <c r="J604" s="86"/>
      <c r="K604" s="87"/>
      <c r="L604" s="87"/>
      <c r="M604" s="88"/>
      <c r="N604" s="89"/>
      <c r="O604" s="87"/>
      <c r="P604" s="87"/>
      <c r="Q604" s="87"/>
      <c r="R604" s="87"/>
      <c r="S604" s="87">
        <v>1</v>
      </c>
      <c r="T604" s="87">
        <v>1</v>
      </c>
      <c r="U604" s="87">
        <v>1</v>
      </c>
      <c r="V604" s="90" t="s">
        <v>3579</v>
      </c>
    </row>
    <row r="605" ht="15" customHeight="1" spans="1:23" x14ac:dyDescent="0.25">
      <c r="A605" s="85">
        <v>3835</v>
      </c>
      <c r="B605" s="85" t="s">
        <v>3799</v>
      </c>
      <c r="C605" s="85" t="s">
        <v>698</v>
      </c>
      <c r="D605" s="85" t="s">
        <v>849</v>
      </c>
      <c r="E605" s="85"/>
      <c r="F605" s="85" t="s">
        <v>2472</v>
      </c>
      <c r="G605" s="85" t="s">
        <v>288</v>
      </c>
      <c r="H605" s="85" t="s">
        <v>3268</v>
      </c>
      <c r="I605" s="86">
        <v>65</v>
      </c>
      <c r="J605" s="86">
        <v>65</v>
      </c>
      <c r="K605" s="87">
        <v>1</v>
      </c>
      <c r="L605" s="87">
        <v>1</v>
      </c>
      <c r="M605" s="88">
        <v>1</v>
      </c>
      <c r="N605" s="89"/>
      <c r="O605" s="87"/>
      <c r="P605" s="87"/>
      <c r="Q605" s="87"/>
      <c r="R605" s="87"/>
      <c r="S605" s="87">
        <v>1</v>
      </c>
      <c r="T605" s="87"/>
      <c r="U605" s="87">
        <v>1</v>
      </c>
      <c r="V605" s="90" t="s">
        <v>3579</v>
      </c>
    </row>
    <row r="606" ht="15" customHeight="1" spans="1:23" x14ac:dyDescent="0.25">
      <c r="A606" s="85">
        <v>3836</v>
      </c>
      <c r="B606" s="85" t="s">
        <v>3800</v>
      </c>
      <c r="C606" s="85" t="s">
        <v>698</v>
      </c>
      <c r="D606" s="85" t="s">
        <v>955</v>
      </c>
      <c r="E606" s="85"/>
      <c r="F606" s="85" t="s">
        <v>157</v>
      </c>
      <c r="G606" s="85"/>
      <c r="H606" s="85"/>
      <c r="I606" s="86"/>
      <c r="J606" s="86"/>
      <c r="K606" s="87"/>
      <c r="L606" s="87"/>
      <c r="M606" s="88"/>
      <c r="N606" s="89"/>
      <c r="O606" s="87"/>
      <c r="P606" s="87"/>
      <c r="Q606" s="87"/>
      <c r="R606" s="87"/>
      <c r="S606" s="87">
        <v>1</v>
      </c>
      <c r="T606" s="87">
        <v>1</v>
      </c>
      <c r="U606" s="87">
        <v>1</v>
      </c>
      <c r="V606" s="90" t="s">
        <v>3801</v>
      </c>
    </row>
    <row r="607" ht="15" customHeight="1" spans="1:23" x14ac:dyDescent="0.25">
      <c r="A607" s="85">
        <v>3836</v>
      </c>
      <c r="B607" s="85" t="s">
        <v>3800</v>
      </c>
      <c r="C607" s="85" t="s">
        <v>698</v>
      </c>
      <c r="D607" s="85" t="s">
        <v>955</v>
      </c>
      <c r="E607" s="85"/>
      <c r="F607" s="85" t="s">
        <v>2472</v>
      </c>
      <c r="G607" s="85" t="s">
        <v>288</v>
      </c>
      <c r="H607" s="85" t="s">
        <v>3268</v>
      </c>
      <c r="I607" s="86">
        <v>65</v>
      </c>
      <c r="J607" s="86">
        <v>65</v>
      </c>
      <c r="K607" s="87">
        <v>1</v>
      </c>
      <c r="L607" s="87">
        <v>1</v>
      </c>
      <c r="M607" s="88">
        <v>1</v>
      </c>
      <c r="N607" s="89"/>
      <c r="O607" s="87"/>
      <c r="P607" s="87"/>
      <c r="Q607" s="87"/>
      <c r="R607" s="87"/>
      <c r="S607" s="87">
        <v>1</v>
      </c>
      <c r="T607" s="87"/>
      <c r="U607" s="87">
        <v>1</v>
      </c>
      <c r="V607" s="90" t="s">
        <v>3801</v>
      </c>
    </row>
    <row r="608" ht="15" customHeight="1" spans="1:23" x14ac:dyDescent="0.25">
      <c r="A608" s="85">
        <v>3837</v>
      </c>
      <c r="B608" s="85" t="s">
        <v>3802</v>
      </c>
      <c r="C608" s="85" t="s">
        <v>698</v>
      </c>
      <c r="D608" s="85" t="s">
        <v>777</v>
      </c>
      <c r="E608" s="85"/>
      <c r="F608" s="85" t="s">
        <v>157</v>
      </c>
      <c r="G608" s="85"/>
      <c r="H608" s="85"/>
      <c r="I608" s="86"/>
      <c r="J608" s="86"/>
      <c r="K608" s="87"/>
      <c r="L608" s="87"/>
      <c r="M608" s="88"/>
      <c r="N608" s="89"/>
      <c r="O608" s="87"/>
      <c r="P608" s="87"/>
      <c r="Q608" s="87"/>
      <c r="R608" s="87"/>
      <c r="S608" s="87">
        <v>1</v>
      </c>
      <c r="T608" s="87">
        <v>1</v>
      </c>
      <c r="U608" s="87"/>
      <c r="V608" s="90" t="s">
        <v>2472</v>
      </c>
    </row>
    <row r="609" ht="15" customHeight="1" spans="1:23" x14ac:dyDescent="0.25">
      <c r="A609" s="85">
        <v>3837</v>
      </c>
      <c r="B609" s="85" t="s">
        <v>3802</v>
      </c>
      <c r="C609" s="85" t="s">
        <v>698</v>
      </c>
      <c r="D609" s="85" t="s">
        <v>777</v>
      </c>
      <c r="E609" s="85"/>
      <c r="F609" s="85" t="s">
        <v>2472</v>
      </c>
      <c r="G609" s="85" t="s">
        <v>288</v>
      </c>
      <c r="H609" s="85" t="s">
        <v>3268</v>
      </c>
      <c r="I609" s="86">
        <v>65</v>
      </c>
      <c r="J609" s="86">
        <v>65</v>
      </c>
      <c r="K609" s="87">
        <v>1</v>
      </c>
      <c r="L609" s="87">
        <v>1</v>
      </c>
      <c r="M609" s="88">
        <v>1</v>
      </c>
      <c r="N609" s="89"/>
      <c r="O609" s="87"/>
      <c r="P609" s="87"/>
      <c r="Q609" s="87"/>
      <c r="R609" s="87"/>
      <c r="S609" s="87">
        <v>1</v>
      </c>
      <c r="T609" s="87"/>
      <c r="U609" s="87">
        <v>0</v>
      </c>
      <c r="V609" s="90" t="s">
        <v>2472</v>
      </c>
    </row>
    <row r="610" ht="15" customHeight="1" spans="1:23" x14ac:dyDescent="0.25">
      <c r="A610" s="85">
        <v>3838</v>
      </c>
      <c r="B610" s="85" t="s">
        <v>3803</v>
      </c>
      <c r="C610" s="85" t="s">
        <v>698</v>
      </c>
      <c r="D610" s="85" t="s">
        <v>753</v>
      </c>
      <c r="E610" s="85"/>
      <c r="F610" s="85" t="s">
        <v>157</v>
      </c>
      <c r="G610" s="85"/>
      <c r="H610" s="85"/>
      <c r="I610" s="86"/>
      <c r="J610" s="86"/>
      <c r="K610" s="87"/>
      <c r="L610" s="87"/>
      <c r="M610" s="88"/>
      <c r="N610" s="89"/>
      <c r="O610" s="87"/>
      <c r="P610" s="87"/>
      <c r="Q610" s="87"/>
      <c r="R610" s="87"/>
      <c r="S610" s="87">
        <v>0.8</v>
      </c>
      <c r="T610" s="87">
        <v>0.8</v>
      </c>
      <c r="U610" s="87">
        <v>0.8</v>
      </c>
      <c r="V610" s="90" t="s">
        <v>3421</v>
      </c>
    </row>
    <row r="611" ht="15" customHeight="1" spans="1:23" x14ac:dyDescent="0.25">
      <c r="A611" s="85">
        <v>3838</v>
      </c>
      <c r="B611" s="85" t="s">
        <v>3803</v>
      </c>
      <c r="C611" s="85" t="s">
        <v>698</v>
      </c>
      <c r="D611" s="85" t="s">
        <v>753</v>
      </c>
      <c r="E611" s="85"/>
      <c r="F611" s="85" t="s">
        <v>2472</v>
      </c>
      <c r="G611" s="85" t="s">
        <v>288</v>
      </c>
      <c r="H611" s="85" t="s">
        <v>3268</v>
      </c>
      <c r="I611" s="86">
        <v>65</v>
      </c>
      <c r="J611" s="86">
        <v>65</v>
      </c>
      <c r="K611" s="87">
        <v>1</v>
      </c>
      <c r="L611" s="87">
        <v>0.8</v>
      </c>
      <c r="M611" s="88">
        <v>0.8</v>
      </c>
      <c r="N611" s="89"/>
      <c r="O611" s="87"/>
      <c r="P611" s="87"/>
      <c r="Q611" s="87"/>
      <c r="R611" s="87"/>
      <c r="S611" s="87">
        <v>0.8</v>
      </c>
      <c r="T611" s="87"/>
      <c r="U611" s="87">
        <v>0.8</v>
      </c>
      <c r="V611" s="90" t="s">
        <v>3421</v>
      </c>
    </row>
    <row r="612" ht="15" customHeight="1" spans="1:23" x14ac:dyDescent="0.25">
      <c r="A612" s="85">
        <v>3839</v>
      </c>
      <c r="B612" s="85" t="s">
        <v>3804</v>
      </c>
      <c r="C612" s="85" t="s">
        <v>698</v>
      </c>
      <c r="D612" s="85" t="s">
        <v>717</v>
      </c>
      <c r="E612" s="85"/>
      <c r="F612" s="85" t="s">
        <v>157</v>
      </c>
      <c r="G612" s="85"/>
      <c r="H612" s="85"/>
      <c r="I612" s="86"/>
      <c r="J612" s="86"/>
      <c r="K612" s="87"/>
      <c r="L612" s="87"/>
      <c r="M612" s="88"/>
      <c r="N612" s="89"/>
      <c r="O612" s="87"/>
      <c r="P612" s="87"/>
      <c r="Q612" s="87"/>
      <c r="R612" s="87"/>
      <c r="S612" s="87">
        <v>1</v>
      </c>
      <c r="T612" s="87">
        <v>1</v>
      </c>
      <c r="U612" s="87"/>
      <c r="V612" s="90" t="s">
        <v>2472</v>
      </c>
    </row>
    <row r="613" ht="15" customHeight="1" spans="1:23" x14ac:dyDescent="0.25">
      <c r="A613" s="85">
        <v>3839</v>
      </c>
      <c r="B613" s="85" t="s">
        <v>3804</v>
      </c>
      <c r="C613" s="85" t="s">
        <v>698</v>
      </c>
      <c r="D613" s="85" t="s">
        <v>717</v>
      </c>
      <c r="E613" s="85"/>
      <c r="F613" s="85" t="s">
        <v>2472</v>
      </c>
      <c r="G613" s="85" t="s">
        <v>288</v>
      </c>
      <c r="H613" s="85" t="s">
        <v>3268</v>
      </c>
      <c r="I613" s="86">
        <v>65</v>
      </c>
      <c r="J613" s="86">
        <v>65</v>
      </c>
      <c r="K613" s="87">
        <v>1</v>
      </c>
      <c r="L613" s="87">
        <v>1</v>
      </c>
      <c r="M613" s="88">
        <v>1</v>
      </c>
      <c r="N613" s="89"/>
      <c r="O613" s="87"/>
      <c r="P613" s="87"/>
      <c r="Q613" s="87"/>
      <c r="R613" s="87"/>
      <c r="S613" s="87">
        <v>1</v>
      </c>
      <c r="T613" s="87"/>
      <c r="U613" s="87">
        <v>0</v>
      </c>
      <c r="V613" s="90" t="s">
        <v>2472</v>
      </c>
    </row>
    <row r="614" ht="15" customHeight="1" spans="1:23" x14ac:dyDescent="0.25">
      <c r="A614" s="85">
        <v>3840</v>
      </c>
      <c r="B614" s="85" t="s">
        <v>3805</v>
      </c>
      <c r="C614" s="85" t="s">
        <v>698</v>
      </c>
      <c r="D614" s="85" t="s">
        <v>728</v>
      </c>
      <c r="E614" s="85"/>
      <c r="F614" s="85" t="s">
        <v>157</v>
      </c>
      <c r="G614" s="85"/>
      <c r="H614" s="85"/>
      <c r="I614" s="86"/>
      <c r="J614" s="86"/>
      <c r="K614" s="87"/>
      <c r="L614" s="87"/>
      <c r="M614" s="88"/>
      <c r="N614" s="89"/>
      <c r="O614" s="87"/>
      <c r="P614" s="87"/>
      <c r="Q614" s="87"/>
      <c r="R614" s="87"/>
      <c r="S614" s="87">
        <v>1</v>
      </c>
      <c r="T614" s="87">
        <v>1</v>
      </c>
      <c r="U614" s="87">
        <v>1</v>
      </c>
      <c r="V614" s="90" t="s">
        <v>3579</v>
      </c>
    </row>
    <row r="615" ht="15" customHeight="1" spans="1:23" x14ac:dyDescent="0.25">
      <c r="A615" s="85">
        <v>3840</v>
      </c>
      <c r="B615" s="85" t="s">
        <v>3805</v>
      </c>
      <c r="C615" s="85" t="s">
        <v>698</v>
      </c>
      <c r="D615" s="85" t="s">
        <v>728</v>
      </c>
      <c r="E615" s="85"/>
      <c r="F615" s="85" t="s">
        <v>2472</v>
      </c>
      <c r="G615" s="85" t="s">
        <v>288</v>
      </c>
      <c r="H615" s="85" t="s">
        <v>3268</v>
      </c>
      <c r="I615" s="86">
        <v>65</v>
      </c>
      <c r="J615" s="86">
        <v>65</v>
      </c>
      <c r="K615" s="87">
        <v>1</v>
      </c>
      <c r="L615" s="87">
        <v>1</v>
      </c>
      <c r="M615" s="88">
        <v>1</v>
      </c>
      <c r="N615" s="89"/>
      <c r="O615" s="87"/>
      <c r="P615" s="87"/>
      <c r="Q615" s="87"/>
      <c r="R615" s="87"/>
      <c r="S615" s="87">
        <v>1</v>
      </c>
      <c r="T615" s="87"/>
      <c r="U615" s="87">
        <v>1</v>
      </c>
      <c r="V615" s="90" t="s">
        <v>3579</v>
      </c>
    </row>
    <row r="616" ht="15" customHeight="1" spans="1:23" x14ac:dyDescent="0.25">
      <c r="A616" s="85">
        <v>3841</v>
      </c>
      <c r="B616" s="85" t="s">
        <v>3806</v>
      </c>
      <c r="C616" s="85" t="s">
        <v>698</v>
      </c>
      <c r="D616" s="85" t="s">
        <v>763</v>
      </c>
      <c r="E616" s="85"/>
      <c r="F616" s="85" t="s">
        <v>157</v>
      </c>
      <c r="G616" s="85"/>
      <c r="H616" s="85"/>
      <c r="I616" s="86"/>
      <c r="J616" s="86"/>
      <c r="K616" s="87"/>
      <c r="L616" s="87"/>
      <c r="M616" s="88"/>
      <c r="N616" s="89"/>
      <c r="O616" s="87"/>
      <c r="P616" s="87"/>
      <c r="Q616" s="87"/>
      <c r="R616" s="87"/>
      <c r="S616" s="87">
        <v>1</v>
      </c>
      <c r="T616" s="87">
        <v>1</v>
      </c>
      <c r="U616" s="87">
        <v>1</v>
      </c>
      <c r="V616" s="90" t="s">
        <v>3807</v>
      </c>
    </row>
    <row r="617" ht="15" customHeight="1" spans="1:23" x14ac:dyDescent="0.25">
      <c r="A617" s="85">
        <v>3841</v>
      </c>
      <c r="B617" s="85" t="s">
        <v>3806</v>
      </c>
      <c r="C617" s="85" t="s">
        <v>698</v>
      </c>
      <c r="D617" s="85" t="s">
        <v>763</v>
      </c>
      <c r="E617" s="85"/>
      <c r="F617" s="85" t="s">
        <v>2472</v>
      </c>
      <c r="G617" s="85" t="s">
        <v>288</v>
      </c>
      <c r="H617" s="85" t="s">
        <v>3268</v>
      </c>
      <c r="I617" s="86">
        <v>65</v>
      </c>
      <c r="J617" s="86">
        <v>65</v>
      </c>
      <c r="K617" s="87">
        <v>1</v>
      </c>
      <c r="L617" s="87">
        <v>1</v>
      </c>
      <c r="M617" s="88">
        <v>1</v>
      </c>
      <c r="N617" s="89"/>
      <c r="O617" s="87"/>
      <c r="P617" s="87"/>
      <c r="Q617" s="87"/>
      <c r="R617" s="87"/>
      <c r="S617" s="87">
        <v>1</v>
      </c>
      <c r="T617" s="87"/>
      <c r="U617" s="87">
        <v>1</v>
      </c>
      <c r="V617" s="90" t="s">
        <v>3807</v>
      </c>
    </row>
    <row r="618" ht="15" customHeight="1" spans="1:23" x14ac:dyDescent="0.25">
      <c r="A618" s="85">
        <v>3842</v>
      </c>
      <c r="B618" s="85" t="s">
        <v>3808</v>
      </c>
      <c r="C618" s="85" t="s">
        <v>698</v>
      </c>
      <c r="D618" s="85" t="s">
        <v>1164</v>
      </c>
      <c r="E618" s="85"/>
      <c r="F618" s="85" t="s">
        <v>157</v>
      </c>
      <c r="G618" s="85"/>
      <c r="H618" s="85"/>
      <c r="I618" s="86"/>
      <c r="J618" s="86"/>
      <c r="K618" s="87"/>
      <c r="L618" s="87"/>
      <c r="M618" s="88"/>
      <c r="N618" s="89"/>
      <c r="O618" s="87"/>
      <c r="P618" s="87"/>
      <c r="Q618" s="87"/>
      <c r="R618" s="87"/>
      <c r="S618" s="87">
        <v>0.8</v>
      </c>
      <c r="T618" s="87">
        <v>0.8</v>
      </c>
      <c r="U618" s="87"/>
      <c r="V618" s="90" t="s">
        <v>2472</v>
      </c>
    </row>
    <row r="619" ht="15" customHeight="1" spans="1:23" x14ac:dyDescent="0.25">
      <c r="A619" s="85">
        <v>3842</v>
      </c>
      <c r="B619" s="85" t="s">
        <v>3808</v>
      </c>
      <c r="C619" s="85" t="s">
        <v>698</v>
      </c>
      <c r="D619" s="85" t="s">
        <v>1164</v>
      </c>
      <c r="E619" s="85"/>
      <c r="F619" s="85" t="s">
        <v>2472</v>
      </c>
      <c r="G619" s="85" t="s">
        <v>288</v>
      </c>
      <c r="H619" s="85" t="s">
        <v>3268</v>
      </c>
      <c r="I619" s="86">
        <v>65</v>
      </c>
      <c r="J619" s="86">
        <v>65</v>
      </c>
      <c r="K619" s="87">
        <v>1</v>
      </c>
      <c r="L619" s="87">
        <v>0.8</v>
      </c>
      <c r="M619" s="88">
        <v>0.8</v>
      </c>
      <c r="N619" s="89"/>
      <c r="O619" s="87"/>
      <c r="P619" s="87"/>
      <c r="Q619" s="87"/>
      <c r="R619" s="87"/>
      <c r="S619" s="87">
        <v>0.8</v>
      </c>
      <c r="T619" s="87"/>
      <c r="U619" s="87">
        <v>0</v>
      </c>
      <c r="V619" s="90" t="s">
        <v>2472</v>
      </c>
    </row>
    <row r="620" ht="15" customHeight="1" spans="1:23" x14ac:dyDescent="0.25">
      <c r="A620" s="85">
        <v>3843</v>
      </c>
      <c r="B620" s="85" t="s">
        <v>3809</v>
      </c>
      <c r="C620" s="85" t="s">
        <v>698</v>
      </c>
      <c r="D620" s="85" t="s">
        <v>1034</v>
      </c>
      <c r="E620" s="85"/>
      <c r="F620" s="85" t="s">
        <v>157</v>
      </c>
      <c r="G620" s="85"/>
      <c r="H620" s="85"/>
      <c r="I620" s="86"/>
      <c r="J620" s="86"/>
      <c r="K620" s="87"/>
      <c r="L620" s="87"/>
      <c r="M620" s="88"/>
      <c r="N620" s="89"/>
      <c r="O620" s="87"/>
      <c r="P620" s="87"/>
      <c r="Q620" s="87"/>
      <c r="R620" s="87"/>
      <c r="S620" s="87">
        <v>1</v>
      </c>
      <c r="T620" s="87">
        <v>1</v>
      </c>
      <c r="U620" s="87"/>
      <c r="V620" s="90" t="s">
        <v>2472</v>
      </c>
    </row>
    <row r="621" ht="15" customHeight="1" spans="1:23" x14ac:dyDescent="0.25">
      <c r="A621" s="85">
        <v>3843</v>
      </c>
      <c r="B621" s="85" t="s">
        <v>3809</v>
      </c>
      <c r="C621" s="85" t="s">
        <v>698</v>
      </c>
      <c r="D621" s="85" t="s">
        <v>1034</v>
      </c>
      <c r="E621" s="85"/>
      <c r="F621" s="85" t="s">
        <v>2472</v>
      </c>
      <c r="G621" s="85" t="s">
        <v>288</v>
      </c>
      <c r="H621" s="85" t="s">
        <v>3268</v>
      </c>
      <c r="I621" s="86">
        <v>65</v>
      </c>
      <c r="J621" s="86">
        <v>65</v>
      </c>
      <c r="K621" s="87">
        <v>1</v>
      </c>
      <c r="L621" s="87">
        <v>1</v>
      </c>
      <c r="M621" s="88">
        <v>1</v>
      </c>
      <c r="N621" s="89"/>
      <c r="O621" s="87"/>
      <c r="P621" s="87"/>
      <c r="Q621" s="87"/>
      <c r="R621" s="87"/>
      <c r="S621" s="87">
        <v>1</v>
      </c>
      <c r="T621" s="87"/>
      <c r="U621" s="87">
        <v>0</v>
      </c>
      <c r="V621" s="90" t="s">
        <v>2472</v>
      </c>
    </row>
    <row r="622" ht="15" customHeight="1" spans="1:23" x14ac:dyDescent="0.25">
      <c r="A622" s="85">
        <v>3844</v>
      </c>
      <c r="B622" s="85" t="s">
        <v>3810</v>
      </c>
      <c r="C622" s="85" t="s">
        <v>698</v>
      </c>
      <c r="D622" s="85" t="s">
        <v>1608</v>
      </c>
      <c r="E622" s="85"/>
      <c r="F622" s="85" t="s">
        <v>157</v>
      </c>
      <c r="G622" s="85"/>
      <c r="H622" s="85"/>
      <c r="I622" s="86"/>
      <c r="J622" s="86"/>
      <c r="K622" s="87"/>
      <c r="L622" s="87"/>
      <c r="M622" s="88"/>
      <c r="N622" s="89"/>
      <c r="O622" s="87"/>
      <c r="P622" s="87"/>
      <c r="Q622" s="87"/>
      <c r="R622" s="87"/>
      <c r="S622" s="87">
        <v>1</v>
      </c>
      <c r="T622" s="87">
        <v>1</v>
      </c>
      <c r="U622" s="87"/>
      <c r="V622" s="90" t="s">
        <v>2472</v>
      </c>
    </row>
    <row r="623" ht="15" customHeight="1" spans="1:23" x14ac:dyDescent="0.25">
      <c r="A623" s="85">
        <v>3844</v>
      </c>
      <c r="B623" s="85" t="s">
        <v>3810</v>
      </c>
      <c r="C623" s="85" t="s">
        <v>698</v>
      </c>
      <c r="D623" s="85" t="s">
        <v>1608</v>
      </c>
      <c r="E623" s="85"/>
      <c r="F623" s="85" t="s">
        <v>2472</v>
      </c>
      <c r="G623" s="85" t="s">
        <v>288</v>
      </c>
      <c r="H623" s="85" t="s">
        <v>3268</v>
      </c>
      <c r="I623" s="86">
        <v>65</v>
      </c>
      <c r="J623" s="86">
        <v>65</v>
      </c>
      <c r="K623" s="87">
        <v>1</v>
      </c>
      <c r="L623" s="87">
        <v>1</v>
      </c>
      <c r="M623" s="88">
        <v>1</v>
      </c>
      <c r="N623" s="89"/>
      <c r="O623" s="87"/>
      <c r="P623" s="87"/>
      <c r="Q623" s="87"/>
      <c r="R623" s="87"/>
      <c r="S623" s="87">
        <v>1</v>
      </c>
      <c r="T623" s="87"/>
      <c r="U623" s="87">
        <v>0</v>
      </c>
      <c r="V623" s="90" t="s">
        <v>2472</v>
      </c>
    </row>
    <row r="624" ht="15" customHeight="1" spans="1:23" x14ac:dyDescent="0.25">
      <c r="A624" s="85">
        <v>3845</v>
      </c>
      <c r="B624" s="85" t="s">
        <v>3811</v>
      </c>
      <c r="C624" s="85" t="s">
        <v>698</v>
      </c>
      <c r="D624" s="85" t="s">
        <v>1469</v>
      </c>
      <c r="E624" s="85"/>
      <c r="F624" s="85" t="s">
        <v>157</v>
      </c>
      <c r="G624" s="85"/>
      <c r="H624" s="85"/>
      <c r="I624" s="86"/>
      <c r="J624" s="86"/>
      <c r="K624" s="87"/>
      <c r="L624" s="87"/>
      <c r="M624" s="88"/>
      <c r="N624" s="89"/>
      <c r="O624" s="87"/>
      <c r="P624" s="87"/>
      <c r="Q624" s="87"/>
      <c r="R624" s="87"/>
      <c r="S624" s="87">
        <v>1</v>
      </c>
      <c r="T624" s="87">
        <v>1</v>
      </c>
      <c r="U624" s="87">
        <v>1</v>
      </c>
      <c r="V624" s="90" t="s">
        <v>3766</v>
      </c>
    </row>
    <row r="625" ht="15" customHeight="1" spans="1:23" x14ac:dyDescent="0.25">
      <c r="A625" s="85">
        <v>3845</v>
      </c>
      <c r="B625" s="85" t="s">
        <v>3811</v>
      </c>
      <c r="C625" s="85" t="s">
        <v>698</v>
      </c>
      <c r="D625" s="85" t="s">
        <v>1469</v>
      </c>
      <c r="E625" s="85"/>
      <c r="F625" s="85" t="s">
        <v>2472</v>
      </c>
      <c r="G625" s="85" t="s">
        <v>288</v>
      </c>
      <c r="H625" s="85" t="s">
        <v>3268</v>
      </c>
      <c r="I625" s="86">
        <v>65</v>
      </c>
      <c r="J625" s="86">
        <v>65</v>
      </c>
      <c r="K625" s="87">
        <v>1</v>
      </c>
      <c r="L625" s="87">
        <v>1</v>
      </c>
      <c r="M625" s="88">
        <v>1</v>
      </c>
      <c r="N625" s="89"/>
      <c r="O625" s="87"/>
      <c r="P625" s="87"/>
      <c r="Q625" s="87"/>
      <c r="R625" s="87"/>
      <c r="S625" s="87">
        <v>1</v>
      </c>
      <c r="T625" s="87"/>
      <c r="U625" s="87">
        <v>1</v>
      </c>
      <c r="V625" s="90" t="s">
        <v>3766</v>
      </c>
    </row>
    <row r="626" ht="15" customHeight="1" spans="1:23" x14ac:dyDescent="0.25">
      <c r="A626" s="85">
        <v>3846</v>
      </c>
      <c r="B626" s="85" t="s">
        <v>3812</v>
      </c>
      <c r="C626" s="85" t="s">
        <v>698</v>
      </c>
      <c r="D626" s="85" t="s">
        <v>763</v>
      </c>
      <c r="E626" s="85"/>
      <c r="F626" s="85" t="s">
        <v>157</v>
      </c>
      <c r="G626" s="85"/>
      <c r="H626" s="85"/>
      <c r="I626" s="86"/>
      <c r="J626" s="86"/>
      <c r="K626" s="87"/>
      <c r="L626" s="87"/>
      <c r="M626" s="88"/>
      <c r="N626" s="89"/>
      <c r="O626" s="87"/>
      <c r="P626" s="87"/>
      <c r="Q626" s="87"/>
      <c r="R626" s="87"/>
      <c r="S626" s="87">
        <v>1</v>
      </c>
      <c r="T626" s="87">
        <v>1</v>
      </c>
      <c r="U626" s="87"/>
      <c r="V626" s="90" t="s">
        <v>2472</v>
      </c>
    </row>
    <row r="627" ht="15" customHeight="1" spans="1:23" x14ac:dyDescent="0.25">
      <c r="A627" s="85">
        <v>3846</v>
      </c>
      <c r="B627" s="85" t="s">
        <v>3812</v>
      </c>
      <c r="C627" s="85" t="s">
        <v>698</v>
      </c>
      <c r="D627" s="85" t="s">
        <v>763</v>
      </c>
      <c r="E627" s="85"/>
      <c r="F627" s="85" t="s">
        <v>2472</v>
      </c>
      <c r="G627" s="85" t="s">
        <v>288</v>
      </c>
      <c r="H627" s="85" t="s">
        <v>3268</v>
      </c>
      <c r="I627" s="86">
        <v>65</v>
      </c>
      <c r="J627" s="86">
        <v>65</v>
      </c>
      <c r="K627" s="87">
        <v>1</v>
      </c>
      <c r="L627" s="87">
        <v>1</v>
      </c>
      <c r="M627" s="88">
        <v>1</v>
      </c>
      <c r="N627" s="89"/>
      <c r="O627" s="87"/>
      <c r="P627" s="87"/>
      <c r="Q627" s="87"/>
      <c r="R627" s="87"/>
      <c r="S627" s="87">
        <v>1</v>
      </c>
      <c r="T627" s="87"/>
      <c r="U627" s="87">
        <v>0</v>
      </c>
      <c r="V627" s="90" t="s">
        <v>2472</v>
      </c>
    </row>
    <row r="628" ht="15" customHeight="1" spans="1:23" x14ac:dyDescent="0.25">
      <c r="A628" s="85">
        <v>3847</v>
      </c>
      <c r="B628" s="85" t="s">
        <v>3813</v>
      </c>
      <c r="C628" s="85" t="s">
        <v>698</v>
      </c>
      <c r="D628" s="85" t="s">
        <v>942</v>
      </c>
      <c r="E628" s="85"/>
      <c r="F628" s="85" t="s">
        <v>157</v>
      </c>
      <c r="G628" s="85"/>
      <c r="H628" s="85"/>
      <c r="I628" s="86"/>
      <c r="J628" s="86"/>
      <c r="K628" s="87"/>
      <c r="L628" s="87"/>
      <c r="M628" s="88"/>
      <c r="N628" s="89"/>
      <c r="O628" s="87"/>
      <c r="P628" s="87"/>
      <c r="Q628" s="87"/>
      <c r="R628" s="87"/>
      <c r="S628" s="87">
        <v>1</v>
      </c>
      <c r="T628" s="87">
        <v>1</v>
      </c>
      <c r="U628" s="87">
        <v>1</v>
      </c>
      <c r="V628" s="90" t="s">
        <v>3579</v>
      </c>
    </row>
    <row r="629" ht="15" customHeight="1" spans="1:23" x14ac:dyDescent="0.25">
      <c r="A629" s="85">
        <v>3847</v>
      </c>
      <c r="B629" s="85" t="s">
        <v>3813</v>
      </c>
      <c r="C629" s="85" t="s">
        <v>698</v>
      </c>
      <c r="D629" s="85" t="s">
        <v>942</v>
      </c>
      <c r="E629" s="85"/>
      <c r="F629" s="85" t="s">
        <v>2472</v>
      </c>
      <c r="G629" s="85" t="s">
        <v>288</v>
      </c>
      <c r="H629" s="85" t="s">
        <v>3268</v>
      </c>
      <c r="I629" s="86">
        <v>65</v>
      </c>
      <c r="J629" s="86">
        <v>65</v>
      </c>
      <c r="K629" s="87">
        <v>1</v>
      </c>
      <c r="L629" s="87">
        <v>1</v>
      </c>
      <c r="M629" s="88">
        <v>1</v>
      </c>
      <c r="N629" s="89"/>
      <c r="O629" s="87"/>
      <c r="P629" s="87"/>
      <c r="Q629" s="87"/>
      <c r="R629" s="87"/>
      <c r="S629" s="87">
        <v>1</v>
      </c>
      <c r="T629" s="87"/>
      <c r="U629" s="87">
        <v>1</v>
      </c>
      <c r="V629" s="90" t="s">
        <v>3579</v>
      </c>
    </row>
    <row r="630" ht="15" customHeight="1" spans="1:23" x14ac:dyDescent="0.25">
      <c r="A630" s="85">
        <v>3848</v>
      </c>
      <c r="B630" s="85" t="s">
        <v>3814</v>
      </c>
      <c r="C630" s="85" t="s">
        <v>698</v>
      </c>
      <c r="D630" s="85" t="s">
        <v>836</v>
      </c>
      <c r="E630" s="85"/>
      <c r="F630" s="85" t="s">
        <v>157</v>
      </c>
      <c r="G630" s="85"/>
      <c r="H630" s="85"/>
      <c r="I630" s="86"/>
      <c r="J630" s="86"/>
      <c r="K630" s="87"/>
      <c r="L630" s="87"/>
      <c r="M630" s="88"/>
      <c r="N630" s="89"/>
      <c r="O630" s="87"/>
      <c r="P630" s="87"/>
      <c r="Q630" s="87"/>
      <c r="R630" s="87"/>
      <c r="S630" s="87">
        <v>1</v>
      </c>
      <c r="T630" s="87">
        <v>1</v>
      </c>
      <c r="U630" s="87"/>
      <c r="V630" s="90" t="s">
        <v>2472</v>
      </c>
    </row>
    <row r="631" ht="15" customHeight="1" spans="1:23" x14ac:dyDescent="0.25">
      <c r="A631" s="85">
        <v>3848</v>
      </c>
      <c r="B631" s="85" t="s">
        <v>3814</v>
      </c>
      <c r="C631" s="85" t="s">
        <v>698</v>
      </c>
      <c r="D631" s="85" t="s">
        <v>836</v>
      </c>
      <c r="E631" s="85"/>
      <c r="F631" s="85" t="s">
        <v>2472</v>
      </c>
      <c r="G631" s="85" t="s">
        <v>288</v>
      </c>
      <c r="H631" s="85" t="s">
        <v>3268</v>
      </c>
      <c r="I631" s="86">
        <v>65</v>
      </c>
      <c r="J631" s="86">
        <v>65</v>
      </c>
      <c r="K631" s="87">
        <v>1</v>
      </c>
      <c r="L631" s="87">
        <v>1</v>
      </c>
      <c r="M631" s="88">
        <v>1</v>
      </c>
      <c r="N631" s="89"/>
      <c r="O631" s="87"/>
      <c r="P631" s="87"/>
      <c r="Q631" s="87"/>
      <c r="R631" s="87"/>
      <c r="S631" s="87">
        <v>1</v>
      </c>
      <c r="T631" s="87"/>
      <c r="U631" s="87">
        <v>0</v>
      </c>
      <c r="V631" s="90" t="s">
        <v>2472</v>
      </c>
    </row>
    <row r="632" ht="15" customHeight="1" spans="1:23" x14ac:dyDescent="0.25">
      <c r="A632" s="85">
        <v>3849</v>
      </c>
      <c r="B632" s="85" t="s">
        <v>3815</v>
      </c>
      <c r="C632" s="85" t="s">
        <v>698</v>
      </c>
      <c r="D632" s="85" t="s">
        <v>1390</v>
      </c>
      <c r="E632" s="85"/>
      <c r="F632" s="85" t="s">
        <v>157</v>
      </c>
      <c r="G632" s="85"/>
      <c r="H632" s="85"/>
      <c r="I632" s="86"/>
      <c r="J632" s="86"/>
      <c r="K632" s="87"/>
      <c r="L632" s="87"/>
      <c r="M632" s="88"/>
      <c r="N632" s="89"/>
      <c r="O632" s="87"/>
      <c r="P632" s="87"/>
      <c r="Q632" s="87"/>
      <c r="R632" s="87"/>
      <c r="S632" s="87">
        <v>1</v>
      </c>
      <c r="T632" s="87">
        <v>1</v>
      </c>
      <c r="U632" s="87">
        <v>1</v>
      </c>
      <c r="V632" s="90" t="s">
        <v>3579</v>
      </c>
    </row>
    <row r="633" ht="15" customHeight="1" spans="1:23" x14ac:dyDescent="0.25">
      <c r="A633" s="85">
        <v>3849</v>
      </c>
      <c r="B633" s="85" t="s">
        <v>3815</v>
      </c>
      <c r="C633" s="85" t="s">
        <v>698</v>
      </c>
      <c r="D633" s="85" t="s">
        <v>1390</v>
      </c>
      <c r="E633" s="85"/>
      <c r="F633" s="85" t="s">
        <v>2472</v>
      </c>
      <c r="G633" s="85" t="s">
        <v>288</v>
      </c>
      <c r="H633" s="85" t="s">
        <v>3268</v>
      </c>
      <c r="I633" s="86">
        <v>65</v>
      </c>
      <c r="J633" s="86">
        <v>65</v>
      </c>
      <c r="K633" s="87">
        <v>1</v>
      </c>
      <c r="L633" s="87">
        <v>1</v>
      </c>
      <c r="M633" s="88">
        <v>1</v>
      </c>
      <c r="N633" s="89"/>
      <c r="O633" s="87"/>
      <c r="P633" s="87"/>
      <c r="Q633" s="87"/>
      <c r="R633" s="87"/>
      <c r="S633" s="87">
        <v>1</v>
      </c>
      <c r="T633" s="87"/>
      <c r="U633" s="87">
        <v>1</v>
      </c>
      <c r="V633" s="90" t="s">
        <v>3579</v>
      </c>
    </row>
    <row r="634" ht="15" customHeight="1" spans="1:23" x14ac:dyDescent="0.25">
      <c r="A634" s="85">
        <v>3850</v>
      </c>
      <c r="B634" s="85" t="s">
        <v>3816</v>
      </c>
      <c r="C634" s="85" t="s">
        <v>698</v>
      </c>
      <c r="D634" s="85" t="s">
        <v>2240</v>
      </c>
      <c r="E634" s="85"/>
      <c r="F634" s="85" t="s">
        <v>157</v>
      </c>
      <c r="G634" s="85"/>
      <c r="H634" s="85"/>
      <c r="I634" s="86"/>
      <c r="J634" s="86"/>
      <c r="K634" s="87"/>
      <c r="L634" s="87"/>
      <c r="M634" s="88"/>
      <c r="N634" s="89"/>
      <c r="O634" s="87"/>
      <c r="P634" s="87"/>
      <c r="Q634" s="87"/>
      <c r="R634" s="87"/>
      <c r="S634" s="87">
        <v>0.8</v>
      </c>
      <c r="T634" s="87">
        <v>0.8</v>
      </c>
      <c r="U634" s="87"/>
      <c r="V634" s="90" t="s">
        <v>2472</v>
      </c>
    </row>
    <row r="635" ht="15" customHeight="1" spans="1:23" x14ac:dyDescent="0.25">
      <c r="A635" s="85">
        <v>3850</v>
      </c>
      <c r="B635" s="85" t="s">
        <v>3816</v>
      </c>
      <c r="C635" s="85" t="s">
        <v>698</v>
      </c>
      <c r="D635" s="85" t="s">
        <v>2240</v>
      </c>
      <c r="E635" s="85"/>
      <c r="F635" s="85" t="s">
        <v>2472</v>
      </c>
      <c r="G635" s="85" t="s">
        <v>288</v>
      </c>
      <c r="H635" s="85" t="s">
        <v>3268</v>
      </c>
      <c r="I635" s="86">
        <v>65</v>
      </c>
      <c r="J635" s="86">
        <v>65</v>
      </c>
      <c r="K635" s="87">
        <v>1</v>
      </c>
      <c r="L635" s="87">
        <v>0.8</v>
      </c>
      <c r="M635" s="88">
        <v>0.8</v>
      </c>
      <c r="N635" s="89"/>
      <c r="O635" s="87"/>
      <c r="P635" s="87"/>
      <c r="Q635" s="87"/>
      <c r="R635" s="87"/>
      <c r="S635" s="87">
        <v>0.8</v>
      </c>
      <c r="T635" s="87"/>
      <c r="U635" s="87">
        <v>0</v>
      </c>
      <c r="V635" s="90" t="s">
        <v>2472</v>
      </c>
    </row>
    <row r="636" ht="15" customHeight="1" spans="1:23" x14ac:dyDescent="0.25">
      <c r="A636" s="85">
        <v>3851</v>
      </c>
      <c r="B636" s="85" t="s">
        <v>3817</v>
      </c>
      <c r="C636" s="85" t="s">
        <v>698</v>
      </c>
      <c r="D636" s="85" t="s">
        <v>1071</v>
      </c>
      <c r="E636" s="85"/>
      <c r="F636" s="85" t="s">
        <v>157</v>
      </c>
      <c r="G636" s="85"/>
      <c r="H636" s="85"/>
      <c r="I636" s="86"/>
      <c r="J636" s="86"/>
      <c r="K636" s="87"/>
      <c r="L636" s="87"/>
      <c r="M636" s="88"/>
      <c r="N636" s="89"/>
      <c r="O636" s="87"/>
      <c r="P636" s="87"/>
      <c r="Q636" s="87"/>
      <c r="R636" s="87"/>
      <c r="S636" s="87">
        <v>1</v>
      </c>
      <c r="T636" s="87">
        <v>1</v>
      </c>
      <c r="U636" s="87"/>
      <c r="V636" s="90" t="s">
        <v>2472</v>
      </c>
    </row>
    <row r="637" ht="15" customHeight="1" spans="1:23" x14ac:dyDescent="0.25">
      <c r="A637" s="85">
        <v>3851</v>
      </c>
      <c r="B637" s="85" t="s">
        <v>3817</v>
      </c>
      <c r="C637" s="85" t="s">
        <v>698</v>
      </c>
      <c r="D637" s="85" t="s">
        <v>1071</v>
      </c>
      <c r="E637" s="85"/>
      <c r="F637" s="85" t="s">
        <v>2472</v>
      </c>
      <c r="G637" s="85" t="s">
        <v>288</v>
      </c>
      <c r="H637" s="85" t="s">
        <v>3268</v>
      </c>
      <c r="I637" s="86">
        <v>65</v>
      </c>
      <c r="J637" s="86">
        <v>65</v>
      </c>
      <c r="K637" s="87">
        <v>1</v>
      </c>
      <c r="L637" s="87">
        <v>1</v>
      </c>
      <c r="M637" s="88">
        <v>1</v>
      </c>
      <c r="N637" s="89"/>
      <c r="O637" s="87"/>
      <c r="P637" s="87"/>
      <c r="Q637" s="87"/>
      <c r="R637" s="87"/>
      <c r="S637" s="87">
        <v>1</v>
      </c>
      <c r="T637" s="87"/>
      <c r="U637" s="87">
        <v>0</v>
      </c>
      <c r="V637" s="90" t="s">
        <v>2472</v>
      </c>
    </row>
    <row r="638" ht="15" customHeight="1" spans="1:23" x14ac:dyDescent="0.25">
      <c r="A638" s="85">
        <v>3852</v>
      </c>
      <c r="B638" s="85" t="s">
        <v>3818</v>
      </c>
      <c r="C638" s="85" t="s">
        <v>698</v>
      </c>
      <c r="D638" s="85" t="s">
        <v>791</v>
      </c>
      <c r="E638" s="85"/>
      <c r="F638" s="85" t="s">
        <v>157</v>
      </c>
      <c r="G638" s="85"/>
      <c r="H638" s="85"/>
      <c r="I638" s="86"/>
      <c r="J638" s="86"/>
      <c r="K638" s="87"/>
      <c r="L638" s="87"/>
      <c r="M638" s="88"/>
      <c r="N638" s="89"/>
      <c r="O638" s="87"/>
      <c r="P638" s="87"/>
      <c r="Q638" s="87"/>
      <c r="R638" s="87"/>
      <c r="S638" s="87">
        <v>1</v>
      </c>
      <c r="T638" s="87">
        <v>1</v>
      </c>
      <c r="U638" s="87"/>
      <c r="V638" s="90" t="s">
        <v>2472</v>
      </c>
    </row>
    <row r="639" ht="15" customHeight="1" spans="1:23" x14ac:dyDescent="0.25">
      <c r="A639" s="85">
        <v>3852</v>
      </c>
      <c r="B639" s="85" t="s">
        <v>3818</v>
      </c>
      <c r="C639" s="85" t="s">
        <v>698</v>
      </c>
      <c r="D639" s="85" t="s">
        <v>791</v>
      </c>
      <c r="E639" s="85"/>
      <c r="F639" s="85" t="s">
        <v>2472</v>
      </c>
      <c r="G639" s="85" t="s">
        <v>288</v>
      </c>
      <c r="H639" s="85" t="s">
        <v>3268</v>
      </c>
      <c r="I639" s="86">
        <v>65</v>
      </c>
      <c r="J639" s="86">
        <v>65</v>
      </c>
      <c r="K639" s="87">
        <v>1</v>
      </c>
      <c r="L639" s="87">
        <v>1</v>
      </c>
      <c r="M639" s="88">
        <v>1</v>
      </c>
      <c r="N639" s="89"/>
      <c r="O639" s="87"/>
      <c r="P639" s="87"/>
      <c r="Q639" s="87"/>
      <c r="R639" s="87"/>
      <c r="S639" s="87">
        <v>1</v>
      </c>
      <c r="T639" s="87"/>
      <c r="U639" s="87">
        <v>0</v>
      </c>
      <c r="V639" s="90" t="s">
        <v>2472</v>
      </c>
    </row>
    <row r="640" ht="15" customHeight="1" spans="1:23" x14ac:dyDescent="0.25">
      <c r="A640" s="85">
        <v>3853</v>
      </c>
      <c r="B640" s="85" t="s">
        <v>3819</v>
      </c>
      <c r="C640" s="85" t="s">
        <v>698</v>
      </c>
      <c r="D640" s="85" t="s">
        <v>2313</v>
      </c>
      <c r="E640" s="85"/>
      <c r="F640" s="85" t="s">
        <v>157</v>
      </c>
      <c r="G640" s="85"/>
      <c r="H640" s="85"/>
      <c r="I640" s="86"/>
      <c r="J640" s="86"/>
      <c r="K640" s="87"/>
      <c r="L640" s="87"/>
      <c r="M640" s="88"/>
      <c r="N640" s="89"/>
      <c r="O640" s="87"/>
      <c r="P640" s="87"/>
      <c r="Q640" s="87"/>
      <c r="R640" s="87"/>
      <c r="S640" s="87">
        <v>1</v>
      </c>
      <c r="T640" s="87">
        <v>1</v>
      </c>
      <c r="U640" s="87"/>
      <c r="V640" s="90" t="s">
        <v>2472</v>
      </c>
    </row>
    <row r="641" ht="15" customHeight="1" spans="1:23" x14ac:dyDescent="0.25">
      <c r="A641" s="85">
        <v>3853</v>
      </c>
      <c r="B641" s="85" t="s">
        <v>3819</v>
      </c>
      <c r="C641" s="85" t="s">
        <v>698</v>
      </c>
      <c r="D641" s="85" t="s">
        <v>2313</v>
      </c>
      <c r="E641" s="85"/>
      <c r="F641" s="85" t="s">
        <v>2472</v>
      </c>
      <c r="G641" s="85" t="s">
        <v>288</v>
      </c>
      <c r="H641" s="85" t="s">
        <v>3268</v>
      </c>
      <c r="I641" s="86">
        <v>65</v>
      </c>
      <c r="J641" s="86">
        <v>65</v>
      </c>
      <c r="K641" s="87">
        <v>1</v>
      </c>
      <c r="L641" s="87">
        <v>1</v>
      </c>
      <c r="M641" s="88">
        <v>1</v>
      </c>
      <c r="N641" s="89"/>
      <c r="O641" s="87"/>
      <c r="P641" s="87"/>
      <c r="Q641" s="87"/>
      <c r="R641" s="87"/>
      <c r="S641" s="87">
        <v>1</v>
      </c>
      <c r="T641" s="87"/>
      <c r="U641" s="87">
        <v>0</v>
      </c>
      <c r="V641" s="90" t="s">
        <v>2472</v>
      </c>
    </row>
    <row r="642" ht="15" customHeight="1" spans="1:23" x14ac:dyDescent="0.25">
      <c r="A642" s="85">
        <v>3854</v>
      </c>
      <c r="B642" s="85" t="s">
        <v>3820</v>
      </c>
      <c r="C642" s="85" t="s">
        <v>698</v>
      </c>
      <c r="D642" s="85" t="s">
        <v>175</v>
      </c>
      <c r="E642" s="85"/>
      <c r="F642" s="85" t="s">
        <v>157</v>
      </c>
      <c r="G642" s="85"/>
      <c r="H642" s="85"/>
      <c r="I642" s="86"/>
      <c r="J642" s="86"/>
      <c r="K642" s="87"/>
      <c r="L642" s="87"/>
      <c r="M642" s="88"/>
      <c r="N642" s="89"/>
      <c r="O642" s="87"/>
      <c r="P642" s="87"/>
      <c r="Q642" s="87"/>
      <c r="R642" s="87"/>
      <c r="S642" s="87">
        <v>1</v>
      </c>
      <c r="T642" s="87">
        <v>1</v>
      </c>
      <c r="U642" s="87">
        <v>1</v>
      </c>
      <c r="V642" s="90" t="s">
        <v>3766</v>
      </c>
    </row>
    <row r="643" ht="15" customHeight="1" spans="1:23" x14ac:dyDescent="0.25">
      <c r="A643" s="85">
        <v>3854</v>
      </c>
      <c r="B643" s="85" t="s">
        <v>3820</v>
      </c>
      <c r="C643" s="85" t="s">
        <v>698</v>
      </c>
      <c r="D643" s="85" t="s">
        <v>175</v>
      </c>
      <c r="E643" s="85"/>
      <c r="F643" s="85" t="s">
        <v>2472</v>
      </c>
      <c r="G643" s="85" t="s">
        <v>288</v>
      </c>
      <c r="H643" s="85" t="s">
        <v>3268</v>
      </c>
      <c r="I643" s="86">
        <v>65</v>
      </c>
      <c r="J643" s="86">
        <v>65</v>
      </c>
      <c r="K643" s="87">
        <v>1</v>
      </c>
      <c r="L643" s="87">
        <v>1</v>
      </c>
      <c r="M643" s="88">
        <v>1</v>
      </c>
      <c r="N643" s="89"/>
      <c r="O643" s="87"/>
      <c r="P643" s="87"/>
      <c r="Q643" s="87"/>
      <c r="R643" s="87"/>
      <c r="S643" s="87">
        <v>1</v>
      </c>
      <c r="T643" s="87"/>
      <c r="U643" s="87">
        <v>1</v>
      </c>
      <c r="V643" s="90" t="s">
        <v>3766</v>
      </c>
    </row>
    <row r="644" ht="15" customHeight="1" spans="1:23" x14ac:dyDescent="0.25">
      <c r="A644" s="85">
        <v>3855</v>
      </c>
      <c r="B644" s="85" t="s">
        <v>3821</v>
      </c>
      <c r="C644" s="85" t="s">
        <v>698</v>
      </c>
      <c r="D644" s="85" t="s">
        <v>806</v>
      </c>
      <c r="E644" s="85"/>
      <c r="F644" s="85" t="s">
        <v>157</v>
      </c>
      <c r="G644" s="85"/>
      <c r="H644" s="85"/>
      <c r="I644" s="86"/>
      <c r="J644" s="86"/>
      <c r="K644" s="87"/>
      <c r="L644" s="87"/>
      <c r="M644" s="88"/>
      <c r="N644" s="89"/>
      <c r="O644" s="87"/>
      <c r="P644" s="87"/>
      <c r="Q644" s="87"/>
      <c r="R644" s="87"/>
      <c r="S644" s="87">
        <v>1</v>
      </c>
      <c r="T644" s="87">
        <v>1</v>
      </c>
      <c r="U644" s="87">
        <v>1</v>
      </c>
      <c r="V644" s="90" t="s">
        <v>3579</v>
      </c>
    </row>
    <row r="645" ht="15" customHeight="1" spans="1:23" x14ac:dyDescent="0.25">
      <c r="A645" s="85">
        <v>3855</v>
      </c>
      <c r="B645" s="85" t="s">
        <v>3821</v>
      </c>
      <c r="C645" s="85" t="s">
        <v>698</v>
      </c>
      <c r="D645" s="85" t="s">
        <v>806</v>
      </c>
      <c r="E645" s="85"/>
      <c r="F645" s="85" t="s">
        <v>2472</v>
      </c>
      <c r="G645" s="85" t="s">
        <v>288</v>
      </c>
      <c r="H645" s="85" t="s">
        <v>3268</v>
      </c>
      <c r="I645" s="86">
        <v>65</v>
      </c>
      <c r="J645" s="86">
        <v>65</v>
      </c>
      <c r="K645" s="87">
        <v>1</v>
      </c>
      <c r="L645" s="87">
        <v>1</v>
      </c>
      <c r="M645" s="88">
        <v>1</v>
      </c>
      <c r="N645" s="89"/>
      <c r="O645" s="87"/>
      <c r="P645" s="87"/>
      <c r="Q645" s="87"/>
      <c r="R645" s="87"/>
      <c r="S645" s="87">
        <v>1</v>
      </c>
      <c r="T645" s="87"/>
      <c r="U645" s="87">
        <v>1</v>
      </c>
      <c r="V645" s="90" t="s">
        <v>3579</v>
      </c>
    </row>
    <row r="646" ht="15" customHeight="1" spans="1:23" x14ac:dyDescent="0.25">
      <c r="A646" s="85">
        <v>3856</v>
      </c>
      <c r="B646" s="85" t="s">
        <v>3822</v>
      </c>
      <c r="C646" s="85" t="s">
        <v>698</v>
      </c>
      <c r="D646" s="85" t="s">
        <v>942</v>
      </c>
      <c r="E646" s="85"/>
      <c r="F646" s="85" t="s">
        <v>157</v>
      </c>
      <c r="G646" s="85"/>
      <c r="H646" s="85"/>
      <c r="I646" s="86"/>
      <c r="J646" s="86"/>
      <c r="K646" s="87"/>
      <c r="L646" s="87"/>
      <c r="M646" s="88"/>
      <c r="N646" s="89"/>
      <c r="O646" s="87"/>
      <c r="P646" s="87"/>
      <c r="Q646" s="87"/>
      <c r="R646" s="87"/>
      <c r="S646" s="87">
        <v>1</v>
      </c>
      <c r="T646" s="87">
        <v>1</v>
      </c>
      <c r="U646" s="87">
        <v>1</v>
      </c>
      <c r="V646" s="90" t="s">
        <v>3779</v>
      </c>
    </row>
    <row r="647" ht="15" customHeight="1" spans="1:23" x14ac:dyDescent="0.25">
      <c r="A647" s="85">
        <v>3856</v>
      </c>
      <c r="B647" s="85" t="s">
        <v>3822</v>
      </c>
      <c r="C647" s="85" t="s">
        <v>698</v>
      </c>
      <c r="D647" s="85" t="s">
        <v>942</v>
      </c>
      <c r="E647" s="85"/>
      <c r="F647" s="85" t="s">
        <v>2472</v>
      </c>
      <c r="G647" s="85" t="s">
        <v>288</v>
      </c>
      <c r="H647" s="85" t="s">
        <v>3268</v>
      </c>
      <c r="I647" s="86">
        <v>65</v>
      </c>
      <c r="J647" s="86">
        <v>65</v>
      </c>
      <c r="K647" s="87">
        <v>1</v>
      </c>
      <c r="L647" s="87">
        <v>1</v>
      </c>
      <c r="M647" s="88">
        <v>1</v>
      </c>
      <c r="N647" s="89"/>
      <c r="O647" s="87"/>
      <c r="P647" s="87"/>
      <c r="Q647" s="87"/>
      <c r="R647" s="87"/>
      <c r="S647" s="87">
        <v>1</v>
      </c>
      <c r="T647" s="87"/>
      <c r="U647" s="87">
        <v>1</v>
      </c>
      <c r="V647" s="90" t="s">
        <v>3779</v>
      </c>
    </row>
    <row r="648" ht="15" customHeight="1" spans="1:23" x14ac:dyDescent="0.25">
      <c r="A648" s="85">
        <v>3857</v>
      </c>
      <c r="B648" s="85" t="s">
        <v>3823</v>
      </c>
      <c r="C648" s="85" t="s">
        <v>698</v>
      </c>
      <c r="D648" s="85" t="s">
        <v>772</v>
      </c>
      <c r="E648" s="85"/>
      <c r="F648" s="85" t="s">
        <v>157</v>
      </c>
      <c r="G648" s="85"/>
      <c r="H648" s="85"/>
      <c r="I648" s="86"/>
      <c r="J648" s="86"/>
      <c r="K648" s="87"/>
      <c r="L648" s="87"/>
      <c r="M648" s="88"/>
      <c r="N648" s="89"/>
      <c r="O648" s="87"/>
      <c r="P648" s="87"/>
      <c r="Q648" s="87"/>
      <c r="R648" s="87"/>
      <c r="S648" s="87">
        <v>1</v>
      </c>
      <c r="T648" s="87">
        <v>1</v>
      </c>
      <c r="U648" s="87">
        <v>1</v>
      </c>
      <c r="V648" s="90" t="s">
        <v>3779</v>
      </c>
    </row>
    <row r="649" ht="15" customHeight="1" spans="1:23" x14ac:dyDescent="0.25">
      <c r="A649" s="85">
        <v>3857</v>
      </c>
      <c r="B649" s="85" t="s">
        <v>3823</v>
      </c>
      <c r="C649" s="85" t="s">
        <v>698</v>
      </c>
      <c r="D649" s="85" t="s">
        <v>772</v>
      </c>
      <c r="E649" s="85"/>
      <c r="F649" s="85" t="s">
        <v>2472</v>
      </c>
      <c r="G649" s="85" t="s">
        <v>288</v>
      </c>
      <c r="H649" s="85" t="s">
        <v>3268</v>
      </c>
      <c r="I649" s="86">
        <v>65</v>
      </c>
      <c r="J649" s="86">
        <v>65</v>
      </c>
      <c r="K649" s="87">
        <v>1</v>
      </c>
      <c r="L649" s="87">
        <v>1</v>
      </c>
      <c r="M649" s="88">
        <v>1</v>
      </c>
      <c r="N649" s="89"/>
      <c r="O649" s="87"/>
      <c r="P649" s="87"/>
      <c r="Q649" s="87"/>
      <c r="R649" s="87"/>
      <c r="S649" s="87">
        <v>1</v>
      </c>
      <c r="T649" s="87"/>
      <c r="U649" s="87">
        <v>1</v>
      </c>
      <c r="V649" s="90" t="s">
        <v>3779</v>
      </c>
    </row>
    <row r="650" ht="15" customHeight="1" spans="1:23" x14ac:dyDescent="0.25">
      <c r="A650" s="85">
        <v>3858</v>
      </c>
      <c r="B650" s="85" t="s">
        <v>3824</v>
      </c>
      <c r="C650" s="85" t="s">
        <v>698</v>
      </c>
      <c r="D650" s="85" t="s">
        <v>722</v>
      </c>
      <c r="E650" s="85"/>
      <c r="F650" s="85" t="s">
        <v>157</v>
      </c>
      <c r="G650" s="85"/>
      <c r="H650" s="85"/>
      <c r="I650" s="86"/>
      <c r="J650" s="86"/>
      <c r="K650" s="87"/>
      <c r="L650" s="87"/>
      <c r="M650" s="88"/>
      <c r="N650" s="89"/>
      <c r="O650" s="87"/>
      <c r="P650" s="87"/>
      <c r="Q650" s="87"/>
      <c r="R650" s="87"/>
      <c r="S650" s="87">
        <v>1</v>
      </c>
      <c r="T650" s="87">
        <v>1</v>
      </c>
      <c r="U650" s="87"/>
      <c r="V650" s="90" t="s">
        <v>2472</v>
      </c>
    </row>
    <row r="651" ht="15" customHeight="1" spans="1:23" x14ac:dyDescent="0.25">
      <c r="A651" s="85">
        <v>3858</v>
      </c>
      <c r="B651" s="85" t="s">
        <v>3824</v>
      </c>
      <c r="C651" s="85" t="s">
        <v>698</v>
      </c>
      <c r="D651" s="85" t="s">
        <v>722</v>
      </c>
      <c r="E651" s="85"/>
      <c r="F651" s="85" t="s">
        <v>2472</v>
      </c>
      <c r="G651" s="85" t="s">
        <v>288</v>
      </c>
      <c r="H651" s="85" t="s">
        <v>3268</v>
      </c>
      <c r="I651" s="86">
        <v>65</v>
      </c>
      <c r="J651" s="86">
        <v>65</v>
      </c>
      <c r="K651" s="87">
        <v>1</v>
      </c>
      <c r="L651" s="87">
        <v>1</v>
      </c>
      <c r="M651" s="88">
        <v>1</v>
      </c>
      <c r="N651" s="89"/>
      <c r="O651" s="87"/>
      <c r="P651" s="87"/>
      <c r="Q651" s="87"/>
      <c r="R651" s="87"/>
      <c r="S651" s="87">
        <v>1</v>
      </c>
      <c r="T651" s="87"/>
      <c r="U651" s="87">
        <v>0</v>
      </c>
      <c r="V651" s="90" t="s">
        <v>2472</v>
      </c>
    </row>
    <row r="652" ht="15" customHeight="1" spans="1:23" x14ac:dyDescent="0.25">
      <c r="A652" s="85">
        <v>3859</v>
      </c>
      <c r="B652" s="85" t="s">
        <v>3825</v>
      </c>
      <c r="C652" s="85" t="s">
        <v>698</v>
      </c>
      <c r="D652" s="85" t="s">
        <v>2010</v>
      </c>
      <c r="E652" s="85"/>
      <c r="F652" s="85" t="s">
        <v>157</v>
      </c>
      <c r="G652" s="85"/>
      <c r="H652" s="85"/>
      <c r="I652" s="86"/>
      <c r="J652" s="86"/>
      <c r="K652" s="87"/>
      <c r="L652" s="87"/>
      <c r="M652" s="88"/>
      <c r="N652" s="89"/>
      <c r="O652" s="87"/>
      <c r="P652" s="87"/>
      <c r="Q652" s="87"/>
      <c r="R652" s="87"/>
      <c r="S652" s="87">
        <v>0.5</v>
      </c>
      <c r="T652" s="87">
        <v>0.5</v>
      </c>
      <c r="U652" s="87"/>
      <c r="V652" s="90" t="s">
        <v>2472</v>
      </c>
    </row>
    <row r="653" ht="15" customHeight="1" spans="1:23" x14ac:dyDescent="0.25">
      <c r="A653" s="85">
        <v>3859</v>
      </c>
      <c r="B653" s="85" t="s">
        <v>3825</v>
      </c>
      <c r="C653" s="85" t="s">
        <v>698</v>
      </c>
      <c r="D653" s="85" t="s">
        <v>2010</v>
      </c>
      <c r="E653" s="85"/>
      <c r="F653" s="85" t="s">
        <v>2472</v>
      </c>
      <c r="G653" s="85" t="s">
        <v>288</v>
      </c>
      <c r="H653" s="85" t="s">
        <v>3268</v>
      </c>
      <c r="I653" s="86">
        <v>65</v>
      </c>
      <c r="J653" s="86">
        <v>65</v>
      </c>
      <c r="K653" s="87">
        <v>1</v>
      </c>
      <c r="L653" s="87">
        <v>0.5</v>
      </c>
      <c r="M653" s="88">
        <v>0.5</v>
      </c>
      <c r="N653" s="89"/>
      <c r="O653" s="87"/>
      <c r="P653" s="87"/>
      <c r="Q653" s="87"/>
      <c r="R653" s="87"/>
      <c r="S653" s="87">
        <v>0.5</v>
      </c>
      <c r="T653" s="87"/>
      <c r="U653" s="87">
        <v>0</v>
      </c>
      <c r="V653" s="90" t="s">
        <v>2472</v>
      </c>
    </row>
    <row r="654" ht="15" customHeight="1" spans="1:23" x14ac:dyDescent="0.25">
      <c r="A654" s="85">
        <v>3860</v>
      </c>
      <c r="B654" s="85" t="s">
        <v>3826</v>
      </c>
      <c r="C654" s="85" t="s">
        <v>698</v>
      </c>
      <c r="D654" s="85" t="s">
        <v>1345</v>
      </c>
      <c r="E654" s="85"/>
      <c r="F654" s="85" t="s">
        <v>157</v>
      </c>
      <c r="G654" s="85"/>
      <c r="H654" s="85"/>
      <c r="I654" s="86"/>
      <c r="J654" s="86"/>
      <c r="K654" s="87"/>
      <c r="L654" s="87"/>
      <c r="M654" s="88"/>
      <c r="N654" s="89"/>
      <c r="O654" s="87"/>
      <c r="P654" s="87"/>
      <c r="Q654" s="87"/>
      <c r="R654" s="87"/>
      <c r="S654" s="87">
        <v>1</v>
      </c>
      <c r="T654" s="87">
        <v>1</v>
      </c>
      <c r="U654" s="87"/>
      <c r="V654" s="90" t="s">
        <v>2472</v>
      </c>
    </row>
    <row r="655" ht="15" customHeight="1" spans="1:23" x14ac:dyDescent="0.25">
      <c r="A655" s="85">
        <v>3860</v>
      </c>
      <c r="B655" s="85" t="s">
        <v>3826</v>
      </c>
      <c r="C655" s="85" t="s">
        <v>698</v>
      </c>
      <c r="D655" s="85" t="s">
        <v>1345</v>
      </c>
      <c r="E655" s="85"/>
      <c r="F655" s="85" t="s">
        <v>2472</v>
      </c>
      <c r="G655" s="85" t="s">
        <v>288</v>
      </c>
      <c r="H655" s="85" t="s">
        <v>3268</v>
      </c>
      <c r="I655" s="86">
        <v>65</v>
      </c>
      <c r="J655" s="86">
        <v>65</v>
      </c>
      <c r="K655" s="87">
        <v>1</v>
      </c>
      <c r="L655" s="87">
        <v>1</v>
      </c>
      <c r="M655" s="88">
        <v>1</v>
      </c>
      <c r="N655" s="89"/>
      <c r="O655" s="87"/>
      <c r="P655" s="87"/>
      <c r="Q655" s="87"/>
      <c r="R655" s="87"/>
      <c r="S655" s="87">
        <v>1</v>
      </c>
      <c r="T655" s="87"/>
      <c r="U655" s="87">
        <v>0</v>
      </c>
      <c r="V655" s="90" t="s">
        <v>2472</v>
      </c>
    </row>
    <row r="656" ht="15" customHeight="1" spans="1:23" x14ac:dyDescent="0.25">
      <c r="A656" s="85">
        <v>3861</v>
      </c>
      <c r="B656" s="85" t="s">
        <v>3827</v>
      </c>
      <c r="C656" s="85" t="s">
        <v>698</v>
      </c>
      <c r="D656" s="85" t="s">
        <v>1000</v>
      </c>
      <c r="E656" s="85"/>
      <c r="F656" s="85" t="s">
        <v>157</v>
      </c>
      <c r="G656" s="85"/>
      <c r="H656" s="85"/>
      <c r="I656" s="86"/>
      <c r="J656" s="86"/>
      <c r="K656" s="87"/>
      <c r="L656" s="87"/>
      <c r="M656" s="88"/>
      <c r="N656" s="89"/>
      <c r="O656" s="87"/>
      <c r="P656" s="87"/>
      <c r="Q656" s="87"/>
      <c r="R656" s="87"/>
      <c r="S656" s="87">
        <v>0.8</v>
      </c>
      <c r="T656" s="87">
        <v>0.8</v>
      </c>
      <c r="U656" s="87">
        <v>0.8</v>
      </c>
      <c r="V656" s="90" t="s">
        <v>3603</v>
      </c>
    </row>
    <row r="657" ht="15" customHeight="1" spans="1:23" x14ac:dyDescent="0.25">
      <c r="A657" s="85">
        <v>3861</v>
      </c>
      <c r="B657" s="85" t="s">
        <v>3827</v>
      </c>
      <c r="C657" s="85" t="s">
        <v>698</v>
      </c>
      <c r="D657" s="85" t="s">
        <v>1000</v>
      </c>
      <c r="E657" s="85"/>
      <c r="F657" s="85" t="s">
        <v>2472</v>
      </c>
      <c r="G657" s="85" t="s">
        <v>288</v>
      </c>
      <c r="H657" s="85" t="s">
        <v>3268</v>
      </c>
      <c r="I657" s="86">
        <v>65</v>
      </c>
      <c r="J657" s="86">
        <v>65</v>
      </c>
      <c r="K657" s="87">
        <v>1</v>
      </c>
      <c r="L657" s="87">
        <v>0.8</v>
      </c>
      <c r="M657" s="88">
        <v>0.8</v>
      </c>
      <c r="N657" s="89"/>
      <c r="O657" s="87"/>
      <c r="P657" s="87"/>
      <c r="Q657" s="87"/>
      <c r="R657" s="87"/>
      <c r="S657" s="87">
        <v>0.8</v>
      </c>
      <c r="T657" s="87"/>
      <c r="U657" s="87">
        <v>0.8</v>
      </c>
      <c r="V657" s="90" t="s">
        <v>3603</v>
      </c>
    </row>
    <row r="658" ht="15" customHeight="1" spans="1:23" x14ac:dyDescent="0.25">
      <c r="A658" s="85">
        <v>3862</v>
      </c>
      <c r="B658" s="85" t="s">
        <v>3828</v>
      </c>
      <c r="C658" s="85" t="s">
        <v>698</v>
      </c>
      <c r="D658" s="85" t="s">
        <v>1655</v>
      </c>
      <c r="E658" s="85"/>
      <c r="F658" s="85" t="s">
        <v>157</v>
      </c>
      <c r="G658" s="85"/>
      <c r="H658" s="85"/>
      <c r="I658" s="86"/>
      <c r="J658" s="86"/>
      <c r="K658" s="87"/>
      <c r="L658" s="87"/>
      <c r="M658" s="88"/>
      <c r="N658" s="89"/>
      <c r="O658" s="87"/>
      <c r="P658" s="87"/>
      <c r="Q658" s="87"/>
      <c r="R658" s="87"/>
      <c r="S658" s="87">
        <v>1</v>
      </c>
      <c r="T658" s="87">
        <v>1</v>
      </c>
      <c r="U658" s="87"/>
      <c r="V658" s="90" t="s">
        <v>2472</v>
      </c>
    </row>
    <row r="659" ht="15" customHeight="1" spans="1:23" x14ac:dyDescent="0.25">
      <c r="A659" s="85">
        <v>3862</v>
      </c>
      <c r="B659" s="85" t="s">
        <v>3828</v>
      </c>
      <c r="C659" s="85" t="s">
        <v>698</v>
      </c>
      <c r="D659" s="85" t="s">
        <v>1655</v>
      </c>
      <c r="E659" s="85"/>
      <c r="F659" s="85" t="s">
        <v>2472</v>
      </c>
      <c r="G659" s="85" t="s">
        <v>288</v>
      </c>
      <c r="H659" s="85" t="s">
        <v>3268</v>
      </c>
      <c r="I659" s="86">
        <v>65</v>
      </c>
      <c r="J659" s="86">
        <v>65</v>
      </c>
      <c r="K659" s="87">
        <v>1</v>
      </c>
      <c r="L659" s="87">
        <v>1</v>
      </c>
      <c r="M659" s="88">
        <v>1</v>
      </c>
      <c r="N659" s="89"/>
      <c r="O659" s="87"/>
      <c r="P659" s="87"/>
      <c r="Q659" s="87"/>
      <c r="R659" s="87"/>
      <c r="S659" s="87">
        <v>1</v>
      </c>
      <c r="T659" s="87"/>
      <c r="U659" s="87">
        <v>0</v>
      </c>
      <c r="V659" s="90" t="s">
        <v>2472</v>
      </c>
    </row>
    <row r="660" ht="15" customHeight="1" spans="1:23" x14ac:dyDescent="0.25">
      <c r="A660" s="85">
        <v>3863</v>
      </c>
      <c r="B660" s="85" t="s">
        <v>3829</v>
      </c>
      <c r="C660" s="85" t="s">
        <v>698</v>
      </c>
      <c r="D660" s="85" t="s">
        <v>1833</v>
      </c>
      <c r="E660" s="85"/>
      <c r="F660" s="85" t="s">
        <v>157</v>
      </c>
      <c r="G660" s="85"/>
      <c r="H660" s="85"/>
      <c r="I660" s="86"/>
      <c r="J660" s="86"/>
      <c r="K660" s="87"/>
      <c r="L660" s="87"/>
      <c r="M660" s="88"/>
      <c r="N660" s="89"/>
      <c r="O660" s="87"/>
      <c r="P660" s="87"/>
      <c r="Q660" s="87"/>
      <c r="R660" s="87"/>
      <c r="S660" s="87">
        <v>1</v>
      </c>
      <c r="T660" s="87">
        <v>1</v>
      </c>
      <c r="U660" s="87">
        <v>1</v>
      </c>
      <c r="V660" s="90" t="s">
        <v>3830</v>
      </c>
    </row>
    <row r="661" ht="15" customHeight="1" spans="1:23" x14ac:dyDescent="0.25">
      <c r="A661" s="85">
        <v>3863</v>
      </c>
      <c r="B661" s="85" t="s">
        <v>3829</v>
      </c>
      <c r="C661" s="85" t="s">
        <v>698</v>
      </c>
      <c r="D661" s="85" t="s">
        <v>1833</v>
      </c>
      <c r="E661" s="85"/>
      <c r="F661" s="85" t="s">
        <v>2472</v>
      </c>
      <c r="G661" s="85" t="s">
        <v>288</v>
      </c>
      <c r="H661" s="85" t="s">
        <v>3268</v>
      </c>
      <c r="I661" s="86">
        <v>65</v>
      </c>
      <c r="J661" s="86">
        <v>65</v>
      </c>
      <c r="K661" s="87">
        <v>1</v>
      </c>
      <c r="L661" s="87">
        <v>1</v>
      </c>
      <c r="M661" s="88">
        <v>1</v>
      </c>
      <c r="N661" s="89"/>
      <c r="O661" s="87"/>
      <c r="P661" s="87"/>
      <c r="Q661" s="87"/>
      <c r="R661" s="87"/>
      <c r="S661" s="87">
        <v>1</v>
      </c>
      <c r="T661" s="87"/>
      <c r="U661" s="87">
        <v>1</v>
      </c>
      <c r="V661" s="90" t="s">
        <v>3830</v>
      </c>
    </row>
    <row r="662" ht="15" customHeight="1" spans="1:23" x14ac:dyDescent="0.25">
      <c r="A662" s="85">
        <v>3864</v>
      </c>
      <c r="B662" s="85" t="s">
        <v>3831</v>
      </c>
      <c r="C662" s="85"/>
      <c r="D662" s="85" t="s">
        <v>158</v>
      </c>
      <c r="E662" s="85"/>
      <c r="F662" s="85" t="s">
        <v>2472</v>
      </c>
      <c r="G662" s="85"/>
      <c r="H662" s="85"/>
      <c r="I662" s="86"/>
      <c r="J662" s="86"/>
      <c r="K662" s="87"/>
      <c r="L662" s="87"/>
      <c r="M662" s="88"/>
      <c r="N662" s="89"/>
      <c r="O662" s="87"/>
      <c r="P662" s="87"/>
      <c r="Q662" s="87"/>
      <c r="R662" s="87"/>
      <c r="S662" s="87"/>
      <c r="T662" s="87"/>
      <c r="U662" s="87"/>
      <c r="V662" s="90"/>
    </row>
    <row r="663" ht="15" customHeight="1" spans="1:23" x14ac:dyDescent="0.25">
      <c r="A663" s="85">
        <v>3864</v>
      </c>
      <c r="B663" s="85" t="s">
        <v>3831</v>
      </c>
      <c r="C663" s="85"/>
      <c r="D663" s="85" t="s">
        <v>158</v>
      </c>
      <c r="E663" s="85"/>
      <c r="F663" s="85" t="s">
        <v>157</v>
      </c>
      <c r="G663" s="85"/>
      <c r="H663" s="85"/>
      <c r="I663" s="86"/>
      <c r="J663" s="86"/>
      <c r="K663" s="87"/>
      <c r="L663" s="87"/>
      <c r="M663" s="88"/>
      <c r="N663" s="89"/>
      <c r="O663" s="87"/>
      <c r="P663" s="87"/>
      <c r="Q663" s="87"/>
      <c r="R663" s="87"/>
      <c r="S663" s="87"/>
      <c r="T663" s="87">
        <v>0</v>
      </c>
      <c r="U663" s="87"/>
      <c r="V663" s="90" t="s">
        <v>2472</v>
      </c>
    </row>
    <row r="664" ht="15" customHeight="1" spans="1:23" x14ac:dyDescent="0.25">
      <c r="A664" s="85">
        <v>3865</v>
      </c>
      <c r="B664" s="85" t="s">
        <v>3832</v>
      </c>
      <c r="C664" s="85" t="s">
        <v>698</v>
      </c>
      <c r="D664" s="85" t="s">
        <v>1085</v>
      </c>
      <c r="E664" s="85"/>
      <c r="F664" s="85" t="s">
        <v>157</v>
      </c>
      <c r="G664" s="85"/>
      <c r="H664" s="85"/>
      <c r="I664" s="86"/>
      <c r="J664" s="86"/>
      <c r="K664" s="87"/>
      <c r="L664" s="87"/>
      <c r="M664" s="88"/>
      <c r="N664" s="89"/>
      <c r="O664" s="87"/>
      <c r="P664" s="87"/>
      <c r="Q664" s="87"/>
      <c r="R664" s="87"/>
      <c r="S664" s="87">
        <v>1</v>
      </c>
      <c r="T664" s="87">
        <v>1</v>
      </c>
      <c r="U664" s="87"/>
      <c r="V664" s="90" t="s">
        <v>2472</v>
      </c>
    </row>
    <row r="665" ht="15" customHeight="1" spans="1:23" x14ac:dyDescent="0.25">
      <c r="A665" s="85">
        <v>3865</v>
      </c>
      <c r="B665" s="85" t="s">
        <v>3832</v>
      </c>
      <c r="C665" s="85" t="s">
        <v>698</v>
      </c>
      <c r="D665" s="85" t="s">
        <v>1085</v>
      </c>
      <c r="E665" s="85"/>
      <c r="F665" s="85" t="s">
        <v>2472</v>
      </c>
      <c r="G665" s="85" t="s">
        <v>288</v>
      </c>
      <c r="H665" s="85" t="s">
        <v>3268</v>
      </c>
      <c r="I665" s="86">
        <v>65</v>
      </c>
      <c r="J665" s="86">
        <v>65</v>
      </c>
      <c r="K665" s="87">
        <v>1</v>
      </c>
      <c r="L665" s="87">
        <v>1</v>
      </c>
      <c r="M665" s="88">
        <v>1</v>
      </c>
      <c r="N665" s="89"/>
      <c r="O665" s="87"/>
      <c r="P665" s="87"/>
      <c r="Q665" s="87"/>
      <c r="R665" s="87"/>
      <c r="S665" s="87">
        <v>1</v>
      </c>
      <c r="T665" s="87"/>
      <c r="U665" s="87">
        <v>0</v>
      </c>
      <c r="V665" s="90" t="s">
        <v>2472</v>
      </c>
    </row>
    <row r="666" ht="15" customHeight="1" spans="1:23" x14ac:dyDescent="0.25">
      <c r="A666" s="85">
        <v>3866</v>
      </c>
      <c r="B666" s="85" t="s">
        <v>3833</v>
      </c>
      <c r="C666" s="85" t="s">
        <v>698</v>
      </c>
      <c r="D666" s="85" t="s">
        <v>816</v>
      </c>
      <c r="E666" s="85"/>
      <c r="F666" s="85" t="s">
        <v>157</v>
      </c>
      <c r="G666" s="85"/>
      <c r="H666" s="85"/>
      <c r="I666" s="86"/>
      <c r="J666" s="86"/>
      <c r="K666" s="87"/>
      <c r="L666" s="87"/>
      <c r="M666" s="88"/>
      <c r="N666" s="89"/>
      <c r="O666" s="87"/>
      <c r="P666" s="87"/>
      <c r="Q666" s="87"/>
      <c r="R666" s="87"/>
      <c r="S666" s="87">
        <v>1</v>
      </c>
      <c r="T666" s="87">
        <v>1</v>
      </c>
      <c r="U666" s="87">
        <v>1</v>
      </c>
      <c r="V666" s="90" t="s">
        <v>3779</v>
      </c>
    </row>
    <row r="667" ht="15" customHeight="1" spans="1:23" x14ac:dyDescent="0.25">
      <c r="A667" s="85">
        <v>3866</v>
      </c>
      <c r="B667" s="85" t="s">
        <v>3833</v>
      </c>
      <c r="C667" s="85" t="s">
        <v>698</v>
      </c>
      <c r="D667" s="85" t="s">
        <v>816</v>
      </c>
      <c r="E667" s="85"/>
      <c r="F667" s="85" t="s">
        <v>2472</v>
      </c>
      <c r="G667" s="85" t="s">
        <v>288</v>
      </c>
      <c r="H667" s="85" t="s">
        <v>3268</v>
      </c>
      <c r="I667" s="86">
        <v>65</v>
      </c>
      <c r="J667" s="86">
        <v>65</v>
      </c>
      <c r="K667" s="87">
        <v>1</v>
      </c>
      <c r="L667" s="87">
        <v>1</v>
      </c>
      <c r="M667" s="88">
        <v>1</v>
      </c>
      <c r="N667" s="89"/>
      <c r="O667" s="87"/>
      <c r="P667" s="87"/>
      <c r="Q667" s="87"/>
      <c r="R667" s="87"/>
      <c r="S667" s="87">
        <v>1</v>
      </c>
      <c r="T667" s="87"/>
      <c r="U667" s="87">
        <v>1</v>
      </c>
      <c r="V667" s="90" t="s">
        <v>3779</v>
      </c>
    </row>
    <row r="668" ht="15" customHeight="1" spans="1:23" x14ac:dyDescent="0.25">
      <c r="A668" s="85">
        <v>3867</v>
      </c>
      <c r="B668" s="85" t="s">
        <v>3834</v>
      </c>
      <c r="C668" s="85" t="s">
        <v>698</v>
      </c>
      <c r="D668" s="85" t="s">
        <v>836</v>
      </c>
      <c r="E668" s="85"/>
      <c r="F668" s="85" t="s">
        <v>157</v>
      </c>
      <c r="G668" s="85"/>
      <c r="H668" s="85"/>
      <c r="I668" s="86"/>
      <c r="J668" s="86"/>
      <c r="K668" s="87"/>
      <c r="L668" s="87"/>
      <c r="M668" s="88"/>
      <c r="N668" s="89"/>
      <c r="O668" s="87"/>
      <c r="P668" s="87"/>
      <c r="Q668" s="87"/>
      <c r="R668" s="87"/>
      <c r="S668" s="87">
        <v>1</v>
      </c>
      <c r="T668" s="87">
        <v>1</v>
      </c>
      <c r="U668" s="87">
        <v>1</v>
      </c>
      <c r="V668" s="90" t="s">
        <v>3779</v>
      </c>
    </row>
    <row r="669" ht="15" customHeight="1" spans="1:23" x14ac:dyDescent="0.25">
      <c r="A669" s="85">
        <v>3867</v>
      </c>
      <c r="B669" s="85" t="s">
        <v>3834</v>
      </c>
      <c r="C669" s="85" t="s">
        <v>698</v>
      </c>
      <c r="D669" s="85" t="s">
        <v>836</v>
      </c>
      <c r="E669" s="85"/>
      <c r="F669" s="85" t="s">
        <v>2472</v>
      </c>
      <c r="G669" s="85" t="s">
        <v>288</v>
      </c>
      <c r="H669" s="85" t="s">
        <v>3268</v>
      </c>
      <c r="I669" s="86">
        <v>65</v>
      </c>
      <c r="J669" s="86">
        <v>65</v>
      </c>
      <c r="K669" s="87">
        <v>1</v>
      </c>
      <c r="L669" s="87">
        <v>1</v>
      </c>
      <c r="M669" s="88">
        <v>1</v>
      </c>
      <c r="N669" s="89"/>
      <c r="O669" s="87"/>
      <c r="P669" s="87"/>
      <c r="Q669" s="87"/>
      <c r="R669" s="87"/>
      <c r="S669" s="87">
        <v>1</v>
      </c>
      <c r="T669" s="87"/>
      <c r="U669" s="87">
        <v>1</v>
      </c>
      <c r="V669" s="90" t="s">
        <v>3779</v>
      </c>
    </row>
    <row r="670" ht="15" customHeight="1" spans="1:23" x14ac:dyDescent="0.25">
      <c r="A670" s="85">
        <v>3868</v>
      </c>
      <c r="B670" s="85" t="s">
        <v>3835</v>
      </c>
      <c r="C670" s="85" t="s">
        <v>698</v>
      </c>
      <c r="D670" s="85" t="s">
        <v>1810</v>
      </c>
      <c r="E670" s="85"/>
      <c r="F670" s="85" t="s">
        <v>157</v>
      </c>
      <c r="G670" s="85"/>
      <c r="H670" s="85"/>
      <c r="I670" s="86"/>
      <c r="J670" s="86"/>
      <c r="K670" s="87"/>
      <c r="L670" s="87"/>
      <c r="M670" s="88"/>
      <c r="N670" s="89"/>
      <c r="O670" s="87"/>
      <c r="P670" s="87"/>
      <c r="Q670" s="87"/>
      <c r="R670" s="87"/>
      <c r="S670" s="87">
        <v>1</v>
      </c>
      <c r="T670" s="87">
        <v>1</v>
      </c>
      <c r="U670" s="87">
        <v>1</v>
      </c>
      <c r="V670" s="90" t="s">
        <v>3779</v>
      </c>
    </row>
    <row r="671" ht="15" customHeight="1" spans="1:23" x14ac:dyDescent="0.25">
      <c r="A671" s="85">
        <v>3868</v>
      </c>
      <c r="B671" s="85" t="s">
        <v>3835</v>
      </c>
      <c r="C671" s="85" t="s">
        <v>698</v>
      </c>
      <c r="D671" s="85" t="s">
        <v>1810</v>
      </c>
      <c r="E671" s="85"/>
      <c r="F671" s="85" t="s">
        <v>2472</v>
      </c>
      <c r="G671" s="85" t="s">
        <v>288</v>
      </c>
      <c r="H671" s="85" t="s">
        <v>3268</v>
      </c>
      <c r="I671" s="86">
        <v>65</v>
      </c>
      <c r="J671" s="86">
        <v>65</v>
      </c>
      <c r="K671" s="87">
        <v>1</v>
      </c>
      <c r="L671" s="87">
        <v>1</v>
      </c>
      <c r="M671" s="88">
        <v>1</v>
      </c>
      <c r="N671" s="89"/>
      <c r="O671" s="87"/>
      <c r="P671" s="87"/>
      <c r="Q671" s="87"/>
      <c r="R671" s="87"/>
      <c r="S671" s="87">
        <v>1</v>
      </c>
      <c r="T671" s="87"/>
      <c r="U671" s="87">
        <v>1</v>
      </c>
      <c r="V671" s="90" t="s">
        <v>3779</v>
      </c>
    </row>
    <row r="672" ht="15" customHeight="1" spans="1:23" x14ac:dyDescent="0.25">
      <c r="A672" s="85">
        <v>3869</v>
      </c>
      <c r="B672" s="85" t="s">
        <v>3836</v>
      </c>
      <c r="C672" s="85" t="s">
        <v>698</v>
      </c>
      <c r="D672" s="85" t="s">
        <v>728</v>
      </c>
      <c r="E672" s="85"/>
      <c r="F672" s="85" t="s">
        <v>157</v>
      </c>
      <c r="G672" s="85"/>
      <c r="H672" s="85"/>
      <c r="I672" s="86"/>
      <c r="J672" s="86"/>
      <c r="K672" s="87"/>
      <c r="L672" s="87"/>
      <c r="M672" s="88"/>
      <c r="N672" s="89"/>
      <c r="O672" s="87"/>
      <c r="P672" s="87"/>
      <c r="Q672" s="87"/>
      <c r="R672" s="87"/>
      <c r="S672" s="87">
        <v>1</v>
      </c>
      <c r="T672" s="87">
        <v>1</v>
      </c>
      <c r="U672" s="87">
        <v>1</v>
      </c>
      <c r="V672" s="90" t="s">
        <v>3779</v>
      </c>
    </row>
    <row r="673" ht="15" customHeight="1" spans="1:23" x14ac:dyDescent="0.25">
      <c r="A673" s="85">
        <v>3869</v>
      </c>
      <c r="B673" s="85" t="s">
        <v>3836</v>
      </c>
      <c r="C673" s="85" t="s">
        <v>698</v>
      </c>
      <c r="D673" s="85" t="s">
        <v>728</v>
      </c>
      <c r="E673" s="85"/>
      <c r="F673" s="85" t="s">
        <v>2472</v>
      </c>
      <c r="G673" s="85" t="s">
        <v>288</v>
      </c>
      <c r="H673" s="85" t="s">
        <v>3268</v>
      </c>
      <c r="I673" s="86">
        <v>65</v>
      </c>
      <c r="J673" s="86">
        <v>65</v>
      </c>
      <c r="K673" s="87">
        <v>1</v>
      </c>
      <c r="L673" s="87">
        <v>1</v>
      </c>
      <c r="M673" s="88">
        <v>1</v>
      </c>
      <c r="N673" s="89"/>
      <c r="O673" s="87"/>
      <c r="P673" s="87"/>
      <c r="Q673" s="87"/>
      <c r="R673" s="87"/>
      <c r="S673" s="87">
        <v>1</v>
      </c>
      <c r="T673" s="87"/>
      <c r="U673" s="87">
        <v>1</v>
      </c>
      <c r="V673" s="90" t="s">
        <v>3779</v>
      </c>
    </row>
    <row r="674" ht="15" customHeight="1" spans="1:23" x14ac:dyDescent="0.25">
      <c r="A674" s="85">
        <v>3870</v>
      </c>
      <c r="B674" s="85" t="s">
        <v>3837</v>
      </c>
      <c r="C674" s="85" t="s">
        <v>698</v>
      </c>
      <c r="D674" s="85" t="s">
        <v>1304</v>
      </c>
      <c r="E674" s="85"/>
      <c r="F674" s="85" t="s">
        <v>157</v>
      </c>
      <c r="G674" s="85"/>
      <c r="H674" s="85"/>
      <c r="I674" s="86"/>
      <c r="J674" s="86"/>
      <c r="K674" s="87"/>
      <c r="L674" s="87"/>
      <c r="M674" s="88"/>
      <c r="N674" s="89"/>
      <c r="O674" s="87"/>
      <c r="P674" s="87"/>
      <c r="Q674" s="87"/>
      <c r="R674" s="87"/>
      <c r="S674" s="87">
        <v>1</v>
      </c>
      <c r="T674" s="87">
        <v>1</v>
      </c>
      <c r="U674" s="87">
        <v>1</v>
      </c>
      <c r="V674" s="90" t="s">
        <v>3779</v>
      </c>
    </row>
    <row r="675" ht="15" customHeight="1" spans="1:23" x14ac:dyDescent="0.25">
      <c r="A675" s="85">
        <v>3870</v>
      </c>
      <c r="B675" s="85" t="s">
        <v>3837</v>
      </c>
      <c r="C675" s="85" t="s">
        <v>698</v>
      </c>
      <c r="D675" s="85" t="s">
        <v>1304</v>
      </c>
      <c r="E675" s="85"/>
      <c r="F675" s="85" t="s">
        <v>2472</v>
      </c>
      <c r="G675" s="85" t="s">
        <v>288</v>
      </c>
      <c r="H675" s="85" t="s">
        <v>3268</v>
      </c>
      <c r="I675" s="86">
        <v>65</v>
      </c>
      <c r="J675" s="86">
        <v>65</v>
      </c>
      <c r="K675" s="87">
        <v>1</v>
      </c>
      <c r="L675" s="87">
        <v>1</v>
      </c>
      <c r="M675" s="88">
        <v>1</v>
      </c>
      <c r="N675" s="89"/>
      <c r="O675" s="87"/>
      <c r="P675" s="87"/>
      <c r="Q675" s="87"/>
      <c r="R675" s="87"/>
      <c r="S675" s="87">
        <v>1</v>
      </c>
      <c r="T675" s="87"/>
      <c r="U675" s="87">
        <v>1</v>
      </c>
      <c r="V675" s="90" t="s">
        <v>3779</v>
      </c>
    </row>
    <row r="676" ht="15" customHeight="1" spans="1:23" x14ac:dyDescent="0.25">
      <c r="A676" s="85">
        <v>3871</v>
      </c>
      <c r="B676" s="85" t="s">
        <v>3838</v>
      </c>
      <c r="C676" s="85" t="s">
        <v>698</v>
      </c>
      <c r="D676" s="85" t="s">
        <v>916</v>
      </c>
      <c r="E676" s="85"/>
      <c r="F676" s="85" t="s">
        <v>157</v>
      </c>
      <c r="G676" s="85"/>
      <c r="H676" s="85"/>
      <c r="I676" s="86"/>
      <c r="J676" s="86"/>
      <c r="K676" s="87"/>
      <c r="L676" s="87"/>
      <c r="M676" s="88"/>
      <c r="N676" s="89"/>
      <c r="O676" s="87"/>
      <c r="P676" s="87"/>
      <c r="Q676" s="87"/>
      <c r="R676" s="87"/>
      <c r="S676" s="87">
        <v>1</v>
      </c>
      <c r="T676" s="87">
        <v>1</v>
      </c>
      <c r="U676" s="87">
        <v>1</v>
      </c>
      <c r="V676" s="90" t="s">
        <v>3779</v>
      </c>
    </row>
    <row r="677" ht="15" customHeight="1" spans="1:23" x14ac:dyDescent="0.25">
      <c r="A677" s="85">
        <v>3871</v>
      </c>
      <c r="B677" s="85" t="s">
        <v>3838</v>
      </c>
      <c r="C677" s="85" t="s">
        <v>698</v>
      </c>
      <c r="D677" s="85" t="s">
        <v>916</v>
      </c>
      <c r="E677" s="85"/>
      <c r="F677" s="85" t="s">
        <v>2472</v>
      </c>
      <c r="G677" s="85" t="s">
        <v>288</v>
      </c>
      <c r="H677" s="85" t="s">
        <v>3268</v>
      </c>
      <c r="I677" s="86">
        <v>65</v>
      </c>
      <c r="J677" s="86">
        <v>65</v>
      </c>
      <c r="K677" s="87">
        <v>1</v>
      </c>
      <c r="L677" s="87">
        <v>1</v>
      </c>
      <c r="M677" s="88">
        <v>1</v>
      </c>
      <c r="N677" s="89"/>
      <c r="O677" s="87"/>
      <c r="P677" s="87"/>
      <c r="Q677" s="87"/>
      <c r="R677" s="87"/>
      <c r="S677" s="87">
        <v>1</v>
      </c>
      <c r="T677" s="87"/>
      <c r="U677" s="87">
        <v>1</v>
      </c>
      <c r="V677" s="90" t="s">
        <v>3779</v>
      </c>
    </row>
    <row r="678" ht="15" customHeight="1" spans="1:23" x14ac:dyDescent="0.25">
      <c r="A678" s="85">
        <v>3872</v>
      </c>
      <c r="B678" s="85" t="s">
        <v>3839</v>
      </c>
      <c r="C678" s="85" t="s">
        <v>698</v>
      </c>
      <c r="D678" s="85" t="s">
        <v>175</v>
      </c>
      <c r="E678" s="85"/>
      <c r="F678" s="85" t="s">
        <v>157</v>
      </c>
      <c r="G678" s="85"/>
      <c r="H678" s="85"/>
      <c r="I678" s="86"/>
      <c r="J678" s="86"/>
      <c r="K678" s="87"/>
      <c r="L678" s="87"/>
      <c r="M678" s="88"/>
      <c r="N678" s="89"/>
      <c r="O678" s="87"/>
      <c r="P678" s="87"/>
      <c r="Q678" s="87"/>
      <c r="R678" s="87"/>
      <c r="S678" s="87">
        <v>1</v>
      </c>
      <c r="T678" s="87">
        <v>1</v>
      </c>
      <c r="U678" s="87">
        <v>1</v>
      </c>
      <c r="V678" s="90" t="s">
        <v>3779</v>
      </c>
    </row>
    <row r="679" ht="15" customHeight="1" spans="1:23" x14ac:dyDescent="0.25">
      <c r="A679" s="85">
        <v>3872</v>
      </c>
      <c r="B679" s="85" t="s">
        <v>3839</v>
      </c>
      <c r="C679" s="85" t="s">
        <v>698</v>
      </c>
      <c r="D679" s="85" t="s">
        <v>175</v>
      </c>
      <c r="E679" s="85"/>
      <c r="F679" s="85" t="s">
        <v>2472</v>
      </c>
      <c r="G679" s="85" t="s">
        <v>288</v>
      </c>
      <c r="H679" s="85" t="s">
        <v>3268</v>
      </c>
      <c r="I679" s="86">
        <v>65</v>
      </c>
      <c r="J679" s="86">
        <v>65</v>
      </c>
      <c r="K679" s="87">
        <v>1</v>
      </c>
      <c r="L679" s="87">
        <v>1</v>
      </c>
      <c r="M679" s="88">
        <v>1</v>
      </c>
      <c r="N679" s="89"/>
      <c r="O679" s="87"/>
      <c r="P679" s="87"/>
      <c r="Q679" s="87"/>
      <c r="R679" s="87"/>
      <c r="S679" s="87">
        <v>1</v>
      </c>
      <c r="T679" s="87"/>
      <c r="U679" s="87">
        <v>1</v>
      </c>
      <c r="V679" s="90" t="s">
        <v>3779</v>
      </c>
    </row>
    <row r="680" ht="15" customHeight="1" spans="1:23" x14ac:dyDescent="0.25">
      <c r="A680" s="85">
        <v>3873</v>
      </c>
      <c r="B680" s="85" t="s">
        <v>3840</v>
      </c>
      <c r="C680" s="85" t="s">
        <v>698</v>
      </c>
      <c r="D680" s="85" t="s">
        <v>728</v>
      </c>
      <c r="E680" s="85"/>
      <c r="F680" s="85" t="s">
        <v>157</v>
      </c>
      <c r="G680" s="85"/>
      <c r="H680" s="85"/>
      <c r="I680" s="86"/>
      <c r="J680" s="86"/>
      <c r="K680" s="87"/>
      <c r="L680" s="87"/>
      <c r="M680" s="88"/>
      <c r="N680" s="89"/>
      <c r="O680" s="87"/>
      <c r="P680" s="87"/>
      <c r="Q680" s="87"/>
      <c r="R680" s="87"/>
      <c r="S680" s="87">
        <v>1</v>
      </c>
      <c r="T680" s="87">
        <v>1</v>
      </c>
      <c r="U680" s="87">
        <v>1</v>
      </c>
      <c r="V680" s="90" t="s">
        <v>3779</v>
      </c>
    </row>
    <row r="681" ht="15" customHeight="1" spans="1:23" x14ac:dyDescent="0.25">
      <c r="A681" s="85">
        <v>3873</v>
      </c>
      <c r="B681" s="85" t="s">
        <v>3840</v>
      </c>
      <c r="C681" s="85" t="s">
        <v>698</v>
      </c>
      <c r="D681" s="85" t="s">
        <v>728</v>
      </c>
      <c r="E681" s="85"/>
      <c r="F681" s="85" t="s">
        <v>2472</v>
      </c>
      <c r="G681" s="85" t="s">
        <v>288</v>
      </c>
      <c r="H681" s="85" t="s">
        <v>3268</v>
      </c>
      <c r="I681" s="86">
        <v>65</v>
      </c>
      <c r="J681" s="86">
        <v>65</v>
      </c>
      <c r="K681" s="87">
        <v>1</v>
      </c>
      <c r="L681" s="87">
        <v>1</v>
      </c>
      <c r="M681" s="88">
        <v>1</v>
      </c>
      <c r="N681" s="89"/>
      <c r="O681" s="87"/>
      <c r="P681" s="87"/>
      <c r="Q681" s="87"/>
      <c r="R681" s="87"/>
      <c r="S681" s="87">
        <v>1</v>
      </c>
      <c r="T681" s="87"/>
      <c r="U681" s="87">
        <v>1</v>
      </c>
      <c r="V681" s="90" t="s">
        <v>3779</v>
      </c>
    </row>
    <row r="682" ht="15" customHeight="1" spans="1:23" x14ac:dyDescent="0.25">
      <c r="A682" s="85">
        <v>3874</v>
      </c>
      <c r="B682" s="85" t="s">
        <v>3841</v>
      </c>
      <c r="C682" s="85" t="s">
        <v>698</v>
      </c>
      <c r="D682" s="85" t="s">
        <v>1155</v>
      </c>
      <c r="E682" s="85"/>
      <c r="F682" s="85" t="s">
        <v>157</v>
      </c>
      <c r="G682" s="85"/>
      <c r="H682" s="85"/>
      <c r="I682" s="86"/>
      <c r="J682" s="86"/>
      <c r="K682" s="87"/>
      <c r="L682" s="87"/>
      <c r="M682" s="88"/>
      <c r="N682" s="89"/>
      <c r="O682" s="87"/>
      <c r="P682" s="87"/>
      <c r="Q682" s="87"/>
      <c r="R682" s="87"/>
      <c r="S682" s="87">
        <v>1</v>
      </c>
      <c r="T682" s="87">
        <v>1</v>
      </c>
      <c r="U682" s="87">
        <v>1</v>
      </c>
      <c r="V682" s="90" t="s">
        <v>3779</v>
      </c>
    </row>
    <row r="683" ht="15" customHeight="1" spans="1:23" x14ac:dyDescent="0.25">
      <c r="A683" s="85">
        <v>3874</v>
      </c>
      <c r="B683" s="85" t="s">
        <v>3841</v>
      </c>
      <c r="C683" s="85" t="s">
        <v>698</v>
      </c>
      <c r="D683" s="85" t="s">
        <v>1155</v>
      </c>
      <c r="E683" s="85"/>
      <c r="F683" s="85" t="s">
        <v>2472</v>
      </c>
      <c r="G683" s="85" t="s">
        <v>288</v>
      </c>
      <c r="H683" s="85" t="s">
        <v>3268</v>
      </c>
      <c r="I683" s="86">
        <v>65</v>
      </c>
      <c r="J683" s="86">
        <v>65</v>
      </c>
      <c r="K683" s="87">
        <v>1</v>
      </c>
      <c r="L683" s="87">
        <v>1</v>
      </c>
      <c r="M683" s="88">
        <v>1</v>
      </c>
      <c r="N683" s="89"/>
      <c r="O683" s="87"/>
      <c r="P683" s="87"/>
      <c r="Q683" s="87"/>
      <c r="R683" s="87"/>
      <c r="S683" s="87">
        <v>1</v>
      </c>
      <c r="T683" s="87"/>
      <c r="U683" s="87">
        <v>1</v>
      </c>
      <c r="V683" s="90" t="s">
        <v>3779</v>
      </c>
    </row>
    <row r="684" ht="15" customHeight="1" spans="1:23" x14ac:dyDescent="0.25">
      <c r="A684" s="85">
        <v>3875</v>
      </c>
      <c r="B684" s="85" t="s">
        <v>3842</v>
      </c>
      <c r="C684" s="85" t="s">
        <v>698</v>
      </c>
      <c r="D684" s="85" t="s">
        <v>168</v>
      </c>
      <c r="E684" s="85"/>
      <c r="F684" s="85" t="s">
        <v>157</v>
      </c>
      <c r="G684" s="85"/>
      <c r="H684" s="85"/>
      <c r="I684" s="86"/>
      <c r="J684" s="86"/>
      <c r="K684" s="87"/>
      <c r="L684" s="87"/>
      <c r="M684" s="88"/>
      <c r="N684" s="89"/>
      <c r="O684" s="87"/>
      <c r="P684" s="87"/>
      <c r="Q684" s="87"/>
      <c r="R684" s="87"/>
      <c r="S684" s="87">
        <v>0.8</v>
      </c>
      <c r="T684" s="87">
        <v>0.8</v>
      </c>
      <c r="U684" s="87">
        <v>0.8</v>
      </c>
      <c r="V684" s="90" t="s">
        <v>3603</v>
      </c>
    </row>
    <row r="685" ht="15" customHeight="1" spans="1:23" x14ac:dyDescent="0.25">
      <c r="A685" s="85">
        <v>3875</v>
      </c>
      <c r="B685" s="85" t="s">
        <v>3842</v>
      </c>
      <c r="C685" s="85" t="s">
        <v>698</v>
      </c>
      <c r="D685" s="85" t="s">
        <v>168</v>
      </c>
      <c r="E685" s="85"/>
      <c r="F685" s="85" t="s">
        <v>2472</v>
      </c>
      <c r="G685" s="85" t="s">
        <v>288</v>
      </c>
      <c r="H685" s="85" t="s">
        <v>3268</v>
      </c>
      <c r="I685" s="86">
        <v>65</v>
      </c>
      <c r="J685" s="86">
        <v>65</v>
      </c>
      <c r="K685" s="87">
        <v>1</v>
      </c>
      <c r="L685" s="87">
        <v>0.8</v>
      </c>
      <c r="M685" s="88">
        <v>0.8</v>
      </c>
      <c r="N685" s="89"/>
      <c r="O685" s="87"/>
      <c r="P685" s="87"/>
      <c r="Q685" s="87"/>
      <c r="R685" s="87"/>
      <c r="S685" s="87">
        <v>0.8</v>
      </c>
      <c r="T685" s="87"/>
      <c r="U685" s="87">
        <v>0.8</v>
      </c>
      <c r="V685" s="90" t="s">
        <v>3603</v>
      </c>
    </row>
    <row r="686" ht="15" customHeight="1" spans="1:23" x14ac:dyDescent="0.25">
      <c r="A686" s="85">
        <v>3876</v>
      </c>
      <c r="B686" s="85" t="s">
        <v>3843</v>
      </c>
      <c r="C686" s="85" t="s">
        <v>698</v>
      </c>
      <c r="D686" s="85" t="s">
        <v>1878</v>
      </c>
      <c r="E686" s="85"/>
      <c r="F686" s="85" t="s">
        <v>157</v>
      </c>
      <c r="G686" s="85"/>
      <c r="H686" s="85"/>
      <c r="I686" s="86"/>
      <c r="J686" s="86"/>
      <c r="K686" s="87"/>
      <c r="L686" s="87"/>
      <c r="M686" s="88"/>
      <c r="N686" s="89"/>
      <c r="O686" s="87"/>
      <c r="P686" s="87"/>
      <c r="Q686" s="87"/>
      <c r="R686" s="87"/>
      <c r="S686" s="87">
        <v>1</v>
      </c>
      <c r="T686" s="87">
        <v>1</v>
      </c>
      <c r="U686" s="87"/>
      <c r="V686" s="90" t="s">
        <v>2472</v>
      </c>
    </row>
    <row r="687" ht="15" customHeight="1" spans="1:23" x14ac:dyDescent="0.25">
      <c r="A687" s="85">
        <v>3876</v>
      </c>
      <c r="B687" s="85" t="s">
        <v>3843</v>
      </c>
      <c r="C687" s="85" t="s">
        <v>698</v>
      </c>
      <c r="D687" s="85" t="s">
        <v>1878</v>
      </c>
      <c r="E687" s="85"/>
      <c r="F687" s="85" t="s">
        <v>2472</v>
      </c>
      <c r="G687" s="85" t="s">
        <v>288</v>
      </c>
      <c r="H687" s="85" t="s">
        <v>3268</v>
      </c>
      <c r="I687" s="86">
        <v>65</v>
      </c>
      <c r="J687" s="86">
        <v>65</v>
      </c>
      <c r="K687" s="87">
        <v>1</v>
      </c>
      <c r="L687" s="87">
        <v>1</v>
      </c>
      <c r="M687" s="88">
        <v>1</v>
      </c>
      <c r="N687" s="89"/>
      <c r="O687" s="87"/>
      <c r="P687" s="87"/>
      <c r="Q687" s="87"/>
      <c r="R687" s="87"/>
      <c r="S687" s="87">
        <v>1</v>
      </c>
      <c r="T687" s="87"/>
      <c r="U687" s="87">
        <v>0</v>
      </c>
      <c r="V687" s="90" t="s">
        <v>2472</v>
      </c>
    </row>
    <row r="688" ht="15" customHeight="1" spans="1:23" x14ac:dyDescent="0.25">
      <c r="A688" s="85">
        <v>3877</v>
      </c>
      <c r="B688" s="85" t="s">
        <v>3844</v>
      </c>
      <c r="C688" s="85" t="s">
        <v>698</v>
      </c>
      <c r="D688" s="85" t="s">
        <v>1888</v>
      </c>
      <c r="E688" s="85"/>
      <c r="F688" s="85" t="s">
        <v>157</v>
      </c>
      <c r="G688" s="85"/>
      <c r="H688" s="85"/>
      <c r="I688" s="86"/>
      <c r="J688" s="86"/>
      <c r="K688" s="87"/>
      <c r="L688" s="87"/>
      <c r="M688" s="88"/>
      <c r="N688" s="89"/>
      <c r="O688" s="87"/>
      <c r="P688" s="87"/>
      <c r="Q688" s="87"/>
      <c r="R688" s="87"/>
      <c r="S688" s="87">
        <v>1</v>
      </c>
      <c r="T688" s="87">
        <v>1</v>
      </c>
      <c r="U688" s="87"/>
      <c r="V688" s="90" t="s">
        <v>2472</v>
      </c>
    </row>
    <row r="689" ht="15" customHeight="1" spans="1:23" x14ac:dyDescent="0.25">
      <c r="A689" s="85">
        <v>3877</v>
      </c>
      <c r="B689" s="85" t="s">
        <v>3844</v>
      </c>
      <c r="C689" s="85" t="s">
        <v>698</v>
      </c>
      <c r="D689" s="85" t="s">
        <v>1888</v>
      </c>
      <c r="E689" s="85"/>
      <c r="F689" s="85" t="s">
        <v>2472</v>
      </c>
      <c r="G689" s="85" t="s">
        <v>288</v>
      </c>
      <c r="H689" s="85" t="s">
        <v>3268</v>
      </c>
      <c r="I689" s="86">
        <v>65</v>
      </c>
      <c r="J689" s="86">
        <v>65</v>
      </c>
      <c r="K689" s="87">
        <v>1</v>
      </c>
      <c r="L689" s="87">
        <v>1</v>
      </c>
      <c r="M689" s="88">
        <v>1</v>
      </c>
      <c r="N689" s="89"/>
      <c r="O689" s="87"/>
      <c r="P689" s="87"/>
      <c r="Q689" s="87"/>
      <c r="R689" s="87"/>
      <c r="S689" s="87">
        <v>1</v>
      </c>
      <c r="T689" s="87"/>
      <c r="U689" s="87">
        <v>0</v>
      </c>
      <c r="V689" s="90" t="s">
        <v>2472</v>
      </c>
    </row>
    <row r="690" ht="15" customHeight="1" spans="1:23" x14ac:dyDescent="0.25">
      <c r="A690" s="85">
        <v>3878</v>
      </c>
      <c r="B690" s="85" t="s">
        <v>3845</v>
      </c>
      <c r="C690" s="85" t="s">
        <v>698</v>
      </c>
      <c r="D690" s="85" t="s">
        <v>1698</v>
      </c>
      <c r="E690" s="85"/>
      <c r="F690" s="85" t="s">
        <v>157</v>
      </c>
      <c r="G690" s="85"/>
      <c r="H690" s="85"/>
      <c r="I690" s="86"/>
      <c r="J690" s="86"/>
      <c r="K690" s="87"/>
      <c r="L690" s="87"/>
      <c r="M690" s="88"/>
      <c r="N690" s="89"/>
      <c r="O690" s="87"/>
      <c r="P690" s="87"/>
      <c r="Q690" s="87"/>
      <c r="R690" s="87"/>
      <c r="S690" s="87">
        <v>1</v>
      </c>
      <c r="T690" s="87">
        <v>1</v>
      </c>
      <c r="U690" s="87">
        <v>1</v>
      </c>
      <c r="V690" s="90" t="s">
        <v>3779</v>
      </c>
    </row>
    <row r="691" ht="15" customHeight="1" spans="1:23" x14ac:dyDescent="0.25">
      <c r="A691" s="85">
        <v>3878</v>
      </c>
      <c r="B691" s="85" t="s">
        <v>3845</v>
      </c>
      <c r="C691" s="85" t="s">
        <v>698</v>
      </c>
      <c r="D691" s="85" t="s">
        <v>1698</v>
      </c>
      <c r="E691" s="85"/>
      <c r="F691" s="85" t="s">
        <v>2472</v>
      </c>
      <c r="G691" s="85" t="s">
        <v>288</v>
      </c>
      <c r="H691" s="85" t="s">
        <v>3268</v>
      </c>
      <c r="I691" s="86">
        <v>65</v>
      </c>
      <c r="J691" s="86">
        <v>65</v>
      </c>
      <c r="K691" s="87">
        <v>1</v>
      </c>
      <c r="L691" s="87">
        <v>1</v>
      </c>
      <c r="M691" s="88">
        <v>1</v>
      </c>
      <c r="N691" s="89"/>
      <c r="O691" s="87"/>
      <c r="P691" s="87"/>
      <c r="Q691" s="87"/>
      <c r="R691" s="87"/>
      <c r="S691" s="87">
        <v>1</v>
      </c>
      <c r="T691" s="87"/>
      <c r="U691" s="87">
        <v>1</v>
      </c>
      <c r="V691" s="90" t="s">
        <v>3779</v>
      </c>
    </row>
    <row r="692" ht="15" customHeight="1" spans="1:23" x14ac:dyDescent="0.25">
      <c r="A692" s="85">
        <v>3879</v>
      </c>
      <c r="B692" s="85" t="s">
        <v>3846</v>
      </c>
      <c r="C692" s="85" t="s">
        <v>698</v>
      </c>
      <c r="D692" s="85" t="s">
        <v>1113</v>
      </c>
      <c r="E692" s="85"/>
      <c r="F692" s="85" t="s">
        <v>157</v>
      </c>
      <c r="G692" s="85"/>
      <c r="H692" s="85"/>
      <c r="I692" s="86"/>
      <c r="J692" s="86"/>
      <c r="K692" s="87"/>
      <c r="L692" s="87"/>
      <c r="M692" s="88"/>
      <c r="N692" s="89"/>
      <c r="O692" s="87"/>
      <c r="P692" s="87"/>
      <c r="Q692" s="87"/>
      <c r="R692" s="87"/>
      <c r="S692" s="87">
        <v>0.8</v>
      </c>
      <c r="T692" s="87">
        <v>0.8</v>
      </c>
      <c r="U692" s="87">
        <v>0.8</v>
      </c>
      <c r="V692" s="90" t="s">
        <v>3603</v>
      </c>
    </row>
    <row r="693" ht="15" customHeight="1" spans="1:23" x14ac:dyDescent="0.25">
      <c r="A693" s="85">
        <v>3879</v>
      </c>
      <c r="B693" s="85" t="s">
        <v>3846</v>
      </c>
      <c r="C693" s="85" t="s">
        <v>698</v>
      </c>
      <c r="D693" s="85" t="s">
        <v>1113</v>
      </c>
      <c r="E693" s="85"/>
      <c r="F693" s="85" t="s">
        <v>2472</v>
      </c>
      <c r="G693" s="85" t="s">
        <v>288</v>
      </c>
      <c r="H693" s="85" t="s">
        <v>3268</v>
      </c>
      <c r="I693" s="86">
        <v>65</v>
      </c>
      <c r="J693" s="86">
        <v>65</v>
      </c>
      <c r="K693" s="87">
        <v>1</v>
      </c>
      <c r="L693" s="87">
        <v>0.8</v>
      </c>
      <c r="M693" s="88">
        <v>0.8</v>
      </c>
      <c r="N693" s="89"/>
      <c r="O693" s="87"/>
      <c r="P693" s="87"/>
      <c r="Q693" s="87"/>
      <c r="R693" s="87"/>
      <c r="S693" s="87">
        <v>0.8</v>
      </c>
      <c r="T693" s="87"/>
      <c r="U693" s="87">
        <v>0.8</v>
      </c>
      <c r="V693" s="90" t="s">
        <v>3603</v>
      </c>
    </row>
    <row r="694" ht="15" customHeight="1" spans="1:23" x14ac:dyDescent="0.25">
      <c r="A694" s="85">
        <v>3880</v>
      </c>
      <c r="B694" s="85" t="s">
        <v>3847</v>
      </c>
      <c r="C694" s="85" t="s">
        <v>698</v>
      </c>
      <c r="D694" s="85" t="s">
        <v>739</v>
      </c>
      <c r="E694" s="85"/>
      <c r="F694" s="85" t="s">
        <v>157</v>
      </c>
      <c r="G694" s="85"/>
      <c r="H694" s="85"/>
      <c r="I694" s="86"/>
      <c r="J694" s="86"/>
      <c r="K694" s="87"/>
      <c r="L694" s="87"/>
      <c r="M694" s="88"/>
      <c r="N694" s="89"/>
      <c r="O694" s="87"/>
      <c r="P694" s="87"/>
      <c r="Q694" s="87"/>
      <c r="R694" s="87"/>
      <c r="S694" s="87">
        <v>0.8</v>
      </c>
      <c r="T694" s="87">
        <v>0.8</v>
      </c>
      <c r="U694" s="87">
        <v>0.8</v>
      </c>
      <c r="V694" s="90" t="s">
        <v>3848</v>
      </c>
    </row>
    <row r="695" ht="15" customHeight="1" spans="1:23" x14ac:dyDescent="0.25">
      <c r="A695" s="85">
        <v>3880</v>
      </c>
      <c r="B695" s="85" t="s">
        <v>3847</v>
      </c>
      <c r="C695" s="85" t="s">
        <v>698</v>
      </c>
      <c r="D695" s="85" t="s">
        <v>739</v>
      </c>
      <c r="E695" s="85"/>
      <c r="F695" s="85" t="s">
        <v>2472</v>
      </c>
      <c r="G695" s="85" t="s">
        <v>288</v>
      </c>
      <c r="H695" s="85" t="s">
        <v>3268</v>
      </c>
      <c r="I695" s="86">
        <v>65</v>
      </c>
      <c r="J695" s="86">
        <v>65</v>
      </c>
      <c r="K695" s="87">
        <v>1</v>
      </c>
      <c r="L695" s="87">
        <v>0.8</v>
      </c>
      <c r="M695" s="88">
        <v>0.8</v>
      </c>
      <c r="N695" s="89"/>
      <c r="O695" s="87"/>
      <c r="P695" s="87"/>
      <c r="Q695" s="87"/>
      <c r="R695" s="87"/>
      <c r="S695" s="87">
        <v>0.8</v>
      </c>
      <c r="T695" s="87"/>
      <c r="U695" s="87">
        <v>0.8</v>
      </c>
      <c r="V695" s="90" t="s">
        <v>3848</v>
      </c>
    </row>
    <row r="696" ht="15" customHeight="1" spans="1:23" x14ac:dyDescent="0.25">
      <c r="A696" s="85">
        <v>3881</v>
      </c>
      <c r="B696" s="85" t="s">
        <v>3849</v>
      </c>
      <c r="C696" s="85" t="s">
        <v>698</v>
      </c>
      <c r="D696" s="85" t="s">
        <v>2110</v>
      </c>
      <c r="E696" s="85"/>
      <c r="F696" s="85" t="s">
        <v>157</v>
      </c>
      <c r="G696" s="85"/>
      <c r="H696" s="85"/>
      <c r="I696" s="86"/>
      <c r="J696" s="86"/>
      <c r="K696" s="87"/>
      <c r="L696" s="87"/>
      <c r="M696" s="88"/>
      <c r="N696" s="89"/>
      <c r="O696" s="87"/>
      <c r="P696" s="87"/>
      <c r="Q696" s="87"/>
      <c r="R696" s="87"/>
      <c r="S696" s="87">
        <v>1</v>
      </c>
      <c r="T696" s="87">
        <v>1</v>
      </c>
      <c r="U696" s="87">
        <v>1</v>
      </c>
      <c r="V696" s="90" t="s">
        <v>3609</v>
      </c>
    </row>
    <row r="697" ht="15" customHeight="1" spans="1:23" x14ac:dyDescent="0.25">
      <c r="A697" s="85">
        <v>3881</v>
      </c>
      <c r="B697" s="85" t="s">
        <v>3849</v>
      </c>
      <c r="C697" s="85" t="s">
        <v>698</v>
      </c>
      <c r="D697" s="85" t="s">
        <v>2110</v>
      </c>
      <c r="E697" s="85"/>
      <c r="F697" s="85" t="s">
        <v>2472</v>
      </c>
      <c r="G697" s="85" t="s">
        <v>288</v>
      </c>
      <c r="H697" s="85" t="s">
        <v>3268</v>
      </c>
      <c r="I697" s="86">
        <v>65</v>
      </c>
      <c r="J697" s="86">
        <v>65</v>
      </c>
      <c r="K697" s="87">
        <v>1</v>
      </c>
      <c r="L697" s="87">
        <v>1</v>
      </c>
      <c r="M697" s="88">
        <v>1</v>
      </c>
      <c r="N697" s="89"/>
      <c r="O697" s="87"/>
      <c r="P697" s="87"/>
      <c r="Q697" s="87"/>
      <c r="R697" s="87"/>
      <c r="S697" s="87">
        <v>1</v>
      </c>
      <c r="T697" s="87"/>
      <c r="U697" s="87">
        <v>1</v>
      </c>
      <c r="V697" s="90" t="s">
        <v>3609</v>
      </c>
    </row>
    <row r="698" ht="15" customHeight="1" spans="1:23" x14ac:dyDescent="0.25">
      <c r="A698" s="85">
        <v>3882</v>
      </c>
      <c r="B698" s="85" t="s">
        <v>3850</v>
      </c>
      <c r="C698" s="85" t="s">
        <v>698</v>
      </c>
      <c r="D698" s="85" t="s">
        <v>1076</v>
      </c>
      <c r="E698" s="85"/>
      <c r="F698" s="85" t="s">
        <v>157</v>
      </c>
      <c r="G698" s="85"/>
      <c r="H698" s="85"/>
      <c r="I698" s="86"/>
      <c r="J698" s="86"/>
      <c r="K698" s="87"/>
      <c r="L698" s="87"/>
      <c r="M698" s="88"/>
      <c r="N698" s="89"/>
      <c r="O698" s="87"/>
      <c r="P698" s="87"/>
      <c r="Q698" s="87"/>
      <c r="R698" s="87"/>
      <c r="S698" s="87">
        <v>1</v>
      </c>
      <c r="T698" s="87">
        <v>1</v>
      </c>
      <c r="U698" s="87"/>
      <c r="V698" s="90" t="s">
        <v>2472</v>
      </c>
    </row>
    <row r="699" ht="15" customHeight="1" spans="1:23" x14ac:dyDescent="0.25">
      <c r="A699" s="85">
        <v>3882</v>
      </c>
      <c r="B699" s="85" t="s">
        <v>3850</v>
      </c>
      <c r="C699" s="85" t="s">
        <v>698</v>
      </c>
      <c r="D699" s="85" t="s">
        <v>1076</v>
      </c>
      <c r="E699" s="85"/>
      <c r="F699" s="85" t="s">
        <v>2472</v>
      </c>
      <c r="G699" s="85" t="s">
        <v>288</v>
      </c>
      <c r="H699" s="85" t="s">
        <v>3268</v>
      </c>
      <c r="I699" s="86">
        <v>65</v>
      </c>
      <c r="J699" s="86">
        <v>65</v>
      </c>
      <c r="K699" s="87">
        <v>1</v>
      </c>
      <c r="L699" s="87">
        <v>1</v>
      </c>
      <c r="M699" s="88">
        <v>1</v>
      </c>
      <c r="N699" s="89"/>
      <c r="O699" s="87"/>
      <c r="P699" s="87"/>
      <c r="Q699" s="87"/>
      <c r="R699" s="87"/>
      <c r="S699" s="87">
        <v>1</v>
      </c>
      <c r="T699" s="87"/>
      <c r="U699" s="87">
        <v>0</v>
      </c>
      <c r="V699" s="90" t="s">
        <v>2472</v>
      </c>
    </row>
    <row r="700" ht="15" customHeight="1" spans="1:23" x14ac:dyDescent="0.25">
      <c r="A700" s="85">
        <v>3883</v>
      </c>
      <c r="B700" s="85" t="s">
        <v>3851</v>
      </c>
      <c r="C700" s="85" t="s">
        <v>698</v>
      </c>
      <c r="D700" s="85" t="s">
        <v>1736</v>
      </c>
      <c r="E700" s="85"/>
      <c r="F700" s="85" t="s">
        <v>157</v>
      </c>
      <c r="G700" s="85"/>
      <c r="H700" s="85"/>
      <c r="I700" s="86"/>
      <c r="J700" s="86"/>
      <c r="K700" s="87"/>
      <c r="L700" s="87"/>
      <c r="M700" s="88"/>
      <c r="N700" s="89"/>
      <c r="O700" s="87"/>
      <c r="P700" s="87"/>
      <c r="Q700" s="87"/>
      <c r="R700" s="87"/>
      <c r="S700" s="87">
        <v>1</v>
      </c>
      <c r="T700" s="87">
        <v>1</v>
      </c>
      <c r="U700" s="87">
        <v>1</v>
      </c>
      <c r="V700" s="90" t="s">
        <v>3609</v>
      </c>
    </row>
    <row r="701" ht="15" customHeight="1" spans="1:23" x14ac:dyDescent="0.25">
      <c r="A701" s="85">
        <v>3883</v>
      </c>
      <c r="B701" s="85" t="s">
        <v>3851</v>
      </c>
      <c r="C701" s="85" t="s">
        <v>698</v>
      </c>
      <c r="D701" s="85" t="s">
        <v>1736</v>
      </c>
      <c r="E701" s="85"/>
      <c r="F701" s="85" t="s">
        <v>2472</v>
      </c>
      <c r="G701" s="85" t="s">
        <v>288</v>
      </c>
      <c r="H701" s="85" t="s">
        <v>3268</v>
      </c>
      <c r="I701" s="86">
        <v>65</v>
      </c>
      <c r="J701" s="86">
        <v>65</v>
      </c>
      <c r="K701" s="87">
        <v>1</v>
      </c>
      <c r="L701" s="87">
        <v>1</v>
      </c>
      <c r="M701" s="88">
        <v>1</v>
      </c>
      <c r="N701" s="89"/>
      <c r="O701" s="87"/>
      <c r="P701" s="87"/>
      <c r="Q701" s="87"/>
      <c r="R701" s="87"/>
      <c r="S701" s="87">
        <v>1</v>
      </c>
      <c r="T701" s="87"/>
      <c r="U701" s="87">
        <v>1</v>
      </c>
      <c r="V701" s="90" t="s">
        <v>3609</v>
      </c>
    </row>
    <row r="702" ht="15" customHeight="1" spans="1:23" x14ac:dyDescent="0.25">
      <c r="A702" s="85">
        <v>3884</v>
      </c>
      <c r="B702" s="85" t="s">
        <v>3852</v>
      </c>
      <c r="C702" s="85" t="s">
        <v>698</v>
      </c>
      <c r="D702" s="85" t="s">
        <v>1309</v>
      </c>
      <c r="E702" s="85"/>
      <c r="F702" s="85" t="s">
        <v>157</v>
      </c>
      <c r="G702" s="85"/>
      <c r="H702" s="85"/>
      <c r="I702" s="86"/>
      <c r="J702" s="86"/>
      <c r="K702" s="87"/>
      <c r="L702" s="87"/>
      <c r="M702" s="88"/>
      <c r="N702" s="89"/>
      <c r="O702" s="87"/>
      <c r="P702" s="87"/>
      <c r="Q702" s="87"/>
      <c r="R702" s="87"/>
      <c r="S702" s="87">
        <v>1</v>
      </c>
      <c r="T702" s="87">
        <v>1</v>
      </c>
      <c r="U702" s="87">
        <v>1</v>
      </c>
      <c r="V702" s="90" t="s">
        <v>3609</v>
      </c>
    </row>
    <row r="703" ht="15" customHeight="1" spans="1:23" x14ac:dyDescent="0.25">
      <c r="A703" s="85">
        <v>3884</v>
      </c>
      <c r="B703" s="85" t="s">
        <v>3852</v>
      </c>
      <c r="C703" s="85" t="s">
        <v>698</v>
      </c>
      <c r="D703" s="85" t="s">
        <v>1309</v>
      </c>
      <c r="E703" s="85"/>
      <c r="F703" s="85" t="s">
        <v>2472</v>
      </c>
      <c r="G703" s="85" t="s">
        <v>288</v>
      </c>
      <c r="H703" s="85" t="s">
        <v>3268</v>
      </c>
      <c r="I703" s="86">
        <v>65</v>
      </c>
      <c r="J703" s="86">
        <v>65</v>
      </c>
      <c r="K703" s="87">
        <v>1</v>
      </c>
      <c r="L703" s="87">
        <v>1</v>
      </c>
      <c r="M703" s="88">
        <v>1</v>
      </c>
      <c r="N703" s="89"/>
      <c r="O703" s="87"/>
      <c r="P703" s="87"/>
      <c r="Q703" s="87"/>
      <c r="R703" s="87"/>
      <c r="S703" s="87">
        <v>1</v>
      </c>
      <c r="T703" s="87"/>
      <c r="U703" s="87">
        <v>1</v>
      </c>
      <c r="V703" s="90" t="s">
        <v>3609</v>
      </c>
    </row>
    <row r="704" ht="15" customHeight="1" spans="1:23" x14ac:dyDescent="0.25">
      <c r="A704" s="85">
        <v>3885</v>
      </c>
      <c r="B704" s="85" t="s">
        <v>3853</v>
      </c>
      <c r="C704" s="85" t="s">
        <v>698</v>
      </c>
      <c r="D704" s="85" t="s">
        <v>836</v>
      </c>
      <c r="E704" s="85"/>
      <c r="F704" s="85" t="s">
        <v>157</v>
      </c>
      <c r="G704" s="85"/>
      <c r="H704" s="85"/>
      <c r="I704" s="86"/>
      <c r="J704" s="86"/>
      <c r="K704" s="87"/>
      <c r="L704" s="87"/>
      <c r="M704" s="88"/>
      <c r="N704" s="89"/>
      <c r="O704" s="87"/>
      <c r="P704" s="87"/>
      <c r="Q704" s="87"/>
      <c r="R704" s="87"/>
      <c r="S704" s="87">
        <v>0.8</v>
      </c>
      <c r="T704" s="87">
        <v>0.8</v>
      </c>
      <c r="U704" s="87">
        <v>0.8</v>
      </c>
      <c r="V704" s="90" t="s">
        <v>3848</v>
      </c>
    </row>
    <row r="705" ht="15" customHeight="1" spans="1:23" x14ac:dyDescent="0.25">
      <c r="A705" s="85">
        <v>3885</v>
      </c>
      <c r="B705" s="85" t="s">
        <v>3853</v>
      </c>
      <c r="C705" s="85" t="s">
        <v>698</v>
      </c>
      <c r="D705" s="85" t="s">
        <v>836</v>
      </c>
      <c r="E705" s="85"/>
      <c r="F705" s="85" t="s">
        <v>2472</v>
      </c>
      <c r="G705" s="85" t="s">
        <v>288</v>
      </c>
      <c r="H705" s="85" t="s">
        <v>3268</v>
      </c>
      <c r="I705" s="86">
        <v>65</v>
      </c>
      <c r="J705" s="86">
        <v>65</v>
      </c>
      <c r="K705" s="87">
        <v>1</v>
      </c>
      <c r="L705" s="87">
        <v>0.8</v>
      </c>
      <c r="M705" s="88">
        <v>0.8</v>
      </c>
      <c r="N705" s="89"/>
      <c r="O705" s="87"/>
      <c r="P705" s="87"/>
      <c r="Q705" s="87"/>
      <c r="R705" s="87"/>
      <c r="S705" s="87">
        <v>0.8</v>
      </c>
      <c r="T705" s="87"/>
      <c r="U705" s="87">
        <v>0.8</v>
      </c>
      <c r="V705" s="90" t="s">
        <v>3848</v>
      </c>
    </row>
    <row r="706" ht="15" customHeight="1" spans="1:23" x14ac:dyDescent="0.25">
      <c r="A706" s="85">
        <v>3886</v>
      </c>
      <c r="B706" s="85" t="s">
        <v>3854</v>
      </c>
      <c r="C706" s="85" t="s">
        <v>698</v>
      </c>
      <c r="D706" s="85" t="s">
        <v>1390</v>
      </c>
      <c r="E706" s="85"/>
      <c r="F706" s="85" t="s">
        <v>157</v>
      </c>
      <c r="G706" s="85"/>
      <c r="H706" s="85"/>
      <c r="I706" s="86"/>
      <c r="J706" s="86"/>
      <c r="K706" s="87"/>
      <c r="L706" s="87"/>
      <c r="M706" s="88"/>
      <c r="N706" s="89"/>
      <c r="O706" s="87"/>
      <c r="P706" s="87"/>
      <c r="Q706" s="87"/>
      <c r="R706" s="87"/>
      <c r="S706" s="87">
        <v>1</v>
      </c>
      <c r="T706" s="87">
        <v>1</v>
      </c>
      <c r="U706" s="87">
        <v>1</v>
      </c>
      <c r="V706" s="90" t="s">
        <v>3609</v>
      </c>
    </row>
    <row r="707" ht="15" customHeight="1" spans="1:23" x14ac:dyDescent="0.25">
      <c r="A707" s="85">
        <v>3886</v>
      </c>
      <c r="B707" s="85" t="s">
        <v>3854</v>
      </c>
      <c r="C707" s="85" t="s">
        <v>698</v>
      </c>
      <c r="D707" s="85" t="s">
        <v>1390</v>
      </c>
      <c r="E707" s="85"/>
      <c r="F707" s="85" t="s">
        <v>2472</v>
      </c>
      <c r="G707" s="85" t="s">
        <v>288</v>
      </c>
      <c r="H707" s="85" t="s">
        <v>3268</v>
      </c>
      <c r="I707" s="86">
        <v>65</v>
      </c>
      <c r="J707" s="86">
        <v>65</v>
      </c>
      <c r="K707" s="87">
        <v>1</v>
      </c>
      <c r="L707" s="87">
        <v>1</v>
      </c>
      <c r="M707" s="88">
        <v>1</v>
      </c>
      <c r="N707" s="89"/>
      <c r="O707" s="87"/>
      <c r="P707" s="87"/>
      <c r="Q707" s="87"/>
      <c r="R707" s="87"/>
      <c r="S707" s="87">
        <v>1</v>
      </c>
      <c r="T707" s="87"/>
      <c r="U707" s="87">
        <v>1</v>
      </c>
      <c r="V707" s="90" t="s">
        <v>3609</v>
      </c>
    </row>
    <row r="708" ht="15" customHeight="1" spans="1:23" x14ac:dyDescent="0.25">
      <c r="A708" s="85">
        <v>3887</v>
      </c>
      <c r="B708" s="85" t="s">
        <v>3855</v>
      </c>
      <c r="C708" s="85" t="s">
        <v>698</v>
      </c>
      <c r="D708" s="85" t="s">
        <v>593</v>
      </c>
      <c r="E708" s="85"/>
      <c r="F708" s="85" t="s">
        <v>157</v>
      </c>
      <c r="G708" s="85"/>
      <c r="H708" s="85"/>
      <c r="I708" s="86"/>
      <c r="J708" s="86"/>
      <c r="K708" s="87"/>
      <c r="L708" s="87"/>
      <c r="M708" s="88"/>
      <c r="N708" s="89"/>
      <c r="O708" s="87"/>
      <c r="P708" s="87"/>
      <c r="Q708" s="87"/>
      <c r="R708" s="87"/>
      <c r="S708" s="87">
        <v>0.8</v>
      </c>
      <c r="T708" s="87">
        <v>0.8</v>
      </c>
      <c r="U708" s="87">
        <v>0.8</v>
      </c>
      <c r="V708" s="90" t="s">
        <v>3856</v>
      </c>
    </row>
    <row r="709" ht="15" customHeight="1" spans="1:23" x14ac:dyDescent="0.25">
      <c r="A709" s="85">
        <v>3887</v>
      </c>
      <c r="B709" s="85" t="s">
        <v>3855</v>
      </c>
      <c r="C709" s="85" t="s">
        <v>698</v>
      </c>
      <c r="D709" s="85" t="s">
        <v>593</v>
      </c>
      <c r="E709" s="85"/>
      <c r="F709" s="85" t="s">
        <v>2472</v>
      </c>
      <c r="G709" s="85" t="s">
        <v>288</v>
      </c>
      <c r="H709" s="85" t="s">
        <v>3268</v>
      </c>
      <c r="I709" s="86">
        <v>65</v>
      </c>
      <c r="J709" s="86">
        <v>65</v>
      </c>
      <c r="K709" s="87">
        <v>1</v>
      </c>
      <c r="L709" s="87">
        <v>0.8</v>
      </c>
      <c r="M709" s="88">
        <v>0.8</v>
      </c>
      <c r="N709" s="89"/>
      <c r="O709" s="87"/>
      <c r="P709" s="87"/>
      <c r="Q709" s="87"/>
      <c r="R709" s="87"/>
      <c r="S709" s="87">
        <v>0.8</v>
      </c>
      <c r="T709" s="87"/>
      <c r="U709" s="87">
        <v>0.8</v>
      </c>
      <c r="V709" s="90" t="s">
        <v>3856</v>
      </c>
    </row>
    <row r="710" ht="15" customHeight="1" spans="1:23" x14ac:dyDescent="0.25">
      <c r="A710" s="85">
        <v>3888</v>
      </c>
      <c r="B710" s="85" t="s">
        <v>3857</v>
      </c>
      <c r="C710" s="85" t="s">
        <v>698</v>
      </c>
      <c r="D710" s="85" t="s">
        <v>593</v>
      </c>
      <c r="E710" s="85"/>
      <c r="F710" s="85" t="s">
        <v>157</v>
      </c>
      <c r="G710" s="85"/>
      <c r="H710" s="85"/>
      <c r="I710" s="86"/>
      <c r="J710" s="86"/>
      <c r="K710" s="87"/>
      <c r="L710" s="87"/>
      <c r="M710" s="88"/>
      <c r="N710" s="89"/>
      <c r="O710" s="87"/>
      <c r="P710" s="87"/>
      <c r="Q710" s="87"/>
      <c r="R710" s="87"/>
      <c r="S710" s="87">
        <v>1</v>
      </c>
      <c r="T710" s="87">
        <v>1</v>
      </c>
      <c r="U710" s="87">
        <v>1</v>
      </c>
      <c r="V710" s="90" t="s">
        <v>3611</v>
      </c>
    </row>
    <row r="711" ht="15" customHeight="1" spans="1:23" x14ac:dyDescent="0.25">
      <c r="A711" s="85">
        <v>3888</v>
      </c>
      <c r="B711" s="85" t="s">
        <v>3857</v>
      </c>
      <c r="C711" s="85" t="s">
        <v>698</v>
      </c>
      <c r="D711" s="85" t="s">
        <v>593</v>
      </c>
      <c r="E711" s="85"/>
      <c r="F711" s="85" t="s">
        <v>2472</v>
      </c>
      <c r="G711" s="85" t="s">
        <v>288</v>
      </c>
      <c r="H711" s="85" t="s">
        <v>3268</v>
      </c>
      <c r="I711" s="86">
        <v>65</v>
      </c>
      <c r="J711" s="86">
        <v>65</v>
      </c>
      <c r="K711" s="87">
        <v>1</v>
      </c>
      <c r="L711" s="87">
        <v>1</v>
      </c>
      <c r="M711" s="88">
        <v>1</v>
      </c>
      <c r="N711" s="89"/>
      <c r="O711" s="87"/>
      <c r="P711" s="87"/>
      <c r="Q711" s="87"/>
      <c r="R711" s="87"/>
      <c r="S711" s="87">
        <v>1</v>
      </c>
      <c r="T711" s="87"/>
      <c r="U711" s="87">
        <v>1</v>
      </c>
      <c r="V711" s="90" t="s">
        <v>3611</v>
      </c>
    </row>
    <row r="712" ht="15" customHeight="1" spans="1:23" x14ac:dyDescent="0.25">
      <c r="A712" s="85">
        <v>3889</v>
      </c>
      <c r="B712" s="85" t="s">
        <v>3858</v>
      </c>
      <c r="C712" s="85" t="s">
        <v>698</v>
      </c>
      <c r="D712" s="85" t="s">
        <v>1137</v>
      </c>
      <c r="E712" s="85"/>
      <c r="F712" s="85" t="s">
        <v>157</v>
      </c>
      <c r="G712" s="85"/>
      <c r="H712" s="85"/>
      <c r="I712" s="86"/>
      <c r="J712" s="86"/>
      <c r="K712" s="87"/>
      <c r="L712" s="87"/>
      <c r="M712" s="88"/>
      <c r="N712" s="89"/>
      <c r="O712" s="87"/>
      <c r="P712" s="87"/>
      <c r="Q712" s="87"/>
      <c r="R712" s="87"/>
      <c r="S712" s="87">
        <v>1</v>
      </c>
      <c r="T712" s="87">
        <v>1</v>
      </c>
      <c r="U712" s="87">
        <v>1</v>
      </c>
      <c r="V712" s="90" t="s">
        <v>3611</v>
      </c>
    </row>
    <row r="713" ht="15" customHeight="1" spans="1:23" x14ac:dyDescent="0.25">
      <c r="A713" s="85">
        <v>3889</v>
      </c>
      <c r="B713" s="85" t="s">
        <v>3858</v>
      </c>
      <c r="C713" s="85" t="s">
        <v>698</v>
      </c>
      <c r="D713" s="85" t="s">
        <v>1137</v>
      </c>
      <c r="E713" s="85"/>
      <c r="F713" s="85" t="s">
        <v>2472</v>
      </c>
      <c r="G713" s="85" t="s">
        <v>288</v>
      </c>
      <c r="H713" s="85" t="s">
        <v>3268</v>
      </c>
      <c r="I713" s="86">
        <v>65</v>
      </c>
      <c r="J713" s="86">
        <v>65</v>
      </c>
      <c r="K713" s="87">
        <v>1</v>
      </c>
      <c r="L713" s="87">
        <v>1</v>
      </c>
      <c r="M713" s="88">
        <v>1</v>
      </c>
      <c r="N713" s="89"/>
      <c r="O713" s="87"/>
      <c r="P713" s="87"/>
      <c r="Q713" s="87"/>
      <c r="R713" s="87"/>
      <c r="S713" s="87">
        <v>1</v>
      </c>
      <c r="T713" s="87"/>
      <c r="U713" s="87">
        <v>1</v>
      </c>
      <c r="V713" s="90" t="s">
        <v>3611</v>
      </c>
    </row>
    <row r="714" ht="15" customHeight="1" spans="1:23" x14ac:dyDescent="0.25">
      <c r="A714" s="85">
        <v>3890</v>
      </c>
      <c r="B714" s="85" t="s">
        <v>3859</v>
      </c>
      <c r="C714" s="85" t="s">
        <v>698</v>
      </c>
      <c r="D714" s="85" t="s">
        <v>849</v>
      </c>
      <c r="E714" s="85"/>
      <c r="F714" s="85" t="s">
        <v>157</v>
      </c>
      <c r="G714" s="85"/>
      <c r="H714" s="85"/>
      <c r="I714" s="86"/>
      <c r="J714" s="86"/>
      <c r="K714" s="87"/>
      <c r="L714" s="87"/>
      <c r="M714" s="88"/>
      <c r="N714" s="89"/>
      <c r="O714" s="87"/>
      <c r="P714" s="87"/>
      <c r="Q714" s="87"/>
      <c r="R714" s="87"/>
      <c r="S714" s="87">
        <v>1</v>
      </c>
      <c r="T714" s="87">
        <v>1</v>
      </c>
      <c r="U714" s="87">
        <v>1</v>
      </c>
      <c r="V714" s="90" t="s">
        <v>3611</v>
      </c>
    </row>
    <row r="715" ht="15" customHeight="1" spans="1:23" x14ac:dyDescent="0.25">
      <c r="A715" s="85">
        <v>3890</v>
      </c>
      <c r="B715" s="85" t="s">
        <v>3859</v>
      </c>
      <c r="C715" s="85" t="s">
        <v>698</v>
      </c>
      <c r="D715" s="85" t="s">
        <v>849</v>
      </c>
      <c r="E715" s="85"/>
      <c r="F715" s="85" t="s">
        <v>2472</v>
      </c>
      <c r="G715" s="85" t="s">
        <v>288</v>
      </c>
      <c r="H715" s="85" t="s">
        <v>3268</v>
      </c>
      <c r="I715" s="86">
        <v>65</v>
      </c>
      <c r="J715" s="86">
        <v>65</v>
      </c>
      <c r="K715" s="87">
        <v>1</v>
      </c>
      <c r="L715" s="87">
        <v>1</v>
      </c>
      <c r="M715" s="88">
        <v>1</v>
      </c>
      <c r="N715" s="89"/>
      <c r="O715" s="87"/>
      <c r="P715" s="87"/>
      <c r="Q715" s="87"/>
      <c r="R715" s="87"/>
      <c r="S715" s="87">
        <v>1</v>
      </c>
      <c r="T715" s="87"/>
      <c r="U715" s="87">
        <v>1</v>
      </c>
      <c r="V715" s="90" t="s">
        <v>3611</v>
      </c>
    </row>
    <row r="716" ht="15" customHeight="1" spans="1:23" x14ac:dyDescent="0.25">
      <c r="A716" s="85">
        <v>3891</v>
      </c>
      <c r="B716" s="85" t="s">
        <v>3860</v>
      </c>
      <c r="C716" s="85" t="s">
        <v>698</v>
      </c>
      <c r="D716" s="85" t="s">
        <v>1414</v>
      </c>
      <c r="E716" s="85"/>
      <c r="F716" s="85" t="s">
        <v>157</v>
      </c>
      <c r="G716" s="85"/>
      <c r="H716" s="85"/>
      <c r="I716" s="86"/>
      <c r="J716" s="86"/>
      <c r="K716" s="87"/>
      <c r="L716" s="87"/>
      <c r="M716" s="88"/>
      <c r="N716" s="89"/>
      <c r="O716" s="87"/>
      <c r="P716" s="87"/>
      <c r="Q716" s="87"/>
      <c r="R716" s="87"/>
      <c r="S716" s="87">
        <v>1</v>
      </c>
      <c r="T716" s="87">
        <v>1</v>
      </c>
      <c r="U716" s="87">
        <v>1</v>
      </c>
      <c r="V716" s="90" t="s">
        <v>3611</v>
      </c>
    </row>
    <row r="717" ht="15" customHeight="1" spans="1:23" x14ac:dyDescent="0.25">
      <c r="A717" s="85">
        <v>3891</v>
      </c>
      <c r="B717" s="85" t="s">
        <v>3860</v>
      </c>
      <c r="C717" s="85" t="s">
        <v>698</v>
      </c>
      <c r="D717" s="85" t="s">
        <v>1414</v>
      </c>
      <c r="E717" s="85"/>
      <c r="F717" s="85" t="s">
        <v>2472</v>
      </c>
      <c r="G717" s="85" t="s">
        <v>288</v>
      </c>
      <c r="H717" s="85" t="s">
        <v>3268</v>
      </c>
      <c r="I717" s="86">
        <v>65</v>
      </c>
      <c r="J717" s="86">
        <v>65</v>
      </c>
      <c r="K717" s="87">
        <v>1</v>
      </c>
      <c r="L717" s="87">
        <v>1</v>
      </c>
      <c r="M717" s="88">
        <v>1</v>
      </c>
      <c r="N717" s="89"/>
      <c r="O717" s="87"/>
      <c r="P717" s="87"/>
      <c r="Q717" s="87"/>
      <c r="R717" s="87"/>
      <c r="S717" s="87">
        <v>1</v>
      </c>
      <c r="T717" s="87"/>
      <c r="U717" s="87">
        <v>1</v>
      </c>
      <c r="V717" s="90" t="s">
        <v>3611</v>
      </c>
    </row>
    <row r="718" ht="15" customHeight="1" spans="1:23" x14ac:dyDescent="0.25">
      <c r="A718" s="85">
        <v>3892</v>
      </c>
      <c r="B718" s="85" t="s">
        <v>3861</v>
      </c>
      <c r="C718" s="85" t="s">
        <v>698</v>
      </c>
      <c r="D718" s="85" t="s">
        <v>836</v>
      </c>
      <c r="E718" s="85"/>
      <c r="F718" s="85" t="s">
        <v>157</v>
      </c>
      <c r="G718" s="85"/>
      <c r="H718" s="85"/>
      <c r="I718" s="86"/>
      <c r="J718" s="86"/>
      <c r="K718" s="87"/>
      <c r="L718" s="87"/>
      <c r="M718" s="88"/>
      <c r="N718" s="89"/>
      <c r="O718" s="87"/>
      <c r="P718" s="87"/>
      <c r="Q718" s="87"/>
      <c r="R718" s="87"/>
      <c r="S718" s="87">
        <v>1</v>
      </c>
      <c r="T718" s="87">
        <v>1</v>
      </c>
      <c r="U718" s="87">
        <v>1</v>
      </c>
      <c r="V718" s="90" t="s">
        <v>3611</v>
      </c>
    </row>
    <row r="719" ht="15" customHeight="1" spans="1:23" x14ac:dyDescent="0.25">
      <c r="A719" s="85">
        <v>3892</v>
      </c>
      <c r="B719" s="85" t="s">
        <v>3861</v>
      </c>
      <c r="C719" s="85" t="s">
        <v>698</v>
      </c>
      <c r="D719" s="85" t="s">
        <v>836</v>
      </c>
      <c r="E719" s="85"/>
      <c r="F719" s="85" t="s">
        <v>2472</v>
      </c>
      <c r="G719" s="85" t="s">
        <v>288</v>
      </c>
      <c r="H719" s="85" t="s">
        <v>3268</v>
      </c>
      <c r="I719" s="86">
        <v>65</v>
      </c>
      <c r="J719" s="86">
        <v>65</v>
      </c>
      <c r="K719" s="87">
        <v>1</v>
      </c>
      <c r="L719" s="87">
        <v>1</v>
      </c>
      <c r="M719" s="88">
        <v>1</v>
      </c>
      <c r="N719" s="89"/>
      <c r="O719" s="87"/>
      <c r="P719" s="87"/>
      <c r="Q719" s="87"/>
      <c r="R719" s="87"/>
      <c r="S719" s="87">
        <v>1</v>
      </c>
      <c r="T719" s="87"/>
      <c r="U719" s="87">
        <v>1</v>
      </c>
      <c r="V719" s="90" t="s">
        <v>3611</v>
      </c>
    </row>
    <row r="720" ht="15" customHeight="1" spans="1:23" x14ac:dyDescent="0.25">
      <c r="A720" s="85">
        <v>3893</v>
      </c>
      <c r="B720" s="85" t="s">
        <v>3862</v>
      </c>
      <c r="C720" s="85" t="s">
        <v>698</v>
      </c>
      <c r="D720" s="85" t="s">
        <v>836</v>
      </c>
      <c r="E720" s="85"/>
      <c r="F720" s="85" t="s">
        <v>157</v>
      </c>
      <c r="G720" s="85"/>
      <c r="H720" s="85"/>
      <c r="I720" s="86"/>
      <c r="J720" s="86"/>
      <c r="K720" s="87"/>
      <c r="L720" s="87"/>
      <c r="M720" s="88"/>
      <c r="N720" s="89"/>
      <c r="O720" s="87"/>
      <c r="P720" s="87"/>
      <c r="Q720" s="87"/>
      <c r="R720" s="87"/>
      <c r="S720" s="87">
        <v>0.8</v>
      </c>
      <c r="T720" s="87">
        <v>0.8</v>
      </c>
      <c r="U720" s="87">
        <v>0.8</v>
      </c>
      <c r="V720" s="90" t="s">
        <v>3421</v>
      </c>
    </row>
    <row r="721" ht="15" customHeight="1" spans="1:23" x14ac:dyDescent="0.25">
      <c r="A721" s="85">
        <v>3893</v>
      </c>
      <c r="B721" s="85" t="s">
        <v>3862</v>
      </c>
      <c r="C721" s="85" t="s">
        <v>698</v>
      </c>
      <c r="D721" s="85" t="s">
        <v>836</v>
      </c>
      <c r="E721" s="85"/>
      <c r="F721" s="85" t="s">
        <v>2472</v>
      </c>
      <c r="G721" s="85" t="s">
        <v>288</v>
      </c>
      <c r="H721" s="85" t="s">
        <v>3268</v>
      </c>
      <c r="I721" s="86">
        <v>65</v>
      </c>
      <c r="J721" s="86">
        <v>65</v>
      </c>
      <c r="K721" s="87">
        <v>1</v>
      </c>
      <c r="L721" s="87">
        <v>0.8</v>
      </c>
      <c r="M721" s="88">
        <v>0.8</v>
      </c>
      <c r="N721" s="89"/>
      <c r="O721" s="87"/>
      <c r="P721" s="87"/>
      <c r="Q721" s="87"/>
      <c r="R721" s="87"/>
      <c r="S721" s="87">
        <v>0.8</v>
      </c>
      <c r="T721" s="87"/>
      <c r="U721" s="87">
        <v>0.8</v>
      </c>
      <c r="V721" s="90" t="s">
        <v>3421</v>
      </c>
    </row>
    <row r="722" ht="15" customHeight="1" spans="1:23" x14ac:dyDescent="0.25">
      <c r="A722" s="85">
        <v>3894</v>
      </c>
      <c r="B722" s="85" t="s">
        <v>3863</v>
      </c>
      <c r="C722" s="85" t="s">
        <v>698</v>
      </c>
      <c r="D722" s="85" t="s">
        <v>836</v>
      </c>
      <c r="E722" s="85"/>
      <c r="F722" s="85" t="s">
        <v>157</v>
      </c>
      <c r="G722" s="85"/>
      <c r="H722" s="85"/>
      <c r="I722" s="86"/>
      <c r="J722" s="86"/>
      <c r="K722" s="87"/>
      <c r="L722" s="87"/>
      <c r="M722" s="88"/>
      <c r="N722" s="89"/>
      <c r="O722" s="87"/>
      <c r="P722" s="87"/>
      <c r="Q722" s="87"/>
      <c r="R722" s="87"/>
      <c r="S722" s="87">
        <v>1</v>
      </c>
      <c r="T722" s="87">
        <v>1</v>
      </c>
      <c r="U722" s="87">
        <v>1</v>
      </c>
      <c r="V722" s="90" t="s">
        <v>3611</v>
      </c>
    </row>
    <row r="723" ht="15" customHeight="1" spans="1:23" x14ac:dyDescent="0.25">
      <c r="A723" s="85">
        <v>3894</v>
      </c>
      <c r="B723" s="85" t="s">
        <v>3863</v>
      </c>
      <c r="C723" s="85" t="s">
        <v>698</v>
      </c>
      <c r="D723" s="85" t="s">
        <v>836</v>
      </c>
      <c r="E723" s="85"/>
      <c r="F723" s="85" t="s">
        <v>2472</v>
      </c>
      <c r="G723" s="85" t="s">
        <v>288</v>
      </c>
      <c r="H723" s="85" t="s">
        <v>3268</v>
      </c>
      <c r="I723" s="86">
        <v>65</v>
      </c>
      <c r="J723" s="86">
        <v>65</v>
      </c>
      <c r="K723" s="87">
        <v>1</v>
      </c>
      <c r="L723" s="87">
        <v>1</v>
      </c>
      <c r="M723" s="88">
        <v>1</v>
      </c>
      <c r="N723" s="89"/>
      <c r="O723" s="87"/>
      <c r="P723" s="87"/>
      <c r="Q723" s="87"/>
      <c r="R723" s="87"/>
      <c r="S723" s="87">
        <v>1</v>
      </c>
      <c r="T723" s="87"/>
      <c r="U723" s="87">
        <v>1</v>
      </c>
      <c r="V723" s="90" t="s">
        <v>3611</v>
      </c>
    </row>
    <row r="724" ht="15" customHeight="1" spans="1:23" x14ac:dyDescent="0.25">
      <c r="A724" s="85">
        <v>3895</v>
      </c>
      <c r="B724" s="85" t="s">
        <v>3864</v>
      </c>
      <c r="C724" s="85" t="s">
        <v>698</v>
      </c>
      <c r="D724" s="85" t="s">
        <v>1577</v>
      </c>
      <c r="E724" s="85"/>
      <c r="F724" s="85" t="s">
        <v>157</v>
      </c>
      <c r="G724" s="85"/>
      <c r="H724" s="85"/>
      <c r="I724" s="86"/>
      <c r="J724" s="86"/>
      <c r="K724" s="87"/>
      <c r="L724" s="87"/>
      <c r="M724" s="88"/>
      <c r="N724" s="89"/>
      <c r="O724" s="87"/>
      <c r="P724" s="87"/>
      <c r="Q724" s="87"/>
      <c r="R724" s="87"/>
      <c r="S724" s="87">
        <v>0.8</v>
      </c>
      <c r="T724" s="87">
        <v>0.8</v>
      </c>
      <c r="U724" s="87"/>
      <c r="V724" s="90" t="s">
        <v>2472</v>
      </c>
    </row>
    <row r="725" ht="15" customHeight="1" spans="1:23" x14ac:dyDescent="0.25">
      <c r="A725" s="85">
        <v>3895</v>
      </c>
      <c r="B725" s="85" t="s">
        <v>3864</v>
      </c>
      <c r="C725" s="85" t="s">
        <v>698</v>
      </c>
      <c r="D725" s="85" t="s">
        <v>1577</v>
      </c>
      <c r="E725" s="85"/>
      <c r="F725" s="85" t="s">
        <v>2472</v>
      </c>
      <c r="G725" s="85" t="s">
        <v>288</v>
      </c>
      <c r="H725" s="85" t="s">
        <v>3268</v>
      </c>
      <c r="I725" s="86">
        <v>65</v>
      </c>
      <c r="J725" s="86">
        <v>65</v>
      </c>
      <c r="K725" s="87">
        <v>1</v>
      </c>
      <c r="L725" s="87">
        <v>0.8</v>
      </c>
      <c r="M725" s="88">
        <v>0.8</v>
      </c>
      <c r="N725" s="89"/>
      <c r="O725" s="87"/>
      <c r="P725" s="87"/>
      <c r="Q725" s="87"/>
      <c r="R725" s="87"/>
      <c r="S725" s="87">
        <v>0.8</v>
      </c>
      <c r="T725" s="87"/>
      <c r="U725" s="87">
        <v>0</v>
      </c>
      <c r="V725" s="90" t="s">
        <v>2472</v>
      </c>
    </row>
    <row r="726" ht="15" customHeight="1" spans="1:23" x14ac:dyDescent="0.25">
      <c r="A726" s="85">
        <v>3896</v>
      </c>
      <c r="B726" s="85" t="s">
        <v>3865</v>
      </c>
      <c r="C726" s="85" t="s">
        <v>698</v>
      </c>
      <c r="D726" s="85" t="s">
        <v>907</v>
      </c>
      <c r="E726" s="85"/>
      <c r="F726" s="85" t="s">
        <v>157</v>
      </c>
      <c r="G726" s="85"/>
      <c r="H726" s="85"/>
      <c r="I726" s="86"/>
      <c r="J726" s="86"/>
      <c r="K726" s="87"/>
      <c r="L726" s="87"/>
      <c r="M726" s="88"/>
      <c r="N726" s="89"/>
      <c r="O726" s="87"/>
      <c r="P726" s="87"/>
      <c r="Q726" s="87"/>
      <c r="R726" s="87"/>
      <c r="S726" s="87">
        <v>1</v>
      </c>
      <c r="T726" s="87">
        <v>1</v>
      </c>
      <c r="U726" s="87"/>
      <c r="V726" s="90" t="s">
        <v>2472</v>
      </c>
    </row>
    <row r="727" ht="15" customHeight="1" spans="1:23" x14ac:dyDescent="0.25">
      <c r="A727" s="85">
        <v>3896</v>
      </c>
      <c r="B727" s="85" t="s">
        <v>3865</v>
      </c>
      <c r="C727" s="85" t="s">
        <v>698</v>
      </c>
      <c r="D727" s="85" t="s">
        <v>907</v>
      </c>
      <c r="E727" s="85"/>
      <c r="F727" s="85" t="s">
        <v>2472</v>
      </c>
      <c r="G727" s="85" t="s">
        <v>288</v>
      </c>
      <c r="H727" s="85" t="s">
        <v>3268</v>
      </c>
      <c r="I727" s="86">
        <v>65</v>
      </c>
      <c r="J727" s="86">
        <v>65</v>
      </c>
      <c r="K727" s="87">
        <v>1</v>
      </c>
      <c r="L727" s="87">
        <v>1</v>
      </c>
      <c r="M727" s="88">
        <v>1</v>
      </c>
      <c r="N727" s="89"/>
      <c r="O727" s="87"/>
      <c r="P727" s="87"/>
      <c r="Q727" s="87"/>
      <c r="R727" s="87"/>
      <c r="S727" s="87">
        <v>1</v>
      </c>
      <c r="T727" s="87"/>
      <c r="U727" s="87">
        <v>0</v>
      </c>
      <c r="V727" s="90" t="s">
        <v>2472</v>
      </c>
    </row>
    <row r="728" ht="15" customHeight="1" spans="1:23" x14ac:dyDescent="0.25">
      <c r="A728" s="85">
        <v>3897</v>
      </c>
      <c r="B728" s="85" t="s">
        <v>3866</v>
      </c>
      <c r="C728" s="85" t="s">
        <v>698</v>
      </c>
      <c r="D728" s="85" t="s">
        <v>822</v>
      </c>
      <c r="E728" s="85"/>
      <c r="F728" s="85" t="s">
        <v>157</v>
      </c>
      <c r="G728" s="85"/>
      <c r="H728" s="85"/>
      <c r="I728" s="86"/>
      <c r="J728" s="86"/>
      <c r="K728" s="87"/>
      <c r="L728" s="87"/>
      <c r="M728" s="88"/>
      <c r="N728" s="89"/>
      <c r="O728" s="87"/>
      <c r="P728" s="87"/>
      <c r="Q728" s="87"/>
      <c r="R728" s="87"/>
      <c r="S728" s="87">
        <v>0.8</v>
      </c>
      <c r="T728" s="87">
        <v>0.8</v>
      </c>
      <c r="U728" s="87">
        <v>0.8</v>
      </c>
      <c r="V728" s="90" t="s">
        <v>3867</v>
      </c>
    </row>
    <row r="729" ht="15" customHeight="1" spans="1:23" x14ac:dyDescent="0.25">
      <c r="A729" s="85">
        <v>3897</v>
      </c>
      <c r="B729" s="85" t="s">
        <v>3866</v>
      </c>
      <c r="C729" s="85" t="s">
        <v>698</v>
      </c>
      <c r="D729" s="85" t="s">
        <v>822</v>
      </c>
      <c r="E729" s="85"/>
      <c r="F729" s="85" t="s">
        <v>2472</v>
      </c>
      <c r="G729" s="85" t="s">
        <v>288</v>
      </c>
      <c r="H729" s="85" t="s">
        <v>3268</v>
      </c>
      <c r="I729" s="86">
        <v>65</v>
      </c>
      <c r="J729" s="86">
        <v>65</v>
      </c>
      <c r="K729" s="87">
        <v>1</v>
      </c>
      <c r="L729" s="87">
        <v>0.8</v>
      </c>
      <c r="M729" s="88">
        <v>0.8</v>
      </c>
      <c r="N729" s="89"/>
      <c r="O729" s="87"/>
      <c r="P729" s="87"/>
      <c r="Q729" s="87"/>
      <c r="R729" s="87"/>
      <c r="S729" s="87">
        <v>0.8</v>
      </c>
      <c r="T729" s="87"/>
      <c r="U729" s="87">
        <v>0.8</v>
      </c>
      <c r="V729" s="90" t="s">
        <v>3867</v>
      </c>
    </row>
    <row r="730" ht="15" customHeight="1" spans="1:23" x14ac:dyDescent="0.25">
      <c r="A730" s="85">
        <v>3898</v>
      </c>
      <c r="B730" s="85" t="s">
        <v>3868</v>
      </c>
      <c r="C730" s="85" t="s">
        <v>698</v>
      </c>
      <c r="D730" s="85" t="s">
        <v>758</v>
      </c>
      <c r="E730" s="85"/>
      <c r="F730" s="85" t="s">
        <v>157</v>
      </c>
      <c r="G730" s="85"/>
      <c r="H730" s="85"/>
      <c r="I730" s="86"/>
      <c r="J730" s="86"/>
      <c r="K730" s="87"/>
      <c r="L730" s="87"/>
      <c r="M730" s="88"/>
      <c r="N730" s="89"/>
      <c r="O730" s="87"/>
      <c r="P730" s="87"/>
      <c r="Q730" s="87"/>
      <c r="R730" s="87"/>
      <c r="S730" s="87">
        <v>1</v>
      </c>
      <c r="T730" s="87">
        <v>1</v>
      </c>
      <c r="U730" s="87">
        <v>1</v>
      </c>
      <c r="V730" s="90" t="s">
        <v>3613</v>
      </c>
    </row>
    <row r="731" ht="15" customHeight="1" spans="1:23" x14ac:dyDescent="0.25">
      <c r="A731" s="85">
        <v>3898</v>
      </c>
      <c r="B731" s="85" t="s">
        <v>3868</v>
      </c>
      <c r="C731" s="85" t="s">
        <v>698</v>
      </c>
      <c r="D731" s="85" t="s">
        <v>758</v>
      </c>
      <c r="E731" s="85"/>
      <c r="F731" s="85" t="s">
        <v>2472</v>
      </c>
      <c r="G731" s="85" t="s">
        <v>288</v>
      </c>
      <c r="H731" s="85" t="s">
        <v>3268</v>
      </c>
      <c r="I731" s="86">
        <v>65</v>
      </c>
      <c r="J731" s="86">
        <v>65</v>
      </c>
      <c r="K731" s="87">
        <v>1</v>
      </c>
      <c r="L731" s="87">
        <v>1</v>
      </c>
      <c r="M731" s="88">
        <v>1</v>
      </c>
      <c r="N731" s="89"/>
      <c r="O731" s="87"/>
      <c r="P731" s="87"/>
      <c r="Q731" s="87"/>
      <c r="R731" s="87"/>
      <c r="S731" s="87">
        <v>1</v>
      </c>
      <c r="T731" s="87"/>
      <c r="U731" s="87">
        <v>1</v>
      </c>
      <c r="V731" s="90" t="s">
        <v>3613</v>
      </c>
    </row>
    <row r="732" ht="15" customHeight="1" spans="1:23" x14ac:dyDescent="0.25">
      <c r="A732" s="85">
        <v>3899</v>
      </c>
      <c r="B732" s="85" t="s">
        <v>3869</v>
      </c>
      <c r="C732" s="85" t="s">
        <v>698</v>
      </c>
      <c r="D732" s="85" t="s">
        <v>1322</v>
      </c>
      <c r="E732" s="85"/>
      <c r="F732" s="85" t="s">
        <v>157</v>
      </c>
      <c r="G732" s="85"/>
      <c r="H732" s="85"/>
      <c r="I732" s="86"/>
      <c r="J732" s="86"/>
      <c r="K732" s="87"/>
      <c r="L732" s="87"/>
      <c r="M732" s="88"/>
      <c r="N732" s="89"/>
      <c r="O732" s="87"/>
      <c r="P732" s="87"/>
      <c r="Q732" s="87"/>
      <c r="R732" s="87"/>
      <c r="S732" s="87">
        <v>1</v>
      </c>
      <c r="T732" s="87">
        <v>1</v>
      </c>
      <c r="U732" s="87">
        <v>1</v>
      </c>
      <c r="V732" s="90" t="s">
        <v>3766</v>
      </c>
    </row>
    <row r="733" ht="15" customHeight="1" spans="1:23" x14ac:dyDescent="0.25">
      <c r="A733" s="85">
        <v>3899</v>
      </c>
      <c r="B733" s="85" t="s">
        <v>3869</v>
      </c>
      <c r="C733" s="85" t="s">
        <v>698</v>
      </c>
      <c r="D733" s="85" t="s">
        <v>1322</v>
      </c>
      <c r="E733" s="85"/>
      <c r="F733" s="85" t="s">
        <v>2472</v>
      </c>
      <c r="G733" s="85" t="s">
        <v>288</v>
      </c>
      <c r="H733" s="85" t="s">
        <v>3268</v>
      </c>
      <c r="I733" s="86">
        <v>65</v>
      </c>
      <c r="J733" s="86">
        <v>65</v>
      </c>
      <c r="K733" s="87">
        <v>1</v>
      </c>
      <c r="L733" s="87">
        <v>1</v>
      </c>
      <c r="M733" s="88">
        <v>1</v>
      </c>
      <c r="N733" s="89"/>
      <c r="O733" s="87"/>
      <c r="P733" s="87"/>
      <c r="Q733" s="87"/>
      <c r="R733" s="87"/>
      <c r="S733" s="87">
        <v>1</v>
      </c>
      <c r="T733" s="87"/>
      <c r="U733" s="87">
        <v>1</v>
      </c>
      <c r="V733" s="90" t="s">
        <v>3766</v>
      </c>
    </row>
    <row r="734" ht="15" customHeight="1" spans="1:23" x14ac:dyDescent="0.25">
      <c r="A734" s="85">
        <v>3900</v>
      </c>
      <c r="B734" s="85" t="s">
        <v>3870</v>
      </c>
      <c r="C734" s="85" t="s">
        <v>698</v>
      </c>
      <c r="D734" s="85" t="s">
        <v>1000</v>
      </c>
      <c r="E734" s="85"/>
      <c r="F734" s="85" t="s">
        <v>157</v>
      </c>
      <c r="G734" s="85"/>
      <c r="H734" s="85"/>
      <c r="I734" s="86"/>
      <c r="J734" s="86"/>
      <c r="K734" s="87"/>
      <c r="L734" s="87"/>
      <c r="M734" s="88"/>
      <c r="N734" s="89"/>
      <c r="O734" s="87"/>
      <c r="P734" s="87"/>
      <c r="Q734" s="87"/>
      <c r="R734" s="87"/>
      <c r="S734" s="87">
        <v>1</v>
      </c>
      <c r="T734" s="87">
        <v>1</v>
      </c>
      <c r="U734" s="87">
        <v>1</v>
      </c>
      <c r="V734" s="90" t="s">
        <v>3613</v>
      </c>
    </row>
    <row r="735" ht="15" customHeight="1" spans="1:23" x14ac:dyDescent="0.25">
      <c r="A735" s="85">
        <v>3900</v>
      </c>
      <c r="B735" s="85" t="s">
        <v>3870</v>
      </c>
      <c r="C735" s="85" t="s">
        <v>698</v>
      </c>
      <c r="D735" s="85" t="s">
        <v>1000</v>
      </c>
      <c r="E735" s="85"/>
      <c r="F735" s="85" t="s">
        <v>2472</v>
      </c>
      <c r="G735" s="85" t="s">
        <v>288</v>
      </c>
      <c r="H735" s="85" t="s">
        <v>3268</v>
      </c>
      <c r="I735" s="86">
        <v>65</v>
      </c>
      <c r="J735" s="86">
        <v>65</v>
      </c>
      <c r="K735" s="87">
        <v>1</v>
      </c>
      <c r="L735" s="87">
        <v>1</v>
      </c>
      <c r="M735" s="88">
        <v>1</v>
      </c>
      <c r="N735" s="89"/>
      <c r="O735" s="87"/>
      <c r="P735" s="87"/>
      <c r="Q735" s="87"/>
      <c r="R735" s="87"/>
      <c r="S735" s="87">
        <v>1</v>
      </c>
      <c r="T735" s="87"/>
      <c r="U735" s="87">
        <v>1</v>
      </c>
      <c r="V735" s="90" t="s">
        <v>3613</v>
      </c>
    </row>
    <row r="736" ht="15" customHeight="1" spans="1:23" x14ac:dyDescent="0.25">
      <c r="A736" s="85">
        <v>3901</v>
      </c>
      <c r="B736" s="85" t="s">
        <v>3871</v>
      </c>
      <c r="C736" s="85" t="s">
        <v>698</v>
      </c>
      <c r="D736" s="85" t="s">
        <v>739</v>
      </c>
      <c r="E736" s="85"/>
      <c r="F736" s="85" t="s">
        <v>157</v>
      </c>
      <c r="G736" s="85"/>
      <c r="H736" s="85"/>
      <c r="I736" s="86"/>
      <c r="J736" s="86"/>
      <c r="K736" s="87"/>
      <c r="L736" s="87"/>
      <c r="M736" s="88"/>
      <c r="N736" s="89"/>
      <c r="O736" s="87"/>
      <c r="P736" s="87"/>
      <c r="Q736" s="87"/>
      <c r="R736" s="87"/>
      <c r="S736" s="87">
        <v>1</v>
      </c>
      <c r="T736" s="87">
        <v>1</v>
      </c>
      <c r="U736" s="87">
        <v>1</v>
      </c>
      <c r="V736" s="90" t="s">
        <v>3766</v>
      </c>
    </row>
    <row r="737" ht="15" customHeight="1" spans="1:23" x14ac:dyDescent="0.25">
      <c r="A737" s="85">
        <v>3901</v>
      </c>
      <c r="B737" s="85" t="s">
        <v>3871</v>
      </c>
      <c r="C737" s="85" t="s">
        <v>698</v>
      </c>
      <c r="D737" s="85" t="s">
        <v>739</v>
      </c>
      <c r="E737" s="85"/>
      <c r="F737" s="85" t="s">
        <v>2472</v>
      </c>
      <c r="G737" s="85" t="s">
        <v>288</v>
      </c>
      <c r="H737" s="85" t="s">
        <v>3268</v>
      </c>
      <c r="I737" s="86">
        <v>65</v>
      </c>
      <c r="J737" s="86">
        <v>65</v>
      </c>
      <c r="K737" s="87">
        <v>1</v>
      </c>
      <c r="L737" s="87">
        <v>1</v>
      </c>
      <c r="M737" s="88">
        <v>1</v>
      </c>
      <c r="N737" s="89"/>
      <c r="O737" s="87"/>
      <c r="P737" s="87"/>
      <c r="Q737" s="87"/>
      <c r="R737" s="87"/>
      <c r="S737" s="87">
        <v>1</v>
      </c>
      <c r="T737" s="87"/>
      <c r="U737" s="87">
        <v>1</v>
      </c>
      <c r="V737" s="90" t="s">
        <v>3766</v>
      </c>
    </row>
    <row r="738" ht="15" customHeight="1" spans="1:23" x14ac:dyDescent="0.25">
      <c r="A738" s="85">
        <v>3902</v>
      </c>
      <c r="B738" s="85" t="s">
        <v>3872</v>
      </c>
      <c r="C738" s="85" t="s">
        <v>698</v>
      </c>
      <c r="D738" s="85" t="s">
        <v>916</v>
      </c>
      <c r="E738" s="85"/>
      <c r="F738" s="85" t="s">
        <v>157</v>
      </c>
      <c r="G738" s="85"/>
      <c r="H738" s="85"/>
      <c r="I738" s="86"/>
      <c r="J738" s="86"/>
      <c r="K738" s="87"/>
      <c r="L738" s="87"/>
      <c r="M738" s="88"/>
      <c r="N738" s="89"/>
      <c r="O738" s="87"/>
      <c r="P738" s="87"/>
      <c r="Q738" s="87"/>
      <c r="R738" s="87"/>
      <c r="S738" s="87">
        <v>0.8</v>
      </c>
      <c r="T738" s="87">
        <v>0.8</v>
      </c>
      <c r="U738" s="87">
        <v>0.8</v>
      </c>
      <c r="V738" s="90" t="s">
        <v>3867</v>
      </c>
    </row>
    <row r="739" ht="15" customHeight="1" spans="1:23" x14ac:dyDescent="0.25">
      <c r="A739" s="85">
        <v>3902</v>
      </c>
      <c r="B739" s="85" t="s">
        <v>3872</v>
      </c>
      <c r="C739" s="85" t="s">
        <v>698</v>
      </c>
      <c r="D739" s="85" t="s">
        <v>916</v>
      </c>
      <c r="E739" s="85"/>
      <c r="F739" s="85" t="s">
        <v>2472</v>
      </c>
      <c r="G739" s="85" t="s">
        <v>288</v>
      </c>
      <c r="H739" s="85" t="s">
        <v>3268</v>
      </c>
      <c r="I739" s="86">
        <v>65</v>
      </c>
      <c r="J739" s="86">
        <v>65</v>
      </c>
      <c r="K739" s="87">
        <v>1</v>
      </c>
      <c r="L739" s="87">
        <v>0.8</v>
      </c>
      <c r="M739" s="88">
        <v>0.8</v>
      </c>
      <c r="N739" s="89"/>
      <c r="O739" s="87"/>
      <c r="P739" s="87"/>
      <c r="Q739" s="87"/>
      <c r="R739" s="87"/>
      <c r="S739" s="87">
        <v>0.8</v>
      </c>
      <c r="T739" s="87"/>
      <c r="U739" s="87">
        <v>0.8</v>
      </c>
      <c r="V739" s="90" t="s">
        <v>3867</v>
      </c>
    </row>
    <row r="740" ht="15" customHeight="1" spans="1:23" x14ac:dyDescent="0.25">
      <c r="A740" s="85">
        <v>3903</v>
      </c>
      <c r="B740" s="85" t="s">
        <v>3873</v>
      </c>
      <c r="C740" s="85" t="s">
        <v>698</v>
      </c>
      <c r="D740" s="85" t="s">
        <v>916</v>
      </c>
      <c r="E740" s="85"/>
      <c r="F740" s="85" t="s">
        <v>157</v>
      </c>
      <c r="G740" s="85"/>
      <c r="H740" s="85"/>
      <c r="I740" s="86"/>
      <c r="J740" s="86"/>
      <c r="K740" s="87"/>
      <c r="L740" s="87"/>
      <c r="M740" s="88"/>
      <c r="N740" s="89"/>
      <c r="O740" s="87"/>
      <c r="P740" s="87"/>
      <c r="Q740" s="87"/>
      <c r="R740" s="87"/>
      <c r="S740" s="87">
        <v>1</v>
      </c>
      <c r="T740" s="87">
        <v>1</v>
      </c>
      <c r="U740" s="87">
        <v>1</v>
      </c>
      <c r="V740" s="90" t="s">
        <v>3874</v>
      </c>
    </row>
    <row r="741" ht="15" customHeight="1" spans="1:23" x14ac:dyDescent="0.25">
      <c r="A741" s="85">
        <v>3903</v>
      </c>
      <c r="B741" s="85" t="s">
        <v>3873</v>
      </c>
      <c r="C741" s="85" t="s">
        <v>698</v>
      </c>
      <c r="D741" s="85" t="s">
        <v>916</v>
      </c>
      <c r="E741" s="85"/>
      <c r="F741" s="85" t="s">
        <v>2472</v>
      </c>
      <c r="G741" s="85" t="s">
        <v>288</v>
      </c>
      <c r="H741" s="85" t="s">
        <v>3268</v>
      </c>
      <c r="I741" s="86">
        <v>65</v>
      </c>
      <c r="J741" s="86">
        <v>65</v>
      </c>
      <c r="K741" s="87">
        <v>1</v>
      </c>
      <c r="L741" s="87">
        <v>1</v>
      </c>
      <c r="M741" s="88">
        <v>1</v>
      </c>
      <c r="N741" s="89"/>
      <c r="O741" s="87"/>
      <c r="P741" s="87"/>
      <c r="Q741" s="87"/>
      <c r="R741" s="87"/>
      <c r="S741" s="87">
        <v>1</v>
      </c>
      <c r="T741" s="87"/>
      <c r="U741" s="87">
        <v>1</v>
      </c>
      <c r="V741" s="90" t="s">
        <v>3874</v>
      </c>
    </row>
    <row r="742" ht="15" customHeight="1" spans="1:23" x14ac:dyDescent="0.25">
      <c r="A742" s="85">
        <v>3904</v>
      </c>
      <c r="B742" s="85" t="s">
        <v>3875</v>
      </c>
      <c r="C742" s="85" t="s">
        <v>698</v>
      </c>
      <c r="D742" s="85" t="s">
        <v>1118</v>
      </c>
      <c r="E742" s="85"/>
      <c r="F742" s="85" t="s">
        <v>157</v>
      </c>
      <c r="G742" s="85"/>
      <c r="H742" s="85"/>
      <c r="I742" s="86"/>
      <c r="J742" s="86"/>
      <c r="K742" s="87"/>
      <c r="L742" s="87"/>
      <c r="M742" s="88"/>
      <c r="N742" s="89"/>
      <c r="O742" s="87"/>
      <c r="P742" s="87"/>
      <c r="Q742" s="87"/>
      <c r="R742" s="87"/>
      <c r="S742" s="87">
        <v>1</v>
      </c>
      <c r="T742" s="87">
        <v>1</v>
      </c>
      <c r="U742" s="87">
        <v>1</v>
      </c>
      <c r="V742" s="90" t="s">
        <v>3874</v>
      </c>
    </row>
    <row r="743" ht="15" customHeight="1" spans="1:23" x14ac:dyDescent="0.25">
      <c r="A743" s="85">
        <v>3904</v>
      </c>
      <c r="B743" s="85" t="s">
        <v>3875</v>
      </c>
      <c r="C743" s="85" t="s">
        <v>698</v>
      </c>
      <c r="D743" s="85" t="s">
        <v>1118</v>
      </c>
      <c r="E743" s="85"/>
      <c r="F743" s="85" t="s">
        <v>2472</v>
      </c>
      <c r="G743" s="85" t="s">
        <v>288</v>
      </c>
      <c r="H743" s="85" t="s">
        <v>3268</v>
      </c>
      <c r="I743" s="86">
        <v>65</v>
      </c>
      <c r="J743" s="86">
        <v>65</v>
      </c>
      <c r="K743" s="87">
        <v>1</v>
      </c>
      <c r="L743" s="87">
        <v>1</v>
      </c>
      <c r="M743" s="88">
        <v>1</v>
      </c>
      <c r="N743" s="89"/>
      <c r="O743" s="87"/>
      <c r="P743" s="87"/>
      <c r="Q743" s="87"/>
      <c r="R743" s="87"/>
      <c r="S743" s="87">
        <v>1</v>
      </c>
      <c r="T743" s="87"/>
      <c r="U743" s="87">
        <v>1</v>
      </c>
      <c r="V743" s="90" t="s">
        <v>3874</v>
      </c>
    </row>
    <row r="744" ht="15" customHeight="1" spans="1:23" x14ac:dyDescent="0.25">
      <c r="A744" s="85">
        <v>3905</v>
      </c>
      <c r="B744" s="85" t="s">
        <v>3876</v>
      </c>
      <c r="C744" s="85" t="s">
        <v>698</v>
      </c>
      <c r="D744" s="85" t="s">
        <v>2063</v>
      </c>
      <c r="E744" s="85"/>
      <c r="F744" s="85" t="s">
        <v>157</v>
      </c>
      <c r="G744" s="85"/>
      <c r="H744" s="85"/>
      <c r="I744" s="86"/>
      <c r="J744" s="86"/>
      <c r="K744" s="87"/>
      <c r="L744" s="87"/>
      <c r="M744" s="88"/>
      <c r="N744" s="89"/>
      <c r="O744" s="87"/>
      <c r="P744" s="87"/>
      <c r="Q744" s="87"/>
      <c r="R744" s="87"/>
      <c r="S744" s="87">
        <v>1</v>
      </c>
      <c r="T744" s="87">
        <v>1</v>
      </c>
      <c r="U744" s="87">
        <v>1</v>
      </c>
      <c r="V744" s="90" t="s">
        <v>3766</v>
      </c>
    </row>
    <row r="745" ht="15" customHeight="1" spans="1:23" x14ac:dyDescent="0.25">
      <c r="A745" s="85">
        <v>3905</v>
      </c>
      <c r="B745" s="85" t="s">
        <v>3876</v>
      </c>
      <c r="C745" s="85" t="s">
        <v>698</v>
      </c>
      <c r="D745" s="85" t="s">
        <v>2063</v>
      </c>
      <c r="E745" s="85"/>
      <c r="F745" s="85" t="s">
        <v>2472</v>
      </c>
      <c r="G745" s="85" t="s">
        <v>288</v>
      </c>
      <c r="H745" s="85" t="s">
        <v>3268</v>
      </c>
      <c r="I745" s="86">
        <v>65</v>
      </c>
      <c r="J745" s="86">
        <v>65</v>
      </c>
      <c r="K745" s="87">
        <v>1</v>
      </c>
      <c r="L745" s="87">
        <v>1</v>
      </c>
      <c r="M745" s="88">
        <v>1</v>
      </c>
      <c r="N745" s="89"/>
      <c r="O745" s="87"/>
      <c r="P745" s="87"/>
      <c r="Q745" s="87"/>
      <c r="R745" s="87"/>
      <c r="S745" s="87">
        <v>1</v>
      </c>
      <c r="T745" s="87"/>
      <c r="U745" s="87">
        <v>1</v>
      </c>
      <c r="V745" s="90" t="s">
        <v>3766</v>
      </c>
    </row>
    <row r="746" ht="15" customHeight="1" spans="1:23" x14ac:dyDescent="0.25">
      <c r="A746" s="85">
        <v>3906</v>
      </c>
      <c r="B746" s="85" t="s">
        <v>3877</v>
      </c>
      <c r="C746" s="85" t="s">
        <v>698</v>
      </c>
      <c r="D746" s="85" t="s">
        <v>1233</v>
      </c>
      <c r="E746" s="85"/>
      <c r="F746" s="85" t="s">
        <v>157</v>
      </c>
      <c r="G746" s="85"/>
      <c r="H746" s="85"/>
      <c r="I746" s="86"/>
      <c r="J746" s="86"/>
      <c r="K746" s="87"/>
      <c r="L746" s="87"/>
      <c r="M746" s="88"/>
      <c r="N746" s="89"/>
      <c r="O746" s="87"/>
      <c r="P746" s="87"/>
      <c r="Q746" s="87"/>
      <c r="R746" s="87"/>
      <c r="S746" s="87">
        <v>0.9</v>
      </c>
      <c r="T746" s="87">
        <v>0.9</v>
      </c>
      <c r="U746" s="87"/>
      <c r="V746" s="90" t="s">
        <v>2472</v>
      </c>
    </row>
    <row r="747" ht="15" customHeight="1" spans="1:23" x14ac:dyDescent="0.25">
      <c r="A747" s="85">
        <v>3906</v>
      </c>
      <c r="B747" s="85" t="s">
        <v>3877</v>
      </c>
      <c r="C747" s="85" t="s">
        <v>698</v>
      </c>
      <c r="D747" s="85" t="s">
        <v>1233</v>
      </c>
      <c r="E747" s="85"/>
      <c r="F747" s="85" t="s">
        <v>2472</v>
      </c>
      <c r="G747" s="85" t="s">
        <v>288</v>
      </c>
      <c r="H747" s="85" t="s">
        <v>3268</v>
      </c>
      <c r="I747" s="86">
        <v>65</v>
      </c>
      <c r="J747" s="86">
        <v>65</v>
      </c>
      <c r="K747" s="87">
        <v>1</v>
      </c>
      <c r="L747" s="87">
        <v>0.9</v>
      </c>
      <c r="M747" s="88">
        <v>0.9</v>
      </c>
      <c r="N747" s="89"/>
      <c r="O747" s="87"/>
      <c r="P747" s="87"/>
      <c r="Q747" s="87"/>
      <c r="R747" s="87"/>
      <c r="S747" s="87">
        <v>0.9</v>
      </c>
      <c r="T747" s="87"/>
      <c r="U747" s="87">
        <v>0</v>
      </c>
      <c r="V747" s="90" t="s">
        <v>2472</v>
      </c>
    </row>
    <row r="748" ht="15" customHeight="1" spans="1:23" x14ac:dyDescent="0.25">
      <c r="A748" s="85">
        <v>3907</v>
      </c>
      <c r="B748" s="85" t="s">
        <v>3878</v>
      </c>
      <c r="C748" s="85" t="s">
        <v>698</v>
      </c>
      <c r="D748" s="85" t="s">
        <v>836</v>
      </c>
      <c r="E748" s="85"/>
      <c r="F748" s="85" t="s">
        <v>157</v>
      </c>
      <c r="G748" s="85"/>
      <c r="H748" s="85"/>
      <c r="I748" s="86"/>
      <c r="J748" s="86"/>
      <c r="K748" s="87"/>
      <c r="L748" s="87"/>
      <c r="M748" s="88"/>
      <c r="N748" s="89"/>
      <c r="O748" s="87"/>
      <c r="P748" s="87"/>
      <c r="Q748" s="87"/>
      <c r="R748" s="87"/>
      <c r="S748" s="87">
        <v>1</v>
      </c>
      <c r="T748" s="87">
        <v>1</v>
      </c>
      <c r="U748" s="87">
        <v>1</v>
      </c>
      <c r="V748" s="90" t="s">
        <v>3874</v>
      </c>
    </row>
    <row r="749" ht="15" customHeight="1" spans="1:23" x14ac:dyDescent="0.25">
      <c r="A749" s="85">
        <v>3907</v>
      </c>
      <c r="B749" s="85" t="s">
        <v>3878</v>
      </c>
      <c r="C749" s="85" t="s">
        <v>698</v>
      </c>
      <c r="D749" s="85" t="s">
        <v>836</v>
      </c>
      <c r="E749" s="85"/>
      <c r="F749" s="85" t="s">
        <v>2472</v>
      </c>
      <c r="G749" s="85" t="s">
        <v>288</v>
      </c>
      <c r="H749" s="85" t="s">
        <v>3268</v>
      </c>
      <c r="I749" s="86">
        <v>65</v>
      </c>
      <c r="J749" s="86">
        <v>65</v>
      </c>
      <c r="K749" s="87">
        <v>1</v>
      </c>
      <c r="L749" s="87">
        <v>1</v>
      </c>
      <c r="M749" s="88">
        <v>1</v>
      </c>
      <c r="N749" s="89"/>
      <c r="O749" s="87"/>
      <c r="P749" s="87"/>
      <c r="Q749" s="87"/>
      <c r="R749" s="87"/>
      <c r="S749" s="87">
        <v>1</v>
      </c>
      <c r="T749" s="87"/>
      <c r="U749" s="87">
        <v>1</v>
      </c>
      <c r="V749" s="90" t="s">
        <v>3874</v>
      </c>
    </row>
    <row r="750" ht="15" customHeight="1" spans="1:23" x14ac:dyDescent="0.25">
      <c r="A750" s="85">
        <v>3908</v>
      </c>
      <c r="B750" s="85" t="s">
        <v>3879</v>
      </c>
      <c r="C750" s="85" t="s">
        <v>698</v>
      </c>
      <c r="D750" s="85" t="s">
        <v>1414</v>
      </c>
      <c r="E750" s="85"/>
      <c r="F750" s="85" t="s">
        <v>157</v>
      </c>
      <c r="G750" s="85"/>
      <c r="H750" s="85"/>
      <c r="I750" s="86"/>
      <c r="J750" s="86"/>
      <c r="K750" s="87"/>
      <c r="L750" s="87"/>
      <c r="M750" s="88"/>
      <c r="N750" s="89"/>
      <c r="O750" s="87"/>
      <c r="P750" s="87"/>
      <c r="Q750" s="87"/>
      <c r="R750" s="87"/>
      <c r="S750" s="87">
        <v>1</v>
      </c>
      <c r="T750" s="87">
        <v>1</v>
      </c>
      <c r="U750" s="87">
        <v>1</v>
      </c>
      <c r="V750" s="90" t="s">
        <v>3874</v>
      </c>
    </row>
    <row r="751" ht="15" customHeight="1" spans="1:23" x14ac:dyDescent="0.25">
      <c r="A751" s="85">
        <v>3908</v>
      </c>
      <c r="B751" s="85" t="s">
        <v>3879</v>
      </c>
      <c r="C751" s="85" t="s">
        <v>698</v>
      </c>
      <c r="D751" s="85" t="s">
        <v>1414</v>
      </c>
      <c r="E751" s="85"/>
      <c r="F751" s="85" t="s">
        <v>2472</v>
      </c>
      <c r="G751" s="85" t="s">
        <v>288</v>
      </c>
      <c r="H751" s="85" t="s">
        <v>3268</v>
      </c>
      <c r="I751" s="86">
        <v>65</v>
      </c>
      <c r="J751" s="86">
        <v>65</v>
      </c>
      <c r="K751" s="87">
        <v>1</v>
      </c>
      <c r="L751" s="87">
        <v>1</v>
      </c>
      <c r="M751" s="88">
        <v>1</v>
      </c>
      <c r="N751" s="89"/>
      <c r="O751" s="87"/>
      <c r="P751" s="87"/>
      <c r="Q751" s="87"/>
      <c r="R751" s="87"/>
      <c r="S751" s="87">
        <v>1</v>
      </c>
      <c r="T751" s="87"/>
      <c r="U751" s="87">
        <v>1</v>
      </c>
      <c r="V751" s="90" t="s">
        <v>3874</v>
      </c>
    </row>
    <row r="752" ht="15" customHeight="1" spans="1:23" x14ac:dyDescent="0.25">
      <c r="A752" s="85">
        <v>3909</v>
      </c>
      <c r="B752" s="85" t="s">
        <v>3880</v>
      </c>
      <c r="C752" s="85" t="s">
        <v>698</v>
      </c>
      <c r="D752" s="85" t="s">
        <v>1309</v>
      </c>
      <c r="E752" s="85"/>
      <c r="F752" s="85" t="s">
        <v>157</v>
      </c>
      <c r="G752" s="85"/>
      <c r="H752" s="85"/>
      <c r="I752" s="86"/>
      <c r="J752" s="86"/>
      <c r="K752" s="87"/>
      <c r="L752" s="87"/>
      <c r="M752" s="88"/>
      <c r="N752" s="89"/>
      <c r="O752" s="87"/>
      <c r="P752" s="87"/>
      <c r="Q752" s="87"/>
      <c r="R752" s="87"/>
      <c r="S752" s="87">
        <v>1</v>
      </c>
      <c r="T752" s="87">
        <v>1</v>
      </c>
      <c r="U752" s="87"/>
      <c r="V752" s="90" t="s">
        <v>2472</v>
      </c>
    </row>
    <row r="753" ht="15" customHeight="1" spans="1:23" x14ac:dyDescent="0.25">
      <c r="A753" s="85">
        <v>3909</v>
      </c>
      <c r="B753" s="85" t="s">
        <v>3880</v>
      </c>
      <c r="C753" s="85" t="s">
        <v>698</v>
      </c>
      <c r="D753" s="85" t="s">
        <v>1309</v>
      </c>
      <c r="E753" s="85"/>
      <c r="F753" s="85" t="s">
        <v>2472</v>
      </c>
      <c r="G753" s="85" t="s">
        <v>288</v>
      </c>
      <c r="H753" s="85" t="s">
        <v>3268</v>
      </c>
      <c r="I753" s="86">
        <v>65</v>
      </c>
      <c r="J753" s="86">
        <v>65</v>
      </c>
      <c r="K753" s="87">
        <v>1</v>
      </c>
      <c r="L753" s="87">
        <v>1</v>
      </c>
      <c r="M753" s="88">
        <v>1</v>
      </c>
      <c r="N753" s="89"/>
      <c r="O753" s="87"/>
      <c r="P753" s="87"/>
      <c r="Q753" s="87"/>
      <c r="R753" s="87"/>
      <c r="S753" s="87">
        <v>1</v>
      </c>
      <c r="T753" s="87"/>
      <c r="U753" s="87">
        <v>0</v>
      </c>
      <c r="V753" s="90" t="s">
        <v>2472</v>
      </c>
    </row>
    <row r="754" ht="15" customHeight="1" spans="1:23" x14ac:dyDescent="0.25">
      <c r="A754" s="85">
        <v>3910</v>
      </c>
      <c r="B754" s="85" t="s">
        <v>3881</v>
      </c>
      <c r="C754" s="85" t="s">
        <v>698</v>
      </c>
      <c r="D754" s="85" t="s">
        <v>1428</v>
      </c>
      <c r="E754" s="85"/>
      <c r="F754" s="85" t="s">
        <v>157</v>
      </c>
      <c r="G754" s="85"/>
      <c r="H754" s="85"/>
      <c r="I754" s="86"/>
      <c r="J754" s="86"/>
      <c r="K754" s="87"/>
      <c r="L754" s="87"/>
      <c r="M754" s="88"/>
      <c r="N754" s="89"/>
      <c r="O754" s="87"/>
      <c r="P754" s="87"/>
      <c r="Q754" s="87"/>
      <c r="R754" s="87"/>
      <c r="S754" s="87">
        <v>0.8</v>
      </c>
      <c r="T754" s="87">
        <v>0.8</v>
      </c>
      <c r="U754" s="87">
        <v>0.8</v>
      </c>
      <c r="V754" s="90" t="s">
        <v>3882</v>
      </c>
    </row>
    <row r="755" ht="15" customHeight="1" spans="1:23" x14ac:dyDescent="0.25">
      <c r="A755" s="85">
        <v>3910</v>
      </c>
      <c r="B755" s="85" t="s">
        <v>3881</v>
      </c>
      <c r="C755" s="85" t="s">
        <v>698</v>
      </c>
      <c r="D755" s="85" t="s">
        <v>1428</v>
      </c>
      <c r="E755" s="85"/>
      <c r="F755" s="85" t="s">
        <v>2472</v>
      </c>
      <c r="G755" s="85" t="s">
        <v>288</v>
      </c>
      <c r="H755" s="85" t="s">
        <v>3268</v>
      </c>
      <c r="I755" s="86">
        <v>65</v>
      </c>
      <c r="J755" s="86">
        <v>65</v>
      </c>
      <c r="K755" s="87">
        <v>1</v>
      </c>
      <c r="L755" s="87">
        <v>0.8</v>
      </c>
      <c r="M755" s="88">
        <v>0.8</v>
      </c>
      <c r="N755" s="89"/>
      <c r="O755" s="87"/>
      <c r="P755" s="87"/>
      <c r="Q755" s="87"/>
      <c r="R755" s="87"/>
      <c r="S755" s="87">
        <v>0.8</v>
      </c>
      <c r="T755" s="87"/>
      <c r="U755" s="87">
        <v>0.8</v>
      </c>
      <c r="V755" s="90" t="s">
        <v>3882</v>
      </c>
    </row>
    <row r="756" ht="15" customHeight="1" spans="1:23" x14ac:dyDescent="0.25">
      <c r="A756" s="85">
        <v>3911</v>
      </c>
      <c r="B756" s="85" t="s">
        <v>3883</v>
      </c>
      <c r="C756" s="85" t="s">
        <v>698</v>
      </c>
      <c r="D756" s="85" t="s">
        <v>1603</v>
      </c>
      <c r="E756" s="85"/>
      <c r="F756" s="85" t="s">
        <v>157</v>
      </c>
      <c r="G756" s="85"/>
      <c r="H756" s="85"/>
      <c r="I756" s="86"/>
      <c r="J756" s="86"/>
      <c r="K756" s="87"/>
      <c r="L756" s="87"/>
      <c r="M756" s="88"/>
      <c r="N756" s="89"/>
      <c r="O756" s="87"/>
      <c r="P756" s="87"/>
      <c r="Q756" s="87"/>
      <c r="R756" s="87"/>
      <c r="S756" s="87">
        <v>1</v>
      </c>
      <c r="T756" s="87">
        <v>1</v>
      </c>
      <c r="U756" s="87"/>
      <c r="V756" s="90" t="s">
        <v>2472</v>
      </c>
    </row>
    <row r="757" ht="15" customHeight="1" spans="1:23" x14ac:dyDescent="0.25">
      <c r="A757" s="85">
        <v>3911</v>
      </c>
      <c r="B757" s="85" t="s">
        <v>3883</v>
      </c>
      <c r="C757" s="85" t="s">
        <v>698</v>
      </c>
      <c r="D757" s="85" t="s">
        <v>1603</v>
      </c>
      <c r="E757" s="85"/>
      <c r="F757" s="85" t="s">
        <v>2472</v>
      </c>
      <c r="G757" s="85" t="s">
        <v>288</v>
      </c>
      <c r="H757" s="85" t="s">
        <v>3268</v>
      </c>
      <c r="I757" s="86">
        <v>65</v>
      </c>
      <c r="J757" s="86">
        <v>65</v>
      </c>
      <c r="K757" s="87">
        <v>1</v>
      </c>
      <c r="L757" s="87">
        <v>1</v>
      </c>
      <c r="M757" s="88">
        <v>1</v>
      </c>
      <c r="N757" s="89"/>
      <c r="O757" s="87"/>
      <c r="P757" s="87"/>
      <c r="Q757" s="87"/>
      <c r="R757" s="87"/>
      <c r="S757" s="87">
        <v>1</v>
      </c>
      <c r="T757" s="87"/>
      <c r="U757" s="87">
        <v>0</v>
      </c>
      <c r="V757" s="90" t="s">
        <v>2472</v>
      </c>
    </row>
    <row r="758" ht="15" customHeight="1" spans="1:23" x14ac:dyDescent="0.25">
      <c r="A758" s="85">
        <v>3912</v>
      </c>
      <c r="B758" s="85" t="s">
        <v>3884</v>
      </c>
      <c r="C758" s="85" t="s">
        <v>698</v>
      </c>
      <c r="D758" s="85" t="s">
        <v>1564</v>
      </c>
      <c r="E758" s="85"/>
      <c r="F758" s="85" t="s">
        <v>157</v>
      </c>
      <c r="G758" s="85"/>
      <c r="H758" s="85"/>
      <c r="I758" s="86"/>
      <c r="J758" s="86"/>
      <c r="K758" s="87"/>
      <c r="L758" s="87"/>
      <c r="M758" s="88"/>
      <c r="N758" s="89"/>
      <c r="O758" s="87"/>
      <c r="P758" s="87"/>
      <c r="Q758" s="87"/>
      <c r="R758" s="87"/>
      <c r="S758" s="87">
        <v>1</v>
      </c>
      <c r="T758" s="87">
        <v>1</v>
      </c>
      <c r="U758" s="87"/>
      <c r="V758" s="90" t="s">
        <v>2472</v>
      </c>
    </row>
    <row r="759" ht="15" customHeight="1" spans="1:23" x14ac:dyDescent="0.25">
      <c r="A759" s="85">
        <v>3912</v>
      </c>
      <c r="B759" s="85" t="s">
        <v>3884</v>
      </c>
      <c r="C759" s="85" t="s">
        <v>698</v>
      </c>
      <c r="D759" s="85" t="s">
        <v>1564</v>
      </c>
      <c r="E759" s="85"/>
      <c r="F759" s="85" t="s">
        <v>2472</v>
      </c>
      <c r="G759" s="85" t="s">
        <v>288</v>
      </c>
      <c r="H759" s="85" t="s">
        <v>3268</v>
      </c>
      <c r="I759" s="86">
        <v>65</v>
      </c>
      <c r="J759" s="86">
        <v>65</v>
      </c>
      <c r="K759" s="87">
        <v>1</v>
      </c>
      <c r="L759" s="87">
        <v>1</v>
      </c>
      <c r="M759" s="88">
        <v>1</v>
      </c>
      <c r="N759" s="89"/>
      <c r="O759" s="87"/>
      <c r="P759" s="87"/>
      <c r="Q759" s="87"/>
      <c r="R759" s="87"/>
      <c r="S759" s="87">
        <v>1</v>
      </c>
      <c r="T759" s="87"/>
      <c r="U759" s="87">
        <v>0</v>
      </c>
      <c r="V759" s="90" t="s">
        <v>2472</v>
      </c>
    </row>
    <row r="760" ht="15" customHeight="1" spans="1:23" x14ac:dyDescent="0.25">
      <c r="A760" s="85">
        <v>3913</v>
      </c>
      <c r="B760" s="85" t="s">
        <v>3885</v>
      </c>
      <c r="C760" s="85" t="s">
        <v>698</v>
      </c>
      <c r="D760" s="85" t="s">
        <v>1238</v>
      </c>
      <c r="E760" s="85"/>
      <c r="F760" s="85" t="s">
        <v>157</v>
      </c>
      <c r="G760" s="85"/>
      <c r="H760" s="85"/>
      <c r="I760" s="86"/>
      <c r="J760" s="86"/>
      <c r="K760" s="87"/>
      <c r="L760" s="87"/>
      <c r="M760" s="88"/>
      <c r="N760" s="89"/>
      <c r="O760" s="87"/>
      <c r="P760" s="87"/>
      <c r="Q760" s="87"/>
      <c r="R760" s="87"/>
      <c r="S760" s="87">
        <v>0.9</v>
      </c>
      <c r="T760" s="87">
        <v>0.9</v>
      </c>
      <c r="U760" s="87">
        <v>0.9</v>
      </c>
      <c r="V760" s="90" t="s">
        <v>3886</v>
      </c>
    </row>
    <row r="761" ht="15" customHeight="1" spans="1:23" x14ac:dyDescent="0.25">
      <c r="A761" s="85">
        <v>3913</v>
      </c>
      <c r="B761" s="85" t="s">
        <v>3885</v>
      </c>
      <c r="C761" s="85" t="s">
        <v>698</v>
      </c>
      <c r="D761" s="85" t="s">
        <v>1238</v>
      </c>
      <c r="E761" s="85"/>
      <c r="F761" s="85" t="s">
        <v>2472</v>
      </c>
      <c r="G761" s="85" t="s">
        <v>288</v>
      </c>
      <c r="H761" s="85" t="s">
        <v>3268</v>
      </c>
      <c r="I761" s="86">
        <v>65</v>
      </c>
      <c r="J761" s="86">
        <v>65</v>
      </c>
      <c r="K761" s="87">
        <v>1</v>
      </c>
      <c r="L761" s="87">
        <v>0.9</v>
      </c>
      <c r="M761" s="88">
        <v>0.9</v>
      </c>
      <c r="N761" s="89"/>
      <c r="O761" s="87"/>
      <c r="P761" s="87"/>
      <c r="Q761" s="87"/>
      <c r="R761" s="87"/>
      <c r="S761" s="87">
        <v>0.9</v>
      </c>
      <c r="T761" s="87"/>
      <c r="U761" s="87">
        <v>0.9</v>
      </c>
      <c r="V761" s="90" t="s">
        <v>3886</v>
      </c>
    </row>
    <row r="762" ht="15" customHeight="1" spans="1:23" x14ac:dyDescent="0.25">
      <c r="A762" s="85">
        <v>3914</v>
      </c>
      <c r="B762" s="85" t="s">
        <v>3887</v>
      </c>
      <c r="C762" s="85" t="s">
        <v>698</v>
      </c>
      <c r="D762" s="85" t="s">
        <v>1500</v>
      </c>
      <c r="E762" s="85"/>
      <c r="F762" s="85" t="s">
        <v>157</v>
      </c>
      <c r="G762" s="85"/>
      <c r="H762" s="85"/>
      <c r="I762" s="86"/>
      <c r="J762" s="86"/>
      <c r="K762" s="87"/>
      <c r="L762" s="87"/>
      <c r="M762" s="88"/>
      <c r="N762" s="89"/>
      <c r="O762" s="87"/>
      <c r="P762" s="87"/>
      <c r="Q762" s="87"/>
      <c r="R762" s="87"/>
      <c r="S762" s="87">
        <v>1</v>
      </c>
      <c r="T762" s="87">
        <v>1</v>
      </c>
      <c r="U762" s="87">
        <v>1</v>
      </c>
      <c r="V762" s="90" t="s">
        <v>3581</v>
      </c>
    </row>
    <row r="763" ht="15" customHeight="1" spans="1:23" x14ac:dyDescent="0.25">
      <c r="A763" s="85">
        <v>3914</v>
      </c>
      <c r="B763" s="85" t="s">
        <v>3887</v>
      </c>
      <c r="C763" s="85" t="s">
        <v>698</v>
      </c>
      <c r="D763" s="85" t="s">
        <v>1500</v>
      </c>
      <c r="E763" s="85"/>
      <c r="F763" s="85" t="s">
        <v>2472</v>
      </c>
      <c r="G763" s="85" t="s">
        <v>288</v>
      </c>
      <c r="H763" s="85" t="s">
        <v>3268</v>
      </c>
      <c r="I763" s="86">
        <v>65</v>
      </c>
      <c r="J763" s="86">
        <v>65</v>
      </c>
      <c r="K763" s="87">
        <v>1</v>
      </c>
      <c r="L763" s="87">
        <v>1</v>
      </c>
      <c r="M763" s="88">
        <v>1</v>
      </c>
      <c r="N763" s="89"/>
      <c r="O763" s="87"/>
      <c r="P763" s="87"/>
      <c r="Q763" s="87"/>
      <c r="R763" s="87"/>
      <c r="S763" s="87">
        <v>1</v>
      </c>
      <c r="T763" s="87"/>
      <c r="U763" s="87">
        <v>1</v>
      </c>
      <c r="V763" s="90" t="s">
        <v>3581</v>
      </c>
    </row>
    <row r="764" ht="15" customHeight="1" spans="1:23" x14ac:dyDescent="0.25">
      <c r="A764" s="85">
        <v>3915</v>
      </c>
      <c r="B764" s="85" t="s">
        <v>3888</v>
      </c>
      <c r="C764" s="85" t="s">
        <v>698</v>
      </c>
      <c r="D764" s="85" t="s">
        <v>960</v>
      </c>
      <c r="E764" s="85"/>
      <c r="F764" s="85" t="s">
        <v>157</v>
      </c>
      <c r="G764" s="85"/>
      <c r="H764" s="85"/>
      <c r="I764" s="86"/>
      <c r="J764" s="86"/>
      <c r="K764" s="87"/>
      <c r="L764" s="87"/>
      <c r="M764" s="88"/>
      <c r="N764" s="89"/>
      <c r="O764" s="87"/>
      <c r="P764" s="87"/>
      <c r="Q764" s="87"/>
      <c r="R764" s="87"/>
      <c r="S764" s="87">
        <v>1</v>
      </c>
      <c r="T764" s="87">
        <v>1</v>
      </c>
      <c r="U764" s="87"/>
      <c r="V764" s="90" t="s">
        <v>2472</v>
      </c>
    </row>
    <row r="765" ht="15" customHeight="1" spans="1:23" x14ac:dyDescent="0.25">
      <c r="A765" s="85">
        <v>3915</v>
      </c>
      <c r="B765" s="85" t="s">
        <v>3888</v>
      </c>
      <c r="C765" s="85" t="s">
        <v>698</v>
      </c>
      <c r="D765" s="85" t="s">
        <v>960</v>
      </c>
      <c r="E765" s="85"/>
      <c r="F765" s="85" t="s">
        <v>2472</v>
      </c>
      <c r="G765" s="85" t="s">
        <v>288</v>
      </c>
      <c r="H765" s="85" t="s">
        <v>3268</v>
      </c>
      <c r="I765" s="86">
        <v>65</v>
      </c>
      <c r="J765" s="86">
        <v>65</v>
      </c>
      <c r="K765" s="87">
        <v>1</v>
      </c>
      <c r="L765" s="87">
        <v>1</v>
      </c>
      <c r="M765" s="88">
        <v>1</v>
      </c>
      <c r="N765" s="89"/>
      <c r="O765" s="87"/>
      <c r="P765" s="87"/>
      <c r="Q765" s="87"/>
      <c r="R765" s="87"/>
      <c r="S765" s="87">
        <v>1</v>
      </c>
      <c r="T765" s="87"/>
      <c r="U765" s="87">
        <v>0</v>
      </c>
      <c r="V765" s="90" t="s">
        <v>2472</v>
      </c>
    </row>
    <row r="766" ht="15" customHeight="1" spans="1:23" x14ac:dyDescent="0.25">
      <c r="A766" s="85">
        <v>3916</v>
      </c>
      <c r="B766" s="85" t="s">
        <v>3889</v>
      </c>
      <c r="C766" s="85" t="s">
        <v>698</v>
      </c>
      <c r="D766" s="85" t="s">
        <v>1368</v>
      </c>
      <c r="E766" s="85"/>
      <c r="F766" s="85" t="s">
        <v>157</v>
      </c>
      <c r="G766" s="85"/>
      <c r="H766" s="85"/>
      <c r="I766" s="86"/>
      <c r="J766" s="86"/>
      <c r="K766" s="87"/>
      <c r="L766" s="87"/>
      <c r="M766" s="88"/>
      <c r="N766" s="89"/>
      <c r="O766" s="87"/>
      <c r="P766" s="87"/>
      <c r="Q766" s="87"/>
      <c r="R766" s="87"/>
      <c r="S766" s="87">
        <v>0.8</v>
      </c>
      <c r="T766" s="87">
        <v>0.8</v>
      </c>
      <c r="U766" s="87">
        <v>0.8</v>
      </c>
      <c r="V766" s="90" t="s">
        <v>3890</v>
      </c>
    </row>
    <row r="767" ht="15" customHeight="1" spans="1:23" x14ac:dyDescent="0.25">
      <c r="A767" s="85">
        <v>3916</v>
      </c>
      <c r="B767" s="85" t="s">
        <v>3889</v>
      </c>
      <c r="C767" s="85" t="s">
        <v>698</v>
      </c>
      <c r="D767" s="85" t="s">
        <v>1368</v>
      </c>
      <c r="E767" s="85"/>
      <c r="F767" s="85" t="s">
        <v>2472</v>
      </c>
      <c r="G767" s="85" t="s">
        <v>288</v>
      </c>
      <c r="H767" s="85" t="s">
        <v>3268</v>
      </c>
      <c r="I767" s="86">
        <v>65</v>
      </c>
      <c r="J767" s="86">
        <v>65</v>
      </c>
      <c r="K767" s="87">
        <v>1</v>
      </c>
      <c r="L767" s="87">
        <v>0.8</v>
      </c>
      <c r="M767" s="88">
        <v>0.8</v>
      </c>
      <c r="N767" s="89"/>
      <c r="O767" s="87"/>
      <c r="P767" s="87"/>
      <c r="Q767" s="87"/>
      <c r="R767" s="87"/>
      <c r="S767" s="87">
        <v>0.8</v>
      </c>
      <c r="T767" s="87"/>
      <c r="U767" s="87">
        <v>0.8</v>
      </c>
      <c r="V767" s="90" t="s">
        <v>3890</v>
      </c>
    </row>
    <row r="768" ht="15" customHeight="1" spans="1:23" x14ac:dyDescent="0.25">
      <c r="A768" s="85">
        <v>3917</v>
      </c>
      <c r="B768" s="85" t="s">
        <v>3891</v>
      </c>
      <c r="C768" s="85" t="s">
        <v>698</v>
      </c>
      <c r="D768" s="85" t="s">
        <v>1400</v>
      </c>
      <c r="E768" s="85"/>
      <c r="F768" s="85" t="s">
        <v>157</v>
      </c>
      <c r="G768" s="85"/>
      <c r="H768" s="85"/>
      <c r="I768" s="86"/>
      <c r="J768" s="86"/>
      <c r="K768" s="87"/>
      <c r="L768" s="87"/>
      <c r="M768" s="88"/>
      <c r="N768" s="89"/>
      <c r="O768" s="87"/>
      <c r="P768" s="87"/>
      <c r="Q768" s="87"/>
      <c r="R768" s="87"/>
      <c r="S768" s="87">
        <v>1</v>
      </c>
      <c r="T768" s="87">
        <v>1</v>
      </c>
      <c r="U768" s="87">
        <v>1</v>
      </c>
      <c r="V768" s="90" t="s">
        <v>3766</v>
      </c>
    </row>
    <row r="769" ht="15" customHeight="1" spans="1:23" x14ac:dyDescent="0.25">
      <c r="A769" s="85">
        <v>3917</v>
      </c>
      <c r="B769" s="85" t="s">
        <v>3891</v>
      </c>
      <c r="C769" s="85" t="s">
        <v>698</v>
      </c>
      <c r="D769" s="85" t="s">
        <v>1400</v>
      </c>
      <c r="E769" s="85"/>
      <c r="F769" s="85" t="s">
        <v>2472</v>
      </c>
      <c r="G769" s="85" t="s">
        <v>288</v>
      </c>
      <c r="H769" s="85" t="s">
        <v>3268</v>
      </c>
      <c r="I769" s="86">
        <v>65</v>
      </c>
      <c r="J769" s="86">
        <v>65</v>
      </c>
      <c r="K769" s="87">
        <v>1</v>
      </c>
      <c r="L769" s="87">
        <v>1</v>
      </c>
      <c r="M769" s="88">
        <v>1</v>
      </c>
      <c r="N769" s="89"/>
      <c r="O769" s="87"/>
      <c r="P769" s="87"/>
      <c r="Q769" s="87"/>
      <c r="R769" s="87"/>
      <c r="S769" s="87">
        <v>1</v>
      </c>
      <c r="T769" s="87"/>
      <c r="U769" s="87">
        <v>1</v>
      </c>
      <c r="V769" s="90" t="s">
        <v>3766</v>
      </c>
    </row>
    <row r="770" ht="15" customHeight="1" spans="1:23" x14ac:dyDescent="0.25">
      <c r="A770" s="85">
        <v>3918</v>
      </c>
      <c r="B770" s="85" t="s">
        <v>3892</v>
      </c>
      <c r="C770" s="85" t="s">
        <v>698</v>
      </c>
      <c r="D770" s="85" t="s">
        <v>1801</v>
      </c>
      <c r="E770" s="85"/>
      <c r="F770" s="85" t="s">
        <v>157</v>
      </c>
      <c r="G770" s="85"/>
      <c r="H770" s="85"/>
      <c r="I770" s="86"/>
      <c r="J770" s="86"/>
      <c r="K770" s="87"/>
      <c r="L770" s="87"/>
      <c r="M770" s="88"/>
      <c r="N770" s="89"/>
      <c r="O770" s="87"/>
      <c r="P770" s="87"/>
      <c r="Q770" s="87"/>
      <c r="R770" s="87"/>
      <c r="S770" s="87">
        <v>0.8</v>
      </c>
      <c r="T770" s="87">
        <v>0.8</v>
      </c>
      <c r="U770" s="87">
        <v>0.8</v>
      </c>
      <c r="V770" s="90" t="s">
        <v>3890</v>
      </c>
    </row>
    <row r="771" ht="15" customHeight="1" spans="1:23" x14ac:dyDescent="0.25">
      <c r="A771" s="85">
        <v>3918</v>
      </c>
      <c r="B771" s="85" t="s">
        <v>3892</v>
      </c>
      <c r="C771" s="85" t="s">
        <v>698</v>
      </c>
      <c r="D771" s="85" t="s">
        <v>1801</v>
      </c>
      <c r="E771" s="85"/>
      <c r="F771" s="85" t="s">
        <v>2472</v>
      </c>
      <c r="G771" s="85" t="s">
        <v>288</v>
      </c>
      <c r="H771" s="85" t="s">
        <v>3268</v>
      </c>
      <c r="I771" s="86">
        <v>65</v>
      </c>
      <c r="J771" s="86">
        <v>65</v>
      </c>
      <c r="K771" s="87">
        <v>1</v>
      </c>
      <c r="L771" s="87">
        <v>0.8</v>
      </c>
      <c r="M771" s="88">
        <v>0.8</v>
      </c>
      <c r="N771" s="89"/>
      <c r="O771" s="87"/>
      <c r="P771" s="87"/>
      <c r="Q771" s="87"/>
      <c r="R771" s="87"/>
      <c r="S771" s="87">
        <v>0.8</v>
      </c>
      <c r="T771" s="87"/>
      <c r="U771" s="87">
        <v>0.8</v>
      </c>
      <c r="V771" s="90" t="s">
        <v>3890</v>
      </c>
    </row>
    <row r="772" ht="15" customHeight="1" spans="1:23" x14ac:dyDescent="0.25">
      <c r="A772" s="85">
        <v>3919</v>
      </c>
      <c r="B772" s="85" t="s">
        <v>3893</v>
      </c>
      <c r="C772" s="85" t="s">
        <v>698</v>
      </c>
      <c r="D772" s="85" t="s">
        <v>1053</v>
      </c>
      <c r="E772" s="85"/>
      <c r="F772" s="85" t="s">
        <v>157</v>
      </c>
      <c r="G772" s="85"/>
      <c r="H772" s="85"/>
      <c r="I772" s="86"/>
      <c r="J772" s="86"/>
      <c r="K772" s="87"/>
      <c r="L772" s="87"/>
      <c r="M772" s="88"/>
      <c r="N772" s="89"/>
      <c r="O772" s="87"/>
      <c r="P772" s="87"/>
      <c r="Q772" s="87"/>
      <c r="R772" s="87"/>
      <c r="S772" s="87">
        <v>0.8</v>
      </c>
      <c r="T772" s="87">
        <v>0.8</v>
      </c>
      <c r="U772" s="87">
        <v>0.8</v>
      </c>
      <c r="V772" s="90" t="s">
        <v>3890</v>
      </c>
    </row>
    <row r="773" ht="15" customHeight="1" spans="1:23" x14ac:dyDescent="0.25">
      <c r="A773" s="85">
        <v>3919</v>
      </c>
      <c r="B773" s="85" t="s">
        <v>3893</v>
      </c>
      <c r="C773" s="85" t="s">
        <v>698</v>
      </c>
      <c r="D773" s="85" t="s">
        <v>1053</v>
      </c>
      <c r="E773" s="85"/>
      <c r="F773" s="85" t="s">
        <v>2472</v>
      </c>
      <c r="G773" s="85" t="s">
        <v>288</v>
      </c>
      <c r="H773" s="85" t="s">
        <v>3268</v>
      </c>
      <c r="I773" s="86">
        <v>65</v>
      </c>
      <c r="J773" s="86">
        <v>65</v>
      </c>
      <c r="K773" s="87">
        <v>1</v>
      </c>
      <c r="L773" s="87">
        <v>0.8</v>
      </c>
      <c r="M773" s="88">
        <v>0.8</v>
      </c>
      <c r="N773" s="89"/>
      <c r="O773" s="87"/>
      <c r="P773" s="87"/>
      <c r="Q773" s="87"/>
      <c r="R773" s="87"/>
      <c r="S773" s="87">
        <v>0.8</v>
      </c>
      <c r="T773" s="87"/>
      <c r="U773" s="87">
        <v>0.8</v>
      </c>
      <c r="V773" s="90" t="s">
        <v>3890</v>
      </c>
    </row>
    <row r="774" ht="15" customHeight="1" spans="1:23" x14ac:dyDescent="0.25">
      <c r="A774" s="85">
        <v>3920</v>
      </c>
      <c r="B774" s="85" t="s">
        <v>3894</v>
      </c>
      <c r="C774" s="85" t="s">
        <v>698</v>
      </c>
      <c r="D774" s="85" t="s">
        <v>753</v>
      </c>
      <c r="E774" s="85"/>
      <c r="F774" s="85" t="s">
        <v>157</v>
      </c>
      <c r="G774" s="85"/>
      <c r="H774" s="85"/>
      <c r="I774" s="86"/>
      <c r="J774" s="86"/>
      <c r="K774" s="87"/>
      <c r="L774" s="87"/>
      <c r="M774" s="88"/>
      <c r="N774" s="89"/>
      <c r="O774" s="87"/>
      <c r="P774" s="87"/>
      <c r="Q774" s="87"/>
      <c r="R774" s="87"/>
      <c r="S774" s="87">
        <v>0.8</v>
      </c>
      <c r="T774" s="87">
        <v>0.8</v>
      </c>
      <c r="U774" s="87"/>
      <c r="V774" s="90" t="s">
        <v>2472</v>
      </c>
    </row>
    <row r="775" ht="15" customHeight="1" spans="1:23" x14ac:dyDescent="0.25">
      <c r="A775" s="85">
        <v>3920</v>
      </c>
      <c r="B775" s="85" t="s">
        <v>3894</v>
      </c>
      <c r="C775" s="85" t="s">
        <v>698</v>
      </c>
      <c r="D775" s="85" t="s">
        <v>753</v>
      </c>
      <c r="E775" s="85"/>
      <c r="F775" s="85" t="s">
        <v>2472</v>
      </c>
      <c r="G775" s="85" t="s">
        <v>288</v>
      </c>
      <c r="H775" s="85" t="s">
        <v>3268</v>
      </c>
      <c r="I775" s="86">
        <v>65</v>
      </c>
      <c r="J775" s="86">
        <v>65</v>
      </c>
      <c r="K775" s="87">
        <v>1</v>
      </c>
      <c r="L775" s="87">
        <v>0.8</v>
      </c>
      <c r="M775" s="88">
        <v>0.8</v>
      </c>
      <c r="N775" s="89"/>
      <c r="O775" s="87"/>
      <c r="P775" s="87"/>
      <c r="Q775" s="87"/>
      <c r="R775" s="87"/>
      <c r="S775" s="87">
        <v>0.8</v>
      </c>
      <c r="T775" s="87"/>
      <c r="U775" s="87">
        <v>0</v>
      </c>
      <c r="V775" s="90" t="s">
        <v>2472</v>
      </c>
    </row>
    <row r="776" ht="15" customHeight="1" spans="1:23" x14ac:dyDescent="0.25">
      <c r="A776" s="85">
        <v>3921</v>
      </c>
      <c r="B776" s="85" t="s">
        <v>3895</v>
      </c>
      <c r="C776" s="85" t="s">
        <v>698</v>
      </c>
      <c r="D776" s="85" t="s">
        <v>1039</v>
      </c>
      <c r="E776" s="85"/>
      <c r="F776" s="85" t="s">
        <v>157</v>
      </c>
      <c r="G776" s="85"/>
      <c r="H776" s="85"/>
      <c r="I776" s="86"/>
      <c r="J776" s="86"/>
      <c r="K776" s="87"/>
      <c r="L776" s="87"/>
      <c r="M776" s="88"/>
      <c r="N776" s="89"/>
      <c r="O776" s="87"/>
      <c r="P776" s="87"/>
      <c r="Q776" s="87"/>
      <c r="R776" s="87"/>
      <c r="S776" s="87">
        <v>1</v>
      </c>
      <c r="T776" s="87">
        <v>1</v>
      </c>
      <c r="U776" s="87">
        <v>1</v>
      </c>
      <c r="V776" s="90" t="s">
        <v>3581</v>
      </c>
    </row>
    <row r="777" ht="15" customHeight="1" spans="1:23" x14ac:dyDescent="0.25">
      <c r="A777" s="85">
        <v>3921</v>
      </c>
      <c r="B777" s="85" t="s">
        <v>3895</v>
      </c>
      <c r="C777" s="85" t="s">
        <v>698</v>
      </c>
      <c r="D777" s="85" t="s">
        <v>1039</v>
      </c>
      <c r="E777" s="85"/>
      <c r="F777" s="85" t="s">
        <v>2472</v>
      </c>
      <c r="G777" s="85" t="s">
        <v>288</v>
      </c>
      <c r="H777" s="85" t="s">
        <v>3268</v>
      </c>
      <c r="I777" s="86">
        <v>65</v>
      </c>
      <c r="J777" s="86">
        <v>65</v>
      </c>
      <c r="K777" s="87">
        <v>1</v>
      </c>
      <c r="L777" s="87">
        <v>1</v>
      </c>
      <c r="M777" s="88">
        <v>1</v>
      </c>
      <c r="N777" s="89"/>
      <c r="O777" s="87"/>
      <c r="P777" s="87"/>
      <c r="Q777" s="87"/>
      <c r="R777" s="87"/>
      <c r="S777" s="87">
        <v>1</v>
      </c>
      <c r="T777" s="87"/>
      <c r="U777" s="87">
        <v>1</v>
      </c>
      <c r="V777" s="90" t="s">
        <v>3581</v>
      </c>
    </row>
    <row r="778" ht="15" customHeight="1" spans="1:23" x14ac:dyDescent="0.25">
      <c r="A778" s="85">
        <v>3922</v>
      </c>
      <c r="B778" s="85" t="s">
        <v>3896</v>
      </c>
      <c r="C778" s="85" t="s">
        <v>698</v>
      </c>
      <c r="D778" s="85" t="s">
        <v>175</v>
      </c>
      <c r="E778" s="85"/>
      <c r="F778" s="85" t="s">
        <v>157</v>
      </c>
      <c r="G778" s="85"/>
      <c r="H778" s="85"/>
      <c r="I778" s="86"/>
      <c r="J778" s="86"/>
      <c r="K778" s="87"/>
      <c r="L778" s="87"/>
      <c r="M778" s="88"/>
      <c r="N778" s="89"/>
      <c r="O778" s="87"/>
      <c r="P778" s="87"/>
      <c r="Q778" s="87"/>
      <c r="R778" s="87"/>
      <c r="S778" s="87">
        <v>1</v>
      </c>
      <c r="T778" s="87">
        <v>1</v>
      </c>
      <c r="U778" s="87">
        <v>1</v>
      </c>
      <c r="V778" s="90" t="s">
        <v>3581</v>
      </c>
    </row>
    <row r="779" ht="15" customHeight="1" spans="1:23" x14ac:dyDescent="0.25">
      <c r="A779" s="85">
        <v>3922</v>
      </c>
      <c r="B779" s="85" t="s">
        <v>3896</v>
      </c>
      <c r="C779" s="85" t="s">
        <v>698</v>
      </c>
      <c r="D779" s="85" t="s">
        <v>175</v>
      </c>
      <c r="E779" s="85"/>
      <c r="F779" s="85" t="s">
        <v>2472</v>
      </c>
      <c r="G779" s="85" t="s">
        <v>288</v>
      </c>
      <c r="H779" s="85" t="s">
        <v>3268</v>
      </c>
      <c r="I779" s="86">
        <v>65</v>
      </c>
      <c r="J779" s="86">
        <v>65</v>
      </c>
      <c r="K779" s="87">
        <v>1</v>
      </c>
      <c r="L779" s="87">
        <v>1</v>
      </c>
      <c r="M779" s="88">
        <v>1</v>
      </c>
      <c r="N779" s="89"/>
      <c r="O779" s="87"/>
      <c r="P779" s="87"/>
      <c r="Q779" s="87"/>
      <c r="R779" s="87"/>
      <c r="S779" s="87">
        <v>1</v>
      </c>
      <c r="T779" s="87"/>
      <c r="U779" s="87">
        <v>1</v>
      </c>
      <c r="V779" s="90" t="s">
        <v>3581</v>
      </c>
    </row>
    <row r="780" ht="15" customHeight="1" spans="1:23" x14ac:dyDescent="0.25">
      <c r="A780" s="85">
        <v>3923</v>
      </c>
      <c r="B780" s="85" t="s">
        <v>3897</v>
      </c>
      <c r="C780" s="85" t="s">
        <v>698</v>
      </c>
      <c r="D780" s="85" t="s">
        <v>1586</v>
      </c>
      <c r="E780" s="85"/>
      <c r="F780" s="85" t="s">
        <v>157</v>
      </c>
      <c r="G780" s="85"/>
      <c r="H780" s="85"/>
      <c r="I780" s="86"/>
      <c r="J780" s="86"/>
      <c r="K780" s="87"/>
      <c r="L780" s="87"/>
      <c r="M780" s="88"/>
      <c r="N780" s="89"/>
      <c r="O780" s="87"/>
      <c r="P780" s="87"/>
      <c r="Q780" s="87"/>
      <c r="R780" s="87"/>
      <c r="S780" s="87">
        <v>1</v>
      </c>
      <c r="T780" s="87">
        <v>1</v>
      </c>
      <c r="U780" s="87"/>
      <c r="V780" s="90" t="s">
        <v>2472</v>
      </c>
    </row>
    <row r="781" ht="15" customHeight="1" spans="1:23" x14ac:dyDescent="0.25">
      <c r="A781" s="85">
        <v>3923</v>
      </c>
      <c r="B781" s="85" t="s">
        <v>3897</v>
      </c>
      <c r="C781" s="85" t="s">
        <v>698</v>
      </c>
      <c r="D781" s="85" t="s">
        <v>1586</v>
      </c>
      <c r="E781" s="85"/>
      <c r="F781" s="85" t="s">
        <v>2472</v>
      </c>
      <c r="G781" s="85" t="s">
        <v>288</v>
      </c>
      <c r="H781" s="85" t="s">
        <v>3268</v>
      </c>
      <c r="I781" s="86">
        <v>65</v>
      </c>
      <c r="J781" s="86">
        <v>65</v>
      </c>
      <c r="K781" s="87">
        <v>1</v>
      </c>
      <c r="L781" s="87">
        <v>1</v>
      </c>
      <c r="M781" s="88">
        <v>1</v>
      </c>
      <c r="N781" s="89"/>
      <c r="O781" s="87"/>
      <c r="P781" s="87"/>
      <c r="Q781" s="87"/>
      <c r="R781" s="87"/>
      <c r="S781" s="87">
        <v>1</v>
      </c>
      <c r="T781" s="87"/>
      <c r="U781" s="87">
        <v>0</v>
      </c>
      <c r="V781" s="90" t="s">
        <v>2472</v>
      </c>
    </row>
    <row r="782" ht="15" customHeight="1" spans="1:23" x14ac:dyDescent="0.25">
      <c r="A782" s="85">
        <v>3924</v>
      </c>
      <c r="B782" s="85" t="s">
        <v>3898</v>
      </c>
      <c r="C782" s="85" t="s">
        <v>698</v>
      </c>
      <c r="D782" s="85" t="s">
        <v>700</v>
      </c>
      <c r="E782" s="85"/>
      <c r="F782" s="85" t="s">
        <v>157</v>
      </c>
      <c r="G782" s="85"/>
      <c r="H782" s="85"/>
      <c r="I782" s="86"/>
      <c r="J782" s="86"/>
      <c r="K782" s="87"/>
      <c r="L782" s="87"/>
      <c r="M782" s="88"/>
      <c r="N782" s="89"/>
      <c r="O782" s="87"/>
      <c r="P782" s="87"/>
      <c r="Q782" s="87"/>
      <c r="R782" s="87"/>
      <c r="S782" s="87">
        <v>1</v>
      </c>
      <c r="T782" s="87">
        <v>1</v>
      </c>
      <c r="U782" s="87"/>
      <c r="V782" s="90" t="s">
        <v>2472</v>
      </c>
    </row>
    <row r="783" ht="15" customHeight="1" spans="1:23" x14ac:dyDescent="0.25">
      <c r="A783" s="85">
        <v>3924</v>
      </c>
      <c r="B783" s="85" t="s">
        <v>3898</v>
      </c>
      <c r="C783" s="85" t="s">
        <v>698</v>
      </c>
      <c r="D783" s="85" t="s">
        <v>700</v>
      </c>
      <c r="E783" s="85"/>
      <c r="F783" s="85" t="s">
        <v>2472</v>
      </c>
      <c r="G783" s="85" t="s">
        <v>288</v>
      </c>
      <c r="H783" s="85" t="s">
        <v>3268</v>
      </c>
      <c r="I783" s="86">
        <v>65</v>
      </c>
      <c r="J783" s="86">
        <v>65</v>
      </c>
      <c r="K783" s="87">
        <v>1</v>
      </c>
      <c r="L783" s="87">
        <v>1</v>
      </c>
      <c r="M783" s="88">
        <v>1</v>
      </c>
      <c r="N783" s="89"/>
      <c r="O783" s="87"/>
      <c r="P783" s="87"/>
      <c r="Q783" s="87"/>
      <c r="R783" s="87"/>
      <c r="S783" s="87">
        <v>1</v>
      </c>
      <c r="T783" s="87"/>
      <c r="U783" s="87">
        <v>0</v>
      </c>
      <c r="V783" s="90" t="s">
        <v>2472</v>
      </c>
    </row>
    <row r="784" ht="15" customHeight="1" spans="1:23" x14ac:dyDescent="0.25">
      <c r="A784" s="85">
        <v>3925</v>
      </c>
      <c r="B784" s="85" t="s">
        <v>3899</v>
      </c>
      <c r="C784" s="85" t="s">
        <v>698</v>
      </c>
      <c r="D784" s="85" t="s">
        <v>1155</v>
      </c>
      <c r="E784" s="85"/>
      <c r="F784" s="85" t="s">
        <v>157</v>
      </c>
      <c r="G784" s="85"/>
      <c r="H784" s="85"/>
      <c r="I784" s="86"/>
      <c r="J784" s="86"/>
      <c r="K784" s="87"/>
      <c r="L784" s="87"/>
      <c r="M784" s="88"/>
      <c r="N784" s="89"/>
      <c r="O784" s="87"/>
      <c r="P784" s="87"/>
      <c r="Q784" s="87"/>
      <c r="R784" s="87"/>
      <c r="S784" s="87">
        <v>1</v>
      </c>
      <c r="T784" s="87">
        <v>1</v>
      </c>
      <c r="U784" s="87"/>
      <c r="V784" s="90" t="s">
        <v>2472</v>
      </c>
    </row>
    <row r="785" ht="15" customHeight="1" spans="1:23" x14ac:dyDescent="0.25">
      <c r="A785" s="85">
        <v>3925</v>
      </c>
      <c r="B785" s="85" t="s">
        <v>3899</v>
      </c>
      <c r="C785" s="85" t="s">
        <v>698</v>
      </c>
      <c r="D785" s="85" t="s">
        <v>1155</v>
      </c>
      <c r="E785" s="85"/>
      <c r="F785" s="85" t="s">
        <v>2472</v>
      </c>
      <c r="G785" s="85" t="s">
        <v>288</v>
      </c>
      <c r="H785" s="85" t="s">
        <v>3268</v>
      </c>
      <c r="I785" s="86">
        <v>65</v>
      </c>
      <c r="J785" s="86">
        <v>65</v>
      </c>
      <c r="K785" s="87">
        <v>1</v>
      </c>
      <c r="L785" s="87">
        <v>1</v>
      </c>
      <c r="M785" s="88">
        <v>1</v>
      </c>
      <c r="N785" s="89"/>
      <c r="O785" s="87"/>
      <c r="P785" s="87"/>
      <c r="Q785" s="87"/>
      <c r="R785" s="87"/>
      <c r="S785" s="87">
        <v>1</v>
      </c>
      <c r="T785" s="87"/>
      <c r="U785" s="87">
        <v>0</v>
      </c>
      <c r="V785" s="90" t="s">
        <v>2472</v>
      </c>
    </row>
    <row r="786" ht="15" customHeight="1" spans="1:23" x14ac:dyDescent="0.25">
      <c r="A786" s="85">
        <v>3926</v>
      </c>
      <c r="B786" s="85" t="s">
        <v>3900</v>
      </c>
      <c r="C786" s="85" t="s">
        <v>698</v>
      </c>
      <c r="D786" s="85" t="s">
        <v>722</v>
      </c>
      <c r="E786" s="85"/>
      <c r="F786" s="85" t="s">
        <v>157</v>
      </c>
      <c r="G786" s="85"/>
      <c r="H786" s="85"/>
      <c r="I786" s="86"/>
      <c r="J786" s="86"/>
      <c r="K786" s="87"/>
      <c r="L786" s="87"/>
      <c r="M786" s="88"/>
      <c r="N786" s="89"/>
      <c r="O786" s="87"/>
      <c r="P786" s="87"/>
      <c r="Q786" s="87"/>
      <c r="R786" s="87"/>
      <c r="S786" s="87">
        <v>1</v>
      </c>
      <c r="T786" s="87">
        <v>1</v>
      </c>
      <c r="U786" s="87"/>
      <c r="V786" s="90" t="s">
        <v>2472</v>
      </c>
    </row>
    <row r="787" ht="15" customHeight="1" spans="1:23" x14ac:dyDescent="0.25">
      <c r="A787" s="85">
        <v>3926</v>
      </c>
      <c r="B787" s="85" t="s">
        <v>3900</v>
      </c>
      <c r="C787" s="85" t="s">
        <v>698</v>
      </c>
      <c r="D787" s="85" t="s">
        <v>722</v>
      </c>
      <c r="E787" s="85"/>
      <c r="F787" s="85" t="s">
        <v>2472</v>
      </c>
      <c r="G787" s="85" t="s">
        <v>288</v>
      </c>
      <c r="H787" s="85" t="s">
        <v>3268</v>
      </c>
      <c r="I787" s="86">
        <v>65</v>
      </c>
      <c r="J787" s="86">
        <v>65</v>
      </c>
      <c r="K787" s="87">
        <v>1</v>
      </c>
      <c r="L787" s="87">
        <v>1</v>
      </c>
      <c r="M787" s="88">
        <v>1</v>
      </c>
      <c r="N787" s="89"/>
      <c r="O787" s="87"/>
      <c r="P787" s="87"/>
      <c r="Q787" s="87"/>
      <c r="R787" s="87"/>
      <c r="S787" s="87">
        <v>1</v>
      </c>
      <c r="T787" s="87"/>
      <c r="U787" s="87">
        <v>0</v>
      </c>
      <c r="V787" s="90" t="s">
        <v>2472</v>
      </c>
    </row>
    <row r="788" ht="15" customHeight="1" spans="1:23" x14ac:dyDescent="0.25">
      <c r="A788" s="85">
        <v>3927</v>
      </c>
      <c r="B788" s="85" t="s">
        <v>3901</v>
      </c>
      <c r="C788" s="85" t="s">
        <v>698</v>
      </c>
      <c r="D788" s="85" t="s">
        <v>593</v>
      </c>
      <c r="E788" s="85"/>
      <c r="F788" s="85" t="s">
        <v>157</v>
      </c>
      <c r="G788" s="85"/>
      <c r="H788" s="85"/>
      <c r="I788" s="86"/>
      <c r="J788" s="86"/>
      <c r="K788" s="87"/>
      <c r="L788" s="87"/>
      <c r="M788" s="88"/>
      <c r="N788" s="89"/>
      <c r="O788" s="87"/>
      <c r="P788" s="87"/>
      <c r="Q788" s="87"/>
      <c r="R788" s="87"/>
      <c r="S788" s="87">
        <v>1</v>
      </c>
      <c r="T788" s="87">
        <v>1</v>
      </c>
      <c r="U788" s="87"/>
      <c r="V788" s="90" t="s">
        <v>2472</v>
      </c>
    </row>
    <row r="789" ht="15" customHeight="1" spans="1:23" x14ac:dyDescent="0.25">
      <c r="A789" s="85">
        <v>3927</v>
      </c>
      <c r="B789" s="85" t="s">
        <v>3901</v>
      </c>
      <c r="C789" s="85" t="s">
        <v>698</v>
      </c>
      <c r="D789" s="85" t="s">
        <v>593</v>
      </c>
      <c r="E789" s="85"/>
      <c r="F789" s="85" t="s">
        <v>2472</v>
      </c>
      <c r="G789" s="85" t="s">
        <v>288</v>
      </c>
      <c r="H789" s="85" t="s">
        <v>3268</v>
      </c>
      <c r="I789" s="86">
        <v>65</v>
      </c>
      <c r="J789" s="86">
        <v>65</v>
      </c>
      <c r="K789" s="87">
        <v>1</v>
      </c>
      <c r="L789" s="87">
        <v>1</v>
      </c>
      <c r="M789" s="88">
        <v>1</v>
      </c>
      <c r="N789" s="89"/>
      <c r="O789" s="87"/>
      <c r="P789" s="87"/>
      <c r="Q789" s="87"/>
      <c r="R789" s="87"/>
      <c r="S789" s="87">
        <v>1</v>
      </c>
      <c r="T789" s="87"/>
      <c r="U789" s="87">
        <v>0</v>
      </c>
      <c r="V789" s="90" t="s">
        <v>2472</v>
      </c>
    </row>
    <row r="790" ht="15" customHeight="1" spans="1:23" x14ac:dyDescent="0.25">
      <c r="A790" s="85">
        <v>3928</v>
      </c>
      <c r="B790" s="85" t="s">
        <v>3902</v>
      </c>
      <c r="C790" s="85" t="s">
        <v>698</v>
      </c>
      <c r="D790" s="85" t="s">
        <v>717</v>
      </c>
      <c r="E790" s="85"/>
      <c r="F790" s="85" t="s">
        <v>157</v>
      </c>
      <c r="G790" s="85"/>
      <c r="H790" s="85"/>
      <c r="I790" s="86"/>
      <c r="J790" s="86"/>
      <c r="K790" s="87"/>
      <c r="L790" s="87"/>
      <c r="M790" s="88"/>
      <c r="N790" s="89"/>
      <c r="O790" s="87"/>
      <c r="P790" s="87"/>
      <c r="Q790" s="87"/>
      <c r="R790" s="87"/>
      <c r="S790" s="87">
        <v>1</v>
      </c>
      <c r="T790" s="87">
        <v>1</v>
      </c>
      <c r="U790" s="87"/>
      <c r="V790" s="90" t="s">
        <v>2472</v>
      </c>
    </row>
    <row r="791" ht="15" customHeight="1" spans="1:23" x14ac:dyDescent="0.25">
      <c r="A791" s="85">
        <v>3928</v>
      </c>
      <c r="B791" s="85" t="s">
        <v>3902</v>
      </c>
      <c r="C791" s="85" t="s">
        <v>698</v>
      </c>
      <c r="D791" s="85" t="s">
        <v>717</v>
      </c>
      <c r="E791" s="85"/>
      <c r="F791" s="85" t="s">
        <v>2472</v>
      </c>
      <c r="G791" s="85" t="s">
        <v>288</v>
      </c>
      <c r="H791" s="85" t="s">
        <v>3268</v>
      </c>
      <c r="I791" s="86">
        <v>65</v>
      </c>
      <c r="J791" s="86">
        <v>65</v>
      </c>
      <c r="K791" s="87">
        <v>1</v>
      </c>
      <c r="L791" s="87">
        <v>1</v>
      </c>
      <c r="M791" s="88">
        <v>1</v>
      </c>
      <c r="N791" s="89"/>
      <c r="O791" s="87"/>
      <c r="P791" s="87"/>
      <c r="Q791" s="87"/>
      <c r="R791" s="87"/>
      <c r="S791" s="87">
        <v>1</v>
      </c>
      <c r="T791" s="87"/>
      <c r="U791" s="87">
        <v>0</v>
      </c>
      <c r="V791" s="90" t="s">
        <v>2472</v>
      </c>
    </row>
    <row r="792" ht="15" customHeight="1" spans="1:23" x14ac:dyDescent="0.25">
      <c r="A792" s="85">
        <v>3929</v>
      </c>
      <c r="B792" s="85" t="s">
        <v>3903</v>
      </c>
      <c r="C792" s="85" t="s">
        <v>698</v>
      </c>
      <c r="D792" s="85" t="s">
        <v>876</v>
      </c>
      <c r="E792" s="85"/>
      <c r="F792" s="85" t="s">
        <v>157</v>
      </c>
      <c r="G792" s="85"/>
      <c r="H792" s="85"/>
      <c r="I792" s="86"/>
      <c r="J792" s="86"/>
      <c r="K792" s="87"/>
      <c r="L792" s="87"/>
      <c r="M792" s="88"/>
      <c r="N792" s="89"/>
      <c r="O792" s="87"/>
      <c r="P792" s="87"/>
      <c r="Q792" s="87"/>
      <c r="R792" s="87"/>
      <c r="S792" s="87">
        <v>1</v>
      </c>
      <c r="T792" s="87">
        <v>1</v>
      </c>
      <c r="U792" s="87"/>
      <c r="V792" s="90" t="s">
        <v>2472</v>
      </c>
    </row>
    <row r="793" ht="15" customHeight="1" spans="1:23" x14ac:dyDescent="0.25">
      <c r="A793" s="85">
        <v>3929</v>
      </c>
      <c r="B793" s="85" t="s">
        <v>3903</v>
      </c>
      <c r="C793" s="85" t="s">
        <v>698</v>
      </c>
      <c r="D793" s="85" t="s">
        <v>876</v>
      </c>
      <c r="E793" s="85"/>
      <c r="F793" s="85" t="s">
        <v>2472</v>
      </c>
      <c r="G793" s="85" t="s">
        <v>288</v>
      </c>
      <c r="H793" s="85" t="s">
        <v>3268</v>
      </c>
      <c r="I793" s="86">
        <v>65</v>
      </c>
      <c r="J793" s="86">
        <v>65</v>
      </c>
      <c r="K793" s="87">
        <v>1</v>
      </c>
      <c r="L793" s="87">
        <v>1</v>
      </c>
      <c r="M793" s="88">
        <v>1</v>
      </c>
      <c r="N793" s="89"/>
      <c r="O793" s="87"/>
      <c r="P793" s="87"/>
      <c r="Q793" s="87"/>
      <c r="R793" s="87"/>
      <c r="S793" s="87">
        <v>1</v>
      </c>
      <c r="T793" s="87"/>
      <c r="U793" s="87">
        <v>0</v>
      </c>
      <c r="V793" s="90" t="s">
        <v>2472</v>
      </c>
    </row>
    <row r="794" ht="15" customHeight="1" spans="1:23" x14ac:dyDescent="0.25">
      <c r="A794" s="85">
        <v>3930</v>
      </c>
      <c r="B794" s="85" t="s">
        <v>3904</v>
      </c>
      <c r="C794" s="85" t="s">
        <v>698</v>
      </c>
      <c r="D794" s="85" t="s">
        <v>1332</v>
      </c>
      <c r="E794" s="85"/>
      <c r="F794" s="85" t="s">
        <v>157</v>
      </c>
      <c r="G794" s="85"/>
      <c r="H794" s="85"/>
      <c r="I794" s="86"/>
      <c r="J794" s="86"/>
      <c r="K794" s="87"/>
      <c r="L794" s="87"/>
      <c r="M794" s="88"/>
      <c r="N794" s="89"/>
      <c r="O794" s="87"/>
      <c r="P794" s="87"/>
      <c r="Q794" s="87"/>
      <c r="R794" s="87"/>
      <c r="S794" s="87">
        <v>1</v>
      </c>
      <c r="T794" s="87">
        <v>1</v>
      </c>
      <c r="U794" s="87">
        <v>1</v>
      </c>
      <c r="V794" s="90" t="s">
        <v>3581</v>
      </c>
    </row>
    <row r="795" ht="15" customHeight="1" spans="1:23" x14ac:dyDescent="0.25">
      <c r="A795" s="85">
        <v>3930</v>
      </c>
      <c r="B795" s="85" t="s">
        <v>3904</v>
      </c>
      <c r="C795" s="85" t="s">
        <v>698</v>
      </c>
      <c r="D795" s="85" t="s">
        <v>1332</v>
      </c>
      <c r="E795" s="85"/>
      <c r="F795" s="85" t="s">
        <v>2472</v>
      </c>
      <c r="G795" s="85" t="s">
        <v>288</v>
      </c>
      <c r="H795" s="85" t="s">
        <v>3268</v>
      </c>
      <c r="I795" s="86">
        <v>65</v>
      </c>
      <c r="J795" s="86">
        <v>65</v>
      </c>
      <c r="K795" s="87">
        <v>1</v>
      </c>
      <c r="L795" s="87">
        <v>1</v>
      </c>
      <c r="M795" s="88">
        <v>1</v>
      </c>
      <c r="N795" s="89"/>
      <c r="O795" s="87"/>
      <c r="P795" s="87"/>
      <c r="Q795" s="87"/>
      <c r="R795" s="87"/>
      <c r="S795" s="87">
        <v>1</v>
      </c>
      <c r="T795" s="87"/>
      <c r="U795" s="87">
        <v>1</v>
      </c>
      <c r="V795" s="90" t="s">
        <v>3581</v>
      </c>
    </row>
    <row r="796" ht="15" customHeight="1" spans="1:23" x14ac:dyDescent="0.25">
      <c r="A796" s="85">
        <v>3931</v>
      </c>
      <c r="B796" s="85" t="s">
        <v>3905</v>
      </c>
      <c r="C796" s="85" t="s">
        <v>698</v>
      </c>
      <c r="D796" s="85" t="s">
        <v>1409</v>
      </c>
      <c r="E796" s="85"/>
      <c r="F796" s="85" t="s">
        <v>157</v>
      </c>
      <c r="G796" s="85"/>
      <c r="H796" s="85"/>
      <c r="I796" s="86"/>
      <c r="J796" s="86"/>
      <c r="K796" s="87"/>
      <c r="L796" s="87"/>
      <c r="M796" s="88"/>
      <c r="N796" s="89"/>
      <c r="O796" s="87"/>
      <c r="P796" s="87"/>
      <c r="Q796" s="87"/>
      <c r="R796" s="87"/>
      <c r="S796" s="87">
        <v>1</v>
      </c>
      <c r="T796" s="87">
        <v>1</v>
      </c>
      <c r="U796" s="87">
        <v>1</v>
      </c>
      <c r="V796" s="90" t="s">
        <v>3611</v>
      </c>
    </row>
    <row r="797" ht="15" customHeight="1" spans="1:23" x14ac:dyDescent="0.25">
      <c r="A797" s="85">
        <v>3931</v>
      </c>
      <c r="B797" s="85" t="s">
        <v>3905</v>
      </c>
      <c r="C797" s="85" t="s">
        <v>698</v>
      </c>
      <c r="D797" s="85" t="s">
        <v>1409</v>
      </c>
      <c r="E797" s="85"/>
      <c r="F797" s="85" t="s">
        <v>2472</v>
      </c>
      <c r="G797" s="85" t="s">
        <v>288</v>
      </c>
      <c r="H797" s="85" t="s">
        <v>3268</v>
      </c>
      <c r="I797" s="86">
        <v>65</v>
      </c>
      <c r="J797" s="86">
        <v>65</v>
      </c>
      <c r="K797" s="87">
        <v>1</v>
      </c>
      <c r="L797" s="87">
        <v>1</v>
      </c>
      <c r="M797" s="88">
        <v>1</v>
      </c>
      <c r="N797" s="89"/>
      <c r="O797" s="87"/>
      <c r="P797" s="87"/>
      <c r="Q797" s="87"/>
      <c r="R797" s="87"/>
      <c r="S797" s="87">
        <v>1</v>
      </c>
      <c r="T797" s="87"/>
      <c r="U797" s="87">
        <v>1</v>
      </c>
      <c r="V797" s="90" t="s">
        <v>3611</v>
      </c>
    </row>
    <row r="798" ht="15" customHeight="1" spans="1:23" x14ac:dyDescent="0.25">
      <c r="A798" s="85">
        <v>3932</v>
      </c>
      <c r="B798" s="85" t="s">
        <v>3906</v>
      </c>
      <c r="C798" s="85" t="s">
        <v>698</v>
      </c>
      <c r="D798" s="85" t="s">
        <v>1058</v>
      </c>
      <c r="E798" s="85"/>
      <c r="F798" s="85" t="s">
        <v>157</v>
      </c>
      <c r="G798" s="85"/>
      <c r="H798" s="85"/>
      <c r="I798" s="86"/>
      <c r="J798" s="86"/>
      <c r="K798" s="87"/>
      <c r="L798" s="87"/>
      <c r="M798" s="88"/>
      <c r="N798" s="89"/>
      <c r="O798" s="87"/>
      <c r="P798" s="87"/>
      <c r="Q798" s="87"/>
      <c r="R798" s="87"/>
      <c r="S798" s="87">
        <v>0.8</v>
      </c>
      <c r="T798" s="87">
        <v>0.8</v>
      </c>
      <c r="U798" s="87"/>
      <c r="V798" s="90" t="s">
        <v>2472</v>
      </c>
    </row>
    <row r="799" ht="15" customHeight="1" spans="1:23" x14ac:dyDescent="0.25">
      <c r="A799" s="85">
        <v>3932</v>
      </c>
      <c r="B799" s="85" t="s">
        <v>3906</v>
      </c>
      <c r="C799" s="85" t="s">
        <v>698</v>
      </c>
      <c r="D799" s="85" t="s">
        <v>1058</v>
      </c>
      <c r="E799" s="85"/>
      <c r="F799" s="85" t="s">
        <v>2472</v>
      </c>
      <c r="G799" s="85" t="s">
        <v>288</v>
      </c>
      <c r="H799" s="85" t="s">
        <v>3268</v>
      </c>
      <c r="I799" s="86">
        <v>65</v>
      </c>
      <c r="J799" s="86">
        <v>65</v>
      </c>
      <c r="K799" s="87">
        <v>1</v>
      </c>
      <c r="L799" s="87">
        <v>0.8</v>
      </c>
      <c r="M799" s="88">
        <v>0.8</v>
      </c>
      <c r="N799" s="89"/>
      <c r="O799" s="87"/>
      <c r="P799" s="87"/>
      <c r="Q799" s="87"/>
      <c r="R799" s="87"/>
      <c r="S799" s="87">
        <v>0.8</v>
      </c>
      <c r="T799" s="87"/>
      <c r="U799" s="87">
        <v>0</v>
      </c>
      <c r="V799" s="90" t="s">
        <v>2472</v>
      </c>
    </row>
    <row r="800" ht="15" customHeight="1" spans="1:23" x14ac:dyDescent="0.25">
      <c r="A800" s="85">
        <v>3933</v>
      </c>
      <c r="B800" s="85" t="s">
        <v>3907</v>
      </c>
      <c r="C800" s="85" t="s">
        <v>698</v>
      </c>
      <c r="D800" s="85" t="s">
        <v>1883</v>
      </c>
      <c r="E800" s="85"/>
      <c r="F800" s="85" t="s">
        <v>157</v>
      </c>
      <c r="G800" s="85"/>
      <c r="H800" s="85"/>
      <c r="I800" s="86"/>
      <c r="J800" s="86"/>
      <c r="K800" s="87"/>
      <c r="L800" s="87"/>
      <c r="M800" s="88"/>
      <c r="N800" s="89"/>
      <c r="O800" s="87"/>
      <c r="P800" s="87"/>
      <c r="Q800" s="87"/>
      <c r="R800" s="87"/>
      <c r="S800" s="87">
        <v>0.8</v>
      </c>
      <c r="T800" s="87">
        <v>0.8</v>
      </c>
      <c r="U800" s="87"/>
      <c r="V800" s="90" t="s">
        <v>2472</v>
      </c>
    </row>
    <row r="801" ht="15" customHeight="1" spans="1:23" x14ac:dyDescent="0.25">
      <c r="A801" s="85">
        <v>3933</v>
      </c>
      <c r="B801" s="85" t="s">
        <v>3907</v>
      </c>
      <c r="C801" s="85" t="s">
        <v>698</v>
      </c>
      <c r="D801" s="85" t="s">
        <v>1883</v>
      </c>
      <c r="E801" s="85"/>
      <c r="F801" s="85" t="s">
        <v>2472</v>
      </c>
      <c r="G801" s="85" t="s">
        <v>288</v>
      </c>
      <c r="H801" s="85" t="s">
        <v>3268</v>
      </c>
      <c r="I801" s="86">
        <v>65</v>
      </c>
      <c r="J801" s="86">
        <v>65</v>
      </c>
      <c r="K801" s="87">
        <v>1</v>
      </c>
      <c r="L801" s="87">
        <v>0.8</v>
      </c>
      <c r="M801" s="88">
        <v>0.8</v>
      </c>
      <c r="N801" s="89"/>
      <c r="O801" s="87"/>
      <c r="P801" s="87"/>
      <c r="Q801" s="87"/>
      <c r="R801" s="87"/>
      <c r="S801" s="87">
        <v>0.8</v>
      </c>
      <c r="T801" s="87"/>
      <c r="U801" s="87">
        <v>0</v>
      </c>
      <c r="V801" s="90" t="s">
        <v>2472</v>
      </c>
    </row>
    <row r="802" ht="15" customHeight="1" spans="1:23" x14ac:dyDescent="0.25">
      <c r="A802" s="85">
        <v>3935</v>
      </c>
      <c r="B802" s="85" t="s">
        <v>3908</v>
      </c>
      <c r="C802" s="85" t="s">
        <v>698</v>
      </c>
      <c r="D802" s="85" t="s">
        <v>1350</v>
      </c>
      <c r="E802" s="85"/>
      <c r="F802" s="85" t="s">
        <v>157</v>
      </c>
      <c r="G802" s="85"/>
      <c r="H802" s="85"/>
      <c r="I802" s="86"/>
      <c r="J802" s="86"/>
      <c r="K802" s="87"/>
      <c r="L802" s="87"/>
      <c r="M802" s="88"/>
      <c r="N802" s="89"/>
      <c r="O802" s="87"/>
      <c r="P802" s="87"/>
      <c r="Q802" s="87"/>
      <c r="R802" s="87"/>
      <c r="S802" s="87">
        <v>1</v>
      </c>
      <c r="T802" s="87">
        <v>1</v>
      </c>
      <c r="U802" s="87">
        <v>1</v>
      </c>
      <c r="V802" s="90" t="s">
        <v>3909</v>
      </c>
    </row>
    <row r="803" ht="15" customHeight="1" spans="1:23" x14ac:dyDescent="0.25">
      <c r="A803" s="85">
        <v>3935</v>
      </c>
      <c r="B803" s="85" t="s">
        <v>3908</v>
      </c>
      <c r="C803" s="85" t="s">
        <v>698</v>
      </c>
      <c r="D803" s="85" t="s">
        <v>1350</v>
      </c>
      <c r="E803" s="85"/>
      <c r="F803" s="85" t="s">
        <v>2472</v>
      </c>
      <c r="G803" s="85" t="s">
        <v>288</v>
      </c>
      <c r="H803" s="85" t="s">
        <v>3268</v>
      </c>
      <c r="I803" s="86">
        <v>65</v>
      </c>
      <c r="J803" s="86">
        <v>65</v>
      </c>
      <c r="K803" s="87">
        <v>1</v>
      </c>
      <c r="L803" s="87">
        <v>1</v>
      </c>
      <c r="M803" s="88">
        <v>1</v>
      </c>
      <c r="N803" s="89"/>
      <c r="O803" s="87"/>
      <c r="P803" s="87"/>
      <c r="Q803" s="87"/>
      <c r="R803" s="87"/>
      <c r="S803" s="87">
        <v>1</v>
      </c>
      <c r="T803" s="87"/>
      <c r="U803" s="87">
        <v>1</v>
      </c>
      <c r="V803" s="90" t="s">
        <v>3909</v>
      </c>
    </row>
    <row r="804" ht="15" customHeight="1" spans="1:23" x14ac:dyDescent="0.25">
      <c r="A804" s="85">
        <v>3936</v>
      </c>
      <c r="B804" s="85" t="s">
        <v>3910</v>
      </c>
      <c r="C804" s="85" t="s">
        <v>698</v>
      </c>
      <c r="D804" s="85" t="s">
        <v>2032</v>
      </c>
      <c r="E804" s="85"/>
      <c r="F804" s="85" t="s">
        <v>157</v>
      </c>
      <c r="G804" s="85"/>
      <c r="H804" s="85"/>
      <c r="I804" s="86"/>
      <c r="J804" s="86"/>
      <c r="K804" s="87"/>
      <c r="L804" s="87"/>
      <c r="M804" s="88"/>
      <c r="N804" s="89"/>
      <c r="O804" s="87"/>
      <c r="P804" s="87"/>
      <c r="Q804" s="87"/>
      <c r="R804" s="87"/>
      <c r="S804" s="87">
        <v>1</v>
      </c>
      <c r="T804" s="87">
        <v>1</v>
      </c>
      <c r="U804" s="87"/>
      <c r="V804" s="90" t="s">
        <v>2472</v>
      </c>
    </row>
    <row r="805" ht="15" customHeight="1" spans="1:23" x14ac:dyDescent="0.25">
      <c r="A805" s="85">
        <v>3936</v>
      </c>
      <c r="B805" s="85" t="s">
        <v>3910</v>
      </c>
      <c r="C805" s="85" t="s">
        <v>698</v>
      </c>
      <c r="D805" s="85" t="s">
        <v>2032</v>
      </c>
      <c r="E805" s="85"/>
      <c r="F805" s="85" t="s">
        <v>2472</v>
      </c>
      <c r="G805" s="85" t="s">
        <v>288</v>
      </c>
      <c r="H805" s="85" t="s">
        <v>3268</v>
      </c>
      <c r="I805" s="86">
        <v>65</v>
      </c>
      <c r="J805" s="86">
        <v>65</v>
      </c>
      <c r="K805" s="87">
        <v>1</v>
      </c>
      <c r="L805" s="87">
        <v>1</v>
      </c>
      <c r="M805" s="88">
        <v>1</v>
      </c>
      <c r="N805" s="89"/>
      <c r="O805" s="87"/>
      <c r="P805" s="87"/>
      <c r="Q805" s="87"/>
      <c r="R805" s="87"/>
      <c r="S805" s="87">
        <v>1</v>
      </c>
      <c r="T805" s="87"/>
      <c r="U805" s="87">
        <v>0</v>
      </c>
      <c r="V805" s="90" t="s">
        <v>2472</v>
      </c>
    </row>
    <row r="806" ht="15" customHeight="1" spans="1:23" x14ac:dyDescent="0.25">
      <c r="A806" s="85">
        <v>3937</v>
      </c>
      <c r="B806" s="85" t="s">
        <v>3911</v>
      </c>
      <c r="C806" s="85" t="s">
        <v>698</v>
      </c>
      <c r="D806" s="85" t="s">
        <v>1299</v>
      </c>
      <c r="E806" s="85"/>
      <c r="F806" s="85" t="s">
        <v>157</v>
      </c>
      <c r="G806" s="85"/>
      <c r="H806" s="85"/>
      <c r="I806" s="86"/>
      <c r="J806" s="86"/>
      <c r="K806" s="87"/>
      <c r="L806" s="87"/>
      <c r="M806" s="88"/>
      <c r="N806" s="89"/>
      <c r="O806" s="87"/>
      <c r="P806" s="87"/>
      <c r="Q806" s="87"/>
      <c r="R806" s="87"/>
      <c r="S806" s="87">
        <v>1</v>
      </c>
      <c r="T806" s="87">
        <v>1</v>
      </c>
      <c r="U806" s="87">
        <v>1</v>
      </c>
      <c r="V806" s="90" t="s">
        <v>3766</v>
      </c>
    </row>
    <row r="807" ht="15" customHeight="1" spans="1:23" x14ac:dyDescent="0.25">
      <c r="A807" s="85">
        <v>3937</v>
      </c>
      <c r="B807" s="85" t="s">
        <v>3911</v>
      </c>
      <c r="C807" s="85" t="s">
        <v>698</v>
      </c>
      <c r="D807" s="85" t="s">
        <v>1299</v>
      </c>
      <c r="E807" s="85"/>
      <c r="F807" s="85" t="s">
        <v>2472</v>
      </c>
      <c r="G807" s="85" t="s">
        <v>288</v>
      </c>
      <c r="H807" s="85" t="s">
        <v>3268</v>
      </c>
      <c r="I807" s="86">
        <v>65</v>
      </c>
      <c r="J807" s="86">
        <v>65</v>
      </c>
      <c r="K807" s="87">
        <v>1</v>
      </c>
      <c r="L807" s="87">
        <v>1</v>
      </c>
      <c r="M807" s="88">
        <v>1</v>
      </c>
      <c r="N807" s="89"/>
      <c r="O807" s="87"/>
      <c r="P807" s="87"/>
      <c r="Q807" s="87"/>
      <c r="R807" s="87"/>
      <c r="S807" s="87">
        <v>1</v>
      </c>
      <c r="T807" s="87"/>
      <c r="U807" s="87">
        <v>1</v>
      </c>
      <c r="V807" s="90" t="s">
        <v>3766</v>
      </c>
    </row>
    <row r="808" ht="15" customHeight="1" spans="1:23" x14ac:dyDescent="0.25">
      <c r="A808" s="85">
        <v>3938</v>
      </c>
      <c r="B808" s="85" t="s">
        <v>3912</v>
      </c>
      <c r="C808" s="85" t="s">
        <v>698</v>
      </c>
      <c r="D808" s="85" t="s">
        <v>1090</v>
      </c>
      <c r="E808" s="85"/>
      <c r="F808" s="85" t="s">
        <v>157</v>
      </c>
      <c r="G808" s="85"/>
      <c r="H808" s="85"/>
      <c r="I808" s="86"/>
      <c r="J808" s="86"/>
      <c r="K808" s="87"/>
      <c r="L808" s="87"/>
      <c r="M808" s="88"/>
      <c r="N808" s="89"/>
      <c r="O808" s="87"/>
      <c r="P808" s="87"/>
      <c r="Q808" s="87"/>
      <c r="R808" s="87"/>
      <c r="S808" s="87">
        <v>0.8</v>
      </c>
      <c r="T808" s="87">
        <v>0.8</v>
      </c>
      <c r="U808" s="87"/>
      <c r="V808" s="90" t="s">
        <v>2472</v>
      </c>
    </row>
    <row r="809" ht="15" customHeight="1" spans="1:23" x14ac:dyDescent="0.25">
      <c r="A809" s="85">
        <v>3938</v>
      </c>
      <c r="B809" s="85" t="s">
        <v>3912</v>
      </c>
      <c r="C809" s="85" t="s">
        <v>698</v>
      </c>
      <c r="D809" s="85" t="s">
        <v>1090</v>
      </c>
      <c r="E809" s="85"/>
      <c r="F809" s="85" t="s">
        <v>2472</v>
      </c>
      <c r="G809" s="85" t="s">
        <v>288</v>
      </c>
      <c r="H809" s="85" t="s">
        <v>3268</v>
      </c>
      <c r="I809" s="86">
        <v>65</v>
      </c>
      <c r="J809" s="86">
        <v>65</v>
      </c>
      <c r="K809" s="87">
        <v>1</v>
      </c>
      <c r="L809" s="87">
        <v>0.8</v>
      </c>
      <c r="M809" s="88">
        <v>0.8</v>
      </c>
      <c r="N809" s="89"/>
      <c r="O809" s="87"/>
      <c r="P809" s="87"/>
      <c r="Q809" s="87"/>
      <c r="R809" s="87"/>
      <c r="S809" s="87">
        <v>0.8</v>
      </c>
      <c r="T809" s="87"/>
      <c r="U809" s="87">
        <v>0</v>
      </c>
      <c r="V809" s="90" t="s">
        <v>2472</v>
      </c>
    </row>
    <row r="810" ht="15" customHeight="1" spans="1:23" x14ac:dyDescent="0.25">
      <c r="A810" s="85">
        <v>3939</v>
      </c>
      <c r="B810" s="85" t="s">
        <v>3913</v>
      </c>
      <c r="C810" s="85" t="s">
        <v>698</v>
      </c>
      <c r="D810" s="85" t="s">
        <v>1113</v>
      </c>
      <c r="E810" s="85"/>
      <c r="F810" s="85" t="s">
        <v>157</v>
      </c>
      <c r="G810" s="85"/>
      <c r="H810" s="85"/>
      <c r="I810" s="86"/>
      <c r="J810" s="86"/>
      <c r="K810" s="87"/>
      <c r="L810" s="87"/>
      <c r="M810" s="88"/>
      <c r="N810" s="89"/>
      <c r="O810" s="87"/>
      <c r="P810" s="87"/>
      <c r="Q810" s="87"/>
      <c r="R810" s="87"/>
      <c r="S810" s="87">
        <v>1</v>
      </c>
      <c r="T810" s="87">
        <v>1</v>
      </c>
      <c r="U810" s="87"/>
      <c r="V810" s="90" t="s">
        <v>2472</v>
      </c>
    </row>
    <row r="811" ht="15" customHeight="1" spans="1:23" x14ac:dyDescent="0.25">
      <c r="A811" s="85">
        <v>3939</v>
      </c>
      <c r="B811" s="85" t="s">
        <v>3913</v>
      </c>
      <c r="C811" s="85" t="s">
        <v>698</v>
      </c>
      <c r="D811" s="85" t="s">
        <v>1113</v>
      </c>
      <c r="E811" s="85"/>
      <c r="F811" s="85" t="s">
        <v>2472</v>
      </c>
      <c r="G811" s="85" t="s">
        <v>288</v>
      </c>
      <c r="H811" s="85" t="s">
        <v>3268</v>
      </c>
      <c r="I811" s="86">
        <v>65</v>
      </c>
      <c r="J811" s="86">
        <v>65</v>
      </c>
      <c r="K811" s="87">
        <v>1</v>
      </c>
      <c r="L811" s="87">
        <v>1</v>
      </c>
      <c r="M811" s="88">
        <v>1</v>
      </c>
      <c r="N811" s="89"/>
      <c r="O811" s="87"/>
      <c r="P811" s="87"/>
      <c r="Q811" s="87"/>
      <c r="R811" s="87"/>
      <c r="S811" s="87">
        <v>1</v>
      </c>
      <c r="T811" s="87"/>
      <c r="U811" s="87">
        <v>0</v>
      </c>
      <c r="V811" s="90" t="s">
        <v>2472</v>
      </c>
    </row>
    <row r="812" ht="15" customHeight="1" spans="1:23" x14ac:dyDescent="0.25">
      <c r="A812" s="85">
        <v>3940</v>
      </c>
      <c r="B812" s="85" t="s">
        <v>3914</v>
      </c>
      <c r="C812" s="85" t="s">
        <v>698</v>
      </c>
      <c r="D812" s="85" t="s">
        <v>1377</v>
      </c>
      <c r="E812" s="85"/>
      <c r="F812" s="85" t="s">
        <v>157</v>
      </c>
      <c r="G812" s="85"/>
      <c r="H812" s="85"/>
      <c r="I812" s="86"/>
      <c r="J812" s="86"/>
      <c r="K812" s="87"/>
      <c r="L812" s="87"/>
      <c r="M812" s="88"/>
      <c r="N812" s="89"/>
      <c r="O812" s="87"/>
      <c r="P812" s="87"/>
      <c r="Q812" s="87"/>
      <c r="R812" s="87"/>
      <c r="S812" s="87">
        <v>1</v>
      </c>
      <c r="T812" s="87">
        <v>1</v>
      </c>
      <c r="U812" s="87">
        <v>1</v>
      </c>
      <c r="V812" s="90" t="s">
        <v>3915</v>
      </c>
    </row>
    <row r="813" ht="15" customHeight="1" spans="1:23" x14ac:dyDescent="0.25">
      <c r="A813" s="85">
        <v>3940</v>
      </c>
      <c r="B813" s="85" t="s">
        <v>3914</v>
      </c>
      <c r="C813" s="85" t="s">
        <v>698</v>
      </c>
      <c r="D813" s="85" t="s">
        <v>1377</v>
      </c>
      <c r="E813" s="85"/>
      <c r="F813" s="85" t="s">
        <v>2472</v>
      </c>
      <c r="G813" s="85" t="s">
        <v>288</v>
      </c>
      <c r="H813" s="85" t="s">
        <v>3268</v>
      </c>
      <c r="I813" s="86">
        <v>65</v>
      </c>
      <c r="J813" s="86">
        <v>65</v>
      </c>
      <c r="K813" s="87">
        <v>1</v>
      </c>
      <c r="L813" s="87">
        <v>1</v>
      </c>
      <c r="M813" s="88">
        <v>1</v>
      </c>
      <c r="N813" s="89"/>
      <c r="O813" s="87"/>
      <c r="P813" s="87"/>
      <c r="Q813" s="87"/>
      <c r="R813" s="87"/>
      <c r="S813" s="87">
        <v>1</v>
      </c>
      <c r="T813" s="87"/>
      <c r="U813" s="87">
        <v>1</v>
      </c>
      <c r="V813" s="90" t="s">
        <v>3915</v>
      </c>
    </row>
    <row r="814" ht="15" customHeight="1" spans="1:23" x14ac:dyDescent="0.25">
      <c r="A814" s="85">
        <v>3941</v>
      </c>
      <c r="B814" s="85" t="s">
        <v>3916</v>
      </c>
      <c r="C814" s="85" t="s">
        <v>698</v>
      </c>
      <c r="D814" s="85" t="s">
        <v>1000</v>
      </c>
      <c r="E814" s="85"/>
      <c r="F814" s="85" t="s">
        <v>157</v>
      </c>
      <c r="G814" s="85"/>
      <c r="H814" s="85"/>
      <c r="I814" s="86"/>
      <c r="J814" s="86"/>
      <c r="K814" s="87"/>
      <c r="L814" s="87"/>
      <c r="M814" s="88"/>
      <c r="N814" s="89"/>
      <c r="O814" s="87"/>
      <c r="P814" s="87"/>
      <c r="Q814" s="87"/>
      <c r="R814" s="87"/>
      <c r="S814" s="87">
        <v>1</v>
      </c>
      <c r="T814" s="87">
        <v>1</v>
      </c>
      <c r="U814" s="87"/>
      <c r="V814" s="90" t="s">
        <v>2472</v>
      </c>
    </row>
    <row r="815" ht="15" customHeight="1" spans="1:23" x14ac:dyDescent="0.25">
      <c r="A815" s="85">
        <v>3941</v>
      </c>
      <c r="B815" s="85" t="s">
        <v>3916</v>
      </c>
      <c r="C815" s="85" t="s">
        <v>698</v>
      </c>
      <c r="D815" s="85" t="s">
        <v>1000</v>
      </c>
      <c r="E815" s="85"/>
      <c r="F815" s="85" t="s">
        <v>2472</v>
      </c>
      <c r="G815" s="85" t="s">
        <v>288</v>
      </c>
      <c r="H815" s="85" t="s">
        <v>3268</v>
      </c>
      <c r="I815" s="86">
        <v>65</v>
      </c>
      <c r="J815" s="86">
        <v>65</v>
      </c>
      <c r="K815" s="87">
        <v>1</v>
      </c>
      <c r="L815" s="87">
        <v>1</v>
      </c>
      <c r="M815" s="88">
        <v>1</v>
      </c>
      <c r="N815" s="89"/>
      <c r="O815" s="87"/>
      <c r="P815" s="87"/>
      <c r="Q815" s="87"/>
      <c r="R815" s="87"/>
      <c r="S815" s="87">
        <v>1</v>
      </c>
      <c r="T815" s="87"/>
      <c r="U815" s="87">
        <v>0</v>
      </c>
      <c r="V815" s="90" t="s">
        <v>2472</v>
      </c>
    </row>
    <row r="816" ht="15" customHeight="1" spans="1:23" x14ac:dyDescent="0.25">
      <c r="A816" s="85">
        <v>3942</v>
      </c>
      <c r="B816" s="85" t="s">
        <v>3917</v>
      </c>
      <c r="C816" s="85" t="s">
        <v>698</v>
      </c>
      <c r="D816" s="85" t="s">
        <v>816</v>
      </c>
      <c r="E816" s="85"/>
      <c r="F816" s="85" t="s">
        <v>157</v>
      </c>
      <c r="G816" s="85"/>
      <c r="H816" s="85"/>
      <c r="I816" s="86"/>
      <c r="J816" s="86"/>
      <c r="K816" s="87"/>
      <c r="L816" s="87"/>
      <c r="M816" s="88"/>
      <c r="N816" s="89"/>
      <c r="O816" s="87"/>
      <c r="P816" s="87"/>
      <c r="Q816" s="87"/>
      <c r="R816" s="87"/>
      <c r="S816" s="87">
        <v>0.8</v>
      </c>
      <c r="T816" s="87">
        <v>0.8</v>
      </c>
      <c r="U816" s="87"/>
      <c r="V816" s="90" t="s">
        <v>2472</v>
      </c>
    </row>
    <row r="817" ht="15" customHeight="1" spans="1:23" x14ac:dyDescent="0.25">
      <c r="A817" s="85">
        <v>3942</v>
      </c>
      <c r="B817" s="85" t="s">
        <v>3917</v>
      </c>
      <c r="C817" s="85" t="s">
        <v>698</v>
      </c>
      <c r="D817" s="85" t="s">
        <v>816</v>
      </c>
      <c r="E817" s="85"/>
      <c r="F817" s="85" t="s">
        <v>2472</v>
      </c>
      <c r="G817" s="85" t="s">
        <v>288</v>
      </c>
      <c r="H817" s="85" t="s">
        <v>3268</v>
      </c>
      <c r="I817" s="86">
        <v>65</v>
      </c>
      <c r="J817" s="86">
        <v>65</v>
      </c>
      <c r="K817" s="87">
        <v>1</v>
      </c>
      <c r="L817" s="87">
        <v>0.8</v>
      </c>
      <c r="M817" s="88">
        <v>0.8</v>
      </c>
      <c r="N817" s="89"/>
      <c r="O817" s="87"/>
      <c r="P817" s="87"/>
      <c r="Q817" s="87"/>
      <c r="R817" s="87"/>
      <c r="S817" s="87">
        <v>0.8</v>
      </c>
      <c r="T817" s="87"/>
      <c r="U817" s="87">
        <v>0</v>
      </c>
      <c r="V817" s="90" t="s">
        <v>2472</v>
      </c>
    </row>
    <row r="818" ht="15" customHeight="1" spans="1:23" x14ac:dyDescent="0.25">
      <c r="A818" s="85">
        <v>3943</v>
      </c>
      <c r="B818" s="85" t="s">
        <v>3918</v>
      </c>
      <c r="C818" s="85" t="s">
        <v>698</v>
      </c>
      <c r="D818" s="85" t="s">
        <v>168</v>
      </c>
      <c r="E818" s="85"/>
      <c r="F818" s="85" t="s">
        <v>157</v>
      </c>
      <c r="G818" s="85"/>
      <c r="H818" s="85"/>
      <c r="I818" s="86"/>
      <c r="J818" s="86"/>
      <c r="K818" s="87"/>
      <c r="L818" s="87"/>
      <c r="M818" s="88"/>
      <c r="N818" s="89"/>
      <c r="O818" s="87"/>
      <c r="P818" s="87"/>
      <c r="Q818" s="87"/>
      <c r="R818" s="87"/>
      <c r="S818" s="87">
        <v>0.8</v>
      </c>
      <c r="T818" s="87">
        <v>0.8</v>
      </c>
      <c r="U818" s="87"/>
      <c r="V818" s="90" t="s">
        <v>2472</v>
      </c>
    </row>
    <row r="819" ht="15" customHeight="1" spans="1:23" x14ac:dyDescent="0.25">
      <c r="A819" s="85">
        <v>3943</v>
      </c>
      <c r="B819" s="85" t="s">
        <v>3918</v>
      </c>
      <c r="C819" s="85" t="s">
        <v>698</v>
      </c>
      <c r="D819" s="85" t="s">
        <v>168</v>
      </c>
      <c r="E819" s="85"/>
      <c r="F819" s="85" t="s">
        <v>2472</v>
      </c>
      <c r="G819" s="85" t="s">
        <v>288</v>
      </c>
      <c r="H819" s="85" t="s">
        <v>3268</v>
      </c>
      <c r="I819" s="86">
        <v>65</v>
      </c>
      <c r="J819" s="86">
        <v>65</v>
      </c>
      <c r="K819" s="87">
        <v>1</v>
      </c>
      <c r="L819" s="87">
        <v>0.8</v>
      </c>
      <c r="M819" s="88">
        <v>0.8</v>
      </c>
      <c r="N819" s="89"/>
      <c r="O819" s="87"/>
      <c r="P819" s="87"/>
      <c r="Q819" s="87"/>
      <c r="R819" s="87"/>
      <c r="S819" s="87">
        <v>0.8</v>
      </c>
      <c r="T819" s="87"/>
      <c r="U819" s="87">
        <v>0</v>
      </c>
      <c r="V819" s="90" t="s">
        <v>2472</v>
      </c>
    </row>
    <row r="820" ht="15" customHeight="1" spans="1:23" x14ac:dyDescent="0.25">
      <c r="A820" s="85">
        <v>3944</v>
      </c>
      <c r="B820" s="85" t="s">
        <v>3919</v>
      </c>
      <c r="C820" s="85" t="s">
        <v>698</v>
      </c>
      <c r="D820" s="85" t="s">
        <v>1095</v>
      </c>
      <c r="E820" s="85"/>
      <c r="F820" s="85" t="s">
        <v>157</v>
      </c>
      <c r="G820" s="85"/>
      <c r="H820" s="85"/>
      <c r="I820" s="86"/>
      <c r="J820" s="86"/>
      <c r="K820" s="87"/>
      <c r="L820" s="87"/>
      <c r="M820" s="88"/>
      <c r="N820" s="89"/>
      <c r="O820" s="87"/>
      <c r="P820" s="87"/>
      <c r="Q820" s="87"/>
      <c r="R820" s="87"/>
      <c r="S820" s="87">
        <v>1</v>
      </c>
      <c r="T820" s="87">
        <v>1</v>
      </c>
      <c r="U820" s="87"/>
      <c r="V820" s="90" t="s">
        <v>2472</v>
      </c>
    </row>
    <row r="821" ht="15" customHeight="1" spans="1:23" x14ac:dyDescent="0.25">
      <c r="A821" s="85">
        <v>3944</v>
      </c>
      <c r="B821" s="85" t="s">
        <v>3919</v>
      </c>
      <c r="C821" s="85" t="s">
        <v>698</v>
      </c>
      <c r="D821" s="85" t="s">
        <v>1095</v>
      </c>
      <c r="E821" s="85"/>
      <c r="F821" s="85" t="s">
        <v>2472</v>
      </c>
      <c r="G821" s="85" t="s">
        <v>288</v>
      </c>
      <c r="H821" s="85" t="s">
        <v>3268</v>
      </c>
      <c r="I821" s="86">
        <v>65</v>
      </c>
      <c r="J821" s="86">
        <v>65</v>
      </c>
      <c r="K821" s="87">
        <v>1</v>
      </c>
      <c r="L821" s="87">
        <v>1</v>
      </c>
      <c r="M821" s="88">
        <v>1</v>
      </c>
      <c r="N821" s="89"/>
      <c r="O821" s="87"/>
      <c r="P821" s="87"/>
      <c r="Q821" s="87"/>
      <c r="R821" s="87"/>
      <c r="S821" s="87">
        <v>1</v>
      </c>
      <c r="T821" s="87"/>
      <c r="U821" s="87">
        <v>0</v>
      </c>
      <c r="V821" s="90" t="s">
        <v>2472</v>
      </c>
    </row>
    <row r="822" ht="15" customHeight="1" spans="1:23" x14ac:dyDescent="0.25">
      <c r="A822" s="85">
        <v>3945</v>
      </c>
      <c r="B822" s="85" t="s">
        <v>3920</v>
      </c>
      <c r="C822" s="85" t="s">
        <v>698</v>
      </c>
      <c r="D822" s="85" t="s">
        <v>836</v>
      </c>
      <c r="E822" s="85"/>
      <c r="F822" s="85" t="s">
        <v>157</v>
      </c>
      <c r="G822" s="85"/>
      <c r="H822" s="85"/>
      <c r="I822" s="86"/>
      <c r="J822" s="86"/>
      <c r="K822" s="87"/>
      <c r="L822" s="87"/>
      <c r="M822" s="88"/>
      <c r="N822" s="89"/>
      <c r="O822" s="87"/>
      <c r="P822" s="87"/>
      <c r="Q822" s="87"/>
      <c r="R822" s="87"/>
      <c r="S822" s="87">
        <v>1</v>
      </c>
      <c r="T822" s="87">
        <v>1</v>
      </c>
      <c r="U822" s="87"/>
      <c r="V822" s="90" t="s">
        <v>2472</v>
      </c>
    </row>
    <row r="823" ht="15" customHeight="1" spans="1:23" x14ac:dyDescent="0.25">
      <c r="A823" s="85">
        <v>3945</v>
      </c>
      <c r="B823" s="85" t="s">
        <v>3920</v>
      </c>
      <c r="C823" s="85" t="s">
        <v>698</v>
      </c>
      <c r="D823" s="85" t="s">
        <v>836</v>
      </c>
      <c r="E823" s="85"/>
      <c r="F823" s="85" t="s">
        <v>2472</v>
      </c>
      <c r="G823" s="85" t="s">
        <v>288</v>
      </c>
      <c r="H823" s="85" t="s">
        <v>3268</v>
      </c>
      <c r="I823" s="86">
        <v>65</v>
      </c>
      <c r="J823" s="86">
        <v>65</v>
      </c>
      <c r="K823" s="87">
        <v>1</v>
      </c>
      <c r="L823" s="87">
        <v>1</v>
      </c>
      <c r="M823" s="88">
        <v>1</v>
      </c>
      <c r="N823" s="89"/>
      <c r="O823" s="87"/>
      <c r="P823" s="87"/>
      <c r="Q823" s="87"/>
      <c r="R823" s="87"/>
      <c r="S823" s="87">
        <v>1</v>
      </c>
      <c r="T823" s="87"/>
      <c r="U823" s="87">
        <v>0</v>
      </c>
      <c r="V823" s="90" t="s">
        <v>2472</v>
      </c>
    </row>
    <row r="824" ht="15" customHeight="1" spans="1:23" x14ac:dyDescent="0.25">
      <c r="A824" s="85">
        <v>3946</v>
      </c>
      <c r="B824" s="85" t="s">
        <v>3921</v>
      </c>
      <c r="C824" s="85" t="s">
        <v>698</v>
      </c>
      <c r="D824" s="85" t="s">
        <v>1013</v>
      </c>
      <c r="E824" s="85"/>
      <c r="F824" s="85" t="s">
        <v>157</v>
      </c>
      <c r="G824" s="85"/>
      <c r="H824" s="85"/>
      <c r="I824" s="86"/>
      <c r="J824" s="86"/>
      <c r="K824" s="87"/>
      <c r="L824" s="87"/>
      <c r="M824" s="88"/>
      <c r="N824" s="89"/>
      <c r="O824" s="87"/>
      <c r="P824" s="87"/>
      <c r="Q824" s="87"/>
      <c r="R824" s="87"/>
      <c r="S824" s="87">
        <v>0.8</v>
      </c>
      <c r="T824" s="87">
        <v>0.8</v>
      </c>
      <c r="U824" s="87">
        <v>0.8</v>
      </c>
      <c r="V824" s="90" t="s">
        <v>3922</v>
      </c>
    </row>
    <row r="825" ht="15" customHeight="1" spans="1:23" x14ac:dyDescent="0.25">
      <c r="A825" s="85">
        <v>3946</v>
      </c>
      <c r="B825" s="85" t="s">
        <v>3921</v>
      </c>
      <c r="C825" s="85" t="s">
        <v>698</v>
      </c>
      <c r="D825" s="85" t="s">
        <v>1013</v>
      </c>
      <c r="E825" s="85"/>
      <c r="F825" s="85" t="s">
        <v>2472</v>
      </c>
      <c r="G825" s="85" t="s">
        <v>288</v>
      </c>
      <c r="H825" s="85" t="s">
        <v>3268</v>
      </c>
      <c r="I825" s="86">
        <v>65</v>
      </c>
      <c r="J825" s="86">
        <v>65</v>
      </c>
      <c r="K825" s="87">
        <v>1</v>
      </c>
      <c r="L825" s="87">
        <v>0.8</v>
      </c>
      <c r="M825" s="88">
        <v>0.8</v>
      </c>
      <c r="N825" s="89"/>
      <c r="O825" s="87"/>
      <c r="P825" s="87"/>
      <c r="Q825" s="87"/>
      <c r="R825" s="87"/>
      <c r="S825" s="87">
        <v>0.8</v>
      </c>
      <c r="T825" s="87"/>
      <c r="U825" s="87">
        <v>0.8</v>
      </c>
      <c r="V825" s="90" t="s">
        <v>3922</v>
      </c>
    </row>
    <row r="826" ht="15" customHeight="1" spans="1:23" x14ac:dyDescent="0.25">
      <c r="A826" s="85">
        <v>3947</v>
      </c>
      <c r="B826" s="85" t="s">
        <v>3923</v>
      </c>
      <c r="C826" s="85" t="s">
        <v>698</v>
      </c>
      <c r="D826" s="85" t="s">
        <v>1693</v>
      </c>
      <c r="E826" s="85"/>
      <c r="F826" s="85" t="s">
        <v>157</v>
      </c>
      <c r="G826" s="85"/>
      <c r="H826" s="85"/>
      <c r="I826" s="86"/>
      <c r="J826" s="86"/>
      <c r="K826" s="87"/>
      <c r="L826" s="87"/>
      <c r="M826" s="88"/>
      <c r="N826" s="89"/>
      <c r="O826" s="87"/>
      <c r="P826" s="87"/>
      <c r="Q826" s="87"/>
      <c r="R826" s="87"/>
      <c r="S826" s="87">
        <v>1</v>
      </c>
      <c r="T826" s="87">
        <v>1</v>
      </c>
      <c r="U826" s="87">
        <v>1</v>
      </c>
      <c r="V826" s="90" t="s">
        <v>3924</v>
      </c>
    </row>
    <row r="827" ht="15" customHeight="1" spans="1:23" x14ac:dyDescent="0.25">
      <c r="A827" s="85">
        <v>3947</v>
      </c>
      <c r="B827" s="85" t="s">
        <v>3923</v>
      </c>
      <c r="C827" s="85" t="s">
        <v>698</v>
      </c>
      <c r="D827" s="85" t="s">
        <v>1693</v>
      </c>
      <c r="E827" s="85"/>
      <c r="F827" s="85" t="s">
        <v>2472</v>
      </c>
      <c r="G827" s="85" t="s">
        <v>288</v>
      </c>
      <c r="H827" s="85" t="s">
        <v>3268</v>
      </c>
      <c r="I827" s="86">
        <v>65</v>
      </c>
      <c r="J827" s="86">
        <v>65</v>
      </c>
      <c r="K827" s="87">
        <v>1</v>
      </c>
      <c r="L827" s="87">
        <v>1</v>
      </c>
      <c r="M827" s="88">
        <v>1</v>
      </c>
      <c r="N827" s="89"/>
      <c r="O827" s="87"/>
      <c r="P827" s="87"/>
      <c r="Q827" s="87"/>
      <c r="R827" s="87"/>
      <c r="S827" s="87">
        <v>1</v>
      </c>
      <c r="T827" s="87"/>
      <c r="U827" s="87">
        <v>1</v>
      </c>
      <c r="V827" s="90" t="s">
        <v>3924</v>
      </c>
    </row>
    <row r="828" ht="15" customHeight="1" spans="1:23" x14ac:dyDescent="0.25">
      <c r="A828" s="85">
        <v>3948</v>
      </c>
      <c r="B828" s="85" t="s">
        <v>3925</v>
      </c>
      <c r="C828" s="85" t="s">
        <v>698</v>
      </c>
      <c r="D828" s="85" t="s">
        <v>728</v>
      </c>
      <c r="E828" s="85"/>
      <c r="F828" s="85" t="s">
        <v>157</v>
      </c>
      <c r="G828" s="85"/>
      <c r="H828" s="85"/>
      <c r="I828" s="86"/>
      <c r="J828" s="86"/>
      <c r="K828" s="87"/>
      <c r="L828" s="87"/>
      <c r="M828" s="88"/>
      <c r="N828" s="89"/>
      <c r="O828" s="87"/>
      <c r="P828" s="87"/>
      <c r="Q828" s="87"/>
      <c r="R828" s="87"/>
      <c r="S828" s="87">
        <v>0.8</v>
      </c>
      <c r="T828" s="87">
        <v>0.8</v>
      </c>
      <c r="U828" s="87"/>
      <c r="V828" s="90" t="s">
        <v>2472</v>
      </c>
    </row>
    <row r="829" ht="15" customHeight="1" spans="1:23" x14ac:dyDescent="0.25">
      <c r="A829" s="85">
        <v>3948</v>
      </c>
      <c r="B829" s="85" t="s">
        <v>3925</v>
      </c>
      <c r="C829" s="85" t="s">
        <v>698</v>
      </c>
      <c r="D829" s="85" t="s">
        <v>728</v>
      </c>
      <c r="E829" s="85"/>
      <c r="F829" s="85" t="s">
        <v>2472</v>
      </c>
      <c r="G829" s="85" t="s">
        <v>288</v>
      </c>
      <c r="H829" s="85" t="s">
        <v>3268</v>
      </c>
      <c r="I829" s="86">
        <v>65</v>
      </c>
      <c r="J829" s="86">
        <v>65</v>
      </c>
      <c r="K829" s="87">
        <v>1</v>
      </c>
      <c r="L829" s="87">
        <v>0.8</v>
      </c>
      <c r="M829" s="88">
        <v>0.8</v>
      </c>
      <c r="N829" s="89"/>
      <c r="O829" s="87"/>
      <c r="P829" s="87"/>
      <c r="Q829" s="87"/>
      <c r="R829" s="87"/>
      <c r="S829" s="87">
        <v>0.8</v>
      </c>
      <c r="T829" s="87"/>
      <c r="U829" s="87">
        <v>0</v>
      </c>
      <c r="V829" s="90" t="s">
        <v>2472</v>
      </c>
    </row>
    <row r="830" ht="15" customHeight="1" spans="1:23" x14ac:dyDescent="0.25">
      <c r="A830" s="85">
        <v>3949</v>
      </c>
      <c r="B830" s="85" t="s">
        <v>3926</v>
      </c>
      <c r="C830" s="85" t="s">
        <v>698</v>
      </c>
      <c r="D830" s="85" t="s">
        <v>728</v>
      </c>
      <c r="E830" s="85"/>
      <c r="F830" s="85" t="s">
        <v>157</v>
      </c>
      <c r="G830" s="85"/>
      <c r="H830" s="85"/>
      <c r="I830" s="86"/>
      <c r="J830" s="86"/>
      <c r="K830" s="87"/>
      <c r="L830" s="87"/>
      <c r="M830" s="88"/>
      <c r="N830" s="89"/>
      <c r="O830" s="87"/>
      <c r="P830" s="87"/>
      <c r="Q830" s="87"/>
      <c r="R830" s="87"/>
      <c r="S830" s="87">
        <v>1</v>
      </c>
      <c r="T830" s="87">
        <v>1</v>
      </c>
      <c r="U830" s="87"/>
      <c r="V830" s="90" t="s">
        <v>2472</v>
      </c>
    </row>
    <row r="831" ht="15" customHeight="1" spans="1:23" x14ac:dyDescent="0.25">
      <c r="A831" s="85">
        <v>3949</v>
      </c>
      <c r="B831" s="85" t="s">
        <v>3926</v>
      </c>
      <c r="C831" s="85" t="s">
        <v>698</v>
      </c>
      <c r="D831" s="85" t="s">
        <v>728</v>
      </c>
      <c r="E831" s="85"/>
      <c r="F831" s="85" t="s">
        <v>2472</v>
      </c>
      <c r="G831" s="85" t="s">
        <v>288</v>
      </c>
      <c r="H831" s="85" t="s">
        <v>3268</v>
      </c>
      <c r="I831" s="86">
        <v>65</v>
      </c>
      <c r="J831" s="86">
        <v>65</v>
      </c>
      <c r="K831" s="87">
        <v>1</v>
      </c>
      <c r="L831" s="87">
        <v>1</v>
      </c>
      <c r="M831" s="88">
        <v>1</v>
      </c>
      <c r="N831" s="89"/>
      <c r="O831" s="87"/>
      <c r="P831" s="87"/>
      <c r="Q831" s="87"/>
      <c r="R831" s="87"/>
      <c r="S831" s="87">
        <v>1</v>
      </c>
      <c r="T831" s="87"/>
      <c r="U831" s="87">
        <v>0</v>
      </c>
      <c r="V831" s="90" t="s">
        <v>2472</v>
      </c>
    </row>
    <row r="832" ht="15" customHeight="1" spans="1:23" x14ac:dyDescent="0.25">
      <c r="A832" s="85">
        <v>3950</v>
      </c>
      <c r="B832" s="85" t="s">
        <v>3927</v>
      </c>
      <c r="C832" s="85" t="s">
        <v>698</v>
      </c>
      <c r="D832" s="85" t="s">
        <v>974</v>
      </c>
      <c r="E832" s="85"/>
      <c r="F832" s="85" t="s">
        <v>157</v>
      </c>
      <c r="G832" s="85"/>
      <c r="H832" s="85"/>
      <c r="I832" s="86"/>
      <c r="J832" s="86"/>
      <c r="K832" s="87"/>
      <c r="L832" s="87"/>
      <c r="M832" s="88"/>
      <c r="N832" s="89"/>
      <c r="O832" s="87"/>
      <c r="P832" s="87"/>
      <c r="Q832" s="87"/>
      <c r="R832" s="87"/>
      <c r="S832" s="87">
        <v>1</v>
      </c>
      <c r="T832" s="87">
        <v>1</v>
      </c>
      <c r="U832" s="87"/>
      <c r="V832" s="90" t="s">
        <v>2472</v>
      </c>
    </row>
    <row r="833" ht="15" customHeight="1" spans="1:23" x14ac:dyDescent="0.25">
      <c r="A833" s="85">
        <v>3950</v>
      </c>
      <c r="B833" s="85" t="s">
        <v>3927</v>
      </c>
      <c r="C833" s="85" t="s">
        <v>698</v>
      </c>
      <c r="D833" s="85" t="s">
        <v>974</v>
      </c>
      <c r="E833" s="85"/>
      <c r="F833" s="85" t="s">
        <v>2472</v>
      </c>
      <c r="G833" s="85" t="s">
        <v>288</v>
      </c>
      <c r="H833" s="85" t="s">
        <v>3268</v>
      </c>
      <c r="I833" s="86">
        <v>65</v>
      </c>
      <c r="J833" s="86">
        <v>65</v>
      </c>
      <c r="K833" s="87">
        <v>1</v>
      </c>
      <c r="L833" s="87">
        <v>1</v>
      </c>
      <c r="M833" s="88">
        <v>1</v>
      </c>
      <c r="N833" s="89"/>
      <c r="O833" s="87"/>
      <c r="P833" s="87"/>
      <c r="Q833" s="87"/>
      <c r="R833" s="87"/>
      <c r="S833" s="87">
        <v>1</v>
      </c>
      <c r="T833" s="87"/>
      <c r="U833" s="87">
        <v>0</v>
      </c>
      <c r="V833" s="90" t="s">
        <v>2472</v>
      </c>
    </row>
    <row r="834" ht="15" customHeight="1" spans="1:23" x14ac:dyDescent="0.25">
      <c r="A834" s="85">
        <v>3951</v>
      </c>
      <c r="B834" s="85" t="s">
        <v>3928</v>
      </c>
      <c r="C834" s="85" t="s">
        <v>698</v>
      </c>
      <c r="D834" s="85" t="s">
        <v>1053</v>
      </c>
      <c r="E834" s="85"/>
      <c r="F834" s="85" t="s">
        <v>157</v>
      </c>
      <c r="G834" s="85"/>
      <c r="H834" s="85"/>
      <c r="I834" s="86"/>
      <c r="J834" s="86"/>
      <c r="K834" s="87"/>
      <c r="L834" s="87"/>
      <c r="M834" s="88"/>
      <c r="N834" s="89"/>
      <c r="O834" s="87"/>
      <c r="P834" s="87"/>
      <c r="Q834" s="87"/>
      <c r="R834" s="87"/>
      <c r="S834" s="87">
        <v>1</v>
      </c>
      <c r="T834" s="87">
        <v>1</v>
      </c>
      <c r="U834" s="87"/>
      <c r="V834" s="90" t="s">
        <v>2472</v>
      </c>
    </row>
    <row r="835" ht="15" customHeight="1" spans="1:23" x14ac:dyDescent="0.25">
      <c r="A835" s="85">
        <v>3951</v>
      </c>
      <c r="B835" s="85" t="s">
        <v>3928</v>
      </c>
      <c r="C835" s="85" t="s">
        <v>698</v>
      </c>
      <c r="D835" s="85" t="s">
        <v>1053</v>
      </c>
      <c r="E835" s="85"/>
      <c r="F835" s="85" t="s">
        <v>2472</v>
      </c>
      <c r="G835" s="85" t="s">
        <v>288</v>
      </c>
      <c r="H835" s="85" t="s">
        <v>3268</v>
      </c>
      <c r="I835" s="86">
        <v>65</v>
      </c>
      <c r="J835" s="86">
        <v>65</v>
      </c>
      <c r="K835" s="87">
        <v>1</v>
      </c>
      <c r="L835" s="87">
        <v>1</v>
      </c>
      <c r="M835" s="88">
        <v>1</v>
      </c>
      <c r="N835" s="89"/>
      <c r="O835" s="87"/>
      <c r="P835" s="87"/>
      <c r="Q835" s="87"/>
      <c r="R835" s="87"/>
      <c r="S835" s="87">
        <v>1</v>
      </c>
      <c r="T835" s="87"/>
      <c r="U835" s="87">
        <v>0</v>
      </c>
      <c r="V835" s="90" t="s">
        <v>2472</v>
      </c>
    </row>
    <row r="836" ht="15" customHeight="1" spans="1:23" x14ac:dyDescent="0.25">
      <c r="A836" s="85">
        <v>3952</v>
      </c>
      <c r="B836" s="85" t="s">
        <v>3929</v>
      </c>
      <c r="C836" s="85" t="s">
        <v>698</v>
      </c>
      <c r="D836" s="85" t="s">
        <v>163</v>
      </c>
      <c r="E836" s="85"/>
      <c r="F836" s="85" t="s">
        <v>157</v>
      </c>
      <c r="G836" s="85"/>
      <c r="H836" s="85"/>
      <c r="I836" s="86"/>
      <c r="J836" s="86"/>
      <c r="K836" s="87"/>
      <c r="L836" s="87"/>
      <c r="M836" s="88"/>
      <c r="N836" s="89"/>
      <c r="O836" s="87"/>
      <c r="P836" s="87"/>
      <c r="Q836" s="87"/>
      <c r="R836" s="87"/>
      <c r="S836" s="87">
        <v>1</v>
      </c>
      <c r="T836" s="87">
        <v>1</v>
      </c>
      <c r="U836" s="87">
        <v>1</v>
      </c>
      <c r="V836" s="90" t="s">
        <v>3766</v>
      </c>
    </row>
    <row r="837" ht="15" customHeight="1" spans="1:23" x14ac:dyDescent="0.25">
      <c r="A837" s="85">
        <v>3952</v>
      </c>
      <c r="B837" s="85" t="s">
        <v>3929</v>
      </c>
      <c r="C837" s="85" t="s">
        <v>698</v>
      </c>
      <c r="D837" s="85" t="s">
        <v>163</v>
      </c>
      <c r="E837" s="85"/>
      <c r="F837" s="85" t="s">
        <v>2472</v>
      </c>
      <c r="G837" s="85" t="s">
        <v>288</v>
      </c>
      <c r="H837" s="85" t="s">
        <v>3268</v>
      </c>
      <c r="I837" s="86">
        <v>65</v>
      </c>
      <c r="J837" s="86">
        <v>65</v>
      </c>
      <c r="K837" s="87">
        <v>1</v>
      </c>
      <c r="L837" s="87">
        <v>1</v>
      </c>
      <c r="M837" s="88">
        <v>1</v>
      </c>
      <c r="N837" s="89"/>
      <c r="O837" s="87"/>
      <c r="P837" s="87"/>
      <c r="Q837" s="87"/>
      <c r="R837" s="87"/>
      <c r="S837" s="87">
        <v>1</v>
      </c>
      <c r="T837" s="87"/>
      <c r="U837" s="87">
        <v>1</v>
      </c>
      <c r="V837" s="90" t="s">
        <v>3766</v>
      </c>
    </row>
    <row r="838" ht="15" customHeight="1" spans="1:23" x14ac:dyDescent="0.25">
      <c r="A838" s="85">
        <v>3953</v>
      </c>
      <c r="B838" s="85" t="s">
        <v>3930</v>
      </c>
      <c r="C838" s="85" t="s">
        <v>698</v>
      </c>
      <c r="D838" s="85" t="s">
        <v>806</v>
      </c>
      <c r="E838" s="85"/>
      <c r="F838" s="85" t="s">
        <v>157</v>
      </c>
      <c r="G838" s="85"/>
      <c r="H838" s="85"/>
      <c r="I838" s="86"/>
      <c r="J838" s="86"/>
      <c r="K838" s="87"/>
      <c r="L838" s="87"/>
      <c r="M838" s="88"/>
      <c r="N838" s="89"/>
      <c r="O838" s="87"/>
      <c r="P838" s="87"/>
      <c r="Q838" s="87"/>
      <c r="R838" s="87"/>
      <c r="S838" s="87">
        <v>0.5</v>
      </c>
      <c r="T838" s="87">
        <v>0.5</v>
      </c>
      <c r="U838" s="87">
        <v>0.5</v>
      </c>
      <c r="V838" s="90" t="s">
        <v>3931</v>
      </c>
    </row>
    <row r="839" ht="15" customHeight="1" spans="1:23" x14ac:dyDescent="0.25">
      <c r="A839" s="85">
        <v>3953</v>
      </c>
      <c r="B839" s="85" t="s">
        <v>3930</v>
      </c>
      <c r="C839" s="85" t="s">
        <v>698</v>
      </c>
      <c r="D839" s="85" t="s">
        <v>806</v>
      </c>
      <c r="E839" s="85"/>
      <c r="F839" s="85" t="s">
        <v>2472</v>
      </c>
      <c r="G839" s="85" t="s">
        <v>288</v>
      </c>
      <c r="H839" s="85" t="s">
        <v>3268</v>
      </c>
      <c r="I839" s="86">
        <v>65</v>
      </c>
      <c r="J839" s="86">
        <v>65</v>
      </c>
      <c r="K839" s="87">
        <v>1</v>
      </c>
      <c r="L839" s="87">
        <v>0.5</v>
      </c>
      <c r="M839" s="88">
        <v>0.5</v>
      </c>
      <c r="N839" s="89"/>
      <c r="O839" s="87"/>
      <c r="P839" s="87"/>
      <c r="Q839" s="87"/>
      <c r="R839" s="87"/>
      <c r="S839" s="87">
        <v>0.5</v>
      </c>
      <c r="T839" s="87"/>
      <c r="U839" s="87">
        <v>0.5</v>
      </c>
      <c r="V839" s="90" t="s">
        <v>3931</v>
      </c>
    </row>
    <row r="840" ht="15" customHeight="1" spans="1:23" x14ac:dyDescent="0.25">
      <c r="A840" s="85">
        <v>3954</v>
      </c>
      <c r="B840" s="85" t="s">
        <v>3932</v>
      </c>
      <c r="C840" s="85" t="s">
        <v>698</v>
      </c>
      <c r="D840" s="85" t="s">
        <v>1655</v>
      </c>
      <c r="E840" s="85"/>
      <c r="F840" s="85" t="s">
        <v>157</v>
      </c>
      <c r="G840" s="85"/>
      <c r="H840" s="85"/>
      <c r="I840" s="86"/>
      <c r="J840" s="86"/>
      <c r="K840" s="87"/>
      <c r="L840" s="87"/>
      <c r="M840" s="88"/>
      <c r="N840" s="89"/>
      <c r="O840" s="87"/>
      <c r="P840" s="87"/>
      <c r="Q840" s="87"/>
      <c r="R840" s="87"/>
      <c r="S840" s="87">
        <v>0.8</v>
      </c>
      <c r="T840" s="87">
        <v>0.8</v>
      </c>
      <c r="U840" s="87"/>
      <c r="V840" s="90" t="s">
        <v>2472</v>
      </c>
    </row>
    <row r="841" ht="15" customHeight="1" spans="1:23" x14ac:dyDescent="0.25">
      <c r="A841" s="85">
        <v>3954</v>
      </c>
      <c r="B841" s="85" t="s">
        <v>3932</v>
      </c>
      <c r="C841" s="85" t="s">
        <v>698</v>
      </c>
      <c r="D841" s="85" t="s">
        <v>1655</v>
      </c>
      <c r="E841" s="85"/>
      <c r="F841" s="85" t="s">
        <v>2472</v>
      </c>
      <c r="G841" s="85" t="s">
        <v>288</v>
      </c>
      <c r="H841" s="85" t="s">
        <v>3268</v>
      </c>
      <c r="I841" s="86">
        <v>65</v>
      </c>
      <c r="J841" s="86">
        <v>65</v>
      </c>
      <c r="K841" s="87">
        <v>1</v>
      </c>
      <c r="L841" s="87">
        <v>0.8</v>
      </c>
      <c r="M841" s="88">
        <v>0.8</v>
      </c>
      <c r="N841" s="89"/>
      <c r="O841" s="87"/>
      <c r="P841" s="87"/>
      <c r="Q841" s="87"/>
      <c r="R841" s="87"/>
      <c r="S841" s="87">
        <v>0.8</v>
      </c>
      <c r="T841" s="87"/>
      <c r="U841" s="87">
        <v>0</v>
      </c>
      <c r="V841" s="90" t="s">
        <v>2472</v>
      </c>
    </row>
    <row r="842" ht="15" customHeight="1" spans="1:23" x14ac:dyDescent="0.25">
      <c r="A842" s="85">
        <v>3955</v>
      </c>
      <c r="B842" s="85" t="s">
        <v>3933</v>
      </c>
      <c r="C842" s="85" t="s">
        <v>698</v>
      </c>
      <c r="D842" s="85" t="s">
        <v>1309</v>
      </c>
      <c r="E842" s="85"/>
      <c r="F842" s="85" t="s">
        <v>157</v>
      </c>
      <c r="G842" s="85"/>
      <c r="H842" s="85"/>
      <c r="I842" s="86"/>
      <c r="J842" s="86"/>
      <c r="K842" s="87"/>
      <c r="L842" s="87"/>
      <c r="M842" s="88"/>
      <c r="N842" s="89"/>
      <c r="O842" s="87"/>
      <c r="P842" s="87"/>
      <c r="Q842" s="87"/>
      <c r="R842" s="87"/>
      <c r="S842" s="87">
        <v>1</v>
      </c>
      <c r="T842" s="87">
        <v>1</v>
      </c>
      <c r="U842" s="87"/>
      <c r="V842" s="90" t="s">
        <v>2472</v>
      </c>
    </row>
    <row r="843" ht="15" customHeight="1" spans="1:23" x14ac:dyDescent="0.25">
      <c r="A843" s="85">
        <v>3955</v>
      </c>
      <c r="B843" s="85" t="s">
        <v>3933</v>
      </c>
      <c r="C843" s="85" t="s">
        <v>698</v>
      </c>
      <c r="D843" s="85" t="s">
        <v>1309</v>
      </c>
      <c r="E843" s="85"/>
      <c r="F843" s="85" t="s">
        <v>2472</v>
      </c>
      <c r="G843" s="85" t="s">
        <v>288</v>
      </c>
      <c r="H843" s="85" t="s">
        <v>3268</v>
      </c>
      <c r="I843" s="86">
        <v>65</v>
      </c>
      <c r="J843" s="86">
        <v>65</v>
      </c>
      <c r="K843" s="87">
        <v>1</v>
      </c>
      <c r="L843" s="87">
        <v>1</v>
      </c>
      <c r="M843" s="88">
        <v>1</v>
      </c>
      <c r="N843" s="89"/>
      <c r="O843" s="87"/>
      <c r="P843" s="87"/>
      <c r="Q843" s="87"/>
      <c r="R843" s="87"/>
      <c r="S843" s="87">
        <v>1</v>
      </c>
      <c r="T843" s="87"/>
      <c r="U843" s="87">
        <v>0</v>
      </c>
      <c r="V843" s="90" t="s">
        <v>2472</v>
      </c>
    </row>
    <row r="844" ht="15" customHeight="1" spans="1:23" x14ac:dyDescent="0.25">
      <c r="A844" s="85">
        <v>3956</v>
      </c>
      <c r="B844" s="85" t="s">
        <v>3934</v>
      </c>
      <c r="C844" s="85" t="s">
        <v>698</v>
      </c>
      <c r="D844" s="85" t="s">
        <v>2063</v>
      </c>
      <c r="E844" s="85"/>
      <c r="F844" s="85" t="s">
        <v>157</v>
      </c>
      <c r="G844" s="85"/>
      <c r="H844" s="85"/>
      <c r="I844" s="86"/>
      <c r="J844" s="86"/>
      <c r="K844" s="87"/>
      <c r="L844" s="87"/>
      <c r="M844" s="88"/>
      <c r="N844" s="89"/>
      <c r="O844" s="87"/>
      <c r="P844" s="87"/>
      <c r="Q844" s="87"/>
      <c r="R844" s="87"/>
      <c r="S844" s="87">
        <v>1</v>
      </c>
      <c r="T844" s="87">
        <v>1</v>
      </c>
      <c r="U844" s="87"/>
      <c r="V844" s="90" t="s">
        <v>2472</v>
      </c>
    </row>
    <row r="845" ht="15" customHeight="1" spans="1:23" x14ac:dyDescent="0.25">
      <c r="A845" s="85">
        <v>3956</v>
      </c>
      <c r="B845" s="85" t="s">
        <v>3934</v>
      </c>
      <c r="C845" s="85" t="s">
        <v>698</v>
      </c>
      <c r="D845" s="85" t="s">
        <v>2063</v>
      </c>
      <c r="E845" s="85"/>
      <c r="F845" s="85" t="s">
        <v>2472</v>
      </c>
      <c r="G845" s="85" t="s">
        <v>288</v>
      </c>
      <c r="H845" s="85" t="s">
        <v>3268</v>
      </c>
      <c r="I845" s="86">
        <v>65</v>
      </c>
      <c r="J845" s="86">
        <v>65</v>
      </c>
      <c r="K845" s="87">
        <v>1</v>
      </c>
      <c r="L845" s="87">
        <v>1</v>
      </c>
      <c r="M845" s="88">
        <v>1</v>
      </c>
      <c r="N845" s="89"/>
      <c r="O845" s="87"/>
      <c r="P845" s="87"/>
      <c r="Q845" s="87"/>
      <c r="R845" s="87"/>
      <c r="S845" s="87">
        <v>1</v>
      </c>
      <c r="T845" s="87"/>
      <c r="U845" s="87">
        <v>0</v>
      </c>
      <c r="V845" s="90" t="s">
        <v>2472</v>
      </c>
    </row>
    <row r="846" ht="15" customHeight="1" spans="1:23" x14ac:dyDescent="0.25">
      <c r="A846" s="85">
        <v>3957</v>
      </c>
      <c r="B846" s="85" t="s">
        <v>3935</v>
      </c>
      <c r="C846" s="85" t="s">
        <v>698</v>
      </c>
      <c r="D846" s="85" t="s">
        <v>722</v>
      </c>
      <c r="E846" s="85"/>
      <c r="F846" s="85" t="s">
        <v>157</v>
      </c>
      <c r="G846" s="85"/>
      <c r="H846" s="85"/>
      <c r="I846" s="86"/>
      <c r="J846" s="86"/>
      <c r="K846" s="87"/>
      <c r="L846" s="87"/>
      <c r="M846" s="88"/>
      <c r="N846" s="89"/>
      <c r="O846" s="87"/>
      <c r="P846" s="87"/>
      <c r="Q846" s="87"/>
      <c r="R846" s="87"/>
      <c r="S846" s="87">
        <v>1</v>
      </c>
      <c r="T846" s="87">
        <v>1</v>
      </c>
      <c r="U846" s="87">
        <v>1</v>
      </c>
      <c r="V846" s="90" t="s">
        <v>3936</v>
      </c>
    </row>
    <row r="847" ht="15" customHeight="1" spans="1:23" x14ac:dyDescent="0.25">
      <c r="A847" s="85">
        <v>3957</v>
      </c>
      <c r="B847" s="85" t="s">
        <v>3935</v>
      </c>
      <c r="C847" s="85" t="s">
        <v>698</v>
      </c>
      <c r="D847" s="85" t="s">
        <v>722</v>
      </c>
      <c r="E847" s="85"/>
      <c r="F847" s="85" t="s">
        <v>2472</v>
      </c>
      <c r="G847" s="85" t="s">
        <v>288</v>
      </c>
      <c r="H847" s="85" t="s">
        <v>3268</v>
      </c>
      <c r="I847" s="86">
        <v>65</v>
      </c>
      <c r="J847" s="86">
        <v>65</v>
      </c>
      <c r="K847" s="87">
        <v>1</v>
      </c>
      <c r="L847" s="87">
        <v>1</v>
      </c>
      <c r="M847" s="88">
        <v>1</v>
      </c>
      <c r="N847" s="89"/>
      <c r="O847" s="87"/>
      <c r="P847" s="87"/>
      <c r="Q847" s="87"/>
      <c r="R847" s="87"/>
      <c r="S847" s="87">
        <v>1</v>
      </c>
      <c r="T847" s="87"/>
      <c r="U847" s="87">
        <v>1</v>
      </c>
      <c r="V847" s="90" t="s">
        <v>3936</v>
      </c>
    </row>
    <row r="848" ht="15" customHeight="1" spans="1:23" x14ac:dyDescent="0.25">
      <c r="A848" s="85">
        <v>3958</v>
      </c>
      <c r="B848" s="85" t="s">
        <v>3937</v>
      </c>
      <c r="C848" s="85" t="s">
        <v>698</v>
      </c>
      <c r="D848" s="85" t="s">
        <v>722</v>
      </c>
      <c r="E848" s="85"/>
      <c r="F848" s="85" t="s">
        <v>157</v>
      </c>
      <c r="G848" s="85"/>
      <c r="H848" s="85"/>
      <c r="I848" s="86"/>
      <c r="J848" s="86"/>
      <c r="K848" s="87"/>
      <c r="L848" s="87"/>
      <c r="M848" s="88"/>
      <c r="N848" s="89"/>
      <c r="O848" s="87"/>
      <c r="P848" s="87"/>
      <c r="Q848" s="87"/>
      <c r="R848" s="87"/>
      <c r="S848" s="87">
        <v>1</v>
      </c>
      <c r="T848" s="87">
        <v>1</v>
      </c>
      <c r="U848" s="87"/>
      <c r="V848" s="90" t="s">
        <v>2472</v>
      </c>
    </row>
    <row r="849" ht="15" customHeight="1" spans="1:23" x14ac:dyDescent="0.25">
      <c r="A849" s="85">
        <v>3958</v>
      </c>
      <c r="B849" s="85" t="s">
        <v>3937</v>
      </c>
      <c r="C849" s="85" t="s">
        <v>698</v>
      </c>
      <c r="D849" s="85" t="s">
        <v>722</v>
      </c>
      <c r="E849" s="85"/>
      <c r="F849" s="85" t="s">
        <v>2472</v>
      </c>
      <c r="G849" s="85" t="s">
        <v>288</v>
      </c>
      <c r="H849" s="85" t="s">
        <v>3268</v>
      </c>
      <c r="I849" s="86">
        <v>65</v>
      </c>
      <c r="J849" s="86">
        <v>65</v>
      </c>
      <c r="K849" s="87">
        <v>1</v>
      </c>
      <c r="L849" s="87">
        <v>1</v>
      </c>
      <c r="M849" s="88">
        <v>1</v>
      </c>
      <c r="N849" s="89"/>
      <c r="O849" s="87"/>
      <c r="P849" s="87"/>
      <c r="Q849" s="87"/>
      <c r="R849" s="87"/>
      <c r="S849" s="87">
        <v>1</v>
      </c>
      <c r="T849" s="87"/>
      <c r="U849" s="87">
        <v>0</v>
      </c>
      <c r="V849" s="90" t="s">
        <v>2472</v>
      </c>
    </row>
    <row r="850" ht="15" customHeight="1" spans="1:23" x14ac:dyDescent="0.25">
      <c r="A850" s="85">
        <v>3959</v>
      </c>
      <c r="B850" s="85" t="s">
        <v>3938</v>
      </c>
      <c r="C850" s="85" t="s">
        <v>698</v>
      </c>
      <c r="D850" s="85" t="s">
        <v>593</v>
      </c>
      <c r="E850" s="85"/>
      <c r="F850" s="85" t="s">
        <v>157</v>
      </c>
      <c r="G850" s="85"/>
      <c r="H850" s="85"/>
      <c r="I850" s="86"/>
      <c r="J850" s="86"/>
      <c r="K850" s="87"/>
      <c r="L850" s="87"/>
      <c r="M850" s="88"/>
      <c r="N850" s="89"/>
      <c r="O850" s="87"/>
      <c r="P850" s="87"/>
      <c r="Q850" s="87"/>
      <c r="R850" s="87"/>
      <c r="S850" s="87">
        <v>1</v>
      </c>
      <c r="T850" s="87">
        <v>1</v>
      </c>
      <c r="U850" s="87"/>
      <c r="V850" s="90" t="s">
        <v>2472</v>
      </c>
    </row>
    <row r="851" ht="15" customHeight="1" spans="1:23" x14ac:dyDescent="0.25">
      <c r="A851" s="85">
        <v>3959</v>
      </c>
      <c r="B851" s="85" t="s">
        <v>3938</v>
      </c>
      <c r="C851" s="85" t="s">
        <v>698</v>
      </c>
      <c r="D851" s="85" t="s">
        <v>593</v>
      </c>
      <c r="E851" s="85"/>
      <c r="F851" s="85" t="s">
        <v>2472</v>
      </c>
      <c r="G851" s="85" t="s">
        <v>288</v>
      </c>
      <c r="H851" s="85" t="s">
        <v>3268</v>
      </c>
      <c r="I851" s="86">
        <v>65</v>
      </c>
      <c r="J851" s="86">
        <v>65</v>
      </c>
      <c r="K851" s="87">
        <v>1</v>
      </c>
      <c r="L851" s="87">
        <v>1</v>
      </c>
      <c r="M851" s="88">
        <v>1</v>
      </c>
      <c r="N851" s="89"/>
      <c r="O851" s="87"/>
      <c r="P851" s="87"/>
      <c r="Q851" s="87"/>
      <c r="R851" s="87"/>
      <c r="S851" s="87">
        <v>1</v>
      </c>
      <c r="T851" s="87"/>
      <c r="U851" s="87">
        <v>0</v>
      </c>
      <c r="V851" s="90" t="s">
        <v>2472</v>
      </c>
    </row>
    <row r="852" ht="15" customHeight="1" spans="1:23" x14ac:dyDescent="0.25">
      <c r="A852" s="85">
        <v>3960</v>
      </c>
      <c r="B852" s="85" t="s">
        <v>3939</v>
      </c>
      <c r="C852" s="85" t="s">
        <v>698</v>
      </c>
      <c r="D852" s="85" t="s">
        <v>717</v>
      </c>
      <c r="E852" s="85"/>
      <c r="F852" s="85" t="s">
        <v>157</v>
      </c>
      <c r="G852" s="85"/>
      <c r="H852" s="85"/>
      <c r="I852" s="86"/>
      <c r="J852" s="86"/>
      <c r="K852" s="87"/>
      <c r="L852" s="87"/>
      <c r="M852" s="88"/>
      <c r="N852" s="89"/>
      <c r="O852" s="87"/>
      <c r="P852" s="87"/>
      <c r="Q852" s="87"/>
      <c r="R852" s="87"/>
      <c r="S852" s="87">
        <v>1</v>
      </c>
      <c r="T852" s="87">
        <v>1</v>
      </c>
      <c r="U852" s="87">
        <v>1</v>
      </c>
      <c r="V852" s="90" t="s">
        <v>3940</v>
      </c>
    </row>
    <row r="853" ht="15" customHeight="1" spans="1:23" x14ac:dyDescent="0.25">
      <c r="A853" s="85">
        <v>3960</v>
      </c>
      <c r="B853" s="85" t="s">
        <v>3939</v>
      </c>
      <c r="C853" s="85" t="s">
        <v>698</v>
      </c>
      <c r="D853" s="85" t="s">
        <v>717</v>
      </c>
      <c r="E853" s="85"/>
      <c r="F853" s="85" t="s">
        <v>2472</v>
      </c>
      <c r="G853" s="85" t="s">
        <v>288</v>
      </c>
      <c r="H853" s="85" t="s">
        <v>3268</v>
      </c>
      <c r="I853" s="86">
        <v>65</v>
      </c>
      <c r="J853" s="86">
        <v>65</v>
      </c>
      <c r="K853" s="87">
        <v>1</v>
      </c>
      <c r="L853" s="87">
        <v>1</v>
      </c>
      <c r="M853" s="88">
        <v>1</v>
      </c>
      <c r="N853" s="89"/>
      <c r="O853" s="87"/>
      <c r="P853" s="87"/>
      <c r="Q853" s="87"/>
      <c r="R853" s="87"/>
      <c r="S853" s="87">
        <v>1</v>
      </c>
      <c r="T853" s="87"/>
      <c r="U853" s="87">
        <v>1</v>
      </c>
      <c r="V853" s="90" t="s">
        <v>3940</v>
      </c>
    </row>
    <row r="854" ht="15" customHeight="1" spans="1:23" x14ac:dyDescent="0.25">
      <c r="A854" s="85">
        <v>3961</v>
      </c>
      <c r="B854" s="85" t="s">
        <v>3941</v>
      </c>
      <c r="C854" s="85" t="s">
        <v>698</v>
      </c>
      <c r="D854" s="85" t="s">
        <v>1071</v>
      </c>
      <c r="E854" s="85"/>
      <c r="F854" s="85" t="s">
        <v>157</v>
      </c>
      <c r="G854" s="85"/>
      <c r="H854" s="85"/>
      <c r="I854" s="86"/>
      <c r="J854" s="86"/>
      <c r="K854" s="87"/>
      <c r="L854" s="87"/>
      <c r="M854" s="88"/>
      <c r="N854" s="89"/>
      <c r="O854" s="87"/>
      <c r="P854" s="87"/>
      <c r="Q854" s="87"/>
      <c r="R854" s="87"/>
      <c r="S854" s="87">
        <v>1</v>
      </c>
      <c r="T854" s="87">
        <v>1</v>
      </c>
      <c r="U854" s="87">
        <v>1</v>
      </c>
      <c r="V854" s="90" t="s">
        <v>3942</v>
      </c>
    </row>
    <row r="855" ht="15" customHeight="1" spans="1:23" x14ac:dyDescent="0.25">
      <c r="A855" s="85">
        <v>3961</v>
      </c>
      <c r="B855" s="85" t="s">
        <v>3941</v>
      </c>
      <c r="C855" s="85" t="s">
        <v>698</v>
      </c>
      <c r="D855" s="85" t="s">
        <v>1071</v>
      </c>
      <c r="E855" s="85"/>
      <c r="F855" s="85" t="s">
        <v>2472</v>
      </c>
      <c r="G855" s="85" t="s">
        <v>288</v>
      </c>
      <c r="H855" s="85" t="s">
        <v>3268</v>
      </c>
      <c r="I855" s="86">
        <v>65</v>
      </c>
      <c r="J855" s="86">
        <v>65</v>
      </c>
      <c r="K855" s="87">
        <v>1</v>
      </c>
      <c r="L855" s="87">
        <v>1</v>
      </c>
      <c r="M855" s="88">
        <v>1</v>
      </c>
      <c r="N855" s="89"/>
      <c r="O855" s="87"/>
      <c r="P855" s="87"/>
      <c r="Q855" s="87"/>
      <c r="R855" s="87"/>
      <c r="S855" s="87">
        <v>1</v>
      </c>
      <c r="T855" s="87"/>
      <c r="U855" s="87">
        <v>1</v>
      </c>
      <c r="V855" s="90" t="s">
        <v>3942</v>
      </c>
    </row>
    <row r="856" ht="15" customHeight="1" spans="1:23" x14ac:dyDescent="0.25">
      <c r="A856" s="85">
        <v>3962</v>
      </c>
      <c r="B856" s="85" t="s">
        <v>3943</v>
      </c>
      <c r="C856" s="85" t="s">
        <v>698</v>
      </c>
      <c r="D856" s="85" t="s">
        <v>1071</v>
      </c>
      <c r="E856" s="85"/>
      <c r="F856" s="85" t="s">
        <v>157</v>
      </c>
      <c r="G856" s="85"/>
      <c r="H856" s="85"/>
      <c r="I856" s="86"/>
      <c r="J856" s="86"/>
      <c r="K856" s="87"/>
      <c r="L856" s="87"/>
      <c r="M856" s="88"/>
      <c r="N856" s="89"/>
      <c r="O856" s="87"/>
      <c r="P856" s="87"/>
      <c r="Q856" s="87"/>
      <c r="R856" s="87"/>
      <c r="S856" s="87">
        <v>1</v>
      </c>
      <c r="T856" s="87">
        <v>1</v>
      </c>
      <c r="U856" s="87">
        <v>1</v>
      </c>
      <c r="V856" s="90" t="s">
        <v>3944</v>
      </c>
    </row>
    <row r="857" ht="15" customHeight="1" spans="1:23" x14ac:dyDescent="0.25">
      <c r="A857" s="85">
        <v>3962</v>
      </c>
      <c r="B857" s="85" t="s">
        <v>3943</v>
      </c>
      <c r="C857" s="85" t="s">
        <v>698</v>
      </c>
      <c r="D857" s="85" t="s">
        <v>1071</v>
      </c>
      <c r="E857" s="85"/>
      <c r="F857" s="85" t="s">
        <v>2472</v>
      </c>
      <c r="G857" s="85" t="s">
        <v>288</v>
      </c>
      <c r="H857" s="85" t="s">
        <v>3268</v>
      </c>
      <c r="I857" s="86">
        <v>65</v>
      </c>
      <c r="J857" s="86">
        <v>65</v>
      </c>
      <c r="K857" s="87">
        <v>1</v>
      </c>
      <c r="L857" s="87">
        <v>1</v>
      </c>
      <c r="M857" s="88">
        <v>1</v>
      </c>
      <c r="N857" s="89"/>
      <c r="O857" s="87"/>
      <c r="P857" s="87"/>
      <c r="Q857" s="87"/>
      <c r="R857" s="87"/>
      <c r="S857" s="87">
        <v>1</v>
      </c>
      <c r="T857" s="87"/>
      <c r="U857" s="87">
        <v>1</v>
      </c>
      <c r="V857" s="90" t="s">
        <v>3944</v>
      </c>
    </row>
    <row r="858" ht="15" customHeight="1" spans="1:23" x14ac:dyDescent="0.25">
      <c r="A858" s="85">
        <v>3963</v>
      </c>
      <c r="B858" s="85" t="s">
        <v>3945</v>
      </c>
      <c r="C858" s="85" t="s">
        <v>698</v>
      </c>
      <c r="D858" s="85" t="s">
        <v>1327</v>
      </c>
      <c r="E858" s="85"/>
      <c r="F858" s="85" t="s">
        <v>157</v>
      </c>
      <c r="G858" s="85"/>
      <c r="H858" s="85"/>
      <c r="I858" s="86"/>
      <c r="J858" s="86"/>
      <c r="K858" s="87"/>
      <c r="L858" s="87"/>
      <c r="M858" s="88"/>
      <c r="N858" s="89"/>
      <c r="O858" s="87"/>
      <c r="P858" s="87"/>
      <c r="Q858" s="87"/>
      <c r="R858" s="87"/>
      <c r="S858" s="87">
        <v>0.8</v>
      </c>
      <c r="T858" s="87">
        <v>0.8</v>
      </c>
      <c r="U858" s="87">
        <v>0.8</v>
      </c>
      <c r="V858" s="90" t="s">
        <v>3421</v>
      </c>
    </row>
    <row r="859" ht="15" customHeight="1" spans="1:23" x14ac:dyDescent="0.25">
      <c r="A859" s="85">
        <v>3963</v>
      </c>
      <c r="B859" s="85" t="s">
        <v>3945</v>
      </c>
      <c r="C859" s="85" t="s">
        <v>698</v>
      </c>
      <c r="D859" s="85" t="s">
        <v>1327</v>
      </c>
      <c r="E859" s="85"/>
      <c r="F859" s="85" t="s">
        <v>2472</v>
      </c>
      <c r="G859" s="85" t="s">
        <v>288</v>
      </c>
      <c r="H859" s="85" t="s">
        <v>3268</v>
      </c>
      <c r="I859" s="86">
        <v>65</v>
      </c>
      <c r="J859" s="86">
        <v>65</v>
      </c>
      <c r="K859" s="87">
        <v>1</v>
      </c>
      <c r="L859" s="87">
        <v>0.8</v>
      </c>
      <c r="M859" s="88">
        <v>0.8</v>
      </c>
      <c r="N859" s="89"/>
      <c r="O859" s="87"/>
      <c r="P859" s="87"/>
      <c r="Q859" s="87"/>
      <c r="R859" s="87"/>
      <c r="S859" s="87">
        <v>0.8</v>
      </c>
      <c r="T859" s="87"/>
      <c r="U859" s="87">
        <v>0.8</v>
      </c>
      <c r="V859" s="90" t="s">
        <v>3421</v>
      </c>
    </row>
    <row r="860" ht="15" customHeight="1" spans="1:23" x14ac:dyDescent="0.25">
      <c r="A860" s="85">
        <v>3964</v>
      </c>
      <c r="B860" s="85" t="s">
        <v>3946</v>
      </c>
      <c r="C860" s="85" t="s">
        <v>698</v>
      </c>
      <c r="D860" s="85" t="s">
        <v>753</v>
      </c>
      <c r="E860" s="85"/>
      <c r="F860" s="85" t="s">
        <v>157</v>
      </c>
      <c r="G860" s="85"/>
      <c r="H860" s="85"/>
      <c r="I860" s="86"/>
      <c r="J860" s="86"/>
      <c r="K860" s="87"/>
      <c r="L860" s="87"/>
      <c r="M860" s="88"/>
      <c r="N860" s="89"/>
      <c r="O860" s="87"/>
      <c r="P860" s="87"/>
      <c r="Q860" s="87"/>
      <c r="R860" s="87"/>
      <c r="S860" s="87">
        <v>1</v>
      </c>
      <c r="T860" s="87">
        <v>1</v>
      </c>
      <c r="U860" s="87">
        <v>1</v>
      </c>
      <c r="V860" s="90" t="s">
        <v>3766</v>
      </c>
    </row>
    <row r="861" ht="15" customHeight="1" spans="1:23" x14ac:dyDescent="0.25">
      <c r="A861" s="85">
        <v>3964</v>
      </c>
      <c r="B861" s="85" t="s">
        <v>3946</v>
      </c>
      <c r="C861" s="85" t="s">
        <v>698</v>
      </c>
      <c r="D861" s="85" t="s">
        <v>753</v>
      </c>
      <c r="E861" s="85"/>
      <c r="F861" s="85" t="s">
        <v>2472</v>
      </c>
      <c r="G861" s="85" t="s">
        <v>288</v>
      </c>
      <c r="H861" s="85" t="s">
        <v>3268</v>
      </c>
      <c r="I861" s="86">
        <v>65</v>
      </c>
      <c r="J861" s="86">
        <v>65</v>
      </c>
      <c r="K861" s="87">
        <v>1</v>
      </c>
      <c r="L861" s="87">
        <v>1</v>
      </c>
      <c r="M861" s="88">
        <v>1</v>
      </c>
      <c r="N861" s="89"/>
      <c r="O861" s="87"/>
      <c r="P861" s="87"/>
      <c r="Q861" s="87"/>
      <c r="R861" s="87"/>
      <c r="S861" s="87">
        <v>1</v>
      </c>
      <c r="T861" s="87"/>
      <c r="U861" s="87">
        <v>1</v>
      </c>
      <c r="V861" s="90" t="s">
        <v>3766</v>
      </c>
    </row>
    <row r="862" ht="15" customHeight="1" spans="1:23" x14ac:dyDescent="0.25">
      <c r="A862" s="85">
        <v>3965</v>
      </c>
      <c r="B862" s="85" t="s">
        <v>3947</v>
      </c>
      <c r="C862" s="85" t="s">
        <v>698</v>
      </c>
      <c r="D862" s="85" t="s">
        <v>1368</v>
      </c>
      <c r="E862" s="85"/>
      <c r="F862" s="85" t="s">
        <v>157</v>
      </c>
      <c r="G862" s="85"/>
      <c r="H862" s="85"/>
      <c r="I862" s="86"/>
      <c r="J862" s="86"/>
      <c r="K862" s="87"/>
      <c r="L862" s="87"/>
      <c r="M862" s="88"/>
      <c r="N862" s="89"/>
      <c r="O862" s="87"/>
      <c r="P862" s="87"/>
      <c r="Q862" s="87"/>
      <c r="R862" s="87"/>
      <c r="S862" s="87">
        <v>0.9</v>
      </c>
      <c r="T862" s="87">
        <v>0.9</v>
      </c>
      <c r="U862" s="87"/>
      <c r="V862" s="90" t="s">
        <v>2472</v>
      </c>
    </row>
    <row r="863" ht="15" customHeight="1" spans="1:23" x14ac:dyDescent="0.25">
      <c r="A863" s="85">
        <v>3965</v>
      </c>
      <c r="B863" s="85" t="s">
        <v>3947</v>
      </c>
      <c r="C863" s="85" t="s">
        <v>698</v>
      </c>
      <c r="D863" s="85" t="s">
        <v>1368</v>
      </c>
      <c r="E863" s="85"/>
      <c r="F863" s="85" t="s">
        <v>2472</v>
      </c>
      <c r="G863" s="85" t="s">
        <v>288</v>
      </c>
      <c r="H863" s="85" t="s">
        <v>3268</v>
      </c>
      <c r="I863" s="86">
        <v>65</v>
      </c>
      <c r="J863" s="86">
        <v>65</v>
      </c>
      <c r="K863" s="87">
        <v>1</v>
      </c>
      <c r="L863" s="87">
        <v>0.9</v>
      </c>
      <c r="M863" s="88">
        <v>0.9</v>
      </c>
      <c r="N863" s="89"/>
      <c r="O863" s="87"/>
      <c r="P863" s="87"/>
      <c r="Q863" s="87"/>
      <c r="R863" s="87"/>
      <c r="S863" s="87">
        <v>0.9</v>
      </c>
      <c r="T863" s="87"/>
      <c r="U863" s="87">
        <v>0</v>
      </c>
      <c r="V863" s="90" t="s">
        <v>2472</v>
      </c>
    </row>
    <row r="864" ht="15" customHeight="1" spans="1:23" x14ac:dyDescent="0.25">
      <c r="A864" s="85">
        <v>3966</v>
      </c>
      <c r="B864" s="85" t="s">
        <v>3948</v>
      </c>
      <c r="C864" s="85" t="s">
        <v>698</v>
      </c>
      <c r="D864" s="85" t="s">
        <v>753</v>
      </c>
      <c r="E864" s="85"/>
      <c r="F864" s="85" t="s">
        <v>157</v>
      </c>
      <c r="G864" s="85"/>
      <c r="H864" s="85"/>
      <c r="I864" s="86"/>
      <c r="J864" s="86"/>
      <c r="K864" s="87"/>
      <c r="L864" s="87"/>
      <c r="M864" s="88"/>
      <c r="N864" s="89"/>
      <c r="O864" s="87"/>
      <c r="P864" s="87"/>
      <c r="Q864" s="87"/>
      <c r="R864" s="87"/>
      <c r="S864" s="87">
        <v>1</v>
      </c>
      <c r="T864" s="87">
        <v>1</v>
      </c>
      <c r="U864" s="87"/>
      <c r="V864" s="90" t="s">
        <v>2472</v>
      </c>
    </row>
    <row r="865" ht="15" customHeight="1" spans="1:23" x14ac:dyDescent="0.25">
      <c r="A865" s="85">
        <v>3966</v>
      </c>
      <c r="B865" s="85" t="s">
        <v>3948</v>
      </c>
      <c r="C865" s="85" t="s">
        <v>698</v>
      </c>
      <c r="D865" s="85" t="s">
        <v>753</v>
      </c>
      <c r="E865" s="85"/>
      <c r="F865" s="85" t="s">
        <v>2472</v>
      </c>
      <c r="G865" s="85" t="s">
        <v>288</v>
      </c>
      <c r="H865" s="85" t="s">
        <v>3268</v>
      </c>
      <c r="I865" s="86">
        <v>65</v>
      </c>
      <c r="J865" s="86">
        <v>65</v>
      </c>
      <c r="K865" s="87">
        <v>1</v>
      </c>
      <c r="L865" s="87">
        <v>1</v>
      </c>
      <c r="M865" s="88">
        <v>1</v>
      </c>
      <c r="N865" s="89"/>
      <c r="O865" s="87"/>
      <c r="P865" s="87"/>
      <c r="Q865" s="87"/>
      <c r="R865" s="87"/>
      <c r="S865" s="87">
        <v>1</v>
      </c>
      <c r="T865" s="87"/>
      <c r="U865" s="87">
        <v>0</v>
      </c>
      <c r="V865" s="90" t="s">
        <v>2472</v>
      </c>
    </row>
    <row r="866" ht="15" customHeight="1" spans="1:23" x14ac:dyDescent="0.25">
      <c r="A866" s="85">
        <v>3967</v>
      </c>
      <c r="B866" s="85" t="s">
        <v>3949</v>
      </c>
      <c r="C866" s="85" t="s">
        <v>698</v>
      </c>
      <c r="D866" s="85" t="s">
        <v>1547</v>
      </c>
      <c r="E866" s="85"/>
      <c r="F866" s="85" t="s">
        <v>157</v>
      </c>
      <c r="G866" s="85"/>
      <c r="H866" s="85"/>
      <c r="I866" s="86"/>
      <c r="J866" s="86"/>
      <c r="K866" s="87"/>
      <c r="L866" s="87"/>
      <c r="M866" s="88"/>
      <c r="N866" s="89"/>
      <c r="O866" s="87"/>
      <c r="P866" s="87"/>
      <c r="Q866" s="87"/>
      <c r="R866" s="87"/>
      <c r="S866" s="87">
        <v>1</v>
      </c>
      <c r="T866" s="87">
        <v>1</v>
      </c>
      <c r="U866" s="87"/>
      <c r="V866" s="90" t="s">
        <v>2472</v>
      </c>
    </row>
    <row r="867" ht="15" customHeight="1" spans="1:23" x14ac:dyDescent="0.25">
      <c r="A867" s="85">
        <v>3967</v>
      </c>
      <c r="B867" s="85" t="s">
        <v>3949</v>
      </c>
      <c r="C867" s="85" t="s">
        <v>698</v>
      </c>
      <c r="D867" s="85" t="s">
        <v>1547</v>
      </c>
      <c r="E867" s="85"/>
      <c r="F867" s="85" t="s">
        <v>2472</v>
      </c>
      <c r="G867" s="85" t="s">
        <v>288</v>
      </c>
      <c r="H867" s="85" t="s">
        <v>3268</v>
      </c>
      <c r="I867" s="86">
        <v>65</v>
      </c>
      <c r="J867" s="86">
        <v>65</v>
      </c>
      <c r="K867" s="87">
        <v>1</v>
      </c>
      <c r="L867" s="87">
        <v>1</v>
      </c>
      <c r="M867" s="88">
        <v>1</v>
      </c>
      <c r="N867" s="89"/>
      <c r="O867" s="87"/>
      <c r="P867" s="87"/>
      <c r="Q867" s="87"/>
      <c r="R867" s="87"/>
      <c r="S867" s="87">
        <v>1</v>
      </c>
      <c r="T867" s="87"/>
      <c r="U867" s="87">
        <v>0</v>
      </c>
      <c r="V867" s="90" t="s">
        <v>2472</v>
      </c>
    </row>
    <row r="868" ht="15" customHeight="1" spans="1:23" x14ac:dyDescent="0.25">
      <c r="A868" s="85">
        <v>3968</v>
      </c>
      <c r="B868" s="85" t="s">
        <v>3950</v>
      </c>
      <c r="C868" s="85" t="s">
        <v>698</v>
      </c>
      <c r="D868" s="85" t="s">
        <v>782</v>
      </c>
      <c r="E868" s="85"/>
      <c r="F868" s="85" t="s">
        <v>157</v>
      </c>
      <c r="G868" s="85"/>
      <c r="H868" s="85"/>
      <c r="I868" s="86"/>
      <c r="J868" s="86"/>
      <c r="K868" s="87"/>
      <c r="L868" s="87"/>
      <c r="M868" s="88"/>
      <c r="N868" s="89"/>
      <c r="O868" s="87"/>
      <c r="P868" s="87"/>
      <c r="Q868" s="87"/>
      <c r="R868" s="87"/>
      <c r="S868" s="87">
        <v>1</v>
      </c>
      <c r="T868" s="87">
        <v>1</v>
      </c>
      <c r="U868" s="87">
        <v>0</v>
      </c>
      <c r="V868" s="90" t="s">
        <v>2472</v>
      </c>
    </row>
    <row r="869" ht="15" customHeight="1" spans="1:23" x14ac:dyDescent="0.25">
      <c r="A869" s="85">
        <v>3968</v>
      </c>
      <c r="B869" s="85" t="s">
        <v>3950</v>
      </c>
      <c r="C869" s="85" t="s">
        <v>698</v>
      </c>
      <c r="D869" s="85" t="s">
        <v>782</v>
      </c>
      <c r="E869" s="85"/>
      <c r="F869" s="85" t="s">
        <v>2472</v>
      </c>
      <c r="G869" s="85" t="s">
        <v>288</v>
      </c>
      <c r="H869" s="85" t="s">
        <v>3268</v>
      </c>
      <c r="I869" s="86">
        <v>65</v>
      </c>
      <c r="J869" s="86">
        <v>65</v>
      </c>
      <c r="K869" s="87">
        <v>1</v>
      </c>
      <c r="L869" s="87">
        <v>1</v>
      </c>
      <c r="M869" s="88">
        <v>1</v>
      </c>
      <c r="N869" s="89"/>
      <c r="O869" s="87"/>
      <c r="P869" s="87"/>
      <c r="Q869" s="87"/>
      <c r="R869" s="87"/>
      <c r="S869" s="87">
        <v>1</v>
      </c>
      <c r="T869" s="87"/>
      <c r="U869" s="87">
        <v>0</v>
      </c>
      <c r="V869" s="90" t="s">
        <v>3577</v>
      </c>
    </row>
    <row r="870" ht="15" customHeight="1" spans="1:23" x14ac:dyDescent="0.25">
      <c r="A870" s="85">
        <v>3969</v>
      </c>
      <c r="B870" s="85" t="s">
        <v>3951</v>
      </c>
      <c r="C870" s="85" t="s">
        <v>698</v>
      </c>
      <c r="D870" s="85" t="s">
        <v>1118</v>
      </c>
      <c r="E870" s="85"/>
      <c r="F870" s="85" t="s">
        <v>157</v>
      </c>
      <c r="G870" s="85"/>
      <c r="H870" s="85"/>
      <c r="I870" s="86"/>
      <c r="J870" s="86"/>
      <c r="K870" s="87"/>
      <c r="L870" s="87"/>
      <c r="M870" s="88"/>
      <c r="N870" s="89"/>
      <c r="O870" s="87"/>
      <c r="P870" s="87"/>
      <c r="Q870" s="87"/>
      <c r="R870" s="87"/>
      <c r="S870" s="87">
        <v>1</v>
      </c>
      <c r="T870" s="87">
        <v>1</v>
      </c>
      <c r="U870" s="87"/>
      <c r="V870" s="90" t="s">
        <v>2472</v>
      </c>
    </row>
    <row r="871" ht="15" customHeight="1" spans="1:23" x14ac:dyDescent="0.25">
      <c r="A871" s="85">
        <v>3969</v>
      </c>
      <c r="B871" s="85" t="s">
        <v>3951</v>
      </c>
      <c r="C871" s="85" t="s">
        <v>698</v>
      </c>
      <c r="D871" s="85" t="s">
        <v>1118</v>
      </c>
      <c r="E871" s="85"/>
      <c r="F871" s="85" t="s">
        <v>2472</v>
      </c>
      <c r="G871" s="85" t="s">
        <v>288</v>
      </c>
      <c r="H871" s="85" t="s">
        <v>3268</v>
      </c>
      <c r="I871" s="86">
        <v>65</v>
      </c>
      <c r="J871" s="86">
        <v>65</v>
      </c>
      <c r="K871" s="87">
        <v>1</v>
      </c>
      <c r="L871" s="87">
        <v>1</v>
      </c>
      <c r="M871" s="88">
        <v>1</v>
      </c>
      <c r="N871" s="89"/>
      <c r="O871" s="87"/>
      <c r="P871" s="87"/>
      <c r="Q871" s="87"/>
      <c r="R871" s="87"/>
      <c r="S871" s="87">
        <v>1</v>
      </c>
      <c r="T871" s="87"/>
      <c r="U871" s="87">
        <v>0</v>
      </c>
      <c r="V871" s="90" t="s">
        <v>2472</v>
      </c>
    </row>
    <row r="872" ht="15" customHeight="1" spans="1:23" x14ac:dyDescent="0.25">
      <c r="A872" s="85">
        <v>3970</v>
      </c>
      <c r="B872" s="85" t="s">
        <v>3952</v>
      </c>
      <c r="C872" s="85" t="s">
        <v>698</v>
      </c>
      <c r="D872" s="85" t="s">
        <v>916</v>
      </c>
      <c r="E872" s="85"/>
      <c r="F872" s="85" t="s">
        <v>157</v>
      </c>
      <c r="G872" s="85"/>
      <c r="H872" s="85"/>
      <c r="I872" s="86"/>
      <c r="J872" s="86"/>
      <c r="K872" s="87"/>
      <c r="L872" s="87"/>
      <c r="M872" s="88"/>
      <c r="N872" s="89"/>
      <c r="O872" s="87"/>
      <c r="P872" s="87"/>
      <c r="Q872" s="87"/>
      <c r="R872" s="87"/>
      <c r="S872" s="87">
        <v>0.8</v>
      </c>
      <c r="T872" s="87">
        <v>0.8</v>
      </c>
      <c r="U872" s="87"/>
      <c r="V872" s="90" t="s">
        <v>2472</v>
      </c>
    </row>
    <row r="873" ht="15" customHeight="1" spans="1:23" x14ac:dyDescent="0.25">
      <c r="A873" s="85">
        <v>3970</v>
      </c>
      <c r="B873" s="85" t="s">
        <v>3952</v>
      </c>
      <c r="C873" s="85" t="s">
        <v>698</v>
      </c>
      <c r="D873" s="85" t="s">
        <v>916</v>
      </c>
      <c r="E873" s="85"/>
      <c r="F873" s="85" t="s">
        <v>2472</v>
      </c>
      <c r="G873" s="85" t="s">
        <v>288</v>
      </c>
      <c r="H873" s="85" t="s">
        <v>3268</v>
      </c>
      <c r="I873" s="86">
        <v>65</v>
      </c>
      <c r="J873" s="86">
        <v>65</v>
      </c>
      <c r="K873" s="87">
        <v>1</v>
      </c>
      <c r="L873" s="87">
        <v>0.8</v>
      </c>
      <c r="M873" s="88">
        <v>0.8</v>
      </c>
      <c r="N873" s="89"/>
      <c r="O873" s="87"/>
      <c r="P873" s="87"/>
      <c r="Q873" s="87"/>
      <c r="R873" s="87"/>
      <c r="S873" s="87">
        <v>0.8</v>
      </c>
      <c r="T873" s="87"/>
      <c r="U873" s="87">
        <v>0</v>
      </c>
      <c r="V873" s="90" t="s">
        <v>2472</v>
      </c>
    </row>
    <row r="874" ht="15" customHeight="1" spans="1:23" x14ac:dyDescent="0.25">
      <c r="A874" s="85">
        <v>3971</v>
      </c>
      <c r="B874" s="85" t="s">
        <v>3953</v>
      </c>
      <c r="C874" s="85" t="s">
        <v>698</v>
      </c>
      <c r="D874" s="85" t="s">
        <v>1202</v>
      </c>
      <c r="E874" s="85"/>
      <c r="F874" s="85" t="s">
        <v>157</v>
      </c>
      <c r="G874" s="85"/>
      <c r="H874" s="85"/>
      <c r="I874" s="86"/>
      <c r="J874" s="86"/>
      <c r="K874" s="87"/>
      <c r="L874" s="87"/>
      <c r="M874" s="88"/>
      <c r="N874" s="89"/>
      <c r="O874" s="87"/>
      <c r="P874" s="87"/>
      <c r="Q874" s="87"/>
      <c r="R874" s="87"/>
      <c r="S874" s="87">
        <v>0.8</v>
      </c>
      <c r="T874" s="87">
        <v>0.8</v>
      </c>
      <c r="U874" s="87"/>
      <c r="V874" s="90" t="s">
        <v>2472</v>
      </c>
    </row>
    <row r="875" ht="15" customHeight="1" spans="1:23" x14ac:dyDescent="0.25">
      <c r="A875" s="85">
        <v>3971</v>
      </c>
      <c r="B875" s="85" t="s">
        <v>3953</v>
      </c>
      <c r="C875" s="85" t="s">
        <v>698</v>
      </c>
      <c r="D875" s="85" t="s">
        <v>1202</v>
      </c>
      <c r="E875" s="85"/>
      <c r="F875" s="85" t="s">
        <v>2472</v>
      </c>
      <c r="G875" s="85" t="s">
        <v>288</v>
      </c>
      <c r="H875" s="85" t="s">
        <v>3268</v>
      </c>
      <c r="I875" s="86">
        <v>65</v>
      </c>
      <c r="J875" s="86">
        <v>65</v>
      </c>
      <c r="K875" s="87">
        <v>1</v>
      </c>
      <c r="L875" s="87">
        <v>0.8</v>
      </c>
      <c r="M875" s="88">
        <v>0.8</v>
      </c>
      <c r="N875" s="89"/>
      <c r="O875" s="87"/>
      <c r="P875" s="87"/>
      <c r="Q875" s="87"/>
      <c r="R875" s="87"/>
      <c r="S875" s="87">
        <v>0.8</v>
      </c>
      <c r="T875" s="87"/>
      <c r="U875" s="87">
        <v>0</v>
      </c>
      <c r="V875" s="90" t="s">
        <v>2472</v>
      </c>
    </row>
    <row r="876" ht="15" customHeight="1" spans="1:23" x14ac:dyDescent="0.25">
      <c r="A876" s="85">
        <v>3972</v>
      </c>
      <c r="B876" s="85" t="s">
        <v>3954</v>
      </c>
      <c r="C876" s="85" t="s">
        <v>698</v>
      </c>
      <c r="D876" s="85" t="s">
        <v>1243</v>
      </c>
      <c r="E876" s="85"/>
      <c r="F876" s="85" t="s">
        <v>157</v>
      </c>
      <c r="G876" s="85"/>
      <c r="H876" s="85"/>
      <c r="I876" s="86"/>
      <c r="J876" s="86"/>
      <c r="K876" s="87"/>
      <c r="L876" s="87"/>
      <c r="M876" s="88"/>
      <c r="N876" s="89"/>
      <c r="O876" s="87"/>
      <c r="P876" s="87"/>
      <c r="Q876" s="87"/>
      <c r="R876" s="87"/>
      <c r="S876" s="87">
        <v>1</v>
      </c>
      <c r="T876" s="87">
        <v>1</v>
      </c>
      <c r="U876" s="87"/>
      <c r="V876" s="90" t="s">
        <v>2472</v>
      </c>
    </row>
    <row r="877" ht="15" customHeight="1" spans="1:23" x14ac:dyDescent="0.25">
      <c r="A877" s="85">
        <v>3972</v>
      </c>
      <c r="B877" s="85" t="s">
        <v>3954</v>
      </c>
      <c r="C877" s="85" t="s">
        <v>698</v>
      </c>
      <c r="D877" s="85" t="s">
        <v>1243</v>
      </c>
      <c r="E877" s="85"/>
      <c r="F877" s="85" t="s">
        <v>2472</v>
      </c>
      <c r="G877" s="85" t="s">
        <v>288</v>
      </c>
      <c r="H877" s="85" t="s">
        <v>3268</v>
      </c>
      <c r="I877" s="86">
        <v>65</v>
      </c>
      <c r="J877" s="86">
        <v>65</v>
      </c>
      <c r="K877" s="87">
        <v>1</v>
      </c>
      <c r="L877" s="87">
        <v>1</v>
      </c>
      <c r="M877" s="88">
        <v>1</v>
      </c>
      <c r="N877" s="89"/>
      <c r="O877" s="87"/>
      <c r="P877" s="87"/>
      <c r="Q877" s="87"/>
      <c r="R877" s="87"/>
      <c r="S877" s="87">
        <v>1</v>
      </c>
      <c r="T877" s="87"/>
      <c r="U877" s="87">
        <v>0</v>
      </c>
      <c r="V877" s="90" t="s">
        <v>2472</v>
      </c>
    </row>
    <row r="878" ht="15" customHeight="1" spans="1:23" x14ac:dyDescent="0.25">
      <c r="A878" s="85">
        <v>3973</v>
      </c>
      <c r="B878" s="85" t="s">
        <v>3955</v>
      </c>
      <c r="C878" s="85" t="s">
        <v>698</v>
      </c>
      <c r="D878" s="85" t="s">
        <v>1053</v>
      </c>
      <c r="E878" s="85"/>
      <c r="F878" s="85" t="s">
        <v>157</v>
      </c>
      <c r="G878" s="85"/>
      <c r="H878" s="85"/>
      <c r="I878" s="86"/>
      <c r="J878" s="86"/>
      <c r="K878" s="87"/>
      <c r="L878" s="87"/>
      <c r="M878" s="88"/>
      <c r="N878" s="89"/>
      <c r="O878" s="87"/>
      <c r="P878" s="87"/>
      <c r="Q878" s="87">
        <v>0.3076923076923077</v>
      </c>
      <c r="R878" s="87"/>
      <c r="S878" s="87">
        <v>1</v>
      </c>
      <c r="T878" s="87">
        <v>1</v>
      </c>
      <c r="U878" s="87">
        <v>1</v>
      </c>
      <c r="V878" s="90" t="s">
        <v>3956</v>
      </c>
    </row>
    <row r="879" ht="15" customHeight="1" spans="1:23" x14ac:dyDescent="0.25">
      <c r="A879" s="85">
        <v>3973</v>
      </c>
      <c r="B879" s="85" t="s">
        <v>3955</v>
      </c>
      <c r="C879" s="85" t="s">
        <v>698</v>
      </c>
      <c r="D879" s="85" t="s">
        <v>1053</v>
      </c>
      <c r="E879" s="85"/>
      <c r="F879" s="85" t="s">
        <v>2472</v>
      </c>
      <c r="G879" s="85" t="s">
        <v>3957</v>
      </c>
      <c r="H879" s="85" t="s">
        <v>3268</v>
      </c>
      <c r="I879" s="86">
        <v>65</v>
      </c>
      <c r="J879" s="86">
        <v>20</v>
      </c>
      <c r="K879" s="87">
        <v>0.3076923076923077</v>
      </c>
      <c r="L879" s="87">
        <v>1</v>
      </c>
      <c r="M879" s="88">
        <v>0.3076923076923077</v>
      </c>
      <c r="N879" s="89">
        <v>1</v>
      </c>
      <c r="O879" s="87">
        <v>0.3076923076923077</v>
      </c>
      <c r="P879" s="87"/>
      <c r="Q879" s="87">
        <v>0.3076923076923077</v>
      </c>
      <c r="R879" s="87"/>
      <c r="S879" s="87">
        <v>0.3076923076923077</v>
      </c>
      <c r="T879" s="87"/>
      <c r="U879" s="87">
        <v>0.3076923076923077</v>
      </c>
      <c r="V879" s="90" t="s">
        <v>3958</v>
      </c>
    </row>
    <row r="880" ht="15" customHeight="1" spans="1:23" x14ac:dyDescent="0.25">
      <c r="A880" s="85">
        <v>3973</v>
      </c>
      <c r="B880" s="85" t="s">
        <v>3955</v>
      </c>
      <c r="C880" s="85" t="s">
        <v>698</v>
      </c>
      <c r="D880" s="85" t="s">
        <v>1053</v>
      </c>
      <c r="E880" s="85"/>
      <c r="F880" s="85" t="s">
        <v>2472</v>
      </c>
      <c r="G880" s="85" t="s">
        <v>1898</v>
      </c>
      <c r="H880" s="85" t="s">
        <v>3959</v>
      </c>
      <c r="I880" s="86">
        <v>65</v>
      </c>
      <c r="J880" s="86">
        <v>45</v>
      </c>
      <c r="K880" s="87">
        <v>0.6923076923076923</v>
      </c>
      <c r="L880" s="87">
        <v>1</v>
      </c>
      <c r="M880" s="88">
        <v>0.6923076923076923</v>
      </c>
      <c r="N880" s="89"/>
      <c r="O880" s="87"/>
      <c r="P880" s="87"/>
      <c r="Q880" s="87"/>
      <c r="R880" s="87"/>
      <c r="S880" s="87">
        <v>0.6923076923076923</v>
      </c>
      <c r="T880" s="87"/>
      <c r="U880" s="87">
        <v>0.6923076923076923</v>
      </c>
      <c r="V880" s="90" t="s">
        <v>3960</v>
      </c>
    </row>
    <row r="881" ht="15" customHeight="1" spans="1:23" x14ac:dyDescent="0.25">
      <c r="A881" s="85">
        <v>3974</v>
      </c>
      <c r="B881" s="85" t="s">
        <v>3961</v>
      </c>
      <c r="C881" s="85" t="s">
        <v>698</v>
      </c>
      <c r="D881" s="85" t="s">
        <v>1173</v>
      </c>
      <c r="E881" s="85"/>
      <c r="F881" s="85" t="s">
        <v>157</v>
      </c>
      <c r="G881" s="85"/>
      <c r="H881" s="85"/>
      <c r="I881" s="86"/>
      <c r="J881" s="86"/>
      <c r="K881" s="87"/>
      <c r="L881" s="87"/>
      <c r="M881" s="88"/>
      <c r="N881" s="89"/>
      <c r="O881" s="87"/>
      <c r="P881" s="87"/>
      <c r="Q881" s="87"/>
      <c r="R881" s="87"/>
      <c r="S881" s="87">
        <v>0.8</v>
      </c>
      <c r="T881" s="87">
        <v>0.8</v>
      </c>
      <c r="U881" s="87"/>
      <c r="V881" s="90" t="s">
        <v>2472</v>
      </c>
    </row>
    <row r="882" ht="15" customHeight="1" spans="1:23" x14ac:dyDescent="0.25">
      <c r="A882" s="85">
        <v>3974</v>
      </c>
      <c r="B882" s="85" t="s">
        <v>3961</v>
      </c>
      <c r="C882" s="85" t="s">
        <v>698</v>
      </c>
      <c r="D882" s="85" t="s">
        <v>1173</v>
      </c>
      <c r="E882" s="85"/>
      <c r="F882" s="85" t="s">
        <v>2472</v>
      </c>
      <c r="G882" s="85" t="s">
        <v>288</v>
      </c>
      <c r="H882" s="85" t="s">
        <v>3268</v>
      </c>
      <c r="I882" s="86">
        <v>65</v>
      </c>
      <c r="J882" s="86">
        <v>65</v>
      </c>
      <c r="K882" s="87">
        <v>1</v>
      </c>
      <c r="L882" s="87">
        <v>0.8</v>
      </c>
      <c r="M882" s="88">
        <v>0.8</v>
      </c>
      <c r="N882" s="89"/>
      <c r="O882" s="87"/>
      <c r="P882" s="87"/>
      <c r="Q882" s="87"/>
      <c r="R882" s="87"/>
      <c r="S882" s="87">
        <v>0.8</v>
      </c>
      <c r="T882" s="87"/>
      <c r="U882" s="87">
        <v>0</v>
      </c>
      <c r="V882" s="90" t="s">
        <v>2472</v>
      </c>
    </row>
    <row r="883" ht="15" customHeight="1" spans="1:23" x14ac:dyDescent="0.25">
      <c r="A883" s="85">
        <v>3975</v>
      </c>
      <c r="B883" s="85" t="s">
        <v>3962</v>
      </c>
      <c r="C883" s="85" t="s">
        <v>698</v>
      </c>
      <c r="D883" s="85" t="s">
        <v>700</v>
      </c>
      <c r="E883" s="85"/>
      <c r="F883" s="85" t="s">
        <v>157</v>
      </c>
      <c r="G883" s="85"/>
      <c r="H883" s="85"/>
      <c r="I883" s="86"/>
      <c r="J883" s="86"/>
      <c r="K883" s="87"/>
      <c r="L883" s="87"/>
      <c r="M883" s="88"/>
      <c r="N883" s="89"/>
      <c r="O883" s="87"/>
      <c r="P883" s="87"/>
      <c r="Q883" s="87"/>
      <c r="R883" s="87"/>
      <c r="S883" s="87">
        <v>0.8</v>
      </c>
      <c r="T883" s="87">
        <v>0.8</v>
      </c>
      <c r="U883" s="87"/>
      <c r="V883" s="90" t="s">
        <v>2472</v>
      </c>
    </row>
    <row r="884" ht="15" customHeight="1" spans="1:23" x14ac:dyDescent="0.25">
      <c r="A884" s="85">
        <v>3975</v>
      </c>
      <c r="B884" s="85" t="s">
        <v>3962</v>
      </c>
      <c r="C884" s="85" t="s">
        <v>698</v>
      </c>
      <c r="D884" s="85" t="s">
        <v>700</v>
      </c>
      <c r="E884" s="85"/>
      <c r="F884" s="85" t="s">
        <v>2472</v>
      </c>
      <c r="G884" s="85" t="s">
        <v>288</v>
      </c>
      <c r="H884" s="85" t="s">
        <v>3268</v>
      </c>
      <c r="I884" s="86">
        <v>65</v>
      </c>
      <c r="J884" s="86">
        <v>65</v>
      </c>
      <c r="K884" s="87">
        <v>1</v>
      </c>
      <c r="L884" s="87">
        <v>0.8</v>
      </c>
      <c r="M884" s="88">
        <v>0.8</v>
      </c>
      <c r="N884" s="89"/>
      <c r="O884" s="87"/>
      <c r="P884" s="87"/>
      <c r="Q884" s="87"/>
      <c r="R884" s="87"/>
      <c r="S884" s="87">
        <v>0.8</v>
      </c>
      <c r="T884" s="87"/>
      <c r="U884" s="87">
        <v>0</v>
      </c>
      <c r="V884" s="90" t="s">
        <v>2472</v>
      </c>
    </row>
    <row r="885" ht="15" customHeight="1" spans="1:23" x14ac:dyDescent="0.25">
      <c r="A885" s="85">
        <v>3976</v>
      </c>
      <c r="B885" s="85" t="s">
        <v>3963</v>
      </c>
      <c r="C885" s="85" t="s">
        <v>698</v>
      </c>
      <c r="D885" s="85" t="s">
        <v>836</v>
      </c>
      <c r="E885" s="85"/>
      <c r="F885" s="85" t="s">
        <v>157</v>
      </c>
      <c r="G885" s="85"/>
      <c r="H885" s="85"/>
      <c r="I885" s="86"/>
      <c r="J885" s="86"/>
      <c r="K885" s="87"/>
      <c r="L885" s="87"/>
      <c r="M885" s="88"/>
      <c r="N885" s="89"/>
      <c r="O885" s="87"/>
      <c r="P885" s="87"/>
      <c r="Q885" s="87"/>
      <c r="R885" s="87"/>
      <c r="S885" s="87">
        <v>1</v>
      </c>
      <c r="T885" s="87">
        <v>1</v>
      </c>
      <c r="U885" s="87"/>
      <c r="V885" s="90" t="s">
        <v>2472</v>
      </c>
    </row>
    <row r="886" ht="15" customHeight="1" spans="1:23" x14ac:dyDescent="0.25">
      <c r="A886" s="85">
        <v>3976</v>
      </c>
      <c r="B886" s="85" t="s">
        <v>3963</v>
      </c>
      <c r="C886" s="85" t="s">
        <v>698</v>
      </c>
      <c r="D886" s="85" t="s">
        <v>836</v>
      </c>
      <c r="E886" s="85"/>
      <c r="F886" s="85" t="s">
        <v>2472</v>
      </c>
      <c r="G886" s="85" t="s">
        <v>288</v>
      </c>
      <c r="H886" s="85" t="s">
        <v>3268</v>
      </c>
      <c r="I886" s="86">
        <v>65</v>
      </c>
      <c r="J886" s="86">
        <v>65</v>
      </c>
      <c r="K886" s="87">
        <v>1</v>
      </c>
      <c r="L886" s="87">
        <v>1</v>
      </c>
      <c r="M886" s="88">
        <v>1</v>
      </c>
      <c r="N886" s="89"/>
      <c r="O886" s="87"/>
      <c r="P886" s="87"/>
      <c r="Q886" s="87"/>
      <c r="R886" s="87"/>
      <c r="S886" s="87">
        <v>1</v>
      </c>
      <c r="T886" s="87"/>
      <c r="U886" s="87">
        <v>0</v>
      </c>
      <c r="V886" s="90" t="s">
        <v>2472</v>
      </c>
    </row>
    <row r="887" ht="15" customHeight="1" spans="1:23" x14ac:dyDescent="0.25">
      <c r="A887" s="85">
        <v>3977</v>
      </c>
      <c r="B887" s="85" t="s">
        <v>3964</v>
      </c>
      <c r="C887" s="85" t="s">
        <v>698</v>
      </c>
      <c r="D887" s="85" t="s">
        <v>763</v>
      </c>
      <c r="E887" s="85"/>
      <c r="F887" s="85" t="s">
        <v>157</v>
      </c>
      <c r="G887" s="85"/>
      <c r="H887" s="85"/>
      <c r="I887" s="86"/>
      <c r="J887" s="86"/>
      <c r="K887" s="87"/>
      <c r="L887" s="87"/>
      <c r="M887" s="88"/>
      <c r="N887" s="89"/>
      <c r="O887" s="87"/>
      <c r="P887" s="87"/>
      <c r="Q887" s="87"/>
      <c r="R887" s="87"/>
      <c r="S887" s="87">
        <v>1</v>
      </c>
      <c r="T887" s="87">
        <v>1</v>
      </c>
      <c r="U887" s="87"/>
      <c r="V887" s="90" t="s">
        <v>2472</v>
      </c>
    </row>
    <row r="888" ht="15" customHeight="1" spans="1:23" x14ac:dyDescent="0.25">
      <c r="A888" s="85">
        <v>3977</v>
      </c>
      <c r="B888" s="85" t="s">
        <v>3964</v>
      </c>
      <c r="C888" s="85" t="s">
        <v>698</v>
      </c>
      <c r="D888" s="85" t="s">
        <v>763</v>
      </c>
      <c r="E888" s="85"/>
      <c r="F888" s="85" t="s">
        <v>2472</v>
      </c>
      <c r="G888" s="85" t="s">
        <v>288</v>
      </c>
      <c r="H888" s="85" t="s">
        <v>3268</v>
      </c>
      <c r="I888" s="86">
        <v>65</v>
      </c>
      <c r="J888" s="86">
        <v>65</v>
      </c>
      <c r="K888" s="87">
        <v>1</v>
      </c>
      <c r="L888" s="87">
        <v>1</v>
      </c>
      <c r="M888" s="88">
        <v>1</v>
      </c>
      <c r="N888" s="89"/>
      <c r="O888" s="87"/>
      <c r="P888" s="87"/>
      <c r="Q888" s="87"/>
      <c r="R888" s="87"/>
      <c r="S888" s="87">
        <v>1</v>
      </c>
      <c r="T888" s="87"/>
      <c r="U888" s="87">
        <v>0</v>
      </c>
      <c r="V888" s="90" t="s">
        <v>2472</v>
      </c>
    </row>
    <row r="889" ht="15" customHeight="1" spans="1:23" x14ac:dyDescent="0.25">
      <c r="A889" s="85">
        <v>3978</v>
      </c>
      <c r="B889" s="85" t="s">
        <v>3965</v>
      </c>
      <c r="C889" s="85" t="s">
        <v>698</v>
      </c>
      <c r="D889" s="85" t="s">
        <v>763</v>
      </c>
      <c r="E889" s="85"/>
      <c r="F889" s="85" t="s">
        <v>157</v>
      </c>
      <c r="G889" s="85"/>
      <c r="H889" s="85"/>
      <c r="I889" s="86"/>
      <c r="J889" s="86"/>
      <c r="K889" s="87"/>
      <c r="L889" s="87"/>
      <c r="M889" s="88"/>
      <c r="N889" s="89"/>
      <c r="O889" s="87"/>
      <c r="P889" s="87"/>
      <c r="Q889" s="87"/>
      <c r="R889" s="87"/>
      <c r="S889" s="87">
        <v>1</v>
      </c>
      <c r="T889" s="87">
        <v>1</v>
      </c>
      <c r="U889" s="87"/>
      <c r="V889" s="90" t="s">
        <v>2472</v>
      </c>
    </row>
    <row r="890" ht="15" customHeight="1" spans="1:23" x14ac:dyDescent="0.25">
      <c r="A890" s="85">
        <v>3978</v>
      </c>
      <c r="B890" s="85" t="s">
        <v>3965</v>
      </c>
      <c r="C890" s="85" t="s">
        <v>698</v>
      </c>
      <c r="D890" s="85" t="s">
        <v>763</v>
      </c>
      <c r="E890" s="85"/>
      <c r="F890" s="85" t="s">
        <v>2472</v>
      </c>
      <c r="G890" s="85" t="s">
        <v>288</v>
      </c>
      <c r="H890" s="85" t="s">
        <v>3268</v>
      </c>
      <c r="I890" s="86">
        <v>65</v>
      </c>
      <c r="J890" s="86">
        <v>65</v>
      </c>
      <c r="K890" s="87">
        <v>1</v>
      </c>
      <c r="L890" s="87">
        <v>1</v>
      </c>
      <c r="M890" s="88">
        <v>1</v>
      </c>
      <c r="N890" s="89"/>
      <c r="O890" s="87"/>
      <c r="P890" s="87"/>
      <c r="Q890" s="87"/>
      <c r="R890" s="87"/>
      <c r="S890" s="87">
        <v>1</v>
      </c>
      <c r="T890" s="87"/>
      <c r="U890" s="87">
        <v>0</v>
      </c>
      <c r="V890" s="90" t="s">
        <v>2472</v>
      </c>
    </row>
    <row r="891" ht="15" customHeight="1" spans="1:23" x14ac:dyDescent="0.25">
      <c r="A891" s="85">
        <v>3979</v>
      </c>
      <c r="B891" s="85" t="s">
        <v>3966</v>
      </c>
      <c r="C891" s="85" t="s">
        <v>698</v>
      </c>
      <c r="D891" s="85" t="s">
        <v>175</v>
      </c>
      <c r="E891" s="85"/>
      <c r="F891" s="85" t="s">
        <v>157</v>
      </c>
      <c r="G891" s="85"/>
      <c r="H891" s="85"/>
      <c r="I891" s="86"/>
      <c r="J891" s="86"/>
      <c r="K891" s="87"/>
      <c r="L891" s="87"/>
      <c r="M891" s="88"/>
      <c r="N891" s="89"/>
      <c r="O891" s="87"/>
      <c r="P891" s="87"/>
      <c r="Q891" s="87"/>
      <c r="R891" s="87"/>
      <c r="S891" s="87">
        <v>1</v>
      </c>
      <c r="T891" s="87">
        <v>1</v>
      </c>
      <c r="U891" s="87"/>
      <c r="V891" s="90" t="s">
        <v>2472</v>
      </c>
    </row>
    <row r="892" ht="15" customHeight="1" spans="1:23" x14ac:dyDescent="0.25">
      <c r="A892" s="85">
        <v>3979</v>
      </c>
      <c r="B892" s="85" t="s">
        <v>3966</v>
      </c>
      <c r="C892" s="85" t="s">
        <v>698</v>
      </c>
      <c r="D892" s="85" t="s">
        <v>175</v>
      </c>
      <c r="E892" s="85"/>
      <c r="F892" s="85" t="s">
        <v>2472</v>
      </c>
      <c r="G892" s="85" t="s">
        <v>288</v>
      </c>
      <c r="H892" s="85" t="s">
        <v>3268</v>
      </c>
      <c r="I892" s="86">
        <v>65</v>
      </c>
      <c r="J892" s="86">
        <v>65</v>
      </c>
      <c r="K892" s="87">
        <v>1</v>
      </c>
      <c r="L892" s="87">
        <v>1</v>
      </c>
      <c r="M892" s="88">
        <v>1</v>
      </c>
      <c r="N892" s="89"/>
      <c r="O892" s="87"/>
      <c r="P892" s="87"/>
      <c r="Q892" s="87"/>
      <c r="R892" s="87"/>
      <c r="S892" s="87">
        <v>1</v>
      </c>
      <c r="T892" s="87"/>
      <c r="U892" s="87">
        <v>0</v>
      </c>
      <c r="V892" s="90" t="s">
        <v>2472</v>
      </c>
    </row>
    <row r="893" ht="15" customHeight="1" spans="1:23" x14ac:dyDescent="0.25">
      <c r="A893" s="85">
        <v>3980</v>
      </c>
      <c r="B893" s="85" t="s">
        <v>3967</v>
      </c>
      <c r="C893" s="85" t="s">
        <v>698</v>
      </c>
      <c r="D893" s="85" t="s">
        <v>849</v>
      </c>
      <c r="E893" s="85"/>
      <c r="F893" s="85" t="s">
        <v>157</v>
      </c>
      <c r="G893" s="85"/>
      <c r="H893" s="85"/>
      <c r="I893" s="86"/>
      <c r="J893" s="86"/>
      <c r="K893" s="87"/>
      <c r="L893" s="87"/>
      <c r="M893" s="88"/>
      <c r="N893" s="89"/>
      <c r="O893" s="87"/>
      <c r="P893" s="87"/>
      <c r="Q893" s="87"/>
      <c r="R893" s="87"/>
      <c r="S893" s="87">
        <v>1</v>
      </c>
      <c r="T893" s="87">
        <v>1</v>
      </c>
      <c r="U893" s="87"/>
      <c r="V893" s="90" t="s">
        <v>2472</v>
      </c>
    </row>
    <row r="894" ht="15" customHeight="1" spans="1:23" x14ac:dyDescent="0.25">
      <c r="A894" s="85">
        <v>3980</v>
      </c>
      <c r="B894" s="85" t="s">
        <v>3967</v>
      </c>
      <c r="C894" s="85" t="s">
        <v>698</v>
      </c>
      <c r="D894" s="85" t="s">
        <v>849</v>
      </c>
      <c r="E894" s="85"/>
      <c r="F894" s="85" t="s">
        <v>2472</v>
      </c>
      <c r="G894" s="85" t="s">
        <v>288</v>
      </c>
      <c r="H894" s="85" t="s">
        <v>3268</v>
      </c>
      <c r="I894" s="86">
        <v>65</v>
      </c>
      <c r="J894" s="86">
        <v>65</v>
      </c>
      <c r="K894" s="87">
        <v>1</v>
      </c>
      <c r="L894" s="87">
        <v>1</v>
      </c>
      <c r="M894" s="88">
        <v>1</v>
      </c>
      <c r="N894" s="89"/>
      <c r="O894" s="87"/>
      <c r="P894" s="87"/>
      <c r="Q894" s="87"/>
      <c r="R894" s="87"/>
      <c r="S894" s="87">
        <v>1</v>
      </c>
      <c r="T894" s="87"/>
      <c r="U894" s="87">
        <v>0</v>
      </c>
      <c r="V894" s="90" t="s">
        <v>2472</v>
      </c>
    </row>
    <row r="895" ht="15" customHeight="1" spans="1:23" x14ac:dyDescent="0.25">
      <c r="A895" s="85">
        <v>3981</v>
      </c>
      <c r="B895" s="85" t="s">
        <v>3968</v>
      </c>
      <c r="C895" s="85" t="s">
        <v>698</v>
      </c>
      <c r="D895" s="85" t="s">
        <v>791</v>
      </c>
      <c r="E895" s="85"/>
      <c r="F895" s="85" t="s">
        <v>157</v>
      </c>
      <c r="G895" s="85"/>
      <c r="H895" s="85"/>
      <c r="I895" s="86"/>
      <c r="J895" s="86"/>
      <c r="K895" s="87"/>
      <c r="L895" s="87"/>
      <c r="M895" s="88"/>
      <c r="N895" s="89"/>
      <c r="O895" s="87"/>
      <c r="P895" s="87"/>
      <c r="Q895" s="87"/>
      <c r="R895" s="87"/>
      <c r="S895" s="87">
        <v>1</v>
      </c>
      <c r="T895" s="87">
        <v>1</v>
      </c>
      <c r="U895" s="87"/>
      <c r="V895" s="90" t="s">
        <v>2472</v>
      </c>
    </row>
    <row r="896" ht="15" customHeight="1" spans="1:23" x14ac:dyDescent="0.25">
      <c r="A896" s="85">
        <v>3981</v>
      </c>
      <c r="B896" s="85" t="s">
        <v>3968</v>
      </c>
      <c r="C896" s="85" t="s">
        <v>698</v>
      </c>
      <c r="D896" s="85" t="s">
        <v>791</v>
      </c>
      <c r="E896" s="85"/>
      <c r="F896" s="85" t="s">
        <v>2472</v>
      </c>
      <c r="G896" s="85" t="s">
        <v>288</v>
      </c>
      <c r="H896" s="85" t="s">
        <v>3268</v>
      </c>
      <c r="I896" s="86">
        <v>65</v>
      </c>
      <c r="J896" s="86">
        <v>65</v>
      </c>
      <c r="K896" s="87">
        <v>1</v>
      </c>
      <c r="L896" s="87">
        <v>1</v>
      </c>
      <c r="M896" s="88">
        <v>1</v>
      </c>
      <c r="N896" s="89"/>
      <c r="O896" s="87"/>
      <c r="P896" s="87"/>
      <c r="Q896" s="87"/>
      <c r="R896" s="87"/>
      <c r="S896" s="87">
        <v>1</v>
      </c>
      <c r="T896" s="87"/>
      <c r="U896" s="87">
        <v>0</v>
      </c>
      <c r="V896" s="90" t="s">
        <v>2472</v>
      </c>
    </row>
    <row r="897" ht="15" customHeight="1" spans="1:23" x14ac:dyDescent="0.25">
      <c r="A897" s="85">
        <v>3982</v>
      </c>
      <c r="B897" s="85" t="s">
        <v>3969</v>
      </c>
      <c r="C897" s="85" t="s">
        <v>698</v>
      </c>
      <c r="D897" s="85" t="s">
        <v>1309</v>
      </c>
      <c r="E897" s="85"/>
      <c r="F897" s="85" t="s">
        <v>157</v>
      </c>
      <c r="G897" s="85"/>
      <c r="H897" s="85"/>
      <c r="I897" s="86"/>
      <c r="J897" s="86"/>
      <c r="K897" s="87"/>
      <c r="L897" s="87"/>
      <c r="M897" s="88"/>
      <c r="N897" s="89"/>
      <c r="O897" s="87"/>
      <c r="P897" s="87"/>
      <c r="Q897" s="87"/>
      <c r="R897" s="87"/>
      <c r="S897" s="87">
        <v>1</v>
      </c>
      <c r="T897" s="87">
        <v>1</v>
      </c>
      <c r="U897" s="87">
        <v>0</v>
      </c>
      <c r="V897" s="90" t="s">
        <v>2472</v>
      </c>
    </row>
    <row r="898" ht="15" customHeight="1" spans="1:23" x14ac:dyDescent="0.25">
      <c r="A898" s="85">
        <v>3982</v>
      </c>
      <c r="B898" s="85" t="s">
        <v>3969</v>
      </c>
      <c r="C898" s="85" t="s">
        <v>698</v>
      </c>
      <c r="D898" s="85" t="s">
        <v>1309</v>
      </c>
      <c r="E898" s="85"/>
      <c r="F898" s="85" t="s">
        <v>2472</v>
      </c>
      <c r="G898" s="85" t="s">
        <v>288</v>
      </c>
      <c r="H898" s="85" t="s">
        <v>3268</v>
      </c>
      <c r="I898" s="86">
        <v>65</v>
      </c>
      <c r="J898" s="86">
        <v>65</v>
      </c>
      <c r="K898" s="87">
        <v>1</v>
      </c>
      <c r="L898" s="87">
        <v>1</v>
      </c>
      <c r="M898" s="88">
        <v>1</v>
      </c>
      <c r="N898" s="89"/>
      <c r="O898" s="87"/>
      <c r="P898" s="87"/>
      <c r="Q898" s="87"/>
      <c r="R898" s="87"/>
      <c r="S898" s="87">
        <v>1</v>
      </c>
      <c r="T898" s="87"/>
      <c r="U898" s="87">
        <v>0</v>
      </c>
      <c r="V898" s="90" t="s">
        <v>3577</v>
      </c>
    </row>
    <row r="899" ht="15" customHeight="1" spans="1:23" x14ac:dyDescent="0.25">
      <c r="A899" s="85">
        <v>3983</v>
      </c>
      <c r="B899" s="85" t="s">
        <v>3970</v>
      </c>
      <c r="C899" s="85" t="s">
        <v>698</v>
      </c>
      <c r="D899" s="85" t="s">
        <v>722</v>
      </c>
      <c r="E899" s="85"/>
      <c r="F899" s="85" t="s">
        <v>157</v>
      </c>
      <c r="G899" s="85"/>
      <c r="H899" s="85"/>
      <c r="I899" s="86"/>
      <c r="J899" s="86"/>
      <c r="K899" s="87"/>
      <c r="L899" s="87"/>
      <c r="M899" s="88"/>
      <c r="N899" s="89"/>
      <c r="O899" s="87"/>
      <c r="P899" s="87"/>
      <c r="Q899" s="87"/>
      <c r="R899" s="87"/>
      <c r="S899" s="87">
        <v>1</v>
      </c>
      <c r="T899" s="87">
        <v>1</v>
      </c>
      <c r="U899" s="87"/>
      <c r="V899" s="90" t="s">
        <v>2472</v>
      </c>
    </row>
    <row r="900" ht="15" customHeight="1" spans="1:23" x14ac:dyDescent="0.25">
      <c r="A900" s="85">
        <v>3983</v>
      </c>
      <c r="B900" s="85" t="s">
        <v>3970</v>
      </c>
      <c r="C900" s="85" t="s">
        <v>698</v>
      </c>
      <c r="D900" s="85" t="s">
        <v>722</v>
      </c>
      <c r="E900" s="85"/>
      <c r="F900" s="85" t="s">
        <v>2472</v>
      </c>
      <c r="G900" s="85" t="s">
        <v>288</v>
      </c>
      <c r="H900" s="85" t="s">
        <v>3268</v>
      </c>
      <c r="I900" s="86">
        <v>65</v>
      </c>
      <c r="J900" s="86">
        <v>65</v>
      </c>
      <c r="K900" s="87">
        <v>1</v>
      </c>
      <c r="L900" s="87">
        <v>1</v>
      </c>
      <c r="M900" s="88">
        <v>1</v>
      </c>
      <c r="N900" s="89"/>
      <c r="O900" s="87"/>
      <c r="P900" s="87"/>
      <c r="Q900" s="87"/>
      <c r="R900" s="87"/>
      <c r="S900" s="87">
        <v>1</v>
      </c>
      <c r="T900" s="87"/>
      <c r="U900" s="87">
        <v>0</v>
      </c>
      <c r="V900" s="90" t="s">
        <v>2472</v>
      </c>
    </row>
    <row r="901" ht="15" customHeight="1" spans="1:23" x14ac:dyDescent="0.25">
      <c r="A901" s="85">
        <v>3984</v>
      </c>
      <c r="B901" s="85" t="s">
        <v>3971</v>
      </c>
      <c r="C901" s="85" t="s">
        <v>698</v>
      </c>
      <c r="D901" s="85" t="s">
        <v>717</v>
      </c>
      <c r="E901" s="85"/>
      <c r="F901" s="85" t="s">
        <v>157</v>
      </c>
      <c r="G901" s="85"/>
      <c r="H901" s="85"/>
      <c r="I901" s="86"/>
      <c r="J901" s="86"/>
      <c r="K901" s="87"/>
      <c r="L901" s="87"/>
      <c r="M901" s="88"/>
      <c r="N901" s="89"/>
      <c r="O901" s="87"/>
      <c r="P901" s="87"/>
      <c r="Q901" s="87"/>
      <c r="R901" s="87"/>
      <c r="S901" s="87">
        <v>1</v>
      </c>
      <c r="T901" s="87">
        <v>1</v>
      </c>
      <c r="U901" s="87"/>
      <c r="V901" s="90" t="s">
        <v>2472</v>
      </c>
    </row>
    <row r="902" ht="15" customHeight="1" spans="1:23" x14ac:dyDescent="0.25">
      <c r="A902" s="85">
        <v>3984</v>
      </c>
      <c r="B902" s="85" t="s">
        <v>3971</v>
      </c>
      <c r="C902" s="85" t="s">
        <v>698</v>
      </c>
      <c r="D902" s="85" t="s">
        <v>717</v>
      </c>
      <c r="E902" s="85"/>
      <c r="F902" s="85" t="s">
        <v>2472</v>
      </c>
      <c r="G902" s="85" t="s">
        <v>288</v>
      </c>
      <c r="H902" s="85" t="s">
        <v>3268</v>
      </c>
      <c r="I902" s="86">
        <v>65</v>
      </c>
      <c r="J902" s="86">
        <v>65</v>
      </c>
      <c r="K902" s="87">
        <v>1</v>
      </c>
      <c r="L902" s="87">
        <v>1</v>
      </c>
      <c r="M902" s="88">
        <v>1</v>
      </c>
      <c r="N902" s="89"/>
      <c r="O902" s="87"/>
      <c r="P902" s="87"/>
      <c r="Q902" s="87"/>
      <c r="R902" s="87"/>
      <c r="S902" s="87">
        <v>1</v>
      </c>
      <c r="T902" s="87"/>
      <c r="U902" s="87">
        <v>0</v>
      </c>
      <c r="V902" s="90" t="s">
        <v>2472</v>
      </c>
    </row>
    <row r="903" ht="15" customHeight="1" spans="1:23" x14ac:dyDescent="0.25">
      <c r="A903" s="85">
        <v>3985</v>
      </c>
      <c r="B903" s="85" t="s">
        <v>3972</v>
      </c>
      <c r="C903" s="85" t="s">
        <v>698</v>
      </c>
      <c r="D903" s="85" t="s">
        <v>168</v>
      </c>
      <c r="E903" s="85"/>
      <c r="F903" s="85" t="s">
        <v>157</v>
      </c>
      <c r="G903" s="85"/>
      <c r="H903" s="85"/>
      <c r="I903" s="86"/>
      <c r="J903" s="86"/>
      <c r="K903" s="87"/>
      <c r="L903" s="87"/>
      <c r="M903" s="88"/>
      <c r="N903" s="89"/>
      <c r="O903" s="87"/>
      <c r="P903" s="87"/>
      <c r="Q903" s="87"/>
      <c r="R903" s="87"/>
      <c r="S903" s="87">
        <v>0.8</v>
      </c>
      <c r="T903" s="87">
        <v>0.8</v>
      </c>
      <c r="U903" s="87"/>
      <c r="V903" s="90" t="s">
        <v>2472</v>
      </c>
    </row>
    <row r="904" ht="15" customHeight="1" spans="1:23" x14ac:dyDescent="0.25">
      <c r="A904" s="85">
        <v>3985</v>
      </c>
      <c r="B904" s="85" t="s">
        <v>3972</v>
      </c>
      <c r="C904" s="85" t="s">
        <v>698</v>
      </c>
      <c r="D904" s="85" t="s">
        <v>168</v>
      </c>
      <c r="E904" s="85"/>
      <c r="F904" s="85" t="s">
        <v>2472</v>
      </c>
      <c r="G904" s="85" t="s">
        <v>288</v>
      </c>
      <c r="H904" s="85" t="s">
        <v>3268</v>
      </c>
      <c r="I904" s="86">
        <v>65</v>
      </c>
      <c r="J904" s="86">
        <v>65</v>
      </c>
      <c r="K904" s="87">
        <v>1</v>
      </c>
      <c r="L904" s="87">
        <v>0.8</v>
      </c>
      <c r="M904" s="88">
        <v>0.8</v>
      </c>
      <c r="N904" s="89"/>
      <c r="O904" s="87"/>
      <c r="P904" s="87"/>
      <c r="Q904" s="87"/>
      <c r="R904" s="87"/>
      <c r="S904" s="87">
        <v>0.8</v>
      </c>
      <c r="T904" s="87"/>
      <c r="U904" s="87">
        <v>0</v>
      </c>
      <c r="V904" s="90" t="s">
        <v>2472</v>
      </c>
    </row>
    <row r="905" ht="15" customHeight="1" spans="1:23" x14ac:dyDescent="0.25">
      <c r="A905" s="85">
        <v>3986</v>
      </c>
      <c r="B905" s="85" t="s">
        <v>3973</v>
      </c>
      <c r="C905" s="85" t="s">
        <v>698</v>
      </c>
      <c r="D905" s="85" t="s">
        <v>1547</v>
      </c>
      <c r="E905" s="85"/>
      <c r="F905" s="85" t="s">
        <v>157</v>
      </c>
      <c r="G905" s="85"/>
      <c r="H905" s="85"/>
      <c r="I905" s="86"/>
      <c r="J905" s="86"/>
      <c r="K905" s="87"/>
      <c r="L905" s="87"/>
      <c r="M905" s="88"/>
      <c r="N905" s="89"/>
      <c r="O905" s="87"/>
      <c r="P905" s="87"/>
      <c r="Q905" s="87"/>
      <c r="R905" s="87"/>
      <c r="S905" s="87">
        <v>1</v>
      </c>
      <c r="T905" s="87">
        <v>1</v>
      </c>
      <c r="U905" s="87"/>
      <c r="V905" s="90" t="s">
        <v>2472</v>
      </c>
    </row>
    <row r="906" ht="15" customHeight="1" spans="1:23" x14ac:dyDescent="0.25">
      <c r="A906" s="85">
        <v>3986</v>
      </c>
      <c r="B906" s="85" t="s">
        <v>3973</v>
      </c>
      <c r="C906" s="85" t="s">
        <v>698</v>
      </c>
      <c r="D906" s="85" t="s">
        <v>1547</v>
      </c>
      <c r="E906" s="85"/>
      <c r="F906" s="85" t="s">
        <v>2472</v>
      </c>
      <c r="G906" s="85" t="s">
        <v>288</v>
      </c>
      <c r="H906" s="85" t="s">
        <v>3268</v>
      </c>
      <c r="I906" s="86">
        <v>65</v>
      </c>
      <c r="J906" s="86">
        <v>65</v>
      </c>
      <c r="K906" s="87">
        <v>1</v>
      </c>
      <c r="L906" s="87">
        <v>1</v>
      </c>
      <c r="M906" s="88">
        <v>1</v>
      </c>
      <c r="N906" s="89"/>
      <c r="O906" s="87"/>
      <c r="P906" s="87"/>
      <c r="Q906" s="87"/>
      <c r="R906" s="87"/>
      <c r="S906" s="87">
        <v>1</v>
      </c>
      <c r="T906" s="87"/>
      <c r="U906" s="87">
        <v>0</v>
      </c>
      <c r="V906" s="90" t="s">
        <v>2472</v>
      </c>
    </row>
    <row r="907" ht="15" customHeight="1" spans="1:23" x14ac:dyDescent="0.25">
      <c r="A907" s="85">
        <v>3987</v>
      </c>
      <c r="B907" s="85" t="s">
        <v>3974</v>
      </c>
      <c r="C907" s="85" t="s">
        <v>698</v>
      </c>
      <c r="D907" s="85" t="s">
        <v>748</v>
      </c>
      <c r="E907" s="85"/>
      <c r="F907" s="85" t="s">
        <v>157</v>
      </c>
      <c r="G907" s="85"/>
      <c r="H907" s="85"/>
      <c r="I907" s="86"/>
      <c r="J907" s="86"/>
      <c r="K907" s="87"/>
      <c r="L907" s="87"/>
      <c r="M907" s="88"/>
      <c r="N907" s="89"/>
      <c r="O907" s="87"/>
      <c r="P907" s="87"/>
      <c r="Q907" s="87"/>
      <c r="R907" s="87"/>
      <c r="S907" s="87">
        <v>0.8</v>
      </c>
      <c r="T907" s="87">
        <v>0.8</v>
      </c>
      <c r="U907" s="87"/>
      <c r="V907" s="90" t="s">
        <v>2472</v>
      </c>
    </row>
    <row r="908" ht="15" customHeight="1" spans="1:23" x14ac:dyDescent="0.25">
      <c r="A908" s="85">
        <v>3987</v>
      </c>
      <c r="B908" s="85" t="s">
        <v>3974</v>
      </c>
      <c r="C908" s="85" t="s">
        <v>698</v>
      </c>
      <c r="D908" s="85" t="s">
        <v>748</v>
      </c>
      <c r="E908" s="85"/>
      <c r="F908" s="85" t="s">
        <v>2472</v>
      </c>
      <c r="G908" s="85" t="s">
        <v>288</v>
      </c>
      <c r="H908" s="85" t="s">
        <v>3268</v>
      </c>
      <c r="I908" s="86">
        <v>65</v>
      </c>
      <c r="J908" s="86">
        <v>65</v>
      </c>
      <c r="K908" s="87">
        <v>1</v>
      </c>
      <c r="L908" s="87">
        <v>0.8</v>
      </c>
      <c r="M908" s="88">
        <v>0.8</v>
      </c>
      <c r="N908" s="89"/>
      <c r="O908" s="87"/>
      <c r="P908" s="87"/>
      <c r="Q908" s="87"/>
      <c r="R908" s="87"/>
      <c r="S908" s="87">
        <v>0.8</v>
      </c>
      <c r="T908" s="87"/>
      <c r="U908" s="87">
        <v>0</v>
      </c>
      <c r="V908" s="90" t="s">
        <v>2472</v>
      </c>
    </row>
    <row r="909" ht="15" customHeight="1" spans="1:23" x14ac:dyDescent="0.25">
      <c r="A909" s="85">
        <v>3988</v>
      </c>
      <c r="B909" s="85" t="s">
        <v>3975</v>
      </c>
      <c r="C909" s="85" t="s">
        <v>698</v>
      </c>
      <c r="D909" s="85" t="s">
        <v>1660</v>
      </c>
      <c r="E909" s="85"/>
      <c r="F909" s="85" t="s">
        <v>157</v>
      </c>
      <c r="G909" s="85"/>
      <c r="H909" s="85"/>
      <c r="I909" s="86"/>
      <c r="J909" s="86"/>
      <c r="K909" s="87"/>
      <c r="L909" s="87"/>
      <c r="M909" s="88"/>
      <c r="N909" s="89"/>
      <c r="O909" s="87"/>
      <c r="P909" s="87"/>
      <c r="Q909" s="87"/>
      <c r="R909" s="87"/>
      <c r="S909" s="87">
        <v>1</v>
      </c>
      <c r="T909" s="87">
        <v>1</v>
      </c>
      <c r="U909" s="87"/>
      <c r="V909" s="90" t="s">
        <v>2472</v>
      </c>
    </row>
    <row r="910" ht="15" customHeight="1" spans="1:23" x14ac:dyDescent="0.25">
      <c r="A910" s="85">
        <v>3988</v>
      </c>
      <c r="B910" s="85" t="s">
        <v>3975</v>
      </c>
      <c r="C910" s="85" t="s">
        <v>698</v>
      </c>
      <c r="D910" s="85" t="s">
        <v>1660</v>
      </c>
      <c r="E910" s="85"/>
      <c r="F910" s="85" t="s">
        <v>2472</v>
      </c>
      <c r="G910" s="85" t="s">
        <v>288</v>
      </c>
      <c r="H910" s="85" t="s">
        <v>3268</v>
      </c>
      <c r="I910" s="86">
        <v>65</v>
      </c>
      <c r="J910" s="86">
        <v>65</v>
      </c>
      <c r="K910" s="87">
        <v>1</v>
      </c>
      <c r="L910" s="87">
        <v>1</v>
      </c>
      <c r="M910" s="88">
        <v>1</v>
      </c>
      <c r="N910" s="89"/>
      <c r="O910" s="87"/>
      <c r="P910" s="87"/>
      <c r="Q910" s="87"/>
      <c r="R910" s="87"/>
      <c r="S910" s="87">
        <v>1</v>
      </c>
      <c r="T910" s="87"/>
      <c r="U910" s="87">
        <v>0</v>
      </c>
      <c r="V910" s="90" t="s">
        <v>2472</v>
      </c>
    </row>
    <row r="911" ht="15" customHeight="1" spans="1:23" x14ac:dyDescent="0.25">
      <c r="A911" s="85">
        <v>3989</v>
      </c>
      <c r="B911" s="85" t="s">
        <v>3976</v>
      </c>
      <c r="C911" s="85" t="s">
        <v>698</v>
      </c>
      <c r="D911" s="85" t="s">
        <v>1603</v>
      </c>
      <c r="E911" s="85"/>
      <c r="F911" s="85" t="s">
        <v>157</v>
      </c>
      <c r="G911" s="85"/>
      <c r="H911" s="85"/>
      <c r="I911" s="86"/>
      <c r="J911" s="86"/>
      <c r="K911" s="87"/>
      <c r="L911" s="87"/>
      <c r="M911" s="88"/>
      <c r="N911" s="89"/>
      <c r="O911" s="87"/>
      <c r="P911" s="87"/>
      <c r="Q911" s="87"/>
      <c r="R911" s="87"/>
      <c r="S911" s="87">
        <v>1</v>
      </c>
      <c r="T911" s="87">
        <v>1</v>
      </c>
      <c r="U911" s="87"/>
      <c r="V911" s="90" t="s">
        <v>2472</v>
      </c>
    </row>
    <row r="912" ht="15" customHeight="1" spans="1:23" x14ac:dyDescent="0.25">
      <c r="A912" s="85">
        <v>3989</v>
      </c>
      <c r="B912" s="85" t="s">
        <v>3976</v>
      </c>
      <c r="C912" s="85" t="s">
        <v>698</v>
      </c>
      <c r="D912" s="85" t="s">
        <v>1603</v>
      </c>
      <c r="E912" s="85"/>
      <c r="F912" s="85" t="s">
        <v>2472</v>
      </c>
      <c r="G912" s="85" t="s">
        <v>288</v>
      </c>
      <c r="H912" s="85" t="s">
        <v>3268</v>
      </c>
      <c r="I912" s="86">
        <v>65</v>
      </c>
      <c r="J912" s="86">
        <v>65</v>
      </c>
      <c r="K912" s="87">
        <v>1</v>
      </c>
      <c r="L912" s="87">
        <v>1</v>
      </c>
      <c r="M912" s="88">
        <v>1</v>
      </c>
      <c r="N912" s="89"/>
      <c r="O912" s="87"/>
      <c r="P912" s="87"/>
      <c r="Q912" s="87"/>
      <c r="R912" s="87"/>
      <c r="S912" s="87">
        <v>1</v>
      </c>
      <c r="T912" s="87"/>
      <c r="U912" s="87">
        <v>0</v>
      </c>
      <c r="V912" s="90" t="s">
        <v>2472</v>
      </c>
    </row>
    <row r="913" ht="15" customHeight="1" spans="1:23" x14ac:dyDescent="0.25">
      <c r="A913" s="85">
        <v>3990</v>
      </c>
      <c r="B913" s="85" t="s">
        <v>3977</v>
      </c>
      <c r="C913" s="85" t="s">
        <v>698</v>
      </c>
      <c r="D913" s="85" t="s">
        <v>836</v>
      </c>
      <c r="E913" s="85"/>
      <c r="F913" s="85" t="s">
        <v>157</v>
      </c>
      <c r="G913" s="85"/>
      <c r="H913" s="85"/>
      <c r="I913" s="86"/>
      <c r="J913" s="86"/>
      <c r="K913" s="87"/>
      <c r="L913" s="87"/>
      <c r="M913" s="88"/>
      <c r="N913" s="89"/>
      <c r="O913" s="87"/>
      <c r="P913" s="87"/>
      <c r="Q913" s="87"/>
      <c r="R913" s="87"/>
      <c r="S913" s="87">
        <v>1</v>
      </c>
      <c r="T913" s="87">
        <v>1</v>
      </c>
      <c r="U913" s="87"/>
      <c r="V913" s="90" t="s">
        <v>2472</v>
      </c>
    </row>
    <row r="914" ht="15" customHeight="1" spans="1:23" x14ac:dyDescent="0.25">
      <c r="A914" s="85">
        <v>3990</v>
      </c>
      <c r="B914" s="85" t="s">
        <v>3977</v>
      </c>
      <c r="C914" s="85" t="s">
        <v>698</v>
      </c>
      <c r="D914" s="85" t="s">
        <v>836</v>
      </c>
      <c r="E914" s="85"/>
      <c r="F914" s="85" t="s">
        <v>2472</v>
      </c>
      <c r="G914" s="85" t="s">
        <v>288</v>
      </c>
      <c r="H914" s="85" t="s">
        <v>3268</v>
      </c>
      <c r="I914" s="86">
        <v>65</v>
      </c>
      <c r="J914" s="86">
        <v>65</v>
      </c>
      <c r="K914" s="87">
        <v>1</v>
      </c>
      <c r="L914" s="87">
        <v>1</v>
      </c>
      <c r="M914" s="88">
        <v>1</v>
      </c>
      <c r="N914" s="89"/>
      <c r="O914" s="87"/>
      <c r="P914" s="87"/>
      <c r="Q914" s="87"/>
      <c r="R914" s="87"/>
      <c r="S914" s="87">
        <v>1</v>
      </c>
      <c r="T914" s="87"/>
      <c r="U914" s="87">
        <v>0</v>
      </c>
      <c r="V914" s="90" t="s">
        <v>2472</v>
      </c>
    </row>
    <row r="915" ht="15" customHeight="1" spans="1:23" x14ac:dyDescent="0.25">
      <c r="A915" s="85">
        <v>3991</v>
      </c>
      <c r="B915" s="85" t="s">
        <v>3978</v>
      </c>
      <c r="C915" s="85" t="s">
        <v>698</v>
      </c>
      <c r="D915" s="85" t="s">
        <v>960</v>
      </c>
      <c r="E915" s="85"/>
      <c r="F915" s="85" t="s">
        <v>157</v>
      </c>
      <c r="G915" s="85"/>
      <c r="H915" s="85"/>
      <c r="I915" s="86"/>
      <c r="J915" s="86"/>
      <c r="K915" s="87"/>
      <c r="L915" s="87"/>
      <c r="M915" s="88"/>
      <c r="N915" s="89"/>
      <c r="O915" s="87"/>
      <c r="P915" s="87"/>
      <c r="Q915" s="87"/>
      <c r="R915" s="87"/>
      <c r="S915" s="87">
        <v>1</v>
      </c>
      <c r="T915" s="87">
        <v>1</v>
      </c>
      <c r="U915" s="87"/>
      <c r="V915" s="90" t="s">
        <v>2472</v>
      </c>
    </row>
    <row r="916" ht="15" customHeight="1" spans="1:23" x14ac:dyDescent="0.25">
      <c r="A916" s="85">
        <v>3991</v>
      </c>
      <c r="B916" s="85" t="s">
        <v>3978</v>
      </c>
      <c r="C916" s="85" t="s">
        <v>698</v>
      </c>
      <c r="D916" s="85" t="s">
        <v>960</v>
      </c>
      <c r="E916" s="85"/>
      <c r="F916" s="85" t="s">
        <v>2472</v>
      </c>
      <c r="G916" s="85" t="s">
        <v>288</v>
      </c>
      <c r="H916" s="85" t="s">
        <v>3268</v>
      </c>
      <c r="I916" s="86">
        <v>65</v>
      </c>
      <c r="J916" s="86">
        <v>65</v>
      </c>
      <c r="K916" s="87">
        <v>1</v>
      </c>
      <c r="L916" s="87">
        <v>1</v>
      </c>
      <c r="M916" s="88">
        <v>1</v>
      </c>
      <c r="N916" s="89"/>
      <c r="O916" s="87"/>
      <c r="P916" s="87"/>
      <c r="Q916" s="87"/>
      <c r="R916" s="87"/>
      <c r="S916" s="87">
        <v>1</v>
      </c>
      <c r="T916" s="87"/>
      <c r="U916" s="87">
        <v>0</v>
      </c>
      <c r="V916" s="90" t="s">
        <v>2472</v>
      </c>
    </row>
    <row r="917" ht="15" customHeight="1" spans="1:23" x14ac:dyDescent="0.25">
      <c r="A917" s="85">
        <v>3992</v>
      </c>
      <c r="B917" s="85" t="s">
        <v>3979</v>
      </c>
      <c r="C917" s="85" t="s">
        <v>698</v>
      </c>
      <c r="D917" s="85" t="s">
        <v>753</v>
      </c>
      <c r="E917" s="85"/>
      <c r="F917" s="85" t="s">
        <v>157</v>
      </c>
      <c r="G917" s="85"/>
      <c r="H917" s="85"/>
      <c r="I917" s="86"/>
      <c r="J917" s="86"/>
      <c r="K917" s="87"/>
      <c r="L917" s="87"/>
      <c r="M917" s="88"/>
      <c r="N917" s="89"/>
      <c r="O917" s="87"/>
      <c r="P917" s="87"/>
      <c r="Q917" s="87"/>
      <c r="R917" s="87"/>
      <c r="S917" s="87">
        <v>0.8</v>
      </c>
      <c r="T917" s="87">
        <v>0.8</v>
      </c>
      <c r="U917" s="87"/>
      <c r="V917" s="90" t="s">
        <v>2472</v>
      </c>
    </row>
    <row r="918" ht="15" customHeight="1" spans="1:23" x14ac:dyDescent="0.25">
      <c r="A918" s="85">
        <v>3992</v>
      </c>
      <c r="B918" s="85" t="s">
        <v>3979</v>
      </c>
      <c r="C918" s="85" t="s">
        <v>698</v>
      </c>
      <c r="D918" s="85" t="s">
        <v>753</v>
      </c>
      <c r="E918" s="85"/>
      <c r="F918" s="85" t="s">
        <v>2472</v>
      </c>
      <c r="G918" s="85" t="s">
        <v>288</v>
      </c>
      <c r="H918" s="85" t="s">
        <v>3268</v>
      </c>
      <c r="I918" s="86">
        <v>65</v>
      </c>
      <c r="J918" s="86">
        <v>65</v>
      </c>
      <c r="K918" s="87">
        <v>1</v>
      </c>
      <c r="L918" s="87">
        <v>0.8</v>
      </c>
      <c r="M918" s="88">
        <v>0.8</v>
      </c>
      <c r="N918" s="89"/>
      <c r="O918" s="87"/>
      <c r="P918" s="87"/>
      <c r="Q918" s="87"/>
      <c r="R918" s="87"/>
      <c r="S918" s="87">
        <v>0.8</v>
      </c>
      <c r="T918" s="87"/>
      <c r="U918" s="87">
        <v>0</v>
      </c>
      <c r="V918" s="90" t="s">
        <v>2472</v>
      </c>
    </row>
    <row r="919" ht="15" customHeight="1" spans="1:23" x14ac:dyDescent="0.25">
      <c r="A919" s="85">
        <v>3993</v>
      </c>
      <c r="B919" s="85" t="s">
        <v>3980</v>
      </c>
      <c r="C919" s="85" t="s">
        <v>698</v>
      </c>
      <c r="D919" s="85" t="s">
        <v>1414</v>
      </c>
      <c r="E919" s="85"/>
      <c r="F919" s="85" t="s">
        <v>157</v>
      </c>
      <c r="G919" s="85"/>
      <c r="H919" s="85"/>
      <c r="I919" s="86"/>
      <c r="J919" s="86"/>
      <c r="K919" s="87"/>
      <c r="L919" s="87"/>
      <c r="M919" s="88"/>
      <c r="N919" s="89"/>
      <c r="O919" s="87"/>
      <c r="P919" s="87"/>
      <c r="Q919" s="87"/>
      <c r="R919" s="87"/>
      <c r="S919" s="87">
        <v>1</v>
      </c>
      <c r="T919" s="87">
        <v>1</v>
      </c>
      <c r="U919" s="87"/>
      <c r="V919" s="90" t="s">
        <v>2472</v>
      </c>
    </row>
    <row r="920" ht="15" customHeight="1" spans="1:23" x14ac:dyDescent="0.25">
      <c r="A920" s="85">
        <v>3993</v>
      </c>
      <c r="B920" s="85" t="s">
        <v>3980</v>
      </c>
      <c r="C920" s="85" t="s">
        <v>698</v>
      </c>
      <c r="D920" s="85" t="s">
        <v>1414</v>
      </c>
      <c r="E920" s="85"/>
      <c r="F920" s="85" t="s">
        <v>2472</v>
      </c>
      <c r="G920" s="85" t="s">
        <v>288</v>
      </c>
      <c r="H920" s="85" t="s">
        <v>3268</v>
      </c>
      <c r="I920" s="86">
        <v>65</v>
      </c>
      <c r="J920" s="86">
        <v>65</v>
      </c>
      <c r="K920" s="87">
        <v>1</v>
      </c>
      <c r="L920" s="87">
        <v>1</v>
      </c>
      <c r="M920" s="88">
        <v>1</v>
      </c>
      <c r="N920" s="89"/>
      <c r="O920" s="87"/>
      <c r="P920" s="87"/>
      <c r="Q920" s="87"/>
      <c r="R920" s="87"/>
      <c r="S920" s="87">
        <v>1</v>
      </c>
      <c r="T920" s="87"/>
      <c r="U920" s="87">
        <v>0</v>
      </c>
      <c r="V920" s="90" t="s">
        <v>2472</v>
      </c>
    </row>
    <row r="921" ht="15" customHeight="1" spans="1:23" x14ac:dyDescent="0.25">
      <c r="A921" s="85">
        <v>3994</v>
      </c>
      <c r="B921" s="85" t="s">
        <v>3981</v>
      </c>
      <c r="C921" s="85" t="s">
        <v>698</v>
      </c>
      <c r="D921" s="85" t="s">
        <v>1368</v>
      </c>
      <c r="E921" s="85"/>
      <c r="F921" s="85" t="s">
        <v>157</v>
      </c>
      <c r="G921" s="85"/>
      <c r="H921" s="85"/>
      <c r="I921" s="86"/>
      <c r="J921" s="86"/>
      <c r="K921" s="87"/>
      <c r="L921" s="87"/>
      <c r="M921" s="88"/>
      <c r="N921" s="89"/>
      <c r="O921" s="87"/>
      <c r="P921" s="87"/>
      <c r="Q921" s="87"/>
      <c r="R921" s="87"/>
      <c r="S921" s="87">
        <v>1</v>
      </c>
      <c r="T921" s="87">
        <v>1</v>
      </c>
      <c r="U921" s="87"/>
      <c r="V921" s="90" t="s">
        <v>2472</v>
      </c>
    </row>
    <row r="922" ht="15" customHeight="1" spans="1:23" x14ac:dyDescent="0.25">
      <c r="A922" s="85">
        <v>3994</v>
      </c>
      <c r="B922" s="85" t="s">
        <v>3981</v>
      </c>
      <c r="C922" s="85" t="s">
        <v>698</v>
      </c>
      <c r="D922" s="85" t="s">
        <v>1368</v>
      </c>
      <c r="E922" s="85"/>
      <c r="F922" s="85" t="s">
        <v>2472</v>
      </c>
      <c r="G922" s="85" t="s">
        <v>288</v>
      </c>
      <c r="H922" s="85" t="s">
        <v>3268</v>
      </c>
      <c r="I922" s="86">
        <v>65</v>
      </c>
      <c r="J922" s="86">
        <v>65</v>
      </c>
      <c r="K922" s="87">
        <v>1</v>
      </c>
      <c r="L922" s="87">
        <v>1</v>
      </c>
      <c r="M922" s="88">
        <v>1</v>
      </c>
      <c r="N922" s="89"/>
      <c r="O922" s="87"/>
      <c r="P922" s="87"/>
      <c r="Q922" s="87"/>
      <c r="R922" s="87"/>
      <c r="S922" s="87">
        <v>1</v>
      </c>
      <c r="T922" s="87"/>
      <c r="U922" s="87">
        <v>0</v>
      </c>
      <c r="V922" s="90" t="s">
        <v>2472</v>
      </c>
    </row>
    <row r="923" ht="15" customHeight="1" spans="1:23" x14ac:dyDescent="0.25">
      <c r="A923" s="85">
        <v>3995</v>
      </c>
      <c r="B923" s="85" t="s">
        <v>3982</v>
      </c>
      <c r="C923" s="85" t="s">
        <v>698</v>
      </c>
      <c r="D923" s="85" t="s">
        <v>1428</v>
      </c>
      <c r="E923" s="85"/>
      <c r="F923" s="85" t="s">
        <v>157</v>
      </c>
      <c r="G923" s="85"/>
      <c r="H923" s="85"/>
      <c r="I923" s="86"/>
      <c r="J923" s="86"/>
      <c r="K923" s="87"/>
      <c r="L923" s="87"/>
      <c r="M923" s="88"/>
      <c r="N923" s="89"/>
      <c r="O923" s="87"/>
      <c r="P923" s="87"/>
      <c r="Q923" s="87"/>
      <c r="R923" s="87"/>
      <c r="S923" s="87">
        <v>0.8</v>
      </c>
      <c r="T923" s="87">
        <v>0.8</v>
      </c>
      <c r="U923" s="87"/>
      <c r="V923" s="90" t="s">
        <v>2472</v>
      </c>
    </row>
    <row r="924" ht="15" customHeight="1" spans="1:23" x14ac:dyDescent="0.25">
      <c r="A924" s="85">
        <v>3995</v>
      </c>
      <c r="B924" s="85" t="s">
        <v>3982</v>
      </c>
      <c r="C924" s="85" t="s">
        <v>698</v>
      </c>
      <c r="D924" s="85" t="s">
        <v>1428</v>
      </c>
      <c r="E924" s="85"/>
      <c r="F924" s="85" t="s">
        <v>2472</v>
      </c>
      <c r="G924" s="85" t="s">
        <v>288</v>
      </c>
      <c r="H924" s="85" t="s">
        <v>3268</v>
      </c>
      <c r="I924" s="86">
        <v>65</v>
      </c>
      <c r="J924" s="86">
        <v>65</v>
      </c>
      <c r="K924" s="87">
        <v>1</v>
      </c>
      <c r="L924" s="87">
        <v>0.8</v>
      </c>
      <c r="M924" s="88">
        <v>0.8</v>
      </c>
      <c r="N924" s="89"/>
      <c r="O924" s="87"/>
      <c r="P924" s="87"/>
      <c r="Q924" s="87"/>
      <c r="R924" s="87"/>
      <c r="S924" s="87">
        <v>0.8</v>
      </c>
      <c r="T924" s="87"/>
      <c r="U924" s="87">
        <v>0</v>
      </c>
      <c r="V924" s="90" t="s">
        <v>2472</v>
      </c>
    </row>
    <row r="925" ht="15" customHeight="1" spans="1:23" x14ac:dyDescent="0.25">
      <c r="A925" s="85">
        <v>3996</v>
      </c>
      <c r="B925" s="85" t="s">
        <v>3983</v>
      </c>
      <c r="C925" s="85" t="s">
        <v>698</v>
      </c>
      <c r="D925" s="85" t="s">
        <v>1118</v>
      </c>
      <c r="E925" s="85"/>
      <c r="F925" s="85" t="s">
        <v>157</v>
      </c>
      <c r="G925" s="85"/>
      <c r="H925" s="85"/>
      <c r="I925" s="86"/>
      <c r="J925" s="86"/>
      <c r="K925" s="87"/>
      <c r="L925" s="87"/>
      <c r="M925" s="88"/>
      <c r="N925" s="89"/>
      <c r="O925" s="87"/>
      <c r="P925" s="87"/>
      <c r="Q925" s="87"/>
      <c r="R925" s="87"/>
      <c r="S925" s="87">
        <v>0.8</v>
      </c>
      <c r="T925" s="87">
        <v>0.8</v>
      </c>
      <c r="U925" s="87"/>
      <c r="V925" s="90" t="s">
        <v>2472</v>
      </c>
    </row>
    <row r="926" ht="15" customHeight="1" spans="1:23" x14ac:dyDescent="0.25">
      <c r="A926" s="85">
        <v>3996</v>
      </c>
      <c r="B926" s="85" t="s">
        <v>3983</v>
      </c>
      <c r="C926" s="85" t="s">
        <v>698</v>
      </c>
      <c r="D926" s="85" t="s">
        <v>1118</v>
      </c>
      <c r="E926" s="85"/>
      <c r="F926" s="85" t="s">
        <v>2472</v>
      </c>
      <c r="G926" s="85" t="s">
        <v>288</v>
      </c>
      <c r="H926" s="85" t="s">
        <v>3268</v>
      </c>
      <c r="I926" s="86">
        <v>65</v>
      </c>
      <c r="J926" s="86">
        <v>65</v>
      </c>
      <c r="K926" s="87">
        <v>1</v>
      </c>
      <c r="L926" s="87">
        <v>0.8</v>
      </c>
      <c r="M926" s="88">
        <v>0.8</v>
      </c>
      <c r="N926" s="89"/>
      <c r="O926" s="87"/>
      <c r="P926" s="87"/>
      <c r="Q926" s="87"/>
      <c r="R926" s="87"/>
      <c r="S926" s="87">
        <v>0.8</v>
      </c>
      <c r="T926" s="87"/>
      <c r="U926" s="87">
        <v>0</v>
      </c>
      <c r="V926" s="90" t="s">
        <v>2472</v>
      </c>
    </row>
    <row r="927" ht="15" customHeight="1" spans="1:23" x14ac:dyDescent="0.25">
      <c r="A927" s="85">
        <v>3997</v>
      </c>
      <c r="B927" s="85" t="s">
        <v>3984</v>
      </c>
      <c r="C927" s="85" t="s">
        <v>698</v>
      </c>
      <c r="D927" s="85" t="s">
        <v>168</v>
      </c>
      <c r="E927" s="85"/>
      <c r="F927" s="85" t="s">
        <v>157</v>
      </c>
      <c r="G927" s="85"/>
      <c r="H927" s="85"/>
      <c r="I927" s="86"/>
      <c r="J927" s="86"/>
      <c r="K927" s="87"/>
      <c r="L927" s="87"/>
      <c r="M927" s="88"/>
      <c r="N927" s="89"/>
      <c r="O927" s="87"/>
      <c r="P927" s="87"/>
      <c r="Q927" s="87"/>
      <c r="R927" s="87"/>
      <c r="S927" s="87">
        <v>1</v>
      </c>
      <c r="T927" s="87">
        <v>1</v>
      </c>
      <c r="U927" s="87"/>
      <c r="V927" s="90" t="s">
        <v>2472</v>
      </c>
    </row>
    <row r="928" ht="15" customHeight="1" spans="1:23" x14ac:dyDescent="0.25">
      <c r="A928" s="85">
        <v>3997</v>
      </c>
      <c r="B928" s="85" t="s">
        <v>3984</v>
      </c>
      <c r="C928" s="85" t="s">
        <v>698</v>
      </c>
      <c r="D928" s="85" t="s">
        <v>168</v>
      </c>
      <c r="E928" s="85"/>
      <c r="F928" s="85" t="s">
        <v>2472</v>
      </c>
      <c r="G928" s="85" t="s">
        <v>288</v>
      </c>
      <c r="H928" s="85" t="s">
        <v>3268</v>
      </c>
      <c r="I928" s="86">
        <v>65</v>
      </c>
      <c r="J928" s="86">
        <v>65</v>
      </c>
      <c r="K928" s="87">
        <v>1</v>
      </c>
      <c r="L928" s="87">
        <v>1</v>
      </c>
      <c r="M928" s="88">
        <v>1</v>
      </c>
      <c r="N928" s="89"/>
      <c r="O928" s="87"/>
      <c r="P928" s="87"/>
      <c r="Q928" s="87"/>
      <c r="R928" s="87"/>
      <c r="S928" s="87">
        <v>1</v>
      </c>
      <c r="T928" s="87"/>
      <c r="U928" s="87">
        <v>0</v>
      </c>
      <c r="V928" s="90" t="s">
        <v>2472</v>
      </c>
    </row>
    <row r="929" ht="15" customHeight="1" spans="1:23" x14ac:dyDescent="0.25">
      <c r="A929" s="85">
        <v>3998</v>
      </c>
      <c r="B929" s="85" t="s">
        <v>3985</v>
      </c>
      <c r="C929" s="85" t="s">
        <v>698</v>
      </c>
      <c r="D929" s="85" t="s">
        <v>1363</v>
      </c>
      <c r="E929" s="85"/>
      <c r="F929" s="85" t="s">
        <v>157</v>
      </c>
      <c r="G929" s="85"/>
      <c r="H929" s="85"/>
      <c r="I929" s="86"/>
      <c r="J929" s="86"/>
      <c r="K929" s="87"/>
      <c r="L929" s="87"/>
      <c r="M929" s="88"/>
      <c r="N929" s="89"/>
      <c r="O929" s="87"/>
      <c r="P929" s="87"/>
      <c r="Q929" s="87"/>
      <c r="R929" s="87"/>
      <c r="S929" s="87">
        <v>1</v>
      </c>
      <c r="T929" s="87">
        <v>1</v>
      </c>
      <c r="U929" s="87"/>
      <c r="V929" s="90" t="s">
        <v>2472</v>
      </c>
    </row>
    <row r="930" ht="15" customHeight="1" spans="1:23" x14ac:dyDescent="0.25">
      <c r="A930" s="85">
        <v>3998</v>
      </c>
      <c r="B930" s="85" t="s">
        <v>3985</v>
      </c>
      <c r="C930" s="85" t="s">
        <v>698</v>
      </c>
      <c r="D930" s="85" t="s">
        <v>1363</v>
      </c>
      <c r="E930" s="85"/>
      <c r="F930" s="85" t="s">
        <v>2472</v>
      </c>
      <c r="G930" s="85" t="s">
        <v>288</v>
      </c>
      <c r="H930" s="85" t="s">
        <v>3268</v>
      </c>
      <c r="I930" s="86">
        <v>65</v>
      </c>
      <c r="J930" s="86">
        <v>65</v>
      </c>
      <c r="K930" s="87">
        <v>1</v>
      </c>
      <c r="L930" s="87">
        <v>1</v>
      </c>
      <c r="M930" s="88">
        <v>1</v>
      </c>
      <c r="N930" s="89"/>
      <c r="O930" s="87"/>
      <c r="P930" s="87"/>
      <c r="Q930" s="87"/>
      <c r="R930" s="87"/>
      <c r="S930" s="87">
        <v>1</v>
      </c>
      <c r="T930" s="87"/>
      <c r="U930" s="87">
        <v>0</v>
      </c>
      <c r="V930" s="90" t="s">
        <v>2472</v>
      </c>
    </row>
    <row r="931" ht="15" customHeight="1" spans="1:23" x14ac:dyDescent="0.25">
      <c r="A931" s="85">
        <v>3999</v>
      </c>
      <c r="B931" s="85" t="s">
        <v>3986</v>
      </c>
      <c r="C931" s="85" t="s">
        <v>698</v>
      </c>
      <c r="D931" s="85" t="s">
        <v>816</v>
      </c>
      <c r="E931" s="85"/>
      <c r="F931" s="85" t="s">
        <v>157</v>
      </c>
      <c r="G931" s="85"/>
      <c r="H931" s="85"/>
      <c r="I931" s="86"/>
      <c r="J931" s="86"/>
      <c r="K931" s="87"/>
      <c r="L931" s="87"/>
      <c r="M931" s="88"/>
      <c r="N931" s="89"/>
      <c r="O931" s="87"/>
      <c r="P931" s="87"/>
      <c r="Q931" s="87"/>
      <c r="R931" s="87"/>
      <c r="S931" s="87">
        <v>1</v>
      </c>
      <c r="T931" s="87">
        <v>1</v>
      </c>
      <c r="U931" s="87"/>
      <c r="V931" s="90" t="s">
        <v>2472</v>
      </c>
    </row>
    <row r="932" ht="15" customHeight="1" spans="1:23" x14ac:dyDescent="0.25">
      <c r="A932" s="85">
        <v>3999</v>
      </c>
      <c r="B932" s="85" t="s">
        <v>3986</v>
      </c>
      <c r="C932" s="85" t="s">
        <v>698</v>
      </c>
      <c r="D932" s="85" t="s">
        <v>816</v>
      </c>
      <c r="E932" s="85"/>
      <c r="F932" s="85" t="s">
        <v>2472</v>
      </c>
      <c r="G932" s="85" t="s">
        <v>288</v>
      </c>
      <c r="H932" s="85" t="s">
        <v>3268</v>
      </c>
      <c r="I932" s="86">
        <v>65</v>
      </c>
      <c r="J932" s="86">
        <v>65</v>
      </c>
      <c r="K932" s="87">
        <v>1</v>
      </c>
      <c r="L932" s="87">
        <v>1</v>
      </c>
      <c r="M932" s="88">
        <v>1</v>
      </c>
      <c r="N932" s="89"/>
      <c r="O932" s="87"/>
      <c r="P932" s="87"/>
      <c r="Q932" s="87"/>
      <c r="R932" s="87"/>
      <c r="S932" s="87">
        <v>1</v>
      </c>
      <c r="T932" s="87"/>
      <c r="U932" s="87">
        <v>0</v>
      </c>
      <c r="V932" s="90" t="s">
        <v>2472</v>
      </c>
    </row>
    <row r="933" ht="15" customHeight="1" spans="1:23" x14ac:dyDescent="0.25">
      <c r="A933" s="85">
        <v>4000</v>
      </c>
      <c r="B933" s="85" t="s">
        <v>3987</v>
      </c>
      <c r="C933" s="85" t="s">
        <v>698</v>
      </c>
      <c r="D933" s="85" t="s">
        <v>916</v>
      </c>
      <c r="E933" s="85"/>
      <c r="F933" s="85" t="s">
        <v>157</v>
      </c>
      <c r="G933" s="85"/>
      <c r="H933" s="85"/>
      <c r="I933" s="86"/>
      <c r="J933" s="86"/>
      <c r="K933" s="87"/>
      <c r="L933" s="87"/>
      <c r="M933" s="88"/>
      <c r="N933" s="89"/>
      <c r="O933" s="87"/>
      <c r="P933" s="87"/>
      <c r="Q933" s="87"/>
      <c r="R933" s="87"/>
      <c r="S933" s="87">
        <v>1</v>
      </c>
      <c r="T933" s="87">
        <v>1</v>
      </c>
      <c r="U933" s="87"/>
      <c r="V933" s="90" t="s">
        <v>2472</v>
      </c>
    </row>
    <row r="934" ht="15" customHeight="1" spans="1:23" x14ac:dyDescent="0.25">
      <c r="A934" s="85">
        <v>4000</v>
      </c>
      <c r="B934" s="85" t="s">
        <v>3987</v>
      </c>
      <c r="C934" s="85" t="s">
        <v>698</v>
      </c>
      <c r="D934" s="85" t="s">
        <v>916</v>
      </c>
      <c r="E934" s="85"/>
      <c r="F934" s="85" t="s">
        <v>2472</v>
      </c>
      <c r="G934" s="85" t="s">
        <v>288</v>
      </c>
      <c r="H934" s="85" t="s">
        <v>3268</v>
      </c>
      <c r="I934" s="86">
        <v>65</v>
      </c>
      <c r="J934" s="86">
        <v>65</v>
      </c>
      <c r="K934" s="87">
        <v>1</v>
      </c>
      <c r="L934" s="87">
        <v>1</v>
      </c>
      <c r="M934" s="88">
        <v>1</v>
      </c>
      <c r="N934" s="89"/>
      <c r="O934" s="87"/>
      <c r="P934" s="87"/>
      <c r="Q934" s="87"/>
      <c r="R934" s="87"/>
      <c r="S934" s="87">
        <v>1</v>
      </c>
      <c r="T934" s="87"/>
      <c r="U934" s="87">
        <v>0</v>
      </c>
      <c r="V934" s="90" t="s">
        <v>2472</v>
      </c>
    </row>
    <row r="935" ht="15" customHeight="1" spans="1:23" x14ac:dyDescent="0.25">
      <c r="A935" s="85">
        <v>4001</v>
      </c>
      <c r="B935" s="85" t="s">
        <v>3988</v>
      </c>
      <c r="C935" s="85" t="s">
        <v>698</v>
      </c>
      <c r="D935" s="85" t="s">
        <v>1698</v>
      </c>
      <c r="E935" s="85"/>
      <c r="F935" s="85" t="s">
        <v>157</v>
      </c>
      <c r="G935" s="85"/>
      <c r="H935" s="85"/>
      <c r="I935" s="86"/>
      <c r="J935" s="86"/>
      <c r="K935" s="87"/>
      <c r="L935" s="87"/>
      <c r="M935" s="88"/>
      <c r="N935" s="89"/>
      <c r="O935" s="87"/>
      <c r="P935" s="87"/>
      <c r="Q935" s="87"/>
      <c r="R935" s="87"/>
      <c r="S935" s="87">
        <v>1</v>
      </c>
      <c r="T935" s="87">
        <v>1</v>
      </c>
      <c r="U935" s="87"/>
      <c r="V935" s="90" t="s">
        <v>2472</v>
      </c>
    </row>
    <row r="936" ht="15" customHeight="1" spans="1:23" x14ac:dyDescent="0.25">
      <c r="A936" s="85">
        <v>4001</v>
      </c>
      <c r="B936" s="85" t="s">
        <v>3988</v>
      </c>
      <c r="C936" s="85" t="s">
        <v>698</v>
      </c>
      <c r="D936" s="85" t="s">
        <v>1698</v>
      </c>
      <c r="E936" s="85"/>
      <c r="F936" s="85" t="s">
        <v>2472</v>
      </c>
      <c r="G936" s="85" t="s">
        <v>288</v>
      </c>
      <c r="H936" s="85" t="s">
        <v>3268</v>
      </c>
      <c r="I936" s="86">
        <v>65</v>
      </c>
      <c r="J936" s="86">
        <v>65</v>
      </c>
      <c r="K936" s="87">
        <v>1</v>
      </c>
      <c r="L936" s="87">
        <v>1</v>
      </c>
      <c r="M936" s="88">
        <v>1</v>
      </c>
      <c r="N936" s="89"/>
      <c r="O936" s="87"/>
      <c r="P936" s="87"/>
      <c r="Q936" s="87"/>
      <c r="R936" s="87"/>
      <c r="S936" s="87">
        <v>1</v>
      </c>
      <c r="T936" s="87"/>
      <c r="U936" s="87">
        <v>0</v>
      </c>
      <c r="V936" s="90" t="s">
        <v>2472</v>
      </c>
    </row>
    <row r="937" ht="15" customHeight="1" spans="1:23" x14ac:dyDescent="0.25">
      <c r="A937" s="85">
        <v>4002</v>
      </c>
      <c r="B937" s="85" t="s">
        <v>3989</v>
      </c>
      <c r="C937" s="85" t="s">
        <v>698</v>
      </c>
      <c r="D937" s="85" t="s">
        <v>1173</v>
      </c>
      <c r="E937" s="85"/>
      <c r="F937" s="85" t="s">
        <v>157</v>
      </c>
      <c r="G937" s="85"/>
      <c r="H937" s="85"/>
      <c r="I937" s="86"/>
      <c r="J937" s="86"/>
      <c r="K937" s="87"/>
      <c r="L937" s="87"/>
      <c r="M937" s="88"/>
      <c r="N937" s="89"/>
      <c r="O937" s="87"/>
      <c r="P937" s="87"/>
      <c r="Q937" s="87"/>
      <c r="R937" s="87"/>
      <c r="S937" s="87">
        <v>1</v>
      </c>
      <c r="T937" s="87">
        <v>1</v>
      </c>
      <c r="U937" s="87"/>
      <c r="V937" s="90" t="s">
        <v>2472</v>
      </c>
    </row>
    <row r="938" ht="15" customHeight="1" spans="1:23" x14ac:dyDescent="0.25">
      <c r="A938" s="85">
        <v>4002</v>
      </c>
      <c r="B938" s="85" t="s">
        <v>3989</v>
      </c>
      <c r="C938" s="85" t="s">
        <v>698</v>
      </c>
      <c r="D938" s="85" t="s">
        <v>1173</v>
      </c>
      <c r="E938" s="85"/>
      <c r="F938" s="85" t="s">
        <v>2472</v>
      </c>
      <c r="G938" s="85" t="s">
        <v>288</v>
      </c>
      <c r="H938" s="85" t="s">
        <v>3268</v>
      </c>
      <c r="I938" s="86">
        <v>65</v>
      </c>
      <c r="J938" s="86">
        <v>65</v>
      </c>
      <c r="K938" s="87">
        <v>1</v>
      </c>
      <c r="L938" s="87">
        <v>1</v>
      </c>
      <c r="M938" s="88">
        <v>1</v>
      </c>
      <c r="N938" s="89"/>
      <c r="O938" s="87"/>
      <c r="P938" s="87"/>
      <c r="Q938" s="87"/>
      <c r="R938" s="87"/>
      <c r="S938" s="87">
        <v>1</v>
      </c>
      <c r="T938" s="87"/>
      <c r="U938" s="87">
        <v>0</v>
      </c>
      <c r="V938" s="90" t="s">
        <v>2472</v>
      </c>
    </row>
    <row r="939" ht="15" customHeight="1" spans="1:23" x14ac:dyDescent="0.25">
      <c r="A939" s="85">
        <v>4003</v>
      </c>
      <c r="B939" s="85" t="s">
        <v>3990</v>
      </c>
      <c r="C939" s="85" t="s">
        <v>698</v>
      </c>
      <c r="D939" s="85" t="s">
        <v>728</v>
      </c>
      <c r="E939" s="85"/>
      <c r="F939" s="85" t="s">
        <v>157</v>
      </c>
      <c r="G939" s="85"/>
      <c r="H939" s="85"/>
      <c r="I939" s="86"/>
      <c r="J939" s="86"/>
      <c r="K939" s="87"/>
      <c r="L939" s="87"/>
      <c r="M939" s="88"/>
      <c r="N939" s="89"/>
      <c r="O939" s="87"/>
      <c r="P939" s="87"/>
      <c r="Q939" s="87"/>
      <c r="R939" s="87"/>
      <c r="S939" s="87">
        <v>0.8</v>
      </c>
      <c r="T939" s="87">
        <v>0.8</v>
      </c>
      <c r="U939" s="87"/>
      <c r="V939" s="90" t="s">
        <v>2472</v>
      </c>
    </row>
    <row r="940" ht="15" customHeight="1" spans="1:23" x14ac:dyDescent="0.25">
      <c r="A940" s="85">
        <v>4003</v>
      </c>
      <c r="B940" s="85" t="s">
        <v>3990</v>
      </c>
      <c r="C940" s="85" t="s">
        <v>698</v>
      </c>
      <c r="D940" s="85" t="s">
        <v>728</v>
      </c>
      <c r="E940" s="85"/>
      <c r="F940" s="85" t="s">
        <v>2472</v>
      </c>
      <c r="G940" s="85" t="s">
        <v>288</v>
      </c>
      <c r="H940" s="85" t="s">
        <v>3268</v>
      </c>
      <c r="I940" s="86">
        <v>65</v>
      </c>
      <c r="J940" s="86">
        <v>65</v>
      </c>
      <c r="K940" s="87">
        <v>1</v>
      </c>
      <c r="L940" s="87">
        <v>0.8</v>
      </c>
      <c r="M940" s="88">
        <v>0.8</v>
      </c>
      <c r="N940" s="89"/>
      <c r="O940" s="87"/>
      <c r="P940" s="87"/>
      <c r="Q940" s="87"/>
      <c r="R940" s="87"/>
      <c r="S940" s="87">
        <v>0.8</v>
      </c>
      <c r="T940" s="87"/>
      <c r="U940" s="87">
        <v>0</v>
      </c>
      <c r="V940" s="90" t="s">
        <v>2472</v>
      </c>
    </row>
    <row r="941" ht="15" customHeight="1" spans="1:23" x14ac:dyDescent="0.25">
      <c r="A941" s="85">
        <v>4004</v>
      </c>
      <c r="B941" s="85" t="s">
        <v>3991</v>
      </c>
      <c r="C941" s="85" t="s">
        <v>698</v>
      </c>
      <c r="D941" s="85" t="s">
        <v>728</v>
      </c>
      <c r="E941" s="85"/>
      <c r="F941" s="85" t="s">
        <v>157</v>
      </c>
      <c r="G941" s="85"/>
      <c r="H941" s="85"/>
      <c r="I941" s="86"/>
      <c r="J941" s="86"/>
      <c r="K941" s="87"/>
      <c r="L941" s="87"/>
      <c r="M941" s="88"/>
      <c r="N941" s="89"/>
      <c r="O941" s="87"/>
      <c r="P941" s="87"/>
      <c r="Q941" s="87"/>
      <c r="R941" s="87"/>
      <c r="S941" s="87">
        <v>0.8</v>
      </c>
      <c r="T941" s="87">
        <v>0.8</v>
      </c>
      <c r="U941" s="87"/>
      <c r="V941" s="90" t="s">
        <v>2472</v>
      </c>
    </row>
    <row r="942" ht="15" customHeight="1" spans="1:23" x14ac:dyDescent="0.25">
      <c r="A942" s="85">
        <v>4004</v>
      </c>
      <c r="B942" s="85" t="s">
        <v>3991</v>
      </c>
      <c r="C942" s="85" t="s">
        <v>698</v>
      </c>
      <c r="D942" s="85" t="s">
        <v>728</v>
      </c>
      <c r="E942" s="85"/>
      <c r="F942" s="85" t="s">
        <v>2472</v>
      </c>
      <c r="G942" s="85" t="s">
        <v>288</v>
      </c>
      <c r="H942" s="85" t="s">
        <v>3268</v>
      </c>
      <c r="I942" s="86">
        <v>65</v>
      </c>
      <c r="J942" s="86">
        <v>65</v>
      </c>
      <c r="K942" s="87">
        <v>1</v>
      </c>
      <c r="L942" s="87">
        <v>0.8</v>
      </c>
      <c r="M942" s="88">
        <v>0.8</v>
      </c>
      <c r="N942" s="89"/>
      <c r="O942" s="87"/>
      <c r="P942" s="87"/>
      <c r="Q942" s="87"/>
      <c r="R942" s="87"/>
      <c r="S942" s="87">
        <v>0.8</v>
      </c>
      <c r="T942" s="87"/>
      <c r="U942" s="87">
        <v>0</v>
      </c>
      <c r="V942" s="90" t="s">
        <v>2472</v>
      </c>
    </row>
    <row r="943" ht="15" customHeight="1" spans="1:23" x14ac:dyDescent="0.25">
      <c r="A943" s="85">
        <v>4005</v>
      </c>
      <c r="B943" s="85" t="s">
        <v>3992</v>
      </c>
      <c r="C943" s="85" t="s">
        <v>698</v>
      </c>
      <c r="D943" s="85" t="s">
        <v>168</v>
      </c>
      <c r="E943" s="85"/>
      <c r="F943" s="85" t="s">
        <v>157</v>
      </c>
      <c r="G943" s="85"/>
      <c r="H943" s="85"/>
      <c r="I943" s="86"/>
      <c r="J943" s="86"/>
      <c r="K943" s="87"/>
      <c r="L943" s="87"/>
      <c r="M943" s="88"/>
      <c r="N943" s="89"/>
      <c r="O943" s="87"/>
      <c r="P943" s="87"/>
      <c r="Q943" s="87"/>
      <c r="R943" s="87"/>
      <c r="S943" s="87">
        <v>1</v>
      </c>
      <c r="T943" s="87">
        <v>1</v>
      </c>
      <c r="U943" s="87"/>
      <c r="V943" s="90" t="s">
        <v>2472</v>
      </c>
    </row>
    <row r="944" ht="15" customHeight="1" spans="1:23" x14ac:dyDescent="0.25">
      <c r="A944" s="85">
        <v>4005</v>
      </c>
      <c r="B944" s="85" t="s">
        <v>3992</v>
      </c>
      <c r="C944" s="85" t="s">
        <v>698</v>
      </c>
      <c r="D944" s="85" t="s">
        <v>168</v>
      </c>
      <c r="E944" s="85"/>
      <c r="F944" s="85" t="s">
        <v>2472</v>
      </c>
      <c r="G944" s="85" t="s">
        <v>288</v>
      </c>
      <c r="H944" s="85" t="s">
        <v>3268</v>
      </c>
      <c r="I944" s="86">
        <v>65</v>
      </c>
      <c r="J944" s="86">
        <v>65</v>
      </c>
      <c r="K944" s="87">
        <v>1</v>
      </c>
      <c r="L944" s="87">
        <v>1</v>
      </c>
      <c r="M944" s="88">
        <v>1</v>
      </c>
      <c r="N944" s="89"/>
      <c r="O944" s="87"/>
      <c r="P944" s="87"/>
      <c r="Q944" s="87"/>
      <c r="R944" s="87"/>
      <c r="S944" s="87">
        <v>1</v>
      </c>
      <c r="T944" s="87"/>
      <c r="U944" s="87">
        <v>0</v>
      </c>
      <c r="V944" s="90" t="s">
        <v>2472</v>
      </c>
    </row>
    <row r="945" ht="15" customHeight="1" spans="1:23" x14ac:dyDescent="0.25">
      <c r="A945" s="85">
        <v>4006</v>
      </c>
      <c r="B945" s="85" t="s">
        <v>3993</v>
      </c>
      <c r="C945" s="85" t="s">
        <v>698</v>
      </c>
      <c r="D945" s="85" t="s">
        <v>1243</v>
      </c>
      <c r="E945" s="85"/>
      <c r="F945" s="85" t="s">
        <v>157</v>
      </c>
      <c r="G945" s="85"/>
      <c r="H945" s="85"/>
      <c r="I945" s="86"/>
      <c r="J945" s="86"/>
      <c r="K945" s="87"/>
      <c r="L945" s="87"/>
      <c r="M945" s="88"/>
      <c r="N945" s="89"/>
      <c r="O945" s="87"/>
      <c r="P945" s="87"/>
      <c r="Q945" s="87"/>
      <c r="R945" s="87"/>
      <c r="S945" s="87">
        <v>1</v>
      </c>
      <c r="T945" s="87">
        <v>1</v>
      </c>
      <c r="U945" s="87"/>
      <c r="V945" s="90" t="s">
        <v>2472</v>
      </c>
    </row>
    <row r="946" ht="15" customHeight="1" spans="1:23" x14ac:dyDescent="0.25">
      <c r="A946" s="85">
        <v>4006</v>
      </c>
      <c r="B946" s="85" t="s">
        <v>3993</v>
      </c>
      <c r="C946" s="85" t="s">
        <v>698</v>
      </c>
      <c r="D946" s="85" t="s">
        <v>1243</v>
      </c>
      <c r="E946" s="85"/>
      <c r="F946" s="85" t="s">
        <v>2472</v>
      </c>
      <c r="G946" s="85" t="s">
        <v>288</v>
      </c>
      <c r="H946" s="85" t="s">
        <v>3268</v>
      </c>
      <c r="I946" s="86">
        <v>65</v>
      </c>
      <c r="J946" s="86">
        <v>65</v>
      </c>
      <c r="K946" s="87">
        <v>1</v>
      </c>
      <c r="L946" s="87">
        <v>1</v>
      </c>
      <c r="M946" s="88">
        <v>1</v>
      </c>
      <c r="N946" s="89"/>
      <c r="O946" s="87"/>
      <c r="P946" s="87"/>
      <c r="Q946" s="87"/>
      <c r="R946" s="87"/>
      <c r="S946" s="87">
        <v>1</v>
      </c>
      <c r="T946" s="87"/>
      <c r="U946" s="87">
        <v>0</v>
      </c>
      <c r="V946" s="90" t="s">
        <v>2472</v>
      </c>
    </row>
    <row r="947" ht="15" customHeight="1" spans="1:23" x14ac:dyDescent="0.25">
      <c r="A947" s="85">
        <v>4007</v>
      </c>
      <c r="B947" s="85" t="s">
        <v>3994</v>
      </c>
      <c r="C947" s="85" t="s">
        <v>698</v>
      </c>
      <c r="D947" s="85" t="s">
        <v>700</v>
      </c>
      <c r="E947" s="85"/>
      <c r="F947" s="85" t="s">
        <v>157</v>
      </c>
      <c r="G947" s="85"/>
      <c r="H947" s="85"/>
      <c r="I947" s="86"/>
      <c r="J947" s="86"/>
      <c r="K947" s="87"/>
      <c r="L947" s="87"/>
      <c r="M947" s="88"/>
      <c r="N947" s="89"/>
      <c r="O947" s="87"/>
      <c r="P947" s="87"/>
      <c r="Q947" s="87"/>
      <c r="R947" s="87"/>
      <c r="S947" s="87">
        <v>1</v>
      </c>
      <c r="T947" s="87">
        <v>1</v>
      </c>
      <c r="U947" s="87"/>
      <c r="V947" s="90" t="s">
        <v>2472</v>
      </c>
    </row>
    <row r="948" ht="15" customHeight="1" spans="1:23" x14ac:dyDescent="0.25">
      <c r="A948" s="85">
        <v>4007</v>
      </c>
      <c r="B948" s="85" t="s">
        <v>3994</v>
      </c>
      <c r="C948" s="85" t="s">
        <v>698</v>
      </c>
      <c r="D948" s="85" t="s">
        <v>700</v>
      </c>
      <c r="E948" s="85"/>
      <c r="F948" s="85" t="s">
        <v>2472</v>
      </c>
      <c r="G948" s="85" t="s">
        <v>288</v>
      </c>
      <c r="H948" s="85" t="s">
        <v>3268</v>
      </c>
      <c r="I948" s="86">
        <v>65</v>
      </c>
      <c r="J948" s="86">
        <v>65</v>
      </c>
      <c r="K948" s="87">
        <v>1</v>
      </c>
      <c r="L948" s="87">
        <v>1</v>
      </c>
      <c r="M948" s="88">
        <v>1</v>
      </c>
      <c r="N948" s="89"/>
      <c r="O948" s="87"/>
      <c r="P948" s="87"/>
      <c r="Q948" s="87"/>
      <c r="R948" s="87"/>
      <c r="S948" s="87">
        <v>1</v>
      </c>
      <c r="T948" s="87"/>
      <c r="U948" s="87">
        <v>0</v>
      </c>
      <c r="V948" s="90" t="s">
        <v>2472</v>
      </c>
    </row>
    <row r="949" ht="15" customHeight="1" spans="1:23" x14ac:dyDescent="0.25">
      <c r="A949" s="85">
        <v>4008</v>
      </c>
      <c r="B949" s="85" t="s">
        <v>3995</v>
      </c>
      <c r="C949" s="85" t="s">
        <v>698</v>
      </c>
      <c r="D949" s="85" t="s">
        <v>974</v>
      </c>
      <c r="E949" s="85"/>
      <c r="F949" s="85" t="s">
        <v>157</v>
      </c>
      <c r="G949" s="85"/>
      <c r="H949" s="85"/>
      <c r="I949" s="86"/>
      <c r="J949" s="86"/>
      <c r="K949" s="87"/>
      <c r="L949" s="87"/>
      <c r="M949" s="88"/>
      <c r="N949" s="89"/>
      <c r="O949" s="87"/>
      <c r="P949" s="87"/>
      <c r="Q949" s="87"/>
      <c r="R949" s="87"/>
      <c r="S949" s="87">
        <v>1</v>
      </c>
      <c r="T949" s="87">
        <v>1</v>
      </c>
      <c r="U949" s="87"/>
      <c r="V949" s="90" t="s">
        <v>2472</v>
      </c>
    </row>
    <row r="950" ht="15" customHeight="1" spans="1:23" x14ac:dyDescent="0.25">
      <c r="A950" s="85">
        <v>4008</v>
      </c>
      <c r="B950" s="85" t="s">
        <v>3995</v>
      </c>
      <c r="C950" s="85" t="s">
        <v>698</v>
      </c>
      <c r="D950" s="85" t="s">
        <v>974</v>
      </c>
      <c r="E950" s="85"/>
      <c r="F950" s="85" t="s">
        <v>2472</v>
      </c>
      <c r="G950" s="85" t="s">
        <v>288</v>
      </c>
      <c r="H950" s="85" t="s">
        <v>3268</v>
      </c>
      <c r="I950" s="86">
        <v>65</v>
      </c>
      <c r="J950" s="86">
        <v>65</v>
      </c>
      <c r="K950" s="87">
        <v>1</v>
      </c>
      <c r="L950" s="87">
        <v>1</v>
      </c>
      <c r="M950" s="88">
        <v>1</v>
      </c>
      <c r="N950" s="89"/>
      <c r="O950" s="87"/>
      <c r="P950" s="87"/>
      <c r="Q950" s="87"/>
      <c r="R950" s="87"/>
      <c r="S950" s="87">
        <v>1</v>
      </c>
      <c r="T950" s="87"/>
      <c r="U950" s="87">
        <v>0</v>
      </c>
      <c r="V950" s="90" t="s">
        <v>2472</v>
      </c>
    </row>
    <row r="951" ht="15" customHeight="1" spans="1:23" x14ac:dyDescent="0.25">
      <c r="A951" s="85">
        <v>4009</v>
      </c>
      <c r="B951" s="85" t="s">
        <v>3996</v>
      </c>
      <c r="C951" s="85" t="s">
        <v>698</v>
      </c>
      <c r="D951" s="85" t="s">
        <v>700</v>
      </c>
      <c r="E951" s="85"/>
      <c r="F951" s="85" t="s">
        <v>157</v>
      </c>
      <c r="G951" s="85"/>
      <c r="H951" s="85"/>
      <c r="I951" s="86"/>
      <c r="J951" s="86"/>
      <c r="K951" s="87"/>
      <c r="L951" s="87"/>
      <c r="M951" s="88"/>
      <c r="N951" s="89"/>
      <c r="O951" s="87"/>
      <c r="P951" s="87"/>
      <c r="Q951" s="87"/>
      <c r="R951" s="87"/>
      <c r="S951" s="87">
        <v>1</v>
      </c>
      <c r="T951" s="87">
        <v>1</v>
      </c>
      <c r="U951" s="87"/>
      <c r="V951" s="90" t="s">
        <v>2472</v>
      </c>
    </row>
    <row r="952" ht="15" customHeight="1" spans="1:23" x14ac:dyDescent="0.25">
      <c r="A952" s="85">
        <v>4009</v>
      </c>
      <c r="B952" s="85" t="s">
        <v>3996</v>
      </c>
      <c r="C952" s="85" t="s">
        <v>698</v>
      </c>
      <c r="D952" s="85" t="s">
        <v>700</v>
      </c>
      <c r="E952" s="85"/>
      <c r="F952" s="85" t="s">
        <v>2472</v>
      </c>
      <c r="G952" s="85" t="s">
        <v>288</v>
      </c>
      <c r="H952" s="85" t="s">
        <v>3268</v>
      </c>
      <c r="I952" s="86">
        <v>65</v>
      </c>
      <c r="J952" s="86">
        <v>65</v>
      </c>
      <c r="K952" s="87">
        <v>1</v>
      </c>
      <c r="L952" s="87">
        <v>1</v>
      </c>
      <c r="M952" s="88">
        <v>1</v>
      </c>
      <c r="N952" s="89"/>
      <c r="O952" s="87"/>
      <c r="P952" s="87"/>
      <c r="Q952" s="87"/>
      <c r="R952" s="87"/>
      <c r="S952" s="87">
        <v>1</v>
      </c>
      <c r="T952" s="87"/>
      <c r="U952" s="87">
        <v>0</v>
      </c>
      <c r="V952" s="90" t="s">
        <v>2472</v>
      </c>
    </row>
    <row r="953" ht="15" customHeight="1" spans="1:23" x14ac:dyDescent="0.25">
      <c r="A953" s="85">
        <v>4010</v>
      </c>
      <c r="B953" s="85" t="s">
        <v>3997</v>
      </c>
      <c r="C953" s="85" t="s">
        <v>698</v>
      </c>
      <c r="D953" s="85" t="s">
        <v>1132</v>
      </c>
      <c r="E953" s="85"/>
      <c r="F953" s="85" t="s">
        <v>157</v>
      </c>
      <c r="G953" s="85"/>
      <c r="H953" s="85"/>
      <c r="I953" s="86"/>
      <c r="J953" s="86"/>
      <c r="K953" s="87"/>
      <c r="L953" s="87"/>
      <c r="M953" s="88"/>
      <c r="N953" s="89"/>
      <c r="O953" s="87"/>
      <c r="P953" s="87"/>
      <c r="Q953" s="87"/>
      <c r="R953" s="87"/>
      <c r="S953" s="87">
        <v>1</v>
      </c>
      <c r="T953" s="87">
        <v>1</v>
      </c>
      <c r="U953" s="87"/>
      <c r="V953" s="90" t="s">
        <v>2472</v>
      </c>
    </row>
    <row r="954" ht="15" customHeight="1" spans="1:23" x14ac:dyDescent="0.25">
      <c r="A954" s="85">
        <v>4010</v>
      </c>
      <c r="B954" s="85" t="s">
        <v>3997</v>
      </c>
      <c r="C954" s="85" t="s">
        <v>698</v>
      </c>
      <c r="D954" s="85" t="s">
        <v>1132</v>
      </c>
      <c r="E954" s="85"/>
      <c r="F954" s="85" t="s">
        <v>2472</v>
      </c>
      <c r="G954" s="85" t="s">
        <v>288</v>
      </c>
      <c r="H954" s="85" t="s">
        <v>3268</v>
      </c>
      <c r="I954" s="86">
        <v>65</v>
      </c>
      <c r="J954" s="86">
        <v>65</v>
      </c>
      <c r="K954" s="87">
        <v>1</v>
      </c>
      <c r="L954" s="87">
        <v>1</v>
      </c>
      <c r="M954" s="88">
        <v>1</v>
      </c>
      <c r="N954" s="89"/>
      <c r="O954" s="87"/>
      <c r="P954" s="87"/>
      <c r="Q954" s="87"/>
      <c r="R954" s="87"/>
      <c r="S954" s="87">
        <v>1</v>
      </c>
      <c r="T954" s="87"/>
      <c r="U954" s="87">
        <v>0</v>
      </c>
      <c r="V954" s="90" t="s">
        <v>2472</v>
      </c>
    </row>
    <row r="955" ht="15" customHeight="1" spans="1:23" x14ac:dyDescent="0.25">
      <c r="A955" s="85">
        <v>4011</v>
      </c>
      <c r="B955" s="85" t="s">
        <v>3998</v>
      </c>
      <c r="C955" s="85" t="s">
        <v>698</v>
      </c>
      <c r="D955" s="85" t="s">
        <v>263</v>
      </c>
      <c r="E955" s="85"/>
      <c r="F955" s="85" t="s">
        <v>157</v>
      </c>
      <c r="G955" s="85"/>
      <c r="H955" s="85"/>
      <c r="I955" s="86"/>
      <c r="J955" s="86"/>
      <c r="K955" s="87"/>
      <c r="L955" s="87"/>
      <c r="M955" s="88"/>
      <c r="N955" s="89"/>
      <c r="O955" s="87"/>
      <c r="P955" s="87"/>
      <c r="Q955" s="87"/>
      <c r="R955" s="87"/>
      <c r="S955" s="87">
        <v>1</v>
      </c>
      <c r="T955" s="87">
        <v>1</v>
      </c>
      <c r="U955" s="87"/>
      <c r="V955" s="90" t="s">
        <v>2472</v>
      </c>
    </row>
    <row r="956" ht="15" customHeight="1" spans="1:23" x14ac:dyDescent="0.25">
      <c r="A956" s="85">
        <v>4011</v>
      </c>
      <c r="B956" s="85" t="s">
        <v>3998</v>
      </c>
      <c r="C956" s="85" t="s">
        <v>698</v>
      </c>
      <c r="D956" s="85" t="s">
        <v>263</v>
      </c>
      <c r="E956" s="85"/>
      <c r="F956" s="85" t="s">
        <v>2472</v>
      </c>
      <c r="G956" s="85" t="s">
        <v>288</v>
      </c>
      <c r="H956" s="85" t="s">
        <v>3268</v>
      </c>
      <c r="I956" s="86">
        <v>65</v>
      </c>
      <c r="J956" s="86">
        <v>65</v>
      </c>
      <c r="K956" s="87">
        <v>1</v>
      </c>
      <c r="L956" s="87">
        <v>1</v>
      </c>
      <c r="M956" s="88">
        <v>1</v>
      </c>
      <c r="N956" s="89"/>
      <c r="O956" s="87"/>
      <c r="P956" s="87"/>
      <c r="Q956" s="87"/>
      <c r="R956" s="87"/>
      <c r="S956" s="87">
        <v>1</v>
      </c>
      <c r="T956" s="87"/>
      <c r="U956" s="87">
        <v>0</v>
      </c>
      <c r="V956" s="90" t="s">
        <v>2472</v>
      </c>
    </row>
    <row r="957" ht="15" customHeight="1" spans="1:23" x14ac:dyDescent="0.25">
      <c r="A957" s="85">
        <v>4012</v>
      </c>
      <c r="B957" s="85" t="s">
        <v>3999</v>
      </c>
      <c r="C957" s="85" t="s">
        <v>698</v>
      </c>
      <c r="D957" s="85" t="s">
        <v>700</v>
      </c>
      <c r="E957" s="85"/>
      <c r="F957" s="85" t="s">
        <v>157</v>
      </c>
      <c r="G957" s="85"/>
      <c r="H957" s="85"/>
      <c r="I957" s="86"/>
      <c r="J957" s="86"/>
      <c r="K957" s="87"/>
      <c r="L957" s="87"/>
      <c r="M957" s="88"/>
      <c r="N957" s="89"/>
      <c r="O957" s="87"/>
      <c r="P957" s="87"/>
      <c r="Q957" s="87"/>
      <c r="R957" s="87"/>
      <c r="S957" s="87">
        <v>1</v>
      </c>
      <c r="T957" s="87">
        <v>1</v>
      </c>
      <c r="U957" s="87"/>
      <c r="V957" s="90" t="s">
        <v>2472</v>
      </c>
    </row>
    <row r="958" ht="15" customHeight="1" spans="1:23" x14ac:dyDescent="0.25">
      <c r="A958" s="85">
        <v>4012</v>
      </c>
      <c r="B958" s="85" t="s">
        <v>3999</v>
      </c>
      <c r="C958" s="85" t="s">
        <v>698</v>
      </c>
      <c r="D958" s="85" t="s">
        <v>700</v>
      </c>
      <c r="E958" s="85"/>
      <c r="F958" s="85" t="s">
        <v>2472</v>
      </c>
      <c r="G958" s="85" t="s">
        <v>288</v>
      </c>
      <c r="H958" s="85" t="s">
        <v>3268</v>
      </c>
      <c r="I958" s="86">
        <v>65</v>
      </c>
      <c r="J958" s="86">
        <v>65</v>
      </c>
      <c r="K958" s="87">
        <v>1</v>
      </c>
      <c r="L958" s="87">
        <v>1</v>
      </c>
      <c r="M958" s="88">
        <v>1</v>
      </c>
      <c r="N958" s="89"/>
      <c r="O958" s="87"/>
      <c r="P958" s="87"/>
      <c r="Q958" s="87"/>
      <c r="R958" s="87"/>
      <c r="S958" s="87">
        <v>1</v>
      </c>
      <c r="T958" s="87"/>
      <c r="U958" s="87">
        <v>0</v>
      </c>
      <c r="V958" s="90" t="s">
        <v>2472</v>
      </c>
    </row>
    <row r="959" ht="15" customHeight="1" spans="1:23" x14ac:dyDescent="0.25">
      <c r="A959" s="85">
        <v>4013</v>
      </c>
      <c r="B959" s="85" t="s">
        <v>4000</v>
      </c>
      <c r="C959" s="85" t="s">
        <v>698</v>
      </c>
      <c r="D959" s="85" t="s">
        <v>1155</v>
      </c>
      <c r="E959" s="85"/>
      <c r="F959" s="85" t="s">
        <v>157</v>
      </c>
      <c r="G959" s="85"/>
      <c r="H959" s="85"/>
      <c r="I959" s="86"/>
      <c r="J959" s="86"/>
      <c r="K959" s="87"/>
      <c r="L959" s="87"/>
      <c r="M959" s="88"/>
      <c r="N959" s="89"/>
      <c r="O959" s="87"/>
      <c r="P959" s="87"/>
      <c r="Q959" s="87"/>
      <c r="R959" s="87"/>
      <c r="S959" s="87">
        <v>0.8</v>
      </c>
      <c r="T959" s="87">
        <v>0.8</v>
      </c>
      <c r="U959" s="87"/>
      <c r="V959" s="90" t="s">
        <v>2472</v>
      </c>
    </row>
    <row r="960" ht="15" customHeight="1" spans="1:23" x14ac:dyDescent="0.25">
      <c r="A960" s="85">
        <v>4013</v>
      </c>
      <c r="B960" s="85" t="s">
        <v>4000</v>
      </c>
      <c r="C960" s="85" t="s">
        <v>698</v>
      </c>
      <c r="D960" s="85" t="s">
        <v>1155</v>
      </c>
      <c r="E960" s="85"/>
      <c r="F960" s="85" t="s">
        <v>2472</v>
      </c>
      <c r="G960" s="85" t="s">
        <v>288</v>
      </c>
      <c r="H960" s="85" t="s">
        <v>3268</v>
      </c>
      <c r="I960" s="86">
        <v>65</v>
      </c>
      <c r="J960" s="86">
        <v>65</v>
      </c>
      <c r="K960" s="87">
        <v>1</v>
      </c>
      <c r="L960" s="87">
        <v>0.8</v>
      </c>
      <c r="M960" s="88">
        <v>0.8</v>
      </c>
      <c r="N960" s="89"/>
      <c r="O960" s="87"/>
      <c r="P960" s="87"/>
      <c r="Q960" s="87"/>
      <c r="R960" s="87"/>
      <c r="S960" s="87">
        <v>0.8</v>
      </c>
      <c r="T960" s="87"/>
      <c r="U960" s="87">
        <v>0</v>
      </c>
      <c r="V960" s="90" t="s">
        <v>2472</v>
      </c>
    </row>
    <row r="961" ht="15" customHeight="1" spans="1:23" x14ac:dyDescent="0.25">
      <c r="A961" s="85">
        <v>4014</v>
      </c>
      <c r="B961" s="85" t="s">
        <v>4001</v>
      </c>
      <c r="C961" s="85" t="s">
        <v>698</v>
      </c>
      <c r="D961" s="85" t="s">
        <v>717</v>
      </c>
      <c r="E961" s="85"/>
      <c r="F961" s="85" t="s">
        <v>157</v>
      </c>
      <c r="G961" s="85"/>
      <c r="H961" s="85"/>
      <c r="I961" s="86"/>
      <c r="J961" s="86"/>
      <c r="K961" s="87"/>
      <c r="L961" s="87"/>
      <c r="M961" s="88"/>
      <c r="N961" s="89"/>
      <c r="O961" s="87"/>
      <c r="P961" s="87"/>
      <c r="Q961" s="87"/>
      <c r="R961" s="87"/>
      <c r="S961" s="87">
        <v>1</v>
      </c>
      <c r="T961" s="87">
        <v>1</v>
      </c>
      <c r="U961" s="87"/>
      <c r="V961" s="90" t="s">
        <v>2472</v>
      </c>
    </row>
    <row r="962" ht="15" customHeight="1" spans="1:23" x14ac:dyDescent="0.25">
      <c r="A962" s="85">
        <v>4014</v>
      </c>
      <c r="B962" s="85" t="s">
        <v>4001</v>
      </c>
      <c r="C962" s="85" t="s">
        <v>698</v>
      </c>
      <c r="D962" s="85" t="s">
        <v>717</v>
      </c>
      <c r="E962" s="85"/>
      <c r="F962" s="85" t="s">
        <v>2472</v>
      </c>
      <c r="G962" s="85" t="s">
        <v>288</v>
      </c>
      <c r="H962" s="85" t="s">
        <v>3268</v>
      </c>
      <c r="I962" s="86">
        <v>65</v>
      </c>
      <c r="J962" s="86">
        <v>65</v>
      </c>
      <c r="K962" s="87">
        <v>1</v>
      </c>
      <c r="L962" s="87">
        <v>1</v>
      </c>
      <c r="M962" s="88">
        <v>1</v>
      </c>
      <c r="N962" s="89"/>
      <c r="O962" s="87"/>
      <c r="P962" s="87"/>
      <c r="Q962" s="87"/>
      <c r="R962" s="87"/>
      <c r="S962" s="87">
        <v>1</v>
      </c>
      <c r="T962" s="87"/>
      <c r="U962" s="87">
        <v>0</v>
      </c>
      <c r="V962" s="90" t="s">
        <v>2472</v>
      </c>
    </row>
    <row r="963" ht="15" customHeight="1" spans="1:23" x14ac:dyDescent="0.25">
      <c r="A963" s="85">
        <v>4015</v>
      </c>
      <c r="B963" s="85" t="s">
        <v>4002</v>
      </c>
      <c r="C963" s="85" t="s">
        <v>698</v>
      </c>
      <c r="D963" s="85" t="s">
        <v>763</v>
      </c>
      <c r="E963" s="85"/>
      <c r="F963" s="85" t="s">
        <v>157</v>
      </c>
      <c r="G963" s="85"/>
      <c r="H963" s="85"/>
      <c r="I963" s="86"/>
      <c r="J963" s="86"/>
      <c r="K963" s="87"/>
      <c r="L963" s="87"/>
      <c r="M963" s="88"/>
      <c r="N963" s="89"/>
      <c r="O963" s="87"/>
      <c r="P963" s="87"/>
      <c r="Q963" s="87"/>
      <c r="R963" s="87"/>
      <c r="S963" s="87">
        <v>1</v>
      </c>
      <c r="T963" s="87">
        <v>1</v>
      </c>
      <c r="U963" s="87"/>
      <c r="V963" s="90" t="s">
        <v>2472</v>
      </c>
    </row>
    <row r="964" ht="15" customHeight="1" spans="1:23" x14ac:dyDescent="0.25">
      <c r="A964" s="85">
        <v>4015</v>
      </c>
      <c r="B964" s="85" t="s">
        <v>4002</v>
      </c>
      <c r="C964" s="85" t="s">
        <v>698</v>
      </c>
      <c r="D964" s="85" t="s">
        <v>763</v>
      </c>
      <c r="E964" s="85"/>
      <c r="F964" s="85" t="s">
        <v>2472</v>
      </c>
      <c r="G964" s="85" t="s">
        <v>288</v>
      </c>
      <c r="H964" s="85" t="s">
        <v>3268</v>
      </c>
      <c r="I964" s="86">
        <v>65</v>
      </c>
      <c r="J964" s="86">
        <v>65</v>
      </c>
      <c r="K964" s="87">
        <v>1</v>
      </c>
      <c r="L964" s="87">
        <v>1</v>
      </c>
      <c r="M964" s="88">
        <v>1</v>
      </c>
      <c r="N964" s="89"/>
      <c r="O964" s="87"/>
      <c r="P964" s="87"/>
      <c r="Q964" s="87"/>
      <c r="R964" s="87"/>
      <c r="S964" s="87">
        <v>1</v>
      </c>
      <c r="T964" s="87"/>
      <c r="U964" s="87">
        <v>0</v>
      </c>
      <c r="V964" s="90" t="s">
        <v>2472</v>
      </c>
    </row>
    <row r="965" ht="15" customHeight="1" spans="1:23" x14ac:dyDescent="0.25">
      <c r="A965" s="85">
        <v>4016</v>
      </c>
      <c r="B965" s="85" t="s">
        <v>4003</v>
      </c>
      <c r="C965" s="85" t="s">
        <v>698</v>
      </c>
      <c r="D965" s="85" t="s">
        <v>1423</v>
      </c>
      <c r="E965" s="85"/>
      <c r="F965" s="85" t="s">
        <v>157</v>
      </c>
      <c r="G965" s="85"/>
      <c r="H965" s="85"/>
      <c r="I965" s="86"/>
      <c r="J965" s="86"/>
      <c r="K965" s="87"/>
      <c r="L965" s="87"/>
      <c r="M965" s="88"/>
      <c r="N965" s="89"/>
      <c r="O965" s="87"/>
      <c r="P965" s="87"/>
      <c r="Q965" s="87"/>
      <c r="R965" s="87"/>
      <c r="S965" s="87">
        <v>1</v>
      </c>
      <c r="T965" s="87">
        <v>1</v>
      </c>
      <c r="U965" s="87"/>
      <c r="V965" s="90" t="s">
        <v>2472</v>
      </c>
    </row>
    <row r="966" ht="15" customHeight="1" spans="1:23" x14ac:dyDescent="0.25">
      <c r="A966" s="85">
        <v>4016</v>
      </c>
      <c r="B966" s="85" t="s">
        <v>4003</v>
      </c>
      <c r="C966" s="85" t="s">
        <v>698</v>
      </c>
      <c r="D966" s="85" t="s">
        <v>1423</v>
      </c>
      <c r="E966" s="85"/>
      <c r="F966" s="85" t="s">
        <v>2472</v>
      </c>
      <c r="G966" s="85" t="s">
        <v>288</v>
      </c>
      <c r="H966" s="85" t="s">
        <v>3268</v>
      </c>
      <c r="I966" s="86">
        <v>65</v>
      </c>
      <c r="J966" s="86">
        <v>65</v>
      </c>
      <c r="K966" s="87">
        <v>1</v>
      </c>
      <c r="L966" s="87">
        <v>1</v>
      </c>
      <c r="M966" s="88">
        <v>1</v>
      </c>
      <c r="N966" s="89"/>
      <c r="O966" s="87"/>
      <c r="P966" s="87"/>
      <c r="Q966" s="87"/>
      <c r="R966" s="87"/>
      <c r="S966" s="87">
        <v>1</v>
      </c>
      <c r="T966" s="87"/>
      <c r="U966" s="87">
        <v>0</v>
      </c>
      <c r="V966" s="90" t="s">
        <v>2472</v>
      </c>
    </row>
    <row r="967" ht="15" customHeight="1" spans="1:23" x14ac:dyDescent="0.25">
      <c r="A967" s="85">
        <v>4017</v>
      </c>
      <c r="B967" s="85" t="s">
        <v>4004</v>
      </c>
      <c r="C967" s="85" t="s">
        <v>698</v>
      </c>
      <c r="D967" s="85" t="s">
        <v>733</v>
      </c>
      <c r="E967" s="85"/>
      <c r="F967" s="85" t="s">
        <v>157</v>
      </c>
      <c r="G967" s="85"/>
      <c r="H967" s="85"/>
      <c r="I967" s="86"/>
      <c r="J967" s="86"/>
      <c r="K967" s="87"/>
      <c r="L967" s="87"/>
      <c r="M967" s="88"/>
      <c r="N967" s="89"/>
      <c r="O967" s="87"/>
      <c r="P967" s="87"/>
      <c r="Q967" s="87"/>
      <c r="R967" s="87"/>
      <c r="S967" s="87">
        <v>1</v>
      </c>
      <c r="T967" s="87">
        <v>1</v>
      </c>
      <c r="U967" s="87"/>
      <c r="V967" s="90" t="s">
        <v>2472</v>
      </c>
    </row>
    <row r="968" ht="15" customHeight="1" spans="1:23" x14ac:dyDescent="0.25">
      <c r="A968" s="85">
        <v>4017</v>
      </c>
      <c r="B968" s="85" t="s">
        <v>4004</v>
      </c>
      <c r="C968" s="85" t="s">
        <v>698</v>
      </c>
      <c r="D968" s="85" t="s">
        <v>733</v>
      </c>
      <c r="E968" s="85"/>
      <c r="F968" s="85" t="s">
        <v>2472</v>
      </c>
      <c r="G968" s="85" t="s">
        <v>288</v>
      </c>
      <c r="H968" s="85" t="s">
        <v>3268</v>
      </c>
      <c r="I968" s="86">
        <v>65</v>
      </c>
      <c r="J968" s="86">
        <v>65</v>
      </c>
      <c r="K968" s="87">
        <v>1</v>
      </c>
      <c r="L968" s="87">
        <v>1</v>
      </c>
      <c r="M968" s="88">
        <v>1</v>
      </c>
      <c r="N968" s="89"/>
      <c r="O968" s="87"/>
      <c r="P968" s="87"/>
      <c r="Q968" s="87"/>
      <c r="R968" s="87"/>
      <c r="S968" s="87">
        <v>1</v>
      </c>
      <c r="T968" s="87"/>
      <c r="U968" s="87">
        <v>0</v>
      </c>
      <c r="V968" s="90" t="s">
        <v>2472</v>
      </c>
    </row>
    <row r="969" ht="15" customHeight="1" spans="1:23" x14ac:dyDescent="0.25">
      <c r="A969" s="85">
        <v>4018</v>
      </c>
      <c r="B969" s="85" t="s">
        <v>4005</v>
      </c>
      <c r="C969" s="85" t="s">
        <v>698</v>
      </c>
      <c r="D969" s="85" t="s">
        <v>700</v>
      </c>
      <c r="E969" s="85"/>
      <c r="F969" s="85" t="s">
        <v>157</v>
      </c>
      <c r="G969" s="85"/>
      <c r="H969" s="85"/>
      <c r="I969" s="86"/>
      <c r="J969" s="86"/>
      <c r="K969" s="87"/>
      <c r="L969" s="87"/>
      <c r="M969" s="88"/>
      <c r="N969" s="89"/>
      <c r="O969" s="87"/>
      <c r="P969" s="87"/>
      <c r="Q969" s="87"/>
      <c r="R969" s="87"/>
      <c r="S969" s="87">
        <v>1</v>
      </c>
      <c r="T969" s="87">
        <v>1</v>
      </c>
      <c r="U969" s="87">
        <v>0</v>
      </c>
      <c r="V969" s="90" t="s">
        <v>2472</v>
      </c>
    </row>
    <row r="970" ht="15" customHeight="1" spans="1:23" x14ac:dyDescent="0.25">
      <c r="A970" s="85">
        <v>4018</v>
      </c>
      <c r="B970" s="85" t="s">
        <v>4005</v>
      </c>
      <c r="C970" s="85" t="s">
        <v>698</v>
      </c>
      <c r="D970" s="85" t="s">
        <v>700</v>
      </c>
      <c r="E970" s="85"/>
      <c r="F970" s="85" t="s">
        <v>2472</v>
      </c>
      <c r="G970" s="85" t="s">
        <v>288</v>
      </c>
      <c r="H970" s="85" t="s">
        <v>3268</v>
      </c>
      <c r="I970" s="86">
        <v>65</v>
      </c>
      <c r="J970" s="86">
        <v>65</v>
      </c>
      <c r="K970" s="87">
        <v>1</v>
      </c>
      <c r="L970" s="87">
        <v>1</v>
      </c>
      <c r="M970" s="88">
        <v>1</v>
      </c>
      <c r="N970" s="89"/>
      <c r="O970" s="87"/>
      <c r="P970" s="87"/>
      <c r="Q970" s="87"/>
      <c r="R970" s="87"/>
      <c r="S970" s="87">
        <v>1</v>
      </c>
      <c r="T970" s="87"/>
      <c r="U970" s="87">
        <v>0</v>
      </c>
      <c r="V970" s="90" t="s">
        <v>3577</v>
      </c>
    </row>
    <row r="971" ht="15" customHeight="1" spans="1:23" x14ac:dyDescent="0.25">
      <c r="A971" s="85">
        <v>4019</v>
      </c>
      <c r="B971" s="85" t="s">
        <v>4006</v>
      </c>
      <c r="C971" s="85" t="s">
        <v>698</v>
      </c>
      <c r="D971" s="85" t="s">
        <v>782</v>
      </c>
      <c r="E971" s="85"/>
      <c r="F971" s="85" t="s">
        <v>157</v>
      </c>
      <c r="G971" s="85"/>
      <c r="H971" s="85"/>
      <c r="I971" s="86"/>
      <c r="J971" s="86"/>
      <c r="K971" s="87"/>
      <c r="L971" s="87"/>
      <c r="M971" s="88"/>
      <c r="N971" s="89"/>
      <c r="O971" s="87"/>
      <c r="P971" s="87"/>
      <c r="Q971" s="87"/>
      <c r="R971" s="87"/>
      <c r="S971" s="87">
        <v>1</v>
      </c>
      <c r="T971" s="87">
        <v>1</v>
      </c>
      <c r="U971" s="87">
        <v>0</v>
      </c>
      <c r="V971" s="90" t="s">
        <v>2472</v>
      </c>
    </row>
    <row r="972" ht="15" customHeight="1" spans="1:23" x14ac:dyDescent="0.25">
      <c r="A972" s="85">
        <v>4019</v>
      </c>
      <c r="B972" s="85" t="s">
        <v>4006</v>
      </c>
      <c r="C972" s="85" t="s">
        <v>698</v>
      </c>
      <c r="D972" s="85" t="s">
        <v>782</v>
      </c>
      <c r="E972" s="85"/>
      <c r="F972" s="85" t="s">
        <v>2472</v>
      </c>
      <c r="G972" s="85" t="s">
        <v>288</v>
      </c>
      <c r="H972" s="85" t="s">
        <v>3268</v>
      </c>
      <c r="I972" s="86">
        <v>65</v>
      </c>
      <c r="J972" s="86">
        <v>65</v>
      </c>
      <c r="K972" s="87">
        <v>1</v>
      </c>
      <c r="L972" s="87">
        <v>1</v>
      </c>
      <c r="M972" s="88">
        <v>1</v>
      </c>
      <c r="N972" s="89"/>
      <c r="O972" s="87"/>
      <c r="P972" s="87"/>
      <c r="Q972" s="87"/>
      <c r="R972" s="87"/>
      <c r="S972" s="87">
        <v>1</v>
      </c>
      <c r="T972" s="87"/>
      <c r="U972" s="87">
        <v>0</v>
      </c>
      <c r="V972" s="90" t="s">
        <v>3577</v>
      </c>
    </row>
    <row r="973" ht="15" customHeight="1" spans="1:23" x14ac:dyDescent="0.25">
      <c r="A973" s="85">
        <v>4020</v>
      </c>
      <c r="B973" s="85" t="s">
        <v>4007</v>
      </c>
      <c r="C973" s="85" t="s">
        <v>698</v>
      </c>
      <c r="D973" s="85" t="s">
        <v>739</v>
      </c>
      <c r="E973" s="85"/>
      <c r="F973" s="85" t="s">
        <v>157</v>
      </c>
      <c r="G973" s="85"/>
      <c r="H973" s="85"/>
      <c r="I973" s="86"/>
      <c r="J973" s="86"/>
      <c r="K973" s="87"/>
      <c r="L973" s="87"/>
      <c r="M973" s="88"/>
      <c r="N973" s="89"/>
      <c r="O973" s="87"/>
      <c r="P973" s="87"/>
      <c r="Q973" s="87"/>
      <c r="R973" s="87"/>
      <c r="S973" s="87">
        <v>0.8</v>
      </c>
      <c r="T973" s="87">
        <v>0.8</v>
      </c>
      <c r="U973" s="87"/>
      <c r="V973" s="90" t="s">
        <v>2472</v>
      </c>
    </row>
    <row r="974" ht="15" customHeight="1" spans="1:23" x14ac:dyDescent="0.25">
      <c r="A974" s="85">
        <v>4020</v>
      </c>
      <c r="B974" s="85" t="s">
        <v>4007</v>
      </c>
      <c r="C974" s="85" t="s">
        <v>698</v>
      </c>
      <c r="D974" s="85" t="s">
        <v>739</v>
      </c>
      <c r="E974" s="85"/>
      <c r="F974" s="85" t="s">
        <v>2472</v>
      </c>
      <c r="G974" s="85" t="s">
        <v>288</v>
      </c>
      <c r="H974" s="85" t="s">
        <v>3268</v>
      </c>
      <c r="I974" s="86">
        <v>65</v>
      </c>
      <c r="J974" s="86">
        <v>65</v>
      </c>
      <c r="K974" s="87">
        <v>1</v>
      </c>
      <c r="L974" s="87">
        <v>0.8</v>
      </c>
      <c r="M974" s="88">
        <v>0.8</v>
      </c>
      <c r="N974" s="89"/>
      <c r="O974" s="87"/>
      <c r="P974" s="87"/>
      <c r="Q974" s="87"/>
      <c r="R974" s="87"/>
      <c r="S974" s="87">
        <v>0.8</v>
      </c>
      <c r="T974" s="87"/>
      <c r="U974" s="87">
        <v>0</v>
      </c>
      <c r="V974" s="90" t="s">
        <v>2472</v>
      </c>
    </row>
    <row r="975" ht="15" customHeight="1" spans="1:23" x14ac:dyDescent="0.25">
      <c r="A975" s="85">
        <v>4021</v>
      </c>
      <c r="B975" s="85" t="s">
        <v>4008</v>
      </c>
      <c r="C975" s="85" t="s">
        <v>698</v>
      </c>
      <c r="D975" s="85" t="s">
        <v>2137</v>
      </c>
      <c r="E975" s="85"/>
      <c r="F975" s="85" t="s">
        <v>157</v>
      </c>
      <c r="G975" s="85"/>
      <c r="H975" s="85"/>
      <c r="I975" s="86"/>
      <c r="J975" s="86"/>
      <c r="K975" s="87"/>
      <c r="L975" s="87"/>
      <c r="M975" s="88"/>
      <c r="N975" s="89"/>
      <c r="O975" s="87"/>
      <c r="P975" s="87"/>
      <c r="Q975" s="87"/>
      <c r="R975" s="87"/>
      <c r="S975" s="87">
        <v>1</v>
      </c>
      <c r="T975" s="87">
        <v>1</v>
      </c>
      <c r="U975" s="87"/>
      <c r="V975" s="90" t="s">
        <v>2472</v>
      </c>
    </row>
    <row r="976" ht="15" customHeight="1" spans="1:23" x14ac:dyDescent="0.25">
      <c r="A976" s="85">
        <v>4021</v>
      </c>
      <c r="B976" s="85" t="s">
        <v>4008</v>
      </c>
      <c r="C976" s="85" t="s">
        <v>698</v>
      </c>
      <c r="D976" s="85" t="s">
        <v>2137</v>
      </c>
      <c r="E976" s="85"/>
      <c r="F976" s="85" t="s">
        <v>2472</v>
      </c>
      <c r="G976" s="85" t="s">
        <v>288</v>
      </c>
      <c r="H976" s="85" t="s">
        <v>3268</v>
      </c>
      <c r="I976" s="86">
        <v>65</v>
      </c>
      <c r="J976" s="86">
        <v>65</v>
      </c>
      <c r="K976" s="87">
        <v>1</v>
      </c>
      <c r="L976" s="87">
        <v>1</v>
      </c>
      <c r="M976" s="88">
        <v>1</v>
      </c>
      <c r="N976" s="89"/>
      <c r="O976" s="87"/>
      <c r="P976" s="87"/>
      <c r="Q976" s="87"/>
      <c r="R976" s="87"/>
      <c r="S976" s="87">
        <v>1</v>
      </c>
      <c r="T976" s="87"/>
      <c r="U976" s="87">
        <v>0</v>
      </c>
      <c r="V976" s="90" t="s">
        <v>2472</v>
      </c>
    </row>
    <row r="977" ht="15" customHeight="1" spans="1:23" x14ac:dyDescent="0.25">
      <c r="A977" s="85">
        <v>4023</v>
      </c>
      <c r="B977" s="85" t="s">
        <v>4009</v>
      </c>
      <c r="C977" s="85" t="s">
        <v>698</v>
      </c>
      <c r="D977" s="85" t="s">
        <v>796</v>
      </c>
      <c r="E977" s="85"/>
      <c r="F977" s="85" t="s">
        <v>157</v>
      </c>
      <c r="G977" s="85"/>
      <c r="H977" s="85"/>
      <c r="I977" s="86"/>
      <c r="J977" s="86"/>
      <c r="K977" s="87"/>
      <c r="L977" s="87"/>
      <c r="M977" s="88"/>
      <c r="N977" s="89"/>
      <c r="O977" s="87"/>
      <c r="P977" s="87"/>
      <c r="Q977" s="87"/>
      <c r="R977" s="87"/>
      <c r="S977" s="87">
        <v>0.9</v>
      </c>
      <c r="T977" s="87">
        <v>0.9</v>
      </c>
      <c r="U977" s="87"/>
      <c r="V977" s="90" t="s">
        <v>2472</v>
      </c>
    </row>
    <row r="978" ht="15" customHeight="1" spans="1:23" x14ac:dyDescent="0.25">
      <c r="A978" s="85">
        <v>4023</v>
      </c>
      <c r="B978" s="85" t="s">
        <v>4009</v>
      </c>
      <c r="C978" s="85" t="s">
        <v>698</v>
      </c>
      <c r="D978" s="85" t="s">
        <v>796</v>
      </c>
      <c r="E978" s="85"/>
      <c r="F978" s="85" t="s">
        <v>2472</v>
      </c>
      <c r="G978" s="85" t="s">
        <v>288</v>
      </c>
      <c r="H978" s="85" t="s">
        <v>3268</v>
      </c>
      <c r="I978" s="86">
        <v>65</v>
      </c>
      <c r="J978" s="86">
        <v>65</v>
      </c>
      <c r="K978" s="87">
        <v>1</v>
      </c>
      <c r="L978" s="87">
        <v>0.9</v>
      </c>
      <c r="M978" s="88">
        <v>0.9</v>
      </c>
      <c r="N978" s="89"/>
      <c r="O978" s="87"/>
      <c r="P978" s="87"/>
      <c r="Q978" s="87"/>
      <c r="R978" s="87"/>
      <c r="S978" s="87">
        <v>0.9</v>
      </c>
      <c r="T978" s="87"/>
      <c r="U978" s="87">
        <v>0</v>
      </c>
      <c r="V978" s="90" t="s">
        <v>2472</v>
      </c>
    </row>
    <row r="979" ht="15" customHeight="1" spans="1:23" x14ac:dyDescent="0.25">
      <c r="A979" s="85">
        <v>4024</v>
      </c>
      <c r="B979" s="85" t="s">
        <v>4010</v>
      </c>
      <c r="C979" s="85" t="s">
        <v>698</v>
      </c>
      <c r="D979" s="85" t="s">
        <v>593</v>
      </c>
      <c r="E979" s="85"/>
      <c r="F979" s="85" t="s">
        <v>157</v>
      </c>
      <c r="G979" s="85"/>
      <c r="H979" s="85"/>
      <c r="I979" s="86"/>
      <c r="J979" s="86"/>
      <c r="K979" s="87"/>
      <c r="L979" s="87"/>
      <c r="M979" s="88"/>
      <c r="N979" s="89"/>
      <c r="O979" s="87"/>
      <c r="P979" s="87"/>
      <c r="Q979" s="87"/>
      <c r="R979" s="87"/>
      <c r="S979" s="87">
        <v>1</v>
      </c>
      <c r="T979" s="87">
        <v>1</v>
      </c>
      <c r="U979" s="87"/>
      <c r="V979" s="90" t="s">
        <v>2472</v>
      </c>
    </row>
    <row r="980" ht="15" customHeight="1" spans="1:23" x14ac:dyDescent="0.25">
      <c r="A980" s="85">
        <v>4024</v>
      </c>
      <c r="B980" s="85" t="s">
        <v>4010</v>
      </c>
      <c r="C980" s="85" t="s">
        <v>698</v>
      </c>
      <c r="D980" s="85" t="s">
        <v>593</v>
      </c>
      <c r="E980" s="85"/>
      <c r="F980" s="85" t="s">
        <v>2472</v>
      </c>
      <c r="G980" s="85" t="s">
        <v>288</v>
      </c>
      <c r="H980" s="85" t="s">
        <v>3268</v>
      </c>
      <c r="I980" s="86">
        <v>65</v>
      </c>
      <c r="J980" s="86">
        <v>65</v>
      </c>
      <c r="K980" s="87">
        <v>1</v>
      </c>
      <c r="L980" s="87">
        <v>1</v>
      </c>
      <c r="M980" s="88">
        <v>1</v>
      </c>
      <c r="N980" s="89"/>
      <c r="O980" s="87"/>
      <c r="P980" s="87"/>
      <c r="Q980" s="87"/>
      <c r="R980" s="87"/>
      <c r="S980" s="87">
        <v>1</v>
      </c>
      <c r="T980" s="87"/>
      <c r="U980" s="87">
        <v>0</v>
      </c>
      <c r="V980" s="90" t="s">
        <v>2472</v>
      </c>
    </row>
    <row r="981" ht="15" customHeight="1" spans="1:23" x14ac:dyDescent="0.25">
      <c r="A981" s="85">
        <v>4025</v>
      </c>
      <c r="B981" s="85" t="s">
        <v>4011</v>
      </c>
      <c r="C981" s="85" t="s">
        <v>698</v>
      </c>
      <c r="D981" s="85" t="s">
        <v>168</v>
      </c>
      <c r="E981" s="85"/>
      <c r="F981" s="85" t="s">
        <v>157</v>
      </c>
      <c r="G981" s="85"/>
      <c r="H981" s="85"/>
      <c r="I981" s="86"/>
      <c r="J981" s="86"/>
      <c r="K981" s="87"/>
      <c r="L981" s="87"/>
      <c r="M981" s="88"/>
      <c r="N981" s="89"/>
      <c r="O981" s="87"/>
      <c r="P981" s="87"/>
      <c r="Q981" s="87"/>
      <c r="R981" s="87"/>
      <c r="S981" s="87">
        <v>1</v>
      </c>
      <c r="T981" s="87">
        <v>1</v>
      </c>
      <c r="U981" s="87"/>
      <c r="V981" s="90" t="s">
        <v>2472</v>
      </c>
    </row>
    <row r="982" ht="15" customHeight="1" spans="1:23" x14ac:dyDescent="0.25">
      <c r="A982" s="85">
        <v>4025</v>
      </c>
      <c r="B982" s="85" t="s">
        <v>4011</v>
      </c>
      <c r="C982" s="85" t="s">
        <v>698</v>
      </c>
      <c r="D982" s="85" t="s">
        <v>168</v>
      </c>
      <c r="E982" s="85"/>
      <c r="F982" s="85" t="s">
        <v>2472</v>
      </c>
      <c r="G982" s="85" t="s">
        <v>288</v>
      </c>
      <c r="H982" s="85" t="s">
        <v>3268</v>
      </c>
      <c r="I982" s="86">
        <v>65</v>
      </c>
      <c r="J982" s="86">
        <v>65</v>
      </c>
      <c r="K982" s="87">
        <v>1</v>
      </c>
      <c r="L982" s="87">
        <v>1</v>
      </c>
      <c r="M982" s="88">
        <v>1</v>
      </c>
      <c r="N982" s="89"/>
      <c r="O982" s="87"/>
      <c r="P982" s="87"/>
      <c r="Q982" s="87"/>
      <c r="R982" s="87"/>
      <c r="S982" s="87">
        <v>1</v>
      </c>
      <c r="T982" s="87"/>
      <c r="U982" s="87">
        <v>0</v>
      </c>
      <c r="V982" s="90" t="s">
        <v>2472</v>
      </c>
    </row>
    <row r="983" ht="15" customHeight="1" spans="1:23" x14ac:dyDescent="0.25">
      <c r="A983" s="85">
        <v>4026</v>
      </c>
      <c r="B983" s="85" t="s">
        <v>4012</v>
      </c>
      <c r="C983" s="85" t="s">
        <v>698</v>
      </c>
      <c r="D983" s="85" t="s">
        <v>1861</v>
      </c>
      <c r="E983" s="85"/>
      <c r="F983" s="85" t="s">
        <v>157</v>
      </c>
      <c r="G983" s="85"/>
      <c r="H983" s="85"/>
      <c r="I983" s="86"/>
      <c r="J983" s="86"/>
      <c r="K983" s="87"/>
      <c r="L983" s="87"/>
      <c r="M983" s="88"/>
      <c r="N983" s="89"/>
      <c r="O983" s="87"/>
      <c r="P983" s="87"/>
      <c r="Q983" s="87"/>
      <c r="R983" s="87"/>
      <c r="S983" s="87">
        <v>0.9</v>
      </c>
      <c r="T983" s="87">
        <v>0.9</v>
      </c>
      <c r="U983" s="87"/>
      <c r="V983" s="90" t="s">
        <v>2472</v>
      </c>
    </row>
    <row r="984" ht="15" customHeight="1" spans="1:23" x14ac:dyDescent="0.25">
      <c r="A984" s="85">
        <v>4026</v>
      </c>
      <c r="B984" s="85" t="s">
        <v>4012</v>
      </c>
      <c r="C984" s="85" t="s">
        <v>698</v>
      </c>
      <c r="D984" s="85" t="s">
        <v>1861</v>
      </c>
      <c r="E984" s="85"/>
      <c r="F984" s="85" t="s">
        <v>2472</v>
      </c>
      <c r="G984" s="85" t="s">
        <v>288</v>
      </c>
      <c r="H984" s="85" t="s">
        <v>3268</v>
      </c>
      <c r="I984" s="86">
        <v>65</v>
      </c>
      <c r="J984" s="86">
        <v>65</v>
      </c>
      <c r="K984" s="87">
        <v>1</v>
      </c>
      <c r="L984" s="87">
        <v>0.9</v>
      </c>
      <c r="M984" s="88">
        <v>0.9</v>
      </c>
      <c r="N984" s="89"/>
      <c r="O984" s="87"/>
      <c r="P984" s="87"/>
      <c r="Q984" s="87"/>
      <c r="R984" s="87"/>
      <c r="S984" s="87">
        <v>0.9</v>
      </c>
      <c r="T984" s="87"/>
      <c r="U984" s="87">
        <v>0</v>
      </c>
      <c r="V984" s="90" t="s">
        <v>2472</v>
      </c>
    </row>
    <row r="985" ht="15" customHeight="1" spans="1:23" x14ac:dyDescent="0.25">
      <c r="A985" s="85">
        <v>4027</v>
      </c>
      <c r="B985" s="85" t="s">
        <v>4013</v>
      </c>
      <c r="C985" s="85" t="s">
        <v>698</v>
      </c>
      <c r="D985" s="85" t="s">
        <v>969</v>
      </c>
      <c r="E985" s="85"/>
      <c r="F985" s="85" t="s">
        <v>157</v>
      </c>
      <c r="G985" s="85"/>
      <c r="H985" s="85"/>
      <c r="I985" s="86"/>
      <c r="J985" s="86"/>
      <c r="K985" s="87"/>
      <c r="L985" s="87"/>
      <c r="M985" s="88"/>
      <c r="N985" s="89"/>
      <c r="O985" s="87"/>
      <c r="P985" s="87"/>
      <c r="Q985" s="87"/>
      <c r="R985" s="87"/>
      <c r="S985" s="87">
        <v>0.8</v>
      </c>
      <c r="T985" s="87">
        <v>0.8</v>
      </c>
      <c r="U985" s="87"/>
      <c r="V985" s="90" t="s">
        <v>2472</v>
      </c>
    </row>
    <row r="986" ht="15" customHeight="1" spans="1:23" x14ac:dyDescent="0.25">
      <c r="A986" s="85">
        <v>4027</v>
      </c>
      <c r="B986" s="85" t="s">
        <v>4013</v>
      </c>
      <c r="C986" s="85" t="s">
        <v>698</v>
      </c>
      <c r="D986" s="85" t="s">
        <v>969</v>
      </c>
      <c r="E986" s="85"/>
      <c r="F986" s="85" t="s">
        <v>2472</v>
      </c>
      <c r="G986" s="85" t="s">
        <v>288</v>
      </c>
      <c r="H986" s="85" t="s">
        <v>3268</v>
      </c>
      <c r="I986" s="86">
        <v>65</v>
      </c>
      <c r="J986" s="86">
        <v>65</v>
      </c>
      <c r="K986" s="87">
        <v>1</v>
      </c>
      <c r="L986" s="87">
        <v>0.8</v>
      </c>
      <c r="M986" s="88">
        <v>0.8</v>
      </c>
      <c r="N986" s="89"/>
      <c r="O986" s="87"/>
      <c r="P986" s="87"/>
      <c r="Q986" s="87"/>
      <c r="R986" s="87"/>
      <c r="S986" s="87">
        <v>0.8</v>
      </c>
      <c r="T986" s="87"/>
      <c r="U986" s="87">
        <v>0</v>
      </c>
      <c r="V986" s="90" t="s">
        <v>2472</v>
      </c>
    </row>
    <row r="987" ht="15" customHeight="1" spans="1:23" x14ac:dyDescent="0.25">
      <c r="A987" s="85">
        <v>4028</v>
      </c>
      <c r="B987" s="85" t="s">
        <v>4014</v>
      </c>
      <c r="C987" s="85" t="s">
        <v>698</v>
      </c>
      <c r="D987" s="85" t="s">
        <v>942</v>
      </c>
      <c r="E987" s="85"/>
      <c r="F987" s="85" t="s">
        <v>157</v>
      </c>
      <c r="G987" s="85"/>
      <c r="H987" s="85"/>
      <c r="I987" s="86"/>
      <c r="J987" s="86"/>
      <c r="K987" s="87"/>
      <c r="L987" s="87"/>
      <c r="M987" s="88"/>
      <c r="N987" s="89"/>
      <c r="O987" s="87"/>
      <c r="P987" s="87"/>
      <c r="Q987" s="87"/>
      <c r="R987" s="87"/>
      <c r="S987" s="87">
        <v>0.8</v>
      </c>
      <c r="T987" s="87">
        <v>0.8</v>
      </c>
      <c r="U987" s="87"/>
      <c r="V987" s="90" t="s">
        <v>2472</v>
      </c>
    </row>
    <row r="988" ht="15" customHeight="1" spans="1:23" x14ac:dyDescent="0.25">
      <c r="A988" s="85">
        <v>4028</v>
      </c>
      <c r="B988" s="85" t="s">
        <v>4014</v>
      </c>
      <c r="C988" s="85" t="s">
        <v>698</v>
      </c>
      <c r="D988" s="85" t="s">
        <v>942</v>
      </c>
      <c r="E988" s="85"/>
      <c r="F988" s="85" t="s">
        <v>2472</v>
      </c>
      <c r="G988" s="85" t="s">
        <v>288</v>
      </c>
      <c r="H988" s="85" t="s">
        <v>3268</v>
      </c>
      <c r="I988" s="86">
        <v>65</v>
      </c>
      <c r="J988" s="86">
        <v>65</v>
      </c>
      <c r="K988" s="87">
        <v>1</v>
      </c>
      <c r="L988" s="87">
        <v>0.8</v>
      </c>
      <c r="M988" s="88">
        <v>0.8</v>
      </c>
      <c r="N988" s="89"/>
      <c r="O988" s="87"/>
      <c r="P988" s="87"/>
      <c r="Q988" s="87"/>
      <c r="R988" s="87"/>
      <c r="S988" s="87">
        <v>0.8</v>
      </c>
      <c r="T988" s="87"/>
      <c r="U988" s="87">
        <v>0</v>
      </c>
      <c r="V988" s="90" t="s">
        <v>2472</v>
      </c>
    </row>
    <row r="989" ht="15" customHeight="1" spans="1:23" x14ac:dyDescent="0.25">
      <c r="A989" s="85">
        <v>4029</v>
      </c>
      <c r="B989" s="85" t="s">
        <v>4015</v>
      </c>
      <c r="C989" s="85" t="s">
        <v>698</v>
      </c>
      <c r="D989" s="85" t="s">
        <v>739</v>
      </c>
      <c r="E989" s="85"/>
      <c r="F989" s="85" t="s">
        <v>157</v>
      </c>
      <c r="G989" s="85"/>
      <c r="H989" s="85"/>
      <c r="I989" s="86"/>
      <c r="J989" s="86"/>
      <c r="K989" s="87"/>
      <c r="L989" s="87"/>
      <c r="M989" s="88"/>
      <c r="N989" s="89"/>
      <c r="O989" s="87"/>
      <c r="P989" s="87"/>
      <c r="Q989" s="87"/>
      <c r="R989" s="87"/>
      <c r="S989" s="87">
        <v>1</v>
      </c>
      <c r="T989" s="87">
        <v>1</v>
      </c>
      <c r="U989" s="87"/>
      <c r="V989" s="90" t="s">
        <v>2472</v>
      </c>
    </row>
    <row r="990" ht="15" customHeight="1" spans="1:23" x14ac:dyDescent="0.25">
      <c r="A990" s="85">
        <v>4029</v>
      </c>
      <c r="B990" s="85" t="s">
        <v>4015</v>
      </c>
      <c r="C990" s="85" t="s">
        <v>698</v>
      </c>
      <c r="D990" s="85" t="s">
        <v>739</v>
      </c>
      <c r="E990" s="85"/>
      <c r="F990" s="85" t="s">
        <v>2472</v>
      </c>
      <c r="G990" s="85" t="s">
        <v>288</v>
      </c>
      <c r="H990" s="85" t="s">
        <v>3268</v>
      </c>
      <c r="I990" s="86">
        <v>65</v>
      </c>
      <c r="J990" s="86">
        <v>65</v>
      </c>
      <c r="K990" s="87">
        <v>1</v>
      </c>
      <c r="L990" s="87">
        <v>1</v>
      </c>
      <c r="M990" s="88">
        <v>1</v>
      </c>
      <c r="N990" s="89"/>
      <c r="O990" s="87"/>
      <c r="P990" s="87"/>
      <c r="Q990" s="87"/>
      <c r="R990" s="87"/>
      <c r="S990" s="87">
        <v>1</v>
      </c>
      <c r="T990" s="87"/>
      <c r="U990" s="87">
        <v>0</v>
      </c>
      <c r="V990" s="90" t="s">
        <v>2472</v>
      </c>
    </row>
    <row r="991" ht="15" customHeight="1" spans="1:23" x14ac:dyDescent="0.25">
      <c r="A991" s="85">
        <v>4030</v>
      </c>
      <c r="B991" s="85" t="s">
        <v>4016</v>
      </c>
      <c r="C991" s="85" t="s">
        <v>698</v>
      </c>
      <c r="D991" s="85" t="s">
        <v>175</v>
      </c>
      <c r="E991" s="85"/>
      <c r="F991" s="85" t="s">
        <v>157</v>
      </c>
      <c r="G991" s="85"/>
      <c r="H991" s="85"/>
      <c r="I991" s="86"/>
      <c r="J991" s="86"/>
      <c r="K991" s="87"/>
      <c r="L991" s="87"/>
      <c r="M991" s="88"/>
      <c r="N991" s="89"/>
      <c r="O991" s="87"/>
      <c r="P991" s="87"/>
      <c r="Q991" s="87"/>
      <c r="R991" s="87"/>
      <c r="S991" s="87">
        <v>1</v>
      </c>
      <c r="T991" s="87">
        <v>1</v>
      </c>
      <c r="U991" s="87">
        <v>0</v>
      </c>
      <c r="V991" s="90" t="s">
        <v>2472</v>
      </c>
    </row>
    <row r="992" ht="15" customHeight="1" spans="1:23" x14ac:dyDescent="0.25">
      <c r="A992" s="85">
        <v>4030</v>
      </c>
      <c r="B992" s="85" t="s">
        <v>4016</v>
      </c>
      <c r="C992" s="85" t="s">
        <v>698</v>
      </c>
      <c r="D992" s="85" t="s">
        <v>175</v>
      </c>
      <c r="E992" s="85"/>
      <c r="F992" s="85" t="s">
        <v>2472</v>
      </c>
      <c r="G992" s="85" t="s">
        <v>288</v>
      </c>
      <c r="H992" s="85" t="s">
        <v>3268</v>
      </c>
      <c r="I992" s="86">
        <v>65</v>
      </c>
      <c r="J992" s="86">
        <v>65</v>
      </c>
      <c r="K992" s="87">
        <v>1</v>
      </c>
      <c r="L992" s="87">
        <v>1</v>
      </c>
      <c r="M992" s="88">
        <v>1</v>
      </c>
      <c r="N992" s="89"/>
      <c r="O992" s="87"/>
      <c r="P992" s="87"/>
      <c r="Q992" s="87"/>
      <c r="R992" s="87"/>
      <c r="S992" s="87">
        <v>1</v>
      </c>
      <c r="T992" s="87"/>
      <c r="U992" s="87">
        <v>0</v>
      </c>
      <c r="V992" s="90" t="s">
        <v>3577</v>
      </c>
    </row>
    <row r="993" ht="15" customHeight="1" spans="1:23" x14ac:dyDescent="0.25">
      <c r="A993" s="85">
        <v>4031</v>
      </c>
      <c r="B993" s="85" t="s">
        <v>4017</v>
      </c>
      <c r="C993" s="85" t="s">
        <v>698</v>
      </c>
      <c r="D993" s="85" t="s">
        <v>712</v>
      </c>
      <c r="E993" s="85"/>
      <c r="F993" s="85" t="s">
        <v>157</v>
      </c>
      <c r="G993" s="85"/>
      <c r="H993" s="85"/>
      <c r="I993" s="86"/>
      <c r="J993" s="86"/>
      <c r="K993" s="87"/>
      <c r="L993" s="87"/>
      <c r="M993" s="88"/>
      <c r="N993" s="89"/>
      <c r="O993" s="87"/>
      <c r="P993" s="87"/>
      <c r="Q993" s="87"/>
      <c r="R993" s="87"/>
      <c r="S993" s="87">
        <v>1</v>
      </c>
      <c r="T993" s="87">
        <v>1</v>
      </c>
      <c r="U993" s="87"/>
      <c r="V993" s="90" t="s">
        <v>2472</v>
      </c>
    </row>
    <row r="994" ht="15" customHeight="1" spans="1:23" x14ac:dyDescent="0.25">
      <c r="A994" s="85">
        <v>4031</v>
      </c>
      <c r="B994" s="85" t="s">
        <v>4017</v>
      </c>
      <c r="C994" s="85" t="s">
        <v>698</v>
      </c>
      <c r="D994" s="85" t="s">
        <v>712</v>
      </c>
      <c r="E994" s="85"/>
      <c r="F994" s="85" t="s">
        <v>2472</v>
      </c>
      <c r="G994" s="85" t="s">
        <v>288</v>
      </c>
      <c r="H994" s="85" t="s">
        <v>3268</v>
      </c>
      <c r="I994" s="86">
        <v>65</v>
      </c>
      <c r="J994" s="86">
        <v>65</v>
      </c>
      <c r="K994" s="87">
        <v>1</v>
      </c>
      <c r="L994" s="87">
        <v>1</v>
      </c>
      <c r="M994" s="88">
        <v>1</v>
      </c>
      <c r="N994" s="89"/>
      <c r="O994" s="87"/>
      <c r="P994" s="87"/>
      <c r="Q994" s="87"/>
      <c r="R994" s="87"/>
      <c r="S994" s="87">
        <v>1</v>
      </c>
      <c r="T994" s="87"/>
      <c r="U994" s="87">
        <v>0</v>
      </c>
      <c r="V994" s="90" t="s">
        <v>2472</v>
      </c>
    </row>
    <row r="995" ht="15" customHeight="1" spans="1:23" x14ac:dyDescent="0.25">
      <c r="A995" s="85">
        <v>4032</v>
      </c>
      <c r="B995" s="85" t="s">
        <v>4018</v>
      </c>
      <c r="C995" s="85" t="s">
        <v>698</v>
      </c>
      <c r="D995" s="85" t="s">
        <v>849</v>
      </c>
      <c r="E995" s="85"/>
      <c r="F995" s="85" t="s">
        <v>157</v>
      </c>
      <c r="G995" s="85"/>
      <c r="H995" s="85"/>
      <c r="I995" s="86"/>
      <c r="J995" s="86"/>
      <c r="K995" s="87"/>
      <c r="L995" s="87"/>
      <c r="M995" s="88"/>
      <c r="N995" s="89"/>
      <c r="O995" s="87"/>
      <c r="P995" s="87"/>
      <c r="Q995" s="87"/>
      <c r="R995" s="87"/>
      <c r="S995" s="87">
        <v>1</v>
      </c>
      <c r="T995" s="87">
        <v>1</v>
      </c>
      <c r="U995" s="87"/>
      <c r="V995" s="90" t="s">
        <v>2472</v>
      </c>
    </row>
    <row r="996" ht="15" customHeight="1" spans="1:23" x14ac:dyDescent="0.25">
      <c r="A996" s="85">
        <v>4032</v>
      </c>
      <c r="B996" s="85" t="s">
        <v>4018</v>
      </c>
      <c r="C996" s="85" t="s">
        <v>698</v>
      </c>
      <c r="D996" s="85" t="s">
        <v>849</v>
      </c>
      <c r="E996" s="85"/>
      <c r="F996" s="85" t="s">
        <v>2472</v>
      </c>
      <c r="G996" s="85" t="s">
        <v>288</v>
      </c>
      <c r="H996" s="85" t="s">
        <v>3268</v>
      </c>
      <c r="I996" s="86">
        <v>65</v>
      </c>
      <c r="J996" s="86">
        <v>65</v>
      </c>
      <c r="K996" s="87">
        <v>1</v>
      </c>
      <c r="L996" s="87">
        <v>1</v>
      </c>
      <c r="M996" s="88">
        <v>1</v>
      </c>
      <c r="N996" s="89"/>
      <c r="O996" s="87"/>
      <c r="P996" s="87"/>
      <c r="Q996" s="87"/>
      <c r="R996" s="87"/>
      <c r="S996" s="87">
        <v>1</v>
      </c>
      <c r="T996" s="87"/>
      <c r="U996" s="87">
        <v>0</v>
      </c>
      <c r="V996" s="90" t="s">
        <v>2472</v>
      </c>
    </row>
    <row r="997" ht="15" customHeight="1" spans="1:23" x14ac:dyDescent="0.25">
      <c r="A997" s="85">
        <v>4033</v>
      </c>
      <c r="B997" s="85" t="s">
        <v>4019</v>
      </c>
      <c r="C997" s="85" t="s">
        <v>698</v>
      </c>
      <c r="D997" s="85" t="s">
        <v>1309</v>
      </c>
      <c r="E997" s="85"/>
      <c r="F997" s="85" t="s">
        <v>157</v>
      </c>
      <c r="G997" s="85"/>
      <c r="H997" s="85"/>
      <c r="I997" s="86"/>
      <c r="J997" s="86"/>
      <c r="K997" s="87"/>
      <c r="L997" s="87"/>
      <c r="M997" s="88"/>
      <c r="N997" s="89"/>
      <c r="O997" s="87"/>
      <c r="P997" s="87"/>
      <c r="Q997" s="87"/>
      <c r="R997" s="87"/>
      <c r="S997" s="87">
        <v>1</v>
      </c>
      <c r="T997" s="87">
        <v>1</v>
      </c>
      <c r="U997" s="87"/>
      <c r="V997" s="90" t="s">
        <v>2472</v>
      </c>
    </row>
    <row r="998" ht="15" customHeight="1" spans="1:23" x14ac:dyDescent="0.25">
      <c r="A998" s="85">
        <v>4033</v>
      </c>
      <c r="B998" s="85" t="s">
        <v>4019</v>
      </c>
      <c r="C998" s="85" t="s">
        <v>698</v>
      </c>
      <c r="D998" s="85" t="s">
        <v>1309</v>
      </c>
      <c r="E998" s="85"/>
      <c r="F998" s="85" t="s">
        <v>2472</v>
      </c>
      <c r="G998" s="85" t="s">
        <v>288</v>
      </c>
      <c r="H998" s="85" t="s">
        <v>3268</v>
      </c>
      <c r="I998" s="86">
        <v>65</v>
      </c>
      <c r="J998" s="86">
        <v>65</v>
      </c>
      <c r="K998" s="87">
        <v>1</v>
      </c>
      <c r="L998" s="87">
        <v>1</v>
      </c>
      <c r="M998" s="88">
        <v>1</v>
      </c>
      <c r="N998" s="89"/>
      <c r="O998" s="87"/>
      <c r="P998" s="87"/>
      <c r="Q998" s="87"/>
      <c r="R998" s="87"/>
      <c r="S998" s="87">
        <v>1</v>
      </c>
      <c r="T998" s="87"/>
      <c r="U998" s="87">
        <v>0</v>
      </c>
      <c r="V998" s="90" t="s">
        <v>2472</v>
      </c>
    </row>
    <row r="999" ht="15" customHeight="1" spans="1:23" x14ac:dyDescent="0.25">
      <c r="A999" s="85">
        <v>4034</v>
      </c>
      <c r="B999" s="85" t="s">
        <v>4020</v>
      </c>
      <c r="C999" s="85" t="s">
        <v>698</v>
      </c>
      <c r="D999" s="85" t="s">
        <v>722</v>
      </c>
      <c r="E999" s="85"/>
      <c r="F999" s="85" t="s">
        <v>157</v>
      </c>
      <c r="G999" s="85"/>
      <c r="H999" s="85"/>
      <c r="I999" s="86"/>
      <c r="J999" s="86"/>
      <c r="K999" s="87"/>
      <c r="L999" s="87"/>
      <c r="M999" s="88"/>
      <c r="N999" s="89"/>
      <c r="O999" s="87"/>
      <c r="P999" s="87"/>
      <c r="Q999" s="87"/>
      <c r="R999" s="87"/>
      <c r="S999" s="87">
        <v>1</v>
      </c>
      <c r="T999" s="87">
        <v>1</v>
      </c>
      <c r="U999" s="87"/>
      <c r="V999" s="90" t="s">
        <v>2472</v>
      </c>
    </row>
    <row r="1000" ht="15" customHeight="1" spans="1:23" x14ac:dyDescent="0.25">
      <c r="A1000" s="85">
        <v>4034</v>
      </c>
      <c r="B1000" s="85" t="s">
        <v>4020</v>
      </c>
      <c r="C1000" s="85" t="s">
        <v>698</v>
      </c>
      <c r="D1000" s="85" t="s">
        <v>722</v>
      </c>
      <c r="E1000" s="85"/>
      <c r="F1000" s="85" t="s">
        <v>2472</v>
      </c>
      <c r="G1000" s="85" t="s">
        <v>288</v>
      </c>
      <c r="H1000" s="85" t="s">
        <v>3268</v>
      </c>
      <c r="I1000" s="86">
        <v>65</v>
      </c>
      <c r="J1000" s="86">
        <v>65</v>
      </c>
      <c r="K1000" s="87">
        <v>1</v>
      </c>
      <c r="L1000" s="87">
        <v>1</v>
      </c>
      <c r="M1000" s="88">
        <v>1</v>
      </c>
      <c r="N1000" s="89"/>
      <c r="O1000" s="87"/>
      <c r="P1000" s="87"/>
      <c r="Q1000" s="87"/>
      <c r="R1000" s="87"/>
      <c r="S1000" s="87">
        <v>1</v>
      </c>
      <c r="T1000" s="87"/>
      <c r="U1000" s="87">
        <v>0</v>
      </c>
      <c r="V1000" s="90" t="s">
        <v>2472</v>
      </c>
    </row>
    <row r="1001" ht="15" customHeight="1" spans="1:23" x14ac:dyDescent="0.25">
      <c r="A1001" s="85">
        <v>4035</v>
      </c>
      <c r="B1001" s="85" t="s">
        <v>4021</v>
      </c>
      <c r="C1001" s="85" t="s">
        <v>698</v>
      </c>
      <c r="D1001" s="85" t="s">
        <v>722</v>
      </c>
      <c r="E1001" s="85"/>
      <c r="F1001" s="85" t="s">
        <v>157</v>
      </c>
      <c r="G1001" s="85"/>
      <c r="H1001" s="85"/>
      <c r="I1001" s="86"/>
      <c r="J1001" s="86"/>
      <c r="K1001" s="87"/>
      <c r="L1001" s="87"/>
      <c r="M1001" s="88"/>
      <c r="N1001" s="89"/>
      <c r="O1001" s="87"/>
      <c r="P1001" s="87"/>
      <c r="Q1001" s="87"/>
      <c r="R1001" s="87"/>
      <c r="S1001" s="87">
        <v>1</v>
      </c>
      <c r="T1001" s="87">
        <v>1</v>
      </c>
      <c r="U1001" s="87"/>
      <c r="V1001" s="90" t="s">
        <v>2472</v>
      </c>
    </row>
    <row r="1002" ht="15" customHeight="1" spans="1:23" x14ac:dyDescent="0.25">
      <c r="A1002" s="85">
        <v>4035</v>
      </c>
      <c r="B1002" s="85" t="s">
        <v>4021</v>
      </c>
      <c r="C1002" s="85" t="s">
        <v>698</v>
      </c>
      <c r="D1002" s="85" t="s">
        <v>722</v>
      </c>
      <c r="E1002" s="85"/>
      <c r="F1002" s="85" t="s">
        <v>2472</v>
      </c>
      <c r="G1002" s="85" t="s">
        <v>288</v>
      </c>
      <c r="H1002" s="85" t="s">
        <v>3268</v>
      </c>
      <c r="I1002" s="86">
        <v>65</v>
      </c>
      <c r="J1002" s="86">
        <v>65</v>
      </c>
      <c r="K1002" s="87">
        <v>1</v>
      </c>
      <c r="L1002" s="87">
        <v>1</v>
      </c>
      <c r="M1002" s="88">
        <v>1</v>
      </c>
      <c r="N1002" s="89"/>
      <c r="O1002" s="87"/>
      <c r="P1002" s="87"/>
      <c r="Q1002" s="87"/>
      <c r="R1002" s="87"/>
      <c r="S1002" s="87">
        <v>1</v>
      </c>
      <c r="T1002" s="87"/>
      <c r="U1002" s="87">
        <v>0</v>
      </c>
      <c r="V1002" s="90" t="s">
        <v>2472</v>
      </c>
    </row>
    <row r="1003" ht="15" customHeight="1" spans="1:23" x14ac:dyDescent="0.25">
      <c r="A1003" s="85">
        <v>4036</v>
      </c>
      <c r="B1003" s="85" t="s">
        <v>4022</v>
      </c>
      <c r="C1003" s="85" t="s">
        <v>698</v>
      </c>
      <c r="D1003" s="85" t="s">
        <v>717</v>
      </c>
      <c r="E1003" s="85"/>
      <c r="F1003" s="85" t="s">
        <v>157</v>
      </c>
      <c r="G1003" s="85"/>
      <c r="H1003" s="85"/>
      <c r="I1003" s="86"/>
      <c r="J1003" s="86"/>
      <c r="K1003" s="87"/>
      <c r="L1003" s="87"/>
      <c r="M1003" s="88"/>
      <c r="N1003" s="89"/>
      <c r="O1003" s="87"/>
      <c r="P1003" s="87"/>
      <c r="Q1003" s="87"/>
      <c r="R1003" s="87"/>
      <c r="S1003" s="87">
        <v>1</v>
      </c>
      <c r="T1003" s="87">
        <v>1</v>
      </c>
      <c r="U1003" s="87"/>
      <c r="V1003" s="90" t="s">
        <v>2472</v>
      </c>
    </row>
    <row r="1004" ht="15" customHeight="1" spans="1:23" x14ac:dyDescent="0.25">
      <c r="A1004" s="85">
        <v>4036</v>
      </c>
      <c r="B1004" s="85" t="s">
        <v>4022</v>
      </c>
      <c r="C1004" s="85" t="s">
        <v>698</v>
      </c>
      <c r="D1004" s="85" t="s">
        <v>717</v>
      </c>
      <c r="E1004" s="85"/>
      <c r="F1004" s="85" t="s">
        <v>2472</v>
      </c>
      <c r="G1004" s="85" t="s">
        <v>288</v>
      </c>
      <c r="H1004" s="85" t="s">
        <v>3268</v>
      </c>
      <c r="I1004" s="86">
        <v>65</v>
      </c>
      <c r="J1004" s="86">
        <v>65</v>
      </c>
      <c r="K1004" s="87">
        <v>1</v>
      </c>
      <c r="L1004" s="87">
        <v>1</v>
      </c>
      <c r="M1004" s="88">
        <v>1</v>
      </c>
      <c r="N1004" s="89"/>
      <c r="O1004" s="87"/>
      <c r="P1004" s="87"/>
      <c r="Q1004" s="87"/>
      <c r="R1004" s="87"/>
      <c r="S1004" s="87">
        <v>1</v>
      </c>
      <c r="T1004" s="87"/>
      <c r="U1004" s="87">
        <v>0</v>
      </c>
      <c r="V1004" s="90" t="s">
        <v>2472</v>
      </c>
    </row>
    <row r="1005" ht="15" customHeight="1" spans="1:23" x14ac:dyDescent="0.25">
      <c r="A1005" s="85">
        <v>4037</v>
      </c>
      <c r="B1005" s="85" t="s">
        <v>4023</v>
      </c>
      <c r="C1005" s="85" t="s">
        <v>698</v>
      </c>
      <c r="D1005" s="85" t="s">
        <v>700</v>
      </c>
      <c r="E1005" s="85"/>
      <c r="F1005" s="85" t="s">
        <v>157</v>
      </c>
      <c r="G1005" s="85"/>
      <c r="H1005" s="85"/>
      <c r="I1005" s="86"/>
      <c r="J1005" s="86"/>
      <c r="K1005" s="87"/>
      <c r="L1005" s="87"/>
      <c r="M1005" s="88"/>
      <c r="N1005" s="89"/>
      <c r="O1005" s="87"/>
      <c r="P1005" s="87"/>
      <c r="Q1005" s="87"/>
      <c r="R1005" s="87"/>
      <c r="S1005" s="87">
        <v>1</v>
      </c>
      <c r="T1005" s="87">
        <v>1</v>
      </c>
      <c r="U1005" s="87"/>
      <c r="V1005" s="90" t="s">
        <v>2472</v>
      </c>
    </row>
    <row r="1006" ht="15" customHeight="1" spans="1:23" x14ac:dyDescent="0.25">
      <c r="A1006" s="85">
        <v>4037</v>
      </c>
      <c r="B1006" s="85" t="s">
        <v>4023</v>
      </c>
      <c r="C1006" s="85" t="s">
        <v>698</v>
      </c>
      <c r="D1006" s="85" t="s">
        <v>700</v>
      </c>
      <c r="E1006" s="85"/>
      <c r="F1006" s="85" t="s">
        <v>2472</v>
      </c>
      <c r="G1006" s="85" t="s">
        <v>288</v>
      </c>
      <c r="H1006" s="85" t="s">
        <v>3268</v>
      </c>
      <c r="I1006" s="86">
        <v>65</v>
      </c>
      <c r="J1006" s="86">
        <v>65</v>
      </c>
      <c r="K1006" s="87">
        <v>1</v>
      </c>
      <c r="L1006" s="87">
        <v>1</v>
      </c>
      <c r="M1006" s="88">
        <v>1</v>
      </c>
      <c r="N1006" s="89"/>
      <c r="O1006" s="87"/>
      <c r="P1006" s="87"/>
      <c r="Q1006" s="87"/>
      <c r="R1006" s="87"/>
      <c r="S1006" s="87">
        <v>1</v>
      </c>
      <c r="T1006" s="87"/>
      <c r="U1006" s="87">
        <v>0</v>
      </c>
      <c r="V1006" s="90" t="s">
        <v>2472</v>
      </c>
    </row>
    <row r="1007" ht="15" customHeight="1" spans="1:23" x14ac:dyDescent="0.25">
      <c r="A1007" s="85">
        <v>4038</v>
      </c>
      <c r="B1007" s="85" t="s">
        <v>4024</v>
      </c>
      <c r="C1007" s="85" t="s">
        <v>698</v>
      </c>
      <c r="D1007" s="85" t="s">
        <v>811</v>
      </c>
      <c r="E1007" s="85"/>
      <c r="F1007" s="85" t="s">
        <v>157</v>
      </c>
      <c r="G1007" s="85"/>
      <c r="H1007" s="85"/>
      <c r="I1007" s="86"/>
      <c r="J1007" s="86"/>
      <c r="K1007" s="87"/>
      <c r="L1007" s="87"/>
      <c r="M1007" s="88"/>
      <c r="N1007" s="89"/>
      <c r="O1007" s="87"/>
      <c r="P1007" s="87"/>
      <c r="Q1007" s="87"/>
      <c r="R1007" s="87"/>
      <c r="S1007" s="87">
        <v>1</v>
      </c>
      <c r="T1007" s="87">
        <v>1</v>
      </c>
      <c r="U1007" s="87"/>
      <c r="V1007" s="90" t="s">
        <v>2472</v>
      </c>
    </row>
    <row r="1008" ht="15" customHeight="1" spans="1:23" x14ac:dyDescent="0.25">
      <c r="A1008" s="85">
        <v>4038</v>
      </c>
      <c r="B1008" s="85" t="s">
        <v>4024</v>
      </c>
      <c r="C1008" s="85" t="s">
        <v>698</v>
      </c>
      <c r="D1008" s="85" t="s">
        <v>811</v>
      </c>
      <c r="E1008" s="85"/>
      <c r="F1008" s="85" t="s">
        <v>2472</v>
      </c>
      <c r="G1008" s="85" t="s">
        <v>288</v>
      </c>
      <c r="H1008" s="85" t="s">
        <v>3268</v>
      </c>
      <c r="I1008" s="86">
        <v>65</v>
      </c>
      <c r="J1008" s="86">
        <v>65</v>
      </c>
      <c r="K1008" s="87">
        <v>1</v>
      </c>
      <c r="L1008" s="87">
        <v>1</v>
      </c>
      <c r="M1008" s="88">
        <v>1</v>
      </c>
      <c r="N1008" s="89"/>
      <c r="O1008" s="87"/>
      <c r="P1008" s="87"/>
      <c r="Q1008" s="87"/>
      <c r="R1008" s="87"/>
      <c r="S1008" s="87">
        <v>1</v>
      </c>
      <c r="T1008" s="87"/>
      <c r="U1008" s="87">
        <v>0</v>
      </c>
      <c r="V1008" s="90" t="s">
        <v>2472</v>
      </c>
    </row>
    <row r="1009" ht="15" customHeight="1" spans="1:23" x14ac:dyDescent="0.25">
      <c r="A1009" s="85">
        <v>4039</v>
      </c>
      <c r="B1009" s="85" t="s">
        <v>4025</v>
      </c>
      <c r="C1009" s="85" t="s">
        <v>698</v>
      </c>
      <c r="D1009" s="85" t="s">
        <v>2148</v>
      </c>
      <c r="E1009" s="85"/>
      <c r="F1009" s="85" t="s">
        <v>157</v>
      </c>
      <c r="G1009" s="85"/>
      <c r="H1009" s="85"/>
      <c r="I1009" s="86"/>
      <c r="J1009" s="86"/>
      <c r="K1009" s="87"/>
      <c r="L1009" s="87"/>
      <c r="M1009" s="88"/>
      <c r="N1009" s="89"/>
      <c r="O1009" s="87"/>
      <c r="P1009" s="87"/>
      <c r="Q1009" s="87"/>
      <c r="R1009" s="87"/>
      <c r="S1009" s="87">
        <v>1</v>
      </c>
      <c r="T1009" s="87">
        <v>1</v>
      </c>
      <c r="U1009" s="87">
        <v>1</v>
      </c>
      <c r="V1009" s="90" t="s">
        <v>4026</v>
      </c>
    </row>
    <row r="1010" ht="15" customHeight="1" spans="1:23" x14ac:dyDescent="0.25">
      <c r="A1010" s="85">
        <v>4039</v>
      </c>
      <c r="B1010" s="85" t="s">
        <v>4025</v>
      </c>
      <c r="C1010" s="85" t="s">
        <v>698</v>
      </c>
      <c r="D1010" s="85" t="s">
        <v>2148</v>
      </c>
      <c r="E1010" s="85"/>
      <c r="F1010" s="85" t="s">
        <v>2472</v>
      </c>
      <c r="G1010" s="85" t="s">
        <v>288</v>
      </c>
      <c r="H1010" s="85" t="s">
        <v>3268</v>
      </c>
      <c r="I1010" s="86">
        <v>65</v>
      </c>
      <c r="J1010" s="86">
        <v>65</v>
      </c>
      <c r="K1010" s="87">
        <v>1</v>
      </c>
      <c r="L1010" s="87">
        <v>1</v>
      </c>
      <c r="M1010" s="88">
        <v>1</v>
      </c>
      <c r="N1010" s="89"/>
      <c r="O1010" s="87"/>
      <c r="P1010" s="87"/>
      <c r="Q1010" s="87"/>
      <c r="R1010" s="87"/>
      <c r="S1010" s="87">
        <v>1</v>
      </c>
      <c r="T1010" s="87"/>
      <c r="U1010" s="87">
        <v>1</v>
      </c>
      <c r="V1010" s="90" t="s">
        <v>4026</v>
      </c>
    </row>
    <row r="1011" ht="15" customHeight="1" spans="1:23" x14ac:dyDescent="0.25">
      <c r="A1011" s="85">
        <v>4040</v>
      </c>
      <c r="B1011" s="85" t="s">
        <v>4027</v>
      </c>
      <c r="C1011" s="85" t="s">
        <v>698</v>
      </c>
      <c r="D1011" s="85" t="s">
        <v>1437</v>
      </c>
      <c r="E1011" s="85"/>
      <c r="F1011" s="85" t="s">
        <v>157</v>
      </c>
      <c r="G1011" s="85"/>
      <c r="H1011" s="85"/>
      <c r="I1011" s="86"/>
      <c r="J1011" s="86"/>
      <c r="K1011" s="87"/>
      <c r="L1011" s="87"/>
      <c r="M1011" s="88"/>
      <c r="N1011" s="89"/>
      <c r="O1011" s="87"/>
      <c r="P1011" s="87"/>
      <c r="Q1011" s="87"/>
      <c r="R1011" s="87"/>
      <c r="S1011" s="87">
        <v>1</v>
      </c>
      <c r="T1011" s="87">
        <v>1</v>
      </c>
      <c r="U1011" s="87"/>
      <c r="V1011" s="90" t="s">
        <v>2472</v>
      </c>
    </row>
    <row r="1012" ht="15" customHeight="1" spans="1:23" x14ac:dyDescent="0.25">
      <c r="A1012" s="85">
        <v>4040</v>
      </c>
      <c r="B1012" s="85" t="s">
        <v>4027</v>
      </c>
      <c r="C1012" s="85" t="s">
        <v>698</v>
      </c>
      <c r="D1012" s="85" t="s">
        <v>1437</v>
      </c>
      <c r="E1012" s="85"/>
      <c r="F1012" s="85" t="s">
        <v>2472</v>
      </c>
      <c r="G1012" s="85" t="s">
        <v>288</v>
      </c>
      <c r="H1012" s="85" t="s">
        <v>3268</v>
      </c>
      <c r="I1012" s="86">
        <v>65</v>
      </c>
      <c r="J1012" s="86">
        <v>65</v>
      </c>
      <c r="K1012" s="87">
        <v>1</v>
      </c>
      <c r="L1012" s="87">
        <v>1</v>
      </c>
      <c r="M1012" s="88">
        <v>1</v>
      </c>
      <c r="N1012" s="89"/>
      <c r="O1012" s="87"/>
      <c r="P1012" s="87"/>
      <c r="Q1012" s="87"/>
      <c r="R1012" s="87"/>
      <c r="S1012" s="87">
        <v>1</v>
      </c>
      <c r="T1012" s="87"/>
      <c r="U1012" s="87">
        <v>0</v>
      </c>
      <c r="V1012" s="90" t="s">
        <v>2472</v>
      </c>
    </row>
    <row r="1013" ht="15" customHeight="1" spans="1:23" x14ac:dyDescent="0.25">
      <c r="A1013" s="85">
        <v>4041</v>
      </c>
      <c r="B1013" s="85" t="s">
        <v>4028</v>
      </c>
      <c r="C1013" s="85" t="s">
        <v>698</v>
      </c>
      <c r="D1013" s="85" t="s">
        <v>929</v>
      </c>
      <c r="E1013" s="85"/>
      <c r="F1013" s="85" t="s">
        <v>157</v>
      </c>
      <c r="G1013" s="85"/>
      <c r="H1013" s="85"/>
      <c r="I1013" s="86"/>
      <c r="J1013" s="86"/>
      <c r="K1013" s="87"/>
      <c r="L1013" s="87"/>
      <c r="M1013" s="88"/>
      <c r="N1013" s="89"/>
      <c r="O1013" s="87"/>
      <c r="P1013" s="87"/>
      <c r="Q1013" s="87"/>
      <c r="R1013" s="87"/>
      <c r="S1013" s="87">
        <v>1</v>
      </c>
      <c r="T1013" s="87">
        <v>1</v>
      </c>
      <c r="U1013" s="87"/>
      <c r="V1013" s="90" t="s">
        <v>2472</v>
      </c>
    </row>
    <row r="1014" ht="15" customHeight="1" spans="1:23" x14ac:dyDescent="0.25">
      <c r="A1014" s="85">
        <v>4041</v>
      </c>
      <c r="B1014" s="85" t="s">
        <v>4028</v>
      </c>
      <c r="C1014" s="85" t="s">
        <v>698</v>
      </c>
      <c r="D1014" s="85" t="s">
        <v>929</v>
      </c>
      <c r="E1014" s="85"/>
      <c r="F1014" s="85" t="s">
        <v>2472</v>
      </c>
      <c r="G1014" s="85" t="s">
        <v>288</v>
      </c>
      <c r="H1014" s="85" t="s">
        <v>3268</v>
      </c>
      <c r="I1014" s="86">
        <v>65</v>
      </c>
      <c r="J1014" s="86">
        <v>65</v>
      </c>
      <c r="K1014" s="87">
        <v>1</v>
      </c>
      <c r="L1014" s="87">
        <v>1</v>
      </c>
      <c r="M1014" s="88">
        <v>1</v>
      </c>
      <c r="N1014" s="89"/>
      <c r="O1014" s="87"/>
      <c r="P1014" s="87"/>
      <c r="Q1014" s="87"/>
      <c r="R1014" s="87"/>
      <c r="S1014" s="87">
        <v>1</v>
      </c>
      <c r="T1014" s="87"/>
      <c r="U1014" s="87">
        <v>0</v>
      </c>
      <c r="V1014" s="90" t="s">
        <v>2472</v>
      </c>
    </row>
    <row r="1015" ht="15" customHeight="1" spans="1:23" x14ac:dyDescent="0.25">
      <c r="A1015" s="85">
        <v>4042</v>
      </c>
      <c r="B1015" s="85" t="s">
        <v>4029</v>
      </c>
      <c r="C1015" s="85" t="s">
        <v>698</v>
      </c>
      <c r="D1015" s="85" t="s">
        <v>753</v>
      </c>
      <c r="E1015" s="85"/>
      <c r="F1015" s="85" t="s">
        <v>157</v>
      </c>
      <c r="G1015" s="85"/>
      <c r="H1015" s="85"/>
      <c r="I1015" s="86"/>
      <c r="J1015" s="86"/>
      <c r="K1015" s="87"/>
      <c r="L1015" s="87"/>
      <c r="M1015" s="88"/>
      <c r="N1015" s="89"/>
      <c r="O1015" s="87"/>
      <c r="P1015" s="87"/>
      <c r="Q1015" s="87"/>
      <c r="R1015" s="87"/>
      <c r="S1015" s="87">
        <v>0.8</v>
      </c>
      <c r="T1015" s="87">
        <v>0.8</v>
      </c>
      <c r="U1015" s="87"/>
      <c r="V1015" s="90" t="s">
        <v>2472</v>
      </c>
    </row>
    <row r="1016" ht="15" customHeight="1" spans="1:23" x14ac:dyDescent="0.25">
      <c r="A1016" s="85">
        <v>4042</v>
      </c>
      <c r="B1016" s="85" t="s">
        <v>4029</v>
      </c>
      <c r="C1016" s="85" t="s">
        <v>698</v>
      </c>
      <c r="D1016" s="85" t="s">
        <v>753</v>
      </c>
      <c r="E1016" s="85"/>
      <c r="F1016" s="85" t="s">
        <v>2472</v>
      </c>
      <c r="G1016" s="85" t="s">
        <v>288</v>
      </c>
      <c r="H1016" s="85" t="s">
        <v>3268</v>
      </c>
      <c r="I1016" s="86">
        <v>65</v>
      </c>
      <c r="J1016" s="86">
        <v>65</v>
      </c>
      <c r="K1016" s="87">
        <v>1</v>
      </c>
      <c r="L1016" s="87">
        <v>0.8</v>
      </c>
      <c r="M1016" s="88">
        <v>0.8</v>
      </c>
      <c r="N1016" s="89"/>
      <c r="O1016" s="87"/>
      <c r="P1016" s="87"/>
      <c r="Q1016" s="87"/>
      <c r="R1016" s="87"/>
      <c r="S1016" s="87">
        <v>0.8</v>
      </c>
      <c r="T1016" s="87"/>
      <c r="U1016" s="87">
        <v>0</v>
      </c>
      <c r="V1016" s="90" t="s">
        <v>2472</v>
      </c>
    </row>
    <row r="1017" ht="15" customHeight="1" spans="1:23" x14ac:dyDescent="0.25">
      <c r="A1017" s="85">
        <v>4043</v>
      </c>
      <c r="B1017" s="85" t="s">
        <v>4030</v>
      </c>
      <c r="C1017" s="85" t="s">
        <v>698</v>
      </c>
      <c r="D1017" s="85" t="s">
        <v>772</v>
      </c>
      <c r="E1017" s="85"/>
      <c r="F1017" s="85" t="s">
        <v>157</v>
      </c>
      <c r="G1017" s="85"/>
      <c r="H1017" s="85"/>
      <c r="I1017" s="86"/>
      <c r="J1017" s="86"/>
      <c r="K1017" s="87"/>
      <c r="L1017" s="87"/>
      <c r="M1017" s="88"/>
      <c r="N1017" s="89"/>
      <c r="O1017" s="87"/>
      <c r="P1017" s="87"/>
      <c r="Q1017" s="87"/>
      <c r="R1017" s="87"/>
      <c r="S1017" s="87">
        <v>1</v>
      </c>
      <c r="T1017" s="87">
        <v>1</v>
      </c>
      <c r="U1017" s="87"/>
      <c r="V1017" s="90" t="s">
        <v>2472</v>
      </c>
    </row>
    <row r="1018" ht="15" customHeight="1" spans="1:23" x14ac:dyDescent="0.25">
      <c r="A1018" s="85">
        <v>4043</v>
      </c>
      <c r="B1018" s="85" t="s">
        <v>4030</v>
      </c>
      <c r="C1018" s="85" t="s">
        <v>698</v>
      </c>
      <c r="D1018" s="85" t="s">
        <v>772</v>
      </c>
      <c r="E1018" s="85"/>
      <c r="F1018" s="85" t="s">
        <v>2472</v>
      </c>
      <c r="G1018" s="85" t="s">
        <v>288</v>
      </c>
      <c r="H1018" s="85" t="s">
        <v>3268</v>
      </c>
      <c r="I1018" s="86">
        <v>65</v>
      </c>
      <c r="J1018" s="86">
        <v>65</v>
      </c>
      <c r="K1018" s="87">
        <v>1</v>
      </c>
      <c r="L1018" s="87">
        <v>1</v>
      </c>
      <c r="M1018" s="88">
        <v>1</v>
      </c>
      <c r="N1018" s="89"/>
      <c r="O1018" s="87"/>
      <c r="P1018" s="87"/>
      <c r="Q1018" s="87"/>
      <c r="R1018" s="87"/>
      <c r="S1018" s="87">
        <v>1</v>
      </c>
      <c r="T1018" s="87"/>
      <c r="U1018" s="87">
        <v>0</v>
      </c>
      <c r="V1018" s="90" t="s">
        <v>2472</v>
      </c>
    </row>
    <row r="1019" ht="15" customHeight="1" spans="1:23" x14ac:dyDescent="0.25">
      <c r="A1019" s="85">
        <v>4044</v>
      </c>
      <c r="B1019" s="85" t="s">
        <v>4031</v>
      </c>
      <c r="C1019" s="85" t="s">
        <v>698</v>
      </c>
      <c r="D1019" s="85" t="s">
        <v>1856</v>
      </c>
      <c r="E1019" s="85"/>
      <c r="F1019" s="85" t="s">
        <v>157</v>
      </c>
      <c r="G1019" s="85"/>
      <c r="H1019" s="85"/>
      <c r="I1019" s="86"/>
      <c r="J1019" s="86"/>
      <c r="K1019" s="87"/>
      <c r="L1019" s="87"/>
      <c r="M1019" s="88"/>
      <c r="N1019" s="89"/>
      <c r="O1019" s="87"/>
      <c r="P1019" s="87"/>
      <c r="Q1019" s="87"/>
      <c r="R1019" s="87"/>
      <c r="S1019" s="87">
        <v>1</v>
      </c>
      <c r="T1019" s="87">
        <v>1</v>
      </c>
      <c r="U1019" s="87"/>
      <c r="V1019" s="90" t="s">
        <v>2472</v>
      </c>
    </row>
    <row r="1020" ht="15" customHeight="1" spans="1:23" x14ac:dyDescent="0.25">
      <c r="A1020" s="85">
        <v>4044</v>
      </c>
      <c r="B1020" s="85" t="s">
        <v>4031</v>
      </c>
      <c r="C1020" s="85" t="s">
        <v>698</v>
      </c>
      <c r="D1020" s="85" t="s">
        <v>1856</v>
      </c>
      <c r="E1020" s="85"/>
      <c r="F1020" s="85" t="s">
        <v>2472</v>
      </c>
      <c r="G1020" s="85" t="s">
        <v>288</v>
      </c>
      <c r="H1020" s="85" t="s">
        <v>3268</v>
      </c>
      <c r="I1020" s="86">
        <v>65</v>
      </c>
      <c r="J1020" s="86">
        <v>65</v>
      </c>
      <c r="K1020" s="87">
        <v>1</v>
      </c>
      <c r="L1020" s="87">
        <v>1</v>
      </c>
      <c r="M1020" s="88">
        <v>1</v>
      </c>
      <c r="N1020" s="89"/>
      <c r="O1020" s="87"/>
      <c r="P1020" s="87"/>
      <c r="Q1020" s="87"/>
      <c r="R1020" s="87"/>
      <c r="S1020" s="87">
        <v>1</v>
      </c>
      <c r="T1020" s="87"/>
      <c r="U1020" s="87">
        <v>0</v>
      </c>
      <c r="V1020" s="90" t="s">
        <v>2472</v>
      </c>
    </row>
    <row r="1021" ht="15" customHeight="1" spans="1:23" x14ac:dyDescent="0.25">
      <c r="A1021" s="85">
        <v>4045</v>
      </c>
      <c r="B1021" s="85" t="s">
        <v>4032</v>
      </c>
      <c r="C1021" s="85" t="s">
        <v>698</v>
      </c>
      <c r="D1021" s="85" t="s">
        <v>1414</v>
      </c>
      <c r="E1021" s="85"/>
      <c r="F1021" s="85" t="s">
        <v>157</v>
      </c>
      <c r="G1021" s="85"/>
      <c r="H1021" s="85"/>
      <c r="I1021" s="86"/>
      <c r="J1021" s="86"/>
      <c r="K1021" s="87"/>
      <c r="L1021" s="87"/>
      <c r="M1021" s="88"/>
      <c r="N1021" s="89"/>
      <c r="O1021" s="87"/>
      <c r="P1021" s="87"/>
      <c r="Q1021" s="87"/>
      <c r="R1021" s="87"/>
      <c r="S1021" s="87">
        <v>0.8</v>
      </c>
      <c r="T1021" s="87">
        <v>0.8</v>
      </c>
      <c r="U1021" s="87"/>
      <c r="V1021" s="90" t="s">
        <v>2472</v>
      </c>
    </row>
    <row r="1022" ht="15" customHeight="1" spans="1:23" x14ac:dyDescent="0.25">
      <c r="A1022" s="85">
        <v>4045</v>
      </c>
      <c r="B1022" s="85" t="s">
        <v>4032</v>
      </c>
      <c r="C1022" s="85" t="s">
        <v>698</v>
      </c>
      <c r="D1022" s="85" t="s">
        <v>1414</v>
      </c>
      <c r="E1022" s="85"/>
      <c r="F1022" s="85" t="s">
        <v>2472</v>
      </c>
      <c r="G1022" s="85" t="s">
        <v>288</v>
      </c>
      <c r="H1022" s="85" t="s">
        <v>3268</v>
      </c>
      <c r="I1022" s="86">
        <v>65</v>
      </c>
      <c r="J1022" s="86">
        <v>65</v>
      </c>
      <c r="K1022" s="87">
        <v>1</v>
      </c>
      <c r="L1022" s="87">
        <v>0.8</v>
      </c>
      <c r="M1022" s="88">
        <v>0.8</v>
      </c>
      <c r="N1022" s="89"/>
      <c r="O1022" s="87"/>
      <c r="P1022" s="87"/>
      <c r="Q1022" s="87"/>
      <c r="R1022" s="87"/>
      <c r="S1022" s="87">
        <v>0.8</v>
      </c>
      <c r="T1022" s="87"/>
      <c r="U1022" s="87">
        <v>0</v>
      </c>
      <c r="V1022" s="90" t="s">
        <v>2472</v>
      </c>
    </row>
    <row r="1023" ht="15" customHeight="1" spans="1:23" x14ac:dyDescent="0.25">
      <c r="A1023" s="85">
        <v>4056</v>
      </c>
      <c r="B1023" s="85" t="s">
        <v>4033</v>
      </c>
      <c r="C1023" s="85" t="s">
        <v>173</v>
      </c>
      <c r="D1023" s="85" t="s">
        <v>526</v>
      </c>
      <c r="E1023" s="85"/>
      <c r="F1023" s="85" t="s">
        <v>157</v>
      </c>
      <c r="G1023" s="85"/>
      <c r="H1023" s="85"/>
      <c r="I1023" s="86"/>
      <c r="J1023" s="86"/>
      <c r="K1023" s="87"/>
      <c r="L1023" s="87"/>
      <c r="M1023" s="88"/>
      <c r="N1023" s="89"/>
      <c r="O1023" s="87"/>
      <c r="P1023" s="87"/>
      <c r="Q1023" s="87"/>
      <c r="R1023" s="87"/>
      <c r="S1023" s="87">
        <v>0.8</v>
      </c>
      <c r="T1023" s="87">
        <v>0.8</v>
      </c>
      <c r="U1023" s="87">
        <v>0.32000000000000006</v>
      </c>
      <c r="V1023" s="90" t="s">
        <v>4034</v>
      </c>
    </row>
    <row r="1024" ht="15" customHeight="1" spans="1:23" x14ac:dyDescent="0.25">
      <c r="A1024" s="85">
        <v>4056</v>
      </c>
      <c r="B1024" s="85" t="s">
        <v>4033</v>
      </c>
      <c r="C1024" s="85" t="s">
        <v>173</v>
      </c>
      <c r="D1024" s="85" t="s">
        <v>526</v>
      </c>
      <c r="E1024" s="85"/>
      <c r="F1024" s="85" t="s">
        <v>2472</v>
      </c>
      <c r="G1024" s="85" t="s">
        <v>288</v>
      </c>
      <c r="H1024" s="85" t="s">
        <v>3268</v>
      </c>
      <c r="I1024" s="86">
        <v>65</v>
      </c>
      <c r="J1024" s="86">
        <v>65</v>
      </c>
      <c r="K1024" s="87">
        <v>1</v>
      </c>
      <c r="L1024" s="87">
        <v>0.8</v>
      </c>
      <c r="M1024" s="88">
        <v>0.8</v>
      </c>
      <c r="N1024" s="89"/>
      <c r="O1024" s="87"/>
      <c r="P1024" s="87"/>
      <c r="Q1024" s="87"/>
      <c r="R1024" s="87"/>
      <c r="S1024" s="87">
        <v>0.8</v>
      </c>
      <c r="T1024" s="87"/>
      <c r="U1024" s="87">
        <v>0.32000000000000006</v>
      </c>
      <c r="V1024" s="90" t="s">
        <v>4035</v>
      </c>
    </row>
    <row r="1025" ht="15" customHeight="1" spans="1:23" x14ac:dyDescent="0.25">
      <c r="A1025" s="85">
        <v>5601</v>
      </c>
      <c r="B1025" s="85" t="s">
        <v>4036</v>
      </c>
      <c r="C1025" s="85" t="s">
        <v>2429</v>
      </c>
      <c r="D1025" s="85" t="s">
        <v>2445</v>
      </c>
      <c r="E1025" s="85"/>
      <c r="F1025" s="85" t="s">
        <v>157</v>
      </c>
      <c r="G1025" s="85"/>
      <c r="H1025" s="85"/>
      <c r="I1025" s="86"/>
      <c r="J1025" s="86"/>
      <c r="K1025" s="87"/>
      <c r="L1025" s="87"/>
      <c r="M1025" s="88"/>
      <c r="N1025" s="89"/>
      <c r="O1025" s="87"/>
      <c r="P1025" s="87"/>
      <c r="Q1025" s="87"/>
      <c r="R1025" s="87"/>
      <c r="S1025" s="87">
        <v>1</v>
      </c>
      <c r="T1025" s="87">
        <v>1</v>
      </c>
      <c r="U1025" s="87">
        <v>1</v>
      </c>
      <c r="V1025" s="90" t="s">
        <v>4037</v>
      </c>
    </row>
    <row r="1026" ht="15" customHeight="1" spans="1:23" x14ac:dyDescent="0.25">
      <c r="A1026" s="85">
        <v>5601</v>
      </c>
      <c r="B1026" s="85" t="s">
        <v>4036</v>
      </c>
      <c r="C1026" s="85" t="s">
        <v>2429</v>
      </c>
      <c r="D1026" s="85" t="s">
        <v>2445</v>
      </c>
      <c r="E1026" s="85"/>
      <c r="F1026" s="85" t="s">
        <v>2472</v>
      </c>
      <c r="G1026" s="85" t="s">
        <v>288</v>
      </c>
      <c r="H1026" s="85" t="s">
        <v>3268</v>
      </c>
      <c r="I1026" s="86">
        <v>65</v>
      </c>
      <c r="J1026" s="86">
        <v>65</v>
      </c>
      <c r="K1026" s="87">
        <v>1</v>
      </c>
      <c r="L1026" s="87">
        <v>1</v>
      </c>
      <c r="M1026" s="88">
        <v>1</v>
      </c>
      <c r="N1026" s="89"/>
      <c r="O1026" s="87"/>
      <c r="P1026" s="87"/>
      <c r="Q1026" s="87"/>
      <c r="R1026" s="87"/>
      <c r="S1026" s="87">
        <v>1</v>
      </c>
      <c r="T1026" s="87"/>
      <c r="U1026" s="87">
        <v>1</v>
      </c>
      <c r="V1026" s="90" t="s">
        <v>4037</v>
      </c>
    </row>
    <row r="1027" ht="15" customHeight="1" spans="1:23" x14ac:dyDescent="0.25">
      <c r="A1027" s="85">
        <v>5608</v>
      </c>
      <c r="B1027" s="85" t="s">
        <v>4038</v>
      </c>
      <c r="C1027" s="85" t="s">
        <v>698</v>
      </c>
      <c r="D1027" s="85" t="s">
        <v>1898</v>
      </c>
      <c r="E1027" s="85"/>
      <c r="F1027" s="85" t="s">
        <v>157</v>
      </c>
      <c r="G1027" s="85"/>
      <c r="H1027" s="85"/>
      <c r="I1027" s="86"/>
      <c r="J1027" s="86"/>
      <c r="K1027" s="87"/>
      <c r="L1027" s="87"/>
      <c r="M1027" s="88"/>
      <c r="N1027" s="89"/>
      <c r="O1027" s="87"/>
      <c r="P1027" s="87"/>
      <c r="Q1027" s="87"/>
      <c r="R1027" s="87"/>
      <c r="S1027" s="87">
        <v>0.6</v>
      </c>
      <c r="T1027" s="87">
        <v>0.6</v>
      </c>
      <c r="U1027" s="87">
        <v>0.6</v>
      </c>
      <c r="V1027" s="90" t="s">
        <v>4039</v>
      </c>
    </row>
    <row r="1028" ht="15" customHeight="1" spans="1:23" x14ac:dyDescent="0.25">
      <c r="A1028" s="85">
        <v>5608</v>
      </c>
      <c r="B1028" s="85" t="s">
        <v>4038</v>
      </c>
      <c r="C1028" s="85" t="s">
        <v>698</v>
      </c>
      <c r="D1028" s="85" t="s">
        <v>1898</v>
      </c>
      <c r="E1028" s="85"/>
      <c r="F1028" s="85" t="s">
        <v>2472</v>
      </c>
      <c r="G1028" s="85" t="s">
        <v>1898</v>
      </c>
      <c r="H1028" s="85" t="s">
        <v>3268</v>
      </c>
      <c r="I1028" s="86">
        <v>65</v>
      </c>
      <c r="J1028" s="86">
        <v>65</v>
      </c>
      <c r="K1028" s="87">
        <v>1</v>
      </c>
      <c r="L1028" s="87">
        <v>0.6</v>
      </c>
      <c r="M1028" s="88">
        <v>0.6</v>
      </c>
      <c r="N1028" s="89"/>
      <c r="O1028" s="87"/>
      <c r="P1028" s="87"/>
      <c r="Q1028" s="87"/>
      <c r="R1028" s="87"/>
      <c r="S1028" s="87">
        <v>0.6</v>
      </c>
      <c r="T1028" s="87"/>
      <c r="U1028" s="87">
        <v>0.6</v>
      </c>
      <c r="V1028" s="90" t="s">
        <v>4039</v>
      </c>
    </row>
    <row r="1029" ht="15" customHeight="1" spans="1:23" x14ac:dyDescent="0.25">
      <c r="A1029" s="85">
        <v>7339</v>
      </c>
      <c r="B1029" s="85" t="s">
        <v>4040</v>
      </c>
      <c r="C1029" s="85" t="s">
        <v>173</v>
      </c>
      <c r="D1029" s="85" t="s">
        <v>288</v>
      </c>
      <c r="E1029" s="85" t="s">
        <v>467</v>
      </c>
      <c r="F1029" s="85" t="s">
        <v>157</v>
      </c>
      <c r="G1029" s="85"/>
      <c r="H1029" s="85"/>
      <c r="I1029" s="86"/>
      <c r="J1029" s="86"/>
      <c r="K1029" s="87"/>
      <c r="L1029" s="87"/>
      <c r="M1029" s="88"/>
      <c r="N1029" s="89"/>
      <c r="O1029" s="87"/>
      <c r="P1029" s="87"/>
      <c r="Q1029" s="87"/>
      <c r="R1029" s="87"/>
      <c r="S1029" s="87">
        <v>1</v>
      </c>
      <c r="T1029" s="87">
        <v>1</v>
      </c>
      <c r="U1029" s="87">
        <v>1</v>
      </c>
      <c r="V1029" s="90" t="s">
        <v>4041</v>
      </c>
    </row>
    <row r="1030" ht="15" customHeight="1" spans="1:23" x14ac:dyDescent="0.25">
      <c r="A1030" s="85">
        <v>7339</v>
      </c>
      <c r="B1030" s="85" t="s">
        <v>4040</v>
      </c>
      <c r="C1030" s="85" t="s">
        <v>173</v>
      </c>
      <c r="D1030" s="85" t="s">
        <v>288</v>
      </c>
      <c r="E1030" s="85" t="s">
        <v>467</v>
      </c>
      <c r="F1030" s="85" t="s">
        <v>2472</v>
      </c>
      <c r="G1030" s="85" t="s">
        <v>288</v>
      </c>
      <c r="H1030" s="85" t="s">
        <v>3268</v>
      </c>
      <c r="I1030" s="86">
        <v>65</v>
      </c>
      <c r="J1030" s="86">
        <v>65</v>
      </c>
      <c r="K1030" s="87">
        <v>1</v>
      </c>
      <c r="L1030" s="87">
        <v>1</v>
      </c>
      <c r="M1030" s="88">
        <v>1</v>
      </c>
      <c r="N1030" s="89"/>
      <c r="O1030" s="87"/>
      <c r="P1030" s="87"/>
      <c r="Q1030" s="87"/>
      <c r="R1030" s="87"/>
      <c r="S1030" s="87">
        <v>1</v>
      </c>
      <c r="T1030" s="87"/>
      <c r="U1030" s="87">
        <v>1</v>
      </c>
      <c r="V1030" s="90" t="s">
        <v>4041</v>
      </c>
    </row>
    <row r="1031" ht="15" customHeight="1" spans="1:23" x14ac:dyDescent="0.25">
      <c r="A1031" s="85">
        <v>10235</v>
      </c>
      <c r="B1031" s="85" t="s">
        <v>4042</v>
      </c>
      <c r="C1031" s="85" t="s">
        <v>2429</v>
      </c>
      <c r="D1031" s="85" t="s">
        <v>175</v>
      </c>
      <c r="E1031" s="85" t="s">
        <v>2431</v>
      </c>
      <c r="F1031" s="85" t="s">
        <v>157</v>
      </c>
      <c r="G1031" s="85"/>
      <c r="H1031" s="85"/>
      <c r="I1031" s="86"/>
      <c r="J1031" s="86"/>
      <c r="K1031" s="87"/>
      <c r="L1031" s="87"/>
      <c r="M1031" s="88"/>
      <c r="N1031" s="89"/>
      <c r="O1031" s="87"/>
      <c r="P1031" s="87"/>
      <c r="Q1031" s="87"/>
      <c r="R1031" s="87"/>
      <c r="S1031" s="87">
        <v>0.6347</v>
      </c>
      <c r="T1031" s="87">
        <v>0.6347</v>
      </c>
      <c r="U1031" s="87">
        <v>0.6347</v>
      </c>
      <c r="V1031" s="90" t="s">
        <v>4043</v>
      </c>
    </row>
    <row r="1032" ht="15" customHeight="1" spans="1:23" x14ac:dyDescent="0.25">
      <c r="A1032" s="85">
        <v>10235</v>
      </c>
      <c r="B1032" s="85" t="s">
        <v>4042</v>
      </c>
      <c r="C1032" s="85" t="s">
        <v>2429</v>
      </c>
      <c r="D1032" s="85" t="s">
        <v>175</v>
      </c>
      <c r="E1032" s="85" t="s">
        <v>2431</v>
      </c>
      <c r="F1032" s="85" t="s">
        <v>2472</v>
      </c>
      <c r="G1032" s="85" t="s">
        <v>288</v>
      </c>
      <c r="H1032" s="85" t="s">
        <v>3268</v>
      </c>
      <c r="I1032" s="86">
        <v>65</v>
      </c>
      <c r="J1032" s="86">
        <v>65</v>
      </c>
      <c r="K1032" s="87">
        <v>1</v>
      </c>
      <c r="L1032" s="87">
        <v>0.6347</v>
      </c>
      <c r="M1032" s="88">
        <v>0.6347</v>
      </c>
      <c r="N1032" s="89"/>
      <c r="O1032" s="87"/>
      <c r="P1032" s="87"/>
      <c r="Q1032" s="87"/>
      <c r="R1032" s="87"/>
      <c r="S1032" s="87">
        <v>0.6347</v>
      </c>
      <c r="T1032" s="87"/>
      <c r="U1032" s="87">
        <v>0.6347</v>
      </c>
      <c r="V1032" s="90" t="s">
        <v>4043</v>
      </c>
    </row>
    <row r="1033" ht="15" customHeight="1" spans="1:23" x14ac:dyDescent="0.25">
      <c r="A1033" s="85">
        <v>10236</v>
      </c>
      <c r="B1033" s="85" t="s">
        <v>4044</v>
      </c>
      <c r="C1033" s="85" t="s">
        <v>2429</v>
      </c>
      <c r="D1033" s="85" t="s">
        <v>263</v>
      </c>
      <c r="E1033" s="85"/>
      <c r="F1033" s="85" t="s">
        <v>157</v>
      </c>
      <c r="G1033" s="85"/>
      <c r="H1033" s="85"/>
      <c r="I1033" s="86"/>
      <c r="J1033" s="86"/>
      <c r="K1033" s="87"/>
      <c r="L1033" s="87"/>
      <c r="M1033" s="88"/>
      <c r="N1033" s="89"/>
      <c r="O1033" s="87"/>
      <c r="P1033" s="87"/>
      <c r="Q1033" s="87"/>
      <c r="R1033" s="87"/>
      <c r="S1033" s="87">
        <v>0.8886</v>
      </c>
      <c r="T1033" s="87">
        <v>0.8886</v>
      </c>
      <c r="U1033" s="87">
        <v>0.8886</v>
      </c>
      <c r="V1033" s="90" t="s">
        <v>4045</v>
      </c>
    </row>
    <row r="1034" ht="15" customHeight="1" spans="1:23" x14ac:dyDescent="0.25">
      <c r="A1034" s="85">
        <v>10236</v>
      </c>
      <c r="B1034" s="85" t="s">
        <v>4044</v>
      </c>
      <c r="C1034" s="85" t="s">
        <v>2429</v>
      </c>
      <c r="D1034" s="85" t="s">
        <v>263</v>
      </c>
      <c r="E1034" s="85"/>
      <c r="F1034" s="85" t="s">
        <v>2472</v>
      </c>
      <c r="G1034" s="85" t="s">
        <v>288</v>
      </c>
      <c r="H1034" s="85" t="s">
        <v>3268</v>
      </c>
      <c r="I1034" s="86">
        <v>65</v>
      </c>
      <c r="J1034" s="86">
        <v>65</v>
      </c>
      <c r="K1034" s="87">
        <v>1</v>
      </c>
      <c r="L1034" s="87">
        <v>0.8886</v>
      </c>
      <c r="M1034" s="88">
        <v>0.8886</v>
      </c>
      <c r="N1034" s="89"/>
      <c r="O1034" s="87"/>
      <c r="P1034" s="87"/>
      <c r="Q1034" s="87"/>
      <c r="R1034" s="87"/>
      <c r="S1034" s="87">
        <v>0.8886</v>
      </c>
      <c r="T1034" s="87"/>
      <c r="U1034" s="87">
        <v>0.8886</v>
      </c>
      <c r="V1034" s="90" t="s">
        <v>4045</v>
      </c>
    </row>
    <row r="1035" ht="15" customHeight="1" spans="1:23" x14ac:dyDescent="0.25">
      <c r="A1035" s="85">
        <v>10238</v>
      </c>
      <c r="B1035" s="85" t="s">
        <v>4046</v>
      </c>
      <c r="C1035" s="85" t="s">
        <v>2429</v>
      </c>
      <c r="D1035" s="85" t="s">
        <v>288</v>
      </c>
      <c r="E1035" s="85"/>
      <c r="F1035" s="85" t="s">
        <v>157</v>
      </c>
      <c r="G1035" s="85"/>
      <c r="H1035" s="85"/>
      <c r="I1035" s="86"/>
      <c r="J1035" s="86"/>
      <c r="K1035" s="87"/>
      <c r="L1035" s="87"/>
      <c r="M1035" s="88"/>
      <c r="N1035" s="89"/>
      <c r="O1035" s="87"/>
      <c r="P1035" s="87"/>
      <c r="Q1035" s="87"/>
      <c r="R1035" s="87"/>
      <c r="S1035" s="87">
        <v>0.75</v>
      </c>
      <c r="T1035" s="87">
        <v>0.75</v>
      </c>
      <c r="U1035" s="87">
        <v>0.75</v>
      </c>
      <c r="V1035" s="90" t="s">
        <v>4047</v>
      </c>
    </row>
    <row r="1036" ht="15" customHeight="1" spans="1:23" x14ac:dyDescent="0.25">
      <c r="A1036" s="85">
        <v>10238</v>
      </c>
      <c r="B1036" s="85" t="s">
        <v>4046</v>
      </c>
      <c r="C1036" s="85" t="s">
        <v>2429</v>
      </c>
      <c r="D1036" s="85" t="s">
        <v>288</v>
      </c>
      <c r="E1036" s="85"/>
      <c r="F1036" s="85" t="s">
        <v>2472</v>
      </c>
      <c r="G1036" s="85" t="s">
        <v>288</v>
      </c>
      <c r="H1036" s="85" t="s">
        <v>3268</v>
      </c>
      <c r="I1036" s="86">
        <v>65</v>
      </c>
      <c r="J1036" s="86">
        <v>65</v>
      </c>
      <c r="K1036" s="87">
        <v>1</v>
      </c>
      <c r="L1036" s="87">
        <v>0.75</v>
      </c>
      <c r="M1036" s="88">
        <v>0.75</v>
      </c>
      <c r="N1036" s="89"/>
      <c r="O1036" s="87"/>
      <c r="P1036" s="87"/>
      <c r="Q1036" s="87"/>
      <c r="R1036" s="87"/>
      <c r="S1036" s="87">
        <v>0.75</v>
      </c>
      <c r="T1036" s="87"/>
      <c r="U1036" s="87">
        <v>0.75</v>
      </c>
      <c r="V1036" s="90" t="s">
        <v>4047</v>
      </c>
    </row>
    <row r="1037" ht="15" customHeight="1" spans="1:23" x14ac:dyDescent="0.25">
      <c r="A1037" s="85">
        <v>10239</v>
      </c>
      <c r="B1037" s="85" t="s">
        <v>4048</v>
      </c>
      <c r="C1037" s="85" t="s">
        <v>173</v>
      </c>
      <c r="D1037" s="85" t="s">
        <v>237</v>
      </c>
      <c r="E1037" s="85"/>
      <c r="F1037" s="85" t="s">
        <v>157</v>
      </c>
      <c r="G1037" s="85"/>
      <c r="H1037" s="85"/>
      <c r="I1037" s="86"/>
      <c r="J1037" s="86"/>
      <c r="K1037" s="87"/>
      <c r="L1037" s="87"/>
      <c r="M1037" s="88"/>
      <c r="N1037" s="89"/>
      <c r="O1037" s="87"/>
      <c r="P1037" s="87"/>
      <c r="Q1037" s="87"/>
      <c r="R1037" s="87"/>
      <c r="S1037" s="87">
        <v>0.1442</v>
      </c>
      <c r="T1037" s="87">
        <v>0.1442</v>
      </c>
      <c r="U1037" s="87">
        <v>0.1442</v>
      </c>
      <c r="V1037" s="90" t="s">
        <v>4049</v>
      </c>
    </row>
    <row r="1038" ht="15" customHeight="1" spans="1:23" x14ac:dyDescent="0.25">
      <c r="A1038" s="85">
        <v>10239</v>
      </c>
      <c r="B1038" s="85" t="s">
        <v>4048</v>
      </c>
      <c r="C1038" s="85" t="s">
        <v>173</v>
      </c>
      <c r="D1038" s="85" t="s">
        <v>237</v>
      </c>
      <c r="E1038" s="85"/>
      <c r="F1038" s="85" t="s">
        <v>2472</v>
      </c>
      <c r="G1038" s="85" t="s">
        <v>288</v>
      </c>
      <c r="H1038" s="85" t="s">
        <v>3268</v>
      </c>
      <c r="I1038" s="86">
        <v>65</v>
      </c>
      <c r="J1038" s="86">
        <v>65</v>
      </c>
      <c r="K1038" s="87">
        <v>1</v>
      </c>
      <c r="L1038" s="87">
        <v>0.1442</v>
      </c>
      <c r="M1038" s="88">
        <v>0.1442</v>
      </c>
      <c r="N1038" s="89"/>
      <c r="O1038" s="87"/>
      <c r="P1038" s="87"/>
      <c r="Q1038" s="87"/>
      <c r="R1038" s="87"/>
      <c r="S1038" s="87">
        <v>0.1442</v>
      </c>
      <c r="T1038" s="87"/>
      <c r="U1038" s="87">
        <v>0.1442</v>
      </c>
      <c r="V1038" s="90" t="s">
        <v>4049</v>
      </c>
    </row>
    <row r="1039" ht="15" customHeight="1" spans="1:23" x14ac:dyDescent="0.25">
      <c r="A1039" s="85">
        <v>10240</v>
      </c>
      <c r="B1039" s="85" t="s">
        <v>4050</v>
      </c>
      <c r="C1039" s="85" t="s">
        <v>2429</v>
      </c>
      <c r="D1039" s="85" t="s">
        <v>263</v>
      </c>
      <c r="E1039" s="85"/>
      <c r="F1039" s="85" t="s">
        <v>157</v>
      </c>
      <c r="G1039" s="85"/>
      <c r="H1039" s="85"/>
      <c r="I1039" s="86"/>
      <c r="J1039" s="86"/>
      <c r="K1039" s="87"/>
      <c r="L1039" s="87"/>
      <c r="M1039" s="88"/>
      <c r="N1039" s="89"/>
      <c r="O1039" s="87"/>
      <c r="P1039" s="87"/>
      <c r="Q1039" s="87"/>
      <c r="R1039" s="87"/>
      <c r="S1039" s="87">
        <v>1</v>
      </c>
      <c r="T1039" s="87">
        <v>1</v>
      </c>
      <c r="U1039" s="87">
        <v>1</v>
      </c>
      <c r="V1039" s="90" t="s">
        <v>4051</v>
      </c>
    </row>
    <row r="1040" ht="15" customHeight="1" spans="1:23" x14ac:dyDescent="0.25">
      <c r="A1040" s="85">
        <v>10240</v>
      </c>
      <c r="B1040" s="85" t="s">
        <v>4050</v>
      </c>
      <c r="C1040" s="85" t="s">
        <v>2429</v>
      </c>
      <c r="D1040" s="85" t="s">
        <v>263</v>
      </c>
      <c r="E1040" s="85"/>
      <c r="F1040" s="85" t="s">
        <v>2472</v>
      </c>
      <c r="G1040" s="85" t="s">
        <v>288</v>
      </c>
      <c r="H1040" s="85" t="s">
        <v>3268</v>
      </c>
      <c r="I1040" s="86">
        <v>65</v>
      </c>
      <c r="J1040" s="86">
        <v>65</v>
      </c>
      <c r="K1040" s="87">
        <v>1</v>
      </c>
      <c r="L1040" s="87">
        <v>1</v>
      </c>
      <c r="M1040" s="88">
        <v>1</v>
      </c>
      <c r="N1040" s="89"/>
      <c r="O1040" s="87"/>
      <c r="P1040" s="87"/>
      <c r="Q1040" s="87"/>
      <c r="R1040" s="87"/>
      <c r="S1040" s="87">
        <v>1</v>
      </c>
      <c r="T1040" s="87"/>
      <c r="U1040" s="87">
        <v>1</v>
      </c>
      <c r="V1040" s="90" t="s">
        <v>4051</v>
      </c>
    </row>
    <row r="1041" ht="15" customHeight="1" spans="1:23" x14ac:dyDescent="0.25">
      <c r="A1041" s="85">
        <v>10241</v>
      </c>
      <c r="B1041" s="85" t="s">
        <v>4052</v>
      </c>
      <c r="C1041" s="85" t="s">
        <v>173</v>
      </c>
      <c r="D1041" s="85" t="s">
        <v>175</v>
      </c>
      <c r="E1041" s="85"/>
      <c r="F1041" s="85" t="s">
        <v>157</v>
      </c>
      <c r="G1041" s="85"/>
      <c r="H1041" s="85"/>
      <c r="I1041" s="86"/>
      <c r="J1041" s="86"/>
      <c r="K1041" s="87"/>
      <c r="L1041" s="87"/>
      <c r="M1041" s="88"/>
      <c r="N1041" s="89"/>
      <c r="O1041" s="87"/>
      <c r="P1041" s="87"/>
      <c r="Q1041" s="87"/>
      <c r="R1041" s="87"/>
      <c r="S1041" s="87">
        <v>0.43270000000000003</v>
      </c>
      <c r="T1041" s="87">
        <v>0.43270000000000003</v>
      </c>
      <c r="U1041" s="87">
        <v>0.43270000000000003</v>
      </c>
      <c r="V1041" s="90" t="s">
        <v>4053</v>
      </c>
    </row>
    <row r="1042" ht="15" customHeight="1" spans="1:23" x14ac:dyDescent="0.25">
      <c r="A1042" s="85">
        <v>10241</v>
      </c>
      <c r="B1042" s="85" t="s">
        <v>4052</v>
      </c>
      <c r="C1042" s="85" t="s">
        <v>173</v>
      </c>
      <c r="D1042" s="85" t="s">
        <v>175</v>
      </c>
      <c r="E1042" s="85"/>
      <c r="F1042" s="85" t="s">
        <v>2472</v>
      </c>
      <c r="G1042" s="85" t="s">
        <v>288</v>
      </c>
      <c r="H1042" s="85" t="s">
        <v>3268</v>
      </c>
      <c r="I1042" s="86">
        <v>65</v>
      </c>
      <c r="J1042" s="86">
        <v>65</v>
      </c>
      <c r="K1042" s="87">
        <v>1</v>
      </c>
      <c r="L1042" s="87">
        <v>0.43270000000000003</v>
      </c>
      <c r="M1042" s="88">
        <v>0.43270000000000003</v>
      </c>
      <c r="N1042" s="89"/>
      <c r="O1042" s="87"/>
      <c r="P1042" s="87"/>
      <c r="Q1042" s="87"/>
      <c r="R1042" s="87"/>
      <c r="S1042" s="87">
        <v>0.43270000000000003</v>
      </c>
      <c r="T1042" s="87"/>
      <c r="U1042" s="87">
        <v>0.43270000000000003</v>
      </c>
      <c r="V1042" s="90" t="s">
        <v>4053</v>
      </c>
    </row>
    <row r="1043" ht="15" customHeight="1" spans="1:23" x14ac:dyDescent="0.25">
      <c r="A1043" s="85">
        <v>10242</v>
      </c>
      <c r="B1043" s="85" t="s">
        <v>4054</v>
      </c>
      <c r="C1043" s="85" t="s">
        <v>2429</v>
      </c>
      <c r="D1043" s="85" t="s">
        <v>2454</v>
      </c>
      <c r="E1043" s="85"/>
      <c r="F1043" s="85" t="s">
        <v>157</v>
      </c>
      <c r="G1043" s="85"/>
      <c r="H1043" s="85"/>
      <c r="I1043" s="86"/>
      <c r="J1043" s="86"/>
      <c r="K1043" s="87"/>
      <c r="L1043" s="87"/>
      <c r="M1043" s="88"/>
      <c r="N1043" s="89"/>
      <c r="O1043" s="87"/>
      <c r="P1043" s="87"/>
      <c r="Q1043" s="87"/>
      <c r="R1043" s="87"/>
      <c r="S1043" s="87">
        <v>0.2830769230769231</v>
      </c>
      <c r="T1043" s="87">
        <v>0.2830769230769231</v>
      </c>
      <c r="U1043" s="87">
        <v>0.2830769230769231</v>
      </c>
      <c r="V1043" s="90" t="s">
        <v>4055</v>
      </c>
    </row>
    <row r="1044" ht="15" customHeight="1" spans="1:23" x14ac:dyDescent="0.25">
      <c r="A1044" s="85">
        <v>10242</v>
      </c>
      <c r="B1044" s="85" t="s">
        <v>4054</v>
      </c>
      <c r="C1044" s="85" t="s">
        <v>2429</v>
      </c>
      <c r="D1044" s="85" t="s">
        <v>2454</v>
      </c>
      <c r="E1044" s="85"/>
      <c r="F1044" s="85" t="s">
        <v>2472</v>
      </c>
      <c r="G1044" s="85" t="s">
        <v>2454</v>
      </c>
      <c r="H1044" s="85" t="s">
        <v>3268</v>
      </c>
      <c r="I1044" s="86">
        <v>65</v>
      </c>
      <c r="J1044" s="86">
        <v>23</v>
      </c>
      <c r="K1044" s="87">
        <v>0.35384615384615387</v>
      </c>
      <c r="L1044" s="87">
        <v>0.8</v>
      </c>
      <c r="M1044" s="88">
        <v>0.2830769230769231</v>
      </c>
      <c r="N1044" s="89"/>
      <c r="O1044" s="87"/>
      <c r="P1044" s="87"/>
      <c r="Q1044" s="87"/>
      <c r="R1044" s="87"/>
      <c r="S1044" s="87">
        <v>0.2830769230769231</v>
      </c>
      <c r="T1044" s="87"/>
      <c r="U1044" s="87">
        <v>0.2830769230769231</v>
      </c>
      <c r="V1044" s="90" t="s">
        <v>4055</v>
      </c>
    </row>
    <row r="1045" ht="15" customHeight="1" spans="1:23" x14ac:dyDescent="0.25">
      <c r="A1045" s="85">
        <v>10244</v>
      </c>
      <c r="B1045" s="85" t="s">
        <v>4056</v>
      </c>
      <c r="C1045" s="85" t="s">
        <v>173</v>
      </c>
      <c r="D1045" s="85" t="s">
        <v>288</v>
      </c>
      <c r="E1045" s="85"/>
      <c r="F1045" s="85" t="s">
        <v>157</v>
      </c>
      <c r="G1045" s="85"/>
      <c r="H1045" s="85"/>
      <c r="I1045" s="86"/>
      <c r="J1045" s="86"/>
      <c r="K1045" s="87"/>
      <c r="L1045" s="87"/>
      <c r="M1045" s="88"/>
      <c r="N1045" s="89"/>
      <c r="O1045" s="87"/>
      <c r="P1045" s="87"/>
      <c r="Q1045" s="87"/>
      <c r="R1045" s="87"/>
      <c r="S1045" s="87">
        <v>0.7212000000000001</v>
      </c>
      <c r="T1045" s="87">
        <v>0.7212000000000001</v>
      </c>
      <c r="U1045" s="87">
        <v>0.7212000000000001</v>
      </c>
      <c r="V1045" s="90" t="s">
        <v>4057</v>
      </c>
    </row>
    <row r="1046" ht="15" customHeight="1" spans="1:23" x14ac:dyDescent="0.25">
      <c r="A1046" s="85">
        <v>10244</v>
      </c>
      <c r="B1046" s="85" t="s">
        <v>4056</v>
      </c>
      <c r="C1046" s="85" t="s">
        <v>173</v>
      </c>
      <c r="D1046" s="85" t="s">
        <v>288</v>
      </c>
      <c r="E1046" s="85"/>
      <c r="F1046" s="85" t="s">
        <v>2472</v>
      </c>
      <c r="G1046" s="85" t="s">
        <v>288</v>
      </c>
      <c r="H1046" s="85" t="s">
        <v>3268</v>
      </c>
      <c r="I1046" s="86">
        <v>65</v>
      </c>
      <c r="J1046" s="86">
        <v>65</v>
      </c>
      <c r="K1046" s="87">
        <v>1</v>
      </c>
      <c r="L1046" s="87">
        <v>0.7212000000000001</v>
      </c>
      <c r="M1046" s="88">
        <v>0.7212000000000001</v>
      </c>
      <c r="N1046" s="89"/>
      <c r="O1046" s="87"/>
      <c r="P1046" s="87"/>
      <c r="Q1046" s="87"/>
      <c r="R1046" s="87"/>
      <c r="S1046" s="87">
        <v>0.7212000000000001</v>
      </c>
      <c r="T1046" s="87"/>
      <c r="U1046" s="87">
        <v>0.7212000000000001</v>
      </c>
      <c r="V1046" s="90" t="s">
        <v>4057</v>
      </c>
    </row>
    <row r="1047" ht="15" customHeight="1" spans="1:23" x14ac:dyDescent="0.25">
      <c r="A1047" s="85">
        <v>10247</v>
      </c>
      <c r="B1047" s="85" t="s">
        <v>4058</v>
      </c>
      <c r="C1047" s="85" t="s">
        <v>2429</v>
      </c>
      <c r="D1047" s="85" t="s">
        <v>175</v>
      </c>
      <c r="E1047" s="85"/>
      <c r="F1047" s="85" t="s">
        <v>157</v>
      </c>
      <c r="G1047" s="85"/>
      <c r="H1047" s="85"/>
      <c r="I1047" s="86"/>
      <c r="J1047" s="86"/>
      <c r="K1047" s="87"/>
      <c r="L1047" s="87"/>
      <c r="M1047" s="88"/>
      <c r="N1047" s="89"/>
      <c r="O1047" s="87"/>
      <c r="P1047" s="87"/>
      <c r="Q1047" s="87"/>
      <c r="R1047" s="87"/>
      <c r="S1047" s="87">
        <v>1</v>
      </c>
      <c r="T1047" s="87">
        <v>1</v>
      </c>
      <c r="U1047" s="87">
        <v>1</v>
      </c>
      <c r="V1047" s="90" t="s">
        <v>4059</v>
      </c>
    </row>
    <row r="1048" ht="15" customHeight="1" spans="1:23" x14ac:dyDescent="0.25">
      <c r="A1048" s="85">
        <v>10247</v>
      </c>
      <c r="B1048" s="85" t="s">
        <v>4058</v>
      </c>
      <c r="C1048" s="85" t="s">
        <v>2429</v>
      </c>
      <c r="D1048" s="85" t="s">
        <v>175</v>
      </c>
      <c r="E1048" s="85"/>
      <c r="F1048" s="85" t="s">
        <v>2472</v>
      </c>
      <c r="G1048" s="85" t="s">
        <v>288</v>
      </c>
      <c r="H1048" s="85" t="s">
        <v>3268</v>
      </c>
      <c r="I1048" s="86">
        <v>65</v>
      </c>
      <c r="J1048" s="86">
        <v>65</v>
      </c>
      <c r="K1048" s="87">
        <v>1</v>
      </c>
      <c r="L1048" s="87">
        <v>1</v>
      </c>
      <c r="M1048" s="88">
        <v>1</v>
      </c>
      <c r="N1048" s="89"/>
      <c r="O1048" s="87"/>
      <c r="P1048" s="87"/>
      <c r="Q1048" s="87"/>
      <c r="R1048" s="87"/>
      <c r="S1048" s="87">
        <v>1</v>
      </c>
      <c r="T1048" s="87"/>
      <c r="U1048" s="87">
        <v>1</v>
      </c>
      <c r="V1048" s="90" t="s">
        <v>4059</v>
      </c>
    </row>
    <row r="1049" spans="1:23" x14ac:dyDescent="0.25"/>
    <row r="1052" spans="1:4" x14ac:dyDescent="0.25">
      <c r="D1052" s="1"/>
    </row>
  </sheetData>
  <autoFilter ref="A1:V1"/>
  <conditionalFormatting sqref="A1:B1">
    <cfRule type="expression" dxfId="17" priority="30">
      <formula>AND(OR($I1&lt;&gt;"-",#REF!&lt;&gt;0,#REF!&lt;&gt;0,ISBLANK($M1)),ROW()&gt;2,$A1&lt;&gt;"")</formula>
    </cfRule>
  </conditionalFormatting>
  <conditionalFormatting sqref="A2:F1048">
    <cfRule type="expression" dxfId="18" priority="11">
      <formula>$F2="x"</formula>
    </cfRule>
  </conditionalFormatting>
  <conditionalFormatting sqref="G2:N1048">
    <cfRule type="expression" dxfId="19" priority="5">
      <formula>$F2="x"</formula>
    </cfRule>
  </conditionalFormatting>
  <conditionalFormatting sqref="I2:K1048">
    <cfRule type="expression" dxfId="20" priority="6">
      <formula>1=1</formula>
    </cfRule>
  </conditionalFormatting>
  <conditionalFormatting sqref="L2:L1048">
    <cfRule type="expression" dxfId="21" priority="8">
      <formula>1=1</formula>
    </cfRule>
  </conditionalFormatting>
  <conditionalFormatting sqref="N2:N1048">
    <cfRule type="expression" dxfId="22" priority="7">
      <formula>1=1</formula>
    </cfRule>
  </conditionalFormatting>
  <conditionalFormatting sqref="O2:O1048">
    <cfRule type="expression" dxfId="23" priority="9">
      <formula>1=1</formula>
    </cfRule>
  </conditionalFormatting>
  <conditionalFormatting sqref="O2:U1048">
    <cfRule type="expression" dxfId="24" priority="1">
      <formula>$F2="x"</formula>
    </cfRule>
  </conditionalFormatting>
  <conditionalFormatting sqref="Q2:R1048">
    <cfRule type="expression" dxfId="25" priority="4">
      <formula>1=1</formula>
    </cfRule>
  </conditionalFormatting>
  <conditionalFormatting sqref="S2:S1048">
    <cfRule type="expression" dxfId="26" priority="3">
      <formula>1=1</formula>
    </cfRule>
  </conditionalFormatting>
  <conditionalFormatting sqref="U2:U1048">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ETPT_JUR_ASS</vt:lpstr>
      <vt:lpstr>ETPT_TJ_DDG</vt:lpstr>
      <vt:lpstr>ETPT_TPRX_DDG</vt:lpstr>
      <vt:lpstr>ETPT_CPH_DDG</vt:lpstr>
      <vt:lpstr>ETPT_JUR_ASS_DDG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Jimmy CHEVALLIER</cp:lastModifiedBy>
  <dcterms:created xsi:type="dcterms:W3CDTF">2020-03-26T00:32:42Z</dcterms:created>
  <dcterms:modified xsi:type="dcterms:W3CDTF">2025-11-19T15:59:50Z</dcterms:modified>
</cp:coreProperties>
</file>