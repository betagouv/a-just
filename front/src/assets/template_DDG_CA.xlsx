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codeName="ThisWorkbook" hidePivotFieldList="1" defaultThemeVersion="166925"/>
  <mc:AlternateContent xmlns:mc="http://schemas.openxmlformats.org/markup-compatibility/2006">
    <mc:Choice Requires="x15">
      <x15ac:absPath xmlns:x15ac="http://schemas.microsoft.com/office/spreadsheetml/2010/11/ac" url="/Users/jimmychevallier/Documents/GitHub/a-just/front/src/assets/"/>
    </mc:Choice>
  </mc:AlternateContent>
  <xr:revisionPtr revIDLastSave="0" documentId="13_ncr:1_{0EB1BDA6-895D-9C4D-B599-BC0585CBF815}" xr6:coauthVersionLast="47" xr6:coauthVersionMax="47" xr10:uidLastSave="{00000000-0000-0000-0000-000000000000}"/>
  <bookViews>
    <workbookView xWindow="0" yWindow="760" windowWidth="30240" windowHeight="17780" activeTab="3" xr2:uid="{50CB0F02-73D8-432D-BA19-0D33B1FE1838}"/>
  </bookViews>
  <sheets>
    <sheet name="ACCUEIL" sheetId="33" r:id="rId1"/>
    <sheet name="ETPT A-JUST" sheetId="1" r:id="rId2"/>
    <sheet name="ETPT Format DDG" sheetId="9" r:id="rId3"/>
    <sheet name="Agrégats DDG" sheetId="10" r:id="rId4"/>
    <sheet name="codage tribunal" sheetId="12" r:id="rId5"/>
    <sheet name="Juridictions" sheetId="17" r:id="rId6"/>
    <sheet name="Table_Fonctions" sheetId="19" r:id="rId7"/>
    <sheet name="ETPT_TJ" sheetId="25" r:id="rId8"/>
    <sheet name="ETPT_TPRX" sheetId="26" r:id="rId9"/>
    <sheet name="ETPT_CPH" sheetId="27" r:id="rId10"/>
    <sheet name="ETPT_TJ_DDG" sheetId="28" r:id="rId11"/>
    <sheet name="ETPT_TPRX_DDG" sheetId="29" r:id="rId12"/>
    <sheet name="ETPT_CPH_DDG" sheetId="30" r:id="rId13"/>
    <sheet name="ETPT_TJ_corresp-SIEGE-TJ" sheetId="24" r:id="rId14"/>
    <sheet name="ETPT_TPROX_corresp-SIEGE-TPROX" sheetId="34" r:id="rId15"/>
    <sheet name="ETPT_TJ_corresp-GREFFE-TJ" sheetId="35" r:id="rId16"/>
    <sheet name="ETPT_TROX_corresp-GREFFE-TPROX" sheetId="36" r:id="rId17"/>
    <sheet name="ETPT_CPH_corresp-GREFFE-CPH" sheetId="37" r:id="rId18"/>
  </sheets>
  <definedNames>
    <definedName name="_xlnm._FilterDatabase" localSheetId="1" hidden="1">'ETPT A-JUST'!$A$2:$DN$2</definedName>
    <definedName name="_xlnm._FilterDatabase" localSheetId="2" hidden="1">'ETPT Format DDG'!$A$2:$DT$2</definedName>
    <definedName name="_xlnm._FilterDatabase" localSheetId="6" hidden="1">Table_Fonctions!$A$1:$F$67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0" l="1"/>
  <c r="H6" i="10" s="1"/>
  <c r="I6" i="10"/>
  <c r="J6" i="10"/>
  <c r="K6" i="10"/>
  <c r="L6" i="10"/>
  <c r="M6" i="10" s="1"/>
  <c r="N6" i="10"/>
  <c r="P6" i="10"/>
  <c r="Q6" i="10"/>
  <c r="R6" i="10"/>
  <c r="S6" i="10"/>
  <c r="T6" i="10" s="1"/>
  <c r="U6" i="10"/>
  <c r="V6" i="10" s="1"/>
  <c r="O6" i="10" l="1"/>
  <c r="AB16" i="35"/>
  <c r="AA16" i="35"/>
  <c r="Z16" i="35"/>
  <c r="Y16" i="35"/>
  <c r="X16" i="35"/>
  <c r="W16" i="35"/>
  <c r="V16" i="35"/>
  <c r="U16" i="35"/>
  <c r="T16" i="35"/>
  <c r="S16" i="35"/>
  <c r="Q16" i="35"/>
  <c r="P16" i="35"/>
  <c r="O16" i="35"/>
  <c r="N16" i="35"/>
  <c r="M16" i="35"/>
  <c r="L16" i="35"/>
  <c r="K16" i="35"/>
  <c r="J16" i="35"/>
  <c r="I16" i="35"/>
  <c r="H16" i="35"/>
  <c r="G16" i="35"/>
  <c r="AB15" i="35"/>
  <c r="W15" i="35"/>
  <c r="H15" i="35"/>
  <c r="AB14" i="35"/>
  <c r="W14" i="35"/>
  <c r="H14" i="35"/>
  <c r="AB13" i="35"/>
  <c r="W13" i="35"/>
  <c r="H13" i="35"/>
  <c r="AB12" i="35"/>
  <c r="W12" i="35"/>
  <c r="H12" i="35"/>
  <c r="AB11" i="35"/>
  <c r="W11" i="35"/>
  <c r="H11" i="35"/>
  <c r="AB10" i="35"/>
  <c r="W10" i="35"/>
  <c r="H10" i="35"/>
  <c r="AB9" i="35"/>
  <c r="W9" i="35"/>
  <c r="H9" i="35"/>
  <c r="AB8" i="35"/>
  <c r="W8" i="35"/>
  <c r="H8" i="35"/>
  <c r="AB7" i="35"/>
  <c r="W7" i="35"/>
  <c r="H7" i="35"/>
  <c r="AB6" i="35"/>
  <c r="W6" i="35"/>
  <c r="H6" i="35"/>
  <c r="AB5" i="35"/>
  <c r="W5" i="35"/>
  <c r="H5" i="35"/>
  <c r="T16" i="36"/>
  <c r="R16" i="36"/>
  <c r="Q16" i="36"/>
  <c r="P16" i="36"/>
  <c r="O16" i="36"/>
  <c r="N16" i="36"/>
  <c r="M16" i="36"/>
  <c r="L16" i="36"/>
  <c r="K16" i="36"/>
  <c r="J16" i="36"/>
  <c r="I16" i="36"/>
  <c r="G16" i="36"/>
  <c r="U15" i="36"/>
  <c r="S15" i="36"/>
  <c r="H15" i="36"/>
  <c r="U14" i="36"/>
  <c r="S14" i="36"/>
  <c r="H14" i="36"/>
  <c r="U13" i="36"/>
  <c r="S13" i="36"/>
  <c r="H13" i="36"/>
  <c r="U12" i="36"/>
  <c r="S12" i="36"/>
  <c r="H12" i="36"/>
  <c r="U11" i="36"/>
  <c r="S11" i="36"/>
  <c r="H11" i="36"/>
  <c r="U10" i="36"/>
  <c r="S10" i="36"/>
  <c r="H10" i="36"/>
  <c r="U9" i="36"/>
  <c r="S9" i="36"/>
  <c r="H9" i="36"/>
  <c r="U8" i="36"/>
  <c r="S8" i="36"/>
  <c r="H8" i="36"/>
  <c r="U7" i="36"/>
  <c r="S7" i="36"/>
  <c r="H7" i="36"/>
  <c r="U6" i="36"/>
  <c r="S6" i="36"/>
  <c r="H6" i="36"/>
  <c r="U5" i="36"/>
  <c r="U16" i="36" s="1"/>
  <c r="S5" i="36"/>
  <c r="S16" i="36" s="1"/>
  <c r="H5" i="36"/>
  <c r="H16" i="36" s="1"/>
  <c r="I14" i="37"/>
  <c r="G14" i="37"/>
  <c r="J13" i="37"/>
  <c r="H13" i="37"/>
  <c r="J12" i="37"/>
  <c r="H12" i="37"/>
  <c r="J11" i="37"/>
  <c r="H11" i="37"/>
  <c r="J10" i="37"/>
  <c r="H10" i="37"/>
  <c r="J9" i="37"/>
  <c r="H9" i="37"/>
  <c r="J8" i="37"/>
  <c r="H8" i="37"/>
  <c r="J7" i="37"/>
  <c r="H7" i="37"/>
  <c r="J6" i="37"/>
  <c r="H6" i="37"/>
  <c r="J5" i="37"/>
  <c r="J14" i="37" s="1"/>
  <c r="H5" i="37"/>
  <c r="H14" i="37" s="1"/>
  <c r="S16" i="34"/>
  <c r="R16" i="34"/>
  <c r="Q16" i="34"/>
  <c r="O16" i="34"/>
  <c r="N16" i="34"/>
  <c r="M16" i="34"/>
  <c r="L16" i="34"/>
  <c r="K16" i="34"/>
  <c r="J16" i="34"/>
  <c r="I16" i="34"/>
  <c r="H16" i="34"/>
  <c r="G16" i="34"/>
  <c r="T15" i="34"/>
  <c r="P15" i="34"/>
  <c r="T14" i="34"/>
  <c r="P14" i="34"/>
  <c r="T13" i="34"/>
  <c r="P13" i="34"/>
  <c r="T12" i="34"/>
  <c r="P12" i="34"/>
  <c r="T11" i="34"/>
  <c r="P11" i="34"/>
  <c r="T10" i="34"/>
  <c r="P10" i="34"/>
  <c r="T9" i="34"/>
  <c r="P9" i="34"/>
  <c r="T8" i="34"/>
  <c r="P8" i="34"/>
  <c r="T7" i="34"/>
  <c r="P7" i="34"/>
  <c r="T6" i="34"/>
  <c r="P6" i="34"/>
  <c r="T5" i="34"/>
  <c r="T16" i="34" s="1"/>
  <c r="P5" i="34"/>
  <c r="P16" i="34" s="1"/>
  <c r="AM16" i="24"/>
  <c r="AL16" i="24"/>
  <c r="AK16" i="24"/>
  <c r="AJ16" i="24"/>
  <c r="AI16" i="24"/>
  <c r="AH16" i="24"/>
  <c r="AG16" i="24"/>
  <c r="AF16" i="24"/>
  <c r="AE16" i="24"/>
  <c r="AD16" i="24"/>
  <c r="AC16" i="24"/>
  <c r="AB16" i="24"/>
  <c r="AA16" i="24"/>
  <c r="Z16" i="24"/>
  <c r="Y16" i="24"/>
  <c r="X16" i="24"/>
  <c r="W16" i="24"/>
  <c r="V16" i="24"/>
  <c r="U16" i="24"/>
  <c r="T16" i="24"/>
  <c r="S16" i="24"/>
  <c r="R16" i="24"/>
  <c r="Q16" i="24"/>
  <c r="P16" i="24"/>
  <c r="O16" i="24"/>
  <c r="N16" i="24"/>
  <c r="M16" i="24"/>
  <c r="L16" i="24"/>
  <c r="K16" i="24"/>
  <c r="J16" i="24"/>
  <c r="I16" i="24"/>
  <c r="H16" i="24"/>
  <c r="G16" i="24"/>
  <c r="F16" i="24"/>
  <c r="AM15" i="24"/>
  <c r="AC15" i="24"/>
  <c r="O15" i="24"/>
  <c r="AM14" i="24"/>
  <c r="AC14" i="24"/>
  <c r="O14" i="24"/>
  <c r="AM13" i="24"/>
  <c r="AC13" i="24"/>
  <c r="O13" i="24"/>
  <c r="AM12" i="24"/>
  <c r="AC12" i="24"/>
  <c r="O12" i="24"/>
  <c r="AM11" i="24"/>
  <c r="AC11" i="24"/>
  <c r="O11" i="24"/>
  <c r="AM10" i="24"/>
  <c r="AC10" i="24"/>
  <c r="O10" i="24"/>
  <c r="AM9" i="24"/>
  <c r="AC9" i="24"/>
  <c r="O9" i="24"/>
  <c r="AM8" i="24"/>
  <c r="AC8" i="24"/>
  <c r="O8" i="24"/>
  <c r="AM7" i="24"/>
  <c r="AC7" i="24"/>
  <c r="O7" i="24"/>
  <c r="AM6" i="24"/>
  <c r="AC6" i="24"/>
  <c r="O6" i="24"/>
  <c r="AM5" i="24"/>
  <c r="AC5" i="24"/>
  <c r="O5" i="24"/>
  <c r="AW15" i="25" l="1"/>
  <c r="AW14" i="25"/>
  <c r="AR15" i="25"/>
  <c r="AR14" i="25"/>
  <c r="AQ15" i="25"/>
  <c r="AQ14" i="25"/>
  <c r="AP15" i="25"/>
  <c r="AP14" i="25"/>
  <c r="AO15" i="25"/>
  <c r="AO14" i="25"/>
  <c r="AN15" i="25"/>
  <c r="AN14" i="25"/>
  <c r="AM15" i="25"/>
  <c r="AM14" i="25"/>
  <c r="AK15" i="25"/>
  <c r="AK14" i="25"/>
  <c r="AJ15" i="25"/>
  <c r="AJ14" i="25"/>
  <c r="AI15" i="25"/>
  <c r="AI14" i="25"/>
  <c r="AH15" i="25"/>
  <c r="AH14" i="25"/>
  <c r="AG15" i="25"/>
  <c r="AG14" i="25"/>
  <c r="AF15" i="25"/>
  <c r="AF14" i="25"/>
  <c r="AE15" i="25"/>
  <c r="AE14" i="25"/>
  <c r="AG14" i="26"/>
  <c r="AW5" i="25"/>
  <c r="G13" i="27" l="1"/>
  <c r="G12" i="27"/>
  <c r="I5" i="27"/>
  <c r="G5" i="27"/>
  <c r="AR6" i="25"/>
  <c r="AQ6" i="25"/>
  <c r="AP6" i="25"/>
  <c r="AO6" i="25"/>
  <c r="AN6" i="25"/>
  <c r="AM6" i="25"/>
  <c r="AK6" i="25"/>
  <c r="AJ6" i="25"/>
  <c r="AI6" i="25"/>
  <c r="AH6" i="25"/>
  <c r="AG6" i="25"/>
  <c r="AF6" i="25"/>
  <c r="AE6" i="25"/>
  <c r="R6" i="25"/>
  <c r="O6" i="25"/>
  <c r="N6" i="25"/>
  <c r="M6" i="25"/>
  <c r="L6" i="25"/>
  <c r="K6" i="25"/>
  <c r="J6" i="25"/>
  <c r="AK5" i="25"/>
  <c r="AJ5" i="25"/>
  <c r="BJ6" i="25"/>
  <c r="X6" i="25" l="1"/>
  <c r="Y6" i="25"/>
  <c r="Z6" i="25"/>
  <c r="AA6" i="25"/>
  <c r="G6" i="25"/>
  <c r="AX6" i="25"/>
  <c r="V6" i="25"/>
  <c r="AY6" i="25"/>
  <c r="D6" i="30" l="1"/>
  <c r="G6" i="30"/>
  <c r="H6" i="30" s="1"/>
  <c r="I6" i="30"/>
  <c r="J6" i="30" s="1"/>
  <c r="D7" i="30"/>
  <c r="G7" i="30"/>
  <c r="H7" i="30" s="1"/>
  <c r="I7" i="30"/>
  <c r="J7" i="30" s="1"/>
  <c r="D8" i="30"/>
  <c r="G8" i="30"/>
  <c r="H8" i="30"/>
  <c r="I8" i="30"/>
  <c r="J8" i="30"/>
  <c r="D9" i="30"/>
  <c r="G9" i="30"/>
  <c r="H9" i="30"/>
  <c r="I9" i="30"/>
  <c r="J9" i="30"/>
  <c r="D10" i="30"/>
  <c r="G10" i="30"/>
  <c r="H10" i="30" s="1"/>
  <c r="I10" i="30"/>
  <c r="J10" i="30"/>
  <c r="D11" i="30"/>
  <c r="G11" i="30"/>
  <c r="H11" i="30"/>
  <c r="I11" i="30"/>
  <c r="J11" i="30"/>
  <c r="D12" i="30"/>
  <c r="I12" i="30"/>
  <c r="J12" i="30" s="1"/>
  <c r="D13" i="30"/>
  <c r="I13" i="30"/>
  <c r="J13" i="30"/>
  <c r="I5" i="29"/>
  <c r="O5" i="29"/>
  <c r="P5" i="29"/>
  <c r="Q5" i="29"/>
  <c r="V5" i="29"/>
  <c r="AB5" i="29"/>
  <c r="AC5" i="29"/>
  <c r="AD5" i="29"/>
  <c r="AF5" i="29"/>
  <c r="D6" i="29"/>
  <c r="G6" i="29"/>
  <c r="H6" i="29"/>
  <c r="I6" i="29"/>
  <c r="J6" i="29"/>
  <c r="K6" i="29"/>
  <c r="L6" i="29"/>
  <c r="M6" i="29"/>
  <c r="N6" i="29"/>
  <c r="O6" i="29"/>
  <c r="P6" i="29"/>
  <c r="Q6" i="29"/>
  <c r="R6" i="29"/>
  <c r="T6" i="29"/>
  <c r="U6" i="29"/>
  <c r="V6" i="29"/>
  <c r="W6" i="29"/>
  <c r="X6" i="29"/>
  <c r="Y6" i="29"/>
  <c r="Z6" i="29"/>
  <c r="AA6" i="29"/>
  <c r="AB6" i="29"/>
  <c r="AC6" i="29"/>
  <c r="AD6" i="29"/>
  <c r="AF6" i="29"/>
  <c r="AG6" i="29"/>
  <c r="AH6" i="29"/>
  <c r="D7" i="29"/>
  <c r="G7" i="29"/>
  <c r="H7" i="29" s="1"/>
  <c r="I7" i="29"/>
  <c r="J7" i="29"/>
  <c r="K7" i="29"/>
  <c r="L7" i="29"/>
  <c r="M7" i="29"/>
  <c r="N7" i="29"/>
  <c r="O7" i="29"/>
  <c r="P7" i="29"/>
  <c r="Q7" i="29"/>
  <c r="R7" i="29"/>
  <c r="T7" i="29"/>
  <c r="U7" i="29" s="1"/>
  <c r="V7" i="29"/>
  <c r="W7" i="29"/>
  <c r="X7" i="29"/>
  <c r="Y7" i="29"/>
  <c r="Z7" i="29"/>
  <c r="AA7" i="29"/>
  <c r="AB7" i="29"/>
  <c r="AC7" i="29"/>
  <c r="AD7" i="29"/>
  <c r="AF7" i="29"/>
  <c r="AG7" i="29"/>
  <c r="AH7" i="29"/>
  <c r="D8" i="29"/>
  <c r="I8" i="29"/>
  <c r="J8" i="29"/>
  <c r="K8" i="29"/>
  <c r="L8" i="29"/>
  <c r="M8" i="29"/>
  <c r="N8" i="29"/>
  <c r="O8" i="29"/>
  <c r="P8" i="29"/>
  <c r="Q8" i="29"/>
  <c r="V8" i="29"/>
  <c r="W8" i="29"/>
  <c r="X8" i="29"/>
  <c r="Y8" i="29"/>
  <c r="Z8" i="29"/>
  <c r="AA8" i="29"/>
  <c r="AB8" i="29"/>
  <c r="AC8" i="29"/>
  <c r="AD8" i="29"/>
  <c r="AF8" i="29"/>
  <c r="AG8" i="29"/>
  <c r="D9" i="29"/>
  <c r="I9" i="29"/>
  <c r="J9" i="29"/>
  <c r="K9" i="29"/>
  <c r="L9" i="29"/>
  <c r="M9" i="29"/>
  <c r="N9" i="29"/>
  <c r="O9" i="29"/>
  <c r="P9" i="29"/>
  <c r="Q9" i="29"/>
  <c r="V9" i="29"/>
  <c r="W9" i="29"/>
  <c r="X9" i="29"/>
  <c r="Y9" i="29"/>
  <c r="Z9" i="29"/>
  <c r="AA9" i="29"/>
  <c r="AB9" i="29"/>
  <c r="AC9" i="29"/>
  <c r="AD9" i="29"/>
  <c r="AF9" i="29"/>
  <c r="AG9" i="29"/>
  <c r="D10" i="29"/>
  <c r="I10" i="29"/>
  <c r="J10" i="29"/>
  <c r="K10" i="29"/>
  <c r="L10" i="29"/>
  <c r="M10" i="29"/>
  <c r="N10" i="29"/>
  <c r="O10" i="29"/>
  <c r="P10" i="29"/>
  <c r="Q10" i="29"/>
  <c r="V10" i="29"/>
  <c r="W10" i="29"/>
  <c r="X10" i="29"/>
  <c r="Y10" i="29"/>
  <c r="Z10" i="29"/>
  <c r="AA10" i="29"/>
  <c r="AB10" i="29"/>
  <c r="AC10" i="29"/>
  <c r="AD10" i="29"/>
  <c r="AF10" i="29"/>
  <c r="AG10" i="29"/>
  <c r="D11" i="29"/>
  <c r="I11" i="29"/>
  <c r="J11" i="29"/>
  <c r="K11" i="29"/>
  <c r="L11" i="29"/>
  <c r="M11" i="29"/>
  <c r="N11" i="29"/>
  <c r="O11" i="29"/>
  <c r="P11" i="29"/>
  <c r="Q11" i="29"/>
  <c r="V11" i="29"/>
  <c r="W11" i="29"/>
  <c r="X11" i="29"/>
  <c r="Y11" i="29"/>
  <c r="Z11" i="29"/>
  <c r="AA11" i="29"/>
  <c r="AB11" i="29"/>
  <c r="AC11" i="29"/>
  <c r="AD11" i="29"/>
  <c r="AF11" i="29"/>
  <c r="AG11" i="29"/>
  <c r="D12" i="29"/>
  <c r="I12" i="29"/>
  <c r="J12" i="29"/>
  <c r="K12" i="29"/>
  <c r="L12" i="29"/>
  <c r="M12" i="29"/>
  <c r="N12" i="29"/>
  <c r="O12" i="29"/>
  <c r="P12" i="29"/>
  <c r="Q12" i="29"/>
  <c r="V12" i="29"/>
  <c r="W12" i="29"/>
  <c r="X12" i="29"/>
  <c r="Y12" i="29"/>
  <c r="Z12" i="29"/>
  <c r="AA12" i="29"/>
  <c r="AB12" i="29"/>
  <c r="AC12" i="29"/>
  <c r="AD12" i="29"/>
  <c r="AF12" i="29"/>
  <c r="AG12" i="29"/>
  <c r="D13" i="29"/>
  <c r="I13" i="29"/>
  <c r="J13" i="29"/>
  <c r="K13" i="29"/>
  <c r="L13" i="29"/>
  <c r="M13" i="29"/>
  <c r="N13" i="29"/>
  <c r="O13" i="29"/>
  <c r="P13" i="29"/>
  <c r="Q13" i="29"/>
  <c r="V13" i="29"/>
  <c r="W13" i="29"/>
  <c r="X13" i="29"/>
  <c r="Y13" i="29"/>
  <c r="Z13" i="29"/>
  <c r="AA13" i="29"/>
  <c r="AB13" i="29"/>
  <c r="AC13" i="29"/>
  <c r="AD13" i="29"/>
  <c r="AF13" i="29"/>
  <c r="AI13" i="29" s="1"/>
  <c r="AG13" i="29"/>
  <c r="AH13" i="29"/>
  <c r="D14" i="29"/>
  <c r="I14" i="29"/>
  <c r="O14" i="29"/>
  <c r="P14" i="29"/>
  <c r="Q14" i="29"/>
  <c r="T14" i="29"/>
  <c r="U14" i="29"/>
  <c r="V14" i="29"/>
  <c r="AB14" i="29"/>
  <c r="AC14" i="29"/>
  <c r="AD14" i="29"/>
  <c r="AF14" i="29"/>
  <c r="D15" i="29"/>
  <c r="I15" i="29"/>
  <c r="O15" i="29"/>
  <c r="P15" i="29"/>
  <c r="Q15" i="29"/>
  <c r="T15" i="29"/>
  <c r="U15" i="29" s="1"/>
  <c r="V15" i="29"/>
  <c r="AB15" i="29"/>
  <c r="AC15" i="29"/>
  <c r="AD15" i="29"/>
  <c r="AF15" i="29"/>
  <c r="J5" i="28"/>
  <c r="K5" i="28"/>
  <c r="L5" i="28"/>
  <c r="M5" i="28"/>
  <c r="N5" i="28"/>
  <c r="O5" i="28"/>
  <c r="AE5" i="28"/>
  <c r="AF5" i="28"/>
  <c r="AG5" i="28"/>
  <c r="AH5" i="28"/>
  <c r="AI5" i="28"/>
  <c r="AM5" i="28"/>
  <c r="AN5" i="28"/>
  <c r="AO5" i="28"/>
  <c r="AP5" i="28"/>
  <c r="AQ5" i="28"/>
  <c r="AR5" i="28"/>
  <c r="BJ5" i="28"/>
  <c r="D6" i="28"/>
  <c r="I6" i="28"/>
  <c r="P6" i="28"/>
  <c r="Q6" i="28"/>
  <c r="S6" i="28"/>
  <c r="T6" i="28"/>
  <c r="U6" i="28"/>
  <c r="AC6" i="28"/>
  <c r="AD6" i="28"/>
  <c r="AS6" i="28"/>
  <c r="AT6" i="28"/>
  <c r="AU6" i="28"/>
  <c r="AV6" i="28"/>
  <c r="AW6" i="28"/>
  <c r="BJ6" i="28"/>
  <c r="D7" i="28"/>
  <c r="G7" i="28"/>
  <c r="H7" i="28" s="1"/>
  <c r="I7" i="28"/>
  <c r="J7" i="28"/>
  <c r="K7" i="28"/>
  <c r="L7" i="28"/>
  <c r="M7" i="28"/>
  <c r="N7" i="28"/>
  <c r="O7" i="28"/>
  <c r="P7" i="28"/>
  <c r="Q7" i="28"/>
  <c r="R7" i="28"/>
  <c r="S7" i="28"/>
  <c r="T7" i="28"/>
  <c r="U7" i="28"/>
  <c r="V7" i="28"/>
  <c r="X7" i="28"/>
  <c r="Y7" i="28"/>
  <c r="Z7" i="28"/>
  <c r="AA7" i="28"/>
  <c r="AC7" i="28"/>
  <c r="AF7" i="28"/>
  <c r="AG7" i="28"/>
  <c r="AH7" i="28"/>
  <c r="AM7" i="28"/>
  <c r="AN7" i="28"/>
  <c r="AO7" i="28"/>
  <c r="AP7" i="28"/>
  <c r="AQ7" i="28"/>
  <c r="AR7" i="28"/>
  <c r="AS7" i="28"/>
  <c r="AT7" i="28"/>
  <c r="AU7" i="28"/>
  <c r="AV7" i="28"/>
  <c r="AW7" i="28"/>
  <c r="AX7" i="28"/>
  <c r="BJ7" i="28"/>
  <c r="D8" i="28"/>
  <c r="I8" i="28"/>
  <c r="J8" i="28"/>
  <c r="K8" i="28"/>
  <c r="L8" i="28"/>
  <c r="M8" i="28"/>
  <c r="N8" i="28"/>
  <c r="O8" i="28"/>
  <c r="P8" i="28"/>
  <c r="Q8" i="28"/>
  <c r="R8" i="28"/>
  <c r="S8" i="28"/>
  <c r="T8" i="28"/>
  <c r="U8" i="28"/>
  <c r="AC8" i="28"/>
  <c r="AD8" i="28"/>
  <c r="AE8" i="28"/>
  <c r="AF8" i="28"/>
  <c r="AG8" i="28"/>
  <c r="AH8" i="28"/>
  <c r="AI8" i="28"/>
  <c r="AJ8" i="28"/>
  <c r="AK8" i="28"/>
  <c r="AM8" i="28"/>
  <c r="AN8" i="28"/>
  <c r="AO8" i="28"/>
  <c r="AP8" i="28"/>
  <c r="AQ8" i="28"/>
  <c r="AR8" i="28"/>
  <c r="AS8" i="28"/>
  <c r="AT8" i="28"/>
  <c r="AU8" i="28"/>
  <c r="AV8" i="28"/>
  <c r="AW8" i="28"/>
  <c r="AX8" i="28"/>
  <c r="AY8" i="28"/>
  <c r="BJ8" i="28"/>
  <c r="D9" i="28"/>
  <c r="I9" i="28"/>
  <c r="J9" i="28"/>
  <c r="K9" i="28"/>
  <c r="L9" i="28"/>
  <c r="M9" i="28"/>
  <c r="N9" i="28"/>
  <c r="O9" i="28"/>
  <c r="P9" i="28"/>
  <c r="Q9" i="28"/>
  <c r="R9" i="28"/>
  <c r="S9" i="28"/>
  <c r="T9" i="28"/>
  <c r="U9" i="28"/>
  <c r="AC9" i="28"/>
  <c r="AF9" i="28"/>
  <c r="AG9" i="28"/>
  <c r="AH9" i="28"/>
  <c r="AM9" i="28"/>
  <c r="AN9" i="28"/>
  <c r="AO9" i="28"/>
  <c r="AP9" i="28"/>
  <c r="AQ9" i="28"/>
  <c r="AR9" i="28"/>
  <c r="AS9" i="28"/>
  <c r="AT9" i="28"/>
  <c r="AU9" i="28"/>
  <c r="AV9" i="28"/>
  <c r="AW9" i="28"/>
  <c r="AX9" i="28"/>
  <c r="BJ9" i="28"/>
  <c r="D10" i="28"/>
  <c r="I10" i="28"/>
  <c r="J10" i="28"/>
  <c r="K10" i="28"/>
  <c r="L10" i="28"/>
  <c r="M10" i="28"/>
  <c r="N10" i="28"/>
  <c r="O10" i="28"/>
  <c r="P10" i="28"/>
  <c r="Q10" i="28"/>
  <c r="R10" i="28"/>
  <c r="S10" i="28"/>
  <c r="T10" i="28"/>
  <c r="U10" i="28"/>
  <c r="AC10" i="28"/>
  <c r="AF10" i="28"/>
  <c r="AG10" i="28"/>
  <c r="AH10" i="28"/>
  <c r="AM10" i="28"/>
  <c r="AN10" i="28"/>
  <c r="AO10" i="28"/>
  <c r="AP10" i="28"/>
  <c r="AQ10" i="28"/>
  <c r="AR10" i="28"/>
  <c r="AS10" i="28"/>
  <c r="AT10" i="28"/>
  <c r="AU10" i="28"/>
  <c r="AV10" i="28"/>
  <c r="AW10" i="28"/>
  <c r="AX10" i="28"/>
  <c r="BJ10" i="28"/>
  <c r="D11" i="28"/>
  <c r="I11" i="28"/>
  <c r="J11" i="28"/>
  <c r="K11" i="28"/>
  <c r="L11" i="28"/>
  <c r="M11" i="28"/>
  <c r="N11" i="28"/>
  <c r="O11" i="28"/>
  <c r="P11" i="28"/>
  <c r="Q11" i="28"/>
  <c r="R11" i="28"/>
  <c r="S11" i="28"/>
  <c r="T11" i="28"/>
  <c r="U11" i="28"/>
  <c r="AC11" i="28"/>
  <c r="AF11" i="28"/>
  <c r="AG11" i="28"/>
  <c r="AH11" i="28"/>
  <c r="AM11" i="28"/>
  <c r="AN11" i="28"/>
  <c r="AO11" i="28"/>
  <c r="AP11" i="28"/>
  <c r="AQ11" i="28"/>
  <c r="AR11" i="28"/>
  <c r="AS11" i="28"/>
  <c r="AT11" i="28"/>
  <c r="AU11" i="28"/>
  <c r="AV11" i="28"/>
  <c r="AW11" i="28"/>
  <c r="AX11" i="28"/>
  <c r="BJ11" i="28"/>
  <c r="D12" i="28"/>
  <c r="I12" i="28"/>
  <c r="J12" i="28"/>
  <c r="K12" i="28"/>
  <c r="L12" i="28"/>
  <c r="M12" i="28"/>
  <c r="N12" i="28"/>
  <c r="O12" i="28"/>
  <c r="P12" i="28"/>
  <c r="Q12" i="28"/>
  <c r="R12" i="28"/>
  <c r="S12" i="28"/>
  <c r="T12" i="28"/>
  <c r="U12" i="28"/>
  <c r="AC12" i="28"/>
  <c r="AF12" i="28"/>
  <c r="AG12" i="28"/>
  <c r="AH12" i="28"/>
  <c r="AM12" i="28"/>
  <c r="AN12" i="28"/>
  <c r="AO12" i="28"/>
  <c r="AP12" i="28"/>
  <c r="AQ12" i="28"/>
  <c r="AR12" i="28"/>
  <c r="AS12" i="28"/>
  <c r="AT12" i="28"/>
  <c r="AU12" i="28"/>
  <c r="AV12" i="28"/>
  <c r="AW12" i="28"/>
  <c r="AX12" i="28"/>
  <c r="BJ12" i="28"/>
  <c r="D13" i="28"/>
  <c r="I13" i="28"/>
  <c r="J13" i="28"/>
  <c r="K13" i="28"/>
  <c r="L13" i="28"/>
  <c r="M13" i="28"/>
  <c r="N13" i="28"/>
  <c r="O13" i="28"/>
  <c r="P13" i="28"/>
  <c r="Q13" i="28"/>
  <c r="R13" i="28"/>
  <c r="S13" i="28"/>
  <c r="T13" i="28"/>
  <c r="U13" i="28"/>
  <c r="AC13" i="28"/>
  <c r="AD13" i="28"/>
  <c r="AE13" i="28"/>
  <c r="AF13" i="28"/>
  <c r="AG13" i="28"/>
  <c r="AH13" i="28"/>
  <c r="AI13" i="28"/>
  <c r="AJ13" i="28"/>
  <c r="AK13" i="28"/>
  <c r="AM13" i="28"/>
  <c r="AN13" i="28"/>
  <c r="AO13" i="28"/>
  <c r="AP13" i="28"/>
  <c r="AQ13" i="28"/>
  <c r="AR13" i="28"/>
  <c r="AS13" i="28"/>
  <c r="AT13" i="28"/>
  <c r="AU13" i="28"/>
  <c r="AV13" i="28"/>
  <c r="AW13" i="28"/>
  <c r="AX13" i="28"/>
  <c r="AY13" i="28"/>
  <c r="BJ13" i="28"/>
  <c r="D14" i="28"/>
  <c r="X14" i="28"/>
  <c r="Y14" i="28"/>
  <c r="Z14" i="28"/>
  <c r="AA14" i="28"/>
  <c r="AX14" i="28"/>
  <c r="BJ14" i="28"/>
  <c r="D15" i="28"/>
  <c r="X15" i="28"/>
  <c r="Y15" i="28"/>
  <c r="Z15" i="28"/>
  <c r="AA15" i="28"/>
  <c r="AX15" i="28"/>
  <c r="BJ15" i="28"/>
  <c r="BA16" i="28"/>
  <c r="BB16" i="28"/>
  <c r="BC16" i="28"/>
  <c r="BD16" i="28"/>
  <c r="BE16" i="28"/>
  <c r="BF16" i="28"/>
  <c r="BG16" i="28"/>
  <c r="BH16" i="28"/>
  <c r="BI16" i="28"/>
  <c r="D5" i="27"/>
  <c r="AE10" i="29" l="1"/>
  <c r="AB15" i="28"/>
  <c r="AB14" i="28"/>
  <c r="BJ16" i="28"/>
  <c r="AB7" i="28"/>
  <c r="AI7" i="29"/>
  <c r="AI6" i="29"/>
  <c r="AE6" i="29"/>
  <c r="AD16" i="29"/>
  <c r="AC16" i="29"/>
  <c r="AB16" i="29"/>
  <c r="AE7" i="29"/>
  <c r="S7" i="29"/>
  <c r="AE12" i="29"/>
  <c r="AE8" i="29"/>
  <c r="Q16" i="29"/>
  <c r="AE11" i="29"/>
  <c r="P16" i="29"/>
  <c r="O16" i="29"/>
  <c r="AE13" i="29"/>
  <c r="AE9" i="29"/>
  <c r="V16" i="29"/>
  <c r="S6" i="29"/>
  <c r="AF16" i="29"/>
  <c r="AZ13" i="28"/>
  <c r="AL13" i="28"/>
  <c r="W7" i="28"/>
  <c r="AL8" i="28"/>
  <c r="AZ8" i="28"/>
  <c r="G5" i="30"/>
  <c r="I16" i="29"/>
  <c r="I5" i="30" l="1"/>
  <c r="H5" i="30"/>
  <c r="D6" i="27"/>
  <c r="H6" i="27"/>
  <c r="J6" i="27"/>
  <c r="D7" i="27"/>
  <c r="H7" i="27"/>
  <c r="J7" i="27"/>
  <c r="D8" i="27"/>
  <c r="H8" i="27"/>
  <c r="J8" i="27"/>
  <c r="D9" i="27"/>
  <c r="H9" i="27"/>
  <c r="J9" i="27"/>
  <c r="D10" i="27"/>
  <c r="H10" i="27"/>
  <c r="J10" i="27"/>
  <c r="D11" i="27"/>
  <c r="H11" i="27"/>
  <c r="J11" i="27"/>
  <c r="D12" i="27"/>
  <c r="G12" i="30" l="1"/>
  <c r="J5" i="30"/>
  <c r="J14" i="30" s="1"/>
  <c r="I14" i="30"/>
  <c r="J12" i="27"/>
  <c r="D13" i="27"/>
  <c r="G13" i="30" l="1"/>
  <c r="H13" i="30" s="1"/>
  <c r="H12" i="30"/>
  <c r="J13" i="27"/>
  <c r="D5" i="26"/>
  <c r="J15" i="26" l="1"/>
  <c r="R15" i="26" s="1"/>
  <c r="J14" i="26"/>
  <c r="R14" i="26" s="1"/>
  <c r="G11" i="26"/>
  <c r="G8" i="26"/>
  <c r="J5" i="26"/>
  <c r="R5" i="26" s="1"/>
  <c r="G15" i="26"/>
  <c r="G14" i="26"/>
  <c r="AH10" i="26"/>
  <c r="AG5" i="26"/>
  <c r="G5" i="26"/>
  <c r="T13" i="26"/>
  <c r="T10" i="26"/>
  <c r="R13" i="26"/>
  <c r="R10" i="26"/>
  <c r="R8" i="26"/>
  <c r="AG15" i="26"/>
  <c r="G13" i="26"/>
  <c r="G10" i="26"/>
  <c r="Y5" i="26"/>
  <c r="K14" i="26"/>
  <c r="Y15" i="26"/>
  <c r="Y14" i="26"/>
  <c r="AH12" i="26"/>
  <c r="AH9" i="26"/>
  <c r="X5" i="26"/>
  <c r="X15" i="26"/>
  <c r="X14" i="26"/>
  <c r="T12" i="26"/>
  <c r="T9" i="26"/>
  <c r="W5" i="26"/>
  <c r="W15" i="26"/>
  <c r="W14" i="26"/>
  <c r="R12" i="26"/>
  <c r="T5" i="26"/>
  <c r="R11" i="26"/>
  <c r="R9" i="26"/>
  <c r="G12" i="26"/>
  <c r="G9" i="26"/>
  <c r="AH11" i="26"/>
  <c r="AH8" i="26"/>
  <c r="L15" i="26"/>
  <c r="L14" i="26"/>
  <c r="T11" i="26"/>
  <c r="T8" i="26"/>
  <c r="K5" i="26"/>
  <c r="L5" i="26"/>
  <c r="K15" i="26"/>
  <c r="H14" i="30"/>
  <c r="G14" i="30"/>
  <c r="G5" i="29"/>
  <c r="AH5" i="26" l="1"/>
  <c r="R5" i="29"/>
  <c r="N5" i="29"/>
  <c r="M5" i="29"/>
  <c r="L5" i="29"/>
  <c r="K5" i="29"/>
  <c r="J5" i="29"/>
  <c r="H5" i="29"/>
  <c r="T5" i="29" l="1"/>
  <c r="S5" i="29"/>
  <c r="AA5" i="29" l="1"/>
  <c r="Z5" i="29"/>
  <c r="Y5" i="29"/>
  <c r="X5" i="29"/>
  <c r="W5" i="29"/>
  <c r="U5" i="29"/>
  <c r="AH5" i="29" l="1"/>
  <c r="AG5" i="29"/>
  <c r="AE5" i="29"/>
  <c r="D6" i="26"/>
  <c r="H6" i="26"/>
  <c r="S6" i="26"/>
  <c r="U6" i="26"/>
  <c r="AE6" i="26"/>
  <c r="AI6" i="26"/>
  <c r="D7" i="26"/>
  <c r="H7" i="26"/>
  <c r="S7" i="26"/>
  <c r="U7" i="26"/>
  <c r="AE7" i="26"/>
  <c r="AI7" i="26"/>
  <c r="D8" i="26"/>
  <c r="G8" i="29" l="1"/>
  <c r="AI5" i="29"/>
  <c r="R8" i="29" l="1"/>
  <c r="H8" i="29"/>
  <c r="T8" i="29" l="1"/>
  <c r="S8" i="29"/>
  <c r="AE8" i="26"/>
  <c r="AH8" i="29" l="1"/>
  <c r="U8" i="29"/>
  <c r="D9" i="26"/>
  <c r="G9" i="29" l="1"/>
  <c r="AI8" i="29"/>
  <c r="R9" i="29" l="1"/>
  <c r="H9" i="29"/>
  <c r="T9" i="29" l="1"/>
  <c r="S9" i="29"/>
  <c r="AE9" i="26"/>
  <c r="AH9" i="29" l="1"/>
  <c r="U9" i="29"/>
  <c r="D10" i="26"/>
  <c r="G10" i="29" l="1"/>
  <c r="AI9" i="29"/>
  <c r="R10" i="29" l="1"/>
  <c r="H10" i="29"/>
  <c r="T10" i="29" l="1"/>
  <c r="S10" i="29"/>
  <c r="AE10" i="26"/>
  <c r="AH10" i="29" l="1"/>
  <c r="U10" i="29"/>
  <c r="D11" i="26"/>
  <c r="G11" i="29" l="1"/>
  <c r="AI10" i="29"/>
  <c r="R11" i="29" l="1"/>
  <c r="S11" i="29" s="1"/>
  <c r="H11" i="29"/>
  <c r="T11" i="29" l="1"/>
  <c r="AE11" i="26"/>
  <c r="AH11" i="29" l="1"/>
  <c r="AI11" i="29" s="1"/>
  <c r="U11" i="29"/>
  <c r="D12" i="26"/>
  <c r="G12" i="29" l="1"/>
  <c r="H12" i="29" s="1"/>
  <c r="R12" i="29" l="1"/>
  <c r="S12" i="29" s="1"/>
  <c r="T12" i="29" l="1"/>
  <c r="U12" i="29" s="1"/>
  <c r="AE12" i="26"/>
  <c r="AH12" i="29" l="1"/>
  <c r="AI12" i="29" s="1"/>
  <c r="D13" i="26"/>
  <c r="G13" i="29" l="1"/>
  <c r="H13" i="29" s="1"/>
  <c r="R13" i="29" l="1"/>
  <c r="S13" i="29" s="1"/>
  <c r="T13" i="29" l="1"/>
  <c r="AE13" i="26"/>
  <c r="AI13" i="26"/>
  <c r="D14" i="26"/>
  <c r="G14" i="29" l="1"/>
  <c r="H14" i="29" s="1"/>
  <c r="U13" i="29"/>
  <c r="U16" i="29" s="1"/>
  <c r="T16" i="29"/>
  <c r="R14" i="29" l="1"/>
  <c r="N14" i="29"/>
  <c r="M14" i="29"/>
  <c r="L14" i="29"/>
  <c r="K14" i="29"/>
  <c r="J14" i="29"/>
  <c r="U14" i="26"/>
  <c r="AA14" i="29" l="1"/>
  <c r="Z14" i="29"/>
  <c r="Y14" i="29"/>
  <c r="X14" i="29"/>
  <c r="W14" i="29"/>
  <c r="S14" i="29"/>
  <c r="AH14" i="29" l="1"/>
  <c r="AG14" i="29"/>
  <c r="AE14" i="29"/>
  <c r="D15" i="26"/>
  <c r="G15" i="29" l="1"/>
  <c r="AI14" i="29"/>
  <c r="R15" i="29" l="1"/>
  <c r="R16" i="29" s="1"/>
  <c r="N15" i="29"/>
  <c r="N16" i="29" s="1"/>
  <c r="M15" i="29"/>
  <c r="M16" i="29" s="1"/>
  <c r="L15" i="29"/>
  <c r="L16" i="29" s="1"/>
  <c r="K15" i="29"/>
  <c r="K16" i="29" s="1"/>
  <c r="J15" i="29"/>
  <c r="H15" i="29"/>
  <c r="H16" i="29" s="1"/>
  <c r="G16" i="29"/>
  <c r="U15" i="26"/>
  <c r="AA15" i="29" l="1"/>
  <c r="AA16" i="29" s="1"/>
  <c r="Z15" i="29"/>
  <c r="Z16" i="29" s="1"/>
  <c r="Y15" i="29"/>
  <c r="Y16" i="29" s="1"/>
  <c r="X15" i="29"/>
  <c r="X16" i="29" s="1"/>
  <c r="W15" i="29"/>
  <c r="S15" i="29"/>
  <c r="S16" i="29" s="1"/>
  <c r="J16" i="29"/>
  <c r="AH15" i="29" l="1"/>
  <c r="AH16" i="29" s="1"/>
  <c r="AG15" i="29"/>
  <c r="AE15" i="29"/>
  <c r="AE16" i="29" s="1"/>
  <c r="W16" i="29"/>
  <c r="I16" i="26"/>
  <c r="O16" i="26"/>
  <c r="P16" i="26"/>
  <c r="Q16" i="26"/>
  <c r="V16" i="26"/>
  <c r="AB16" i="26"/>
  <c r="AC16" i="26"/>
  <c r="AD16" i="26"/>
  <c r="AF16" i="26"/>
  <c r="D5" i="25"/>
  <c r="U15" i="25" l="1"/>
  <c r="V11" i="25"/>
  <c r="G9" i="25"/>
  <c r="M15" i="25"/>
  <c r="T15" i="25"/>
  <c r="Q14" i="25"/>
  <c r="X13" i="25"/>
  <c r="X12" i="25"/>
  <c r="X11" i="25"/>
  <c r="X10" i="25"/>
  <c r="X9" i="25"/>
  <c r="AE7" i="25"/>
  <c r="AU5" i="25"/>
  <c r="P5" i="25"/>
  <c r="S15" i="25"/>
  <c r="AV14" i="25"/>
  <c r="P14" i="25"/>
  <c r="V13" i="25"/>
  <c r="V12" i="25"/>
  <c r="V10" i="25"/>
  <c r="AD7" i="25"/>
  <c r="AT5" i="25"/>
  <c r="I5" i="25"/>
  <c r="K14" i="25"/>
  <c r="AI9" i="25"/>
  <c r="AE10" i="25"/>
  <c r="U14" i="25"/>
  <c r="AY7" i="25"/>
  <c r="AD15" i="25"/>
  <c r="AA11" i="25"/>
  <c r="R15" i="25"/>
  <c r="AU14" i="25"/>
  <c r="O14" i="25"/>
  <c r="G13" i="25"/>
  <c r="G12" i="25"/>
  <c r="G11" i="25"/>
  <c r="G10" i="25"/>
  <c r="AA8" i="25"/>
  <c r="AS5" i="25"/>
  <c r="AY5" i="25" s="1"/>
  <c r="AT14" i="25"/>
  <c r="N14" i="25"/>
  <c r="AY12" i="25"/>
  <c r="AY11" i="25"/>
  <c r="AY10" i="25"/>
  <c r="AY9" i="25"/>
  <c r="Z8" i="25"/>
  <c r="N15" i="25"/>
  <c r="AI10" i="25"/>
  <c r="AC14" i="25"/>
  <c r="AY14" i="25" s="1"/>
  <c r="AD11" i="25"/>
  <c r="G15" i="25"/>
  <c r="K15" i="25"/>
  <c r="AK7" i="25"/>
  <c r="Q15" i="25"/>
  <c r="AD14" i="25"/>
  <c r="AA9" i="25"/>
  <c r="AV15" i="25"/>
  <c r="P15" i="25"/>
  <c r="AS14" i="25"/>
  <c r="M14" i="25"/>
  <c r="AK12" i="25"/>
  <c r="AK11" i="25"/>
  <c r="AK10" i="25"/>
  <c r="AK9" i="25"/>
  <c r="Y8" i="25"/>
  <c r="AJ10" i="25"/>
  <c r="X8" i="25"/>
  <c r="AD5" i="25"/>
  <c r="AI12" i="25"/>
  <c r="V8" i="25"/>
  <c r="J14" i="25"/>
  <c r="U5" i="25"/>
  <c r="I14" i="25"/>
  <c r="V14" i="25" s="1"/>
  <c r="T14" i="25"/>
  <c r="S5" i="25"/>
  <c r="AU15" i="25"/>
  <c r="O15" i="25"/>
  <c r="L14" i="25"/>
  <c r="AJ12" i="25"/>
  <c r="AJ11" i="25"/>
  <c r="AJ9" i="25"/>
  <c r="AT15" i="25"/>
  <c r="AI11" i="25"/>
  <c r="AC5" i="25"/>
  <c r="AE11" i="25"/>
  <c r="AE9" i="25"/>
  <c r="AD12" i="25"/>
  <c r="AD9" i="25"/>
  <c r="AA12" i="25"/>
  <c r="AS15" i="25"/>
  <c r="AA10" i="25"/>
  <c r="V9" i="25"/>
  <c r="AC15" i="25"/>
  <c r="AY15" i="25" s="1"/>
  <c r="J15" i="25"/>
  <c r="S14" i="25"/>
  <c r="Z13" i="25"/>
  <c r="Z12" i="25"/>
  <c r="Z11" i="25"/>
  <c r="Z10" i="25"/>
  <c r="Z9" i="25"/>
  <c r="AJ7" i="25"/>
  <c r="R5" i="25"/>
  <c r="I15" i="25"/>
  <c r="V15" i="25" s="1"/>
  <c r="R14" i="25"/>
  <c r="Y13" i="25"/>
  <c r="Y12" i="25"/>
  <c r="Y11" i="25"/>
  <c r="Y10" i="25"/>
  <c r="Y9" i="25"/>
  <c r="AI7" i="25"/>
  <c r="AV5" i="25"/>
  <c r="Q5" i="25"/>
  <c r="AE12" i="25"/>
  <c r="G8" i="25"/>
  <c r="L15" i="25"/>
  <c r="AD10" i="25"/>
  <c r="T5" i="25"/>
  <c r="AA13" i="25"/>
  <c r="Z5" i="25"/>
  <c r="AA5" i="25"/>
  <c r="G5" i="25"/>
  <c r="V5" i="25"/>
  <c r="Y5" i="25"/>
  <c r="X5" i="25"/>
  <c r="G14" i="25"/>
  <c r="AX5" i="25"/>
  <c r="AI15" i="29"/>
  <c r="AI16" i="29" s="1"/>
  <c r="AG16" i="29"/>
  <c r="G5" i="28"/>
  <c r="V5" i="28" l="1"/>
  <c r="U5" i="28"/>
  <c r="T5" i="28"/>
  <c r="S5" i="28"/>
  <c r="R5" i="28"/>
  <c r="Q5" i="28"/>
  <c r="P5" i="28"/>
  <c r="I5" i="28"/>
  <c r="H5" i="28"/>
  <c r="AA5" i="28" l="1"/>
  <c r="Z5" i="28"/>
  <c r="Y5" i="28"/>
  <c r="X5" i="28"/>
  <c r="W5" i="28"/>
  <c r="AD5" i="28" l="1"/>
  <c r="AC5" i="28"/>
  <c r="AB5" i="28"/>
  <c r="AY5" i="28" l="1"/>
  <c r="AX5" i="28"/>
  <c r="AW5" i="28"/>
  <c r="AV5" i="28"/>
  <c r="AU5" i="28"/>
  <c r="AT5" i="28"/>
  <c r="AS5" i="28"/>
  <c r="BJ5" i="25"/>
  <c r="D6" i="25"/>
  <c r="AZ5" i="28" l="1"/>
  <c r="D7" i="25" l="1"/>
  <c r="H7" i="25"/>
  <c r="W7" i="25"/>
  <c r="AB7" i="25"/>
  <c r="AK7" i="28" l="1"/>
  <c r="AJ7" i="28"/>
  <c r="AI7" i="28"/>
  <c r="AE7" i="28"/>
  <c r="AD7" i="28"/>
  <c r="AY7" i="28" l="1"/>
  <c r="AL7" i="28"/>
  <c r="BJ7" i="25"/>
  <c r="D8" i="25"/>
  <c r="G8" i="28" l="1"/>
  <c r="AZ7" i="28"/>
  <c r="V8" i="28" l="1"/>
  <c r="H8" i="28"/>
  <c r="AA8" i="28" l="1"/>
  <c r="Z8" i="28"/>
  <c r="Y8" i="28"/>
  <c r="X8" i="28"/>
  <c r="W8" i="28"/>
  <c r="AL8" i="25"/>
  <c r="AZ8" i="25"/>
  <c r="BJ8" i="25"/>
  <c r="D9" i="25"/>
  <c r="G9" i="28" l="1"/>
  <c r="AB8" i="28"/>
  <c r="V9" i="28" l="1"/>
  <c r="H9" i="28"/>
  <c r="AA9" i="28" l="1"/>
  <c r="Z9" i="28"/>
  <c r="Y9" i="28"/>
  <c r="X9" i="28"/>
  <c r="W9" i="28"/>
  <c r="AK9" i="28" l="1"/>
  <c r="AJ9" i="28"/>
  <c r="AI9" i="28"/>
  <c r="AE9" i="28"/>
  <c r="AD9" i="28"/>
  <c r="AB9" i="28"/>
  <c r="AY9" i="28" l="1"/>
  <c r="AL9" i="28"/>
  <c r="BJ9" i="25"/>
  <c r="D10" i="25"/>
  <c r="G10" i="28" l="1"/>
  <c r="AZ9" i="28"/>
  <c r="V10" i="28" l="1"/>
  <c r="H10" i="28"/>
  <c r="AA10" i="28" l="1"/>
  <c r="Z10" i="28"/>
  <c r="Y10" i="28"/>
  <c r="X10" i="28"/>
  <c r="W10" i="28"/>
  <c r="AK10" i="28" l="1"/>
  <c r="AJ10" i="28"/>
  <c r="AI10" i="28"/>
  <c r="AE10" i="28"/>
  <c r="AD10" i="28"/>
  <c r="AB10" i="28"/>
  <c r="AY10" i="28" l="1"/>
  <c r="AL10" i="28"/>
  <c r="BJ10" i="25"/>
  <c r="D11" i="25"/>
  <c r="G11" i="28" l="1"/>
  <c r="AZ10" i="28"/>
  <c r="V11" i="28" l="1"/>
  <c r="W11" i="28" s="1"/>
  <c r="H11" i="28"/>
  <c r="AA11" i="28" l="1"/>
  <c r="Z11" i="28"/>
  <c r="Y11" i="28"/>
  <c r="X11" i="28"/>
  <c r="AK11" i="28" l="1"/>
  <c r="AJ11" i="28"/>
  <c r="AI11" i="28"/>
  <c r="AE11" i="28"/>
  <c r="AD11" i="28"/>
  <c r="AB11" i="28"/>
  <c r="AY11" i="28" l="1"/>
  <c r="AZ11" i="28" s="1"/>
  <c r="AL11" i="28"/>
  <c r="BJ11" i="25"/>
  <c r="D12" i="25"/>
  <c r="G12" i="28" l="1"/>
  <c r="H12" i="28" s="1"/>
  <c r="V12" i="28" l="1"/>
  <c r="W12" i="28" s="1"/>
  <c r="AA12" i="28" l="1"/>
  <c r="Z12" i="28"/>
  <c r="Y12" i="28"/>
  <c r="X12" i="28"/>
  <c r="AK12" i="28" l="1"/>
  <c r="AJ12" i="28"/>
  <c r="AI12" i="28"/>
  <c r="AE12" i="28"/>
  <c r="AD12" i="28"/>
  <c r="AB12" i="28"/>
  <c r="AY12" i="28" l="1"/>
  <c r="AZ12" i="28" s="1"/>
  <c r="AL12" i="28"/>
  <c r="BJ12" i="25"/>
  <c r="D13" i="25"/>
  <c r="G13" i="28" l="1"/>
  <c r="H13" i="28" s="1"/>
  <c r="V13" i="28" l="1"/>
  <c r="W13" i="28" s="1"/>
  <c r="AA13" i="28" l="1"/>
  <c r="Z13" i="28"/>
  <c r="Y13" i="28"/>
  <c r="X13" i="28"/>
  <c r="AL13" i="25"/>
  <c r="AZ13" i="25"/>
  <c r="BJ13" i="25"/>
  <c r="D14" i="25"/>
  <c r="G14" i="28" l="1"/>
  <c r="H14" i="28" s="1"/>
  <c r="AB13" i="28"/>
  <c r="V14" i="28" l="1"/>
  <c r="U14" i="28"/>
  <c r="T14" i="28"/>
  <c r="S14" i="28"/>
  <c r="R14" i="28"/>
  <c r="Q14" i="28"/>
  <c r="P14" i="28"/>
  <c r="O14" i="28"/>
  <c r="N14" i="28"/>
  <c r="M14" i="28"/>
  <c r="L14" i="28"/>
  <c r="K14" i="28"/>
  <c r="J14" i="28"/>
  <c r="I14" i="28"/>
  <c r="AB14" i="25"/>
  <c r="AD14" i="28" l="1"/>
  <c r="AC14" i="28"/>
  <c r="W14" i="28"/>
  <c r="AW14" i="28" l="1"/>
  <c r="AV14" i="28"/>
  <c r="AU14" i="28"/>
  <c r="AT14" i="28"/>
  <c r="AS14" i="28"/>
  <c r="BJ14" i="25"/>
  <c r="D15" i="25"/>
  <c r="G15" i="28" l="1"/>
  <c r="V15" i="28" l="1"/>
  <c r="U15" i="28"/>
  <c r="U16" i="28" s="1"/>
  <c r="T15" i="28"/>
  <c r="T16" i="28" s="1"/>
  <c r="S15" i="28"/>
  <c r="S16" i="28" s="1"/>
  <c r="R15" i="28"/>
  <c r="Q15" i="28"/>
  <c r="Q16" i="28" s="1"/>
  <c r="P15" i="28"/>
  <c r="P16" i="28" s="1"/>
  <c r="O15" i="28"/>
  <c r="N15" i="28"/>
  <c r="M15" i="28"/>
  <c r="L15" i="28"/>
  <c r="K15" i="28"/>
  <c r="J15" i="28"/>
  <c r="I15" i="28"/>
  <c r="H15" i="28"/>
  <c r="AB15" i="25"/>
  <c r="AD15" i="28" l="1"/>
  <c r="AD16" i="28" s="1"/>
  <c r="AC15" i="28"/>
  <c r="W15" i="28"/>
  <c r="I16" i="28"/>
  <c r="AW15" i="28" l="1"/>
  <c r="AW16" i="28" s="1"/>
  <c r="AV15" i="28"/>
  <c r="AV16" i="28" s="1"/>
  <c r="AU15" i="28"/>
  <c r="AU16" i="28" s="1"/>
  <c r="AT15" i="28"/>
  <c r="AT16" i="28" s="1"/>
  <c r="AS15" i="28"/>
  <c r="AC16" i="28"/>
  <c r="BJ15" i="25"/>
  <c r="BA16" i="25"/>
  <c r="BB16" i="25"/>
  <c r="BC16" i="25"/>
  <c r="BD16" i="25"/>
  <c r="BE16" i="25"/>
  <c r="BF16" i="25"/>
  <c r="BG16" i="25"/>
  <c r="BH16" i="25"/>
  <c r="BI16" i="25"/>
  <c r="BJ16" i="25"/>
  <c r="H12" i="27" l="1"/>
  <c r="H13" i="27"/>
  <c r="H13" i="26"/>
  <c r="AI9" i="26"/>
  <c r="H9" i="26"/>
  <c r="S8" i="26"/>
  <c r="S13" i="26"/>
  <c r="U10" i="26"/>
  <c r="U8" i="26"/>
  <c r="U12" i="26"/>
  <c r="H12" i="26"/>
  <c r="S12" i="26"/>
  <c r="H10" i="26"/>
  <c r="H8" i="26"/>
  <c r="H15" i="26"/>
  <c r="AI11" i="26"/>
  <c r="H14" i="26"/>
  <c r="AI10" i="26"/>
  <c r="S9" i="26"/>
  <c r="AI12" i="26"/>
  <c r="AI8" i="26"/>
  <c r="U11" i="26"/>
  <c r="S10" i="26"/>
  <c r="U13" i="26"/>
  <c r="U9" i="26"/>
  <c r="S11" i="26"/>
  <c r="H11" i="26"/>
  <c r="W11" i="25"/>
  <c r="W13" i="25"/>
  <c r="H8" i="25"/>
  <c r="H11" i="25"/>
  <c r="H13" i="25"/>
  <c r="H15" i="25"/>
  <c r="AZ7" i="25"/>
  <c r="AZ9" i="25"/>
  <c r="AZ10" i="25"/>
  <c r="W8" i="25"/>
  <c r="H14" i="25"/>
  <c r="W10" i="25"/>
  <c r="H12" i="25"/>
  <c r="W9" i="25"/>
  <c r="H10" i="25"/>
  <c r="AZ11" i="25"/>
  <c r="H5" i="25"/>
  <c r="H9" i="25"/>
  <c r="W12" i="25"/>
  <c r="AZ12" i="25"/>
  <c r="AS16" i="28"/>
  <c r="M16" i="26" l="1"/>
  <c r="AC16" i="25"/>
  <c r="S14" i="26"/>
  <c r="AZ5" i="25"/>
  <c r="AB12" i="25"/>
  <c r="L16" i="26"/>
  <c r="K16" i="26"/>
  <c r="AW16" i="25"/>
  <c r="AN15" i="28"/>
  <c r="AL11" i="25"/>
  <c r="T16" i="25"/>
  <c r="AL10" i="25"/>
  <c r="Z16" i="26"/>
  <c r="AD16" i="25"/>
  <c r="AB8" i="25"/>
  <c r="W14" i="25"/>
  <c r="AV16" i="25"/>
  <c r="AE15" i="26"/>
  <c r="AH15" i="26" s="1"/>
  <c r="W5" i="25"/>
  <c r="P16" i="25"/>
  <c r="AT16" i="25"/>
  <c r="AB13" i="25"/>
  <c r="AB9" i="25"/>
  <c r="AE14" i="26"/>
  <c r="AH14" i="26" s="1"/>
  <c r="U5" i="26"/>
  <c r="U16" i="26" s="1"/>
  <c r="T16" i="26"/>
  <c r="AB5" i="25"/>
  <c r="W15" i="25"/>
  <c r="U16" i="25"/>
  <c r="AE5" i="26"/>
  <c r="W16" i="26"/>
  <c r="AL7" i="25"/>
  <c r="Y16" i="26"/>
  <c r="H5" i="27"/>
  <c r="H14" i="27" s="1"/>
  <c r="G14" i="27"/>
  <c r="J16" i="26"/>
  <c r="AI5" i="26"/>
  <c r="AG16" i="26"/>
  <c r="S16" i="25"/>
  <c r="AU16" i="25"/>
  <c r="AB11" i="25"/>
  <c r="H5" i="26"/>
  <c r="H16" i="26" s="1"/>
  <c r="G16" i="26"/>
  <c r="AS16" i="25"/>
  <c r="N16" i="26"/>
  <c r="I16" i="25"/>
  <c r="AB10" i="25"/>
  <c r="Q16" i="25"/>
  <c r="AL12" i="25"/>
  <c r="S15" i="26"/>
  <c r="AA16" i="26"/>
  <c r="J5" i="27"/>
  <c r="J14" i="27" s="1"/>
  <c r="I14" i="27"/>
  <c r="AL9" i="25"/>
  <c r="X16" i="26"/>
  <c r="AJ14" i="28"/>
  <c r="AQ15" i="28"/>
  <c r="AH15" i="28"/>
  <c r="AO14" i="28"/>
  <c r="AK6" i="28"/>
  <c r="AF15" i="28"/>
  <c r="AG15" i="28"/>
  <c r="AJ15" i="28"/>
  <c r="AN14" i="28"/>
  <c r="AI14" i="28"/>
  <c r="AQ14" i="28"/>
  <c r="AH14" i="28"/>
  <c r="AP15" i="28"/>
  <c r="AO15" i="28"/>
  <c r="AJ6" i="28"/>
  <c r="AK14" i="28"/>
  <c r="AI15" i="28"/>
  <c r="AR15" i="28"/>
  <c r="AG14" i="28"/>
  <c r="AP14" i="28"/>
  <c r="AK15" i="28"/>
  <c r="AF14" i="28"/>
  <c r="AI14" i="26" l="1"/>
  <c r="AI15" i="26"/>
  <c r="AZ6" i="25"/>
  <c r="R16" i="26"/>
  <c r="AE16" i="26"/>
  <c r="S5" i="26"/>
  <c r="S16" i="26" s="1"/>
  <c r="S17" i="26" s="1"/>
  <c r="AR14" i="28"/>
  <c r="AY14" i="28"/>
  <c r="Z6" i="28"/>
  <c r="Z16" i="28" s="1"/>
  <c r="Z16" i="25"/>
  <c r="G6" i="28"/>
  <c r="H6" i="25"/>
  <c r="H16" i="25" s="1"/>
  <c r="G16" i="25"/>
  <c r="M6" i="28"/>
  <c r="M16" i="28" s="1"/>
  <c r="M16" i="25"/>
  <c r="AJ5" i="28"/>
  <c r="AL5" i="25"/>
  <c r="AJ16" i="25"/>
  <c r="AF6" i="28"/>
  <c r="AF16" i="28" s="1"/>
  <c r="AF16" i="25"/>
  <c r="N6" i="28"/>
  <c r="N16" i="28" s="1"/>
  <c r="N16" i="25"/>
  <c r="AY6" i="28"/>
  <c r="AH6" i="28"/>
  <c r="AH16" i="28" s="1"/>
  <c r="AH16" i="25"/>
  <c r="K6" i="28"/>
  <c r="K16" i="28" s="1"/>
  <c r="K16" i="25"/>
  <c r="AN6" i="28"/>
  <c r="AN16" i="28" s="1"/>
  <c r="AN16" i="25"/>
  <c r="AR6" i="28"/>
  <c r="AR16" i="25"/>
  <c r="Y6" i="28"/>
  <c r="Y16" i="28" s="1"/>
  <c r="Y16" i="25"/>
  <c r="AM6" i="28"/>
  <c r="AM16" i="25"/>
  <c r="J6" i="28"/>
  <c r="J16" i="28" s="1"/>
  <c r="J16" i="25"/>
  <c r="AA6" i="28"/>
  <c r="AA16" i="28" s="1"/>
  <c r="AA16" i="25"/>
  <c r="AP6" i="28"/>
  <c r="AP16" i="28" s="1"/>
  <c r="AP16" i="25"/>
  <c r="AO6" i="28"/>
  <c r="AO16" i="28" s="1"/>
  <c r="AO16" i="25"/>
  <c r="AX6" i="28"/>
  <c r="AX16" i="28" s="1"/>
  <c r="AX16" i="25"/>
  <c r="L6" i="28"/>
  <c r="L16" i="28" s="1"/>
  <c r="L16" i="25"/>
  <c r="AE6" i="28"/>
  <c r="AL6" i="25"/>
  <c r="AE16" i="25"/>
  <c r="AG6" i="28"/>
  <c r="AG16" i="28" s="1"/>
  <c r="AG16" i="25"/>
  <c r="AY15" i="28"/>
  <c r="AE15" i="28"/>
  <c r="AL15" i="28" s="1"/>
  <c r="AL15" i="25"/>
  <c r="AQ6" i="28"/>
  <c r="AQ16" i="28" s="1"/>
  <c r="AQ16" i="25"/>
  <c r="AM15" i="28"/>
  <c r="O6" i="28"/>
  <c r="O16" i="28" s="1"/>
  <c r="O16" i="25"/>
  <c r="R6" i="28"/>
  <c r="R16" i="28" s="1"/>
  <c r="R16" i="25"/>
  <c r="AI6" i="28"/>
  <c r="AI16" i="28" s="1"/>
  <c r="AI16" i="25"/>
  <c r="AM14" i="28"/>
  <c r="AE14" i="28"/>
  <c r="AL14" i="28" s="1"/>
  <c r="AL14" i="25"/>
  <c r="X6" i="28"/>
  <c r="AB6" i="25"/>
  <c r="AB16" i="25" s="1"/>
  <c r="X16" i="25"/>
  <c r="AK5" i="28"/>
  <c r="AK16" i="28" s="1"/>
  <c r="AK16" i="25"/>
  <c r="B3" i="10"/>
  <c r="AI16" i="26" l="1"/>
  <c r="AH16" i="26"/>
  <c r="AR16" i="28"/>
  <c r="AL16" i="25"/>
  <c r="AY16" i="28"/>
  <c r="AZ15" i="25"/>
  <c r="AZ14" i="25"/>
  <c r="AL5" i="28"/>
  <c r="AJ16" i="28"/>
  <c r="AB6" i="28"/>
  <c r="AB16" i="28" s="1"/>
  <c r="X16" i="28"/>
  <c r="V6" i="28"/>
  <c r="V16" i="25"/>
  <c r="W6" i="25"/>
  <c r="W16" i="25" s="1"/>
  <c r="W18" i="25" s="1"/>
  <c r="AY16" i="25"/>
  <c r="AM16" i="28"/>
  <c r="AZ6" i="28"/>
  <c r="H6" i="28"/>
  <c r="H16" i="28" s="1"/>
  <c r="G16" i="28"/>
  <c r="AL6" i="28"/>
  <c r="AE16" i="28"/>
  <c r="AZ15" i="28"/>
  <c r="AZ14" i="28"/>
  <c r="AZ16" i="25" l="1"/>
  <c r="AZ18" i="25" s="1"/>
  <c r="AL16" i="28"/>
  <c r="AZ16" i="28"/>
  <c r="W6" i="28"/>
  <c r="W16" i="28" s="1"/>
  <c r="W18" i="28" s="1"/>
  <c r="V16" i="28"/>
  <c r="AZ18" i="28" l="1"/>
</calcChain>
</file>

<file path=xl/sharedStrings.xml><?xml version="1.0" encoding="utf-8"?>
<sst xmlns="http://schemas.openxmlformats.org/spreadsheetml/2006/main" count="2135" uniqueCount="611">
  <si>
    <t>#! END_ROW</t>
  </si>
  <si>
    <t>#! FOR_EACH w stats</t>
  </si>
  <si>
    <t>#! DUMP_COLS days</t>
  </si>
  <si>
    <t>#! DUMP_COLS w.actions</t>
  </si>
  <si>
    <t>#! CONTINUE w</t>
  </si>
  <si>
    <t>#! END_LOOP w</t>
  </si>
  <si>
    <t>#! DUMP_COLS subtitles</t>
  </si>
  <si>
    <t>#! FINISH</t>
  </si>
  <si>
    <t>#! DUMP_COLS days1</t>
  </si>
  <si>
    <t>#! FOR_EACH x stats1</t>
  </si>
  <si>
    <t>#! END_LOOP x</t>
  </si>
  <si>
    <t>#! DUMP_COLS x.actions</t>
  </si>
  <si>
    <t>#` ${arrondissement}</t>
  </si>
  <si>
    <t>Magistrats hors placés</t>
  </si>
  <si>
    <t>Magistrats placés additionnels</t>
  </si>
  <si>
    <t>Magistrats placés de substitution</t>
  </si>
  <si>
    <t>Fonctionnaires hors placés</t>
  </si>
  <si>
    <t>Fonctionnaires placés additionnels</t>
  </si>
  <si>
    <t>Fonctionnaires placés de substitution</t>
  </si>
  <si>
    <t>Code</t>
  </si>
  <si>
    <t>#! FOR_EACH y agregat</t>
  </si>
  <si>
    <t>#! END_LOOP y</t>
  </si>
  <si>
    <t>## y.sub</t>
  </si>
  <si>
    <t>## y.global</t>
  </si>
  <si>
    <t>Selectionner une juridiction</t>
  </si>
  <si>
    <t>Pour toute question, n'hésitez pas à contacter l'équipe A-JUST : support-utilisateurs@a-just.fr</t>
  </si>
  <si>
    <t>SIEGE</t>
  </si>
  <si>
    <t>GREFFE</t>
  </si>
  <si>
    <t>EQUIPE AUTOUR DU MAGISTRAT</t>
  </si>
  <si>
    <t>Contractuels et vacataires</t>
  </si>
  <si>
    <t>TOTAL SIEGE</t>
  </si>
  <si>
    <t>TOTAL GREFFE</t>
  </si>
  <si>
    <t>Juridiction</t>
  </si>
  <si>
    <t>Fonction</t>
  </si>
  <si>
    <t>Fonction recodée</t>
  </si>
  <si>
    <t>TJ</t>
  </si>
  <si>
    <t>P</t>
  </si>
  <si>
    <t>M-TIT</t>
  </si>
  <si>
    <t>Magistrat SIEGE NS</t>
  </si>
  <si>
    <t>1VP</t>
  </si>
  <si>
    <t>1VPA</t>
  </si>
  <si>
    <t>1VPCP</t>
  </si>
  <si>
    <t>Magistrat SIEGE S</t>
  </si>
  <si>
    <t>1VPE</t>
  </si>
  <si>
    <t>1VPI</t>
  </si>
  <si>
    <t>VPSG</t>
  </si>
  <si>
    <t>1VPAP</t>
  </si>
  <si>
    <t>1VPLD</t>
  </si>
  <si>
    <t>VP</t>
  </si>
  <si>
    <t>VPCP</t>
  </si>
  <si>
    <t>VPE</t>
  </si>
  <si>
    <t>VPI</t>
  </si>
  <si>
    <t>VPAP</t>
  </si>
  <si>
    <t>VPLD</t>
  </si>
  <si>
    <t>J</t>
  </si>
  <si>
    <t>JCP</t>
  </si>
  <si>
    <t>JE</t>
  </si>
  <si>
    <t>JI</t>
  </si>
  <si>
    <t>JAP</t>
  </si>
  <si>
    <t>VP PLACÉ ADDITIONNEL</t>
  </si>
  <si>
    <t>M-PLAC-ADD</t>
  </si>
  <si>
    <t>Magistrat placé ADD</t>
  </si>
  <si>
    <t>J. PLACÉ ADDITIONNEL</t>
  </si>
  <si>
    <t>VP PLACÉ SUBSTITUTION</t>
  </si>
  <si>
    <t>M-PLAC-SUB</t>
  </si>
  <si>
    <t>Magistrat placé SUB</t>
  </si>
  <si>
    <t>J. PLACÉ SUBSTITUTION</t>
  </si>
  <si>
    <t>MHFJ</t>
  </si>
  <si>
    <t>M-CONT</t>
  </si>
  <si>
    <t>HONORAIRES</t>
  </si>
  <si>
    <t>MHFNJ</t>
  </si>
  <si>
    <t>MTT</t>
  </si>
  <si>
    <t>MRES</t>
  </si>
  <si>
    <t>RESERVISTES</t>
  </si>
  <si>
    <t>A</t>
  </si>
  <si>
    <t>F-TIT</t>
  </si>
  <si>
    <t>Fonctionnaire A-B-CBUR</t>
  </si>
  <si>
    <t>CHCAB</t>
  </si>
  <si>
    <t>B</t>
  </si>
  <si>
    <t>SA</t>
  </si>
  <si>
    <t>CB</t>
  </si>
  <si>
    <t>CT</t>
  </si>
  <si>
    <t>Fonctionnaire CTECH</t>
  </si>
  <si>
    <t>A PLACÉ ADDITIONNEL</t>
  </si>
  <si>
    <t>F-PLAC-ADD</t>
  </si>
  <si>
    <t>Fonctionnaire A-B-CBUR placé ADD</t>
  </si>
  <si>
    <t>B GREF  PLACÉ ADDITIONNEL</t>
  </si>
  <si>
    <t>B PLACÉ ADDITIONNEL</t>
  </si>
  <si>
    <t>CB PLACÉ ADDITIONNEL</t>
  </si>
  <si>
    <t>CT PLACÉ ADDITIONNEL</t>
  </si>
  <si>
    <t>Fonctionnaire CTECH placé ADD</t>
  </si>
  <si>
    <t>A PLACÉ SUBSTITUTION</t>
  </si>
  <si>
    <t>F-PLAC-SUB</t>
  </si>
  <si>
    <t>Fonctionnaire A-B-CBUR placé SUB</t>
  </si>
  <si>
    <t>B GREF  PLACÉ SUBSTITUTION</t>
  </si>
  <si>
    <t>B PLACÉ SUBSTITUTION</t>
  </si>
  <si>
    <t>CB PLACÉ SUBSTITUTION</t>
  </si>
  <si>
    <t>CT PLACÉ SUBSTITUTION</t>
  </si>
  <si>
    <t>Fonctionnaire CTECH placé SUB</t>
  </si>
  <si>
    <t>GRES</t>
  </si>
  <si>
    <t>C</t>
  </si>
  <si>
    <t>RESERVISTES GREF</t>
  </si>
  <si>
    <t>CONT A</t>
  </si>
  <si>
    <t>CONT B</t>
  </si>
  <si>
    <t>CONT C</t>
  </si>
  <si>
    <t>CONT CB</t>
  </si>
  <si>
    <t>CONT CT</t>
  </si>
  <si>
    <t>VAC</t>
  </si>
  <si>
    <t>VACATAIRES</t>
  </si>
  <si>
    <t>CONT A JP</t>
  </si>
  <si>
    <t>CONT A JP Greffe</t>
  </si>
  <si>
    <t>CONT B JP</t>
  </si>
  <si>
    <t>CONT C JP</t>
  </si>
  <si>
    <t>AS</t>
  </si>
  <si>
    <t>ADJ</t>
  </si>
  <si>
    <t>ASSIST_JUST</t>
  </si>
  <si>
    <t>JA Siège autres</t>
  </si>
  <si>
    <t>JURISTE AS siège Autres</t>
  </si>
  <si>
    <t>JA Pôle social</t>
  </si>
  <si>
    <t>JURISTE AS Pôle social</t>
  </si>
  <si>
    <t>JA Parquet</t>
  </si>
  <si>
    <t>JURISTE AS Parquet</t>
  </si>
  <si>
    <t>PPI</t>
  </si>
  <si>
    <t>CONT A JP Autour du Juge</t>
  </si>
  <si>
    <t>CPH</t>
  </si>
  <si>
    <t>TPROX</t>
  </si>
  <si>
    <t>Il me semble que cela n'existe pas (seulement sur Catégorie Greffe)</t>
  </si>
  <si>
    <t>Contractuel</t>
  </si>
  <si>
    <t>CONT C JP Autour du magistrat</t>
  </si>
  <si>
    <t>CONTRACTUEL C JUSTICE DE PROXIMITE</t>
  </si>
  <si>
    <t>Autour du Juge</t>
  </si>
  <si>
    <t>CONT B JP Autour du magistrat</t>
  </si>
  <si>
    <t>CONTRACTUEL B JUSTICE DE PROXIMITE</t>
  </si>
  <si>
    <t>CONTRACTUEL A JUSTICE DE PROXIMITE</t>
  </si>
  <si>
    <t>Hors périmètre ventilation ETPT</t>
  </si>
  <si>
    <t>ELEVE AVOCAT</t>
  </si>
  <si>
    <t>JURISTE ASSISTANT Parquet</t>
  </si>
  <si>
    <t>JURISTE ASSISTANT Pôle social</t>
  </si>
  <si>
    <t>JURISTE ASSISTANT siège Autres</t>
  </si>
  <si>
    <t>JURISTE AS</t>
  </si>
  <si>
    <t>ATTACHÉ DE JUSTICE</t>
  </si>
  <si>
    <t>ASSISTANT DE JUSTICE</t>
  </si>
  <si>
    <t>ASSISTANT SPECIALISE</t>
  </si>
  <si>
    <t>Greffe</t>
  </si>
  <si>
    <t>VACATAIRE</t>
  </si>
  <si>
    <t>CONTRACTUEL CT</t>
  </si>
  <si>
    <t>CONTRACTUEL CB</t>
  </si>
  <si>
    <t>CONTRACTUEL C</t>
  </si>
  <si>
    <t>CONTRACTUEL B</t>
  </si>
  <si>
    <t>CONTRACTUEL A</t>
  </si>
  <si>
    <t>GREFFIER RESERVISTE</t>
  </si>
  <si>
    <t>Placé</t>
  </si>
  <si>
    <t>B GREFFIER PLACÉ SUBSTITUTION</t>
  </si>
  <si>
    <t>B GREFFIER PLACÉ ADDITIONNEL</t>
  </si>
  <si>
    <t>Titulaire</t>
  </si>
  <si>
    <t>B GREFFIER</t>
  </si>
  <si>
    <t>CHEF DE CABINET</t>
  </si>
  <si>
    <t>MAGISTRAT RESERVISTE</t>
  </si>
  <si>
    <t>Magistrat</t>
  </si>
  <si>
    <t>MAGISTRAT A TITRE TEMPORAIRE</t>
  </si>
  <si>
    <t>MAGISTRAT HONORAIRE NON JURIDICTIONNEL</t>
  </si>
  <si>
    <t>MAGISTRAT HONORAIRE JURIDICTIONNEL</t>
  </si>
  <si>
    <t>JUGE PLACÉ SUBSTITUTION</t>
  </si>
  <si>
    <t>VICE-PRÉSIDENT PLACÉ SUBSTITUTION</t>
  </si>
  <si>
    <t>JUGE PLACÉ ADDITIONNEL</t>
  </si>
  <si>
    <t>VICE-PRÉSIDENT PLACÉ ADDITIONNEL</t>
  </si>
  <si>
    <t>JUGE D'APPLICATION DES PEINES</t>
  </si>
  <si>
    <t>JUGE D'INSTRUCTION</t>
  </si>
  <si>
    <t>JUGE DES ENFANTS</t>
  </si>
  <si>
    <t>JUGE DES CONTENTIEUX DE LA PROTECTION</t>
  </si>
  <si>
    <t>JUGE</t>
  </si>
  <si>
    <t>VICE-PRÉSIDENT CHARGÉ DES FONCTIONS DE JUGE DES LIBERTÉS ET DE LA DÉTENTION</t>
  </si>
  <si>
    <t>VICE-PRÉSIDENT CHARGÉ DES FONCTIONS DE JUGE DE L'APPLICATION DES PEINES</t>
  </si>
  <si>
    <t>VICE-PRÉSIDENT CHARGÉ DES FONCTIONS DE JUGE D'INSTRUCTION</t>
  </si>
  <si>
    <t>VICE-PRÉSIDENT CHARGÉ DES FONCTIONS DE JUGE DES ENFANTS</t>
  </si>
  <si>
    <t>VICE-PRÉSIDENT CHARGÉ DES FONCTIONS DE JUGE DES CONTENTIEUX DE LA PROTECTION</t>
  </si>
  <si>
    <t>VICE-PRÉSIDENT</t>
  </si>
  <si>
    <t>PREMIER VICE-PRÉSIDENT CHARGÉ DES FONCTIONS DE JUGE DES LIBERTÉS ET DE LA DÉTENTION</t>
  </si>
  <si>
    <t>PREMIER VICE-PRÉSIDENT CHARGÉ DES FONCTIONS DE JUGE DE L'APPLICATION DES PEINES</t>
  </si>
  <si>
    <t>VICE-PRÉSIDENT CHARGÉ D'UN SECRÉTARIAT GÉNÉRAL</t>
  </si>
  <si>
    <t>PREMIER VICE-PRÉSIDENT CHARGÉ DES FONCTIONS DE JUGE D'INSTRUCTION</t>
  </si>
  <si>
    <t>PREMIER VICE-PRÉSIDENT CHARGÉ DES FONCTIONS DE JUGE DES ENFANTS</t>
  </si>
  <si>
    <t>PREMIER VICE-PRÉSIDENT CHARGÉ DES FONCTIONS DE JUGE DES CONTENTIEUX DE LA PROTECTION</t>
  </si>
  <si>
    <t>PREMIER VICE-PRÉSIDENT ADJOINT</t>
  </si>
  <si>
    <t>PREMIER VICE-PRÉSIDENT</t>
  </si>
  <si>
    <t>PRÉSIDENT</t>
  </si>
  <si>
    <t>CODE EXTRACTEUR</t>
  </si>
  <si>
    <t>Titulaire / Placé / Contractuel</t>
  </si>
  <si>
    <t>Raccourci</t>
  </si>
  <si>
    <t>Catégorie(s)</t>
  </si>
  <si>
    <t>TOTAL ETPT</t>
  </si>
  <si>
    <t>Etpt placés de substitution</t>
  </si>
  <si>
    <t>166-PS-NC</t>
  </si>
  <si>
    <t>ETPT_TJ</t>
  </si>
  <si>
    <t>Etpt placés additionnels</t>
  </si>
  <si>
    <t>166-PA-NC</t>
  </si>
  <si>
    <t>Etpt autres personnels à reventiler (dont droit local,commercial- rcs, mise à disposition)</t>
  </si>
  <si>
    <t>166-NC-NC</t>
  </si>
  <si>
    <t>Action 99 - Personnel concourant au programme - à reventiler</t>
  </si>
  <si>
    <t>166-99-NC</t>
  </si>
  <si>
    <t>Action 8 - Support à l'accès au droit et à la justice</t>
  </si>
  <si>
    <t>166-08-NC</t>
  </si>
  <si>
    <t>Action 7 - Formation dispensée</t>
  </si>
  <si>
    <t>166-07-NC</t>
  </si>
  <si>
    <t>Action 6 - Soutien (Hors accueil du justiciable)</t>
  </si>
  <si>
    <t>166-06-NC</t>
  </si>
  <si>
    <t>Action 6 - Accueil du justiciable (inclus SAUJ)</t>
  </si>
  <si>
    <t>166-06-99</t>
  </si>
  <si>
    <t>Action 4 - Conseil supérieur de la magistrature</t>
  </si>
  <si>
    <t>166-04-NC</t>
  </si>
  <si>
    <t>Action 2 - Traitement et jugement des affaires pénales</t>
  </si>
  <si>
    <t>166-02-NC</t>
  </si>
  <si>
    <t>Action 1 - Traitement et jugement des contentieux civils</t>
  </si>
  <si>
    <t>166-01-NC</t>
  </si>
  <si>
    <t>Autres Magistrats du Parquet</t>
  </si>
  <si>
    <t>Magistrats du Parquet - activité contraventionnelle</t>
  </si>
  <si>
    <t>Magistrats du Parquet Cour criminelle</t>
  </si>
  <si>
    <t>Magistrats du Parquet assises</t>
  </si>
  <si>
    <t>Magistrats du Parquet JIRS sections spécialisées</t>
  </si>
  <si>
    <t>Magistrats du Parquet JIRS crim-org</t>
  </si>
  <si>
    <t>Magistrats du Parquet JIRS éco-fi</t>
  </si>
  <si>
    <t>Magistrats du Parquet - exécution et appl. des peines</t>
  </si>
  <si>
    <t>Magistrats du Parquet - activité civile et commerciale</t>
  </si>
  <si>
    <t>Autres Magistrats du Siège non spécialisés</t>
  </si>
  <si>
    <t>Activités non spécialisés des juges spécialisés</t>
  </si>
  <si>
    <t>JAF</t>
  </si>
  <si>
    <t>Juges du Pôle social</t>
  </si>
  <si>
    <t>Juges TJ  IP et Saisies Rém</t>
  </si>
  <si>
    <t>Juges TJ Contentieux général &lt; 10 000 EUR</t>
  </si>
  <si>
    <t>Magistrats activité juge départiteur</t>
  </si>
  <si>
    <t>Magistrats du Siège activité contraventionnelle</t>
  </si>
  <si>
    <t>Magistrat du siège sections spécialisées</t>
  </si>
  <si>
    <t>Magistrat du siège JIRS crim-org</t>
  </si>
  <si>
    <t>Magistrat du siège JIRS éco-fi</t>
  </si>
  <si>
    <t>Magistrats du siège Cour criminelle</t>
  </si>
  <si>
    <t>Magistrats du Siège assises</t>
  </si>
  <si>
    <t>JLD</t>
  </si>
  <si>
    <t>Juges des Enfants</t>
  </si>
  <si>
    <t>Juges Instruction sections spécialisées</t>
  </si>
  <si>
    <t>Juges Instruction JIRS crim-org</t>
  </si>
  <si>
    <t>Juges Instruction JIRS éco-fi</t>
  </si>
  <si>
    <t>Juges Instruction - service général</t>
  </si>
  <si>
    <t>JCP TJ surendettement et hors surendettement</t>
  </si>
  <si>
    <t>JCP TJ Tutelles majeurs</t>
  </si>
  <si>
    <t>Juristes assistants siège Autres</t>
  </si>
  <si>
    <t>Juristes assistants Pôle social</t>
  </si>
  <si>
    <t>Juristes assistants au parquet</t>
  </si>
  <si>
    <t>de Contractuels A J Prox et A VIF</t>
  </si>
  <si>
    <t xml:space="preserve">Fonctionnaires hors fonctions spécifiques </t>
  </si>
  <si>
    <t>Fonctionnaires affectés aux pôles sociaux</t>
  </si>
  <si>
    <t>Fonctionnaires TJ Contentieux général &lt; 10 000 EUR</t>
  </si>
  <si>
    <t>Fonctionnaires TJ  IP_Saisies Rém</t>
  </si>
  <si>
    <t>Fonctionnaires affectés aux fonctions JI, JE, JAP, JLD</t>
  </si>
  <si>
    <t>Fonctionnaires TJ au surendettement et au hors surendettement</t>
  </si>
  <si>
    <t>Fonctionnaires TJ Tutelles majeurs</t>
  </si>
  <si>
    <t>Fonctionnaires sections spécialisées</t>
  </si>
  <si>
    <t>Fonctionnaires JIRS crim-org</t>
  </si>
  <si>
    <t>Fonctionnaires JIRS éco-fi</t>
  </si>
  <si>
    <t>Fonctionnaires Cour criminelle</t>
  </si>
  <si>
    <t>Fonctionnaires Assises</t>
  </si>
  <si>
    <t>Fonctionnaires exécution des peines</t>
  </si>
  <si>
    <t>Fonctionnaires activité civile et commerciale du parquet</t>
  </si>
  <si>
    <t>Fonctionnaires Catégorie C Technique spécialisés</t>
  </si>
  <si>
    <t>Action</t>
  </si>
  <si>
    <t>Code sous action</t>
  </si>
  <si>
    <t>Code de la juridiction</t>
  </si>
  <si>
    <t>UO</t>
  </si>
  <si>
    <t>AUTRES_PARQUET</t>
  </si>
  <si>
    <t>PARQUET_TI</t>
  </si>
  <si>
    <t>PQT_COUR_CRIM</t>
  </si>
  <si>
    <t>PARQUET_ASSISES</t>
  </si>
  <si>
    <t>PARQUET_JIRS_SS</t>
  </si>
  <si>
    <t>PARQUET_JIRS_CRIMO</t>
  </si>
  <si>
    <t>PARQUET_JIRS_ECOFI</t>
  </si>
  <si>
    <t>PARQUET_EXE_APP_PEINES</t>
  </si>
  <si>
    <t>PARQUET_ACTIVITE_CIV_COM</t>
  </si>
  <si>
    <t>AUTRES_JNS</t>
  </si>
  <si>
    <t>J_SPEC_ACT_NON_SPEC</t>
  </si>
  <si>
    <t>JAF_JNS</t>
  </si>
  <si>
    <t>JUGE_TASS_JNS</t>
  </si>
  <si>
    <t>JUGE_TJ_IP_SR</t>
  </si>
  <si>
    <t>JUGE_CTX_GEN_INF_DIX_MIL</t>
  </si>
  <si>
    <t>TI_ACT_J_DEPARTITEUR</t>
  </si>
  <si>
    <t>MAG_SIEGE_CONTRAV</t>
  </si>
  <si>
    <t>MAG_SIEGE_JIRS_SS</t>
  </si>
  <si>
    <t>MAG_SIEGE_JIRS_CRIMO</t>
  </si>
  <si>
    <t>MAG_SIEGE_JIRS_ECOFI</t>
  </si>
  <si>
    <t>JNS_COUR_CRIM</t>
  </si>
  <si>
    <t>MAG_SIEGE_ASSISES</t>
  </si>
  <si>
    <t>JLD_JNS</t>
  </si>
  <si>
    <t>J_INSTRUCTION_JIRS_SS</t>
  </si>
  <si>
    <t>J_INSTRUCTION_JIRS_CRIMO</t>
  </si>
  <si>
    <t>J_INSTRUCTION_JIRS_ECOFI</t>
  </si>
  <si>
    <t>J_INSTRUCTION</t>
  </si>
  <si>
    <t>JCP_TJ_SURENDETTEMENT</t>
  </si>
  <si>
    <t>JCP_TJ_TUT_MAJ</t>
  </si>
  <si>
    <t>JUR_ASS_SIEGE</t>
  </si>
  <si>
    <t>JUR_ASS_TASS</t>
  </si>
  <si>
    <t>JUR_ASS_PARQUET</t>
  </si>
  <si>
    <t>FONCTIONNAIRES_HORS_FONCT_SPEC</t>
  </si>
  <si>
    <t>FONC_P_SOC</t>
  </si>
  <si>
    <t>FONC_CTX_GEN_INF_DIX_MIL</t>
  </si>
  <si>
    <t>FONC_TJ_IP_SR</t>
  </si>
  <si>
    <t>FONC_TJ_SURENDETTEMENT</t>
  </si>
  <si>
    <t>FONC_TJ_TUT_MAJ</t>
  </si>
  <si>
    <t>FONCTIONNAIRES_JIRS_SS</t>
  </si>
  <si>
    <t>FONCTIONNAIRES_JIRS_CRIMO</t>
  </si>
  <si>
    <t>FONCTIONNAIRES_JIRS_ECOFI</t>
  </si>
  <si>
    <t>FONC_COUR_CRIM</t>
  </si>
  <si>
    <t>FONCTIONNAIRES_ASSISES</t>
  </si>
  <si>
    <t>FONCTIONNAIRES_BEX_APP</t>
  </si>
  <si>
    <t>FONCTIONNAIRES_ACTIVITE_CIV_PRQT</t>
  </si>
  <si>
    <t>FONCTIONNAIRES_C_TECHNIQUES_SPEC</t>
  </si>
  <si>
    <t>Total magistrats du parquet</t>
  </si>
  <si>
    <t>PRQT</t>
  </si>
  <si>
    <t>Total magistrats du siège non spécialisés</t>
  </si>
  <si>
    <t>SIEGE NS</t>
  </si>
  <si>
    <t>Total magistrats du siège spécialisés</t>
  </si>
  <si>
    <t>SIEGE S</t>
  </si>
  <si>
    <t>Total juristes assistants</t>
  </si>
  <si>
    <t>Total fonctionnaires administratifs</t>
  </si>
  <si>
    <t>A-B-CBUR</t>
  </si>
  <si>
    <t>Total fonctionnaires techniques</t>
  </si>
  <si>
    <t>CTECH</t>
  </si>
  <si>
    <t>DÉCLARATION ETPT TJ</t>
  </si>
  <si>
    <t>Attention : par défaut, l'activité pénale recensée au niveau des TPR est comptabilisée sur le TJ</t>
  </si>
  <si>
    <t>ETPT_TPRX</t>
  </si>
  <si>
    <t>Magistrats du TJ affectés au TPRX</t>
  </si>
  <si>
    <t>Magistrat TPRX sur activité déléguée du TJ : Autres contentieux</t>
  </si>
  <si>
    <t>Magistrat TPRX sur activité déléguée du TJ en matière de police</t>
  </si>
  <si>
    <t>Magistrat TPRX sur activité déléguée du TJ en matière correctionnelle</t>
  </si>
  <si>
    <t>Magistrat TPRX sur activité déléguée du TJ en matière : Tutelles mineurs</t>
  </si>
  <si>
    <t>Magistrat TPRX sur activité déléguée du TJ en matière : JAF</t>
  </si>
  <si>
    <t>Magistrats suivi tutelles majeurs et comptes</t>
  </si>
  <si>
    <t xml:space="preserve">Magistrats TPRX affectés au surendettement et au Hors surendettement </t>
  </si>
  <si>
    <t>Magistrats TPRX affectés aux saisies sur rémunération et IP</t>
  </si>
  <si>
    <t>Juges du Livre Foncier + Juge d'Instance RCS et Droit Local</t>
  </si>
  <si>
    <t>Fonctionnaires TPRX sur activité déléguèe du TJ : Autres contentieux</t>
  </si>
  <si>
    <t>Fonctionnaires TPRX sur activité déléguée du TJ en matière de police</t>
  </si>
  <si>
    <t>Fonctionnaires TPRX sur activité déléguée du TJ en matière  correctionnelle</t>
  </si>
  <si>
    <t>Fonctionnaires TPRX sur activité déléguée du TJ en matière : Tutelles mineurs</t>
  </si>
  <si>
    <t>Fonctionnaires TPRX sur activité déléguée du TJ en matière : JAF</t>
  </si>
  <si>
    <t>Fonctionnaires TPRX tutelles majeurs et vérification des comptes</t>
  </si>
  <si>
    <t>Fonctionnaires TPRX affectés au surendettement et au Hors surendettement</t>
  </si>
  <si>
    <t>Fonctionnaires TPRX IP, Saisies rém, Nationalité, actes de greffe, etc.</t>
  </si>
  <si>
    <t>Fonctionnaires TPRX, Droit Local, Livre foncier, RCS,etc.</t>
  </si>
  <si>
    <t>MAGISTRATS_TGI_TI</t>
  </si>
  <si>
    <t>MAGISTRAT_TPRX_AUT_CTX_TJ</t>
  </si>
  <si>
    <t>MAGISTRAT_TPRX_POLICE</t>
  </si>
  <si>
    <t>MAGISTRAT_TPRX_CORREC</t>
  </si>
  <si>
    <t>MAGISTRAT_TPRX_TUT_MIN</t>
  </si>
  <si>
    <t>MAGISTRAT_TPRX_JAF</t>
  </si>
  <si>
    <t>MAGISTRATS_TI_TUTELLES</t>
  </si>
  <si>
    <t>MAGISTRATS_TI_SURENDET</t>
  </si>
  <si>
    <t>MAGISTRATS_TI_SR_IP</t>
  </si>
  <si>
    <t>JUGE_LIVRE_FONCIER_JNS</t>
  </si>
  <si>
    <t>FONC_TPRX_AUT_CTX_TJ</t>
  </si>
  <si>
    <t>FONC_TPRX_POLICE</t>
  </si>
  <si>
    <t>FONC_TPRX_CORREC</t>
  </si>
  <si>
    <t>FONC_TPRX_TUT_MIN</t>
  </si>
  <si>
    <t>FONC_TPRX_JAF</t>
  </si>
  <si>
    <t>FONCTIONNAIRES_TI_TUTELLES</t>
  </si>
  <si>
    <t>FONCTIONNAIRES_TI_SURENDET</t>
  </si>
  <si>
    <t>FONCTIONNAIRES_TI_AG_PACS_NAT</t>
  </si>
  <si>
    <t>FONCTIONNAIRES_TI_DRT_LOCAL_RCS</t>
  </si>
  <si>
    <t>Total magistrats du siège autres activités</t>
  </si>
  <si>
    <t>SIEGE  S</t>
  </si>
  <si>
    <t>Total magistrats du siège activités spécifiques</t>
  </si>
  <si>
    <t xml:space="preserve">DÉCLARATION ETPT TPRX
</t>
  </si>
  <si>
    <t>ETPT_CPH</t>
  </si>
  <si>
    <t>DÉCLARATION ETPT CPH</t>
  </si>
  <si>
    <t xml:space="preserve">                Agrégats DDG</t>
  </si>
  <si>
    <t xml:space="preserve">                  Extracteur de données d'effectifs - Format DDG (avec réintégration de l'absentéisme)</t>
  </si>
  <si>
    <t xml:space="preserve">                  Extracteur de données d'effectifs</t>
  </si>
  <si>
    <t xml:space="preserve">                 Déclaration des ETPT TJ</t>
  </si>
  <si>
    <t xml:space="preserve">                 Déclaration des ETPT TPROX</t>
  </si>
  <si>
    <t xml:space="preserve">                 Déclaration des ETPT CPH</t>
  </si>
  <si>
    <t>RECAPITULATIF</t>
  </si>
  <si>
    <t>CPH détachés</t>
  </si>
  <si>
    <t xml:space="preserve">  </t>
  </si>
  <si>
    <t>Bienvenue dans l'extraction de vos données d'effectifs !</t>
  </si>
  <si>
    <t>Ce fichier Excel a été extrait automatiquement de votre application A-JUST. Retrouvez ci-dessous quelques indications pour y naviguer en toute fluidité.</t>
  </si>
  <si>
    <t>Nom de l'onglet</t>
  </si>
  <si>
    <t>Description rapide</t>
  </si>
  <si>
    <t>Usage</t>
  </si>
  <si>
    <t>Pour une présentation complète</t>
  </si>
  <si>
    <t>ETPT A-JUST</t>
  </si>
  <si>
    <t>Retrouvez le détail des ventilations individuelles de chaque agent, agrégées sur la période pour laquelle vous avez extrait les données, à l'identique de ce que vous avez renseigné dans A-JUST.</t>
  </si>
  <si>
    <t xml:space="preserve">Tout au long de l'année, consultez le détail des affectations de chaque agent, calculées en ETPT, pour la période choisie. </t>
  </si>
  <si>
    <t>ETPT Format DDG</t>
  </si>
  <si>
    <t xml:space="preserve">Vous y trouverez les données individuelles, retraitées conformément aux règles de calcul de la Chancellerie, en procédant à la réintégration de certaines indisponibilités considérées comme de l'absentéisme, ne déduisant pas d'ETPT. </t>
  </si>
  <si>
    <t>Afin de préparer la collecte de vos ETPT dans les matrices de la DSJ certaines précisions doivent être apportées dans cet onglet.</t>
  </si>
  <si>
    <t>Agrégats DDG</t>
  </si>
  <si>
    <t>Pour chaque juridiction de l'arrondissement judiciaire, cette synthèse présente les ETPT affectés, par catégorie d'agent, à chaque contentieux ou sous-contentieux, l'absentéisme étant réintégré comme dans l'onglet "ETPT Format DDG".</t>
  </si>
  <si>
    <t>N'hésitez pas à la consulter toute l'année, pour les périodes de votre choix.</t>
  </si>
  <si>
    <t>ETPT_TJ_DDG</t>
  </si>
  <si>
    <t>Les tableaux de la Chancellerie, préremplis grâce aux informations saisies dans A-JUST et aux précisions apportées dans l'onglet ETPT Format DDG.
Pour les Tribunaux de proximité et CPH, sélectionnez la juridiction dans la cellule D5 et vos tableaux seront prêts !</t>
  </si>
  <si>
    <t>Ces données sont prérenseignées dans les tableaux de collecte des ETPT de la Chancellerie mais restent soumises à votre contrôle et éventuels ajustements avant transmission.</t>
  </si>
  <si>
    <t>ETPT_TPRX-DDG</t>
  </si>
  <si>
    <t>ETPT_CPH_DDG</t>
  </si>
  <si>
    <r>
      <rPr>
        <b/>
        <sz val="11"/>
        <color theme="1"/>
        <rFont val="Calibri"/>
        <family val="2"/>
        <scheme val="minor"/>
      </rPr>
      <t>Ce fichier</t>
    </r>
    <r>
      <rPr>
        <sz val="11"/>
        <color theme="1"/>
        <rFont val="Calibri"/>
        <family val="2"/>
        <scheme val="minor"/>
      </rPr>
      <t>, permettant de remplir automatiquement les tableaux de collecte d'ETPT de la Chancellerie à partir des données A-JUST,</t>
    </r>
    <r>
      <rPr>
        <b/>
        <sz val="11"/>
        <color theme="1"/>
        <rFont val="Calibri"/>
        <family val="2"/>
        <scheme val="minor"/>
      </rPr>
      <t xml:space="preserve"> résulte de la collaboration de l'équipe de la start-up d'Etat A-JUST avec Mme Nathalie DE JONG</t>
    </r>
    <r>
      <rPr>
        <sz val="11"/>
        <color theme="1"/>
        <rFont val="Calibri"/>
        <family val="2"/>
        <scheme val="minor"/>
      </rPr>
      <t xml:space="preserve">, statisticienne du SAIR de la </t>
    </r>
    <r>
      <rPr>
        <b/>
        <sz val="11"/>
        <color theme="1"/>
        <rFont val="Calibri"/>
        <family val="2"/>
        <scheme val="minor"/>
      </rPr>
      <t>Cour d'Appel de LYON</t>
    </r>
    <r>
      <rPr>
        <sz val="11"/>
        <color theme="1"/>
        <rFont val="Calibri"/>
        <family val="2"/>
        <scheme val="minor"/>
      </rPr>
      <t xml:space="preserve">. </t>
    </r>
    <r>
      <rPr>
        <b/>
        <sz val="11"/>
        <color theme="1"/>
        <rFont val="Calibri"/>
        <family val="2"/>
        <scheme val="minor"/>
      </rPr>
      <t>Qu'elle soit ici vivement remerciée</t>
    </r>
    <r>
      <rPr>
        <sz val="11"/>
        <color theme="1"/>
        <rFont val="Calibri"/>
        <family val="2"/>
        <scheme val="minor"/>
      </rPr>
      <t xml:space="preserve">, ainsi que sa hiérarchie qui l'a autorisée à consacrer un temps aussi précieux qu'irremplaçable à écrire les formules de calcul permettant d'automatiser l'alimentation des tableaux DDG et faire ainsi gagner à nos utilisateurs un temps considérable chaque année. </t>
    </r>
  </si>
  <si>
    <t>#! HYPERLINK firstLink.label firstLink.url</t>
  </si>
  <si>
    <t>#! HYPERLINK secondLink.label secondLink.url</t>
  </si>
  <si>
    <t>#! HYPERLINK thirdLink.label thirdLink.url</t>
  </si>
  <si>
    <r>
      <rPr>
        <b/>
        <sz val="12"/>
        <color rgb="FF2D46E0"/>
        <rFont val="Calibri"/>
        <family val="2"/>
        <scheme val="minor"/>
      </rPr>
      <t>→ Sélectionner la juridiction souhaitée à partir du menu déroulant qui se trouve dans la cellule D5 identifiée en</t>
    </r>
    <r>
      <rPr>
        <b/>
        <sz val="12"/>
        <color rgb="FF860000"/>
        <rFont val="Calibri"/>
        <family val="2"/>
        <scheme val="minor"/>
      </rPr>
      <t xml:space="preserve"> </t>
    </r>
    <r>
      <rPr>
        <b/>
        <sz val="12"/>
        <color theme="5"/>
        <rFont val="Calibri"/>
        <family val="2"/>
        <scheme val="minor"/>
      </rPr>
      <t>orange.</t>
    </r>
  </si>
  <si>
    <r>
      <rPr>
        <b/>
        <sz val="12"/>
        <color rgb="FF2D46E0"/>
        <rFont val="Calibri"/>
        <family val="2"/>
        <scheme val="minor"/>
      </rPr>
      <t>→ Sélectionner la juridiction souhaitée à partir du menu déroulant qui se trouve dans la cellule D5 identifiée en</t>
    </r>
    <r>
      <rPr>
        <b/>
        <sz val="12"/>
        <color rgb="FF860000"/>
        <rFont val="Calibri"/>
        <family val="2"/>
        <scheme val="minor"/>
      </rPr>
      <t xml:space="preserve"> </t>
    </r>
    <r>
      <rPr>
        <b/>
        <sz val="12"/>
        <color theme="5"/>
        <rFont val="Calibri (Corps)"/>
      </rPr>
      <t>orange</t>
    </r>
    <r>
      <rPr>
        <b/>
        <sz val="12"/>
        <color rgb="FF860000"/>
        <rFont val="Calibri"/>
        <family val="2"/>
        <scheme val="minor"/>
      </rPr>
      <t>.</t>
    </r>
  </si>
  <si>
    <t>JA JP</t>
  </si>
  <si>
    <t>JURISTE ASSISTANT Vif</t>
  </si>
  <si>
    <t>JA VIF</t>
  </si>
  <si>
    <t>CONT A JP Autour du magistrat</t>
  </si>
  <si>
    <r>
      <t xml:space="preserve">3.2 Protection des majeurs
</t>
    </r>
    <r>
      <rPr>
        <b/>
        <sz val="7"/>
        <color rgb="FF0070C0"/>
        <rFont val="Arial"/>
        <family val="2"/>
      </rPr>
      <t>(Pour Fonction recodée = Magistrats SIEGE S et NS)</t>
    </r>
    <r>
      <rPr>
        <sz val="7"/>
        <rFont val="Arial"/>
        <family val="2"/>
      </rPr>
      <t xml:space="preserve">
</t>
    </r>
    <r>
      <rPr>
        <b/>
        <sz val="7"/>
        <color rgb="FFFF0000"/>
        <rFont val="Arial"/>
        <family val="2"/>
      </rPr>
      <t>Critère sur le TJ</t>
    </r>
  </si>
  <si>
    <r>
      <t xml:space="preserve">Soustraction
3. Contentieux de la Protection - 3.2 Protection des majeurs - 3.43 Injonctions de payer - 3.44 Saisies des rémunérations
</t>
    </r>
    <r>
      <rPr>
        <b/>
        <sz val="7"/>
        <color rgb="FF0070C0"/>
        <rFont val="Arial"/>
        <family val="2"/>
      </rPr>
      <t xml:space="preserve">(Pour Fonction recodée = Magistrats SIEGE S et NS)
</t>
    </r>
    <r>
      <rPr>
        <b/>
        <sz val="7"/>
        <color rgb="FFFF0000"/>
        <rFont val="Arial"/>
        <family val="2"/>
      </rPr>
      <t>Critère sur le TJ</t>
    </r>
  </si>
  <si>
    <r>
      <t xml:space="preserve">6.1 JE : activité civile
</t>
    </r>
    <r>
      <rPr>
        <b/>
        <sz val="7"/>
        <color rgb="FF0070C0"/>
        <rFont val="Arial"/>
        <family val="2"/>
      </rPr>
      <t>(Pour Fonction recodée = Magistrats SIEGE S et NS)</t>
    </r>
    <r>
      <rPr>
        <sz val="7"/>
        <rFont val="Arial"/>
        <family val="2"/>
      </rPr>
      <t xml:space="preserve">
</t>
    </r>
    <r>
      <rPr>
        <b/>
        <sz val="7"/>
        <color rgb="FFFF0000"/>
        <rFont val="Arial"/>
        <family val="2"/>
      </rPr>
      <t>TJ et TPR (donc pas de critère sur le TJ)</t>
    </r>
  </si>
  <si>
    <r>
      <t xml:space="preserve">5. TOTAL JLD CIVIL
</t>
    </r>
    <r>
      <rPr>
        <b/>
        <sz val="7"/>
        <color rgb="FF0070C0"/>
        <rFont val="Arial"/>
        <family val="2"/>
      </rPr>
      <t>(Pour Fonction recodée = Magistrats SIEGE S et NS)</t>
    </r>
    <r>
      <rPr>
        <sz val="7"/>
        <rFont val="Arial"/>
        <family val="2"/>
      </rPr>
      <t xml:space="preserve">
</t>
    </r>
    <r>
      <rPr>
        <b/>
        <sz val="7"/>
        <color rgb="FFFF0000"/>
        <rFont val="Arial"/>
        <family val="2"/>
      </rPr>
      <t>TJ et TPR (donc pas de critère sur le TJ)</t>
    </r>
  </si>
  <si>
    <r>
      <t xml:space="preserve">1.1 Contentieux du travail
</t>
    </r>
    <r>
      <rPr>
        <b/>
        <sz val="7"/>
        <color rgb="FF0070C0"/>
        <rFont val="Arial"/>
        <family val="2"/>
      </rPr>
      <t>(Pour Fonction recodée = Magistrats SIEGE S et NS)</t>
    </r>
    <r>
      <rPr>
        <sz val="7"/>
        <rFont val="Arial"/>
        <family val="2"/>
      </rPr>
      <t xml:space="preserve">
</t>
    </r>
    <r>
      <rPr>
        <b/>
        <sz val="7"/>
        <color rgb="FFFF0000"/>
        <rFont val="Arial"/>
        <family val="2"/>
      </rPr>
      <t>Critère sur le TJ</t>
    </r>
  </si>
  <si>
    <r>
      <t xml:space="preserve">4.0 Contentieux général &lt; 10000 euros
</t>
    </r>
    <r>
      <rPr>
        <b/>
        <sz val="7"/>
        <color rgb="FF0070C0"/>
        <rFont val="Arial"/>
        <family val="2"/>
      </rPr>
      <t xml:space="preserve">(Pour Fonction recodée = Magistrats SIEGE S et NS)
</t>
    </r>
    <r>
      <rPr>
        <b/>
        <sz val="7"/>
        <color rgb="FFFF0000"/>
        <rFont val="Arial"/>
        <family val="2"/>
      </rPr>
      <t>Critère sur le TJ</t>
    </r>
  </si>
  <si>
    <r>
      <t xml:space="preserve">3.43 Injonctions de payer + 3.44 Saisies des rémunérations
</t>
    </r>
    <r>
      <rPr>
        <b/>
        <sz val="7"/>
        <color rgb="FF0070C0"/>
        <rFont val="Arial"/>
        <family val="2"/>
      </rPr>
      <t>(Pour Fonction recodée = Magistrats SIEGE S et NS)</t>
    </r>
    <r>
      <rPr>
        <sz val="7"/>
        <rFont val="Arial"/>
        <family val="2"/>
      </rPr>
      <t xml:space="preserve">
</t>
    </r>
    <r>
      <rPr>
        <b/>
        <sz val="7"/>
        <color rgb="FFFF0000"/>
        <rFont val="Arial"/>
        <family val="2"/>
      </rPr>
      <t>Critère sur le TJ</t>
    </r>
  </si>
  <si>
    <r>
      <t xml:space="preserve">1. TOTAL CONTENTIEUX SOCIAL - 1.1 Contentieux du travail
</t>
    </r>
    <r>
      <rPr>
        <b/>
        <sz val="7"/>
        <color rgb="FF0070C0"/>
        <rFont val="Arial"/>
        <family val="2"/>
      </rPr>
      <t xml:space="preserve">(Pour Fonction recodée = Magistrats SIEGE S et NS)
</t>
    </r>
    <r>
      <rPr>
        <b/>
        <sz val="7"/>
        <color rgb="FFFF0000"/>
        <rFont val="Arial"/>
        <family val="2"/>
      </rPr>
      <t>Critère sur le TJ</t>
    </r>
  </si>
  <si>
    <r>
      <t xml:space="preserve">2. TOTAL CONTENTIEUX JAF
</t>
    </r>
    <r>
      <rPr>
        <b/>
        <sz val="7"/>
        <color rgb="FF0070C0"/>
        <rFont val="Arial"/>
        <family val="2"/>
      </rPr>
      <t>(Pour Fonction recodée = Magistrats SIEGE S et NS)</t>
    </r>
    <r>
      <rPr>
        <sz val="7"/>
        <rFont val="Arial"/>
        <family val="2"/>
      </rPr>
      <t xml:space="preserve">
</t>
    </r>
    <r>
      <rPr>
        <b/>
        <sz val="7"/>
        <color rgb="FFFF0000"/>
        <rFont val="Arial"/>
        <family val="2"/>
      </rPr>
      <t>TJ et TPR (donc pas de critère sur le TJ)</t>
    </r>
  </si>
  <si>
    <r>
      <t xml:space="preserve">4. TOTAL CIVIL NON SPÉCIALISÉ - 4.0 Contentieux général &lt; 10000 euros
</t>
    </r>
    <r>
      <rPr>
        <b/>
        <sz val="7"/>
        <color rgb="FF0070C0"/>
        <rFont val="Arial"/>
        <family val="2"/>
      </rPr>
      <t>(Pour Fonction recodée = Magistrats SIEGE S)</t>
    </r>
    <r>
      <rPr>
        <sz val="7"/>
        <rFont val="Arial"/>
        <family val="2"/>
      </rPr>
      <t xml:space="preserve">
</t>
    </r>
    <r>
      <rPr>
        <b/>
        <sz val="7"/>
        <color rgb="FFFF0000"/>
        <rFont val="Arial"/>
        <family val="2"/>
      </rPr>
      <t>Critère sur le TJ</t>
    </r>
  </si>
  <si>
    <r>
      <t xml:space="preserve">4. TOTAL CIVIL NON SPÉCIALISÉ - 4.0 Contentieux général &lt; 10000 euros
</t>
    </r>
    <r>
      <rPr>
        <b/>
        <sz val="7"/>
        <color rgb="FF0070C0"/>
        <rFont val="Arial"/>
        <family val="2"/>
      </rPr>
      <t>(Pour Fonction recodée = Magistrats SIEGE NS)</t>
    </r>
    <r>
      <rPr>
        <sz val="7"/>
        <rFont val="Arial"/>
        <family val="2"/>
      </rPr>
      <t xml:space="preserve">
</t>
    </r>
    <r>
      <rPr>
        <b/>
        <sz val="7"/>
        <color rgb="FFFF0000"/>
        <rFont val="Arial"/>
        <family val="2"/>
      </rPr>
      <t>Critère sur le TJ</t>
    </r>
  </si>
  <si>
    <r>
      <t xml:space="preserve">8.1 Service général
</t>
    </r>
    <r>
      <rPr>
        <b/>
        <sz val="7"/>
        <color rgb="FF0070C0"/>
        <rFont val="Arial"/>
        <family val="2"/>
      </rPr>
      <t>(Pour Fonction recodée = Magistrats SIEGE S et NS)</t>
    </r>
    <r>
      <rPr>
        <sz val="7"/>
        <rFont val="Arial"/>
        <family val="2"/>
      </rPr>
      <t xml:space="preserve">
</t>
    </r>
    <r>
      <rPr>
        <b/>
        <sz val="7"/>
        <color rgb="FFFF0000"/>
        <rFont val="Arial"/>
        <family val="2"/>
      </rPr>
      <t>TJ et TPR (donc pas de critère sur le TJ)</t>
    </r>
  </si>
  <si>
    <r>
      <t xml:space="preserve">8.2 JIRS eco-fi
</t>
    </r>
    <r>
      <rPr>
        <b/>
        <sz val="7"/>
        <color rgb="FF0070C0"/>
        <rFont val="Arial"/>
        <family val="2"/>
      </rPr>
      <t>(Pour Fonction recodée = Magistrats SIEGE S et NS)</t>
    </r>
    <r>
      <rPr>
        <sz val="7"/>
        <rFont val="Arial"/>
        <family val="2"/>
      </rPr>
      <t xml:space="preserve">
</t>
    </r>
    <r>
      <rPr>
        <b/>
        <sz val="7"/>
        <color rgb="FFFF0000"/>
        <rFont val="Arial"/>
        <family val="2"/>
      </rPr>
      <t>TJ et TPR (donc pas de critère sur le TJ)</t>
    </r>
  </si>
  <si>
    <r>
      <t xml:space="preserve">8.3 JIRS crim-org
</t>
    </r>
    <r>
      <rPr>
        <b/>
        <sz val="7"/>
        <color rgb="FF0070C0"/>
        <rFont val="Arial"/>
        <family val="2"/>
      </rPr>
      <t>(Pour Fonction recodée = Magistrats SIEGE S et NS)</t>
    </r>
    <r>
      <rPr>
        <sz val="7"/>
        <rFont val="Arial"/>
        <family val="2"/>
      </rPr>
      <t xml:space="preserve">
</t>
    </r>
    <r>
      <rPr>
        <b/>
        <sz val="7"/>
        <color rgb="FFFF0000"/>
        <rFont val="Arial"/>
        <family val="2"/>
      </rPr>
      <t>TJ et TPR (donc pas de critère sur le TJ)</t>
    </r>
  </si>
  <si>
    <r>
      <t xml:space="preserve">8.4 autres sections spécialisées
</t>
    </r>
    <r>
      <rPr>
        <b/>
        <sz val="7"/>
        <color rgb="FF0070C0"/>
        <rFont val="Arial"/>
        <family val="2"/>
      </rPr>
      <t>(Pour Fonction recodée = Magistrats SIEGE S et NS)</t>
    </r>
    <r>
      <rPr>
        <sz val="7"/>
        <rFont val="Arial"/>
        <family val="2"/>
      </rPr>
      <t xml:space="preserve">
</t>
    </r>
    <r>
      <rPr>
        <b/>
        <sz val="7"/>
        <color rgb="FFFF0000"/>
        <rFont val="Arial"/>
        <family val="2"/>
      </rPr>
      <t>TJ et TPR (donc pas de critère sur le TJ)</t>
    </r>
  </si>
  <si>
    <r>
      <t xml:space="preserve">9. TOTAL JAP
</t>
    </r>
    <r>
      <rPr>
        <b/>
        <sz val="7"/>
        <color rgb="FF0070C0"/>
        <rFont val="Arial"/>
        <family val="2"/>
      </rPr>
      <t>(Pour Fonction recodée = Magistrats SIEGE S et NS)</t>
    </r>
    <r>
      <rPr>
        <b/>
        <sz val="7"/>
        <rFont val="Arial"/>
        <family val="2"/>
      </rPr>
      <t xml:space="preserve">
</t>
    </r>
    <r>
      <rPr>
        <b/>
        <sz val="7"/>
        <color rgb="FFFF0000"/>
        <rFont val="Arial"/>
        <family val="2"/>
      </rPr>
      <t>TJ et TPR (donc pas de critère sur le TJ)</t>
    </r>
  </si>
  <si>
    <r>
      <t xml:space="preserve">6.2 JE : activité pénale
</t>
    </r>
    <r>
      <rPr>
        <b/>
        <sz val="7"/>
        <color rgb="FF0070C0"/>
        <rFont val="Arial"/>
        <family val="2"/>
      </rPr>
      <t>(Pour Fonction recodée = Magistrats SIEGE S et NS)</t>
    </r>
    <r>
      <rPr>
        <sz val="7"/>
        <color rgb="FF0070C0"/>
        <rFont val="Arial"/>
        <family val="2"/>
      </rPr>
      <t xml:space="preserve">
</t>
    </r>
    <r>
      <rPr>
        <b/>
        <sz val="7"/>
        <color rgb="FFFF0000"/>
        <rFont val="Arial"/>
        <family val="2"/>
      </rPr>
      <t>TJ et TPR (donc pas de critère sur le TJ)</t>
    </r>
  </si>
  <si>
    <r>
      <t xml:space="preserve">10. TOTAL JLD PÉNAL
</t>
    </r>
    <r>
      <rPr>
        <b/>
        <sz val="7"/>
        <color rgb="FF0070C0"/>
        <rFont val="Arial"/>
        <family val="2"/>
      </rPr>
      <t>(Pour Fonction recodée = Magistrats SIEGE S et NS)</t>
    </r>
    <r>
      <rPr>
        <sz val="7"/>
        <rFont val="Arial"/>
        <family val="2"/>
      </rPr>
      <t xml:space="preserve">
</t>
    </r>
    <r>
      <rPr>
        <b/>
        <sz val="7"/>
        <color rgb="FFFF0000"/>
        <rFont val="Arial"/>
        <family val="2"/>
      </rPr>
      <t>TJ et TPR (donc pas de critère sur le TJ)</t>
    </r>
  </si>
  <si>
    <r>
      <t xml:space="preserve">7.5 + 7.51 Cour d'assises JIRS et hors JIRS
</t>
    </r>
    <r>
      <rPr>
        <b/>
        <sz val="7"/>
        <color rgb="FFFF0000"/>
        <rFont val="Arial"/>
        <family val="2"/>
      </rPr>
      <t>TJ et TPR (donc pas de critère sur le TJ)</t>
    </r>
  </si>
  <si>
    <r>
      <t xml:space="preserve">7.52 cour criminelle
</t>
    </r>
    <r>
      <rPr>
        <b/>
        <sz val="7"/>
        <color rgb="FFFF0000"/>
        <rFont val="Arial"/>
        <family val="2"/>
      </rPr>
      <t>TJ et TPR (donc pas de critère sur le TJ)</t>
    </r>
  </si>
  <si>
    <r>
      <t xml:space="preserve">7.121 Collégiales JIRS eco-fi
</t>
    </r>
    <r>
      <rPr>
        <b/>
        <sz val="7"/>
        <color rgb="FFFF0000"/>
        <rFont val="Arial"/>
        <family val="2"/>
      </rPr>
      <t>TJ et TPR (donc pas de critère sur le TJ)</t>
    </r>
  </si>
  <si>
    <r>
      <t xml:space="preserve">7.12 Collégiales JIRS crim-org
</t>
    </r>
    <r>
      <rPr>
        <b/>
        <sz val="7"/>
        <color rgb="FFFF0000"/>
        <rFont val="Arial"/>
        <family val="2"/>
      </rPr>
      <t>TJ et TPR (donc pas de critère sur le TJ)</t>
    </r>
  </si>
  <si>
    <r>
      <t xml:space="preserve">7.122 Collégiales autres sections spécialisées
</t>
    </r>
    <r>
      <rPr>
        <b/>
        <sz val="7"/>
        <color rgb="FFFF0000"/>
        <rFont val="Arial"/>
        <family val="2"/>
      </rPr>
      <t>TJ et TPR (donc pas de critère sur le TJ)</t>
    </r>
  </si>
  <si>
    <r>
      <t xml:space="preserve">7.6 Tribunal de police + 7.7 OP contraventionnelles
</t>
    </r>
    <r>
      <rPr>
        <b/>
        <sz val="7"/>
        <color rgb="FFFF0000"/>
        <rFont val="Arial"/>
        <family val="2"/>
      </rPr>
      <t>TJ et TPR (donc pas de critère sur le TJ)</t>
    </r>
  </si>
  <si>
    <r>
      <t xml:space="preserve">Temps ventilés sur la période (affaires pénales) - 8.1 Service général - 8.2 JIRS eco-fi - 8.3 JIRS crim-org - 8.4 autres sections spécialisées - 9. TOTAL JAP - 6.2 JE : activité pénale - 10. TOTAL JLD PÉNAL - 7.12. COLLÉGIALES JIRS CRIM-ORG - 7.121. COLLÉGIALES JIRS ECO-FI - 7.122. COLLÉGIALES AUTRES SECTIONS SPÉCIALISÉES - 7.5. COUR D'ASSISES HORS JIRS - 7.51. COUR D'ASSISES JIRS - 7.52. COUR CRIMINELLE - 7.6. TRIBUNAL DE POLICE - 7.7. OP CONTRAVENTIONNELLES
</t>
    </r>
    <r>
      <rPr>
        <b/>
        <sz val="7"/>
        <color rgb="FF0070C0"/>
        <rFont val="Arial"/>
        <family val="2"/>
      </rPr>
      <t>(Pour Fonction recodée = Magistrats SIEGE S)</t>
    </r>
    <r>
      <rPr>
        <b/>
        <sz val="7"/>
        <color rgb="FFFF0000"/>
        <rFont val="Arial"/>
        <family val="2"/>
      </rPr>
      <t xml:space="preserve">
TJ et TPR (donc pas de critère sur le TJ)</t>
    </r>
  </si>
  <si>
    <r>
      <t xml:space="preserve">Temps ventilés sur la période (affaires pénales) - 8.1 Service général - 8.2 JIRS eco-fi - 8.3 JIRS crim-org - 8.4 autres sections spécialisées - 9. TOTAL JAP - 6.2 JE : activité pénale - 10. TOTAL JLD PÉNAL - 7.12. COLLÉGIALES JIRS CRIM-ORG - 7.121. COLLÉGIALES JIRS ECO-FI - 7.122. COLLÉGIALES AUTRES SECTIONS SPÉCIALISÉES - 7.5. COUR D'ASSISES HORS JIRS - 7.51. COUR D'ASSISES JIRS - 7.52. COUR CRIMINELLE - 7.6. TRIBUNAL DE POLICE - 7.7. OP CONTRAVENTIONNELLES
</t>
    </r>
    <r>
      <rPr>
        <b/>
        <sz val="7"/>
        <color rgb="FF0070C0"/>
        <rFont val="Arial"/>
        <family val="2"/>
      </rPr>
      <t>(Pour Fonction recodée = Magistrats SIEGE NS)</t>
    </r>
    <r>
      <rPr>
        <b/>
        <sz val="7"/>
        <color rgb="FFFF0000"/>
        <rFont val="Arial"/>
        <family val="2"/>
      </rPr>
      <t xml:space="preserve">
TJ et TPR (donc pas de critère sur le TJ)</t>
    </r>
  </si>
  <si>
    <r>
      <t xml:space="preserve">11.5 CSM
</t>
    </r>
    <r>
      <rPr>
        <b/>
        <sz val="7"/>
        <color rgb="FF0070C0"/>
        <rFont val="Arial"/>
        <family val="2"/>
      </rPr>
      <t>(pour Fonction JCP seulement)</t>
    </r>
    <r>
      <rPr>
        <sz val="7"/>
        <rFont val="Arial"/>
        <family val="2"/>
      </rPr>
      <t xml:space="preserve">
</t>
    </r>
    <r>
      <rPr>
        <b/>
        <sz val="7"/>
        <color rgb="FFFF0000"/>
        <rFont val="Arial"/>
        <family val="2"/>
      </rPr>
      <t>Critère sur le TJ</t>
    </r>
  </si>
  <si>
    <r>
      <t xml:space="preserve">11.5 CSM
</t>
    </r>
    <r>
      <rPr>
        <b/>
        <sz val="7"/>
        <color rgb="FF0070C0"/>
        <rFont val="Arial"/>
        <family val="2"/>
      </rPr>
      <t>(pour Fonction JI seulement)</t>
    </r>
    <r>
      <rPr>
        <sz val="7"/>
        <rFont val="Arial"/>
        <family val="2"/>
      </rPr>
      <t xml:space="preserve">
</t>
    </r>
    <r>
      <rPr>
        <b/>
        <sz val="7"/>
        <color rgb="FFFF0000"/>
        <rFont val="Arial"/>
        <family val="2"/>
      </rPr>
      <t>Critère sur le TJ</t>
    </r>
  </si>
  <si>
    <r>
      <t xml:space="preserve">11.5 CSM
</t>
    </r>
    <r>
      <rPr>
        <b/>
        <sz val="7"/>
        <color rgb="FF0070C0"/>
        <rFont val="Arial"/>
        <family val="2"/>
      </rPr>
      <t>(pour Fonction JAP seulement)</t>
    </r>
    <r>
      <rPr>
        <sz val="7"/>
        <rFont val="Arial"/>
        <family val="2"/>
      </rPr>
      <t xml:space="preserve">
</t>
    </r>
    <r>
      <rPr>
        <b/>
        <sz val="7"/>
        <color rgb="FFFF0000"/>
        <rFont val="Arial"/>
        <family val="2"/>
      </rPr>
      <t>Critère sur le TJ</t>
    </r>
  </si>
  <si>
    <r>
      <t xml:space="preserve">11.5 CSM
</t>
    </r>
    <r>
      <rPr>
        <b/>
        <sz val="7"/>
        <color rgb="FF0070C0"/>
        <rFont val="Arial"/>
        <family val="2"/>
      </rPr>
      <t>(pour Fonction JE seulement)</t>
    </r>
    <r>
      <rPr>
        <sz val="7"/>
        <rFont val="Arial"/>
        <family val="2"/>
      </rPr>
      <t xml:space="preserve">
</t>
    </r>
    <r>
      <rPr>
        <b/>
        <sz val="7"/>
        <color rgb="FFFF0000"/>
        <rFont val="Arial"/>
        <family val="2"/>
      </rPr>
      <t>Critère sur le TJ</t>
    </r>
  </si>
  <si>
    <r>
      <t xml:space="preserve">11.5 CSM
</t>
    </r>
    <r>
      <rPr>
        <b/>
        <sz val="7"/>
        <color rgb="FF0070C0"/>
        <rFont val="Arial"/>
        <family val="2"/>
      </rPr>
      <t>(pour Fonction JLD seulement)</t>
    </r>
    <r>
      <rPr>
        <sz val="7"/>
        <rFont val="Arial"/>
        <family val="2"/>
      </rPr>
      <t xml:space="preserve">
</t>
    </r>
    <r>
      <rPr>
        <b/>
        <sz val="7"/>
        <color rgb="FFFF0000"/>
        <rFont val="Arial"/>
        <family val="2"/>
      </rPr>
      <t>Critère sur le TJ</t>
    </r>
  </si>
  <si>
    <r>
      <t xml:space="preserve">11.5 CSM
</t>
    </r>
    <r>
      <rPr>
        <b/>
        <sz val="7"/>
        <color rgb="FF0070C0"/>
        <rFont val="Arial"/>
        <family val="2"/>
      </rPr>
      <t>(Pour Fonction recodée = Magistrats SIEGE NS)</t>
    </r>
    <r>
      <rPr>
        <sz val="7"/>
        <rFont val="Arial"/>
        <family val="2"/>
      </rPr>
      <t xml:space="preserve">
</t>
    </r>
    <r>
      <rPr>
        <b/>
        <sz val="7"/>
        <color rgb="FFFF0000"/>
        <rFont val="Arial"/>
        <family val="2"/>
      </rPr>
      <t>Critère sur le TJ</t>
    </r>
  </si>
  <si>
    <r>
      <t xml:space="preserve">11.1 Soutien + 11.2 Formations suivies + 1.6 Autres activités non juridictionnelles
</t>
    </r>
    <r>
      <rPr>
        <b/>
        <sz val="7"/>
        <color rgb="FF0070C0"/>
        <rFont val="Arial"/>
        <family val="2"/>
      </rPr>
      <t>(pour Fonction JCP seulement)</t>
    </r>
    <r>
      <rPr>
        <sz val="7"/>
        <rFont val="Arial"/>
        <family val="2"/>
      </rPr>
      <t xml:space="preserve">
</t>
    </r>
    <r>
      <rPr>
        <b/>
        <sz val="7"/>
        <color rgb="FFFF0000"/>
        <rFont val="Arial"/>
        <family val="2"/>
      </rPr>
      <t>Critère sur le TJ</t>
    </r>
  </si>
  <si>
    <r>
      <t xml:space="preserve">11.1 Soutien + 11.2 Formations suivies + 1.6 Autres activités non juridictionnelles
</t>
    </r>
    <r>
      <rPr>
        <b/>
        <sz val="7"/>
        <color rgb="FF0070C0"/>
        <rFont val="Arial"/>
        <family val="2"/>
      </rPr>
      <t>(pour Fonction JI seulement)</t>
    </r>
    <r>
      <rPr>
        <sz val="7"/>
        <rFont val="Arial"/>
        <family val="2"/>
      </rPr>
      <t xml:space="preserve">
</t>
    </r>
    <r>
      <rPr>
        <b/>
        <sz val="7"/>
        <color rgb="FFFF0000"/>
        <rFont val="Arial"/>
        <family val="2"/>
      </rPr>
      <t>Critère sur le TJ</t>
    </r>
  </si>
  <si>
    <r>
      <t xml:space="preserve">11.1 Soutien + 11.2 Formations suivies + 1.6 Autres activités non juridictionnelles
</t>
    </r>
    <r>
      <rPr>
        <b/>
        <sz val="7"/>
        <color rgb="FF0070C0"/>
        <rFont val="Arial"/>
        <family val="2"/>
      </rPr>
      <t>(pour Fonction JAP seulement)</t>
    </r>
    <r>
      <rPr>
        <sz val="7"/>
        <rFont val="Arial"/>
        <family val="2"/>
      </rPr>
      <t xml:space="preserve">
</t>
    </r>
    <r>
      <rPr>
        <b/>
        <sz val="7"/>
        <color rgb="FFFF0000"/>
        <rFont val="Arial"/>
        <family val="2"/>
      </rPr>
      <t>Critère sur le TJ</t>
    </r>
  </si>
  <si>
    <r>
      <t xml:space="preserve">11.1 Soutien + 11.2 Formations suivies + 1.6 Autres activités non juridictionnelles
</t>
    </r>
    <r>
      <rPr>
        <b/>
        <sz val="7"/>
        <color rgb="FF0070C0"/>
        <rFont val="Arial"/>
        <family val="2"/>
      </rPr>
      <t>(pour Fonction JE seulement)</t>
    </r>
    <r>
      <rPr>
        <sz val="7"/>
        <rFont val="Arial"/>
        <family val="2"/>
      </rPr>
      <t xml:space="preserve">
</t>
    </r>
    <r>
      <rPr>
        <b/>
        <sz val="7"/>
        <color rgb="FFFF0000"/>
        <rFont val="Arial"/>
        <family val="2"/>
      </rPr>
      <t>Critère sur le TJ</t>
    </r>
  </si>
  <si>
    <r>
      <t xml:space="preserve">11.1 Soutien + 11.2 Formations suivies + 1.6 Autres activités non juridictionnelles
</t>
    </r>
    <r>
      <rPr>
        <b/>
        <sz val="7"/>
        <color rgb="FF0070C0"/>
        <rFont val="Arial"/>
        <family val="2"/>
      </rPr>
      <t>(pour Fonction JLD seulement)</t>
    </r>
    <r>
      <rPr>
        <sz val="7"/>
        <rFont val="Arial"/>
        <family val="2"/>
      </rPr>
      <t xml:space="preserve">
</t>
    </r>
    <r>
      <rPr>
        <b/>
        <sz val="7"/>
        <color rgb="FFFF0000"/>
        <rFont val="Arial"/>
        <family val="2"/>
      </rPr>
      <t>Critère sur le TJ</t>
    </r>
  </si>
  <si>
    <r>
      <t xml:space="preserve">11.1 Soutien + 11.2 Formations suivies + 1.6 Autres activités non juridictionnelles
</t>
    </r>
    <r>
      <rPr>
        <b/>
        <sz val="7"/>
        <color rgb="FF0070C0"/>
        <rFont val="Arial"/>
        <family val="2"/>
      </rPr>
      <t>(Pour Fonction recodée = Magistrats SIEGE NS)</t>
    </r>
    <r>
      <rPr>
        <sz val="7"/>
        <rFont val="Arial"/>
        <family val="2"/>
      </rPr>
      <t xml:space="preserve">
</t>
    </r>
    <r>
      <rPr>
        <b/>
        <sz val="7"/>
        <color rgb="FFFF0000"/>
        <rFont val="Arial"/>
        <family val="2"/>
      </rPr>
      <t>Critère sur le TJ</t>
    </r>
  </si>
  <si>
    <r>
      <t xml:space="preserve">11.3 Formations dispensées
</t>
    </r>
    <r>
      <rPr>
        <b/>
        <sz val="7"/>
        <color rgb="FF0070C0"/>
        <rFont val="Arial"/>
        <family val="2"/>
      </rPr>
      <t>(pour Fonction JCP seulement)</t>
    </r>
    <r>
      <rPr>
        <sz val="7"/>
        <rFont val="Arial"/>
        <family val="2"/>
      </rPr>
      <t xml:space="preserve">
</t>
    </r>
    <r>
      <rPr>
        <b/>
        <sz val="7"/>
        <color rgb="FFFF0000"/>
        <rFont val="Arial"/>
        <family val="2"/>
      </rPr>
      <t>Critère sur le TJ</t>
    </r>
  </si>
  <si>
    <r>
      <t xml:space="preserve">11.3 Formations dispensées
</t>
    </r>
    <r>
      <rPr>
        <b/>
        <sz val="7"/>
        <color rgb="FF0070C0"/>
        <rFont val="Arial"/>
        <family val="2"/>
      </rPr>
      <t>(pour Fonction JI seulement)</t>
    </r>
    <r>
      <rPr>
        <sz val="7"/>
        <rFont val="Arial"/>
        <family val="2"/>
      </rPr>
      <t xml:space="preserve">
</t>
    </r>
    <r>
      <rPr>
        <b/>
        <sz val="7"/>
        <color rgb="FFFF0000"/>
        <rFont val="Arial"/>
        <family val="2"/>
      </rPr>
      <t>Critère sur le TJ</t>
    </r>
  </si>
  <si>
    <r>
      <t xml:space="preserve">11.3 Formations dispensées
</t>
    </r>
    <r>
      <rPr>
        <b/>
        <sz val="7"/>
        <color rgb="FF0070C0"/>
        <rFont val="Arial"/>
        <family val="2"/>
      </rPr>
      <t>(pour Fonction JAP seulement)</t>
    </r>
    <r>
      <rPr>
        <sz val="7"/>
        <rFont val="Arial"/>
        <family val="2"/>
      </rPr>
      <t xml:space="preserve">
</t>
    </r>
    <r>
      <rPr>
        <b/>
        <sz val="7"/>
        <color rgb="FFFF0000"/>
        <rFont val="Arial"/>
        <family val="2"/>
      </rPr>
      <t>Critère sur le TJ</t>
    </r>
  </si>
  <si>
    <r>
      <t xml:space="preserve">11.3 Formations dispensées
</t>
    </r>
    <r>
      <rPr>
        <b/>
        <sz val="7"/>
        <color rgb="FF0070C0"/>
        <rFont val="Arial"/>
        <family val="2"/>
      </rPr>
      <t>(pour Fonction JE seulement)</t>
    </r>
    <r>
      <rPr>
        <sz val="7"/>
        <rFont val="Arial"/>
        <family val="2"/>
      </rPr>
      <t xml:space="preserve">
</t>
    </r>
    <r>
      <rPr>
        <b/>
        <sz val="7"/>
        <color rgb="FFFF0000"/>
        <rFont val="Arial"/>
        <family val="2"/>
      </rPr>
      <t>Critère sur le TJ</t>
    </r>
  </si>
  <si>
    <r>
      <t xml:space="preserve">11.3 Formations dispensées
</t>
    </r>
    <r>
      <rPr>
        <b/>
        <sz val="7"/>
        <color rgb="FF0070C0"/>
        <rFont val="Arial"/>
        <family val="2"/>
      </rPr>
      <t>(pour Fonction JLD seulement)</t>
    </r>
    <r>
      <rPr>
        <sz val="7"/>
        <rFont val="Arial"/>
        <family val="2"/>
      </rPr>
      <t xml:space="preserve">
</t>
    </r>
    <r>
      <rPr>
        <b/>
        <sz val="7"/>
        <color rgb="FFFF0000"/>
        <rFont val="Arial"/>
        <family val="2"/>
      </rPr>
      <t>Critère sur le TJ</t>
    </r>
  </si>
  <si>
    <r>
      <t xml:space="preserve">11.3 Formations dispensées
</t>
    </r>
    <r>
      <rPr>
        <b/>
        <sz val="7"/>
        <color rgb="FF0070C0"/>
        <rFont val="Arial"/>
        <family val="2"/>
      </rPr>
      <t>(Pour Fonction recodée = Magistrats SIEGE NS)</t>
    </r>
    <r>
      <rPr>
        <sz val="7"/>
        <rFont val="Arial"/>
        <family val="2"/>
      </rPr>
      <t xml:space="preserve">
</t>
    </r>
    <r>
      <rPr>
        <b/>
        <sz val="7"/>
        <color rgb="FFFF0000"/>
        <rFont val="Arial"/>
        <family val="2"/>
      </rPr>
      <t>Critère sur le TJ</t>
    </r>
  </si>
  <si>
    <r>
      <t xml:space="preserve">11.4 Accès au droit et à la justice
</t>
    </r>
    <r>
      <rPr>
        <b/>
        <sz val="7"/>
        <color rgb="FF0070C0"/>
        <rFont val="Arial"/>
        <family val="2"/>
      </rPr>
      <t>(pour Fonction JCP seulement)</t>
    </r>
    <r>
      <rPr>
        <sz val="7"/>
        <rFont val="Arial"/>
        <family val="2"/>
      </rPr>
      <t xml:space="preserve">
</t>
    </r>
    <r>
      <rPr>
        <b/>
        <sz val="7"/>
        <color rgb="FFFF0000"/>
        <rFont val="Arial"/>
        <family val="2"/>
      </rPr>
      <t>Critère sur le TJ</t>
    </r>
  </si>
  <si>
    <r>
      <t xml:space="preserve">11.4 Accès au droit et à la justice
</t>
    </r>
    <r>
      <rPr>
        <b/>
        <sz val="7"/>
        <color rgb="FF0070C0"/>
        <rFont val="Arial"/>
        <family val="2"/>
      </rPr>
      <t>(pour Fonction JI seulement)</t>
    </r>
    <r>
      <rPr>
        <sz val="7"/>
        <rFont val="Arial"/>
        <family val="2"/>
      </rPr>
      <t xml:space="preserve">
</t>
    </r>
    <r>
      <rPr>
        <b/>
        <sz val="7"/>
        <color rgb="FFFF0000"/>
        <rFont val="Arial"/>
        <family val="2"/>
      </rPr>
      <t>Critère sur le TJ</t>
    </r>
  </si>
  <si>
    <r>
      <t xml:space="preserve">11.4 Accès au droit et à la justice
</t>
    </r>
    <r>
      <rPr>
        <b/>
        <sz val="7"/>
        <color rgb="FF0070C0"/>
        <rFont val="Arial"/>
        <family val="2"/>
      </rPr>
      <t>(pour Fonction JAP seulement)</t>
    </r>
    <r>
      <rPr>
        <sz val="7"/>
        <rFont val="Arial"/>
        <family val="2"/>
      </rPr>
      <t xml:space="preserve">
</t>
    </r>
    <r>
      <rPr>
        <b/>
        <sz val="7"/>
        <color rgb="FFFF0000"/>
        <rFont val="Arial"/>
        <family val="2"/>
      </rPr>
      <t>Critère sur le TJ</t>
    </r>
  </si>
  <si>
    <r>
      <t xml:space="preserve">11.4 Accès au droit et à la justice
</t>
    </r>
    <r>
      <rPr>
        <b/>
        <sz val="7"/>
        <color rgb="FF0070C0"/>
        <rFont val="Arial"/>
        <family val="2"/>
      </rPr>
      <t>(pour Fonction JE seulement)</t>
    </r>
    <r>
      <rPr>
        <sz val="7"/>
        <rFont val="Arial"/>
        <family val="2"/>
      </rPr>
      <t xml:space="preserve">
</t>
    </r>
    <r>
      <rPr>
        <b/>
        <sz val="7"/>
        <color rgb="FFFF0000"/>
        <rFont val="Arial"/>
        <family val="2"/>
      </rPr>
      <t>Critère sur le TJ</t>
    </r>
  </si>
  <si>
    <r>
      <t xml:space="preserve">11.4 Accès au droit et à la justice
</t>
    </r>
    <r>
      <rPr>
        <b/>
        <sz val="7"/>
        <color rgb="FF0070C0"/>
        <rFont val="Arial"/>
        <family val="2"/>
      </rPr>
      <t>(pour Fonction JLD seulement)</t>
    </r>
    <r>
      <rPr>
        <sz val="7"/>
        <rFont val="Arial"/>
        <family val="2"/>
      </rPr>
      <t xml:space="preserve">
</t>
    </r>
    <r>
      <rPr>
        <b/>
        <sz val="7"/>
        <color rgb="FFFF0000"/>
        <rFont val="Arial"/>
        <family val="2"/>
      </rPr>
      <t>Critère sur le TJ</t>
    </r>
  </si>
  <si>
    <r>
      <t xml:space="preserve">11.4 Accès au droit et à la justice
</t>
    </r>
    <r>
      <rPr>
        <b/>
        <sz val="7"/>
        <color rgb="FF0070C0"/>
        <rFont val="Arial"/>
        <family val="2"/>
      </rPr>
      <t>(Pour Fonction recodée = Magistrats SIEGE NS)</t>
    </r>
    <r>
      <rPr>
        <sz val="7"/>
        <rFont val="Arial"/>
        <family val="2"/>
      </rPr>
      <t xml:space="preserve">
</t>
    </r>
    <r>
      <rPr>
        <b/>
        <sz val="7"/>
        <color rgb="FFFF0000"/>
        <rFont val="Arial"/>
        <family val="2"/>
      </rPr>
      <t>Critère sur le TJ</t>
    </r>
  </si>
  <si>
    <r>
      <t xml:space="preserve">12. TOTAL INDISPONIBILITÉ
</t>
    </r>
    <r>
      <rPr>
        <b/>
        <sz val="7"/>
        <color rgb="FF0070C0"/>
        <rFont val="Arial"/>
        <family val="2"/>
      </rPr>
      <t>(pour Fonction JCP seulement)</t>
    </r>
    <r>
      <rPr>
        <sz val="7"/>
        <rFont val="Arial"/>
        <family val="2"/>
      </rPr>
      <t xml:space="preserve">
</t>
    </r>
    <r>
      <rPr>
        <b/>
        <sz val="7"/>
        <color rgb="FFFF0000"/>
        <rFont val="Arial"/>
        <family val="2"/>
      </rPr>
      <t>Critère sur le TJ</t>
    </r>
  </si>
  <si>
    <r>
      <t xml:space="preserve">12. TOTAL INDISPONIBILITÉ
</t>
    </r>
    <r>
      <rPr>
        <b/>
        <sz val="7"/>
        <color rgb="FF0070C0"/>
        <rFont val="Arial"/>
        <family val="2"/>
      </rPr>
      <t>(pour Fonction JI seulement)</t>
    </r>
    <r>
      <rPr>
        <sz val="7"/>
        <rFont val="Arial"/>
        <family val="2"/>
      </rPr>
      <t xml:space="preserve">
</t>
    </r>
    <r>
      <rPr>
        <b/>
        <sz val="7"/>
        <color rgb="FFFF0000"/>
        <rFont val="Arial"/>
        <family val="2"/>
      </rPr>
      <t>Critère sur le TJ</t>
    </r>
  </si>
  <si>
    <r>
      <t xml:space="preserve">12. TOTAL INDISPONIBILITÉ
</t>
    </r>
    <r>
      <rPr>
        <b/>
        <sz val="7"/>
        <color rgb="FF0070C0"/>
        <rFont val="Arial"/>
        <family val="2"/>
      </rPr>
      <t>(pour Fonction JAP seulement)</t>
    </r>
    <r>
      <rPr>
        <sz val="7"/>
        <rFont val="Arial"/>
        <family val="2"/>
      </rPr>
      <t xml:space="preserve">
</t>
    </r>
    <r>
      <rPr>
        <b/>
        <sz val="7"/>
        <color rgb="FFFF0000"/>
        <rFont val="Arial"/>
        <family val="2"/>
      </rPr>
      <t>Critère sur le TJ</t>
    </r>
  </si>
  <si>
    <r>
      <t xml:space="preserve">12. TOTAL INDISPONIBILITÉ
</t>
    </r>
    <r>
      <rPr>
        <b/>
        <sz val="7"/>
        <color rgb="FF0070C0"/>
        <rFont val="Arial"/>
        <family val="2"/>
      </rPr>
      <t>(pour Fonction JE seulement)</t>
    </r>
    <r>
      <rPr>
        <sz val="7"/>
        <rFont val="Arial"/>
        <family val="2"/>
      </rPr>
      <t xml:space="preserve">
</t>
    </r>
    <r>
      <rPr>
        <b/>
        <sz val="7"/>
        <color rgb="FFFF0000"/>
        <rFont val="Arial"/>
        <family val="2"/>
      </rPr>
      <t>Critère sur le TJ</t>
    </r>
  </si>
  <si>
    <r>
      <t xml:space="preserve">12. TOTAL INDISPONIBILITÉ
</t>
    </r>
    <r>
      <rPr>
        <b/>
        <sz val="7"/>
        <color rgb="FF0070C0"/>
        <rFont val="Arial"/>
        <family val="2"/>
      </rPr>
      <t>(pour Fonction JLD seulement)</t>
    </r>
    <r>
      <rPr>
        <sz val="7"/>
        <rFont val="Arial"/>
        <family val="2"/>
      </rPr>
      <t xml:space="preserve">
</t>
    </r>
    <r>
      <rPr>
        <b/>
        <sz val="7"/>
        <color rgb="FFFF0000"/>
        <rFont val="Arial"/>
        <family val="2"/>
      </rPr>
      <t>Critère sur le TJ</t>
    </r>
  </si>
  <si>
    <r>
      <t xml:space="preserve">12. TOTAL INDISPONIBILITÉ
</t>
    </r>
    <r>
      <rPr>
        <b/>
        <sz val="7"/>
        <color rgb="FF0070C0"/>
        <rFont val="Arial"/>
        <family val="2"/>
      </rPr>
      <t>(Pour Fonction recodée = Magistrats SIEGE NS)</t>
    </r>
    <r>
      <rPr>
        <sz val="7"/>
        <rFont val="Arial"/>
        <family val="2"/>
      </rPr>
      <t xml:space="preserve">
</t>
    </r>
    <r>
      <rPr>
        <b/>
        <sz val="7"/>
        <color rgb="FFFF0000"/>
        <rFont val="Arial"/>
        <family val="2"/>
      </rPr>
      <t>Critère sur le TJ</t>
    </r>
  </si>
  <si>
    <r>
      <t xml:space="preserve">3.2 Protection des majeurs
</t>
    </r>
    <r>
      <rPr>
        <b/>
        <sz val="7"/>
        <color rgb="FFFF0000"/>
        <rFont val="Arial"/>
        <family val="2"/>
      </rPr>
      <t>Critère sur le TJ</t>
    </r>
  </si>
  <si>
    <r>
      <t xml:space="preserve">Soustraction
3. Contentieux de la Protection - 3.2 Protection des majeurs - 3.43 Injonctions de payer - 3.44 Saisies des rémunérations
</t>
    </r>
    <r>
      <rPr>
        <b/>
        <sz val="7"/>
        <color rgb="FFFF0000"/>
        <rFont val="Arial"/>
        <family val="2"/>
      </rPr>
      <t>Critère sur le TJ</t>
    </r>
  </si>
  <si>
    <r>
      <t xml:space="preserve">8.1 : service général
</t>
    </r>
    <r>
      <rPr>
        <b/>
        <sz val="7"/>
        <color rgb="FFFF0000"/>
        <rFont val="Arial"/>
        <family val="2"/>
      </rPr>
      <t>Critère sur le TJ</t>
    </r>
  </si>
  <si>
    <r>
      <t xml:space="preserve">8.2 JIRS eco-fi
</t>
    </r>
    <r>
      <rPr>
        <b/>
        <sz val="7"/>
        <color rgb="FFFF0000"/>
        <rFont val="Arial"/>
        <family val="2"/>
      </rPr>
      <t>Critère sur le TJ</t>
    </r>
  </si>
  <si>
    <r>
      <t xml:space="preserve">8.3 JIRS crim-org
</t>
    </r>
    <r>
      <rPr>
        <b/>
        <sz val="7"/>
        <color rgb="FFFF0000"/>
        <rFont val="Arial"/>
        <family val="2"/>
      </rPr>
      <t>Critère sur le TJ</t>
    </r>
  </si>
  <si>
    <r>
      <t xml:space="preserve">8.4 autres sections spécialisées
</t>
    </r>
    <r>
      <rPr>
        <b/>
        <sz val="7"/>
        <color rgb="FFFF0000"/>
        <rFont val="Arial"/>
        <family val="2"/>
      </rPr>
      <t>Critère sur le TJ</t>
    </r>
  </si>
  <si>
    <r>
      <t xml:space="preserve">9. TOTAL JAP
</t>
    </r>
    <r>
      <rPr>
        <b/>
        <sz val="7"/>
        <color rgb="FFFF0000"/>
        <rFont val="Arial"/>
        <family val="2"/>
      </rPr>
      <t>Critère sur le TJ</t>
    </r>
  </si>
  <si>
    <r>
      <t xml:space="preserve">6.1 JE : activité civile + 6.2 JE : activité pénale
</t>
    </r>
    <r>
      <rPr>
        <b/>
        <sz val="7"/>
        <color rgb="FFFF0000"/>
        <rFont val="Arial"/>
        <family val="2"/>
      </rPr>
      <t>Critère sur le TJ</t>
    </r>
  </si>
  <si>
    <r>
      <t xml:space="preserve">5. TOTAL JLD CIVIL + 10. TOTAL JLD PÉNAL
</t>
    </r>
    <r>
      <rPr>
        <b/>
        <sz val="7"/>
        <color rgb="FFFF0000"/>
        <rFont val="Arial"/>
        <family val="2"/>
      </rPr>
      <t>Critère sur le TJ</t>
    </r>
  </si>
  <si>
    <r>
      <t xml:space="preserve">7.5 + 7.51 Cour d'assises JIRS et hors JIRS
</t>
    </r>
    <r>
      <rPr>
        <b/>
        <sz val="7"/>
        <color rgb="FFFF0000"/>
        <rFont val="Arial"/>
        <family val="2"/>
      </rPr>
      <t>Critère sur le TJ</t>
    </r>
  </si>
  <si>
    <r>
      <t xml:space="preserve">7.52 cour criminelle
</t>
    </r>
    <r>
      <rPr>
        <b/>
        <sz val="7"/>
        <color rgb="FFFF0000"/>
        <rFont val="Arial"/>
        <family val="2"/>
      </rPr>
      <t>Critère sur le TJ</t>
    </r>
  </si>
  <si>
    <r>
      <t xml:space="preserve">7.121 Collégiales JIRS eco-fi
</t>
    </r>
    <r>
      <rPr>
        <b/>
        <sz val="7"/>
        <color rgb="FFFF0000"/>
        <rFont val="Arial"/>
        <family val="2"/>
      </rPr>
      <t>Critère sur le TJ</t>
    </r>
  </si>
  <si>
    <r>
      <t xml:space="preserve">7.12 Collégiales JIRS crim-org
</t>
    </r>
    <r>
      <rPr>
        <b/>
        <sz val="7"/>
        <color rgb="FFFF0000"/>
        <rFont val="Arial"/>
        <family val="2"/>
      </rPr>
      <t>Critère sur le TJ</t>
    </r>
  </si>
  <si>
    <r>
      <t xml:space="preserve">7.122 Collégiales autres sections spécialisées
</t>
    </r>
    <r>
      <rPr>
        <b/>
        <sz val="7"/>
        <color rgb="FFFF0000"/>
        <rFont val="Arial"/>
        <family val="2"/>
      </rPr>
      <t>Critère sur le TJ</t>
    </r>
  </si>
  <si>
    <r>
      <t xml:space="preserve">7.6 Tribunal de police + 7.7 OP contraventionnelles
</t>
    </r>
    <r>
      <rPr>
        <b/>
        <sz val="7"/>
        <color rgb="FFFF0000"/>
        <rFont val="Arial"/>
        <family val="2"/>
      </rPr>
      <t>Critère sur le TJ</t>
    </r>
  </si>
  <si>
    <r>
      <t xml:space="preserve">1.1 Contentieux du travail
</t>
    </r>
    <r>
      <rPr>
        <b/>
        <sz val="7"/>
        <color rgb="FFFF0000"/>
        <rFont val="Arial"/>
        <family val="2"/>
      </rPr>
      <t>Critère sur le TJ</t>
    </r>
  </si>
  <si>
    <r>
      <t xml:space="preserve">4.0 Contentieux général &lt; 10000 euros
</t>
    </r>
    <r>
      <rPr>
        <b/>
        <sz val="7"/>
        <color rgb="FFFF0000"/>
        <rFont val="Arial"/>
        <family val="2"/>
      </rPr>
      <t>Critère sur le TJ</t>
    </r>
  </si>
  <si>
    <r>
      <t xml:space="preserve">3.43 Injonctions de payer + 3.44 Saisies des rémunérations
</t>
    </r>
    <r>
      <rPr>
        <b/>
        <sz val="7"/>
        <color rgb="FFFF0000"/>
        <rFont val="Arial"/>
        <family val="2"/>
      </rPr>
      <t>Critère sur le TJ</t>
    </r>
  </si>
  <si>
    <r>
      <t xml:space="preserve">1. TOTAL CONTENTIEUX SOCIAL - 1.1 Contentieux du travail
</t>
    </r>
    <r>
      <rPr>
        <b/>
        <sz val="7"/>
        <color rgb="FFFF0000"/>
        <rFont val="Arial"/>
        <family val="2"/>
      </rPr>
      <t>Critère sur le TJ</t>
    </r>
  </si>
  <si>
    <r>
      <t xml:space="preserve">2. TOTAL CONTENTIEUX JAF
</t>
    </r>
    <r>
      <rPr>
        <b/>
        <sz val="7"/>
        <color rgb="FFFF0000"/>
        <rFont val="Arial"/>
        <family val="2"/>
      </rPr>
      <t>Critère sur le TJ</t>
    </r>
  </si>
  <si>
    <r>
      <t xml:space="preserve">Temps ventilés sur la période - somme colonnes précédentes
</t>
    </r>
    <r>
      <rPr>
        <b/>
        <sz val="7"/>
        <color rgb="FFFF0000"/>
        <rFont val="Arial"/>
        <family val="2"/>
      </rPr>
      <t>Critère sur le TJ</t>
    </r>
  </si>
  <si>
    <r>
      <t xml:space="preserve">3.43 Injonctions de payer + 3.44 Saisies des rémunérations
</t>
    </r>
    <r>
      <rPr>
        <b/>
        <sz val="7"/>
        <color rgb="FF0070C0"/>
        <rFont val="Arial"/>
        <family val="2"/>
      </rPr>
      <t>(Pour Fonction recodée = Magistrats SIEGE S)</t>
    </r>
    <r>
      <rPr>
        <sz val="7"/>
        <rFont val="Arial"/>
        <family val="2"/>
      </rPr>
      <t xml:space="preserve">
</t>
    </r>
    <r>
      <rPr>
        <b/>
        <sz val="7"/>
        <color rgb="FFFF0000"/>
        <rFont val="Arial"/>
        <family val="2"/>
      </rPr>
      <t>Critère sur le TPRX</t>
    </r>
  </si>
  <si>
    <r>
      <t xml:space="preserve">Soustraction
3. Contentieux de la Protection - 3.2 Protection des majeurs - 3.43 Injonctions de payer - 3.44 Saisies des rémunérations
</t>
    </r>
    <r>
      <rPr>
        <b/>
        <sz val="7"/>
        <color rgb="FF0070C0"/>
        <rFont val="Arial"/>
        <family val="2"/>
      </rPr>
      <t xml:space="preserve">(Pour Fonction recodée = Magistrats SIEGE S)
</t>
    </r>
    <r>
      <rPr>
        <b/>
        <sz val="7"/>
        <color rgb="FFFF0000"/>
        <rFont val="Arial"/>
        <family val="2"/>
      </rPr>
      <t>Critère sur le TPRX</t>
    </r>
  </si>
  <si>
    <r>
      <t xml:space="preserve">3.2 Protection des majeurs
</t>
    </r>
    <r>
      <rPr>
        <b/>
        <sz val="7"/>
        <color rgb="FF0070C0"/>
        <rFont val="Arial"/>
        <family val="2"/>
      </rPr>
      <t>(Pour Fonction recodée = Magistrats SIEGE S)</t>
    </r>
    <r>
      <rPr>
        <sz val="7"/>
        <rFont val="Arial"/>
        <family val="2"/>
      </rPr>
      <t xml:space="preserve">
</t>
    </r>
    <r>
      <rPr>
        <b/>
        <sz val="7"/>
        <color rgb="FFFF0000"/>
        <rFont val="Arial"/>
        <family val="2"/>
      </rPr>
      <t>Critère sur le TPRX</t>
    </r>
  </si>
  <si>
    <t>Pas identifiable avec A-JUST (à reporter à la la main)</t>
  </si>
  <si>
    <r>
      <t xml:space="preserve">1.1 Contentieux du travail
</t>
    </r>
    <r>
      <rPr>
        <b/>
        <sz val="7"/>
        <color rgb="FF0070C0"/>
        <rFont val="Arial"/>
        <family val="2"/>
      </rPr>
      <t>(Pour Fonction recodée = Magistrats SIEGE S)</t>
    </r>
    <r>
      <rPr>
        <sz val="7"/>
        <rFont val="Arial"/>
        <family val="2"/>
      </rPr>
      <t xml:space="preserve">
</t>
    </r>
    <r>
      <rPr>
        <b/>
        <sz val="7"/>
        <color rgb="FFFF0000"/>
        <rFont val="Arial"/>
        <family val="2"/>
      </rPr>
      <t>Critère sur le TPRX</t>
    </r>
  </si>
  <si>
    <r>
      <t xml:space="preserve">Temps ventilés sur la période (contentieux civils et sociaux) - 3. Contentieux de la Protection - 1.1 Contentieux du travail - 6.1 JE : activité civile (qui est automatiquement reportée sur le TJ) - 5. TOTAL JLD CIVIL (qui est automatiquement reporté sur le TJ) - 2. TOTAL CONTENTIEUX JAF (qui est automatiquement reporté sur le TJ)
</t>
    </r>
    <r>
      <rPr>
        <b/>
        <sz val="7"/>
        <color rgb="FF0070C0"/>
        <rFont val="Arial"/>
        <family val="2"/>
      </rPr>
      <t>(Pour Fonction recodée = Magistrats SIEGE S)</t>
    </r>
    <r>
      <rPr>
        <sz val="7"/>
        <rFont val="Arial"/>
        <family val="2"/>
      </rPr>
      <t xml:space="preserve">
</t>
    </r>
    <r>
      <rPr>
        <b/>
        <sz val="7"/>
        <color rgb="FFFF0000"/>
        <rFont val="Arial"/>
        <family val="2"/>
      </rPr>
      <t>Critère sur le TPRX</t>
    </r>
  </si>
  <si>
    <r>
      <t xml:space="preserve">11.1 Soutien + 11.2 Formations suivies + 1.6 Autres activités non juridictionnelles
</t>
    </r>
    <r>
      <rPr>
        <b/>
        <sz val="7"/>
        <color rgb="FF0070C0"/>
        <rFont val="Arial"/>
        <family val="2"/>
      </rPr>
      <t>(Pour Fonction recodée = Magistrats SIEGE S)</t>
    </r>
    <r>
      <rPr>
        <sz val="7"/>
        <rFont val="Arial"/>
        <family val="2"/>
      </rPr>
      <t xml:space="preserve">
</t>
    </r>
    <r>
      <rPr>
        <b/>
        <sz val="7"/>
        <color rgb="FFFF0000"/>
        <rFont val="Arial"/>
        <family val="2"/>
      </rPr>
      <t>Critère sur le TPRX</t>
    </r>
  </si>
  <si>
    <r>
      <t xml:space="preserve">11.3 Formations dispensées
</t>
    </r>
    <r>
      <rPr>
        <b/>
        <sz val="7"/>
        <color rgb="FF0070C0"/>
        <rFont val="Arial"/>
        <family val="2"/>
      </rPr>
      <t>(Pour Fonction recodée = Magistrats SIEGE S)</t>
    </r>
    <r>
      <rPr>
        <sz val="7"/>
        <rFont val="Arial"/>
        <family val="2"/>
      </rPr>
      <t xml:space="preserve">
</t>
    </r>
    <r>
      <rPr>
        <b/>
        <sz val="7"/>
        <color rgb="FFFF0000"/>
        <rFont val="Arial"/>
        <family val="2"/>
      </rPr>
      <t>Critère sur le TPRX</t>
    </r>
  </si>
  <si>
    <r>
      <t xml:space="preserve">11.4 Accès au droit et à la justice
</t>
    </r>
    <r>
      <rPr>
        <b/>
        <sz val="7"/>
        <color rgb="FF0070C0"/>
        <rFont val="Arial"/>
        <family val="2"/>
      </rPr>
      <t>(Pour Fonction recodée = Magistrats SIEGE S)</t>
    </r>
    <r>
      <rPr>
        <sz val="7"/>
        <rFont val="Arial"/>
        <family val="2"/>
      </rPr>
      <t xml:space="preserve">
</t>
    </r>
    <r>
      <rPr>
        <b/>
        <sz val="7"/>
        <color rgb="FFFF0000"/>
        <rFont val="Arial"/>
        <family val="2"/>
      </rPr>
      <t>Critère sur le TPRX</t>
    </r>
  </si>
  <si>
    <r>
      <t xml:space="preserve">12. TOTAL INDISPONIBILITÉ
</t>
    </r>
    <r>
      <rPr>
        <b/>
        <sz val="7"/>
        <color rgb="FF0070C0"/>
        <rFont val="Arial"/>
        <family val="2"/>
      </rPr>
      <t>(Pour Fonction recodée = Magistrats SIEGE N)</t>
    </r>
    <r>
      <rPr>
        <sz val="7"/>
        <rFont val="Arial"/>
        <family val="2"/>
      </rPr>
      <t xml:space="preserve">
</t>
    </r>
    <r>
      <rPr>
        <b/>
        <sz val="7"/>
        <color rgb="FFFF0000"/>
        <rFont val="Arial"/>
        <family val="2"/>
      </rPr>
      <t>Critère sur le TPRX</t>
    </r>
  </si>
  <si>
    <r>
      <t xml:space="preserve">3.43 Injonctions de payer + 3.44 Saisies des rémunérations
</t>
    </r>
    <r>
      <rPr>
        <b/>
        <sz val="7"/>
        <color rgb="FFFF0000"/>
        <rFont val="Arial"/>
        <family val="2"/>
      </rPr>
      <t>Critère sur le TPRX</t>
    </r>
  </si>
  <si>
    <r>
      <t xml:space="preserve">Soustraction
3. Contentieux de la Protection - 3.2 Protection des majeurs - 3.43 Injonctions de payer - 3.44 Saisies des rémunérations
</t>
    </r>
    <r>
      <rPr>
        <b/>
        <sz val="7"/>
        <color rgb="FFFF0000"/>
        <rFont val="Arial"/>
        <family val="2"/>
      </rPr>
      <t>Critère sur le TPRX</t>
    </r>
  </si>
  <si>
    <r>
      <t xml:space="preserve">3.2 Protection des majeurs
</t>
    </r>
    <r>
      <rPr>
        <b/>
        <sz val="7"/>
        <color rgb="FFFF0000"/>
        <rFont val="Arial"/>
        <family val="2"/>
      </rPr>
      <t>Critère sur le TPRX</t>
    </r>
  </si>
  <si>
    <r>
      <t xml:space="preserve">1.1 Contentieux du travail
</t>
    </r>
    <r>
      <rPr>
        <b/>
        <sz val="7"/>
        <color rgb="FFFF0000"/>
        <rFont val="Arial"/>
        <family val="2"/>
      </rPr>
      <t>Critère sur le TPRX</t>
    </r>
  </si>
  <si>
    <r>
      <t xml:space="preserve">Temps ventilés sur la période (y.c indisponibilité) - somme (toutes les cellules précédentes)
</t>
    </r>
    <r>
      <rPr>
        <b/>
        <sz val="7"/>
        <color rgb="FFFF0000"/>
        <rFont val="Arial"/>
        <family val="2"/>
      </rPr>
      <t>Critère sur le TPRX</t>
    </r>
  </si>
  <si>
    <r>
      <t xml:space="preserve">Somme de Temps ventilés sur la période (contentieux civils et sociaux)
</t>
    </r>
    <r>
      <rPr>
        <b/>
        <sz val="10"/>
        <color rgb="FFFF0000"/>
        <rFont val="Arial"/>
        <family val="2"/>
      </rPr>
      <t>Critère sur le TJ</t>
    </r>
  </si>
  <si>
    <r>
      <t xml:space="preserve">11.8. FONCTIONNAIRES AFFECTÉS AUX ACTIVITÉS CIVILES ET COMMERCIALES DU PARQUET
</t>
    </r>
    <r>
      <rPr>
        <b/>
        <sz val="10"/>
        <color rgb="FFFF0000"/>
        <rFont val="Arial"/>
        <family val="2"/>
      </rPr>
      <t>Critère sur le TJ</t>
    </r>
  </si>
  <si>
    <r>
      <t xml:space="preserve">3.2 Protection des majeurs
</t>
    </r>
    <r>
      <rPr>
        <b/>
        <sz val="10"/>
        <color rgb="FFFF0000"/>
        <rFont val="Arial"/>
        <family val="2"/>
      </rPr>
      <t>Critère sur le TJ</t>
    </r>
  </si>
  <si>
    <r>
      <t xml:space="preserve">Soustraction
3. Contentieux de la Protection - 3.2 Protection des majeurs - 3.43 IP - 3.44 Saisies rémunérations
</t>
    </r>
    <r>
      <rPr>
        <b/>
        <sz val="10"/>
        <color rgb="FFFF0000"/>
        <rFont val="Arial"/>
        <family val="2"/>
      </rPr>
      <t>Critère sur le TJ</t>
    </r>
  </si>
  <si>
    <r>
      <t xml:space="preserve">5. TOTAL JLD CIVIL + 6.1. ACTIVITÉ CIVILE
</t>
    </r>
    <r>
      <rPr>
        <b/>
        <sz val="10"/>
        <color rgb="FFFF0000"/>
        <rFont val="Arial"/>
        <family val="2"/>
      </rPr>
      <t>Critère sur le TJ</t>
    </r>
  </si>
  <si>
    <r>
      <t xml:space="preserve">3.43 Injonctions de payer + 3.44 Saisies des rémunérations
</t>
    </r>
    <r>
      <rPr>
        <b/>
        <sz val="10"/>
        <color rgb="FFFF0000"/>
        <rFont val="Arial"/>
        <family val="2"/>
      </rPr>
      <t>Critère sur le TJ</t>
    </r>
  </si>
  <si>
    <r>
      <t xml:space="preserve">4.0 Contentieux général &lt; 10000 euros
</t>
    </r>
    <r>
      <rPr>
        <b/>
        <sz val="10"/>
        <color rgb="FFFF0000"/>
        <rFont val="Arial"/>
        <family val="2"/>
      </rPr>
      <t>Critère sur le TJ</t>
    </r>
  </si>
  <si>
    <r>
      <t xml:space="preserve">1. TOTAL CONTENTIEUX SOCIAL
</t>
    </r>
    <r>
      <rPr>
        <b/>
        <sz val="10"/>
        <color rgb="FFFF0000"/>
        <rFont val="Arial"/>
        <family val="2"/>
      </rPr>
      <t>Critère sur le TJ</t>
    </r>
  </si>
  <si>
    <r>
      <t xml:space="preserve">Temps ventilés sur la période (contentieux civils et sociaux) -  somme colonnes </t>
    </r>
    <r>
      <rPr>
        <b/>
        <u/>
        <sz val="10"/>
        <rFont val="Arial"/>
        <family val="2"/>
      </rPr>
      <t>K à U</t>
    </r>
    <r>
      <rPr>
        <sz val="10"/>
        <rFont val="Arial"/>
        <family val="2"/>
      </rPr>
      <t xml:space="preserve">
</t>
    </r>
    <r>
      <rPr>
        <b/>
        <sz val="10"/>
        <color rgb="FFFF0000"/>
        <rFont val="Arial"/>
        <family val="2"/>
      </rPr>
      <t>Critère sur le TJ</t>
    </r>
  </si>
  <si>
    <r>
      <t xml:space="preserve">Temps ventilés sur la période (contentieux civils et sociaux)
</t>
    </r>
    <r>
      <rPr>
        <b/>
        <sz val="10"/>
        <color rgb="FFFF0000"/>
        <rFont val="Arial"/>
        <family val="2"/>
      </rPr>
      <t>Critère sur le TJ</t>
    </r>
  </si>
  <si>
    <r>
      <t xml:space="preserve">Somme de Temps ventilés sur la période (affaires pénales)
</t>
    </r>
    <r>
      <rPr>
        <b/>
        <sz val="10"/>
        <color rgb="FFFF0000"/>
        <rFont val="Arial"/>
        <family val="2"/>
      </rPr>
      <t>TJ et TPR (donc pas de critère sur le TJ)</t>
    </r>
  </si>
  <si>
    <r>
      <t xml:space="preserve">11.9 Fonctionnaires affectés à l'exécution des peines
</t>
    </r>
    <r>
      <rPr>
        <b/>
        <sz val="10"/>
        <color rgb="FFFF0000"/>
        <rFont val="Arial"/>
        <family val="2"/>
      </rPr>
      <t>TJ et TPR (donc pas de critère sur le TJ)</t>
    </r>
  </si>
  <si>
    <r>
      <t xml:space="preserve">7.5 + 7.51 Cour d'assises JIRS et hors JIRS
</t>
    </r>
    <r>
      <rPr>
        <b/>
        <sz val="10"/>
        <color rgb="FFFF0000"/>
        <rFont val="Arial"/>
        <family val="2"/>
      </rPr>
      <t>TJ et TPR (donc pas de critère sur le TJ)</t>
    </r>
  </si>
  <si>
    <r>
      <t xml:space="preserve">7.52 cour criminelle
</t>
    </r>
    <r>
      <rPr>
        <b/>
        <sz val="10"/>
        <color rgb="FFFF0000"/>
        <rFont val="Arial"/>
        <family val="2"/>
      </rPr>
      <t>TJ et TPR (donc pas de critère sur le TJ)</t>
    </r>
  </si>
  <si>
    <r>
      <t xml:space="preserve">8.2 JIRS eco-fi
</t>
    </r>
    <r>
      <rPr>
        <b/>
        <sz val="10"/>
        <color rgb="FFFF0000"/>
        <rFont val="Arial"/>
        <family val="2"/>
      </rPr>
      <t>TJ et TPR (donc pas de critère sur le TJ)</t>
    </r>
  </si>
  <si>
    <r>
      <t xml:space="preserve">8.3 JIRS crim-org
</t>
    </r>
    <r>
      <rPr>
        <b/>
        <sz val="10"/>
        <color rgb="FFFF0000"/>
        <rFont val="Arial"/>
        <family val="2"/>
      </rPr>
      <t>TJ et TPR (donc pas de critère sur le TJ)</t>
    </r>
  </si>
  <si>
    <r>
      <t xml:space="preserve">8.4 autres sections spécialisées
</t>
    </r>
    <r>
      <rPr>
        <b/>
        <sz val="10"/>
        <color rgb="FFFF0000"/>
        <rFont val="Arial"/>
        <family val="2"/>
      </rPr>
      <t>TJ et TPR (donc pas de critère sur le TJ)</t>
    </r>
  </si>
  <si>
    <r>
      <t xml:space="preserve">6.2 Activité pénale + (8. Juge d'instruction - 8.2 JIRS eco-fi - 8.3 JIRS crim-org - 8.4 autres sections spécialisées) + 9. JAP + 10. JLD pénal
</t>
    </r>
    <r>
      <rPr>
        <b/>
        <sz val="10"/>
        <color rgb="FFFF0000"/>
        <rFont val="Arial"/>
        <family val="2"/>
      </rPr>
      <t>TJ et TPR (donc pas de critère sur le TJ)</t>
    </r>
  </si>
  <si>
    <r>
      <t xml:space="preserve">Temps ventilés sur la période (affaires pénales) + 11.10 AUTRES FONCTIONNAIRES AFFECTÉS AU PARQUET - somme colonnes </t>
    </r>
    <r>
      <rPr>
        <b/>
        <u/>
        <sz val="10"/>
        <rFont val="Arial"/>
        <family val="2"/>
      </rPr>
      <t xml:space="preserve">K à U </t>
    </r>
    <r>
      <rPr>
        <sz val="10"/>
        <rFont val="Arial"/>
        <family val="2"/>
      </rPr>
      <t xml:space="preserve">
</t>
    </r>
    <r>
      <rPr>
        <b/>
        <sz val="10"/>
        <color rgb="FFFF0000"/>
        <rFont val="Arial"/>
        <family val="2"/>
      </rPr>
      <t>TJ et TPR (donc pas de critère sur le TJ)</t>
    </r>
  </si>
  <si>
    <r>
      <t xml:space="preserve">Temps ventilés sur la période (affaires pénales) + 11.10 AUTRES FONCTIONNAIRES AFFECTÉS AU PARQUET 
</t>
    </r>
    <r>
      <rPr>
        <b/>
        <sz val="10"/>
        <color rgb="FFFF0000"/>
        <rFont val="Arial"/>
        <family val="2"/>
      </rPr>
      <t>TJ et TPR (donc pas de critère sur le TJ)</t>
    </r>
  </si>
  <si>
    <r>
      <t xml:space="preserve">11.51 Accueil du justiciable
</t>
    </r>
    <r>
      <rPr>
        <b/>
        <sz val="10"/>
        <color rgb="FFFF0000"/>
        <rFont val="Arial"/>
        <family val="2"/>
      </rPr>
      <t>Critère sur le TJ</t>
    </r>
  </si>
  <si>
    <r>
      <t xml:space="preserve">11.1 Soutien + 11.2 Formations suivies + 1.6 Autres activités non juridictionnelles
</t>
    </r>
    <r>
      <rPr>
        <b/>
        <sz val="10"/>
        <color rgb="FFFF0000"/>
        <rFont val="Arial"/>
        <family val="2"/>
      </rPr>
      <t>Critère sur le TJ</t>
    </r>
  </si>
  <si>
    <r>
      <t xml:space="preserve">11.1 Soutien + 11.2 Formations suivies + 1.6 Autres activités non juridictionnelles + Temps ventilé sur la période (y.c. indisponibilité) (pour CONT A JP Greffe)
</t>
    </r>
    <r>
      <rPr>
        <b/>
        <sz val="10"/>
        <color rgb="FFFF0000"/>
        <rFont val="Arial"/>
        <family val="2"/>
      </rPr>
      <t>Critère sur le TJ</t>
    </r>
  </si>
  <si>
    <r>
      <t xml:space="preserve">11.3 Formations dispensées
</t>
    </r>
    <r>
      <rPr>
        <b/>
        <sz val="10"/>
        <color rgb="FFFF0000"/>
        <rFont val="Arial"/>
        <family val="2"/>
      </rPr>
      <t>Critère sur le TJ</t>
    </r>
  </si>
  <si>
    <r>
      <t xml:space="preserve">11.3 Formations dispensées
</t>
    </r>
    <r>
      <rPr>
        <b/>
        <sz val="10"/>
        <color rgb="FFFF0000"/>
        <rFont val="Arial"/>
        <family val="2"/>
      </rPr>
      <t>Critère sur le TJ</t>
    </r>
    <r>
      <rPr>
        <sz val="10"/>
        <rFont val="Arial"/>
        <family val="2"/>
      </rPr>
      <t xml:space="preserve">
</t>
    </r>
  </si>
  <si>
    <r>
      <t xml:space="preserve">11.4 Accès au droit et à la justice
</t>
    </r>
    <r>
      <rPr>
        <b/>
        <sz val="10"/>
        <color rgb="FFFF0000"/>
        <rFont val="Arial"/>
        <family val="2"/>
      </rPr>
      <t>Critère sur le TJ</t>
    </r>
  </si>
  <si>
    <r>
      <t xml:space="preserve">12. TOTAL INDISPONIBILITÉ - 12.5 Mise à disposition
</t>
    </r>
    <r>
      <rPr>
        <b/>
        <sz val="10"/>
        <color rgb="FFFF0000"/>
        <rFont val="Arial"/>
        <family val="2"/>
      </rPr>
      <t>Critère sur le TJ</t>
    </r>
  </si>
  <si>
    <r>
      <t xml:space="preserve">12.5 Mise à disposition
</t>
    </r>
    <r>
      <rPr>
        <b/>
        <sz val="10"/>
        <color rgb="FFFF0000"/>
        <rFont val="Arial"/>
        <family val="2"/>
      </rPr>
      <t>Critère sur le TJ</t>
    </r>
  </si>
  <si>
    <r>
      <t xml:space="preserve">Somme de Temps ventilé sur la période (y.c. indisponibilité)
</t>
    </r>
    <r>
      <rPr>
        <b/>
        <sz val="10"/>
        <color rgb="FFFF0000"/>
        <rFont val="Arial"/>
        <family val="2"/>
      </rPr>
      <t>Critère sur le TJ</t>
    </r>
  </si>
  <si>
    <r>
      <t xml:space="preserve">11.9 Fonctionnaires affectés à l'exécution des peines
</t>
    </r>
    <r>
      <rPr>
        <b/>
        <sz val="10"/>
        <color rgb="FFFF0000"/>
        <rFont val="Arial"/>
        <family val="2"/>
      </rPr>
      <t>Critère sur le TJ</t>
    </r>
  </si>
  <si>
    <r>
      <t xml:space="preserve">7.5 + 7.51 Cour d'assises JIRS et hors JIRS
</t>
    </r>
    <r>
      <rPr>
        <b/>
        <sz val="10"/>
        <color rgb="FFFF0000"/>
        <rFont val="Arial"/>
        <family val="2"/>
      </rPr>
      <t>Critère sur le TJ</t>
    </r>
  </si>
  <si>
    <r>
      <t xml:space="preserve">7.52 cour criminelle
</t>
    </r>
    <r>
      <rPr>
        <b/>
        <sz val="10"/>
        <color rgb="FFFF0000"/>
        <rFont val="Arial"/>
        <family val="2"/>
      </rPr>
      <t>Critère sur le TJ</t>
    </r>
  </si>
  <si>
    <r>
      <t xml:space="preserve">8.2 JIRS eco-fi
</t>
    </r>
    <r>
      <rPr>
        <b/>
        <sz val="10"/>
        <color rgb="FFFF0000"/>
        <rFont val="Arial"/>
        <family val="2"/>
      </rPr>
      <t>Critère sur le TJ</t>
    </r>
  </si>
  <si>
    <r>
      <t xml:space="preserve">8.3 JIRS crim-org
</t>
    </r>
    <r>
      <rPr>
        <b/>
        <sz val="10"/>
        <color rgb="FFFF0000"/>
        <rFont val="Arial"/>
        <family val="2"/>
      </rPr>
      <t>Critère sur le TJ</t>
    </r>
  </si>
  <si>
    <r>
      <t xml:space="preserve">8.4 autres sections spécialisées
</t>
    </r>
    <r>
      <rPr>
        <b/>
        <sz val="10"/>
        <color rgb="FFFF0000"/>
        <rFont val="Arial"/>
        <family val="2"/>
      </rPr>
      <t>Critère sur le TJ</t>
    </r>
  </si>
  <si>
    <r>
      <t xml:space="preserve">5. JLD civil + 6.1. ACTIVITÉ CIVILE + 6.2. ACTIVITÉ PÉNALE + (8. Juge d'instruction - 8.2 JIRS eco-fi - 8.3 JIRS crim-org - 8.4 autres sections spécialisées) + 9. TOTAL JAP + 10. TOTAL JLD PÉNAL
</t>
    </r>
    <r>
      <rPr>
        <b/>
        <sz val="10"/>
        <color rgb="FFFF0000"/>
        <rFont val="Arial"/>
        <family val="2"/>
      </rPr>
      <t>Critère sur le TJ</t>
    </r>
  </si>
  <si>
    <r>
      <t xml:space="preserve">Somme de Temps ventilé sur la période (y.c. indisponibilité) - somme colonnes I à U - 11.7 Fonctionnaires affectés au CPH
</t>
    </r>
    <r>
      <rPr>
        <b/>
        <sz val="10"/>
        <color rgb="FFFF0000"/>
        <rFont val="Arial"/>
        <family val="2"/>
      </rPr>
      <t>Critère sur le TJ</t>
    </r>
  </si>
  <si>
    <r>
      <t xml:space="preserve">11.7 Fonctionnaires affectés au CPH
</t>
    </r>
    <r>
      <rPr>
        <b/>
        <sz val="7"/>
        <color rgb="FFFF0000"/>
        <rFont val="Arial"/>
        <family val="2"/>
      </rPr>
      <t>Critère sur le TJ OU TPRX</t>
    </r>
  </si>
  <si>
    <r>
      <t xml:space="preserve">Somme de Temps ventilés sur la période (contentieux civils et sociaux)
</t>
    </r>
    <r>
      <rPr>
        <b/>
        <sz val="10"/>
        <color rgb="FFFF0000"/>
        <rFont val="Arial"/>
        <family val="2"/>
      </rPr>
      <t>Critère sur le TPRX</t>
    </r>
  </si>
  <si>
    <r>
      <t xml:space="preserve">3.43 Injonctions de payer + 3.44 Saisies des rémunérations
</t>
    </r>
    <r>
      <rPr>
        <b/>
        <sz val="10"/>
        <color rgb="FFFF0000"/>
        <rFont val="Arial"/>
        <family val="2"/>
      </rPr>
      <t>Critère sur le TPRX</t>
    </r>
  </si>
  <si>
    <r>
      <t xml:space="preserve">Soustraction
3. Contentieux de la Protection - 3.2 Protection des majeurs - 3.43 IP - 3.44 Saisies rémunérations
</t>
    </r>
    <r>
      <rPr>
        <b/>
        <sz val="10"/>
        <color rgb="FFFF0000"/>
        <rFont val="Arial"/>
        <family val="2"/>
      </rPr>
      <t>Critère sur le TPRX</t>
    </r>
  </si>
  <si>
    <r>
      <t xml:space="preserve">3.2 Protection des majeurs
</t>
    </r>
    <r>
      <rPr>
        <b/>
        <sz val="10"/>
        <color rgb="FFFF0000"/>
        <rFont val="Arial"/>
        <family val="2"/>
      </rPr>
      <t>Critère sur le TPRX</t>
    </r>
  </si>
  <si>
    <r>
      <t xml:space="preserve">Temps ventilés sur la période (contentieux civils et sociaux) -  somme colonnes </t>
    </r>
    <r>
      <rPr>
        <b/>
        <u/>
        <sz val="10"/>
        <rFont val="Arial"/>
        <family val="2"/>
      </rPr>
      <t>I à Q</t>
    </r>
    <r>
      <rPr>
        <sz val="10"/>
        <rFont val="Arial"/>
        <family val="2"/>
      </rPr>
      <t xml:space="preserve">
</t>
    </r>
    <r>
      <rPr>
        <b/>
        <sz val="10"/>
        <color rgb="FFFF0000"/>
        <rFont val="Arial"/>
        <family val="2"/>
      </rPr>
      <t>Critère sur le TPRX</t>
    </r>
  </si>
  <si>
    <r>
      <t xml:space="preserve">Temps ventilés sur la période (contentieux civils et sociaux)
</t>
    </r>
    <r>
      <rPr>
        <b/>
        <sz val="10"/>
        <color rgb="FFFF0000"/>
        <rFont val="Arial"/>
        <family val="2"/>
      </rPr>
      <t>Critère sur le TPRX</t>
    </r>
  </si>
  <si>
    <r>
      <t xml:space="preserve">11.51 Accueil du justiciable
</t>
    </r>
    <r>
      <rPr>
        <b/>
        <sz val="10"/>
        <color rgb="FFFF0000"/>
        <rFont val="Arial"/>
        <family val="2"/>
      </rPr>
      <t>Critère sur le TPRX</t>
    </r>
  </si>
  <si>
    <r>
      <t xml:space="preserve">11.1 Soutien + 11.2 Formations suivies + 1.6 Autres activités non juridictionnelles
</t>
    </r>
    <r>
      <rPr>
        <b/>
        <sz val="10"/>
        <color rgb="FFFF0000"/>
        <rFont val="Arial"/>
        <family val="2"/>
      </rPr>
      <t>Critère sur le TPRX</t>
    </r>
  </si>
  <si>
    <r>
      <t xml:space="preserve">11.1 Soutien + 11.2 Formations suivies + 1.6 Autres activités non juridictionnelles + Temps ventilé sur la période (y.c. indisponibilité) (pour CONT A JP Greffe)
</t>
    </r>
    <r>
      <rPr>
        <b/>
        <sz val="10"/>
        <color rgb="FFFF0000"/>
        <rFont val="Arial"/>
        <family val="2"/>
      </rPr>
      <t>Critère sur le TPRX</t>
    </r>
  </si>
  <si>
    <r>
      <t xml:space="preserve">11.3 Formations dispensées
</t>
    </r>
    <r>
      <rPr>
        <b/>
        <sz val="10"/>
        <color rgb="FFFF0000"/>
        <rFont val="Arial"/>
        <family val="2"/>
      </rPr>
      <t>Critère sur le TPRX</t>
    </r>
  </si>
  <si>
    <r>
      <t xml:space="preserve">11.4 Accès au droit et à la justice
</t>
    </r>
    <r>
      <rPr>
        <b/>
        <sz val="10"/>
        <color rgb="FFFF0000"/>
        <rFont val="Arial"/>
        <family val="2"/>
      </rPr>
      <t>Critère sur le TPRX</t>
    </r>
  </si>
  <si>
    <r>
      <t xml:space="preserve">12. TOTAL INDISPONIBILITÉ - 12.5 Mise à disposition
</t>
    </r>
    <r>
      <rPr>
        <b/>
        <sz val="10"/>
        <color rgb="FFFF0000"/>
        <rFont val="Arial"/>
        <family val="2"/>
      </rPr>
      <t>Critère sur le TPRX</t>
    </r>
  </si>
  <si>
    <r>
      <t xml:space="preserve">12.5 Mise à disposition
</t>
    </r>
    <r>
      <rPr>
        <b/>
        <sz val="10"/>
        <color rgb="FFFF0000"/>
        <rFont val="Arial"/>
        <family val="2"/>
      </rPr>
      <t>Critère sur le TPRX</t>
    </r>
  </si>
  <si>
    <r>
      <t xml:space="preserve">Somme de Temps ventilé sur la période (y.c. indisponibilité)
</t>
    </r>
    <r>
      <rPr>
        <b/>
        <sz val="10"/>
        <color rgb="FFFF0000"/>
        <rFont val="Arial"/>
        <family val="2"/>
      </rPr>
      <t>Critère sur le TPRX</t>
    </r>
  </si>
  <si>
    <r>
      <t xml:space="preserve">Somme de Temps ventilé sur la période (y.c. indisponibilité) - somme colonnes I à U - 11.7 Fonctionnaires affectés au CPH
</t>
    </r>
    <r>
      <rPr>
        <b/>
        <sz val="10"/>
        <color rgb="FFFF0000"/>
        <rFont val="Arial"/>
        <family val="2"/>
      </rPr>
      <t>Critère sur le TPRX</t>
    </r>
  </si>
  <si>
    <t>%age de l'ETPT</t>
  </si>
  <si>
    <t>## y.global1</t>
  </si>
  <si>
    <t>## y.sub1</t>
  </si>
  <si>
    <t>Premier Président</t>
  </si>
  <si>
    <t>PP</t>
  </si>
  <si>
    <t>Premier Président de Chambre</t>
  </si>
  <si>
    <t>1PC</t>
  </si>
  <si>
    <t>Président de Chambre</t>
  </si>
  <si>
    <t>PC</t>
  </si>
  <si>
    <t>Président de la Chambre de l'Instruction</t>
  </si>
  <si>
    <t>PCINS</t>
  </si>
  <si>
    <t>Conseiller chargé d'un Secrétariat Général</t>
  </si>
  <si>
    <t>CSG</t>
  </si>
  <si>
    <t>Conseiller</t>
  </si>
  <si>
    <t>Vice-Président placé</t>
  </si>
  <si>
    <t>VPP</t>
  </si>
  <si>
    <t>Juge placé</t>
  </si>
  <si>
    <t>JP</t>
  </si>
  <si>
    <t>Magistrat honoraire à fonctions juridictionnelles</t>
  </si>
  <si>
    <t>Magistrat honoraire à fonctions non juridictionnelles</t>
  </si>
  <si>
    <t>Magistrat réserviste</t>
  </si>
  <si>
    <t>Magistrat à titre temporaire</t>
  </si>
  <si>
    <t>Directeur de greffe</t>
  </si>
  <si>
    <t>DG</t>
  </si>
  <si>
    <t>Chef de cabinet</t>
  </si>
  <si>
    <t>Directeur de greffe adjoint</t>
  </si>
  <si>
    <t>DG-A</t>
  </si>
  <si>
    <t>Chargé de mission</t>
  </si>
  <si>
    <t>CM</t>
  </si>
  <si>
    <t>Chef de service</t>
  </si>
  <si>
    <t>CS</t>
  </si>
  <si>
    <t>A PLACÉ</t>
  </si>
  <si>
    <t>B GREFFIER PLACÉ</t>
  </si>
  <si>
    <t>B GREF PLACÉ</t>
  </si>
  <si>
    <t>B PLACÉ</t>
  </si>
  <si>
    <t>CB PLACÉ</t>
  </si>
  <si>
    <t>CT PLACÉ</t>
  </si>
  <si>
    <t>Assistant spécialisé</t>
  </si>
  <si>
    <t>Juriste assistant</t>
  </si>
  <si>
    <t>JA</t>
  </si>
  <si>
    <t>Assistant de justice</t>
  </si>
  <si>
    <t>Contractuel A Justice de proximité</t>
  </si>
  <si>
    <t>Contractuel B Justice de proximité</t>
  </si>
  <si>
    <t>Contractuel C Justice de proximité</t>
  </si>
  <si>
    <t>Élève avocat</t>
  </si>
  <si>
    <r>
      <t xml:space="preserve">Fonction recodée (créer en parallèle une table de correspondance pour chaque fonction) avec les modalités recodées suivantes : </t>
    </r>
    <r>
      <rPr>
        <sz val="14"/>
        <rFont val="Calibri"/>
        <family val="2"/>
        <scheme val="minor"/>
      </rPr>
      <t xml:space="preserve">Magistrats SIEGE ; Magistrats placés ADD ; Magistrats placés SUB ; Fonctionnaires CTECH ; Fonctionnaire CTECH placé ADD ; Fonctionnaire CTECH placé SUB ; Fonctionnaires A-B-CBUR ; Fonctionnaire A-B-CBUR placé ADD ; Fonctionnaire A-B-CBUR placé SUB ; JURISTE AS chambres sociales ; JURISTE AS siège Autres ; JURISTE AS parquet général ; </t>
    </r>
    <r>
      <rPr>
        <sz val="14"/>
        <color rgb="FFFF0000"/>
        <rFont val="Calibri"/>
        <family val="2"/>
        <scheme val="minor"/>
      </rPr>
      <t>JURISTE AS chambres sociales placé ADD ; JURISTE AS siège Autres placé ADD ; JURISTE AS parquet général placé ADD ; JURISTE AS chambres sociales placé SUB ; JURISTE AS siège Autres placé SUB ; JURISTE AS parquet général placé SUB.</t>
    </r>
  </si>
  <si>
    <r>
      <t xml:space="preserve">Temps ventilés sur la période (contentieux sociaux civils et commerciaux) </t>
    </r>
    <r>
      <rPr>
        <sz val="14"/>
        <rFont val="Calibri"/>
        <family val="2"/>
        <scheme val="minor"/>
      </rPr>
      <t>= somme des postes 1. Contentieux social, 2. Contentieux commercial, 3. Contentieux de la famille, 4. Contentieux de la protection, 5. Contentieux civil non spécialisé, Contentieux des mineurs/7.1 Activité civile, 12. Attributions du PP, de la nomenclature A-JUST.</t>
    </r>
  </si>
  <si>
    <r>
      <t xml:space="preserve">Temps ventilés sur la période (service pénal) </t>
    </r>
    <r>
      <rPr>
        <sz val="14"/>
        <rFont val="Calibri"/>
        <family val="2"/>
        <scheme val="minor"/>
      </rPr>
      <t>= somme des postes Contentieux des mineurs/7.2 Activité pénale, 8. Correctionnel, 9. Instruction et entraide, 10. Application des peines, 11. Contentieux criminel, de la nomenclature A-JUST.</t>
    </r>
  </si>
  <si>
    <r>
      <t xml:space="preserve">Temps ventilés sur la période (hors indisponibilité) </t>
    </r>
    <r>
      <rPr>
        <sz val="14"/>
        <rFont val="Calibri"/>
        <family val="2"/>
        <scheme val="minor"/>
      </rPr>
      <t>= somme de Temps ventilés sur la période (contentieux sociaux civils et commerciaux), Temps ventilés sur la période (service pénal), 13. Autres activités, de la nomenclature A-JUST.</t>
    </r>
  </si>
  <si>
    <r>
      <t>Temps ventilés sur la période (y.c. indisponibilité)</t>
    </r>
    <r>
      <rPr>
        <sz val="14"/>
        <rFont val="Calibri"/>
        <family val="2"/>
        <scheme val="minor"/>
      </rPr>
      <t xml:space="preserve"> = somme de Temps ventilés sur la période (contentieux sociaux civils et commerciaux), Temps ventilés sur la période (service pénal), 13. Autres activités, 14. Indisponibilité de la nomenclature A-JUST.</t>
    </r>
  </si>
  <si>
    <r>
      <t xml:space="preserve">Soutien (Hors accueil du justiciable) = </t>
    </r>
    <r>
      <rPr>
        <sz val="14"/>
        <rFont val="Calibri"/>
        <family val="2"/>
        <scheme val="minor"/>
      </rPr>
      <t>somme des postes 13.11 Activités extérieures et partenariats, 13.12 Equipement, 13.13 Communication, 13.14 Politique associative et aide aux victimes, 13.1 Soutien (autres), 13.2 Formations suivies, 13.5 Expertises (suivi et listes), 13.6 Médiation / conciliation (suivi et listes).</t>
    </r>
  </si>
  <si>
    <t>Temps ventilés sur la période (contentieux sociaux civils et commerciaux)</t>
  </si>
  <si>
    <t>Temps ventilés sur la période (service pénal)</t>
  </si>
  <si>
    <t xml:space="preserve">Temps ventilés sur la période (hors indisponibilité) </t>
  </si>
  <si>
    <t>Temps ventilés sur la période (y.c. indisponibilité)</t>
  </si>
  <si>
    <t>Soutien (Hors accueil du justiciable)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</si>
</sst>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00_-;\-* #,##0.00_-;_-* &quot;-&quot;??_-;_-@_-"/>
    <numFmt numFmtId="166" formatCode="_-* #,##0.000_-;\-* #,##0.000_-;_-* &quot;-&quot;??_-;_-@_-"/>
    <numFmt numFmtId="167" formatCode="General;General;\-"/>
    <numFmt numFmtId="168" formatCode="0.###;0.###;\-"/>
    <numFmt numFmtId="169" formatCode="#,##0.00_ ;[Red]\-#,##0.00\ "/>
    <numFmt numFmtId="170" formatCode="0.0%"/>
  </numFmts>
  <fonts count="6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22"/>
      <color theme="0" tint="-4.9989318521683403E-2"/>
      <name val="Calibri"/>
      <family val="2"/>
      <scheme val="minor"/>
    </font>
    <font>
      <b/>
      <i/>
      <sz val="16"/>
      <color theme="0" tint="-4.9989318521683403E-2"/>
      <name val="Calibri"/>
      <family val="2"/>
      <scheme val="minor"/>
    </font>
    <font>
      <sz val="11"/>
      <color theme="0"/>
      <name val="Calibri"/>
      <family val="2"/>
      <scheme val="minor"/>
    </font>
    <font>
      <sz val="11"/>
      <color theme="1"/>
      <name val="Calibri"/>
      <family val="2"/>
      <scheme val="minor"/>
    </font>
    <font>
      <sz val="8"/>
      <color theme="1"/>
      <name val="Calibri"/>
      <family val="2"/>
      <scheme val="minor"/>
    </font>
    <font>
      <b/>
      <sz val="12"/>
      <color theme="0"/>
      <name val="Calibri"/>
      <family val="2"/>
      <scheme val="minor"/>
    </font>
    <font>
      <b/>
      <sz val="14"/>
      <color theme="1"/>
      <name val="Calibri"/>
      <family val="2"/>
      <scheme val="minor"/>
    </font>
    <font>
      <sz val="12"/>
      <color rgb="FFFF0000"/>
      <name val="Calibri"/>
      <family val="2"/>
      <scheme val="minor"/>
    </font>
    <font>
      <b/>
      <sz val="12"/>
      <color rgb="FFFF0000"/>
      <name val="Calibri"/>
      <family val="2"/>
      <scheme val="minor"/>
    </font>
    <font>
      <sz val="10"/>
      <color theme="1"/>
      <name val="Arial"/>
      <family val="2"/>
    </font>
    <font>
      <sz val="10"/>
      <color rgb="FF860000"/>
      <name val="Arial"/>
      <family val="2"/>
    </font>
    <font>
      <b/>
      <sz val="10"/>
      <color theme="1"/>
      <name val="Arial"/>
      <family val="2"/>
    </font>
    <font>
      <sz val="11"/>
      <color rgb="FFFF0000"/>
      <name val="Calibri"/>
      <family val="2"/>
      <scheme val="minor"/>
    </font>
    <font>
      <sz val="11"/>
      <name val="Calibri"/>
      <family val="2"/>
      <scheme val="minor"/>
    </font>
    <font>
      <sz val="11"/>
      <color rgb="FF000000"/>
      <name val="Calibri"/>
      <family val="2"/>
      <scheme val="minor"/>
    </font>
    <font>
      <sz val="9"/>
      <color rgb="FF333333"/>
      <name val="Arial"/>
      <family val="2"/>
    </font>
    <font>
      <b/>
      <sz val="7"/>
      <color rgb="FF000000"/>
      <name val="Arial"/>
      <family val="2"/>
    </font>
    <font>
      <b/>
      <u/>
      <sz val="7"/>
      <color rgb="FF000000"/>
      <name val="Arial"/>
      <family val="2"/>
    </font>
    <font>
      <sz val="7"/>
      <color rgb="FF000000"/>
      <name val="Arial"/>
      <family val="2"/>
    </font>
    <font>
      <sz val="7"/>
      <name val="Arial"/>
      <family val="2"/>
    </font>
    <font>
      <sz val="7"/>
      <color rgb="FFFF0000"/>
      <name val="Arial"/>
      <family val="2"/>
    </font>
    <font>
      <b/>
      <sz val="7"/>
      <name val="Arial"/>
      <family val="2"/>
    </font>
    <font>
      <b/>
      <sz val="7"/>
      <color rgb="FFFF0000"/>
      <name val="Arial"/>
      <family val="2"/>
    </font>
    <font>
      <b/>
      <sz val="7"/>
      <color rgb="FF333333"/>
      <name val="Arial"/>
      <family val="2"/>
    </font>
    <font>
      <b/>
      <sz val="8"/>
      <color rgb="FFFF0000"/>
      <name val="Arial"/>
      <family val="2"/>
    </font>
    <font>
      <b/>
      <sz val="8"/>
      <color rgb="FF333333"/>
      <name val="Arial"/>
      <family val="2"/>
    </font>
    <font>
      <b/>
      <sz val="8"/>
      <color rgb="FF000000"/>
      <name val="Arial"/>
      <family val="2"/>
    </font>
    <font>
      <sz val="8"/>
      <color rgb="FF000000"/>
      <name val="Arial"/>
      <family val="2"/>
    </font>
    <font>
      <sz val="7"/>
      <color rgb="FF333333"/>
      <name val="Arial"/>
      <family val="2"/>
    </font>
    <font>
      <sz val="8"/>
      <color rgb="FF333333"/>
      <name val="Arial"/>
      <family val="2"/>
    </font>
    <font>
      <b/>
      <sz val="9"/>
      <color rgb="FF333333"/>
      <name val="Arial"/>
      <family val="2"/>
    </font>
    <font>
      <sz val="7"/>
      <color theme="0"/>
      <name val="Arial"/>
      <family val="2"/>
    </font>
    <font>
      <b/>
      <sz val="20"/>
      <color theme="0"/>
      <name val="Calibri"/>
      <family val="2"/>
      <scheme val="minor"/>
    </font>
    <font>
      <b/>
      <sz val="12"/>
      <color theme="1"/>
      <name val="Calibri"/>
      <family val="2"/>
      <scheme val="minor"/>
    </font>
    <font>
      <b/>
      <sz val="22"/>
      <color theme="0"/>
      <name val="Calibri"/>
      <family val="2"/>
      <scheme val="minor"/>
    </font>
    <font>
      <sz val="10"/>
      <color theme="1"/>
      <name val="Calibri"/>
      <family val="2"/>
      <scheme val="minor"/>
    </font>
    <font>
      <sz val="10"/>
      <color theme="0"/>
      <name val="Calibri"/>
      <family val="2"/>
      <scheme val="minor"/>
    </font>
    <font>
      <b/>
      <sz val="7"/>
      <color theme="1"/>
      <name val="Arial"/>
      <family val="2"/>
    </font>
    <font>
      <u/>
      <sz val="11"/>
      <color theme="4"/>
      <name val="Calibri"/>
      <family val="2"/>
      <scheme val="minor"/>
    </font>
    <font>
      <u/>
      <sz val="11"/>
      <color theme="1"/>
      <name val="Calibri"/>
      <family val="2"/>
      <scheme val="minor"/>
    </font>
    <font>
      <b/>
      <sz val="11"/>
      <color theme="0"/>
      <name val="Calibri"/>
      <family val="2"/>
      <scheme val="minor"/>
    </font>
    <font>
      <b/>
      <sz val="11"/>
      <name val="Calibri"/>
      <family val="2"/>
      <scheme val="minor"/>
    </font>
    <font>
      <b/>
      <sz val="12"/>
      <color rgb="FF860000"/>
      <name val="Calibri"/>
      <family val="2"/>
      <scheme val="minor"/>
    </font>
    <font>
      <b/>
      <sz val="12"/>
      <color rgb="FF2D46E0"/>
      <name val="Calibri"/>
      <family val="2"/>
      <scheme val="minor"/>
    </font>
    <font>
      <b/>
      <sz val="12"/>
      <color theme="5"/>
      <name val="Calibri"/>
      <family val="2"/>
      <scheme val="minor"/>
    </font>
    <font>
      <b/>
      <sz val="12"/>
      <color theme="5"/>
      <name val="Calibri (Corps)"/>
    </font>
    <font>
      <sz val="12"/>
      <color theme="0"/>
      <name val="Calibri"/>
      <family val="2"/>
      <scheme val="minor"/>
    </font>
    <font>
      <b/>
      <sz val="7"/>
      <color rgb="FF0070C0"/>
      <name val="Arial"/>
      <family val="2"/>
    </font>
    <font>
      <sz val="7"/>
      <color rgb="FF0070C0"/>
      <name val="Arial"/>
      <family val="2"/>
    </font>
    <font>
      <b/>
      <sz val="10"/>
      <color rgb="FF333333"/>
      <name val="Arial"/>
      <family val="2"/>
    </font>
    <font>
      <sz val="10"/>
      <color rgb="FF333333"/>
      <name val="Arial"/>
      <family val="2"/>
    </font>
    <font>
      <b/>
      <sz val="10"/>
      <color rgb="FF000000"/>
      <name val="Arial"/>
      <family val="2"/>
    </font>
    <font>
      <b/>
      <u/>
      <sz val="10"/>
      <color rgb="FF000000"/>
      <name val="Arial"/>
      <family val="2"/>
    </font>
    <font>
      <b/>
      <sz val="10"/>
      <name val="Arial"/>
      <family val="2"/>
    </font>
    <font>
      <sz val="10"/>
      <color rgb="FF000000"/>
      <name val="Arial"/>
      <family val="2"/>
    </font>
    <font>
      <sz val="10"/>
      <name val="Arial"/>
      <family val="2"/>
    </font>
    <font>
      <b/>
      <sz val="10"/>
      <color rgb="FFFF0000"/>
      <name val="Arial"/>
      <family val="2"/>
    </font>
    <font>
      <sz val="10"/>
      <color rgb="FFFF0000"/>
      <name val="Arial"/>
      <family val="2"/>
    </font>
    <font>
      <b/>
      <u/>
      <sz val="10"/>
      <name val="Arial"/>
      <family val="2"/>
    </font>
    <font>
      <i/>
      <sz val="11"/>
      <color theme="1"/>
      <name val="Calibri"/>
      <family val="2"/>
      <scheme val="minor"/>
    </font>
    <font>
      <b/>
      <sz val="14"/>
      <name val="Calibri"/>
      <family val="2"/>
      <scheme val="minor"/>
    </font>
    <font>
      <sz val="14"/>
      <name val="Calibri"/>
      <family val="2"/>
      <scheme val="minor"/>
    </font>
    <font>
      <sz val="14"/>
      <color rgb="FFFF0000"/>
      <name val="Calibri"/>
      <family val="2"/>
      <scheme val="minor"/>
    </font>
  </fonts>
  <fills count="32">
    <fill>
      <patternFill patternType="none"/>
    </fill>
    <fill>
      <patternFill patternType="gray125"/>
    </fill>
    <fill>
      <patternFill patternType="solid">
        <fgColor theme="3" tint="0.59999389629810485"/>
        <bgColor indexed="64"/>
      </patternFill>
    </fill>
    <fill>
      <patternFill patternType="solid">
        <fgColor theme="3" tint="-0.249977111117893"/>
        <bgColor indexed="64"/>
      </patternFill>
    </fill>
    <fill>
      <patternFill patternType="solid">
        <fgColor theme="1" tint="0.3499862666707357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rgb="FF92D050"/>
        <bgColor indexed="64"/>
      </patternFill>
    </fill>
    <fill>
      <patternFill patternType="solid">
        <fgColor rgb="FFFFFFFF"/>
        <bgColor rgb="FFFFFFFF"/>
      </patternFill>
    </fill>
    <fill>
      <patternFill patternType="solid">
        <fgColor rgb="FFCCFFFF"/>
        <bgColor rgb="FFFFFFFF"/>
      </patternFill>
    </fill>
    <fill>
      <patternFill patternType="solid">
        <fgColor rgb="FFCEFFFF"/>
        <bgColor rgb="FFFFFFFF"/>
      </patternFill>
    </fill>
    <fill>
      <patternFill patternType="solid">
        <fgColor theme="1" tint="0.249977111117893"/>
        <bgColor rgb="FFFFFFFF"/>
      </patternFill>
    </fill>
    <fill>
      <patternFill patternType="solid">
        <fgColor rgb="FF92D050"/>
        <bgColor rgb="FFFFFFFF"/>
      </patternFill>
    </fill>
    <fill>
      <patternFill patternType="solid">
        <fgColor theme="9" tint="0.79998168889431442"/>
        <bgColor rgb="FFFFFFFF"/>
      </patternFill>
    </fill>
    <fill>
      <patternFill patternType="solid">
        <fgColor theme="5" tint="0.79998168889431442"/>
        <bgColor rgb="FFFFFFFF"/>
      </patternFill>
    </fill>
    <fill>
      <patternFill patternType="solid">
        <fgColor theme="7" tint="0.79998168889431442"/>
        <bgColor rgb="FFFFFFFF"/>
      </patternFill>
    </fill>
    <fill>
      <patternFill patternType="solid">
        <fgColor theme="4" tint="0.79998168889431442"/>
        <bgColor rgb="FFFFFFFF"/>
      </patternFill>
    </fill>
    <fill>
      <patternFill patternType="solid">
        <fgColor rgb="FFFFC000"/>
        <bgColor rgb="FFFFFFFF"/>
      </patternFill>
    </fill>
    <fill>
      <patternFill patternType="solid">
        <fgColor rgb="FFFCFDFD"/>
        <bgColor rgb="FFFFFFFF"/>
      </patternFill>
    </fill>
    <fill>
      <patternFill patternType="solid">
        <fgColor theme="5"/>
        <bgColor rgb="FFFFFFFF"/>
      </patternFill>
    </fill>
    <fill>
      <patternFill patternType="solid">
        <fgColor theme="2" tint="-9.9978637043366805E-2"/>
        <bgColor indexed="64"/>
      </patternFill>
    </fill>
    <fill>
      <patternFill patternType="solid">
        <fgColor rgb="FF333F4F"/>
        <bgColor indexed="64"/>
      </patternFill>
    </fill>
    <fill>
      <patternFill patternType="solid">
        <fgColor rgb="FFE64B85"/>
        <bgColor indexed="64"/>
      </patternFill>
    </fill>
    <fill>
      <patternFill patternType="solid">
        <fgColor rgb="FF2D46E0"/>
        <bgColor indexed="64"/>
      </patternFill>
    </fill>
    <fill>
      <patternFill patternType="solid">
        <fgColor rgb="FF0B0B97"/>
        <bgColor indexed="64"/>
      </patternFill>
    </fill>
    <fill>
      <patternFill patternType="solid">
        <fgColor rgb="FFFF0000"/>
        <bgColor indexed="64"/>
      </patternFill>
    </fill>
    <fill>
      <patternFill patternType="solid">
        <fgColor rgb="FFF7F02D"/>
        <bgColor indexed="64"/>
      </patternFill>
    </fill>
    <fill>
      <patternFill patternType="solid">
        <fgColor rgb="FF00B252"/>
        <bgColor indexed="64"/>
      </patternFill>
    </fill>
    <fill>
      <patternFill patternType="solid">
        <fgColor rgb="FFFF0000"/>
        <bgColor rgb="FFFFFFFF"/>
      </patternFill>
    </fill>
    <fill>
      <patternFill patternType="solid">
        <fgColor rgb="FFFFFF00"/>
        <bgColor rgb="FFFFFFFF"/>
      </patternFill>
    </fill>
    <fill>
      <patternFill patternType="solid">
        <fgColor rgb="FFFFFF00"/>
        <bgColor indexed="64"/>
      </patternFill>
    </fill>
  </fills>
  <borders count="43">
    <border>
      <left/>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333F4F"/>
      </left>
      <right/>
      <top style="medium">
        <color rgb="FF333F4F"/>
      </top>
      <bottom style="medium">
        <color rgb="FF333F4F"/>
      </bottom>
      <diagonal/>
    </border>
    <border>
      <left/>
      <right/>
      <top style="medium">
        <color rgb="FF333F4F"/>
      </top>
      <bottom style="medium">
        <color rgb="FF333F4F"/>
      </bottom>
      <diagonal/>
    </border>
    <border>
      <left/>
      <right/>
      <top style="medium">
        <color rgb="FF333F4F"/>
      </top>
      <bottom/>
      <diagonal/>
    </border>
    <border>
      <left/>
      <right style="medium">
        <color rgb="FF333F4F"/>
      </right>
      <top style="medium">
        <color rgb="FF333F4F"/>
      </top>
      <bottom/>
      <diagonal/>
    </border>
    <border>
      <left style="medium">
        <color rgb="FF333F4F"/>
      </left>
      <right/>
      <top/>
      <bottom style="thin">
        <color rgb="FF333F4F"/>
      </bottom>
      <diagonal/>
    </border>
    <border>
      <left/>
      <right/>
      <top/>
      <bottom style="thin">
        <color rgb="FF333F4F"/>
      </bottom>
      <diagonal/>
    </border>
    <border>
      <left style="medium">
        <color rgb="FF333F4F"/>
      </left>
      <right/>
      <top style="thin">
        <color rgb="FF333F4F"/>
      </top>
      <bottom style="thin">
        <color rgb="FF333F4F"/>
      </bottom>
      <diagonal/>
    </border>
    <border>
      <left/>
      <right/>
      <top style="thin">
        <color rgb="FF333F4F"/>
      </top>
      <bottom style="thin">
        <color rgb="FF333F4F"/>
      </bottom>
      <diagonal/>
    </border>
    <border>
      <left style="medium">
        <color rgb="FF333F4F"/>
      </left>
      <right/>
      <top/>
      <bottom/>
      <diagonal/>
    </border>
    <border>
      <left/>
      <right/>
      <top style="thick">
        <color rgb="FFFF0000"/>
      </top>
      <bottom style="thick">
        <color rgb="FFFF0000"/>
      </bottom>
      <diagonal/>
    </border>
    <border>
      <left style="thick">
        <color rgb="FFFF0000"/>
      </left>
      <right/>
      <top style="thick">
        <color rgb="FFFF0000"/>
      </top>
      <bottom style="thick">
        <color rgb="FFFF0000"/>
      </bottom>
      <diagonal/>
    </border>
    <border>
      <left/>
      <right style="thick">
        <color rgb="FFFF0000"/>
      </right>
      <top style="thick">
        <color rgb="FFFF0000"/>
      </top>
      <bottom style="thick">
        <color rgb="FFFF0000"/>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medium">
        <color rgb="FF333F4F"/>
      </left>
      <right/>
      <top/>
      <bottom style="medium">
        <color indexed="64"/>
      </bottom>
      <diagonal/>
    </border>
    <border>
      <left style="medium">
        <color rgb="FF333F4F"/>
      </left>
      <right/>
      <top/>
      <bottom style="medium">
        <color rgb="FF333F4F"/>
      </bottom>
      <diagonal/>
    </border>
    <border>
      <left/>
      <right/>
      <top/>
      <bottom style="medium">
        <color rgb="FF333F4F"/>
      </bottom>
      <diagonal/>
    </border>
    <border>
      <left style="medium">
        <color indexed="64"/>
      </left>
      <right/>
      <top/>
      <bottom/>
      <diagonal/>
    </border>
    <border>
      <left/>
      <right style="medium">
        <color rgb="FF333F4F"/>
      </right>
      <top/>
      <bottom style="medium">
        <color rgb="FF333F4F"/>
      </bottom>
      <diagonal/>
    </border>
    <border>
      <left/>
      <right/>
      <top style="medium">
        <color indexed="64"/>
      </top>
      <bottom style="medium">
        <color indexed="64"/>
      </bottom>
      <diagonal/>
    </border>
  </borders>
  <cellStyleXfs count="6">
    <xf numFmtId="0" fontId="0" fillId="0" borderId="0"/>
    <xf numFmtId="0" fontId="4" fillId="0" borderId="0"/>
    <xf numFmtId="165" fontId="4" fillId="0" borderId="0" applyFont="0" applyFill="0" applyBorder="0" applyAlignment="0" applyProtection="0"/>
    <xf numFmtId="164" fontId="9" fillId="0" borderId="0" applyFont="0" applyFill="0" applyBorder="0" applyAlignment="0" applyProtection="0"/>
    <xf numFmtId="0" fontId="3" fillId="0" borderId="0"/>
    <xf numFmtId="165" fontId="3" fillId="0" borderId="0" applyFont="0" applyFill="0" applyBorder="0" applyAlignment="0" applyProtection="0"/>
  </cellStyleXfs>
  <cellXfs count="361">
    <xf numFmtId="0" fontId="0" fillId="0" borderId="0" xfId="0"/>
    <xf numFmtId="0" fontId="0" fillId="0" borderId="0" xfId="0" applyAlignment="1">
      <alignment horizontal="right"/>
    </xf>
    <xf numFmtId="0" fontId="0" fillId="0" borderId="0" xfId="0" applyAlignment="1">
      <alignment horizontal="center"/>
    </xf>
    <xf numFmtId="0" fontId="6"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xf>
    <xf numFmtId="0" fontId="7" fillId="3" borderId="0" xfId="0" applyFont="1" applyFill="1" applyAlignment="1">
      <alignment horizontal="right"/>
    </xf>
    <xf numFmtId="0" fontId="0" fillId="3" borderId="0" xfId="0" applyFill="1" applyAlignment="1">
      <alignment horizontal="center" vertical="center"/>
    </xf>
    <xf numFmtId="0" fontId="8"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left" vertical="center" wrapText="1"/>
    </xf>
    <xf numFmtId="166" fontId="5" fillId="0" borderId="3" xfId="3" applyNumberFormat="1" applyFont="1" applyBorder="1" applyAlignment="1">
      <alignment horizontal="center" vertical="center" wrapText="1"/>
    </xf>
    <xf numFmtId="166" fontId="5" fillId="0" borderId="4" xfId="3" applyNumberFormat="1" applyFont="1" applyBorder="1" applyAlignment="1">
      <alignment horizontal="center" vertical="center" wrapText="1"/>
    </xf>
    <xf numFmtId="0" fontId="9" fillId="0" borderId="0" xfId="0" applyFont="1" applyAlignment="1">
      <alignment vertical="center"/>
    </xf>
    <xf numFmtId="0" fontId="10" fillId="4" borderId="0" xfId="0" applyFont="1" applyFill="1" applyAlignment="1">
      <alignment wrapText="1"/>
    </xf>
    <xf numFmtId="0" fontId="10" fillId="4" borderId="0" xfId="0" applyFont="1" applyFill="1" applyAlignment="1">
      <alignment horizontal="center" vertical="center"/>
    </xf>
    <xf numFmtId="0" fontId="0" fillId="5" borderId="0" xfId="0" applyFill="1" applyAlignment="1">
      <alignment horizontal="left"/>
    </xf>
    <xf numFmtId="0" fontId="5" fillId="5" borderId="0" xfId="0" applyFont="1" applyFill="1" applyAlignment="1">
      <alignment horizontal="left"/>
    </xf>
    <xf numFmtId="166" fontId="5" fillId="0" borderId="0" xfId="3" applyNumberFormat="1" applyFont="1" applyBorder="1" applyAlignment="1">
      <alignment horizontal="center" vertical="center"/>
    </xf>
    <xf numFmtId="166" fontId="5" fillId="0" borderId="1" xfId="3" applyNumberFormat="1" applyFont="1" applyBorder="1" applyAlignment="1">
      <alignment horizontal="center" vertical="center"/>
    </xf>
    <xf numFmtId="0" fontId="5" fillId="6" borderId="6" xfId="0" applyFont="1" applyFill="1" applyBorder="1" applyAlignment="1">
      <alignment horizontal="center" vertical="center" wrapText="1"/>
    </xf>
    <xf numFmtId="0" fontId="0" fillId="0" borderId="0" xfId="0" applyAlignment="1">
      <alignment wrapText="1"/>
    </xf>
    <xf numFmtId="0" fontId="5" fillId="2" borderId="0" xfId="0" applyFont="1" applyFill="1" applyAlignment="1">
      <alignment horizontal="center" vertical="center" wrapText="1"/>
    </xf>
    <xf numFmtId="167" fontId="0" fillId="0" borderId="0" xfId="0" applyNumberFormat="1"/>
    <xf numFmtId="0" fontId="0" fillId="6" borderId="0" xfId="0" applyFill="1" applyAlignment="1">
      <alignment horizontal="center" vertical="center"/>
    </xf>
    <xf numFmtId="168" fontId="0" fillId="0" borderId="0" xfId="0" applyNumberFormat="1" applyAlignment="1">
      <alignment horizontal="left" vertical="top"/>
    </xf>
    <xf numFmtId="0" fontId="0" fillId="0" borderId="0" xfId="0" applyAlignment="1">
      <alignment vertical="center" wrapText="1"/>
    </xf>
    <xf numFmtId="0" fontId="8" fillId="0" borderId="0" xfId="0" applyFont="1"/>
    <xf numFmtId="166" fontId="5" fillId="0" borderId="4" xfId="0" applyNumberFormat="1" applyFont="1" applyBorder="1" applyAlignment="1">
      <alignment horizontal="center" vertical="center" wrapText="1"/>
    </xf>
    <xf numFmtId="0" fontId="15" fillId="0" borderId="0" xfId="4" applyFont="1" applyProtection="1">
      <protection hidden="1"/>
    </xf>
    <xf numFmtId="0" fontId="16" fillId="0" borderId="0" xfId="4" applyFont="1" applyProtection="1">
      <protection locked="0"/>
    </xf>
    <xf numFmtId="49" fontId="16" fillId="0" borderId="0" xfId="4" applyNumberFormat="1" applyFont="1" applyAlignment="1" applyProtection="1">
      <alignment horizontal="left" vertical="center"/>
      <protection locked="0"/>
    </xf>
    <xf numFmtId="0" fontId="16" fillId="0" borderId="0" xfId="4" applyFont="1" applyAlignment="1" applyProtection="1">
      <alignment horizontal="left" vertical="center"/>
      <protection locked="0"/>
    </xf>
    <xf numFmtId="0" fontId="15" fillId="0" borderId="0" xfId="4" applyFont="1" applyAlignment="1" applyProtection="1">
      <alignment horizontal="left"/>
      <protection hidden="1"/>
    </xf>
    <xf numFmtId="0" fontId="17" fillId="0" borderId="0" xfId="4" applyFont="1" applyAlignment="1" applyProtection="1">
      <alignment horizontal="left"/>
      <protection hidden="1"/>
    </xf>
    <xf numFmtId="0" fontId="9" fillId="0" borderId="0" xfId="4" applyFont="1" applyAlignment="1">
      <alignment vertical="center" wrapText="1"/>
    </xf>
    <xf numFmtId="0" fontId="18" fillId="0" borderId="0" xfId="4" applyFont="1" applyAlignment="1">
      <alignment vertical="center" wrapText="1"/>
    </xf>
    <xf numFmtId="0" fontId="9" fillId="0" borderId="11" xfId="4" applyFont="1" applyBorder="1" applyAlignment="1">
      <alignment vertical="center"/>
    </xf>
    <xf numFmtId="0" fontId="18" fillId="0" borderId="11" xfId="4" applyFont="1" applyBorder="1" applyAlignment="1">
      <alignment vertical="center" wrapText="1"/>
    </xf>
    <xf numFmtId="0" fontId="18" fillId="0" borderId="12" xfId="4" applyFont="1" applyBorder="1" applyAlignment="1">
      <alignment vertical="center" wrapText="1"/>
    </xf>
    <xf numFmtId="0" fontId="9" fillId="0" borderId="0" xfId="4" applyFont="1" applyAlignment="1">
      <alignment vertical="center"/>
    </xf>
    <xf numFmtId="0" fontId="18" fillId="0" borderId="1" xfId="4" applyFont="1" applyBorder="1" applyAlignment="1">
      <alignment vertical="center" wrapText="1"/>
    </xf>
    <xf numFmtId="0" fontId="19" fillId="0" borderId="0" xfId="4" applyFont="1" applyAlignment="1">
      <alignment vertical="center" wrapText="1"/>
    </xf>
    <xf numFmtId="0" fontId="19" fillId="0" borderId="1" xfId="4" applyFont="1" applyBorder="1" applyAlignment="1">
      <alignment vertical="center" wrapText="1"/>
    </xf>
    <xf numFmtId="0" fontId="9" fillId="0" borderId="1" xfId="4" applyFont="1" applyBorder="1" applyAlignment="1">
      <alignment vertical="center" wrapText="1"/>
    </xf>
    <xf numFmtId="0" fontId="9" fillId="0" borderId="4" xfId="4" applyFont="1" applyBorder="1" applyAlignment="1">
      <alignment vertical="center" wrapText="1"/>
    </xf>
    <xf numFmtId="0" fontId="9" fillId="0" borderId="3" xfId="4" applyFont="1" applyBorder="1" applyAlignment="1">
      <alignment vertical="center" wrapText="1"/>
    </xf>
    <xf numFmtId="0" fontId="19" fillId="0" borderId="11" xfId="4" applyFont="1" applyBorder="1" applyAlignment="1">
      <alignment vertical="center" wrapText="1"/>
    </xf>
    <xf numFmtId="0" fontId="9" fillId="0" borderId="11" xfId="4" applyFont="1" applyBorder="1" applyAlignment="1">
      <alignment vertical="center" wrapText="1"/>
    </xf>
    <xf numFmtId="0" fontId="9" fillId="0" borderId="12" xfId="4" applyFont="1" applyBorder="1" applyAlignment="1">
      <alignment vertical="center" wrapText="1"/>
    </xf>
    <xf numFmtId="0" fontId="19" fillId="0" borderId="3" xfId="4" applyFont="1" applyBorder="1" applyAlignment="1">
      <alignment vertical="center" wrapText="1"/>
    </xf>
    <xf numFmtId="168" fontId="19" fillId="0" borderId="0" xfId="4" applyNumberFormat="1" applyFont="1" applyAlignment="1">
      <alignment horizontal="left" vertical="top"/>
    </xf>
    <xf numFmtId="0" fontId="20" fillId="0" borderId="0" xfId="4" applyFont="1" applyAlignment="1">
      <alignment vertical="center" wrapText="1"/>
    </xf>
    <xf numFmtId="0" fontId="5" fillId="8" borderId="0" xfId="4" applyFont="1" applyFill="1" applyAlignment="1">
      <alignment vertical="center"/>
    </xf>
    <xf numFmtId="0" fontId="5" fillId="0" borderId="8" xfId="4" applyFont="1" applyBorder="1" applyAlignment="1">
      <alignment vertical="center" wrapText="1"/>
    </xf>
    <xf numFmtId="0" fontId="5" fillId="0" borderId="7" xfId="4" applyFont="1" applyBorder="1" applyAlignment="1">
      <alignment vertical="center" wrapText="1"/>
    </xf>
    <xf numFmtId="0" fontId="3" fillId="0" borderId="0" xfId="4" applyProtection="1">
      <protection hidden="1"/>
    </xf>
    <xf numFmtId="169" fontId="3" fillId="0" borderId="0" xfId="4" applyNumberFormat="1" applyProtection="1">
      <protection hidden="1"/>
    </xf>
    <xf numFmtId="0" fontId="14" fillId="0" borderId="0" xfId="4" applyFont="1" applyProtection="1">
      <protection hidden="1"/>
    </xf>
    <xf numFmtId="169" fontId="14" fillId="0" borderId="0" xfId="4" applyNumberFormat="1" applyFont="1" applyProtection="1">
      <protection hidden="1"/>
    </xf>
    <xf numFmtId="0" fontId="21" fillId="9" borderId="0" xfId="4" applyFont="1" applyFill="1" applyAlignment="1" applyProtection="1">
      <alignment horizontal="left"/>
      <protection hidden="1"/>
    </xf>
    <xf numFmtId="169" fontId="22" fillId="9" borderId="0" xfId="4" applyNumberFormat="1" applyFont="1" applyFill="1" applyProtection="1">
      <protection hidden="1"/>
    </xf>
    <xf numFmtId="0" fontId="23" fillId="9" borderId="0" xfId="4" applyFont="1" applyFill="1" applyAlignment="1" applyProtection="1">
      <alignment horizontal="left"/>
      <protection hidden="1"/>
    </xf>
    <xf numFmtId="0" fontId="22" fillId="9" borderId="0" xfId="4" applyFont="1" applyFill="1" applyAlignment="1" applyProtection="1">
      <alignment horizontal="left"/>
      <protection hidden="1"/>
    </xf>
    <xf numFmtId="0" fontId="24" fillId="9" borderId="0" xfId="4" applyFont="1" applyFill="1" applyAlignment="1" applyProtection="1">
      <alignment horizontal="left"/>
      <protection hidden="1"/>
    </xf>
    <xf numFmtId="169" fontId="22" fillId="10" borderId="13" xfId="4" applyNumberFormat="1" applyFont="1" applyFill="1" applyBorder="1" applyProtection="1">
      <protection hidden="1"/>
    </xf>
    <xf numFmtId="169" fontId="22" fillId="11" borderId="13" xfId="4" applyNumberFormat="1" applyFont="1" applyFill="1" applyBorder="1" applyProtection="1">
      <protection hidden="1"/>
    </xf>
    <xf numFmtId="169" fontId="27" fillId="11" borderId="13" xfId="4" applyNumberFormat="1" applyFont="1" applyFill="1" applyBorder="1" applyProtection="1">
      <protection hidden="1"/>
    </xf>
    <xf numFmtId="0" fontId="23" fillId="11" borderId="13" xfId="4" applyFont="1" applyFill="1" applyBorder="1" applyAlignment="1" applyProtection="1">
      <alignment horizontal="left"/>
      <protection hidden="1"/>
    </xf>
    <xf numFmtId="0" fontId="22" fillId="9" borderId="13" xfId="4" applyFont="1" applyFill="1" applyBorder="1" applyAlignment="1" applyProtection="1">
      <alignment horizontal="left"/>
      <protection hidden="1"/>
    </xf>
    <xf numFmtId="49" fontId="24" fillId="9" borderId="14" xfId="4" applyNumberFormat="1" applyFont="1" applyFill="1" applyBorder="1" applyAlignment="1" applyProtection="1">
      <alignment horizontal="left"/>
      <protection hidden="1"/>
    </xf>
    <xf numFmtId="169" fontId="24" fillId="12" borderId="13" xfId="4" applyNumberFormat="1" applyFont="1" applyFill="1" applyBorder="1" applyProtection="1">
      <protection hidden="1"/>
    </xf>
    <xf numFmtId="169" fontId="25" fillId="13" borderId="13" xfId="4" applyNumberFormat="1" applyFont="1" applyFill="1" applyBorder="1" applyAlignment="1" applyProtection="1">
      <alignment horizontal="right"/>
      <protection hidden="1"/>
    </xf>
    <xf numFmtId="169" fontId="26" fillId="0" borderId="13" xfId="4" applyNumberFormat="1" applyFont="1" applyBorder="1" applyAlignment="1" applyProtection="1">
      <alignment horizontal="right"/>
      <protection hidden="1"/>
    </xf>
    <xf numFmtId="169" fontId="25" fillId="13" borderId="13" xfId="4" applyNumberFormat="1" applyFont="1" applyFill="1" applyBorder="1" applyAlignment="1" applyProtection="1">
      <alignment horizontal="right" vertical="center" wrapText="1"/>
      <protection hidden="1"/>
    </xf>
    <xf numFmtId="169" fontId="24" fillId="0" borderId="13" xfId="4" applyNumberFormat="1" applyFont="1" applyBorder="1" applyProtection="1">
      <protection hidden="1"/>
    </xf>
    <xf numFmtId="169" fontId="26" fillId="9" borderId="13" xfId="4" applyNumberFormat="1" applyFont="1" applyFill="1" applyBorder="1" applyProtection="1">
      <protection hidden="1"/>
    </xf>
    <xf numFmtId="169" fontId="25" fillId="8" borderId="13" xfId="4" applyNumberFormat="1" applyFont="1" applyFill="1" applyBorder="1" applyAlignment="1" applyProtection="1">
      <alignment horizontal="right"/>
      <protection hidden="1"/>
    </xf>
    <xf numFmtId="169" fontId="27" fillId="10" borderId="13" xfId="4" applyNumberFormat="1" applyFont="1" applyFill="1" applyBorder="1" applyProtection="1">
      <protection hidden="1"/>
    </xf>
    <xf numFmtId="169" fontId="25" fillId="13" borderId="13" xfId="4" applyNumberFormat="1" applyFont="1" applyFill="1" applyBorder="1" applyProtection="1">
      <protection hidden="1"/>
    </xf>
    <xf numFmtId="0" fontId="24" fillId="9" borderId="13" xfId="4" applyFont="1" applyFill="1" applyBorder="1" applyAlignment="1" applyProtection="1">
      <alignment horizontal="left"/>
      <protection hidden="1"/>
    </xf>
    <xf numFmtId="0" fontId="24" fillId="9" borderId="13" xfId="4" applyFont="1" applyFill="1" applyBorder="1" applyAlignment="1" applyProtection="1">
      <alignment horizontal="left" vertical="center"/>
      <protection hidden="1"/>
    </xf>
    <xf numFmtId="169" fontId="26" fillId="9" borderId="13" xfId="4" applyNumberFormat="1" applyFont="1" applyFill="1" applyBorder="1" applyAlignment="1" applyProtection="1">
      <alignment horizontal="right"/>
      <protection hidden="1"/>
    </xf>
    <xf numFmtId="169" fontId="25" fillId="13" borderId="13" xfId="4" applyNumberFormat="1" applyFont="1" applyFill="1" applyBorder="1" applyAlignment="1" applyProtection="1">
      <alignment horizontal="right" vertical="center"/>
      <protection hidden="1"/>
    </xf>
    <xf numFmtId="169" fontId="25" fillId="8" borderId="13" xfId="4" applyNumberFormat="1" applyFont="1" applyFill="1" applyBorder="1" applyAlignment="1" applyProtection="1">
      <alignment horizontal="right" vertical="center"/>
      <protection hidden="1"/>
    </xf>
    <xf numFmtId="169" fontId="25" fillId="8" borderId="13" xfId="4" applyNumberFormat="1" applyFont="1" applyFill="1" applyBorder="1" applyProtection="1">
      <protection hidden="1"/>
    </xf>
    <xf numFmtId="169" fontId="25" fillId="9" borderId="13" xfId="4" applyNumberFormat="1" applyFont="1" applyFill="1" applyBorder="1" applyAlignment="1" applyProtection="1">
      <alignment horizontal="right"/>
      <protection hidden="1"/>
    </xf>
    <xf numFmtId="169" fontId="25" fillId="9" borderId="13" xfId="4" applyNumberFormat="1" applyFont="1" applyFill="1" applyBorder="1" applyAlignment="1" applyProtection="1">
      <alignment horizontal="right" vertical="center"/>
      <protection hidden="1"/>
    </xf>
    <xf numFmtId="169" fontId="25" fillId="0" borderId="13" xfId="4" applyNumberFormat="1" applyFont="1" applyBorder="1" applyProtection="1">
      <protection hidden="1"/>
    </xf>
    <xf numFmtId="169" fontId="24" fillId="12" borderId="13" xfId="4" applyNumberFormat="1" applyFont="1" applyFill="1" applyBorder="1" applyAlignment="1" applyProtection="1">
      <alignment horizontal="center" vertical="center" wrapText="1"/>
      <protection hidden="1"/>
    </xf>
    <xf numFmtId="169" fontId="25" fillId="8" borderId="13" xfId="4" applyNumberFormat="1" applyFont="1" applyFill="1" applyBorder="1" applyAlignment="1" applyProtection="1">
      <alignment horizontal="right" vertical="center" wrapText="1"/>
      <protection hidden="1"/>
    </xf>
    <xf numFmtId="169" fontId="26" fillId="12" borderId="13" xfId="4" applyNumberFormat="1" applyFont="1" applyFill="1" applyBorder="1" applyAlignment="1" applyProtection="1">
      <alignment horizontal="right" vertical="center" wrapText="1"/>
      <protection hidden="1"/>
    </xf>
    <xf numFmtId="169" fontId="26" fillId="12" borderId="13" xfId="4" applyNumberFormat="1" applyFont="1" applyFill="1" applyBorder="1" applyAlignment="1" applyProtection="1">
      <alignment horizontal="right"/>
      <protection hidden="1"/>
    </xf>
    <xf numFmtId="169" fontId="25" fillId="13" borderId="13" xfId="4" quotePrefix="1" applyNumberFormat="1" applyFont="1" applyFill="1" applyBorder="1" applyAlignment="1" applyProtection="1">
      <alignment horizontal="right"/>
      <protection hidden="1"/>
    </xf>
    <xf numFmtId="169" fontId="25" fillId="12" borderId="13" xfId="4" applyNumberFormat="1" applyFont="1" applyFill="1" applyBorder="1" applyAlignment="1" applyProtection="1">
      <alignment horizontal="right"/>
      <protection hidden="1"/>
    </xf>
    <xf numFmtId="169" fontId="24" fillId="8" borderId="13" xfId="4" applyNumberFormat="1" applyFont="1" applyFill="1" applyBorder="1" applyAlignment="1" applyProtection="1">
      <alignment horizontal="right" vertical="center" wrapText="1"/>
      <protection hidden="1"/>
    </xf>
    <xf numFmtId="169" fontId="24" fillId="8" borderId="13" xfId="4" applyNumberFormat="1" applyFont="1" applyFill="1" applyBorder="1" applyAlignment="1" applyProtection="1">
      <alignment horizontal="right" vertical="center"/>
      <protection hidden="1"/>
    </xf>
    <xf numFmtId="0" fontId="24" fillId="18" borderId="13" xfId="4" applyFont="1" applyFill="1" applyBorder="1" applyAlignment="1" applyProtection="1">
      <alignment horizontal="left" vertical="center"/>
      <protection hidden="1"/>
    </xf>
    <xf numFmtId="0" fontId="23" fillId="10" borderId="13" xfId="4" applyFont="1" applyFill="1" applyBorder="1" applyAlignment="1" applyProtection="1">
      <alignment horizontal="center" vertical="center" wrapText="1"/>
      <protection hidden="1"/>
    </xf>
    <xf numFmtId="0" fontId="22" fillId="14" borderId="13" xfId="4" applyFont="1" applyFill="1" applyBorder="1" applyAlignment="1" applyProtection="1">
      <alignment horizontal="center" vertical="center" wrapText="1"/>
      <protection hidden="1"/>
    </xf>
    <xf numFmtId="0" fontId="22" fillId="15" borderId="13" xfId="4" applyFont="1" applyFill="1" applyBorder="1" applyAlignment="1" applyProtection="1">
      <alignment horizontal="center" vertical="center" wrapText="1"/>
      <protection hidden="1"/>
    </xf>
    <xf numFmtId="0" fontId="22" fillId="16" borderId="13" xfId="4" applyFont="1" applyFill="1" applyBorder="1" applyAlignment="1" applyProtection="1">
      <alignment horizontal="center" vertical="center" wrapText="1"/>
      <protection hidden="1"/>
    </xf>
    <xf numFmtId="0" fontId="22" fillId="17" borderId="13" xfId="4" applyFont="1" applyFill="1" applyBorder="1" applyAlignment="1" applyProtection="1">
      <alignment horizontal="center" vertical="center" wrapText="1"/>
      <protection hidden="1"/>
    </xf>
    <xf numFmtId="0" fontId="22" fillId="9" borderId="13" xfId="4" applyFont="1" applyFill="1" applyBorder="1" applyAlignment="1" applyProtection="1">
      <alignment horizontal="center" vertical="center" wrapText="1"/>
      <protection hidden="1"/>
    </xf>
    <xf numFmtId="0" fontId="29" fillId="9" borderId="13" xfId="4" applyFont="1" applyFill="1" applyBorder="1" applyAlignment="1" applyProtection="1">
      <alignment horizontal="center" vertical="center" wrapText="1"/>
      <protection hidden="1"/>
    </xf>
    <xf numFmtId="49" fontId="29" fillId="9" borderId="0" xfId="4" applyNumberFormat="1" applyFont="1" applyFill="1" applyAlignment="1" applyProtection="1">
      <alignment horizontal="center" vertical="center" wrapText="1"/>
      <protection hidden="1"/>
    </xf>
    <xf numFmtId="0" fontId="29" fillId="9" borderId="0" xfId="4" applyFont="1" applyFill="1" applyAlignment="1" applyProtection="1">
      <alignment horizontal="center" vertical="center" wrapText="1"/>
      <protection hidden="1"/>
    </xf>
    <xf numFmtId="0" fontId="23" fillId="11" borderId="13" xfId="4" applyFont="1" applyFill="1" applyBorder="1" applyAlignment="1" applyProtection="1">
      <alignment horizontal="left" vertical="center"/>
      <protection hidden="1"/>
    </xf>
    <xf numFmtId="0" fontId="22" fillId="9" borderId="13" xfId="4" applyFont="1" applyFill="1" applyBorder="1" applyAlignment="1" applyProtection="1">
      <alignment horizontal="left" vertical="center"/>
      <protection hidden="1"/>
    </xf>
    <xf numFmtId="0" fontId="24" fillId="9" borderId="14" xfId="4" applyFont="1" applyFill="1" applyBorder="1" applyAlignment="1" applyProtection="1">
      <alignment horizontal="center" vertical="center"/>
      <protection hidden="1"/>
    </xf>
    <xf numFmtId="169" fontId="22" fillId="10" borderId="13" xfId="4" applyNumberFormat="1" applyFont="1" applyFill="1" applyBorder="1" applyAlignment="1" applyProtection="1">
      <alignment horizontal="right"/>
      <protection hidden="1"/>
    </xf>
    <xf numFmtId="169" fontId="24" fillId="9" borderId="13" xfId="4" applyNumberFormat="1" applyFont="1" applyFill="1" applyBorder="1" applyAlignment="1" applyProtection="1">
      <alignment horizontal="right"/>
      <protection hidden="1"/>
    </xf>
    <xf numFmtId="169" fontId="29" fillId="10" borderId="13" xfId="4" applyNumberFormat="1" applyFont="1" applyFill="1" applyBorder="1" applyProtection="1">
      <protection hidden="1"/>
    </xf>
    <xf numFmtId="49" fontId="23" fillId="11" borderId="13" xfId="4" applyNumberFormat="1" applyFont="1" applyFill="1" applyBorder="1" applyAlignment="1" applyProtection="1">
      <alignment horizontal="left" vertical="center"/>
      <protection hidden="1"/>
    </xf>
    <xf numFmtId="0" fontId="32" fillId="9" borderId="13" xfId="4" applyFont="1" applyFill="1" applyBorder="1" applyAlignment="1" applyProtection="1">
      <alignment horizontal="left" vertical="center"/>
      <protection hidden="1"/>
    </xf>
    <xf numFmtId="0" fontId="33" fillId="9" borderId="13" xfId="4" applyFont="1" applyFill="1" applyBorder="1" applyAlignment="1" applyProtection="1">
      <alignment horizontal="left" vertical="center"/>
      <protection hidden="1"/>
    </xf>
    <xf numFmtId="0" fontId="33" fillId="9" borderId="0" xfId="4" applyFont="1" applyFill="1" applyAlignment="1" applyProtection="1">
      <alignment horizontal="center" vertical="center"/>
      <protection hidden="1"/>
    </xf>
    <xf numFmtId="169" fontId="34" fillId="8" borderId="13" xfId="4" applyNumberFormat="1" applyFont="1" applyFill="1" applyBorder="1" applyProtection="1">
      <protection hidden="1"/>
    </xf>
    <xf numFmtId="49" fontId="24" fillId="9" borderId="13" xfId="4" applyNumberFormat="1" applyFont="1" applyFill="1" applyBorder="1" applyAlignment="1" applyProtection="1">
      <alignment horizontal="left" vertical="center"/>
      <protection hidden="1"/>
    </xf>
    <xf numFmtId="49" fontId="24" fillId="9" borderId="0" xfId="4" applyNumberFormat="1" applyFont="1" applyFill="1" applyAlignment="1" applyProtection="1">
      <alignment horizontal="center" vertical="center"/>
      <protection hidden="1"/>
    </xf>
    <xf numFmtId="169" fontId="34" fillId="19" borderId="13" xfId="4" applyNumberFormat="1" applyFont="1" applyFill="1" applyBorder="1" applyProtection="1">
      <protection hidden="1"/>
    </xf>
    <xf numFmtId="169" fontId="34" fillId="0" borderId="13" xfId="4" applyNumberFormat="1" applyFont="1" applyBorder="1" applyProtection="1">
      <protection hidden="1"/>
    </xf>
    <xf numFmtId="169" fontId="34" fillId="9" borderId="13" xfId="4" applyNumberFormat="1" applyFont="1" applyFill="1" applyBorder="1" applyProtection="1">
      <protection hidden="1"/>
    </xf>
    <xf numFmtId="49" fontId="24" fillId="18" borderId="13" xfId="4" applyNumberFormat="1" applyFont="1" applyFill="1" applyBorder="1" applyAlignment="1" applyProtection="1">
      <alignment horizontal="left" vertical="center"/>
      <protection hidden="1"/>
    </xf>
    <xf numFmtId="49" fontId="29" fillId="9" borderId="13" xfId="4" applyNumberFormat="1" applyFont="1" applyFill="1" applyBorder="1" applyAlignment="1" applyProtection="1">
      <alignment horizontal="center" vertical="center" wrapText="1"/>
      <protection hidden="1"/>
    </xf>
    <xf numFmtId="49" fontId="35" fillId="9" borderId="0" xfId="4" applyNumberFormat="1" applyFont="1" applyFill="1" applyAlignment="1" applyProtection="1">
      <alignment horizontal="center" vertical="center"/>
      <protection hidden="1"/>
    </xf>
    <xf numFmtId="0" fontId="36" fillId="9" borderId="0" xfId="4" applyFont="1" applyFill="1" applyAlignment="1" applyProtection="1">
      <alignment horizontal="center" vertical="center" wrapText="1"/>
      <protection hidden="1"/>
    </xf>
    <xf numFmtId="0" fontId="35" fillId="9" borderId="0" xfId="4" applyFont="1" applyFill="1" applyAlignment="1" applyProtection="1">
      <alignment horizontal="center" vertical="center"/>
      <protection hidden="1"/>
    </xf>
    <xf numFmtId="49" fontId="31" fillId="9" borderId="0" xfId="4" applyNumberFormat="1" applyFont="1" applyFill="1" applyAlignment="1" applyProtection="1">
      <alignment horizontal="left" vertical="top"/>
      <protection hidden="1"/>
    </xf>
    <xf numFmtId="169" fontId="25" fillId="8" borderId="13" xfId="4" applyNumberFormat="1" applyFont="1" applyFill="1" applyBorder="1" applyAlignment="1" applyProtection="1">
      <alignment wrapText="1"/>
      <protection hidden="1"/>
    </xf>
    <xf numFmtId="0" fontId="24" fillId="0" borderId="14" xfId="4" applyFont="1" applyBorder="1" applyAlignment="1" applyProtection="1">
      <alignment horizontal="center" vertical="center"/>
      <protection hidden="1"/>
    </xf>
    <xf numFmtId="0" fontId="24" fillId="0" borderId="13" xfId="4" applyFont="1" applyBorder="1" applyAlignment="1" applyProtection="1">
      <alignment horizontal="left" vertical="center"/>
      <protection hidden="1"/>
    </xf>
    <xf numFmtId="169" fontId="22" fillId="0" borderId="13" xfId="4" applyNumberFormat="1" applyFont="1" applyBorder="1" applyAlignment="1" applyProtection="1">
      <alignment horizontal="right"/>
      <protection hidden="1"/>
    </xf>
    <xf numFmtId="169" fontId="24" fillId="0" borderId="13" xfId="4" applyNumberFormat="1" applyFont="1" applyBorder="1" applyAlignment="1" applyProtection="1">
      <alignment horizontal="right"/>
      <protection hidden="1"/>
    </xf>
    <xf numFmtId="169" fontId="25" fillId="0" borderId="13" xfId="4" applyNumberFormat="1" applyFont="1" applyBorder="1" applyAlignment="1" applyProtection="1">
      <alignment horizontal="right"/>
      <protection hidden="1"/>
    </xf>
    <xf numFmtId="169" fontId="22" fillId="0" borderId="13" xfId="4" applyNumberFormat="1" applyFont="1" applyBorder="1" applyProtection="1">
      <protection hidden="1"/>
    </xf>
    <xf numFmtId="169" fontId="25" fillId="0" borderId="13" xfId="4" applyNumberFormat="1" applyFont="1" applyBorder="1" applyAlignment="1" applyProtection="1">
      <alignment horizontal="right" vertical="center"/>
      <protection hidden="1"/>
    </xf>
    <xf numFmtId="169" fontId="26" fillId="0" borderId="13" xfId="4" applyNumberFormat="1" applyFont="1" applyBorder="1" applyProtection="1">
      <protection hidden="1"/>
    </xf>
    <xf numFmtId="0" fontId="21" fillId="0" borderId="0" xfId="4" applyFont="1" applyAlignment="1" applyProtection="1">
      <alignment horizontal="left"/>
      <protection hidden="1"/>
    </xf>
    <xf numFmtId="0" fontId="22" fillId="0" borderId="13" xfId="4" applyFont="1" applyBorder="1" applyAlignment="1" applyProtection="1">
      <alignment horizontal="center" vertical="center" wrapText="1"/>
      <protection hidden="1"/>
    </xf>
    <xf numFmtId="0" fontId="37" fillId="20" borderId="13" xfId="4" applyFont="1" applyFill="1" applyBorder="1" applyAlignment="1" applyProtection="1">
      <alignment horizontal="left" vertical="center"/>
      <protection hidden="1"/>
    </xf>
    <xf numFmtId="49" fontId="37" fillId="20" borderId="13" xfId="4" applyNumberFormat="1" applyFont="1" applyFill="1" applyBorder="1" applyAlignment="1" applyProtection="1">
      <alignment horizontal="left" vertical="center"/>
      <protection hidden="1"/>
    </xf>
    <xf numFmtId="0" fontId="5" fillId="21" borderId="0" xfId="0" applyFont="1" applyFill="1" applyAlignment="1">
      <alignment horizontal="center" vertical="center" wrapText="1"/>
    </xf>
    <xf numFmtId="0" fontId="5" fillId="0" borderId="0" xfId="0" applyFont="1"/>
    <xf numFmtId="0" fontId="40" fillId="22" borderId="0" xfId="0" applyFont="1" applyFill="1" applyAlignment="1">
      <alignment vertical="center" wrapText="1"/>
    </xf>
    <xf numFmtId="0" fontId="40" fillId="22" borderId="0" xfId="0" applyFont="1" applyFill="1" applyAlignment="1">
      <alignment vertical="center"/>
    </xf>
    <xf numFmtId="0" fontId="40" fillId="22" borderId="0" xfId="0" applyFont="1" applyFill="1" applyAlignment="1">
      <alignment horizontal="left" vertical="center"/>
    </xf>
    <xf numFmtId="0" fontId="41" fillId="22" borderId="0" xfId="0" applyFont="1" applyFill="1" applyAlignment="1">
      <alignment horizontal="right" wrapText="1"/>
    </xf>
    <xf numFmtId="0" fontId="41" fillId="22" borderId="0" xfId="0" applyFont="1" applyFill="1"/>
    <xf numFmtId="0" fontId="41" fillId="22" borderId="0" xfId="0" applyFont="1" applyFill="1" applyAlignment="1">
      <alignment horizontal="left" vertical="center" wrapText="1"/>
    </xf>
    <xf numFmtId="0" fontId="41" fillId="0" borderId="0" xfId="0" applyFont="1" applyAlignment="1">
      <alignment wrapText="1"/>
    </xf>
    <xf numFmtId="0" fontId="0" fillId="0" borderId="0" xfId="0" applyAlignment="1">
      <alignment horizontal="right" vertical="center" wrapText="1"/>
    </xf>
    <xf numFmtId="0" fontId="0" fillId="0" borderId="0" xfId="0" applyAlignment="1">
      <alignment horizontal="left" vertical="center" wrapText="1"/>
    </xf>
    <xf numFmtId="0" fontId="39" fillId="0" borderId="0" xfId="0" applyFont="1" applyAlignment="1">
      <alignment horizontal="right" vertical="center" wrapText="1"/>
    </xf>
    <xf numFmtId="0" fontId="11" fillId="22" borderId="19" xfId="0" quotePrefix="1" applyFont="1" applyFill="1" applyBorder="1" applyAlignment="1">
      <alignment horizontal="left" vertical="center" wrapText="1" indent="1"/>
    </xf>
    <xf numFmtId="0" fontId="11" fillId="22" borderId="20" xfId="0" applyFont="1" applyFill="1" applyBorder="1" applyAlignment="1">
      <alignment horizontal="left" vertical="center" wrapText="1" indent="1"/>
    </xf>
    <xf numFmtId="0" fontId="39" fillId="0" borderId="0" xfId="0" applyFont="1" applyAlignment="1">
      <alignment vertical="center" wrapText="1"/>
    </xf>
    <xf numFmtId="0" fontId="0" fillId="0" borderId="0" xfId="0" applyAlignment="1">
      <alignment horizontal="right" vertical="top" wrapText="1"/>
    </xf>
    <xf numFmtId="0" fontId="40" fillId="3" borderId="0" xfId="0" applyFont="1" applyFill="1" applyAlignment="1">
      <alignment horizontal="left" vertical="center"/>
    </xf>
    <xf numFmtId="0" fontId="43" fillId="0" borderId="13" xfId="4" applyFont="1" applyBorder="1" applyAlignment="1" applyProtection="1">
      <alignment horizontal="left" vertical="center"/>
      <protection hidden="1"/>
    </xf>
    <xf numFmtId="0" fontId="43" fillId="9" borderId="13" xfId="4" applyFont="1" applyFill="1" applyBorder="1" applyAlignment="1" applyProtection="1">
      <alignment horizontal="left" vertical="center"/>
      <protection hidden="1"/>
    </xf>
    <xf numFmtId="0" fontId="0" fillId="0" borderId="24" xfId="0" applyBorder="1" applyAlignment="1">
      <alignment horizontal="left" vertical="center" wrapText="1" indent="1"/>
    </xf>
    <xf numFmtId="0" fontId="0" fillId="0" borderId="26" xfId="0" applyBorder="1" applyAlignment="1">
      <alignment horizontal="left" vertical="center" wrapText="1" indent="1"/>
    </xf>
    <xf numFmtId="0" fontId="0" fillId="0" borderId="40" xfId="0" applyBorder="1" applyAlignment="1">
      <alignment vertical="center" wrapText="1"/>
    </xf>
    <xf numFmtId="0" fontId="39" fillId="0" borderId="27" xfId="0" applyFont="1" applyBorder="1" applyAlignment="1">
      <alignment vertical="center" wrapText="1"/>
    </xf>
    <xf numFmtId="0" fontId="0" fillId="0" borderId="38" xfId="0" applyBorder="1" applyAlignment="1">
      <alignment vertical="center" wrapText="1"/>
    </xf>
    <xf numFmtId="0" fontId="0" fillId="0" borderId="41" xfId="0" applyBorder="1" applyAlignment="1">
      <alignment vertical="center" wrapText="1"/>
    </xf>
    <xf numFmtId="0" fontId="0" fillId="0" borderId="42" xfId="0" quotePrefix="1" applyBorder="1" applyAlignment="1">
      <alignment vertical="top" wrapText="1"/>
    </xf>
    <xf numFmtId="0" fontId="46" fillId="23" borderId="23" xfId="0" applyFont="1" applyFill="1" applyBorder="1" applyAlignment="1">
      <alignment horizontal="left" vertical="center" wrapText="1" indent="1"/>
    </xf>
    <xf numFmtId="0" fontId="46" fillId="24" borderId="25" xfId="0" applyFont="1" applyFill="1" applyBorder="1" applyAlignment="1">
      <alignment horizontal="left" vertical="center" wrapText="1" indent="1"/>
    </xf>
    <xf numFmtId="0" fontId="46" fillId="25" borderId="25" xfId="0" applyFont="1" applyFill="1" applyBorder="1" applyAlignment="1">
      <alignment horizontal="left" vertical="center" wrapText="1" indent="1"/>
    </xf>
    <xf numFmtId="0" fontId="46" fillId="26" borderId="27" xfId="0" applyFont="1" applyFill="1" applyBorder="1" applyAlignment="1">
      <alignment horizontal="left" vertical="center" wrapText="1" indent="1"/>
    </xf>
    <xf numFmtId="0" fontId="47" fillId="27" borderId="27" xfId="0" applyFont="1" applyFill="1" applyBorder="1" applyAlignment="1">
      <alignment horizontal="left" vertical="center" wrapText="1" indent="1"/>
    </xf>
    <xf numFmtId="0" fontId="47" fillId="28" borderId="37" xfId="0" applyFont="1" applyFill="1" applyBorder="1" applyAlignment="1">
      <alignment horizontal="left" vertical="center" wrapText="1" indent="1"/>
    </xf>
    <xf numFmtId="0" fontId="48" fillId="0" borderId="0" xfId="0" applyFont="1" applyAlignment="1">
      <alignment horizontal="left" indent="1"/>
    </xf>
    <xf numFmtId="0" fontId="2" fillId="0" borderId="0" xfId="0" applyFont="1" applyProtection="1">
      <protection hidden="1"/>
    </xf>
    <xf numFmtId="0" fontId="2" fillId="0" borderId="0" xfId="0" applyFont="1" applyAlignment="1" applyProtection="1">
      <alignment horizontal="left" indent="1"/>
      <protection hidden="1"/>
    </xf>
    <xf numFmtId="0" fontId="14" fillId="0" borderId="29" xfId="0" applyFont="1" applyBorder="1" applyAlignment="1" applyProtection="1">
      <alignment horizontal="left" vertical="center" indent="1"/>
      <protection hidden="1"/>
    </xf>
    <xf numFmtId="0" fontId="2" fillId="0" borderId="28" xfId="0" applyFont="1" applyBorder="1" applyAlignment="1" applyProtection="1">
      <alignment vertical="center"/>
      <protection hidden="1"/>
    </xf>
    <xf numFmtId="0" fontId="0" fillId="0" borderId="28" xfId="0" applyBorder="1" applyAlignment="1">
      <alignment vertical="center"/>
    </xf>
    <xf numFmtId="0" fontId="0" fillId="0" borderId="30" xfId="0" applyBorder="1" applyAlignment="1">
      <alignment vertical="center"/>
    </xf>
    <xf numFmtId="0" fontId="19" fillId="0" borderId="1" xfId="0" applyFont="1" applyBorder="1" applyAlignment="1">
      <alignment vertical="center" wrapText="1"/>
    </xf>
    <xf numFmtId="0" fontId="19" fillId="0" borderId="0" xfId="0" applyFont="1" applyAlignment="1">
      <alignment vertical="center" wrapText="1"/>
    </xf>
    <xf numFmtId="169" fontId="25" fillId="29" borderId="13" xfId="4" applyNumberFormat="1" applyFont="1" applyFill="1" applyBorder="1" applyAlignment="1" applyProtection="1">
      <alignment horizontal="right"/>
      <protection hidden="1"/>
    </xf>
    <xf numFmtId="169" fontId="25" fillId="30" borderId="13" xfId="4" applyNumberFormat="1" applyFont="1" applyFill="1" applyBorder="1" applyAlignment="1" applyProtection="1">
      <alignment horizontal="right"/>
      <protection hidden="1"/>
    </xf>
    <xf numFmtId="169" fontId="25" fillId="31" borderId="13" xfId="4" applyNumberFormat="1" applyFont="1" applyFill="1" applyBorder="1" applyAlignment="1" applyProtection="1">
      <alignment horizontal="right"/>
      <protection hidden="1"/>
    </xf>
    <xf numFmtId="0" fontId="21" fillId="9" borderId="0" xfId="0" applyFont="1" applyFill="1" applyAlignment="1">
      <alignment horizontal="left" vertical="center"/>
    </xf>
    <xf numFmtId="0" fontId="21" fillId="9" borderId="0" xfId="0" applyFont="1" applyFill="1" applyAlignment="1">
      <alignment horizontal="left"/>
    </xf>
    <xf numFmtId="0" fontId="30" fillId="9" borderId="0" xfId="0" applyFont="1" applyFill="1" applyAlignment="1">
      <alignment horizontal="center" vertical="center" wrapText="1"/>
    </xf>
    <xf numFmtId="0" fontId="29" fillId="9" borderId="0" xfId="0" applyFont="1" applyFill="1" applyAlignment="1">
      <alignment horizontal="center" vertical="center" wrapText="1"/>
    </xf>
    <xf numFmtId="0" fontId="22" fillId="15" borderId="13" xfId="0" applyFont="1" applyFill="1" applyBorder="1" applyAlignment="1">
      <alignment horizontal="center" vertical="center" wrapText="1"/>
    </xf>
    <xf numFmtId="0" fontId="22" fillId="14" borderId="13" xfId="0" applyFont="1" applyFill="1" applyBorder="1" applyAlignment="1">
      <alignment horizontal="center" vertical="center" wrapText="1"/>
    </xf>
    <xf numFmtId="49" fontId="29" fillId="9" borderId="0" xfId="0" applyNumberFormat="1" applyFont="1" applyFill="1" applyAlignment="1">
      <alignment horizontal="center" vertical="center" wrapText="1"/>
    </xf>
    <xf numFmtId="0" fontId="29" fillId="9" borderId="13" xfId="0" applyFont="1" applyFill="1" applyBorder="1" applyAlignment="1">
      <alignment horizontal="center" vertical="center" wrapText="1"/>
    </xf>
    <xf numFmtId="49" fontId="24" fillId="9" borderId="14" xfId="0" applyNumberFormat="1" applyFont="1" applyFill="1" applyBorder="1" applyAlignment="1">
      <alignment horizontal="left" vertical="center"/>
    </xf>
    <xf numFmtId="0" fontId="24" fillId="9" borderId="13" xfId="0" applyFont="1" applyFill="1" applyBorder="1" applyAlignment="1">
      <alignment horizontal="left"/>
    </xf>
    <xf numFmtId="0" fontId="24" fillId="9" borderId="13" xfId="0" applyFont="1" applyFill="1" applyBorder="1" applyAlignment="1">
      <alignment horizontal="left" vertical="center" wrapText="1"/>
    </xf>
    <xf numFmtId="169" fontId="25" fillId="13" borderId="13" xfId="0" applyNumberFormat="1" applyFont="1" applyFill="1" applyBorder="1" applyAlignment="1">
      <alignment horizontal="center" vertical="center" wrapText="1"/>
    </xf>
    <xf numFmtId="169" fontId="22" fillId="10" borderId="13" xfId="0" applyNumberFormat="1" applyFont="1" applyFill="1" applyBorder="1"/>
    <xf numFmtId="169" fontId="26" fillId="12" borderId="13" xfId="0" applyNumberFormat="1" applyFont="1" applyFill="1" applyBorder="1" applyAlignment="1">
      <alignment horizontal="center" vertical="center" wrapText="1"/>
    </xf>
    <xf numFmtId="169" fontId="25" fillId="12" borderId="13" xfId="0" applyNumberFormat="1" applyFont="1" applyFill="1" applyBorder="1" applyAlignment="1">
      <alignment horizontal="center" vertical="center" wrapText="1"/>
    </xf>
    <xf numFmtId="169" fontId="24" fillId="12" borderId="13" xfId="0" applyNumberFormat="1" applyFont="1" applyFill="1" applyBorder="1"/>
    <xf numFmtId="169" fontId="24" fillId="12" borderId="13" xfId="0" applyNumberFormat="1" applyFont="1" applyFill="1" applyBorder="1" applyAlignment="1">
      <alignment horizontal="center" vertical="center" wrapText="1"/>
    </xf>
    <xf numFmtId="169" fontId="26" fillId="0" borderId="13" xfId="0" applyNumberFormat="1" applyFont="1" applyBorder="1" applyAlignment="1">
      <alignment horizontal="center" wrapText="1"/>
    </xf>
    <xf numFmtId="169" fontId="26" fillId="9" borderId="13" xfId="0" applyNumberFormat="1" applyFont="1" applyFill="1" applyBorder="1" applyAlignment="1">
      <alignment horizontal="center" vertical="center" wrapText="1"/>
    </xf>
    <xf numFmtId="169" fontId="24" fillId="12" borderId="13" xfId="0" applyNumberFormat="1" applyFont="1" applyFill="1" applyBorder="1" applyAlignment="1">
      <alignment horizontal="center" vertical="center"/>
    </xf>
    <xf numFmtId="169" fontId="26" fillId="9" borderId="18" xfId="0" applyNumberFormat="1" applyFont="1" applyFill="1" applyBorder="1" applyAlignment="1">
      <alignment horizontal="center" vertical="center" wrapText="1"/>
    </xf>
    <xf numFmtId="169" fontId="26" fillId="0" borderId="10" xfId="0" applyNumberFormat="1" applyFont="1" applyBorder="1" applyAlignment="1">
      <alignment horizontal="center" vertical="center" wrapText="1"/>
    </xf>
    <xf numFmtId="0" fontId="13" fillId="0" borderId="10" xfId="0" applyFont="1" applyBorder="1" applyAlignment="1">
      <alignment horizontal="center" vertical="center" wrapText="1"/>
    </xf>
    <xf numFmtId="169" fontId="22" fillId="10" borderId="16" xfId="0" applyNumberFormat="1" applyFont="1" applyFill="1" applyBorder="1"/>
    <xf numFmtId="169" fontId="26" fillId="9" borderId="15" xfId="0" applyNumberFormat="1" applyFont="1" applyFill="1" applyBorder="1" applyAlignment="1">
      <alignment horizontal="center" vertical="center" wrapText="1"/>
    </xf>
    <xf numFmtId="169" fontId="25" fillId="0" borderId="13" xfId="0" applyNumberFormat="1" applyFont="1" applyBorder="1" applyAlignment="1">
      <alignment horizontal="center" vertical="center" wrapText="1"/>
    </xf>
    <xf numFmtId="169" fontId="26" fillId="0" borderId="13" xfId="0" applyNumberFormat="1" applyFont="1" applyBorder="1" applyAlignment="1">
      <alignment horizontal="center" vertical="center" wrapText="1"/>
    </xf>
    <xf numFmtId="0" fontId="22" fillId="9" borderId="13" xfId="0" applyFont="1" applyFill="1" applyBorder="1" applyAlignment="1">
      <alignment horizontal="left"/>
    </xf>
    <xf numFmtId="0" fontId="22" fillId="9" borderId="13" xfId="0" applyFont="1" applyFill="1" applyBorder="1" applyAlignment="1">
      <alignment horizontal="left" vertical="center" wrapText="1"/>
    </xf>
    <xf numFmtId="0" fontId="23" fillId="11" borderId="13" xfId="0" applyFont="1" applyFill="1" applyBorder="1" applyAlignment="1">
      <alignment horizontal="left" vertical="center" wrapText="1"/>
    </xf>
    <xf numFmtId="169" fontId="22" fillId="11" borderId="13" xfId="0" applyNumberFormat="1" applyFont="1" applyFill="1" applyBorder="1"/>
    <xf numFmtId="0" fontId="1" fillId="0" borderId="0" xfId="0" applyFont="1" applyAlignment="1">
      <alignment vertical="center"/>
    </xf>
    <xf numFmtId="0" fontId="1" fillId="0" borderId="0" xfId="0" applyFont="1"/>
    <xf numFmtId="0" fontId="21" fillId="9" borderId="0" xfId="0" applyFont="1" applyFill="1" applyAlignment="1" applyProtection="1">
      <alignment horizontal="left" vertical="center"/>
      <protection hidden="1"/>
    </xf>
    <xf numFmtId="0" fontId="21" fillId="0" borderId="0" xfId="0" applyFont="1" applyAlignment="1" applyProtection="1">
      <alignment horizontal="left" vertical="center"/>
      <protection hidden="1"/>
    </xf>
    <xf numFmtId="0" fontId="29" fillId="9" borderId="0" xfId="0" applyFont="1" applyFill="1" applyAlignment="1" applyProtection="1">
      <alignment horizontal="center" vertical="center" wrapText="1"/>
      <protection hidden="1"/>
    </xf>
    <xf numFmtId="0" fontId="22" fillId="9" borderId="13" xfId="0" applyFont="1" applyFill="1" applyBorder="1" applyAlignment="1" applyProtection="1">
      <alignment horizontal="center" vertical="center" wrapText="1"/>
      <protection hidden="1"/>
    </xf>
    <xf numFmtId="0" fontId="22" fillId="0" borderId="13" xfId="0" applyFont="1" applyBorder="1" applyAlignment="1" applyProtection="1">
      <alignment horizontal="center" vertical="center" wrapText="1"/>
      <protection hidden="1"/>
    </xf>
    <xf numFmtId="0" fontId="29" fillId="9" borderId="13" xfId="0" applyFont="1" applyFill="1" applyBorder="1" applyAlignment="1" applyProtection="1">
      <alignment horizontal="center" vertical="center" wrapText="1"/>
      <protection hidden="1"/>
    </xf>
    <xf numFmtId="0" fontId="24" fillId="9" borderId="14" xfId="0" applyFont="1" applyFill="1" applyBorder="1" applyAlignment="1" applyProtection="1">
      <alignment horizontal="center" vertical="center"/>
      <protection hidden="1"/>
    </xf>
    <xf numFmtId="0" fontId="24" fillId="9" borderId="13" xfId="0" applyFont="1" applyFill="1" applyBorder="1" applyAlignment="1" applyProtection="1">
      <alignment horizontal="left" vertical="center"/>
      <protection hidden="1"/>
    </xf>
    <xf numFmtId="0" fontId="24" fillId="0" borderId="13" xfId="0" applyFont="1" applyBorder="1" applyAlignment="1" applyProtection="1">
      <alignment horizontal="left" vertical="center"/>
      <protection hidden="1"/>
    </xf>
    <xf numFmtId="169" fontId="26" fillId="9" borderId="13" xfId="0" applyNumberFormat="1" applyFont="1" applyFill="1" applyBorder="1" applyAlignment="1" applyProtection="1">
      <alignment vertical="center"/>
      <protection hidden="1"/>
    </xf>
    <xf numFmtId="169" fontId="25" fillId="0" borderId="13" xfId="0" applyNumberFormat="1" applyFont="1" applyBorder="1" applyAlignment="1" applyProtection="1">
      <alignment horizontal="center" vertical="center" wrapText="1"/>
      <protection hidden="1"/>
    </xf>
    <xf numFmtId="169" fontId="22" fillId="10" borderId="13" xfId="0" applyNumberFormat="1" applyFont="1" applyFill="1" applyBorder="1" applyAlignment="1" applyProtection="1">
      <alignment horizontal="right" vertical="center"/>
      <protection hidden="1"/>
    </xf>
    <xf numFmtId="169" fontId="25" fillId="13" borderId="13" xfId="0" applyNumberFormat="1" applyFont="1" applyFill="1" applyBorder="1" applyAlignment="1" applyProtection="1">
      <alignment horizontal="center" vertical="center" wrapText="1"/>
      <protection hidden="1"/>
    </xf>
    <xf numFmtId="0" fontId="24" fillId="0" borderId="14" xfId="0" applyFont="1" applyBorder="1" applyAlignment="1" applyProtection="1">
      <alignment horizontal="center" vertical="center"/>
      <protection hidden="1"/>
    </xf>
    <xf numFmtId="169" fontId="26" fillId="0" borderId="13" xfId="0" applyNumberFormat="1" applyFont="1" applyBorder="1" applyAlignment="1" applyProtection="1">
      <alignment vertical="center"/>
      <protection hidden="1"/>
    </xf>
    <xf numFmtId="169" fontId="26" fillId="0" borderId="13" xfId="0" applyNumberFormat="1" applyFont="1" applyBorder="1" applyAlignment="1" applyProtection="1">
      <alignment horizontal="right" vertical="center"/>
      <protection hidden="1"/>
    </xf>
    <xf numFmtId="169" fontId="22" fillId="0" borderId="13" xfId="0" applyNumberFormat="1" applyFont="1" applyBorder="1" applyAlignment="1" applyProtection="1">
      <alignment horizontal="right" vertical="center"/>
      <protection hidden="1"/>
    </xf>
    <xf numFmtId="169" fontId="26" fillId="9" borderId="13" xfId="0" applyNumberFormat="1" applyFont="1" applyFill="1" applyBorder="1" applyAlignment="1" applyProtection="1">
      <alignment horizontal="right" vertical="center"/>
      <protection hidden="1"/>
    </xf>
    <xf numFmtId="169" fontId="25" fillId="0" borderId="13" xfId="0" applyNumberFormat="1" applyFont="1" applyBorder="1" applyAlignment="1" applyProtection="1">
      <alignment horizontal="right" vertical="center"/>
      <protection hidden="1"/>
    </xf>
    <xf numFmtId="0" fontId="22" fillId="9" borderId="13" xfId="0" applyFont="1" applyFill="1" applyBorder="1" applyAlignment="1" applyProtection="1">
      <alignment horizontal="left" vertical="center"/>
      <protection hidden="1"/>
    </xf>
    <xf numFmtId="0" fontId="23" fillId="11" borderId="13" xfId="0" applyFont="1" applyFill="1" applyBorder="1" applyAlignment="1" applyProtection="1">
      <alignment horizontal="left" vertical="center"/>
      <protection hidden="1"/>
    </xf>
    <xf numFmtId="169" fontId="22" fillId="10" borderId="13" xfId="0" applyNumberFormat="1" applyFont="1" applyFill="1" applyBorder="1" applyAlignment="1" applyProtection="1">
      <alignment vertical="center"/>
      <protection hidden="1"/>
    </xf>
    <xf numFmtId="169" fontId="22" fillId="0" borderId="13" xfId="0" applyNumberFormat="1" applyFont="1" applyBorder="1" applyAlignment="1" applyProtection="1">
      <alignment vertical="center"/>
      <protection hidden="1"/>
    </xf>
    <xf numFmtId="0" fontId="56" fillId="9" borderId="0" xfId="0" applyFont="1" applyFill="1" applyAlignment="1">
      <alignment horizontal="center" vertical="center"/>
    </xf>
    <xf numFmtId="0" fontId="55" fillId="9" borderId="0" xfId="0" applyFont="1" applyFill="1" applyAlignment="1">
      <alignment horizontal="center" vertical="center" wrapText="1"/>
    </xf>
    <xf numFmtId="0" fontId="57" fillId="9" borderId="13" xfId="0" applyFont="1" applyFill="1" applyBorder="1" applyAlignment="1">
      <alignment horizontal="center" vertical="center" wrapText="1"/>
    </xf>
    <xf numFmtId="0" fontId="56" fillId="9" borderId="0" xfId="0" applyFont="1" applyFill="1" applyAlignment="1">
      <alignment horizontal="left" vertical="center"/>
    </xf>
    <xf numFmtId="0" fontId="58" fillId="10" borderId="13" xfId="0" applyFont="1" applyFill="1" applyBorder="1" applyAlignment="1">
      <alignment horizontal="center" vertical="center" wrapText="1"/>
    </xf>
    <xf numFmtId="0" fontId="57" fillId="17" borderId="13" xfId="0" applyFont="1" applyFill="1" applyBorder="1" applyAlignment="1">
      <alignment horizontal="center" vertical="center" wrapText="1"/>
    </xf>
    <xf numFmtId="49" fontId="55" fillId="9" borderId="0" xfId="0" applyNumberFormat="1" applyFont="1" applyFill="1" applyAlignment="1">
      <alignment horizontal="center" vertical="center" wrapText="1"/>
    </xf>
    <xf numFmtId="0" fontId="55" fillId="9" borderId="13" xfId="0" applyFont="1" applyFill="1" applyBorder="1" applyAlignment="1">
      <alignment horizontal="center" vertical="center" wrapText="1"/>
    </xf>
    <xf numFmtId="0" fontId="59" fillId="17" borderId="13" xfId="0" applyFont="1" applyFill="1" applyBorder="1" applyAlignment="1">
      <alignment horizontal="center" vertical="center" wrapText="1"/>
    </xf>
    <xf numFmtId="0" fontId="57" fillId="16" borderId="13" xfId="0" applyFont="1" applyFill="1" applyBorder="1" applyAlignment="1">
      <alignment horizontal="center" vertical="center" wrapText="1"/>
    </xf>
    <xf numFmtId="49" fontId="60" fillId="9" borderId="14" xfId="0" applyNumberFormat="1" applyFont="1" applyFill="1" applyBorder="1" applyAlignment="1">
      <alignment horizontal="left" vertical="center"/>
    </xf>
    <xf numFmtId="0" fontId="60" fillId="9" borderId="13" xfId="0" applyFont="1" applyFill="1" applyBorder="1" applyAlignment="1">
      <alignment horizontal="left" vertical="center"/>
    </xf>
    <xf numFmtId="0" fontId="60" fillId="9" borderId="13" xfId="0" applyFont="1" applyFill="1" applyBorder="1" applyAlignment="1">
      <alignment horizontal="left" vertical="center" wrapText="1"/>
    </xf>
    <xf numFmtId="169" fontId="61" fillId="13" borderId="13" xfId="0" applyNumberFormat="1" applyFont="1" applyFill="1" applyBorder="1" applyAlignment="1">
      <alignment horizontal="center" vertical="center" wrapText="1"/>
    </xf>
    <xf numFmtId="169" fontId="57" fillId="10" borderId="13" xfId="0" applyNumberFormat="1" applyFont="1" applyFill="1" applyBorder="1" applyAlignment="1">
      <alignment horizontal="center" vertical="center" wrapText="1"/>
    </xf>
    <xf numFmtId="169" fontId="61" fillId="12" borderId="13" xfId="0" applyNumberFormat="1" applyFont="1" applyFill="1" applyBorder="1" applyAlignment="1">
      <alignment horizontal="center" wrapText="1"/>
    </xf>
    <xf numFmtId="169" fontId="63" fillId="12" borderId="13" xfId="0" applyNumberFormat="1" applyFont="1" applyFill="1" applyBorder="1" applyAlignment="1">
      <alignment horizontal="center" wrapText="1"/>
    </xf>
    <xf numFmtId="169" fontId="57" fillId="10" borderId="13" xfId="0" applyNumberFormat="1" applyFont="1" applyFill="1" applyBorder="1" applyAlignment="1">
      <alignment horizontal="center" vertical="center"/>
    </xf>
    <xf numFmtId="169" fontId="63" fillId="0" borderId="13" xfId="0" applyNumberFormat="1" applyFont="1" applyBorder="1" applyAlignment="1">
      <alignment horizontal="center" vertical="center" wrapText="1"/>
    </xf>
    <xf numFmtId="169" fontId="60" fillId="9" borderId="13" xfId="0" applyNumberFormat="1" applyFont="1" applyFill="1" applyBorder="1" applyAlignment="1">
      <alignment horizontal="center" vertical="center" wrapText="1"/>
    </xf>
    <xf numFmtId="169" fontId="63" fillId="9" borderId="13" xfId="0" applyNumberFormat="1" applyFont="1" applyFill="1" applyBorder="1" applyAlignment="1">
      <alignment horizontal="center" vertical="center"/>
    </xf>
    <xf numFmtId="169" fontId="57" fillId="10" borderId="17" xfId="0" applyNumberFormat="1" applyFont="1" applyFill="1" applyBorder="1" applyAlignment="1">
      <alignment horizontal="center" vertical="center"/>
    </xf>
    <xf numFmtId="169" fontId="61" fillId="0" borderId="13" xfId="0" applyNumberFormat="1" applyFont="1" applyBorder="1" applyAlignment="1">
      <alignment horizontal="center" vertical="center" wrapText="1"/>
    </xf>
    <xf numFmtId="0" fontId="57" fillId="9" borderId="13" xfId="0" applyFont="1" applyFill="1" applyBorder="1" applyAlignment="1">
      <alignment horizontal="left" vertical="center"/>
    </xf>
    <xf numFmtId="0" fontId="57" fillId="9" borderId="13" xfId="0" applyFont="1" applyFill="1" applyBorder="1" applyAlignment="1">
      <alignment horizontal="left" vertical="center" wrapText="1"/>
    </xf>
    <xf numFmtId="0" fontId="58" fillId="11" borderId="13" xfId="0" applyFont="1" applyFill="1" applyBorder="1" applyAlignment="1">
      <alignment horizontal="left" vertical="center" wrapText="1"/>
    </xf>
    <xf numFmtId="169" fontId="57" fillId="11" borderId="13" xfId="0" applyNumberFormat="1" applyFont="1" applyFill="1" applyBorder="1" applyAlignment="1">
      <alignment horizontal="center" vertical="center" wrapText="1"/>
    </xf>
    <xf numFmtId="169" fontId="57" fillId="11" borderId="13" xfId="0" applyNumberFormat="1" applyFont="1" applyFill="1" applyBorder="1" applyAlignment="1">
      <alignment horizontal="center" vertical="center"/>
    </xf>
    <xf numFmtId="0" fontId="21" fillId="9" borderId="0" xfId="0" applyFont="1" applyFill="1" applyAlignment="1" applyProtection="1">
      <alignment horizontal="left"/>
      <protection hidden="1"/>
    </xf>
    <xf numFmtId="0" fontId="1" fillId="0" borderId="0" xfId="0" applyFont="1" applyProtection="1">
      <protection hidden="1"/>
    </xf>
    <xf numFmtId="49" fontId="31" fillId="9" borderId="0" xfId="0" applyNumberFormat="1" applyFont="1" applyFill="1" applyAlignment="1" applyProtection="1">
      <alignment horizontal="left" vertical="top"/>
      <protection hidden="1"/>
    </xf>
    <xf numFmtId="0" fontId="35" fillId="9" borderId="0" xfId="0" applyFont="1" applyFill="1" applyAlignment="1" applyProtection="1">
      <alignment horizontal="center" vertical="center"/>
      <protection hidden="1"/>
    </xf>
    <xf numFmtId="0" fontId="36" fillId="9" borderId="0" xfId="0" applyFont="1" applyFill="1" applyAlignment="1" applyProtection="1">
      <alignment horizontal="center" vertical="center" wrapText="1"/>
      <protection hidden="1"/>
    </xf>
    <xf numFmtId="49" fontId="35" fillId="9" borderId="0" xfId="0" applyNumberFormat="1" applyFont="1" applyFill="1" applyAlignment="1" applyProtection="1">
      <alignment horizontal="center" vertical="center"/>
      <protection hidden="1"/>
    </xf>
    <xf numFmtId="49" fontId="29" fillId="9" borderId="13" xfId="0" applyNumberFormat="1" applyFont="1" applyFill="1" applyBorder="1" applyAlignment="1" applyProtection="1">
      <alignment horizontal="center" vertical="center" wrapText="1"/>
      <protection hidden="1"/>
    </xf>
    <xf numFmtId="49" fontId="24" fillId="9" borderId="0" xfId="0" applyNumberFormat="1" applyFont="1" applyFill="1" applyAlignment="1" applyProtection="1">
      <alignment horizontal="center" vertical="center"/>
      <protection hidden="1"/>
    </xf>
    <xf numFmtId="49" fontId="24" fillId="9" borderId="13" xfId="0" applyNumberFormat="1" applyFont="1" applyFill="1" applyBorder="1" applyAlignment="1" applyProtection="1">
      <alignment horizontal="left" vertical="center"/>
      <protection hidden="1"/>
    </xf>
    <xf numFmtId="49" fontId="24" fillId="0" borderId="13" xfId="0" applyNumberFormat="1" applyFont="1" applyBorder="1" applyAlignment="1" applyProtection="1">
      <alignment horizontal="left" vertical="center"/>
      <protection hidden="1"/>
    </xf>
    <xf numFmtId="169" fontId="34" fillId="8" borderId="13" xfId="0" applyNumberFormat="1" applyFont="1" applyFill="1" applyBorder="1" applyAlignment="1" applyProtection="1">
      <alignment horizontal="center" vertical="center" wrapText="1"/>
      <protection hidden="1"/>
    </xf>
    <xf numFmtId="169" fontId="29" fillId="10" borderId="13" xfId="0" applyNumberFormat="1" applyFont="1" applyFill="1" applyBorder="1" applyProtection="1">
      <protection hidden="1"/>
    </xf>
    <xf numFmtId="169" fontId="34" fillId="0" borderId="13" xfId="0" applyNumberFormat="1" applyFont="1" applyBorder="1" applyProtection="1">
      <protection hidden="1"/>
    </xf>
    <xf numFmtId="169" fontId="34" fillId="9" borderId="13" xfId="0" applyNumberFormat="1" applyFont="1" applyFill="1" applyBorder="1" applyProtection="1">
      <protection hidden="1"/>
    </xf>
    <xf numFmtId="169" fontId="34" fillId="19" borderId="13" xfId="0" applyNumberFormat="1" applyFont="1" applyFill="1" applyBorder="1" applyProtection="1">
      <protection hidden="1"/>
    </xf>
    <xf numFmtId="169" fontId="24" fillId="0" borderId="13" xfId="0" applyNumberFormat="1" applyFont="1" applyBorder="1" applyProtection="1">
      <protection hidden="1"/>
    </xf>
    <xf numFmtId="0" fontId="33" fillId="9" borderId="0" xfId="0" applyFont="1" applyFill="1" applyAlignment="1" applyProtection="1">
      <alignment horizontal="center" vertical="center"/>
      <protection hidden="1"/>
    </xf>
    <xf numFmtId="0" fontId="33" fillId="9" borderId="13" xfId="0" applyFont="1" applyFill="1" applyBorder="1" applyAlignment="1" applyProtection="1">
      <alignment horizontal="left" vertical="center"/>
      <protection hidden="1"/>
    </xf>
    <xf numFmtId="0" fontId="32" fillId="9" borderId="13" xfId="0" applyFont="1" applyFill="1" applyBorder="1" applyAlignment="1" applyProtection="1">
      <alignment horizontal="left" vertical="center"/>
      <protection hidden="1"/>
    </xf>
    <xf numFmtId="49" fontId="23" fillId="11" borderId="13" xfId="0" applyNumberFormat="1" applyFont="1" applyFill="1" applyBorder="1" applyAlignment="1" applyProtection="1">
      <alignment horizontal="left" vertical="center"/>
      <protection hidden="1"/>
    </xf>
    <xf numFmtId="0" fontId="14" fillId="0" borderId="0" xfId="0" applyFont="1" applyProtection="1">
      <protection hidden="1"/>
    </xf>
    <xf numFmtId="0" fontId="55" fillId="9" borderId="0" xfId="0" applyFont="1" applyFill="1" applyAlignment="1" applyProtection="1">
      <alignment horizontal="center" vertical="center" wrapText="1"/>
      <protection hidden="1"/>
    </xf>
    <xf numFmtId="0" fontId="56" fillId="9" borderId="0" xfId="0" applyFont="1" applyFill="1" applyAlignment="1" applyProtection="1">
      <alignment horizontal="center" vertical="center"/>
      <protection hidden="1"/>
    </xf>
    <xf numFmtId="0" fontId="56" fillId="0" borderId="0" xfId="0" applyFont="1" applyAlignment="1" applyProtection="1">
      <alignment horizontal="center" vertical="center"/>
      <protection hidden="1"/>
    </xf>
    <xf numFmtId="0" fontId="57" fillId="9" borderId="13" xfId="0" applyFont="1" applyFill="1" applyBorder="1" applyAlignment="1" applyProtection="1">
      <alignment horizontal="center" vertical="center" wrapText="1"/>
      <protection hidden="1"/>
    </xf>
    <xf numFmtId="0" fontId="57" fillId="0" borderId="13" xfId="0" applyFont="1" applyBorder="1" applyAlignment="1" applyProtection="1">
      <alignment horizontal="center" vertical="center" wrapText="1"/>
      <protection hidden="1"/>
    </xf>
    <xf numFmtId="0" fontId="55" fillId="9" borderId="13" xfId="0" applyFont="1" applyFill="1" applyBorder="1" applyAlignment="1" applyProtection="1">
      <alignment horizontal="center" vertical="center" wrapText="1"/>
      <protection hidden="1"/>
    </xf>
    <xf numFmtId="0" fontId="60" fillId="9" borderId="14" xfId="0" applyFont="1" applyFill="1" applyBorder="1" applyAlignment="1" applyProtection="1">
      <alignment horizontal="center" vertical="center"/>
      <protection hidden="1"/>
    </xf>
    <xf numFmtId="0" fontId="60" fillId="9" borderId="13" xfId="0" applyFont="1" applyFill="1" applyBorder="1" applyAlignment="1" applyProtection="1">
      <alignment horizontal="center" vertical="center"/>
      <protection hidden="1"/>
    </xf>
    <xf numFmtId="0" fontId="60" fillId="0" borderId="13" xfId="0" applyFont="1" applyBorder="1" applyAlignment="1" applyProtection="1">
      <alignment horizontal="center" vertical="center"/>
      <protection hidden="1"/>
    </xf>
    <xf numFmtId="169" fontId="57" fillId="10" borderId="13" xfId="0" applyNumberFormat="1" applyFont="1" applyFill="1" applyBorder="1" applyAlignment="1" applyProtection="1">
      <alignment horizontal="center" vertical="center"/>
      <protection hidden="1"/>
    </xf>
    <xf numFmtId="169" fontId="60" fillId="9" borderId="13" xfId="0" applyNumberFormat="1" applyFont="1" applyFill="1" applyBorder="1" applyAlignment="1" applyProtection="1">
      <alignment horizontal="center" vertical="center"/>
      <protection hidden="1"/>
    </xf>
    <xf numFmtId="169" fontId="61" fillId="0" borderId="13" xfId="0" applyNumberFormat="1" applyFont="1" applyBorder="1" applyAlignment="1" applyProtection="1">
      <alignment horizontal="center" vertical="center"/>
      <protection hidden="1"/>
    </xf>
    <xf numFmtId="169" fontId="63" fillId="0" borderId="13" xfId="0" applyNumberFormat="1" applyFont="1" applyBorder="1" applyAlignment="1" applyProtection="1">
      <alignment horizontal="center" vertical="center"/>
      <protection hidden="1"/>
    </xf>
    <xf numFmtId="169" fontId="63" fillId="9" borderId="13" xfId="0" applyNumberFormat="1" applyFont="1" applyFill="1" applyBorder="1" applyAlignment="1" applyProtection="1">
      <alignment horizontal="center" vertical="center"/>
      <protection hidden="1"/>
    </xf>
    <xf numFmtId="0" fontId="60" fillId="0" borderId="14" xfId="0" applyFont="1" applyBorder="1" applyAlignment="1" applyProtection="1">
      <alignment horizontal="center" vertical="center"/>
      <protection hidden="1"/>
    </xf>
    <xf numFmtId="169" fontId="57" fillId="0" borderId="13" xfId="0" applyNumberFormat="1" applyFont="1" applyBorder="1" applyAlignment="1" applyProtection="1">
      <alignment horizontal="center" vertical="center"/>
      <protection hidden="1"/>
    </xf>
    <xf numFmtId="169" fontId="60" fillId="0" borderId="13" xfId="0" applyNumberFormat="1" applyFont="1" applyBorder="1" applyAlignment="1" applyProtection="1">
      <alignment horizontal="center" vertical="center"/>
      <protection hidden="1"/>
    </xf>
    <xf numFmtId="169" fontId="61" fillId="9" borderId="13" xfId="0" applyNumberFormat="1" applyFont="1" applyFill="1" applyBorder="1" applyAlignment="1" applyProtection="1">
      <alignment horizontal="center" vertical="center"/>
      <protection hidden="1"/>
    </xf>
    <xf numFmtId="0" fontId="60" fillId="9" borderId="13" xfId="0" applyFont="1" applyFill="1" applyBorder="1" applyAlignment="1" applyProtection="1">
      <alignment horizontal="center" vertical="center" wrapText="1"/>
      <protection hidden="1"/>
    </xf>
    <xf numFmtId="0" fontId="57" fillId="9" borderId="13" xfId="0" applyFont="1" applyFill="1" applyBorder="1" applyAlignment="1" applyProtection="1">
      <alignment horizontal="center" vertical="center"/>
      <protection hidden="1"/>
    </xf>
    <xf numFmtId="0" fontId="58" fillId="11" borderId="13" xfId="0" applyFont="1" applyFill="1" applyBorder="1" applyAlignment="1" applyProtection="1">
      <alignment horizontal="center" vertical="center"/>
      <protection hidden="1"/>
    </xf>
    <xf numFmtId="40" fontId="52" fillId="0" borderId="0" xfId="4" applyNumberFormat="1" applyFont="1" applyProtection="1">
      <protection hidden="1"/>
    </xf>
    <xf numFmtId="40" fontId="5" fillId="0" borderId="0" xfId="0" applyNumberFormat="1" applyFont="1" applyAlignment="1">
      <alignment horizontal="center" vertical="center"/>
    </xf>
    <xf numFmtId="0" fontId="0" fillId="0" borderId="0" xfId="0" applyAlignment="1">
      <alignment horizontal="center" vertical="center"/>
    </xf>
    <xf numFmtId="166" fontId="5" fillId="0" borderId="3" xfId="0" applyNumberFormat="1" applyFont="1" applyBorder="1" applyAlignment="1">
      <alignment horizontal="center" vertical="center" wrapText="1"/>
    </xf>
    <xf numFmtId="166" fontId="65" fillId="0" borderId="2" xfId="0" applyNumberFormat="1" applyFont="1" applyBorder="1" applyAlignment="1">
      <alignment horizontal="center" vertical="center" wrapText="1"/>
    </xf>
    <xf numFmtId="170" fontId="65" fillId="0" borderId="0" xfId="3" applyNumberFormat="1" applyFont="1" applyBorder="1" applyAlignment="1">
      <alignment horizontal="center" vertical="center"/>
    </xf>
    <xf numFmtId="170" fontId="65" fillId="0" borderId="5" xfId="3" applyNumberFormat="1" applyFont="1" applyBorder="1" applyAlignment="1">
      <alignment horizontal="center" vertical="center"/>
    </xf>
    <xf numFmtId="166" fontId="65" fillId="0" borderId="4" xfId="0" applyNumberFormat="1" applyFont="1" applyBorder="1" applyAlignment="1">
      <alignment horizontal="center" vertical="center" wrapText="1"/>
    </xf>
    <xf numFmtId="0" fontId="0" fillId="0" borderId="1" xfId="0" applyBorder="1"/>
    <xf numFmtId="0" fontId="0" fillId="0" borderId="4" xfId="0" applyBorder="1"/>
    <xf numFmtId="0" fontId="40" fillId="22" borderId="0" xfId="0" applyFont="1" applyFill="1" applyAlignment="1">
      <alignment horizontal="center"/>
    </xf>
    <xf numFmtId="0" fontId="42" fillId="22" borderId="0" xfId="0" applyFont="1" applyFill="1" applyAlignment="1">
      <alignment horizontal="center" vertical="center"/>
    </xf>
    <xf numFmtId="0" fontId="0" fillId="0" borderId="0" xfId="0" applyAlignment="1">
      <alignment horizontal="left" vertical="center" wrapText="1" indent="1"/>
    </xf>
    <xf numFmtId="0" fontId="0" fillId="0" borderId="31" xfId="0" applyBorder="1" applyAlignment="1">
      <alignment horizontal="left" vertical="center" wrapText="1" indent="1"/>
    </xf>
    <xf numFmtId="0" fontId="11" fillId="22" borderId="0" xfId="0" applyFont="1" applyFill="1" applyAlignment="1">
      <alignment horizontal="center" vertical="center" wrapText="1"/>
    </xf>
    <xf numFmtId="0" fontId="11" fillId="22" borderId="0" xfId="0" applyFont="1" applyFill="1" applyAlignment="1">
      <alignment vertical="center" wrapText="1"/>
    </xf>
    <xf numFmtId="0" fontId="0" fillId="0" borderId="39" xfId="0" applyBorder="1" applyAlignment="1">
      <alignment horizontal="center" vertical="center" wrapText="1"/>
    </xf>
    <xf numFmtId="0" fontId="11" fillId="22" borderId="21" xfId="0" applyFont="1" applyFill="1" applyBorder="1" applyAlignment="1">
      <alignment horizontal="left" vertical="center" wrapText="1" indent="1"/>
    </xf>
    <xf numFmtId="0" fontId="11" fillId="22" borderId="22" xfId="0" applyFont="1" applyFill="1" applyBorder="1" applyAlignment="1">
      <alignment horizontal="left" vertical="center" wrapText="1" indent="1"/>
    </xf>
    <xf numFmtId="0" fontId="44" fillId="0" borderId="11" xfId="0" applyFont="1" applyBorder="1" applyAlignment="1">
      <alignment horizontal="left" vertical="center" wrapText="1"/>
    </xf>
    <xf numFmtId="0" fontId="44" fillId="0" borderId="33" xfId="0" applyFont="1" applyBorder="1" applyAlignment="1">
      <alignment horizontal="left" vertical="center" wrapText="1"/>
    </xf>
    <xf numFmtId="0" fontId="44" fillId="0" borderId="8" xfId="0" applyFont="1" applyBorder="1" applyAlignment="1">
      <alignment horizontal="left" vertical="center" wrapText="1"/>
    </xf>
    <xf numFmtId="0" fontId="44" fillId="0" borderId="34" xfId="0" applyFont="1" applyBorder="1" applyAlignment="1">
      <alignment horizontal="left" vertical="center" wrapText="1"/>
    </xf>
    <xf numFmtId="0" fontId="44" fillId="0" borderId="4" xfId="0" applyFont="1" applyBorder="1" applyAlignment="1">
      <alignment horizontal="left" vertical="center" wrapText="1"/>
    </xf>
    <xf numFmtId="0" fontId="44" fillId="0" borderId="35" xfId="0" applyFont="1" applyBorder="1" applyAlignment="1">
      <alignment horizontal="left" vertical="center" wrapText="1"/>
    </xf>
    <xf numFmtId="0" fontId="45" fillId="0" borderId="0" xfId="0" applyFont="1" applyAlignment="1">
      <alignment horizontal="left" vertical="center" wrapText="1"/>
    </xf>
    <xf numFmtId="0" fontId="45" fillId="0" borderId="36" xfId="0" applyFont="1" applyBorder="1" applyAlignment="1">
      <alignment horizontal="left" vertical="center" wrapText="1"/>
    </xf>
    <xf numFmtId="0" fontId="45" fillId="0" borderId="31" xfId="0" applyFont="1" applyBorder="1" applyAlignment="1">
      <alignment horizontal="left" vertical="center" wrapText="1"/>
    </xf>
    <xf numFmtId="0" fontId="45" fillId="0" borderId="32" xfId="0" applyFont="1" applyBorder="1" applyAlignment="1">
      <alignment horizontal="left" vertical="center" wrapText="1"/>
    </xf>
    <xf numFmtId="0" fontId="38" fillId="7" borderId="0" xfId="0" applyFont="1" applyFill="1" applyAlignment="1">
      <alignment horizontal="center" vertical="center"/>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4" xfId="0" applyFont="1" applyBorder="1" applyAlignment="1">
      <alignment horizontal="center" vertical="center" wrapText="1"/>
    </xf>
    <xf numFmtId="0" fontId="0" fillId="0" borderId="9" xfId="0" applyBorder="1" applyAlignment="1">
      <alignment horizontal="center" vertical="center" wrapText="1"/>
    </xf>
    <xf numFmtId="0" fontId="12" fillId="0" borderId="3" xfId="0" applyFont="1" applyBorder="1" applyAlignment="1">
      <alignment horizontal="center" vertical="center" wrapText="1"/>
    </xf>
    <xf numFmtId="0" fontId="0" fillId="0" borderId="2" xfId="0" applyBorder="1" applyAlignment="1">
      <alignment horizontal="center" vertical="center" wrapText="1"/>
    </xf>
    <xf numFmtId="0" fontId="23" fillId="10" borderId="13" xfId="4" applyFont="1" applyFill="1" applyBorder="1" applyAlignment="1" applyProtection="1">
      <alignment horizontal="center" vertical="center" wrapText="1"/>
      <protection hidden="1"/>
    </xf>
    <xf numFmtId="0" fontId="31" fillId="9" borderId="0" xfId="4" applyFont="1" applyFill="1" applyAlignment="1" applyProtection="1">
      <alignment horizontal="left" vertical="top"/>
      <protection hidden="1"/>
    </xf>
    <xf numFmtId="0" fontId="31" fillId="9" borderId="0" xfId="4" applyFont="1" applyFill="1" applyAlignment="1" applyProtection="1">
      <alignment horizontal="left" vertical="top" wrapText="1"/>
      <protection hidden="1"/>
    </xf>
    <xf numFmtId="0" fontId="23" fillId="10" borderId="13" xfId="0" applyFont="1" applyFill="1" applyBorder="1" applyAlignment="1">
      <alignment horizontal="center" vertical="center" wrapText="1"/>
    </xf>
    <xf numFmtId="0" fontId="31" fillId="9" borderId="0" xfId="0" applyFont="1" applyFill="1" applyAlignment="1">
      <alignment horizontal="left" vertical="top"/>
    </xf>
    <xf numFmtId="0" fontId="31" fillId="9" borderId="0" xfId="0" applyFont="1" applyFill="1" applyAlignment="1" applyProtection="1">
      <alignment horizontal="left" vertical="center" wrapText="1"/>
      <protection hidden="1"/>
    </xf>
    <xf numFmtId="0" fontId="23" fillId="10" borderId="13" xfId="0" applyFont="1" applyFill="1" applyBorder="1" applyAlignment="1" applyProtection="1">
      <alignment horizontal="center" vertical="center" wrapText="1"/>
      <protection hidden="1"/>
    </xf>
    <xf numFmtId="0" fontId="58" fillId="10" borderId="13" xfId="0" applyFont="1" applyFill="1" applyBorder="1" applyAlignment="1">
      <alignment horizontal="center" vertical="center" wrapText="1"/>
    </xf>
    <xf numFmtId="0" fontId="55" fillId="9" borderId="0" xfId="0" applyFont="1" applyFill="1" applyAlignment="1">
      <alignment horizontal="left" vertical="center"/>
    </xf>
    <xf numFmtId="0" fontId="58" fillId="10" borderId="13" xfId="0" applyFont="1" applyFill="1" applyBorder="1" applyAlignment="1" applyProtection="1">
      <alignment horizontal="center" vertical="center" wrapText="1"/>
      <protection hidden="1"/>
    </xf>
    <xf numFmtId="0" fontId="55" fillId="9" borderId="0" xfId="0" applyFont="1" applyFill="1" applyAlignment="1" applyProtection="1">
      <alignment horizontal="center" vertical="center" wrapText="1"/>
      <protection hidden="1"/>
    </xf>
    <xf numFmtId="4" fontId="0" fillId="0" borderId="0" xfId="0" applyNumberFormat="1"/>
    <xf numFmtId="0" fontId="66" fillId="0" borderId="0" xfId="0" applyFont="1" applyAlignment="1">
      <alignment wrapText="1"/>
    </xf>
  </cellXfs>
  <cellStyles count="6">
    <cellStyle name="Comma 2" xfId="2" xr:uid="{C877C5E8-FCBF-114F-9ECB-F75EF7C9C0EB}"/>
    <cellStyle name="Milliers" xfId="3" builtinId="3"/>
    <cellStyle name="Milliers 2" xfId="5" xr:uid="{C98A9282-6AC5-784B-80AA-54BB74A59302}"/>
    <cellStyle name="Normal" xfId="0" builtinId="0"/>
    <cellStyle name="Normal 2" xfId="1" xr:uid="{6FC886D6-2077-B34D-B1DF-739B068A66D1}"/>
    <cellStyle name="Normal 3" xfId="4" xr:uid="{6BD57324-3FD5-D341-A299-730D14794802}"/>
  </cellStyles>
  <dxfs count="2">
    <dxf>
      <fill>
        <patternFill>
          <fgColor theme="5" tint="0.79998168889431442"/>
          <bgColor theme="5" tint="0.79998168889431442"/>
        </patternFill>
      </fill>
      <border>
        <top style="thin">
          <color theme="1"/>
        </top>
        <vertical/>
        <horizontal/>
      </border>
    </dxf>
    <dxf>
      <font>
        <color theme="0"/>
      </font>
    </dxf>
  </dxfs>
  <tableStyles count="0" defaultTableStyle="TableStyleMedium2" defaultPivotStyle="PivotStyleLight16"/>
  <colors>
    <mruColors>
      <color rgb="FF01A94F"/>
      <color rgb="FFF7EF2D"/>
      <color rgb="FFFE0000"/>
      <color rgb="FF0B0B97"/>
      <color rgb="FF2C45E0"/>
      <color rgb="FFCE42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632166</xdr:colOff>
      <xdr:row>11</xdr:row>
      <xdr:rowOff>199927</xdr:rowOff>
    </xdr:from>
    <xdr:ext cx="389621" cy="478116"/>
    <xdr:pic>
      <xdr:nvPicPr>
        <xdr:cNvPr id="2" name="Image 1" descr="Applause PNG Transparent Images - PNG All">
          <a:extLst>
            <a:ext uri="{FF2B5EF4-FFF2-40B4-BE49-F238E27FC236}">
              <a16:creationId xmlns:a16="http://schemas.microsoft.com/office/drawing/2014/main" id="{A725DBE8-FC47-BB4E-ACFF-F99368C8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57666" y="2282727"/>
          <a:ext cx="389621" cy="4781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173580</xdr:colOff>
      <xdr:row>11</xdr:row>
      <xdr:rowOff>190844</xdr:rowOff>
    </xdr:from>
    <xdr:ext cx="513642" cy="428121"/>
    <xdr:pic>
      <xdr:nvPicPr>
        <xdr:cNvPr id="3" name="Image 2">
          <a:extLst>
            <a:ext uri="{FF2B5EF4-FFF2-40B4-BE49-F238E27FC236}">
              <a16:creationId xmlns:a16="http://schemas.microsoft.com/office/drawing/2014/main" id="{35047058-CEC0-0F4C-93C4-C25DC82BDC38}"/>
            </a:ext>
          </a:extLst>
        </xdr:cNvPr>
        <xdr:cNvPicPr>
          <a:picLocks noChangeAspect="1"/>
        </xdr:cNvPicPr>
      </xdr:nvPicPr>
      <xdr:blipFill rotWithShape="1">
        <a:blip xmlns:r="http://schemas.openxmlformats.org/officeDocument/2006/relationships" r:embed="rId2"/>
        <a:srcRect b="12015"/>
        <a:stretch/>
      </xdr:blipFill>
      <xdr:spPr>
        <a:xfrm>
          <a:off x="4301080" y="2286344"/>
          <a:ext cx="513642" cy="428121"/>
        </a:xfrm>
        <a:prstGeom prst="rect">
          <a:avLst/>
        </a:prstGeom>
      </xdr:spPr>
    </xdr:pic>
    <xdr:clientData/>
  </xdr:oneCellAnchor>
  <xdr:oneCellAnchor>
    <xdr:from>
      <xdr:col>1</xdr:col>
      <xdr:colOff>227016</xdr:colOff>
      <xdr:row>0</xdr:row>
      <xdr:rowOff>14635</xdr:rowOff>
    </xdr:from>
    <xdr:ext cx="960661" cy="902640"/>
    <xdr:pic>
      <xdr:nvPicPr>
        <xdr:cNvPr id="4" name="Picture 1">
          <a:extLst>
            <a:ext uri="{FF2B5EF4-FFF2-40B4-BE49-F238E27FC236}">
              <a16:creationId xmlns:a16="http://schemas.microsoft.com/office/drawing/2014/main" id="{2BAFB5E9-E271-8649-BC8B-F2629B6E970C}"/>
            </a:ext>
          </a:extLst>
        </xdr:cNvPr>
        <xdr:cNvPicPr>
          <a:picLocks noChangeAspect="1"/>
        </xdr:cNvPicPr>
      </xdr:nvPicPr>
      <xdr:blipFill>
        <a:blip xmlns:r="http://schemas.openxmlformats.org/officeDocument/2006/relationships" r:embed="rId3" cstate="print"/>
        <a:stretch>
          <a:fillRect/>
        </a:stretch>
      </xdr:blipFill>
      <xdr:spPr>
        <a:xfrm>
          <a:off x="320595" y="14635"/>
          <a:ext cx="960661" cy="9026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92364</xdr:colOff>
      <xdr:row>0</xdr:row>
      <xdr:rowOff>48382</xdr:rowOff>
    </xdr:from>
    <xdr:to>
      <xdr:col>0</xdr:col>
      <xdr:colOff>1027546</xdr:colOff>
      <xdr:row>0</xdr:row>
      <xdr:rowOff>923637</xdr:rowOff>
    </xdr:to>
    <xdr:pic>
      <xdr:nvPicPr>
        <xdr:cNvPr id="4" name="Picture 5">
          <a:extLst>
            <a:ext uri="{FF2B5EF4-FFF2-40B4-BE49-F238E27FC236}">
              <a16:creationId xmlns:a16="http://schemas.microsoft.com/office/drawing/2014/main" id="{55C61324-E573-A246-9DC1-CC27AB5D3430}"/>
            </a:ext>
          </a:extLst>
        </xdr:cNvPr>
        <xdr:cNvPicPr>
          <a:picLocks noChangeAspect="1"/>
        </xdr:cNvPicPr>
      </xdr:nvPicPr>
      <xdr:blipFill>
        <a:blip xmlns:r="http://schemas.openxmlformats.org/officeDocument/2006/relationships" r:embed="rId1"/>
        <a:stretch>
          <a:fillRect/>
        </a:stretch>
      </xdr:blipFill>
      <xdr:spPr>
        <a:xfrm>
          <a:off x="92364" y="48382"/>
          <a:ext cx="935182" cy="8752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92360</xdr:colOff>
      <xdr:row>0</xdr:row>
      <xdr:rowOff>46180</xdr:rowOff>
    </xdr:from>
    <xdr:to>
      <xdr:col>0</xdr:col>
      <xdr:colOff>1027043</xdr:colOff>
      <xdr:row>0</xdr:row>
      <xdr:rowOff>935179</xdr:rowOff>
    </xdr:to>
    <xdr:pic>
      <xdr:nvPicPr>
        <xdr:cNvPr id="11" name="Picture 5">
          <a:extLst>
            <a:ext uri="{FF2B5EF4-FFF2-40B4-BE49-F238E27FC236}">
              <a16:creationId xmlns:a16="http://schemas.microsoft.com/office/drawing/2014/main" id="{972ABFF3-CF12-FB44-AC70-9373B08ED323}"/>
            </a:ext>
          </a:extLst>
        </xdr:cNvPr>
        <xdr:cNvPicPr>
          <a:picLocks noChangeAspect="1"/>
        </xdr:cNvPicPr>
      </xdr:nvPicPr>
      <xdr:blipFill>
        <a:blip xmlns:r="http://schemas.openxmlformats.org/officeDocument/2006/relationships" r:embed="rId1"/>
        <a:stretch>
          <a:fillRect/>
        </a:stretch>
      </xdr:blipFill>
      <xdr:spPr>
        <a:xfrm>
          <a:off x="184721" y="46180"/>
          <a:ext cx="1869366" cy="8889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239888</xdr:colOff>
      <xdr:row>0</xdr:row>
      <xdr:rowOff>28222</xdr:rowOff>
    </xdr:from>
    <xdr:to>
      <xdr:col>0</xdr:col>
      <xdr:colOff>1326444</xdr:colOff>
      <xdr:row>0</xdr:row>
      <xdr:rowOff>976232</xdr:rowOff>
    </xdr:to>
    <xdr:pic>
      <xdr:nvPicPr>
        <xdr:cNvPr id="3" name="Picture 5">
          <a:extLst>
            <a:ext uri="{FF2B5EF4-FFF2-40B4-BE49-F238E27FC236}">
              <a16:creationId xmlns:a16="http://schemas.microsoft.com/office/drawing/2014/main" id="{CC4A8B9D-07C1-B441-8116-3363078844BB}"/>
            </a:ext>
          </a:extLst>
        </xdr:cNvPr>
        <xdr:cNvPicPr>
          <a:picLocks noChangeAspect="1"/>
        </xdr:cNvPicPr>
      </xdr:nvPicPr>
      <xdr:blipFill>
        <a:blip xmlns:r="http://schemas.openxmlformats.org/officeDocument/2006/relationships" r:embed="rId1"/>
        <a:stretch>
          <a:fillRect/>
        </a:stretch>
      </xdr:blipFill>
      <xdr:spPr>
        <a:xfrm>
          <a:off x="239888" y="28222"/>
          <a:ext cx="1086556" cy="9480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3</xdr:col>
      <xdr:colOff>1049581</xdr:colOff>
      <xdr:row>0</xdr:row>
      <xdr:rowOff>932488</xdr:rowOff>
    </xdr:to>
    <xdr:pic>
      <xdr:nvPicPr>
        <xdr:cNvPr id="3" name="Picture 5">
          <a:extLst>
            <a:ext uri="{FF2B5EF4-FFF2-40B4-BE49-F238E27FC236}">
              <a16:creationId xmlns:a16="http://schemas.microsoft.com/office/drawing/2014/main" id="{94C05814-536A-084A-B3F3-D787AC3C965E}"/>
            </a:ext>
          </a:extLst>
        </xdr:cNvPr>
        <xdr:cNvPicPr>
          <a:picLocks noChangeAspect="1"/>
        </xdr:cNvPicPr>
      </xdr:nvPicPr>
      <xdr:blipFill>
        <a:blip xmlns:r="http://schemas.openxmlformats.org/officeDocument/2006/relationships" r:embed="rId1"/>
        <a:stretch>
          <a:fillRect/>
        </a:stretch>
      </xdr:blipFill>
      <xdr:spPr>
        <a:xfrm>
          <a:off x="88900" y="55033"/>
          <a:ext cx="960681" cy="8774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4</xdr:col>
      <xdr:colOff>211381</xdr:colOff>
      <xdr:row>0</xdr:row>
      <xdr:rowOff>932488</xdr:rowOff>
    </xdr:to>
    <xdr:pic>
      <xdr:nvPicPr>
        <xdr:cNvPr id="3" name="Picture 5">
          <a:extLst>
            <a:ext uri="{FF2B5EF4-FFF2-40B4-BE49-F238E27FC236}">
              <a16:creationId xmlns:a16="http://schemas.microsoft.com/office/drawing/2014/main" id="{CB6F3F4A-57CD-7847-B40E-26FCFBF9CD22}"/>
            </a:ext>
          </a:extLst>
        </xdr:cNvPr>
        <xdr:cNvPicPr>
          <a:picLocks noChangeAspect="1"/>
        </xdr:cNvPicPr>
      </xdr:nvPicPr>
      <xdr:blipFill>
        <a:blip xmlns:r="http://schemas.openxmlformats.org/officeDocument/2006/relationships" r:embed="rId1"/>
        <a:stretch>
          <a:fillRect/>
        </a:stretch>
      </xdr:blipFill>
      <xdr:spPr>
        <a:xfrm>
          <a:off x="88900" y="55033"/>
          <a:ext cx="960681" cy="8774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4</xdr:col>
      <xdr:colOff>20881</xdr:colOff>
      <xdr:row>0</xdr:row>
      <xdr:rowOff>932488</xdr:rowOff>
    </xdr:to>
    <xdr:pic>
      <xdr:nvPicPr>
        <xdr:cNvPr id="3" name="Picture 5">
          <a:extLst>
            <a:ext uri="{FF2B5EF4-FFF2-40B4-BE49-F238E27FC236}">
              <a16:creationId xmlns:a16="http://schemas.microsoft.com/office/drawing/2014/main" id="{8DBCC5E3-38D9-8842-9253-F2769D5458D5}"/>
            </a:ext>
          </a:extLst>
        </xdr:cNvPr>
        <xdr:cNvPicPr>
          <a:picLocks noChangeAspect="1"/>
        </xdr:cNvPicPr>
      </xdr:nvPicPr>
      <xdr:blipFill>
        <a:blip xmlns:r="http://schemas.openxmlformats.org/officeDocument/2006/relationships" r:embed="rId1"/>
        <a:stretch>
          <a:fillRect/>
        </a:stretch>
      </xdr:blipFill>
      <xdr:spPr>
        <a:xfrm>
          <a:off x="88900" y="55033"/>
          <a:ext cx="960681" cy="87745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F9B09-C60F-334A-AD8D-3CC1EC8DED35}">
  <sheetPr>
    <tabColor rgb="FF002060"/>
  </sheetPr>
  <dimension ref="A1:H15"/>
  <sheetViews>
    <sheetView showGridLines="0" zoomScale="95" zoomScaleNormal="95" workbookViewId="0">
      <selection activeCell="A14" sqref="A14:F14"/>
    </sheetView>
  </sheetViews>
  <sheetFormatPr baseColWidth="10" defaultColWidth="10.83203125" defaultRowHeight="15" x14ac:dyDescent="0.2"/>
  <cols>
    <col min="1" max="1" width="1.1640625" style="21" customWidth="1"/>
    <col min="2" max="2" width="18" style="21" customWidth="1"/>
    <col min="3" max="3" width="102.1640625" style="21" customWidth="1"/>
    <col min="4" max="4" width="56.33203125" style="21" customWidth="1"/>
    <col min="5" max="5" width="14" style="21" customWidth="1"/>
    <col min="6" max="6" width="24.33203125" style="152" customWidth="1"/>
    <col min="7" max="7" width="10.83203125" style="21" customWidth="1"/>
    <col min="8" max="16384" width="10.83203125" style="21"/>
  </cols>
  <sheetData>
    <row r="1" spans="1:8" s="26" customFormat="1" ht="60" customHeight="1" x14ac:dyDescent="0.35">
      <c r="A1" s="144"/>
      <c r="B1" s="145" t="s">
        <v>379</v>
      </c>
      <c r="C1" s="322" t="s">
        <v>380</v>
      </c>
      <c r="D1" s="322"/>
      <c r="E1" s="322"/>
      <c r="F1" s="146"/>
      <c r="H1" s="26" t="s">
        <v>0</v>
      </c>
    </row>
    <row r="2" spans="1:8" s="150" customFormat="1" ht="20" customHeight="1" x14ac:dyDescent="0.2">
      <c r="A2" s="147"/>
      <c r="B2" s="148"/>
      <c r="C2" s="323" t="s">
        <v>381</v>
      </c>
      <c r="D2" s="323"/>
      <c r="E2" s="323"/>
      <c r="F2" s="149"/>
      <c r="H2" s="26" t="s">
        <v>0</v>
      </c>
    </row>
    <row r="3" spans="1:8" s="26" customFormat="1" ht="6.5" customHeight="1" thickBot="1" x14ac:dyDescent="0.25">
      <c r="A3" s="151"/>
      <c r="F3" s="152"/>
      <c r="H3" s="26" t="s">
        <v>0</v>
      </c>
    </row>
    <row r="4" spans="1:8" s="156" customFormat="1" ht="32.25" customHeight="1" thickBot="1" x14ac:dyDescent="0.25">
      <c r="A4" s="153"/>
      <c r="B4" s="154" t="s">
        <v>382</v>
      </c>
      <c r="C4" s="155" t="s">
        <v>383</v>
      </c>
      <c r="D4" s="155" t="s">
        <v>384</v>
      </c>
      <c r="E4" s="329" t="s">
        <v>385</v>
      </c>
      <c r="F4" s="330"/>
      <c r="G4" s="164"/>
      <c r="H4" s="26" t="s">
        <v>0</v>
      </c>
    </row>
    <row r="5" spans="1:8" s="26" customFormat="1" ht="48" customHeight="1" x14ac:dyDescent="0.2">
      <c r="A5" s="151"/>
      <c r="B5" s="168" t="s">
        <v>386</v>
      </c>
      <c r="C5" s="161" t="s">
        <v>387</v>
      </c>
      <c r="D5" s="161" t="s">
        <v>388</v>
      </c>
      <c r="E5" s="331" t="s">
        <v>401</v>
      </c>
      <c r="F5" s="332"/>
      <c r="G5" s="163"/>
      <c r="H5" s="26" t="s">
        <v>0</v>
      </c>
    </row>
    <row r="6" spans="1:8" s="26" customFormat="1" ht="48" customHeight="1" x14ac:dyDescent="0.2">
      <c r="A6" s="151"/>
      <c r="B6" s="169" t="s">
        <v>389</v>
      </c>
      <c r="C6" s="162" t="s">
        <v>390</v>
      </c>
      <c r="D6" s="162" t="s">
        <v>391</v>
      </c>
      <c r="E6" s="333" t="s">
        <v>402</v>
      </c>
      <c r="F6" s="334"/>
      <c r="G6" s="163"/>
      <c r="H6" s="26" t="s">
        <v>0</v>
      </c>
    </row>
    <row r="7" spans="1:8" s="26" customFormat="1" ht="48" customHeight="1" x14ac:dyDescent="0.2">
      <c r="A7" s="151"/>
      <c r="B7" s="170" t="s">
        <v>392</v>
      </c>
      <c r="C7" s="162" t="s">
        <v>393</v>
      </c>
      <c r="D7" s="162" t="s">
        <v>394</v>
      </c>
      <c r="E7" s="333" t="s">
        <v>401</v>
      </c>
      <c r="F7" s="334"/>
      <c r="G7" s="163"/>
      <c r="H7" s="26" t="s">
        <v>0</v>
      </c>
    </row>
    <row r="8" spans="1:8" s="26" customFormat="1" ht="23" customHeight="1" x14ac:dyDescent="0.2">
      <c r="A8" s="151"/>
      <c r="B8" s="171" t="s">
        <v>395</v>
      </c>
      <c r="C8" s="324" t="s">
        <v>396</v>
      </c>
      <c r="D8" s="324" t="s">
        <v>397</v>
      </c>
      <c r="E8" s="335" t="s">
        <v>403</v>
      </c>
      <c r="F8" s="336"/>
      <c r="G8" s="163"/>
      <c r="H8" s="26" t="s">
        <v>0</v>
      </c>
    </row>
    <row r="9" spans="1:8" s="26" customFormat="1" ht="23" customHeight="1" x14ac:dyDescent="0.2">
      <c r="A9" s="151"/>
      <c r="B9" s="172" t="s">
        <v>398</v>
      </c>
      <c r="C9" s="324"/>
      <c r="D9" s="324"/>
      <c r="E9" s="337"/>
      <c r="F9" s="338"/>
      <c r="G9" s="163"/>
      <c r="H9" s="26" t="s">
        <v>0</v>
      </c>
    </row>
    <row r="10" spans="1:8" s="26" customFormat="1" ht="23" customHeight="1" thickBot="1" x14ac:dyDescent="0.25">
      <c r="A10" s="151"/>
      <c r="B10" s="173" t="s">
        <v>399</v>
      </c>
      <c r="C10" s="325"/>
      <c r="D10" s="325"/>
      <c r="E10" s="339"/>
      <c r="F10" s="340"/>
      <c r="G10" s="163"/>
      <c r="H10" s="26" t="s">
        <v>0</v>
      </c>
    </row>
    <row r="11" spans="1:8" s="26" customFormat="1" ht="5" customHeight="1" thickBot="1" x14ac:dyDescent="0.25">
      <c r="A11" s="151"/>
      <c r="B11" s="167"/>
      <c r="C11" s="167"/>
      <c r="D11" s="167"/>
      <c r="E11" s="167"/>
      <c r="F11" s="167"/>
      <c r="H11" s="26" t="s">
        <v>0</v>
      </c>
    </row>
    <row r="12" spans="1:8" s="26" customFormat="1" ht="72" customHeight="1" thickBot="1" x14ac:dyDescent="0.25">
      <c r="A12" s="151"/>
      <c r="B12" s="165"/>
      <c r="C12" s="328" t="s">
        <v>400</v>
      </c>
      <c r="D12" s="328"/>
      <c r="E12" s="328"/>
      <c r="F12" s="166"/>
      <c r="H12" s="26" t="s">
        <v>0</v>
      </c>
    </row>
    <row r="13" spans="1:8" s="26" customFormat="1" ht="6" customHeight="1" x14ac:dyDescent="0.2">
      <c r="A13" s="157"/>
      <c r="F13" s="152"/>
      <c r="H13" s="26" t="s">
        <v>0</v>
      </c>
    </row>
    <row r="14" spans="1:8" s="26" customFormat="1" ht="27" customHeight="1" x14ac:dyDescent="0.2">
      <c r="A14" s="326" t="s">
        <v>25</v>
      </c>
      <c r="B14" s="326"/>
      <c r="C14" s="326"/>
      <c r="D14" s="326"/>
      <c r="E14" s="326"/>
      <c r="F14" s="327"/>
      <c r="H14" s="26" t="s">
        <v>0</v>
      </c>
    </row>
    <row r="15" spans="1:8" ht="16" customHeight="1" x14ac:dyDescent="0.2">
      <c r="H15" s="21" t="s">
        <v>7</v>
      </c>
    </row>
  </sheetData>
  <mergeCells count="11">
    <mergeCell ref="C1:E1"/>
    <mergeCell ref="C2:E2"/>
    <mergeCell ref="C8:C10"/>
    <mergeCell ref="D8:D10"/>
    <mergeCell ref="A14:F14"/>
    <mergeCell ref="C12:E12"/>
    <mergeCell ref="E4:F4"/>
    <mergeCell ref="E5:F5"/>
    <mergeCell ref="E6:F6"/>
    <mergeCell ref="E7:F7"/>
    <mergeCell ref="E8:F10"/>
  </mergeCells>
  <pageMargins left="0.7" right="0.7" top="0.75" bottom="0.75" header="0.3" footer="0.3"/>
  <pageSetup paperSize="9"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4A8A-13E9-4EDB-B294-D1FF8F18362C}">
  <sheetPr codeName="Feuil4">
    <tabColor rgb="FFCE4275"/>
  </sheetPr>
  <dimension ref="A1:DN8"/>
  <sheetViews>
    <sheetView zoomScale="110" zoomScaleNormal="110" workbookViewId="0">
      <selection activeCell="A80" sqref="A80"/>
    </sheetView>
  </sheetViews>
  <sheetFormatPr baseColWidth="10" defaultColWidth="8.83203125" defaultRowHeight="15" x14ac:dyDescent="0.2"/>
  <cols>
    <col min="1" max="1" width="26.1640625" customWidth="1"/>
    <col min="2" max="2" width="22.1640625" style="1" customWidth="1"/>
    <col min="3" max="3" width="7.6640625" style="1" customWidth="1"/>
    <col min="4" max="4" width="12" style="2" customWidth="1"/>
    <col min="5" max="5" width="11.83203125" style="2" customWidth="1"/>
    <col min="6" max="6" width="60.1640625" customWidth="1"/>
    <col min="7" max="7" width="5.1640625" customWidth="1"/>
    <col min="8" max="8" width="9.1640625" customWidth="1"/>
  </cols>
  <sheetData>
    <row r="1" spans="1:118" s="4" customFormat="1" ht="80" customHeight="1" x14ac:dyDescent="0.25">
      <c r="A1" s="3" t="s">
        <v>373</v>
      </c>
      <c r="B1" s="5"/>
      <c r="C1" s="5"/>
      <c r="D1" s="7"/>
      <c r="E1" s="7"/>
      <c r="F1" s="6"/>
      <c r="G1" s="6" t="s">
        <v>6</v>
      </c>
      <c r="H1" s="8" t="s">
        <v>0</v>
      </c>
    </row>
    <row r="2" spans="1:118" ht="66" customHeight="1" x14ac:dyDescent="0.2">
      <c r="A2" s="22" t="s">
        <v>2</v>
      </c>
      <c r="B2" s="21" t="s">
        <v>1</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row>
    <row r="3" spans="1:118" x14ac:dyDescent="0.2">
      <c r="A3" s="25" t="s">
        <v>3</v>
      </c>
      <c r="B3" t="s">
        <v>4</v>
      </c>
      <c r="C3"/>
      <c r="D3"/>
      <c r="E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row>
    <row r="4" spans="1:118" x14ac:dyDescent="0.2">
      <c r="A4" s="25" t="s">
        <v>3</v>
      </c>
      <c r="B4" t="s">
        <v>5</v>
      </c>
      <c r="C4"/>
      <c r="D4"/>
      <c r="E4"/>
    </row>
    <row r="5" spans="1:118" x14ac:dyDescent="0.2">
      <c r="B5" s="27" t="s">
        <v>7</v>
      </c>
      <c r="C5"/>
      <c r="D5"/>
      <c r="E5"/>
    </row>
    <row r="6" spans="1:118" x14ac:dyDescent="0.2">
      <c r="B6"/>
      <c r="C6"/>
      <c r="D6"/>
    </row>
    <row r="7" spans="1:118" x14ac:dyDescent="0.2">
      <c r="A7" s="1"/>
      <c r="C7" s="2"/>
    </row>
    <row r="8" spans="1:118" x14ac:dyDescent="0.2">
      <c r="C8" s="2"/>
    </row>
  </sheetData>
  <autoFilter ref="A2:DN2" xr:uid="{F3674A8A-13E9-4EDB-B294-D1FF8F18362C}"/>
  <dataConsolidate/>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445B-6ECC-4440-B85C-E593AE209933}">
  <sheetPr codeName="Feuil13">
    <tabColor rgb="FF2C45E0"/>
  </sheetPr>
  <dimension ref="A1:EH10"/>
  <sheetViews>
    <sheetView showFormulas="1" topLeftCell="ED10" zoomScaleNormal="110" workbookViewId="0">
      <selection activeCell="EA3" sqref="EA3"/>
    </sheetView>
  </sheetViews>
  <sheetFormatPr baseColWidth="10" defaultRowHeight="15" x14ac:dyDescent="0.2"/>
  <cols>
    <col min="1" max="1" width="18.6640625" customWidth="1"/>
    <col min="2" max="2" width="11.83203125" customWidth="1"/>
    <col min="126" max="126" width="13.5" customWidth="1"/>
    <col min="127" max="127" width="15.83203125" customWidth="1"/>
    <col min="128" max="128" width="36.1640625" customWidth="1"/>
    <col min="129" max="129" width="16.83203125" customWidth="1"/>
    <col min="130" max="130" width="20" customWidth="1"/>
    <col min="131" max="131" width="60.6640625" bestFit="1" customWidth="1"/>
    <col min="135" max="135" width="52" bestFit="1" customWidth="1"/>
    <col min="136" max="136" width="17.1640625" bestFit="1" customWidth="1"/>
    <col min="143" max="143" width="45.1640625" bestFit="1" customWidth="1"/>
    <col min="144" max="144" width="15.1640625" bestFit="1" customWidth="1"/>
  </cols>
  <sheetData>
    <row r="1" spans="1:138" s="4" customFormat="1" ht="80" customHeight="1" x14ac:dyDescent="0.25">
      <c r="A1" s="3" t="s">
        <v>372</v>
      </c>
      <c r="B1" s="5"/>
      <c r="C1" s="5"/>
      <c r="D1" s="7"/>
      <c r="E1" s="7"/>
      <c r="F1" s="6"/>
      <c r="G1" s="6" t="s">
        <v>6</v>
      </c>
      <c r="EA1" s="341" t="s">
        <v>377</v>
      </c>
      <c r="EB1" s="341"/>
      <c r="EC1" s="341"/>
      <c r="ED1" s="341"/>
      <c r="EE1" s="341"/>
      <c r="EF1" s="341"/>
      <c r="EG1" s="8" t="s">
        <v>0</v>
      </c>
    </row>
    <row r="2" spans="1:138" ht="66" customHeight="1" x14ac:dyDescent="0.2">
      <c r="A2" s="22" t="s">
        <v>8</v>
      </c>
      <c r="B2" t="s">
        <v>9</v>
      </c>
      <c r="EA2" s="142" t="s">
        <v>34</v>
      </c>
      <c r="EB2" s="142" t="s">
        <v>606</v>
      </c>
      <c r="EC2" s="142" t="s">
        <v>607</v>
      </c>
      <c r="ED2" s="142" t="s">
        <v>608</v>
      </c>
      <c r="EE2" s="142" t="s">
        <v>610</v>
      </c>
      <c r="EF2" s="142" t="s">
        <v>609</v>
      </c>
    </row>
    <row r="3" spans="1:138" x14ac:dyDescent="0.2">
      <c r="A3" s="25" t="s">
        <v>11</v>
      </c>
      <c r="B3" t="s">
        <v>10</v>
      </c>
    </row>
    <row r="4" spans="1:138" x14ac:dyDescent="0.2">
      <c r="B4" s="27" t="s">
        <v>7</v>
      </c>
      <c r="EA4" s="21"/>
    </row>
    <row r="5" spans="1:138" ht="409.6" x14ac:dyDescent="0.25">
      <c r="EH5" s="360" t="s">
        <v>601</v>
      </c>
    </row>
    <row r="6" spans="1:138" ht="409.6" x14ac:dyDescent="0.25">
      <c r="EH6" s="360" t="s">
        <v>602</v>
      </c>
    </row>
    <row r="7" spans="1:138" ht="409.6" x14ac:dyDescent="0.25">
      <c r="EH7" s="360" t="s">
        <v>603</v>
      </c>
    </row>
    <row r="8" spans="1:138" ht="409.6" x14ac:dyDescent="0.25">
      <c r="EH8" s="360" t="s">
        <v>604</v>
      </c>
    </row>
    <row r="9" spans="1:138" ht="409.6" x14ac:dyDescent="0.25">
      <c r="EH9" s="360" t="s">
        <v>600</v>
      </c>
    </row>
    <row r="10" spans="1:138" ht="409.6" x14ac:dyDescent="0.25">
      <c r="EH10" s="360" t="s">
        <v>605</v>
      </c>
    </row>
  </sheetData>
  <autoFilter ref="A2:DT2" xr:uid="{3B89445B-6ECC-4440-B85C-E593AE209933}"/>
  <mergeCells count="1">
    <mergeCell ref="EA1:EF1"/>
  </mergeCells>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3F90-1EC7-764C-B747-7920FCEC73CB}">
  <sheetPr codeName="Feuil18">
    <tabColor rgb="FF0B0B97"/>
  </sheetPr>
  <dimension ref="A1:X7"/>
  <sheetViews>
    <sheetView tabSelected="1" zoomScaleNormal="90" workbookViewId="0">
      <selection activeCell="F13" sqref="F13"/>
    </sheetView>
  </sheetViews>
  <sheetFormatPr baseColWidth="10" defaultRowHeight="15" x14ac:dyDescent="0.2"/>
  <cols>
    <col min="1" max="1" width="32.5" customWidth="1"/>
    <col min="2" max="2" width="4.6640625" hidden="1" customWidth="1"/>
    <col min="3" max="3" width="38.33203125" hidden="1" customWidth="1"/>
    <col min="4" max="4" width="51.83203125" customWidth="1"/>
    <col min="5" max="5" width="34.6640625" hidden="1" customWidth="1"/>
    <col min="6" max="6" width="70.83203125" customWidth="1"/>
    <col min="7" max="8" width="19" customWidth="1"/>
    <col min="9" max="9" width="17.6640625" customWidth="1"/>
    <col min="10" max="11" width="16.83203125" customWidth="1"/>
    <col min="12" max="13" width="18.33203125" customWidth="1"/>
    <col min="14" max="15" width="20.5" customWidth="1"/>
    <col min="16" max="16" width="16.6640625" customWidth="1"/>
    <col min="21" max="22" width="18.1640625" customWidth="1"/>
  </cols>
  <sheetData>
    <row r="1" spans="1:24" s="4" customFormat="1" ht="80" customHeight="1" x14ac:dyDescent="0.25">
      <c r="A1" s="3"/>
      <c r="B1" s="5"/>
      <c r="C1" s="158" t="s">
        <v>392</v>
      </c>
      <c r="D1" s="158"/>
      <c r="E1" s="7"/>
      <c r="F1" s="7"/>
      <c r="G1" s="7"/>
      <c r="H1" s="7"/>
      <c r="I1" s="6"/>
      <c r="J1" s="6" t="s">
        <v>6</v>
      </c>
      <c r="K1" s="7" t="s">
        <v>0</v>
      </c>
      <c r="L1" s="7"/>
      <c r="M1" s="7"/>
      <c r="N1" s="7"/>
      <c r="O1" s="7"/>
      <c r="P1" s="7"/>
      <c r="Q1" s="7"/>
      <c r="R1" s="7"/>
      <c r="S1" s="7"/>
      <c r="T1" s="7"/>
      <c r="U1" s="7"/>
      <c r="V1" s="7"/>
    </row>
    <row r="2" spans="1:24" ht="42" customHeight="1" thickBot="1" x14ac:dyDescent="0.25">
      <c r="A2" s="20" t="s">
        <v>24</v>
      </c>
      <c r="B2" s="14" t="s">
        <v>19</v>
      </c>
      <c r="C2" t="s">
        <v>0</v>
      </c>
    </row>
    <row r="3" spans="1:24" ht="30" customHeight="1" thickTop="1" x14ac:dyDescent="0.2">
      <c r="A3" s="24" t="s">
        <v>12</v>
      </c>
      <c r="B3" s="15" t="e">
        <f>VLOOKUP(A3,'codage tribunal'!A:B,2,FALSE)</f>
        <v>#N/A</v>
      </c>
      <c r="C3" t="s">
        <v>0</v>
      </c>
    </row>
    <row r="4" spans="1:24" ht="19" customHeight="1" x14ac:dyDescent="0.2">
      <c r="B4" s="314"/>
      <c r="C4" s="313"/>
      <c r="D4" s="313"/>
      <c r="E4" s="313"/>
      <c r="F4" s="313"/>
      <c r="G4" s="342" t="s">
        <v>26</v>
      </c>
      <c r="H4" s="343"/>
      <c r="I4" s="343"/>
      <c r="J4" s="343"/>
      <c r="K4" s="343"/>
      <c r="L4" s="344"/>
      <c r="M4" s="345"/>
      <c r="N4" s="346" t="s">
        <v>27</v>
      </c>
      <c r="O4" s="344"/>
      <c r="P4" s="344"/>
      <c r="Q4" s="344"/>
      <c r="R4" s="344"/>
      <c r="S4" s="344"/>
      <c r="T4" s="347"/>
      <c r="U4" s="342" t="s">
        <v>28</v>
      </c>
      <c r="V4" s="345"/>
      <c r="W4" s="320"/>
      <c r="X4" t="s">
        <v>0</v>
      </c>
    </row>
    <row r="5" spans="1:24" ht="80" x14ac:dyDescent="0.2">
      <c r="C5" s="9"/>
      <c r="D5" s="9"/>
      <c r="E5" s="10"/>
      <c r="F5" s="10"/>
      <c r="G5" s="11" t="s">
        <v>13</v>
      </c>
      <c r="H5" s="319" t="s">
        <v>555</v>
      </c>
      <c r="I5" s="12" t="s">
        <v>14</v>
      </c>
      <c r="J5" s="12" t="s">
        <v>15</v>
      </c>
      <c r="K5" s="28" t="s">
        <v>29</v>
      </c>
      <c r="L5" s="315" t="s">
        <v>30</v>
      </c>
      <c r="M5" s="316" t="s">
        <v>555</v>
      </c>
      <c r="N5" s="12" t="s">
        <v>16</v>
      </c>
      <c r="O5" s="319" t="s">
        <v>555</v>
      </c>
      <c r="P5" s="12" t="s">
        <v>17</v>
      </c>
      <c r="Q5" s="12" t="s">
        <v>18</v>
      </c>
      <c r="R5" s="28" t="s">
        <v>29</v>
      </c>
      <c r="S5" s="315" t="s">
        <v>31</v>
      </c>
      <c r="T5" s="319" t="s">
        <v>555</v>
      </c>
      <c r="U5" s="315" t="s">
        <v>29</v>
      </c>
      <c r="V5" s="316" t="s">
        <v>555</v>
      </c>
      <c r="W5" t="s">
        <v>20</v>
      </c>
    </row>
    <row r="6" spans="1:24" x14ac:dyDescent="0.2">
      <c r="A6" s="13"/>
      <c r="C6" s="17" t="s">
        <v>23</v>
      </c>
      <c r="D6" s="17" t="s">
        <v>556</v>
      </c>
      <c r="E6" s="16" t="s">
        <v>22</v>
      </c>
      <c r="F6" s="16" t="s">
        <v>557</v>
      </c>
      <c r="G6" s="19" t="e">
        <f>SUMIFS(INDEX('ETPT Format DDG'!$A:$DU,,IFERROR(MATCH(E6,'ETPT Format DDG'!$2:$2,0),MATCH(C6,'ETPT Format DDG'!$2:$2,0))),'ETPT Format DDG'!$I:$I,"M-TIT",'ETPT Format DDG'!$C:$C,$A$3)</f>
        <v>#N/A</v>
      </c>
      <c r="H6" s="317" t="str">
        <f>IF(AND(OR(LEFT(C6,3)="12.",LEFT(E6,3)="12.",LEFT(E6,5)="CET &gt;",IFERROR(G6/$G$6,"")=0),NOT(AND(LEFT(E6,5)="12.31",IFERROR(G6/$G$6,"")&lt;&gt;0)),NOT(AND(LEFT(E6,5)="12.32",IFERROR(G6/$G$6,"")&lt;&gt;0))),"", IFERROR(G6/$G$6,""))</f>
        <v/>
      </c>
      <c r="I6" s="18" t="e">
        <f>SUMIFS(INDEX('ETPT Format DDG'!$A:$DU,,IFERROR(MATCH(E6,'ETPT Format DDG'!$2:$2,0),MATCH(C6,'ETPT Format DDG'!$2:$2,0))),'ETPT Format DDG'!$I:$I,"M-PLAC-ADD",'ETPT Format DDG'!$C:$C,$A$3)</f>
        <v>#N/A</v>
      </c>
      <c r="J6" s="18" t="e">
        <f>SUMIFS(INDEX('ETPT Format DDG'!$A:$DU,,IFERROR(MATCH(E6,'ETPT Format DDG'!$2:$2,0),MATCH(C6,'ETPT Format DDG'!$2:$2,0))),'ETPT Format DDG'!$I:$I,"M-PLAC-SUB",'ETPT Format DDG'!$C:$C,$A$3)</f>
        <v>#N/A</v>
      </c>
      <c r="K6" s="18" t="e">
        <f>SUMIFS(
INDEX('ETPT Format DDG'!$A:$DU,
,
IFERROR(MATCH(E6,'ETPT Format DDG'!$2:$2,0),MATCH(C6,'ETPT Format DDG'!$2:$2,0))
),'ETPT Format DDG'!$I:$I,"C",
'ETPT Format DDG'!$C:$C,$A$3,
'ETPT Format DDG'!$G:$G,"Magistrat")</f>
        <v>#N/A</v>
      </c>
      <c r="L6" s="19" t="e">
        <f>SUMIFS(
INDEX('ETPT Format DDG'!$A:$DU,
,
IFERROR(MATCH(E6,'ETPT Format DDG'!$2:$2,0),MATCH(C6,'ETPT Format DDG'!$2:$2,0))
),
'ETPT Format DDG'!$C:$C,$A$3,
'ETPT Format DDG'!$G:$G,"Magistrat")</f>
        <v>#N/A</v>
      </c>
      <c r="M6" s="318" t="str">
        <f>IF(AND(OR(LEFT(C6,3)="12.",LEFT(E6,3)="12.",LEFT(E6,5)="CET &gt;", IFERROR(L6/$L$6,"")=0),NOT(AND(LEFT(E6,5)="12.31",IFERROR(L6/$G$6,"")&lt;&gt;0)),NOT(AND(LEFT(E6,5)="12.32",IFERROR(L6/$G$6,"")&lt;&gt;0))),"", IFERROR(L6/$L$6,""))</f>
        <v/>
      </c>
      <c r="N6" s="18" t="e">
        <f>SUMIFS(INDEX('ETPT Format DDG'!$A:$DU,,IFERROR(MATCH(E6,'ETPT Format DDG'!$2:$2,0),MATCH(C6,'ETPT Format DDG'!$2:$2,0))),'ETPT Format DDG'!$I:$I,"F-TIT",'ETPT Format DDG'!$C:$C,$A$3)</f>
        <v>#N/A</v>
      </c>
      <c r="O6" s="317" t="str">
        <f>IF(AND(OR(LEFT(C6,3)="12.",LEFT(E6,3)="12.",LEFT(E6,5)="CET &gt;",IFERROR(N6/$N$6,"")=0),NOT(AND(LEFT(E6,5)="12.31",IFERROR(N6/$G$6,"")&lt;&gt;0)),NOT(AND(LEFT(E6,5)="12.32",IFERROR(N6/$G$6,"")&lt;&gt;0))),"",IFERROR(N6/$N$6,""))</f>
        <v/>
      </c>
      <c r="P6" s="18" t="e">
        <f>SUMIFS(INDEX('ETPT Format DDG'!$A:$DU,,IFERROR(MATCH(E6,'ETPT Format DDG'!$2:$2,0),MATCH(C6,'ETPT Format DDG'!$2:$2,0))),'ETPT Format DDG'!$I:$I,"F-PLAC-ADD",'ETPT Format DDG'!$C:$C,$A$3)</f>
        <v>#N/A</v>
      </c>
      <c r="Q6" s="18" t="e">
        <f>SUMIFS(INDEX('ETPT Format DDG'!$A:$DU,,IFERROR(MATCH(E6,'ETPT Format DDG'!$2:$2,0),MATCH(C6,'ETPT Format DDG'!$2:$2,0))),'ETPT Format DDG'!$I:$I,"F-PLAC-SUB",'ETPT Format DDG'!$C:$C,$A$3)</f>
        <v>#N/A</v>
      </c>
      <c r="R6" s="18" t="e">
        <f>SUMIFS(INDEX('ETPT Format DDG'!$A:$DU,,IFERROR(MATCH(E6,'ETPT Format DDG'!$2:$2,0),MATCH(C6,'ETPT Format DDG'!$2:$2,0))),'ETPT Format DDG'!$I:$I,"C",'ETPT Format DDG'!$C:$C,$A$3,'ETPT Format DDG'!$G:$G,"Greffe")</f>
        <v>#N/A</v>
      </c>
      <c r="S6" s="19" t="e">
        <f>SUMIFS(
INDEX('ETPT Format DDG'!$A:$DU,
,
IFERROR(MATCH(E6,'ETPT Format DDG'!$2:$2,0),MATCH(C6,'ETPT Format DDG'!$2:$2,0))
),
'ETPT Format DDG'!$C:$C,$A$3,
'ETPT Format DDG'!$G:$G,"Greffe")</f>
        <v>#N/A</v>
      </c>
      <c r="T6" s="317" t="str">
        <f>IF(AND(OR(LEFT(C6,3)="12.",LEFT(E6,3)="12.",LEFT(E6,5)="CET &gt;",IFERROR(S6/$S$6,"")=0),NOT(AND(LEFT(E6,5)="12.31",IFERROR(S6/$G$6,"")&lt;&gt;0)),NOT(AND(LEFT(E6,5)="12.32",IFERROR(S6/$G$6,"")&lt;&gt;0))),"", IFERROR(S6/$S$6,""))</f>
        <v/>
      </c>
      <c r="U6" s="19" t="e">
        <f>SUMIFS(
INDEX('ETPT Format DDG'!$A:$DU,
,
IFERROR(MATCH(E6,'ETPT Format DDG'!$2:$2,0),MATCH(C6,'ETPT Format DDG'!$2:$2,0))
),'ETPT Format DDG'!$I:$I,"C",
'ETPT Format DDG'!$C:$C,$A$3,
'ETPT Format DDG'!$G:$G,"Autour du magistrat")</f>
        <v>#N/A</v>
      </c>
      <c r="V6" s="318" t="str">
        <f>IF(AND(OR(LEFT(C6,3)="12.",LEFT(E6,3)="12.",LEFT(E6,5)="CET &gt;",IFERROR(U6/$U$6,"")=0),NOT(AND(LEFT(E6,5)="12.31",IFERROR(U6/$G$6,"")&lt;&gt;0)),NOT(AND(LEFT(E6,5)="12.32",IFERROR(U6/$G$6,"")&lt;&gt;0))),"", IFERROR(U6/$U$6,""))</f>
        <v/>
      </c>
      <c r="W6" t="s">
        <v>21</v>
      </c>
    </row>
    <row r="7" spans="1:24" x14ac:dyDescent="0.2">
      <c r="G7" s="321"/>
      <c r="H7" s="321"/>
      <c r="I7" s="321"/>
      <c r="J7" s="321"/>
      <c r="K7" s="321"/>
      <c r="L7" s="321"/>
      <c r="M7" s="321"/>
      <c r="N7" s="321"/>
      <c r="O7" s="321"/>
      <c r="P7" s="321"/>
      <c r="Q7" s="321"/>
      <c r="R7" s="321"/>
      <c r="S7" s="321"/>
      <c r="T7" s="321"/>
      <c r="U7" s="321"/>
      <c r="V7" s="321"/>
      <c r="W7" t="s">
        <v>7</v>
      </c>
    </row>
  </sheetData>
  <mergeCells count="3">
    <mergeCell ref="G4:M4"/>
    <mergeCell ref="N4:T4"/>
    <mergeCell ref="U4:V4"/>
  </mergeCells>
  <conditionalFormatting sqref="B4:F4">
    <cfRule type="expression" dxfId="1" priority="1">
      <formula>IF(LEFT($A$3,2)&lt;&gt;"TJ",TRUE,FALSE)</formula>
    </cfRule>
  </conditionalFormatting>
  <conditionalFormatting sqref="C6:V151">
    <cfRule type="expression" dxfId="0" priority="3">
      <formula>AND(ISBLANK($C6)=FALSE,ISBLANK($E6)=TRUE)</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7A98-8726-2B45-9E0D-08F39416C73F}">
  <sheetPr codeName="Feuil19"/>
  <dimension ref="A1"/>
  <sheetViews>
    <sheetView workbookViewId="0">
      <selection activeCell="G26" sqref="G26"/>
    </sheetView>
  </sheetViews>
  <sheetFormatPr baseColWidth="10" defaultRowHeight="1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B0A74-92BE-614C-B933-4270BECA0D39}">
  <sheetPr codeName="Feuil12"/>
  <dimension ref="A1:I8"/>
  <sheetViews>
    <sheetView workbookViewId="0"/>
  </sheetViews>
  <sheetFormatPr baseColWidth="10" defaultColWidth="11" defaultRowHeight="13" x14ac:dyDescent="0.15"/>
  <cols>
    <col min="1" max="1" width="8.33203125" style="29" customWidth="1"/>
    <col min="2" max="2" width="25.5" style="30" bestFit="1" customWidth="1"/>
    <col min="3" max="3" width="11" style="29"/>
    <col min="4" max="4" width="11" style="29" customWidth="1"/>
    <col min="5" max="5" width="19" style="30" bestFit="1" customWidth="1"/>
    <col min="6" max="6" width="11" style="29"/>
    <col min="7" max="7" width="12" style="29" customWidth="1"/>
    <col min="8" max="8" width="27.33203125" style="30" bestFit="1" customWidth="1"/>
    <col min="9" max="9" width="12.1640625" style="29" customWidth="1"/>
    <col min="10" max="10" width="22.33203125" style="29" customWidth="1"/>
    <col min="11" max="16384" width="11" style="29"/>
  </cols>
  <sheetData>
    <row r="1" spans="1:9" s="33" customFormat="1" ht="15" x14ac:dyDescent="0.2">
      <c r="A1" s="34" t="s">
        <v>35</v>
      </c>
      <c r="B1"/>
      <c r="D1" s="34" t="s">
        <v>125</v>
      </c>
      <c r="E1"/>
      <c r="G1" s="34" t="s">
        <v>124</v>
      </c>
      <c r="H1"/>
      <c r="I1" s="143" t="s">
        <v>378</v>
      </c>
    </row>
    <row r="2" spans="1:9" ht="15" x14ac:dyDescent="0.2">
      <c r="B2"/>
      <c r="E2"/>
      <c r="H2"/>
      <c r="I2"/>
    </row>
    <row r="3" spans="1:9" ht="15" x14ac:dyDescent="0.2">
      <c r="B3" s="32"/>
      <c r="E3" s="32"/>
      <c r="H3" s="31"/>
      <c r="I3"/>
    </row>
    <row r="4" spans="1:9" x14ac:dyDescent="0.15">
      <c r="B4" s="32"/>
      <c r="E4" s="32"/>
      <c r="H4" s="31"/>
    </row>
    <row r="5" spans="1:9" x14ac:dyDescent="0.15">
      <c r="B5" s="32"/>
      <c r="E5" s="32"/>
      <c r="H5" s="31"/>
    </row>
    <row r="6" spans="1:9" x14ac:dyDescent="0.15">
      <c r="H6" s="31"/>
    </row>
    <row r="7" spans="1:9" x14ac:dyDescent="0.15">
      <c r="H7" s="31"/>
    </row>
    <row r="8" spans="1:9" x14ac:dyDescent="0.15">
      <c r="H8" s="3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5DB0-40DB-6046-B965-F2F52476B1A1}">
  <sheetPr codeName="Feuil14">
    <pageSetUpPr fitToPage="1"/>
  </sheetPr>
  <dimension ref="A1:G117"/>
  <sheetViews>
    <sheetView topLeftCell="B1" zoomScale="137" zoomScaleNormal="80" workbookViewId="0">
      <selection activeCell="F16" sqref="F16"/>
    </sheetView>
  </sheetViews>
  <sheetFormatPr baseColWidth="10" defaultColWidth="11" defaultRowHeight="15" x14ac:dyDescent="0.2"/>
  <cols>
    <col min="1" max="1" width="17.83203125" style="35" bestFit="1" customWidth="1"/>
    <col min="2" max="2" width="86.1640625" style="35" customWidth="1"/>
    <col min="3" max="3" width="28.5" style="35" customWidth="1"/>
    <col min="4" max="4" width="19" style="35" customWidth="1"/>
    <col min="5" max="5" width="14.5" style="35" customWidth="1"/>
    <col min="6" max="6" width="30.5" style="35" customWidth="1"/>
    <col min="7" max="7" width="62.33203125" style="35" customWidth="1"/>
    <col min="8" max="16384" width="11" style="35"/>
  </cols>
  <sheetData>
    <row r="1" spans="1:6" ht="32" x14ac:dyDescent="0.2">
      <c r="A1" s="55" t="s">
        <v>189</v>
      </c>
      <c r="B1" s="54" t="s">
        <v>33</v>
      </c>
      <c r="C1" s="54" t="s">
        <v>188</v>
      </c>
      <c r="D1" s="54" t="s">
        <v>187</v>
      </c>
      <c r="E1" s="54" t="s">
        <v>186</v>
      </c>
      <c r="F1" s="53" t="s">
        <v>34</v>
      </c>
    </row>
    <row r="2" spans="1:6" ht="16" x14ac:dyDescent="0.2">
      <c r="A2" s="44" t="s">
        <v>158</v>
      </c>
      <c r="B2" s="52" t="s">
        <v>185</v>
      </c>
      <c r="C2" s="52" t="s">
        <v>36</v>
      </c>
      <c r="D2" s="52" t="s">
        <v>154</v>
      </c>
      <c r="E2" s="52" t="s">
        <v>37</v>
      </c>
      <c r="F2" s="35" t="s">
        <v>38</v>
      </c>
    </row>
    <row r="3" spans="1:6" ht="16" x14ac:dyDescent="0.2">
      <c r="A3" s="44" t="s">
        <v>158</v>
      </c>
      <c r="B3" s="52" t="s">
        <v>184</v>
      </c>
      <c r="C3" s="52" t="s">
        <v>39</v>
      </c>
      <c r="D3" s="52" t="s">
        <v>154</v>
      </c>
      <c r="E3" s="52" t="s">
        <v>37</v>
      </c>
      <c r="F3" s="35" t="s">
        <v>38</v>
      </c>
    </row>
    <row r="4" spans="1:6" ht="16" x14ac:dyDescent="0.2">
      <c r="A4" s="44" t="s">
        <v>158</v>
      </c>
      <c r="B4" s="52" t="s">
        <v>183</v>
      </c>
      <c r="C4" s="52" t="s">
        <v>40</v>
      </c>
      <c r="D4" s="52" t="s">
        <v>154</v>
      </c>
      <c r="E4" s="52" t="s">
        <v>37</v>
      </c>
      <c r="F4" s="35" t="s">
        <v>38</v>
      </c>
    </row>
    <row r="5" spans="1:6" ht="16" x14ac:dyDescent="0.2">
      <c r="A5" s="44" t="s">
        <v>158</v>
      </c>
      <c r="B5" s="52" t="s">
        <v>182</v>
      </c>
      <c r="C5" s="52" t="s">
        <v>41</v>
      </c>
      <c r="D5" s="52" t="s">
        <v>154</v>
      </c>
      <c r="E5" s="52" t="s">
        <v>37</v>
      </c>
      <c r="F5" s="35" t="s">
        <v>42</v>
      </c>
    </row>
    <row r="6" spans="1:6" ht="16" x14ac:dyDescent="0.2">
      <c r="A6" s="44" t="s">
        <v>158</v>
      </c>
      <c r="B6" s="52" t="s">
        <v>181</v>
      </c>
      <c r="C6" s="52" t="s">
        <v>43</v>
      </c>
      <c r="D6" s="52" t="s">
        <v>154</v>
      </c>
      <c r="E6" s="52" t="s">
        <v>37</v>
      </c>
      <c r="F6" s="35" t="s">
        <v>42</v>
      </c>
    </row>
    <row r="7" spans="1:6" ht="16" x14ac:dyDescent="0.2">
      <c r="A7" s="44" t="s">
        <v>158</v>
      </c>
      <c r="B7" s="52" t="s">
        <v>180</v>
      </c>
      <c r="C7" s="52" t="s">
        <v>44</v>
      </c>
      <c r="D7" s="52" t="s">
        <v>154</v>
      </c>
      <c r="E7" s="52" t="s">
        <v>37</v>
      </c>
      <c r="F7" s="35" t="s">
        <v>42</v>
      </c>
    </row>
    <row r="8" spans="1:6" ht="16" x14ac:dyDescent="0.2">
      <c r="A8" s="44" t="s">
        <v>158</v>
      </c>
      <c r="B8" s="52" t="s">
        <v>179</v>
      </c>
      <c r="C8" s="52" t="s">
        <v>45</v>
      </c>
      <c r="D8" s="52" t="s">
        <v>154</v>
      </c>
      <c r="E8" s="52" t="s">
        <v>37</v>
      </c>
      <c r="F8" s="35" t="s">
        <v>38</v>
      </c>
    </row>
    <row r="9" spans="1:6" ht="16" x14ac:dyDescent="0.2">
      <c r="A9" s="44" t="s">
        <v>158</v>
      </c>
      <c r="B9" s="52" t="s">
        <v>178</v>
      </c>
      <c r="C9" s="52" t="s">
        <v>46</v>
      </c>
      <c r="D9" s="52" t="s">
        <v>154</v>
      </c>
      <c r="E9" s="52" t="s">
        <v>37</v>
      </c>
      <c r="F9" s="35" t="s">
        <v>42</v>
      </c>
    </row>
    <row r="10" spans="1:6" ht="16" x14ac:dyDescent="0.2">
      <c r="A10" s="44" t="s">
        <v>158</v>
      </c>
      <c r="B10" s="52" t="s">
        <v>177</v>
      </c>
      <c r="C10" s="52" t="s">
        <v>47</v>
      </c>
      <c r="D10" s="52" t="s">
        <v>154</v>
      </c>
      <c r="E10" s="52" t="s">
        <v>37</v>
      </c>
      <c r="F10" s="35" t="s">
        <v>42</v>
      </c>
    </row>
    <row r="11" spans="1:6" ht="16" x14ac:dyDescent="0.2">
      <c r="A11" s="44" t="s">
        <v>158</v>
      </c>
      <c r="B11" s="52" t="s">
        <v>176</v>
      </c>
      <c r="C11" s="52" t="s">
        <v>48</v>
      </c>
      <c r="D11" s="52" t="s">
        <v>154</v>
      </c>
      <c r="E11" s="52" t="s">
        <v>37</v>
      </c>
      <c r="F11" s="35" t="s">
        <v>38</v>
      </c>
    </row>
    <row r="12" spans="1:6" ht="16" x14ac:dyDescent="0.2">
      <c r="A12" s="44" t="s">
        <v>158</v>
      </c>
      <c r="B12" s="52" t="s">
        <v>175</v>
      </c>
      <c r="C12" s="52" t="s">
        <v>49</v>
      </c>
      <c r="D12" s="52" t="s">
        <v>154</v>
      </c>
      <c r="E12" s="52" t="s">
        <v>37</v>
      </c>
      <c r="F12" s="35" t="s">
        <v>42</v>
      </c>
    </row>
    <row r="13" spans="1:6" ht="16" x14ac:dyDescent="0.2">
      <c r="A13" s="44" t="s">
        <v>158</v>
      </c>
      <c r="B13" s="42" t="s">
        <v>174</v>
      </c>
      <c r="C13" s="52" t="s">
        <v>50</v>
      </c>
      <c r="D13" s="52" t="s">
        <v>154</v>
      </c>
      <c r="E13" s="52" t="s">
        <v>37</v>
      </c>
      <c r="F13" s="35" t="s">
        <v>42</v>
      </c>
    </row>
    <row r="14" spans="1:6" ht="16" x14ac:dyDescent="0.2">
      <c r="A14" s="44" t="s">
        <v>158</v>
      </c>
      <c r="B14" s="52" t="s">
        <v>173</v>
      </c>
      <c r="C14" s="52" t="s">
        <v>51</v>
      </c>
      <c r="D14" s="52" t="s">
        <v>154</v>
      </c>
      <c r="E14" s="52" t="s">
        <v>37</v>
      </c>
      <c r="F14" s="35" t="s">
        <v>42</v>
      </c>
    </row>
    <row r="15" spans="1:6" ht="16" x14ac:dyDescent="0.2">
      <c r="A15" s="44" t="s">
        <v>158</v>
      </c>
      <c r="B15" s="52" t="s">
        <v>172</v>
      </c>
      <c r="C15" s="52" t="s">
        <v>52</v>
      </c>
      <c r="D15" s="52" t="s">
        <v>154</v>
      </c>
      <c r="E15" s="52" t="s">
        <v>37</v>
      </c>
      <c r="F15" s="35" t="s">
        <v>42</v>
      </c>
    </row>
    <row r="16" spans="1:6" ht="16" x14ac:dyDescent="0.2">
      <c r="A16" s="44" t="s">
        <v>158</v>
      </c>
      <c r="B16" s="52" t="s">
        <v>171</v>
      </c>
      <c r="C16" s="52" t="s">
        <v>53</v>
      </c>
      <c r="D16" s="52" t="s">
        <v>154</v>
      </c>
      <c r="E16" s="52" t="s">
        <v>37</v>
      </c>
      <c r="F16" s="35" t="s">
        <v>42</v>
      </c>
    </row>
    <row r="17" spans="1:6" ht="16" x14ac:dyDescent="0.2">
      <c r="A17" s="44" t="s">
        <v>158</v>
      </c>
      <c r="B17" s="52" t="s">
        <v>170</v>
      </c>
      <c r="C17" s="52" t="s">
        <v>54</v>
      </c>
      <c r="D17" s="52" t="s">
        <v>154</v>
      </c>
      <c r="E17" s="52" t="s">
        <v>37</v>
      </c>
      <c r="F17" s="35" t="s">
        <v>38</v>
      </c>
    </row>
    <row r="18" spans="1:6" ht="16" x14ac:dyDescent="0.2">
      <c r="A18" s="44" t="s">
        <v>158</v>
      </c>
      <c r="B18" s="52" t="s">
        <v>169</v>
      </c>
      <c r="C18" s="52" t="s">
        <v>55</v>
      </c>
      <c r="D18" s="52" t="s">
        <v>154</v>
      </c>
      <c r="E18" s="52" t="s">
        <v>37</v>
      </c>
      <c r="F18" s="35" t="s">
        <v>42</v>
      </c>
    </row>
    <row r="19" spans="1:6" ht="16" x14ac:dyDescent="0.2">
      <c r="A19" s="44" t="s">
        <v>158</v>
      </c>
      <c r="B19" s="52" t="s">
        <v>168</v>
      </c>
      <c r="C19" s="52" t="s">
        <v>56</v>
      </c>
      <c r="D19" s="52" t="s">
        <v>154</v>
      </c>
      <c r="E19" s="52" t="s">
        <v>37</v>
      </c>
      <c r="F19" s="35" t="s">
        <v>42</v>
      </c>
    </row>
    <row r="20" spans="1:6" ht="16" x14ac:dyDescent="0.2">
      <c r="A20" s="44" t="s">
        <v>158</v>
      </c>
      <c r="B20" s="52" t="s">
        <v>167</v>
      </c>
      <c r="C20" s="52" t="s">
        <v>57</v>
      </c>
      <c r="D20" s="52" t="s">
        <v>154</v>
      </c>
      <c r="E20" s="52" t="s">
        <v>37</v>
      </c>
      <c r="F20" s="35" t="s">
        <v>42</v>
      </c>
    </row>
    <row r="21" spans="1:6" ht="16" x14ac:dyDescent="0.2">
      <c r="A21" s="44" t="s">
        <v>158</v>
      </c>
      <c r="B21" s="52" t="s">
        <v>166</v>
      </c>
      <c r="C21" s="52" t="s">
        <v>58</v>
      </c>
      <c r="D21" s="52" t="s">
        <v>154</v>
      </c>
      <c r="E21" s="52" t="s">
        <v>37</v>
      </c>
      <c r="F21" s="35" t="s">
        <v>42</v>
      </c>
    </row>
    <row r="22" spans="1:6" ht="16" x14ac:dyDescent="0.2">
      <c r="A22" s="44" t="s">
        <v>158</v>
      </c>
      <c r="B22" s="42" t="s">
        <v>165</v>
      </c>
      <c r="C22" s="42" t="s">
        <v>59</v>
      </c>
      <c r="D22" s="42" t="s">
        <v>151</v>
      </c>
      <c r="E22" s="42" t="s">
        <v>60</v>
      </c>
      <c r="F22" s="42" t="s">
        <v>61</v>
      </c>
    </row>
    <row r="23" spans="1:6" ht="16" x14ac:dyDescent="0.2">
      <c r="A23" s="44" t="s">
        <v>158</v>
      </c>
      <c r="B23" s="51" t="s">
        <v>164</v>
      </c>
      <c r="C23" s="51" t="s">
        <v>62</v>
      </c>
      <c r="D23" s="42" t="s">
        <v>151</v>
      </c>
      <c r="E23" s="42" t="s">
        <v>60</v>
      </c>
      <c r="F23" s="42" t="s">
        <v>61</v>
      </c>
    </row>
    <row r="24" spans="1:6" ht="16" x14ac:dyDescent="0.2">
      <c r="A24" s="44" t="s">
        <v>158</v>
      </c>
      <c r="B24" s="42" t="s">
        <v>163</v>
      </c>
      <c r="C24" s="42" t="s">
        <v>63</v>
      </c>
      <c r="D24" s="42" t="s">
        <v>151</v>
      </c>
      <c r="E24" s="42" t="s">
        <v>64</v>
      </c>
      <c r="F24" s="42" t="s">
        <v>65</v>
      </c>
    </row>
    <row r="25" spans="1:6" ht="16" x14ac:dyDescent="0.2">
      <c r="A25" s="44" t="s">
        <v>158</v>
      </c>
      <c r="B25" s="51" t="s">
        <v>162</v>
      </c>
      <c r="C25" s="51" t="s">
        <v>66</v>
      </c>
      <c r="D25" s="42" t="s">
        <v>151</v>
      </c>
      <c r="E25" s="42" t="s">
        <v>64</v>
      </c>
      <c r="F25" s="42" t="s">
        <v>65</v>
      </c>
    </row>
    <row r="26" spans="1:6" ht="16" x14ac:dyDescent="0.2">
      <c r="A26" s="44" t="s">
        <v>158</v>
      </c>
      <c r="B26" s="35" t="s">
        <v>161</v>
      </c>
      <c r="C26" s="35" t="s">
        <v>67</v>
      </c>
      <c r="D26" s="35" t="s">
        <v>127</v>
      </c>
      <c r="E26" s="35" t="s">
        <v>68</v>
      </c>
      <c r="F26" s="35" t="s">
        <v>69</v>
      </c>
    </row>
    <row r="27" spans="1:6" ht="16" x14ac:dyDescent="0.2">
      <c r="A27" s="44" t="s">
        <v>158</v>
      </c>
      <c r="B27" s="35" t="s">
        <v>160</v>
      </c>
      <c r="C27" s="35" t="s">
        <v>70</v>
      </c>
      <c r="D27" s="35" t="s">
        <v>127</v>
      </c>
      <c r="E27" s="35" t="s">
        <v>68</v>
      </c>
      <c r="F27" s="35" t="s">
        <v>69</v>
      </c>
    </row>
    <row r="28" spans="1:6" ht="16" x14ac:dyDescent="0.2">
      <c r="A28" s="44" t="s">
        <v>158</v>
      </c>
      <c r="B28" s="35" t="s">
        <v>159</v>
      </c>
      <c r="C28" s="35" t="s">
        <v>71</v>
      </c>
      <c r="D28" s="35" t="s">
        <v>127</v>
      </c>
      <c r="E28" s="35" t="s">
        <v>68</v>
      </c>
      <c r="F28" s="35" t="s">
        <v>71</v>
      </c>
    </row>
    <row r="29" spans="1:6" ht="16" x14ac:dyDescent="0.2">
      <c r="A29" s="49" t="s">
        <v>158</v>
      </c>
      <c r="B29" s="48" t="s">
        <v>157</v>
      </c>
      <c r="C29" s="48" t="s">
        <v>72</v>
      </c>
      <c r="D29" s="35" t="s">
        <v>127</v>
      </c>
      <c r="E29" s="48" t="s">
        <v>68</v>
      </c>
      <c r="F29" s="48" t="s">
        <v>73</v>
      </c>
    </row>
    <row r="30" spans="1:6" ht="16" x14ac:dyDescent="0.2">
      <c r="A30" s="50" t="s">
        <v>143</v>
      </c>
      <c r="B30" s="45" t="s">
        <v>74</v>
      </c>
      <c r="C30" s="45" t="s">
        <v>74</v>
      </c>
      <c r="D30" s="45" t="s">
        <v>154</v>
      </c>
      <c r="E30" s="35" t="s">
        <v>75</v>
      </c>
      <c r="F30" s="40" t="s">
        <v>76</v>
      </c>
    </row>
    <row r="31" spans="1:6" ht="16" x14ac:dyDescent="0.2">
      <c r="A31" s="44" t="s">
        <v>143</v>
      </c>
      <c r="B31" s="35" t="s">
        <v>156</v>
      </c>
      <c r="C31" s="35" t="s">
        <v>77</v>
      </c>
      <c r="D31" s="35" t="s">
        <v>154</v>
      </c>
      <c r="E31" s="35" t="s">
        <v>75</v>
      </c>
      <c r="F31" s="40" t="s">
        <v>76</v>
      </c>
    </row>
    <row r="32" spans="1:6" ht="16" x14ac:dyDescent="0.2">
      <c r="A32" s="43" t="s">
        <v>143</v>
      </c>
      <c r="B32" s="35" t="s">
        <v>155</v>
      </c>
      <c r="C32" s="35" t="s">
        <v>78</v>
      </c>
      <c r="D32" s="35" t="s">
        <v>154</v>
      </c>
      <c r="E32" s="35" t="s">
        <v>75</v>
      </c>
      <c r="F32" s="40" t="s">
        <v>76</v>
      </c>
    </row>
    <row r="33" spans="1:6" ht="16" x14ac:dyDescent="0.2">
      <c r="A33" s="43" t="s">
        <v>143</v>
      </c>
      <c r="B33" s="35" t="s">
        <v>79</v>
      </c>
      <c r="C33" s="35" t="s">
        <v>79</v>
      </c>
      <c r="D33" s="35" t="s">
        <v>154</v>
      </c>
      <c r="E33" s="35" t="s">
        <v>75</v>
      </c>
      <c r="F33" s="40" t="s">
        <v>76</v>
      </c>
    </row>
    <row r="34" spans="1:6" ht="16" x14ac:dyDescent="0.2">
      <c r="A34" s="43" t="s">
        <v>143</v>
      </c>
      <c r="B34" s="35" t="s">
        <v>80</v>
      </c>
      <c r="C34" s="35" t="s">
        <v>80</v>
      </c>
      <c r="D34" s="35" t="s">
        <v>154</v>
      </c>
      <c r="E34" s="35" t="s">
        <v>75</v>
      </c>
      <c r="F34" s="40" t="s">
        <v>76</v>
      </c>
    </row>
    <row r="35" spans="1:6" ht="16" x14ac:dyDescent="0.2">
      <c r="A35" s="43" t="s">
        <v>143</v>
      </c>
      <c r="B35" s="35" t="s">
        <v>81</v>
      </c>
      <c r="C35" s="35" t="s">
        <v>81</v>
      </c>
      <c r="D35" s="35" t="s">
        <v>154</v>
      </c>
      <c r="E35" s="35" t="s">
        <v>75</v>
      </c>
      <c r="F35" s="35" t="s">
        <v>82</v>
      </c>
    </row>
    <row r="36" spans="1:6" ht="16" x14ac:dyDescent="0.2">
      <c r="A36" s="43" t="s">
        <v>143</v>
      </c>
      <c r="B36" s="42" t="s">
        <v>83</v>
      </c>
      <c r="C36" s="42" t="s">
        <v>83</v>
      </c>
      <c r="D36" s="35" t="s">
        <v>151</v>
      </c>
      <c r="E36" s="35" t="s">
        <v>84</v>
      </c>
      <c r="F36" s="35" t="s">
        <v>85</v>
      </c>
    </row>
    <row r="37" spans="1:6" ht="16" x14ac:dyDescent="0.2">
      <c r="A37" s="43" t="s">
        <v>143</v>
      </c>
      <c r="B37" s="42" t="s">
        <v>153</v>
      </c>
      <c r="C37" s="42" t="s">
        <v>86</v>
      </c>
      <c r="D37" s="35" t="s">
        <v>151</v>
      </c>
      <c r="E37" s="35" t="s">
        <v>84</v>
      </c>
      <c r="F37" s="35" t="s">
        <v>85</v>
      </c>
    </row>
    <row r="38" spans="1:6" ht="16" x14ac:dyDescent="0.2">
      <c r="A38" s="43" t="s">
        <v>143</v>
      </c>
      <c r="B38" s="42" t="s">
        <v>87</v>
      </c>
      <c r="C38" s="42" t="s">
        <v>87</v>
      </c>
      <c r="D38" s="35" t="s">
        <v>151</v>
      </c>
      <c r="E38" s="35" t="s">
        <v>84</v>
      </c>
      <c r="F38" s="35" t="s">
        <v>85</v>
      </c>
    </row>
    <row r="39" spans="1:6" ht="16" x14ac:dyDescent="0.2">
      <c r="A39" s="43" t="s">
        <v>143</v>
      </c>
      <c r="B39" s="42" t="s">
        <v>88</v>
      </c>
      <c r="C39" s="42" t="s">
        <v>88</v>
      </c>
      <c r="D39" s="35" t="s">
        <v>151</v>
      </c>
      <c r="E39" s="35" t="s">
        <v>84</v>
      </c>
      <c r="F39" s="35" t="s">
        <v>85</v>
      </c>
    </row>
    <row r="40" spans="1:6" ht="16" x14ac:dyDescent="0.2">
      <c r="A40" s="43" t="s">
        <v>143</v>
      </c>
      <c r="B40" s="42" t="s">
        <v>89</v>
      </c>
      <c r="C40" s="42" t="s">
        <v>89</v>
      </c>
      <c r="D40" s="35" t="s">
        <v>151</v>
      </c>
      <c r="E40" s="35" t="s">
        <v>84</v>
      </c>
      <c r="F40" s="35" t="s">
        <v>90</v>
      </c>
    </row>
    <row r="41" spans="1:6" ht="15.75" customHeight="1" x14ac:dyDescent="0.2">
      <c r="A41" s="43" t="s">
        <v>143</v>
      </c>
      <c r="B41" s="42" t="s">
        <v>91</v>
      </c>
      <c r="C41" s="42" t="s">
        <v>91</v>
      </c>
      <c r="D41" s="42" t="s">
        <v>151</v>
      </c>
      <c r="E41" s="42" t="s">
        <v>92</v>
      </c>
      <c r="F41" s="42" t="s">
        <v>93</v>
      </c>
    </row>
    <row r="42" spans="1:6" ht="15.75" customHeight="1" x14ac:dyDescent="0.2">
      <c r="A42" s="43" t="s">
        <v>143</v>
      </c>
      <c r="B42" s="42" t="s">
        <v>152</v>
      </c>
      <c r="C42" s="42" t="s">
        <v>94</v>
      </c>
      <c r="D42" s="42" t="s">
        <v>151</v>
      </c>
      <c r="E42" s="42" t="s">
        <v>92</v>
      </c>
      <c r="F42" s="42" t="s">
        <v>93</v>
      </c>
    </row>
    <row r="43" spans="1:6" ht="15.75" customHeight="1" x14ac:dyDescent="0.2">
      <c r="A43" s="43" t="s">
        <v>143</v>
      </c>
      <c r="B43" s="42" t="s">
        <v>95</v>
      </c>
      <c r="C43" s="42" t="s">
        <v>95</v>
      </c>
      <c r="D43" s="42" t="s">
        <v>151</v>
      </c>
      <c r="E43" s="42" t="s">
        <v>92</v>
      </c>
      <c r="F43" s="42" t="s">
        <v>93</v>
      </c>
    </row>
    <row r="44" spans="1:6" ht="15.75" customHeight="1" x14ac:dyDescent="0.2">
      <c r="A44" s="43" t="s">
        <v>143</v>
      </c>
      <c r="B44" s="42" t="s">
        <v>96</v>
      </c>
      <c r="C44" s="42" t="s">
        <v>96</v>
      </c>
      <c r="D44" s="42" t="s">
        <v>151</v>
      </c>
      <c r="E44" s="42" t="s">
        <v>92</v>
      </c>
      <c r="F44" s="42" t="s">
        <v>93</v>
      </c>
    </row>
    <row r="45" spans="1:6" ht="15.75" customHeight="1" x14ac:dyDescent="0.2">
      <c r="A45" s="43" t="s">
        <v>143</v>
      </c>
      <c r="B45" s="42" t="s">
        <v>97</v>
      </c>
      <c r="C45" s="42" t="s">
        <v>97</v>
      </c>
      <c r="D45" s="42" t="s">
        <v>151</v>
      </c>
      <c r="E45" s="42" t="s">
        <v>92</v>
      </c>
      <c r="F45" s="42" t="s">
        <v>98</v>
      </c>
    </row>
    <row r="46" spans="1:6" ht="16" x14ac:dyDescent="0.2">
      <c r="A46" s="43" t="s">
        <v>143</v>
      </c>
      <c r="B46" s="42" t="s">
        <v>150</v>
      </c>
      <c r="C46" s="42" t="s">
        <v>99</v>
      </c>
      <c r="D46" s="42" t="s">
        <v>127</v>
      </c>
      <c r="E46" s="42" t="s">
        <v>100</v>
      </c>
      <c r="F46" s="35" t="s">
        <v>101</v>
      </c>
    </row>
    <row r="47" spans="1:6" ht="16" x14ac:dyDescent="0.2">
      <c r="A47" s="43" t="s">
        <v>143</v>
      </c>
      <c r="B47" s="42" t="s">
        <v>149</v>
      </c>
      <c r="C47" s="42" t="s">
        <v>102</v>
      </c>
      <c r="D47" s="42" t="s">
        <v>127</v>
      </c>
      <c r="E47" s="42" t="s">
        <v>100</v>
      </c>
      <c r="F47" s="40" t="s">
        <v>76</v>
      </c>
    </row>
    <row r="48" spans="1:6" ht="16" x14ac:dyDescent="0.2">
      <c r="A48" s="43" t="s">
        <v>143</v>
      </c>
      <c r="B48" s="42" t="s">
        <v>148</v>
      </c>
      <c r="C48" s="42" t="s">
        <v>103</v>
      </c>
      <c r="D48" s="42" t="s">
        <v>127</v>
      </c>
      <c r="E48" s="42" t="s">
        <v>100</v>
      </c>
      <c r="F48" s="40" t="s">
        <v>76</v>
      </c>
    </row>
    <row r="49" spans="1:7" ht="16" x14ac:dyDescent="0.2">
      <c r="A49" s="43" t="s">
        <v>143</v>
      </c>
      <c r="B49" s="42" t="s">
        <v>147</v>
      </c>
      <c r="C49" s="42" t="s">
        <v>104</v>
      </c>
      <c r="D49" s="42" t="s">
        <v>127</v>
      </c>
      <c r="E49" s="42" t="s">
        <v>100</v>
      </c>
      <c r="F49" s="40" t="s">
        <v>76</v>
      </c>
    </row>
    <row r="50" spans="1:7" ht="16" x14ac:dyDescent="0.2">
      <c r="A50" s="43" t="s">
        <v>143</v>
      </c>
      <c r="B50" s="42" t="s">
        <v>146</v>
      </c>
      <c r="C50" s="42" t="s">
        <v>105</v>
      </c>
      <c r="D50" s="42" t="s">
        <v>127</v>
      </c>
      <c r="E50" s="42" t="s">
        <v>100</v>
      </c>
      <c r="F50" s="40" t="s">
        <v>76</v>
      </c>
    </row>
    <row r="51" spans="1:7" ht="16" x14ac:dyDescent="0.2">
      <c r="A51" s="43" t="s">
        <v>143</v>
      </c>
      <c r="B51" s="42" t="s">
        <v>145</v>
      </c>
      <c r="C51" s="42" t="s">
        <v>106</v>
      </c>
      <c r="D51" s="42" t="s">
        <v>127</v>
      </c>
      <c r="E51" s="42" t="s">
        <v>100</v>
      </c>
      <c r="F51" s="40" t="s">
        <v>82</v>
      </c>
    </row>
    <row r="52" spans="1:7" ht="16" x14ac:dyDescent="0.2">
      <c r="A52" s="44" t="s">
        <v>143</v>
      </c>
      <c r="B52" s="35" t="s">
        <v>144</v>
      </c>
      <c r="C52" s="35" t="s">
        <v>107</v>
      </c>
      <c r="D52" s="42" t="s">
        <v>127</v>
      </c>
      <c r="E52" s="42" t="s">
        <v>100</v>
      </c>
      <c r="F52" s="35" t="s">
        <v>108</v>
      </c>
    </row>
    <row r="53" spans="1:7" ht="16" x14ac:dyDescent="0.2">
      <c r="A53" s="44" t="s">
        <v>143</v>
      </c>
      <c r="B53" s="35" t="s">
        <v>133</v>
      </c>
      <c r="C53" s="35" t="s">
        <v>109</v>
      </c>
      <c r="D53" s="42" t="s">
        <v>127</v>
      </c>
      <c r="E53" s="42" t="s">
        <v>100</v>
      </c>
      <c r="F53" s="36" t="s">
        <v>110</v>
      </c>
    </row>
    <row r="54" spans="1:7" ht="16" x14ac:dyDescent="0.2">
      <c r="A54" s="44" t="s">
        <v>143</v>
      </c>
      <c r="B54" s="35" t="s">
        <v>132</v>
      </c>
      <c r="C54" s="35" t="s">
        <v>111</v>
      </c>
      <c r="D54" s="42" t="s">
        <v>127</v>
      </c>
      <c r="E54" s="42" t="s">
        <v>100</v>
      </c>
      <c r="F54" s="40" t="s">
        <v>76</v>
      </c>
    </row>
    <row r="55" spans="1:7" ht="16" x14ac:dyDescent="0.2">
      <c r="A55" s="49" t="s">
        <v>143</v>
      </c>
      <c r="B55" s="48" t="s">
        <v>129</v>
      </c>
      <c r="C55" s="48" t="s">
        <v>112</v>
      </c>
      <c r="D55" s="48" t="s">
        <v>127</v>
      </c>
      <c r="E55" s="47" t="s">
        <v>100</v>
      </c>
      <c r="F55" s="37" t="s">
        <v>76</v>
      </c>
    </row>
    <row r="56" spans="1:7" ht="15.75" customHeight="1" x14ac:dyDescent="0.2">
      <c r="A56" s="46" t="s">
        <v>130</v>
      </c>
      <c r="B56" s="45" t="s">
        <v>142</v>
      </c>
      <c r="C56" s="45" t="s">
        <v>113</v>
      </c>
      <c r="D56" s="45" t="s">
        <v>127</v>
      </c>
      <c r="E56" s="35" t="s">
        <v>100</v>
      </c>
      <c r="G56" s="36" t="s">
        <v>134</v>
      </c>
    </row>
    <row r="57" spans="1:7" ht="15.75" customHeight="1" x14ac:dyDescent="0.2">
      <c r="A57" s="44" t="s">
        <v>130</v>
      </c>
      <c r="B57" s="35" t="s">
        <v>141</v>
      </c>
      <c r="C57" s="35" t="s">
        <v>114</v>
      </c>
      <c r="D57" s="35" t="s">
        <v>127</v>
      </c>
      <c r="E57" s="35" t="s">
        <v>100</v>
      </c>
      <c r="F57" s="35" t="s">
        <v>115</v>
      </c>
    </row>
    <row r="58" spans="1:7" s="36" customFormat="1" ht="15.75" customHeight="1" x14ac:dyDescent="0.2">
      <c r="A58" s="41" t="s">
        <v>130</v>
      </c>
      <c r="B58" s="36" t="s">
        <v>140</v>
      </c>
      <c r="D58" s="36" t="s">
        <v>127</v>
      </c>
      <c r="E58" s="36" t="s">
        <v>100</v>
      </c>
      <c r="F58" s="36" t="s">
        <v>139</v>
      </c>
    </row>
    <row r="59" spans="1:7" ht="15.75" customHeight="1" x14ac:dyDescent="0.2">
      <c r="A59" s="43" t="s">
        <v>130</v>
      </c>
      <c r="B59" s="42" t="s">
        <v>138</v>
      </c>
      <c r="C59" s="42" t="s">
        <v>116</v>
      </c>
      <c r="D59" s="42" t="s">
        <v>127</v>
      </c>
      <c r="E59" s="42" t="s">
        <v>100</v>
      </c>
      <c r="F59" s="42" t="s">
        <v>117</v>
      </c>
      <c r="G59" s="36"/>
    </row>
    <row r="60" spans="1:7" ht="15.75" customHeight="1" x14ac:dyDescent="0.2">
      <c r="A60" s="43" t="s">
        <v>130</v>
      </c>
      <c r="B60" s="42" t="s">
        <v>137</v>
      </c>
      <c r="C60" s="42" t="s">
        <v>118</v>
      </c>
      <c r="D60" s="42" t="s">
        <v>127</v>
      </c>
      <c r="E60" s="42" t="s">
        <v>100</v>
      </c>
      <c r="F60" s="42" t="s">
        <v>119</v>
      </c>
      <c r="G60" s="36"/>
    </row>
    <row r="61" spans="1:7" ht="15.75" customHeight="1" x14ac:dyDescent="0.2">
      <c r="A61" s="43" t="s">
        <v>130</v>
      </c>
      <c r="B61" s="42" t="s">
        <v>136</v>
      </c>
      <c r="C61" s="42" t="s">
        <v>120</v>
      </c>
      <c r="D61" s="42" t="s">
        <v>127</v>
      </c>
      <c r="E61" s="42" t="s">
        <v>100</v>
      </c>
      <c r="F61" s="42" t="s">
        <v>121</v>
      </c>
      <c r="G61" s="36"/>
    </row>
    <row r="62" spans="1:7" ht="15.75" customHeight="1" x14ac:dyDescent="0.2">
      <c r="A62" s="181" t="s">
        <v>130</v>
      </c>
      <c r="B62" s="182" t="s">
        <v>407</v>
      </c>
      <c r="C62" s="182" t="s">
        <v>408</v>
      </c>
      <c r="D62" s="182" t="s">
        <v>127</v>
      </c>
      <c r="E62" s="182" t="s">
        <v>100</v>
      </c>
      <c r="F62" s="42" t="s">
        <v>123</v>
      </c>
      <c r="G62" s="36"/>
    </row>
    <row r="63" spans="1:7" ht="15.75" customHeight="1" x14ac:dyDescent="0.2">
      <c r="A63" s="43" t="s">
        <v>130</v>
      </c>
      <c r="B63" s="42" t="s">
        <v>135</v>
      </c>
      <c r="C63" s="42" t="s">
        <v>122</v>
      </c>
      <c r="D63" s="42" t="s">
        <v>127</v>
      </c>
      <c r="E63" s="42" t="s">
        <v>100</v>
      </c>
      <c r="G63" s="36" t="s">
        <v>134</v>
      </c>
    </row>
    <row r="64" spans="1:7" ht="15.75" customHeight="1" x14ac:dyDescent="0.2">
      <c r="A64" s="43" t="s">
        <v>130</v>
      </c>
      <c r="B64" s="42" t="s">
        <v>133</v>
      </c>
      <c r="C64" s="42" t="s">
        <v>406</v>
      </c>
      <c r="D64" s="42" t="s">
        <v>127</v>
      </c>
      <c r="E64" s="42" t="s">
        <v>100</v>
      </c>
      <c r="F64" s="42" t="s">
        <v>123</v>
      </c>
    </row>
    <row r="65" spans="1:7" ht="15.75" customHeight="1" x14ac:dyDescent="0.2">
      <c r="A65" s="43" t="s">
        <v>130</v>
      </c>
      <c r="B65" s="42" t="s">
        <v>133</v>
      </c>
      <c r="C65" s="42" t="s">
        <v>409</v>
      </c>
      <c r="D65" s="42" t="s">
        <v>127</v>
      </c>
      <c r="E65" s="42" t="s">
        <v>100</v>
      </c>
      <c r="F65" s="42" t="s">
        <v>123</v>
      </c>
    </row>
    <row r="66" spans="1:7" ht="15.75" customHeight="1" x14ac:dyDescent="0.2">
      <c r="A66" s="41" t="s">
        <v>130</v>
      </c>
      <c r="B66" s="36" t="s">
        <v>132</v>
      </c>
      <c r="C66" s="36" t="s">
        <v>131</v>
      </c>
      <c r="D66" s="36" t="s">
        <v>127</v>
      </c>
      <c r="E66" s="36" t="s">
        <v>100</v>
      </c>
      <c r="F66" s="40"/>
      <c r="G66" s="36" t="s">
        <v>126</v>
      </c>
    </row>
    <row r="67" spans="1:7" ht="15.75" customHeight="1" x14ac:dyDescent="0.2">
      <c r="A67" s="39" t="s">
        <v>130</v>
      </c>
      <c r="B67" s="38" t="s">
        <v>129</v>
      </c>
      <c r="C67" s="38" t="s">
        <v>128</v>
      </c>
      <c r="D67" s="38" t="s">
        <v>127</v>
      </c>
      <c r="E67" s="38" t="s">
        <v>100</v>
      </c>
      <c r="F67" s="37"/>
      <c r="G67" s="36" t="s">
        <v>126</v>
      </c>
    </row>
    <row r="71" spans="1:7" ht="16" x14ac:dyDescent="0.2">
      <c r="A71" s="44" t="s">
        <v>158</v>
      </c>
      <c r="B71" s="359" t="s">
        <v>558</v>
      </c>
      <c r="C71" t="s">
        <v>559</v>
      </c>
      <c r="D71" t="s">
        <v>154</v>
      </c>
      <c r="E71" s="52" t="s">
        <v>37</v>
      </c>
      <c r="F71"/>
    </row>
    <row r="72" spans="1:7" ht="16" x14ac:dyDescent="0.2">
      <c r="A72" s="44" t="s">
        <v>158</v>
      </c>
      <c r="B72" s="359" t="s">
        <v>560</v>
      </c>
      <c r="C72" t="s">
        <v>561</v>
      </c>
      <c r="D72" t="s">
        <v>154</v>
      </c>
      <c r="E72" s="52" t="s">
        <v>37</v>
      </c>
      <c r="F72"/>
    </row>
    <row r="73" spans="1:7" ht="16" x14ac:dyDescent="0.2">
      <c r="A73" s="44" t="s">
        <v>158</v>
      </c>
      <c r="B73" s="359" t="s">
        <v>562</v>
      </c>
      <c r="C73" t="s">
        <v>563</v>
      </c>
      <c r="D73" t="s">
        <v>154</v>
      </c>
      <c r="E73" s="52" t="s">
        <v>37</v>
      </c>
      <c r="F73"/>
    </row>
    <row r="74" spans="1:7" ht="16" x14ac:dyDescent="0.2">
      <c r="A74" s="44" t="s">
        <v>158</v>
      </c>
      <c r="B74" s="359" t="s">
        <v>564</v>
      </c>
      <c r="C74" t="s">
        <v>565</v>
      </c>
      <c r="D74" t="s">
        <v>154</v>
      </c>
      <c r="E74" s="52" t="s">
        <v>37</v>
      </c>
      <c r="F74"/>
    </row>
    <row r="75" spans="1:7" ht="16" x14ac:dyDescent="0.2">
      <c r="A75" s="44" t="s">
        <v>158</v>
      </c>
      <c r="B75" s="359" t="s">
        <v>566</v>
      </c>
      <c r="C75" t="s">
        <v>567</v>
      </c>
      <c r="D75" t="s">
        <v>154</v>
      </c>
      <c r="E75" s="52" t="s">
        <v>37</v>
      </c>
      <c r="F75"/>
    </row>
    <row r="76" spans="1:7" ht="16" x14ac:dyDescent="0.2">
      <c r="A76" s="44" t="s">
        <v>158</v>
      </c>
      <c r="B76" s="359" t="s">
        <v>568</v>
      </c>
      <c r="C76" t="s">
        <v>100</v>
      </c>
      <c r="D76" t="s">
        <v>154</v>
      </c>
      <c r="E76" s="52" t="s">
        <v>37</v>
      </c>
      <c r="F76"/>
    </row>
    <row r="77" spans="1:7" ht="16" x14ac:dyDescent="0.2">
      <c r="A77" s="44" t="s">
        <v>158</v>
      </c>
      <c r="B77" s="359" t="s">
        <v>569</v>
      </c>
      <c r="C77" t="s">
        <v>570</v>
      </c>
      <c r="D77" t="s">
        <v>151</v>
      </c>
      <c r="E77" s="42" t="s">
        <v>60</v>
      </c>
      <c r="F77"/>
    </row>
    <row r="78" spans="1:7" ht="16" x14ac:dyDescent="0.2">
      <c r="A78" s="44" t="s">
        <v>158</v>
      </c>
      <c r="B78" s="359" t="s">
        <v>571</v>
      </c>
      <c r="C78" t="s">
        <v>572</v>
      </c>
      <c r="D78" t="s">
        <v>151</v>
      </c>
      <c r="E78" s="42" t="s">
        <v>60</v>
      </c>
      <c r="F78"/>
    </row>
    <row r="79" spans="1:7" ht="16" x14ac:dyDescent="0.2">
      <c r="A79" s="44" t="s">
        <v>158</v>
      </c>
      <c r="B79" s="359" t="s">
        <v>573</v>
      </c>
      <c r="C79" t="s">
        <v>67</v>
      </c>
      <c r="D79" t="s">
        <v>127</v>
      </c>
      <c r="E79" s="35" t="s">
        <v>68</v>
      </c>
      <c r="F79"/>
    </row>
    <row r="80" spans="1:7" ht="16" x14ac:dyDescent="0.2">
      <c r="A80" s="44" t="s">
        <v>158</v>
      </c>
      <c r="B80" s="359" t="s">
        <v>574</v>
      </c>
      <c r="C80" t="s">
        <v>70</v>
      </c>
      <c r="D80" t="s">
        <v>127</v>
      </c>
      <c r="E80" s="35" t="s">
        <v>68</v>
      </c>
      <c r="F80"/>
    </row>
    <row r="81" spans="1:6" ht="16" x14ac:dyDescent="0.2">
      <c r="A81" s="44" t="s">
        <v>158</v>
      </c>
      <c r="B81" s="359" t="s">
        <v>575</v>
      </c>
      <c r="C81" t="s">
        <v>72</v>
      </c>
      <c r="D81" t="s">
        <v>127</v>
      </c>
      <c r="E81" s="35" t="s">
        <v>68</v>
      </c>
      <c r="F81"/>
    </row>
    <row r="82" spans="1:6" ht="16" x14ac:dyDescent="0.2">
      <c r="A82" s="44" t="s">
        <v>158</v>
      </c>
      <c r="B82" s="359" t="s">
        <v>576</v>
      </c>
      <c r="C82" t="s">
        <v>71</v>
      </c>
      <c r="D82" t="s">
        <v>127</v>
      </c>
      <c r="E82" s="35" t="s">
        <v>68</v>
      </c>
      <c r="F82"/>
    </row>
    <row r="83" spans="1:6" ht="16" x14ac:dyDescent="0.2">
      <c r="A83" s="43" t="s">
        <v>143</v>
      </c>
      <c r="B83" s="359" t="s">
        <v>577</v>
      </c>
      <c r="C83" t="s">
        <v>578</v>
      </c>
      <c r="D83" t="s">
        <v>154</v>
      </c>
      <c r="E83" s="35" t="s">
        <v>75</v>
      </c>
      <c r="F83"/>
    </row>
    <row r="84" spans="1:6" ht="16" x14ac:dyDescent="0.2">
      <c r="A84" s="43" t="s">
        <v>143</v>
      </c>
      <c r="B84" s="359" t="s">
        <v>579</v>
      </c>
      <c r="C84" t="s">
        <v>77</v>
      </c>
      <c r="D84" t="s">
        <v>154</v>
      </c>
      <c r="E84" s="35" t="s">
        <v>75</v>
      </c>
      <c r="F84"/>
    </row>
    <row r="85" spans="1:6" ht="16" x14ac:dyDescent="0.2">
      <c r="A85" s="43" t="s">
        <v>143</v>
      </c>
      <c r="B85" s="359" t="s">
        <v>580</v>
      </c>
      <c r="C85" t="s">
        <v>581</v>
      </c>
      <c r="D85" t="s">
        <v>154</v>
      </c>
      <c r="E85" s="35" t="s">
        <v>75</v>
      </c>
      <c r="F85"/>
    </row>
    <row r="86" spans="1:6" ht="16" x14ac:dyDescent="0.2">
      <c r="A86" s="43" t="s">
        <v>143</v>
      </c>
      <c r="B86" s="359" t="s">
        <v>582</v>
      </c>
      <c r="C86" t="s">
        <v>583</v>
      </c>
      <c r="D86" t="s">
        <v>154</v>
      </c>
      <c r="E86" s="35" t="s">
        <v>75</v>
      </c>
      <c r="F86"/>
    </row>
    <row r="87" spans="1:6" ht="16" x14ac:dyDescent="0.2">
      <c r="A87" s="43" t="s">
        <v>143</v>
      </c>
      <c r="B87" s="359" t="s">
        <v>584</v>
      </c>
      <c r="C87" t="s">
        <v>585</v>
      </c>
      <c r="D87" t="s">
        <v>154</v>
      </c>
      <c r="E87" s="35" t="s">
        <v>75</v>
      </c>
      <c r="F87"/>
    </row>
    <row r="88" spans="1:6" ht="16" x14ac:dyDescent="0.2">
      <c r="A88" s="43" t="s">
        <v>143</v>
      </c>
      <c r="B88" s="359" t="s">
        <v>74</v>
      </c>
      <c r="C88" t="s">
        <v>74</v>
      </c>
      <c r="D88" t="s">
        <v>154</v>
      </c>
      <c r="E88" s="35" t="s">
        <v>75</v>
      </c>
      <c r="F88"/>
    </row>
    <row r="89" spans="1:6" ht="16" x14ac:dyDescent="0.2">
      <c r="A89" s="43" t="s">
        <v>143</v>
      </c>
      <c r="B89" s="359" t="s">
        <v>155</v>
      </c>
      <c r="C89" t="s">
        <v>78</v>
      </c>
      <c r="D89" t="s">
        <v>154</v>
      </c>
      <c r="E89" s="35" t="s">
        <v>75</v>
      </c>
      <c r="F89"/>
    </row>
    <row r="90" spans="1:6" ht="16" x14ac:dyDescent="0.2">
      <c r="A90" s="43" t="s">
        <v>143</v>
      </c>
      <c r="B90" s="359" t="s">
        <v>79</v>
      </c>
      <c r="C90" t="s">
        <v>79</v>
      </c>
      <c r="D90" t="s">
        <v>154</v>
      </c>
      <c r="E90" s="35" t="s">
        <v>75</v>
      </c>
      <c r="F90"/>
    </row>
    <row r="91" spans="1:6" ht="16" x14ac:dyDescent="0.2">
      <c r="A91" s="43" t="s">
        <v>143</v>
      </c>
      <c r="B91" s="359" t="s">
        <v>80</v>
      </c>
      <c r="C91" t="s">
        <v>80</v>
      </c>
      <c r="D91" t="s">
        <v>154</v>
      </c>
      <c r="E91" s="35" t="s">
        <v>75</v>
      </c>
      <c r="F91"/>
    </row>
    <row r="92" spans="1:6" ht="16" x14ac:dyDescent="0.2">
      <c r="A92" s="43" t="s">
        <v>143</v>
      </c>
      <c r="B92" s="359" t="s">
        <v>81</v>
      </c>
      <c r="C92" t="s">
        <v>81</v>
      </c>
      <c r="D92" t="s">
        <v>154</v>
      </c>
      <c r="E92" s="35" t="s">
        <v>75</v>
      </c>
      <c r="F92"/>
    </row>
    <row r="93" spans="1:6" ht="16" x14ac:dyDescent="0.2">
      <c r="A93" s="43" t="s">
        <v>143</v>
      </c>
      <c r="B93" s="359" t="s">
        <v>586</v>
      </c>
      <c r="C93" t="s">
        <v>586</v>
      </c>
      <c r="D93" t="s">
        <v>151</v>
      </c>
      <c r="E93" s="35" t="s">
        <v>84</v>
      </c>
      <c r="F93"/>
    </row>
    <row r="94" spans="1:6" ht="16" x14ac:dyDescent="0.2">
      <c r="A94" s="43" t="s">
        <v>143</v>
      </c>
      <c r="B94" s="359" t="s">
        <v>587</v>
      </c>
      <c r="C94" t="s">
        <v>588</v>
      </c>
      <c r="D94" t="s">
        <v>151</v>
      </c>
      <c r="E94" s="35" t="s">
        <v>84</v>
      </c>
      <c r="F94"/>
    </row>
    <row r="95" spans="1:6" ht="16" x14ac:dyDescent="0.2">
      <c r="A95" s="43" t="s">
        <v>143</v>
      </c>
      <c r="B95" s="359" t="s">
        <v>589</v>
      </c>
      <c r="C95" t="s">
        <v>589</v>
      </c>
      <c r="D95" t="s">
        <v>151</v>
      </c>
      <c r="E95" s="35" t="s">
        <v>84</v>
      </c>
      <c r="F95"/>
    </row>
    <row r="96" spans="1:6" ht="16" x14ac:dyDescent="0.2">
      <c r="A96" s="43" t="s">
        <v>143</v>
      </c>
      <c r="B96" s="359" t="s">
        <v>590</v>
      </c>
      <c r="C96" t="s">
        <v>590</v>
      </c>
      <c r="D96" t="s">
        <v>151</v>
      </c>
      <c r="E96" s="35" t="s">
        <v>84</v>
      </c>
      <c r="F96"/>
    </row>
    <row r="97" spans="1:6" ht="16" x14ac:dyDescent="0.2">
      <c r="A97" s="43" t="s">
        <v>143</v>
      </c>
      <c r="B97" s="359" t="s">
        <v>591</v>
      </c>
      <c r="C97" t="s">
        <v>591</v>
      </c>
      <c r="D97" t="s">
        <v>151</v>
      </c>
      <c r="E97" s="35" t="s">
        <v>84</v>
      </c>
      <c r="F97"/>
    </row>
    <row r="98" spans="1:6" ht="16" x14ac:dyDescent="0.2">
      <c r="A98" s="43" t="s">
        <v>143</v>
      </c>
      <c r="B98" s="359" t="s">
        <v>150</v>
      </c>
      <c r="C98" t="s">
        <v>99</v>
      </c>
      <c r="D98" t="s">
        <v>127</v>
      </c>
      <c r="E98" s="35" t="s">
        <v>100</v>
      </c>
      <c r="F98"/>
    </row>
    <row r="99" spans="1:6" ht="16" x14ac:dyDescent="0.2">
      <c r="A99" s="43" t="s">
        <v>143</v>
      </c>
      <c r="B99" s="359" t="s">
        <v>149</v>
      </c>
      <c r="C99" t="s">
        <v>102</v>
      </c>
      <c r="D99" t="s">
        <v>127</v>
      </c>
      <c r="E99" s="35" t="s">
        <v>100</v>
      </c>
      <c r="F99"/>
    </row>
    <row r="100" spans="1:6" ht="16" x14ac:dyDescent="0.2">
      <c r="A100" s="43" t="s">
        <v>143</v>
      </c>
      <c r="B100" s="359" t="s">
        <v>133</v>
      </c>
      <c r="C100" t="s">
        <v>109</v>
      </c>
      <c r="D100" t="s">
        <v>127</v>
      </c>
      <c r="E100" s="35" t="s">
        <v>100</v>
      </c>
      <c r="F100"/>
    </row>
    <row r="101" spans="1:6" ht="16" x14ac:dyDescent="0.2">
      <c r="A101" s="43" t="s">
        <v>143</v>
      </c>
      <c r="B101" s="359" t="s">
        <v>148</v>
      </c>
      <c r="C101" t="s">
        <v>103</v>
      </c>
      <c r="D101" t="s">
        <v>127</v>
      </c>
      <c r="E101" s="35" t="s">
        <v>100</v>
      </c>
      <c r="F101"/>
    </row>
    <row r="102" spans="1:6" ht="16" x14ac:dyDescent="0.2">
      <c r="A102" s="43" t="s">
        <v>143</v>
      </c>
      <c r="B102" s="359" t="s">
        <v>132</v>
      </c>
      <c r="C102" t="s">
        <v>111</v>
      </c>
      <c r="D102" t="s">
        <v>127</v>
      </c>
      <c r="E102" s="35" t="s">
        <v>100</v>
      </c>
      <c r="F102"/>
    </row>
    <row r="103" spans="1:6" ht="16" x14ac:dyDescent="0.2">
      <c r="A103" s="43" t="s">
        <v>143</v>
      </c>
      <c r="B103" s="359" t="s">
        <v>147</v>
      </c>
      <c r="C103" t="s">
        <v>104</v>
      </c>
      <c r="D103" t="s">
        <v>127</v>
      </c>
      <c r="E103" s="35" t="s">
        <v>100</v>
      </c>
      <c r="F103"/>
    </row>
    <row r="104" spans="1:6" ht="16" x14ac:dyDescent="0.2">
      <c r="A104" s="43" t="s">
        <v>143</v>
      </c>
      <c r="B104" s="359" t="s">
        <v>129</v>
      </c>
      <c r="C104" t="s">
        <v>112</v>
      </c>
      <c r="D104" t="s">
        <v>127</v>
      </c>
      <c r="E104" s="35" t="s">
        <v>100</v>
      </c>
      <c r="F104"/>
    </row>
    <row r="105" spans="1:6" ht="16" x14ac:dyDescent="0.2">
      <c r="A105" s="43" t="s">
        <v>143</v>
      </c>
      <c r="B105" s="359" t="s">
        <v>146</v>
      </c>
      <c r="C105" t="s">
        <v>105</v>
      </c>
      <c r="D105" t="s">
        <v>127</v>
      </c>
      <c r="E105" s="35" t="s">
        <v>100</v>
      </c>
      <c r="F105"/>
    </row>
    <row r="106" spans="1:6" ht="16" x14ac:dyDescent="0.2">
      <c r="A106" s="43" t="s">
        <v>143</v>
      </c>
      <c r="B106" s="359" t="s">
        <v>145</v>
      </c>
      <c r="C106" t="s">
        <v>106</v>
      </c>
      <c r="D106" t="s">
        <v>127</v>
      </c>
      <c r="E106" s="35" t="s">
        <v>100</v>
      </c>
      <c r="F106"/>
    </row>
    <row r="107" spans="1:6" ht="16" x14ac:dyDescent="0.2">
      <c r="A107" s="43" t="s">
        <v>143</v>
      </c>
      <c r="B107" s="359" t="s">
        <v>144</v>
      </c>
      <c r="C107" t="s">
        <v>107</v>
      </c>
      <c r="D107" t="s">
        <v>127</v>
      </c>
      <c r="E107" s="35" t="s">
        <v>100</v>
      </c>
      <c r="F107"/>
    </row>
    <row r="108" spans="1:6" ht="16" x14ac:dyDescent="0.2">
      <c r="A108" s="43" t="s">
        <v>130</v>
      </c>
      <c r="B108" s="359" t="s">
        <v>592</v>
      </c>
      <c r="C108" t="s">
        <v>113</v>
      </c>
      <c r="D108" t="s">
        <v>154</v>
      </c>
      <c r="E108" s="35" t="s">
        <v>100</v>
      </c>
      <c r="F108"/>
    </row>
    <row r="109" spans="1:6" ht="16" x14ac:dyDescent="0.2">
      <c r="A109" s="43" t="s">
        <v>130</v>
      </c>
      <c r="B109" s="359" t="s">
        <v>593</v>
      </c>
      <c r="C109" t="s">
        <v>594</v>
      </c>
      <c r="D109" t="s">
        <v>154</v>
      </c>
      <c r="E109" s="35" t="s">
        <v>100</v>
      </c>
      <c r="F109"/>
    </row>
    <row r="110" spans="1:6" ht="16" x14ac:dyDescent="0.2">
      <c r="A110" s="43" t="s">
        <v>130</v>
      </c>
      <c r="B110" s="359" t="s">
        <v>595</v>
      </c>
      <c r="C110" t="s">
        <v>114</v>
      </c>
      <c r="D110" t="s">
        <v>154</v>
      </c>
      <c r="E110" s="35" t="s">
        <v>100</v>
      </c>
      <c r="F110"/>
    </row>
    <row r="111" spans="1:6" ht="16" x14ac:dyDescent="0.2">
      <c r="A111" s="43" t="s">
        <v>130</v>
      </c>
      <c r="B111" s="359" t="s">
        <v>596</v>
      </c>
      <c r="C111" t="s">
        <v>109</v>
      </c>
      <c r="D111" t="s">
        <v>154</v>
      </c>
      <c r="E111" s="35" t="s">
        <v>100</v>
      </c>
      <c r="F111"/>
    </row>
    <row r="112" spans="1:6" ht="16" x14ac:dyDescent="0.2">
      <c r="A112" s="43" t="s">
        <v>130</v>
      </c>
      <c r="B112" s="359" t="s">
        <v>597</v>
      </c>
      <c r="C112" t="s">
        <v>111</v>
      </c>
      <c r="D112" t="s">
        <v>154</v>
      </c>
      <c r="E112" s="35" t="s">
        <v>100</v>
      </c>
      <c r="F112"/>
    </row>
    <row r="113" spans="1:6" ht="16" x14ac:dyDescent="0.2">
      <c r="A113" s="43" t="s">
        <v>130</v>
      </c>
      <c r="B113" s="359" t="s">
        <v>598</v>
      </c>
      <c r="C113" t="s">
        <v>112</v>
      </c>
      <c r="D113" t="s">
        <v>154</v>
      </c>
      <c r="E113" s="35" t="s">
        <v>100</v>
      </c>
      <c r="F113"/>
    </row>
    <row r="114" spans="1:6" ht="16" x14ac:dyDescent="0.2">
      <c r="A114" s="43" t="s">
        <v>130</v>
      </c>
      <c r="B114" s="359" t="s">
        <v>599</v>
      </c>
      <c r="C114" t="s">
        <v>122</v>
      </c>
      <c r="D114" t="s">
        <v>154</v>
      </c>
      <c r="E114" s="35" t="s">
        <v>100</v>
      </c>
      <c r="F114"/>
    </row>
    <row r="117" spans="1:6" ht="180" x14ac:dyDescent="0.25">
      <c r="B117" s="360" t="s">
        <v>600</v>
      </c>
    </row>
  </sheetData>
  <autoFilter ref="A1:F67" xr:uid="{00000000-0001-0000-0300-000000000000}"/>
  <pageMargins left="0.70866141732283472" right="0.70866141732283472" top="0.74803149606299213" bottom="0.74803149606299213" header="0.31496062992125984" footer="0.31496062992125984"/>
  <pageSetup paperSize="8" scale="7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921C7-025B-4F4F-A5C7-6D94075AC520}">
  <sheetPr codeName="Feuil8">
    <tabColor rgb="FFC00000"/>
  </sheetPr>
  <dimension ref="A1:BJ24"/>
  <sheetViews>
    <sheetView topLeftCell="D1" zoomScaleNormal="100" workbookViewId="0">
      <pane xSplit="3" ySplit="1" topLeftCell="M2" activePane="bottomRight" state="frozen"/>
      <selection activeCell="D1" sqref="D1"/>
      <selection pane="topRight" activeCell="G1" sqref="G1"/>
      <selection pane="bottomLeft" activeCell="D2" sqref="D2"/>
      <selection pane="bottomRight" activeCell="AZ19" sqref="AZ19"/>
    </sheetView>
  </sheetViews>
  <sheetFormatPr baseColWidth="10" defaultColWidth="11" defaultRowHeight="16" x14ac:dyDescent="0.2"/>
  <cols>
    <col min="1" max="1" width="6" style="56" hidden="1" customWidth="1"/>
    <col min="2" max="2" width="17.1640625" style="56" hidden="1" customWidth="1"/>
    <col min="3" max="3" width="6.33203125" style="56" bestFit="1" customWidth="1"/>
    <col min="4" max="4" width="14.6640625" style="56" customWidth="1"/>
    <col min="5" max="5" width="6.5" style="56" customWidth="1"/>
    <col min="6" max="6" width="45" style="56" customWidth="1"/>
    <col min="7" max="8" width="9.33203125" style="56" customWidth="1"/>
    <col min="9" max="9" width="9.5" style="56" customWidth="1"/>
    <col min="10" max="10" width="9" style="56" customWidth="1"/>
    <col min="11" max="38" width="9.33203125" style="56" customWidth="1"/>
    <col min="39" max="39" width="8.5" style="56" bestFit="1" customWidth="1"/>
    <col min="40" max="40" width="7.33203125" style="56" bestFit="1" customWidth="1"/>
    <col min="41" max="62" width="9.33203125" style="56" customWidth="1"/>
    <col min="63" max="63" width="4" style="56" customWidth="1"/>
    <col min="64" max="16384" width="11" style="56"/>
  </cols>
  <sheetData>
    <row r="1" spans="1:62" s="60" customFormat="1" ht="23.5" customHeight="1" x14ac:dyDescent="0.15">
      <c r="B1" s="349" t="s">
        <v>324</v>
      </c>
      <c r="C1" s="349"/>
      <c r="D1" s="349"/>
      <c r="E1" s="349"/>
      <c r="F1" s="349"/>
      <c r="G1" s="349"/>
      <c r="H1" s="349"/>
      <c r="I1" s="349"/>
    </row>
    <row r="2" spans="1:62" s="60" customFormat="1" ht="12.75" customHeight="1" x14ac:dyDescent="0.15">
      <c r="A2" s="106"/>
      <c r="B2" s="106"/>
      <c r="C2" s="106"/>
      <c r="D2" s="106"/>
      <c r="E2" s="106"/>
      <c r="F2" s="106"/>
      <c r="G2" s="103" t="s">
        <v>323</v>
      </c>
      <c r="H2" s="348" t="s">
        <v>322</v>
      </c>
      <c r="I2" s="102" t="s">
        <v>321</v>
      </c>
      <c r="J2" s="102" t="s">
        <v>321</v>
      </c>
      <c r="K2" s="102" t="s">
        <v>321</v>
      </c>
      <c r="L2" s="102" t="s">
        <v>321</v>
      </c>
      <c r="M2" s="102" t="s">
        <v>321</v>
      </c>
      <c r="N2" s="102" t="s">
        <v>321</v>
      </c>
      <c r="O2" s="102" t="s">
        <v>321</v>
      </c>
      <c r="P2" s="102" t="s">
        <v>321</v>
      </c>
      <c r="Q2" s="102" t="s">
        <v>321</v>
      </c>
      <c r="R2" s="102" t="s">
        <v>321</v>
      </c>
      <c r="S2" s="102" t="s">
        <v>321</v>
      </c>
      <c r="T2" s="102" t="s">
        <v>321</v>
      </c>
      <c r="U2" s="102" t="s">
        <v>321</v>
      </c>
      <c r="V2" s="102" t="s">
        <v>321</v>
      </c>
      <c r="W2" s="348" t="s">
        <v>320</v>
      </c>
      <c r="X2" s="103" t="s">
        <v>139</v>
      </c>
      <c r="Y2" s="103" t="s">
        <v>139</v>
      </c>
      <c r="Z2" s="103" t="s">
        <v>139</v>
      </c>
      <c r="AA2" s="103" t="s">
        <v>139</v>
      </c>
      <c r="AB2" s="348" t="s">
        <v>319</v>
      </c>
      <c r="AC2" s="100" t="s">
        <v>318</v>
      </c>
      <c r="AD2" s="100" t="s">
        <v>318</v>
      </c>
      <c r="AE2" s="100" t="s">
        <v>318</v>
      </c>
      <c r="AF2" s="100" t="s">
        <v>318</v>
      </c>
      <c r="AG2" s="100" t="s">
        <v>318</v>
      </c>
      <c r="AH2" s="100" t="s">
        <v>318</v>
      </c>
      <c r="AI2" s="100" t="s">
        <v>318</v>
      </c>
      <c r="AJ2" s="100" t="s">
        <v>318</v>
      </c>
      <c r="AK2" s="100" t="s">
        <v>318</v>
      </c>
      <c r="AL2" s="348" t="s">
        <v>317</v>
      </c>
      <c r="AM2" s="100" t="s">
        <v>316</v>
      </c>
      <c r="AN2" s="100" t="s">
        <v>316</v>
      </c>
      <c r="AO2" s="100" t="s">
        <v>316</v>
      </c>
      <c r="AP2" s="100" t="s">
        <v>316</v>
      </c>
      <c r="AQ2" s="100" t="s">
        <v>316</v>
      </c>
      <c r="AR2" s="100" t="s">
        <v>316</v>
      </c>
      <c r="AS2" s="100" t="s">
        <v>316</v>
      </c>
      <c r="AT2" s="100" t="s">
        <v>316</v>
      </c>
      <c r="AU2" s="100" t="s">
        <v>316</v>
      </c>
      <c r="AV2" s="100" t="s">
        <v>316</v>
      </c>
      <c r="AW2" s="100" t="s">
        <v>316</v>
      </c>
      <c r="AX2" s="100" t="s">
        <v>316</v>
      </c>
      <c r="AY2" s="100" t="s">
        <v>316</v>
      </c>
      <c r="AZ2" s="348" t="s">
        <v>315</v>
      </c>
      <c r="BA2" s="99" t="s">
        <v>314</v>
      </c>
      <c r="BB2" s="99" t="s">
        <v>314</v>
      </c>
      <c r="BC2" s="99" t="s">
        <v>314</v>
      </c>
      <c r="BD2" s="99" t="s">
        <v>314</v>
      </c>
      <c r="BE2" s="99" t="s">
        <v>314</v>
      </c>
      <c r="BF2" s="99" t="s">
        <v>314</v>
      </c>
      <c r="BG2" s="99" t="s">
        <v>314</v>
      </c>
      <c r="BH2" s="99" t="s">
        <v>314</v>
      </c>
      <c r="BI2" s="99" t="s">
        <v>314</v>
      </c>
      <c r="BJ2" s="348" t="s">
        <v>313</v>
      </c>
    </row>
    <row r="3" spans="1:62" s="60" customFormat="1" ht="26" hidden="1" customHeight="1" x14ac:dyDescent="0.15">
      <c r="A3" s="106"/>
      <c r="B3" s="106"/>
      <c r="C3" s="106"/>
      <c r="D3" s="106"/>
      <c r="E3" s="106"/>
      <c r="F3" s="106"/>
      <c r="G3" s="103" t="s">
        <v>312</v>
      </c>
      <c r="H3" s="348"/>
      <c r="I3" s="102" t="s">
        <v>311</v>
      </c>
      <c r="J3" s="102" t="s">
        <v>310</v>
      </c>
      <c r="K3" s="102" t="s">
        <v>309</v>
      </c>
      <c r="L3" s="102" t="s">
        <v>308</v>
      </c>
      <c r="M3" s="102" t="s">
        <v>307</v>
      </c>
      <c r="N3" s="102" t="s">
        <v>306</v>
      </c>
      <c r="O3" s="102" t="s">
        <v>305</v>
      </c>
      <c r="P3" s="102" t="s">
        <v>304</v>
      </c>
      <c r="Q3" s="102" t="s">
        <v>303</v>
      </c>
      <c r="R3" s="102"/>
      <c r="S3" s="102" t="s">
        <v>302</v>
      </c>
      <c r="T3" s="102" t="s">
        <v>301</v>
      </c>
      <c r="U3" s="102" t="s">
        <v>300</v>
      </c>
      <c r="V3" s="102" t="s">
        <v>299</v>
      </c>
      <c r="W3" s="348"/>
      <c r="X3" s="98"/>
      <c r="Y3" s="103" t="s">
        <v>298</v>
      </c>
      <c r="Z3" s="103" t="s">
        <v>297</v>
      </c>
      <c r="AA3" s="103" t="s">
        <v>296</v>
      </c>
      <c r="AB3" s="348"/>
      <c r="AC3" s="100" t="s">
        <v>295</v>
      </c>
      <c r="AD3" s="100" t="s">
        <v>294</v>
      </c>
      <c r="AE3" s="100" t="s">
        <v>293</v>
      </c>
      <c r="AF3" s="100" t="s">
        <v>292</v>
      </c>
      <c r="AG3" s="100" t="s">
        <v>291</v>
      </c>
      <c r="AH3" s="100" t="s">
        <v>290</v>
      </c>
      <c r="AI3" s="100" t="s">
        <v>58</v>
      </c>
      <c r="AJ3" s="100" t="s">
        <v>56</v>
      </c>
      <c r="AK3" s="100" t="s">
        <v>289</v>
      </c>
      <c r="AL3" s="348"/>
      <c r="AM3" s="100" t="s">
        <v>288</v>
      </c>
      <c r="AN3" s="100" t="s">
        <v>287</v>
      </c>
      <c r="AO3" s="100" t="s">
        <v>286</v>
      </c>
      <c r="AP3" s="100" t="s">
        <v>285</v>
      </c>
      <c r="AQ3" s="100" t="s">
        <v>284</v>
      </c>
      <c r="AR3" s="100" t="s">
        <v>283</v>
      </c>
      <c r="AS3" s="100" t="s">
        <v>282</v>
      </c>
      <c r="AT3" s="100" t="s">
        <v>281</v>
      </c>
      <c r="AU3" s="100" t="s">
        <v>280</v>
      </c>
      <c r="AV3" s="100" t="s">
        <v>279</v>
      </c>
      <c r="AW3" s="100" t="s">
        <v>278</v>
      </c>
      <c r="AX3" s="100" t="s">
        <v>277</v>
      </c>
      <c r="AY3" s="100" t="s">
        <v>276</v>
      </c>
      <c r="AZ3" s="348"/>
      <c r="BA3" s="99" t="s">
        <v>275</v>
      </c>
      <c r="BB3" s="99" t="s">
        <v>274</v>
      </c>
      <c r="BC3" s="99" t="s">
        <v>273</v>
      </c>
      <c r="BD3" s="99" t="s">
        <v>272</v>
      </c>
      <c r="BE3" s="99" t="s">
        <v>271</v>
      </c>
      <c r="BF3" s="99" t="s">
        <v>270</v>
      </c>
      <c r="BG3" s="99" t="s">
        <v>269</v>
      </c>
      <c r="BH3" s="99" t="s">
        <v>268</v>
      </c>
      <c r="BI3" s="99" t="s">
        <v>267</v>
      </c>
      <c r="BJ3" s="348"/>
    </row>
    <row r="4" spans="1:62" s="60" customFormat="1" ht="60" x14ac:dyDescent="0.15">
      <c r="A4" s="105"/>
      <c r="B4" s="104" t="s">
        <v>266</v>
      </c>
      <c r="C4" s="104" t="s">
        <v>265</v>
      </c>
      <c r="D4" s="104" t="s">
        <v>32</v>
      </c>
      <c r="E4" s="104" t="s">
        <v>264</v>
      </c>
      <c r="F4" s="104" t="s">
        <v>263</v>
      </c>
      <c r="G4" s="103" t="s">
        <v>262</v>
      </c>
      <c r="H4" s="348"/>
      <c r="I4" s="102" t="s">
        <v>261</v>
      </c>
      <c r="J4" s="102" t="s">
        <v>260</v>
      </c>
      <c r="K4" s="102" t="s">
        <v>259</v>
      </c>
      <c r="L4" s="102" t="s">
        <v>258</v>
      </c>
      <c r="M4" s="102" t="s">
        <v>257</v>
      </c>
      <c r="N4" s="102" t="s">
        <v>256</v>
      </c>
      <c r="O4" s="102" t="s">
        <v>255</v>
      </c>
      <c r="P4" s="102" t="s">
        <v>254</v>
      </c>
      <c r="Q4" s="102" t="s">
        <v>253</v>
      </c>
      <c r="R4" s="102" t="s">
        <v>252</v>
      </c>
      <c r="S4" s="102" t="s">
        <v>251</v>
      </c>
      <c r="T4" s="102" t="s">
        <v>250</v>
      </c>
      <c r="U4" s="102" t="s">
        <v>249</v>
      </c>
      <c r="V4" s="102" t="s">
        <v>248</v>
      </c>
      <c r="W4" s="348"/>
      <c r="X4" s="101" t="s">
        <v>247</v>
      </c>
      <c r="Y4" s="101" t="s">
        <v>246</v>
      </c>
      <c r="Z4" s="101" t="s">
        <v>245</v>
      </c>
      <c r="AA4" s="101" t="s">
        <v>244</v>
      </c>
      <c r="AB4" s="348"/>
      <c r="AC4" s="100" t="s">
        <v>243</v>
      </c>
      <c r="AD4" s="100" t="s">
        <v>242</v>
      </c>
      <c r="AE4" s="100" t="s">
        <v>241</v>
      </c>
      <c r="AF4" s="100" t="s">
        <v>240</v>
      </c>
      <c r="AG4" s="100" t="s">
        <v>239</v>
      </c>
      <c r="AH4" s="100" t="s">
        <v>238</v>
      </c>
      <c r="AI4" s="100" t="s">
        <v>58</v>
      </c>
      <c r="AJ4" s="100" t="s">
        <v>237</v>
      </c>
      <c r="AK4" s="100" t="s">
        <v>236</v>
      </c>
      <c r="AL4" s="348"/>
      <c r="AM4" s="100" t="s">
        <v>235</v>
      </c>
      <c r="AN4" s="100" t="s">
        <v>234</v>
      </c>
      <c r="AO4" s="100" t="s">
        <v>233</v>
      </c>
      <c r="AP4" s="100" t="s">
        <v>232</v>
      </c>
      <c r="AQ4" s="100" t="s">
        <v>231</v>
      </c>
      <c r="AR4" s="100" t="s">
        <v>230</v>
      </c>
      <c r="AS4" s="100" t="s">
        <v>229</v>
      </c>
      <c r="AT4" s="100" t="s">
        <v>228</v>
      </c>
      <c r="AU4" s="100" t="s">
        <v>227</v>
      </c>
      <c r="AV4" s="100" t="s">
        <v>226</v>
      </c>
      <c r="AW4" s="100" t="s">
        <v>225</v>
      </c>
      <c r="AX4" s="100" t="s">
        <v>224</v>
      </c>
      <c r="AY4" s="100" t="s">
        <v>223</v>
      </c>
      <c r="AZ4" s="348"/>
      <c r="BA4" s="99" t="s">
        <v>222</v>
      </c>
      <c r="BB4" s="99" t="s">
        <v>221</v>
      </c>
      <c r="BC4" s="99" t="s">
        <v>220</v>
      </c>
      <c r="BD4" s="99" t="s">
        <v>219</v>
      </c>
      <c r="BE4" s="99" t="s">
        <v>218</v>
      </c>
      <c r="BF4" s="99" t="s">
        <v>217</v>
      </c>
      <c r="BG4" s="99" t="s">
        <v>216</v>
      </c>
      <c r="BH4" s="99" t="s">
        <v>215</v>
      </c>
      <c r="BI4" s="99" t="s">
        <v>214</v>
      </c>
      <c r="BJ4" s="348"/>
    </row>
    <row r="5" spans="1:62" s="60" customFormat="1" ht="11" customHeight="1" x14ac:dyDescent="0.15">
      <c r="A5" s="70" t="s">
        <v>193</v>
      </c>
      <c r="B5" s="80"/>
      <c r="C5" s="80"/>
      <c r="D5" s="97" t="str">
        <f>IF(ETPT_TJ_DDG!$D$5="","",ETPT_TJ_DDG!$D$5)</f>
        <v/>
      </c>
      <c r="E5" s="80" t="s">
        <v>213</v>
      </c>
      <c r="F5" s="80" t="s">
        <v>212</v>
      </c>
      <c r="G5" s="129" t="e">
        <f>SUMIFS( INDEX( 'ETPT Format DDG'!$A:$EF,,MATCH("Temps ventilés sur la période (contentieux civils et sociaux)",'ETPT Format DDG'!2:2,0)),'ETPT Format DDG'!$C:$C,$D$5,'ETPT Format DDG'!$EA:$EA,"Fonctionnaire CTECH")</f>
        <v>#N/A</v>
      </c>
      <c r="H5" s="78" t="e">
        <f t="shared" ref="H5:H15" si="0">SUM(G5)</f>
        <v>#N/A</v>
      </c>
      <c r="I5" s="77" t="e">
        <f>SUMIFS( INDEX( 'ETPT Format DDG'!$A:$EF,,MATCH("11.8. FONCTIONNAIRES AFFECTÉS AUX ACTIVITÉS CIVILES ET COMMERCIALES DU PARQUET",'ETPT Format DDG'!2:2,0)),'ETPT Format DDG'!$C:$C,$D$5,'ETPT Format DDG'!$EA:$EA,"Fonctionnaire A-B-CBUR")</f>
        <v>#N/A</v>
      </c>
      <c r="J5" s="94"/>
      <c r="K5" s="94"/>
      <c r="L5" s="94"/>
      <c r="M5" s="94"/>
      <c r="N5" s="94"/>
      <c r="O5" s="94"/>
      <c r="P5" s="77" t="e">
        <f>SUMIFS( INDEX( 'ETPT Format DDG'!$A:$EF,,MATCH("3.2. PROTECTION DES MAJEURS",'ETPT Format DDG'!2:2,0)),'ETPT Format DDG'!$C:$C,$D$5,'ETPT Format DDG'!$EA:$EA,"Fonctionnaire A-B-CBUR")</f>
        <v>#N/A</v>
      </c>
      <c r="Q5" s="77" t="e">
        <f>SUMIFS( INDEX( 'ETPT Format DDG'!$A:$EF,,MATCH("3. TOTAL CONTENTIEUX DE LA PROTECTION",'ETPT Format DDG'!2:2,0)),'ETPT Format DDG'!$C:$C,$D$5,'ETPT Format DDG'!$EA:$EA,"Fonctionnaire A-B-CBUR")-
SUMIFS( INDEX( 'ETPT Format DDG'!$A:$EF,,MATCH("3.2. PROTECTION DES MAJEURS",'ETPT Format DDG'!2:2,0)),'ETPT Format DDG'!$C:$C,$D$5,'ETPT Format DDG'!$EA:$EA,"Fonctionnaire A-B-CBUR")-
SUMIFS( INDEX( 'ETPT Format DDG'!$A:$EF,,MATCH("3.43. INJONCTIONS DE PAYER",'ETPT Format DDG'!2:2,0)),'ETPT Format DDG'!$C:$C,$D$5,'ETPT Format DDG'!$EA:$EA,"Fonctionnaire A-B-CBUR")-
SUMIFS( INDEX( 'ETPT Format DDG'!$A:$EF,,MATCH("3.44. SAISIE DES RÉMUNÉRATIONS",'ETPT Format DDG'!2:2,0)),'ETPT Format DDG'!$C:$C,$D$5,'ETPT Format DDG'!$EA:$EA,"Fonctionnaire A-B-CBUR")</f>
        <v>#N/A</v>
      </c>
      <c r="R5" s="77" t="e">
        <f>SUMIFS( INDEX( 'ETPT Format DDG'!$A:$EF,,MATCH("5. TOTAL JLD CIVIL",'ETPT Format DDG'!2:2,0)),'ETPT Format DDG'!$C:$C,$D$5,'ETPT Format DDG'!$EA:$EA,"Fonctionnaire A-B-CBUR")
+SUMIFS( INDEX( 'ETPT Format DDG'!$A:$EF,,MATCH("6.1. ACTIVITÉ CIVILE",'ETPT Format DDG'!2:2,0)),'ETPT Format DDG'!$C:$C,$D$5,'ETPT Format DDG'!$EA:$EA,"Fonctionnaire A-B-CBUR")</f>
        <v>#N/A</v>
      </c>
      <c r="S5" s="77" t="e">
        <f>SUMIFS( INDEX( 'ETPT Format DDG'!$A:$EF,,MATCH("3.43. INJONCTIONS DE PAYER",'ETPT Format DDG'!2:2,0)),'ETPT Format DDG'!$C:$C,$D$5,'ETPT Format DDG'!$EA:$EA,"Fonctionnaire A-B-CBUR")+
SUMIFS( INDEX( 'ETPT Format DDG'!$A:$EF,,MATCH("3.44. SAISIE DES RÉMUNÉRATIONS",'ETPT Format DDG'!2:2,0)),'ETPT Format DDG'!$C:$C,$D$5,'ETPT Format DDG'!$EA:$EA,"Fonctionnaire A-B-CBUR")</f>
        <v>#N/A</v>
      </c>
      <c r="T5" s="77" t="e">
        <f>SUMIFS( INDEX( 'ETPT Format DDG'!$A:$EF,,MATCH("4.0. CONTENTIEUX GÉNÉRAL &lt;10.000€",'ETPT Format DDG'!2:2,0)),'ETPT Format DDG'!$C:$C,$D$5,'ETPT Format DDG'!$EA:$EA,"Fonctionnaire A-B-CBUR")</f>
        <v>#N/A</v>
      </c>
      <c r="U5" s="77" t="e">
        <f>SUMIFS( INDEX( 'ETPT Format DDG'!$A:$EF,,MATCH("1. TOTAL CONTENTIEUX SOCIAL",'ETPT Format DDG'!2:2,0)),'ETPT Format DDG'!$C:$C,$D$5,'ETPT Format DDG'!$EA:$EA,"Fonctionnaire A-B-CBUR")</f>
        <v>#N/A</v>
      </c>
      <c r="V5" s="77" t="e">
        <f>SUMIFS( INDEX( 'ETPT Format DDG'!$A:$EF,,MATCH("Temps ventilés sur la période (contentieux civils et sociaux)",'ETPT Format DDG'!2:2,0)),'ETPT Format DDG'!$C:$C,$D$5,'ETPT Format DDG'!$EA:$EA,"Fonctionnaire A-B-CBUR")-SUM(K5:U5)</f>
        <v>#N/A</v>
      </c>
      <c r="W5" s="65" t="e">
        <f>SUM(I5:V5)</f>
        <v>#N/A</v>
      </c>
      <c r="X5" s="83" t="e">
        <f>SUMIFS( INDEX( 'ETPT Format DDG'!$A:$EF,,MATCH("Temps ventilés sur la période (contentieux civils et sociaux)",'ETPT Format DDG'!2:2,0)),'ETPT Format DDG'!$C:$C,$D$5,'ETPT Format DDG'!$EA:$EA,"CONT A JP Autour du Juge")</f>
        <v>#N/A</v>
      </c>
      <c r="Y5" s="96" t="e">
        <f>SUMIFS( INDEX( 'ETPT Format DDG'!$A:$EF,,MATCH("Temps ventilés sur la période (contentieux civils et sociaux)",'ETPT Format DDG'!2:2,0)),'ETPT Format DDG'!$C:$C,$D$5,'ETPT Format DDG'!$EA:$EA,"JURISTE AS Parquet")</f>
        <v>#N/A</v>
      </c>
      <c r="Z5" s="96" t="e">
        <f>SUMIFS( INDEX( 'ETPT Format DDG'!$A:$EF,,MATCH("Temps ventilés sur la période (contentieux civils et sociaux)",'ETPT Format DDG'!2:2,0)),'ETPT Format DDG'!$C:$C,$D$5,'ETPT Format DDG'!$EA:$EA,"JURISTE AS Pôle social")</f>
        <v>#N/A</v>
      </c>
      <c r="AA5" s="95" t="e">
        <f>SUMIFS( INDEX( 'ETPT Format DDG'!$A:$EF,,MATCH("Temps ventilés sur la période (contentieux civils et sociaux)",'ETPT Format DDG'!2:2,0)),'ETPT Format DDG'!$C:$C,$D$5,'ETPT Format DDG'!$EA:$EA,"JURISTE AS siège Autres")</f>
        <v>#N/A</v>
      </c>
      <c r="AB5" s="65" t="e">
        <f t="shared" ref="AB5:AB15" si="1">SUM(X5:AA5)</f>
        <v>#N/A</v>
      </c>
      <c r="AC5" s="74" t="e">
        <f>SUMIFS( INDEX( 'ETPT Format DDG'!$A:$EF,,MATCH("3.2. PROTECTION DES MAJEURS",'ETPT Format DDG'!2:2,0)),'ETPT Format DDG'!$C:$C,$D$5,'ETPT Format DDG'!$EA:$EA,"Magistrat SIEGE NS")+
SUMIFS( INDEX( 'ETPT Format DDG'!$A:$EF,,MATCH("3.2. PROTECTION DES MAJEURS",'ETPT Format DDG'!2:2,0)),'ETPT Format DDG'!$C:$C,$D$5,'ETPT Format DDG'!$EA:$EA,"Magistrat SIEGE S")</f>
        <v>#N/A</v>
      </c>
      <c r="AD5" s="72" t="e">
        <f>SUMIFS( INDEX( 'ETPT Format DDG'!$A:$EF,,MATCH("3. TOTAL CONTENTIEUX DE LA PROTECTION",'ETPT Format DDG'!2:2,0)),'ETPT Format DDG'!$C:$C,$D$5,'ETPT Format DDG'!$EA:$EA,"Magistrat SIEGE NS")+
SUMIFS( INDEX( 'ETPT Format DDG'!$A:$EF,,MATCH("3. TOTAL CONTENTIEUX DE LA PROTECTION",'ETPT Format DDG'!2:2,0)),'ETPT Format DDG'!$C:$C,$D$5,'ETPT Format DDG'!$EA:$EA,"Magistrat SIEGE S")-
SUMIFS( INDEX( 'ETPT Format DDG'!$A:$EF,,MATCH("3.2. PROTECTION DES MAJEURS",'ETPT Format DDG'!2:2,0)),'ETPT Format DDG'!$C:$C,$D$5,'ETPT Format DDG'!$EA:$EA,"Magistrat SIEGE NS")-
SUMIFS( INDEX( 'ETPT Format DDG'!$A:$EF,,MATCH("3.2. PROTECTION DES MAJEURS",'ETPT Format DDG'!2:2,0)),'ETPT Format DDG'!$C:$C,$D$5,'ETPT Format DDG'!$EA:$EA,"Magistrat SIEGE S")-
SUMIFS( INDEX( 'ETPT Format DDG'!$A:$EF,,MATCH("3.43. INJONCTIONS DE PAYER",'ETPT Format DDG'!2:2,0)),'ETPT Format DDG'!$C:$C,$D$5,'ETPT Format DDG'!$EA:$EA,"Magistrat SIEGE NS")-
SUMIFS( INDEX( 'ETPT Format DDG'!$A:$EF,,MATCH("3.43. INJONCTIONS DE PAYER",'ETPT Format DDG'!2:2,0)),'ETPT Format DDG'!$C:$C,$D$5,'ETPT Format DDG'!$EA:$EA,"Magistrat SIEGE S")-
SUMIFS( INDEX( 'ETPT Format DDG'!$A:$EF,,MATCH("3.44. SAISIE DES RÉMUNÉRATIONS",'ETPT Format DDG'!2:2,0)),'ETPT Format DDG'!$C:$C,$D$5,'ETPT Format DDG'!$EA:$EA,"Magistrat SIEGE NS")-
SUMIFS( INDEX( 'ETPT Format DDG'!$A:$EF,,MATCH("3.44. SAISIE DES RÉMUNÉRATIONS",'ETPT Format DDG'!2:2,0)),'ETPT Format DDG'!$C:$C,$D$5,'ETPT Format DDG'!$EA:$EA,"Magistrat SIEGE S")</f>
        <v>#N/A</v>
      </c>
      <c r="AE5" s="91"/>
      <c r="AF5" s="91"/>
      <c r="AG5" s="91"/>
      <c r="AH5" s="91"/>
      <c r="AI5" s="91"/>
      <c r="AJ5" s="72" t="e">
        <f>SUMIFS( INDEX( 'ETPT Format DDG'!$A:$EF,,MATCH("6.1. ACTIVITÉ CIVILE",'ETPT Format DDG'!2:2,0)),'ETPT Format DDG'!$EA:$EA,"Magistrat SIEGE NS")+
SUMIFS( INDEX( 'ETPT Format DDG'!$A:$EF,,MATCH("6.1. ACTIVITÉ CIVILE",'ETPT Format DDG'!2:2,0)),'ETPT Format DDG'!$EA:$EA,"Magistrat SIEGE S")</f>
        <v>#N/A</v>
      </c>
      <c r="AK5" s="72" t="e">
        <f>SUMIFS( INDEX( 'ETPT Format DDG'!$A:$EF,,MATCH("5. TOTAL JLD CIVIL",'ETPT Format DDG'!2:2,0)),'ETPT Format DDG'!$EA:$EA,"Magistrat SIEGE NS")+
SUMIFS( INDEX( 'ETPT Format DDG'!$A:$EF,,MATCH("5. TOTAL JLD CIVIL",'ETPT Format DDG'!2:2,0)),'ETPT Format DDG'!$EA:$EA,"Magistrat SIEGE S")</f>
        <v>#N/A</v>
      </c>
      <c r="AL5" s="65" t="e">
        <f t="shared" ref="AL5:AL15" si="2">SUM(AC5:AK5)</f>
        <v>#N/A</v>
      </c>
      <c r="AM5" s="91"/>
      <c r="AN5" s="91"/>
      <c r="AO5" s="91"/>
      <c r="AP5" s="91"/>
      <c r="AQ5" s="91"/>
      <c r="AR5" s="91"/>
      <c r="AS5" s="74" t="e">
        <f>SUMIFS( INDEX( 'ETPT Format DDG'!$A:$EF,,MATCH("1.1. DÉPARTAGE PRUD'HOMAL",'ETPT Format DDG'!2:2,0)),'ETPT Format DDG'!$C:$C,$D$5,'ETPT Format DDG'!$EA:$EA,"Magistrat SIEGE NS")</f>
        <v>#N/A</v>
      </c>
      <c r="AT5" s="72" t="e">
        <f>SUMIFS( INDEX( 'ETPT Format DDG'!$A:$EF,,MATCH("4.0. CONTENTIEUX GÉNÉRAL &lt;10.000€",'ETPT Format DDG'!2:2,0)),'ETPT Format DDG'!$C:$C,$D$5,'ETPT Format DDG'!$EA:$EA,"Magistrat SIEGE NS")</f>
        <v>#N/A</v>
      </c>
      <c r="AU5" s="72" t="e">
        <f>SUMIFS( INDEX( 'ETPT Format DDG'!$A:$EF,,MATCH("3.43. INJONCTIONS DE PAYER",'ETPT Format DDG'!2:2,0)),'ETPT Format DDG'!$C:$C,$D$5,'ETPT Format DDG'!$EA:$EA,"Magistrat SIEGE NS")+
SUMIFS( INDEX( 'ETPT Format DDG'!$A:$EF,,MATCH("3.44. SAISIE DES RÉMUNÉRATIONS",'ETPT Format DDG'!2:2,0)),'ETPT Format DDG'!$C:$C,$D$5,'ETPT Format DDG'!$EA:$EA,"Magistrat SIEGE NS")</f>
        <v>#N/A</v>
      </c>
      <c r="AV5" s="72" t="e">
        <f>SUMIFS( INDEX( 'ETPT Format DDG'!$A:$EF,,MATCH("1. TOTAL CONTENTIEUX SOCIAL",'ETPT Format DDG'!2:2,0)),'ETPT Format DDG'!$C:$C,$D$5,'ETPT Format DDG'!$EA:$EA,"Magistrat SIEGE NS")-
SUMIFS( INDEX( 'ETPT Format DDG'!$A:$EF,,MATCH("1.1. DÉPARTAGE PRUD'HOMAL",'ETPT Format DDG'!2:2,0)),'ETPT Format DDG'!$C:$C,$D$5,'ETPT Format DDG'!$EA:$EA,"Magistrat SIEGE NS")</f>
        <v>#N/A</v>
      </c>
      <c r="AW5" s="184" t="e">
        <f>SUMIFS( INDEX( 'ETPT Format DDG'!$A:$EF,,MATCH("2. TOTAL CONTENTIEUX JAF",'ETPT Format DDG'!2:2,0)),'ETPT Format DDG'!$EA:$EA,"Magistrat SIEGE NS")</f>
        <v>#N/A</v>
      </c>
      <c r="AX5" s="74" t="e">
        <f>SUMIFS( INDEX( 'ETPT Format DDG'!$A:$EF,,MATCH("Temps ventilés sur la période (contentieux civils et sociaux)",'ETPT Format DDG'!2:2,0)),'ETPT Format DDG'!$C:$C,$D$5,'ETPT Format DDG'!$EA:$EA,"Magistrat SIEGE S")-
SUMIFS( INDEX( 'ETPT Format DDG'!$A:$EF,,MATCH("3. TOTAL CONTENTIEUX DE LA PROTECTION",'ETPT Format DDG'!2:2,0)),'ETPT Format DDG'!$C:$C,$D$5,'ETPT Format DDG'!$EA:$EA,"Magistrat SIEGE S")+
SUMIFS( INDEX( 'ETPT Format DDG'!$A:$EF,,MATCH("3.43. INJONCTIONS DE PAYER",'ETPT Format DDG'!2:2,0)),'ETPT Format DDG'!$C:$C,$D$5,'ETPT Format DDG'!$EA:$EA,"Magistrat SIEGE S")+
SUMIFS( INDEX( 'ETPT Format DDG'!$A:$EF,,MATCH("3.44. SAISIE DES RÉMUNÉRATIONS",'ETPT Format DDG'!2:2,0)),'ETPT Format DDG'!$C:$C,$D$5,'ETPT Format DDG'!$EA:$EA,"Magistrat SIEGE S")-
SUMIFS( INDEX( 'ETPT Format DDG'!$A:$EF,,MATCH("6.1. ACTIVITÉ CIVILE",'ETPT Format DDG'!2:2,0)),'ETPT Format DDG'!$C:$C,$D$5,'ETPT Format DDG'!$EA:$EA,"Magistrat SIEGE S")-
SUMIFS( INDEX( 'ETPT Format DDG'!$A:$EF,,MATCH("5. TOTAL JLD CIVIL",'ETPT Format DDG'!2:2,0)),'ETPT Format DDG'!$C:$C,$D$5,'ETPT Format DDG'!$EA:$EA,"Magistrat SIEGE S")</f>
        <v>#N/A</v>
      </c>
      <c r="AY5" s="74" t="e">
        <f>SUMIFS( INDEX( 'ETPT Format DDG'!$A:$EF,,MATCH("Temps ventilés sur la période (contentieux civils et sociaux)",'ETPT Format DDG'!2:2,0)),'ETPT Format DDG'!$C:$C,$D$5,'ETPT Format DDG'!$EA:$EA,"Magistrat SIEGE NS")-
SUMIFS( INDEX( 'ETPT Format DDG'!$A:$EF,,MATCH("3.2. PROTECTION DES MAJEURS",'ETPT Format DDG'!2:2,0)),'ETPT Format DDG'!$C:$C,$D$5,'ETPT Format DDG'!$EA:$EA,"Magistrat SIEGE NS")-
(SUMIFS( INDEX( 'ETPT Format DDG'!$A:$EF,,MATCH("3. TOTAL CONTENTIEUX DE LA PROTECTION",'ETPT Format DDG'!2:2,0)),'ETPT Format DDG'!$C:$C,$D$5,'ETPT Format DDG'!$EA:$EA,"Magistrat SIEGE NS")-
SUMIFS( INDEX( 'ETPT Format DDG'!$A:$EF,,MATCH("3.2. PROTECTION DES MAJEURS",'ETPT Format DDG'!2:2,0)),'ETPT Format DDG'!$C:$C,$D$5,'ETPT Format DDG'!$EA:$EA,"Magistrat SIEGE NS")-
SUMIFS( INDEX( 'ETPT Format DDG'!$A:$EF,,MATCH("3.43. INJONCTIONS DE PAYER",'ETPT Format DDG'!2:2,0)),'ETPT Format DDG'!$C:$C,$D$5,'ETPT Format DDG'!$EA:$EA,"Magistrat SIEGE NS")-
SUMIFS( INDEX( 'ETPT Format DDG'!$A:$EF,,MATCH("3.44. SAISIE DES RÉMUNÉRATIONS",'ETPT Format DDG'!2:2,0)),'ETPT Format DDG'!$C:$C,$D$5,'ETPT Format DDG'!$EA:$EA,"Magistrat SIEGE NS"))-
SUMIFS( INDEX( 'ETPT Format DDG'!$A:$EF,,MATCH("6.1. ACTIVITÉ CIVILE",'ETPT Format DDG'!2:2,0)),'ETPT Format DDG'!$C:$C,$D$5,'ETPT Format DDG'!$EA:$EA,"Magistrat SIEGE NS")-
SUMIFS( INDEX( 'ETPT Format DDG'!$A:$EF,,MATCH("5. TOTAL JLD CIVIL",'ETPT Format DDG'!2:2,0)),'ETPT Format DDG'!$C:$C,$D$5,'ETPT Format DDG'!$EA:$EA,"Magistrat SIEGE NS")-
SUM(AS5:AW5)</f>
        <v>#N/A</v>
      </c>
      <c r="AZ5" s="65" t="e">
        <f t="shared" ref="AZ5:AZ15" si="3">SUM(AM5:AY5)</f>
        <v>#N/A</v>
      </c>
      <c r="BA5" s="71"/>
      <c r="BB5" s="71"/>
      <c r="BC5" s="89"/>
      <c r="BD5" s="89"/>
      <c r="BE5" s="89"/>
      <c r="BF5" s="89"/>
      <c r="BG5" s="89"/>
      <c r="BH5" s="89"/>
      <c r="BI5" s="71"/>
      <c r="BJ5" s="65">
        <f t="shared" ref="BJ5:BJ15" si="4">SUM(BA5:BI5)</f>
        <v>0</v>
      </c>
    </row>
    <row r="6" spans="1:62" s="60" customFormat="1" ht="12" x14ac:dyDescent="0.15">
      <c r="A6" s="70" t="s">
        <v>193</v>
      </c>
      <c r="B6" s="80"/>
      <c r="C6" s="80"/>
      <c r="D6" s="81" t="str">
        <f t="shared" ref="D6:D15" si="5">$D$5</f>
        <v/>
      </c>
      <c r="E6" s="80" t="s">
        <v>211</v>
      </c>
      <c r="F6" s="80" t="s">
        <v>210</v>
      </c>
      <c r="G6" s="85" t="e">
        <f>SUMIFS( INDEX( 'ETPT Format DDG'!$A:$EF,,MATCH("Temps ventilés sur la période (affaires pénales)",'ETPT Format DDG'!2:2,0)),'ETPT Format DDG'!$EA:$EA,"Fonctionnaire CTECH")</f>
        <v>#N/A</v>
      </c>
      <c r="H6" s="78" t="e">
        <f t="shared" si="0"/>
        <v>#N/A</v>
      </c>
      <c r="I6" s="94"/>
      <c r="J6" s="77" t="e">
        <f>SUMIFS( INDEX( 'ETPT Format DDG'!$A:$EF,,MATCH("11.9. FONCTIONNAIRES AFFECTÉS À L'EXÉCUTION DES PEINES",'ETPT Format DDG'!2:2,0)),'ETPT Format DDG'!$EA:$EA,"Fonctionnaire A-B-CBUR")</f>
        <v>#N/A</v>
      </c>
      <c r="K6" s="77" t="e">
        <f>SUMIFS( INDEX( 'ETPT Format DDG'!$A:$EF,,MATCH("7.5. COUR D'ASSISES HORS JIRS",'ETPT Format DDG'!2:2,0)),'ETPT Format DDG'!$EA:$EA,"Fonctionnaire A-B-CBUR")+
SUMIFS( INDEX( 'ETPT Format DDG'!$A:$EF,,MATCH("7.51. COUR D'ASSISES JIRS",'ETPT Format DDG'!2:2,0)),'ETPT Format DDG'!$EA:$EA,"Fonctionnaire A-B-CBUR")</f>
        <v>#N/A</v>
      </c>
      <c r="L6" s="77" t="e">
        <f>SUMIFS( INDEX( 'ETPT Format DDG'!$A:$EF,,MATCH("7.52. COUR CRIMINELLE",'ETPT Format DDG'!2:2,0)),'ETPT Format DDG'!$EA:$EA,"Fonctionnaire A-B-CBUR")</f>
        <v>#N/A</v>
      </c>
      <c r="M6" s="77" t="e">
        <f>SUMIFS( INDEX( 'ETPT Format DDG'!$A:$EF,,MATCH("8.2. JIRS ÉCO-FI",'ETPT Format DDG'!2:2,0)),'ETPT Format DDG'!$EA:$EA,"Fonctionnaire A-B-CBUR")</f>
        <v>#N/A</v>
      </c>
      <c r="N6" s="77" t="e">
        <f>SUMIFS( INDEX( 'ETPT Format DDG'!$A:$EF,,MATCH("8.3. JIRS CRIM-ORG",'ETPT Format DDG'!2:2,0)),'ETPT Format DDG'!$EA:$EA,"Fonctionnaire A-B-CBUR")</f>
        <v>#N/A</v>
      </c>
      <c r="O6" s="77" t="e">
        <f>SUMIFS( INDEX( 'ETPT Format DDG'!$A:$EF,,MATCH("8.4. AUTRES SECTIONS SPÉCIALISÉES",'ETPT Format DDG'!2:2,0)),'ETPT Format DDG'!$EA:$EA,"Fonctionnaire A-B-CBUR")</f>
        <v>#N/A</v>
      </c>
      <c r="P6" s="94"/>
      <c r="Q6" s="94"/>
      <c r="R6" s="93" t="e">
        <f>SUMIFS( INDEX( 'ETPT Format DDG'!$A:$EF,,MATCH("6.2. ACTIVITÉ PÉNALE",'ETPT Format DDG'!2:2,0)),'ETPT Format DDG'!$EA:$EA,"Fonctionnaire A-B-CBUR")+
(SUMIFS( INDEX( 'ETPT Format DDG'!$A:$EF,,MATCH("8. TOTAL JUGES D'INSTRUCTION",'ETPT Format DDG'!2:2,0)),'ETPT Format DDG'!$EA:$EA,"Fonctionnaire A-B-CBUR")-
SUMIFS( INDEX( 'ETPT Format DDG'!$A:$EF,,MATCH("8.2. JIRS ÉCO-FI",'ETPT Format DDG'!2:2,0)),'ETPT Format DDG'!$EA:$EA,"Fonctionnaire A-B-CBUR")-
SUMIFS( INDEX( 'ETPT Format DDG'!$A:$EF,,MATCH("8.3. JIRS CRIM-ORG",'ETPT Format DDG'!2:2,0)),'ETPT Format DDG'!$EA:$EA,"Fonctionnaire A-B-CBUR")-
SUMIFS( INDEX( 'ETPT Format DDG'!$A:$EF,,MATCH("8.4. AUTRES SECTIONS SPÉCIALISÉES",'ETPT Format DDG'!2:2,0)),'ETPT Format DDG'!$EA:$EA,"Fonctionnaire A-B-CBUR"))+
SUMIFS( INDEX( 'ETPT Format DDG'!$A:$EF,,MATCH("9. TOTAL JAP",'ETPT Format DDG'!2:2,0)),'ETPT Format DDG'!$EA:$EA,"Fonctionnaire A-B-CBUR")+
SUMIFS( INDEX( 'ETPT Format DDG'!$A:$EF,,MATCH("10. TOTAL JLD PÉNAL",'ETPT Format DDG'!2:2,0)),'ETPT Format DDG'!$EA:$EA,"Fonctionnaire A-B-CBUR")</f>
        <v>#N/A</v>
      </c>
      <c r="S6" s="92"/>
      <c r="T6" s="92"/>
      <c r="U6" s="92"/>
      <c r="V6" s="77" t="e">
        <f>SUMIFS( INDEX( 'ETPT Format DDG'!$A:$EF,,MATCH("Temps ventilés sur la période (affaires pénales)",'ETPT Format DDG'!2:2,0)),'ETPT Format DDG'!$EA:$EA,"Fonctionnaire A-B-CBUR")+
SUMIFS( INDEX( 'ETPT Format DDG'!$A:$EF,,MATCH("11.10. AUTRES FONCTIONNAIRES AFFECTÉS AU PARQUET",'ETPT Format DDG'!2:2,0)),'ETPT Format DDG'!$EA:$EA,"Fonctionnaire A-B-CBUR")-
SUM(K6:U6)</f>
        <v>#N/A</v>
      </c>
      <c r="W6" s="65" t="e">
        <f t="shared" ref="W6:W15" si="6">SUM(I6:V6)</f>
        <v>#N/A</v>
      </c>
      <c r="X6" s="83" t="e">
        <f>SUMIFS( INDEX( 'ETPT Format DDG'!$A:$EF,,MATCH("Temps ventilés sur la période (affaires pénales)",'ETPT Format DDG'!2:2,0)),'ETPT Format DDG'!$EA:$EA,"CONT A JP Autour du Juge")+
SUMIFS( INDEX( 'ETPT Format DDG'!$A:$EF,,MATCH("11.10. AUTRES FONCTIONNAIRES AFFECTÉS AU PARQUET",'ETPT Format DDG'!2:2,0)),'ETPT Format DDG'!$EA:$EA,"CONT A JP Autour du Juge")</f>
        <v>#N/A</v>
      </c>
      <c r="Y6" s="83" t="e">
        <f>SUMIFS( INDEX( 'ETPT Format DDG'!$A:$EF,,MATCH("Temps ventilés sur la période (affaires pénales)",'ETPT Format DDG'!2:2,0)),'ETPT Format DDG'!$EA:$EA,"JURISTE AS Parquet")+
SUMIFS( INDEX( 'ETPT Format DDG'!$A:$EF,,MATCH("11.10. AUTRES FONCTIONNAIRES AFFECTÉS AU PARQUET",'ETPT Format DDG'!2:2,0)),'ETPT Format DDG'!$EA:$EA,"JURISTE AS Parquet")</f>
        <v>#N/A</v>
      </c>
      <c r="Z6" s="83" t="e">
        <f>SUMIFS( INDEX( 'ETPT Format DDG'!$A:$EF,,MATCH("Temps ventilés sur la période (affaires pénales)",'ETPT Format DDG'!2:2,0)),'ETPT Format DDG'!$EA:$EA,"JURISTE AS Pôle social")+
SUMIFS( INDEX( 'ETPT Format DDG'!$A:$EF,,MATCH("11.10. AUTRES FONCTIONNAIRES AFFECTÉS AU PARQUET",'ETPT Format DDG'!2:2,0)),'ETPT Format DDG'!$EA:$EA,"JURISTE AS Pôle social")</f>
        <v>#N/A</v>
      </c>
      <c r="AA6" s="83" t="e">
        <f>SUMIFS( INDEX( 'ETPT Format DDG'!$A:$EF,,MATCH("Temps ventilés sur la période (affaires pénales)",'ETPT Format DDG'!2:2,0)),'ETPT Format DDG'!$EA:$EA,"JURISTE AS siège Autres")+
SUMIFS( INDEX( 'ETPT Format DDG'!$A:$EF,,MATCH("11.10. AUTRES FONCTIONNAIRES AFFECTÉS AU PARQUET",'ETPT Format DDG'!2:2,0)),'ETPT Format DDG'!$EA:$EA,"JURISTE AS siège Autres")</f>
        <v>#N/A</v>
      </c>
      <c r="AB6" s="65" t="e">
        <f t="shared" si="1"/>
        <v>#N/A</v>
      </c>
      <c r="AC6" s="91"/>
      <c r="AD6" s="91"/>
      <c r="AE6" s="72" t="e">
        <f>SUMIFS( INDEX( 'ETPT Format DDG'!$A:$EF,,MATCH("8.1. SERVICE GÉNÉRAL",'ETPT Format DDG'!2:2,0)),'ETPT Format DDG'!$EA:$EA,"Magistrat SIEGE NS")+
SUMIFS( INDEX( 'ETPT Format DDG'!$A:$EF,,MATCH("8.1. SERVICE GÉNÉRAL",'ETPT Format DDG'!2:2,0)),'ETPT Format DDG'!$EA:$EA,"Magistrat SIEGE S")</f>
        <v>#N/A</v>
      </c>
      <c r="AF6" s="72" t="e">
        <f>SUMIFS( INDEX( 'ETPT Format DDG'!$A:$EF,,MATCH("8.2. JIRS ÉCO-FI",'ETPT Format DDG'!2:2,0)),'ETPT Format DDG'!$EA:$EA,"Magistrat SIEGE NS")+
SUMIFS( INDEX( 'ETPT Format DDG'!$A:$EF,,MATCH("8.2. JIRS ÉCO-FI",'ETPT Format DDG'!2:2,0)),'ETPT Format DDG'!$EA:$EA,"Magistrat SIEGE S")</f>
        <v>#N/A</v>
      </c>
      <c r="AG6" s="72" t="e">
        <f>SUMIFS( INDEX( 'ETPT Format DDG'!$A:$EF,,MATCH("8.3. JIRS CRIM-ORG",'ETPT Format DDG'!2:2,0)),'ETPT Format DDG'!$EA:$EA,"Magistrat SIEGE NS")+
SUMIFS( INDEX( 'ETPT Format DDG'!$A:$EF,,MATCH("8.3. JIRS CRIM-ORG",'ETPT Format DDG'!2:2,0)),'ETPT Format DDG'!$EA:$EA,"Magistrat SIEGE S")</f>
        <v>#N/A</v>
      </c>
      <c r="AH6" s="72" t="e">
        <f>SUMIFS( INDEX( 'ETPT Format DDG'!$A:$EF,,MATCH("8.4. AUTRES SECTIONS SPÉCIALISÉES",'ETPT Format DDG'!2:2,0)),'ETPT Format DDG'!$EA:$EA,"Magistrat SIEGE NS")+
SUMIFS( INDEX( 'ETPT Format DDG'!$A:$EF,,MATCH("8.4. AUTRES SECTIONS SPÉCIALISÉES",'ETPT Format DDG'!2:2,0)),'ETPT Format DDG'!$EA:$EA,"Magistrat SIEGE S")</f>
        <v>#N/A</v>
      </c>
      <c r="AI6" s="72" t="e">
        <f>SUMIFS( INDEX( 'ETPT Format DDG'!$A:$EF,,MATCH("9. TOTAL JAP",'ETPT Format DDG'!2:2,0)),'ETPT Format DDG'!$EA:$EA,"Magistrat SIEGE NS")+
SUMIFS( INDEX( 'ETPT Format DDG'!$A:$EF,,MATCH("9. TOTAL JAP",'ETPT Format DDG'!2:2,0)),'ETPT Format DDG'!$EA:$EA,"Magistrat SIEGE S")</f>
        <v>#N/A</v>
      </c>
      <c r="AJ6" s="72" t="e">
        <f>SUMIFS( INDEX( 'ETPT Format DDG'!$A:$EF,,MATCH("6.2. ACTIVITÉ PÉNALE",'ETPT Format DDG'!2:2,0)),'ETPT Format DDG'!$EA:$EA,"Magistrat SIEGE NS")+
SUMIFS( INDEX( 'ETPT Format DDG'!$A:$EF,,MATCH("6.2. ACTIVITÉ PÉNALE",'ETPT Format DDG'!2:2,0)),'ETPT Format DDG'!$EA:$EA,"Magistrat SIEGE S")</f>
        <v>#N/A</v>
      </c>
      <c r="AK6" s="72" t="e">
        <f>SUMIFS( INDEX( 'ETPT Format DDG'!$A:$EF,,MATCH("10. TOTAL JLD PÉNAL",'ETPT Format DDG'!2:2,0)),'ETPT Format DDG'!$EA:$EA,"Magistrat SIEGE NS")+
SUMIFS( INDEX( 'ETPT Format DDG'!$A:$EF,,MATCH("10. TOTAL JLD PÉNAL",'ETPT Format DDG'!2:2,0)),'ETPT Format DDG'!$EA:$EA,"Magistrat SIEGE S")</f>
        <v>#N/A</v>
      </c>
      <c r="AL6" s="65" t="e">
        <f t="shared" si="2"/>
        <v>#N/A</v>
      </c>
      <c r="AM6" s="72" t="e">
        <f>SUMIFS( INDEX( 'ETPT Format DDG'!$A:$EF,,MATCH("7.5. COUR D'ASSISES HORS JIRS",'ETPT Format DDG'!2:2,0)),'ETPT Format DDG'!$EA:$EA,"Magistrat SIEGE NS")+
SUMIFS( INDEX( 'ETPT Format DDG'!$A:$EF,,MATCH("7.51. COUR D'ASSISES JIRS",'ETPT Format DDG'!2:2,0)),'ETPT Format DDG'!$EA:$EA,"Magistrat SIEGE NS")</f>
        <v>#N/A</v>
      </c>
      <c r="AN6" s="72" t="e">
        <f>SUMIFS( INDEX( 'ETPT Format DDG'!$A:$EF,,MATCH("7.52. COUR CRIMINELLE",'ETPT Format DDG'!2:2,0)),'ETPT Format DDG'!$EA:$EA,"Magistrat SIEGE NS")</f>
        <v>#N/A</v>
      </c>
      <c r="AO6" s="72" t="e">
        <f>SUMIFS( INDEX( 'ETPT Format DDG'!$A:$EF,,MATCH("7.121. COLLÉGIALES JIRS ECO-FI",'ETPT Format DDG'!2:2,0)),'ETPT Format DDG'!$EA:$EA,"Magistrat SIEGE NS")</f>
        <v>#N/A</v>
      </c>
      <c r="AP6" s="72" t="e">
        <f>SUMIFS( INDEX( 'ETPT Format DDG'!$A:$EF,,MATCH("7.12. COLLÉGIALES JIRS CRIM-ORG",'ETPT Format DDG'!2:2,0)),'ETPT Format DDG'!$EA:$EA,"Magistrat SIEGE NS")</f>
        <v>#N/A</v>
      </c>
      <c r="AQ6" s="72" t="e">
        <f>SUMIFS( INDEX( 'ETPT Format DDG'!$A:$EF,,MATCH("7.122. COLLÉGIALES AUTRES SECTIONS SPÉCIALISÉES",'ETPT Format DDG'!2:2,0)),'ETPT Format DDG'!$EA:$EA,"Magistrat SIEGE NS")</f>
        <v>#N/A</v>
      </c>
      <c r="AR6" s="74" t="e">
        <f>SUMIFS( INDEX( 'ETPT Format DDG'!$A:$EF,,MATCH("7.6. TRIBUNAL DE POLICE",'ETPT Format DDG'!2:2,0)),'ETPT Format DDG'!$EA:$EA,"Magistrat SIEGE NS")+
SUMIFS( INDEX( 'ETPT Format DDG'!$A:$EF,,MATCH("7.7. OP CONTRAVENTIONNELLES",'ETPT Format DDG'!2:2,0)),'ETPT Format DDG'!$EA:$EA,"Magistrat SIEGE NS")</f>
        <v>#N/A</v>
      </c>
      <c r="AS6" s="91"/>
      <c r="AT6" s="91"/>
      <c r="AU6" s="91"/>
      <c r="AV6" s="91"/>
      <c r="AW6" s="91"/>
      <c r="AX6" s="74" t="e">
        <f>SUMIFS( INDEX( 'ETPT Format DDG'!$A:$EF,,MATCH("Temps ventilés sur la période (affaires pénales)",'ETPT Format DDG'!2:2,0)),'ETPT Format DDG'!$EA:$EA,"Magistrat SIEGE S")-
SUMIFS( INDEX( 'ETPT Format DDG'!$A:$EF,,MATCH("8.1. SERVICE GÉNÉRAL",'ETPT Format DDG'!2:2,0)),'ETPT Format DDG'!$EA:$EA,"Magistrat SIEGE S")-
SUMIFS( INDEX( 'ETPT Format DDG'!$A:$EF,,MATCH("8.2. JIRS ÉCO-FI",'ETPT Format DDG'!2:2,0)),'ETPT Format DDG'!$EA:$EA,"Magistrat SIEGE S")-
SUMIFS( INDEX( 'ETPT Format DDG'!$A:$EF,,MATCH("8.3. JIRS CRIM-ORG",'ETPT Format DDG'!2:2,0)),'ETPT Format DDG'!$EA:$EA,"Magistrat SIEGE S")-
SUMIFS( INDEX( 'ETPT Format DDG'!$A:$EF,,MATCH("8.4. AUTRES SECTIONS SPÉCIALISÉES",'ETPT Format DDG'!2:2,0)),'ETPT Format DDG'!$EA:$EA,"Magistrat SIEGE S")-
SUMIFS( INDEX( 'ETPT Format DDG'!$A:$EF,,MATCH("9. TOTAL JAP",'ETPT Format DDG'!2:2,0)),'ETPT Format DDG'!$EA:$EA,"Magistrat SIEGE S")-
SUMIFS( INDEX( 'ETPT Format DDG'!$A:$EF,,MATCH("6.2. ACTIVITÉ PÉNALE",'ETPT Format DDG'!2:2,0)),'ETPT Format DDG'!$EA:$EA,"Magistrat SIEGE S")-
SUMIFS( INDEX( 'ETPT Format DDG'!$A:$EF,,MATCH("10. TOTAL JLD PÉNAL",'ETPT Format DDG'!2:2,0)),'ETPT Format DDG'!$EA:$EA,"Magistrat SIEGE S")</f>
        <v>#N/A</v>
      </c>
      <c r="AY6" s="90" t="e">
        <f>SUMIFS( INDEX( 'ETPT Format DDG'!$A:$EF,,MATCH("Temps ventilés sur la période (affaires pénales)",'ETPT Format DDG'!2:2,0)),'ETPT Format DDG'!$EA:$EA,"Magistrat SIEGE NS")-
SUMIFS( INDEX( 'ETPT Format DDG'!$A:$EF,,MATCH("8.1. SERVICE GÉNÉRAL",'ETPT Format DDG'!2:2,0)),'ETPT Format DDG'!$EA:$EA,"Magistrat SIEGE NS")-
SUMIFS( INDEX( 'ETPT Format DDG'!$A:$EF,,MATCH("8.2. JIRS ÉCO-FI",'ETPT Format DDG'!2:2,0)),'ETPT Format DDG'!$EA:$EA,"Magistrat SIEGE NS")-
SUMIFS( INDEX( 'ETPT Format DDG'!$A:$EF,,MATCH("8.3. JIRS CRIM-ORG",'ETPT Format DDG'!2:2,0)),'ETPT Format DDG'!$EA:$EA,"Magistrat SIEGE NS")-
SUMIFS( INDEX( 'ETPT Format DDG'!$A:$EF,,MATCH("8.4. AUTRES SECTIONS SPÉCIALISÉES",'ETPT Format DDG'!2:2,0)),'ETPT Format DDG'!$EA:$EA,"Magistrat SIEGE NS")-
SUMIFS( INDEX( 'ETPT Format DDG'!$A:$EF,,MATCH("9. TOTAL JAP",'ETPT Format DDG'!2:2,0)),'ETPT Format DDG'!$EA:$EA,"Magistrat SIEGE NS")-
SUMIFS( INDEX( 'ETPT Format DDG'!$A:$EF,,MATCH("6.2. ACTIVITÉ PÉNALE",'ETPT Format DDG'!2:2,0)),'ETPT Format DDG'!$EA:$EA,"Magistrat SIEGE NS")-
SUMIFS( INDEX( 'ETPT Format DDG'!$A:$EF,,MATCH("10. TOTAL JLD PÉNAL",'ETPT Format DDG'!2:2,0)),'ETPT Format DDG'!$EA:$EA,"Magistrat SIEGE NS")-
SUM(AM6:AW6)</f>
        <v>#N/A</v>
      </c>
      <c r="AZ6" s="65" t="e">
        <f t="shared" si="3"/>
        <v>#N/A</v>
      </c>
      <c r="BA6" s="71"/>
      <c r="BB6" s="71"/>
      <c r="BC6" s="71"/>
      <c r="BD6" s="71"/>
      <c r="BE6" s="71"/>
      <c r="BF6" s="71"/>
      <c r="BG6" s="71"/>
      <c r="BH6" s="89"/>
      <c r="BI6" s="71"/>
      <c r="BJ6" s="65">
        <f>SUM(BA6:BI6)</f>
        <v>0</v>
      </c>
    </row>
    <row r="7" spans="1:62" s="60" customFormat="1" ht="14.25" customHeight="1" x14ac:dyDescent="0.15">
      <c r="A7" s="70" t="s">
        <v>193</v>
      </c>
      <c r="B7" s="80"/>
      <c r="C7" s="80"/>
      <c r="D7" s="81" t="str">
        <f t="shared" si="5"/>
        <v/>
      </c>
      <c r="E7" s="80" t="s">
        <v>209</v>
      </c>
      <c r="F7" s="80" t="s">
        <v>208</v>
      </c>
      <c r="G7" s="88"/>
      <c r="H7" s="78">
        <f t="shared" si="0"/>
        <v>0</v>
      </c>
      <c r="I7" s="82"/>
      <c r="J7" s="82"/>
      <c r="K7" s="82"/>
      <c r="L7" s="82"/>
      <c r="M7" s="82"/>
      <c r="N7" s="82"/>
      <c r="O7" s="82"/>
      <c r="P7" s="82"/>
      <c r="Q7" s="82"/>
      <c r="R7" s="82"/>
      <c r="S7" s="82"/>
      <c r="T7" s="82"/>
      <c r="U7" s="82"/>
      <c r="V7" s="82"/>
      <c r="W7" s="65">
        <f t="shared" si="6"/>
        <v>0</v>
      </c>
      <c r="X7" s="87"/>
      <c r="Y7" s="75"/>
      <c r="Z7" s="75"/>
      <c r="AA7" s="75"/>
      <c r="AB7" s="65">
        <f t="shared" si="1"/>
        <v>0</v>
      </c>
      <c r="AC7" s="82"/>
      <c r="AD7" s="72" t="e">
        <f>SUMIFS( INDEX( 'ETPT Format DDG'!$A:$EF,,MATCH("11.5. CSM",'ETPT Format DDG'!2:2,0)),'ETPT Format DDG'!$C:$C,$D$5,'ETPT Format DDG'!H:H,"JCP")+
SUMIFS( INDEX( 'ETPT Format DDG'!$A:$EF,,MATCH("11.5. CSM",'ETPT Format DDG'!2:2,0)),'ETPT Format DDG'!$C:$C,$D$5,'ETPT Format DDG'!H:H,"VPCP")+
SUMIFS( INDEX( 'ETPT Format DDG'!$A:$EF,,MATCH("11.5. CSM",'ETPT Format DDG'!2:2,0)),'ETPT Format DDG'!$C:$C,$D$5,'ETPT Format DDG'!H:H,"1VPCP")</f>
        <v>#N/A</v>
      </c>
      <c r="AE7" s="72" t="e">
        <f>SUMIFS( INDEX( 'ETPT Format DDG'!$A:$EF,,MATCH("11.5. CSM",'ETPT Format DDG'!2:2,0)),'ETPT Format DDG'!$C:$C,$D$5,'ETPT Format DDG'!H:H,"JI")+
SUMIFS( INDEX( 'ETPT Format DDG'!$A:$EF,,MATCH("11.5. CSM",'ETPT Format DDG'!2:2,0)),'ETPT Format DDG'!$C:$C,$D$5,'ETPT Format DDG'!H:H,"VPI")+
SUMIFS( INDEX( 'ETPT Format DDG'!$A:$EF,,MATCH("11.5. CSM",'ETPT Format DDG'!2:2,0)),'ETPT Format DDG'!$C:$C,$D$5,'ETPT Format DDG'!H:H,"1VPI")</f>
        <v>#N/A</v>
      </c>
      <c r="AF7" s="82"/>
      <c r="AG7" s="82"/>
      <c r="AH7" s="82"/>
      <c r="AI7" s="72" t="e">
        <f>SUMIFS( INDEX( 'ETPT Format DDG'!$A:$EF,,MATCH("11.5. CSM",'ETPT Format DDG'!2:2,0)),'ETPT Format DDG'!$C:$C,$D$5,'ETPT Format DDG'!H:H,"JAP")+
SUMIFS( INDEX( 'ETPT Format DDG'!$A:$EF,,MATCH("11.5. CSM",'ETPT Format DDG'!2:2,0)),'ETPT Format DDG'!$C:$C,$D$5,'ETPT Format DDG'!H:H,"VPAP")+
SUMIFS( INDEX( 'ETPT Format DDG'!$A:$EF,,MATCH("11.5. CSM",'ETPT Format DDG'!2:2,0)),'ETPT Format DDG'!$C:$C,$D$5,'ETPT Format DDG'!H:H,"1VPAP")</f>
        <v>#N/A</v>
      </c>
      <c r="AJ7" s="72" t="e">
        <f>SUMIFS( INDEX( 'ETPT Format DDG'!$A:$EF,,MATCH("11.5. CSM",'ETPT Format DDG'!2:2,0)),'ETPT Format DDG'!$C:$C,$D$5,'ETPT Format DDG'!H:H,"JE")+
SUMIFS( INDEX( 'ETPT Format DDG'!$A:$EF,,MATCH("11.5. CSM",'ETPT Format DDG'!2:2,0)),'ETPT Format DDG'!$C:$C,$D$5,'ETPT Format DDG'!H:H,"VPE")+
SUMIFS( INDEX( 'ETPT Format DDG'!$A:$EF,,MATCH("11.5. CSM",'ETPT Format DDG'!2:2,0)),'ETPT Format DDG'!$C:$C,$D$5,'ETPT Format DDG'!H:H,"1VPE")</f>
        <v>#N/A</v>
      </c>
      <c r="AK7" s="72" t="e">
        <f>SUMIFS( INDEX( 'ETPT Format DDG'!$A:$EF,,MATCH("11.5. CSM",'ETPT Format DDG'!2:2,0)),'ETPT Format DDG'!$C:$C,$D$5,'ETPT Format DDG'!H:H,"VPLD")+
SUMIFS( INDEX( 'ETPT Format DDG'!$A:$EF,,MATCH("11.5. CSM",'ETPT Format DDG'!2:2,0)),'ETPT Format DDG'!$C:$C,$D$5,'ETPT Format DDG'!H:H,"1VPLD")</f>
        <v>#N/A</v>
      </c>
      <c r="AL7" s="65" t="e">
        <f t="shared" si="2"/>
        <v>#N/A</v>
      </c>
      <c r="AM7" s="82"/>
      <c r="AN7" s="82"/>
      <c r="AO7" s="82"/>
      <c r="AP7" s="82"/>
      <c r="AQ7" s="82"/>
      <c r="AR7" s="82"/>
      <c r="AS7" s="82"/>
      <c r="AT7" s="82"/>
      <c r="AU7" s="82"/>
      <c r="AV7" s="82"/>
      <c r="AW7" s="82"/>
      <c r="AX7" s="82"/>
      <c r="AY7" s="72" t="e">
        <f>SUMIFS( INDEX( 'ETPT Format DDG'!$A:$EF,,MATCH("11.5. CSM",'ETPT Format DDG'!2:2,0)),'ETPT Format DDG'!$C:$C,$D$5,'ETPT Format DDG'!$EA:$EA,"Magistrat SIEGE NS")</f>
        <v>#N/A</v>
      </c>
      <c r="AZ7" s="65" t="e">
        <f t="shared" si="3"/>
        <v>#N/A</v>
      </c>
      <c r="BA7" s="71"/>
      <c r="BB7" s="71"/>
      <c r="BC7" s="71"/>
      <c r="BD7" s="71"/>
      <c r="BE7" s="71"/>
      <c r="BF7" s="71"/>
      <c r="BG7" s="71"/>
      <c r="BH7" s="71"/>
      <c r="BI7" s="71"/>
      <c r="BJ7" s="65">
        <f t="shared" si="4"/>
        <v>0</v>
      </c>
    </row>
    <row r="8" spans="1:62" s="60" customFormat="1" ht="14.25" customHeight="1" x14ac:dyDescent="0.15">
      <c r="A8" s="70" t="s">
        <v>193</v>
      </c>
      <c r="B8" s="80"/>
      <c r="C8" s="80"/>
      <c r="D8" s="81" t="str">
        <f t="shared" si="5"/>
        <v/>
      </c>
      <c r="E8" s="80" t="s">
        <v>207</v>
      </c>
      <c r="F8" s="80" t="s">
        <v>206</v>
      </c>
      <c r="G8" s="85" t="e">
        <f>SUMIFS( INDEX( 'ETPT Format DDG'!$A:$EF,,MATCH("11.51. ACCUEIL DU JUSTICIABLE (DONT SAUJ)",'ETPT Format DDG'!2:2,0)),'ETPT Format DDG'!$C:$C,$D$5,'ETPT Format DDG'!$EA:$EA,"Fonctionnaire CTECH")</f>
        <v>#N/A</v>
      </c>
      <c r="H8" s="78" t="e">
        <f t="shared" si="0"/>
        <v>#N/A</v>
      </c>
      <c r="I8" s="82"/>
      <c r="J8" s="82"/>
      <c r="K8" s="82"/>
      <c r="L8" s="82"/>
      <c r="M8" s="82"/>
      <c r="N8" s="82"/>
      <c r="O8" s="82"/>
      <c r="P8" s="82"/>
      <c r="Q8" s="82"/>
      <c r="R8" s="82"/>
      <c r="S8" s="82"/>
      <c r="T8" s="82"/>
      <c r="U8" s="82"/>
      <c r="V8" s="77" t="e">
        <f>SUMIFS( INDEX( 'ETPT Format DDG'!$A:$EF,,MATCH("11.51. ACCUEIL DU JUSTICIABLE (DONT SAUJ)",'ETPT Format DDG'!2:2,0)),'ETPT Format DDG'!$C:$C,$D$5,'ETPT Format DDG'!$EA:$EA,"Fonctionnaire A-B-CBUR")</f>
        <v>#N/A</v>
      </c>
      <c r="W8" s="65" t="e">
        <f t="shared" si="6"/>
        <v>#N/A</v>
      </c>
      <c r="X8" s="84" t="e">
        <f>SUMIFS( INDEX( 'ETPT Format DDG'!$A:$EF,,MATCH("11.51. ACCUEIL DU JUSTICIABLE (DONT SAUJ)",'ETPT Format DDG'!2:2,0)),'ETPT Format DDG'!$C:$C,$D$5,'ETPT Format DDG'!$EA:$EA,"CONT A JP Autour du Juge")</f>
        <v>#N/A</v>
      </c>
      <c r="Y8" s="84" t="e">
        <f>SUMIFS( INDEX( 'ETPT Format DDG'!$A:$EF,,MATCH("11.51. ACCUEIL DU JUSTICIABLE (DONT SAUJ)",'ETPT Format DDG'!2:2,0)),'ETPT Format DDG'!$C:$C,$D$5,'ETPT Format DDG'!$EA:$EA,"JURISTE AS Parquet")</f>
        <v>#N/A</v>
      </c>
      <c r="Z8" s="84" t="e">
        <f>SUMIFS( INDEX( 'ETPT Format DDG'!$A:$EF,,MATCH("11.51. ACCUEIL DU JUSTICIABLE (DONT SAUJ)",'ETPT Format DDG'!2:2,0)),'ETPT Format DDG'!$C:$C,$D$5,'ETPT Format DDG'!$EA:$EA,"JURISTE AS Pôle social")</f>
        <v>#N/A</v>
      </c>
      <c r="AA8" s="84" t="e">
        <f>SUMIFS( INDEX( 'ETPT Format DDG'!$A:$EF,,MATCH("11.51. ACCUEIL DU JUSTICIABLE (DONT SAUJ)",'ETPT Format DDG'!2:2,0)),'ETPT Format DDG'!$C:$C,$D$5,'ETPT Format DDG'!$EA:$EA,"JURISTE AS siège Autres")</f>
        <v>#N/A</v>
      </c>
      <c r="AB8" s="65" t="e">
        <f t="shared" si="1"/>
        <v>#N/A</v>
      </c>
      <c r="AC8" s="82"/>
      <c r="AD8" s="82"/>
      <c r="AE8" s="82"/>
      <c r="AF8" s="82"/>
      <c r="AG8" s="82"/>
      <c r="AH8" s="82"/>
      <c r="AI8" s="82"/>
      <c r="AJ8" s="82"/>
      <c r="AK8" s="82"/>
      <c r="AL8" s="65">
        <f t="shared" si="2"/>
        <v>0</v>
      </c>
      <c r="AM8" s="82"/>
      <c r="AN8" s="82"/>
      <c r="AO8" s="82"/>
      <c r="AP8" s="82"/>
      <c r="AQ8" s="82"/>
      <c r="AR8" s="82"/>
      <c r="AS8" s="82"/>
      <c r="AT8" s="82"/>
      <c r="AU8" s="82"/>
      <c r="AV8" s="82"/>
      <c r="AW8" s="82"/>
      <c r="AX8" s="82"/>
      <c r="AY8" s="82"/>
      <c r="AZ8" s="65">
        <f t="shared" si="3"/>
        <v>0</v>
      </c>
      <c r="BA8" s="71"/>
      <c r="BB8" s="71"/>
      <c r="BC8" s="71"/>
      <c r="BD8" s="71"/>
      <c r="BE8" s="71"/>
      <c r="BF8" s="71"/>
      <c r="BG8" s="71"/>
      <c r="BH8" s="71"/>
      <c r="BI8" s="71"/>
      <c r="BJ8" s="65">
        <f t="shared" si="4"/>
        <v>0</v>
      </c>
    </row>
    <row r="9" spans="1:62" s="60" customFormat="1" ht="14.25" customHeight="1" x14ac:dyDescent="0.15">
      <c r="A9" s="70" t="s">
        <v>193</v>
      </c>
      <c r="B9" s="80"/>
      <c r="C9" s="80"/>
      <c r="D9" s="81" t="str">
        <f t="shared" si="5"/>
        <v/>
      </c>
      <c r="E9" s="80" t="s">
        <v>205</v>
      </c>
      <c r="F9" s="80" t="s">
        <v>204</v>
      </c>
      <c r="G9" s="85" t="e">
        <f>SUMIFS( INDEX( 'ETPT Format DDG'!$A:$EF,,MATCH("11.1. SOUTIEN (HORS FORMATIONS SUIVIES)",'ETPT Format DDG'!2:2,0)),'ETPT Format DDG'!$C:$C,$D$5,'ETPT Format DDG'!$EA:$EA,"Fonctionnaire CTECH")+
SUMIFS( INDEX( 'ETPT Format DDG'!$A:$EF,,MATCH("11.2. FORMATIONS SUIVIES",'ETPT Format DDG'!2:2,0)),'ETPT Format DDG'!$C:$C,$D$5,'ETPT Format DDG'!$EA:$EA,"Fonctionnaire CTECH")+
SUMIFS( INDEX( 'ETPT Format DDG'!$A:$EF,,MATCH("11.6. AUTRES ACTIVITÉS NON JURIDICTIONNELLES",'ETPT Format DDG'!2:2,0)),'ETPT Format DDG'!$C:$C,$D$5,'ETPT Format DDG'!$EA:$EA,"Fonctionnaire CTECH")</f>
        <v>#N/A</v>
      </c>
      <c r="H9" s="78" t="e">
        <f t="shared" si="0"/>
        <v>#N/A</v>
      </c>
      <c r="I9" s="82"/>
      <c r="J9" s="82"/>
      <c r="K9" s="82"/>
      <c r="L9" s="82"/>
      <c r="M9" s="82"/>
      <c r="N9" s="82"/>
      <c r="O9" s="82"/>
      <c r="P9" s="82"/>
      <c r="Q9" s="82"/>
      <c r="R9" s="82"/>
      <c r="S9" s="82"/>
      <c r="T9" s="82"/>
      <c r="U9" s="82"/>
      <c r="V9" s="77" t="e">
        <f>SUMIFS( INDEX( 'ETPT Format DDG'!$A:$EF,,MATCH("11.1. SOUTIEN (HORS FORMATIONS SUIVIES)",'ETPT Format DDG'!2:2,0)),'ETPT Format DDG'!$C:$C,$D$5,'ETPT Format DDG'!$EA:$EA,"Fonctionnaire A-B-CBUR")+
SUMIFS( INDEX( 'ETPT Format DDG'!$A:$EF,,MATCH("11.2. FORMATIONS SUIVIES",'ETPT Format DDG'!2:2,0)),'ETPT Format DDG'!$C:$C,$D$5,'ETPT Format DDG'!$EA:$EA,"Fonctionnaire A-B-CBUR")+
SUMIFS( INDEX( 'ETPT Format DDG'!$A:$EF,,MATCH("11.6. AUTRES ACTIVITÉS NON JURIDICTIONNELLES",'ETPT Format DDG'!2:2,0)),'ETPT Format DDG'!$C:$C,$D$5,'ETPT Format DDG'!$EA:$EA,"Fonctionnaire A-B-CBUR")+
SUMIFS( INDEX( 'ETPT Format DDG'!$A:$EF,,MATCH("Temps ventilé sur la période (y.c. indisponibilité)",'ETPT Format DDG'!2:2,0)),'ETPT Format DDG'!$C:$C,$D$5,'ETPT Format DDG'!$EA:$EA,"CONT A JP Greffe")</f>
        <v>#N/A</v>
      </c>
      <c r="W9" s="65" t="e">
        <f t="shared" si="6"/>
        <v>#N/A</v>
      </c>
      <c r="X9" s="84" t="e">
        <f>SUMIFS( INDEX( 'ETPT Format DDG'!$A:$EF,,MATCH("11.1. SOUTIEN (HORS FORMATIONS SUIVIES)",'ETPT Format DDG'!2:2,0)),'ETPT Format DDG'!$C:$C,$D$5,'ETPT Format DDG'!$EA:$EA,"CONT A JP Autour du Juge")+
SUMIFS( INDEX( 'ETPT Format DDG'!$A:$EF,,MATCH("11.2. FORMATIONS SUIVIES",'ETPT Format DDG'!2:2,0)),'ETPT Format DDG'!$C:$C,$D$5,'ETPT Format DDG'!$EA:$EA,"CONT A JP Autour du Juge")+
SUMIFS( INDEX( 'ETPT Format DDG'!$A:$EF,,MATCH("11.6. AUTRES ACTIVITÉS NON JURIDICTIONNELLES",'ETPT Format DDG'!2:2,0)),'ETPT Format DDG'!$C:$C,$D$5,'ETPT Format DDG'!$EA:$EA,"CONT A JP Autour du Juge")</f>
        <v>#N/A</v>
      </c>
      <c r="Y9" s="84" t="e">
        <f>SUMIFS( INDEX( 'ETPT Format DDG'!$A:$EF,,MATCH("11.1. SOUTIEN (HORS FORMATIONS SUIVIES)",'ETPT Format DDG'!2:2,0)),'ETPT Format DDG'!$C:$C,$D$5,'ETPT Format DDG'!$EA:$EA,"JURISTE AS Parquet")+
SUMIFS( INDEX( 'ETPT Format DDG'!$A:$EF,,MATCH("11.2. FORMATIONS SUIVIES",'ETPT Format DDG'!2:2,0)),'ETPT Format DDG'!$C:$C,$D$5,'ETPT Format DDG'!$EA:$EA,"JURISTE AS Parquet")+
SUMIFS( INDEX( 'ETPT Format DDG'!$A:$EF,,MATCH("11.6. AUTRES ACTIVITÉS NON JURIDICTIONNELLES",'ETPT Format DDG'!2:2,0)),'ETPT Format DDG'!$C:$C,$D$5,'ETPT Format DDG'!$EA:$EA,"JURISTE AS Parquet")</f>
        <v>#N/A</v>
      </c>
      <c r="Z9" s="84" t="e">
        <f>SUMIFS( INDEX( 'ETPT Format DDG'!$A:$EF,,MATCH("11.1. SOUTIEN (HORS FORMATIONS SUIVIES)",'ETPT Format DDG'!2:2,0)),'ETPT Format DDG'!$C:$C,$D$5,'ETPT Format DDG'!$EA:$EA,"JURISTE AS Pôle social")+
SUMIFS( INDEX( 'ETPT Format DDG'!$A:$EF,,MATCH("11.2. FORMATIONS SUIVIES",'ETPT Format DDG'!2:2,0)),'ETPT Format DDG'!$C:$C,$D$5,'ETPT Format DDG'!$EA:$EA,"JURISTE AS Pôle social")+
SUMIFS( INDEX( 'ETPT Format DDG'!$A:$EF,,MATCH("11.6. AUTRES ACTIVITÉS NON JURIDICTIONNELLES",'ETPT Format DDG'!2:2,0)),'ETPT Format DDG'!$C:$C,$D$5,'ETPT Format DDG'!$EA:$EA,"JURISTE AS Pôle social")</f>
        <v>#N/A</v>
      </c>
      <c r="AA9" s="84" t="e">
        <f>SUMIFS( INDEX( 'ETPT Format DDG'!$A:$EF,,MATCH("11.1. SOUTIEN (HORS FORMATIONS SUIVIES)",'ETPT Format DDG'!2:2,0)),'ETPT Format DDG'!$C:$C,$D$5,'ETPT Format DDG'!$EA:$EA,"JURISTE AS siège Autres")+
SUMIFS( INDEX( 'ETPT Format DDG'!$A:$EF,,MATCH("11.2. FORMATIONS SUIVIES",'ETPT Format DDG'!2:2,0)),'ETPT Format DDG'!$C:$C,$D$5,'ETPT Format DDG'!$EA:$EA,"JURISTE AS siège Autres")+
SUMIFS( INDEX( 'ETPT Format DDG'!$A:$EF,,MATCH("11.6. AUTRES ACTIVITÉS NON JURIDICTIONNELLES",'ETPT Format DDG'!2:2,0)),'ETPT Format DDG'!$C:$C,$D$5,'ETPT Format DDG'!$EA:$EA,"JURISTE AS siège Autres")</f>
        <v>#N/A</v>
      </c>
      <c r="AB9" s="65" t="e">
        <f t="shared" si="1"/>
        <v>#N/A</v>
      </c>
      <c r="AC9" s="82"/>
      <c r="AD9" s="72" t="e">
        <f>SUMIFS( INDEX( 'ETPT Format DDG'!$A:$EF,,MATCH("11.1. SOUTIEN (HORS FORMATIONS SUIVIES)",'ETPT Format DDG'!2:2,0)),'ETPT Format DDG'!$C:$C,$D$5,'ETPT Format DDG'!$H:$H,"JCP")+
SUMIFS( INDEX( 'ETPT Format DDG'!$A:$EF,,MATCH("11.1. SOUTIEN (HORS FORMATIONS SUIVIES)",'ETPT Format DDG'!2:2,0)),'ETPT Format DDG'!$C:$C,$D$5,'ETPT Format DDG'!$H:$H,"VPCP")+
SUMIFS( INDEX( 'ETPT Format DDG'!$A:$EF,,MATCH("11.1. SOUTIEN (HORS FORMATIONS SUIVIES)",'ETPT Format DDG'!2:2,0)),'ETPT Format DDG'!$C:$C,$D$5,'ETPT Format DDG'!$H:$H,"1VPCP")+
SUMIFS( INDEX( 'ETPT Format DDG'!$A:$EF,,MATCH("11.2. FORMATIONS SUIVIES",'ETPT Format DDG'!2:2,0)),'ETPT Format DDG'!$C:$C,$D$5,'ETPT Format DDG'!$H:$H,"JCP")+
SUMIFS( INDEX( 'ETPT Format DDG'!$A:$EF,,MATCH("11.2. FORMATIONS SUIVIES",'ETPT Format DDG'!2:2,0)),'ETPT Format DDG'!$C:$C,$D$5,'ETPT Format DDG'!$H:$H,"VPCP")+
SUMIFS( INDEX( 'ETPT Format DDG'!$A:$EF,,MATCH("11.2. FORMATIONS SUIVIES",'ETPT Format DDG'!2:2,0)),'ETPT Format DDG'!$C:$C,$D$5,'ETPT Format DDG'!$H:$H,"1VPCP")+
SUMIFS( INDEX( 'ETPT Format DDG'!$A:$EF,,MATCH("11.6. AUTRES ACTIVITÉS NON JURIDICTIONNELLES",'ETPT Format DDG'!2:2,0)),'ETPT Format DDG'!$C:$C,$D$5,'ETPT Format DDG'!$H:$H,"JCP")+
SUMIFS( INDEX( 'ETPT Format DDG'!$A:$EF,,MATCH("11.6. AUTRES ACTIVITÉS NON JURIDICTIONNELLES",'ETPT Format DDG'!2:2,0)),'ETPT Format DDG'!$C:$C,$D$5,'ETPT Format DDG'!$H:$H,"VPCP")+
SUMIFS( INDEX( 'ETPT Format DDG'!$A:$EF,,MATCH("11.6. AUTRES ACTIVITÉS NON JURIDICTIONNELLES",'ETPT Format DDG'!2:2,0)),'ETPT Format DDG'!$C:$C,$D$5,'ETPT Format DDG'!$H:$H,"1VPCP")</f>
        <v>#N/A</v>
      </c>
      <c r="AE9" s="72" t="e">
        <f>SUMIFS( INDEX( 'ETPT Format DDG'!$A:$EF,,MATCH("11.1. SOUTIEN (HORS FORMATIONS SUIVIES)",'ETPT Format DDG'!2:2,0)),'ETPT Format DDG'!$C:$C,$D$5,'ETPT Format DDG'!$H:$H,"JI")+
SUMIFS( INDEX( 'ETPT Format DDG'!$A:$EF,,MATCH("11.1. SOUTIEN (HORS FORMATIONS SUIVIES)",'ETPT Format DDG'!2:2,0)),'ETPT Format DDG'!$C:$C,$D$5,'ETPT Format DDG'!$H:$H,"VPI")+
SUMIFS( INDEX( 'ETPT Format DDG'!$A:$EF,,MATCH("11.1. SOUTIEN (HORS FORMATIONS SUIVIES)",'ETPT Format DDG'!2:2,0)),'ETPT Format DDG'!$C:$C,$D$5,'ETPT Format DDG'!$H:$H,"1VPI")+
SUMIFS( INDEX( 'ETPT Format DDG'!$A:$EF,,MATCH("11.2. FORMATIONS SUIVIES",'ETPT Format DDG'!2:2,0)),'ETPT Format DDG'!$C:$C,$D$5,'ETPT Format DDG'!$H:$H,"JI")+
SUMIFS( INDEX( 'ETPT Format DDG'!$A:$EF,,MATCH("11.2. FORMATIONS SUIVIES",'ETPT Format DDG'!2:2,0)),'ETPT Format DDG'!$C:$C,$D$5,'ETPT Format DDG'!$H:$H,"VPI")+
SUMIFS( INDEX( 'ETPT Format DDG'!$A:$EF,,MATCH("11.2. FORMATIONS SUIVIES",'ETPT Format DDG'!2:2,0)),'ETPT Format DDG'!$C:$C,$D$5,'ETPT Format DDG'!$H:$H,"1VPI")+
SUMIFS( INDEX( 'ETPT Format DDG'!$A:$EF,,MATCH("11.6. AUTRES ACTIVITÉS NON JURIDICTIONNELLES",'ETPT Format DDG'!2:2,0)),'ETPT Format DDG'!$C:$C,$D$5,'ETPT Format DDG'!$H:$H,"JI")+
SUMIFS( INDEX( 'ETPT Format DDG'!$A:$EF,,MATCH("11.6. AUTRES ACTIVITÉS NON JURIDICTIONNELLES",'ETPT Format DDG'!2:2,0)),'ETPT Format DDG'!$C:$C,$D$5,'ETPT Format DDG'!$H:$H,"VPI")+
SUMIFS( INDEX( 'ETPT Format DDG'!$A:$EF,,MATCH("11.6. AUTRES ACTIVITÉS NON JURIDICTIONNELLES",'ETPT Format DDG'!2:2,0)),'ETPT Format DDG'!$C:$C,$D$5,'ETPT Format DDG'!$H:$H,"1VPI")</f>
        <v>#N/A</v>
      </c>
      <c r="AF9" s="82"/>
      <c r="AG9" s="82"/>
      <c r="AH9" s="82"/>
      <c r="AI9" s="72" t="e">
        <f>SUMIFS( INDEX( 'ETPT Format DDG'!$A:$EF,,MATCH("11.1. SOUTIEN (HORS FORMATIONS SUIVIES)",'ETPT Format DDG'!2:2,0)),'ETPT Format DDG'!$C:$C,$D$5,'ETPT Format DDG'!H:H,"JAP")+
SUMIFS( INDEX( 'ETPT Format DDG'!$A:$EF,,MATCH("11.1. SOUTIEN (HORS FORMATIONS SUIVIES)",'ETPT Format DDG'!2:2,0)),'ETPT Format DDG'!$C:$C,$D$5,'ETPT Format DDG'!H:H,"VPAP")+
SUMIFS( INDEX( 'ETPT Format DDG'!$A:$EF,,MATCH("11.1. SOUTIEN (HORS FORMATIONS SUIVIES)",'ETPT Format DDG'!2:2,0)),'ETPT Format DDG'!$C:$C,$D$5,'ETPT Format DDG'!H:H,"1VPAP")+
SUMIFS( INDEX( 'ETPT Format DDG'!$A:$EF,,MATCH("11.2. FORMATIONS SUIVIES",'ETPT Format DDG'!2:2,0)),'ETPT Format DDG'!$C:$C,$D$5,'ETPT Format DDG'!H:H,"JAP")+
SUMIFS( INDEX( 'ETPT Format DDG'!$A:$EF,,MATCH("11.2. FORMATIONS SUIVIES",'ETPT Format DDG'!2:2,0)),'ETPT Format DDG'!$C:$C,$D$5,'ETPT Format DDG'!H:H,"VPAP")+
SUMIFS( INDEX( 'ETPT Format DDG'!$A:$EF,,MATCH("11.2. FORMATIONS SUIVIES",'ETPT Format DDG'!2:2,0)),'ETPT Format DDG'!$C:$C,$D$5,'ETPT Format DDG'!H:H,"1VPAP")+
SUMIFS( INDEX( 'ETPT Format DDG'!$A:$EF,,MATCH("11.6. AUTRES ACTIVITÉS NON JURIDICTIONNELLES",'ETPT Format DDG'!2:2,0)),'ETPT Format DDG'!$C:$C,$D$5,'ETPT Format DDG'!H:H,"JAP")+
SUMIFS( INDEX( 'ETPT Format DDG'!$A:$EF,,MATCH("11.6. AUTRES ACTIVITÉS NON JURIDICTIONNELLES",'ETPT Format DDG'!2:2,0)),'ETPT Format DDG'!$C:$C,$D$5,'ETPT Format DDG'!H:H,"VPAP")+
SUMIFS( INDEX( 'ETPT Format DDG'!$A:$EF,,MATCH("11.6. AUTRES ACTIVITÉS NON JURIDICTIONNELLES",'ETPT Format DDG'!2:2,0)),'ETPT Format DDG'!$C:$C,$D$5,'ETPT Format DDG'!H:H,"1VPAP")</f>
        <v>#N/A</v>
      </c>
      <c r="AJ9" s="72" t="e">
        <f>SUMIFS( INDEX( 'ETPT Format DDG'!$A:$EF,,MATCH("11.1. SOUTIEN (HORS FORMATIONS SUIVIES)",'ETPT Format DDG'!2:2,0)),'ETPT Format DDG'!$C:$C,$D$5,'ETPT Format DDG'!H:H,"JE")+
SUMIFS( INDEX( 'ETPT Format DDG'!$A:$EF,,MATCH("11.1. SOUTIEN (HORS FORMATIONS SUIVIES)",'ETPT Format DDG'!2:2,0)),'ETPT Format DDG'!$C:$C,$D$5,'ETPT Format DDG'!H:H,"VPE")+
SUMIFS( INDEX( 'ETPT Format DDG'!$A:$EF,,MATCH("11.1. SOUTIEN (HORS FORMATIONS SUIVIES)",'ETPT Format DDG'!2:2,0)),'ETPT Format DDG'!$C:$C,$D$5,'ETPT Format DDG'!H:H,"1VPE")+
SUMIFS( INDEX( 'ETPT Format DDG'!$A:$EF,,MATCH("11.2. FORMATIONS SUIVIES",'ETPT Format DDG'!2:2,0)),'ETPT Format DDG'!$C:$C,$D$5,'ETPT Format DDG'!H:H,"JE")+
SUMIFS( INDEX( 'ETPT Format DDG'!$A:$EF,,MATCH("11.2. FORMATIONS SUIVIES",'ETPT Format DDG'!2:2,0)),'ETPT Format DDG'!$C:$C,$D$5,'ETPT Format DDG'!H:H,"VPE")+
SUMIFS( INDEX( 'ETPT Format DDG'!$A:$EF,,MATCH("11.2. FORMATIONS SUIVIES",'ETPT Format DDG'!2:2,0)),'ETPT Format DDG'!$C:$C,$D$5,'ETPT Format DDG'!H:H,"1VPE")+
SUMIFS( INDEX( 'ETPT Format DDG'!$A:$EF,,MATCH("11.6. AUTRES ACTIVITÉS NON JURIDICTIONNELLES",'ETPT Format DDG'!2:2,0)),'ETPT Format DDG'!$C:$C,$D$5,'ETPT Format DDG'!H:H,"JE")+
SUMIFS( INDEX( 'ETPT Format DDG'!$A:$EF,,MATCH("11.6. AUTRES ACTIVITÉS NON JURIDICTIONNELLES",'ETPT Format DDG'!2:2,0)),'ETPT Format DDG'!$C:$C,$D$5,'ETPT Format DDG'!H:H,"VPE")+
SUMIFS( INDEX( 'ETPT Format DDG'!$A:$EF,,MATCH("11.6. AUTRES ACTIVITÉS NON JURIDICTIONNELLES",'ETPT Format DDG'!2:2,0)),'ETPT Format DDG'!$C:$C,$D$5,'ETPT Format DDG'!H:H,"1VPE")</f>
        <v>#N/A</v>
      </c>
      <c r="AK9" s="72" t="e">
        <f>SUMIFS( INDEX( 'ETPT Format DDG'!$A:$EF,,MATCH("11.1. SOUTIEN (HORS FORMATIONS SUIVIES)",'ETPT Format DDG'!2:2,0)),'ETPT Format DDG'!$C:$C,$D$5,'ETPT Format DDG'!H:H,"VPLD")+
SUMIFS( INDEX( 'ETPT Format DDG'!$A:$EF,,MATCH("11.1. SOUTIEN (HORS FORMATIONS SUIVIES)",'ETPT Format DDG'!2:2,0)),'ETPT Format DDG'!$C:$C,$D$5,'ETPT Format DDG'!H:H,"1VPLD")+
SUMIFS( INDEX( 'ETPT Format DDG'!$A:$EF,,MATCH("11.2. FORMATIONS SUIVIES",'ETPT Format DDG'!2:2,0)),'ETPT Format DDG'!$C:$C,$D$5,'ETPT Format DDG'!H:H,"VPLD")+
SUMIFS( INDEX( 'ETPT Format DDG'!$A:$EF,,MATCH("11.2. FORMATIONS SUIVIES",'ETPT Format DDG'!2:2,0)),'ETPT Format DDG'!$C:$C,$D$5,'ETPT Format DDG'!H:H,"1VPLD")+
SUMIFS( INDEX( 'ETPT Format DDG'!$A:$EF,,MATCH("11.6. AUTRES ACTIVITÉS NON JURIDICTIONNELLES",'ETPT Format DDG'!2:2,0)),'ETPT Format DDG'!$C:$C,$D$5,'ETPT Format DDG'!H:H,"VPLD")+
SUMIFS( INDEX( 'ETPT Format DDG'!$A:$EF,,MATCH("11.6. AUTRES ACTIVITÉS NON JURIDICTIONNELLES",'ETPT Format DDG'!2:2,0)),'ETPT Format DDG'!$C:$C,$D$5,'ETPT Format DDG'!H:H,"1VPLD")</f>
        <v>#N/A</v>
      </c>
      <c r="AL9" s="65" t="e">
        <f t="shared" si="2"/>
        <v>#N/A</v>
      </c>
      <c r="AM9" s="82"/>
      <c r="AN9" s="82"/>
      <c r="AO9" s="82"/>
      <c r="AP9" s="82"/>
      <c r="AQ9" s="82"/>
      <c r="AR9" s="82"/>
      <c r="AS9" s="82"/>
      <c r="AT9" s="82"/>
      <c r="AU9" s="82"/>
      <c r="AV9" s="82"/>
      <c r="AW9" s="82"/>
      <c r="AX9" s="82"/>
      <c r="AY9" s="72" t="e">
        <f>SUMIFS( INDEX( 'ETPT Format DDG'!$A:$EF,,MATCH("11.1. SOUTIEN (HORS FORMATIONS SUIVIES)",'ETPT Format DDG'!2:2,0)),'ETPT Format DDG'!$C:$C,$D$5,'ETPT Format DDG'!$EA:$EA,"Magistrat SIEGE NS")+
SUMIFS( INDEX( 'ETPT Format DDG'!$A:$EF,,MATCH("11.2. FORMATIONS SUIVIES",'ETPT Format DDG'!2:2,0)),'ETPT Format DDG'!$C:$C,$D$5,'ETPT Format DDG'!$EA:$EA,"Magistrat SIEGE NS")+
SUMIFS( INDEX( 'ETPT Format DDG'!$A:$EF,,MATCH("11.6. AUTRES ACTIVITÉS NON JURIDICTIONNELLES",'ETPT Format DDG'!2:2,0)),'ETPT Format DDG'!$C:$C,$D$5,'ETPT Format DDG'!$EA:$EA,"Magistrat SIEGE NS")</f>
        <v>#N/A</v>
      </c>
      <c r="AZ9" s="65" t="e">
        <f t="shared" si="3"/>
        <v>#N/A</v>
      </c>
      <c r="BA9" s="71"/>
      <c r="BB9" s="71"/>
      <c r="BC9" s="71"/>
      <c r="BD9" s="71"/>
      <c r="BE9" s="71"/>
      <c r="BF9" s="71"/>
      <c r="BG9" s="71"/>
      <c r="BH9" s="71"/>
      <c r="BI9" s="71"/>
      <c r="BJ9" s="65">
        <f t="shared" si="4"/>
        <v>0</v>
      </c>
    </row>
    <row r="10" spans="1:62" s="60" customFormat="1" ht="14.25" customHeight="1" x14ac:dyDescent="0.15">
      <c r="A10" s="70" t="s">
        <v>193</v>
      </c>
      <c r="B10" s="80"/>
      <c r="C10" s="80"/>
      <c r="D10" s="81" t="str">
        <f t="shared" si="5"/>
        <v/>
      </c>
      <c r="E10" s="80" t="s">
        <v>203</v>
      </c>
      <c r="F10" s="80" t="s">
        <v>202</v>
      </c>
      <c r="G10" s="85" t="e">
        <f>SUMIFS( INDEX( 'ETPT Format DDG'!$A:$EF,,MATCH("11.3. FORMATIONS DISPENSÉES",'ETPT Format DDG'!2:2,0)),'ETPT Format DDG'!$C:$C,$D$5,'ETPT Format DDG'!$EA:$EA,"Fonctionnaire CTECH")</f>
        <v>#N/A</v>
      </c>
      <c r="H10" s="78" t="e">
        <f t="shared" si="0"/>
        <v>#N/A</v>
      </c>
      <c r="I10" s="82"/>
      <c r="J10" s="82"/>
      <c r="K10" s="82"/>
      <c r="L10" s="82"/>
      <c r="M10" s="82"/>
      <c r="N10" s="82"/>
      <c r="O10" s="82"/>
      <c r="P10" s="82"/>
      <c r="Q10" s="82"/>
      <c r="R10" s="82"/>
      <c r="S10" s="82"/>
      <c r="T10" s="82"/>
      <c r="U10" s="82"/>
      <c r="V10" s="77" t="e">
        <f>SUMIFS( INDEX( 'ETPT Format DDG'!$A:$EF,,MATCH("11.3. FORMATIONS DISPENSÉES",'ETPT Format DDG'!2:2,0)),'ETPT Format DDG'!$C:$C,$D$5,'ETPT Format DDG'!$EA:$EA,"Fonctionnaire A-B-CBUR")</f>
        <v>#N/A</v>
      </c>
      <c r="W10" s="65" t="e">
        <f t="shared" si="6"/>
        <v>#N/A</v>
      </c>
      <c r="X10" s="84" t="e">
        <f>SUMIFS( INDEX( 'ETPT Format DDG'!$A:$EF,,MATCH("11.3. FORMATIONS DISPENSÉES",'ETPT Format DDG'!2:2,0)),'ETPT Format DDG'!$C:$C,$D$5,'ETPT Format DDG'!$EA:$EA,"CONT A JP Autour du Juge")</f>
        <v>#N/A</v>
      </c>
      <c r="Y10" s="84" t="e">
        <f>SUMIFS( INDEX( 'ETPT Format DDG'!$A:$EF,,MATCH("11.3. FORMATIONS DISPENSÉES",'ETPT Format DDG'!2:2,0)),'ETPT Format DDG'!$C:$C,$D$5,'ETPT Format DDG'!$EA:$EA,"JURISTE AS Parquet")</f>
        <v>#N/A</v>
      </c>
      <c r="Z10" s="84" t="e">
        <f>SUMIFS( INDEX( 'ETPT Format DDG'!$A:$EF,,MATCH("11.3. FORMATIONS DISPENSÉES",'ETPT Format DDG'!2:2,0)),'ETPT Format DDG'!$C:$C,$D$5,'ETPT Format DDG'!$EA:$EA,"JURISTE AS Pôle social")</f>
        <v>#N/A</v>
      </c>
      <c r="AA10" s="84" t="e">
        <f>SUMIFS( INDEX( 'ETPT Format DDG'!$A:$EF,,MATCH("11.3. FORMATIONS DISPENSÉES",'ETPT Format DDG'!2:2,0)),'ETPT Format DDG'!$C:$C,$D$5,'ETPT Format DDG'!$EA:$EA,"JURISTE AS siège Autres")</f>
        <v>#N/A</v>
      </c>
      <c r="AB10" s="65" t="e">
        <f t="shared" si="1"/>
        <v>#N/A</v>
      </c>
      <c r="AC10" s="82"/>
      <c r="AD10" s="72" t="e">
        <f>SUMIFS( INDEX( 'ETPT Format DDG'!$A:$EF,,MATCH("11.3. FORMATIONS DISPENSÉES",'ETPT Format DDG'!2:2,0)),'ETPT Format DDG'!$C:$C,$D$5,'ETPT Format DDG'!$H:$H,"JCP")+
SUMIFS( INDEX( 'ETPT Format DDG'!$A:$EF,,MATCH("11.3. FORMATIONS DISPENSÉES",'ETPT Format DDG'!2:2,0)),'ETPT Format DDG'!$C:$C,$D$5,'ETPT Format DDG'!$H:$H,"VPCP")+
SUMIFS( INDEX( 'ETPT Format DDG'!$A:$EF,,MATCH("11.3. FORMATIONS DISPENSÉES",'ETPT Format DDG'!2:2,0)),'ETPT Format DDG'!$C:$C,$D$5,'ETPT Format DDG'!$H:$H,"1VPCP")</f>
        <v>#N/A</v>
      </c>
      <c r="AE10" s="72" t="e">
        <f>SUMIFS( INDEX( 'ETPT Format DDG'!$A:$EF,,MATCH("11.3. FORMATIONS DISPENSÉES",'ETPT Format DDG'!2:2,0)),'ETPT Format DDG'!$C:$C,$D$5,'ETPT Format DDG'!$H:$H,"JI")+
SUMIFS( INDEX( 'ETPT Format DDG'!$A:$EF,,MATCH("11.3. FORMATIONS DISPENSÉES",'ETPT Format DDG'!2:2,0)),'ETPT Format DDG'!$C:$C,$D$5,'ETPT Format DDG'!$H:$H,"VPI")+
SUMIFS( INDEX( 'ETPT Format DDG'!$A:$EF,,MATCH("11.3. FORMATIONS DISPENSÉES",'ETPT Format DDG'!2:2,0)),'ETPT Format DDG'!$C:$C,$D$5,'ETPT Format DDG'!$H:$H,"1VPI")</f>
        <v>#N/A</v>
      </c>
      <c r="AF10" s="82"/>
      <c r="AG10" s="82"/>
      <c r="AH10" s="82"/>
      <c r="AI10" s="72" t="e">
        <f>SUMIFS( INDEX( 'ETPT Format DDG'!$A:$EF,,MATCH("11.3. FORMATIONS DISPENSÉES",'ETPT Format DDG'!2:2,0)),'ETPT Format DDG'!$C:$C,$D$5,'ETPT Format DDG'!$H:$H,"JAP")+
SUMIFS( INDEX( 'ETPT Format DDG'!$A:$EF,,MATCH("11.3. FORMATIONS DISPENSÉES",'ETPT Format DDG'!2:2,0)),'ETPT Format DDG'!$C:$C,$D$5,'ETPT Format DDG'!$H:$H,"VPAP")+
SUMIFS( INDEX( 'ETPT Format DDG'!$A:$EF,,MATCH("11.3. FORMATIONS DISPENSÉES",'ETPT Format DDG'!2:2,0)),'ETPT Format DDG'!$C:$C,$D$5,'ETPT Format DDG'!$H:$H,"1VPAP")</f>
        <v>#N/A</v>
      </c>
      <c r="AJ10" s="72" t="e">
        <f>SUMIFS( INDEX( 'ETPT Format DDG'!$A:$EF,,MATCH("11.3. FORMATIONS DISPENSÉES",'ETPT Format DDG'!2:2,0)),'ETPT Format DDG'!$C:$C,$D$5,'ETPT Format DDG'!$H:$H,"JE")+
SUMIFS( INDEX( 'ETPT Format DDG'!$A:$EF,,MATCH("11.3. FORMATIONS DISPENSÉES",'ETPT Format DDG'!2:2,0)),'ETPT Format DDG'!$C:$C,$D$5,'ETPT Format DDG'!$H:$H,"VPE")+
SUMIFS( INDEX( 'ETPT Format DDG'!$A:$EF,,MATCH("11.3. FORMATIONS DISPENSÉES",'ETPT Format DDG'!2:2,0)),'ETPT Format DDG'!$C:$C,$D$5,'ETPT Format DDG'!$H:$H,"1VPE")</f>
        <v>#N/A</v>
      </c>
      <c r="AK10" s="72" t="e">
        <f>SUMIFS( INDEX( 'ETPT Format DDG'!$A:$EF,,MATCH("11.3. FORMATIONS DISPENSÉES",'ETPT Format DDG'!2:2,0)),'ETPT Format DDG'!$C:$C,$D$5,'ETPT Format DDG'!$H:$H,"VPLD")+
SUMIFS( INDEX( 'ETPT Format DDG'!$A:$EF,,MATCH("11.3. FORMATIONS DISPENSÉES",'ETPT Format DDG'!2:2,0)),'ETPT Format DDG'!$C:$C,$D$5,'ETPT Format DDG'!$H:$H,"1VPLD")</f>
        <v>#N/A</v>
      </c>
      <c r="AL10" s="65" t="e">
        <f t="shared" si="2"/>
        <v>#N/A</v>
      </c>
      <c r="AM10" s="82"/>
      <c r="AN10" s="82"/>
      <c r="AO10" s="82"/>
      <c r="AP10" s="82"/>
      <c r="AQ10" s="82"/>
      <c r="AR10" s="82"/>
      <c r="AS10" s="82"/>
      <c r="AT10" s="82"/>
      <c r="AU10" s="82"/>
      <c r="AV10" s="82"/>
      <c r="AW10" s="82"/>
      <c r="AX10" s="82"/>
      <c r="AY10" s="72" t="e">
        <f>SUMIFS( INDEX( 'ETPT Format DDG'!$A:$EF,,MATCH("11.3. FORMATIONS DISPENSÉES",'ETPT Format DDG'!2:2,0)),'ETPT Format DDG'!$C:$C,$D$5,'ETPT Format DDG'!$EA:$EA,"Magistrat SIEGE NS")</f>
        <v>#N/A</v>
      </c>
      <c r="AZ10" s="65" t="e">
        <f t="shared" si="3"/>
        <v>#N/A</v>
      </c>
      <c r="BA10" s="71"/>
      <c r="BB10" s="71"/>
      <c r="BC10" s="71"/>
      <c r="BD10" s="71"/>
      <c r="BE10" s="71"/>
      <c r="BF10" s="71"/>
      <c r="BG10" s="71"/>
      <c r="BH10" s="71"/>
      <c r="BI10" s="71"/>
      <c r="BJ10" s="65">
        <f t="shared" si="4"/>
        <v>0</v>
      </c>
    </row>
    <row r="11" spans="1:62" s="60" customFormat="1" ht="14.25" customHeight="1" x14ac:dyDescent="0.15">
      <c r="A11" s="70" t="s">
        <v>193</v>
      </c>
      <c r="B11" s="80"/>
      <c r="C11" s="80"/>
      <c r="D11" s="81" t="str">
        <f t="shared" si="5"/>
        <v/>
      </c>
      <c r="E11" s="80" t="s">
        <v>201</v>
      </c>
      <c r="F11" s="80" t="s">
        <v>200</v>
      </c>
      <c r="G11" s="85" t="e">
        <f>SUMIFS( INDEX( 'ETPT Format DDG'!$A:$EF,,MATCH("11.4. ACCÈS AU DROIT ET À LA JUSTICE",'ETPT Format DDG'!2:2,0)),'ETPT Format DDG'!$C:$C,$D$5,'ETPT Format DDG'!$EA:$EA,"Fonctionnaire CTECH")</f>
        <v>#N/A</v>
      </c>
      <c r="H11" s="78" t="e">
        <f t="shared" si="0"/>
        <v>#N/A</v>
      </c>
      <c r="I11" s="82"/>
      <c r="J11" s="82"/>
      <c r="K11" s="82"/>
      <c r="L11" s="82"/>
      <c r="M11" s="82"/>
      <c r="N11" s="82"/>
      <c r="O11" s="82"/>
      <c r="P11" s="82"/>
      <c r="Q11" s="82"/>
      <c r="R11" s="82"/>
      <c r="S11" s="82"/>
      <c r="T11" s="82"/>
      <c r="U11" s="82"/>
      <c r="V11" s="77" t="e">
        <f>SUMIFS( INDEX( 'ETPT Format DDG'!$A:$EF,,MATCH("11.4. ACCÈS AU DROIT ET À LA JUSTICE",'ETPT Format DDG'!2:2,0)),'ETPT Format DDG'!$C:$C,$D$5,'ETPT Format DDG'!$EA:$EA,"Fonctionnaire A-B-CBUR")</f>
        <v>#N/A</v>
      </c>
      <c r="W11" s="65" t="e">
        <f t="shared" si="6"/>
        <v>#N/A</v>
      </c>
      <c r="X11" s="84" t="e">
        <f>SUMIFS( INDEX( 'ETPT Format DDG'!$A:$EF,,MATCH("11.4. ACCÈS AU DROIT ET À LA JUSTICE",'ETPT Format DDG'!2:2,0)),'ETPT Format DDG'!$C:$C,$D$5,'ETPT Format DDG'!$EA:$EA,"CONT A JP Autour du Juge")</f>
        <v>#N/A</v>
      </c>
      <c r="Y11" s="84" t="e">
        <f>SUMIFS( INDEX( 'ETPT Format DDG'!$A:$EF,,MATCH("11.4. ACCÈS AU DROIT ET À LA JUSTICE",'ETPT Format DDG'!2:2,0)),'ETPT Format DDG'!$C:$C,$D$5,'ETPT Format DDG'!$EA:$EA,"JURISTE AS Parquet")</f>
        <v>#N/A</v>
      </c>
      <c r="Z11" s="84" t="e">
        <f>SUMIFS( INDEX( 'ETPT Format DDG'!$A:$EF,,MATCH("11.4. ACCÈS AU DROIT ET À LA JUSTICE",'ETPT Format DDG'!2:2,0)),'ETPT Format DDG'!$C:$C,$D$5,'ETPT Format DDG'!$EA:$EA,"JURISTE AS Pôle social")</f>
        <v>#N/A</v>
      </c>
      <c r="AA11" s="84" t="e">
        <f>SUMIFS( INDEX( 'ETPT Format DDG'!$A:$EF,,MATCH("11.4. ACCÈS AU DROIT ET À LA JUSTICE",'ETPT Format DDG'!2:2,0)),'ETPT Format DDG'!$C:$C,$D$5,'ETPT Format DDG'!$EA:$EA,"JURISTE AS siège Autres")</f>
        <v>#N/A</v>
      </c>
      <c r="AB11" s="65" t="e">
        <f t="shared" si="1"/>
        <v>#N/A</v>
      </c>
      <c r="AC11" s="82"/>
      <c r="AD11" s="72" t="e">
        <f>SUMIFS( INDEX( 'ETPT Format DDG'!$A:$EF,,MATCH("11.4. ACCÈS AU DROIT ET À LA JUSTICE",'ETPT Format DDG'!2:2,0)),'ETPT Format DDG'!$C:$C,$D$5,'ETPT Format DDG'!$H:$H,"JCP")+
SUMIFS( INDEX( 'ETPT Format DDG'!$A:$EF,,MATCH("11.4. ACCÈS AU DROIT ET À LA JUSTICE",'ETPT Format DDG'!2:2,0)),'ETPT Format DDG'!$C:$C,$D$5,'ETPT Format DDG'!$H:$H,"VPCP")+
SUMIFS( INDEX( 'ETPT Format DDG'!$A:$EF,,MATCH("11.4. ACCÈS AU DROIT ET À LA JUSTICE",'ETPT Format DDG'!2:2,0)),'ETPT Format DDG'!$C:$C,$D$5,'ETPT Format DDG'!$H:$H,"1VPCP")</f>
        <v>#N/A</v>
      </c>
      <c r="AE11" s="72" t="e">
        <f>SUMIFS( INDEX( 'ETPT Format DDG'!$A:$EF,,MATCH("11.4. ACCÈS AU DROIT ET À LA JUSTICE",'ETPT Format DDG'!2:2,0)),'ETPT Format DDG'!$C:$C,$D$5,'ETPT Format DDG'!$H:$H,"JI")+
SUMIFS( INDEX( 'ETPT Format DDG'!$A:$EF,,MATCH("11.4. ACCÈS AU DROIT ET À LA JUSTICE",'ETPT Format DDG'!2:2,0)),'ETPT Format DDG'!$C:$C,$D$5,'ETPT Format DDG'!$H:$H,"VPI")+
SUMIFS( INDEX( 'ETPT Format DDG'!$A:$EF,,MATCH("11.4. ACCÈS AU DROIT ET À LA JUSTICE",'ETPT Format DDG'!2:2,0)),'ETPT Format DDG'!$C:$C,$D$5,'ETPT Format DDG'!$H:$H,"1VPI")</f>
        <v>#N/A</v>
      </c>
      <c r="AF11" s="86"/>
      <c r="AG11" s="86"/>
      <c r="AH11" s="86"/>
      <c r="AI11" s="72" t="e">
        <f>SUMIFS( INDEX( 'ETPT Format DDG'!$A:$EF,,MATCH("11.4. ACCÈS AU DROIT ET À LA JUSTICE",'ETPT Format DDG'!2:2,0)),'ETPT Format DDG'!$C:$C,$D$5,'ETPT Format DDG'!$H:$H,"JAP")+
SUMIFS( INDEX( 'ETPT Format DDG'!$A:$EF,,MATCH("11.4. ACCÈS AU DROIT ET À LA JUSTICE",'ETPT Format DDG'!2:2,0)),'ETPT Format DDG'!$C:$C,$D$5,'ETPT Format DDG'!$H:$H,"VPAP")+
SUMIFS( INDEX( 'ETPT Format DDG'!$A:$EF,,MATCH("11.4. ACCÈS AU DROIT ET À LA JUSTICE",'ETPT Format DDG'!2:2,0)),'ETPT Format DDG'!$C:$C,$D$5,'ETPT Format DDG'!$H:$H,"1VPAP")</f>
        <v>#N/A</v>
      </c>
      <c r="AJ11" s="72" t="e">
        <f>SUMIFS( INDEX( 'ETPT Format DDG'!$A:$EF,,MATCH("11.4. ACCÈS AU DROIT ET À LA JUSTICE",'ETPT Format DDG'!2:2,0)),'ETPT Format DDG'!$C:$C,$D$5,'ETPT Format DDG'!$H:$H,"JE")+
SUMIFS( INDEX( 'ETPT Format DDG'!$A:$EF,,MATCH("11.4. ACCÈS AU DROIT ET À LA JUSTICE",'ETPT Format DDG'!2:2,0)),'ETPT Format DDG'!$C:$C,$D$5,'ETPT Format DDG'!$H:$H,"VPE")+
SUMIFS( INDEX( 'ETPT Format DDG'!$A:$EF,,MATCH("11.4. ACCÈS AU DROIT ET À LA JUSTICE",'ETPT Format DDG'!2:2,0)),'ETPT Format DDG'!$C:$C,$D$5,'ETPT Format DDG'!$H:$H,"1VPE")</f>
        <v>#N/A</v>
      </c>
      <c r="AK11" s="72" t="e">
        <f>SUMIFS( INDEX( 'ETPT Format DDG'!$A:$EF,,MATCH("11.4. ACCÈS AU DROIT ET À LA JUSTICE",'ETPT Format DDG'!2:2,0)),'ETPT Format DDG'!$C:$C,$D$5,'ETPT Format DDG'!$H:$H,"VPLD")+
SUMIFS( INDEX( 'ETPT Format DDG'!$A:$EF,,MATCH("11.4. ACCÈS AU DROIT ET À LA JUSTICE",'ETPT Format DDG'!2:2,0)),'ETPT Format DDG'!$C:$C,$D$5,'ETPT Format DDG'!$H:$H,"1VPLD")</f>
        <v>#N/A</v>
      </c>
      <c r="AL11" s="78" t="e">
        <f t="shared" si="2"/>
        <v>#N/A</v>
      </c>
      <c r="AM11" s="82"/>
      <c r="AN11" s="82"/>
      <c r="AO11" s="82"/>
      <c r="AP11" s="82"/>
      <c r="AQ11" s="82"/>
      <c r="AR11" s="82"/>
      <c r="AS11" s="82"/>
      <c r="AT11" s="82"/>
      <c r="AU11" s="82"/>
      <c r="AV11" s="82"/>
      <c r="AW11" s="82"/>
      <c r="AX11" s="82"/>
      <c r="AY11" s="72" t="e">
        <f>SUMIFS( INDEX( 'ETPT Format DDG'!$A:$EF,,MATCH("11.4. ACCÈS AU DROIT ET À LA JUSTICE",'ETPT Format DDG'!2:2,0)),'ETPT Format DDG'!$C:$C,$D$5,'ETPT Format DDG'!$EA:$EA,"Magistrat SIEGE NS")</f>
        <v>#N/A</v>
      </c>
      <c r="AZ11" s="65" t="e">
        <f t="shared" si="3"/>
        <v>#N/A</v>
      </c>
      <c r="BA11" s="71"/>
      <c r="BB11" s="71"/>
      <c r="BC11" s="71"/>
      <c r="BD11" s="71"/>
      <c r="BE11" s="71"/>
      <c r="BF11" s="71"/>
      <c r="BG11" s="71"/>
      <c r="BH11" s="71"/>
      <c r="BI11" s="71"/>
      <c r="BJ11" s="65">
        <f t="shared" si="4"/>
        <v>0</v>
      </c>
    </row>
    <row r="12" spans="1:62" s="60" customFormat="1" ht="14.25" customHeight="1" x14ac:dyDescent="0.15">
      <c r="A12" s="70" t="s">
        <v>193</v>
      </c>
      <c r="B12" s="80"/>
      <c r="C12" s="80"/>
      <c r="D12" s="81" t="str">
        <f t="shared" si="5"/>
        <v/>
      </c>
      <c r="E12" s="80" t="s">
        <v>199</v>
      </c>
      <c r="F12" s="80" t="s">
        <v>198</v>
      </c>
      <c r="G12" s="85" t="e">
        <f>SUMIFS( INDEX( 'ETPT Format DDG'!$A:$EF,,MATCH("12. TOTAL INDISPONIBILITÉ",'ETPT Format DDG'!2:2,0)),'ETPT Format DDG'!$C:$C,$D$5,'ETPT Format DDG'!$EA:$EA,"Fonctionnaire CTECH")-
SUMIFS( INDEX( 'ETPT Format DDG'!$A:$EF,,MATCH("12.5. MISE À DISPOSITION",'ETPT Format DDG'!2:2,0)),'ETPT Format DDG'!$C:$C,$D$5,'ETPT Format DDG'!$EA:$EA,"Fonctionnaire CTECH")</f>
        <v>#N/A</v>
      </c>
      <c r="H12" s="78" t="e">
        <f t="shared" si="0"/>
        <v>#N/A</v>
      </c>
      <c r="I12" s="82"/>
      <c r="J12" s="82"/>
      <c r="K12" s="82"/>
      <c r="L12" s="82"/>
      <c r="M12" s="82"/>
      <c r="N12" s="82"/>
      <c r="O12" s="82"/>
      <c r="P12" s="82"/>
      <c r="Q12" s="82"/>
      <c r="R12" s="82"/>
      <c r="S12" s="82"/>
      <c r="T12" s="82"/>
      <c r="U12" s="82"/>
      <c r="V12" s="77" t="e">
        <f>SUMIFS( INDEX( 'ETPT Format DDG'!$A:$EF,,MATCH("12. TOTAL INDISPONIBILITÉ",'ETPT Format DDG'!2:2,0)),'ETPT Format DDG'!$C:$C,$D$5,'ETPT Format DDG'!$EA:$EA,"Fonctionnaire A-B-CBUR")-
SUMIFS( INDEX( 'ETPT Format DDG'!$A:$EF,,MATCH("12.5. MISE À DISPOSITION",'ETPT Format DDG'!2:2,0)),'ETPT Format DDG'!$C:$C,$D$5,'ETPT Format DDG'!$EA:$EA,"Fonctionnaire A-B-CBUR")</f>
        <v>#N/A</v>
      </c>
      <c r="W12" s="65" t="e">
        <f t="shared" si="6"/>
        <v>#N/A</v>
      </c>
      <c r="X12" s="84" t="e">
        <f>SUMIFS( INDEX( 'ETPT Format DDG'!$A:$EF,,MATCH("12. TOTAL INDISPONIBILITÉ",'ETPT Format DDG'!2:2,0)),'ETPT Format DDG'!$C:$C,$D$5,'ETPT Format DDG'!$EA:$EA,"CONT A JP Autour du Juge")-
SUMIFS( INDEX( 'ETPT Format DDG'!$A:$EF,,MATCH("12.5. MISE À DISPOSITION",'ETPT Format DDG'!2:2,0)),'ETPT Format DDG'!$C:$C,$D$5,'ETPT Format DDG'!$EA:$EA,"CONT A JP Autour du Juge")</f>
        <v>#N/A</v>
      </c>
      <c r="Y12" s="84" t="e">
        <f>SUMIFS( INDEX( 'ETPT Format DDG'!$A:$EF,,MATCH("12. TOTAL INDISPONIBILITÉ",'ETPT Format DDG'!2:2,0)),'ETPT Format DDG'!$C:$C,$D$5,'ETPT Format DDG'!$EA:$EA,"JURISTE AS Parquet")-
SUMIFS( INDEX( 'ETPT Format DDG'!$A:$EF,,MATCH("12.5. MISE À DISPOSITION",'ETPT Format DDG'!2:2,0)),'ETPT Format DDG'!$C:$C,$D$5,'ETPT Format DDG'!$EA:$EA,"JURISTE AS Parquet")</f>
        <v>#N/A</v>
      </c>
      <c r="Z12" s="84" t="e">
        <f>SUMIFS( INDEX( 'ETPT Format DDG'!$A:$EF,,MATCH("12. TOTAL INDISPONIBILITÉ",'ETPT Format DDG'!2:2,0)),'ETPT Format DDG'!$C:$C,$D$5,'ETPT Format DDG'!$EA:$EA,"JURISTE AS Pôle social")-
SUMIFS( INDEX( 'ETPT Format DDG'!$A:$EF,,MATCH("12.5. MISE À DISPOSITION",'ETPT Format DDG'!2:2,0)),'ETPT Format DDG'!$C:$C,$D$5,'ETPT Format DDG'!$EA:$EA,"JURISTE AS Pôle social")</f>
        <v>#N/A</v>
      </c>
      <c r="AA12" s="84" t="e">
        <f>SUMIFS( INDEX( 'ETPT Format DDG'!$A:$EF,,MATCH("12. TOTAL INDISPONIBILITÉ",'ETPT Format DDG'!2:2,0)),'ETPT Format DDG'!$C:$C,$D$5,'ETPT Format DDG'!$EA:$EA,"JURISTE AS siège Autres")-
SUMIFS( INDEX( 'ETPT Format DDG'!$A:$EF,,MATCH("12.5. MISE À DISPOSITION",'ETPT Format DDG'!2:2,0)),'ETPT Format DDG'!$C:$C,$D$5,'ETPT Format DDG'!$EA:$EA,"JURISTE AS siège Autres")</f>
        <v>#N/A</v>
      </c>
      <c r="AB12" s="65" t="e">
        <f t="shared" si="1"/>
        <v>#N/A</v>
      </c>
      <c r="AC12" s="82"/>
      <c r="AD12" s="72" t="e">
        <f>SUMIFS( INDEX( 'ETPT Format DDG'!$A:$EF,,MATCH("12. TOTAL INDISPONIBILITÉ",'ETPT Format DDG'!2:2,0)),'ETPT Format DDG'!$C:$C,$D$5,'ETPT Format DDG'!$H:$H,"JCP")+
SUMIFS( INDEX( 'ETPT Format DDG'!$A:$EF,,MATCH("12. TOTAL INDISPONIBILITÉ",'ETPT Format DDG'!2:2,0)),'ETPT Format DDG'!$C:$C,$D$5,'ETPT Format DDG'!$H:$H,"VPCP")+
SUMIFS( INDEX( 'ETPT Format DDG'!$A:$EF,,MATCH("12. TOTAL INDISPONIBILITÉ",'ETPT Format DDG'!2:2,0)),'ETPT Format DDG'!$C:$C,$D$5,'ETPT Format DDG'!$H:$H,"1VPCP")</f>
        <v>#N/A</v>
      </c>
      <c r="AE12" s="72" t="e">
        <f>SUMIFS( INDEX( 'ETPT Format DDG'!$A:$EF,,MATCH("12. TOTAL INDISPONIBILITÉ",'ETPT Format DDG'!2:2,0)),'ETPT Format DDG'!$C:$C,$D$5,'ETPT Format DDG'!$H:$H,"JI")+
SUMIFS( INDEX( 'ETPT Format DDG'!$A:$EF,,MATCH("12. TOTAL INDISPONIBILITÉ",'ETPT Format DDG'!2:2,0)),'ETPT Format DDG'!$C:$C,$D$5,'ETPT Format DDG'!$H:$H,"VPI")+
SUMIFS( INDEX( 'ETPT Format DDG'!$A:$EF,,MATCH("12. TOTAL INDISPONIBILITÉ",'ETPT Format DDG'!2:2,0)),'ETPT Format DDG'!$C:$C,$D$5,'ETPT Format DDG'!$H:$H,"1VPI")</f>
        <v>#N/A</v>
      </c>
      <c r="AF12" s="82"/>
      <c r="AG12" s="82"/>
      <c r="AH12" s="82"/>
      <c r="AI12" s="72" t="e">
        <f>SUMIFS( INDEX( 'ETPT Format DDG'!$A:$EF,,MATCH("12. TOTAL INDISPONIBILITÉ",'ETPT Format DDG'!2:2,0)),'ETPT Format DDG'!$C:$C,$D$5,'ETPT Format DDG'!$H:$H,"JAP")+
SUMIFS( INDEX( 'ETPT Format DDG'!$A:$EF,,MATCH("12. TOTAL INDISPONIBILITÉ",'ETPT Format DDG'!2:2,0)),'ETPT Format DDG'!$C:$C,$D$5,'ETPT Format DDG'!$H:$H,"VPAP")+
SUMIFS( INDEX( 'ETPT Format DDG'!$A:$EF,,MATCH("12. TOTAL INDISPONIBILITÉ",'ETPT Format DDG'!2:2,0)),'ETPT Format DDG'!$C:$C,$D$5,'ETPT Format DDG'!$H:$H,"1VPAP")</f>
        <v>#N/A</v>
      </c>
      <c r="AJ12" s="72" t="e">
        <f>SUMIFS( INDEX( 'ETPT Format DDG'!$A:$EF,,MATCH("12. TOTAL INDISPONIBILITÉ",'ETPT Format DDG'!2:2,0)),'ETPT Format DDG'!$C:$C,$D$5,'ETPT Format DDG'!$H:$H,"JE")+
SUMIFS( INDEX( 'ETPT Format DDG'!$A:$EF,,MATCH("12. TOTAL INDISPONIBILITÉ",'ETPT Format DDG'!2:2,0)),'ETPT Format DDG'!$C:$C,$D$5,'ETPT Format DDG'!$H:$H,"VPE")+
SUMIFS( INDEX( 'ETPT Format DDG'!$A:$EF,,MATCH("12. TOTAL INDISPONIBILITÉ",'ETPT Format DDG'!2:2,0)),'ETPT Format DDG'!$C:$C,$D$5,'ETPT Format DDG'!$H:$H,"1VPE")</f>
        <v>#N/A</v>
      </c>
      <c r="AK12" s="72" t="e">
        <f>SUMIFS( INDEX( 'ETPT Format DDG'!$A:$EF,,MATCH("12. TOTAL INDISPONIBILITÉ",'ETPT Format DDG'!2:2,0)),'ETPT Format DDG'!$C:$C,$D$5,'ETPT Format DDG'!$H:$H,"VPLD")+
SUMIFS( INDEX( 'ETPT Format DDG'!$A:$EF,,MATCH("12. TOTAL INDISPONIBILITÉ",'ETPT Format DDG'!2:2,0)),'ETPT Format DDG'!$C:$C,$D$5,'ETPT Format DDG'!$H:$H,"1VPLD")</f>
        <v>#N/A</v>
      </c>
      <c r="AL12" s="65" t="e">
        <f t="shared" si="2"/>
        <v>#N/A</v>
      </c>
      <c r="AM12" s="82"/>
      <c r="AN12" s="82"/>
      <c r="AO12" s="82"/>
      <c r="AP12" s="82"/>
      <c r="AQ12" s="82"/>
      <c r="AR12" s="82"/>
      <c r="AS12" s="82"/>
      <c r="AT12" s="82"/>
      <c r="AU12" s="82"/>
      <c r="AV12" s="82"/>
      <c r="AW12" s="82"/>
      <c r="AX12" s="82"/>
      <c r="AY12" s="72" t="e">
        <f>SUMIFS( INDEX( 'ETPT Format DDG'!$A:$EF,,MATCH("12. TOTAL INDISPONIBILITÉ",'ETPT Format DDG'!2:2,0)),'ETPT Format DDG'!$C:$C,$D$5,'ETPT Format DDG'!$EA:$EA,"Magistrat SIEGE NS")</f>
        <v>#N/A</v>
      </c>
      <c r="AZ12" s="65" t="e">
        <f t="shared" si="3"/>
        <v>#N/A</v>
      </c>
      <c r="BA12" s="71"/>
      <c r="BB12" s="71"/>
      <c r="BC12" s="71"/>
      <c r="BD12" s="71"/>
      <c r="BE12" s="71"/>
      <c r="BF12" s="71"/>
      <c r="BG12" s="71"/>
      <c r="BH12" s="71"/>
      <c r="BI12" s="71"/>
      <c r="BJ12" s="65">
        <f t="shared" si="4"/>
        <v>0</v>
      </c>
    </row>
    <row r="13" spans="1:62" s="60" customFormat="1" ht="14.25" customHeight="1" x14ac:dyDescent="0.15">
      <c r="A13" s="70" t="s">
        <v>193</v>
      </c>
      <c r="B13" s="80"/>
      <c r="C13" s="80"/>
      <c r="D13" s="81" t="str">
        <f t="shared" si="5"/>
        <v/>
      </c>
      <c r="E13" s="80" t="s">
        <v>197</v>
      </c>
      <c r="F13" s="80" t="s">
        <v>196</v>
      </c>
      <c r="G13" s="79" t="e">
        <f>SUMIFS( INDEX( 'ETPT Format DDG'!$A:$EF,,MATCH("12.5. MISE À DISPOSITION",'ETPT Format DDG'!2:2,0)),'ETPT Format DDG'!$C:$C,$D$5,'ETPT Format DDG'!$EA:$EA,"Fonctionnaire CTECH")</f>
        <v>#N/A</v>
      </c>
      <c r="H13" s="78" t="e">
        <f t="shared" si="0"/>
        <v>#N/A</v>
      </c>
      <c r="I13" s="82"/>
      <c r="J13" s="82"/>
      <c r="K13" s="82"/>
      <c r="L13" s="82"/>
      <c r="M13" s="82"/>
      <c r="N13" s="82"/>
      <c r="O13" s="82"/>
      <c r="P13" s="82"/>
      <c r="Q13" s="82"/>
      <c r="R13" s="82"/>
      <c r="S13" s="82"/>
      <c r="T13" s="82"/>
      <c r="U13" s="82"/>
      <c r="V13" s="72" t="e">
        <f>SUMIFS( INDEX( 'ETPT Format DDG'!$A:$EF,,MATCH("12.5. MISE À DISPOSITION",'ETPT Format DDG'!2:2,0)),'ETPT Format DDG'!$C:$C,$D$5,'ETPT Format DDG'!$EA:$EA,"Fonctionnaire A-B-CBUR")</f>
        <v>#N/A</v>
      </c>
      <c r="W13" s="65" t="e">
        <f t="shared" si="6"/>
        <v>#N/A</v>
      </c>
      <c r="X13" s="83" t="e">
        <f>SUMIFS( INDEX( 'ETPT Format DDG'!$A:$EF,,MATCH("12.5. MISE À DISPOSITION",'ETPT Format DDG'!2:2,0)),'ETPT Format DDG'!$C:$C,$D$5,'ETPT Format DDG'!$EA:$EA,"CONT A JP Autour du Juge")</f>
        <v>#N/A</v>
      </c>
      <c r="Y13" s="83" t="e">
        <f>SUMIFS( INDEX( 'ETPT Format DDG'!$A:$EF,,MATCH("12.5. MISE À DISPOSITION",'ETPT Format DDG'!2:2,0)),'ETPT Format DDG'!$C:$C,$D$5,'ETPT Format DDG'!$EA:$EA,"JURISTE AS Parquet")</f>
        <v>#N/A</v>
      </c>
      <c r="Z13" s="83" t="e">
        <f>SUMIFS( INDEX( 'ETPT Format DDG'!$A:$EF,,MATCH("12.5. MISE À DISPOSITION",'ETPT Format DDG'!2:2,0)),'ETPT Format DDG'!$C:$C,$D$5,'ETPT Format DDG'!$EA:$EA,"JURISTE AS Pôle social")</f>
        <v>#N/A</v>
      </c>
      <c r="AA13" s="83" t="e">
        <f>SUMIFS( INDEX( 'ETPT Format DDG'!$A:$EF,,MATCH("12.5. MISE À DISPOSITION",'ETPT Format DDG'!2:2,0)),'ETPT Format DDG'!$C:$C,$D$5,'ETPT Format DDG'!$EA:$EA,"JURISTE AS siège Autres")</f>
        <v>#N/A</v>
      </c>
      <c r="AB13" s="65" t="e">
        <f t="shared" si="1"/>
        <v>#N/A</v>
      </c>
      <c r="AC13" s="82"/>
      <c r="AD13" s="82"/>
      <c r="AE13" s="82"/>
      <c r="AF13" s="82"/>
      <c r="AG13" s="82"/>
      <c r="AH13" s="82"/>
      <c r="AI13" s="82"/>
      <c r="AJ13" s="82"/>
      <c r="AK13" s="82"/>
      <c r="AL13" s="65">
        <f t="shared" si="2"/>
        <v>0</v>
      </c>
      <c r="AM13" s="82"/>
      <c r="AN13" s="82"/>
      <c r="AO13" s="82"/>
      <c r="AP13" s="82"/>
      <c r="AQ13" s="82"/>
      <c r="AR13" s="82"/>
      <c r="AS13" s="82"/>
      <c r="AT13" s="82"/>
      <c r="AU13" s="82"/>
      <c r="AV13" s="82"/>
      <c r="AW13" s="82"/>
      <c r="AX13" s="82"/>
      <c r="AY13" s="82"/>
      <c r="AZ13" s="65">
        <f t="shared" si="3"/>
        <v>0</v>
      </c>
      <c r="BA13" s="71"/>
      <c r="BB13" s="71"/>
      <c r="BC13" s="71"/>
      <c r="BD13" s="71"/>
      <c r="BE13" s="71"/>
      <c r="BF13" s="71"/>
      <c r="BG13" s="71"/>
      <c r="BH13" s="71"/>
      <c r="BI13" s="71"/>
      <c r="BJ13" s="65">
        <f t="shared" si="4"/>
        <v>0</v>
      </c>
    </row>
    <row r="14" spans="1:62" s="60" customFormat="1" ht="14.25" customHeight="1" x14ac:dyDescent="0.15">
      <c r="A14" s="70" t="s">
        <v>193</v>
      </c>
      <c r="B14" s="80"/>
      <c r="C14" s="80"/>
      <c r="D14" s="81" t="str">
        <f t="shared" si="5"/>
        <v/>
      </c>
      <c r="E14" s="80" t="s">
        <v>195</v>
      </c>
      <c r="F14" s="80" t="s">
        <v>194</v>
      </c>
      <c r="G14" s="79" t="e">
        <f>SUMIFS( INDEX( 'ETPT Format DDG'!$A:$EF,,MATCH("Temps ventilé sur la période (y.c. indisponibilité)",'ETPT Format DDG'!2:2,0)),'ETPT Format DDG'!$C:$C,$D$5,'ETPT Format DDG'!$EA:$EA,"Fonctionnaire CTECH placé ADD")</f>
        <v>#N/A</v>
      </c>
      <c r="H14" s="78" t="e">
        <f t="shared" si="0"/>
        <v>#N/A</v>
      </c>
      <c r="I14" s="77" t="e">
        <f>SUMIFS( INDEX( 'ETPT Format DDG'!$A:$EF,,MATCH("11.8. FONCTIONNAIRES AFFECTÉS AUX ACTIVITÉS CIVILES ET COMMERCIALES DU PARQUET",'ETPT Format DDG'!2:2,0)),'ETPT Format DDG'!$C:$C,$D$5,'ETPT Format DDG'!$EA:$EA,"Fonctionnaire A-B-CBUR placé ADD")</f>
        <v>#N/A</v>
      </c>
      <c r="J14" s="77" t="e">
        <f>SUMIFS( INDEX( 'ETPT Format DDG'!$A:$EF,,MATCH("11.9. FONCTIONNAIRES AFFECTÉS À L'EXÉCUTION DES PEINES",'ETPT Format DDG'!2:2,0)),'ETPT Format DDG'!$C:$C,$D$5,'ETPT Format DDG'!$EA:$EA,"Fonctionnaire A-B-CBUR placé ADD")</f>
        <v>#N/A</v>
      </c>
      <c r="K14" s="77" t="e">
        <f>SUMIFS( INDEX( 'ETPT Format DDG'!$A:$EF,,MATCH("7.5. COUR D'ASSISES HORS JIRS",'ETPT Format DDG'!2:2,0)),'ETPT Format DDG'!$C:$C,$D$5,'ETPT Format DDG'!$EA:$EA,"Fonctionnaire A-B-CBUR placé ADD")+
SUMIFS( INDEX( 'ETPT Format DDG'!$A:$EF,,MATCH("7.51. COUR D'ASSISES JIRS",'ETPT Format DDG'!2:2,0)),'ETPT Format DDG'!$C:$C,$D$5,'ETPT Format DDG'!$EA:$EA,"Fonctionnaire A-B-CBUR placé ADD")</f>
        <v>#N/A</v>
      </c>
      <c r="L14" s="77" t="e">
        <f>SUMIFS( INDEX( 'ETPT Format DDG'!$A:$EF,,MATCH("7.52. COUR CRIMINELLE",'ETPT Format DDG'!2:2,0)),'ETPT Format DDG'!$C:$C,$D$5,'ETPT Format DDG'!$EA:$EA,"Fonctionnaire A-B-CBUR placé ADD")</f>
        <v>#N/A</v>
      </c>
      <c r="M14" s="77" t="e">
        <f>SUMIFS( INDEX( 'ETPT Format DDG'!$A:$EF,,MATCH("8.2. JIRS ÉCO-FI",'ETPT Format DDG'!2:2,0)),'ETPT Format DDG'!$C:$C,$D$5,'ETPT Format DDG'!$EA:$EA,"Fonctionnaire A-B-CBUR placé ADD")</f>
        <v>#N/A</v>
      </c>
      <c r="N14" s="77" t="e">
        <f>SUMIFS( INDEX( 'ETPT Format DDG'!$A:$EF,,MATCH("8.3. JIRS CRIM-ORG",'ETPT Format DDG'!2:2,0)),'ETPT Format DDG'!$C:$C,$D$5,'ETPT Format DDG'!$EA:$EA,"Fonctionnaire A-B-CBUR placé ADD")</f>
        <v>#N/A</v>
      </c>
      <c r="O14" s="77" t="e">
        <f>SUMIFS( INDEX( 'ETPT Format DDG'!$A:$EF,,MATCH("8.4. AUTRES SECTIONS SPÉCIALISÉES",'ETPT Format DDG'!2:2,0)),'ETPT Format DDG'!$C:$C,$D$5,'ETPT Format DDG'!$EA:$EA,"Fonctionnaire A-B-CBUR placé ADD")</f>
        <v>#N/A</v>
      </c>
      <c r="P14" s="77" t="e">
        <f>SUMIFS( INDEX( 'ETPT Format DDG'!$A:$EF,,MATCH("3.2. PROTECTION DES MAJEURS",'ETPT Format DDG'!2:2,0)),'ETPT Format DDG'!$C:$C,$D$5,'ETPT Format DDG'!$EA:$EA,"Fonctionnaire A-B-CBUR placé ADD")</f>
        <v>#N/A</v>
      </c>
      <c r="Q14" s="77" t="e">
        <f>SUMIFS( INDEX( 'ETPT Format DDG'!$A:$EF,,MATCH("3. TOTAL CONTENTIEUX DE LA PROTECTION",'ETPT Format DDG'!2:2,0)),'ETPT Format DDG'!$C:$C,$D$5,'ETPT Format DDG'!$EA:$EA,"Fonctionnaire A-B-CBUR placé ADD")-
SUMIFS( INDEX( 'ETPT Format DDG'!$A:$EF,,MATCH("3.2. PROTECTION DES MAJEURS",'ETPT Format DDG'!2:2,0)),'ETPT Format DDG'!$C:$C,$D$5,'ETPT Format DDG'!$EA:$EA,"Fonctionnaire A-B-CBUR placé ADD")-
SUMIFS( INDEX( 'ETPT Format DDG'!$A:$EF,,MATCH("3.43. INJONCTIONS DE PAYER",'ETPT Format DDG'!2:2,0)),'ETPT Format DDG'!$C:$C,$D$5,'ETPT Format DDG'!$EA:$EA,"Fonctionnaire A-B-CBUR placé ADD")-
SUMIFS( INDEX( 'ETPT Format DDG'!$A:$EF,,MATCH("3.44. SAISIE DES RÉMUNÉRATIONS",'ETPT Format DDG'!2:2,0)),'ETPT Format DDG'!$C:$C,$D$5,'ETPT Format DDG'!$EA:$EA,"Fonctionnaire A-B-CBUR placé ADD")</f>
        <v>#N/A</v>
      </c>
      <c r="R14" s="77" t="e">
        <f>SUMIFS( INDEX( 'ETPT Format DDG'!$A:$EF,,MATCH("5. TOTAL JLD CIVIL",'ETPT Format DDG'!2:2,0)),'ETPT Format DDG'!$C:$C,$D$5,'ETPT Format DDG'!$EA:$EA,"Fonctionnaire A-B-CBUR placé ADD")+
SUMIFS( INDEX( 'ETPT Format DDG'!$A:$EF,,MATCH("6.1. ACTIVITÉ CIVILE",'ETPT Format DDG'!2:2,0)),'ETPT Format DDG'!$C:$C,$D$5,'ETPT Format DDG'!$EA:$EA,"Fonctionnaire A-B-CBUR placé ADD")+
SUMIFS( INDEX( 'ETPT Format DDG'!$A:$EF,,MATCH("6.2. ACTIVITÉ PÉNALE",'ETPT Format DDG'!2:2,0)),'ETPT Format DDG'!$C:$C,$D$5,'ETPT Format DDG'!$EA:$EA,"Fonctionnaire A-B-CBUR placé ADD")+
(SUMIFS( INDEX( 'ETPT Format DDG'!$A:$EF,,MATCH("8. TOTAL JUGES D'INSTRUCTION",'ETPT Format DDG'!2:2,0)),'ETPT Format DDG'!$C:$C,$D$5,'ETPT Format DDG'!$EA:$EA,"Fonctionnaire A-B-CBUR placé ADD")-
SUMIFS( INDEX( 'ETPT Format DDG'!$A:$EF,,MATCH("8.2. JIRS ÉCO-FI",'ETPT Format DDG'!2:2,0)),'ETPT Format DDG'!$C:$C,$D$5,'ETPT Format DDG'!$EA:$EA,"Fonctionnaire A-B-CBUR placé ADD")-
SUMIFS( INDEX( 'ETPT Format DDG'!$A:$EF,,MATCH("8.3. JIRS CRIM-ORG",'ETPT Format DDG'!2:2,0)),'ETPT Format DDG'!$C:$C,$D$5,'ETPT Format DDG'!$EA:$EA,"Fonctionnaire A-B-CBUR placé ADD")-
SUMIFS( INDEX( 'ETPT Format DDG'!$A:$EF,,MATCH("8.4. AUTRES SECTIONS SPÉCIALISÉES",'ETPT Format DDG'!2:2,0)),'ETPT Format DDG'!$C:$C,$D$5,'ETPT Format DDG'!$EA:$EA,"Fonctionnaire A-B-CBUR placé ADD"))+
SUMIFS( INDEX( 'ETPT Format DDG'!$A:$EF,,MATCH("9. TOTAL JAP",'ETPT Format DDG'!2:2,0)),'ETPT Format DDG'!$C:$C,$D$5,'ETPT Format DDG'!$EA:$EA,"Fonctionnaire A-B-CBUR placé ADD")+
SUMIFS( INDEX( 'ETPT Format DDG'!$A:$EF,,MATCH("10. TOTAL JLD PÉNAL",'ETPT Format DDG'!2:2,0)),'ETPT Format DDG'!$C:$C,$D$5,'ETPT Format DDG'!$EA:$EA,"Fonctionnaire A-B-CBUR placé ADD")</f>
        <v>#N/A</v>
      </c>
      <c r="S14" s="77" t="e">
        <f>SUMIFS( INDEX( 'ETPT Format DDG'!$A:$EF,,MATCH("3.43. INJONCTIONS DE PAYER",'ETPT Format DDG'!2:2,0)),'ETPT Format DDG'!$C:$C,$D$5,'ETPT Format DDG'!$EA:$EA,"Fonctionnaire A-B-CBUR placé ADD")+
SUMIFS( INDEX( 'ETPT Format DDG'!$A:$EF,,MATCH("3.44. SAISIE DES RÉMUNÉRATIONS",'ETPT Format DDG'!2:2,0)),'ETPT Format DDG'!$C:$C,$D$5,'ETPT Format DDG'!$EA:$EA,"Fonctionnaire A-B-CBUR placé ADD")</f>
        <v>#N/A</v>
      </c>
      <c r="T14" s="77" t="e">
        <f>SUMIFS( INDEX( 'ETPT Format DDG'!$A:$EF,,MATCH("4.0. CONTENTIEUX GÉNÉRAL &lt;10.000€",'ETPT Format DDG'!2:2,0)),'ETPT Format DDG'!$C:$C,$D$5,'ETPT Format DDG'!$EA:$EA,"Fonctionnaire A-B-CBUR placé ADD")</f>
        <v>#N/A</v>
      </c>
      <c r="U14" s="77" t="e">
        <f>SUMIFS( INDEX( 'ETPT Format DDG'!$A:$EF,,MATCH("1. TOTAL CONTENTIEUX SOCIAL",'ETPT Format DDG'!2:2,0)),'ETPT Format DDG'!$C:$C,$D$5,'ETPT Format DDG'!$EA:$EA,"Fonctionnaire A-B-CBUR placé ADD")</f>
        <v>#N/A</v>
      </c>
      <c r="V14" s="185" t="e">
        <f>SUMIFS( INDEX( 'ETPT Format DDG'!$A:$EF,,MATCH("Temps ventilé sur la période (y.c. indisponibilité)",'ETPT Format DDG'!2:2,0)),'ETPT Format DDG'!$C:$C,$D$5,'ETPT Format DDG'!$EA:$EA,"Fonctionnaire A-B-CBUR placé ADD")-
SUM(I14:U14)-SUMIFS( INDEX( 'ETPT Format DDG'!$A:$EF,,MATCH("11.7. FONCTIONNAIRES AFFECTÉS AU CPH",'ETPT Format DDG'!2:2,0)),'ETPT Format DDG'!$C:$C,$D$5,'ETPT Format DDG'!$EA:$EA,"Fonctionnaire CTECH placé ADD")</f>
        <v>#N/A</v>
      </c>
      <c r="W14" s="65" t="e">
        <f t="shared" si="6"/>
        <v>#N/A</v>
      </c>
      <c r="X14" s="76"/>
      <c r="Y14" s="75"/>
      <c r="Z14" s="75"/>
      <c r="AA14" s="75"/>
      <c r="AB14" s="65">
        <f t="shared" si="1"/>
        <v>0</v>
      </c>
      <c r="AC14" s="74" t="e">
        <f>SUMIFS( INDEX( 'ETPT Format DDG'!$A:$EF,,MATCH("3.2. PROTECTION DES MAJEURS",'ETPT Format DDG'!2:2,0)),'ETPT Format DDG'!$C:$C,$D$5,'ETPT Format DDG'!$EA:$EA,"Magistrat placé ADD")</f>
        <v>#N/A</v>
      </c>
      <c r="AD14" s="72" t="e">
        <f>SUMIFS( INDEX( 'ETPT Format DDG'!$A:$EF,,MATCH("3. TOTAL CONTENTIEUX DE LA PROTECTION",'ETPT Format DDG'!2:2,0)),'ETPT Format DDG'!$C:$C,$D$5,'ETPT Format DDG'!$EA:$EA,"Magistrat placé ADD")-
SUMIFS( INDEX( 'ETPT Format DDG'!$A:$EF,,MATCH("3.2. PROTECTION DES MAJEURS",'ETPT Format DDG'!2:2,0)),'ETPT Format DDG'!$C:$C,$D$5,'ETPT Format DDG'!$EA:$EA,"Magistrat placé ADD")-
SUMIFS( INDEX( 'ETPT Format DDG'!$A:$EF,,MATCH("3.43. INJONCTIONS DE PAYER",'ETPT Format DDG'!2:2,0)),'ETPT Format DDG'!$C:$C,$D$5,'ETPT Format DDG'!$EA:$EA,"Magistrat placé ADD")-
SUMIFS( INDEX( 'ETPT Format DDG'!$A:$EF,,MATCH("3.44. SAISIE DES RÉMUNÉRATIONS",'ETPT Format DDG'!2:2,0)),'ETPT Format DDG'!$C:$C,$D$5,'ETPT Format DDG'!$EA:$EA,"Magistrat placé ADD")</f>
        <v>#N/A</v>
      </c>
      <c r="AE14" s="184" t="e">
        <f>SUMIFS( INDEX( 'ETPT Format DDG'!$A:$EF,,MATCH("8.1. SERVICE GÉNÉRAL",'ETPT Format DDG'!2:2,0)),'ETPT Format DDG'!$C:$C,$D$5,'ETPT Format DDG'!$EA:$EA,"Magistrat placé ADD")</f>
        <v>#N/A</v>
      </c>
      <c r="AF14" s="184" t="e">
        <f>SUMIFS( INDEX( 'ETPT Format DDG'!$A:$EF,,MATCH("8.2. JIRS ÉCO-FI",'ETPT Format DDG'!2:2,0)),'ETPT Format DDG'!$C:$C,$D$5,'ETPT Format DDG'!$EA:$EA,"Magistrat placé ADD")</f>
        <v>#N/A</v>
      </c>
      <c r="AG14" s="184" t="e">
        <f>SUMIFS( INDEX( 'ETPT Format DDG'!$A:$EF,,MATCH("8.3. JIRS CRIM-ORG",'ETPT Format DDG'!2:2,0)),'ETPT Format DDG'!$C:$C,$D$5,'ETPT Format DDG'!$EA:$EA,"Magistrat placé ADD")</f>
        <v>#N/A</v>
      </c>
      <c r="AH14" s="184" t="e">
        <f>SUMIFS( INDEX( 'ETPT Format DDG'!$A:$EF,,MATCH("8.4. AUTRES SECTIONS SPÉCIALISÉES",'ETPT Format DDG'!2:2,0)),'ETPT Format DDG'!$C:$C,$D$5,'ETPT Format DDG'!$EA:$EA,"Magistrat placé ADD")</f>
        <v>#N/A</v>
      </c>
      <c r="AI14" s="184" t="e">
        <f>SUMIFS( INDEX( 'ETPT Format DDG'!$A:$EF,,MATCH("9. TOTAL JAP",'ETPT Format DDG'!2:2,0)),'ETPT Format DDG'!$C:$C,$D$5,'ETPT Format DDG'!$EA:$EA,"Magistrat placé ADD")</f>
        <v>#N/A</v>
      </c>
      <c r="AJ14" s="184" t="e">
        <f>SUMIFS( INDEX( 'ETPT Format DDG'!$A:$EF,,MATCH("6.1. ACTIVITÉ CIVILE",'ETPT Format DDG'!2:2,0)),'ETPT Format DDG'!$C:$C,$D$5,'ETPT Format DDG'!$EA:$EA,"Magistrat placé ADD")+
SUMIFS( INDEX( 'ETPT Format DDG'!$A:$EF,,MATCH("6.2. ACTIVITÉ PÉNALE",'ETPT Format DDG'!2:2,0)),'ETPT Format DDG'!$C:$C,$D$5,'ETPT Format DDG'!$EA:$EA,"Magistrat placé ADD")</f>
        <v>#N/A</v>
      </c>
      <c r="AK14" s="184" t="e">
        <f>SUMIFS( INDEX( 'ETPT Format DDG'!$A:$EF,,MATCH("5. TOTAL JLD CIVIL",'ETPT Format DDG'!2:2,0)),'ETPT Format DDG'!$C:$C,$D$5,'ETPT Format DDG'!$EA:$EA,"Magistrat placé ADD")+
SUMIFS( INDEX( 'ETPT Format DDG'!$A:$EF,,MATCH("10. TOTAL JLD PÉNAL",'ETPT Format DDG'!2:2,0)),'ETPT Format DDG'!$C:$C,$D$5,'ETPT Format DDG'!$EA:$EA,"Magistrat placé ADD")</f>
        <v>#N/A</v>
      </c>
      <c r="AL14" s="65" t="e">
        <f t="shared" si="2"/>
        <v>#N/A</v>
      </c>
      <c r="AM14" s="184" t="e">
        <f>SUMIFS( INDEX( 'ETPT Format DDG'!$A:$EF,,MATCH("7.5. COUR D'ASSISES HORS JIRS",'ETPT Format DDG'!2:2,0)),'ETPT Format DDG'!$C:$C,$D$5,'ETPT Format DDG'!$EA:$EA,"Magistrat placé ADD")+
SUMIFS( INDEX( 'ETPT Format DDG'!$A:$EF,,MATCH("7.51. COUR D'ASSISES JIRS",'ETPT Format DDG'!2:2,0)),'ETPT Format DDG'!$C:$C,$D$5,'ETPT Format DDG'!$EA:$EA,"Magistrat placé ADD")</f>
        <v>#N/A</v>
      </c>
      <c r="AN14" s="184" t="e">
        <f>SUMIFS( INDEX( 'ETPT Format DDG'!$A:$EF,,MATCH("7.52. COUR CRIMINELLE",'ETPT Format DDG'!2:2,0)),'ETPT Format DDG'!$C:$C,$D$5,'ETPT Format DDG'!$EA:$EA,"Magistrat placé ADD")</f>
        <v>#N/A</v>
      </c>
      <c r="AO14" s="184" t="e">
        <f>SUMIFS( INDEX( 'ETPT Format DDG'!$A:$EF,,MATCH("7.121. COLLÉGIALES JIRS ECO-FI",'ETPT Format DDG'!2:2,0)),'ETPT Format DDG'!$C:$C,$D$5,'ETPT Format DDG'!$EA:$EA,"Magistrat placé ADD")</f>
        <v>#N/A</v>
      </c>
      <c r="AP14" s="184" t="e">
        <f>SUMIFS( INDEX( 'ETPT Format DDG'!$A:$EF,,MATCH("7.12. COLLÉGIALES JIRS CRIM-ORG",'ETPT Format DDG'!2:2,0)),'ETPT Format DDG'!$C:$C,$D$5,'ETPT Format DDG'!$EA:$EA,"Magistrat placé ADD")</f>
        <v>#N/A</v>
      </c>
      <c r="AQ14" s="184" t="e">
        <f>SUMIFS( INDEX( 'ETPT Format DDG'!$A:$EF,,MATCH("7.122. COLLÉGIALES AUTRES SECTIONS SPÉCIALISÉES",'ETPT Format DDG'!2:2,0)),'ETPT Format DDG'!$C:$C,$D$5,'ETPT Format DDG'!$EA:$EA,"Magistrat placé ADD")</f>
        <v>#N/A</v>
      </c>
      <c r="AR14" s="184" t="e">
        <f>SUMIFS( INDEX( 'ETPT Format DDG'!$A:$EF,,MATCH("7.6. TRIBUNAL DE POLICE",'ETPT Format DDG'!2:2,0)),'ETPT Format DDG'!$C:$C,$D$5,'ETPT Format DDG'!$EA:$EA,"Magistrat placé ADD")+
SUMIFS( INDEX( 'ETPT Format DDG'!$A:$EF,,MATCH("7.7. OP CONTRAVENTIONNELLES",'ETPT Format DDG'!2:2,0)),'ETPT Format DDG'!$C:$C,$D$5,'ETPT Format DDG'!$EA:$EA,"Magistrat placé ADD")</f>
        <v>#N/A</v>
      </c>
      <c r="AS14" s="72" t="e">
        <f>SUMIFS( INDEX( 'ETPT Format DDG'!$A:$EF,,MATCH("1.1. DÉPARTAGE PRUD'HOMAL",'ETPT Format DDG'!2:2,0)),'ETPT Format DDG'!$C:$C,$D$5,'ETPT Format DDG'!$EA:$EA,"Magistrat placé ADD")</f>
        <v>#N/A</v>
      </c>
      <c r="AT14" s="72" t="e">
        <f>SUMIFS( INDEX( 'ETPT Format DDG'!$A:$EF,,MATCH("4.0. CONTENTIEUX GÉNÉRAL &lt;10.000€",'ETPT Format DDG'!2:2,0)),'ETPT Format DDG'!$C:$C,$D$5,'ETPT Format DDG'!$EA:$EA,"Magistrat placé ADD")</f>
        <v>#N/A</v>
      </c>
      <c r="AU14" s="72" t="e">
        <f>SUMIFS( INDEX( 'ETPT Format DDG'!$A:$EF,,MATCH("3.43. INJONCTIONS DE PAYER",'ETPT Format DDG'!2:2,0)),'ETPT Format DDG'!$C:$C,$D$5,'ETPT Format DDG'!$EA:$EA,"Magistrat placé ADD")+
SUMIFS( INDEX( 'ETPT Format DDG'!$A:$EF,,MATCH("3.44. SAISIE DES RÉMUNÉRATIONS",'ETPT Format DDG'!2:2,0)),'ETPT Format DDG'!$C:$C,$D$5,'ETPT Format DDG'!$EA:$EA,"Magistrat placé ADD")</f>
        <v>#N/A</v>
      </c>
      <c r="AV14" s="72" t="e">
        <f>SUMIFS( INDEX( 'ETPT Format DDG'!$A:$EF,,MATCH("1. TOTAL CONTENTIEUX SOCIAL",'ETPT Format DDG'!2:2,0)),'ETPT Format DDG'!$C:$C,$D$5,'ETPT Format DDG'!$EA:$EA,"Magistrat placé ADD")-
SUMIFS( INDEX( 'ETPT Format DDG'!$A:$EF,,MATCH("1.1. DÉPARTAGE PRUD'HOMAL",'ETPT Format DDG'!2:2,0)),'ETPT Format DDG'!$C:$C,$D$5,'ETPT Format DDG'!$EA:$EA,"Magistrat placé ADD")</f>
        <v>#N/A</v>
      </c>
      <c r="AW14" s="184" t="e">
        <f>SUMIFS( INDEX( 'ETPT Format DDG'!$A:$EF,,MATCH("2. TOTAL CONTENTIEUX JAF",'ETPT Format DDG'!2:2,0)),'ETPT Format DDG'!$C:$C,$D$5,'ETPT Format DDG'!$EA:$EA,"Magistrat placé ADD")</f>
        <v>#N/A</v>
      </c>
      <c r="AX14" s="73"/>
      <c r="AY14" s="72" t="e">
        <f>SUMIFS( INDEX( 'ETPT Format DDG'!$A:$EF,,MATCH("Temps ventilé sur la période (y.c. indisponibilité)",'ETPT Format DDG'!2:2,0)),'ETPT Format DDG'!$C:$C,$D$5,'ETPT Format DDG'!$EA:$EA,"Magistrat placé ADD")-SUM(AC14:AK14)-SUM(AM14:AX14)</f>
        <v>#N/A</v>
      </c>
      <c r="AZ14" s="65" t="e">
        <f t="shared" si="3"/>
        <v>#N/A</v>
      </c>
      <c r="BA14" s="71"/>
      <c r="BB14" s="71"/>
      <c r="BC14" s="71"/>
      <c r="BD14" s="71"/>
      <c r="BE14" s="71"/>
      <c r="BF14" s="71"/>
      <c r="BG14" s="71"/>
      <c r="BH14" s="71"/>
      <c r="BI14" s="71"/>
      <c r="BJ14" s="65">
        <f t="shared" si="4"/>
        <v>0</v>
      </c>
    </row>
    <row r="15" spans="1:62" s="60" customFormat="1" ht="14.25" customHeight="1" x14ac:dyDescent="0.15">
      <c r="A15" s="70" t="s">
        <v>193</v>
      </c>
      <c r="B15" s="80"/>
      <c r="C15" s="80"/>
      <c r="D15" s="81" t="str">
        <f t="shared" si="5"/>
        <v/>
      </c>
      <c r="E15" s="80" t="s">
        <v>192</v>
      </c>
      <c r="F15" s="80" t="s">
        <v>191</v>
      </c>
      <c r="G15" s="79" t="e">
        <f>SUMIFS( INDEX( 'ETPT Format DDG'!$A:$EF,,MATCH("Temps ventilé sur la période (y.c. indisponibilité)",'ETPT Format DDG'!2:2,0)),'ETPT Format DDG'!$C:$C,$D$5,'ETPT Format DDG'!$EA:$EA,"Fonctionnaire CTECH placé SUB")</f>
        <v>#N/A</v>
      </c>
      <c r="H15" s="78" t="e">
        <f t="shared" si="0"/>
        <v>#N/A</v>
      </c>
      <c r="I15" s="77" t="e">
        <f>SUMIFS( INDEX( 'ETPT Format DDG'!$A:$EF,,MATCH("11.8. FONCTIONNAIRES AFFECTÉS AUX ACTIVITÉS CIVILES ET COMMERCIALES DU PARQUET",'ETPT Format DDG'!2:2,0)),'ETPT Format DDG'!$C:$C,$D$5,'ETPT Format DDG'!$EA:$EA,"Fonctionnaire A-B-CBUR placé SUB")</f>
        <v>#N/A</v>
      </c>
      <c r="J15" s="77" t="e">
        <f>SUMIFS( INDEX( 'ETPT Format DDG'!$A:$EF,,MATCH("11.9. FONCTIONNAIRES AFFECTÉS À L'EXÉCUTION DES PEINES",'ETPT Format DDG'!2:2,0)),'ETPT Format DDG'!$C:$C,$D$5,'ETPT Format DDG'!$EA:$EA,"Fonctionnaire A-B-CBUR placé SUB")</f>
        <v>#N/A</v>
      </c>
      <c r="K15" s="77" t="e">
        <f>SUMIFS( INDEX( 'ETPT Format DDG'!$A:$EF,,MATCH("7.5. COUR D'ASSISES HORS JIRS",'ETPT Format DDG'!2:2,0)),'ETPT Format DDG'!$C:$C,$D$5,'ETPT Format DDG'!$EA:$EA,"Fonctionnaire A-B-CBUR placé SUB")+
SUMIFS( INDEX( 'ETPT Format DDG'!$A:$EF,,MATCH("7.51. COUR D'ASSISES JIRS",'ETPT Format DDG'!2:2,0)),'ETPT Format DDG'!$C:$C,$D$5,'ETPT Format DDG'!$EA:$EA,"Fonctionnaire A-B-CBUR placé SUB")</f>
        <v>#N/A</v>
      </c>
      <c r="L15" s="77" t="e">
        <f>SUMIFS( INDEX( 'ETPT Format DDG'!$A:$EF,,MATCH("7.52. COUR CRIMINELLE",'ETPT Format DDG'!2:2,0)),'ETPT Format DDG'!$C:$C,$D$5,'ETPT Format DDG'!$EA:$EA,"Fonctionnaire A-B-CBUR placé SUB")</f>
        <v>#N/A</v>
      </c>
      <c r="M15" s="77" t="e">
        <f>SUMIFS( INDEX( 'ETPT Format DDG'!$A:$EF,,MATCH("8.2. JIRS ÉCO-FI",'ETPT Format DDG'!2:2,0)),'ETPT Format DDG'!$C:$C,$D$5,'ETPT Format DDG'!$EA:$EA,"Fonctionnaire A-B-CBUR placé SUB")</f>
        <v>#N/A</v>
      </c>
      <c r="N15" s="77" t="e">
        <f>SUMIFS( INDEX( 'ETPT Format DDG'!$A:$EF,,MATCH("8.3. JIRS CRIM-ORG",'ETPT Format DDG'!2:2,0)),'ETPT Format DDG'!$C:$C,$D$5,'ETPT Format DDG'!$EA:$EA,"Fonctionnaire A-B-CBUR placé SUB")</f>
        <v>#N/A</v>
      </c>
      <c r="O15" s="77" t="e">
        <f>SUMIFS( INDEX( 'ETPT Format DDG'!$A:$EF,,MATCH("8.4. AUTRES SECTIONS SPÉCIALISÉES",'ETPT Format DDG'!2:2,0)),'ETPT Format DDG'!$C:$C,$D$5,'ETPT Format DDG'!$EA:$EA,"Fonctionnaire A-B-CBUR placé SUB")</f>
        <v>#N/A</v>
      </c>
      <c r="P15" s="77" t="e">
        <f>SUMIFS( INDEX( 'ETPT Format DDG'!$A:$EF,,MATCH("3.2. PROTECTION DES MAJEURS",'ETPT Format DDG'!2:2,0)),'ETPT Format DDG'!$C:$C,$D$5,'ETPT Format DDG'!$EA:$EA,"Fonctionnaire A-B-CBUR placé SUB")</f>
        <v>#N/A</v>
      </c>
      <c r="Q15" s="77" t="e">
        <f>SUMIFS( INDEX( 'ETPT Format DDG'!$A:$EF,,MATCH("3. TOTAL CONTENTIEUX DE LA PROTECTION",'ETPT Format DDG'!2:2,0)),'ETPT Format DDG'!$C:$C,$D$5,'ETPT Format DDG'!$EA:$EA,"Fonctionnaire A-B-CBUR placé SUB")-
SUMIFS( INDEX( 'ETPT Format DDG'!$A:$EF,,MATCH("3.2. PROTECTION DES MAJEURS",'ETPT Format DDG'!2:2,0)),'ETPT Format DDG'!$C:$C,$D$5,'ETPT Format DDG'!$EA:$EA,"Fonctionnaire A-B-CBUR placé SUB")-
SUMIFS( INDEX( 'ETPT Format DDG'!$A:$EF,,MATCH("3.43. INJONCTIONS DE PAYER",'ETPT Format DDG'!2:2,0)),'ETPT Format DDG'!$C:$C,$D$5,'ETPT Format DDG'!$EA:$EA,"Fonctionnaire A-B-CBUR placé SUB")-
SUMIFS( INDEX( 'ETPT Format DDG'!$A:$EF,,MATCH("3.44. SAISIE DES RÉMUNÉRATIONS",'ETPT Format DDG'!2:2,0)),'ETPT Format DDG'!$C:$C,$D$5,'ETPT Format DDG'!$EA:$EA,"Fonctionnaire A-B-CBUR placé SUB")</f>
        <v>#N/A</v>
      </c>
      <c r="R15" s="77" t="e">
        <f>SUMIFS( INDEX( 'ETPT Format DDG'!$A:$EF,,MATCH("5. TOTAL JLD CIVIL",'ETPT Format DDG'!2:2,0)),'ETPT Format DDG'!$C:$C,$D$5,'ETPT Format DDG'!$EA:$EA,"Fonctionnaire A-B-CBUR placé SUB")+
SUMIFS( INDEX( 'ETPT Format DDG'!$A:$EF,,MATCH("6.1. ACTIVITÉ CIVILE",'ETPT Format DDG'!2:2,0)),'ETPT Format DDG'!$C:$C,$D$5,'ETPT Format DDG'!$EA:$EA,"Fonctionnaire A-B-CBUR placé SUB")+
SUMIFS( INDEX( 'ETPT Format DDG'!$A:$EF,,MATCH("6.2. ACTIVITÉ PÉNALE",'ETPT Format DDG'!2:2,0)),'ETPT Format DDG'!$C:$C,$D$5,'ETPT Format DDG'!$EA:$EA,"Fonctionnaire A-B-CBUR placé SUB")+
(SUMIFS( INDEX( 'ETPT Format DDG'!$A:$EF,,MATCH("8. TOTAL JUGES D'INSTRUCTION",'ETPT Format DDG'!2:2,0)),'ETPT Format DDG'!$C:$C,$D$5,'ETPT Format DDG'!$EA:$EA,"Fonctionnaire A-B-CBUR placé SUB")-
SUMIFS( INDEX( 'ETPT Format DDG'!$A:$EF,,MATCH("8.2. JIRS ÉCO-FI",'ETPT Format DDG'!2:2,0)),'ETPT Format DDG'!$C:$C,$D$5,'ETPT Format DDG'!$EA:$EA,"Fonctionnaire A-B-CBUR placé SUB")-
SUMIFS( INDEX( 'ETPT Format DDG'!$A:$EF,,MATCH("8.3. JIRS CRIM-ORG",'ETPT Format DDG'!2:2,0)),'ETPT Format DDG'!$C:$C,$D$5,'ETPT Format DDG'!$EA:$EA,"Fonctionnaire A-B-CBUR placé SUB")-
SUMIFS( INDEX( 'ETPT Format DDG'!$A:$EF,,MATCH("8.4. AUTRES SECTIONS SPÉCIALISÉES",'ETPT Format DDG'!2:2,0)),'ETPT Format DDG'!$C:$C,$D$5,'ETPT Format DDG'!$EA:$EA,"Fonctionnaire A-B-CBUR placé SUB"))+
SUMIFS( INDEX( 'ETPT Format DDG'!$A:$EF,,MATCH("9. TOTAL JAP",'ETPT Format DDG'!2:2,0)),'ETPT Format DDG'!$C:$C,$D$5,'ETPT Format DDG'!$EA:$EA,"Fonctionnaire A-B-CBUR placé SUB")+
SUMIFS( INDEX( 'ETPT Format DDG'!$A:$EF,,MATCH("10. TOTAL JLD PÉNAL",'ETPT Format DDG'!2:2,0)),'ETPT Format DDG'!$C:$C,$D$5,'ETPT Format DDG'!$EA:$EA,"Fonctionnaire A-B-CBUR placé SUB")</f>
        <v>#N/A</v>
      </c>
      <c r="S15" s="77" t="e">
        <f>SUMIFS( INDEX( 'ETPT Format DDG'!$A:$EF,,MATCH("3.43. INJONCTIONS DE PAYER",'ETPT Format DDG'!2:2,0)),'ETPT Format DDG'!$C:$C,$D$5,'ETPT Format DDG'!$EA:$EA,"Fonctionnaire A-B-CBUR placé SUB")+
SUMIFS( INDEX( 'ETPT Format DDG'!$A:$EF,,MATCH("3.44. SAISIE DES RÉMUNÉRATIONS",'ETPT Format DDG'!2:2,0)),'ETPT Format DDG'!$C:$C,$D$5,'ETPT Format DDG'!$EA:$EA,"Fonctionnaire A-B-CBUR placé SUB")</f>
        <v>#N/A</v>
      </c>
      <c r="T15" s="77" t="e">
        <f>SUMIFS( INDEX( 'ETPT Format DDG'!$A:$EF,,MATCH("4.0. CONTENTIEUX GÉNÉRAL &lt;10.000€",'ETPT Format DDG'!2:2,0)),'ETPT Format DDG'!$C:$C,$D$5,'ETPT Format DDG'!$EA:$EA,"Fonctionnaire A-B-CBUR placé SUB")</f>
        <v>#N/A</v>
      </c>
      <c r="U15" s="77" t="e">
        <f>SUMIFS( INDEX( 'ETPT Format DDG'!$A:$EF,,MATCH("1. TOTAL CONTENTIEUX SOCIAL",'ETPT Format DDG'!2:2,0)),'ETPT Format DDG'!$C:$C,$D$5,'ETPT Format DDG'!$EA:$EA,"Fonctionnaire A-B-CBUR placé SUB")</f>
        <v>#N/A</v>
      </c>
      <c r="V15" s="185" t="e">
        <f>SUMIFS( INDEX( 'ETPT Format DDG'!$A:$EF,,MATCH("Temps ventilé sur la période (y.c. indisponibilité)",'ETPT Format DDG'!2:2,0)),'ETPT Format DDG'!$C:$C,$D$5,'ETPT Format DDG'!$EA:$EA,"Fonctionnaire A-B-CBUR placé SUB")-
SUM(I15:U15)-SUMIFS( INDEX( 'ETPT Format DDG'!$A:$EF,,MATCH("11.7. FONCTIONNAIRES AFFECTÉS AU CPH",'ETPT Format DDG'!2:2,0)),'ETPT Format DDG'!$C:$C,$D$5,'ETPT Format DDG'!$EA:$EA,"Fonctionnaire CTECH placé SUB")</f>
        <v>#N/A</v>
      </c>
      <c r="W15" s="65" t="e">
        <f t="shared" si="6"/>
        <v>#N/A</v>
      </c>
      <c r="X15" s="76"/>
      <c r="Y15" s="75"/>
      <c r="Z15" s="75"/>
      <c r="AA15" s="75"/>
      <c r="AB15" s="65">
        <f t="shared" si="1"/>
        <v>0</v>
      </c>
      <c r="AC15" s="74" t="e">
        <f>SUMIFS( INDEX( 'ETPT Format DDG'!$A:$EF,,MATCH("3.2. PROTECTION DES MAJEURS",'ETPT Format DDG'!2:2,0)),'ETPT Format DDG'!$C:$C,$D$5,'ETPT Format DDG'!$EA:$EA,"Magistrat placé SUB")</f>
        <v>#N/A</v>
      </c>
      <c r="AD15" s="72" t="e">
        <f>SUMIFS( INDEX( 'ETPT Format DDG'!$A:$EF,,MATCH("3. TOTAL CONTENTIEUX DE LA PROTECTION",'ETPT Format DDG'!2:2,0)),'ETPT Format DDG'!$C:$C,$D$5,'ETPT Format DDG'!$EA:$EA,"Magistrat placé SUB")-
SUMIFS( INDEX( 'ETPT Format DDG'!$A:$EF,,MATCH("3.2. PROTECTION DES MAJEURS",'ETPT Format DDG'!2:2,0)),'ETPT Format DDG'!$C:$C,$D$5,'ETPT Format DDG'!$EA:$EA,"Magistrat placé SUB")-
SUMIFS( INDEX( 'ETPT Format DDG'!$A:$EF,,MATCH("3.43. INJONCTIONS DE PAYER",'ETPT Format DDG'!2:2,0)),'ETPT Format DDG'!$C:$C,$D$5,'ETPT Format DDG'!$EA:$EA,"Magistrat placé SUB")-
SUMIFS( INDEX( 'ETPT Format DDG'!$A:$EF,,MATCH("3.44. SAISIE DES RÉMUNÉRATIONS",'ETPT Format DDG'!2:2,0)),'ETPT Format DDG'!$C:$C,$D$5,'ETPT Format DDG'!$EA:$EA,"Magistrat placé SUB")</f>
        <v>#N/A</v>
      </c>
      <c r="AE15" s="184" t="e">
        <f>SUMIFS( INDEX( 'ETPT Format DDG'!$A:$EF,,MATCH("8.1. SERVICE GÉNÉRAL",'ETPT Format DDG'!2:2,0)),'ETPT Format DDG'!$C:$C,$D$5,'ETPT Format DDG'!$EA:$EA,"Magistrat placé SUB")</f>
        <v>#N/A</v>
      </c>
      <c r="AF15" s="184" t="e">
        <f>SUMIFS( INDEX( 'ETPT Format DDG'!$A:$EF,,MATCH("8.2. JIRS ÉCO-FI",'ETPT Format DDG'!2:2,0)),'ETPT Format DDG'!$C:$C,$D$5,'ETPT Format DDG'!$EA:$EA,"Magistrat placé SUB")</f>
        <v>#N/A</v>
      </c>
      <c r="AG15" s="184" t="e">
        <f>SUMIFS( INDEX( 'ETPT Format DDG'!$A:$EF,,MATCH("8.3. JIRS CRIM-ORG",'ETPT Format DDG'!2:2,0)),'ETPT Format DDG'!$C:$C,$D$5,'ETPT Format DDG'!$EA:$EA,"Magistrat placé SUB")</f>
        <v>#N/A</v>
      </c>
      <c r="AH15" s="184" t="e">
        <f>SUMIFS( INDEX( 'ETPT Format DDG'!$A:$EF,,MATCH("8.4. AUTRES SECTIONS SPÉCIALISÉES",'ETPT Format DDG'!2:2,0)),'ETPT Format DDG'!$C:$C,$D$5,'ETPT Format DDG'!$EA:$EA,"Magistrat placé SUB")</f>
        <v>#N/A</v>
      </c>
      <c r="AI15" s="184" t="e">
        <f>SUMIFS( INDEX( 'ETPT Format DDG'!$A:$EF,,MATCH("9. TOTAL JAP",'ETPT Format DDG'!2:2,0)),'ETPT Format DDG'!$C:$C,$D$5,'ETPT Format DDG'!$EA:$EA,"Magistrat placé SUB")</f>
        <v>#N/A</v>
      </c>
      <c r="AJ15" s="184" t="e">
        <f>SUMIFS( INDEX( 'ETPT Format DDG'!$A:$EF,,MATCH("6.1. ACTIVITÉ CIVILE",'ETPT Format DDG'!2:2,0)),'ETPT Format DDG'!$C:$C,$D$5,'ETPT Format DDG'!$EA:$EA,"Magistrat placé SUB")+
SUMIFS( INDEX( 'ETPT Format DDG'!$A:$EF,,MATCH("6.2. ACTIVITÉ PÉNALE",'ETPT Format DDG'!2:2,0)),'ETPT Format DDG'!$C:$C,$D$5,'ETPT Format DDG'!$EA:$EA,"Magistrat placé SUB")</f>
        <v>#N/A</v>
      </c>
      <c r="AK15" s="184" t="e">
        <f>SUMIFS( INDEX( 'ETPT Format DDG'!$A:$EF,,MATCH("5. TOTAL JLD CIVIL",'ETPT Format DDG'!2:2,0)),'ETPT Format DDG'!$C:$C,$D$5,'ETPT Format DDG'!$EA:$EA,"Magistrat placé SUB")+
SUMIFS( INDEX( 'ETPT Format DDG'!$A:$EF,,MATCH("10. TOTAL JLD PÉNAL",'ETPT Format DDG'!2:2,0)),'ETPT Format DDG'!$C:$C,$D$5,'ETPT Format DDG'!$EA:$EA,"Magistrat placé SUB")</f>
        <v>#N/A</v>
      </c>
      <c r="AL15" s="65" t="e">
        <f t="shared" si="2"/>
        <v>#N/A</v>
      </c>
      <c r="AM15" s="184" t="e">
        <f>SUMIFS( INDEX( 'ETPT Format DDG'!$A:$EF,,MATCH("7.5. COUR D'ASSISES HORS JIRS",'ETPT Format DDG'!2:2,0)),'ETPT Format DDG'!$C:$C,$D$5,'ETPT Format DDG'!$EA:$EA,"Magistrat placé SUB")+
SUMIFS( INDEX( 'ETPT Format DDG'!$A:$EF,,MATCH("7.51. COUR D'ASSISES JIRS",'ETPT Format DDG'!2:2,0)),'ETPT Format DDG'!$C:$C,$D$5,'ETPT Format DDG'!$EA:$EA,"Magistrat placé SUB")</f>
        <v>#N/A</v>
      </c>
      <c r="AN15" s="184" t="e">
        <f>SUMIFS( INDEX( 'ETPT Format DDG'!$A:$EF,,MATCH("7.52. COUR CRIMINELLE",'ETPT Format DDG'!2:2,0)),'ETPT Format DDG'!$C:$C,$D$5,'ETPT Format DDG'!$EA:$EA,"Magistrat placé SUB")</f>
        <v>#N/A</v>
      </c>
      <c r="AO15" s="184" t="e">
        <f>SUMIFS( INDEX( 'ETPT Format DDG'!$A:$EF,,MATCH("7.121. COLLÉGIALES JIRS ECO-FI",'ETPT Format DDG'!2:2,0)),'ETPT Format DDG'!$C:$C,$D$5,'ETPT Format DDG'!$EA:$EA,"Magistrat placé SUB")</f>
        <v>#N/A</v>
      </c>
      <c r="AP15" s="184" t="e">
        <f>SUMIFS( INDEX( 'ETPT Format DDG'!$A:$EF,,MATCH("7.12. COLLÉGIALES JIRS CRIM-ORG",'ETPT Format DDG'!2:2,0)),'ETPT Format DDG'!$C:$C,$D$5,'ETPT Format DDG'!$EA:$EA,"Magistrat placé SUB")</f>
        <v>#N/A</v>
      </c>
      <c r="AQ15" s="184" t="e">
        <f>SUMIFS( INDEX( 'ETPT Format DDG'!$A:$EF,,MATCH("7.122. COLLÉGIALES AUTRES SECTIONS SPÉCIALISÉES",'ETPT Format DDG'!2:2,0)),'ETPT Format DDG'!$C:$C,$D$5,'ETPT Format DDG'!$EA:$EA,"Magistrat placé SUB")</f>
        <v>#N/A</v>
      </c>
      <c r="AR15" s="184" t="e">
        <f>SUMIFS( INDEX( 'ETPT Format DDG'!$A:$EF,,MATCH("7.6. TRIBUNAL DE POLICE",'ETPT Format DDG'!2:2,0)),'ETPT Format DDG'!$C:$C,$D$5,'ETPT Format DDG'!$EA:$EA,"Magistrat placé SUB")+
SUMIFS( INDEX( 'ETPT Format DDG'!$A:$EF,,MATCH("7.7. OP CONTRAVENTIONNELLES",'ETPT Format DDG'!2:2,0)),'ETPT Format DDG'!$C:$C,$D$5,'ETPT Format DDG'!$EA:$EA,"Magistrat placé SUB")</f>
        <v>#N/A</v>
      </c>
      <c r="AS15" s="72" t="e">
        <f>SUMIFS( INDEX( 'ETPT Format DDG'!$A:$EF,,MATCH("1.1. DÉPARTAGE PRUD'HOMAL",'ETPT Format DDG'!2:2,0)),'ETPT Format DDG'!$C:$C,$D$5,'ETPT Format DDG'!$EA:$EA,"Magistrat placé SUB")</f>
        <v>#N/A</v>
      </c>
      <c r="AT15" s="72" t="e">
        <f>SUMIFS( INDEX( 'ETPT Format DDG'!$A:$EF,,MATCH("4.0. CONTENTIEUX GÉNÉRAL &lt;10.000€",'ETPT Format DDG'!2:2,0)),'ETPT Format DDG'!$C:$C,$D$5,'ETPT Format DDG'!$EA:$EA,"Magistrat placé SUB")</f>
        <v>#N/A</v>
      </c>
      <c r="AU15" s="72" t="e">
        <f>SUMIFS( INDEX( 'ETPT Format DDG'!$A:$EF,,MATCH("3.43. INJONCTIONS DE PAYER",'ETPT Format DDG'!2:2,0)),'ETPT Format DDG'!$C:$C,$D$5,'ETPT Format DDG'!$EA:$EA,"Magistrat placé SUB")+
SUMIFS( INDEX( 'ETPT Format DDG'!$A:$EF,,MATCH("3.44. SAISIE DES RÉMUNÉRATIONS",'ETPT Format DDG'!2:2,0)),'ETPT Format DDG'!$C:$C,$D$5,'ETPT Format DDG'!$EA:$EA,"Magistrat placé SUB")</f>
        <v>#N/A</v>
      </c>
      <c r="AV15" s="72" t="e">
        <f>SUMIFS( INDEX( 'ETPT Format DDG'!$A:$EF,,MATCH("1. TOTAL CONTENTIEUX SOCIAL",'ETPT Format DDG'!2:2,0)),'ETPT Format DDG'!$C:$C,$D$5,'ETPT Format DDG'!$EA:$EA,"Magistrat placé SUB")-
SUMIFS( INDEX( 'ETPT Format DDG'!$A:$EF,,MATCH("1.1. DÉPARTAGE PRUD'HOMAL",'ETPT Format DDG'!2:2,0)),'ETPT Format DDG'!$C:$C,$D$5,'ETPT Format DDG'!$EA:$EA,"Magistrat placé SUB")</f>
        <v>#N/A</v>
      </c>
      <c r="AW15" s="184" t="e">
        <f>SUMIFS( INDEX( 'ETPT Format DDG'!$A:$EF,,MATCH("2. TOTAL CONTENTIEUX JAF",'ETPT Format DDG'!2:2,0)),'ETPT Format DDG'!$C:$C,$D$5,'ETPT Format DDG'!$EA:$EA,"Magistrat placé SUB")</f>
        <v>#N/A</v>
      </c>
      <c r="AX15" s="73"/>
      <c r="AY15" s="72" t="e">
        <f>SUMIFS( INDEX( 'ETPT Format DDG'!$A:$EF,,MATCH("Temps ventilé sur la période (y.c. indisponibilité)",'ETPT Format DDG'!2:2,0)),'ETPT Format DDG'!$C:$C,$D$5,'ETPT Format DDG'!$EA:$EA,"Magistrat placé SUB")-SUM(AC15:AK15)-SUM(AM15:AX15)</f>
        <v>#N/A</v>
      </c>
      <c r="AZ15" s="65" t="e">
        <f t="shared" si="3"/>
        <v>#N/A</v>
      </c>
      <c r="BA15" s="71"/>
      <c r="BB15" s="71"/>
      <c r="BC15" s="71"/>
      <c r="BD15" s="71"/>
      <c r="BE15" s="71"/>
      <c r="BF15" s="71"/>
      <c r="BG15" s="71"/>
      <c r="BH15" s="71"/>
      <c r="BI15" s="71"/>
      <c r="BJ15" s="65">
        <f t="shared" si="4"/>
        <v>0</v>
      </c>
    </row>
    <row r="16" spans="1:62" s="60" customFormat="1" ht="14.25" customHeight="1" x14ac:dyDescent="0.15">
      <c r="A16" s="70"/>
      <c r="B16" s="69"/>
      <c r="C16" s="69"/>
      <c r="D16" s="69"/>
      <c r="E16" s="69"/>
      <c r="F16" s="68" t="s">
        <v>190</v>
      </c>
      <c r="G16" s="66" t="e">
        <f t="shared" ref="G16:AL16" si="7">SUM(G5:G15)</f>
        <v>#N/A</v>
      </c>
      <c r="H16" s="65" t="e">
        <f>SUM(H5:H15)</f>
        <v>#N/A</v>
      </c>
      <c r="I16" s="66" t="e">
        <f t="shared" si="7"/>
        <v>#N/A</v>
      </c>
      <c r="J16" s="66" t="e">
        <f t="shared" si="7"/>
        <v>#N/A</v>
      </c>
      <c r="K16" s="66" t="e">
        <f t="shared" si="7"/>
        <v>#N/A</v>
      </c>
      <c r="L16" s="67" t="e">
        <f t="shared" si="7"/>
        <v>#N/A</v>
      </c>
      <c r="M16" s="66" t="e">
        <f t="shared" si="7"/>
        <v>#N/A</v>
      </c>
      <c r="N16" s="66" t="e">
        <f t="shared" si="7"/>
        <v>#N/A</v>
      </c>
      <c r="O16" s="66" t="e">
        <f t="shared" si="7"/>
        <v>#N/A</v>
      </c>
      <c r="P16" s="66" t="e">
        <f t="shared" si="7"/>
        <v>#N/A</v>
      </c>
      <c r="Q16" s="66" t="e">
        <f t="shared" si="7"/>
        <v>#N/A</v>
      </c>
      <c r="R16" s="66" t="e">
        <f t="shared" si="7"/>
        <v>#N/A</v>
      </c>
      <c r="S16" s="66" t="e">
        <f t="shared" si="7"/>
        <v>#N/A</v>
      </c>
      <c r="T16" s="66" t="e">
        <f t="shared" si="7"/>
        <v>#N/A</v>
      </c>
      <c r="U16" s="66" t="e">
        <f t="shared" si="7"/>
        <v>#N/A</v>
      </c>
      <c r="V16" s="66" t="e">
        <f t="shared" si="7"/>
        <v>#N/A</v>
      </c>
      <c r="W16" s="65" t="e">
        <f t="shared" si="7"/>
        <v>#N/A</v>
      </c>
      <c r="X16" s="66" t="e">
        <f t="shared" si="7"/>
        <v>#N/A</v>
      </c>
      <c r="Y16" s="66" t="e">
        <f t="shared" si="7"/>
        <v>#N/A</v>
      </c>
      <c r="Z16" s="66" t="e">
        <f t="shared" si="7"/>
        <v>#N/A</v>
      </c>
      <c r="AA16" s="66" t="e">
        <f t="shared" si="7"/>
        <v>#N/A</v>
      </c>
      <c r="AB16" s="65" t="e">
        <f t="shared" si="7"/>
        <v>#N/A</v>
      </c>
      <c r="AC16" s="66" t="e">
        <f t="shared" si="7"/>
        <v>#N/A</v>
      </c>
      <c r="AD16" s="66" t="e">
        <f t="shared" si="7"/>
        <v>#N/A</v>
      </c>
      <c r="AE16" s="66" t="e">
        <f t="shared" si="7"/>
        <v>#N/A</v>
      </c>
      <c r="AF16" s="66" t="e">
        <f t="shared" si="7"/>
        <v>#N/A</v>
      </c>
      <c r="AG16" s="66" t="e">
        <f t="shared" si="7"/>
        <v>#N/A</v>
      </c>
      <c r="AH16" s="66" t="e">
        <f t="shared" si="7"/>
        <v>#N/A</v>
      </c>
      <c r="AI16" s="66" t="e">
        <f t="shared" si="7"/>
        <v>#N/A</v>
      </c>
      <c r="AJ16" s="66" t="e">
        <f t="shared" si="7"/>
        <v>#N/A</v>
      </c>
      <c r="AK16" s="66" t="e">
        <f t="shared" si="7"/>
        <v>#N/A</v>
      </c>
      <c r="AL16" s="65" t="e">
        <f t="shared" si="7"/>
        <v>#N/A</v>
      </c>
      <c r="AM16" s="66" t="e">
        <f t="shared" ref="AM16:BJ16" si="8">SUM(AM5:AM15)</f>
        <v>#N/A</v>
      </c>
      <c r="AN16" s="66" t="e">
        <f t="shared" si="8"/>
        <v>#N/A</v>
      </c>
      <c r="AO16" s="66" t="e">
        <f t="shared" si="8"/>
        <v>#N/A</v>
      </c>
      <c r="AP16" s="66" t="e">
        <f t="shared" si="8"/>
        <v>#N/A</v>
      </c>
      <c r="AQ16" s="66" t="e">
        <f t="shared" si="8"/>
        <v>#N/A</v>
      </c>
      <c r="AR16" s="66" t="e">
        <f t="shared" si="8"/>
        <v>#N/A</v>
      </c>
      <c r="AS16" s="66" t="e">
        <f t="shared" si="8"/>
        <v>#N/A</v>
      </c>
      <c r="AT16" s="66" t="e">
        <f t="shared" si="8"/>
        <v>#N/A</v>
      </c>
      <c r="AU16" s="66" t="e">
        <f t="shared" si="8"/>
        <v>#N/A</v>
      </c>
      <c r="AV16" s="66" t="e">
        <f t="shared" si="8"/>
        <v>#N/A</v>
      </c>
      <c r="AW16" s="66" t="e">
        <f t="shared" si="8"/>
        <v>#N/A</v>
      </c>
      <c r="AX16" s="66" t="e">
        <f t="shared" si="8"/>
        <v>#N/A</v>
      </c>
      <c r="AY16" s="66" t="e">
        <f t="shared" si="8"/>
        <v>#N/A</v>
      </c>
      <c r="AZ16" s="65" t="e">
        <f t="shared" si="8"/>
        <v>#N/A</v>
      </c>
      <c r="BA16" s="66">
        <f t="shared" si="8"/>
        <v>0</v>
      </c>
      <c r="BB16" s="66">
        <f t="shared" si="8"/>
        <v>0</v>
      </c>
      <c r="BC16" s="66">
        <f t="shared" si="8"/>
        <v>0</v>
      </c>
      <c r="BD16" s="66">
        <f t="shared" si="8"/>
        <v>0</v>
      </c>
      <c r="BE16" s="66">
        <f t="shared" si="8"/>
        <v>0</v>
      </c>
      <c r="BF16" s="66">
        <f t="shared" si="8"/>
        <v>0</v>
      </c>
      <c r="BG16" s="66">
        <f t="shared" si="8"/>
        <v>0</v>
      </c>
      <c r="BH16" s="66">
        <f t="shared" si="8"/>
        <v>0</v>
      </c>
      <c r="BI16" s="66">
        <f t="shared" si="8"/>
        <v>0</v>
      </c>
      <c r="BJ16" s="65">
        <f t="shared" si="8"/>
        <v>0</v>
      </c>
    </row>
    <row r="17" spans="1:62" s="60" customFormat="1" ht="9" customHeight="1" x14ac:dyDescent="0.15">
      <c r="A17" s="64"/>
      <c r="B17" s="63"/>
      <c r="C17" s="63"/>
      <c r="D17" s="63"/>
      <c r="E17" s="63"/>
      <c r="F17" s="62"/>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row>
    <row r="18" spans="1:62" x14ac:dyDescent="0.2">
      <c r="W18" s="59" t="e">
        <f>H16+W16-W14-H14-H15-W15+ETPT_CPH!G5</f>
        <v>#N/A</v>
      </c>
      <c r="AZ18" s="59" t="e">
        <f>AZ16+AL16-AZ14-AL14</f>
        <v>#N/A</v>
      </c>
    </row>
    <row r="19" spans="1:62" x14ac:dyDescent="0.2">
      <c r="D19" s="58" t="s">
        <v>325</v>
      </c>
      <c r="AZ19" s="57"/>
    </row>
    <row r="20" spans="1:62" x14ac:dyDescent="0.2">
      <c r="W20" s="57"/>
      <c r="AZ20" s="57"/>
    </row>
    <row r="21" spans="1:62" x14ac:dyDescent="0.2">
      <c r="W21" s="57"/>
      <c r="AY21" s="57"/>
    </row>
    <row r="22" spans="1:62" x14ac:dyDescent="0.2">
      <c r="AH22" s="57"/>
    </row>
    <row r="24" spans="1:62" x14ac:dyDescent="0.2">
      <c r="V24" s="57"/>
    </row>
  </sheetData>
  <mergeCells count="7">
    <mergeCell ref="BJ2:BJ4"/>
    <mergeCell ref="B1:I1"/>
    <mergeCell ref="H2:H4"/>
    <mergeCell ref="W2:W4"/>
    <mergeCell ref="AB2:AB4"/>
    <mergeCell ref="AL2:AL4"/>
    <mergeCell ref="AZ2:AZ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F550-3CE0-D840-A4B2-BC367E623A92}">
  <sheetPr codeName="Feuil10">
    <tabColor rgb="FFFFC000"/>
  </sheetPr>
  <dimension ref="A1:AI19"/>
  <sheetViews>
    <sheetView zoomScaleNormal="100" workbookViewId="0">
      <pane xSplit="6" ySplit="1" topLeftCell="G2" activePane="bottomRight" state="frozen"/>
      <selection pane="topRight" activeCell="G1" sqref="G1"/>
      <selection pane="bottomLeft" activeCell="A2" sqref="A2"/>
      <selection pane="bottomRight" activeCell="L19" sqref="L19"/>
    </sheetView>
  </sheetViews>
  <sheetFormatPr baseColWidth="10" defaultColWidth="11" defaultRowHeight="16" x14ac:dyDescent="0.2"/>
  <cols>
    <col min="1" max="3" width="11" style="56" hidden="1" customWidth="1"/>
    <col min="4" max="5" width="11" style="56"/>
    <col min="6" max="6" width="46.33203125" style="56" bestFit="1" customWidth="1"/>
    <col min="7" max="16384" width="11" style="56"/>
  </cols>
  <sheetData>
    <row r="1" spans="1:35" x14ac:dyDescent="0.2">
      <c r="A1" s="350" t="s">
        <v>368</v>
      </c>
      <c r="B1" s="350"/>
      <c r="C1" s="350"/>
      <c r="D1" s="350"/>
      <c r="E1" s="350"/>
      <c r="F1" s="350"/>
      <c r="G1" s="350"/>
      <c r="H1" s="350"/>
      <c r="I1" s="60"/>
      <c r="J1" s="60"/>
      <c r="K1" s="60"/>
      <c r="L1" s="60"/>
      <c r="M1" s="60"/>
      <c r="N1" s="60"/>
      <c r="O1" s="138"/>
      <c r="P1" s="138"/>
      <c r="Q1" s="60"/>
      <c r="R1" s="60"/>
      <c r="S1" s="60"/>
      <c r="T1" s="60"/>
      <c r="U1" s="60"/>
      <c r="V1" s="60"/>
      <c r="W1" s="60"/>
      <c r="X1" s="60"/>
      <c r="Y1" s="60"/>
      <c r="Z1" s="60"/>
      <c r="AA1" s="60"/>
      <c r="AB1" s="138"/>
      <c r="AC1" s="138"/>
      <c r="AD1" s="60"/>
      <c r="AE1" s="60"/>
      <c r="AF1" s="60"/>
      <c r="AG1" s="60"/>
      <c r="AH1" s="60"/>
      <c r="AI1" s="60"/>
    </row>
    <row r="2" spans="1:35" x14ac:dyDescent="0.2">
      <c r="A2" s="106"/>
      <c r="B2" s="106"/>
      <c r="C2" s="106"/>
      <c r="D2" s="106"/>
      <c r="E2" s="106"/>
      <c r="F2" s="106"/>
      <c r="G2" s="103" t="s">
        <v>323</v>
      </c>
      <c r="H2" s="348" t="s">
        <v>322</v>
      </c>
      <c r="I2" s="103" t="s">
        <v>321</v>
      </c>
      <c r="J2" s="103" t="s">
        <v>321</v>
      </c>
      <c r="K2" s="103" t="s">
        <v>321</v>
      </c>
      <c r="L2" s="103" t="s">
        <v>321</v>
      </c>
      <c r="M2" s="103" t="s">
        <v>321</v>
      </c>
      <c r="N2" s="103" t="s">
        <v>321</v>
      </c>
      <c r="O2" s="139" t="s">
        <v>321</v>
      </c>
      <c r="P2" s="139" t="s">
        <v>321</v>
      </c>
      <c r="Q2" s="103" t="s">
        <v>321</v>
      </c>
      <c r="R2" s="103" t="s">
        <v>321</v>
      </c>
      <c r="S2" s="348" t="s">
        <v>320</v>
      </c>
      <c r="T2" s="103" t="s">
        <v>139</v>
      </c>
      <c r="U2" s="348" t="s">
        <v>319</v>
      </c>
      <c r="V2" s="103" t="s">
        <v>318</v>
      </c>
      <c r="W2" s="103" t="s">
        <v>318</v>
      </c>
      <c r="X2" s="103" t="s">
        <v>318</v>
      </c>
      <c r="Y2" s="103" t="s">
        <v>318</v>
      </c>
      <c r="Z2" s="103" t="s">
        <v>318</v>
      </c>
      <c r="AA2" s="103" t="s">
        <v>318</v>
      </c>
      <c r="AB2" s="139" t="s">
        <v>318</v>
      </c>
      <c r="AC2" s="139" t="s">
        <v>318</v>
      </c>
      <c r="AD2" s="103" t="s">
        <v>318</v>
      </c>
      <c r="AE2" s="348" t="s">
        <v>367</v>
      </c>
      <c r="AF2" s="103" t="s">
        <v>366</v>
      </c>
      <c r="AG2" s="103" t="s">
        <v>366</v>
      </c>
      <c r="AH2" s="103" t="s">
        <v>366</v>
      </c>
      <c r="AI2" s="348" t="s">
        <v>365</v>
      </c>
    </row>
    <row r="3" spans="1:35" ht="36" x14ac:dyDescent="0.2">
      <c r="A3" s="106"/>
      <c r="B3" s="106"/>
      <c r="C3" s="106"/>
      <c r="D3" s="106"/>
      <c r="E3" s="106"/>
      <c r="F3" s="106"/>
      <c r="G3" s="103" t="s">
        <v>312</v>
      </c>
      <c r="H3" s="348"/>
      <c r="I3" s="103" t="s">
        <v>364</v>
      </c>
      <c r="J3" s="103" t="s">
        <v>363</v>
      </c>
      <c r="K3" s="103" t="s">
        <v>362</v>
      </c>
      <c r="L3" s="103" t="s">
        <v>361</v>
      </c>
      <c r="M3" s="103" t="s">
        <v>360</v>
      </c>
      <c r="N3" s="103" t="s">
        <v>359</v>
      </c>
      <c r="O3" s="139" t="s">
        <v>358</v>
      </c>
      <c r="P3" s="139" t="s">
        <v>357</v>
      </c>
      <c r="Q3" s="103" t="s">
        <v>356</v>
      </c>
      <c r="R3" s="103" t="s">
        <v>299</v>
      </c>
      <c r="S3" s="348"/>
      <c r="T3" s="103" t="s">
        <v>296</v>
      </c>
      <c r="U3" s="348"/>
      <c r="V3" s="103" t="s">
        <v>355</v>
      </c>
      <c r="W3" s="103" t="s">
        <v>354</v>
      </c>
      <c r="X3" s="103" t="s">
        <v>353</v>
      </c>
      <c r="Y3" s="103" t="s">
        <v>352</v>
      </c>
      <c r="Z3" s="103" t="s">
        <v>351</v>
      </c>
      <c r="AA3" s="103" t="s">
        <v>350</v>
      </c>
      <c r="AB3" s="139" t="s">
        <v>349</v>
      </c>
      <c r="AC3" s="139" t="s">
        <v>348</v>
      </c>
      <c r="AD3" s="103" t="s">
        <v>347</v>
      </c>
      <c r="AE3" s="348"/>
      <c r="AF3" s="103" t="s">
        <v>346</v>
      </c>
      <c r="AG3" s="103" t="s">
        <v>282</v>
      </c>
      <c r="AH3" s="103" t="s">
        <v>276</v>
      </c>
      <c r="AI3" s="348"/>
    </row>
    <row r="4" spans="1:35" ht="60" x14ac:dyDescent="0.2">
      <c r="A4" s="106"/>
      <c r="B4" s="104" t="s">
        <v>266</v>
      </c>
      <c r="C4" s="104" t="s">
        <v>265</v>
      </c>
      <c r="D4" s="104" t="s">
        <v>32</v>
      </c>
      <c r="E4" s="104" t="s">
        <v>264</v>
      </c>
      <c r="F4" s="104" t="s">
        <v>263</v>
      </c>
      <c r="G4" s="103" t="s">
        <v>262</v>
      </c>
      <c r="H4" s="348"/>
      <c r="I4" s="103" t="s">
        <v>345</v>
      </c>
      <c r="J4" s="103" t="s">
        <v>344</v>
      </c>
      <c r="K4" s="103" t="s">
        <v>343</v>
      </c>
      <c r="L4" s="103" t="s">
        <v>342</v>
      </c>
      <c r="M4" s="103" t="s">
        <v>341</v>
      </c>
      <c r="N4" s="103" t="s">
        <v>340</v>
      </c>
      <c r="O4" s="139" t="s">
        <v>339</v>
      </c>
      <c r="P4" s="139" t="s">
        <v>338</v>
      </c>
      <c r="Q4" s="103" t="s">
        <v>337</v>
      </c>
      <c r="R4" s="103" t="s">
        <v>248</v>
      </c>
      <c r="S4" s="348"/>
      <c r="T4" s="103" t="s">
        <v>244</v>
      </c>
      <c r="U4" s="348"/>
      <c r="V4" s="103" t="s">
        <v>336</v>
      </c>
      <c r="W4" s="103" t="s">
        <v>335</v>
      </c>
      <c r="X4" s="103" t="s">
        <v>334</v>
      </c>
      <c r="Y4" s="103" t="s">
        <v>333</v>
      </c>
      <c r="Z4" s="103" t="s">
        <v>332</v>
      </c>
      <c r="AA4" s="103" t="s">
        <v>331</v>
      </c>
      <c r="AB4" s="139" t="s">
        <v>330</v>
      </c>
      <c r="AC4" s="139" t="s">
        <v>329</v>
      </c>
      <c r="AD4" s="103" t="s">
        <v>328</v>
      </c>
      <c r="AE4" s="348"/>
      <c r="AF4" s="103" t="s">
        <v>327</v>
      </c>
      <c r="AG4" s="103" t="s">
        <v>229</v>
      </c>
      <c r="AH4" s="103" t="s">
        <v>223</v>
      </c>
      <c r="AI4" s="348"/>
    </row>
    <row r="5" spans="1:35" x14ac:dyDescent="0.2">
      <c r="A5" s="109" t="s">
        <v>326</v>
      </c>
      <c r="B5" s="81"/>
      <c r="C5" s="81"/>
      <c r="D5" s="97">
        <f>ETPT_TPRX_DDG!$D$5</f>
        <v>0</v>
      </c>
      <c r="E5" s="81" t="s">
        <v>213</v>
      </c>
      <c r="F5" s="81" t="s">
        <v>212</v>
      </c>
      <c r="G5" s="85" t="e">
        <f>SUMIFS( INDEX( 'ETPT Format DDG'!$A:$EF,,MATCH("Temps ventilés sur la période (contentieux civils et sociaux)",'ETPT Format DDG'!2:2,0)),'ETPT Format DDG'!$C:$C,$D$5,'ETPT Format DDG'!$EA:$EA,"Fonctionnaire CTECH")</f>
        <v>#N/A</v>
      </c>
      <c r="H5" s="110" t="e">
        <f t="shared" ref="H5:H15" si="0">SUM(G5)</f>
        <v>#N/A</v>
      </c>
      <c r="I5" s="111"/>
      <c r="J5" s="77" t="e">
        <f>SUMIFS( INDEX( 'ETPT Format DDG'!$A:$EF,,MATCH("3.43. INJONCTIONS DE PAYER",'ETPT Format DDG'!2:2,0)),'ETPT Format DDG'!$C:$C,$D$5,'ETPT Format DDG'!$EA:$EA,"Fonctionnaire A-B-CBUR")+
SUMIFS( INDEX( 'ETPT Format DDG'!$A:$EF,,MATCH("3.44. SAISIE DES RÉMUNÉRATIONS",'ETPT Format DDG'!2:2,0)),'ETPT Format DDG'!$C:$C,$D$5,'ETPT Format DDG'!$EA:$EA,"Fonctionnaire A-B-CBUR")</f>
        <v>#N/A</v>
      </c>
      <c r="K5" s="77" t="e">
        <f>SUMIFS( INDEX( 'ETPT Format DDG'!$A:$EF,,MATCH("3. TOTAL CONTENTIEUX DE LA PROTECTION",'ETPT Format DDG'!2:2,0)),'ETPT Format DDG'!$C:$C,$D$5,'ETPT Format DDG'!$EA:$EA,"Fonctionnaire A-B-CBUR")-
SUMIFS( INDEX( 'ETPT Format DDG'!$A:$EF,,MATCH("3.2. PROTECTION DES MAJEURS",'ETPT Format DDG'!2:2,0)),'ETPT Format DDG'!$C:$C,$D$5,'ETPT Format DDG'!$EA:$EA,"Fonctionnaire A-B-CBUR")-
SUMIFS( INDEX( 'ETPT Format DDG'!$A:$EF,,MATCH("3.43. INJONCTIONS DE PAYER",'ETPT Format DDG'!2:2,0)),'ETPT Format DDG'!$C:$C,$D$5,'ETPT Format DDG'!$EA:$EA,"Fonctionnaire A-B-CBUR")-
SUMIFS( INDEX( 'ETPT Format DDG'!$A:$EF,,MATCH("3.44. SAISIE DES RÉMUNÉRATIONS",'ETPT Format DDG'!2:2,0)),'ETPT Format DDG'!$C:$C,$D$5,'ETPT Format DDG'!$EA:$EA,"Fonctionnaire A-B-CBUR")</f>
        <v>#N/A</v>
      </c>
      <c r="L5" s="77" t="e">
        <f>SUMIFS( INDEX( 'ETPT Format DDG'!$A:$EF,,MATCH("3.2. PROTECTION DES MAJEURS",'ETPT Format DDG'!2:2,0)),'ETPT Format DDG'!$C:$C,$D$5,'ETPT Format DDG'!$EA:$EA,"Fonctionnaire A-B-CBUR")</f>
        <v>#N/A</v>
      </c>
      <c r="M5" s="183"/>
      <c r="N5" s="183"/>
      <c r="O5" s="73"/>
      <c r="P5" s="73"/>
      <c r="Q5" s="82"/>
      <c r="R5" s="72" t="e">
        <f>SUMIFS( INDEX( 'ETPT Format DDG'!$A:$EF,,MATCH("Temps ventilés sur la période (contentieux civils et sociaux)",'ETPT Format DDG'!2:2,0)),'ETPT Format DDG'!$C:$C,$D$5,'ETPT Format DDG'!$EA:$EA,"Fonctionnaire A-B-CBUR")-SUM(I5:Q5)</f>
        <v>#N/A</v>
      </c>
      <c r="S5" s="65" t="e">
        <f t="shared" ref="S5:S15" si="1">SUM(I5:R5)</f>
        <v>#N/A</v>
      </c>
      <c r="T5" s="95" t="e">
        <f>SUMIFS( INDEX( 'ETPT Format DDG'!$A:$EF,,MATCH("Temps ventilés sur la période (contentieux civils et sociaux)",'ETPT Format DDG'!2:2,0)),'ETPT Format DDG'!$C:$C,$D$5,'ETPT Format DDG'!$EA:$EA,"JURISTE AS siège Autres")</f>
        <v>#N/A</v>
      </c>
      <c r="U5" s="65" t="e">
        <f t="shared" ref="U5:U15" si="2">SUM(T5)</f>
        <v>#N/A</v>
      </c>
      <c r="V5" s="76"/>
      <c r="W5" s="77" t="e">
        <f>SUMIFS( INDEX( 'ETPT Format DDG'!$A:$EF,,MATCH("3.43. INJONCTIONS DE PAYER",'ETPT Format DDG'!2:2,0)),'ETPT Format DDG'!$C:$C,$D$5,'ETPT Format DDG'!$EA:$EA,"Magistrat SIEGE S")+
SUMIFS( INDEX( 'ETPT Format DDG'!$A:$EF,,MATCH("3.44. SAISIE DES RÉMUNÉRATIONS",'ETPT Format DDG'!2:2,0)),'ETPT Format DDG'!$C:$C,$D$5,'ETPT Format DDG'!$EA:$EA,"Magistrat SIEGE S")</f>
        <v>#N/A</v>
      </c>
      <c r="X5" s="77" t="e">
        <f>SUMIFS( INDEX( 'ETPT Format DDG'!$A:$EF,,MATCH("3. TOTAL CONTENTIEUX DE LA PROTECTION",'ETPT Format DDG'!2:2,0)),'ETPT Format DDG'!$C:$C,$D$5,'ETPT Format DDG'!$EA:$EA,"Magistrat SIEGE S")-
SUMIFS( INDEX( 'ETPT Format DDG'!$A:$EF,,MATCH("3.2. PROTECTION DES MAJEURS",'ETPT Format DDG'!2:2,0)),'ETPT Format DDG'!$C:$C,$D$5,'ETPT Format DDG'!$EA:$EA,"Magistrat SIEGE S")-
SUMIFS( INDEX( 'ETPT Format DDG'!$A:$EF,,MATCH("3.43. INJONCTIONS DE PAYER",'ETPT Format DDG'!2:2,0)),'ETPT Format DDG'!$C:$C,$D$5,'ETPT Format DDG'!$EA:$EA,"Magistrat SIEGE S")-
SUMIFS( INDEX( 'ETPT Format DDG'!$A:$EF,,MATCH("3.44. SAISIE DES RÉMUNÉRATIONS",'ETPT Format DDG'!2:2,0)),'ETPT Format DDG'!$C:$C,$D$5,'ETPT Format DDG'!$EA:$EA,"Magistrat SIEGE S")</f>
        <v>#N/A</v>
      </c>
      <c r="Y5" s="77" t="e">
        <f>SUMIFS( INDEX( 'ETPT Format DDG'!$A:$EF,,MATCH("3.2. PROTECTION DES MAJEURS",'ETPT Format DDG'!2:2,0)),'ETPT Format DDG'!$C:$C,$D$5,'ETPT Format DDG'!$EA:$EA,"Magistrat SIEGE S")</f>
        <v>#N/A</v>
      </c>
      <c r="Z5" s="183"/>
      <c r="AA5" s="183"/>
      <c r="AB5" s="73"/>
      <c r="AC5" s="73"/>
      <c r="AD5" s="73"/>
      <c r="AE5" s="110" t="e">
        <f t="shared" ref="AE5:AE15" si="3">SUM(V5:AD5)</f>
        <v>#N/A</v>
      </c>
      <c r="AF5" s="73"/>
      <c r="AG5" s="72" t="e">
        <f>SUMIFS( INDEX( 'ETPT Format DDG'!$A:$EF,,MATCH("1.1. DÉPARTAGE PRUD'HOMAL",'ETPT Format DDG'!2:2,0)),'ETPT Format DDG'!$C:$C,$D$5,'ETPT Format DDG'!$EA:$EA,"Magistrat SIEGE S")</f>
        <v>#N/A</v>
      </c>
      <c r="AH5" s="72" t="e">
        <f>SUMIFS( INDEX( 'ETPT Format DDG'!$A:$EF,,MATCH("Temps ventilés sur la période (contentieux civils et sociaux)",'ETPT Format DDG'!2:2,0)),'ETPT Format DDG'!$C:$C,$D$5,'ETPT Format DDG'!$EA:$EA,"Magistrat SIEGE S")-SUM(V5:AD5)-AF5-AG5-SUMIFS( INDEX( 'ETPT Format DDG'!$A:$EF,,MATCH("6.1. ACTIVITÉ CIVILE",'ETPT Format DDG'!2:2,0)),'ETPT Format DDG'!$C:$C,$D$5,'ETPT Format DDG'!$EA:$EA,"Magistrat SIEGE S")-SUMIFS( INDEX( 'ETPT Format DDG'!$A:$EF,,MATCH("5. TOTAL JLD CIVIL",'ETPT Format DDG'!2:2,0)),'ETPT Format DDG'!$C:$C,$D$5,'ETPT Format DDG'!$EA:$EA,"Magistrat SIEGE S")-SUMIFS( INDEX( 'ETPT Format DDG'!$A:$EF,,MATCH("2. TOTAL CONTENTIEUX JAF",'ETPT Format DDG'!2:2,0)),'ETPT Format DDG'!$C:$C,$D$5,'ETPT Format DDG'!$C:$C,$D$5,'ETPT Format DDG'!$EA:$EA,"Magistrat SIEGE S")</f>
        <v>#N/A</v>
      </c>
      <c r="AI5" s="110" t="e">
        <f t="shared" ref="AI5:AI15" si="4">SUM(AF5:AH5)</f>
        <v>#N/A</v>
      </c>
    </row>
    <row r="6" spans="1:35" x14ac:dyDescent="0.2">
      <c r="A6" s="130" t="s">
        <v>326</v>
      </c>
      <c r="B6" s="131"/>
      <c r="C6" s="131"/>
      <c r="D6" s="131">
        <f t="shared" ref="D6:D15" si="5">$D$5</f>
        <v>0</v>
      </c>
      <c r="E6" s="131" t="s">
        <v>211</v>
      </c>
      <c r="F6" s="131" t="s">
        <v>210</v>
      </c>
      <c r="G6" s="88"/>
      <c r="H6" s="132">
        <f t="shared" si="0"/>
        <v>0</v>
      </c>
      <c r="I6" s="133"/>
      <c r="J6" s="73"/>
      <c r="K6" s="73"/>
      <c r="L6" s="73"/>
      <c r="M6" s="73"/>
      <c r="N6" s="134"/>
      <c r="O6" s="73"/>
      <c r="P6" s="73"/>
      <c r="Q6" s="73"/>
      <c r="R6" s="134"/>
      <c r="S6" s="135">
        <f t="shared" si="1"/>
        <v>0</v>
      </c>
      <c r="T6" s="136"/>
      <c r="U6" s="135">
        <f t="shared" si="2"/>
        <v>0</v>
      </c>
      <c r="V6" s="137"/>
      <c r="W6" s="73"/>
      <c r="X6" s="73"/>
      <c r="Y6" s="73"/>
      <c r="Z6" s="73"/>
      <c r="AA6" s="73"/>
      <c r="AB6" s="73"/>
      <c r="AC6" s="73"/>
      <c r="AD6" s="73"/>
      <c r="AE6" s="132">
        <f t="shared" si="3"/>
        <v>0</v>
      </c>
      <c r="AF6" s="73"/>
      <c r="AG6" s="73"/>
      <c r="AH6" s="73"/>
      <c r="AI6" s="132">
        <f t="shared" si="4"/>
        <v>0</v>
      </c>
    </row>
    <row r="7" spans="1:35" x14ac:dyDescent="0.2">
      <c r="A7" s="109" t="s">
        <v>326</v>
      </c>
      <c r="B7" s="81"/>
      <c r="C7" s="81"/>
      <c r="D7" s="81">
        <f t="shared" si="5"/>
        <v>0</v>
      </c>
      <c r="E7" s="81" t="s">
        <v>209</v>
      </c>
      <c r="F7" s="81" t="s">
        <v>208</v>
      </c>
      <c r="G7" s="88"/>
      <c r="H7" s="110">
        <f t="shared" si="0"/>
        <v>0</v>
      </c>
      <c r="I7" s="111"/>
      <c r="J7" s="82"/>
      <c r="K7" s="82"/>
      <c r="L7" s="82"/>
      <c r="M7" s="82"/>
      <c r="N7" s="86"/>
      <c r="O7" s="73"/>
      <c r="P7" s="73"/>
      <c r="Q7" s="82"/>
      <c r="R7" s="82"/>
      <c r="S7" s="65">
        <f t="shared" si="1"/>
        <v>0</v>
      </c>
      <c r="T7" s="75"/>
      <c r="U7" s="65">
        <f t="shared" si="2"/>
        <v>0</v>
      </c>
      <c r="V7" s="76"/>
      <c r="W7" s="82"/>
      <c r="X7" s="82"/>
      <c r="Y7" s="82"/>
      <c r="Z7" s="82"/>
      <c r="AA7" s="82"/>
      <c r="AB7" s="73"/>
      <c r="AC7" s="73"/>
      <c r="AD7" s="73"/>
      <c r="AE7" s="110">
        <f t="shared" si="3"/>
        <v>0</v>
      </c>
      <c r="AF7" s="82"/>
      <c r="AG7" s="82"/>
      <c r="AH7" s="82"/>
      <c r="AI7" s="110">
        <f t="shared" si="4"/>
        <v>0</v>
      </c>
    </row>
    <row r="8" spans="1:35" x14ac:dyDescent="0.2">
      <c r="A8" s="109" t="s">
        <v>326</v>
      </c>
      <c r="B8" s="81"/>
      <c r="C8" s="81"/>
      <c r="D8" s="81">
        <f t="shared" si="5"/>
        <v>0</v>
      </c>
      <c r="E8" s="81" t="s">
        <v>207</v>
      </c>
      <c r="F8" s="81" t="s">
        <v>206</v>
      </c>
      <c r="G8" s="85" t="e">
        <f>SUMIFS( INDEX( 'ETPT Format DDG'!$A:$EF,,MATCH("11.51. ACCUEIL DU JUSTICIABLE (DONT SAUJ)",'ETPT Format DDG'!2:2,0)),'ETPT Format DDG'!$C:$C,$D$5,'ETPT Format DDG'!$EA:$EA,"Fonctionnaire CTECH")</f>
        <v>#N/A</v>
      </c>
      <c r="H8" s="110" t="e">
        <f t="shared" si="0"/>
        <v>#N/A</v>
      </c>
      <c r="I8" s="111"/>
      <c r="J8" s="82"/>
      <c r="K8" s="82"/>
      <c r="L8" s="82"/>
      <c r="M8" s="82"/>
      <c r="N8" s="86"/>
      <c r="O8" s="73"/>
      <c r="P8" s="73"/>
      <c r="Q8" s="82"/>
      <c r="R8" s="77" t="e">
        <f>SUMIFS( INDEX( 'ETPT Format DDG'!$A:$EF,,MATCH("11.51. ACCUEIL DU JUSTICIABLE (DONT SAUJ)",'ETPT Format DDG'!2:2,0)),'ETPT Format DDG'!$C:$C,$D$5,'ETPT Format DDG'!$EA:$EA,"Fonctionnaire A-B-CBUR")</f>
        <v>#N/A</v>
      </c>
      <c r="S8" s="65" t="e">
        <f t="shared" si="1"/>
        <v>#N/A</v>
      </c>
      <c r="T8" s="84" t="e">
        <f>SUMIFS( INDEX( 'ETPT Format DDG'!$A:$EF,,MATCH("11.51. ACCUEIL DU JUSTICIABLE (DONT SAUJ)",'ETPT Format DDG'!2:2,0)),'ETPT Format DDG'!$C:$C,$D$5,'ETPT Format DDG'!$EA:$EA,"JURISTE AS siège Autres")</f>
        <v>#N/A</v>
      </c>
      <c r="U8" s="65" t="e">
        <f t="shared" si="2"/>
        <v>#N/A</v>
      </c>
      <c r="V8" s="76"/>
      <c r="W8" s="82"/>
      <c r="X8" s="82"/>
      <c r="Y8" s="82"/>
      <c r="Z8" s="82"/>
      <c r="AA8" s="82"/>
      <c r="AB8" s="73"/>
      <c r="AC8" s="73"/>
      <c r="AD8" s="73"/>
      <c r="AE8" s="110">
        <f t="shared" si="3"/>
        <v>0</v>
      </c>
      <c r="AF8" s="82"/>
      <c r="AG8" s="82"/>
      <c r="AH8" s="77" t="e">
        <f>SUMIFS( INDEX( 'ETPT Format DDG'!$A:$EF,,MATCH("11.51. ACCUEIL DU JUSTICIABLE (DONT SAUJ)",'ETPT Format DDG'!2:2,0)),'ETPT Format DDG'!$C:$C,$D$5,'ETPT Format DDG'!$EA:$EA,"Magistrat SIEGE S")</f>
        <v>#N/A</v>
      </c>
      <c r="AI8" s="110" t="e">
        <f t="shared" si="4"/>
        <v>#N/A</v>
      </c>
    </row>
    <row r="9" spans="1:35" x14ac:dyDescent="0.2">
      <c r="A9" s="109" t="s">
        <v>326</v>
      </c>
      <c r="B9" s="81"/>
      <c r="C9" s="81"/>
      <c r="D9" s="81">
        <f t="shared" si="5"/>
        <v>0</v>
      </c>
      <c r="E9" s="81" t="s">
        <v>205</v>
      </c>
      <c r="F9" s="81" t="s">
        <v>204</v>
      </c>
      <c r="G9" s="85" t="e">
        <f>SUMIFS( INDEX( 'ETPT Format DDG'!$A:$EF,,MATCH("11.1. SOUTIEN (HORS FORMATIONS SUIVIES)",'ETPT Format DDG'!2:2,0)),'ETPT Format DDG'!$C:$C,$D$5,'ETPT Format DDG'!$EA:$EA,"Fonctionnaire CTECH")+
SUMIFS( INDEX( 'ETPT Format DDG'!$A:$EF,,MATCH("11.2. FORMATIONS SUIVIES",'ETPT Format DDG'!2:2,0)),'ETPT Format DDG'!$C:$C,$D$5,'ETPT Format DDG'!$EA:$EA,"Fonctionnaire CTECH")+
SUMIFS( INDEX( 'ETPT Format DDG'!$A:$EF,,MATCH("11.6. AUTRES ACTIVITÉS NON JURIDICTIONNELLES",'ETPT Format DDG'!2:2,0)),'ETPT Format DDG'!$C:$C,$D$5,'ETPT Format DDG'!$EA:$EA,"Fonctionnaire CTECH")</f>
        <v>#N/A</v>
      </c>
      <c r="H9" s="110" t="e">
        <f t="shared" si="0"/>
        <v>#N/A</v>
      </c>
      <c r="I9" s="111"/>
      <c r="J9" s="82"/>
      <c r="K9" s="82"/>
      <c r="L9" s="82"/>
      <c r="M9" s="82"/>
      <c r="N9" s="86"/>
      <c r="O9" s="73"/>
      <c r="P9" s="73"/>
      <c r="Q9" s="82"/>
      <c r="R9" s="77" t="e">
        <f>SUMIFS( INDEX( 'ETPT Format DDG'!$A:$EF,,MATCH("11.1. SOUTIEN (HORS FORMATIONS SUIVIES)",'ETPT Format DDG'!2:2,0)),'ETPT Format DDG'!$C:$C,$D$5,'ETPT Format DDG'!$EA:$EA,"Fonctionnaire A-B-CBUR")+
SUMIFS( INDEX( 'ETPT Format DDG'!$A:$EF,,MATCH("11.2. FORMATIONS SUIVIES",'ETPT Format DDG'!2:2,0)),'ETPT Format DDG'!$C:$C,$D$5,'ETPT Format DDG'!$EA:$EA,"Fonctionnaire A-B-CBUR")+
SUMIFS( INDEX( 'ETPT Format DDG'!$A:$EF,,MATCH("11.6. AUTRES ACTIVITÉS NON JURIDICTIONNELLES",'ETPT Format DDG'!2:2,0)),'ETPT Format DDG'!$C:$C,$D$5,'ETPT Format DDG'!$EA:$EA,"Fonctionnaire A-B-CBUR")+
SUMIFS( INDEX( 'ETPT Format DDG'!$A:$EF,,MATCH("Temps ventilé sur la période (y.c. indisponibilité)",'ETPT Format DDG'!2:2,0)),'ETPT Format DDG'!$C:$C,$D$5,'ETPT Format DDG'!$EA:$EA,"CONT A JP Greffe")</f>
        <v>#N/A</v>
      </c>
      <c r="S9" s="65" t="e">
        <f t="shared" si="1"/>
        <v>#N/A</v>
      </c>
      <c r="T9" s="84" t="e">
        <f>SUMIFS( INDEX( 'ETPT Format DDG'!$A:$EF,,MATCH("11.1. SOUTIEN (HORS FORMATIONS SUIVIES)",'ETPT Format DDG'!2:2,0)),'ETPT Format DDG'!$C:$C,$D$5,'ETPT Format DDG'!$EA:$EA,"JURISTE AS siège Autres")+
SUMIFS( INDEX( 'ETPT Format DDG'!$A:$EF,,MATCH("11.2. FORMATIONS SUIVIES",'ETPT Format DDG'!2:2,0)),'ETPT Format DDG'!$C:$C,$D$5,'ETPT Format DDG'!$EA:$EA,"JURISTE AS siège Autres")+
SUMIFS( INDEX( 'ETPT Format DDG'!$A:$EF,,MATCH("11.6. AUTRES ACTIVITÉS NON JURIDICTIONNELLES",'ETPT Format DDG'!2:2,0)),'ETPT Format DDG'!$C:$C,$D$5,'ETPT Format DDG'!$EA:$EA,"JURISTE AS siège Autres")</f>
        <v>#N/A</v>
      </c>
      <c r="U9" s="65" t="e">
        <f t="shared" si="2"/>
        <v>#N/A</v>
      </c>
      <c r="V9" s="76"/>
      <c r="W9" s="82"/>
      <c r="X9" s="82"/>
      <c r="Y9" s="82"/>
      <c r="Z9" s="82"/>
      <c r="AA9" s="82"/>
      <c r="AB9" s="73"/>
      <c r="AC9" s="73"/>
      <c r="AD9" s="73"/>
      <c r="AE9" s="110">
        <f t="shared" si="3"/>
        <v>0</v>
      </c>
      <c r="AF9" s="82"/>
      <c r="AG9" s="82"/>
      <c r="AH9" s="77" t="e">
        <f>SUMIFS( INDEX( 'ETPT Format DDG'!$A:$EF,,MATCH("11.1. SOUTIEN (HORS FORMATIONS SUIVIES)",'ETPT Format DDG'!2:2,0)),'ETPT Format DDG'!$C:$C,$D$5,'ETPT Format DDG'!$EA:$EA,"Magistrat SIEGE S")+
SUMIFS( INDEX( 'ETPT Format DDG'!$A:$EF,,MATCH("11.2. FORMATIONS SUIVIES",'ETPT Format DDG'!2:2,0)),'ETPT Format DDG'!$C:$C,$D$5,'ETPT Format DDG'!$EA:$EA,"Magistrat SIEGE S")+
SUMIFS( INDEX( 'ETPT Format DDG'!$A:$EF,,MATCH("11.6. AUTRES ACTIVITÉS NON JURIDICTIONNELLES",'ETPT Format DDG'!2:2,0)),'ETPT Format DDG'!$C:$C,$D$5,'ETPT Format DDG'!$EA:$EA,"Magistrat SIEGE S")</f>
        <v>#N/A</v>
      </c>
      <c r="AI9" s="110" t="e">
        <f t="shared" si="4"/>
        <v>#N/A</v>
      </c>
    </row>
    <row r="10" spans="1:35" x14ac:dyDescent="0.2">
      <c r="A10" s="109" t="s">
        <v>326</v>
      </c>
      <c r="B10" s="81"/>
      <c r="C10" s="81"/>
      <c r="D10" s="81">
        <f t="shared" si="5"/>
        <v>0</v>
      </c>
      <c r="E10" s="81" t="s">
        <v>203</v>
      </c>
      <c r="F10" s="81" t="s">
        <v>202</v>
      </c>
      <c r="G10" s="85" t="e">
        <f>SUMIFS( INDEX( 'ETPT Format DDG'!$A:$EF,,MATCH("11.3. FORMATIONS DISPENSÉES",'ETPT Format DDG'!2:2,0)),'ETPT Format DDG'!$C:$C,$D$5,'ETPT Format DDG'!$EA:$EA,"Fonctionnaire CTECH")</f>
        <v>#N/A</v>
      </c>
      <c r="H10" s="110" t="e">
        <f t="shared" si="0"/>
        <v>#N/A</v>
      </c>
      <c r="I10" s="111"/>
      <c r="J10" s="82"/>
      <c r="K10" s="82"/>
      <c r="L10" s="82"/>
      <c r="M10" s="82"/>
      <c r="N10" s="86"/>
      <c r="O10" s="73"/>
      <c r="P10" s="73"/>
      <c r="Q10" s="82"/>
      <c r="R10" s="77" t="e">
        <f>SUMIFS( INDEX( 'ETPT Format DDG'!$A:$EF,,MATCH("11.3. FORMATIONS DISPENSÉES",'ETPT Format DDG'!2:2,0)),'ETPT Format DDG'!$C:$C,$D$5,'ETPT Format DDG'!$EA:$EA,"Fonctionnaire A-B-CBUR")</f>
        <v>#N/A</v>
      </c>
      <c r="S10" s="65" t="e">
        <f t="shared" si="1"/>
        <v>#N/A</v>
      </c>
      <c r="T10" s="84" t="e">
        <f>SUMIFS( INDEX( 'ETPT Format DDG'!$A:$EF,,MATCH("11.3. FORMATIONS DISPENSÉES",'ETPT Format DDG'!2:2,0)),'ETPT Format DDG'!$C:$C,$D$5,'ETPT Format DDG'!$EA:$EA,"JURISTE AS siège Autres")</f>
        <v>#N/A</v>
      </c>
      <c r="U10" s="65" t="e">
        <f t="shared" si="2"/>
        <v>#N/A</v>
      </c>
      <c r="V10" s="76"/>
      <c r="W10" s="82"/>
      <c r="X10" s="82"/>
      <c r="Y10" s="82"/>
      <c r="Z10" s="82"/>
      <c r="AA10" s="82"/>
      <c r="AB10" s="73"/>
      <c r="AC10" s="73"/>
      <c r="AD10" s="73"/>
      <c r="AE10" s="110">
        <f t="shared" si="3"/>
        <v>0</v>
      </c>
      <c r="AF10" s="82"/>
      <c r="AG10" s="82"/>
      <c r="AH10" s="77" t="e">
        <f>SUMIFS( INDEX( 'ETPT Format DDG'!$A:$EF,,MATCH("11.3. FORMATIONS DISPENSÉES",'ETPT Format DDG'!2:2,0)),'ETPT Format DDG'!$C:$C,$D$5,'ETPT Format DDG'!$EA:$EA,"Magistrat SIEGE S")</f>
        <v>#N/A</v>
      </c>
      <c r="AI10" s="110" t="e">
        <f t="shared" si="4"/>
        <v>#N/A</v>
      </c>
    </row>
    <row r="11" spans="1:35" x14ac:dyDescent="0.2">
      <c r="A11" s="109" t="s">
        <v>326</v>
      </c>
      <c r="B11" s="81"/>
      <c r="C11" s="81"/>
      <c r="D11" s="81">
        <f t="shared" si="5"/>
        <v>0</v>
      </c>
      <c r="E11" s="81" t="s">
        <v>201</v>
      </c>
      <c r="F11" s="81" t="s">
        <v>200</v>
      </c>
      <c r="G11" s="85" t="e">
        <f>SUMIFS( INDEX( 'ETPT Format DDG'!$A:$EF,,MATCH("11.4. ACCÈS AU DROIT ET À LA JUSTICE",'ETPT Format DDG'!2:2,0)),'ETPT Format DDG'!$C:$C,$D$5,'ETPT Format DDG'!$EA:$EA,"Fonctionnaire CTECH")</f>
        <v>#N/A</v>
      </c>
      <c r="H11" s="110" t="e">
        <f t="shared" si="0"/>
        <v>#N/A</v>
      </c>
      <c r="I11" s="111"/>
      <c r="J11" s="82"/>
      <c r="K11" s="82"/>
      <c r="L11" s="82"/>
      <c r="M11" s="82"/>
      <c r="N11" s="86"/>
      <c r="O11" s="73"/>
      <c r="P11" s="73"/>
      <c r="Q11" s="82"/>
      <c r="R11" s="77" t="e">
        <f>SUMIFS( INDEX( 'ETPT Format DDG'!$A:$EF,,MATCH("11.4. ACCÈS AU DROIT ET À LA JUSTICE",'ETPT Format DDG'!2:2,0)),'ETPT Format DDG'!$C:$C,$D$5,'ETPT Format DDG'!$EA:$EA,"Fonctionnaire A-B-CBUR")</f>
        <v>#N/A</v>
      </c>
      <c r="S11" s="65" t="e">
        <f t="shared" si="1"/>
        <v>#N/A</v>
      </c>
      <c r="T11" s="84" t="e">
        <f>SUMIFS( INDEX( 'ETPT Format DDG'!$A:$EF,,MATCH("11.4. ACCÈS AU DROIT ET À LA JUSTICE",'ETPT Format DDG'!2:2,0)),'ETPT Format DDG'!$C:$C,$D$5,'ETPT Format DDG'!$EA:$EA,"JURISTE AS siège Autres")</f>
        <v>#N/A</v>
      </c>
      <c r="U11" s="65" t="e">
        <f t="shared" si="2"/>
        <v>#N/A</v>
      </c>
      <c r="V11" s="76"/>
      <c r="W11" s="82"/>
      <c r="X11" s="82"/>
      <c r="Y11" s="82"/>
      <c r="Z11" s="82"/>
      <c r="AA11" s="82"/>
      <c r="AB11" s="73"/>
      <c r="AC11" s="73"/>
      <c r="AD11" s="73"/>
      <c r="AE11" s="110">
        <f t="shared" si="3"/>
        <v>0</v>
      </c>
      <c r="AF11" s="82"/>
      <c r="AG11" s="82"/>
      <c r="AH11" s="77" t="e">
        <f>SUMIFS( INDEX( 'ETPT Format DDG'!$A:$EF,,MATCH("11.4. ACCÈS AU DROIT ET À LA JUSTICE",'ETPT Format DDG'!2:2,0)),'ETPT Format DDG'!$C:$C,$D$5,'ETPT Format DDG'!$EA:$EA,"Magistrat SIEGE S")</f>
        <v>#N/A</v>
      </c>
      <c r="AI11" s="110" t="e">
        <f t="shared" si="4"/>
        <v>#N/A</v>
      </c>
    </row>
    <row r="12" spans="1:35" x14ac:dyDescent="0.2">
      <c r="A12" s="109" t="s">
        <v>326</v>
      </c>
      <c r="B12" s="81"/>
      <c r="C12" s="81"/>
      <c r="D12" s="81">
        <f t="shared" si="5"/>
        <v>0</v>
      </c>
      <c r="E12" s="81" t="s">
        <v>199</v>
      </c>
      <c r="F12" s="81" t="s">
        <v>198</v>
      </c>
      <c r="G12" s="85" t="e">
        <f>SUMIFS( INDEX( 'ETPT Format DDG'!$A:$EF,,MATCH("12. TOTAL INDISPONIBILITÉ",'ETPT Format DDG'!2:2,0)),'ETPT Format DDG'!$C:$C,$D$5,'ETPT Format DDG'!$EA:$EA,"Fonctionnaire CTECH")-
SUMIFS( INDEX( 'ETPT Format DDG'!$A:$EF,,MATCH("12.5. MISE À DISPOSITION",'ETPT Format DDG'!2:2,0)),'ETPT Format DDG'!$C:$C,$D$5,'ETPT Format DDG'!$EA:$EA,"Fonctionnaire CTECH")</f>
        <v>#N/A</v>
      </c>
      <c r="H12" s="110" t="e">
        <f t="shared" si="0"/>
        <v>#N/A</v>
      </c>
      <c r="I12" s="111"/>
      <c r="J12" s="82"/>
      <c r="K12" s="82"/>
      <c r="L12" s="82"/>
      <c r="M12" s="82"/>
      <c r="N12" s="86"/>
      <c r="O12" s="73"/>
      <c r="P12" s="73"/>
      <c r="Q12" s="82"/>
      <c r="R12" s="77" t="e">
        <f>SUMIFS( INDEX( 'ETPT Format DDG'!$A:$EF,,MATCH("12. TOTAL INDISPONIBILITÉ",'ETPT Format DDG'!2:2,0)),'ETPT Format DDG'!$C:$C,$D$5,'ETPT Format DDG'!$EA:$EA,"Fonctionnaire A-B-CBUR")-
SUMIFS( INDEX( 'ETPT Format DDG'!$A:$EF,,MATCH("12.5. MISE À DISPOSITION",'ETPT Format DDG'!2:2,0)),'ETPT Format DDG'!$C:$C,$D$5,'ETPT Format DDG'!$EA:$EA,"Fonctionnaire A-B-CBUR")</f>
        <v>#N/A</v>
      </c>
      <c r="S12" s="65" t="e">
        <f t="shared" si="1"/>
        <v>#N/A</v>
      </c>
      <c r="T12" s="84" t="e">
        <f>SUMIFS( INDEX( 'ETPT Format DDG'!$A:$EF,,MATCH("12. TOTAL INDISPONIBILITÉ",'ETPT Format DDG'!2:2,0)),'ETPT Format DDG'!$C:$C,$D$5,'ETPT Format DDG'!$EA:$EA,"JURISTE AS siège Autres")-
SUMIFS( INDEX( 'ETPT Format DDG'!$A:$EF,,MATCH("12.5. MISE À DISPOSITION",'ETPT Format DDG'!2:2,0)),'ETPT Format DDG'!$C:$C,$D$5,'ETPT Format DDG'!$EA:$EA,"JURISTE AS siège Autres")</f>
        <v>#N/A</v>
      </c>
      <c r="U12" s="65" t="e">
        <f t="shared" si="2"/>
        <v>#N/A</v>
      </c>
      <c r="V12" s="76"/>
      <c r="W12" s="82"/>
      <c r="X12" s="82"/>
      <c r="Y12" s="82"/>
      <c r="Z12" s="82"/>
      <c r="AA12" s="82"/>
      <c r="AB12" s="73"/>
      <c r="AC12" s="73"/>
      <c r="AD12" s="73"/>
      <c r="AE12" s="110">
        <f t="shared" si="3"/>
        <v>0</v>
      </c>
      <c r="AF12" s="82"/>
      <c r="AG12" s="82"/>
      <c r="AH12" s="72" t="e">
        <f>SUMIFS( INDEX( 'ETPT Format DDG'!$A:$EF,,MATCH("12. TOTAL INDISPONIBILITÉ",'ETPT Format DDG'!2:2,0)),'ETPT Format DDG'!$C:$C,$D$5,'ETPT Format DDG'!$EA:$EA,"Magistrat SIEGE S")</f>
        <v>#N/A</v>
      </c>
      <c r="AI12" s="110" t="e">
        <f t="shared" si="4"/>
        <v>#N/A</v>
      </c>
    </row>
    <row r="13" spans="1:35" x14ac:dyDescent="0.2">
      <c r="A13" s="109" t="s">
        <v>326</v>
      </c>
      <c r="B13" s="81"/>
      <c r="C13" s="81"/>
      <c r="D13" s="81">
        <f t="shared" si="5"/>
        <v>0</v>
      </c>
      <c r="E13" s="81" t="s">
        <v>197</v>
      </c>
      <c r="F13" s="81" t="s">
        <v>196</v>
      </c>
      <c r="G13" s="79" t="e">
        <f>SUMIFS( INDEX( 'ETPT Format DDG'!$A:$EF,,MATCH("12.5. MISE À DISPOSITION",'ETPT Format DDG'!2:2,0)),'ETPT Format DDG'!$C:$C,$D$5,'ETPT Format DDG'!$EA:$EA,"Fonctionnaire CTECH")</f>
        <v>#N/A</v>
      </c>
      <c r="H13" s="110" t="e">
        <f t="shared" si="0"/>
        <v>#N/A</v>
      </c>
      <c r="I13" s="111"/>
      <c r="J13" s="82"/>
      <c r="K13" s="82"/>
      <c r="L13" s="82"/>
      <c r="M13" s="82"/>
      <c r="N13" s="86"/>
      <c r="O13" s="73"/>
      <c r="P13" s="73"/>
      <c r="Q13" s="82"/>
      <c r="R13" s="72" t="e">
        <f>SUMIFS( INDEX( 'ETPT Format DDG'!$A:$EF,,MATCH("12.5. MISE À DISPOSITION",'ETPT Format DDG'!2:2,0)),'ETPT Format DDG'!$C:$C,$D$5,'ETPT Format DDG'!$EA:$EA,"Fonctionnaire A-B-CBUR")</f>
        <v>#N/A</v>
      </c>
      <c r="S13" s="65" t="e">
        <f t="shared" si="1"/>
        <v>#N/A</v>
      </c>
      <c r="T13" s="83" t="e">
        <f>SUMIFS( INDEX( 'ETPT Format DDG'!$A:$EF,,MATCH("12.5. MISE À DISPOSITION",'ETPT Format DDG'!2:2,0)),'ETPT Format DDG'!$C:$C,$D$5,'ETPT Format DDG'!$EA:$EA,"JURISTE AS siège Autres")</f>
        <v>#N/A</v>
      </c>
      <c r="U13" s="65" t="e">
        <f t="shared" si="2"/>
        <v>#N/A</v>
      </c>
      <c r="V13" s="76"/>
      <c r="W13" s="82"/>
      <c r="X13" s="82"/>
      <c r="Y13" s="82"/>
      <c r="Z13" s="82"/>
      <c r="AA13" s="82"/>
      <c r="AB13" s="73"/>
      <c r="AC13" s="73"/>
      <c r="AD13" s="73"/>
      <c r="AE13" s="110">
        <f t="shared" si="3"/>
        <v>0</v>
      </c>
      <c r="AF13" s="82"/>
      <c r="AG13" s="82"/>
      <c r="AH13" s="82"/>
      <c r="AI13" s="110">
        <f t="shared" si="4"/>
        <v>0</v>
      </c>
    </row>
    <row r="14" spans="1:35" x14ac:dyDescent="0.2">
      <c r="A14" s="109" t="s">
        <v>326</v>
      </c>
      <c r="B14" s="81"/>
      <c r="C14" s="81"/>
      <c r="D14" s="81">
        <f t="shared" si="5"/>
        <v>0</v>
      </c>
      <c r="E14" s="81" t="s">
        <v>195</v>
      </c>
      <c r="F14" s="81" t="s">
        <v>194</v>
      </c>
      <c r="G14" s="79" t="e">
        <f>SUMIFS( INDEX( 'ETPT Format DDG'!$A:$EF,,MATCH("Temps ventilé sur la période (y.c. indisponibilité)",'ETPT Format DDG'!2:2,0)),'ETPT Format DDG'!$C:$C,$D$5,'ETPT Format DDG'!$EA:$EA,"Fonctionnaire CTECH placé ADD")</f>
        <v>#N/A</v>
      </c>
      <c r="H14" s="110" t="e">
        <f t="shared" si="0"/>
        <v>#N/A</v>
      </c>
      <c r="I14" s="111"/>
      <c r="J14" s="77" t="e">
        <f>SUMIFS( INDEX( 'ETPT Format DDG'!$A:$EF,,MATCH("3.43. INJONCTIONS DE PAYER",'ETPT Format DDG'!2:2,0)),'ETPT Format DDG'!$C:$C,$D$5,'ETPT Format DDG'!$EA:$EA,"Fonctionnaire A-B-CBUR placé ADD")+
SUMIFS( INDEX( 'ETPT Format DDG'!$A:$EF,,MATCH("3.44. SAISIE DES RÉMUNÉRATIONS",'ETPT Format DDG'!2:2,0)),'ETPT Format DDG'!$C:$C,$D$5,'ETPT Format DDG'!$EA:$EA,"Fonctionnaire A-B-CBUR placé ADD")</f>
        <v>#N/A</v>
      </c>
      <c r="K14" s="77" t="e">
        <f>SUMIFS( INDEX( 'ETPT Format DDG'!$A:$EF,,MATCH("3. TOTAL CONTENTIEUX DE LA PROTECTION",'ETPT Format DDG'!2:2,0)),'ETPT Format DDG'!$C:$C,$D$5,'ETPT Format DDG'!$EA:$EA,"Fonctionnaire A-B-CBUR placé ADD")-
SUMIFS( INDEX( 'ETPT Format DDG'!$A:$EF,,MATCH("3.2. PROTECTION DES MAJEURS",'ETPT Format DDG'!2:2,0)),'ETPT Format DDG'!$C:$C,$D$5,'ETPT Format DDG'!$EA:$EA,"Fonctionnaire A-B-CBUR placé ADD")-
SUMIFS( INDEX( 'ETPT Format DDG'!$A:$EF,,MATCH("3.43. INJONCTIONS DE PAYER",'ETPT Format DDG'!2:2,0)),'ETPT Format DDG'!$C:$C,$D$5,'ETPT Format DDG'!$EA:$EA,"Fonctionnaire A-B-CBUR placé ADD")-
SUMIFS( INDEX( 'ETPT Format DDG'!$A:$EF,,MATCH("3.44. SAISIE DES RÉMUNÉRATIONS",'ETPT Format DDG'!2:2,0)),'ETPT Format DDG'!$C:$C,$D$5,'ETPT Format DDG'!$EA:$EA,"Fonctionnaire A-B-CBUR placé ADD")</f>
        <v>#N/A</v>
      </c>
      <c r="L14" s="77" t="e">
        <f>SUMIFS( INDEX( 'ETPT Format DDG'!$A:$EF,,MATCH("3.2. PROTECTION DES MAJEURS",'ETPT Format DDG'!2:2,0)),'ETPT Format DDG'!$C:$C,$D$5,'ETPT Format DDG'!$EA:$EA,"Fonctionnaire A-B-CBUR placé ADD")</f>
        <v>#N/A</v>
      </c>
      <c r="M14" s="183"/>
      <c r="N14" s="183"/>
      <c r="O14" s="73"/>
      <c r="P14" s="73"/>
      <c r="Q14" s="82"/>
      <c r="R14" s="185" t="e">
        <f>SUMIFS( INDEX( 'ETPT Format DDG'!$A:$EF,,MATCH("Temps ventilé sur la période (y.c. indisponibilité)",'ETPT Format DDG'!2:2,0)),'ETPT Format DDG'!$C:$C,$D$5,'ETPT Format DDG'!$EA:$EA,"Fonctionnaire A-B-CBUR placé ADD")-SUM(I14:Q14)-SUMIFS( INDEX( 'ETPT Format DDG'!$A:$EF,,MATCH("11.7. FONCTIONNAIRES AFFECTÉS AU CPH",'ETPT Format DDG'!2:2,0)),'ETPT Format DDG'!$C:$C,$D$5,'ETPT Format DDG'!$EA:$EA,"Fonctionnaire CTECH placé ADD")</f>
        <v>#N/A</v>
      </c>
      <c r="S14" s="65" t="e">
        <f t="shared" si="1"/>
        <v>#N/A</v>
      </c>
      <c r="T14" s="75"/>
      <c r="U14" s="65">
        <f t="shared" si="2"/>
        <v>0</v>
      </c>
      <c r="V14" s="76"/>
      <c r="W14" s="77" t="e">
        <f>SUMIFS( INDEX( 'ETPT Format DDG'!$A:$EF,,MATCH("3.43. INJONCTIONS DE PAYER",'ETPT Format DDG'!2:2,0)),'ETPT Format DDG'!$C:$C,$D$5,'ETPT Format DDG'!$EA:$EA,"Magistrat placé ADD")+
SUMIFS( INDEX( 'ETPT Format DDG'!$A:$EF,,MATCH("3.44. SAISIE DES RÉMUNÉRATIONS",'ETPT Format DDG'!2:2,0)),'ETPT Format DDG'!$C:$C,$D$5,'ETPT Format DDG'!$EA:$EA,"Magistrat placé ADD")</f>
        <v>#N/A</v>
      </c>
      <c r="X14" s="77" t="e">
        <f>SUMIFS( INDEX( 'ETPT Format DDG'!$A:$EF,,MATCH("3. TOTAL CONTENTIEUX DE LA PROTECTION",'ETPT Format DDG'!2:2,0)),'ETPT Format DDG'!$C:$C,$D$5,'ETPT Format DDG'!$EA:$EA,"Magistrat placé ADD")-
SUMIFS( INDEX( 'ETPT Format DDG'!$A:$EF,,MATCH("3.2. PROTECTION DES MAJEURS",'ETPT Format DDG'!2:2,0)),'ETPT Format DDG'!$C:$C,$D$5,'ETPT Format DDG'!$EA:$EA,"Magistrat placé ADD")-
SUMIFS( INDEX( 'ETPT Format DDG'!$A:$EF,,MATCH("3.43. INJONCTIONS DE PAYER",'ETPT Format DDG'!2:2,0)),'ETPT Format DDG'!$C:$C,$D$5,'ETPT Format DDG'!$EA:$EA,"Magistrat placé ADD")-
SUMIFS( INDEX( 'ETPT Format DDG'!$A:$EF,,MATCH("3.44. SAISIE DES RÉMUNÉRATIONS",'ETPT Format DDG'!2:2,0)),'ETPT Format DDG'!$C:$C,$D$5,'ETPT Format DDG'!$EA:$EA,"Magistrat placé ADD")</f>
        <v>#N/A</v>
      </c>
      <c r="Y14" s="77" t="e">
        <f>SUMIFS( INDEX( 'ETPT Format DDG'!$A:$EF,,MATCH("3.2. PROTECTION DES MAJEURS",'ETPT Format DDG'!2:2,0)),'ETPT Format DDG'!$C:$C,$D$5,'ETPT Format DDG'!$EA:$EA,"Magistrat placé ADD")</f>
        <v>#N/A</v>
      </c>
      <c r="Z14" s="183"/>
      <c r="AA14" s="183"/>
      <c r="AB14" s="73"/>
      <c r="AC14" s="73"/>
      <c r="AD14" s="73"/>
      <c r="AE14" s="110" t="e">
        <f t="shared" si="3"/>
        <v>#N/A</v>
      </c>
      <c r="AF14" s="73"/>
      <c r="AG14" s="72" t="e">
        <f>SUMIFS( INDEX( 'ETPT Format DDG'!$A:$EF,,MATCH("1.1. DÉPARTAGE PRUD'HOMAL",'ETPT Format DDG'!2:2,0)),'ETPT Format DDG'!$C:$C,$D$5,'ETPT Format DDG'!$EA:$EA,"Magistrat placé ADD")</f>
        <v>#N/A</v>
      </c>
      <c r="AH14" s="184" t="e">
        <f>SUMIFS( INDEX( 'ETPT Format DDG'!$A:$EF,,MATCH("Temps ventilé sur la période (y.c. indisponibilité)",'ETPT Format DDG'!2:2,0)),'ETPT Format DDG'!$C:$C,$D$5,'ETPT Format DDG'!$EA:$EA,"Magistrat placé ADD")-SUM(AE14:AG14)</f>
        <v>#N/A</v>
      </c>
      <c r="AI14" s="110" t="e">
        <f t="shared" si="4"/>
        <v>#N/A</v>
      </c>
    </row>
    <row r="15" spans="1:35" x14ac:dyDescent="0.2">
      <c r="A15" s="109" t="s">
        <v>326</v>
      </c>
      <c r="B15" s="81"/>
      <c r="C15" s="81"/>
      <c r="D15" s="81">
        <f t="shared" si="5"/>
        <v>0</v>
      </c>
      <c r="E15" s="81" t="s">
        <v>192</v>
      </c>
      <c r="F15" s="81" t="s">
        <v>191</v>
      </c>
      <c r="G15" s="79" t="e">
        <f>SUMIFS( INDEX( 'ETPT Format DDG'!$A:$EF,,MATCH("Temps ventilé sur la période (y.c. indisponibilité)",'ETPT Format DDG'!2:2,0)),'ETPT Format DDG'!$C:$C,$D$5,'ETPT Format DDG'!$EA:$EA,"Fonctionnaire CTECH placé SUB")</f>
        <v>#N/A</v>
      </c>
      <c r="H15" s="110" t="e">
        <f t="shared" si="0"/>
        <v>#N/A</v>
      </c>
      <c r="I15" s="111"/>
      <c r="J15" s="77" t="e">
        <f>SUMIFS( INDEX( 'ETPT Format DDG'!$A:$EF,,MATCH("3.43. INJONCTIONS DE PAYER",'ETPT Format DDG'!2:2,0)),'ETPT Format DDG'!$C:$C,$D$5,'ETPT Format DDG'!$EA:$EA,"Fonctionnaire A-B-CBUR placé SUB")+
SUMIFS( INDEX( 'ETPT Format DDG'!$A:$EF,,MATCH("3.44. SAISIE DES RÉMUNÉRATIONS",'ETPT Format DDG'!2:2,0)),'ETPT Format DDG'!$C:$C,$D$5,'ETPT Format DDG'!$EA:$EA,"Fonctionnaire A-B-CBUR placé SUB")</f>
        <v>#N/A</v>
      </c>
      <c r="K15" s="77" t="e">
        <f>SUMIFS( INDEX( 'ETPT Format DDG'!$A:$EF,,MATCH("3. TOTAL CONTENTIEUX DE LA PROTECTION",'ETPT Format DDG'!2:2,0)),'ETPT Format DDG'!$C:$C,$D$5,'ETPT Format DDG'!$EA:$EA,"Fonctionnaire A-B-CBUR placé SUB")-
SUMIFS( INDEX( 'ETPT Format DDG'!$A:$EF,,MATCH("3.2. PROTECTION DES MAJEURS",'ETPT Format DDG'!2:2,0)),'ETPT Format DDG'!$C:$C,$D$5,'ETPT Format DDG'!$EA:$EA,"Fonctionnaire A-B-CBUR placé SUB")-
SUMIFS( INDEX( 'ETPT Format DDG'!$A:$EF,,MATCH("3.43. INJONCTIONS DE PAYER",'ETPT Format DDG'!2:2,0)),'ETPT Format DDG'!$C:$C,$D$5,'ETPT Format DDG'!$EA:$EA,"Fonctionnaire A-B-CBUR placé SUB")-
SUMIFS( INDEX( 'ETPT Format DDG'!$A:$EF,,MATCH("3.44. SAISIE DES RÉMUNÉRATIONS",'ETPT Format DDG'!2:2,0)),'ETPT Format DDG'!$C:$C,$D$5,'ETPT Format DDG'!$EA:$EA,"Fonctionnaire A-B-CBUR placé SUB")</f>
        <v>#N/A</v>
      </c>
      <c r="L15" s="77" t="e">
        <f>SUMIFS( INDEX( 'ETPT Format DDG'!$A:$EF,,MATCH("3.2. PROTECTION DES MAJEURS",'ETPT Format DDG'!2:2,0)),'ETPT Format DDG'!$C:$C,$D$5,'ETPT Format DDG'!$EA:$EA,"Fonctionnaire A-B-CBUR placé SUB")</f>
        <v>#N/A</v>
      </c>
      <c r="M15" s="183"/>
      <c r="N15" s="183"/>
      <c r="O15" s="73"/>
      <c r="P15" s="73"/>
      <c r="Q15" s="82"/>
      <c r="R15" s="185" t="e">
        <f>SUMIFS( INDEX( 'ETPT Format DDG'!$A:$EF,,MATCH("Temps ventilé sur la période (y.c. indisponibilité)",'ETPT Format DDG'!2:2,0)),'ETPT Format DDG'!$C:$C,$D$5,'ETPT Format DDG'!$EA:$EA,"Fonctionnaire A-B-CBUR placé SUB")-SUM(I15:Q15)-SUMIFS( INDEX( 'ETPT Format DDG'!$A:$EF,,MATCH("11.7. FONCTIONNAIRES AFFECTÉS AU CPH",'ETPT Format DDG'!2:2,0)),'ETPT Format DDG'!$C:$C,$D$5,'ETPT Format DDG'!$EA:$EA,"Fonctionnaire CTECH placé SUB")</f>
        <v>#N/A</v>
      </c>
      <c r="S15" s="65" t="e">
        <f t="shared" si="1"/>
        <v>#N/A</v>
      </c>
      <c r="T15" s="75"/>
      <c r="U15" s="65">
        <f t="shared" si="2"/>
        <v>0</v>
      </c>
      <c r="V15" s="76"/>
      <c r="W15" s="77" t="e">
        <f>SUMIFS( INDEX( 'ETPT Format DDG'!$A:$EF,,MATCH("3.43. INJONCTIONS DE PAYER",'ETPT Format DDG'!2:2,0)),'ETPT Format DDG'!$C:$C,$D$5,'ETPT Format DDG'!$EA:$EA,"Magistrat placé SUB")+
SUMIFS( INDEX( 'ETPT Format DDG'!$A:$EF,,MATCH("3.44. SAISIE DES RÉMUNÉRATIONS",'ETPT Format DDG'!2:2,0)),'ETPT Format DDG'!$C:$C,$D$5,'ETPT Format DDG'!$EA:$EA,"Magistrat placé SUB")</f>
        <v>#N/A</v>
      </c>
      <c r="X15" s="77" t="e">
        <f>SUMIFS( INDEX( 'ETPT Format DDG'!$A:$EF,,MATCH("3. TOTAL CONTENTIEUX DE LA PROTECTION",'ETPT Format DDG'!2:2,0)),'ETPT Format DDG'!$C:$C,$D$5,'ETPT Format DDG'!$EA:$EA,"Magistrat placé SUB")-
SUMIFS( INDEX( 'ETPT Format DDG'!$A:$EF,,MATCH("3.2. PROTECTION DES MAJEURS",'ETPT Format DDG'!2:2,0)),'ETPT Format DDG'!$C:$C,$D$5,'ETPT Format DDG'!$EA:$EA,"Magistrat placé SUB")-
SUMIFS( INDEX( 'ETPT Format DDG'!$A:$EF,,MATCH("3.43. INJONCTIONS DE PAYER",'ETPT Format DDG'!2:2,0)),'ETPT Format DDG'!$C:$C,$D$5,'ETPT Format DDG'!$EA:$EA,"Magistrat placé SUB")-
SUMIFS( INDEX( 'ETPT Format DDG'!$A:$EF,,MATCH("3.44. SAISIE DES RÉMUNÉRATIONS",'ETPT Format DDG'!2:2,0)),'ETPT Format DDG'!$C:$C,$D$5,'ETPT Format DDG'!$EA:$EA,"Magistrat placé SUB")</f>
        <v>#N/A</v>
      </c>
      <c r="Y15" s="77" t="e">
        <f>SUMIFS( INDEX( 'ETPT Format DDG'!$A:$EF,,MATCH("3.2. PROTECTION DES MAJEURS",'ETPT Format DDG'!2:2,0)),'ETPT Format DDG'!$C:$C,$D$5,'ETPT Format DDG'!$EA:$EA,"Magistrat placé SUB")</f>
        <v>#N/A</v>
      </c>
      <c r="Z15" s="183"/>
      <c r="AA15" s="183"/>
      <c r="AB15" s="73"/>
      <c r="AC15" s="73"/>
      <c r="AD15" s="73"/>
      <c r="AE15" s="110" t="e">
        <f t="shared" si="3"/>
        <v>#N/A</v>
      </c>
      <c r="AF15" s="82"/>
      <c r="AG15" s="72" t="e">
        <f>SUMIFS( INDEX( 'ETPT Format DDG'!$A:$EF,,MATCH("1.1. DÉPARTAGE PRUD'HOMAL",'ETPT Format DDG'!2:2,0)),'ETPT Format DDG'!$C:$C,$D$5,'ETPT Format DDG'!$EA:$EA,"Magistrat placé SUB")</f>
        <v>#N/A</v>
      </c>
      <c r="AH15" s="184" t="e">
        <f>SUMIFS( INDEX( 'ETPT Format DDG'!$A:$EF,,MATCH("Temps ventilé sur la période (y.c. indisponibilité)",'ETPT Format DDG'!2:2,0)),'ETPT Format DDG'!$C:$C,$D$5,'ETPT Format DDG'!$EA:$EA,"Magistrat placé SUB")-SUM(AE15:AG15)</f>
        <v>#N/A</v>
      </c>
      <c r="AI15" s="110" t="e">
        <f t="shared" si="4"/>
        <v>#N/A</v>
      </c>
    </row>
    <row r="16" spans="1:35" x14ac:dyDescent="0.2">
      <c r="A16" s="109"/>
      <c r="B16" s="108"/>
      <c r="C16" s="108"/>
      <c r="D16" s="108"/>
      <c r="E16" s="108"/>
      <c r="F16" s="107" t="s">
        <v>190</v>
      </c>
      <c r="G16" s="65" t="e">
        <f t="shared" ref="G16:AI16" si="6">SUM(G5:G15)</f>
        <v>#N/A</v>
      </c>
      <c r="H16" s="65" t="e">
        <f t="shared" si="6"/>
        <v>#N/A</v>
      </c>
      <c r="I16" s="65">
        <f t="shared" si="6"/>
        <v>0</v>
      </c>
      <c r="J16" s="65" t="e">
        <f t="shared" si="6"/>
        <v>#N/A</v>
      </c>
      <c r="K16" s="65" t="e">
        <f t="shared" si="6"/>
        <v>#N/A</v>
      </c>
      <c r="L16" s="65" t="e">
        <f t="shared" si="6"/>
        <v>#N/A</v>
      </c>
      <c r="M16" s="65">
        <f t="shared" si="6"/>
        <v>0</v>
      </c>
      <c r="N16" s="65">
        <f t="shared" si="6"/>
        <v>0</v>
      </c>
      <c r="O16" s="135">
        <f t="shared" si="6"/>
        <v>0</v>
      </c>
      <c r="P16" s="135">
        <f t="shared" si="6"/>
        <v>0</v>
      </c>
      <c r="Q16" s="65">
        <f t="shared" si="6"/>
        <v>0</v>
      </c>
      <c r="R16" s="65" t="e">
        <f>SUM(R5:R15)</f>
        <v>#N/A</v>
      </c>
      <c r="S16" s="65" t="e">
        <f t="shared" si="6"/>
        <v>#N/A</v>
      </c>
      <c r="T16" s="65" t="e">
        <f t="shared" si="6"/>
        <v>#N/A</v>
      </c>
      <c r="U16" s="65" t="e">
        <f t="shared" si="6"/>
        <v>#N/A</v>
      </c>
      <c r="V16" s="65">
        <f t="shared" si="6"/>
        <v>0</v>
      </c>
      <c r="W16" s="65" t="e">
        <f t="shared" si="6"/>
        <v>#N/A</v>
      </c>
      <c r="X16" s="65" t="e">
        <f t="shared" si="6"/>
        <v>#N/A</v>
      </c>
      <c r="Y16" s="65" t="e">
        <f t="shared" si="6"/>
        <v>#N/A</v>
      </c>
      <c r="Z16" s="65">
        <f t="shared" si="6"/>
        <v>0</v>
      </c>
      <c r="AA16" s="65">
        <f t="shared" si="6"/>
        <v>0</v>
      </c>
      <c r="AB16" s="135">
        <f t="shared" si="6"/>
        <v>0</v>
      </c>
      <c r="AC16" s="135">
        <f t="shared" si="6"/>
        <v>0</v>
      </c>
      <c r="AD16" s="65">
        <f t="shared" si="6"/>
        <v>0</v>
      </c>
      <c r="AE16" s="65" t="e">
        <f t="shared" si="6"/>
        <v>#N/A</v>
      </c>
      <c r="AF16" s="65">
        <f t="shared" si="6"/>
        <v>0</v>
      </c>
      <c r="AG16" s="65" t="e">
        <f t="shared" si="6"/>
        <v>#N/A</v>
      </c>
      <c r="AH16" s="65" t="e">
        <f t="shared" si="6"/>
        <v>#N/A</v>
      </c>
      <c r="AI16" s="65" t="e">
        <f t="shared" si="6"/>
        <v>#N/A</v>
      </c>
    </row>
    <row r="17" spans="4:19" x14ac:dyDescent="0.2">
      <c r="S17" s="59" t="e">
        <f>S16+H16-S14-H14-H15-S15+ETPT_CPH!G5</f>
        <v>#N/A</v>
      </c>
    </row>
    <row r="18" spans="4:19" x14ac:dyDescent="0.2">
      <c r="S18" s="57"/>
    </row>
    <row r="19" spans="4:19" x14ac:dyDescent="0.2">
      <c r="D19" s="58" t="s">
        <v>325</v>
      </c>
    </row>
  </sheetData>
  <mergeCells count="6">
    <mergeCell ref="AI2:AI4"/>
    <mergeCell ref="A1:H1"/>
    <mergeCell ref="H2:H4"/>
    <mergeCell ref="S2:S4"/>
    <mergeCell ref="U2:U4"/>
    <mergeCell ref="AE2:AE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0F59-85DE-F04F-B545-970F6F7A26FE}">
  <sheetPr codeName="Feuil11">
    <tabColor rgb="FF92D050"/>
  </sheetPr>
  <dimension ref="A1:J17"/>
  <sheetViews>
    <sheetView topLeftCell="D1" zoomScale="88" workbookViewId="0">
      <selection activeCell="G7" sqref="G7"/>
    </sheetView>
  </sheetViews>
  <sheetFormatPr baseColWidth="10" defaultColWidth="11" defaultRowHeight="16" x14ac:dyDescent="0.2"/>
  <cols>
    <col min="1" max="3" width="0" style="56" hidden="1" customWidth="1"/>
    <col min="4" max="4" width="15.1640625" style="56" customWidth="1"/>
    <col min="5" max="5" width="11" style="56"/>
    <col min="6" max="6" width="46.33203125" style="56" bestFit="1" customWidth="1"/>
    <col min="7" max="16384" width="11" style="56"/>
  </cols>
  <sheetData>
    <row r="1" spans="1:10" x14ac:dyDescent="0.2">
      <c r="A1" s="60"/>
      <c r="C1" s="128"/>
      <c r="D1" s="128" t="s">
        <v>370</v>
      </c>
      <c r="E1" s="128"/>
      <c r="F1" s="128"/>
      <c r="G1" s="60"/>
      <c r="H1" s="60"/>
      <c r="I1" s="60"/>
      <c r="J1" s="60"/>
    </row>
    <row r="2" spans="1:10" x14ac:dyDescent="0.2">
      <c r="A2" s="127"/>
      <c r="B2" s="126"/>
      <c r="C2" s="126"/>
      <c r="D2" s="126"/>
      <c r="E2" s="126"/>
      <c r="F2" s="126"/>
      <c r="G2" s="103" t="s">
        <v>321</v>
      </c>
      <c r="H2" s="348" t="s">
        <v>320</v>
      </c>
      <c r="I2" s="103" t="s">
        <v>139</v>
      </c>
      <c r="J2" s="348" t="s">
        <v>319</v>
      </c>
    </row>
    <row r="3" spans="1:10" ht="36" x14ac:dyDescent="0.2">
      <c r="A3" s="127"/>
      <c r="B3" s="126"/>
      <c r="C3" s="126"/>
      <c r="D3" s="126"/>
      <c r="E3" s="126"/>
      <c r="F3" s="126"/>
      <c r="G3" s="103" t="s">
        <v>299</v>
      </c>
      <c r="H3" s="348"/>
      <c r="I3" s="103" t="s">
        <v>296</v>
      </c>
      <c r="J3" s="348"/>
    </row>
    <row r="4" spans="1:10" ht="36" x14ac:dyDescent="0.2">
      <c r="A4" s="125"/>
      <c r="B4" s="124" t="s">
        <v>266</v>
      </c>
      <c r="C4" s="124" t="s">
        <v>265</v>
      </c>
      <c r="D4" s="124" t="s">
        <v>32</v>
      </c>
      <c r="E4" s="124" t="s">
        <v>264</v>
      </c>
      <c r="F4" s="124" t="s">
        <v>263</v>
      </c>
      <c r="G4" s="103" t="s">
        <v>248</v>
      </c>
      <c r="H4" s="348"/>
      <c r="I4" s="103" t="s">
        <v>244</v>
      </c>
      <c r="J4" s="348"/>
    </row>
    <row r="5" spans="1:10" x14ac:dyDescent="0.2">
      <c r="A5" s="119" t="s">
        <v>369</v>
      </c>
      <c r="B5" s="118"/>
      <c r="C5" s="118"/>
      <c r="D5" s="123">
        <f>ETPT_CPH_DDG!$D$5</f>
        <v>0</v>
      </c>
      <c r="E5" s="118" t="s">
        <v>213</v>
      </c>
      <c r="F5" s="118" t="s">
        <v>212</v>
      </c>
      <c r="G5" s="117" t="e">
        <f>SUMIFS( INDEX( 'ETPT Format DDG'!$A:$EF,,MATCH("11.7. FONCTIONNAIRES AFFECTÉS AU CPH",'ETPT Format DDG'!2:2,0)),'ETPT Format DDG'!$C:$C,$D$5,'ETPT Format DDG'!$EA:$EA,"Fonctionnaire A-B-CBUR")</f>
        <v>#N/A</v>
      </c>
      <c r="H5" s="112" t="e">
        <f t="shared" ref="H5:H13" si="0">SUM(G5)</f>
        <v>#N/A</v>
      </c>
      <c r="I5" s="117" t="e">
        <f>SUMIFS( INDEX( 'ETPT Format DDG'!$A:$EF,,MATCH("11.7. FONCTIONNAIRES AFFECTÉS AU CPH",'ETPT Format DDG'!2:2,0)),'ETPT Format DDG'!$C:$C,$D$5,'ETPT Format DDG'!$EA:$EA,"JURISTE AS siège Autres")</f>
        <v>#N/A</v>
      </c>
      <c r="J5" s="112" t="e">
        <f t="shared" ref="J5:J13" si="1">SUM(I5)</f>
        <v>#N/A</v>
      </c>
    </row>
    <row r="6" spans="1:10" x14ac:dyDescent="0.2">
      <c r="A6" s="119" t="s">
        <v>369</v>
      </c>
      <c r="B6" s="118"/>
      <c r="C6" s="118"/>
      <c r="D6" s="81">
        <f t="shared" ref="D6:D13" si="2">$D$5</f>
        <v>0</v>
      </c>
      <c r="E6" s="118" t="s">
        <v>207</v>
      </c>
      <c r="F6" s="118" t="s">
        <v>206</v>
      </c>
      <c r="G6" s="121"/>
      <c r="H6" s="112">
        <f t="shared" si="0"/>
        <v>0</v>
      </c>
      <c r="I6" s="122"/>
      <c r="J6" s="112">
        <f t="shared" si="1"/>
        <v>0</v>
      </c>
    </row>
    <row r="7" spans="1:10" x14ac:dyDescent="0.2">
      <c r="A7" s="119" t="s">
        <v>369</v>
      </c>
      <c r="B7" s="118"/>
      <c r="C7" s="118"/>
      <c r="D7" s="81">
        <f t="shared" si="2"/>
        <v>0</v>
      </c>
      <c r="E7" s="118" t="s">
        <v>205</v>
      </c>
      <c r="F7" s="118" t="s">
        <v>204</v>
      </c>
      <c r="G7" s="121"/>
      <c r="H7" s="112">
        <f t="shared" si="0"/>
        <v>0</v>
      </c>
      <c r="I7" s="120"/>
      <c r="J7" s="112">
        <f t="shared" si="1"/>
        <v>0</v>
      </c>
    </row>
    <row r="8" spans="1:10" x14ac:dyDescent="0.2">
      <c r="A8" s="119" t="s">
        <v>369</v>
      </c>
      <c r="B8" s="118"/>
      <c r="C8" s="118"/>
      <c r="D8" s="81">
        <f t="shared" si="2"/>
        <v>0</v>
      </c>
      <c r="E8" s="118" t="s">
        <v>203</v>
      </c>
      <c r="F8" s="118" t="s">
        <v>202</v>
      </c>
      <c r="G8" s="121"/>
      <c r="H8" s="112">
        <f t="shared" si="0"/>
        <v>0</v>
      </c>
      <c r="I8" s="122"/>
      <c r="J8" s="112">
        <f t="shared" si="1"/>
        <v>0</v>
      </c>
    </row>
    <row r="9" spans="1:10" x14ac:dyDescent="0.2">
      <c r="A9" s="119" t="s">
        <v>369</v>
      </c>
      <c r="B9" s="118"/>
      <c r="C9" s="118"/>
      <c r="D9" s="81">
        <f t="shared" si="2"/>
        <v>0</v>
      </c>
      <c r="E9" s="118" t="s">
        <v>201</v>
      </c>
      <c r="F9" s="118" t="s">
        <v>200</v>
      </c>
      <c r="G9" s="121"/>
      <c r="H9" s="112">
        <f t="shared" si="0"/>
        <v>0</v>
      </c>
      <c r="I9" s="120"/>
      <c r="J9" s="112">
        <f t="shared" si="1"/>
        <v>0</v>
      </c>
    </row>
    <row r="10" spans="1:10" x14ac:dyDescent="0.2">
      <c r="A10" s="119" t="s">
        <v>369</v>
      </c>
      <c r="B10" s="118"/>
      <c r="C10" s="118"/>
      <c r="D10" s="81">
        <f t="shared" si="2"/>
        <v>0</v>
      </c>
      <c r="E10" s="118" t="s">
        <v>199</v>
      </c>
      <c r="F10" s="118" t="s">
        <v>198</v>
      </c>
      <c r="G10" s="121"/>
      <c r="H10" s="112">
        <f t="shared" si="0"/>
        <v>0</v>
      </c>
      <c r="I10" s="122"/>
      <c r="J10" s="112">
        <f t="shared" si="1"/>
        <v>0</v>
      </c>
    </row>
    <row r="11" spans="1:10" x14ac:dyDescent="0.2">
      <c r="A11" s="119" t="s">
        <v>369</v>
      </c>
      <c r="B11" s="118"/>
      <c r="C11" s="118"/>
      <c r="D11" s="81">
        <f t="shared" si="2"/>
        <v>0</v>
      </c>
      <c r="E11" s="118" t="s">
        <v>197</v>
      </c>
      <c r="F11" s="118" t="s">
        <v>196</v>
      </c>
      <c r="G11" s="121"/>
      <c r="H11" s="112">
        <f t="shared" si="0"/>
        <v>0</v>
      </c>
      <c r="I11" s="120"/>
      <c r="J11" s="112">
        <f t="shared" si="1"/>
        <v>0</v>
      </c>
    </row>
    <row r="12" spans="1:10" x14ac:dyDescent="0.2">
      <c r="A12" s="119" t="s">
        <v>369</v>
      </c>
      <c r="B12" s="118"/>
      <c r="C12" s="118"/>
      <c r="D12" s="81">
        <f t="shared" si="2"/>
        <v>0</v>
      </c>
      <c r="E12" s="118" t="s">
        <v>195</v>
      </c>
      <c r="F12" s="118" t="s">
        <v>194</v>
      </c>
      <c r="G12" s="117" t="e">
        <f>SUMIFS( INDEX( 'ETPT Format DDG'!$A:$EF,,MATCH("11.7. FONCTIONNAIRES AFFECTÉS AU CPH",'ETPT Format DDG'!2:2,0)),'ETPT Format DDG'!$C:$C,$D$5,'ETPT Format DDG'!$EA:$EA,"Fonctionnaire CTECH placé ADD")</f>
        <v>#N/A</v>
      </c>
      <c r="H12" s="112" t="e">
        <f t="shared" si="0"/>
        <v>#N/A</v>
      </c>
      <c r="I12" s="75"/>
      <c r="J12" s="112">
        <f t="shared" si="1"/>
        <v>0</v>
      </c>
    </row>
    <row r="13" spans="1:10" x14ac:dyDescent="0.2">
      <c r="A13" s="119" t="s">
        <v>369</v>
      </c>
      <c r="B13" s="118"/>
      <c r="C13" s="118"/>
      <c r="D13" s="81">
        <f t="shared" si="2"/>
        <v>0</v>
      </c>
      <c r="E13" s="118" t="s">
        <v>192</v>
      </c>
      <c r="F13" s="118" t="s">
        <v>191</v>
      </c>
      <c r="G13" s="117" t="e">
        <f>SUMIFS( INDEX( 'ETPT Format DDG'!$A:$EF,,MATCH("11.7. FONCTIONNAIRES AFFECTÉS AU CPH",'ETPT Format DDG'!2:2,0)),'ETPT Format DDG'!$C:$C,$D$5,'ETPT Format DDG'!$EA:$EA,"Fonctionnaire CTECH placé SUB")</f>
        <v>#N/A</v>
      </c>
      <c r="H13" s="112" t="e">
        <f t="shared" si="0"/>
        <v>#N/A</v>
      </c>
      <c r="I13" s="75"/>
      <c r="J13" s="112">
        <f t="shared" si="1"/>
        <v>0</v>
      </c>
    </row>
    <row r="14" spans="1:10" x14ac:dyDescent="0.2">
      <c r="A14" s="116"/>
      <c r="B14" s="115"/>
      <c r="C14" s="115"/>
      <c r="D14" s="115"/>
      <c r="E14" s="114"/>
      <c r="F14" s="113" t="s">
        <v>190</v>
      </c>
      <c r="G14" s="112" t="e">
        <f>SUM(G5:G13)</f>
        <v>#N/A</v>
      </c>
      <c r="H14" s="112" t="e">
        <f>SUM(H5:H13)</f>
        <v>#N/A</v>
      </c>
      <c r="I14" s="112" t="e">
        <f>SUM(I5:I13)</f>
        <v>#N/A</v>
      </c>
      <c r="J14" s="112" t="e">
        <f>SUM(J5:J13)</f>
        <v>#N/A</v>
      </c>
    </row>
    <row r="17" spans="4:4" x14ac:dyDescent="0.2">
      <c r="D17" s="58"/>
    </row>
  </sheetData>
  <mergeCells count="2">
    <mergeCell ref="H2:H4"/>
    <mergeCell ref="J2:J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25AE-B1C3-2143-BED8-865F5DD872E0}">
  <sheetPr codeName="Feuil9">
    <tabColor rgb="FFFE0000"/>
  </sheetPr>
  <dimension ref="A1:BK21"/>
  <sheetViews>
    <sheetView topLeftCell="D1" workbookViewId="0">
      <selection activeCell="D5" sqref="D5"/>
    </sheetView>
  </sheetViews>
  <sheetFormatPr baseColWidth="10" defaultColWidth="11" defaultRowHeight="16" x14ac:dyDescent="0.2"/>
  <cols>
    <col min="1" max="1" width="6" style="56" hidden="1" customWidth="1"/>
    <col min="2" max="2" width="17.1640625" style="56" hidden="1" customWidth="1"/>
    <col min="3" max="3" width="6.33203125" style="56" hidden="1" customWidth="1"/>
    <col min="4" max="4" width="14.6640625" style="56" customWidth="1"/>
    <col min="5" max="5" width="6.5" style="56" customWidth="1"/>
    <col min="6" max="6" width="46.33203125" style="56" bestFit="1" customWidth="1"/>
    <col min="7" max="8" width="9.33203125" style="56" customWidth="1"/>
    <col min="9" max="9" width="9.5" style="56" customWidth="1"/>
    <col min="10" max="10" width="9" style="56" customWidth="1"/>
    <col min="11" max="38" width="9.33203125" style="56" customWidth="1"/>
    <col min="39" max="39" width="8.5" style="56" bestFit="1" customWidth="1"/>
    <col min="40" max="40" width="7.33203125" style="56" bestFit="1" customWidth="1"/>
    <col min="41" max="62" width="9.33203125" style="56" customWidth="1"/>
    <col min="63" max="63" width="4" style="56" customWidth="1"/>
    <col min="64" max="16384" width="11" style="56"/>
  </cols>
  <sheetData>
    <row r="1" spans="1:63" s="4" customFormat="1" ht="80" customHeight="1" x14ac:dyDescent="0.25">
      <c r="A1" s="3" t="s">
        <v>371</v>
      </c>
      <c r="B1" s="5"/>
      <c r="C1" s="5"/>
      <c r="D1" s="3" t="s">
        <v>374</v>
      </c>
      <c r="E1" s="7"/>
      <c r="F1" s="6"/>
      <c r="G1" s="6"/>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row>
    <row r="2" spans="1:63" s="60" customFormat="1" ht="12.75" customHeight="1" x14ac:dyDescent="0.2">
      <c r="A2" s="106"/>
      <c r="B2" s="106"/>
      <c r="C2" s="106"/>
      <c r="D2" s="106"/>
      <c r="E2" s="106"/>
      <c r="F2" s="106"/>
      <c r="G2" s="103" t="s">
        <v>323</v>
      </c>
      <c r="H2" s="348" t="s">
        <v>322</v>
      </c>
      <c r="I2" s="102" t="s">
        <v>321</v>
      </c>
      <c r="J2" s="102" t="s">
        <v>321</v>
      </c>
      <c r="K2" s="102" t="s">
        <v>321</v>
      </c>
      <c r="L2" s="102" t="s">
        <v>321</v>
      </c>
      <c r="M2" s="102" t="s">
        <v>321</v>
      </c>
      <c r="N2" s="102" t="s">
        <v>321</v>
      </c>
      <c r="O2" s="102" t="s">
        <v>321</v>
      </c>
      <c r="P2" s="102" t="s">
        <v>321</v>
      </c>
      <c r="Q2" s="102" t="s">
        <v>321</v>
      </c>
      <c r="R2" s="102" t="s">
        <v>321</v>
      </c>
      <c r="S2" s="102" t="s">
        <v>321</v>
      </c>
      <c r="T2" s="102" t="s">
        <v>321</v>
      </c>
      <c r="U2" s="102" t="s">
        <v>321</v>
      </c>
      <c r="V2" s="102" t="s">
        <v>321</v>
      </c>
      <c r="W2" s="348" t="s">
        <v>320</v>
      </c>
      <c r="X2" s="103" t="s">
        <v>139</v>
      </c>
      <c r="Y2" s="103" t="s">
        <v>139</v>
      </c>
      <c r="Z2" s="103" t="s">
        <v>139</v>
      </c>
      <c r="AA2" s="103" t="s">
        <v>139</v>
      </c>
      <c r="AB2" s="348" t="s">
        <v>319</v>
      </c>
      <c r="AC2" s="100" t="s">
        <v>318</v>
      </c>
      <c r="AD2" s="100" t="s">
        <v>318</v>
      </c>
      <c r="AE2" s="100" t="s">
        <v>318</v>
      </c>
      <c r="AF2" s="100" t="s">
        <v>318</v>
      </c>
      <c r="AG2" s="100" t="s">
        <v>318</v>
      </c>
      <c r="AH2" s="100" t="s">
        <v>318</v>
      </c>
      <c r="AI2" s="100" t="s">
        <v>318</v>
      </c>
      <c r="AJ2" s="100" t="s">
        <v>318</v>
      </c>
      <c r="AK2" s="100" t="s">
        <v>318</v>
      </c>
      <c r="AL2" s="348" t="s">
        <v>317</v>
      </c>
      <c r="AM2" s="100" t="s">
        <v>316</v>
      </c>
      <c r="AN2" s="100" t="s">
        <v>316</v>
      </c>
      <c r="AO2" s="100" t="s">
        <v>316</v>
      </c>
      <c r="AP2" s="100" t="s">
        <v>316</v>
      </c>
      <c r="AQ2" s="100" t="s">
        <v>316</v>
      </c>
      <c r="AR2" s="100" t="s">
        <v>316</v>
      </c>
      <c r="AS2" s="100" t="s">
        <v>316</v>
      </c>
      <c r="AT2" s="100" t="s">
        <v>316</v>
      </c>
      <c r="AU2" s="100" t="s">
        <v>316</v>
      </c>
      <c r="AV2" s="100" t="s">
        <v>316</v>
      </c>
      <c r="AW2" s="100" t="s">
        <v>316</v>
      </c>
      <c r="AX2" s="100" t="s">
        <v>316</v>
      </c>
      <c r="AY2" s="100" t="s">
        <v>316</v>
      </c>
      <c r="AZ2" s="348" t="s">
        <v>315</v>
      </c>
      <c r="BA2" s="99" t="s">
        <v>314</v>
      </c>
      <c r="BB2" s="99" t="s">
        <v>314</v>
      </c>
      <c r="BC2" s="99" t="s">
        <v>314</v>
      </c>
      <c r="BD2" s="99" t="s">
        <v>314</v>
      </c>
      <c r="BE2" s="99" t="s">
        <v>314</v>
      </c>
      <c r="BF2" s="99" t="s">
        <v>314</v>
      </c>
      <c r="BG2" s="99" t="s">
        <v>314</v>
      </c>
      <c r="BH2" s="99" t="s">
        <v>314</v>
      </c>
      <c r="BI2" s="99" t="s">
        <v>314</v>
      </c>
      <c r="BJ2" s="348" t="s">
        <v>313</v>
      </c>
      <c r="BK2"/>
    </row>
    <row r="3" spans="1:63" s="60" customFormat="1" ht="26" hidden="1" customHeight="1" x14ac:dyDescent="0.15">
      <c r="A3" s="106"/>
      <c r="B3" s="106"/>
      <c r="C3" s="106"/>
      <c r="D3" s="106"/>
      <c r="E3" s="106"/>
      <c r="F3" s="106"/>
      <c r="G3" s="103" t="s">
        <v>312</v>
      </c>
      <c r="H3" s="348"/>
      <c r="I3" s="102" t="s">
        <v>311</v>
      </c>
      <c r="J3" s="102" t="s">
        <v>310</v>
      </c>
      <c r="K3" s="102" t="s">
        <v>309</v>
      </c>
      <c r="L3" s="102" t="s">
        <v>308</v>
      </c>
      <c r="M3" s="102" t="s">
        <v>307</v>
      </c>
      <c r="N3" s="102" t="s">
        <v>306</v>
      </c>
      <c r="O3" s="102" t="s">
        <v>305</v>
      </c>
      <c r="P3" s="102" t="s">
        <v>304</v>
      </c>
      <c r="Q3" s="102" t="s">
        <v>303</v>
      </c>
      <c r="R3" s="102"/>
      <c r="S3" s="102" t="s">
        <v>302</v>
      </c>
      <c r="T3" s="102" t="s">
        <v>301</v>
      </c>
      <c r="U3" s="102" t="s">
        <v>300</v>
      </c>
      <c r="V3" s="102" t="s">
        <v>299</v>
      </c>
      <c r="W3" s="348"/>
      <c r="X3" s="98"/>
      <c r="Y3" s="103" t="s">
        <v>298</v>
      </c>
      <c r="Z3" s="103" t="s">
        <v>297</v>
      </c>
      <c r="AA3" s="103" t="s">
        <v>296</v>
      </c>
      <c r="AB3" s="348"/>
      <c r="AC3" s="100" t="s">
        <v>295</v>
      </c>
      <c r="AD3" s="100" t="s">
        <v>294</v>
      </c>
      <c r="AE3" s="100" t="s">
        <v>293</v>
      </c>
      <c r="AF3" s="100" t="s">
        <v>292</v>
      </c>
      <c r="AG3" s="100" t="s">
        <v>291</v>
      </c>
      <c r="AH3" s="100" t="s">
        <v>290</v>
      </c>
      <c r="AI3" s="100" t="s">
        <v>58</v>
      </c>
      <c r="AJ3" s="100" t="s">
        <v>56</v>
      </c>
      <c r="AK3" s="100" t="s">
        <v>289</v>
      </c>
      <c r="AL3" s="348"/>
      <c r="AM3" s="100" t="s">
        <v>288</v>
      </c>
      <c r="AN3" s="100" t="s">
        <v>287</v>
      </c>
      <c r="AO3" s="100" t="s">
        <v>286</v>
      </c>
      <c r="AP3" s="100" t="s">
        <v>285</v>
      </c>
      <c r="AQ3" s="100" t="s">
        <v>284</v>
      </c>
      <c r="AR3" s="100" t="s">
        <v>283</v>
      </c>
      <c r="AS3" s="100" t="s">
        <v>282</v>
      </c>
      <c r="AT3" s="100" t="s">
        <v>281</v>
      </c>
      <c r="AU3" s="100" t="s">
        <v>280</v>
      </c>
      <c r="AV3" s="100" t="s">
        <v>279</v>
      </c>
      <c r="AW3" s="100" t="s">
        <v>278</v>
      </c>
      <c r="AX3" s="100" t="s">
        <v>277</v>
      </c>
      <c r="AY3" s="100" t="s">
        <v>276</v>
      </c>
      <c r="AZ3" s="348"/>
      <c r="BA3" s="99" t="s">
        <v>275</v>
      </c>
      <c r="BB3" s="99" t="s">
        <v>274</v>
      </c>
      <c r="BC3" s="99" t="s">
        <v>273</v>
      </c>
      <c r="BD3" s="99" t="s">
        <v>272</v>
      </c>
      <c r="BE3" s="99" t="s">
        <v>271</v>
      </c>
      <c r="BF3" s="99" t="s">
        <v>270</v>
      </c>
      <c r="BG3" s="99" t="s">
        <v>269</v>
      </c>
      <c r="BH3" s="99" t="s">
        <v>268</v>
      </c>
      <c r="BI3" s="99" t="s">
        <v>267</v>
      </c>
      <c r="BJ3" s="348"/>
    </row>
    <row r="4" spans="1:63" s="60" customFormat="1" ht="60" x14ac:dyDescent="0.2">
      <c r="A4" s="105"/>
      <c r="B4" s="104" t="s">
        <v>266</v>
      </c>
      <c r="C4" s="104" t="s">
        <v>265</v>
      </c>
      <c r="D4" s="104" t="s">
        <v>32</v>
      </c>
      <c r="E4" s="104" t="s">
        <v>264</v>
      </c>
      <c r="F4" s="104" t="s">
        <v>263</v>
      </c>
      <c r="G4" s="103" t="s">
        <v>262</v>
      </c>
      <c r="H4" s="348"/>
      <c r="I4" s="102" t="s">
        <v>261</v>
      </c>
      <c r="J4" s="102" t="s">
        <v>260</v>
      </c>
      <c r="K4" s="102" t="s">
        <v>259</v>
      </c>
      <c r="L4" s="102" t="s">
        <v>258</v>
      </c>
      <c r="M4" s="102" t="s">
        <v>257</v>
      </c>
      <c r="N4" s="102" t="s">
        <v>256</v>
      </c>
      <c r="O4" s="102" t="s">
        <v>255</v>
      </c>
      <c r="P4" s="102" t="s">
        <v>254</v>
      </c>
      <c r="Q4" s="102" t="s">
        <v>253</v>
      </c>
      <c r="R4" s="102" t="s">
        <v>252</v>
      </c>
      <c r="S4" s="102" t="s">
        <v>251</v>
      </c>
      <c r="T4" s="102" t="s">
        <v>250</v>
      </c>
      <c r="U4" s="102" t="s">
        <v>249</v>
      </c>
      <c r="V4" s="102" t="s">
        <v>248</v>
      </c>
      <c r="W4" s="348"/>
      <c r="X4" s="101" t="s">
        <v>247</v>
      </c>
      <c r="Y4" s="101" t="s">
        <v>246</v>
      </c>
      <c r="Z4" s="101" t="s">
        <v>245</v>
      </c>
      <c r="AA4" s="101" t="s">
        <v>244</v>
      </c>
      <c r="AB4" s="348"/>
      <c r="AC4" s="100" t="s">
        <v>243</v>
      </c>
      <c r="AD4" s="100" t="s">
        <v>242</v>
      </c>
      <c r="AE4" s="100" t="s">
        <v>241</v>
      </c>
      <c r="AF4" s="100" t="s">
        <v>240</v>
      </c>
      <c r="AG4" s="100" t="s">
        <v>239</v>
      </c>
      <c r="AH4" s="100" t="s">
        <v>238</v>
      </c>
      <c r="AI4" s="100" t="s">
        <v>58</v>
      </c>
      <c r="AJ4" s="100" t="s">
        <v>237</v>
      </c>
      <c r="AK4" s="100" t="s">
        <v>236</v>
      </c>
      <c r="AL4" s="348"/>
      <c r="AM4" s="100" t="s">
        <v>235</v>
      </c>
      <c r="AN4" s="100" t="s">
        <v>234</v>
      </c>
      <c r="AO4" s="100" t="s">
        <v>233</v>
      </c>
      <c r="AP4" s="100" t="s">
        <v>232</v>
      </c>
      <c r="AQ4" s="100" t="s">
        <v>231</v>
      </c>
      <c r="AR4" s="100" t="s">
        <v>230</v>
      </c>
      <c r="AS4" s="100" t="s">
        <v>229</v>
      </c>
      <c r="AT4" s="100" t="s">
        <v>228</v>
      </c>
      <c r="AU4" s="100" t="s">
        <v>227</v>
      </c>
      <c r="AV4" s="100" t="s">
        <v>226</v>
      </c>
      <c r="AW4" s="100" t="s">
        <v>225</v>
      </c>
      <c r="AX4" s="100" t="s">
        <v>224</v>
      </c>
      <c r="AY4" s="100" t="s">
        <v>223</v>
      </c>
      <c r="AZ4" s="348"/>
      <c r="BA4" s="99" t="s">
        <v>222</v>
      </c>
      <c r="BB4" s="99" t="s">
        <v>221</v>
      </c>
      <c r="BC4" s="99" t="s">
        <v>220</v>
      </c>
      <c r="BD4" s="99" t="s">
        <v>219</v>
      </c>
      <c r="BE4" s="99" t="s">
        <v>218</v>
      </c>
      <c r="BF4" s="99" t="s">
        <v>217</v>
      </c>
      <c r="BG4" s="99" t="s">
        <v>216</v>
      </c>
      <c r="BH4" s="99" t="s">
        <v>215</v>
      </c>
      <c r="BI4" s="99" t="s">
        <v>214</v>
      </c>
      <c r="BJ4" s="348"/>
      <c r="BK4"/>
    </row>
    <row r="5" spans="1:63" s="60" customFormat="1" ht="15" x14ac:dyDescent="0.2">
      <c r="A5" s="70" t="s">
        <v>193</v>
      </c>
      <c r="B5" s="80"/>
      <c r="C5" s="80"/>
      <c r="D5" s="159"/>
      <c r="E5" s="80" t="s">
        <v>213</v>
      </c>
      <c r="F5" s="80" t="s">
        <v>212</v>
      </c>
      <c r="G5" s="75" t="str">
        <f>IF(ISBLANK(ETPT_TJ_DDG!$D$5),"",IF(ISERROR(ETPT_TJ!G5),"",IF(ETPT_TJ!G5=0,"",ETPT_TJ!G5)))</f>
        <v/>
      </c>
      <c r="H5" s="65">
        <f t="shared" ref="H5:H15" si="0">SUM(G5)</f>
        <v>0</v>
      </c>
      <c r="I5" s="75" t="str">
        <f>IF(ISBLANK(ETPT_TJ_DDG!$D$5),"",IF(ISERROR(ETPT_TJ!I5),"",IF(ETPT_TJ!I5=0,"",ETPT_TJ!I5)))</f>
        <v/>
      </c>
      <c r="J5" s="75" t="str">
        <f>IF(ISBLANK(ETPT_TJ_DDG!$D$5),"",IF(ISERROR(ETPT_TJ!J5),"",IF(ETPT_TJ!J5=0,"",ETPT_TJ!J5)))</f>
        <v/>
      </c>
      <c r="K5" s="75" t="str">
        <f>IF(ISBLANK(ETPT_TJ_DDG!$D$5),"",IF(ISERROR(ETPT_TJ!K5),"",IF(ETPT_TJ!K5=0,"",ETPT_TJ!K5)))</f>
        <v/>
      </c>
      <c r="L5" s="75" t="str">
        <f>IF(ISBLANK(ETPT_TJ_DDG!$D$5),"",IF(ISERROR(ETPT_TJ!L5),"",IF(ETPT_TJ!L5=0,"",ETPT_TJ!L5)))</f>
        <v/>
      </c>
      <c r="M5" s="75" t="str">
        <f>IF(ISBLANK(ETPT_TJ_DDG!$D$5),"",IF(ISERROR(ETPT_TJ!M5),"",IF(ETPT_TJ!M5=0,"",ETPT_TJ!M5)))</f>
        <v/>
      </c>
      <c r="N5" s="75" t="str">
        <f>IF(ISBLANK(ETPT_TJ_DDG!$D$5),"",IF(ISERROR(ETPT_TJ!N5),"",IF(ETPT_TJ!N5=0,"",ETPT_TJ!N5)))</f>
        <v/>
      </c>
      <c r="O5" s="75" t="str">
        <f>IF(ISBLANK(ETPT_TJ_DDG!$D$5),"",IF(ISERROR(ETPT_TJ!O5),"",IF(ETPT_TJ!O5=0,"",ETPT_TJ!O5)))</f>
        <v/>
      </c>
      <c r="P5" s="75" t="str">
        <f>IF(ISBLANK(ETPT_TJ_DDG!$D$5),"",IF(ISERROR(ETPT_TJ!P5),"",IF(ETPT_TJ!P5=0,"",ETPT_TJ!P5)))</f>
        <v/>
      </c>
      <c r="Q5" s="75" t="str">
        <f>IF(ISBLANK(ETPT_TJ_DDG!$D$5),"",IF(ISERROR(ETPT_TJ!Q5),"",IF(ETPT_TJ!Q5=0,"",ETPT_TJ!Q5)))</f>
        <v/>
      </c>
      <c r="R5" s="75" t="str">
        <f>IF(ISBLANK(ETPT_TJ_DDG!$D$5),"",IF(ISERROR(ETPT_TJ!R5),"",IF(ETPT_TJ!R5=0,"",ETPT_TJ!R5)))</f>
        <v/>
      </c>
      <c r="S5" s="75" t="str">
        <f>IF(ISBLANK(ETPT_TJ_DDG!$D$5),"",IF(ISERROR(ETPT_TJ!S5),"",IF(ETPT_TJ!S5=0,"",ETPT_TJ!S5)))</f>
        <v/>
      </c>
      <c r="T5" s="75" t="str">
        <f>IF(ISBLANK(ETPT_TJ_DDG!$D$5),"",IF(ISERROR(ETPT_TJ!T5),"",IF(ETPT_TJ!T5=0,"",ETPT_TJ!T5)))</f>
        <v/>
      </c>
      <c r="U5" s="75" t="str">
        <f>IF(ISBLANK(ETPT_TJ_DDG!$D$5),"",IF(ISERROR(ETPT_TJ!U5),"",IF(ETPT_TJ!U5=0,"",ETPT_TJ!U5)))</f>
        <v/>
      </c>
      <c r="V5" s="75" t="str">
        <f>IF(ISBLANK(ETPT_TJ_DDG!$D$5),"",IF(ISERROR(ETPT_TJ!V5),"",IF(ETPT_TJ!V5=0,"",ETPT_TJ!V5)))</f>
        <v/>
      </c>
      <c r="W5" s="65">
        <f t="shared" ref="W5:W15" si="1">SUM(I5:V5)</f>
        <v>0</v>
      </c>
      <c r="X5" s="75" t="str">
        <f>IF(ISBLANK(ETPT_TJ_DDG!$D$5),"",IF(ISERROR(ETPT_TJ!X5),"",IF(ETPT_TJ!X5=0,"",ETPT_TJ!X5)))</f>
        <v/>
      </c>
      <c r="Y5" s="75" t="str">
        <f>IF(ISBLANK(ETPT_TJ_DDG!$D$5),"",IF(ISERROR(ETPT_TJ!Y5),"",IF(ETPT_TJ!Y5=0,"",ETPT_TJ!Y5)))</f>
        <v/>
      </c>
      <c r="Z5" s="75" t="str">
        <f>IF(ISBLANK(ETPT_TJ_DDG!$D$5),"",IF(ISERROR(ETPT_TJ!Z5),"",IF(ETPT_TJ!Z5=0,"",ETPT_TJ!Z5)))</f>
        <v/>
      </c>
      <c r="AA5" s="75" t="str">
        <f>IF(ISBLANK(ETPT_TJ_DDG!$D$5),"",IF(ISERROR(ETPT_TJ!AA5),"",IF(ETPT_TJ!AA5=0,"",ETPT_TJ!AA5)))</f>
        <v/>
      </c>
      <c r="AB5" s="65">
        <f t="shared" ref="AB5:AB15" si="2">SUM(X5:AA5)</f>
        <v>0</v>
      </c>
      <c r="AC5" s="75" t="str">
        <f>IF(ISBLANK(ETPT_TJ_DDG!$D$5),"",IF(ISERROR(ETPT_TJ!AC5),"",IF(ETPT_TJ!AC5=0,"",ETPT_TJ!AC5)))</f>
        <v/>
      </c>
      <c r="AD5" s="75" t="str">
        <f>IF(ISBLANK(ETPT_TJ_DDG!$D$5),"",IF(ISERROR(ETPT_TJ!AD5),"",IF(ETPT_TJ!AD5=0,"",ETPT_TJ!AD5)))</f>
        <v/>
      </c>
      <c r="AE5" s="75" t="str">
        <f>IF(ISBLANK(ETPT_TJ_DDG!$D$5),"",IF(ISERROR(ETPT_TJ!AE5),"",IF(ETPT_TJ!AE5=0,"",ETPT_TJ!AE5)))</f>
        <v/>
      </c>
      <c r="AF5" s="75" t="str">
        <f>IF(ISBLANK(ETPT_TJ_DDG!$D$5),"",IF(ISERROR(ETPT_TJ!AF5),"",IF(ETPT_TJ!AF5=0,"",ETPT_TJ!AF5)))</f>
        <v/>
      </c>
      <c r="AG5" s="75" t="str">
        <f>IF(ISBLANK(ETPT_TJ_DDG!$D$5),"",IF(ISERROR(ETPT_TJ!AG5),"",IF(ETPT_TJ!AG5=0,"",ETPT_TJ!AG5)))</f>
        <v/>
      </c>
      <c r="AH5" s="75" t="str">
        <f>IF(ISBLANK(ETPT_TJ_DDG!$D$5),"",IF(ISERROR(ETPT_TJ!AH5),"",IF(ETPT_TJ!AH5=0,"",ETPT_TJ!AH5)))</f>
        <v/>
      </c>
      <c r="AI5" s="75" t="str">
        <f>IF(ISBLANK(ETPT_TJ_DDG!$D$5),"",IF(ISERROR(ETPT_TJ!AI5),"",IF(ETPT_TJ!AI5=0,"",ETPT_TJ!AI5)))</f>
        <v/>
      </c>
      <c r="AJ5" s="75" t="str">
        <f>IF(ISBLANK(ETPT_TJ_DDG!$D$5),"",IF(ISERROR(ETPT_TJ!AJ5),"",IF(ETPT_TJ!AJ5=0,"",ETPT_TJ!AJ5)))</f>
        <v/>
      </c>
      <c r="AK5" s="75" t="str">
        <f>IF(ISBLANK(ETPT_TJ_DDG!$D$5),"",IF(ISERROR(ETPT_TJ!AK5),"",IF(ETPT_TJ!AK5=0,"",ETPT_TJ!AK5)))</f>
        <v/>
      </c>
      <c r="AL5" s="65">
        <f t="shared" ref="AL5:AL15" si="3">SUM(AC5:AK5)</f>
        <v>0</v>
      </c>
      <c r="AM5" s="75" t="str">
        <f>IF(ISBLANK(ETPT_TJ_DDG!$D$5),"",IF(ISERROR(ETPT_TJ!AM5),"",IF(ETPT_TJ!AM5=0,"",ETPT_TJ!AM5)))</f>
        <v/>
      </c>
      <c r="AN5" s="75" t="str">
        <f>IF(ISBLANK(ETPT_TJ_DDG!$D$5),"",IF(ISERROR(ETPT_TJ!AN5),"",IF(ETPT_TJ!AN5=0,"",ETPT_TJ!AN5)))</f>
        <v/>
      </c>
      <c r="AO5" s="75" t="str">
        <f>IF(ISBLANK(ETPT_TJ_DDG!$D$5),"",IF(ISERROR(ETPT_TJ!AO5),"",IF(ETPT_TJ!AO5=0,"",ETPT_TJ!AO5)))</f>
        <v/>
      </c>
      <c r="AP5" s="75" t="str">
        <f>IF(ISBLANK(ETPT_TJ_DDG!$D$5),"",IF(ISERROR(ETPT_TJ!AP5),"",IF(ETPT_TJ!AP5=0,"",ETPT_TJ!AP5)))</f>
        <v/>
      </c>
      <c r="AQ5" s="75" t="str">
        <f>IF(ISBLANK(ETPT_TJ_DDG!$D$5),"",IF(ISERROR(ETPT_TJ!AQ5),"",IF(ETPT_TJ!AQ5=0,"",ETPT_TJ!AQ5)))</f>
        <v/>
      </c>
      <c r="AR5" s="75" t="str">
        <f>IF(ISBLANK(ETPT_TJ_DDG!$D$5),"",IF(ISERROR(ETPT_TJ!AR5),"",IF(ETPT_TJ!AR5=0,"",ETPT_TJ!AR5)))</f>
        <v/>
      </c>
      <c r="AS5" s="75" t="str">
        <f>IF(ISBLANK(ETPT_TJ_DDG!$D$5),"",IF(ISERROR(ETPT_TJ!AS5),"",IF(ETPT_TJ!AS5=0,"",ETPT_TJ!AS5)))</f>
        <v/>
      </c>
      <c r="AT5" s="75" t="str">
        <f>IF(ISBLANK(ETPT_TJ_DDG!$D$5),"",IF(ISERROR(ETPT_TJ!AT5),"",IF(ETPT_TJ!AT5=0,"",ETPT_TJ!AT5)))</f>
        <v/>
      </c>
      <c r="AU5" s="75" t="str">
        <f>IF(ISBLANK(ETPT_TJ_DDG!$D$5),"",IF(ISERROR(ETPT_TJ!AU5),"",IF(ETPT_TJ!AU5=0,"",ETPT_TJ!AU5)))</f>
        <v/>
      </c>
      <c r="AV5" s="75" t="str">
        <f>IF(ISBLANK(ETPT_TJ_DDG!$D$5),"",IF(ISERROR(ETPT_TJ!AV5),"",IF(ETPT_TJ!AV5=0,"",ETPT_TJ!AV5)))</f>
        <v/>
      </c>
      <c r="AW5" s="75" t="str">
        <f>IF(ISBLANK(ETPT_TJ_DDG!$D$5),"",IF(ISERROR(ETPT_TJ!AW5),"",IF(ETPT_TJ!AW5=0,"",ETPT_TJ!AW5)))</f>
        <v/>
      </c>
      <c r="AX5" s="75" t="str">
        <f>IF(ISBLANK(ETPT_TJ_DDG!$D$5),"",IF(ISERROR(ETPT_TJ!AX5),"",IF(ETPT_TJ!AX5=0,"",ETPT_TJ!AX5)))</f>
        <v/>
      </c>
      <c r="AY5" s="75" t="str">
        <f>IF(ISBLANK(ETPT_TJ_DDG!$D$5),"",IF(ISERROR(ETPT_TJ!AY5),"",IF(ETPT_TJ!AY5=0,"",ETPT_TJ!AY5)))</f>
        <v/>
      </c>
      <c r="AZ5" s="65">
        <f t="shared" ref="AZ5:AZ15" si="4">SUM(AM5:AY5)</f>
        <v>0</v>
      </c>
      <c r="BA5" s="71"/>
      <c r="BB5" s="71"/>
      <c r="BC5" s="89"/>
      <c r="BD5" s="89"/>
      <c r="BE5" s="89"/>
      <c r="BF5" s="89"/>
      <c r="BG5" s="89"/>
      <c r="BH5" s="89"/>
      <c r="BI5" s="71"/>
      <c r="BJ5" s="65">
        <f t="shared" ref="BJ5:BJ15" si="5">SUM(BA5:BI5)</f>
        <v>0</v>
      </c>
      <c r="BK5"/>
    </row>
    <row r="6" spans="1:63" s="60" customFormat="1" ht="12" x14ac:dyDescent="0.15">
      <c r="A6" s="70" t="s">
        <v>193</v>
      </c>
      <c r="B6" s="80"/>
      <c r="C6" s="80"/>
      <c r="D6" s="160" t="str">
        <f t="shared" ref="D6:D15" si="6">IF(ISBLANK($D$5),"",$D$5)</f>
        <v/>
      </c>
      <c r="E6" s="80" t="s">
        <v>211</v>
      </c>
      <c r="F6" s="80" t="s">
        <v>210</v>
      </c>
      <c r="G6" s="75" t="str">
        <f>IF(ISBLANK(ETPT_TJ_DDG!$D$5),"",IF(ISERROR(ETPT_TJ!G6),"",IF(ETPT_TJ!G6=0,"",ETPT_TJ!G6)))</f>
        <v/>
      </c>
      <c r="H6" s="65">
        <f t="shared" si="0"/>
        <v>0</v>
      </c>
      <c r="I6" s="75" t="str">
        <f>IF(ISBLANK(ETPT_TJ_DDG!$D$5),"",IF(ISERROR(ETPT_TJ!I6),"",IF(ETPT_TJ!I6=0,"",ETPT_TJ!I6)))</f>
        <v/>
      </c>
      <c r="J6" s="75" t="str">
        <f>IF(ISBLANK(ETPT_TJ_DDG!$D$5),"",IF(ISERROR(ETPT_TJ!J6),"",IF(ETPT_TJ!J6=0,"",ETPT_TJ!J6)))</f>
        <v/>
      </c>
      <c r="K6" s="75" t="str">
        <f>IF(ISBLANK(ETPT_TJ_DDG!$D$5),"",IF(ISERROR(ETPT_TJ!K6),"",IF(ETPT_TJ!K6=0,"",ETPT_TJ!K6)))</f>
        <v/>
      </c>
      <c r="L6" s="75" t="str">
        <f>IF(ISBLANK(ETPT_TJ_DDG!$D$5),"",IF(ISERROR(ETPT_TJ!L6),"",IF(ETPT_TJ!L6=0,"",ETPT_TJ!L6)))</f>
        <v/>
      </c>
      <c r="M6" s="75" t="str">
        <f>IF(ISBLANK(ETPT_TJ_DDG!$D$5),"",IF(ISERROR(ETPT_TJ!M6),"",IF(ETPT_TJ!M6=0,"",ETPT_TJ!M6)))</f>
        <v/>
      </c>
      <c r="N6" s="75" t="str">
        <f>IF(ISBLANK(ETPT_TJ_DDG!$D$5),"",IF(ISERROR(ETPT_TJ!N6),"",IF(ETPT_TJ!N6=0,"",ETPT_TJ!N6)))</f>
        <v/>
      </c>
      <c r="O6" s="75" t="str">
        <f>IF(ISBLANK(ETPT_TJ_DDG!$D$5),"",IF(ISERROR(ETPT_TJ!O6),"",IF(ETPT_TJ!O6=0,"",ETPT_TJ!O6)))</f>
        <v/>
      </c>
      <c r="P6" s="75" t="str">
        <f>IF(ISBLANK(ETPT_TJ_DDG!$D$5),"",IF(ISERROR(ETPT_TJ!P6),"",IF(ETPT_TJ!P6=0,"",ETPT_TJ!P6)))</f>
        <v/>
      </c>
      <c r="Q6" s="75" t="str">
        <f>IF(ISBLANK(ETPT_TJ_DDG!$D$5),"",IF(ISERROR(ETPT_TJ!Q6),"",IF(ETPT_TJ!Q6=0,"",ETPT_TJ!Q6)))</f>
        <v/>
      </c>
      <c r="R6" s="75" t="str">
        <f>IF(ISBLANK(ETPT_TJ_DDG!$D$5),"",IF(ISERROR(ETPT_TJ!R6),"",IF(ETPT_TJ!R6=0,"",ETPT_TJ!R6)))</f>
        <v/>
      </c>
      <c r="S6" s="75" t="str">
        <f>IF(ISBLANK(ETPT_TJ_DDG!$D$5),"",IF(ISERROR(ETPT_TJ!S6),"",IF(ETPT_TJ!S6=0,"",ETPT_TJ!S6)))</f>
        <v/>
      </c>
      <c r="T6" s="75" t="str">
        <f>IF(ISBLANK(ETPT_TJ_DDG!$D$5),"",IF(ISERROR(ETPT_TJ!T6),"",IF(ETPT_TJ!T6=0,"",ETPT_TJ!T6)))</f>
        <v/>
      </c>
      <c r="U6" s="75" t="str">
        <f>IF(ISBLANK(ETPT_TJ_DDG!$D$5),"",IF(ISERROR(ETPT_TJ!U6),"",IF(ETPT_TJ!U6=0,"",ETPT_TJ!U6)))</f>
        <v/>
      </c>
      <c r="V6" s="75" t="str">
        <f>IF(ISBLANK(ETPT_TJ_DDG!$D$5),"",IF(ISERROR(ETPT_TJ!V6),"",IF(ETPT_TJ!V6=0,"",ETPT_TJ!V6)))</f>
        <v/>
      </c>
      <c r="W6" s="65">
        <f t="shared" si="1"/>
        <v>0</v>
      </c>
      <c r="X6" s="75" t="str">
        <f>IF(ISBLANK(ETPT_TJ_DDG!$D$5),"",IF(ISERROR(ETPT_TJ!X6),"",IF(ETPT_TJ!X6=0,"",ETPT_TJ!X6)))</f>
        <v/>
      </c>
      <c r="Y6" s="75" t="str">
        <f>IF(ISBLANK(ETPT_TJ_DDG!$D$5),"",IF(ISERROR(ETPT_TJ!Y6),"",IF(ETPT_TJ!Y6=0,"",ETPT_TJ!Y6)))</f>
        <v/>
      </c>
      <c r="Z6" s="75" t="str">
        <f>IF(ISBLANK(ETPT_TJ_DDG!$D$5),"",IF(ISERROR(ETPT_TJ!Z6),"",IF(ETPT_TJ!Z6=0,"",ETPT_TJ!Z6)))</f>
        <v/>
      </c>
      <c r="AA6" s="75" t="str">
        <f>IF(ISBLANK(ETPT_TJ_DDG!$D$5),"",IF(ISERROR(ETPT_TJ!AA6),"",IF(ETPT_TJ!AA6=0,"",ETPT_TJ!AA6)))</f>
        <v/>
      </c>
      <c r="AB6" s="65">
        <f t="shared" si="2"/>
        <v>0</v>
      </c>
      <c r="AC6" s="75" t="str">
        <f>IF(ISBLANK(ETPT_TJ_DDG!$D$5),"",IF(ISERROR(ETPT_TJ!AC6),"",IF(ETPT_TJ!AC6=0,"",ETPT_TJ!AC6)))</f>
        <v/>
      </c>
      <c r="AD6" s="75" t="str">
        <f>IF(ISBLANK(ETPT_TJ_DDG!$D$5),"",IF(ISERROR(ETPT_TJ!AD6),"",IF(ETPT_TJ!AD6=0,"",ETPT_TJ!AD6)))</f>
        <v/>
      </c>
      <c r="AE6" s="75" t="str">
        <f>IF(ISBLANK(ETPT_TJ_DDG!$D$5),"",IF(ISERROR(ETPT_TJ!AE6),"",IF(ETPT_TJ!AE6=0,"",ETPT_TJ!AE6)))</f>
        <v/>
      </c>
      <c r="AF6" s="75" t="str">
        <f>IF(ISBLANK(ETPT_TJ_DDG!$D$5),"",IF(ISERROR(ETPT_TJ!AF6),"",IF(ETPT_TJ!AF6=0,"",ETPT_TJ!AF6)))</f>
        <v/>
      </c>
      <c r="AG6" s="75" t="str">
        <f>IF(ISBLANK(ETPT_TJ_DDG!$D$5),"",IF(ISERROR(ETPT_TJ!AG6),"",IF(ETPT_TJ!AG6=0,"",ETPT_TJ!AG6)))</f>
        <v/>
      </c>
      <c r="AH6" s="75" t="str">
        <f>IF(ISBLANK(ETPT_TJ_DDG!$D$5),"",IF(ISERROR(ETPT_TJ!AH6),"",IF(ETPT_TJ!AH6=0,"",ETPT_TJ!AH6)))</f>
        <v/>
      </c>
      <c r="AI6" s="75" t="str">
        <f>IF(ISBLANK(ETPT_TJ_DDG!$D$5),"",IF(ISERROR(ETPT_TJ!AI6),"",IF(ETPT_TJ!AI6=0,"",ETPT_TJ!AI6)))</f>
        <v/>
      </c>
      <c r="AJ6" s="75" t="str">
        <f>IF(ISBLANK(ETPT_TJ_DDG!$D$5),"",IF(ISERROR(ETPT_TJ!AJ6),"",IF(ETPT_TJ!AJ6=0,"",ETPT_TJ!AJ6)))</f>
        <v/>
      </c>
      <c r="AK6" s="75" t="str">
        <f>IF(ISBLANK(ETPT_TJ_DDG!$D$5),"",IF(ISERROR(ETPT_TJ!AK6),"",IF(ETPT_TJ!AK6=0,"",ETPT_TJ!AK6)))</f>
        <v/>
      </c>
      <c r="AL6" s="65">
        <f t="shared" si="3"/>
        <v>0</v>
      </c>
      <c r="AM6" s="75" t="str">
        <f>IF(ISBLANK(ETPT_TJ_DDG!$D$5),"",IF(ISERROR(ETPT_TJ!AM6),"",IF(ETPT_TJ!AM6=0,"",ETPT_TJ!AM6)))</f>
        <v/>
      </c>
      <c r="AN6" s="75" t="str">
        <f>IF(ISBLANK(ETPT_TJ_DDG!$D$5),"",IF(ISERROR(ETPT_TJ!AN6),"",IF(ETPT_TJ!AN6=0,"",ETPT_TJ!AN6)))</f>
        <v/>
      </c>
      <c r="AO6" s="75" t="str">
        <f>IF(ISBLANK(ETPT_TJ_DDG!$D$5),"",IF(ISERROR(ETPT_TJ!AO6),"",IF(ETPT_TJ!AO6=0,"",ETPT_TJ!AO6)))</f>
        <v/>
      </c>
      <c r="AP6" s="75" t="str">
        <f>IF(ISBLANK(ETPT_TJ_DDG!$D$5),"",IF(ISERROR(ETPT_TJ!AP6),"",IF(ETPT_TJ!AP6=0,"",ETPT_TJ!AP6)))</f>
        <v/>
      </c>
      <c r="AQ6" s="75" t="str">
        <f>IF(ISBLANK(ETPT_TJ_DDG!$D$5),"",IF(ISERROR(ETPT_TJ!AQ6),"",IF(ETPT_TJ!AQ6=0,"",ETPT_TJ!AQ6)))</f>
        <v/>
      </c>
      <c r="AR6" s="75" t="str">
        <f>IF(ISBLANK(ETPT_TJ_DDG!$D$5),"",IF(ISERROR(ETPT_TJ!AR6),"",IF(ETPT_TJ!AR6=0,"",ETPT_TJ!AR6)))</f>
        <v/>
      </c>
      <c r="AS6" s="75" t="str">
        <f>IF(ISBLANK(ETPT_TJ_DDG!$D$5),"",IF(ISERROR(ETPT_TJ!AS6),"",IF(ETPT_TJ!AS6=0,"",ETPT_TJ!AS6)))</f>
        <v/>
      </c>
      <c r="AT6" s="75" t="str">
        <f>IF(ISBLANK(ETPT_TJ_DDG!$D$5),"",IF(ISERROR(ETPT_TJ!AT6),"",IF(ETPT_TJ!AT6=0,"",ETPT_TJ!AT6)))</f>
        <v/>
      </c>
      <c r="AU6" s="75" t="str">
        <f>IF(ISBLANK(ETPT_TJ_DDG!$D$5),"",IF(ISERROR(ETPT_TJ!AU6),"",IF(ETPT_TJ!AU6=0,"",ETPT_TJ!AU6)))</f>
        <v/>
      </c>
      <c r="AV6" s="75" t="str">
        <f>IF(ISBLANK(ETPT_TJ_DDG!$D$5),"",IF(ISERROR(ETPT_TJ!AV6),"",IF(ETPT_TJ!AV6=0,"",ETPT_TJ!AV6)))</f>
        <v/>
      </c>
      <c r="AW6" s="75" t="str">
        <f>IF(ISBLANK(ETPT_TJ_DDG!$D$5),"",IF(ISERROR(ETPT_TJ!AW6),"",IF(ETPT_TJ!AW6=0,"",ETPT_TJ!AW6)))</f>
        <v/>
      </c>
      <c r="AX6" s="75" t="str">
        <f>IF(ISBLANK(ETPT_TJ_DDG!$D$5),"",IF(ISERROR(ETPT_TJ!AX6),"",IF(ETPT_TJ!AX6=0,"",ETPT_TJ!AX6)))</f>
        <v/>
      </c>
      <c r="AY6" s="75" t="str">
        <f>IF(ISBLANK(ETPT_TJ_DDG!$D$5),"",IF(ISERROR(ETPT_TJ!AY6),"",IF(ETPT_TJ!AY6=0,"",ETPT_TJ!AY6)))</f>
        <v/>
      </c>
      <c r="AZ6" s="65">
        <f t="shared" si="4"/>
        <v>0</v>
      </c>
      <c r="BA6" s="71"/>
      <c r="BB6" s="71"/>
      <c r="BC6" s="71"/>
      <c r="BD6" s="71"/>
      <c r="BE6" s="71"/>
      <c r="BF6" s="71"/>
      <c r="BG6" s="71"/>
      <c r="BH6" s="89"/>
      <c r="BI6" s="71"/>
      <c r="BJ6" s="65">
        <f t="shared" si="5"/>
        <v>0</v>
      </c>
    </row>
    <row r="7" spans="1:63" s="60" customFormat="1" ht="14.25" customHeight="1" x14ac:dyDescent="0.15">
      <c r="A7" s="70" t="s">
        <v>193</v>
      </c>
      <c r="B7" s="80"/>
      <c r="C7" s="80"/>
      <c r="D7" s="160" t="str">
        <f t="shared" si="6"/>
        <v/>
      </c>
      <c r="E7" s="80" t="s">
        <v>209</v>
      </c>
      <c r="F7" s="80" t="s">
        <v>208</v>
      </c>
      <c r="G7" s="75" t="str">
        <f>IF(ISBLANK(ETPT_TJ_DDG!$D$5),"",IF(ISERROR(ETPT_TJ!G7),"",IF(ETPT_TJ!G7=0,"",ETPT_TJ!G7)))</f>
        <v/>
      </c>
      <c r="H7" s="65">
        <f t="shared" si="0"/>
        <v>0</v>
      </c>
      <c r="I7" s="75" t="str">
        <f>IF(ISBLANK(ETPT_TJ_DDG!$D$5),"",IF(ISERROR(ETPT_TJ!I7),"",IF(ETPT_TJ!I7=0,"",ETPT_TJ!I7)))</f>
        <v/>
      </c>
      <c r="J7" s="75" t="str">
        <f>IF(ISBLANK(ETPT_TJ_DDG!$D$5),"",IF(ISERROR(ETPT_TJ!J7),"",IF(ETPT_TJ!J7=0,"",ETPT_TJ!J7)))</f>
        <v/>
      </c>
      <c r="K7" s="75" t="str">
        <f>IF(ISBLANK(ETPT_TJ_DDG!$D$5),"",IF(ISERROR(ETPT_TJ!K7),"",IF(ETPT_TJ!K7=0,"",ETPT_TJ!K7)))</f>
        <v/>
      </c>
      <c r="L7" s="75" t="str">
        <f>IF(ISBLANK(ETPT_TJ_DDG!$D$5),"",IF(ISERROR(ETPT_TJ!L7),"",IF(ETPT_TJ!L7=0,"",ETPT_TJ!L7)))</f>
        <v/>
      </c>
      <c r="M7" s="75" t="str">
        <f>IF(ISBLANK(ETPT_TJ_DDG!$D$5),"",IF(ISERROR(ETPT_TJ!M7),"",IF(ETPT_TJ!M7=0,"",ETPT_TJ!M7)))</f>
        <v/>
      </c>
      <c r="N7" s="75" t="str">
        <f>IF(ISBLANK(ETPT_TJ_DDG!$D$5),"",IF(ISERROR(ETPT_TJ!N7),"",IF(ETPT_TJ!N7=0,"",ETPT_TJ!N7)))</f>
        <v/>
      </c>
      <c r="O7" s="75" t="str">
        <f>IF(ISBLANK(ETPT_TJ_DDG!$D$5),"",IF(ISERROR(ETPT_TJ!O7),"",IF(ETPT_TJ!O7=0,"",ETPT_TJ!O7)))</f>
        <v/>
      </c>
      <c r="P7" s="75" t="str">
        <f>IF(ISBLANK(ETPT_TJ_DDG!$D$5),"",IF(ISERROR(ETPT_TJ!P7),"",IF(ETPT_TJ!P7=0,"",ETPT_TJ!P7)))</f>
        <v/>
      </c>
      <c r="Q7" s="75" t="str">
        <f>IF(ISBLANK(ETPT_TJ_DDG!$D$5),"",IF(ISERROR(ETPT_TJ!Q7),"",IF(ETPT_TJ!Q7=0,"",ETPT_TJ!Q7)))</f>
        <v/>
      </c>
      <c r="R7" s="75" t="str">
        <f>IF(ISBLANK(ETPT_TJ_DDG!$D$5),"",IF(ISERROR(ETPT_TJ!R7),"",IF(ETPT_TJ!R7=0,"",ETPT_TJ!R7)))</f>
        <v/>
      </c>
      <c r="S7" s="75" t="str">
        <f>IF(ISBLANK(ETPT_TJ_DDG!$D$5),"",IF(ISERROR(ETPT_TJ!S7),"",IF(ETPT_TJ!S7=0,"",ETPT_TJ!S7)))</f>
        <v/>
      </c>
      <c r="T7" s="75" t="str">
        <f>IF(ISBLANK(ETPT_TJ_DDG!$D$5),"",IF(ISERROR(ETPT_TJ!T7),"",IF(ETPT_TJ!T7=0,"",ETPT_TJ!T7)))</f>
        <v/>
      </c>
      <c r="U7" s="75" t="str">
        <f>IF(ISBLANK(ETPT_TJ_DDG!$D$5),"",IF(ISERROR(ETPT_TJ!U7),"",IF(ETPT_TJ!U7=0,"",ETPT_TJ!U7)))</f>
        <v/>
      </c>
      <c r="V7" s="75" t="str">
        <f>IF(ISBLANK(ETPT_TJ_DDG!$D$5),"",IF(ISERROR(ETPT_TJ!V7),"",IF(ETPT_TJ!V7=0,"",ETPT_TJ!V7)))</f>
        <v/>
      </c>
      <c r="W7" s="65">
        <f t="shared" si="1"/>
        <v>0</v>
      </c>
      <c r="X7" s="75" t="str">
        <f>IF(ISBLANK(ETPT_TJ_DDG!$D$5),"",IF(ISERROR(ETPT_TJ!X7),"",IF(ETPT_TJ!X7=0,"",ETPT_TJ!X7)))</f>
        <v/>
      </c>
      <c r="Y7" s="75" t="str">
        <f>IF(ISBLANK(ETPT_TJ_DDG!$D$5),"",IF(ISERROR(ETPT_TJ!Y7),"",IF(ETPT_TJ!Y7=0,"",ETPT_TJ!Y7)))</f>
        <v/>
      </c>
      <c r="Z7" s="75" t="str">
        <f>IF(ISBLANK(ETPT_TJ_DDG!$D$5),"",IF(ISERROR(ETPT_TJ!Z7),"",IF(ETPT_TJ!Z7=0,"",ETPT_TJ!Z7)))</f>
        <v/>
      </c>
      <c r="AA7" s="75" t="str">
        <f>IF(ISBLANK(ETPT_TJ_DDG!$D$5),"",IF(ISERROR(ETPT_TJ!AA7),"",IF(ETPT_TJ!AA7=0,"",ETPT_TJ!AA7)))</f>
        <v/>
      </c>
      <c r="AB7" s="65">
        <f t="shared" si="2"/>
        <v>0</v>
      </c>
      <c r="AC7" s="75" t="str">
        <f>IF(ISBLANK(ETPT_TJ_DDG!$D$5),"",IF(ISERROR(ETPT_TJ!AC7),"",IF(ETPT_TJ!AC7=0,"",ETPT_TJ!AC7)))</f>
        <v/>
      </c>
      <c r="AD7" s="75" t="str">
        <f>IF(ISBLANK(ETPT_TJ_DDG!$D$5),"",IF(ISERROR(ETPT_TJ!AD7),"",IF(ETPT_TJ!AD7=0,"",ETPT_TJ!AD7)))</f>
        <v/>
      </c>
      <c r="AE7" s="75" t="str">
        <f>IF(ISBLANK(ETPT_TJ_DDG!$D$5),"",IF(ISERROR(ETPT_TJ!AE7),"",IF(ETPT_TJ!AE7=0,"",ETPT_TJ!AE7)))</f>
        <v/>
      </c>
      <c r="AF7" s="75" t="str">
        <f>IF(ISBLANK(ETPT_TJ_DDG!$D$5),"",IF(ISERROR(ETPT_TJ!AF7),"",IF(ETPT_TJ!AF7=0,"",ETPT_TJ!AF7)))</f>
        <v/>
      </c>
      <c r="AG7" s="75" t="str">
        <f>IF(ISBLANK(ETPT_TJ_DDG!$D$5),"",IF(ISERROR(ETPT_TJ!AG7),"",IF(ETPT_TJ!AG7=0,"",ETPT_TJ!AG7)))</f>
        <v/>
      </c>
      <c r="AH7" s="75" t="str">
        <f>IF(ISBLANK(ETPT_TJ_DDG!$D$5),"",IF(ISERROR(ETPT_TJ!AH7),"",IF(ETPT_TJ!AH7=0,"",ETPT_TJ!AH7)))</f>
        <v/>
      </c>
      <c r="AI7" s="75" t="str">
        <f>IF(ISBLANK(ETPT_TJ_DDG!$D$5),"",IF(ISERROR(ETPT_TJ!AI7),"",IF(ETPT_TJ!AI7=0,"",ETPT_TJ!AI7)))</f>
        <v/>
      </c>
      <c r="AJ7" s="75" t="str">
        <f>IF(ISBLANK(ETPT_TJ_DDG!$D$5),"",IF(ISERROR(ETPT_TJ!AJ7),"",IF(ETPT_TJ!AJ7=0,"",ETPT_TJ!AJ7)))</f>
        <v/>
      </c>
      <c r="AK7" s="75" t="str">
        <f>IF(ISBLANK(ETPT_TJ_DDG!$D$5),"",IF(ISERROR(ETPT_TJ!AK7),"",IF(ETPT_TJ!AK7=0,"",ETPT_TJ!AK7)))</f>
        <v/>
      </c>
      <c r="AL7" s="65">
        <f t="shared" si="3"/>
        <v>0</v>
      </c>
      <c r="AM7" s="75" t="str">
        <f>IF(ISBLANK(ETPT_TJ_DDG!$D$5),"",IF(ISERROR(ETPT_TJ!AM7),"",IF(ETPT_TJ!AM7=0,"",ETPT_TJ!AM7)))</f>
        <v/>
      </c>
      <c r="AN7" s="75" t="str">
        <f>IF(ISBLANK(ETPT_TJ_DDG!$D$5),"",IF(ISERROR(ETPT_TJ!AN7),"",IF(ETPT_TJ!AN7=0,"",ETPT_TJ!AN7)))</f>
        <v/>
      </c>
      <c r="AO7" s="75" t="str">
        <f>IF(ISBLANK(ETPT_TJ_DDG!$D$5),"",IF(ISERROR(ETPT_TJ!AO7),"",IF(ETPT_TJ!AO7=0,"",ETPT_TJ!AO7)))</f>
        <v/>
      </c>
      <c r="AP7" s="75" t="str">
        <f>IF(ISBLANK(ETPT_TJ_DDG!$D$5),"",IF(ISERROR(ETPT_TJ!AP7),"",IF(ETPT_TJ!AP7=0,"",ETPT_TJ!AP7)))</f>
        <v/>
      </c>
      <c r="AQ7" s="75" t="str">
        <f>IF(ISBLANK(ETPT_TJ_DDG!$D$5),"",IF(ISERROR(ETPT_TJ!AQ7),"",IF(ETPT_TJ!AQ7=0,"",ETPT_TJ!AQ7)))</f>
        <v/>
      </c>
      <c r="AR7" s="75" t="str">
        <f>IF(ISBLANK(ETPT_TJ_DDG!$D$5),"",IF(ISERROR(ETPT_TJ!AR7),"",IF(ETPT_TJ!AR7=0,"",ETPT_TJ!AR7)))</f>
        <v/>
      </c>
      <c r="AS7" s="75" t="str">
        <f>IF(ISBLANK(ETPT_TJ_DDG!$D$5),"",IF(ISERROR(ETPT_TJ!AS7),"",IF(ETPT_TJ!AS7=0,"",ETPT_TJ!AS7)))</f>
        <v/>
      </c>
      <c r="AT7" s="75" t="str">
        <f>IF(ISBLANK(ETPT_TJ_DDG!$D$5),"",IF(ISERROR(ETPT_TJ!AT7),"",IF(ETPT_TJ!AT7=0,"",ETPT_TJ!AT7)))</f>
        <v/>
      </c>
      <c r="AU7" s="75" t="str">
        <f>IF(ISBLANK(ETPT_TJ_DDG!$D$5),"",IF(ISERROR(ETPT_TJ!AU7),"",IF(ETPT_TJ!AU7=0,"",ETPT_TJ!AU7)))</f>
        <v/>
      </c>
      <c r="AV7" s="75" t="str">
        <f>IF(ISBLANK(ETPT_TJ_DDG!$D$5),"",IF(ISERROR(ETPT_TJ!AV7),"",IF(ETPT_TJ!AV7=0,"",ETPT_TJ!AV7)))</f>
        <v/>
      </c>
      <c r="AW7" s="75" t="str">
        <f>IF(ISBLANK(ETPT_TJ_DDG!$D$5),"",IF(ISERROR(ETPT_TJ!AW7),"",IF(ETPT_TJ!AW7=0,"",ETPT_TJ!AW7)))</f>
        <v/>
      </c>
      <c r="AX7" s="75" t="str">
        <f>IF(ISBLANK(ETPT_TJ_DDG!$D$5),"",IF(ISERROR(ETPT_TJ!AX7),"",IF(ETPT_TJ!AX7=0,"",ETPT_TJ!AX7)))</f>
        <v/>
      </c>
      <c r="AY7" s="75" t="str">
        <f>IF(ISBLANK(ETPT_TJ_DDG!$D$5),"",IF(ISERROR(ETPT_TJ!AY7),"",IF(ETPT_TJ!AY7=0,"",ETPT_TJ!AY7)))</f>
        <v/>
      </c>
      <c r="AZ7" s="65">
        <f t="shared" si="4"/>
        <v>0</v>
      </c>
      <c r="BA7" s="71"/>
      <c r="BB7" s="71"/>
      <c r="BC7" s="71"/>
      <c r="BD7" s="71"/>
      <c r="BE7" s="71"/>
      <c r="BF7" s="71"/>
      <c r="BG7" s="71"/>
      <c r="BH7" s="71"/>
      <c r="BI7" s="71"/>
      <c r="BJ7" s="65">
        <f t="shared" si="5"/>
        <v>0</v>
      </c>
    </row>
    <row r="8" spans="1:63" s="60" customFormat="1" ht="14.25" customHeight="1" x14ac:dyDescent="0.15">
      <c r="A8" s="70" t="s">
        <v>193</v>
      </c>
      <c r="B8" s="80"/>
      <c r="C8" s="80"/>
      <c r="D8" s="160" t="str">
        <f t="shared" si="6"/>
        <v/>
      </c>
      <c r="E8" s="80" t="s">
        <v>207</v>
      </c>
      <c r="F8" s="80" t="s">
        <v>206</v>
      </c>
      <c r="G8" s="75" t="str">
        <f>IF(ISBLANK(ETPT_TJ_DDG!$D$5),"",IF(ISERROR(ETPT_TJ!G8),"",IF(ETPT_TJ!G8=0,"",ETPT_TJ!G8)))</f>
        <v/>
      </c>
      <c r="H8" s="65">
        <f t="shared" si="0"/>
        <v>0</v>
      </c>
      <c r="I8" s="75" t="str">
        <f>IF(ISBLANK(ETPT_TJ_DDG!$D$5),"",IF(ISERROR(ETPT_TJ!I8),"",IF(ETPT_TJ!I8=0,"",ETPT_TJ!I8)))</f>
        <v/>
      </c>
      <c r="J8" s="75" t="str">
        <f>IF(ISBLANK(ETPT_TJ_DDG!$D$5),"",IF(ISERROR(ETPT_TJ!J8),"",IF(ETPT_TJ!J8=0,"",ETPT_TJ!J8)))</f>
        <v/>
      </c>
      <c r="K8" s="75" t="str">
        <f>IF(ISBLANK(ETPT_TJ_DDG!$D$5),"",IF(ISERROR(ETPT_TJ!K8),"",IF(ETPT_TJ!K8=0,"",ETPT_TJ!K8)))</f>
        <v/>
      </c>
      <c r="L8" s="75" t="str">
        <f>IF(ISBLANK(ETPT_TJ_DDG!$D$5),"",IF(ISERROR(ETPT_TJ!L8),"",IF(ETPT_TJ!L8=0,"",ETPT_TJ!L8)))</f>
        <v/>
      </c>
      <c r="M8" s="75" t="str">
        <f>IF(ISBLANK(ETPT_TJ_DDG!$D$5),"",IF(ISERROR(ETPT_TJ!M8),"",IF(ETPT_TJ!M8=0,"",ETPT_TJ!M8)))</f>
        <v/>
      </c>
      <c r="N8" s="75" t="str">
        <f>IF(ISBLANK(ETPT_TJ_DDG!$D$5),"",IF(ISERROR(ETPT_TJ!N8),"",IF(ETPT_TJ!N8=0,"",ETPT_TJ!N8)))</f>
        <v/>
      </c>
      <c r="O8" s="75" t="str">
        <f>IF(ISBLANK(ETPT_TJ_DDG!$D$5),"",IF(ISERROR(ETPT_TJ!O8),"",IF(ETPT_TJ!O8=0,"",ETPT_TJ!O8)))</f>
        <v/>
      </c>
      <c r="P8" s="75" t="str">
        <f>IF(ISBLANK(ETPT_TJ_DDG!$D$5),"",IF(ISERROR(ETPT_TJ!P8),"",IF(ETPT_TJ!P8=0,"",ETPT_TJ!P8)))</f>
        <v/>
      </c>
      <c r="Q8" s="75" t="str">
        <f>IF(ISBLANK(ETPT_TJ_DDG!$D$5),"",IF(ISERROR(ETPT_TJ!Q8),"",IF(ETPT_TJ!Q8=0,"",ETPT_TJ!Q8)))</f>
        <v/>
      </c>
      <c r="R8" s="75" t="str">
        <f>IF(ISBLANK(ETPT_TJ_DDG!$D$5),"",IF(ISERROR(ETPT_TJ!R8),"",IF(ETPT_TJ!R8=0,"",ETPT_TJ!R8)))</f>
        <v/>
      </c>
      <c r="S8" s="75" t="str">
        <f>IF(ISBLANK(ETPT_TJ_DDG!$D$5),"",IF(ISERROR(ETPT_TJ!S8),"",IF(ETPT_TJ!S8=0,"",ETPT_TJ!S8)))</f>
        <v/>
      </c>
      <c r="T8" s="75" t="str">
        <f>IF(ISBLANK(ETPT_TJ_DDG!$D$5),"",IF(ISERROR(ETPT_TJ!T8),"",IF(ETPT_TJ!T8=0,"",ETPT_TJ!T8)))</f>
        <v/>
      </c>
      <c r="U8" s="75" t="str">
        <f>IF(ISBLANK(ETPT_TJ_DDG!$D$5),"",IF(ISERROR(ETPT_TJ!U8),"",IF(ETPT_TJ!U8=0,"",ETPT_TJ!U8)))</f>
        <v/>
      </c>
      <c r="V8" s="75" t="str">
        <f>IF(ISBLANK(ETPT_TJ_DDG!$D$5),"",IF(ISERROR(ETPT_TJ!V8),"",IF(ETPT_TJ!V8=0,"",ETPT_TJ!V8)))</f>
        <v/>
      </c>
      <c r="W8" s="65">
        <f t="shared" si="1"/>
        <v>0</v>
      </c>
      <c r="X8" s="75" t="str">
        <f>IF(ISBLANK(ETPT_TJ_DDG!$D$5),"",IF(ISERROR(ETPT_TJ!X8),"",IF(ETPT_TJ!X8=0,"",ETPT_TJ!X8)))</f>
        <v/>
      </c>
      <c r="Y8" s="75" t="str">
        <f>IF(ISBLANK(ETPT_TJ_DDG!$D$5),"",IF(ISERROR(ETPT_TJ!Y8),"",IF(ETPT_TJ!Y8=0,"",ETPT_TJ!Y8)))</f>
        <v/>
      </c>
      <c r="Z8" s="75" t="str">
        <f>IF(ISBLANK(ETPT_TJ_DDG!$D$5),"",IF(ISERROR(ETPT_TJ!Z8),"",IF(ETPT_TJ!Z8=0,"",ETPT_TJ!Z8)))</f>
        <v/>
      </c>
      <c r="AA8" s="75" t="str">
        <f>IF(ISBLANK(ETPT_TJ_DDG!$D$5),"",IF(ISERROR(ETPT_TJ!AA8),"",IF(ETPT_TJ!AA8=0,"",ETPT_TJ!AA8)))</f>
        <v/>
      </c>
      <c r="AB8" s="65">
        <f t="shared" si="2"/>
        <v>0</v>
      </c>
      <c r="AC8" s="75" t="str">
        <f>IF(ISBLANK(ETPT_TJ_DDG!$D$5),"",IF(ISERROR(ETPT_TJ!AC8),"",IF(ETPT_TJ!AC8=0,"",ETPT_TJ!AC8)))</f>
        <v/>
      </c>
      <c r="AD8" s="75" t="str">
        <f>IF(ISBLANK(ETPT_TJ_DDG!$D$5),"",IF(ISERROR(ETPT_TJ!AD8),"",IF(ETPT_TJ!AD8=0,"",ETPT_TJ!AD8)))</f>
        <v/>
      </c>
      <c r="AE8" s="75" t="str">
        <f>IF(ISBLANK(ETPT_TJ_DDG!$D$5),"",IF(ISERROR(ETPT_TJ!AE8),"",IF(ETPT_TJ!AE8=0,"",ETPT_TJ!AE8)))</f>
        <v/>
      </c>
      <c r="AF8" s="75" t="str">
        <f>IF(ISBLANK(ETPT_TJ_DDG!$D$5),"",IF(ISERROR(ETPT_TJ!AF8),"",IF(ETPT_TJ!AF8=0,"",ETPT_TJ!AF8)))</f>
        <v/>
      </c>
      <c r="AG8" s="75" t="str">
        <f>IF(ISBLANK(ETPT_TJ_DDG!$D$5),"",IF(ISERROR(ETPT_TJ!AG8),"",IF(ETPT_TJ!AG8=0,"",ETPT_TJ!AG8)))</f>
        <v/>
      </c>
      <c r="AH8" s="75" t="str">
        <f>IF(ISBLANK(ETPT_TJ_DDG!$D$5),"",IF(ISERROR(ETPT_TJ!AH8),"",IF(ETPT_TJ!AH8=0,"",ETPT_TJ!AH8)))</f>
        <v/>
      </c>
      <c r="AI8" s="75" t="str">
        <f>IF(ISBLANK(ETPT_TJ_DDG!$D$5),"",IF(ISERROR(ETPT_TJ!AI8),"",IF(ETPT_TJ!AI8=0,"",ETPT_TJ!AI8)))</f>
        <v/>
      </c>
      <c r="AJ8" s="75" t="str">
        <f>IF(ISBLANK(ETPT_TJ_DDG!$D$5),"",IF(ISERROR(ETPT_TJ!AJ8),"",IF(ETPT_TJ!AJ8=0,"",ETPT_TJ!AJ8)))</f>
        <v/>
      </c>
      <c r="AK8" s="75" t="str">
        <f>IF(ISBLANK(ETPT_TJ_DDG!$D$5),"",IF(ISERROR(ETPT_TJ!AK8),"",IF(ETPT_TJ!AK8=0,"",ETPT_TJ!AK8)))</f>
        <v/>
      </c>
      <c r="AL8" s="65">
        <f t="shared" si="3"/>
        <v>0</v>
      </c>
      <c r="AM8" s="75" t="str">
        <f>IF(ISBLANK(ETPT_TJ_DDG!$D$5),"",IF(ISERROR(ETPT_TJ!AM8),"",IF(ETPT_TJ!AM8=0,"",ETPT_TJ!AM8)))</f>
        <v/>
      </c>
      <c r="AN8" s="75" t="str">
        <f>IF(ISBLANK(ETPT_TJ_DDG!$D$5),"",IF(ISERROR(ETPT_TJ!AN8),"",IF(ETPT_TJ!AN8=0,"",ETPT_TJ!AN8)))</f>
        <v/>
      </c>
      <c r="AO8" s="75" t="str">
        <f>IF(ISBLANK(ETPT_TJ_DDG!$D$5),"",IF(ISERROR(ETPT_TJ!AO8),"",IF(ETPT_TJ!AO8=0,"",ETPT_TJ!AO8)))</f>
        <v/>
      </c>
      <c r="AP8" s="75" t="str">
        <f>IF(ISBLANK(ETPT_TJ_DDG!$D$5),"",IF(ISERROR(ETPT_TJ!AP8),"",IF(ETPT_TJ!AP8=0,"",ETPT_TJ!AP8)))</f>
        <v/>
      </c>
      <c r="AQ8" s="75" t="str">
        <f>IF(ISBLANK(ETPT_TJ_DDG!$D$5),"",IF(ISERROR(ETPT_TJ!AQ8),"",IF(ETPT_TJ!AQ8=0,"",ETPT_TJ!AQ8)))</f>
        <v/>
      </c>
      <c r="AR8" s="75" t="str">
        <f>IF(ISBLANK(ETPT_TJ_DDG!$D$5),"",IF(ISERROR(ETPT_TJ!AR8),"",IF(ETPT_TJ!AR8=0,"",ETPT_TJ!AR8)))</f>
        <v/>
      </c>
      <c r="AS8" s="75" t="str">
        <f>IF(ISBLANK(ETPT_TJ_DDG!$D$5),"",IF(ISERROR(ETPT_TJ!AS8),"",IF(ETPT_TJ!AS8=0,"",ETPT_TJ!AS8)))</f>
        <v/>
      </c>
      <c r="AT8" s="75" t="str">
        <f>IF(ISBLANK(ETPT_TJ_DDG!$D$5),"",IF(ISERROR(ETPT_TJ!AT8),"",IF(ETPT_TJ!AT8=0,"",ETPT_TJ!AT8)))</f>
        <v/>
      </c>
      <c r="AU8" s="75" t="str">
        <f>IF(ISBLANK(ETPT_TJ_DDG!$D$5),"",IF(ISERROR(ETPT_TJ!AU8),"",IF(ETPT_TJ!AU8=0,"",ETPT_TJ!AU8)))</f>
        <v/>
      </c>
      <c r="AV8" s="75" t="str">
        <f>IF(ISBLANK(ETPT_TJ_DDG!$D$5),"",IF(ISERROR(ETPT_TJ!AV8),"",IF(ETPT_TJ!AV8=0,"",ETPT_TJ!AV8)))</f>
        <v/>
      </c>
      <c r="AW8" s="75" t="str">
        <f>IF(ISBLANK(ETPT_TJ_DDG!$D$5),"",IF(ISERROR(ETPT_TJ!AW8),"",IF(ETPT_TJ!AW8=0,"",ETPT_TJ!AW8)))</f>
        <v/>
      </c>
      <c r="AX8" s="75" t="str">
        <f>IF(ISBLANK(ETPT_TJ_DDG!$D$5),"",IF(ISERROR(ETPT_TJ!AX8),"",IF(ETPT_TJ!AX8=0,"",ETPT_TJ!AX8)))</f>
        <v/>
      </c>
      <c r="AY8" s="75" t="str">
        <f>IF(ISBLANK(ETPT_TJ_DDG!$D$5),"",IF(ISERROR(ETPT_TJ!AY8),"",IF(ETPT_TJ!AY8=0,"",ETPT_TJ!AY8)))</f>
        <v/>
      </c>
      <c r="AZ8" s="65">
        <f t="shared" si="4"/>
        <v>0</v>
      </c>
      <c r="BA8" s="71"/>
      <c r="BB8" s="71"/>
      <c r="BC8" s="71"/>
      <c r="BD8" s="71"/>
      <c r="BE8" s="71"/>
      <c r="BF8" s="71"/>
      <c r="BG8" s="71"/>
      <c r="BH8" s="71"/>
      <c r="BI8" s="71"/>
      <c r="BJ8" s="65">
        <f t="shared" si="5"/>
        <v>0</v>
      </c>
    </row>
    <row r="9" spans="1:63" s="60" customFormat="1" ht="14.25" customHeight="1" x14ac:dyDescent="0.15">
      <c r="A9" s="70" t="s">
        <v>193</v>
      </c>
      <c r="B9" s="80"/>
      <c r="C9" s="80"/>
      <c r="D9" s="160" t="str">
        <f t="shared" si="6"/>
        <v/>
      </c>
      <c r="E9" s="80" t="s">
        <v>205</v>
      </c>
      <c r="F9" s="80" t="s">
        <v>204</v>
      </c>
      <c r="G9" s="75" t="str">
        <f>IF(ISBLANK(ETPT_TJ_DDG!$D$5),"",IF(ISERROR(ETPT_TJ!G9),"",IF(ETPT_TJ!G9=0,"",ETPT_TJ!G9)))</f>
        <v/>
      </c>
      <c r="H9" s="65">
        <f t="shared" si="0"/>
        <v>0</v>
      </c>
      <c r="I9" s="75" t="str">
        <f>IF(ISBLANK(ETPT_TJ_DDG!$D$5),"",IF(ISERROR(ETPT_TJ!I9),"",IF(ETPT_TJ!I9=0,"",ETPT_TJ!I9)))</f>
        <v/>
      </c>
      <c r="J9" s="75" t="str">
        <f>IF(ISBLANK(ETPT_TJ_DDG!$D$5),"",IF(ISERROR(ETPT_TJ!J9),"",IF(ETPT_TJ!J9=0,"",ETPT_TJ!J9)))</f>
        <v/>
      </c>
      <c r="K9" s="75" t="str">
        <f>IF(ISBLANK(ETPT_TJ_DDG!$D$5),"",IF(ISERROR(ETPT_TJ!K9),"",IF(ETPT_TJ!K9=0,"",ETPT_TJ!K9)))</f>
        <v/>
      </c>
      <c r="L9" s="75" t="str">
        <f>IF(ISBLANK(ETPT_TJ_DDG!$D$5),"",IF(ISERROR(ETPT_TJ!L9),"",IF(ETPT_TJ!L9=0,"",ETPT_TJ!L9)))</f>
        <v/>
      </c>
      <c r="M9" s="75" t="str">
        <f>IF(ISBLANK(ETPT_TJ_DDG!$D$5),"",IF(ISERROR(ETPT_TJ!M9),"",IF(ETPT_TJ!M9=0,"",ETPT_TJ!M9)))</f>
        <v/>
      </c>
      <c r="N9" s="75" t="str">
        <f>IF(ISBLANK(ETPT_TJ_DDG!$D$5),"",IF(ISERROR(ETPT_TJ!N9),"",IF(ETPT_TJ!N9=0,"",ETPT_TJ!N9)))</f>
        <v/>
      </c>
      <c r="O9" s="75" t="str">
        <f>IF(ISBLANK(ETPT_TJ_DDG!$D$5),"",IF(ISERROR(ETPT_TJ!O9),"",IF(ETPT_TJ!O9=0,"",ETPT_TJ!O9)))</f>
        <v/>
      </c>
      <c r="P9" s="75" t="str">
        <f>IF(ISBLANK(ETPT_TJ_DDG!$D$5),"",IF(ISERROR(ETPT_TJ!P9),"",IF(ETPT_TJ!P9=0,"",ETPT_TJ!P9)))</f>
        <v/>
      </c>
      <c r="Q9" s="75" t="str">
        <f>IF(ISBLANK(ETPT_TJ_DDG!$D$5),"",IF(ISERROR(ETPT_TJ!Q9),"",IF(ETPT_TJ!Q9=0,"",ETPT_TJ!Q9)))</f>
        <v/>
      </c>
      <c r="R9" s="75" t="str">
        <f>IF(ISBLANK(ETPT_TJ_DDG!$D$5),"",IF(ISERROR(ETPT_TJ!R9),"",IF(ETPT_TJ!R9=0,"",ETPT_TJ!R9)))</f>
        <v/>
      </c>
      <c r="S9" s="75" t="str">
        <f>IF(ISBLANK(ETPT_TJ_DDG!$D$5),"",IF(ISERROR(ETPT_TJ!S9),"",IF(ETPT_TJ!S9=0,"",ETPT_TJ!S9)))</f>
        <v/>
      </c>
      <c r="T9" s="75" t="str">
        <f>IF(ISBLANK(ETPT_TJ_DDG!$D$5),"",IF(ISERROR(ETPT_TJ!T9),"",IF(ETPT_TJ!T9=0,"",ETPT_TJ!T9)))</f>
        <v/>
      </c>
      <c r="U9" s="75" t="str">
        <f>IF(ISBLANK(ETPT_TJ_DDG!$D$5),"",IF(ISERROR(ETPT_TJ!U9),"",IF(ETPT_TJ!U9=0,"",ETPT_TJ!U9)))</f>
        <v/>
      </c>
      <c r="V9" s="75" t="str">
        <f>IF(ISBLANK(ETPT_TJ_DDG!$D$5),"",IF(ISERROR(ETPT_TJ!V9),"",IF(ETPT_TJ!V9=0,"",ETPT_TJ!V9)))</f>
        <v/>
      </c>
      <c r="W9" s="65">
        <f t="shared" si="1"/>
        <v>0</v>
      </c>
      <c r="X9" s="75" t="str">
        <f>IF(ISBLANK(ETPT_TJ_DDG!$D$5),"",IF(ISERROR(ETPT_TJ!X9),"",IF(ETPT_TJ!X9=0,"",ETPT_TJ!X9)))</f>
        <v/>
      </c>
      <c r="Y9" s="75" t="str">
        <f>IF(ISBLANK(ETPT_TJ_DDG!$D$5),"",IF(ISERROR(ETPT_TJ!Y9),"",IF(ETPT_TJ!Y9=0,"",ETPT_TJ!Y9)))</f>
        <v/>
      </c>
      <c r="Z9" s="75" t="str">
        <f>IF(ISBLANK(ETPT_TJ_DDG!$D$5),"",IF(ISERROR(ETPT_TJ!Z9),"",IF(ETPT_TJ!Z9=0,"",ETPT_TJ!Z9)))</f>
        <v/>
      </c>
      <c r="AA9" s="75" t="str">
        <f>IF(ISBLANK(ETPT_TJ_DDG!$D$5),"",IF(ISERROR(ETPT_TJ!AA9),"",IF(ETPT_TJ!AA9=0,"",ETPT_TJ!AA9)))</f>
        <v/>
      </c>
      <c r="AB9" s="65">
        <f t="shared" si="2"/>
        <v>0</v>
      </c>
      <c r="AC9" s="75" t="str">
        <f>IF(ISBLANK(ETPT_TJ_DDG!$D$5),"",IF(ISERROR(ETPT_TJ!AC9),"",IF(ETPT_TJ!AC9=0,"",ETPT_TJ!AC9)))</f>
        <v/>
      </c>
      <c r="AD9" s="75" t="str">
        <f>IF(ISBLANK(ETPT_TJ_DDG!$D$5),"",IF(ISERROR(ETPT_TJ!AD9),"",IF(ETPT_TJ!AD9=0,"",ETPT_TJ!AD9)))</f>
        <v/>
      </c>
      <c r="AE9" s="75" t="str">
        <f>IF(ISBLANK(ETPT_TJ_DDG!$D$5),"",IF(ISERROR(ETPT_TJ!AE9),"",IF(ETPT_TJ!AE9=0,"",ETPT_TJ!AE9)))</f>
        <v/>
      </c>
      <c r="AF9" s="75" t="str">
        <f>IF(ISBLANK(ETPT_TJ_DDG!$D$5),"",IF(ISERROR(ETPT_TJ!AF9),"",IF(ETPT_TJ!AF9=0,"",ETPT_TJ!AF9)))</f>
        <v/>
      </c>
      <c r="AG9" s="75" t="str">
        <f>IF(ISBLANK(ETPT_TJ_DDG!$D$5),"",IF(ISERROR(ETPT_TJ!AG9),"",IF(ETPT_TJ!AG9=0,"",ETPT_TJ!AG9)))</f>
        <v/>
      </c>
      <c r="AH9" s="75" t="str">
        <f>IF(ISBLANK(ETPT_TJ_DDG!$D$5),"",IF(ISERROR(ETPT_TJ!AH9),"",IF(ETPT_TJ!AH9=0,"",ETPT_TJ!AH9)))</f>
        <v/>
      </c>
      <c r="AI9" s="75" t="str">
        <f>IF(ISBLANK(ETPT_TJ_DDG!$D$5),"",IF(ISERROR(ETPT_TJ!AI9),"",IF(ETPT_TJ!AI9=0,"",ETPT_TJ!AI9)))</f>
        <v/>
      </c>
      <c r="AJ9" s="75" t="str">
        <f>IF(ISBLANK(ETPT_TJ_DDG!$D$5),"",IF(ISERROR(ETPT_TJ!AJ9),"",IF(ETPT_TJ!AJ9=0,"",ETPT_TJ!AJ9)))</f>
        <v/>
      </c>
      <c r="AK9" s="75" t="str">
        <f>IF(ISBLANK(ETPT_TJ_DDG!$D$5),"",IF(ISERROR(ETPT_TJ!AK9),"",IF(ETPT_TJ!AK9=0,"",ETPT_TJ!AK9)))</f>
        <v/>
      </c>
      <c r="AL9" s="65">
        <f t="shared" si="3"/>
        <v>0</v>
      </c>
      <c r="AM9" s="75" t="str">
        <f>IF(ISBLANK(ETPT_TJ_DDG!$D$5),"",IF(ISERROR(ETPT_TJ!AM9),"",IF(ETPT_TJ!AM9=0,"",ETPT_TJ!AM9)))</f>
        <v/>
      </c>
      <c r="AN9" s="75" t="str">
        <f>IF(ISBLANK(ETPT_TJ_DDG!$D$5),"",IF(ISERROR(ETPT_TJ!AN9),"",IF(ETPT_TJ!AN9=0,"",ETPT_TJ!AN9)))</f>
        <v/>
      </c>
      <c r="AO9" s="75" t="str">
        <f>IF(ISBLANK(ETPT_TJ_DDG!$D$5),"",IF(ISERROR(ETPT_TJ!AO9),"",IF(ETPT_TJ!AO9=0,"",ETPT_TJ!AO9)))</f>
        <v/>
      </c>
      <c r="AP9" s="75" t="str">
        <f>IF(ISBLANK(ETPT_TJ_DDG!$D$5),"",IF(ISERROR(ETPT_TJ!AP9),"",IF(ETPT_TJ!AP9=0,"",ETPT_TJ!AP9)))</f>
        <v/>
      </c>
      <c r="AQ9" s="75" t="str">
        <f>IF(ISBLANK(ETPT_TJ_DDG!$D$5),"",IF(ISERROR(ETPT_TJ!AQ9),"",IF(ETPT_TJ!AQ9=0,"",ETPT_TJ!AQ9)))</f>
        <v/>
      </c>
      <c r="AR9" s="75" t="str">
        <f>IF(ISBLANK(ETPT_TJ_DDG!$D$5),"",IF(ISERROR(ETPT_TJ!AR9),"",IF(ETPT_TJ!AR9=0,"",ETPT_TJ!AR9)))</f>
        <v/>
      </c>
      <c r="AS9" s="75" t="str">
        <f>IF(ISBLANK(ETPT_TJ_DDG!$D$5),"",IF(ISERROR(ETPT_TJ!AS9),"",IF(ETPT_TJ!AS9=0,"",ETPT_TJ!AS9)))</f>
        <v/>
      </c>
      <c r="AT9" s="75" t="str">
        <f>IF(ISBLANK(ETPT_TJ_DDG!$D$5),"",IF(ISERROR(ETPT_TJ!AT9),"",IF(ETPT_TJ!AT9=0,"",ETPT_TJ!AT9)))</f>
        <v/>
      </c>
      <c r="AU9" s="75" t="str">
        <f>IF(ISBLANK(ETPT_TJ_DDG!$D$5),"",IF(ISERROR(ETPT_TJ!AU9),"",IF(ETPT_TJ!AU9=0,"",ETPT_TJ!AU9)))</f>
        <v/>
      </c>
      <c r="AV9" s="75" t="str">
        <f>IF(ISBLANK(ETPT_TJ_DDG!$D$5),"",IF(ISERROR(ETPT_TJ!AV9),"",IF(ETPT_TJ!AV9=0,"",ETPT_TJ!AV9)))</f>
        <v/>
      </c>
      <c r="AW9" s="75" t="str">
        <f>IF(ISBLANK(ETPT_TJ_DDG!$D$5),"",IF(ISERROR(ETPT_TJ!AW9),"",IF(ETPT_TJ!AW9=0,"",ETPT_TJ!AW9)))</f>
        <v/>
      </c>
      <c r="AX9" s="75" t="str">
        <f>IF(ISBLANK(ETPT_TJ_DDG!$D$5),"",IF(ISERROR(ETPT_TJ!AX9),"",IF(ETPT_TJ!AX9=0,"",ETPT_TJ!AX9)))</f>
        <v/>
      </c>
      <c r="AY9" s="75" t="str">
        <f>IF(ISBLANK(ETPT_TJ_DDG!$D$5),"",IF(ISERROR(ETPT_TJ!AY9),"",IF(ETPT_TJ!AY9=0,"",ETPT_TJ!AY9)))</f>
        <v/>
      </c>
      <c r="AZ9" s="65">
        <f t="shared" si="4"/>
        <v>0</v>
      </c>
      <c r="BA9" s="71"/>
      <c r="BB9" s="71"/>
      <c r="BC9" s="71"/>
      <c r="BD9" s="71"/>
      <c r="BE9" s="71"/>
      <c r="BF9" s="71"/>
      <c r="BG9" s="71"/>
      <c r="BH9" s="71"/>
      <c r="BI9" s="71"/>
      <c r="BJ9" s="65">
        <f t="shared" si="5"/>
        <v>0</v>
      </c>
    </row>
    <row r="10" spans="1:63" s="60" customFormat="1" ht="14.25" customHeight="1" x14ac:dyDescent="0.15">
      <c r="A10" s="70" t="s">
        <v>193</v>
      </c>
      <c r="B10" s="80"/>
      <c r="C10" s="80"/>
      <c r="D10" s="160" t="str">
        <f t="shared" si="6"/>
        <v/>
      </c>
      <c r="E10" s="80" t="s">
        <v>203</v>
      </c>
      <c r="F10" s="80" t="s">
        <v>202</v>
      </c>
      <c r="G10" s="75" t="str">
        <f>IF(ISBLANK(ETPT_TJ_DDG!$D$5),"",IF(ISERROR(ETPT_TJ!G10),"",IF(ETPT_TJ!G10=0,"",ETPT_TJ!G10)))</f>
        <v/>
      </c>
      <c r="H10" s="65">
        <f t="shared" si="0"/>
        <v>0</v>
      </c>
      <c r="I10" s="75" t="str">
        <f>IF(ISBLANK(ETPT_TJ_DDG!$D$5),"",IF(ISERROR(ETPT_TJ!I10),"",IF(ETPT_TJ!I10=0,"",ETPT_TJ!I10)))</f>
        <v/>
      </c>
      <c r="J10" s="75" t="str">
        <f>IF(ISBLANK(ETPT_TJ_DDG!$D$5),"",IF(ISERROR(ETPT_TJ!J10),"",IF(ETPT_TJ!J10=0,"",ETPT_TJ!J10)))</f>
        <v/>
      </c>
      <c r="K10" s="75" t="str">
        <f>IF(ISBLANK(ETPT_TJ_DDG!$D$5),"",IF(ISERROR(ETPT_TJ!K10),"",IF(ETPT_TJ!K10=0,"",ETPT_TJ!K10)))</f>
        <v/>
      </c>
      <c r="L10" s="75" t="str">
        <f>IF(ISBLANK(ETPT_TJ_DDG!$D$5),"",IF(ISERROR(ETPT_TJ!L10),"",IF(ETPT_TJ!L10=0,"",ETPT_TJ!L10)))</f>
        <v/>
      </c>
      <c r="M10" s="75" t="str">
        <f>IF(ISBLANK(ETPT_TJ_DDG!$D$5),"",IF(ISERROR(ETPT_TJ!M10),"",IF(ETPT_TJ!M10=0,"",ETPT_TJ!M10)))</f>
        <v/>
      </c>
      <c r="N10" s="75" t="str">
        <f>IF(ISBLANK(ETPT_TJ_DDG!$D$5),"",IF(ISERROR(ETPT_TJ!N10),"",IF(ETPT_TJ!N10=0,"",ETPT_TJ!N10)))</f>
        <v/>
      </c>
      <c r="O10" s="75" t="str">
        <f>IF(ISBLANK(ETPT_TJ_DDG!$D$5),"",IF(ISERROR(ETPT_TJ!O10),"",IF(ETPT_TJ!O10=0,"",ETPT_TJ!O10)))</f>
        <v/>
      </c>
      <c r="P10" s="75" t="str">
        <f>IF(ISBLANK(ETPT_TJ_DDG!$D$5),"",IF(ISERROR(ETPT_TJ!P10),"",IF(ETPT_TJ!P10=0,"",ETPT_TJ!P10)))</f>
        <v/>
      </c>
      <c r="Q10" s="75" t="str">
        <f>IF(ISBLANK(ETPT_TJ_DDG!$D$5),"",IF(ISERROR(ETPT_TJ!Q10),"",IF(ETPT_TJ!Q10=0,"",ETPT_TJ!Q10)))</f>
        <v/>
      </c>
      <c r="R10" s="75" t="str">
        <f>IF(ISBLANK(ETPT_TJ_DDG!$D$5),"",IF(ISERROR(ETPT_TJ!R10),"",IF(ETPT_TJ!R10=0,"",ETPT_TJ!R10)))</f>
        <v/>
      </c>
      <c r="S10" s="75" t="str">
        <f>IF(ISBLANK(ETPT_TJ_DDG!$D$5),"",IF(ISERROR(ETPT_TJ!S10),"",IF(ETPT_TJ!S10=0,"",ETPT_TJ!S10)))</f>
        <v/>
      </c>
      <c r="T10" s="75" t="str">
        <f>IF(ISBLANK(ETPT_TJ_DDG!$D$5),"",IF(ISERROR(ETPT_TJ!T10),"",IF(ETPT_TJ!T10=0,"",ETPT_TJ!T10)))</f>
        <v/>
      </c>
      <c r="U10" s="75" t="str">
        <f>IF(ISBLANK(ETPT_TJ_DDG!$D$5),"",IF(ISERROR(ETPT_TJ!U10),"",IF(ETPT_TJ!U10=0,"",ETPT_TJ!U10)))</f>
        <v/>
      </c>
      <c r="V10" s="75" t="str">
        <f>IF(ISBLANK(ETPT_TJ_DDG!$D$5),"",IF(ISERROR(ETPT_TJ!V10),"",IF(ETPT_TJ!V10=0,"",ETPT_TJ!V10)))</f>
        <v/>
      </c>
      <c r="W10" s="65">
        <f t="shared" si="1"/>
        <v>0</v>
      </c>
      <c r="X10" s="75" t="str">
        <f>IF(ISBLANK(ETPT_TJ_DDG!$D$5),"",IF(ISERROR(ETPT_TJ!X10),"",IF(ETPT_TJ!X10=0,"",ETPT_TJ!X10)))</f>
        <v/>
      </c>
      <c r="Y10" s="75" t="str">
        <f>IF(ISBLANK(ETPT_TJ_DDG!$D$5),"",IF(ISERROR(ETPT_TJ!Y10),"",IF(ETPT_TJ!Y10=0,"",ETPT_TJ!Y10)))</f>
        <v/>
      </c>
      <c r="Z10" s="75" t="str">
        <f>IF(ISBLANK(ETPT_TJ_DDG!$D$5),"",IF(ISERROR(ETPT_TJ!Z10),"",IF(ETPT_TJ!Z10=0,"",ETPT_TJ!Z10)))</f>
        <v/>
      </c>
      <c r="AA10" s="75" t="str">
        <f>IF(ISBLANK(ETPT_TJ_DDG!$D$5),"",IF(ISERROR(ETPT_TJ!AA10),"",IF(ETPT_TJ!AA10=0,"",ETPT_TJ!AA10)))</f>
        <v/>
      </c>
      <c r="AB10" s="65">
        <f t="shared" si="2"/>
        <v>0</v>
      </c>
      <c r="AC10" s="75" t="str">
        <f>IF(ISBLANK(ETPT_TJ_DDG!$D$5),"",IF(ISERROR(ETPT_TJ!AC10),"",IF(ETPT_TJ!AC10=0,"",ETPT_TJ!AC10)))</f>
        <v/>
      </c>
      <c r="AD10" s="75" t="str">
        <f>IF(ISBLANK(ETPT_TJ_DDG!$D$5),"",IF(ISERROR(ETPT_TJ!AD10),"",IF(ETPT_TJ!AD10=0,"",ETPT_TJ!AD10)))</f>
        <v/>
      </c>
      <c r="AE10" s="75" t="str">
        <f>IF(ISBLANK(ETPT_TJ_DDG!$D$5),"",IF(ISERROR(ETPT_TJ!AE10),"",IF(ETPT_TJ!AE10=0,"",ETPT_TJ!AE10)))</f>
        <v/>
      </c>
      <c r="AF10" s="75" t="str">
        <f>IF(ISBLANK(ETPT_TJ_DDG!$D$5),"",IF(ISERROR(ETPT_TJ!AF10),"",IF(ETPT_TJ!AF10=0,"",ETPT_TJ!AF10)))</f>
        <v/>
      </c>
      <c r="AG10" s="75" t="str">
        <f>IF(ISBLANK(ETPT_TJ_DDG!$D$5),"",IF(ISERROR(ETPT_TJ!AG10),"",IF(ETPT_TJ!AG10=0,"",ETPT_TJ!AG10)))</f>
        <v/>
      </c>
      <c r="AH10" s="75" t="str">
        <f>IF(ISBLANK(ETPT_TJ_DDG!$D$5),"",IF(ISERROR(ETPT_TJ!AH10),"",IF(ETPT_TJ!AH10=0,"",ETPT_TJ!AH10)))</f>
        <v/>
      </c>
      <c r="AI10" s="75" t="str">
        <f>IF(ISBLANK(ETPT_TJ_DDG!$D$5),"",IF(ISERROR(ETPT_TJ!AI10),"",IF(ETPT_TJ!AI10=0,"",ETPT_TJ!AI10)))</f>
        <v/>
      </c>
      <c r="AJ10" s="75" t="str">
        <f>IF(ISBLANK(ETPT_TJ_DDG!$D$5),"",IF(ISERROR(ETPT_TJ!AJ10),"",IF(ETPT_TJ!AJ10=0,"",ETPT_TJ!AJ10)))</f>
        <v/>
      </c>
      <c r="AK10" s="75" t="str">
        <f>IF(ISBLANK(ETPT_TJ_DDG!$D$5),"",IF(ISERROR(ETPT_TJ!AK10),"",IF(ETPT_TJ!AK10=0,"",ETPT_TJ!AK10)))</f>
        <v/>
      </c>
      <c r="AL10" s="65">
        <f t="shared" si="3"/>
        <v>0</v>
      </c>
      <c r="AM10" s="75" t="str">
        <f>IF(ISBLANK(ETPT_TJ_DDG!$D$5),"",IF(ISERROR(ETPT_TJ!AM10),"",IF(ETPT_TJ!AM10=0,"",ETPT_TJ!AM10)))</f>
        <v/>
      </c>
      <c r="AN10" s="75" t="str">
        <f>IF(ISBLANK(ETPT_TJ_DDG!$D$5),"",IF(ISERROR(ETPT_TJ!AN10),"",IF(ETPT_TJ!AN10=0,"",ETPT_TJ!AN10)))</f>
        <v/>
      </c>
      <c r="AO10" s="75" t="str">
        <f>IF(ISBLANK(ETPT_TJ_DDG!$D$5),"",IF(ISERROR(ETPT_TJ!AO10),"",IF(ETPT_TJ!AO10=0,"",ETPT_TJ!AO10)))</f>
        <v/>
      </c>
      <c r="AP10" s="75" t="str">
        <f>IF(ISBLANK(ETPT_TJ_DDG!$D$5),"",IF(ISERROR(ETPT_TJ!AP10),"",IF(ETPT_TJ!AP10=0,"",ETPT_TJ!AP10)))</f>
        <v/>
      </c>
      <c r="AQ10" s="75" t="str">
        <f>IF(ISBLANK(ETPT_TJ_DDG!$D$5),"",IF(ISERROR(ETPT_TJ!AQ10),"",IF(ETPT_TJ!AQ10=0,"",ETPT_TJ!AQ10)))</f>
        <v/>
      </c>
      <c r="AR10" s="75" t="str">
        <f>IF(ISBLANK(ETPT_TJ_DDG!$D$5),"",IF(ISERROR(ETPT_TJ!AR10),"",IF(ETPT_TJ!AR10=0,"",ETPT_TJ!AR10)))</f>
        <v/>
      </c>
      <c r="AS10" s="75" t="str">
        <f>IF(ISBLANK(ETPT_TJ_DDG!$D$5),"",IF(ISERROR(ETPT_TJ!AS10),"",IF(ETPT_TJ!AS10=0,"",ETPT_TJ!AS10)))</f>
        <v/>
      </c>
      <c r="AT10" s="75" t="str">
        <f>IF(ISBLANK(ETPT_TJ_DDG!$D$5),"",IF(ISERROR(ETPT_TJ!AT10),"",IF(ETPT_TJ!AT10=0,"",ETPT_TJ!AT10)))</f>
        <v/>
      </c>
      <c r="AU10" s="75" t="str">
        <f>IF(ISBLANK(ETPT_TJ_DDG!$D$5),"",IF(ISERROR(ETPT_TJ!AU10),"",IF(ETPT_TJ!AU10=0,"",ETPT_TJ!AU10)))</f>
        <v/>
      </c>
      <c r="AV10" s="75" t="str">
        <f>IF(ISBLANK(ETPT_TJ_DDG!$D$5),"",IF(ISERROR(ETPT_TJ!AV10),"",IF(ETPT_TJ!AV10=0,"",ETPT_TJ!AV10)))</f>
        <v/>
      </c>
      <c r="AW10" s="75" t="str">
        <f>IF(ISBLANK(ETPT_TJ_DDG!$D$5),"",IF(ISERROR(ETPT_TJ!AW10),"",IF(ETPT_TJ!AW10=0,"",ETPT_TJ!AW10)))</f>
        <v/>
      </c>
      <c r="AX10" s="75" t="str">
        <f>IF(ISBLANK(ETPT_TJ_DDG!$D$5),"",IF(ISERROR(ETPT_TJ!AX10),"",IF(ETPT_TJ!AX10=0,"",ETPT_TJ!AX10)))</f>
        <v/>
      </c>
      <c r="AY10" s="75" t="str">
        <f>IF(ISBLANK(ETPT_TJ_DDG!$D$5),"",IF(ISERROR(ETPT_TJ!AY10),"",IF(ETPT_TJ!AY10=0,"",ETPT_TJ!AY10)))</f>
        <v/>
      </c>
      <c r="AZ10" s="65">
        <f t="shared" si="4"/>
        <v>0</v>
      </c>
      <c r="BA10" s="71"/>
      <c r="BB10" s="71"/>
      <c r="BC10" s="71"/>
      <c r="BD10" s="71"/>
      <c r="BE10" s="71"/>
      <c r="BF10" s="71"/>
      <c r="BG10" s="71"/>
      <c r="BH10" s="71"/>
      <c r="BI10" s="71"/>
      <c r="BJ10" s="65">
        <f t="shared" si="5"/>
        <v>0</v>
      </c>
    </row>
    <row r="11" spans="1:63" s="60" customFormat="1" ht="14.25" customHeight="1" x14ac:dyDescent="0.15">
      <c r="A11" s="70" t="s">
        <v>193</v>
      </c>
      <c r="B11" s="80"/>
      <c r="C11" s="80"/>
      <c r="D11" s="160" t="str">
        <f t="shared" si="6"/>
        <v/>
      </c>
      <c r="E11" s="80" t="s">
        <v>201</v>
      </c>
      <c r="F11" s="80" t="s">
        <v>200</v>
      </c>
      <c r="G11" s="75" t="str">
        <f>IF(ISBLANK(ETPT_TJ_DDG!$D$5),"",IF(ISERROR(ETPT_TJ!G11),"",IF(ETPT_TJ!G11=0,"",ETPT_TJ!G11)))</f>
        <v/>
      </c>
      <c r="H11" s="65">
        <f t="shared" si="0"/>
        <v>0</v>
      </c>
      <c r="I11" s="75" t="str">
        <f>IF(ISBLANK(ETPT_TJ_DDG!$D$5),"",IF(ISERROR(ETPT_TJ!I11),"",IF(ETPT_TJ!I11=0,"",ETPT_TJ!I11)))</f>
        <v/>
      </c>
      <c r="J11" s="75" t="str">
        <f>IF(ISBLANK(ETPT_TJ_DDG!$D$5),"",IF(ISERROR(ETPT_TJ!J11),"",IF(ETPT_TJ!J11=0,"",ETPT_TJ!J11)))</f>
        <v/>
      </c>
      <c r="K11" s="75" t="str">
        <f>IF(ISBLANK(ETPT_TJ_DDG!$D$5),"",IF(ISERROR(ETPT_TJ!K11),"",IF(ETPT_TJ!K11=0,"",ETPT_TJ!K11)))</f>
        <v/>
      </c>
      <c r="L11" s="75" t="str">
        <f>IF(ISBLANK(ETPT_TJ_DDG!$D$5),"",IF(ISERROR(ETPT_TJ!L11),"",IF(ETPT_TJ!L11=0,"",ETPT_TJ!L11)))</f>
        <v/>
      </c>
      <c r="M11" s="75" t="str">
        <f>IF(ISBLANK(ETPT_TJ_DDG!$D$5),"",IF(ISERROR(ETPT_TJ!M11),"",IF(ETPT_TJ!M11=0,"",ETPT_TJ!M11)))</f>
        <v/>
      </c>
      <c r="N11" s="75" t="str">
        <f>IF(ISBLANK(ETPT_TJ_DDG!$D$5),"",IF(ISERROR(ETPT_TJ!N11),"",IF(ETPT_TJ!N11=0,"",ETPT_TJ!N11)))</f>
        <v/>
      </c>
      <c r="O11" s="75" t="str">
        <f>IF(ISBLANK(ETPT_TJ_DDG!$D$5),"",IF(ISERROR(ETPT_TJ!O11),"",IF(ETPT_TJ!O11=0,"",ETPT_TJ!O11)))</f>
        <v/>
      </c>
      <c r="P11" s="75" t="str">
        <f>IF(ISBLANK(ETPT_TJ_DDG!$D$5),"",IF(ISERROR(ETPT_TJ!P11),"",IF(ETPT_TJ!P11=0,"",ETPT_TJ!P11)))</f>
        <v/>
      </c>
      <c r="Q11" s="75" t="str">
        <f>IF(ISBLANK(ETPT_TJ_DDG!$D$5),"",IF(ISERROR(ETPT_TJ!Q11),"",IF(ETPT_TJ!Q11=0,"",ETPT_TJ!Q11)))</f>
        <v/>
      </c>
      <c r="R11" s="75" t="str">
        <f>IF(ISBLANK(ETPT_TJ_DDG!$D$5),"",IF(ISERROR(ETPT_TJ!R11),"",IF(ETPT_TJ!R11=0,"",ETPT_TJ!R11)))</f>
        <v/>
      </c>
      <c r="S11" s="75" t="str">
        <f>IF(ISBLANK(ETPT_TJ_DDG!$D$5),"",IF(ISERROR(ETPT_TJ!S11),"",IF(ETPT_TJ!S11=0,"",ETPT_TJ!S11)))</f>
        <v/>
      </c>
      <c r="T11" s="75" t="str">
        <f>IF(ISBLANK(ETPT_TJ_DDG!$D$5),"",IF(ISERROR(ETPT_TJ!T11),"",IF(ETPT_TJ!T11=0,"",ETPT_TJ!T11)))</f>
        <v/>
      </c>
      <c r="U11" s="75" t="str">
        <f>IF(ISBLANK(ETPT_TJ_DDG!$D$5),"",IF(ISERROR(ETPT_TJ!U11),"",IF(ETPT_TJ!U11=0,"",ETPT_TJ!U11)))</f>
        <v/>
      </c>
      <c r="V11" s="75" t="str">
        <f>IF(ISBLANK(ETPT_TJ_DDG!$D$5),"",IF(ISERROR(ETPT_TJ!V11),"",IF(ETPT_TJ!V11=0,"",ETPT_TJ!V11)))</f>
        <v/>
      </c>
      <c r="W11" s="65">
        <f t="shared" si="1"/>
        <v>0</v>
      </c>
      <c r="X11" s="75" t="str">
        <f>IF(ISBLANK(ETPT_TJ_DDG!$D$5),"",IF(ISERROR(ETPT_TJ!X11),"",IF(ETPT_TJ!X11=0,"",ETPT_TJ!X11)))</f>
        <v/>
      </c>
      <c r="Y11" s="75" t="str">
        <f>IF(ISBLANK(ETPT_TJ_DDG!$D$5),"",IF(ISERROR(ETPT_TJ!Y11),"",IF(ETPT_TJ!Y11=0,"",ETPT_TJ!Y11)))</f>
        <v/>
      </c>
      <c r="Z11" s="75" t="str">
        <f>IF(ISBLANK(ETPT_TJ_DDG!$D$5),"",IF(ISERROR(ETPT_TJ!Z11),"",IF(ETPT_TJ!Z11=0,"",ETPT_TJ!Z11)))</f>
        <v/>
      </c>
      <c r="AA11" s="75" t="str">
        <f>IF(ISBLANK(ETPT_TJ_DDG!$D$5),"",IF(ISERROR(ETPT_TJ!AA11),"",IF(ETPT_TJ!AA11=0,"",ETPT_TJ!AA11)))</f>
        <v/>
      </c>
      <c r="AB11" s="65">
        <f t="shared" si="2"/>
        <v>0</v>
      </c>
      <c r="AC11" s="75" t="str">
        <f>IF(ISBLANK(ETPT_TJ_DDG!$D$5),"",IF(ISERROR(ETPT_TJ!AC11),"",IF(ETPT_TJ!AC11=0,"",ETPT_TJ!AC11)))</f>
        <v/>
      </c>
      <c r="AD11" s="75" t="str">
        <f>IF(ISBLANK(ETPT_TJ_DDG!$D$5),"",IF(ISERROR(ETPT_TJ!AD11),"",IF(ETPT_TJ!AD11=0,"",ETPT_TJ!AD11)))</f>
        <v/>
      </c>
      <c r="AE11" s="75" t="str">
        <f>IF(ISBLANK(ETPT_TJ_DDG!$D$5),"",IF(ISERROR(ETPT_TJ!AE11),"",IF(ETPT_TJ!AE11=0,"",ETPT_TJ!AE11)))</f>
        <v/>
      </c>
      <c r="AF11" s="75" t="str">
        <f>IF(ISBLANK(ETPT_TJ_DDG!$D$5),"",IF(ISERROR(ETPT_TJ!AF11),"",IF(ETPT_TJ!AF11=0,"",ETPT_TJ!AF11)))</f>
        <v/>
      </c>
      <c r="AG11" s="75" t="str">
        <f>IF(ISBLANK(ETPT_TJ_DDG!$D$5),"",IF(ISERROR(ETPT_TJ!AG11),"",IF(ETPT_TJ!AG11=0,"",ETPT_TJ!AG11)))</f>
        <v/>
      </c>
      <c r="AH11" s="75" t="str">
        <f>IF(ISBLANK(ETPT_TJ_DDG!$D$5),"",IF(ISERROR(ETPT_TJ!AH11),"",IF(ETPT_TJ!AH11=0,"",ETPT_TJ!AH11)))</f>
        <v/>
      </c>
      <c r="AI11" s="75" t="str">
        <f>IF(ISBLANK(ETPT_TJ_DDG!$D$5),"",IF(ISERROR(ETPT_TJ!AI11),"",IF(ETPT_TJ!AI11=0,"",ETPT_TJ!AI11)))</f>
        <v/>
      </c>
      <c r="AJ11" s="75" t="str">
        <f>IF(ISBLANK(ETPT_TJ_DDG!$D$5),"",IF(ISERROR(ETPT_TJ!AJ11),"",IF(ETPT_TJ!AJ11=0,"",ETPT_TJ!AJ11)))</f>
        <v/>
      </c>
      <c r="AK11" s="75" t="str">
        <f>IF(ISBLANK(ETPT_TJ_DDG!$D$5),"",IF(ISERROR(ETPT_TJ!AK11),"",IF(ETPT_TJ!AK11=0,"",ETPT_TJ!AK11)))</f>
        <v/>
      </c>
      <c r="AL11" s="65">
        <f t="shared" si="3"/>
        <v>0</v>
      </c>
      <c r="AM11" s="75" t="str">
        <f>IF(ISBLANK(ETPT_TJ_DDG!$D$5),"",IF(ISERROR(ETPT_TJ!AM11),"",IF(ETPT_TJ!AM11=0,"",ETPT_TJ!AM11)))</f>
        <v/>
      </c>
      <c r="AN11" s="75" t="str">
        <f>IF(ISBLANK(ETPT_TJ_DDG!$D$5),"",IF(ISERROR(ETPT_TJ!AN11),"",IF(ETPT_TJ!AN11=0,"",ETPT_TJ!AN11)))</f>
        <v/>
      </c>
      <c r="AO11" s="75" t="str">
        <f>IF(ISBLANK(ETPT_TJ_DDG!$D$5),"",IF(ISERROR(ETPT_TJ!AO11),"",IF(ETPT_TJ!AO11=0,"",ETPT_TJ!AO11)))</f>
        <v/>
      </c>
      <c r="AP11" s="75" t="str">
        <f>IF(ISBLANK(ETPT_TJ_DDG!$D$5),"",IF(ISERROR(ETPT_TJ!AP11),"",IF(ETPT_TJ!AP11=0,"",ETPT_TJ!AP11)))</f>
        <v/>
      </c>
      <c r="AQ11" s="75" t="str">
        <f>IF(ISBLANK(ETPT_TJ_DDG!$D$5),"",IF(ISERROR(ETPT_TJ!AQ11),"",IF(ETPT_TJ!AQ11=0,"",ETPT_TJ!AQ11)))</f>
        <v/>
      </c>
      <c r="AR11" s="75" t="str">
        <f>IF(ISBLANK(ETPT_TJ_DDG!$D$5),"",IF(ISERROR(ETPT_TJ!AR11),"",IF(ETPT_TJ!AR11=0,"",ETPT_TJ!AR11)))</f>
        <v/>
      </c>
      <c r="AS11" s="75" t="str">
        <f>IF(ISBLANK(ETPT_TJ_DDG!$D$5),"",IF(ISERROR(ETPT_TJ!AS11),"",IF(ETPT_TJ!AS11=0,"",ETPT_TJ!AS11)))</f>
        <v/>
      </c>
      <c r="AT11" s="75" t="str">
        <f>IF(ISBLANK(ETPT_TJ_DDG!$D$5),"",IF(ISERROR(ETPT_TJ!AT11),"",IF(ETPT_TJ!AT11=0,"",ETPT_TJ!AT11)))</f>
        <v/>
      </c>
      <c r="AU11" s="75" t="str">
        <f>IF(ISBLANK(ETPT_TJ_DDG!$D$5),"",IF(ISERROR(ETPT_TJ!AU11),"",IF(ETPT_TJ!AU11=0,"",ETPT_TJ!AU11)))</f>
        <v/>
      </c>
      <c r="AV11" s="75" t="str">
        <f>IF(ISBLANK(ETPT_TJ_DDG!$D$5),"",IF(ISERROR(ETPT_TJ!AV11),"",IF(ETPT_TJ!AV11=0,"",ETPT_TJ!AV11)))</f>
        <v/>
      </c>
      <c r="AW11" s="75" t="str">
        <f>IF(ISBLANK(ETPT_TJ_DDG!$D$5),"",IF(ISERROR(ETPT_TJ!AW11),"",IF(ETPT_TJ!AW11=0,"",ETPT_TJ!AW11)))</f>
        <v/>
      </c>
      <c r="AX11" s="75" t="str">
        <f>IF(ISBLANK(ETPT_TJ_DDG!$D$5),"",IF(ISERROR(ETPT_TJ!AX11),"",IF(ETPT_TJ!AX11=0,"",ETPT_TJ!AX11)))</f>
        <v/>
      </c>
      <c r="AY11" s="75" t="str">
        <f>IF(ISBLANK(ETPT_TJ_DDG!$D$5),"",IF(ISERROR(ETPT_TJ!AY11),"",IF(ETPT_TJ!AY11=0,"",ETPT_TJ!AY11)))</f>
        <v/>
      </c>
      <c r="AZ11" s="65">
        <f t="shared" si="4"/>
        <v>0</v>
      </c>
      <c r="BA11" s="71"/>
      <c r="BB11" s="71"/>
      <c r="BC11" s="71"/>
      <c r="BD11" s="71"/>
      <c r="BE11" s="71"/>
      <c r="BF11" s="71"/>
      <c r="BG11" s="71"/>
      <c r="BH11" s="71"/>
      <c r="BI11" s="71"/>
      <c r="BJ11" s="65">
        <f t="shared" si="5"/>
        <v>0</v>
      </c>
    </row>
    <row r="12" spans="1:63" s="60" customFormat="1" ht="14.25" customHeight="1" x14ac:dyDescent="0.15">
      <c r="A12" s="70" t="s">
        <v>193</v>
      </c>
      <c r="B12" s="80"/>
      <c r="C12" s="80"/>
      <c r="D12" s="160" t="str">
        <f t="shared" si="6"/>
        <v/>
      </c>
      <c r="E12" s="80" t="s">
        <v>199</v>
      </c>
      <c r="F12" s="80" t="s">
        <v>198</v>
      </c>
      <c r="G12" s="75" t="str">
        <f>IF(ISBLANK(ETPT_TJ_DDG!$D$5),"",IF(ISERROR(ETPT_TJ!G12),"",IF(ETPT_TJ!G12=0,"",ETPT_TJ!G12)))</f>
        <v/>
      </c>
      <c r="H12" s="65">
        <f t="shared" si="0"/>
        <v>0</v>
      </c>
      <c r="I12" s="75" t="str">
        <f>IF(ISBLANK(ETPT_TJ_DDG!$D$5),"",IF(ISERROR(ETPT_TJ!I12),"",IF(ETPT_TJ!I12=0,"",ETPT_TJ!I12)))</f>
        <v/>
      </c>
      <c r="J12" s="75" t="str">
        <f>IF(ISBLANK(ETPT_TJ_DDG!$D$5),"",IF(ISERROR(ETPT_TJ!J12),"",IF(ETPT_TJ!J12=0,"",ETPT_TJ!J12)))</f>
        <v/>
      </c>
      <c r="K12" s="75" t="str">
        <f>IF(ISBLANK(ETPT_TJ_DDG!$D$5),"",IF(ISERROR(ETPT_TJ!K12),"",IF(ETPT_TJ!K12=0,"",ETPT_TJ!K12)))</f>
        <v/>
      </c>
      <c r="L12" s="75" t="str">
        <f>IF(ISBLANK(ETPT_TJ_DDG!$D$5),"",IF(ISERROR(ETPT_TJ!L12),"",IF(ETPT_TJ!L12=0,"",ETPT_TJ!L12)))</f>
        <v/>
      </c>
      <c r="M12" s="75" t="str">
        <f>IF(ISBLANK(ETPT_TJ_DDG!$D$5),"",IF(ISERROR(ETPT_TJ!M12),"",IF(ETPT_TJ!M12=0,"",ETPT_TJ!M12)))</f>
        <v/>
      </c>
      <c r="N12" s="75" t="str">
        <f>IF(ISBLANK(ETPT_TJ_DDG!$D$5),"",IF(ISERROR(ETPT_TJ!N12),"",IF(ETPT_TJ!N12=0,"",ETPT_TJ!N12)))</f>
        <v/>
      </c>
      <c r="O12" s="75" t="str">
        <f>IF(ISBLANK(ETPT_TJ_DDG!$D$5),"",IF(ISERROR(ETPT_TJ!O12),"",IF(ETPT_TJ!O12=0,"",ETPT_TJ!O12)))</f>
        <v/>
      </c>
      <c r="P12" s="75" t="str">
        <f>IF(ISBLANK(ETPT_TJ_DDG!$D$5),"",IF(ISERROR(ETPT_TJ!P12),"",IF(ETPT_TJ!P12=0,"",ETPT_TJ!P12)))</f>
        <v/>
      </c>
      <c r="Q12" s="75" t="str">
        <f>IF(ISBLANK(ETPT_TJ_DDG!$D$5),"",IF(ISERROR(ETPT_TJ!Q12),"",IF(ETPT_TJ!Q12=0,"",ETPT_TJ!Q12)))</f>
        <v/>
      </c>
      <c r="R12" s="75" t="str">
        <f>IF(ISBLANK(ETPT_TJ_DDG!$D$5),"",IF(ISERROR(ETPT_TJ!R12),"",IF(ETPT_TJ!R12=0,"",ETPT_TJ!R12)))</f>
        <v/>
      </c>
      <c r="S12" s="75" t="str">
        <f>IF(ISBLANK(ETPT_TJ_DDG!$D$5),"",IF(ISERROR(ETPT_TJ!S12),"",IF(ETPT_TJ!S12=0,"",ETPT_TJ!S12)))</f>
        <v/>
      </c>
      <c r="T12" s="75" t="str">
        <f>IF(ISBLANK(ETPT_TJ_DDG!$D$5),"",IF(ISERROR(ETPT_TJ!T12),"",IF(ETPT_TJ!T12=0,"",ETPT_TJ!T12)))</f>
        <v/>
      </c>
      <c r="U12" s="75" t="str">
        <f>IF(ISBLANK(ETPT_TJ_DDG!$D$5),"",IF(ISERROR(ETPT_TJ!U12),"",IF(ETPT_TJ!U12=0,"",ETPT_TJ!U12)))</f>
        <v/>
      </c>
      <c r="V12" s="75" t="str">
        <f>IF(ISBLANK(ETPT_TJ_DDG!$D$5),"",IF(ISERROR(ETPT_TJ!V12),"",IF(ETPT_TJ!V12=0,"",ETPT_TJ!V12)))</f>
        <v/>
      </c>
      <c r="W12" s="65">
        <f t="shared" si="1"/>
        <v>0</v>
      </c>
      <c r="X12" s="75" t="str">
        <f>IF(ISBLANK(ETPT_TJ_DDG!$D$5),"",IF(ISERROR(ETPT_TJ!X12),"",IF(ETPT_TJ!X12=0,"",ETPT_TJ!X12)))</f>
        <v/>
      </c>
      <c r="Y12" s="75" t="str">
        <f>IF(ISBLANK(ETPT_TJ_DDG!$D$5),"",IF(ISERROR(ETPT_TJ!Y12),"",IF(ETPT_TJ!Y12=0,"",ETPT_TJ!Y12)))</f>
        <v/>
      </c>
      <c r="Z12" s="75" t="str">
        <f>IF(ISBLANK(ETPT_TJ_DDG!$D$5),"",IF(ISERROR(ETPT_TJ!Z12),"",IF(ETPT_TJ!Z12=0,"",ETPT_TJ!Z12)))</f>
        <v/>
      </c>
      <c r="AA12" s="75" t="str">
        <f>IF(ISBLANK(ETPT_TJ_DDG!$D$5),"",IF(ISERROR(ETPT_TJ!AA12),"",IF(ETPT_TJ!AA12=0,"",ETPT_TJ!AA12)))</f>
        <v/>
      </c>
      <c r="AB12" s="65">
        <f t="shared" si="2"/>
        <v>0</v>
      </c>
      <c r="AC12" s="75" t="str">
        <f>IF(ISBLANK(ETPT_TJ_DDG!$D$5),"",IF(ISERROR(ETPT_TJ!AC12),"",IF(ETPT_TJ!AC12=0,"",ETPT_TJ!AC12)))</f>
        <v/>
      </c>
      <c r="AD12" s="75" t="str">
        <f>IF(ISBLANK(ETPT_TJ_DDG!$D$5),"",IF(ISERROR(ETPT_TJ!AD12),"",IF(ETPT_TJ!AD12=0,"",ETPT_TJ!AD12)))</f>
        <v/>
      </c>
      <c r="AE12" s="75" t="str">
        <f>IF(ISBLANK(ETPT_TJ_DDG!$D$5),"",IF(ISERROR(ETPT_TJ!AE12),"",IF(ETPT_TJ!AE12=0,"",ETPT_TJ!AE12)))</f>
        <v/>
      </c>
      <c r="AF12" s="75" t="str">
        <f>IF(ISBLANK(ETPT_TJ_DDG!$D$5),"",IF(ISERROR(ETPT_TJ!AF12),"",IF(ETPT_TJ!AF12=0,"",ETPT_TJ!AF12)))</f>
        <v/>
      </c>
      <c r="AG12" s="75" t="str">
        <f>IF(ISBLANK(ETPT_TJ_DDG!$D$5),"",IF(ISERROR(ETPT_TJ!AG12),"",IF(ETPT_TJ!AG12=0,"",ETPT_TJ!AG12)))</f>
        <v/>
      </c>
      <c r="AH12" s="75" t="str">
        <f>IF(ISBLANK(ETPT_TJ_DDG!$D$5),"",IF(ISERROR(ETPT_TJ!AH12),"",IF(ETPT_TJ!AH12=0,"",ETPT_TJ!AH12)))</f>
        <v/>
      </c>
      <c r="AI12" s="75" t="str">
        <f>IF(ISBLANK(ETPT_TJ_DDG!$D$5),"",IF(ISERROR(ETPT_TJ!AI12),"",IF(ETPT_TJ!AI12=0,"",ETPT_TJ!AI12)))</f>
        <v/>
      </c>
      <c r="AJ12" s="75" t="str">
        <f>IF(ISBLANK(ETPT_TJ_DDG!$D$5),"",IF(ISERROR(ETPT_TJ!AJ12),"",IF(ETPT_TJ!AJ12=0,"",ETPT_TJ!AJ12)))</f>
        <v/>
      </c>
      <c r="AK12" s="75" t="str">
        <f>IF(ISBLANK(ETPT_TJ_DDG!$D$5),"",IF(ISERROR(ETPT_TJ!AK12),"",IF(ETPT_TJ!AK12=0,"",ETPT_TJ!AK12)))</f>
        <v/>
      </c>
      <c r="AL12" s="65">
        <f t="shared" si="3"/>
        <v>0</v>
      </c>
      <c r="AM12" s="75" t="str">
        <f>IF(ISBLANK(ETPT_TJ_DDG!$D$5),"",IF(ISERROR(ETPT_TJ!AM12),"",IF(ETPT_TJ!AM12=0,"",ETPT_TJ!AM12)))</f>
        <v/>
      </c>
      <c r="AN12" s="75" t="str">
        <f>IF(ISBLANK(ETPT_TJ_DDG!$D$5),"",IF(ISERROR(ETPT_TJ!AN12),"",IF(ETPT_TJ!AN12=0,"",ETPT_TJ!AN12)))</f>
        <v/>
      </c>
      <c r="AO12" s="75" t="str">
        <f>IF(ISBLANK(ETPT_TJ_DDG!$D$5),"",IF(ISERROR(ETPT_TJ!AO12),"",IF(ETPT_TJ!AO12=0,"",ETPT_TJ!AO12)))</f>
        <v/>
      </c>
      <c r="AP12" s="75" t="str">
        <f>IF(ISBLANK(ETPT_TJ_DDG!$D$5),"",IF(ISERROR(ETPT_TJ!AP12),"",IF(ETPT_TJ!AP12=0,"",ETPT_TJ!AP12)))</f>
        <v/>
      </c>
      <c r="AQ12" s="75" t="str">
        <f>IF(ISBLANK(ETPT_TJ_DDG!$D$5),"",IF(ISERROR(ETPT_TJ!AQ12),"",IF(ETPT_TJ!AQ12=0,"",ETPT_TJ!AQ12)))</f>
        <v/>
      </c>
      <c r="AR12" s="75" t="str">
        <f>IF(ISBLANK(ETPT_TJ_DDG!$D$5),"",IF(ISERROR(ETPT_TJ!AR12),"",IF(ETPT_TJ!AR12=0,"",ETPT_TJ!AR12)))</f>
        <v/>
      </c>
      <c r="AS12" s="75" t="str">
        <f>IF(ISBLANK(ETPT_TJ_DDG!$D$5),"",IF(ISERROR(ETPT_TJ!AS12),"",IF(ETPT_TJ!AS12=0,"",ETPT_TJ!AS12)))</f>
        <v/>
      </c>
      <c r="AT12" s="75" t="str">
        <f>IF(ISBLANK(ETPT_TJ_DDG!$D$5),"",IF(ISERROR(ETPT_TJ!AT12),"",IF(ETPT_TJ!AT12=0,"",ETPT_TJ!AT12)))</f>
        <v/>
      </c>
      <c r="AU12" s="75" t="str">
        <f>IF(ISBLANK(ETPT_TJ_DDG!$D$5),"",IF(ISERROR(ETPT_TJ!AU12),"",IF(ETPT_TJ!AU12=0,"",ETPT_TJ!AU12)))</f>
        <v/>
      </c>
      <c r="AV12" s="75" t="str">
        <f>IF(ISBLANK(ETPT_TJ_DDG!$D$5),"",IF(ISERROR(ETPT_TJ!AV12),"",IF(ETPT_TJ!AV12=0,"",ETPT_TJ!AV12)))</f>
        <v/>
      </c>
      <c r="AW12" s="75" t="str">
        <f>IF(ISBLANK(ETPT_TJ_DDG!$D$5),"",IF(ISERROR(ETPT_TJ!AW12),"",IF(ETPT_TJ!AW12=0,"",ETPT_TJ!AW12)))</f>
        <v/>
      </c>
      <c r="AX12" s="75" t="str">
        <f>IF(ISBLANK(ETPT_TJ_DDG!$D$5),"",IF(ISERROR(ETPT_TJ!AX12),"",IF(ETPT_TJ!AX12=0,"",ETPT_TJ!AX12)))</f>
        <v/>
      </c>
      <c r="AY12" s="75" t="str">
        <f>IF(ISBLANK(ETPT_TJ_DDG!$D$5),"",IF(ISERROR(ETPT_TJ!AY12),"",IF(ETPT_TJ!AY12=0,"",ETPT_TJ!AY12)))</f>
        <v/>
      </c>
      <c r="AZ12" s="65">
        <f t="shared" si="4"/>
        <v>0</v>
      </c>
      <c r="BA12" s="71"/>
      <c r="BB12" s="71"/>
      <c r="BC12" s="71"/>
      <c r="BD12" s="71"/>
      <c r="BE12" s="71"/>
      <c r="BF12" s="71"/>
      <c r="BG12" s="71"/>
      <c r="BH12" s="71"/>
      <c r="BI12" s="71"/>
      <c r="BJ12" s="65">
        <f t="shared" si="5"/>
        <v>0</v>
      </c>
    </row>
    <row r="13" spans="1:63" s="60" customFormat="1" ht="14.25" customHeight="1" x14ac:dyDescent="0.15">
      <c r="A13" s="70" t="s">
        <v>193</v>
      </c>
      <c r="B13" s="80"/>
      <c r="C13" s="80"/>
      <c r="D13" s="160" t="str">
        <f t="shared" si="6"/>
        <v/>
      </c>
      <c r="E13" s="80" t="s">
        <v>197</v>
      </c>
      <c r="F13" s="80" t="s">
        <v>196</v>
      </c>
      <c r="G13" s="75" t="str">
        <f>IF(ISBLANK(ETPT_TJ_DDG!$D$5),"",IF(ISERROR(ETPT_TJ!G13),"",IF(ETPT_TJ!G13=0,"",ETPT_TJ!G13)))</f>
        <v/>
      </c>
      <c r="H13" s="65">
        <f t="shared" si="0"/>
        <v>0</v>
      </c>
      <c r="I13" s="75" t="str">
        <f>IF(ISBLANK(ETPT_TJ_DDG!$D$5),"",IF(ISERROR(ETPT_TJ!I13),"",IF(ETPT_TJ!I13=0,"",ETPT_TJ!I13)))</f>
        <v/>
      </c>
      <c r="J13" s="75" t="str">
        <f>IF(ISBLANK(ETPT_TJ_DDG!$D$5),"",IF(ISERROR(ETPT_TJ!J13),"",IF(ETPT_TJ!J13=0,"",ETPT_TJ!J13)))</f>
        <v/>
      </c>
      <c r="K13" s="75" t="str">
        <f>IF(ISBLANK(ETPT_TJ_DDG!$D$5),"",IF(ISERROR(ETPT_TJ!K13),"",IF(ETPT_TJ!K13=0,"",ETPT_TJ!K13)))</f>
        <v/>
      </c>
      <c r="L13" s="75" t="str">
        <f>IF(ISBLANK(ETPT_TJ_DDG!$D$5),"",IF(ISERROR(ETPT_TJ!L13),"",IF(ETPT_TJ!L13=0,"",ETPT_TJ!L13)))</f>
        <v/>
      </c>
      <c r="M13" s="75" t="str">
        <f>IF(ISBLANK(ETPT_TJ_DDG!$D$5),"",IF(ISERROR(ETPT_TJ!M13),"",IF(ETPT_TJ!M13=0,"",ETPT_TJ!M13)))</f>
        <v/>
      </c>
      <c r="N13" s="75" t="str">
        <f>IF(ISBLANK(ETPT_TJ_DDG!$D$5),"",IF(ISERROR(ETPT_TJ!N13),"",IF(ETPT_TJ!N13=0,"",ETPT_TJ!N13)))</f>
        <v/>
      </c>
      <c r="O13" s="75" t="str">
        <f>IF(ISBLANK(ETPT_TJ_DDG!$D$5),"",IF(ISERROR(ETPT_TJ!O13),"",IF(ETPT_TJ!O13=0,"",ETPT_TJ!O13)))</f>
        <v/>
      </c>
      <c r="P13" s="75" t="str">
        <f>IF(ISBLANK(ETPT_TJ_DDG!$D$5),"",IF(ISERROR(ETPT_TJ!P13),"",IF(ETPT_TJ!P13=0,"",ETPT_TJ!P13)))</f>
        <v/>
      </c>
      <c r="Q13" s="75" t="str">
        <f>IF(ISBLANK(ETPT_TJ_DDG!$D$5),"",IF(ISERROR(ETPT_TJ!Q13),"",IF(ETPT_TJ!Q13=0,"",ETPT_TJ!Q13)))</f>
        <v/>
      </c>
      <c r="R13" s="75" t="str">
        <f>IF(ISBLANK(ETPT_TJ_DDG!$D$5),"",IF(ISERROR(ETPT_TJ!R13),"",IF(ETPT_TJ!R13=0,"",ETPT_TJ!R13)))</f>
        <v/>
      </c>
      <c r="S13" s="75" t="str">
        <f>IF(ISBLANK(ETPT_TJ_DDG!$D$5),"",IF(ISERROR(ETPT_TJ!S13),"",IF(ETPT_TJ!S13=0,"",ETPT_TJ!S13)))</f>
        <v/>
      </c>
      <c r="T13" s="75" t="str">
        <f>IF(ISBLANK(ETPT_TJ_DDG!$D$5),"",IF(ISERROR(ETPT_TJ!T13),"",IF(ETPT_TJ!T13=0,"",ETPT_TJ!T13)))</f>
        <v/>
      </c>
      <c r="U13" s="75" t="str">
        <f>IF(ISBLANK(ETPT_TJ_DDG!$D$5),"",IF(ISERROR(ETPT_TJ!U13),"",IF(ETPT_TJ!U13=0,"",ETPT_TJ!U13)))</f>
        <v/>
      </c>
      <c r="V13" s="75" t="str">
        <f>IF(ISBLANK(ETPT_TJ_DDG!$D$5),"",IF(ISERROR(ETPT_TJ!V13),"",IF(ETPT_TJ!V13=0,"",ETPT_TJ!V13)))</f>
        <v/>
      </c>
      <c r="W13" s="65">
        <f t="shared" si="1"/>
        <v>0</v>
      </c>
      <c r="X13" s="75" t="str">
        <f>IF(ISBLANK(ETPT_TJ_DDG!$D$5),"",IF(ISERROR(ETPT_TJ!X13),"",IF(ETPT_TJ!X13=0,"",ETPT_TJ!X13)))</f>
        <v/>
      </c>
      <c r="Y13" s="75" t="str">
        <f>IF(ISBLANK(ETPT_TJ_DDG!$D$5),"",IF(ISERROR(ETPT_TJ!Y13),"",IF(ETPT_TJ!Y13=0,"",ETPT_TJ!Y13)))</f>
        <v/>
      </c>
      <c r="Z13" s="75" t="str">
        <f>IF(ISBLANK(ETPT_TJ_DDG!$D$5),"",IF(ISERROR(ETPT_TJ!Z13),"",IF(ETPT_TJ!Z13=0,"",ETPT_TJ!Z13)))</f>
        <v/>
      </c>
      <c r="AA13" s="75" t="str">
        <f>IF(ISBLANK(ETPT_TJ_DDG!$D$5),"",IF(ISERROR(ETPT_TJ!AA13),"",IF(ETPT_TJ!AA13=0,"",ETPT_TJ!AA13)))</f>
        <v/>
      </c>
      <c r="AB13" s="65">
        <f t="shared" si="2"/>
        <v>0</v>
      </c>
      <c r="AC13" s="75" t="str">
        <f>IF(ISBLANK(ETPT_TJ_DDG!$D$5),"",IF(ISERROR(ETPT_TJ!AC13),"",IF(ETPT_TJ!AC13=0,"",ETPT_TJ!AC13)))</f>
        <v/>
      </c>
      <c r="AD13" s="75" t="str">
        <f>IF(ISBLANK(ETPT_TJ_DDG!$D$5),"",IF(ISERROR(ETPT_TJ!AD13),"",IF(ETPT_TJ!AD13=0,"",ETPT_TJ!AD13)))</f>
        <v/>
      </c>
      <c r="AE13" s="75" t="str">
        <f>IF(ISBLANK(ETPT_TJ_DDG!$D$5),"",IF(ISERROR(ETPT_TJ!AE13),"",IF(ETPT_TJ!AE13=0,"",ETPT_TJ!AE13)))</f>
        <v/>
      </c>
      <c r="AF13" s="75" t="str">
        <f>IF(ISBLANK(ETPT_TJ_DDG!$D$5),"",IF(ISERROR(ETPT_TJ!AF13),"",IF(ETPT_TJ!AF13=0,"",ETPT_TJ!AF13)))</f>
        <v/>
      </c>
      <c r="AG13" s="75" t="str">
        <f>IF(ISBLANK(ETPT_TJ_DDG!$D$5),"",IF(ISERROR(ETPT_TJ!AG13),"",IF(ETPT_TJ!AG13=0,"",ETPT_TJ!AG13)))</f>
        <v/>
      </c>
      <c r="AH13" s="75" t="str">
        <f>IF(ISBLANK(ETPT_TJ_DDG!$D$5),"",IF(ISERROR(ETPT_TJ!AH13),"",IF(ETPT_TJ!AH13=0,"",ETPT_TJ!AH13)))</f>
        <v/>
      </c>
      <c r="AI13" s="75" t="str">
        <f>IF(ISBLANK(ETPT_TJ_DDG!$D$5),"",IF(ISERROR(ETPT_TJ!AI13),"",IF(ETPT_TJ!AI13=0,"",ETPT_TJ!AI13)))</f>
        <v/>
      </c>
      <c r="AJ13" s="75" t="str">
        <f>IF(ISBLANK(ETPT_TJ_DDG!$D$5),"",IF(ISERROR(ETPT_TJ!AJ13),"",IF(ETPT_TJ!AJ13=0,"",ETPT_TJ!AJ13)))</f>
        <v/>
      </c>
      <c r="AK13" s="75" t="str">
        <f>IF(ISBLANK(ETPT_TJ_DDG!$D$5),"",IF(ISERROR(ETPT_TJ!AK13),"",IF(ETPT_TJ!AK13=0,"",ETPT_TJ!AK13)))</f>
        <v/>
      </c>
      <c r="AL13" s="65">
        <f t="shared" si="3"/>
        <v>0</v>
      </c>
      <c r="AM13" s="75" t="str">
        <f>IF(ISBLANK(ETPT_TJ_DDG!$D$5),"",IF(ISERROR(ETPT_TJ!AM13),"",IF(ETPT_TJ!AM13=0,"",ETPT_TJ!AM13)))</f>
        <v/>
      </c>
      <c r="AN13" s="75" t="str">
        <f>IF(ISBLANK(ETPT_TJ_DDG!$D$5),"",IF(ISERROR(ETPT_TJ!AN13),"",IF(ETPT_TJ!AN13=0,"",ETPT_TJ!AN13)))</f>
        <v/>
      </c>
      <c r="AO13" s="75" t="str">
        <f>IF(ISBLANK(ETPT_TJ_DDG!$D$5),"",IF(ISERROR(ETPT_TJ!AO13),"",IF(ETPT_TJ!AO13=0,"",ETPT_TJ!AO13)))</f>
        <v/>
      </c>
      <c r="AP13" s="75" t="str">
        <f>IF(ISBLANK(ETPT_TJ_DDG!$D$5),"",IF(ISERROR(ETPT_TJ!AP13),"",IF(ETPT_TJ!AP13=0,"",ETPT_TJ!AP13)))</f>
        <v/>
      </c>
      <c r="AQ13" s="75" t="str">
        <f>IF(ISBLANK(ETPT_TJ_DDG!$D$5),"",IF(ISERROR(ETPT_TJ!AQ13),"",IF(ETPT_TJ!AQ13=0,"",ETPT_TJ!AQ13)))</f>
        <v/>
      </c>
      <c r="AR13" s="75" t="str">
        <f>IF(ISBLANK(ETPT_TJ_DDG!$D$5),"",IF(ISERROR(ETPT_TJ!AR13),"",IF(ETPT_TJ!AR13=0,"",ETPT_TJ!AR13)))</f>
        <v/>
      </c>
      <c r="AS13" s="75" t="str">
        <f>IF(ISBLANK(ETPT_TJ_DDG!$D$5),"",IF(ISERROR(ETPT_TJ!AS13),"",IF(ETPT_TJ!AS13=0,"",ETPT_TJ!AS13)))</f>
        <v/>
      </c>
      <c r="AT13" s="75" t="str">
        <f>IF(ISBLANK(ETPT_TJ_DDG!$D$5),"",IF(ISERROR(ETPT_TJ!AT13),"",IF(ETPT_TJ!AT13=0,"",ETPT_TJ!AT13)))</f>
        <v/>
      </c>
      <c r="AU13" s="75" t="str">
        <f>IF(ISBLANK(ETPT_TJ_DDG!$D$5),"",IF(ISERROR(ETPT_TJ!AU13),"",IF(ETPT_TJ!AU13=0,"",ETPT_TJ!AU13)))</f>
        <v/>
      </c>
      <c r="AV13" s="75" t="str">
        <f>IF(ISBLANK(ETPT_TJ_DDG!$D$5),"",IF(ISERROR(ETPT_TJ!AV13),"",IF(ETPT_TJ!AV13=0,"",ETPT_TJ!AV13)))</f>
        <v/>
      </c>
      <c r="AW13" s="75" t="str">
        <f>IF(ISBLANK(ETPT_TJ_DDG!$D$5),"",IF(ISERROR(ETPT_TJ!AW13),"",IF(ETPT_TJ!AW13=0,"",ETPT_TJ!AW13)))</f>
        <v/>
      </c>
      <c r="AX13" s="75" t="str">
        <f>IF(ISBLANK(ETPT_TJ_DDG!$D$5),"",IF(ISERROR(ETPT_TJ!AX13),"",IF(ETPT_TJ!AX13=0,"",ETPT_TJ!AX13)))</f>
        <v/>
      </c>
      <c r="AY13" s="75" t="str">
        <f>IF(ISBLANK(ETPT_TJ_DDG!$D$5),"",IF(ISERROR(ETPT_TJ!AY13),"",IF(ETPT_TJ!AY13=0,"",ETPT_TJ!AY13)))</f>
        <v/>
      </c>
      <c r="AZ13" s="65">
        <f t="shared" si="4"/>
        <v>0</v>
      </c>
      <c r="BA13" s="71"/>
      <c r="BB13" s="71"/>
      <c r="BC13" s="71"/>
      <c r="BD13" s="71"/>
      <c r="BE13" s="71"/>
      <c r="BF13" s="71"/>
      <c r="BG13" s="71"/>
      <c r="BH13" s="71"/>
      <c r="BI13" s="71"/>
      <c r="BJ13" s="65">
        <f t="shared" si="5"/>
        <v>0</v>
      </c>
    </row>
    <row r="14" spans="1:63" s="60" customFormat="1" ht="14.25" customHeight="1" x14ac:dyDescent="0.15">
      <c r="A14" s="70" t="s">
        <v>193</v>
      </c>
      <c r="B14" s="80"/>
      <c r="C14" s="80"/>
      <c r="D14" s="160" t="str">
        <f t="shared" si="6"/>
        <v/>
      </c>
      <c r="E14" s="80" t="s">
        <v>195</v>
      </c>
      <c r="F14" s="80" t="s">
        <v>194</v>
      </c>
      <c r="G14" s="75" t="str">
        <f>IF(ISBLANK(ETPT_TJ_DDG!$D$5),"",IF(ISERROR(ETPT_TJ!G14),"",IF(ETPT_TJ!G14=0,"",ETPT_TJ!G14)))</f>
        <v/>
      </c>
      <c r="H14" s="65">
        <f t="shared" si="0"/>
        <v>0</v>
      </c>
      <c r="I14" s="75" t="str">
        <f>IF(ISBLANK(ETPT_TJ_DDG!$D$5),"",IF(ISERROR(ETPT_TJ!I14),"",IF(ETPT_TJ!I14=0,"",ETPT_TJ!I14)))</f>
        <v/>
      </c>
      <c r="J14" s="75" t="str">
        <f>IF(ISBLANK(ETPT_TJ_DDG!$D$5),"",IF(ISERROR(ETPT_TJ!J14),"",IF(ETPT_TJ!J14=0,"",ETPT_TJ!J14)))</f>
        <v/>
      </c>
      <c r="K14" s="75" t="str">
        <f>IF(ISBLANK(ETPT_TJ_DDG!$D$5),"",IF(ISERROR(ETPT_TJ!K14),"",IF(ETPT_TJ!K14=0,"",ETPT_TJ!K14)))</f>
        <v/>
      </c>
      <c r="L14" s="75" t="str">
        <f>IF(ISBLANK(ETPT_TJ_DDG!$D$5),"",IF(ISERROR(ETPT_TJ!L14),"",IF(ETPT_TJ!L14=0,"",ETPT_TJ!L14)))</f>
        <v/>
      </c>
      <c r="M14" s="75" t="str">
        <f>IF(ISBLANK(ETPT_TJ_DDG!$D$5),"",IF(ISERROR(ETPT_TJ!M14),"",IF(ETPT_TJ!M14=0,"",ETPT_TJ!M14)))</f>
        <v/>
      </c>
      <c r="N14" s="75" t="str">
        <f>IF(ISBLANK(ETPT_TJ_DDG!$D$5),"",IF(ISERROR(ETPT_TJ!N14),"",IF(ETPT_TJ!N14=0,"",ETPT_TJ!N14)))</f>
        <v/>
      </c>
      <c r="O14" s="75" t="str">
        <f>IF(ISBLANK(ETPT_TJ_DDG!$D$5),"",IF(ISERROR(ETPT_TJ!O14),"",IF(ETPT_TJ!O14=0,"",ETPT_TJ!O14)))</f>
        <v/>
      </c>
      <c r="P14" s="75" t="str">
        <f>IF(ISBLANK(ETPT_TJ_DDG!$D$5),"",IF(ISERROR(ETPT_TJ!P14),"",IF(ETPT_TJ!P14=0,"",ETPT_TJ!P14)))</f>
        <v/>
      </c>
      <c r="Q14" s="75" t="str">
        <f>IF(ISBLANK(ETPT_TJ_DDG!$D$5),"",IF(ISERROR(ETPT_TJ!Q14),"",IF(ETPT_TJ!Q14=0,"",ETPT_TJ!Q14)))</f>
        <v/>
      </c>
      <c r="R14" s="75" t="str">
        <f>IF(ISBLANK(ETPT_TJ_DDG!$D$5),"",IF(ISERROR(ETPT_TJ!R14),"",IF(ETPT_TJ!R14=0,"",ETPT_TJ!R14)))</f>
        <v/>
      </c>
      <c r="S14" s="75" t="str">
        <f>IF(ISBLANK(ETPT_TJ_DDG!$D$5),"",IF(ISERROR(ETPT_TJ!S14),"",IF(ETPT_TJ!S14=0,"",ETPT_TJ!S14)))</f>
        <v/>
      </c>
      <c r="T14" s="75" t="str">
        <f>IF(ISBLANK(ETPT_TJ_DDG!$D$5),"",IF(ISERROR(ETPT_TJ!T14),"",IF(ETPT_TJ!T14=0,"",ETPT_TJ!T14)))</f>
        <v/>
      </c>
      <c r="U14" s="75" t="str">
        <f>IF(ISBLANK(ETPT_TJ_DDG!$D$5),"",IF(ISERROR(ETPT_TJ!U14),"",IF(ETPT_TJ!U14=0,"",ETPT_TJ!U14)))</f>
        <v/>
      </c>
      <c r="V14" s="75" t="str">
        <f>IF(ISBLANK(ETPT_TJ_DDG!$D$5),"",IF(ISERROR(ETPT_TJ!V14),"",IF(ETPT_TJ!V14=0,"",ETPT_TJ!V14)))</f>
        <v/>
      </c>
      <c r="W14" s="65">
        <f t="shared" si="1"/>
        <v>0</v>
      </c>
      <c r="X14" s="75" t="str">
        <f>IF(ISBLANK(ETPT_TJ_DDG!$D$5),"",IF(ISERROR(ETPT_TJ!X14),"",IF(ETPT_TJ!X14=0,"",ETPT_TJ!X14)))</f>
        <v/>
      </c>
      <c r="Y14" s="75" t="str">
        <f>IF(ISBLANK(ETPT_TJ_DDG!$D$5),"",IF(ISERROR(ETPT_TJ!Y14),"",IF(ETPT_TJ!Y14=0,"",ETPT_TJ!Y14)))</f>
        <v/>
      </c>
      <c r="Z14" s="75" t="str">
        <f>IF(ISBLANK(ETPT_TJ_DDG!$D$5),"",IF(ISERROR(ETPT_TJ!Z14),"",IF(ETPT_TJ!Z14=0,"",ETPT_TJ!Z14)))</f>
        <v/>
      </c>
      <c r="AA14" s="75" t="str">
        <f>IF(ISBLANK(ETPT_TJ_DDG!$D$5),"",IF(ISERROR(ETPT_TJ!AA14),"",IF(ETPT_TJ!AA14=0,"",ETPT_TJ!AA14)))</f>
        <v/>
      </c>
      <c r="AB14" s="65">
        <f t="shared" si="2"/>
        <v>0</v>
      </c>
      <c r="AC14" s="75" t="str">
        <f>IF(ISBLANK(ETPT_TJ_DDG!$D$5),"",IF(ISERROR(ETPT_TJ!AC14),"",IF(ETPT_TJ!AC14=0,"",ETPT_TJ!AC14)))</f>
        <v/>
      </c>
      <c r="AD14" s="75" t="str">
        <f>IF(ISBLANK(ETPT_TJ_DDG!$D$5),"",IF(ISERROR(ETPT_TJ!AD14),"",IF(ETPT_TJ!AD14=0,"",ETPT_TJ!AD14)))</f>
        <v/>
      </c>
      <c r="AE14" s="75" t="str">
        <f>IF(ISBLANK(ETPT_TJ_DDG!$D$5),"",IF(ISERROR(ETPT_TJ!AE14),"",IF(ETPT_TJ!AE14=0,"",ETPT_TJ!AE14)))</f>
        <v/>
      </c>
      <c r="AF14" s="75" t="str">
        <f>IF(ISBLANK(ETPT_TJ_DDG!$D$5),"",IF(ISERROR(ETPT_TJ!AF14),"",IF(ETPT_TJ!AF14=0,"",ETPT_TJ!AF14)))</f>
        <v/>
      </c>
      <c r="AG14" s="75" t="str">
        <f>IF(ISBLANK(ETPT_TJ_DDG!$D$5),"",IF(ISERROR(ETPT_TJ!AG14),"",IF(ETPT_TJ!AG14=0,"",ETPT_TJ!AG14)))</f>
        <v/>
      </c>
      <c r="AH14" s="75" t="str">
        <f>IF(ISBLANK(ETPT_TJ_DDG!$D$5),"",IF(ISERROR(ETPT_TJ!AH14),"",IF(ETPT_TJ!AH14=0,"",ETPT_TJ!AH14)))</f>
        <v/>
      </c>
      <c r="AI14" s="75" t="str">
        <f>IF(ISBLANK(ETPT_TJ_DDG!$D$5),"",IF(ISERROR(ETPT_TJ!AI14),"",IF(ETPT_TJ!AI14=0,"",ETPT_TJ!AI14)))</f>
        <v/>
      </c>
      <c r="AJ14" s="75" t="str">
        <f>IF(ISBLANK(ETPT_TJ_DDG!$D$5),"",IF(ISERROR(ETPT_TJ!AJ14),"",IF(ETPT_TJ!AJ14=0,"",ETPT_TJ!AJ14)))</f>
        <v/>
      </c>
      <c r="AK14" s="75" t="str">
        <f>IF(ISBLANK(ETPT_TJ_DDG!$D$5),"",IF(ISERROR(ETPT_TJ!AK14),"",IF(ETPT_TJ!AK14=0,"",ETPT_TJ!AK14)))</f>
        <v/>
      </c>
      <c r="AL14" s="65">
        <f t="shared" si="3"/>
        <v>0</v>
      </c>
      <c r="AM14" s="75" t="str">
        <f>IF(ISBLANK(ETPT_TJ_DDG!$D$5),"",IF(ISERROR(ETPT_TJ!AM14),"",IF(ETPT_TJ!AM14=0,"",ETPT_TJ!AM14)))</f>
        <v/>
      </c>
      <c r="AN14" s="75" t="str">
        <f>IF(ISBLANK(ETPT_TJ_DDG!$D$5),"",IF(ISERROR(ETPT_TJ!AN14),"",IF(ETPT_TJ!AN14=0,"",ETPT_TJ!AN14)))</f>
        <v/>
      </c>
      <c r="AO14" s="75" t="str">
        <f>IF(ISBLANK(ETPT_TJ_DDG!$D$5),"",IF(ISERROR(ETPT_TJ!AO14),"",IF(ETPT_TJ!AO14=0,"",ETPT_TJ!AO14)))</f>
        <v/>
      </c>
      <c r="AP14" s="75" t="str">
        <f>IF(ISBLANK(ETPT_TJ_DDG!$D$5),"",IF(ISERROR(ETPT_TJ!AP14),"",IF(ETPT_TJ!AP14=0,"",ETPT_TJ!AP14)))</f>
        <v/>
      </c>
      <c r="AQ14" s="75" t="str">
        <f>IF(ISBLANK(ETPT_TJ_DDG!$D$5),"",IF(ISERROR(ETPT_TJ!AQ14),"",IF(ETPT_TJ!AQ14=0,"",ETPT_TJ!AQ14)))</f>
        <v/>
      </c>
      <c r="AR14" s="75" t="str">
        <f>IF(ISBLANK(ETPT_TJ_DDG!$D$5),"",IF(ISERROR(ETPT_TJ!AR14),"",IF(ETPT_TJ!AR14=0,"",ETPT_TJ!AR14)))</f>
        <v/>
      </c>
      <c r="AS14" s="75" t="str">
        <f>IF(ISBLANK(ETPT_TJ_DDG!$D$5),"",IF(ISERROR(ETPT_TJ!AS14),"",IF(ETPT_TJ!AS14=0,"",ETPT_TJ!AS14)))</f>
        <v/>
      </c>
      <c r="AT14" s="75" t="str">
        <f>IF(ISBLANK(ETPT_TJ_DDG!$D$5),"",IF(ISERROR(ETPT_TJ!AT14),"",IF(ETPT_TJ!AT14=0,"",ETPT_TJ!AT14)))</f>
        <v/>
      </c>
      <c r="AU14" s="75" t="str">
        <f>IF(ISBLANK(ETPT_TJ_DDG!$D$5),"",IF(ISERROR(ETPT_TJ!AU14),"",IF(ETPT_TJ!AU14=0,"",ETPT_TJ!AU14)))</f>
        <v/>
      </c>
      <c r="AV14" s="75" t="str">
        <f>IF(ISBLANK(ETPT_TJ_DDG!$D$5),"",IF(ISERROR(ETPT_TJ!AV14),"",IF(ETPT_TJ!AV14=0,"",ETPT_TJ!AV14)))</f>
        <v/>
      </c>
      <c r="AW14" s="75" t="str">
        <f>IF(ISBLANK(ETPT_TJ_DDG!$D$5),"",IF(ISERROR(ETPT_TJ!AW14),"",IF(ETPT_TJ!AW14=0,"",ETPT_TJ!AW14)))</f>
        <v/>
      </c>
      <c r="AX14" s="75" t="str">
        <f>IF(ISBLANK(ETPT_TJ_DDG!$D$5),"",IF(ISERROR(ETPT_TJ!AX14),"",IF(ETPT_TJ!AX14=0,"",ETPT_TJ!AX14)))</f>
        <v/>
      </c>
      <c r="AY14" s="75" t="str">
        <f>IF(ISBLANK(ETPT_TJ_DDG!$D$5),"",IF(ISERROR(ETPT_TJ!AY14),"",IF(ETPT_TJ!AY14=0,"",ETPT_TJ!AY14)))</f>
        <v/>
      </c>
      <c r="AZ14" s="65">
        <f t="shared" si="4"/>
        <v>0</v>
      </c>
      <c r="BA14" s="71"/>
      <c r="BB14" s="71"/>
      <c r="BC14" s="71"/>
      <c r="BD14" s="71"/>
      <c r="BE14" s="71"/>
      <c r="BF14" s="71"/>
      <c r="BG14" s="71"/>
      <c r="BH14" s="71"/>
      <c r="BI14" s="71"/>
      <c r="BJ14" s="65">
        <f t="shared" si="5"/>
        <v>0</v>
      </c>
    </row>
    <row r="15" spans="1:63" s="60" customFormat="1" ht="14.25" customHeight="1" x14ac:dyDescent="0.15">
      <c r="A15" s="70" t="s">
        <v>193</v>
      </c>
      <c r="B15" s="80"/>
      <c r="C15" s="80"/>
      <c r="D15" s="160" t="str">
        <f t="shared" si="6"/>
        <v/>
      </c>
      <c r="E15" s="80" t="s">
        <v>192</v>
      </c>
      <c r="F15" s="80" t="s">
        <v>191</v>
      </c>
      <c r="G15" s="75" t="str">
        <f>IF(ISBLANK(ETPT_TJ_DDG!$D$5),"",IF(ISERROR(ETPT_TJ!G15),"",IF(ETPT_TJ!G15=0,"",ETPT_TJ!G15)))</f>
        <v/>
      </c>
      <c r="H15" s="65">
        <f t="shared" si="0"/>
        <v>0</v>
      </c>
      <c r="I15" s="75" t="str">
        <f>IF(ISBLANK(ETPT_TJ_DDG!$D$5),"",IF(ISERROR(ETPT_TJ!I15),"",IF(ETPT_TJ!I15=0,"",ETPT_TJ!I15)))</f>
        <v/>
      </c>
      <c r="J15" s="75" t="str">
        <f>IF(ISBLANK(ETPT_TJ_DDG!$D$5),"",IF(ISERROR(ETPT_TJ!J15),"",IF(ETPT_TJ!J15=0,"",ETPT_TJ!J15)))</f>
        <v/>
      </c>
      <c r="K15" s="75" t="str">
        <f>IF(ISBLANK(ETPT_TJ_DDG!$D$5),"",IF(ISERROR(ETPT_TJ!K15),"",IF(ETPT_TJ!K15=0,"",ETPT_TJ!K15)))</f>
        <v/>
      </c>
      <c r="L15" s="75" t="str">
        <f>IF(ISBLANK(ETPT_TJ_DDG!$D$5),"",IF(ISERROR(ETPT_TJ!L15),"",IF(ETPT_TJ!L15=0,"",ETPT_TJ!L15)))</f>
        <v/>
      </c>
      <c r="M15" s="75" t="str">
        <f>IF(ISBLANK(ETPT_TJ_DDG!$D$5),"",IF(ISERROR(ETPT_TJ!M15),"",IF(ETPT_TJ!M15=0,"",ETPT_TJ!M15)))</f>
        <v/>
      </c>
      <c r="N15" s="75" t="str">
        <f>IF(ISBLANK(ETPT_TJ_DDG!$D$5),"",IF(ISERROR(ETPT_TJ!N15),"",IF(ETPT_TJ!N15=0,"",ETPT_TJ!N15)))</f>
        <v/>
      </c>
      <c r="O15" s="75" t="str">
        <f>IF(ISBLANK(ETPT_TJ_DDG!$D$5),"",IF(ISERROR(ETPT_TJ!O15),"",IF(ETPT_TJ!O15=0,"",ETPT_TJ!O15)))</f>
        <v/>
      </c>
      <c r="P15" s="75" t="str">
        <f>IF(ISBLANK(ETPT_TJ_DDG!$D$5),"",IF(ISERROR(ETPT_TJ!P15),"",IF(ETPT_TJ!P15=0,"",ETPT_TJ!P15)))</f>
        <v/>
      </c>
      <c r="Q15" s="75" t="str">
        <f>IF(ISBLANK(ETPT_TJ_DDG!$D$5),"",IF(ISERROR(ETPT_TJ!Q15),"",IF(ETPT_TJ!Q15=0,"",ETPT_TJ!Q15)))</f>
        <v/>
      </c>
      <c r="R15" s="75" t="str">
        <f>IF(ISBLANK(ETPT_TJ_DDG!$D$5),"",IF(ISERROR(ETPT_TJ!R15),"",IF(ETPT_TJ!R15=0,"",ETPT_TJ!R15)))</f>
        <v/>
      </c>
      <c r="S15" s="75" t="str">
        <f>IF(ISBLANK(ETPT_TJ_DDG!$D$5),"",IF(ISERROR(ETPT_TJ!S15),"",IF(ETPT_TJ!S15=0,"",ETPT_TJ!S15)))</f>
        <v/>
      </c>
      <c r="T15" s="75" t="str">
        <f>IF(ISBLANK(ETPT_TJ_DDG!$D$5),"",IF(ISERROR(ETPT_TJ!T15),"",IF(ETPT_TJ!T15=0,"",ETPT_TJ!T15)))</f>
        <v/>
      </c>
      <c r="U15" s="75" t="str">
        <f>IF(ISBLANK(ETPT_TJ_DDG!$D$5),"",IF(ISERROR(ETPT_TJ!U15),"",IF(ETPT_TJ!U15=0,"",ETPT_TJ!U15)))</f>
        <v/>
      </c>
      <c r="V15" s="75" t="str">
        <f>IF(ISBLANK(ETPT_TJ_DDG!$D$5),"",IF(ISERROR(ETPT_TJ!V15),"",IF(ETPT_TJ!V15=0,"",ETPT_TJ!V15)))</f>
        <v/>
      </c>
      <c r="W15" s="65">
        <f t="shared" si="1"/>
        <v>0</v>
      </c>
      <c r="X15" s="75" t="str">
        <f>IF(ISBLANK(ETPT_TJ_DDG!$D$5),"",IF(ISERROR(ETPT_TJ!X15),"",IF(ETPT_TJ!X15=0,"",ETPT_TJ!X15)))</f>
        <v/>
      </c>
      <c r="Y15" s="75" t="str">
        <f>IF(ISBLANK(ETPT_TJ_DDG!$D$5),"",IF(ISERROR(ETPT_TJ!Y15),"",IF(ETPT_TJ!Y15=0,"",ETPT_TJ!Y15)))</f>
        <v/>
      </c>
      <c r="Z15" s="75" t="str">
        <f>IF(ISBLANK(ETPT_TJ_DDG!$D$5),"",IF(ISERROR(ETPT_TJ!Z15),"",IF(ETPT_TJ!Z15=0,"",ETPT_TJ!Z15)))</f>
        <v/>
      </c>
      <c r="AA15" s="75" t="str">
        <f>IF(ISBLANK(ETPT_TJ_DDG!$D$5),"",IF(ISERROR(ETPT_TJ!AA15),"",IF(ETPT_TJ!AA15=0,"",ETPT_TJ!AA15)))</f>
        <v/>
      </c>
      <c r="AB15" s="65">
        <f t="shared" si="2"/>
        <v>0</v>
      </c>
      <c r="AC15" s="75" t="str">
        <f>IF(ISBLANK(ETPT_TJ_DDG!$D$5),"",IF(ISERROR(ETPT_TJ!AC15),"",IF(ETPT_TJ!AC15=0,"",ETPT_TJ!AC15)))</f>
        <v/>
      </c>
      <c r="AD15" s="75" t="str">
        <f>IF(ISBLANK(ETPT_TJ_DDG!$D$5),"",IF(ISERROR(ETPT_TJ!AD15),"",IF(ETPT_TJ!AD15=0,"",ETPT_TJ!AD15)))</f>
        <v/>
      </c>
      <c r="AE15" s="75" t="str">
        <f>IF(ISBLANK(ETPT_TJ_DDG!$D$5),"",IF(ISERROR(ETPT_TJ!AE15),"",IF(ETPT_TJ!AE15=0,"",ETPT_TJ!AE15)))</f>
        <v/>
      </c>
      <c r="AF15" s="75" t="str">
        <f>IF(ISBLANK(ETPT_TJ_DDG!$D$5),"",IF(ISERROR(ETPT_TJ!AF15),"",IF(ETPT_TJ!AF15=0,"",ETPT_TJ!AF15)))</f>
        <v/>
      </c>
      <c r="AG15" s="75" t="str">
        <f>IF(ISBLANK(ETPT_TJ_DDG!$D$5),"",IF(ISERROR(ETPT_TJ!AG15),"",IF(ETPT_TJ!AG15=0,"",ETPT_TJ!AG15)))</f>
        <v/>
      </c>
      <c r="AH15" s="75" t="str">
        <f>IF(ISBLANK(ETPT_TJ_DDG!$D$5),"",IF(ISERROR(ETPT_TJ!AH15),"",IF(ETPT_TJ!AH15=0,"",ETPT_TJ!AH15)))</f>
        <v/>
      </c>
      <c r="AI15" s="75" t="str">
        <f>IF(ISBLANK(ETPT_TJ_DDG!$D$5),"",IF(ISERROR(ETPT_TJ!AI15),"",IF(ETPT_TJ!AI15=0,"",ETPT_TJ!AI15)))</f>
        <v/>
      </c>
      <c r="AJ15" s="75" t="str">
        <f>IF(ISBLANK(ETPT_TJ_DDG!$D$5),"",IF(ISERROR(ETPT_TJ!AJ15),"",IF(ETPT_TJ!AJ15=0,"",ETPT_TJ!AJ15)))</f>
        <v/>
      </c>
      <c r="AK15" s="75" t="str">
        <f>IF(ISBLANK(ETPT_TJ_DDG!$D$5),"",IF(ISERROR(ETPT_TJ!AK15),"",IF(ETPT_TJ!AK15=0,"",ETPT_TJ!AK15)))</f>
        <v/>
      </c>
      <c r="AL15" s="65">
        <f t="shared" si="3"/>
        <v>0</v>
      </c>
      <c r="AM15" s="75" t="str">
        <f>IF(ISBLANK(ETPT_TJ_DDG!$D$5),"",IF(ISERROR(ETPT_TJ!AM15),"",IF(ETPT_TJ!AM15=0,"",ETPT_TJ!AM15)))</f>
        <v/>
      </c>
      <c r="AN15" s="75" t="str">
        <f>IF(ISBLANK(ETPT_TJ_DDG!$D$5),"",IF(ISERROR(ETPT_TJ!AN15),"",IF(ETPT_TJ!AN15=0,"",ETPT_TJ!AN15)))</f>
        <v/>
      </c>
      <c r="AO15" s="75" t="str">
        <f>IF(ISBLANK(ETPT_TJ_DDG!$D$5),"",IF(ISERROR(ETPT_TJ!AO15),"",IF(ETPT_TJ!AO15=0,"",ETPT_TJ!AO15)))</f>
        <v/>
      </c>
      <c r="AP15" s="75" t="str">
        <f>IF(ISBLANK(ETPT_TJ_DDG!$D$5),"",IF(ISERROR(ETPT_TJ!AP15),"",IF(ETPT_TJ!AP15=0,"",ETPT_TJ!AP15)))</f>
        <v/>
      </c>
      <c r="AQ15" s="75" t="str">
        <f>IF(ISBLANK(ETPT_TJ_DDG!$D$5),"",IF(ISERROR(ETPT_TJ!AQ15),"",IF(ETPT_TJ!AQ15=0,"",ETPT_TJ!AQ15)))</f>
        <v/>
      </c>
      <c r="AR15" s="75" t="str">
        <f>IF(ISBLANK(ETPT_TJ_DDG!$D$5),"",IF(ISERROR(ETPT_TJ!AR15),"",IF(ETPT_TJ!AR15=0,"",ETPT_TJ!AR15)))</f>
        <v/>
      </c>
      <c r="AS15" s="75" t="str">
        <f>IF(ISBLANK(ETPT_TJ_DDG!$D$5),"",IF(ISERROR(ETPT_TJ!AS15),"",IF(ETPT_TJ!AS15=0,"",ETPT_TJ!AS15)))</f>
        <v/>
      </c>
      <c r="AT15" s="75" t="str">
        <f>IF(ISBLANK(ETPT_TJ_DDG!$D$5),"",IF(ISERROR(ETPT_TJ!AT15),"",IF(ETPT_TJ!AT15=0,"",ETPT_TJ!AT15)))</f>
        <v/>
      </c>
      <c r="AU15" s="75" t="str">
        <f>IF(ISBLANK(ETPT_TJ_DDG!$D$5),"",IF(ISERROR(ETPT_TJ!AU15),"",IF(ETPT_TJ!AU15=0,"",ETPT_TJ!AU15)))</f>
        <v/>
      </c>
      <c r="AV15" s="75" t="str">
        <f>IF(ISBLANK(ETPT_TJ_DDG!$D$5),"",IF(ISERROR(ETPT_TJ!AV15),"",IF(ETPT_TJ!AV15=0,"",ETPT_TJ!AV15)))</f>
        <v/>
      </c>
      <c r="AW15" s="75" t="str">
        <f>IF(ISBLANK(ETPT_TJ_DDG!$D$5),"",IF(ISERROR(ETPT_TJ!AW15),"",IF(ETPT_TJ!AW15=0,"",ETPT_TJ!AW15)))</f>
        <v/>
      </c>
      <c r="AX15" s="75" t="str">
        <f>IF(ISBLANK(ETPT_TJ_DDG!$D$5),"",IF(ISERROR(ETPT_TJ!AX15),"",IF(ETPT_TJ!AX15=0,"",ETPT_TJ!AX15)))</f>
        <v/>
      </c>
      <c r="AY15" s="75" t="str">
        <f>IF(ISBLANK(ETPT_TJ_DDG!$D$5),"",IF(ISERROR(ETPT_TJ!AY15),"",IF(ETPT_TJ!AY15=0,"",ETPT_TJ!AY15)))</f>
        <v/>
      </c>
      <c r="AZ15" s="65">
        <f t="shared" si="4"/>
        <v>0</v>
      </c>
      <c r="BA15" s="71"/>
      <c r="BB15" s="71"/>
      <c r="BC15" s="71"/>
      <c r="BD15" s="71"/>
      <c r="BE15" s="71"/>
      <c r="BF15" s="71"/>
      <c r="BG15" s="71"/>
      <c r="BH15" s="71"/>
      <c r="BI15" s="71"/>
      <c r="BJ15" s="65">
        <f t="shared" si="5"/>
        <v>0</v>
      </c>
    </row>
    <row r="16" spans="1:63" s="60" customFormat="1" ht="14.25" customHeight="1" x14ac:dyDescent="0.15">
      <c r="A16" s="70"/>
      <c r="B16" s="69"/>
      <c r="C16" s="69"/>
      <c r="D16" s="69"/>
      <c r="E16" s="69"/>
      <c r="F16" s="68" t="s">
        <v>190</v>
      </c>
      <c r="G16" s="66">
        <f t="shared" ref="G16:AL16" si="7">SUM(G5:G15)</f>
        <v>0</v>
      </c>
      <c r="H16" s="65">
        <f t="shared" si="7"/>
        <v>0</v>
      </c>
      <c r="I16" s="66">
        <f t="shared" si="7"/>
        <v>0</v>
      </c>
      <c r="J16" s="66">
        <f t="shared" si="7"/>
        <v>0</v>
      </c>
      <c r="K16" s="66">
        <f t="shared" si="7"/>
        <v>0</v>
      </c>
      <c r="L16" s="66">
        <f t="shared" si="7"/>
        <v>0</v>
      </c>
      <c r="M16" s="66">
        <f t="shared" si="7"/>
        <v>0</v>
      </c>
      <c r="N16" s="66">
        <f t="shared" si="7"/>
        <v>0</v>
      </c>
      <c r="O16" s="66">
        <f t="shared" si="7"/>
        <v>0</v>
      </c>
      <c r="P16" s="66">
        <f t="shared" si="7"/>
        <v>0</v>
      </c>
      <c r="Q16" s="66">
        <f t="shared" si="7"/>
        <v>0</v>
      </c>
      <c r="R16" s="66">
        <f t="shared" si="7"/>
        <v>0</v>
      </c>
      <c r="S16" s="66">
        <f t="shared" si="7"/>
        <v>0</v>
      </c>
      <c r="T16" s="66">
        <f t="shared" si="7"/>
        <v>0</v>
      </c>
      <c r="U16" s="66">
        <f t="shared" si="7"/>
        <v>0</v>
      </c>
      <c r="V16" s="66">
        <f t="shared" si="7"/>
        <v>0</v>
      </c>
      <c r="W16" s="65">
        <f t="shared" si="7"/>
        <v>0</v>
      </c>
      <c r="X16" s="66">
        <f t="shared" si="7"/>
        <v>0</v>
      </c>
      <c r="Y16" s="66">
        <f t="shared" si="7"/>
        <v>0</v>
      </c>
      <c r="Z16" s="66">
        <f t="shared" si="7"/>
        <v>0</v>
      </c>
      <c r="AA16" s="66">
        <f t="shared" si="7"/>
        <v>0</v>
      </c>
      <c r="AB16" s="65">
        <f t="shared" si="7"/>
        <v>0</v>
      </c>
      <c r="AC16" s="66">
        <f t="shared" si="7"/>
        <v>0</v>
      </c>
      <c r="AD16" s="66">
        <f t="shared" si="7"/>
        <v>0</v>
      </c>
      <c r="AE16" s="66">
        <f t="shared" si="7"/>
        <v>0</v>
      </c>
      <c r="AF16" s="66">
        <f t="shared" si="7"/>
        <v>0</v>
      </c>
      <c r="AG16" s="66">
        <f t="shared" si="7"/>
        <v>0</v>
      </c>
      <c r="AH16" s="66">
        <f t="shared" si="7"/>
        <v>0</v>
      </c>
      <c r="AI16" s="66">
        <f t="shared" si="7"/>
        <v>0</v>
      </c>
      <c r="AJ16" s="66">
        <f t="shared" si="7"/>
        <v>0</v>
      </c>
      <c r="AK16" s="66">
        <f t="shared" si="7"/>
        <v>0</v>
      </c>
      <c r="AL16" s="65">
        <f t="shared" si="7"/>
        <v>0</v>
      </c>
      <c r="AM16" s="66">
        <f t="shared" ref="AM16:BJ16" si="8">SUM(AM5:AM15)</f>
        <v>0</v>
      </c>
      <c r="AN16" s="66">
        <f t="shared" si="8"/>
        <v>0</v>
      </c>
      <c r="AO16" s="66">
        <f t="shared" si="8"/>
        <v>0</v>
      </c>
      <c r="AP16" s="66">
        <f t="shared" si="8"/>
        <v>0</v>
      </c>
      <c r="AQ16" s="66">
        <f t="shared" si="8"/>
        <v>0</v>
      </c>
      <c r="AR16" s="66">
        <f t="shared" si="8"/>
        <v>0</v>
      </c>
      <c r="AS16" s="66">
        <f t="shared" si="8"/>
        <v>0</v>
      </c>
      <c r="AT16" s="66">
        <f t="shared" si="8"/>
        <v>0</v>
      </c>
      <c r="AU16" s="66">
        <f t="shared" si="8"/>
        <v>0</v>
      </c>
      <c r="AV16" s="66">
        <f t="shared" si="8"/>
        <v>0</v>
      </c>
      <c r="AW16" s="66">
        <f t="shared" si="8"/>
        <v>0</v>
      </c>
      <c r="AX16" s="66">
        <f t="shared" si="8"/>
        <v>0</v>
      </c>
      <c r="AY16" s="66">
        <f t="shared" si="8"/>
        <v>0</v>
      </c>
      <c r="AZ16" s="65">
        <f t="shared" si="8"/>
        <v>0</v>
      </c>
      <c r="BA16" s="66">
        <f t="shared" si="8"/>
        <v>0</v>
      </c>
      <c r="BB16" s="66">
        <f t="shared" si="8"/>
        <v>0</v>
      </c>
      <c r="BC16" s="66">
        <f t="shared" si="8"/>
        <v>0</v>
      </c>
      <c r="BD16" s="66">
        <f t="shared" si="8"/>
        <v>0</v>
      </c>
      <c r="BE16" s="66">
        <f t="shared" si="8"/>
        <v>0</v>
      </c>
      <c r="BF16" s="66">
        <f t="shared" si="8"/>
        <v>0</v>
      </c>
      <c r="BG16" s="66">
        <f t="shared" si="8"/>
        <v>0</v>
      </c>
      <c r="BH16" s="66">
        <f t="shared" si="8"/>
        <v>0</v>
      </c>
      <c r="BI16" s="66">
        <f t="shared" si="8"/>
        <v>0</v>
      </c>
      <c r="BJ16" s="65">
        <f t="shared" si="8"/>
        <v>0</v>
      </c>
    </row>
    <row r="17" spans="4:52" ht="17" thickBot="1" x14ac:dyDescent="0.25">
      <c r="W17" s="59"/>
      <c r="AZ17" s="59"/>
    </row>
    <row r="18" spans="4:52" ht="18" thickTop="1" thickBot="1" x14ac:dyDescent="0.25">
      <c r="D18" s="177" t="s">
        <v>325</v>
      </c>
      <c r="E18" s="179"/>
      <c r="F18" s="179"/>
      <c r="G18" s="179"/>
      <c r="H18" s="179"/>
      <c r="I18" s="180"/>
      <c r="W18" s="312" t="e">
        <f>H16+W16-W14-H14-H15-W15+ETPT_CPH!G5-H12-H13-W12-W13</f>
        <v>#N/A</v>
      </c>
      <c r="AZ18" s="312">
        <f>AZ16+AL16-AZ14-AL14-AZ13-AZ12-AL13-AL12</f>
        <v>0</v>
      </c>
    </row>
    <row r="19" spans="4:52" ht="17" thickTop="1" x14ac:dyDescent="0.2"/>
    <row r="20" spans="4:52" x14ac:dyDescent="0.2">
      <c r="AH20" s="57"/>
    </row>
    <row r="21" spans="4:52" x14ac:dyDescent="0.2">
      <c r="E21" s="58"/>
    </row>
  </sheetData>
  <mergeCells count="6">
    <mergeCell ref="BJ2:BJ4"/>
    <mergeCell ref="H2:H4"/>
    <mergeCell ref="W2:W4"/>
    <mergeCell ref="AB2:AB4"/>
    <mergeCell ref="AL2:AL4"/>
    <mergeCell ref="AZ2:AZ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F461-4586-D34F-8E14-1071CB20CB72}">
  <sheetPr codeName="Feuil15">
    <tabColor rgb="FFF7EF2D"/>
  </sheetPr>
  <dimension ref="A1:BJ21"/>
  <sheetViews>
    <sheetView topLeftCell="D1" zoomScale="90" zoomScaleNormal="90" workbookViewId="0">
      <selection activeCell="D5" sqref="D5"/>
    </sheetView>
  </sheetViews>
  <sheetFormatPr baseColWidth="10" defaultColWidth="11" defaultRowHeight="16" x14ac:dyDescent="0.2"/>
  <cols>
    <col min="1" max="3" width="11" style="56" hidden="1" customWidth="1"/>
    <col min="4" max="5" width="11" style="56"/>
    <col min="6" max="6" width="46.33203125" style="56" bestFit="1" customWidth="1"/>
    <col min="7" max="16384" width="11" style="56"/>
  </cols>
  <sheetData>
    <row r="1" spans="1:62" s="4" customFormat="1" ht="80" customHeight="1" x14ac:dyDescent="0.25">
      <c r="A1" s="3" t="s">
        <v>371</v>
      </c>
      <c r="B1" s="5"/>
      <c r="C1" s="5"/>
      <c r="D1" s="3" t="s">
        <v>375</v>
      </c>
      <c r="E1" s="7"/>
      <c r="F1" s="6"/>
      <c r="G1" s="6"/>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row>
    <row r="2" spans="1:62" x14ac:dyDescent="0.2">
      <c r="A2" s="106"/>
      <c r="B2" s="106"/>
      <c r="C2" s="106"/>
      <c r="D2" s="106"/>
      <c r="E2" s="106"/>
      <c r="F2" s="106"/>
      <c r="G2" s="103" t="s">
        <v>323</v>
      </c>
      <c r="H2" s="348" t="s">
        <v>322</v>
      </c>
      <c r="I2" s="103" t="s">
        <v>321</v>
      </c>
      <c r="J2" s="103" t="s">
        <v>321</v>
      </c>
      <c r="K2" s="103" t="s">
        <v>321</v>
      </c>
      <c r="L2" s="103" t="s">
        <v>321</v>
      </c>
      <c r="M2" s="103" t="s">
        <v>321</v>
      </c>
      <c r="N2" s="103" t="s">
        <v>321</v>
      </c>
      <c r="O2" s="103" t="s">
        <v>321</v>
      </c>
      <c r="P2" s="103" t="s">
        <v>321</v>
      </c>
      <c r="Q2" s="103" t="s">
        <v>321</v>
      </c>
      <c r="R2" s="103" t="s">
        <v>321</v>
      </c>
      <c r="S2" s="348" t="s">
        <v>320</v>
      </c>
      <c r="T2" s="103" t="s">
        <v>139</v>
      </c>
      <c r="U2" s="348" t="s">
        <v>319</v>
      </c>
      <c r="V2" s="103" t="s">
        <v>318</v>
      </c>
      <c r="W2" s="103" t="s">
        <v>318</v>
      </c>
      <c r="X2" s="103" t="s">
        <v>318</v>
      </c>
      <c r="Y2" s="103" t="s">
        <v>318</v>
      </c>
      <c r="Z2" s="103" t="s">
        <v>318</v>
      </c>
      <c r="AA2" s="103" t="s">
        <v>318</v>
      </c>
      <c r="AB2" s="103" t="s">
        <v>318</v>
      </c>
      <c r="AC2" s="103" t="s">
        <v>318</v>
      </c>
      <c r="AD2" s="103" t="s">
        <v>318</v>
      </c>
      <c r="AE2" s="348" t="s">
        <v>367</v>
      </c>
      <c r="AF2" s="103" t="s">
        <v>366</v>
      </c>
      <c r="AG2" s="103" t="s">
        <v>366</v>
      </c>
      <c r="AH2" s="103" t="s">
        <v>366</v>
      </c>
      <c r="AI2" s="348" t="s">
        <v>365</v>
      </c>
    </row>
    <row r="3" spans="1:62" ht="36" x14ac:dyDescent="0.2">
      <c r="A3" s="106"/>
      <c r="B3" s="106"/>
      <c r="C3" s="106"/>
      <c r="D3" s="106"/>
      <c r="E3" s="106"/>
      <c r="F3" s="106"/>
      <c r="G3" s="103" t="s">
        <v>312</v>
      </c>
      <c r="H3" s="348"/>
      <c r="I3" s="103" t="s">
        <v>364</v>
      </c>
      <c r="J3" s="103" t="s">
        <v>363</v>
      </c>
      <c r="K3" s="103" t="s">
        <v>362</v>
      </c>
      <c r="L3" s="103" t="s">
        <v>361</v>
      </c>
      <c r="M3" s="103" t="s">
        <v>360</v>
      </c>
      <c r="N3" s="103" t="s">
        <v>359</v>
      </c>
      <c r="O3" s="103" t="s">
        <v>358</v>
      </c>
      <c r="P3" s="103" t="s">
        <v>357</v>
      </c>
      <c r="Q3" s="103" t="s">
        <v>356</v>
      </c>
      <c r="R3" s="103" t="s">
        <v>299</v>
      </c>
      <c r="S3" s="348"/>
      <c r="T3" s="103" t="s">
        <v>296</v>
      </c>
      <c r="U3" s="348"/>
      <c r="V3" s="103" t="s">
        <v>355</v>
      </c>
      <c r="W3" s="103" t="s">
        <v>354</v>
      </c>
      <c r="X3" s="103" t="s">
        <v>353</v>
      </c>
      <c r="Y3" s="103" t="s">
        <v>352</v>
      </c>
      <c r="Z3" s="103" t="s">
        <v>351</v>
      </c>
      <c r="AA3" s="103" t="s">
        <v>350</v>
      </c>
      <c r="AB3" s="103" t="s">
        <v>349</v>
      </c>
      <c r="AC3" s="103" t="s">
        <v>348</v>
      </c>
      <c r="AD3" s="103" t="s">
        <v>347</v>
      </c>
      <c r="AE3" s="348"/>
      <c r="AF3" s="103" t="s">
        <v>346</v>
      </c>
      <c r="AG3" s="103" t="s">
        <v>282</v>
      </c>
      <c r="AH3" s="103" t="s">
        <v>276</v>
      </c>
      <c r="AI3" s="348"/>
    </row>
    <row r="4" spans="1:62" ht="60" x14ac:dyDescent="0.2">
      <c r="A4" s="106"/>
      <c r="B4" s="104" t="s">
        <v>266</v>
      </c>
      <c r="C4" s="104" t="s">
        <v>265</v>
      </c>
      <c r="D4" s="104" t="s">
        <v>32</v>
      </c>
      <c r="E4" s="104" t="s">
        <v>264</v>
      </c>
      <c r="F4" s="104" t="s">
        <v>263</v>
      </c>
      <c r="G4" s="103" t="s">
        <v>262</v>
      </c>
      <c r="H4" s="348"/>
      <c r="I4" s="103" t="s">
        <v>345</v>
      </c>
      <c r="J4" s="103" t="s">
        <v>344</v>
      </c>
      <c r="K4" s="103" t="s">
        <v>343</v>
      </c>
      <c r="L4" s="103" t="s">
        <v>342</v>
      </c>
      <c r="M4" s="103" t="s">
        <v>341</v>
      </c>
      <c r="N4" s="103" t="s">
        <v>340</v>
      </c>
      <c r="O4" s="103" t="s">
        <v>339</v>
      </c>
      <c r="P4" s="103" t="s">
        <v>338</v>
      </c>
      <c r="Q4" s="103" t="s">
        <v>337</v>
      </c>
      <c r="R4" s="103" t="s">
        <v>248</v>
      </c>
      <c r="S4" s="348"/>
      <c r="T4" s="103" t="s">
        <v>244</v>
      </c>
      <c r="U4" s="348"/>
      <c r="V4" s="103" t="s">
        <v>336</v>
      </c>
      <c r="W4" s="103" t="s">
        <v>335</v>
      </c>
      <c r="X4" s="103" t="s">
        <v>334</v>
      </c>
      <c r="Y4" s="103" t="s">
        <v>333</v>
      </c>
      <c r="Z4" s="103" t="s">
        <v>332</v>
      </c>
      <c r="AA4" s="103" t="s">
        <v>331</v>
      </c>
      <c r="AB4" s="103" t="s">
        <v>330</v>
      </c>
      <c r="AC4" s="103" t="s">
        <v>329</v>
      </c>
      <c r="AD4" s="103" t="s">
        <v>328</v>
      </c>
      <c r="AE4" s="348"/>
      <c r="AF4" s="103" t="s">
        <v>327</v>
      </c>
      <c r="AG4" s="103" t="s">
        <v>229</v>
      </c>
      <c r="AH4" s="103" t="s">
        <v>223</v>
      </c>
      <c r="AI4" s="348"/>
    </row>
    <row r="5" spans="1:62" x14ac:dyDescent="0.2">
      <c r="A5" s="109" t="s">
        <v>326</v>
      </c>
      <c r="B5" s="81"/>
      <c r="C5" s="81"/>
      <c r="D5" s="140"/>
      <c r="E5" s="81" t="s">
        <v>213</v>
      </c>
      <c r="F5" s="81" t="s">
        <v>212</v>
      </c>
      <c r="G5" s="88" t="str">
        <f>IF(ISBLANK(ETPT_TPRX_DDG!$D$5),"",IF(ISERROR(ETPT_TPRX!G5),"",IF(ETPT_TPRX!G5=0,"",ETPT_TPRX!G5)))</f>
        <v/>
      </c>
      <c r="H5" s="65">
        <f t="shared" ref="H5:H15" si="0">SUM(G5)</f>
        <v>0</v>
      </c>
      <c r="I5" s="88" t="str">
        <f>IF(ISBLANK(ETPT_TPRX_DDG!$D$5),"",IF(ISERROR(ETPT_TPRX!I5),"",IF(ETPT_TPRX!I5=0,"",ETPT_TPRX!I5)))</f>
        <v/>
      </c>
      <c r="J5" s="88" t="str">
        <f>IF(ISBLANK(ETPT_TPRX_DDG!$D$5),"",IF(ISERROR(ETPT_TPRX!J5),"",IF(ETPT_TPRX!J5=0,"",ETPT_TPRX!J5)))</f>
        <v/>
      </c>
      <c r="K5" s="88" t="str">
        <f>IF(ISBLANK(ETPT_TPRX_DDG!$D$5),"",IF(ISERROR(ETPT_TPRX!K5),"",IF(ETPT_TPRX!K5=0,"",ETPT_TPRX!K5)))</f>
        <v/>
      </c>
      <c r="L5" s="88" t="str">
        <f>IF(ISBLANK(ETPT_TPRX_DDG!$D$5),"",IF(ISERROR(ETPT_TPRX!L5),"",IF(ETPT_TPRX!L5=0,"",ETPT_TPRX!L5)))</f>
        <v/>
      </c>
      <c r="M5" s="88" t="str">
        <f>IF(ISBLANK(ETPT_TPRX_DDG!$D$5),"",IF(ISERROR(ETPT_TPRX!M5),"",IF(ETPT_TPRX!M5=0,"",ETPT_TPRX!M5)))</f>
        <v/>
      </c>
      <c r="N5" s="88" t="str">
        <f>IF(ISBLANK(ETPT_TPRX_DDG!$D$5),"",IF(ISERROR(ETPT_TPRX!N5),"",IF(ETPT_TPRX!N5=0,"",ETPT_TPRX!N5)))</f>
        <v/>
      </c>
      <c r="O5" s="88" t="str">
        <f>IF(ISBLANK(ETPT_TPRX_DDG!$D$5),"",IF(ISERROR(ETPT_TPRX!O5),"",IF(ETPT_TPRX!O5=0,"",ETPT_TPRX!O5)))</f>
        <v/>
      </c>
      <c r="P5" s="88" t="str">
        <f>IF(ISBLANK(ETPT_TPRX_DDG!$D$5),"",IF(ISERROR(ETPT_TPRX!P5),"",IF(ETPT_TPRX!P5=0,"",ETPT_TPRX!P5)))</f>
        <v/>
      </c>
      <c r="Q5" s="88" t="str">
        <f>IF(ISBLANK(ETPT_TPRX_DDG!$D$5),"",IF(ISERROR(ETPT_TPRX!Q5),"",IF(ETPT_TPRX!Q5=0,"",ETPT_TPRX!Q5)))</f>
        <v/>
      </c>
      <c r="R5" s="88" t="str">
        <f>IF(ISBLANK(ETPT_TPRX_DDG!$D$5),"",IF(ISERROR(ETPT_TPRX!R5),"",IF(ETPT_TPRX!R5=0,"",ETPT_TPRX!R5)))</f>
        <v/>
      </c>
      <c r="S5" s="65">
        <f t="shared" ref="S5:S15" si="1">SUM(I5:R5)</f>
        <v>0</v>
      </c>
      <c r="T5" s="88" t="str">
        <f>IF(ISBLANK(ETPT_TPRX_DDG!$D$5),"",IF(ISERROR(ETPT_TPRX!T5),"",IF(ETPT_TPRX!T5=0,"",ETPT_TPRX!T5)))</f>
        <v/>
      </c>
      <c r="U5" s="65">
        <f t="shared" ref="U5:U15" si="2">SUM(T5)</f>
        <v>0</v>
      </c>
      <c r="V5" s="88" t="str">
        <f>IF(ISBLANK(ETPT_TPRX_DDG!$D$5),"",IF(ISERROR(ETPT_TPRX!V5),"",IF(ETPT_TPRX!V5=0,"",ETPT_TPRX!V5)))</f>
        <v/>
      </c>
      <c r="W5" s="88" t="str">
        <f>IF(ISBLANK(ETPT_TPRX_DDG!$D$5),"",IF(ISERROR(ETPT_TPRX!W5),"",IF(ETPT_TPRX!W5=0,"",ETPT_TPRX!W5)))</f>
        <v/>
      </c>
      <c r="X5" s="88" t="str">
        <f>IF(ISBLANK(ETPT_TPRX_DDG!$D$5),"",IF(ISERROR(ETPT_TPRX!X5),"",IF(ETPT_TPRX!X5=0,"",ETPT_TPRX!X5)))</f>
        <v/>
      </c>
      <c r="Y5" s="88" t="str">
        <f>IF(ISBLANK(ETPT_TPRX_DDG!$D$5),"",IF(ISERROR(ETPT_TPRX!Y5),"",IF(ETPT_TPRX!Y5=0,"",ETPT_TPRX!Y5)))</f>
        <v/>
      </c>
      <c r="Z5" s="88" t="str">
        <f>IF(ISBLANK(ETPT_TPRX_DDG!$D$5),"",IF(ISERROR(ETPT_TPRX!Z5),"",IF(ETPT_TPRX!Z5=0,"",ETPT_TPRX!Z5)))</f>
        <v/>
      </c>
      <c r="AA5" s="88" t="str">
        <f>IF(ISBLANK(ETPT_TPRX_DDG!$D$5),"",IF(ISERROR(ETPT_TPRX!AA5),"",IF(ETPT_TPRX!AA5=0,"",ETPT_TPRX!AA5)))</f>
        <v/>
      </c>
      <c r="AB5" s="88" t="str">
        <f>IF(ISBLANK(ETPT_TPRX_DDG!$D$5),"",IF(ISERROR(ETPT_TPRX!AB5),"",IF(ETPT_TPRX!AB5=0,"",ETPT_TPRX!AB5)))</f>
        <v/>
      </c>
      <c r="AC5" s="88" t="str">
        <f>IF(ISBLANK(ETPT_TPRX_DDG!$D$5),"",IF(ISERROR(ETPT_TPRX!AC5),"",IF(ETPT_TPRX!AC5=0,"",ETPT_TPRX!AC5)))</f>
        <v/>
      </c>
      <c r="AD5" s="88" t="str">
        <f>IF(ISBLANK(ETPT_TPRX_DDG!$D$5),"",IF(ISERROR(ETPT_TPRX!AD5),"",IF(ETPT_TPRX!AD5=0,"",ETPT_TPRX!AD5)))</f>
        <v/>
      </c>
      <c r="AE5" s="65">
        <f t="shared" ref="AE5:AE15" si="3">SUM(V5:AD5)</f>
        <v>0</v>
      </c>
      <c r="AF5" s="88" t="str">
        <f>IF(ISBLANK(ETPT_TPRX_DDG!$D$5),"",IF(ISERROR(ETPT_TPRX!AF5),"",IF(ETPT_TPRX!AF5=0,"",ETPT_TPRX!AF5)))</f>
        <v/>
      </c>
      <c r="AG5" s="88" t="str">
        <f>IF(ISBLANK(ETPT_TPRX_DDG!$D$5),"",IF(ISERROR(ETPT_TPRX!AG5),"",IF(ETPT_TPRX!AG5=0,"",ETPT_TPRX!AG5)))</f>
        <v/>
      </c>
      <c r="AH5" s="88" t="str">
        <f>IF(ISBLANK(ETPT_TPRX_DDG!$D$5),"",IF(ISERROR(ETPT_TPRX!AH5),"",IF(ETPT_TPRX!AH5=0,"",ETPT_TPRX!AH5)))</f>
        <v/>
      </c>
      <c r="AI5" s="65">
        <f t="shared" ref="AI5:AI15" si="4">SUM(AF5:AH5)</f>
        <v>0</v>
      </c>
    </row>
    <row r="6" spans="1:62" x14ac:dyDescent="0.2">
      <c r="A6" s="109" t="s">
        <v>326</v>
      </c>
      <c r="B6" s="81"/>
      <c r="C6" s="81"/>
      <c r="D6" s="81" t="str">
        <f t="shared" ref="D6:D15" si="5">IF(ISBLANK($D$5),"",$D$5)</f>
        <v/>
      </c>
      <c r="E6" s="81" t="s">
        <v>211</v>
      </c>
      <c r="F6" s="81" t="s">
        <v>210</v>
      </c>
      <c r="G6" s="88" t="str">
        <f>IF(ISBLANK(ETPT_TPRX_DDG!$D$5),"",IF(ISERROR(ETPT_TPRX!G6),"",IF(ETPT_TPRX!G6=0,"",ETPT_TPRX!G6)))</f>
        <v/>
      </c>
      <c r="H6" s="65">
        <f t="shared" si="0"/>
        <v>0</v>
      </c>
      <c r="I6" s="88" t="str">
        <f>IF(ISBLANK(ETPT_TPRX_DDG!$D$5),"",IF(ISERROR(ETPT_TPRX!I6),"",IF(ETPT_TPRX!I6=0,"",ETPT_TPRX!I6)))</f>
        <v/>
      </c>
      <c r="J6" s="88" t="str">
        <f>IF(ISBLANK(ETPT_TPRX_DDG!$D$5),"",IF(ISERROR(ETPT_TPRX!J6),"",IF(ETPT_TPRX!J6=0,"",ETPT_TPRX!J6)))</f>
        <v/>
      </c>
      <c r="K6" s="88" t="str">
        <f>IF(ISBLANK(ETPT_TPRX_DDG!$D$5),"",IF(ISERROR(ETPT_TPRX!K6),"",IF(ETPT_TPRX!K6=0,"",ETPT_TPRX!K6)))</f>
        <v/>
      </c>
      <c r="L6" s="88" t="str">
        <f>IF(ISBLANK(ETPT_TPRX_DDG!$D$5),"",IF(ISERROR(ETPT_TPRX!L6),"",IF(ETPT_TPRX!L6=0,"",ETPT_TPRX!L6)))</f>
        <v/>
      </c>
      <c r="M6" s="88" t="str">
        <f>IF(ISBLANK(ETPT_TPRX_DDG!$D$5),"",IF(ISERROR(ETPT_TPRX!M6),"",IF(ETPT_TPRX!M6=0,"",ETPT_TPRX!M6)))</f>
        <v/>
      </c>
      <c r="N6" s="88" t="str">
        <f>IF(ISBLANK(ETPT_TPRX_DDG!$D$5),"",IF(ISERROR(ETPT_TPRX!N6),"",IF(ETPT_TPRX!N6=0,"",ETPT_TPRX!N6)))</f>
        <v/>
      </c>
      <c r="O6" s="88" t="str">
        <f>IF(ISBLANK(ETPT_TPRX_DDG!$D$5),"",IF(ISERROR(ETPT_TPRX!O6),"",IF(ETPT_TPRX!O6=0,"",ETPT_TPRX!O6)))</f>
        <v/>
      </c>
      <c r="P6" s="88" t="str">
        <f>IF(ISBLANK(ETPT_TPRX_DDG!$D$5),"",IF(ISERROR(ETPT_TPRX!P6),"",IF(ETPT_TPRX!P6=0,"",ETPT_TPRX!P6)))</f>
        <v/>
      </c>
      <c r="Q6" s="88" t="str">
        <f>IF(ISBLANK(ETPT_TPRX_DDG!$D$5),"",IF(ISERROR(ETPT_TPRX!Q6),"",IF(ETPT_TPRX!Q6=0,"",ETPT_TPRX!Q6)))</f>
        <v/>
      </c>
      <c r="R6" s="88" t="str">
        <f>IF(ISBLANK(ETPT_TPRX_DDG!$D$5),"",IF(ISERROR(ETPT_TPRX!R6),"",IF(ETPT_TPRX!R6=0,"",ETPT_TPRX!R6)))</f>
        <v/>
      </c>
      <c r="S6" s="65">
        <f t="shared" si="1"/>
        <v>0</v>
      </c>
      <c r="T6" s="88" t="str">
        <f>IF(ISBLANK(ETPT_TPRX_DDG!$D$5),"",IF(ISERROR(ETPT_TPRX!T6),"",IF(ETPT_TPRX!T6=0,"",ETPT_TPRX!T6)))</f>
        <v/>
      </c>
      <c r="U6" s="65">
        <f t="shared" si="2"/>
        <v>0</v>
      </c>
      <c r="V6" s="88" t="str">
        <f>IF(ISBLANK(ETPT_TPRX_DDG!$D$5),"",IF(ISERROR(ETPT_TPRX!V6),"",IF(ETPT_TPRX!V6=0,"",ETPT_TPRX!V6)))</f>
        <v/>
      </c>
      <c r="W6" s="88" t="str">
        <f>IF(ISBLANK(ETPT_TPRX_DDG!$D$5),"",IF(ISERROR(ETPT_TPRX!W6),"",IF(ETPT_TPRX!W6=0,"",ETPT_TPRX!W6)))</f>
        <v/>
      </c>
      <c r="X6" s="88" t="str">
        <f>IF(ISBLANK(ETPT_TPRX_DDG!$D$5),"",IF(ISERROR(ETPT_TPRX!X6),"",IF(ETPT_TPRX!X6=0,"",ETPT_TPRX!X6)))</f>
        <v/>
      </c>
      <c r="Y6" s="88" t="str">
        <f>IF(ISBLANK(ETPT_TPRX_DDG!$D$5),"",IF(ISERROR(ETPT_TPRX!Y6),"",IF(ETPT_TPRX!Y6=0,"",ETPT_TPRX!Y6)))</f>
        <v/>
      </c>
      <c r="Z6" s="88" t="str">
        <f>IF(ISBLANK(ETPT_TPRX_DDG!$D$5),"",IF(ISERROR(ETPT_TPRX!Z6),"",IF(ETPT_TPRX!Z6=0,"",ETPT_TPRX!Z6)))</f>
        <v/>
      </c>
      <c r="AA6" s="88" t="str">
        <f>IF(ISBLANK(ETPT_TPRX_DDG!$D$5),"",IF(ISERROR(ETPT_TPRX!AA6),"",IF(ETPT_TPRX!AA6=0,"",ETPT_TPRX!AA6)))</f>
        <v/>
      </c>
      <c r="AB6" s="88" t="str">
        <f>IF(ISBLANK(ETPT_TPRX_DDG!$D$5),"",IF(ISERROR(ETPT_TPRX!AB6),"",IF(ETPT_TPRX!AB6=0,"",ETPT_TPRX!AB6)))</f>
        <v/>
      </c>
      <c r="AC6" s="88" t="str">
        <f>IF(ISBLANK(ETPT_TPRX_DDG!$D$5),"",IF(ISERROR(ETPT_TPRX!AC6),"",IF(ETPT_TPRX!AC6=0,"",ETPT_TPRX!AC6)))</f>
        <v/>
      </c>
      <c r="AD6" s="88" t="str">
        <f>IF(ISBLANK(ETPT_TPRX_DDG!$D$5),"",IF(ISERROR(ETPT_TPRX!AD6),"",IF(ETPT_TPRX!AD6=0,"",ETPT_TPRX!AD6)))</f>
        <v/>
      </c>
      <c r="AE6" s="65">
        <f t="shared" si="3"/>
        <v>0</v>
      </c>
      <c r="AF6" s="88" t="str">
        <f>IF(ISBLANK(ETPT_TPRX_DDG!$D$5),"",IF(ISERROR(ETPT_TPRX!AF6),"",IF(ETPT_TPRX!AF6=0,"",ETPT_TPRX!AF6)))</f>
        <v/>
      </c>
      <c r="AG6" s="88" t="str">
        <f>IF(ISBLANK(ETPT_TPRX_DDG!$D$5),"",IF(ISERROR(ETPT_TPRX!AG6),"",IF(ETPT_TPRX!AG6=0,"",ETPT_TPRX!AG6)))</f>
        <v/>
      </c>
      <c r="AH6" s="88" t="str">
        <f>IF(ISBLANK(ETPT_TPRX_DDG!$D$5),"",IF(ISERROR(ETPT_TPRX!AH6),"",IF(ETPT_TPRX!AH6=0,"",ETPT_TPRX!AH6)))</f>
        <v/>
      </c>
      <c r="AI6" s="65">
        <f t="shared" si="4"/>
        <v>0</v>
      </c>
    </row>
    <row r="7" spans="1:62" x14ac:dyDescent="0.2">
      <c r="A7" s="109" t="s">
        <v>326</v>
      </c>
      <c r="B7" s="81"/>
      <c r="C7" s="81"/>
      <c r="D7" s="81" t="str">
        <f t="shared" si="5"/>
        <v/>
      </c>
      <c r="E7" s="81" t="s">
        <v>209</v>
      </c>
      <c r="F7" s="81" t="s">
        <v>208</v>
      </c>
      <c r="G7" s="88" t="str">
        <f>IF(ISBLANK(ETPT_TPRX_DDG!$D$5),"",IF(ISERROR(ETPT_TPRX!G7),"",IF(ETPT_TPRX!G7=0,"",ETPT_TPRX!G7)))</f>
        <v/>
      </c>
      <c r="H7" s="65">
        <f t="shared" si="0"/>
        <v>0</v>
      </c>
      <c r="I7" s="88" t="str">
        <f>IF(ISBLANK(ETPT_TPRX_DDG!$D$5),"",IF(ISERROR(ETPT_TPRX!I7),"",IF(ETPT_TPRX!I7=0,"",ETPT_TPRX!I7)))</f>
        <v/>
      </c>
      <c r="J7" s="88" t="str">
        <f>IF(ISBLANK(ETPT_TPRX_DDG!$D$5),"",IF(ISERROR(ETPT_TPRX!J7),"",IF(ETPT_TPRX!J7=0,"",ETPT_TPRX!J7)))</f>
        <v/>
      </c>
      <c r="K7" s="88" t="str">
        <f>IF(ISBLANK(ETPT_TPRX_DDG!$D$5),"",IF(ISERROR(ETPT_TPRX!K7),"",IF(ETPT_TPRX!K7=0,"",ETPT_TPRX!K7)))</f>
        <v/>
      </c>
      <c r="L7" s="88" t="str">
        <f>IF(ISBLANK(ETPT_TPRX_DDG!$D$5),"",IF(ISERROR(ETPT_TPRX!L7),"",IF(ETPT_TPRX!L7=0,"",ETPT_TPRX!L7)))</f>
        <v/>
      </c>
      <c r="M7" s="88" t="str">
        <f>IF(ISBLANK(ETPT_TPRX_DDG!$D$5),"",IF(ISERROR(ETPT_TPRX!M7),"",IF(ETPT_TPRX!M7=0,"",ETPT_TPRX!M7)))</f>
        <v/>
      </c>
      <c r="N7" s="88" t="str">
        <f>IF(ISBLANK(ETPT_TPRX_DDG!$D$5),"",IF(ISERROR(ETPT_TPRX!N7),"",IF(ETPT_TPRX!N7=0,"",ETPT_TPRX!N7)))</f>
        <v/>
      </c>
      <c r="O7" s="88" t="str">
        <f>IF(ISBLANK(ETPT_TPRX_DDG!$D$5),"",IF(ISERROR(ETPT_TPRX!O7),"",IF(ETPT_TPRX!O7=0,"",ETPT_TPRX!O7)))</f>
        <v/>
      </c>
      <c r="P7" s="88" t="str">
        <f>IF(ISBLANK(ETPT_TPRX_DDG!$D$5),"",IF(ISERROR(ETPT_TPRX!P7),"",IF(ETPT_TPRX!P7=0,"",ETPT_TPRX!P7)))</f>
        <v/>
      </c>
      <c r="Q7" s="88" t="str">
        <f>IF(ISBLANK(ETPT_TPRX_DDG!$D$5),"",IF(ISERROR(ETPT_TPRX!Q7),"",IF(ETPT_TPRX!Q7=0,"",ETPT_TPRX!Q7)))</f>
        <v/>
      </c>
      <c r="R7" s="88" t="str">
        <f>IF(ISBLANK(ETPT_TPRX_DDG!$D$5),"",IF(ISERROR(ETPT_TPRX!R7),"",IF(ETPT_TPRX!R7=0,"",ETPT_TPRX!R7)))</f>
        <v/>
      </c>
      <c r="S7" s="65">
        <f t="shared" si="1"/>
        <v>0</v>
      </c>
      <c r="T7" s="88" t="str">
        <f>IF(ISBLANK(ETPT_TPRX_DDG!$D$5),"",IF(ISERROR(ETPT_TPRX!T7),"",IF(ETPT_TPRX!T7=0,"",ETPT_TPRX!T7)))</f>
        <v/>
      </c>
      <c r="U7" s="65">
        <f t="shared" si="2"/>
        <v>0</v>
      </c>
      <c r="V7" s="88" t="str">
        <f>IF(ISBLANK(ETPT_TPRX_DDG!$D$5),"",IF(ISERROR(ETPT_TPRX!V7),"",IF(ETPT_TPRX!V7=0,"",ETPT_TPRX!V7)))</f>
        <v/>
      </c>
      <c r="W7" s="88" t="str">
        <f>IF(ISBLANK(ETPT_TPRX_DDG!$D$5),"",IF(ISERROR(ETPT_TPRX!W7),"",IF(ETPT_TPRX!W7=0,"",ETPT_TPRX!W7)))</f>
        <v/>
      </c>
      <c r="X7" s="88" t="str">
        <f>IF(ISBLANK(ETPT_TPRX_DDG!$D$5),"",IF(ISERROR(ETPT_TPRX!X7),"",IF(ETPT_TPRX!X7=0,"",ETPT_TPRX!X7)))</f>
        <v/>
      </c>
      <c r="Y7" s="88" t="str">
        <f>IF(ISBLANK(ETPT_TPRX_DDG!$D$5),"",IF(ISERROR(ETPT_TPRX!Y7),"",IF(ETPT_TPRX!Y7=0,"",ETPT_TPRX!Y7)))</f>
        <v/>
      </c>
      <c r="Z7" s="88" t="str">
        <f>IF(ISBLANK(ETPT_TPRX_DDG!$D$5),"",IF(ISERROR(ETPT_TPRX!Z7),"",IF(ETPT_TPRX!Z7=0,"",ETPT_TPRX!Z7)))</f>
        <v/>
      </c>
      <c r="AA7" s="88" t="str">
        <f>IF(ISBLANK(ETPT_TPRX_DDG!$D$5),"",IF(ISERROR(ETPT_TPRX!AA7),"",IF(ETPT_TPRX!AA7=0,"",ETPT_TPRX!AA7)))</f>
        <v/>
      </c>
      <c r="AB7" s="88" t="str">
        <f>IF(ISBLANK(ETPT_TPRX_DDG!$D$5),"",IF(ISERROR(ETPT_TPRX!AB7),"",IF(ETPT_TPRX!AB7=0,"",ETPT_TPRX!AB7)))</f>
        <v/>
      </c>
      <c r="AC7" s="88" t="str">
        <f>IF(ISBLANK(ETPT_TPRX_DDG!$D$5),"",IF(ISERROR(ETPT_TPRX!AC7),"",IF(ETPT_TPRX!AC7=0,"",ETPT_TPRX!AC7)))</f>
        <v/>
      </c>
      <c r="AD7" s="88" t="str">
        <f>IF(ISBLANK(ETPT_TPRX_DDG!$D$5),"",IF(ISERROR(ETPT_TPRX!AD7),"",IF(ETPT_TPRX!AD7=0,"",ETPT_TPRX!AD7)))</f>
        <v/>
      </c>
      <c r="AE7" s="65">
        <f t="shared" si="3"/>
        <v>0</v>
      </c>
      <c r="AF7" s="88" t="str">
        <f>IF(ISBLANK(ETPT_TPRX_DDG!$D$5),"",IF(ISERROR(ETPT_TPRX!AF7),"",IF(ETPT_TPRX!AF7=0,"",ETPT_TPRX!AF7)))</f>
        <v/>
      </c>
      <c r="AG7" s="88" t="str">
        <f>IF(ISBLANK(ETPT_TPRX_DDG!$D$5),"",IF(ISERROR(ETPT_TPRX!AG7),"",IF(ETPT_TPRX!AG7=0,"",ETPT_TPRX!AG7)))</f>
        <v/>
      </c>
      <c r="AH7" s="88" t="str">
        <f>IF(ISBLANK(ETPT_TPRX_DDG!$D$5),"",IF(ISERROR(ETPT_TPRX!AH7),"",IF(ETPT_TPRX!AH7=0,"",ETPT_TPRX!AH7)))</f>
        <v/>
      </c>
      <c r="AI7" s="65">
        <f t="shared" si="4"/>
        <v>0</v>
      </c>
    </row>
    <row r="8" spans="1:62" x14ac:dyDescent="0.2">
      <c r="A8" s="109" t="s">
        <v>326</v>
      </c>
      <c r="B8" s="81"/>
      <c r="C8" s="81"/>
      <c r="D8" s="81" t="str">
        <f t="shared" si="5"/>
        <v/>
      </c>
      <c r="E8" s="81" t="s">
        <v>207</v>
      </c>
      <c r="F8" s="81" t="s">
        <v>206</v>
      </c>
      <c r="G8" s="88" t="str">
        <f>IF(ISBLANK(ETPT_TPRX_DDG!$D$5),"",IF(ISERROR(ETPT_TPRX!G8),"",IF(ETPT_TPRX!G8=0,"",ETPT_TPRX!G8)))</f>
        <v/>
      </c>
      <c r="H8" s="65">
        <f t="shared" si="0"/>
        <v>0</v>
      </c>
      <c r="I8" s="88" t="str">
        <f>IF(ISBLANK(ETPT_TPRX_DDG!$D$5),"",IF(ISERROR(ETPT_TPRX!I8),"",IF(ETPT_TPRX!I8=0,"",ETPT_TPRX!I8)))</f>
        <v/>
      </c>
      <c r="J8" s="88" t="str">
        <f>IF(ISBLANK(ETPT_TPRX_DDG!$D$5),"",IF(ISERROR(ETPT_TPRX!J8),"",IF(ETPT_TPRX!J8=0,"",ETPT_TPRX!J8)))</f>
        <v/>
      </c>
      <c r="K8" s="88" t="str">
        <f>IF(ISBLANK(ETPT_TPRX_DDG!$D$5),"",IF(ISERROR(ETPT_TPRX!K8),"",IF(ETPT_TPRX!K8=0,"",ETPT_TPRX!K8)))</f>
        <v/>
      </c>
      <c r="L8" s="88" t="str">
        <f>IF(ISBLANK(ETPT_TPRX_DDG!$D$5),"",IF(ISERROR(ETPT_TPRX!L8),"",IF(ETPT_TPRX!L8=0,"",ETPT_TPRX!L8)))</f>
        <v/>
      </c>
      <c r="M8" s="88" t="str">
        <f>IF(ISBLANK(ETPT_TPRX_DDG!$D$5),"",IF(ISERROR(ETPT_TPRX!M8),"",IF(ETPT_TPRX!M8=0,"",ETPT_TPRX!M8)))</f>
        <v/>
      </c>
      <c r="N8" s="88" t="str">
        <f>IF(ISBLANK(ETPT_TPRX_DDG!$D$5),"",IF(ISERROR(ETPT_TPRX!N8),"",IF(ETPT_TPRX!N8=0,"",ETPT_TPRX!N8)))</f>
        <v/>
      </c>
      <c r="O8" s="88" t="str">
        <f>IF(ISBLANK(ETPT_TPRX_DDG!$D$5),"",IF(ISERROR(ETPT_TPRX!O8),"",IF(ETPT_TPRX!O8=0,"",ETPT_TPRX!O8)))</f>
        <v/>
      </c>
      <c r="P8" s="88" t="str">
        <f>IF(ISBLANK(ETPT_TPRX_DDG!$D$5),"",IF(ISERROR(ETPT_TPRX!P8),"",IF(ETPT_TPRX!P8=0,"",ETPT_TPRX!P8)))</f>
        <v/>
      </c>
      <c r="Q8" s="88" t="str">
        <f>IF(ISBLANK(ETPT_TPRX_DDG!$D$5),"",IF(ISERROR(ETPT_TPRX!Q8),"",IF(ETPT_TPRX!Q8=0,"",ETPT_TPRX!Q8)))</f>
        <v/>
      </c>
      <c r="R8" s="88" t="str">
        <f>IF(ISBLANK(ETPT_TPRX_DDG!$D$5),"",IF(ISERROR(ETPT_TPRX!R8),"",IF(ETPT_TPRX!R8=0,"",ETPT_TPRX!R8)))</f>
        <v/>
      </c>
      <c r="S8" s="65">
        <f t="shared" si="1"/>
        <v>0</v>
      </c>
      <c r="T8" s="88" t="str">
        <f>IF(ISBLANK(ETPT_TPRX_DDG!$D$5),"",IF(ISERROR(ETPT_TPRX!T8),"",IF(ETPT_TPRX!T8=0,"",ETPT_TPRX!T8)))</f>
        <v/>
      </c>
      <c r="U8" s="65">
        <f t="shared" si="2"/>
        <v>0</v>
      </c>
      <c r="V8" s="88" t="str">
        <f>IF(ISBLANK(ETPT_TPRX_DDG!$D$5),"",IF(ISERROR(ETPT_TPRX!V8),"",IF(ETPT_TPRX!V8=0,"",ETPT_TPRX!V8)))</f>
        <v/>
      </c>
      <c r="W8" s="88" t="str">
        <f>IF(ISBLANK(ETPT_TPRX_DDG!$D$5),"",IF(ISERROR(ETPT_TPRX!W8),"",IF(ETPT_TPRX!W8=0,"",ETPT_TPRX!W8)))</f>
        <v/>
      </c>
      <c r="X8" s="88" t="str">
        <f>IF(ISBLANK(ETPT_TPRX_DDG!$D$5),"",IF(ISERROR(ETPT_TPRX!X8),"",IF(ETPT_TPRX!X8=0,"",ETPT_TPRX!X8)))</f>
        <v/>
      </c>
      <c r="Y8" s="88" t="str">
        <f>IF(ISBLANK(ETPT_TPRX_DDG!$D$5),"",IF(ISERROR(ETPT_TPRX!Y8),"",IF(ETPT_TPRX!Y8=0,"",ETPT_TPRX!Y8)))</f>
        <v/>
      </c>
      <c r="Z8" s="88" t="str">
        <f>IF(ISBLANK(ETPT_TPRX_DDG!$D$5),"",IF(ISERROR(ETPT_TPRX!Z8),"",IF(ETPT_TPRX!Z8=0,"",ETPT_TPRX!Z8)))</f>
        <v/>
      </c>
      <c r="AA8" s="88" t="str">
        <f>IF(ISBLANK(ETPT_TPRX_DDG!$D$5),"",IF(ISERROR(ETPT_TPRX!AA8),"",IF(ETPT_TPRX!AA8=0,"",ETPT_TPRX!AA8)))</f>
        <v/>
      </c>
      <c r="AB8" s="88" t="str">
        <f>IF(ISBLANK(ETPT_TPRX_DDG!$D$5),"",IF(ISERROR(ETPT_TPRX!AB8),"",IF(ETPT_TPRX!AB8=0,"",ETPT_TPRX!AB8)))</f>
        <v/>
      </c>
      <c r="AC8" s="88" t="str">
        <f>IF(ISBLANK(ETPT_TPRX_DDG!$D$5),"",IF(ISERROR(ETPT_TPRX!AC8),"",IF(ETPT_TPRX!AC8=0,"",ETPT_TPRX!AC8)))</f>
        <v/>
      </c>
      <c r="AD8" s="88" t="str">
        <f>IF(ISBLANK(ETPT_TPRX_DDG!$D$5),"",IF(ISERROR(ETPT_TPRX!AD8),"",IF(ETPT_TPRX!AD8=0,"",ETPT_TPRX!AD8)))</f>
        <v/>
      </c>
      <c r="AE8" s="65">
        <f t="shared" si="3"/>
        <v>0</v>
      </c>
      <c r="AF8" s="88" t="str">
        <f>IF(ISBLANK(ETPT_TPRX_DDG!$D$5),"",IF(ISERROR(ETPT_TPRX!AF8),"",IF(ETPT_TPRX!AF8=0,"",ETPT_TPRX!AF8)))</f>
        <v/>
      </c>
      <c r="AG8" s="88" t="str">
        <f>IF(ISBLANK(ETPT_TPRX_DDG!$D$5),"",IF(ISERROR(ETPT_TPRX!AG8),"",IF(ETPT_TPRX!AG8=0,"",ETPT_TPRX!AG8)))</f>
        <v/>
      </c>
      <c r="AH8" s="88" t="str">
        <f>IF(ISBLANK(ETPT_TPRX_DDG!$D$5),"",IF(ISERROR(ETPT_TPRX!AH8),"",IF(ETPT_TPRX!AH8=0,"",ETPT_TPRX!AH8)))</f>
        <v/>
      </c>
      <c r="AI8" s="65">
        <f t="shared" si="4"/>
        <v>0</v>
      </c>
    </row>
    <row r="9" spans="1:62" x14ac:dyDescent="0.2">
      <c r="A9" s="109" t="s">
        <v>326</v>
      </c>
      <c r="B9" s="81"/>
      <c r="C9" s="81"/>
      <c r="D9" s="81" t="str">
        <f t="shared" si="5"/>
        <v/>
      </c>
      <c r="E9" s="81" t="s">
        <v>205</v>
      </c>
      <c r="F9" s="81" t="s">
        <v>204</v>
      </c>
      <c r="G9" s="88" t="str">
        <f>IF(ISBLANK(ETPT_TPRX_DDG!$D$5),"",IF(ISERROR(ETPT_TPRX!G9),"",IF(ETPT_TPRX!G9=0,"",ETPT_TPRX!G9)))</f>
        <v/>
      </c>
      <c r="H9" s="65">
        <f t="shared" si="0"/>
        <v>0</v>
      </c>
      <c r="I9" s="88" t="str">
        <f>IF(ISBLANK(ETPT_TPRX_DDG!$D$5),"",IF(ISERROR(ETPT_TPRX!I9),"",IF(ETPT_TPRX!I9=0,"",ETPT_TPRX!I9)))</f>
        <v/>
      </c>
      <c r="J9" s="88" t="str">
        <f>IF(ISBLANK(ETPT_TPRX_DDG!$D$5),"",IF(ISERROR(ETPT_TPRX!J9),"",IF(ETPT_TPRX!J9=0,"",ETPT_TPRX!J9)))</f>
        <v/>
      </c>
      <c r="K9" s="88" t="str">
        <f>IF(ISBLANK(ETPT_TPRX_DDG!$D$5),"",IF(ISERROR(ETPT_TPRX!K9),"",IF(ETPT_TPRX!K9=0,"",ETPT_TPRX!K9)))</f>
        <v/>
      </c>
      <c r="L9" s="88" t="str">
        <f>IF(ISBLANK(ETPT_TPRX_DDG!$D$5),"",IF(ISERROR(ETPT_TPRX!L9),"",IF(ETPT_TPRX!L9=0,"",ETPT_TPRX!L9)))</f>
        <v/>
      </c>
      <c r="M9" s="88" t="str">
        <f>IF(ISBLANK(ETPT_TPRX_DDG!$D$5),"",IF(ISERROR(ETPT_TPRX!M9),"",IF(ETPT_TPRX!M9=0,"",ETPT_TPRX!M9)))</f>
        <v/>
      </c>
      <c r="N9" s="88" t="str">
        <f>IF(ISBLANK(ETPT_TPRX_DDG!$D$5),"",IF(ISERROR(ETPT_TPRX!N9),"",IF(ETPT_TPRX!N9=0,"",ETPT_TPRX!N9)))</f>
        <v/>
      </c>
      <c r="O9" s="88" t="str">
        <f>IF(ISBLANK(ETPT_TPRX_DDG!$D$5),"",IF(ISERROR(ETPT_TPRX!O9),"",IF(ETPT_TPRX!O9=0,"",ETPT_TPRX!O9)))</f>
        <v/>
      </c>
      <c r="P9" s="88" t="str">
        <f>IF(ISBLANK(ETPT_TPRX_DDG!$D$5),"",IF(ISERROR(ETPT_TPRX!P9),"",IF(ETPT_TPRX!P9=0,"",ETPT_TPRX!P9)))</f>
        <v/>
      </c>
      <c r="Q9" s="88" t="str">
        <f>IF(ISBLANK(ETPT_TPRX_DDG!$D$5),"",IF(ISERROR(ETPT_TPRX!Q9),"",IF(ETPT_TPRX!Q9=0,"",ETPT_TPRX!Q9)))</f>
        <v/>
      </c>
      <c r="R9" s="88" t="str">
        <f>IF(ISBLANK(ETPT_TPRX_DDG!$D$5),"",IF(ISERROR(ETPT_TPRX!R9),"",IF(ETPT_TPRX!R9=0,"",ETPT_TPRX!R9)))</f>
        <v/>
      </c>
      <c r="S9" s="65">
        <f t="shared" si="1"/>
        <v>0</v>
      </c>
      <c r="T9" s="88" t="str">
        <f>IF(ISBLANK(ETPT_TPRX_DDG!$D$5),"",IF(ISERROR(ETPT_TPRX!T9),"",IF(ETPT_TPRX!T9=0,"",ETPT_TPRX!T9)))</f>
        <v/>
      </c>
      <c r="U9" s="65">
        <f t="shared" si="2"/>
        <v>0</v>
      </c>
      <c r="V9" s="88" t="str">
        <f>IF(ISBLANK(ETPT_TPRX_DDG!$D$5),"",IF(ISERROR(ETPT_TPRX!V9),"",IF(ETPT_TPRX!V9=0,"",ETPT_TPRX!V9)))</f>
        <v/>
      </c>
      <c r="W9" s="88" t="str">
        <f>IF(ISBLANK(ETPT_TPRX_DDG!$D$5),"",IF(ISERROR(ETPT_TPRX!W9),"",IF(ETPT_TPRX!W9=0,"",ETPT_TPRX!W9)))</f>
        <v/>
      </c>
      <c r="X9" s="88" t="str">
        <f>IF(ISBLANK(ETPT_TPRX_DDG!$D$5),"",IF(ISERROR(ETPT_TPRX!X9),"",IF(ETPT_TPRX!X9=0,"",ETPT_TPRX!X9)))</f>
        <v/>
      </c>
      <c r="Y9" s="88" t="str">
        <f>IF(ISBLANK(ETPT_TPRX_DDG!$D$5),"",IF(ISERROR(ETPT_TPRX!Y9),"",IF(ETPT_TPRX!Y9=0,"",ETPT_TPRX!Y9)))</f>
        <v/>
      </c>
      <c r="Z9" s="88" t="str">
        <f>IF(ISBLANK(ETPT_TPRX_DDG!$D$5),"",IF(ISERROR(ETPT_TPRX!Z9),"",IF(ETPT_TPRX!Z9=0,"",ETPT_TPRX!Z9)))</f>
        <v/>
      </c>
      <c r="AA9" s="88" t="str">
        <f>IF(ISBLANK(ETPT_TPRX_DDG!$D$5),"",IF(ISERROR(ETPT_TPRX!AA9),"",IF(ETPT_TPRX!AA9=0,"",ETPT_TPRX!AA9)))</f>
        <v/>
      </c>
      <c r="AB9" s="88" t="str">
        <f>IF(ISBLANK(ETPT_TPRX_DDG!$D$5),"",IF(ISERROR(ETPT_TPRX!AB9),"",IF(ETPT_TPRX!AB9=0,"",ETPT_TPRX!AB9)))</f>
        <v/>
      </c>
      <c r="AC9" s="88" t="str">
        <f>IF(ISBLANK(ETPT_TPRX_DDG!$D$5),"",IF(ISERROR(ETPT_TPRX!AC9),"",IF(ETPT_TPRX!AC9=0,"",ETPT_TPRX!AC9)))</f>
        <v/>
      </c>
      <c r="AD9" s="88" t="str">
        <f>IF(ISBLANK(ETPT_TPRX_DDG!$D$5),"",IF(ISERROR(ETPT_TPRX!AD9),"",IF(ETPT_TPRX!AD9=0,"",ETPT_TPRX!AD9)))</f>
        <v/>
      </c>
      <c r="AE9" s="65">
        <f t="shared" si="3"/>
        <v>0</v>
      </c>
      <c r="AF9" s="88" t="str">
        <f>IF(ISBLANK(ETPT_TPRX_DDG!$D$5),"",IF(ISERROR(ETPT_TPRX!AF9),"",IF(ETPT_TPRX!AF9=0,"",ETPT_TPRX!AF9)))</f>
        <v/>
      </c>
      <c r="AG9" s="88" t="str">
        <f>IF(ISBLANK(ETPT_TPRX_DDG!$D$5),"",IF(ISERROR(ETPT_TPRX!AG9),"",IF(ETPT_TPRX!AG9=0,"",ETPT_TPRX!AG9)))</f>
        <v/>
      </c>
      <c r="AH9" s="88" t="str">
        <f>IF(ISBLANK(ETPT_TPRX_DDG!$D$5),"",IF(ISERROR(ETPT_TPRX!AH9),"",IF(ETPT_TPRX!AH9=0,"",ETPT_TPRX!AH9)))</f>
        <v/>
      </c>
      <c r="AI9" s="65">
        <f t="shared" si="4"/>
        <v>0</v>
      </c>
    </row>
    <row r="10" spans="1:62" x14ac:dyDescent="0.2">
      <c r="A10" s="109" t="s">
        <v>326</v>
      </c>
      <c r="B10" s="81"/>
      <c r="C10" s="81"/>
      <c r="D10" s="81" t="str">
        <f t="shared" si="5"/>
        <v/>
      </c>
      <c r="E10" s="81" t="s">
        <v>203</v>
      </c>
      <c r="F10" s="81" t="s">
        <v>202</v>
      </c>
      <c r="G10" s="88" t="str">
        <f>IF(ISBLANK(ETPT_TPRX_DDG!$D$5),"",IF(ISERROR(ETPT_TPRX!G10),"",IF(ETPT_TPRX!G10=0,"",ETPT_TPRX!G10)))</f>
        <v/>
      </c>
      <c r="H10" s="65">
        <f t="shared" si="0"/>
        <v>0</v>
      </c>
      <c r="I10" s="88" t="str">
        <f>IF(ISBLANK(ETPT_TPRX_DDG!$D$5),"",IF(ISERROR(ETPT_TPRX!I10),"",IF(ETPT_TPRX!I10=0,"",ETPT_TPRX!I10)))</f>
        <v/>
      </c>
      <c r="J10" s="88" t="str">
        <f>IF(ISBLANK(ETPT_TPRX_DDG!$D$5),"",IF(ISERROR(ETPT_TPRX!J10),"",IF(ETPT_TPRX!J10=0,"",ETPT_TPRX!J10)))</f>
        <v/>
      </c>
      <c r="K10" s="88" t="str">
        <f>IF(ISBLANK(ETPT_TPRX_DDG!$D$5),"",IF(ISERROR(ETPT_TPRX!K10),"",IF(ETPT_TPRX!K10=0,"",ETPT_TPRX!K10)))</f>
        <v/>
      </c>
      <c r="L10" s="88" t="str">
        <f>IF(ISBLANK(ETPT_TPRX_DDG!$D$5),"",IF(ISERROR(ETPT_TPRX!L10),"",IF(ETPT_TPRX!L10=0,"",ETPT_TPRX!L10)))</f>
        <v/>
      </c>
      <c r="M10" s="88" t="str">
        <f>IF(ISBLANK(ETPT_TPRX_DDG!$D$5),"",IF(ISERROR(ETPT_TPRX!M10),"",IF(ETPT_TPRX!M10=0,"",ETPT_TPRX!M10)))</f>
        <v/>
      </c>
      <c r="N10" s="88" t="str">
        <f>IF(ISBLANK(ETPT_TPRX_DDG!$D$5),"",IF(ISERROR(ETPT_TPRX!N10),"",IF(ETPT_TPRX!N10=0,"",ETPT_TPRX!N10)))</f>
        <v/>
      </c>
      <c r="O10" s="88" t="str">
        <f>IF(ISBLANK(ETPT_TPRX_DDG!$D$5),"",IF(ISERROR(ETPT_TPRX!O10),"",IF(ETPT_TPRX!O10=0,"",ETPT_TPRX!O10)))</f>
        <v/>
      </c>
      <c r="P10" s="88" t="str">
        <f>IF(ISBLANK(ETPT_TPRX_DDG!$D$5),"",IF(ISERROR(ETPT_TPRX!P10),"",IF(ETPT_TPRX!P10=0,"",ETPT_TPRX!P10)))</f>
        <v/>
      </c>
      <c r="Q10" s="88" t="str">
        <f>IF(ISBLANK(ETPT_TPRX_DDG!$D$5),"",IF(ISERROR(ETPT_TPRX!Q10),"",IF(ETPT_TPRX!Q10=0,"",ETPT_TPRX!Q10)))</f>
        <v/>
      </c>
      <c r="R10" s="88" t="str">
        <f>IF(ISBLANK(ETPT_TPRX_DDG!$D$5),"",IF(ISERROR(ETPT_TPRX!R10),"",IF(ETPT_TPRX!R10=0,"",ETPT_TPRX!R10)))</f>
        <v/>
      </c>
      <c r="S10" s="65">
        <f t="shared" si="1"/>
        <v>0</v>
      </c>
      <c r="T10" s="88" t="str">
        <f>IF(ISBLANK(ETPT_TPRX_DDG!$D$5),"",IF(ISERROR(ETPT_TPRX!T10),"",IF(ETPT_TPRX!T10=0,"",ETPT_TPRX!T10)))</f>
        <v/>
      </c>
      <c r="U10" s="65">
        <f t="shared" si="2"/>
        <v>0</v>
      </c>
      <c r="V10" s="88" t="str">
        <f>IF(ISBLANK(ETPT_TPRX_DDG!$D$5),"",IF(ISERROR(ETPT_TPRX!V10),"",IF(ETPT_TPRX!V10=0,"",ETPT_TPRX!V10)))</f>
        <v/>
      </c>
      <c r="W10" s="88" t="str">
        <f>IF(ISBLANK(ETPT_TPRX_DDG!$D$5),"",IF(ISERROR(ETPT_TPRX!W10),"",IF(ETPT_TPRX!W10=0,"",ETPT_TPRX!W10)))</f>
        <v/>
      </c>
      <c r="X10" s="88" t="str">
        <f>IF(ISBLANK(ETPT_TPRX_DDG!$D$5),"",IF(ISERROR(ETPT_TPRX!X10),"",IF(ETPT_TPRX!X10=0,"",ETPT_TPRX!X10)))</f>
        <v/>
      </c>
      <c r="Y10" s="88" t="str">
        <f>IF(ISBLANK(ETPT_TPRX_DDG!$D$5),"",IF(ISERROR(ETPT_TPRX!Y10),"",IF(ETPT_TPRX!Y10=0,"",ETPT_TPRX!Y10)))</f>
        <v/>
      </c>
      <c r="Z10" s="88" t="str">
        <f>IF(ISBLANK(ETPT_TPRX_DDG!$D$5),"",IF(ISERROR(ETPT_TPRX!Z10),"",IF(ETPT_TPRX!Z10=0,"",ETPT_TPRX!Z10)))</f>
        <v/>
      </c>
      <c r="AA10" s="88" t="str">
        <f>IF(ISBLANK(ETPT_TPRX_DDG!$D$5),"",IF(ISERROR(ETPT_TPRX!AA10),"",IF(ETPT_TPRX!AA10=0,"",ETPT_TPRX!AA10)))</f>
        <v/>
      </c>
      <c r="AB10" s="88" t="str">
        <f>IF(ISBLANK(ETPT_TPRX_DDG!$D$5),"",IF(ISERROR(ETPT_TPRX!AB10),"",IF(ETPT_TPRX!AB10=0,"",ETPT_TPRX!AB10)))</f>
        <v/>
      </c>
      <c r="AC10" s="88" t="str">
        <f>IF(ISBLANK(ETPT_TPRX_DDG!$D$5),"",IF(ISERROR(ETPT_TPRX!AC10),"",IF(ETPT_TPRX!AC10=0,"",ETPT_TPRX!AC10)))</f>
        <v/>
      </c>
      <c r="AD10" s="88" t="str">
        <f>IF(ISBLANK(ETPT_TPRX_DDG!$D$5),"",IF(ISERROR(ETPT_TPRX!AD10),"",IF(ETPT_TPRX!AD10=0,"",ETPT_TPRX!AD10)))</f>
        <v/>
      </c>
      <c r="AE10" s="65">
        <f t="shared" si="3"/>
        <v>0</v>
      </c>
      <c r="AF10" s="88" t="str">
        <f>IF(ISBLANK(ETPT_TPRX_DDG!$D$5),"",IF(ISERROR(ETPT_TPRX!AF10),"",IF(ETPT_TPRX!AF10=0,"",ETPT_TPRX!AF10)))</f>
        <v/>
      </c>
      <c r="AG10" s="88" t="str">
        <f>IF(ISBLANK(ETPT_TPRX_DDG!$D$5),"",IF(ISERROR(ETPT_TPRX!AG10),"",IF(ETPT_TPRX!AG10=0,"",ETPT_TPRX!AG10)))</f>
        <v/>
      </c>
      <c r="AH10" s="88" t="str">
        <f>IF(ISBLANK(ETPT_TPRX_DDG!$D$5),"",IF(ISERROR(ETPT_TPRX!AH10),"",IF(ETPT_TPRX!AH10=0,"",ETPT_TPRX!AH10)))</f>
        <v/>
      </c>
      <c r="AI10" s="65">
        <f t="shared" si="4"/>
        <v>0</v>
      </c>
    </row>
    <row r="11" spans="1:62" x14ac:dyDescent="0.2">
      <c r="A11" s="109" t="s">
        <v>326</v>
      </c>
      <c r="B11" s="81"/>
      <c r="C11" s="81"/>
      <c r="D11" s="81" t="str">
        <f t="shared" si="5"/>
        <v/>
      </c>
      <c r="E11" s="81" t="s">
        <v>201</v>
      </c>
      <c r="F11" s="81" t="s">
        <v>200</v>
      </c>
      <c r="G11" s="88" t="str">
        <f>IF(ISBLANK(ETPT_TPRX_DDG!$D$5),"",IF(ISERROR(ETPT_TPRX!G11),"",IF(ETPT_TPRX!G11=0,"",ETPT_TPRX!G11)))</f>
        <v/>
      </c>
      <c r="H11" s="65">
        <f t="shared" si="0"/>
        <v>0</v>
      </c>
      <c r="I11" s="88" t="str">
        <f>IF(ISBLANK(ETPT_TPRX_DDG!$D$5),"",IF(ISERROR(ETPT_TPRX!I11),"",IF(ETPT_TPRX!I11=0,"",ETPT_TPRX!I11)))</f>
        <v/>
      </c>
      <c r="J11" s="88" t="str">
        <f>IF(ISBLANK(ETPT_TPRX_DDG!$D$5),"",IF(ISERROR(ETPT_TPRX!J11),"",IF(ETPT_TPRX!J11=0,"",ETPT_TPRX!J11)))</f>
        <v/>
      </c>
      <c r="K11" s="88" t="str">
        <f>IF(ISBLANK(ETPT_TPRX_DDG!$D$5),"",IF(ISERROR(ETPT_TPRX!K11),"",IF(ETPT_TPRX!K11=0,"",ETPT_TPRX!K11)))</f>
        <v/>
      </c>
      <c r="L11" s="88" t="str">
        <f>IF(ISBLANK(ETPT_TPRX_DDG!$D$5),"",IF(ISERROR(ETPT_TPRX!L11),"",IF(ETPT_TPRX!L11=0,"",ETPT_TPRX!L11)))</f>
        <v/>
      </c>
      <c r="M11" s="88" t="str">
        <f>IF(ISBLANK(ETPT_TPRX_DDG!$D$5),"",IF(ISERROR(ETPT_TPRX!M11),"",IF(ETPT_TPRX!M11=0,"",ETPT_TPRX!M11)))</f>
        <v/>
      </c>
      <c r="N11" s="88" t="str">
        <f>IF(ISBLANK(ETPT_TPRX_DDG!$D$5),"",IF(ISERROR(ETPT_TPRX!N11),"",IF(ETPT_TPRX!N11=0,"",ETPT_TPRX!N11)))</f>
        <v/>
      </c>
      <c r="O11" s="88" t="str">
        <f>IF(ISBLANK(ETPT_TPRX_DDG!$D$5),"",IF(ISERROR(ETPT_TPRX!O11),"",IF(ETPT_TPRX!O11=0,"",ETPT_TPRX!O11)))</f>
        <v/>
      </c>
      <c r="P11" s="88" t="str">
        <f>IF(ISBLANK(ETPT_TPRX_DDG!$D$5),"",IF(ISERROR(ETPT_TPRX!P11),"",IF(ETPT_TPRX!P11=0,"",ETPT_TPRX!P11)))</f>
        <v/>
      </c>
      <c r="Q11" s="88" t="str">
        <f>IF(ISBLANK(ETPT_TPRX_DDG!$D$5),"",IF(ISERROR(ETPT_TPRX!Q11),"",IF(ETPT_TPRX!Q11=0,"",ETPT_TPRX!Q11)))</f>
        <v/>
      </c>
      <c r="R11" s="88" t="str">
        <f>IF(ISBLANK(ETPT_TPRX_DDG!$D$5),"",IF(ISERROR(ETPT_TPRX!R11),"",IF(ETPT_TPRX!R11=0,"",ETPT_TPRX!R11)))</f>
        <v/>
      </c>
      <c r="S11" s="65">
        <f t="shared" si="1"/>
        <v>0</v>
      </c>
      <c r="T11" s="88" t="str">
        <f>IF(ISBLANK(ETPT_TPRX_DDG!$D$5),"",IF(ISERROR(ETPT_TPRX!T11),"",IF(ETPT_TPRX!T11=0,"",ETPT_TPRX!T11)))</f>
        <v/>
      </c>
      <c r="U11" s="65">
        <f t="shared" si="2"/>
        <v>0</v>
      </c>
      <c r="V11" s="88" t="str">
        <f>IF(ISBLANK(ETPT_TPRX_DDG!$D$5),"",IF(ISERROR(ETPT_TPRX!V11),"",IF(ETPT_TPRX!V11=0,"",ETPT_TPRX!V11)))</f>
        <v/>
      </c>
      <c r="W11" s="88" t="str">
        <f>IF(ISBLANK(ETPT_TPRX_DDG!$D$5),"",IF(ISERROR(ETPT_TPRX!W11),"",IF(ETPT_TPRX!W11=0,"",ETPT_TPRX!W11)))</f>
        <v/>
      </c>
      <c r="X11" s="88" t="str">
        <f>IF(ISBLANK(ETPT_TPRX_DDG!$D$5),"",IF(ISERROR(ETPT_TPRX!X11),"",IF(ETPT_TPRX!X11=0,"",ETPT_TPRX!X11)))</f>
        <v/>
      </c>
      <c r="Y11" s="88" t="str">
        <f>IF(ISBLANK(ETPT_TPRX_DDG!$D$5),"",IF(ISERROR(ETPT_TPRX!Y11),"",IF(ETPT_TPRX!Y11=0,"",ETPT_TPRX!Y11)))</f>
        <v/>
      </c>
      <c r="Z11" s="88" t="str">
        <f>IF(ISBLANK(ETPT_TPRX_DDG!$D$5),"",IF(ISERROR(ETPT_TPRX!Z11),"",IF(ETPT_TPRX!Z11=0,"",ETPT_TPRX!Z11)))</f>
        <v/>
      </c>
      <c r="AA11" s="88" t="str">
        <f>IF(ISBLANK(ETPT_TPRX_DDG!$D$5),"",IF(ISERROR(ETPT_TPRX!AA11),"",IF(ETPT_TPRX!AA11=0,"",ETPT_TPRX!AA11)))</f>
        <v/>
      </c>
      <c r="AB11" s="88" t="str">
        <f>IF(ISBLANK(ETPT_TPRX_DDG!$D$5),"",IF(ISERROR(ETPT_TPRX!AB11),"",IF(ETPT_TPRX!AB11=0,"",ETPT_TPRX!AB11)))</f>
        <v/>
      </c>
      <c r="AC11" s="88" t="str">
        <f>IF(ISBLANK(ETPT_TPRX_DDG!$D$5),"",IF(ISERROR(ETPT_TPRX!AC11),"",IF(ETPT_TPRX!AC11=0,"",ETPT_TPRX!AC11)))</f>
        <v/>
      </c>
      <c r="AD11" s="88" t="str">
        <f>IF(ISBLANK(ETPT_TPRX_DDG!$D$5),"",IF(ISERROR(ETPT_TPRX!AD11),"",IF(ETPT_TPRX!AD11=0,"",ETPT_TPRX!AD11)))</f>
        <v/>
      </c>
      <c r="AE11" s="65">
        <f t="shared" si="3"/>
        <v>0</v>
      </c>
      <c r="AF11" s="88" t="str">
        <f>IF(ISBLANK(ETPT_TPRX_DDG!$D$5),"",IF(ISERROR(ETPT_TPRX!AF11),"",IF(ETPT_TPRX!AF11=0,"",ETPT_TPRX!AF11)))</f>
        <v/>
      </c>
      <c r="AG11" s="88" t="str">
        <f>IF(ISBLANK(ETPT_TPRX_DDG!$D$5),"",IF(ISERROR(ETPT_TPRX!AG11),"",IF(ETPT_TPRX!AG11=0,"",ETPT_TPRX!AG11)))</f>
        <v/>
      </c>
      <c r="AH11" s="88" t="str">
        <f>IF(ISBLANK(ETPT_TPRX_DDG!$D$5),"",IF(ISERROR(ETPT_TPRX!AH11),"",IF(ETPT_TPRX!AH11=0,"",ETPT_TPRX!AH11)))</f>
        <v/>
      </c>
      <c r="AI11" s="65">
        <f t="shared" si="4"/>
        <v>0</v>
      </c>
    </row>
    <row r="12" spans="1:62" x14ac:dyDescent="0.2">
      <c r="A12" s="109" t="s">
        <v>326</v>
      </c>
      <c r="B12" s="81"/>
      <c r="C12" s="81"/>
      <c r="D12" s="81" t="str">
        <f t="shared" si="5"/>
        <v/>
      </c>
      <c r="E12" s="81" t="s">
        <v>199</v>
      </c>
      <c r="F12" s="81" t="s">
        <v>198</v>
      </c>
      <c r="G12" s="88" t="str">
        <f>IF(ISBLANK(ETPT_TPRX_DDG!$D$5),"",IF(ISERROR(ETPT_TPRX!G12),"",IF(ETPT_TPRX!G12=0,"",ETPT_TPRX!G12)))</f>
        <v/>
      </c>
      <c r="H12" s="65">
        <f t="shared" si="0"/>
        <v>0</v>
      </c>
      <c r="I12" s="88" t="str">
        <f>IF(ISBLANK(ETPT_TPRX_DDG!$D$5),"",IF(ISERROR(ETPT_TPRX!I12),"",IF(ETPT_TPRX!I12=0,"",ETPT_TPRX!I12)))</f>
        <v/>
      </c>
      <c r="J12" s="88" t="str">
        <f>IF(ISBLANK(ETPT_TPRX_DDG!$D$5),"",IF(ISERROR(ETPT_TPRX!J12),"",IF(ETPT_TPRX!J12=0,"",ETPT_TPRX!J12)))</f>
        <v/>
      </c>
      <c r="K12" s="88" t="str">
        <f>IF(ISBLANK(ETPT_TPRX_DDG!$D$5),"",IF(ISERROR(ETPT_TPRX!K12),"",IF(ETPT_TPRX!K12=0,"",ETPT_TPRX!K12)))</f>
        <v/>
      </c>
      <c r="L12" s="88" t="str">
        <f>IF(ISBLANK(ETPT_TPRX_DDG!$D$5),"",IF(ISERROR(ETPT_TPRX!L12),"",IF(ETPT_TPRX!L12=0,"",ETPT_TPRX!L12)))</f>
        <v/>
      </c>
      <c r="M12" s="88" t="str">
        <f>IF(ISBLANK(ETPT_TPRX_DDG!$D$5),"",IF(ISERROR(ETPT_TPRX!M12),"",IF(ETPT_TPRX!M12=0,"",ETPT_TPRX!M12)))</f>
        <v/>
      </c>
      <c r="N12" s="88" t="str">
        <f>IF(ISBLANK(ETPT_TPRX_DDG!$D$5),"",IF(ISERROR(ETPT_TPRX!N12),"",IF(ETPT_TPRX!N12=0,"",ETPT_TPRX!N12)))</f>
        <v/>
      </c>
      <c r="O12" s="88" t="str">
        <f>IF(ISBLANK(ETPT_TPRX_DDG!$D$5),"",IF(ISERROR(ETPT_TPRX!O12),"",IF(ETPT_TPRX!O12=0,"",ETPT_TPRX!O12)))</f>
        <v/>
      </c>
      <c r="P12" s="88" t="str">
        <f>IF(ISBLANK(ETPT_TPRX_DDG!$D$5),"",IF(ISERROR(ETPT_TPRX!P12),"",IF(ETPT_TPRX!P12=0,"",ETPT_TPRX!P12)))</f>
        <v/>
      </c>
      <c r="Q12" s="88" t="str">
        <f>IF(ISBLANK(ETPT_TPRX_DDG!$D$5),"",IF(ISERROR(ETPT_TPRX!Q12),"",IF(ETPT_TPRX!Q12=0,"",ETPT_TPRX!Q12)))</f>
        <v/>
      </c>
      <c r="R12" s="88" t="str">
        <f>IF(ISBLANK(ETPT_TPRX_DDG!$D$5),"",IF(ISERROR(ETPT_TPRX!R12),"",IF(ETPT_TPRX!R12=0,"",ETPT_TPRX!R12)))</f>
        <v/>
      </c>
      <c r="S12" s="65">
        <f t="shared" si="1"/>
        <v>0</v>
      </c>
      <c r="T12" s="88" t="str">
        <f>IF(ISBLANK(ETPT_TPRX_DDG!$D$5),"",IF(ISERROR(ETPT_TPRX!T12),"",IF(ETPT_TPRX!T12=0,"",ETPT_TPRX!T12)))</f>
        <v/>
      </c>
      <c r="U12" s="65">
        <f t="shared" si="2"/>
        <v>0</v>
      </c>
      <c r="V12" s="88" t="str">
        <f>IF(ISBLANK(ETPT_TPRX_DDG!$D$5),"",IF(ISERROR(ETPT_TPRX!V12),"",IF(ETPT_TPRX!V12=0,"",ETPT_TPRX!V12)))</f>
        <v/>
      </c>
      <c r="W12" s="88" t="str">
        <f>IF(ISBLANK(ETPT_TPRX_DDG!$D$5),"",IF(ISERROR(ETPT_TPRX!W12),"",IF(ETPT_TPRX!W12=0,"",ETPT_TPRX!W12)))</f>
        <v/>
      </c>
      <c r="X12" s="88" t="str">
        <f>IF(ISBLANK(ETPT_TPRX_DDG!$D$5),"",IF(ISERROR(ETPT_TPRX!X12),"",IF(ETPT_TPRX!X12=0,"",ETPT_TPRX!X12)))</f>
        <v/>
      </c>
      <c r="Y12" s="88" t="str">
        <f>IF(ISBLANK(ETPT_TPRX_DDG!$D$5),"",IF(ISERROR(ETPT_TPRX!Y12),"",IF(ETPT_TPRX!Y12=0,"",ETPT_TPRX!Y12)))</f>
        <v/>
      </c>
      <c r="Z12" s="88" t="str">
        <f>IF(ISBLANK(ETPT_TPRX_DDG!$D$5),"",IF(ISERROR(ETPT_TPRX!Z12),"",IF(ETPT_TPRX!Z12=0,"",ETPT_TPRX!Z12)))</f>
        <v/>
      </c>
      <c r="AA12" s="88" t="str">
        <f>IF(ISBLANK(ETPT_TPRX_DDG!$D$5),"",IF(ISERROR(ETPT_TPRX!AA12),"",IF(ETPT_TPRX!AA12=0,"",ETPT_TPRX!AA12)))</f>
        <v/>
      </c>
      <c r="AB12" s="88" t="str">
        <f>IF(ISBLANK(ETPT_TPRX_DDG!$D$5),"",IF(ISERROR(ETPT_TPRX!AB12),"",IF(ETPT_TPRX!AB12=0,"",ETPT_TPRX!AB12)))</f>
        <v/>
      </c>
      <c r="AC12" s="88" t="str">
        <f>IF(ISBLANK(ETPT_TPRX_DDG!$D$5),"",IF(ISERROR(ETPT_TPRX!AC12),"",IF(ETPT_TPRX!AC12=0,"",ETPT_TPRX!AC12)))</f>
        <v/>
      </c>
      <c r="AD12" s="88" t="str">
        <f>IF(ISBLANK(ETPT_TPRX_DDG!$D$5),"",IF(ISERROR(ETPT_TPRX!AD12),"",IF(ETPT_TPRX!AD12=0,"",ETPT_TPRX!AD12)))</f>
        <v/>
      </c>
      <c r="AE12" s="65">
        <f t="shared" si="3"/>
        <v>0</v>
      </c>
      <c r="AF12" s="88" t="str">
        <f>IF(ISBLANK(ETPT_TPRX_DDG!$D$5),"",IF(ISERROR(ETPT_TPRX!AF12),"",IF(ETPT_TPRX!AF12=0,"",ETPT_TPRX!AF12)))</f>
        <v/>
      </c>
      <c r="AG12" s="88" t="str">
        <f>IF(ISBLANK(ETPT_TPRX_DDG!$D$5),"",IF(ISERROR(ETPT_TPRX!AG12),"",IF(ETPT_TPRX!AG12=0,"",ETPT_TPRX!AG12)))</f>
        <v/>
      </c>
      <c r="AH12" s="88" t="str">
        <f>IF(ISBLANK(ETPT_TPRX_DDG!$D$5),"",IF(ISERROR(ETPT_TPRX!AH12),"",IF(ETPT_TPRX!AH12=0,"",ETPT_TPRX!AH12)))</f>
        <v/>
      </c>
      <c r="AI12" s="65">
        <f t="shared" si="4"/>
        <v>0</v>
      </c>
    </row>
    <row r="13" spans="1:62" x14ac:dyDescent="0.2">
      <c r="A13" s="109" t="s">
        <v>326</v>
      </c>
      <c r="B13" s="81"/>
      <c r="C13" s="81"/>
      <c r="D13" s="81" t="str">
        <f t="shared" si="5"/>
        <v/>
      </c>
      <c r="E13" s="81" t="s">
        <v>197</v>
      </c>
      <c r="F13" s="81" t="s">
        <v>196</v>
      </c>
      <c r="G13" s="88" t="str">
        <f>IF(ISBLANK(ETPT_TPRX_DDG!$D$5),"",IF(ISERROR(ETPT_TPRX!G13),"",IF(ETPT_TPRX!G13=0,"",ETPT_TPRX!G13)))</f>
        <v/>
      </c>
      <c r="H13" s="65">
        <f t="shared" si="0"/>
        <v>0</v>
      </c>
      <c r="I13" s="88" t="str">
        <f>IF(ISBLANK(ETPT_TPRX_DDG!$D$5),"",IF(ISERROR(ETPT_TPRX!I13),"",IF(ETPT_TPRX!I13=0,"",ETPT_TPRX!I13)))</f>
        <v/>
      </c>
      <c r="J13" s="88" t="str">
        <f>IF(ISBLANK(ETPT_TPRX_DDG!$D$5),"",IF(ISERROR(ETPT_TPRX!J13),"",IF(ETPT_TPRX!J13=0,"",ETPT_TPRX!J13)))</f>
        <v/>
      </c>
      <c r="K13" s="88" t="str">
        <f>IF(ISBLANK(ETPT_TPRX_DDG!$D$5),"",IF(ISERROR(ETPT_TPRX!K13),"",IF(ETPT_TPRX!K13=0,"",ETPT_TPRX!K13)))</f>
        <v/>
      </c>
      <c r="L13" s="88" t="str">
        <f>IF(ISBLANK(ETPT_TPRX_DDG!$D$5),"",IF(ISERROR(ETPT_TPRX!L13),"",IF(ETPT_TPRX!L13=0,"",ETPT_TPRX!L13)))</f>
        <v/>
      </c>
      <c r="M13" s="88" t="str">
        <f>IF(ISBLANK(ETPT_TPRX_DDG!$D$5),"",IF(ISERROR(ETPT_TPRX!M13),"",IF(ETPT_TPRX!M13=0,"",ETPT_TPRX!M13)))</f>
        <v/>
      </c>
      <c r="N13" s="88" t="str">
        <f>IF(ISBLANK(ETPT_TPRX_DDG!$D$5),"",IF(ISERROR(ETPT_TPRX!N13),"",IF(ETPT_TPRX!N13=0,"",ETPT_TPRX!N13)))</f>
        <v/>
      </c>
      <c r="O13" s="88" t="str">
        <f>IF(ISBLANK(ETPT_TPRX_DDG!$D$5),"",IF(ISERROR(ETPT_TPRX!O13),"",IF(ETPT_TPRX!O13=0,"",ETPT_TPRX!O13)))</f>
        <v/>
      </c>
      <c r="P13" s="88" t="str">
        <f>IF(ISBLANK(ETPT_TPRX_DDG!$D$5),"",IF(ISERROR(ETPT_TPRX!P13),"",IF(ETPT_TPRX!P13=0,"",ETPT_TPRX!P13)))</f>
        <v/>
      </c>
      <c r="Q13" s="88" t="str">
        <f>IF(ISBLANK(ETPT_TPRX_DDG!$D$5),"",IF(ISERROR(ETPT_TPRX!Q13),"",IF(ETPT_TPRX!Q13=0,"",ETPT_TPRX!Q13)))</f>
        <v/>
      </c>
      <c r="R13" s="88" t="str">
        <f>IF(ISBLANK(ETPT_TPRX_DDG!$D$5),"",IF(ISERROR(ETPT_TPRX!R13),"",IF(ETPT_TPRX!R13=0,"",ETPT_TPRX!R13)))</f>
        <v/>
      </c>
      <c r="S13" s="65">
        <f t="shared" si="1"/>
        <v>0</v>
      </c>
      <c r="T13" s="88" t="str">
        <f>IF(ISBLANK(ETPT_TPRX_DDG!$D$5),"",IF(ISERROR(ETPT_TPRX!T13),"",IF(ETPT_TPRX!T13=0,"",ETPT_TPRX!T13)))</f>
        <v/>
      </c>
      <c r="U13" s="65">
        <f t="shared" si="2"/>
        <v>0</v>
      </c>
      <c r="V13" s="88" t="str">
        <f>IF(ISBLANK(ETPT_TPRX_DDG!$D$5),"",IF(ISERROR(ETPT_TPRX!V13),"",IF(ETPT_TPRX!V13=0,"",ETPT_TPRX!V13)))</f>
        <v/>
      </c>
      <c r="W13" s="88" t="str">
        <f>IF(ISBLANK(ETPT_TPRX_DDG!$D$5),"",IF(ISERROR(ETPT_TPRX!W13),"",IF(ETPT_TPRX!W13=0,"",ETPT_TPRX!W13)))</f>
        <v/>
      </c>
      <c r="X13" s="88" t="str">
        <f>IF(ISBLANK(ETPT_TPRX_DDG!$D$5),"",IF(ISERROR(ETPT_TPRX!X13),"",IF(ETPT_TPRX!X13=0,"",ETPT_TPRX!X13)))</f>
        <v/>
      </c>
      <c r="Y13" s="88" t="str">
        <f>IF(ISBLANK(ETPT_TPRX_DDG!$D$5),"",IF(ISERROR(ETPT_TPRX!Y13),"",IF(ETPT_TPRX!Y13=0,"",ETPT_TPRX!Y13)))</f>
        <v/>
      </c>
      <c r="Z13" s="88" t="str">
        <f>IF(ISBLANK(ETPT_TPRX_DDG!$D$5),"",IF(ISERROR(ETPT_TPRX!Z13),"",IF(ETPT_TPRX!Z13=0,"",ETPT_TPRX!Z13)))</f>
        <v/>
      </c>
      <c r="AA13" s="88" t="str">
        <f>IF(ISBLANK(ETPT_TPRX_DDG!$D$5),"",IF(ISERROR(ETPT_TPRX!AA13),"",IF(ETPT_TPRX!AA13=0,"",ETPT_TPRX!AA13)))</f>
        <v/>
      </c>
      <c r="AB13" s="88" t="str">
        <f>IF(ISBLANK(ETPT_TPRX_DDG!$D$5),"",IF(ISERROR(ETPT_TPRX!AB13),"",IF(ETPT_TPRX!AB13=0,"",ETPT_TPRX!AB13)))</f>
        <v/>
      </c>
      <c r="AC13" s="88" t="str">
        <f>IF(ISBLANK(ETPT_TPRX_DDG!$D$5),"",IF(ISERROR(ETPT_TPRX!AC13),"",IF(ETPT_TPRX!AC13=0,"",ETPT_TPRX!AC13)))</f>
        <v/>
      </c>
      <c r="AD13" s="88" t="str">
        <f>IF(ISBLANK(ETPT_TPRX_DDG!$D$5),"",IF(ISERROR(ETPT_TPRX!AD13),"",IF(ETPT_TPRX!AD13=0,"",ETPT_TPRX!AD13)))</f>
        <v/>
      </c>
      <c r="AE13" s="65">
        <f t="shared" si="3"/>
        <v>0</v>
      </c>
      <c r="AF13" s="88" t="str">
        <f>IF(ISBLANK(ETPT_TPRX_DDG!$D$5),"",IF(ISERROR(ETPT_TPRX!AF13),"",IF(ETPT_TPRX!AF13=0,"",ETPT_TPRX!AF13)))</f>
        <v/>
      </c>
      <c r="AG13" s="88" t="str">
        <f>IF(ISBLANK(ETPT_TPRX_DDG!$D$5),"",IF(ISERROR(ETPT_TPRX!AG13),"",IF(ETPT_TPRX!AG13=0,"",ETPT_TPRX!AG13)))</f>
        <v/>
      </c>
      <c r="AH13" s="88" t="str">
        <f>IF(ISBLANK(ETPT_TPRX_DDG!$D$5),"",IF(ISERROR(ETPT_TPRX!AH13),"",IF(ETPT_TPRX!AH13=0,"",ETPT_TPRX!AH13)))</f>
        <v/>
      </c>
      <c r="AI13" s="65">
        <f t="shared" si="4"/>
        <v>0</v>
      </c>
    </row>
    <row r="14" spans="1:62" x14ac:dyDescent="0.2">
      <c r="A14" s="109" t="s">
        <v>326</v>
      </c>
      <c r="B14" s="81"/>
      <c r="C14" s="81"/>
      <c r="D14" s="81" t="str">
        <f t="shared" si="5"/>
        <v/>
      </c>
      <c r="E14" s="81" t="s">
        <v>195</v>
      </c>
      <c r="F14" s="81" t="s">
        <v>194</v>
      </c>
      <c r="G14" s="88" t="str">
        <f>IF(ISBLANK(ETPT_TPRX_DDG!$D$5),"",IF(ISERROR(ETPT_TPRX!G14),"",IF(ETPT_TPRX!G14=0,"",ETPT_TPRX!G14)))</f>
        <v/>
      </c>
      <c r="H14" s="65">
        <f t="shared" si="0"/>
        <v>0</v>
      </c>
      <c r="I14" s="88" t="str">
        <f>IF(ISBLANK(ETPT_TPRX_DDG!$D$5),"",IF(ISERROR(ETPT_TPRX!I14),"",IF(ETPT_TPRX!I14=0,"",ETPT_TPRX!I14)))</f>
        <v/>
      </c>
      <c r="J14" s="88" t="str">
        <f>IF(ISBLANK(ETPT_TPRX_DDG!$D$5),"",IF(ISERROR(ETPT_TPRX!J14),"",IF(ETPT_TPRX!J14=0,"",ETPT_TPRX!J14)))</f>
        <v/>
      </c>
      <c r="K14" s="88" t="str">
        <f>IF(ISBLANK(ETPT_TPRX_DDG!$D$5),"",IF(ISERROR(ETPT_TPRX!K14),"",IF(ETPT_TPRX!K14=0,"",ETPT_TPRX!K14)))</f>
        <v/>
      </c>
      <c r="L14" s="88" t="str">
        <f>IF(ISBLANK(ETPT_TPRX_DDG!$D$5),"",IF(ISERROR(ETPT_TPRX!L14),"",IF(ETPT_TPRX!L14=0,"",ETPT_TPRX!L14)))</f>
        <v/>
      </c>
      <c r="M14" s="88" t="str">
        <f>IF(ISBLANK(ETPT_TPRX_DDG!$D$5),"",IF(ISERROR(ETPT_TPRX!M14),"",IF(ETPT_TPRX!M14=0,"",ETPT_TPRX!M14)))</f>
        <v/>
      </c>
      <c r="N14" s="88" t="str">
        <f>IF(ISBLANK(ETPT_TPRX_DDG!$D$5),"",IF(ISERROR(ETPT_TPRX!N14),"",IF(ETPT_TPRX!N14=0,"",ETPT_TPRX!N14)))</f>
        <v/>
      </c>
      <c r="O14" s="88" t="str">
        <f>IF(ISBLANK(ETPT_TPRX_DDG!$D$5),"",IF(ISERROR(ETPT_TPRX!O14),"",IF(ETPT_TPRX!O14=0,"",ETPT_TPRX!O14)))</f>
        <v/>
      </c>
      <c r="P14" s="88" t="str">
        <f>IF(ISBLANK(ETPT_TPRX_DDG!$D$5),"",IF(ISERROR(ETPT_TPRX!P14),"",IF(ETPT_TPRX!P14=0,"",ETPT_TPRX!P14)))</f>
        <v/>
      </c>
      <c r="Q14" s="88" t="str">
        <f>IF(ISBLANK(ETPT_TPRX_DDG!$D$5),"",IF(ISERROR(ETPT_TPRX!Q14),"",IF(ETPT_TPRX!Q14=0,"",ETPT_TPRX!Q14)))</f>
        <v/>
      </c>
      <c r="R14" s="88" t="str">
        <f>IF(ISBLANK(ETPT_TPRX_DDG!$D$5),"",IF(ISERROR(ETPT_TPRX!R14),"",IF(ETPT_TPRX!R14=0,"",ETPT_TPRX!R14)))</f>
        <v/>
      </c>
      <c r="S14" s="65">
        <f t="shared" si="1"/>
        <v>0</v>
      </c>
      <c r="T14" s="88" t="str">
        <f>IF(ISBLANK(ETPT_TPRX_DDG!$D$5),"",IF(ISERROR(ETPT_TPRX!T14),"",IF(ETPT_TPRX!T14=0,"",ETPT_TPRX!T14)))</f>
        <v/>
      </c>
      <c r="U14" s="65">
        <f t="shared" si="2"/>
        <v>0</v>
      </c>
      <c r="V14" s="88" t="str">
        <f>IF(ISBLANK(ETPT_TPRX_DDG!$D$5),"",IF(ISERROR(ETPT_TPRX!V14),"",IF(ETPT_TPRX!V14=0,"",ETPT_TPRX!V14)))</f>
        <v/>
      </c>
      <c r="W14" s="88" t="str">
        <f>IF(ISBLANK(ETPT_TPRX_DDG!$D$5),"",IF(ISERROR(ETPT_TPRX!W14),"",IF(ETPT_TPRX!W14=0,"",ETPT_TPRX!W14)))</f>
        <v/>
      </c>
      <c r="X14" s="88" t="str">
        <f>IF(ISBLANK(ETPT_TPRX_DDG!$D$5),"",IF(ISERROR(ETPT_TPRX!X14),"",IF(ETPT_TPRX!X14=0,"",ETPT_TPRX!X14)))</f>
        <v/>
      </c>
      <c r="Y14" s="88" t="str">
        <f>IF(ISBLANK(ETPT_TPRX_DDG!$D$5),"",IF(ISERROR(ETPT_TPRX!Y14),"",IF(ETPT_TPRX!Y14=0,"",ETPT_TPRX!Y14)))</f>
        <v/>
      </c>
      <c r="Z14" s="88" t="str">
        <f>IF(ISBLANK(ETPT_TPRX_DDG!$D$5),"",IF(ISERROR(ETPT_TPRX!Z14),"",IF(ETPT_TPRX!Z14=0,"",ETPT_TPRX!Z14)))</f>
        <v/>
      </c>
      <c r="AA14" s="88" t="str">
        <f>IF(ISBLANK(ETPT_TPRX_DDG!$D$5),"",IF(ISERROR(ETPT_TPRX!AA14),"",IF(ETPT_TPRX!AA14=0,"",ETPT_TPRX!AA14)))</f>
        <v/>
      </c>
      <c r="AB14" s="88" t="str">
        <f>IF(ISBLANK(ETPT_TPRX_DDG!$D$5),"",IF(ISERROR(ETPT_TPRX!AB14),"",IF(ETPT_TPRX!AB14=0,"",ETPT_TPRX!AB14)))</f>
        <v/>
      </c>
      <c r="AC14" s="88" t="str">
        <f>IF(ISBLANK(ETPT_TPRX_DDG!$D$5),"",IF(ISERROR(ETPT_TPRX!AC14),"",IF(ETPT_TPRX!AC14=0,"",ETPT_TPRX!AC14)))</f>
        <v/>
      </c>
      <c r="AD14" s="88" t="str">
        <f>IF(ISBLANK(ETPT_TPRX_DDG!$D$5),"",IF(ISERROR(ETPT_TPRX!AD14),"",IF(ETPT_TPRX!AD14=0,"",ETPT_TPRX!AD14)))</f>
        <v/>
      </c>
      <c r="AE14" s="65">
        <f t="shared" si="3"/>
        <v>0</v>
      </c>
      <c r="AF14" s="88" t="str">
        <f>IF(ISBLANK(ETPT_TPRX_DDG!$D$5),"",IF(ISERROR(ETPT_TPRX!AF14),"",IF(ETPT_TPRX!AF14=0,"",ETPT_TPRX!AF14)))</f>
        <v/>
      </c>
      <c r="AG14" s="88" t="str">
        <f>IF(ISBLANK(ETPT_TPRX_DDG!$D$5),"",IF(ISERROR(ETPT_TPRX!AG14),"",IF(ETPT_TPRX!AG14=0,"",ETPT_TPRX!AG14)))</f>
        <v/>
      </c>
      <c r="AH14" s="88" t="str">
        <f>IF(ISBLANK(ETPT_TPRX_DDG!$D$5),"",IF(ISERROR(ETPT_TPRX!AH14),"",IF(ETPT_TPRX!AH14=0,"",ETPT_TPRX!AH14)))</f>
        <v/>
      </c>
      <c r="AI14" s="65">
        <f t="shared" si="4"/>
        <v>0</v>
      </c>
    </row>
    <row r="15" spans="1:62" x14ac:dyDescent="0.2">
      <c r="A15" s="109" t="s">
        <v>326</v>
      </c>
      <c r="B15" s="81"/>
      <c r="C15" s="81"/>
      <c r="D15" s="81" t="str">
        <f t="shared" si="5"/>
        <v/>
      </c>
      <c r="E15" s="81" t="s">
        <v>192</v>
      </c>
      <c r="F15" s="81" t="s">
        <v>191</v>
      </c>
      <c r="G15" s="88" t="str">
        <f>IF(ISBLANK(ETPT_TPRX_DDG!$D$5),"",IF(ISERROR(ETPT_TPRX!G15),"",IF(ETPT_TPRX!G15=0,"",ETPT_TPRX!G15)))</f>
        <v/>
      </c>
      <c r="H15" s="65">
        <f t="shared" si="0"/>
        <v>0</v>
      </c>
      <c r="I15" s="88" t="str">
        <f>IF(ISBLANK(ETPT_TPRX_DDG!$D$5),"",IF(ISERROR(ETPT_TPRX!I15),"",IF(ETPT_TPRX!I15=0,"",ETPT_TPRX!I15)))</f>
        <v/>
      </c>
      <c r="J15" s="88" t="str">
        <f>IF(ISBLANK(ETPT_TPRX_DDG!$D$5),"",IF(ISERROR(ETPT_TPRX!J15),"",IF(ETPT_TPRX!J15=0,"",ETPT_TPRX!J15)))</f>
        <v/>
      </c>
      <c r="K15" s="88" t="str">
        <f>IF(ISBLANK(ETPT_TPRX_DDG!$D$5),"",IF(ISERROR(ETPT_TPRX!K15),"",IF(ETPT_TPRX!K15=0,"",ETPT_TPRX!K15)))</f>
        <v/>
      </c>
      <c r="L15" s="88" t="str">
        <f>IF(ISBLANK(ETPT_TPRX_DDG!$D$5),"",IF(ISERROR(ETPT_TPRX!L15),"",IF(ETPT_TPRX!L15=0,"",ETPT_TPRX!L15)))</f>
        <v/>
      </c>
      <c r="M15" s="88" t="str">
        <f>IF(ISBLANK(ETPT_TPRX_DDG!$D$5),"",IF(ISERROR(ETPT_TPRX!M15),"",IF(ETPT_TPRX!M15=0,"",ETPT_TPRX!M15)))</f>
        <v/>
      </c>
      <c r="N15" s="88" t="str">
        <f>IF(ISBLANK(ETPT_TPRX_DDG!$D$5),"",IF(ISERROR(ETPT_TPRX!N15),"",IF(ETPT_TPRX!N15=0,"",ETPT_TPRX!N15)))</f>
        <v/>
      </c>
      <c r="O15" s="88" t="str">
        <f>IF(ISBLANK(ETPT_TPRX_DDG!$D$5),"",IF(ISERROR(ETPT_TPRX!O15),"",IF(ETPT_TPRX!O15=0,"",ETPT_TPRX!O15)))</f>
        <v/>
      </c>
      <c r="P15" s="88" t="str">
        <f>IF(ISBLANK(ETPT_TPRX_DDG!$D$5),"",IF(ISERROR(ETPT_TPRX!P15),"",IF(ETPT_TPRX!P15=0,"",ETPT_TPRX!P15)))</f>
        <v/>
      </c>
      <c r="Q15" s="88" t="str">
        <f>IF(ISBLANK(ETPT_TPRX_DDG!$D$5),"",IF(ISERROR(ETPT_TPRX!Q15),"",IF(ETPT_TPRX!Q15=0,"",ETPT_TPRX!Q15)))</f>
        <v/>
      </c>
      <c r="R15" s="88" t="str">
        <f>IF(ISBLANK(ETPT_TPRX_DDG!$D$5),"",IF(ISERROR(ETPT_TPRX!R15),"",IF(ETPT_TPRX!R15=0,"",ETPT_TPRX!R15)))</f>
        <v/>
      </c>
      <c r="S15" s="65">
        <f t="shared" si="1"/>
        <v>0</v>
      </c>
      <c r="T15" s="88" t="str">
        <f>IF(ISBLANK(ETPT_TPRX_DDG!$D$5),"",IF(ISERROR(ETPT_TPRX!T15),"",IF(ETPT_TPRX!T15=0,"",ETPT_TPRX!T15)))</f>
        <v/>
      </c>
      <c r="U15" s="65">
        <f t="shared" si="2"/>
        <v>0</v>
      </c>
      <c r="V15" s="88" t="str">
        <f>IF(ISBLANK(ETPT_TPRX_DDG!$D$5),"",IF(ISERROR(ETPT_TPRX!V15),"",IF(ETPT_TPRX!V15=0,"",ETPT_TPRX!V15)))</f>
        <v/>
      </c>
      <c r="W15" s="88" t="str">
        <f>IF(ISBLANK(ETPT_TPRX_DDG!$D$5),"",IF(ISERROR(ETPT_TPRX!W15),"",IF(ETPT_TPRX!W15=0,"",ETPT_TPRX!W15)))</f>
        <v/>
      </c>
      <c r="X15" s="88" t="str">
        <f>IF(ISBLANK(ETPT_TPRX_DDG!$D$5),"",IF(ISERROR(ETPT_TPRX!X15),"",IF(ETPT_TPRX!X15=0,"",ETPT_TPRX!X15)))</f>
        <v/>
      </c>
      <c r="Y15" s="88" t="str">
        <f>IF(ISBLANK(ETPT_TPRX_DDG!$D$5),"",IF(ISERROR(ETPT_TPRX!Y15),"",IF(ETPT_TPRX!Y15=0,"",ETPT_TPRX!Y15)))</f>
        <v/>
      </c>
      <c r="Z15" s="88" t="str">
        <f>IF(ISBLANK(ETPT_TPRX_DDG!$D$5),"",IF(ISERROR(ETPT_TPRX!Z15),"",IF(ETPT_TPRX!Z15=0,"",ETPT_TPRX!Z15)))</f>
        <v/>
      </c>
      <c r="AA15" s="88" t="str">
        <f>IF(ISBLANK(ETPT_TPRX_DDG!$D$5),"",IF(ISERROR(ETPT_TPRX!AA15),"",IF(ETPT_TPRX!AA15=0,"",ETPT_TPRX!AA15)))</f>
        <v/>
      </c>
      <c r="AB15" s="88" t="str">
        <f>IF(ISBLANK(ETPT_TPRX_DDG!$D$5),"",IF(ISERROR(ETPT_TPRX!AB15),"",IF(ETPT_TPRX!AB15=0,"",ETPT_TPRX!AB15)))</f>
        <v/>
      </c>
      <c r="AC15" s="88" t="str">
        <f>IF(ISBLANK(ETPT_TPRX_DDG!$D$5),"",IF(ISERROR(ETPT_TPRX!AC15),"",IF(ETPT_TPRX!AC15=0,"",ETPT_TPRX!AC15)))</f>
        <v/>
      </c>
      <c r="AD15" s="88" t="str">
        <f>IF(ISBLANK(ETPT_TPRX_DDG!$D$5),"",IF(ISERROR(ETPT_TPRX!AD15),"",IF(ETPT_TPRX!AD15=0,"",ETPT_TPRX!AD15)))</f>
        <v/>
      </c>
      <c r="AE15" s="65">
        <f t="shared" si="3"/>
        <v>0</v>
      </c>
      <c r="AF15" s="88" t="str">
        <f>IF(ISBLANK(ETPT_TPRX_DDG!$D$5),"",IF(ISERROR(ETPT_TPRX!AF15),"",IF(ETPT_TPRX!AF15=0,"",ETPT_TPRX!AF15)))</f>
        <v/>
      </c>
      <c r="AG15" s="88" t="str">
        <f>IF(ISBLANK(ETPT_TPRX_DDG!$D$5),"",IF(ISERROR(ETPT_TPRX!AG15),"",IF(ETPT_TPRX!AG15=0,"",ETPT_TPRX!AG15)))</f>
        <v/>
      </c>
      <c r="AH15" s="88" t="str">
        <f>IF(ISBLANK(ETPT_TPRX_DDG!$D$5),"",IF(ISERROR(ETPT_TPRX!AH15),"",IF(ETPT_TPRX!AH15=0,"",ETPT_TPRX!AH15)))</f>
        <v/>
      </c>
      <c r="AI15" s="65">
        <f t="shared" si="4"/>
        <v>0</v>
      </c>
    </row>
    <row r="16" spans="1:62" x14ac:dyDescent="0.2">
      <c r="A16" s="109"/>
      <c r="B16" s="108"/>
      <c r="C16" s="108"/>
      <c r="D16" s="108"/>
      <c r="E16" s="108"/>
      <c r="F16" s="107" t="s">
        <v>190</v>
      </c>
      <c r="G16" s="65">
        <f t="shared" ref="G16:AI16" si="6">SUM(G5:G15)</f>
        <v>0</v>
      </c>
      <c r="H16" s="65">
        <f t="shared" si="6"/>
        <v>0</v>
      </c>
      <c r="I16" s="65">
        <f t="shared" si="6"/>
        <v>0</v>
      </c>
      <c r="J16" s="65">
        <f t="shared" si="6"/>
        <v>0</v>
      </c>
      <c r="K16" s="65">
        <f t="shared" si="6"/>
        <v>0</v>
      </c>
      <c r="L16" s="65">
        <f t="shared" si="6"/>
        <v>0</v>
      </c>
      <c r="M16" s="65">
        <f t="shared" si="6"/>
        <v>0</v>
      </c>
      <c r="N16" s="65">
        <f t="shared" si="6"/>
        <v>0</v>
      </c>
      <c r="O16" s="65">
        <f t="shared" si="6"/>
        <v>0</v>
      </c>
      <c r="P16" s="65">
        <f t="shared" si="6"/>
        <v>0</v>
      </c>
      <c r="Q16" s="65">
        <f t="shared" si="6"/>
        <v>0</v>
      </c>
      <c r="R16" s="65">
        <f t="shared" si="6"/>
        <v>0</v>
      </c>
      <c r="S16" s="65">
        <f t="shared" si="6"/>
        <v>0</v>
      </c>
      <c r="T16" s="65">
        <f t="shared" si="6"/>
        <v>0</v>
      </c>
      <c r="U16" s="65">
        <f t="shared" si="6"/>
        <v>0</v>
      </c>
      <c r="V16" s="65">
        <f t="shared" si="6"/>
        <v>0</v>
      </c>
      <c r="W16" s="65">
        <f t="shared" si="6"/>
        <v>0</v>
      </c>
      <c r="X16" s="65">
        <f t="shared" si="6"/>
        <v>0</v>
      </c>
      <c r="Y16" s="65">
        <f t="shared" si="6"/>
        <v>0</v>
      </c>
      <c r="Z16" s="65">
        <f t="shared" si="6"/>
        <v>0</v>
      </c>
      <c r="AA16" s="65">
        <f t="shared" si="6"/>
        <v>0</v>
      </c>
      <c r="AB16" s="65">
        <f t="shared" si="6"/>
        <v>0</v>
      </c>
      <c r="AC16" s="65">
        <f t="shared" si="6"/>
        <v>0</v>
      </c>
      <c r="AD16" s="65">
        <f t="shared" si="6"/>
        <v>0</v>
      </c>
      <c r="AE16" s="65">
        <f t="shared" si="6"/>
        <v>0</v>
      </c>
      <c r="AF16" s="65">
        <f t="shared" si="6"/>
        <v>0</v>
      </c>
      <c r="AG16" s="65">
        <f t="shared" si="6"/>
        <v>0</v>
      </c>
      <c r="AH16" s="65">
        <f t="shared" si="6"/>
        <v>0</v>
      </c>
      <c r="AI16" s="65">
        <f t="shared" si="6"/>
        <v>0</v>
      </c>
    </row>
    <row r="17" spans="4:19" x14ac:dyDescent="0.2">
      <c r="S17" s="59"/>
    </row>
    <row r="18" spans="4:19" x14ac:dyDescent="0.2">
      <c r="D18" s="174" t="s">
        <v>405</v>
      </c>
      <c r="E18" s="175"/>
      <c r="F18"/>
      <c r="G18"/>
      <c r="H18"/>
      <c r="I18"/>
      <c r="J18"/>
      <c r="K18"/>
    </row>
    <row r="19" spans="4:19" ht="17" thickBot="1" x14ac:dyDescent="0.25">
      <c r="D19" s="176"/>
      <c r="E19" s="175"/>
      <c r="F19" s="175"/>
      <c r="G19" s="175"/>
      <c r="H19" s="175"/>
      <c r="I19" s="175"/>
      <c r="J19" s="175"/>
      <c r="K19" s="175"/>
    </row>
    <row r="20" spans="4:19" ht="18" thickTop="1" thickBot="1" x14ac:dyDescent="0.25">
      <c r="D20" s="177" t="s">
        <v>325</v>
      </c>
      <c r="E20" s="178"/>
      <c r="F20" s="179"/>
      <c r="G20" s="179"/>
      <c r="H20" s="179"/>
      <c r="I20" s="179"/>
      <c r="J20" s="180"/>
      <c r="K20" s="4"/>
    </row>
    <row r="21" spans="4:19" ht="17" thickTop="1" x14ac:dyDescent="0.2"/>
  </sheetData>
  <mergeCells count="5">
    <mergeCell ref="AI2:AI4"/>
    <mergeCell ref="H2:H4"/>
    <mergeCell ref="S2:S4"/>
    <mergeCell ref="U2:U4"/>
    <mergeCell ref="AE2:AE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B6A9-5FC7-3A43-BF37-0B81E3F33F51}">
  <sheetPr codeName="Feuil16">
    <tabColor rgb="FF01A94F"/>
  </sheetPr>
  <dimension ref="A1:BJ17"/>
  <sheetViews>
    <sheetView topLeftCell="D1" zoomScaleNormal="100" workbookViewId="0">
      <selection activeCell="D5" sqref="D5"/>
    </sheetView>
  </sheetViews>
  <sheetFormatPr baseColWidth="10" defaultColWidth="11" defaultRowHeight="16" x14ac:dyDescent="0.2"/>
  <cols>
    <col min="1" max="3" width="11" style="56" hidden="1" customWidth="1"/>
    <col min="4" max="4" width="13.5" style="56" bestFit="1" customWidth="1"/>
    <col min="5" max="5" width="11" style="56"/>
    <col min="6" max="6" width="46.33203125" style="56" bestFit="1" customWidth="1"/>
    <col min="7" max="16384" width="11" style="56"/>
  </cols>
  <sheetData>
    <row r="1" spans="1:62" s="4" customFormat="1" ht="80" customHeight="1" x14ac:dyDescent="0.25">
      <c r="A1" s="3" t="s">
        <v>371</v>
      </c>
      <c r="B1" s="5"/>
      <c r="C1" s="5"/>
      <c r="D1" s="3" t="s">
        <v>376</v>
      </c>
      <c r="E1" s="7"/>
      <c r="F1" s="6"/>
      <c r="G1" s="6"/>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row>
    <row r="2" spans="1:62" x14ac:dyDescent="0.2">
      <c r="A2" s="127"/>
      <c r="B2" s="126"/>
      <c r="C2" s="126"/>
      <c r="D2" s="126"/>
      <c r="E2" s="126"/>
      <c r="F2" s="126"/>
      <c r="G2" s="103" t="s">
        <v>321</v>
      </c>
      <c r="H2" s="348" t="s">
        <v>320</v>
      </c>
      <c r="I2" s="103" t="s">
        <v>139</v>
      </c>
      <c r="J2" s="348" t="s">
        <v>319</v>
      </c>
    </row>
    <row r="3" spans="1:62" ht="36" x14ac:dyDescent="0.2">
      <c r="A3" s="127"/>
      <c r="B3" s="126"/>
      <c r="C3" s="126"/>
      <c r="D3" s="126"/>
      <c r="E3" s="126"/>
      <c r="F3" s="126"/>
      <c r="G3" s="103" t="s">
        <v>299</v>
      </c>
      <c r="H3" s="348"/>
      <c r="I3" s="103" t="s">
        <v>296</v>
      </c>
      <c r="J3" s="348"/>
    </row>
    <row r="4" spans="1:62" ht="36" x14ac:dyDescent="0.2">
      <c r="A4" s="125"/>
      <c r="B4" s="124" t="s">
        <v>266</v>
      </c>
      <c r="C4" s="124" t="s">
        <v>265</v>
      </c>
      <c r="D4" s="124" t="s">
        <v>32</v>
      </c>
      <c r="E4" s="124" t="s">
        <v>264</v>
      </c>
      <c r="F4" s="124" t="s">
        <v>263</v>
      </c>
      <c r="G4" s="103" t="s">
        <v>248</v>
      </c>
      <c r="H4" s="348"/>
      <c r="I4" s="103" t="s">
        <v>244</v>
      </c>
      <c r="J4" s="348"/>
    </row>
    <row r="5" spans="1:62" x14ac:dyDescent="0.2">
      <c r="A5" s="119" t="s">
        <v>369</v>
      </c>
      <c r="B5" s="118"/>
      <c r="C5" s="118"/>
      <c r="D5" s="141"/>
      <c r="E5" s="118" t="s">
        <v>213</v>
      </c>
      <c r="F5" s="118" t="s">
        <v>212</v>
      </c>
      <c r="G5" s="75" t="str">
        <f>IF(ISBLANK(ETPT_CPH_DDG!$D$5),"",IF(ISERROR(ETPT_CPH!G5),"",IF(ETPT_CPH!G5=0,"",ETPT_CPH!G5)))</f>
        <v/>
      </c>
      <c r="H5" s="112">
        <f t="shared" ref="H5:H13" si="0">SUM(G5)</f>
        <v>0</v>
      </c>
      <c r="I5" s="75" t="str">
        <f>IF(ISBLANK(ETPT_CPH_DDG!$D$5),"",IF(ISERROR(ETPT_CPH!I5),"",IF(ETPT_CPH!I5=0,"",ETPT_CPH!I5)))</f>
        <v/>
      </c>
      <c r="J5" s="112">
        <f t="shared" ref="J5:J13" si="1">SUM(I5)</f>
        <v>0</v>
      </c>
    </row>
    <row r="6" spans="1:62" x14ac:dyDescent="0.2">
      <c r="A6" s="119" t="s">
        <v>369</v>
      </c>
      <c r="B6" s="118"/>
      <c r="C6" s="118"/>
      <c r="D6" s="81" t="str">
        <f t="shared" ref="D6:D13" si="2">IF(ISBLANK($D$5),"",$D$5)</f>
        <v/>
      </c>
      <c r="E6" s="118" t="s">
        <v>207</v>
      </c>
      <c r="F6" s="118" t="s">
        <v>206</v>
      </c>
      <c r="G6" s="75" t="str">
        <f>IF(ISBLANK(ETPT_CPH_DDG!$D$5),"",IF(ISERROR(ETPT_CPH!G6),"",IF(ETPT_CPH!G6=0,"",ETPT_CPH!G6)))</f>
        <v/>
      </c>
      <c r="H6" s="112">
        <f t="shared" si="0"/>
        <v>0</v>
      </c>
      <c r="I6" s="75" t="str">
        <f>IF(ISBLANK(ETPT_CPH_DDG!$D$5),"",IF(ISERROR(ETPT_CPH!I6),"",IF(ETPT_CPH!I6=0,"",ETPT_CPH!I6)))</f>
        <v/>
      </c>
      <c r="J6" s="112">
        <f t="shared" si="1"/>
        <v>0</v>
      </c>
    </row>
    <row r="7" spans="1:62" x14ac:dyDescent="0.2">
      <c r="A7" s="119" t="s">
        <v>369</v>
      </c>
      <c r="B7" s="118"/>
      <c r="C7" s="118"/>
      <c r="D7" s="81" t="str">
        <f t="shared" si="2"/>
        <v/>
      </c>
      <c r="E7" s="118" t="s">
        <v>205</v>
      </c>
      <c r="F7" s="118" t="s">
        <v>204</v>
      </c>
      <c r="G7" s="75" t="str">
        <f>IF(ISBLANK(ETPT_CPH_DDG!$D$5),"",IF(ISERROR(ETPT_CPH!G7),"",IF(ETPT_CPH!G7=0,"",ETPT_CPH!G7)))</f>
        <v/>
      </c>
      <c r="H7" s="112">
        <f t="shared" si="0"/>
        <v>0</v>
      </c>
      <c r="I7" s="75" t="str">
        <f>IF(ISBLANK(ETPT_CPH_DDG!$D$5),"",IF(ISERROR(ETPT_CPH!I7),"",IF(ETPT_CPH!I7=0,"",ETPT_CPH!I7)))</f>
        <v/>
      </c>
      <c r="J7" s="112">
        <f t="shared" si="1"/>
        <v>0</v>
      </c>
    </row>
    <row r="8" spans="1:62" x14ac:dyDescent="0.2">
      <c r="A8" s="119" t="s">
        <v>369</v>
      </c>
      <c r="B8" s="118"/>
      <c r="C8" s="118"/>
      <c r="D8" s="81" t="str">
        <f t="shared" si="2"/>
        <v/>
      </c>
      <c r="E8" s="118" t="s">
        <v>203</v>
      </c>
      <c r="F8" s="118" t="s">
        <v>202</v>
      </c>
      <c r="G8" s="75" t="str">
        <f>IF(ISBLANK(ETPT_CPH_DDG!$D$5),"",IF(ISERROR(ETPT_CPH!G8),"",IF(ETPT_CPH!G8=0,"",ETPT_CPH!G8)))</f>
        <v/>
      </c>
      <c r="H8" s="112">
        <f t="shared" si="0"/>
        <v>0</v>
      </c>
      <c r="I8" s="75" t="str">
        <f>IF(ISBLANK(ETPT_CPH_DDG!$D$5),"",IF(ISERROR(ETPT_CPH!I8),"",IF(ETPT_CPH!I8=0,"",ETPT_CPH!I8)))</f>
        <v/>
      </c>
      <c r="J8" s="112">
        <f t="shared" si="1"/>
        <v>0</v>
      </c>
    </row>
    <row r="9" spans="1:62" x14ac:dyDescent="0.2">
      <c r="A9" s="119" t="s">
        <v>369</v>
      </c>
      <c r="B9" s="118"/>
      <c r="C9" s="118"/>
      <c r="D9" s="81" t="str">
        <f t="shared" si="2"/>
        <v/>
      </c>
      <c r="E9" s="118" t="s">
        <v>201</v>
      </c>
      <c r="F9" s="118" t="s">
        <v>200</v>
      </c>
      <c r="G9" s="75" t="str">
        <f>IF(ISBLANK(ETPT_CPH_DDG!$D$5),"",IF(ISERROR(ETPT_CPH!G9),"",IF(ETPT_CPH!G9=0,"",ETPT_CPH!G9)))</f>
        <v/>
      </c>
      <c r="H9" s="112">
        <f t="shared" si="0"/>
        <v>0</v>
      </c>
      <c r="I9" s="75" t="str">
        <f>IF(ISBLANK(ETPT_CPH_DDG!$D$5),"",IF(ISERROR(ETPT_CPH!I9),"",IF(ETPT_CPH!I9=0,"",ETPT_CPH!I9)))</f>
        <v/>
      </c>
      <c r="J9" s="112">
        <f t="shared" si="1"/>
        <v>0</v>
      </c>
    </row>
    <row r="10" spans="1:62" x14ac:dyDescent="0.2">
      <c r="A10" s="119" t="s">
        <v>369</v>
      </c>
      <c r="B10" s="118"/>
      <c r="C10" s="118"/>
      <c r="D10" s="81" t="str">
        <f t="shared" si="2"/>
        <v/>
      </c>
      <c r="E10" s="118" t="s">
        <v>199</v>
      </c>
      <c r="F10" s="118" t="s">
        <v>198</v>
      </c>
      <c r="G10" s="75" t="str">
        <f>IF(ISBLANK(ETPT_CPH_DDG!$D$5),"",IF(ISERROR(ETPT_CPH!G10),"",IF(ETPT_CPH!G10=0,"",ETPT_CPH!G10)))</f>
        <v/>
      </c>
      <c r="H10" s="112">
        <f t="shared" si="0"/>
        <v>0</v>
      </c>
      <c r="I10" s="75" t="str">
        <f>IF(ISBLANK(ETPT_CPH_DDG!$D$5),"",IF(ISERROR(ETPT_CPH!I10),"",IF(ETPT_CPH!I10=0,"",ETPT_CPH!I10)))</f>
        <v/>
      </c>
      <c r="J10" s="112">
        <f t="shared" si="1"/>
        <v>0</v>
      </c>
    </row>
    <row r="11" spans="1:62" x14ac:dyDescent="0.2">
      <c r="A11" s="119" t="s">
        <v>369</v>
      </c>
      <c r="B11" s="118"/>
      <c r="C11" s="118"/>
      <c r="D11" s="81" t="str">
        <f t="shared" si="2"/>
        <v/>
      </c>
      <c r="E11" s="118" t="s">
        <v>197</v>
      </c>
      <c r="F11" s="118" t="s">
        <v>196</v>
      </c>
      <c r="G11" s="75" t="str">
        <f>IF(ISBLANK(ETPT_CPH_DDG!$D$5),"",IF(ISERROR(ETPT_CPH!G11),"",IF(ETPT_CPH!G11=0,"",ETPT_CPH!G11)))</f>
        <v/>
      </c>
      <c r="H11" s="112">
        <f t="shared" si="0"/>
        <v>0</v>
      </c>
      <c r="I11" s="75" t="str">
        <f>IF(ISBLANK(ETPT_CPH_DDG!$D$5),"",IF(ISERROR(ETPT_CPH!I11),"",IF(ETPT_CPH!I11=0,"",ETPT_CPH!I11)))</f>
        <v/>
      </c>
      <c r="J11" s="112">
        <f t="shared" si="1"/>
        <v>0</v>
      </c>
    </row>
    <row r="12" spans="1:62" x14ac:dyDescent="0.2">
      <c r="A12" s="119" t="s">
        <v>369</v>
      </c>
      <c r="B12" s="118"/>
      <c r="C12" s="118"/>
      <c r="D12" s="81" t="str">
        <f t="shared" si="2"/>
        <v/>
      </c>
      <c r="E12" s="118" t="s">
        <v>195</v>
      </c>
      <c r="F12" s="118" t="s">
        <v>194</v>
      </c>
      <c r="G12" s="75" t="str">
        <f>IF(ISBLANK(ETPT_CPH_DDG!$D$5),"",IF(ISERROR(ETPT_CPH!G12),"",IF(ETPT_CPH!G12=0,"",ETPT_CPH!G12)))</f>
        <v/>
      </c>
      <c r="H12" s="112">
        <f t="shared" si="0"/>
        <v>0</v>
      </c>
      <c r="I12" s="75" t="str">
        <f>IF(ISBLANK(ETPT_CPH_DDG!$D$5),"",IF(ISERROR(ETPT_CPH!I12),"",IF(ETPT_CPH!I12=0,"",ETPT_CPH!I12)))</f>
        <v/>
      </c>
      <c r="J12" s="112">
        <f t="shared" si="1"/>
        <v>0</v>
      </c>
    </row>
    <row r="13" spans="1:62" x14ac:dyDescent="0.2">
      <c r="A13" s="119" t="s">
        <v>369</v>
      </c>
      <c r="B13" s="118"/>
      <c r="C13" s="118"/>
      <c r="D13" s="81" t="str">
        <f t="shared" si="2"/>
        <v/>
      </c>
      <c r="E13" s="118" t="s">
        <v>192</v>
      </c>
      <c r="F13" s="118" t="s">
        <v>191</v>
      </c>
      <c r="G13" s="75" t="str">
        <f>IF(ISBLANK(ETPT_CPH_DDG!$D$5),"",IF(ISERROR(ETPT_CPH!G13),"",IF(ETPT_CPH!G13=0,"",ETPT_CPH!G13)))</f>
        <v/>
      </c>
      <c r="H13" s="112">
        <f t="shared" si="0"/>
        <v>0</v>
      </c>
      <c r="I13" s="75" t="str">
        <f>IF(ISBLANK(ETPT_CPH_DDG!$D$5),"",IF(ISERROR(ETPT_CPH!I13),"",IF(ETPT_CPH!I13=0,"",ETPT_CPH!I13)))</f>
        <v/>
      </c>
      <c r="J13" s="112">
        <f t="shared" si="1"/>
        <v>0</v>
      </c>
    </row>
    <row r="14" spans="1:62" x14ac:dyDescent="0.2">
      <c r="A14" s="116"/>
      <c r="B14" s="115"/>
      <c r="C14" s="115"/>
      <c r="D14" s="115"/>
      <c r="E14" s="114"/>
      <c r="F14" s="113" t="s">
        <v>190</v>
      </c>
      <c r="G14" s="112">
        <f>SUM(G5:G13)</f>
        <v>0</v>
      </c>
      <c r="H14" s="112">
        <f>SUM(H5:H13)</f>
        <v>0</v>
      </c>
      <c r="I14" s="112">
        <f>SUM(I5:I13)</f>
        <v>0</v>
      </c>
      <c r="J14" s="112">
        <f>SUM(J5:J13)</f>
        <v>0</v>
      </c>
    </row>
    <row r="16" spans="1:62" x14ac:dyDescent="0.2">
      <c r="D16" s="174" t="s">
        <v>404</v>
      </c>
      <c r="E16" s="175"/>
      <c r="F16" s="21"/>
      <c r="G16" s="21"/>
      <c r="H16" s="21"/>
      <c r="I16" s="21"/>
      <c r="J16" s="21"/>
    </row>
    <row r="17" spans="4:10" ht="26" customHeight="1" x14ac:dyDescent="0.2">
      <c r="D17" s="58"/>
      <c r="E17" s="21"/>
      <c r="F17" s="21"/>
      <c r="G17" s="21"/>
      <c r="H17" s="21"/>
      <c r="I17" s="21"/>
      <c r="J17" s="21"/>
    </row>
  </sheetData>
  <mergeCells count="2">
    <mergeCell ref="H2:H4"/>
    <mergeCell ref="J2:J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C4C8-D3B2-3F44-A4A5-E418681F372C}">
  <sheetPr codeName="Feuil7">
    <pageSetUpPr fitToPage="1"/>
  </sheetPr>
  <dimension ref="A1:BI18"/>
  <sheetViews>
    <sheetView zoomScaleNormal="100" workbookViewId="0">
      <pane xSplit="5" ySplit="1" topLeftCell="F2" activePane="bottomRight" state="frozen"/>
      <selection pane="topRight" activeCell="G1" sqref="G1"/>
      <selection pane="bottomLeft" activeCell="A2" sqref="A2"/>
      <selection pane="bottomRight" activeCell="E5" sqref="E5"/>
    </sheetView>
  </sheetViews>
  <sheetFormatPr baseColWidth="10" defaultColWidth="10.83203125" defaultRowHeight="16" x14ac:dyDescent="0.2"/>
  <cols>
    <col min="1" max="1" width="6" style="217" customWidth="1"/>
    <col min="2" max="2" width="17.1640625" style="218" hidden="1" customWidth="1"/>
    <col min="3" max="3" width="6.33203125" style="218" hidden="1" customWidth="1"/>
    <col min="4" max="4" width="6.5" style="217" customWidth="1"/>
    <col min="5" max="5" width="19.5" style="217" customWidth="1"/>
    <col min="6" max="6" width="23" style="218" customWidth="1"/>
    <col min="7" max="7" width="9.33203125" style="218" customWidth="1"/>
    <col min="8" max="8" width="11.33203125" style="218" customWidth="1"/>
    <col min="9" max="9" width="9" style="218" customWidth="1"/>
    <col min="10" max="28" width="9.33203125" style="218" customWidth="1"/>
    <col min="29" max="29" width="11.6640625" style="218" customWidth="1"/>
    <col min="30" max="37" width="9.33203125" style="218" customWidth="1"/>
    <col min="38" max="38" width="7.83203125" style="218" customWidth="1"/>
    <col min="39" max="39" width="8.6640625" style="218" customWidth="1"/>
    <col min="40" max="42" width="9.33203125" style="218" customWidth="1"/>
    <col min="43" max="43" width="10.83203125" style="218" customWidth="1"/>
    <col min="44" max="48" width="9.33203125" style="218" customWidth="1"/>
    <col min="49" max="49" width="15.5" style="218" customWidth="1"/>
    <col min="50" max="50" width="16.5" style="218" customWidth="1"/>
    <col min="51" max="51" width="9.33203125" style="218" customWidth="1"/>
    <col min="52" max="61" width="9.33203125" style="218" hidden="1" customWidth="1"/>
    <col min="62" max="62" width="4" style="218" customWidth="1"/>
    <col min="63" max="16384" width="10.83203125" style="218"/>
  </cols>
  <sheetData>
    <row r="1" spans="1:61" s="187" customFormat="1" ht="12" customHeight="1" x14ac:dyDescent="0.15">
      <c r="A1" s="186"/>
      <c r="B1" s="352" t="s">
        <v>324</v>
      </c>
      <c r="C1" s="352"/>
      <c r="D1" s="352"/>
      <c r="E1" s="352"/>
      <c r="F1" s="188"/>
      <c r="G1" s="188"/>
      <c r="H1" s="188"/>
      <c r="I1" s="188"/>
      <c r="J1" s="188"/>
      <c r="K1" s="188"/>
      <c r="L1" s="188"/>
      <c r="M1" s="188"/>
      <c r="N1" s="188"/>
    </row>
    <row r="2" spans="1:61" s="187" customFormat="1" ht="12" customHeight="1" x14ac:dyDescent="0.15">
      <c r="A2" s="189"/>
      <c r="B2" s="189"/>
      <c r="C2" s="189"/>
      <c r="D2" s="189"/>
      <c r="E2" s="189"/>
      <c r="F2" s="190" t="s">
        <v>318</v>
      </c>
      <c r="G2" s="190" t="s">
        <v>318</v>
      </c>
      <c r="H2" s="190" t="s">
        <v>318</v>
      </c>
      <c r="I2" s="190" t="s">
        <v>318</v>
      </c>
      <c r="J2" s="190" t="s">
        <v>318</v>
      </c>
      <c r="K2" s="190" t="s">
        <v>318</v>
      </c>
      <c r="L2" s="190" t="s">
        <v>318</v>
      </c>
      <c r="M2" s="190" t="s">
        <v>318</v>
      </c>
      <c r="N2" s="190" t="s">
        <v>318</v>
      </c>
      <c r="O2" s="351" t="s">
        <v>317</v>
      </c>
      <c r="P2" s="190" t="s">
        <v>316</v>
      </c>
      <c r="Q2" s="190" t="s">
        <v>316</v>
      </c>
      <c r="R2" s="190" t="s">
        <v>316</v>
      </c>
      <c r="S2" s="190" t="s">
        <v>316</v>
      </c>
      <c r="T2" s="190" t="s">
        <v>316</v>
      </c>
      <c r="U2" s="190" t="s">
        <v>316</v>
      </c>
      <c r="V2" s="190" t="s">
        <v>316</v>
      </c>
      <c r="W2" s="190" t="s">
        <v>316</v>
      </c>
      <c r="X2" s="190" t="s">
        <v>316</v>
      </c>
      <c r="Y2" s="190" t="s">
        <v>316</v>
      </c>
      <c r="Z2" s="190" t="s">
        <v>316</v>
      </c>
      <c r="AA2" s="190" t="s">
        <v>316</v>
      </c>
      <c r="AB2" s="190" t="s">
        <v>316</v>
      </c>
      <c r="AC2" s="351" t="s">
        <v>315</v>
      </c>
      <c r="AD2" s="191" t="s">
        <v>314</v>
      </c>
      <c r="AE2" s="191" t="s">
        <v>314</v>
      </c>
      <c r="AF2" s="191" t="s">
        <v>314</v>
      </c>
      <c r="AG2" s="191" t="s">
        <v>314</v>
      </c>
      <c r="AH2" s="191" t="s">
        <v>314</v>
      </c>
      <c r="AI2" s="191" t="s">
        <v>314</v>
      </c>
      <c r="AJ2" s="191" t="s">
        <v>314</v>
      </c>
      <c r="AK2" s="191" t="s">
        <v>314</v>
      </c>
      <c r="AL2" s="191" t="s">
        <v>314</v>
      </c>
      <c r="AM2" s="351" t="s">
        <v>313</v>
      </c>
      <c r="AN2" s="190"/>
      <c r="AO2" s="190"/>
      <c r="AP2" s="190"/>
      <c r="AQ2" s="190"/>
      <c r="AR2" s="190"/>
      <c r="AS2" s="190"/>
      <c r="AT2" s="190"/>
      <c r="AU2" s="190"/>
      <c r="AV2" s="190"/>
      <c r="AW2" s="190"/>
      <c r="AX2" s="190"/>
      <c r="AY2" s="351"/>
      <c r="AZ2" s="191"/>
      <c r="BA2" s="191"/>
      <c r="BB2" s="191"/>
      <c r="BC2" s="191"/>
      <c r="BD2" s="191"/>
      <c r="BE2" s="191"/>
      <c r="BF2" s="191"/>
      <c r="BG2" s="191"/>
      <c r="BH2" s="191"/>
      <c r="BI2" s="351"/>
    </row>
    <row r="3" spans="1:61" s="187" customFormat="1" ht="36" customHeight="1" x14ac:dyDescent="0.15">
      <c r="A3" s="189"/>
      <c r="B3" s="189"/>
      <c r="C3" s="189"/>
      <c r="D3" s="189"/>
      <c r="E3" s="189"/>
      <c r="F3" s="190" t="s">
        <v>295</v>
      </c>
      <c r="G3" s="190" t="s">
        <v>294</v>
      </c>
      <c r="H3" s="190" t="s">
        <v>293</v>
      </c>
      <c r="I3" s="190" t="s">
        <v>292</v>
      </c>
      <c r="J3" s="190" t="s">
        <v>291</v>
      </c>
      <c r="K3" s="190" t="s">
        <v>290</v>
      </c>
      <c r="L3" s="190" t="s">
        <v>58</v>
      </c>
      <c r="M3" s="190" t="s">
        <v>56</v>
      </c>
      <c r="N3" s="190" t="s">
        <v>289</v>
      </c>
      <c r="O3" s="351"/>
      <c r="P3" s="190" t="s">
        <v>288</v>
      </c>
      <c r="Q3" s="190" t="s">
        <v>287</v>
      </c>
      <c r="R3" s="190" t="s">
        <v>286</v>
      </c>
      <c r="S3" s="190" t="s">
        <v>285</v>
      </c>
      <c r="T3" s="190" t="s">
        <v>284</v>
      </c>
      <c r="U3" s="190" t="s">
        <v>283</v>
      </c>
      <c r="V3" s="190" t="s">
        <v>282</v>
      </c>
      <c r="W3" s="190" t="s">
        <v>281</v>
      </c>
      <c r="X3" s="190" t="s">
        <v>280</v>
      </c>
      <c r="Y3" s="190" t="s">
        <v>279</v>
      </c>
      <c r="Z3" s="190" t="s">
        <v>278</v>
      </c>
      <c r="AA3" s="190" t="s">
        <v>277</v>
      </c>
      <c r="AB3" s="190" t="s">
        <v>276</v>
      </c>
      <c r="AC3" s="351"/>
      <c r="AD3" s="191" t="s">
        <v>275</v>
      </c>
      <c r="AE3" s="191" t="s">
        <v>274</v>
      </c>
      <c r="AF3" s="191" t="s">
        <v>273</v>
      </c>
      <c r="AG3" s="191" t="s">
        <v>272</v>
      </c>
      <c r="AH3" s="191" t="s">
        <v>271</v>
      </c>
      <c r="AI3" s="191" t="s">
        <v>270</v>
      </c>
      <c r="AJ3" s="191" t="s">
        <v>269</v>
      </c>
      <c r="AK3" s="191" t="s">
        <v>268</v>
      </c>
      <c r="AL3" s="191" t="s">
        <v>267</v>
      </c>
      <c r="AM3" s="351"/>
      <c r="AN3" s="190"/>
      <c r="AO3" s="190"/>
      <c r="AP3" s="190"/>
      <c r="AQ3" s="190"/>
      <c r="AR3" s="190"/>
      <c r="AS3" s="190"/>
      <c r="AT3" s="190"/>
      <c r="AU3" s="190"/>
      <c r="AV3" s="190"/>
      <c r="AW3" s="190"/>
      <c r="AX3" s="190"/>
      <c r="AY3" s="351"/>
      <c r="AZ3" s="191"/>
      <c r="BA3" s="191"/>
      <c r="BB3" s="191"/>
      <c r="BC3" s="191"/>
      <c r="BD3" s="191"/>
      <c r="BE3" s="191"/>
      <c r="BF3" s="191"/>
      <c r="BG3" s="191"/>
      <c r="BH3" s="191"/>
      <c r="BI3" s="351"/>
    </row>
    <row r="4" spans="1:61" s="187" customFormat="1" ht="60" customHeight="1" x14ac:dyDescent="0.15">
      <c r="A4" s="192"/>
      <c r="B4" s="193" t="s">
        <v>266</v>
      </c>
      <c r="C4" s="193" t="s">
        <v>265</v>
      </c>
      <c r="D4" s="193" t="s">
        <v>264</v>
      </c>
      <c r="E4" s="193" t="s">
        <v>263</v>
      </c>
      <c r="F4" s="190" t="s">
        <v>243</v>
      </c>
      <c r="G4" s="190" t="s">
        <v>242</v>
      </c>
      <c r="H4" s="190" t="s">
        <v>241</v>
      </c>
      <c r="I4" s="190" t="s">
        <v>240</v>
      </c>
      <c r="J4" s="190" t="s">
        <v>239</v>
      </c>
      <c r="K4" s="190" t="s">
        <v>238</v>
      </c>
      <c r="L4" s="190" t="s">
        <v>58</v>
      </c>
      <c r="M4" s="190" t="s">
        <v>237</v>
      </c>
      <c r="N4" s="190" t="s">
        <v>236</v>
      </c>
      <c r="O4" s="351"/>
      <c r="P4" s="190" t="s">
        <v>235</v>
      </c>
      <c r="Q4" s="190" t="s">
        <v>234</v>
      </c>
      <c r="R4" s="190" t="s">
        <v>233</v>
      </c>
      <c r="S4" s="190" t="s">
        <v>232</v>
      </c>
      <c r="T4" s="190" t="s">
        <v>231</v>
      </c>
      <c r="U4" s="190" t="s">
        <v>230</v>
      </c>
      <c r="V4" s="190" t="s">
        <v>229</v>
      </c>
      <c r="W4" s="190" t="s">
        <v>228</v>
      </c>
      <c r="X4" s="190" t="s">
        <v>227</v>
      </c>
      <c r="Y4" s="190" t="s">
        <v>226</v>
      </c>
      <c r="Z4" s="190" t="s">
        <v>225</v>
      </c>
      <c r="AA4" s="190" t="s">
        <v>224</v>
      </c>
      <c r="AB4" s="190" t="s">
        <v>223</v>
      </c>
      <c r="AC4" s="351"/>
      <c r="AD4" s="191" t="s">
        <v>222</v>
      </c>
      <c r="AE4" s="191" t="s">
        <v>221</v>
      </c>
      <c r="AF4" s="191" t="s">
        <v>220</v>
      </c>
      <c r="AG4" s="191" t="s">
        <v>219</v>
      </c>
      <c r="AH4" s="191" t="s">
        <v>218</v>
      </c>
      <c r="AI4" s="191" t="s">
        <v>217</v>
      </c>
      <c r="AJ4" s="191" t="s">
        <v>216</v>
      </c>
      <c r="AK4" s="191" t="s">
        <v>215</v>
      </c>
      <c r="AL4" s="191" t="s">
        <v>214</v>
      </c>
      <c r="AM4" s="351"/>
      <c r="AN4" s="190"/>
      <c r="AO4" s="190"/>
      <c r="AP4" s="190"/>
      <c r="AQ4" s="190"/>
      <c r="AR4" s="190"/>
      <c r="AS4" s="190"/>
      <c r="AT4" s="190"/>
      <c r="AU4" s="190"/>
      <c r="AV4" s="190"/>
      <c r="AW4" s="190"/>
      <c r="AX4" s="190"/>
      <c r="AY4" s="351"/>
      <c r="AZ4" s="191"/>
      <c r="BA4" s="191"/>
      <c r="BB4" s="191"/>
      <c r="BC4" s="191"/>
      <c r="BD4" s="191"/>
      <c r="BE4" s="191"/>
      <c r="BF4" s="191"/>
      <c r="BG4" s="191"/>
      <c r="BH4" s="191"/>
      <c r="BI4" s="351"/>
    </row>
    <row r="5" spans="1:61" s="187" customFormat="1" ht="144" customHeight="1" x14ac:dyDescent="0.15">
      <c r="A5" s="194" t="s">
        <v>193</v>
      </c>
      <c r="B5" s="195"/>
      <c r="C5" s="195"/>
      <c r="D5" s="196" t="s">
        <v>213</v>
      </c>
      <c r="E5" s="196" t="s">
        <v>212</v>
      </c>
      <c r="F5" s="197" t="s">
        <v>410</v>
      </c>
      <c r="G5" s="197" t="s">
        <v>411</v>
      </c>
      <c r="H5" s="199"/>
      <c r="I5" s="199"/>
      <c r="J5" s="199"/>
      <c r="K5" s="199"/>
      <c r="L5" s="200"/>
      <c r="M5" s="197" t="s">
        <v>412</v>
      </c>
      <c r="N5" s="197" t="s">
        <v>413</v>
      </c>
      <c r="O5" s="198">
        <f>SUMIF($F$2:N$2,N$2,$F5:N5)</f>
        <v>0</v>
      </c>
      <c r="P5" s="199"/>
      <c r="Q5" s="199"/>
      <c r="R5" s="199"/>
      <c r="S5" s="199"/>
      <c r="T5" s="199"/>
      <c r="U5" s="199"/>
      <c r="V5" s="197" t="s">
        <v>414</v>
      </c>
      <c r="W5" s="197" t="s">
        <v>415</v>
      </c>
      <c r="X5" s="197" t="s">
        <v>416</v>
      </c>
      <c r="Y5" s="197" t="s">
        <v>417</v>
      </c>
      <c r="Z5" s="197" t="s">
        <v>418</v>
      </c>
      <c r="AA5" s="197" t="s">
        <v>419</v>
      </c>
      <c r="AB5" s="197" t="s">
        <v>420</v>
      </c>
      <c r="AC5" s="198">
        <f>SUMIF($F$2:AB$2,X$2,$F5:AB5)</f>
        <v>0</v>
      </c>
      <c r="AD5" s="201"/>
      <c r="AE5" s="201"/>
      <c r="AF5" s="202"/>
      <c r="AG5" s="202"/>
      <c r="AH5" s="202"/>
      <c r="AI5" s="202"/>
      <c r="AJ5" s="202"/>
      <c r="AK5" s="202"/>
      <c r="AL5" s="201"/>
      <c r="AM5" s="198">
        <f>SUMIF($F$2:AL$2,AL$2,$F5:AL5)</f>
        <v>0</v>
      </c>
      <c r="AN5" s="199"/>
      <c r="AO5" s="199"/>
      <c r="AP5" s="199"/>
      <c r="AQ5" s="199"/>
      <c r="AR5" s="197"/>
      <c r="AS5" s="197"/>
      <c r="AT5" s="197"/>
      <c r="AU5" s="197"/>
      <c r="AV5" s="197"/>
      <c r="AW5" s="197"/>
      <c r="AX5" s="197"/>
      <c r="AY5" s="198"/>
      <c r="AZ5" s="201"/>
      <c r="BA5" s="201"/>
      <c r="BB5" s="202"/>
      <c r="BC5" s="202"/>
      <c r="BD5" s="202"/>
      <c r="BE5" s="202"/>
      <c r="BF5" s="202"/>
      <c r="BG5" s="202"/>
      <c r="BH5" s="201"/>
      <c r="BI5" s="198"/>
    </row>
    <row r="6" spans="1:61" s="187" customFormat="1" ht="409.6" x14ac:dyDescent="0.15">
      <c r="A6" s="194" t="s">
        <v>193</v>
      </c>
      <c r="B6" s="195"/>
      <c r="C6" s="195"/>
      <c r="D6" s="196" t="s">
        <v>211</v>
      </c>
      <c r="E6" s="196" t="s">
        <v>210</v>
      </c>
      <c r="F6" s="199"/>
      <c r="G6" s="199"/>
      <c r="H6" s="197" t="s">
        <v>421</v>
      </c>
      <c r="I6" s="197" t="s">
        <v>422</v>
      </c>
      <c r="J6" s="197" t="s">
        <v>423</v>
      </c>
      <c r="K6" s="197" t="s">
        <v>424</v>
      </c>
      <c r="L6" s="197" t="s">
        <v>425</v>
      </c>
      <c r="M6" s="197" t="s">
        <v>426</v>
      </c>
      <c r="N6" s="197" t="s">
        <v>427</v>
      </c>
      <c r="O6" s="198">
        <f>SUMIF($F$2:N$2,N$2,$F6:N6)</f>
        <v>0</v>
      </c>
      <c r="P6" s="197" t="s">
        <v>428</v>
      </c>
      <c r="Q6" s="197" t="s">
        <v>429</v>
      </c>
      <c r="R6" s="197" t="s">
        <v>430</v>
      </c>
      <c r="S6" s="197" t="s">
        <v>431</v>
      </c>
      <c r="T6" s="197" t="s">
        <v>432</v>
      </c>
      <c r="U6" s="197" t="s">
        <v>433</v>
      </c>
      <c r="V6" s="199"/>
      <c r="W6" s="199"/>
      <c r="X6" s="199"/>
      <c r="Y6" s="199"/>
      <c r="Z6" s="199"/>
      <c r="AA6" s="197" t="s">
        <v>434</v>
      </c>
      <c r="AB6" s="197" t="s">
        <v>435</v>
      </c>
      <c r="AC6" s="198">
        <f>SUMIF($F$2:AB$2,X$2,$F6:AB6)</f>
        <v>0</v>
      </c>
      <c r="AD6" s="201"/>
      <c r="AE6" s="202"/>
      <c r="AF6" s="202"/>
      <c r="AG6" s="202"/>
      <c r="AH6" s="202"/>
      <c r="AI6" s="202"/>
      <c r="AJ6" s="202"/>
      <c r="AK6" s="202"/>
      <c r="AL6" s="201"/>
      <c r="AM6" s="198">
        <f>SUMIF($F$2:AL$2,AL$2,$F6:AL6)</f>
        <v>0</v>
      </c>
      <c r="AN6" s="197"/>
      <c r="AO6" s="197"/>
      <c r="AP6" s="197"/>
      <c r="AQ6" s="197"/>
      <c r="AR6" s="199"/>
      <c r="AS6" s="199"/>
      <c r="AT6" s="199"/>
      <c r="AU6" s="199"/>
      <c r="AV6" s="199"/>
      <c r="AW6" s="197"/>
      <c r="AX6" s="197"/>
      <c r="AY6" s="198"/>
      <c r="AZ6" s="201"/>
      <c r="BA6" s="202"/>
      <c r="BB6" s="202"/>
      <c r="BC6" s="202"/>
      <c r="BD6" s="202"/>
      <c r="BE6" s="202"/>
      <c r="BF6" s="202"/>
      <c r="BG6" s="202"/>
      <c r="BH6" s="201"/>
      <c r="BI6" s="198"/>
    </row>
    <row r="7" spans="1:61" s="187" customFormat="1" ht="48" customHeight="1" x14ac:dyDescent="0.15">
      <c r="A7" s="194" t="s">
        <v>193</v>
      </c>
      <c r="B7" s="195"/>
      <c r="C7" s="195"/>
      <c r="D7" s="196" t="s">
        <v>209</v>
      </c>
      <c r="E7" s="196" t="s">
        <v>208</v>
      </c>
      <c r="F7" s="204"/>
      <c r="G7" s="197" t="s">
        <v>436</v>
      </c>
      <c r="H7" s="197" t="s">
        <v>437</v>
      </c>
      <c r="I7" s="204"/>
      <c r="J7" s="204"/>
      <c r="K7" s="204"/>
      <c r="L7" s="197" t="s">
        <v>438</v>
      </c>
      <c r="M7" s="197" t="s">
        <v>439</v>
      </c>
      <c r="N7" s="197" t="s">
        <v>440</v>
      </c>
      <c r="O7" s="198">
        <f>SUMIF($F$2:N$2,N$2,$F7:N7)</f>
        <v>0</v>
      </c>
      <c r="P7" s="204"/>
      <c r="Q7" s="204"/>
      <c r="R7" s="204"/>
      <c r="S7" s="204"/>
      <c r="T7" s="204"/>
      <c r="U7" s="204"/>
      <c r="V7" s="204"/>
      <c r="W7" s="204"/>
      <c r="X7" s="204"/>
      <c r="Y7" s="204"/>
      <c r="Z7" s="204"/>
      <c r="AA7" s="204"/>
      <c r="AB7" s="197" t="s">
        <v>441</v>
      </c>
      <c r="AC7" s="198">
        <f>SUMIF($F$2:AB$2,X$2,$F7:AB7)</f>
        <v>0</v>
      </c>
      <c r="AD7" s="201"/>
      <c r="AE7" s="201"/>
      <c r="AF7" s="201"/>
      <c r="AG7" s="201"/>
      <c r="AH7" s="201"/>
      <c r="AI7" s="201"/>
      <c r="AJ7" s="201"/>
      <c r="AK7" s="201"/>
      <c r="AL7" s="205"/>
      <c r="AM7" s="198">
        <f>SUMIF($F$2:AL$2,AL$2,$F7:AL7)</f>
        <v>0</v>
      </c>
      <c r="AN7" s="204"/>
      <c r="AO7" s="204"/>
      <c r="AP7" s="204"/>
      <c r="AQ7" s="204"/>
      <c r="AR7" s="204"/>
      <c r="AS7" s="204"/>
      <c r="AT7" s="204"/>
      <c r="AU7" s="204"/>
      <c r="AV7" s="204"/>
      <c r="AW7" s="204"/>
      <c r="AX7" s="197"/>
      <c r="AY7" s="198"/>
      <c r="AZ7" s="201"/>
      <c r="BA7" s="201"/>
      <c r="BB7" s="201"/>
      <c r="BC7" s="201"/>
      <c r="BD7" s="201"/>
      <c r="BE7" s="201"/>
      <c r="BF7" s="201"/>
      <c r="BG7" s="201"/>
      <c r="BH7" s="205"/>
      <c r="BI7" s="198"/>
    </row>
    <row r="8" spans="1:61" s="187" customFormat="1" ht="24" customHeight="1" x14ac:dyDescent="0.15">
      <c r="A8" s="194" t="s">
        <v>193</v>
      </c>
      <c r="B8" s="195"/>
      <c r="C8" s="195"/>
      <c r="D8" s="196" t="s">
        <v>207</v>
      </c>
      <c r="E8" s="196" t="s">
        <v>206</v>
      </c>
      <c r="F8" s="206"/>
      <c r="G8" s="206"/>
      <c r="H8" s="206"/>
      <c r="I8" s="206"/>
      <c r="J8" s="206"/>
      <c r="K8" s="206"/>
      <c r="L8" s="206"/>
      <c r="M8" s="206"/>
      <c r="N8" s="206"/>
      <c r="O8" s="198">
        <f>SUMIF($F$2:N$2,N$2,$F8:N8)</f>
        <v>0</v>
      </c>
      <c r="P8" s="204"/>
      <c r="Q8" s="204"/>
      <c r="R8" s="204"/>
      <c r="S8" s="204"/>
      <c r="T8" s="204"/>
      <c r="U8" s="204"/>
      <c r="V8" s="204"/>
      <c r="W8" s="204"/>
      <c r="X8" s="204"/>
      <c r="Y8" s="204"/>
      <c r="Z8" s="204"/>
      <c r="AA8" s="204"/>
      <c r="AB8" s="203"/>
      <c r="AC8" s="198">
        <f>SUMIF($F$2:AB$2,X$2,$F8:AB8)</f>
        <v>0</v>
      </c>
      <c r="AD8" s="201"/>
      <c r="AE8" s="201"/>
      <c r="AF8" s="201"/>
      <c r="AG8" s="201"/>
      <c r="AH8" s="201"/>
      <c r="AI8" s="201"/>
      <c r="AJ8" s="201"/>
      <c r="AK8" s="201"/>
      <c r="AL8" s="201"/>
      <c r="AM8" s="198">
        <f>SUMIF($F$2:AL$2,AL$2,$F8:AL8)</f>
        <v>0</v>
      </c>
      <c r="AN8" s="204"/>
      <c r="AO8" s="204"/>
      <c r="AP8" s="204"/>
      <c r="AQ8" s="204"/>
      <c r="AR8" s="204"/>
      <c r="AS8" s="204"/>
      <c r="AT8" s="204"/>
      <c r="AU8" s="204"/>
      <c r="AV8" s="204"/>
      <c r="AW8" s="204"/>
      <c r="AX8" s="203"/>
      <c r="AY8" s="198"/>
      <c r="AZ8" s="201"/>
      <c r="BA8" s="201"/>
      <c r="BB8" s="201"/>
      <c r="BC8" s="201"/>
      <c r="BD8" s="201"/>
      <c r="BE8" s="201"/>
      <c r="BF8" s="201"/>
      <c r="BG8" s="201"/>
      <c r="BH8" s="201"/>
      <c r="BI8" s="198"/>
    </row>
    <row r="9" spans="1:61" s="187" customFormat="1" ht="156" customHeight="1" x14ac:dyDescent="0.15">
      <c r="A9" s="194" t="s">
        <v>193</v>
      </c>
      <c r="B9" s="195"/>
      <c r="C9" s="195"/>
      <c r="D9" s="196" t="s">
        <v>205</v>
      </c>
      <c r="E9" s="196" t="s">
        <v>204</v>
      </c>
      <c r="F9" s="207"/>
      <c r="G9" s="197" t="s">
        <v>442</v>
      </c>
      <c r="H9" s="197" t="s">
        <v>443</v>
      </c>
      <c r="I9" s="208"/>
      <c r="J9" s="208"/>
      <c r="K9" s="208"/>
      <c r="L9" s="197" t="s">
        <v>444</v>
      </c>
      <c r="M9" s="197" t="s">
        <v>445</v>
      </c>
      <c r="N9" s="197" t="s">
        <v>446</v>
      </c>
      <c r="O9" s="209">
        <f>SUMIF($F$2:N$2,N$2,$F9:N9)</f>
        <v>0</v>
      </c>
      <c r="P9" s="204"/>
      <c r="Q9" s="204"/>
      <c r="R9" s="204"/>
      <c r="S9" s="204"/>
      <c r="T9" s="204"/>
      <c r="U9" s="204"/>
      <c r="V9" s="204"/>
      <c r="W9" s="204"/>
      <c r="X9" s="204"/>
      <c r="Y9" s="204"/>
      <c r="Z9" s="204"/>
      <c r="AA9" s="204"/>
      <c r="AB9" s="197" t="s">
        <v>447</v>
      </c>
      <c r="AC9" s="198">
        <f>SUMIF($F$2:AB$2,X$2,$F9:AB9)</f>
        <v>0</v>
      </c>
      <c r="AD9" s="201"/>
      <c r="AE9" s="201"/>
      <c r="AF9" s="201"/>
      <c r="AG9" s="201"/>
      <c r="AH9" s="201"/>
      <c r="AI9" s="201"/>
      <c r="AJ9" s="201"/>
      <c r="AK9" s="201"/>
      <c r="AL9" s="201"/>
      <c r="AM9" s="198">
        <f>SUMIF($F$2:AL$2,AL$2,$F9:AL9)</f>
        <v>0</v>
      </c>
      <c r="AN9" s="204"/>
      <c r="AO9" s="204"/>
      <c r="AP9" s="204"/>
      <c r="AQ9" s="204"/>
      <c r="AR9" s="204"/>
      <c r="AS9" s="204"/>
      <c r="AT9" s="204"/>
      <c r="AU9" s="204"/>
      <c r="AV9" s="204"/>
      <c r="AW9" s="204"/>
      <c r="AX9" s="197"/>
      <c r="AY9" s="198"/>
      <c r="AZ9" s="201"/>
      <c r="BA9" s="201"/>
      <c r="BB9" s="201"/>
      <c r="BC9" s="201"/>
      <c r="BD9" s="201"/>
      <c r="BE9" s="201"/>
      <c r="BF9" s="201"/>
      <c r="BG9" s="201"/>
      <c r="BH9" s="201"/>
      <c r="BI9" s="198"/>
    </row>
    <row r="10" spans="1:61" s="187" customFormat="1" ht="72" customHeight="1" x14ac:dyDescent="0.15">
      <c r="A10" s="194" t="s">
        <v>193</v>
      </c>
      <c r="B10" s="195"/>
      <c r="C10" s="195"/>
      <c r="D10" s="196" t="s">
        <v>203</v>
      </c>
      <c r="E10" s="196" t="s">
        <v>202</v>
      </c>
      <c r="F10" s="207"/>
      <c r="G10" s="197" t="s">
        <v>448</v>
      </c>
      <c r="H10" s="197" t="s">
        <v>449</v>
      </c>
      <c r="I10" s="208"/>
      <c r="J10" s="208"/>
      <c r="K10" s="208"/>
      <c r="L10" s="197" t="s">
        <v>450</v>
      </c>
      <c r="M10" s="197" t="s">
        <v>451</v>
      </c>
      <c r="N10" s="197" t="s">
        <v>452</v>
      </c>
      <c r="O10" s="209">
        <f>SUMIF($F$2:N$2,N$2,$F10:N10)</f>
        <v>0</v>
      </c>
      <c r="P10" s="204"/>
      <c r="Q10" s="204"/>
      <c r="R10" s="204"/>
      <c r="S10" s="204"/>
      <c r="T10" s="204"/>
      <c r="U10" s="204"/>
      <c r="V10" s="204"/>
      <c r="W10" s="204"/>
      <c r="X10" s="204"/>
      <c r="Y10" s="204"/>
      <c r="Z10" s="204"/>
      <c r="AA10" s="204"/>
      <c r="AB10" s="197" t="s">
        <v>453</v>
      </c>
      <c r="AC10" s="198">
        <f>SUMIF($F$2:AB$2,X$2,$F10:AB10)</f>
        <v>0</v>
      </c>
      <c r="AD10" s="201"/>
      <c r="AE10" s="201"/>
      <c r="AF10" s="201"/>
      <c r="AG10" s="201"/>
      <c r="AH10" s="201"/>
      <c r="AI10" s="201"/>
      <c r="AJ10" s="201"/>
      <c r="AK10" s="201"/>
      <c r="AL10" s="201"/>
      <c r="AM10" s="198">
        <f>SUMIF($F$2:AL$2,AL$2,$F10:AL10)</f>
        <v>0</v>
      </c>
      <c r="AN10" s="204"/>
      <c r="AO10" s="204"/>
      <c r="AP10" s="204"/>
      <c r="AQ10" s="204"/>
      <c r="AR10" s="204"/>
      <c r="AS10" s="204"/>
      <c r="AT10" s="204"/>
      <c r="AU10" s="204"/>
      <c r="AV10" s="204"/>
      <c r="AW10" s="204"/>
      <c r="AX10" s="197"/>
      <c r="AY10" s="198"/>
      <c r="AZ10" s="201"/>
      <c r="BA10" s="201"/>
      <c r="BB10" s="201"/>
      <c r="BC10" s="201"/>
      <c r="BD10" s="201"/>
      <c r="BE10" s="201"/>
      <c r="BF10" s="201"/>
      <c r="BG10" s="201"/>
      <c r="BH10" s="201"/>
      <c r="BI10" s="198"/>
    </row>
    <row r="11" spans="1:61" s="187" customFormat="1" ht="72" customHeight="1" x14ac:dyDescent="0.15">
      <c r="A11" s="194" t="s">
        <v>193</v>
      </c>
      <c r="B11" s="195"/>
      <c r="C11" s="195"/>
      <c r="D11" s="196" t="s">
        <v>201</v>
      </c>
      <c r="E11" s="196" t="s">
        <v>200</v>
      </c>
      <c r="F11" s="207"/>
      <c r="G11" s="197" t="s">
        <v>454</v>
      </c>
      <c r="H11" s="197" t="s">
        <v>455</v>
      </c>
      <c r="I11" s="207"/>
      <c r="J11" s="207"/>
      <c r="K11" s="207"/>
      <c r="L11" s="197" t="s">
        <v>456</v>
      </c>
      <c r="M11" s="197" t="s">
        <v>457</v>
      </c>
      <c r="N11" s="197" t="s">
        <v>458</v>
      </c>
      <c r="O11" s="209">
        <f>SUMIF($F$2:N$2,N$2,$F11:N11)</f>
        <v>0</v>
      </c>
      <c r="P11" s="204"/>
      <c r="Q11" s="204"/>
      <c r="R11" s="204"/>
      <c r="S11" s="204"/>
      <c r="T11" s="204"/>
      <c r="U11" s="204"/>
      <c r="V11" s="204"/>
      <c r="W11" s="204"/>
      <c r="X11" s="204"/>
      <c r="Y11" s="204"/>
      <c r="Z11" s="204"/>
      <c r="AA11" s="204"/>
      <c r="AB11" s="197" t="s">
        <v>459</v>
      </c>
      <c r="AC11" s="198">
        <f>SUMIF($F$2:AB$2,X$2,$F11:AB11)</f>
        <v>0</v>
      </c>
      <c r="AD11" s="201"/>
      <c r="AE11" s="201"/>
      <c r="AF11" s="201"/>
      <c r="AG11" s="201"/>
      <c r="AH11" s="201"/>
      <c r="AI11" s="201"/>
      <c r="AJ11" s="201"/>
      <c r="AK11" s="201"/>
      <c r="AL11" s="201"/>
      <c r="AM11" s="198">
        <f>SUMIF($F$2:AL$2,AL$2,$F11:AL11)</f>
        <v>0</v>
      </c>
      <c r="AN11" s="204"/>
      <c r="AO11" s="204"/>
      <c r="AP11" s="204"/>
      <c r="AQ11" s="204"/>
      <c r="AR11" s="204"/>
      <c r="AS11" s="204"/>
      <c r="AT11" s="204"/>
      <c r="AU11" s="204"/>
      <c r="AV11" s="204"/>
      <c r="AW11" s="204"/>
      <c r="AX11" s="197"/>
      <c r="AY11" s="198"/>
      <c r="AZ11" s="201"/>
      <c r="BA11" s="201"/>
      <c r="BB11" s="201"/>
      <c r="BC11" s="201"/>
      <c r="BD11" s="201"/>
      <c r="BE11" s="201"/>
      <c r="BF11" s="201"/>
      <c r="BG11" s="201"/>
      <c r="BH11" s="201"/>
      <c r="BI11" s="198"/>
    </row>
    <row r="12" spans="1:61" s="187" customFormat="1" ht="72" customHeight="1" x14ac:dyDescent="0.15">
      <c r="A12" s="194" t="s">
        <v>193</v>
      </c>
      <c r="B12" s="195"/>
      <c r="C12" s="195"/>
      <c r="D12" s="196" t="s">
        <v>199</v>
      </c>
      <c r="E12" s="196" t="s">
        <v>198</v>
      </c>
      <c r="F12" s="207"/>
      <c r="G12" s="197" t="s">
        <v>460</v>
      </c>
      <c r="H12" s="197" t="s">
        <v>461</v>
      </c>
      <c r="I12" s="208"/>
      <c r="J12" s="208"/>
      <c r="K12" s="208"/>
      <c r="L12" s="197" t="s">
        <v>462</v>
      </c>
      <c r="M12" s="197" t="s">
        <v>463</v>
      </c>
      <c r="N12" s="197" t="s">
        <v>464</v>
      </c>
      <c r="O12" s="209">
        <f>SUMIF($F$2:N$2,N$2,$F12:N12)</f>
        <v>0</v>
      </c>
      <c r="P12" s="204"/>
      <c r="Q12" s="204"/>
      <c r="R12" s="204"/>
      <c r="S12" s="204"/>
      <c r="T12" s="204"/>
      <c r="U12" s="204"/>
      <c r="V12" s="204"/>
      <c r="W12" s="204"/>
      <c r="X12" s="204"/>
      <c r="Y12" s="204"/>
      <c r="Z12" s="204"/>
      <c r="AA12" s="204"/>
      <c r="AB12" s="197" t="s">
        <v>465</v>
      </c>
      <c r="AC12" s="198">
        <f>SUMIF($F$2:AB$2,X$2,$F12:AB12)</f>
        <v>0</v>
      </c>
      <c r="AD12" s="201"/>
      <c r="AE12" s="201"/>
      <c r="AF12" s="201"/>
      <c r="AG12" s="201"/>
      <c r="AH12" s="201"/>
      <c r="AI12" s="201"/>
      <c r="AJ12" s="201"/>
      <c r="AK12" s="201"/>
      <c r="AL12" s="201"/>
      <c r="AM12" s="198">
        <f>SUMIF($F$2:AL$2,AL$2,$F12:AL12)</f>
        <v>0</v>
      </c>
      <c r="AN12" s="204"/>
      <c r="AO12" s="204"/>
      <c r="AP12" s="204"/>
      <c r="AQ12" s="204"/>
      <c r="AR12" s="204"/>
      <c r="AS12" s="204"/>
      <c r="AT12" s="204"/>
      <c r="AU12" s="204"/>
      <c r="AV12" s="204"/>
      <c r="AW12" s="204"/>
      <c r="AX12" s="197"/>
      <c r="AY12" s="198"/>
      <c r="AZ12" s="201"/>
      <c r="BA12" s="201"/>
      <c r="BB12" s="201"/>
      <c r="BC12" s="201"/>
      <c r="BD12" s="201"/>
      <c r="BE12" s="201"/>
      <c r="BF12" s="201"/>
      <c r="BG12" s="201"/>
      <c r="BH12" s="201"/>
      <c r="BI12" s="198"/>
    </row>
    <row r="13" spans="1:61" s="187" customFormat="1" ht="36" customHeight="1" x14ac:dyDescent="0.15">
      <c r="A13" s="194" t="s">
        <v>193</v>
      </c>
      <c r="B13" s="195"/>
      <c r="C13" s="195"/>
      <c r="D13" s="196" t="s">
        <v>197</v>
      </c>
      <c r="E13" s="196" t="s">
        <v>196</v>
      </c>
      <c r="F13" s="210"/>
      <c r="G13" s="210"/>
      <c r="H13" s="210"/>
      <c r="I13" s="210"/>
      <c r="J13" s="210"/>
      <c r="K13" s="210"/>
      <c r="L13" s="210"/>
      <c r="M13" s="210"/>
      <c r="N13" s="210"/>
      <c r="O13" s="198">
        <f>SUMIF($F$2:N$2,N$2,$F13:N13)</f>
        <v>0</v>
      </c>
      <c r="P13" s="204"/>
      <c r="Q13" s="204"/>
      <c r="R13" s="204"/>
      <c r="S13" s="204"/>
      <c r="T13" s="204"/>
      <c r="U13" s="204"/>
      <c r="V13" s="204"/>
      <c r="W13" s="204"/>
      <c r="X13" s="204"/>
      <c r="Y13" s="204"/>
      <c r="Z13" s="204"/>
      <c r="AA13" s="204"/>
      <c r="AB13" s="204"/>
      <c r="AC13" s="198">
        <f>SUMIF($F$2:AB$2,X$2,$F13:AB13)</f>
        <v>0</v>
      </c>
      <c r="AD13" s="201"/>
      <c r="AE13" s="201"/>
      <c r="AF13" s="201"/>
      <c r="AG13" s="201"/>
      <c r="AH13" s="201"/>
      <c r="AI13" s="201"/>
      <c r="AJ13" s="201"/>
      <c r="AK13" s="201"/>
      <c r="AL13" s="201"/>
      <c r="AM13" s="198">
        <f>SUMIF($F$2:AL$2,AL$2,$F13:AL13)</f>
        <v>0</v>
      </c>
      <c r="AN13" s="204"/>
      <c r="AO13" s="204"/>
      <c r="AP13" s="204"/>
      <c r="AQ13" s="204"/>
      <c r="AR13" s="204"/>
      <c r="AS13" s="204"/>
      <c r="AT13" s="204"/>
      <c r="AU13" s="204"/>
      <c r="AV13" s="204"/>
      <c r="AW13" s="204"/>
      <c r="AX13" s="204"/>
      <c r="AY13" s="198"/>
      <c r="AZ13" s="201"/>
      <c r="BA13" s="201"/>
      <c r="BB13" s="201"/>
      <c r="BC13" s="201"/>
      <c r="BD13" s="201"/>
      <c r="BE13" s="201"/>
      <c r="BF13" s="201"/>
      <c r="BG13" s="201"/>
      <c r="BH13" s="201"/>
      <c r="BI13" s="198"/>
    </row>
    <row r="14" spans="1:61" s="187" customFormat="1" ht="180" customHeight="1" x14ac:dyDescent="0.15">
      <c r="A14" s="194" t="s">
        <v>193</v>
      </c>
      <c r="B14" s="195"/>
      <c r="C14" s="195"/>
      <c r="D14" s="196" t="s">
        <v>195</v>
      </c>
      <c r="E14" s="196" t="s">
        <v>194</v>
      </c>
      <c r="F14" s="197" t="s">
        <v>466</v>
      </c>
      <c r="G14" s="197" t="s">
        <v>467</v>
      </c>
      <c r="H14" s="197" t="s">
        <v>468</v>
      </c>
      <c r="I14" s="197" t="s">
        <v>469</v>
      </c>
      <c r="J14" s="197" t="s">
        <v>470</v>
      </c>
      <c r="K14" s="197" t="s">
        <v>471</v>
      </c>
      <c r="L14" s="197" t="s">
        <v>472</v>
      </c>
      <c r="M14" s="197" t="s">
        <v>473</v>
      </c>
      <c r="N14" s="197" t="s">
        <v>474</v>
      </c>
      <c r="O14" s="198">
        <f>SUMIF($F$2:N$2,N$2,$F14:N14)</f>
        <v>0</v>
      </c>
      <c r="P14" s="197" t="s">
        <v>475</v>
      </c>
      <c r="Q14" s="197" t="s">
        <v>476</v>
      </c>
      <c r="R14" s="197" t="s">
        <v>477</v>
      </c>
      <c r="S14" s="197" t="s">
        <v>478</v>
      </c>
      <c r="T14" s="197" t="s">
        <v>479</v>
      </c>
      <c r="U14" s="197" t="s">
        <v>480</v>
      </c>
      <c r="V14" s="197" t="s">
        <v>481</v>
      </c>
      <c r="W14" s="197" t="s">
        <v>482</v>
      </c>
      <c r="X14" s="197" t="s">
        <v>483</v>
      </c>
      <c r="Y14" s="197" t="s">
        <v>484</v>
      </c>
      <c r="Z14" s="197" t="s">
        <v>485</v>
      </c>
      <c r="AA14" s="212"/>
      <c r="AB14" s="197" t="s">
        <v>486</v>
      </c>
      <c r="AC14" s="198">
        <f>SUMIF($F$2:AB$2,X$2,$F14:AB14)</f>
        <v>0</v>
      </c>
      <c r="AD14" s="201"/>
      <c r="AE14" s="201"/>
      <c r="AF14" s="201"/>
      <c r="AG14" s="201"/>
      <c r="AH14" s="201"/>
      <c r="AI14" s="201"/>
      <c r="AJ14" s="201"/>
      <c r="AK14" s="201"/>
      <c r="AL14" s="201"/>
      <c r="AM14" s="198">
        <f>SUMIF($F$2:AL$2,AL$2,$F14:AL14)</f>
        <v>0</v>
      </c>
      <c r="AN14" s="197"/>
      <c r="AO14" s="197"/>
      <c r="AP14" s="197"/>
      <c r="AQ14" s="197"/>
      <c r="AR14" s="197"/>
      <c r="AS14" s="197"/>
      <c r="AT14" s="197"/>
      <c r="AU14" s="197"/>
      <c r="AV14" s="197"/>
      <c r="AW14" s="212"/>
      <c r="AX14" s="197"/>
      <c r="AY14" s="198"/>
      <c r="AZ14" s="201"/>
      <c r="BA14" s="201"/>
      <c r="BB14" s="201"/>
      <c r="BC14" s="201"/>
      <c r="BD14" s="201"/>
      <c r="BE14" s="201"/>
      <c r="BF14" s="201"/>
      <c r="BG14" s="201"/>
      <c r="BH14" s="201"/>
      <c r="BI14" s="198"/>
    </row>
    <row r="15" spans="1:61" s="187" customFormat="1" ht="180" customHeight="1" x14ac:dyDescent="0.15">
      <c r="A15" s="194" t="s">
        <v>193</v>
      </c>
      <c r="B15" s="195"/>
      <c r="C15" s="195"/>
      <c r="D15" s="196" t="s">
        <v>192</v>
      </c>
      <c r="E15" s="196" t="s">
        <v>191</v>
      </c>
      <c r="F15" s="197" t="s">
        <v>466</v>
      </c>
      <c r="G15" s="197" t="s">
        <v>467</v>
      </c>
      <c r="H15" s="197" t="s">
        <v>468</v>
      </c>
      <c r="I15" s="197" t="s">
        <v>469</v>
      </c>
      <c r="J15" s="197" t="s">
        <v>470</v>
      </c>
      <c r="K15" s="197" t="s">
        <v>471</v>
      </c>
      <c r="L15" s="197" t="s">
        <v>472</v>
      </c>
      <c r="M15" s="197" t="s">
        <v>473</v>
      </c>
      <c r="N15" s="197" t="s">
        <v>474</v>
      </c>
      <c r="O15" s="198">
        <f>SUMIF($F$2:N$2,N$2,$F15:N15)</f>
        <v>0</v>
      </c>
      <c r="P15" s="197" t="s">
        <v>475</v>
      </c>
      <c r="Q15" s="197" t="s">
        <v>476</v>
      </c>
      <c r="R15" s="197" t="s">
        <v>477</v>
      </c>
      <c r="S15" s="197" t="s">
        <v>478</v>
      </c>
      <c r="T15" s="197" t="s">
        <v>479</v>
      </c>
      <c r="U15" s="197" t="s">
        <v>480</v>
      </c>
      <c r="V15" s="197" t="s">
        <v>481</v>
      </c>
      <c r="W15" s="197" t="s">
        <v>482</v>
      </c>
      <c r="X15" s="197" t="s">
        <v>483</v>
      </c>
      <c r="Y15" s="197" t="s">
        <v>484</v>
      </c>
      <c r="Z15" s="197" t="s">
        <v>485</v>
      </c>
      <c r="AA15" s="204"/>
      <c r="AB15" s="197" t="s">
        <v>486</v>
      </c>
      <c r="AC15" s="198">
        <f>SUMIF($F$2:AB$2,X$2,$F15:AB15)</f>
        <v>0</v>
      </c>
      <c r="AD15" s="201"/>
      <c r="AE15" s="201"/>
      <c r="AF15" s="201"/>
      <c r="AG15" s="201"/>
      <c r="AH15" s="201"/>
      <c r="AI15" s="201"/>
      <c r="AJ15" s="201"/>
      <c r="AK15" s="201"/>
      <c r="AL15" s="201"/>
      <c r="AM15" s="198">
        <f>SUMIF($F$2:AL$2,AL$2,$F15:AL15)</f>
        <v>0</v>
      </c>
      <c r="AN15" s="197"/>
      <c r="AO15" s="197"/>
      <c r="AP15" s="197"/>
      <c r="AQ15" s="197"/>
      <c r="AR15" s="197"/>
      <c r="AS15" s="197"/>
      <c r="AT15" s="197"/>
      <c r="AU15" s="197"/>
      <c r="AV15" s="197"/>
      <c r="AW15" s="204"/>
      <c r="AX15" s="197"/>
      <c r="AY15" s="198"/>
      <c r="AZ15" s="201"/>
      <c r="BA15" s="201"/>
      <c r="BB15" s="201"/>
      <c r="BC15" s="201"/>
      <c r="BD15" s="201"/>
      <c r="BE15" s="201"/>
      <c r="BF15" s="201"/>
      <c r="BG15" s="201"/>
      <c r="BH15" s="201"/>
      <c r="BI15" s="198"/>
    </row>
    <row r="16" spans="1:61" s="187" customFormat="1" ht="12" customHeight="1" x14ac:dyDescent="0.15">
      <c r="A16" s="194"/>
      <c r="B16" s="213"/>
      <c r="C16" s="213"/>
      <c r="D16" s="214"/>
      <c r="E16" s="215" t="s">
        <v>190</v>
      </c>
      <c r="F16" s="216">
        <f>SUMIF($C$5:$C15,$C15,F$5:F15)</f>
        <v>0</v>
      </c>
      <c r="G16" s="216">
        <f>SUMIF($C$5:$C15,$C15,G$5:G15)</f>
        <v>0</v>
      </c>
      <c r="H16" s="216">
        <f>SUMIF($C$5:$C15,$C15,H$5:H15)</f>
        <v>0</v>
      </c>
      <c r="I16" s="216">
        <f>SUMIF($C$5:$C15,$C15,I$5:I15)</f>
        <v>0</v>
      </c>
      <c r="J16" s="216">
        <f>SUMIF($C$5:$C15,$C15,J$5:J15)</f>
        <v>0</v>
      </c>
      <c r="K16" s="216">
        <f>SUMIF($C$5:$C15,$C15,K$5:K15)</f>
        <v>0</v>
      </c>
      <c r="L16" s="216">
        <f>SUMIF($C$5:$C15,$C15,L$5:L15)</f>
        <v>0</v>
      </c>
      <c r="M16" s="216">
        <f>SUMIF($C$5:$C15,$C15,M$5:M15)</f>
        <v>0</v>
      </c>
      <c r="N16" s="216">
        <f>SUMIF($C$5:$C15,$C15,N$5:N15)</f>
        <v>0</v>
      </c>
      <c r="O16" s="198">
        <f>SUMIF($C$5:$C15,$C15,O$5:O15)</f>
        <v>0</v>
      </c>
      <c r="P16" s="216">
        <f>SUMIF($C$5:$C15,$C15,P$5:P15)</f>
        <v>0</v>
      </c>
      <c r="Q16" s="216">
        <f>SUMIF($C$5:$C15,$C15,Q$5:Q15)</f>
        <v>0</v>
      </c>
      <c r="R16" s="216">
        <f>SUMIF($C$5:$C15,$C15,R$5:R15)</f>
        <v>0</v>
      </c>
      <c r="S16" s="216">
        <f>SUMIF($C$5:$C15,$C15,S$5:S15)</f>
        <v>0</v>
      </c>
      <c r="T16" s="216">
        <f>SUMIF($C$5:$C15,$C15,T$5:T15)</f>
        <v>0</v>
      </c>
      <c r="U16" s="216">
        <f>SUMIF($C$5:$C15,$C15,U$5:U15)</f>
        <v>0</v>
      </c>
      <c r="V16" s="216">
        <f>SUMIF($C$5:$C15,$C15,V$5:V15)</f>
        <v>0</v>
      </c>
      <c r="W16" s="216">
        <f>SUMIF($C$5:$C15,$C15,W$5:W15)</f>
        <v>0</v>
      </c>
      <c r="X16" s="216">
        <f>SUMIF($C$5:$C15,$C15,X$5:X15)</f>
        <v>0</v>
      </c>
      <c r="Y16" s="216">
        <f>SUMIF($C$5:$C15,$C15,Y$5:Y15)</f>
        <v>0</v>
      </c>
      <c r="Z16" s="216">
        <f>SUMIF($C$5:$C15,$C15,Z$5:Z15)</f>
        <v>0</v>
      </c>
      <c r="AA16" s="216">
        <f>SUMIF($C$5:$C15,$C15,AA$5:AA15)</f>
        <v>0</v>
      </c>
      <c r="AB16" s="216">
        <f>SUMIF($C$5:$C15,$C15,AB$5:AB15)</f>
        <v>0</v>
      </c>
      <c r="AC16" s="198">
        <f>SUMIF($C$5:$C15,$C15,AC$5:AC15)</f>
        <v>0</v>
      </c>
      <c r="AD16" s="216">
        <f>SUMIF($C$5:$C15,$C15,AD$5:AD15)</f>
        <v>0</v>
      </c>
      <c r="AE16" s="216">
        <f>SUMIF($C$5:$C15,$C15,AE$5:AE15)</f>
        <v>0</v>
      </c>
      <c r="AF16" s="216">
        <f>SUMIF($C$5:$C15,$C15,AF$5:AF15)</f>
        <v>0</v>
      </c>
      <c r="AG16" s="216">
        <f>SUMIF($C$5:$C15,$C15,AG$5:AG15)</f>
        <v>0</v>
      </c>
      <c r="AH16" s="216">
        <f>SUMIF($C$5:$C15,$C15,AH$5:AH15)</f>
        <v>0</v>
      </c>
      <c r="AI16" s="216">
        <f>SUMIF($C$5:$C15,$C15,AI$5:AI15)</f>
        <v>0</v>
      </c>
      <c r="AJ16" s="216">
        <f>SUMIF($C$5:$C15,$C15,AJ$5:AJ15)</f>
        <v>0</v>
      </c>
      <c r="AK16" s="216">
        <f>SUMIF($C$5:$C15,$C15,AK$5:AK15)</f>
        <v>0</v>
      </c>
      <c r="AL16" s="216">
        <f>SUMIF($C$5:$C15,$C15,AL$5:AL15)</f>
        <v>0</v>
      </c>
      <c r="AM16" s="198">
        <f>SUMIF($C$5:$C15,$C15,AM$5:AM15)</f>
        <v>0</v>
      </c>
      <c r="AN16" s="216"/>
      <c r="AO16" s="216"/>
      <c r="AP16" s="216"/>
      <c r="AQ16" s="216"/>
      <c r="AR16" s="216"/>
      <c r="AS16" s="216"/>
      <c r="AT16" s="216"/>
      <c r="AU16" s="216"/>
      <c r="AV16" s="216"/>
      <c r="AW16" s="216"/>
      <c r="AX16" s="216"/>
      <c r="AY16" s="198"/>
      <c r="AZ16" s="216"/>
      <c r="BA16" s="216"/>
      <c r="BB16" s="216"/>
      <c r="BC16" s="216"/>
      <c r="BD16" s="216"/>
      <c r="BE16" s="216"/>
      <c r="BF16" s="216"/>
      <c r="BG16" s="216"/>
      <c r="BH16" s="216"/>
      <c r="BI16" s="198"/>
    </row>
    <row r="17" ht="16" customHeight="1" x14ac:dyDescent="0.2"/>
    <row r="18" ht="16" customHeight="1" x14ac:dyDescent="0.2"/>
  </sheetData>
  <mergeCells count="6">
    <mergeCell ref="BI2:BI4"/>
    <mergeCell ref="AY2:AY4"/>
    <mergeCell ref="B1:E1"/>
    <mergeCell ref="O2:O4"/>
    <mergeCell ref="AC2:AC4"/>
    <mergeCell ref="AM2:AM4"/>
  </mergeCells>
  <pageMargins left="0.70866141732283472" right="0.70866141732283472" top="0.74803149606299213" bottom="0.74803149606299213" header="0.31496062992125984" footer="0.31496062992125984"/>
  <pageSetup paperSize="8"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324D-705A-A94A-B5F8-6AFA2E068B3B}">
  <dimension ref="A1:T16"/>
  <sheetViews>
    <sheetView workbookViewId="0">
      <selection sqref="A1:F1"/>
    </sheetView>
  </sheetViews>
  <sheetFormatPr baseColWidth="10" defaultRowHeight="15" x14ac:dyDescent="0.2"/>
  <sheetData>
    <row r="1" spans="1:20" ht="31" customHeight="1" x14ac:dyDescent="0.2">
      <c r="A1" s="353" t="s">
        <v>368</v>
      </c>
      <c r="B1" s="353"/>
      <c r="C1" s="353"/>
      <c r="D1" s="353"/>
      <c r="E1" s="353"/>
      <c r="F1" s="353"/>
      <c r="G1" s="219"/>
      <c r="H1" s="219"/>
      <c r="I1" s="219"/>
      <c r="J1" s="219"/>
      <c r="K1" s="219"/>
      <c r="L1" s="219"/>
      <c r="M1" s="220"/>
      <c r="N1" s="220"/>
      <c r="O1" s="219"/>
      <c r="P1" s="219"/>
      <c r="Q1" s="219"/>
      <c r="R1" s="219"/>
      <c r="S1" s="219"/>
      <c r="T1" s="219"/>
    </row>
    <row r="2" spans="1:20" x14ac:dyDescent="0.2">
      <c r="A2" s="221"/>
      <c r="B2" s="221"/>
      <c r="C2" s="221"/>
      <c r="D2" s="221"/>
      <c r="E2" s="221"/>
      <c r="F2" s="221"/>
      <c r="G2" s="222" t="s">
        <v>318</v>
      </c>
      <c r="H2" s="222" t="s">
        <v>318</v>
      </c>
      <c r="I2" s="222" t="s">
        <v>318</v>
      </c>
      <c r="J2" s="222" t="s">
        <v>318</v>
      </c>
      <c r="K2" s="222" t="s">
        <v>318</v>
      </c>
      <c r="L2" s="222" t="s">
        <v>318</v>
      </c>
      <c r="M2" s="223" t="s">
        <v>318</v>
      </c>
      <c r="N2" s="223" t="s">
        <v>318</v>
      </c>
      <c r="O2" s="222" t="s">
        <v>318</v>
      </c>
      <c r="P2" s="354" t="s">
        <v>367</v>
      </c>
      <c r="Q2" s="222" t="s">
        <v>366</v>
      </c>
      <c r="R2" s="222" t="s">
        <v>366</v>
      </c>
      <c r="S2" s="222" t="s">
        <v>366</v>
      </c>
      <c r="T2" s="354" t="s">
        <v>365</v>
      </c>
    </row>
    <row r="3" spans="1:20" ht="24" x14ac:dyDescent="0.2">
      <c r="A3" s="221"/>
      <c r="B3" s="221"/>
      <c r="C3" s="221"/>
      <c r="D3" s="221"/>
      <c r="E3" s="221"/>
      <c r="F3" s="221"/>
      <c r="G3" s="222" t="s">
        <v>355</v>
      </c>
      <c r="H3" s="222" t="s">
        <v>354</v>
      </c>
      <c r="I3" s="222" t="s">
        <v>353</v>
      </c>
      <c r="J3" s="222" t="s">
        <v>352</v>
      </c>
      <c r="K3" s="222" t="s">
        <v>351</v>
      </c>
      <c r="L3" s="222" t="s">
        <v>350</v>
      </c>
      <c r="M3" s="223" t="s">
        <v>349</v>
      </c>
      <c r="N3" s="223" t="s">
        <v>348</v>
      </c>
      <c r="O3" s="222" t="s">
        <v>347</v>
      </c>
      <c r="P3" s="354"/>
      <c r="Q3" s="222" t="s">
        <v>346</v>
      </c>
      <c r="R3" s="222" t="s">
        <v>282</v>
      </c>
      <c r="S3" s="222" t="s">
        <v>276</v>
      </c>
      <c r="T3" s="354"/>
    </row>
    <row r="4" spans="1:20" ht="60" x14ac:dyDescent="0.2">
      <c r="A4" s="221"/>
      <c r="B4" s="224" t="s">
        <v>266</v>
      </c>
      <c r="C4" s="224" t="s">
        <v>265</v>
      </c>
      <c r="D4" s="224" t="s">
        <v>32</v>
      </c>
      <c r="E4" s="224" t="s">
        <v>264</v>
      </c>
      <c r="F4" s="224" t="s">
        <v>263</v>
      </c>
      <c r="G4" s="222" t="s">
        <v>336</v>
      </c>
      <c r="H4" s="222" t="s">
        <v>335</v>
      </c>
      <c r="I4" s="222" t="s">
        <v>334</v>
      </c>
      <c r="J4" s="222" t="s">
        <v>333</v>
      </c>
      <c r="K4" s="222" t="s">
        <v>332</v>
      </c>
      <c r="L4" s="222" t="s">
        <v>331</v>
      </c>
      <c r="M4" s="223" t="s">
        <v>330</v>
      </c>
      <c r="N4" s="223" t="s">
        <v>329</v>
      </c>
      <c r="O4" s="222" t="s">
        <v>328</v>
      </c>
      <c r="P4" s="354"/>
      <c r="Q4" s="222" t="s">
        <v>327</v>
      </c>
      <c r="R4" s="222" t="s">
        <v>229</v>
      </c>
      <c r="S4" s="222" t="s">
        <v>223</v>
      </c>
      <c r="T4" s="354"/>
    </row>
    <row r="5" spans="1:20" ht="317" x14ac:dyDescent="0.2">
      <c r="A5" s="225" t="s">
        <v>326</v>
      </c>
      <c r="B5" s="226"/>
      <c r="C5" s="226"/>
      <c r="D5" s="227"/>
      <c r="E5" s="226" t="s">
        <v>213</v>
      </c>
      <c r="F5" s="226" t="s">
        <v>212</v>
      </c>
      <c r="G5" s="228"/>
      <c r="H5" s="197" t="s">
        <v>487</v>
      </c>
      <c r="I5" s="197" t="s">
        <v>488</v>
      </c>
      <c r="J5" s="197" t="s">
        <v>489</v>
      </c>
      <c r="K5" s="229" t="s">
        <v>490</v>
      </c>
      <c r="L5" s="229" t="s">
        <v>490</v>
      </c>
      <c r="M5" s="229"/>
      <c r="N5" s="229"/>
      <c r="O5" s="229" t="s">
        <v>490</v>
      </c>
      <c r="P5" s="230">
        <f t="shared" ref="P5:P15" si="0">SUM(G5:O5)</f>
        <v>0</v>
      </c>
      <c r="Q5" s="229" t="s">
        <v>490</v>
      </c>
      <c r="R5" s="197" t="s">
        <v>491</v>
      </c>
      <c r="S5" s="231" t="s">
        <v>492</v>
      </c>
      <c r="T5" s="230">
        <f t="shared" ref="T5:T15" si="1">SUM(Q5:S5)</f>
        <v>0</v>
      </c>
    </row>
    <row r="6" spans="1:20" ht="48" x14ac:dyDescent="0.2">
      <c r="A6" s="232" t="s">
        <v>326</v>
      </c>
      <c r="B6" s="227"/>
      <c r="C6" s="227"/>
      <c r="D6" s="227"/>
      <c r="E6" s="227" t="s">
        <v>211</v>
      </c>
      <c r="F6" s="227" t="s">
        <v>210</v>
      </c>
      <c r="G6" s="233"/>
      <c r="H6" s="234"/>
      <c r="I6" s="234"/>
      <c r="J6" s="234"/>
      <c r="K6" s="234"/>
      <c r="L6" s="234"/>
      <c r="M6" s="229" t="s">
        <v>490</v>
      </c>
      <c r="N6" s="229" t="s">
        <v>490</v>
      </c>
      <c r="O6" s="229" t="s">
        <v>490</v>
      </c>
      <c r="P6" s="235">
        <f t="shared" si="0"/>
        <v>0</v>
      </c>
      <c r="Q6" s="234"/>
      <c r="R6" s="234"/>
      <c r="S6" s="234"/>
      <c r="T6" s="235">
        <f t="shared" si="1"/>
        <v>0</v>
      </c>
    </row>
    <row r="7" spans="1:20" x14ac:dyDescent="0.2">
      <c r="A7" s="225" t="s">
        <v>326</v>
      </c>
      <c r="B7" s="226"/>
      <c r="C7" s="226"/>
      <c r="D7" s="226"/>
      <c r="E7" s="226" t="s">
        <v>209</v>
      </c>
      <c r="F7" s="226" t="s">
        <v>208</v>
      </c>
      <c r="G7" s="228"/>
      <c r="H7" s="236"/>
      <c r="I7" s="236"/>
      <c r="J7" s="236"/>
      <c r="K7" s="236"/>
      <c r="L7" s="236"/>
      <c r="M7" s="234"/>
      <c r="N7" s="234"/>
      <c r="O7" s="234"/>
      <c r="P7" s="230">
        <f t="shared" si="0"/>
        <v>0</v>
      </c>
      <c r="Q7" s="236"/>
      <c r="R7" s="236"/>
      <c r="S7" s="211"/>
      <c r="T7" s="230">
        <f t="shared" si="1"/>
        <v>0</v>
      </c>
    </row>
    <row r="8" spans="1:20" x14ac:dyDescent="0.2">
      <c r="A8" s="225" t="s">
        <v>326</v>
      </c>
      <c r="B8" s="226"/>
      <c r="C8" s="226"/>
      <c r="D8" s="226"/>
      <c r="E8" s="226" t="s">
        <v>207</v>
      </c>
      <c r="F8" s="226" t="s">
        <v>206</v>
      </c>
      <c r="G8" s="228"/>
      <c r="H8" s="236"/>
      <c r="I8" s="236"/>
      <c r="J8" s="236"/>
      <c r="K8" s="236"/>
      <c r="L8" s="236"/>
      <c r="M8" s="234"/>
      <c r="N8" s="234"/>
      <c r="O8" s="234"/>
      <c r="P8" s="230">
        <f t="shared" si="0"/>
        <v>0</v>
      </c>
      <c r="Q8" s="236"/>
      <c r="R8" s="236"/>
      <c r="S8" s="203"/>
      <c r="T8" s="230">
        <f t="shared" si="1"/>
        <v>0</v>
      </c>
    </row>
    <row r="9" spans="1:20" ht="144" x14ac:dyDescent="0.2">
      <c r="A9" s="225" t="s">
        <v>326</v>
      </c>
      <c r="B9" s="226"/>
      <c r="C9" s="226"/>
      <c r="D9" s="226"/>
      <c r="E9" s="226" t="s">
        <v>205</v>
      </c>
      <c r="F9" s="226" t="s">
        <v>204</v>
      </c>
      <c r="G9" s="228"/>
      <c r="H9" s="236"/>
      <c r="I9" s="236"/>
      <c r="J9" s="236"/>
      <c r="K9" s="236"/>
      <c r="L9" s="236"/>
      <c r="M9" s="234"/>
      <c r="N9" s="234"/>
      <c r="O9" s="234"/>
      <c r="P9" s="230">
        <f t="shared" si="0"/>
        <v>0</v>
      </c>
      <c r="Q9" s="236"/>
      <c r="R9" s="236"/>
      <c r="S9" s="197" t="s">
        <v>493</v>
      </c>
      <c r="T9" s="230">
        <f t="shared" si="1"/>
        <v>0</v>
      </c>
    </row>
    <row r="10" spans="1:20" ht="96" x14ac:dyDescent="0.2">
      <c r="A10" s="225" t="s">
        <v>326</v>
      </c>
      <c r="B10" s="226"/>
      <c r="C10" s="226"/>
      <c r="D10" s="226"/>
      <c r="E10" s="226" t="s">
        <v>203</v>
      </c>
      <c r="F10" s="226" t="s">
        <v>202</v>
      </c>
      <c r="G10" s="228"/>
      <c r="H10" s="236"/>
      <c r="I10" s="236"/>
      <c r="J10" s="236"/>
      <c r="K10" s="236"/>
      <c r="L10" s="236"/>
      <c r="M10" s="234"/>
      <c r="N10" s="234"/>
      <c r="O10" s="234"/>
      <c r="P10" s="230">
        <f t="shared" si="0"/>
        <v>0</v>
      </c>
      <c r="Q10" s="236"/>
      <c r="R10" s="236"/>
      <c r="S10" s="197" t="s">
        <v>494</v>
      </c>
      <c r="T10" s="230">
        <f t="shared" si="1"/>
        <v>0</v>
      </c>
    </row>
    <row r="11" spans="1:20" ht="96" x14ac:dyDescent="0.2">
      <c r="A11" s="225" t="s">
        <v>326</v>
      </c>
      <c r="B11" s="226"/>
      <c r="C11" s="226"/>
      <c r="D11" s="226"/>
      <c r="E11" s="226" t="s">
        <v>201</v>
      </c>
      <c r="F11" s="226" t="s">
        <v>200</v>
      </c>
      <c r="G11" s="228"/>
      <c r="H11" s="236"/>
      <c r="I11" s="236"/>
      <c r="J11" s="236"/>
      <c r="K11" s="236"/>
      <c r="L11" s="236"/>
      <c r="M11" s="234"/>
      <c r="N11" s="234"/>
      <c r="O11" s="234"/>
      <c r="P11" s="230">
        <f t="shared" si="0"/>
        <v>0</v>
      </c>
      <c r="Q11" s="236"/>
      <c r="R11" s="236"/>
      <c r="S11" s="197" t="s">
        <v>495</v>
      </c>
      <c r="T11" s="230">
        <f t="shared" si="1"/>
        <v>0</v>
      </c>
    </row>
    <row r="12" spans="1:20" ht="96" x14ac:dyDescent="0.2">
      <c r="A12" s="225" t="s">
        <v>326</v>
      </c>
      <c r="B12" s="226"/>
      <c r="C12" s="226"/>
      <c r="D12" s="226"/>
      <c r="E12" s="226" t="s">
        <v>199</v>
      </c>
      <c r="F12" s="226" t="s">
        <v>198</v>
      </c>
      <c r="G12" s="228"/>
      <c r="H12" s="236"/>
      <c r="I12" s="236"/>
      <c r="J12" s="236"/>
      <c r="K12" s="236"/>
      <c r="L12" s="236"/>
      <c r="M12" s="234"/>
      <c r="N12" s="234"/>
      <c r="O12" s="234"/>
      <c r="P12" s="230">
        <f t="shared" si="0"/>
        <v>0</v>
      </c>
      <c r="Q12" s="236"/>
      <c r="R12" s="236"/>
      <c r="S12" s="197" t="s">
        <v>496</v>
      </c>
      <c r="T12" s="230">
        <f t="shared" si="1"/>
        <v>0</v>
      </c>
    </row>
    <row r="13" spans="1:20" x14ac:dyDescent="0.2">
      <c r="A13" s="225" t="s">
        <v>326</v>
      </c>
      <c r="B13" s="226"/>
      <c r="C13" s="226"/>
      <c r="D13" s="226"/>
      <c r="E13" s="226" t="s">
        <v>197</v>
      </c>
      <c r="F13" s="226" t="s">
        <v>196</v>
      </c>
      <c r="G13" s="228"/>
      <c r="H13" s="236"/>
      <c r="I13" s="236"/>
      <c r="J13" s="236"/>
      <c r="K13" s="236"/>
      <c r="L13" s="236"/>
      <c r="M13" s="234"/>
      <c r="N13" s="234"/>
      <c r="O13" s="234"/>
      <c r="P13" s="230">
        <f t="shared" si="0"/>
        <v>0</v>
      </c>
      <c r="Q13" s="236"/>
      <c r="R13" s="236"/>
      <c r="S13" s="236"/>
      <c r="T13" s="230">
        <f t="shared" si="1"/>
        <v>0</v>
      </c>
    </row>
    <row r="14" spans="1:20" ht="132" x14ac:dyDescent="0.2">
      <c r="A14" s="225" t="s">
        <v>326</v>
      </c>
      <c r="B14" s="226"/>
      <c r="C14" s="226"/>
      <c r="D14" s="226"/>
      <c r="E14" s="226" t="s">
        <v>195</v>
      </c>
      <c r="F14" s="226" t="s">
        <v>194</v>
      </c>
      <c r="G14" s="228"/>
      <c r="H14" s="197" t="s">
        <v>497</v>
      </c>
      <c r="I14" s="197" t="s">
        <v>498</v>
      </c>
      <c r="J14" s="197" t="s">
        <v>499</v>
      </c>
      <c r="K14" s="237"/>
      <c r="L14" s="237"/>
      <c r="M14" s="234"/>
      <c r="N14" s="234"/>
      <c r="O14" s="234"/>
      <c r="P14" s="230">
        <f t="shared" si="0"/>
        <v>0</v>
      </c>
      <c r="Q14" s="234"/>
      <c r="R14" s="197" t="s">
        <v>500</v>
      </c>
      <c r="S14" s="231" t="s">
        <v>501</v>
      </c>
      <c r="T14" s="230">
        <f t="shared" si="1"/>
        <v>0</v>
      </c>
    </row>
    <row r="15" spans="1:20" ht="132" x14ac:dyDescent="0.2">
      <c r="A15" s="225" t="s">
        <v>326</v>
      </c>
      <c r="B15" s="226"/>
      <c r="C15" s="226"/>
      <c r="D15" s="226"/>
      <c r="E15" s="226" t="s">
        <v>192</v>
      </c>
      <c r="F15" s="226" t="s">
        <v>191</v>
      </c>
      <c r="G15" s="228"/>
      <c r="H15" s="197" t="s">
        <v>497</v>
      </c>
      <c r="I15" s="197" t="s">
        <v>498</v>
      </c>
      <c r="J15" s="197" t="s">
        <v>499</v>
      </c>
      <c r="K15" s="237"/>
      <c r="L15" s="237"/>
      <c r="M15" s="234"/>
      <c r="N15" s="234"/>
      <c r="O15" s="234"/>
      <c r="P15" s="230">
        <f t="shared" si="0"/>
        <v>0</v>
      </c>
      <c r="Q15" s="236"/>
      <c r="R15" s="197" t="s">
        <v>500</v>
      </c>
      <c r="S15" s="231" t="s">
        <v>501</v>
      </c>
      <c r="T15" s="230">
        <f t="shared" si="1"/>
        <v>0</v>
      </c>
    </row>
    <row r="16" spans="1:20" x14ac:dyDescent="0.2">
      <c r="A16" s="225"/>
      <c r="B16" s="238"/>
      <c r="C16" s="238"/>
      <c r="D16" s="238"/>
      <c r="E16" s="238"/>
      <c r="F16" s="239" t="s">
        <v>190</v>
      </c>
      <c r="G16" s="240">
        <f t="shared" ref="G16:T16" si="2">SUM(G5:G15)</f>
        <v>0</v>
      </c>
      <c r="H16" s="240">
        <f t="shared" si="2"/>
        <v>0</v>
      </c>
      <c r="I16" s="240">
        <f t="shared" si="2"/>
        <v>0</v>
      </c>
      <c r="J16" s="240">
        <f t="shared" si="2"/>
        <v>0</v>
      </c>
      <c r="K16" s="240">
        <f t="shared" si="2"/>
        <v>0</v>
      </c>
      <c r="L16" s="240">
        <f t="shared" si="2"/>
        <v>0</v>
      </c>
      <c r="M16" s="241">
        <f t="shared" si="2"/>
        <v>0</v>
      </c>
      <c r="N16" s="241">
        <f t="shared" si="2"/>
        <v>0</v>
      </c>
      <c r="O16" s="240">
        <f t="shared" si="2"/>
        <v>0</v>
      </c>
      <c r="P16" s="240">
        <f t="shared" si="2"/>
        <v>0</v>
      </c>
      <c r="Q16" s="240">
        <f t="shared" si="2"/>
        <v>0</v>
      </c>
      <c r="R16" s="240">
        <f t="shared" si="2"/>
        <v>0</v>
      </c>
      <c r="S16" s="240">
        <f t="shared" si="2"/>
        <v>0</v>
      </c>
      <c r="T16" s="240">
        <f t="shared" si="2"/>
        <v>0</v>
      </c>
    </row>
  </sheetData>
  <mergeCells count="3">
    <mergeCell ref="A1:F1"/>
    <mergeCell ref="P2:P4"/>
    <mergeCell ref="T2:T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D3E5-B7F3-C14C-8528-86F4142584D0}">
  <dimension ref="A1:AB17"/>
  <sheetViews>
    <sheetView workbookViewId="0">
      <selection activeCell="B1" sqref="B1:I1"/>
    </sheetView>
  </sheetViews>
  <sheetFormatPr baseColWidth="10" defaultRowHeight="15" x14ac:dyDescent="0.2"/>
  <sheetData>
    <row r="1" spans="1:28" ht="23" customHeight="1" x14ac:dyDescent="0.2">
      <c r="A1" s="245"/>
      <c r="B1" s="356" t="s">
        <v>324</v>
      </c>
      <c r="C1" s="356"/>
      <c r="D1" s="356"/>
      <c r="E1" s="356"/>
      <c r="F1" s="356"/>
      <c r="G1" s="356"/>
      <c r="H1" s="356"/>
      <c r="I1" s="356"/>
      <c r="J1" s="242"/>
      <c r="K1" s="242"/>
      <c r="L1" s="242"/>
      <c r="M1" s="242"/>
      <c r="N1" s="242"/>
      <c r="O1" s="242"/>
      <c r="P1" s="242"/>
      <c r="Q1" s="242"/>
      <c r="R1" s="242"/>
      <c r="S1" s="242"/>
      <c r="T1" s="242"/>
      <c r="U1" s="242"/>
      <c r="V1" s="242"/>
      <c r="W1" s="242"/>
      <c r="X1" s="242"/>
      <c r="Y1" s="242"/>
      <c r="Z1" s="242"/>
      <c r="AA1" s="242"/>
      <c r="AB1" s="242"/>
    </row>
    <row r="2" spans="1:28" ht="28" x14ac:dyDescent="0.2">
      <c r="A2" s="243"/>
      <c r="B2" s="243"/>
      <c r="C2" s="243"/>
      <c r="D2" s="243"/>
      <c r="E2" s="243"/>
      <c r="F2" s="243"/>
      <c r="G2" s="244" t="s">
        <v>323</v>
      </c>
      <c r="H2" s="355" t="s">
        <v>322</v>
      </c>
      <c r="I2" s="247" t="s">
        <v>321</v>
      </c>
      <c r="J2" s="247" t="s">
        <v>321</v>
      </c>
      <c r="K2" s="247" t="s">
        <v>321</v>
      </c>
      <c r="L2" s="247" t="s">
        <v>321</v>
      </c>
      <c r="M2" s="247" t="s">
        <v>321</v>
      </c>
      <c r="N2" s="247" t="s">
        <v>321</v>
      </c>
      <c r="O2" s="247" t="s">
        <v>321</v>
      </c>
      <c r="P2" s="247" t="s">
        <v>321</v>
      </c>
      <c r="Q2" s="247" t="s">
        <v>321</v>
      </c>
      <c r="R2" s="247" t="s">
        <v>321</v>
      </c>
      <c r="S2" s="247" t="s">
        <v>321</v>
      </c>
      <c r="T2" s="247" t="s">
        <v>321</v>
      </c>
      <c r="U2" s="247" t="s">
        <v>321</v>
      </c>
      <c r="V2" s="247" t="s">
        <v>321</v>
      </c>
      <c r="W2" s="355" t="s">
        <v>320</v>
      </c>
      <c r="X2" s="244" t="s">
        <v>139</v>
      </c>
      <c r="Y2" s="244" t="s">
        <v>139</v>
      </c>
      <c r="Z2" s="244" t="s">
        <v>139</v>
      </c>
      <c r="AA2" s="244" t="s">
        <v>139</v>
      </c>
      <c r="AB2" s="355" t="s">
        <v>319</v>
      </c>
    </row>
    <row r="3" spans="1:28" ht="56" x14ac:dyDescent="0.2">
      <c r="A3" s="243"/>
      <c r="B3" s="243"/>
      <c r="C3" s="243"/>
      <c r="D3" s="243"/>
      <c r="E3" s="243"/>
      <c r="F3" s="243"/>
      <c r="G3" s="244" t="s">
        <v>312</v>
      </c>
      <c r="H3" s="355"/>
      <c r="I3" s="247" t="s">
        <v>311</v>
      </c>
      <c r="J3" s="247" t="s">
        <v>310</v>
      </c>
      <c r="K3" s="247" t="s">
        <v>309</v>
      </c>
      <c r="L3" s="247" t="s">
        <v>308</v>
      </c>
      <c r="M3" s="247" t="s">
        <v>307</v>
      </c>
      <c r="N3" s="247" t="s">
        <v>306</v>
      </c>
      <c r="O3" s="247" t="s">
        <v>305</v>
      </c>
      <c r="P3" s="247" t="s">
        <v>304</v>
      </c>
      <c r="Q3" s="247" t="s">
        <v>303</v>
      </c>
      <c r="R3" s="247"/>
      <c r="S3" s="247" t="s">
        <v>302</v>
      </c>
      <c r="T3" s="247" t="s">
        <v>301</v>
      </c>
      <c r="U3" s="247" t="s">
        <v>300</v>
      </c>
      <c r="V3" s="247" t="s">
        <v>299</v>
      </c>
      <c r="W3" s="355"/>
      <c r="X3" s="246"/>
      <c r="Y3" s="244" t="s">
        <v>298</v>
      </c>
      <c r="Z3" s="244" t="s">
        <v>297</v>
      </c>
      <c r="AA3" s="244" t="s">
        <v>296</v>
      </c>
      <c r="AB3" s="355"/>
    </row>
    <row r="4" spans="1:28" ht="98" x14ac:dyDescent="0.2">
      <c r="A4" s="248"/>
      <c r="B4" s="249" t="s">
        <v>266</v>
      </c>
      <c r="C4" s="249" t="s">
        <v>265</v>
      </c>
      <c r="D4" s="249" t="s">
        <v>32</v>
      </c>
      <c r="E4" s="249" t="s">
        <v>264</v>
      </c>
      <c r="F4" s="249" t="s">
        <v>263</v>
      </c>
      <c r="G4" s="244" t="s">
        <v>262</v>
      </c>
      <c r="H4" s="355"/>
      <c r="I4" s="247" t="s">
        <v>261</v>
      </c>
      <c r="J4" s="250" t="s">
        <v>260</v>
      </c>
      <c r="K4" s="247" t="s">
        <v>259</v>
      </c>
      <c r="L4" s="247" t="s">
        <v>258</v>
      </c>
      <c r="M4" s="247" t="s">
        <v>257</v>
      </c>
      <c r="N4" s="247" t="s">
        <v>256</v>
      </c>
      <c r="O4" s="247" t="s">
        <v>255</v>
      </c>
      <c r="P4" s="247" t="s">
        <v>254</v>
      </c>
      <c r="Q4" s="247" t="s">
        <v>253</v>
      </c>
      <c r="R4" s="250" t="s">
        <v>252</v>
      </c>
      <c r="S4" s="247" t="s">
        <v>251</v>
      </c>
      <c r="T4" s="247" t="s">
        <v>250</v>
      </c>
      <c r="U4" s="247" t="s">
        <v>249</v>
      </c>
      <c r="V4" s="250" t="s">
        <v>248</v>
      </c>
      <c r="W4" s="355"/>
      <c r="X4" s="251" t="s">
        <v>247</v>
      </c>
      <c r="Y4" s="251" t="s">
        <v>246</v>
      </c>
      <c r="Z4" s="251" t="s">
        <v>245</v>
      </c>
      <c r="AA4" s="251" t="s">
        <v>244</v>
      </c>
      <c r="AB4" s="355"/>
    </row>
    <row r="5" spans="1:28" ht="196" x14ac:dyDescent="0.2">
      <c r="A5" s="252" t="s">
        <v>193</v>
      </c>
      <c r="B5" s="253"/>
      <c r="C5" s="253"/>
      <c r="D5" s="254"/>
      <c r="E5" s="254" t="s">
        <v>213</v>
      </c>
      <c r="F5" s="254" t="s">
        <v>212</v>
      </c>
      <c r="G5" s="255" t="s">
        <v>502</v>
      </c>
      <c r="H5" s="256">
        <f>SUMIF($G$2:G$2,G$2,$G5:G5)</f>
        <v>0</v>
      </c>
      <c r="I5" s="255" t="s">
        <v>503</v>
      </c>
      <c r="J5" s="257"/>
      <c r="K5" s="258"/>
      <c r="L5" s="258"/>
      <c r="M5" s="258"/>
      <c r="N5" s="258"/>
      <c r="O5" s="258"/>
      <c r="P5" s="255" t="s">
        <v>504</v>
      </c>
      <c r="Q5" s="255" t="s">
        <v>505</v>
      </c>
      <c r="R5" s="255" t="s">
        <v>506</v>
      </c>
      <c r="S5" s="255" t="s">
        <v>507</v>
      </c>
      <c r="T5" s="255" t="s">
        <v>508</v>
      </c>
      <c r="U5" s="255" t="s">
        <v>509</v>
      </c>
      <c r="V5" s="255" t="s">
        <v>510</v>
      </c>
      <c r="W5" s="256">
        <f>SUMIF($G$2:V$2,V$2,$G5:V5)</f>
        <v>0</v>
      </c>
      <c r="X5" s="255" t="s">
        <v>511</v>
      </c>
      <c r="Y5" s="255" t="s">
        <v>511</v>
      </c>
      <c r="Z5" s="255" t="s">
        <v>511</v>
      </c>
      <c r="AA5" s="255" t="s">
        <v>511</v>
      </c>
      <c r="AB5" s="259">
        <f>SUMIF($G$2:AA$2,AA$2,$G5:AA5)</f>
        <v>0</v>
      </c>
    </row>
    <row r="6" spans="1:28" ht="266" x14ac:dyDescent="0.2">
      <c r="A6" s="252" t="s">
        <v>193</v>
      </c>
      <c r="B6" s="253"/>
      <c r="C6" s="253"/>
      <c r="D6" s="254"/>
      <c r="E6" s="254" t="s">
        <v>211</v>
      </c>
      <c r="F6" s="254" t="s">
        <v>210</v>
      </c>
      <c r="G6" s="255" t="s">
        <v>512</v>
      </c>
      <c r="H6" s="256">
        <f>SUMIF($G$2:G$2,G$2,$G6:G6)</f>
        <v>0</v>
      </c>
      <c r="I6" s="257"/>
      <c r="J6" s="255" t="s">
        <v>513</v>
      </c>
      <c r="K6" s="255" t="s">
        <v>514</v>
      </c>
      <c r="L6" s="255" t="s">
        <v>515</v>
      </c>
      <c r="M6" s="255" t="s">
        <v>516</v>
      </c>
      <c r="N6" s="255" t="s">
        <v>517</v>
      </c>
      <c r="O6" s="255" t="s">
        <v>518</v>
      </c>
      <c r="P6" s="258"/>
      <c r="Q6" s="258"/>
      <c r="R6" s="255" t="s">
        <v>519</v>
      </c>
      <c r="S6" s="258"/>
      <c r="T6" s="258"/>
      <c r="U6" s="258"/>
      <c r="V6" s="255" t="s">
        <v>520</v>
      </c>
      <c r="W6" s="256">
        <f>SUMIF($G$2:V$2,V$2,$G6:V6)</f>
        <v>0</v>
      </c>
      <c r="X6" s="255" t="s">
        <v>521</v>
      </c>
      <c r="Y6" s="255" t="s">
        <v>521</v>
      </c>
      <c r="Z6" s="255" t="s">
        <v>521</v>
      </c>
      <c r="AA6" s="255" t="s">
        <v>521</v>
      </c>
      <c r="AB6" s="259">
        <f>SUMIF($G$2:AA$2,AA$2,$G6:AA6)</f>
        <v>0</v>
      </c>
    </row>
    <row r="7" spans="1:28" ht="70" x14ac:dyDescent="0.2">
      <c r="A7" s="252" t="s">
        <v>193</v>
      </c>
      <c r="B7" s="253"/>
      <c r="C7" s="253"/>
      <c r="D7" s="254"/>
      <c r="E7" s="254" t="s">
        <v>209</v>
      </c>
      <c r="F7" s="254" t="s">
        <v>208</v>
      </c>
      <c r="G7" s="260"/>
      <c r="H7" s="256">
        <f>SUMIF($G$2:G$2,G$2,$G7:G7)</f>
        <v>0</v>
      </c>
      <c r="I7" s="261"/>
      <c r="J7" s="261"/>
      <c r="K7" s="261"/>
      <c r="L7" s="261"/>
      <c r="M7" s="261"/>
      <c r="N7" s="261"/>
      <c r="O7" s="261"/>
      <c r="P7" s="261"/>
      <c r="Q7" s="261"/>
      <c r="R7" s="261"/>
      <c r="S7" s="261"/>
      <c r="T7" s="261"/>
      <c r="U7" s="261"/>
      <c r="V7" s="260"/>
      <c r="W7" s="256">
        <f>SUMIF($G$2:V$2,V$2,$G7:V7)</f>
        <v>0</v>
      </c>
      <c r="X7" s="262"/>
      <c r="Y7" s="262"/>
      <c r="Z7" s="262"/>
      <c r="AA7" s="262"/>
      <c r="AB7" s="259">
        <f>SUMIF($G$2:AA$2,AA$2,$G7:AA7)</f>
        <v>0</v>
      </c>
    </row>
    <row r="8" spans="1:28" ht="70" x14ac:dyDescent="0.2">
      <c r="A8" s="252" t="s">
        <v>193</v>
      </c>
      <c r="B8" s="253"/>
      <c r="C8" s="253"/>
      <c r="D8" s="254"/>
      <c r="E8" s="254" t="s">
        <v>207</v>
      </c>
      <c r="F8" s="254" t="s">
        <v>206</v>
      </c>
      <c r="G8" s="255" t="s">
        <v>522</v>
      </c>
      <c r="H8" s="256">
        <f>SUMIF($G$2:G$2,G$2,$G8:G8)</f>
        <v>0</v>
      </c>
      <c r="I8" s="261"/>
      <c r="J8" s="261"/>
      <c r="K8" s="261"/>
      <c r="L8" s="261"/>
      <c r="M8" s="261"/>
      <c r="N8" s="261"/>
      <c r="O8" s="261"/>
      <c r="P8" s="261"/>
      <c r="Q8" s="261"/>
      <c r="R8" s="261"/>
      <c r="S8" s="261"/>
      <c r="T8" s="261"/>
      <c r="U8" s="261"/>
      <c r="V8" s="255" t="s">
        <v>522</v>
      </c>
      <c r="W8" s="256">
        <f>SUMIF($G$2:V$2,V$2,$G8:V8)</f>
        <v>0</v>
      </c>
      <c r="X8" s="255" t="s">
        <v>522</v>
      </c>
      <c r="Y8" s="255" t="s">
        <v>522</v>
      </c>
      <c r="Z8" s="255" t="s">
        <v>522</v>
      </c>
      <c r="AA8" s="255" t="s">
        <v>522</v>
      </c>
      <c r="AB8" s="259">
        <f>SUMIF($G$2:AA$2,AA$2,$G8:AA8)</f>
        <v>0</v>
      </c>
    </row>
    <row r="9" spans="1:28" ht="238" x14ac:dyDescent="0.2">
      <c r="A9" s="252" t="s">
        <v>193</v>
      </c>
      <c r="B9" s="253"/>
      <c r="C9" s="253"/>
      <c r="D9" s="254"/>
      <c r="E9" s="254" t="s">
        <v>205</v>
      </c>
      <c r="F9" s="254" t="s">
        <v>204</v>
      </c>
      <c r="G9" s="255" t="s">
        <v>523</v>
      </c>
      <c r="H9" s="256">
        <f>SUMIF($G$2:G$2,G$2,$G9:G9)</f>
        <v>0</v>
      </c>
      <c r="I9" s="261"/>
      <c r="J9" s="261"/>
      <c r="K9" s="261"/>
      <c r="L9" s="261"/>
      <c r="M9" s="261"/>
      <c r="N9" s="261"/>
      <c r="O9" s="261"/>
      <c r="P9" s="261"/>
      <c r="Q9" s="261"/>
      <c r="R9" s="261"/>
      <c r="S9" s="261"/>
      <c r="T9" s="261"/>
      <c r="U9" s="261"/>
      <c r="V9" s="255" t="s">
        <v>524</v>
      </c>
      <c r="W9" s="256">
        <f>SUMIF($G$2:V$2,V$2,$G9:V9)</f>
        <v>0</v>
      </c>
      <c r="X9" s="255" t="s">
        <v>523</v>
      </c>
      <c r="Y9" s="255" t="s">
        <v>523</v>
      </c>
      <c r="Z9" s="255" t="s">
        <v>523</v>
      </c>
      <c r="AA9" s="255" t="s">
        <v>523</v>
      </c>
      <c r="AB9" s="263">
        <f>SUMIF($G$2:AA$2,AA$2,$G9:AA9)</f>
        <v>0</v>
      </c>
    </row>
    <row r="10" spans="1:28" ht="84" x14ac:dyDescent="0.2">
      <c r="A10" s="252" t="s">
        <v>193</v>
      </c>
      <c r="B10" s="253"/>
      <c r="C10" s="253"/>
      <c r="D10" s="254"/>
      <c r="E10" s="254" t="s">
        <v>203</v>
      </c>
      <c r="F10" s="254" t="s">
        <v>202</v>
      </c>
      <c r="G10" s="255" t="s">
        <v>525</v>
      </c>
      <c r="H10" s="256">
        <f>SUMIF($G$2:G$2,G$2,$G10:G10)</f>
        <v>0</v>
      </c>
      <c r="I10" s="261"/>
      <c r="J10" s="261"/>
      <c r="K10" s="261"/>
      <c r="L10" s="261"/>
      <c r="M10" s="261"/>
      <c r="N10" s="261"/>
      <c r="O10" s="261"/>
      <c r="P10" s="261"/>
      <c r="Q10" s="261"/>
      <c r="R10" s="261"/>
      <c r="S10" s="261"/>
      <c r="T10" s="261"/>
      <c r="U10" s="261"/>
      <c r="V10" s="255" t="s">
        <v>525</v>
      </c>
      <c r="W10" s="256">
        <f>SUMIF($G$2:V$2,V$2,$G10:V10)</f>
        <v>0</v>
      </c>
      <c r="X10" s="255" t="s">
        <v>526</v>
      </c>
      <c r="Y10" s="255" t="s">
        <v>526</v>
      </c>
      <c r="Z10" s="255" t="s">
        <v>526</v>
      </c>
      <c r="AA10" s="255" t="s">
        <v>526</v>
      </c>
      <c r="AB10" s="263">
        <f>SUMIF($G$2:AA$2,AA$2,$G10:AA10)</f>
        <v>0</v>
      </c>
    </row>
    <row r="11" spans="1:28" ht="70" x14ac:dyDescent="0.2">
      <c r="A11" s="252" t="s">
        <v>193</v>
      </c>
      <c r="B11" s="253"/>
      <c r="C11" s="253"/>
      <c r="D11" s="254"/>
      <c r="E11" s="254" t="s">
        <v>201</v>
      </c>
      <c r="F11" s="254" t="s">
        <v>200</v>
      </c>
      <c r="G11" s="255" t="s">
        <v>527</v>
      </c>
      <c r="H11" s="256">
        <f>SUMIF($G$2:G$2,G$2,$G11:G11)</f>
        <v>0</v>
      </c>
      <c r="I11" s="261"/>
      <c r="J11" s="261"/>
      <c r="K11" s="261"/>
      <c r="L11" s="261"/>
      <c r="M11" s="261"/>
      <c r="N11" s="261"/>
      <c r="O11" s="261"/>
      <c r="P11" s="261"/>
      <c r="Q11" s="261"/>
      <c r="R11" s="261"/>
      <c r="S11" s="261"/>
      <c r="T11" s="261"/>
      <c r="U11" s="261"/>
      <c r="V11" s="255" t="s">
        <v>527</v>
      </c>
      <c r="W11" s="256">
        <f>SUMIF($G$2:V$2,V$2,$G11:V11)</f>
        <v>0</v>
      </c>
      <c r="X11" s="255" t="s">
        <v>527</v>
      </c>
      <c r="Y11" s="255" t="s">
        <v>527</v>
      </c>
      <c r="Z11" s="255" t="s">
        <v>527</v>
      </c>
      <c r="AA11" s="255" t="s">
        <v>527</v>
      </c>
      <c r="AB11" s="263">
        <f>SUMIF($G$2:AA$2,AA$2,$G11:AA11)</f>
        <v>0</v>
      </c>
    </row>
    <row r="12" spans="1:28" ht="98" x14ac:dyDescent="0.2">
      <c r="A12" s="252" t="s">
        <v>193</v>
      </c>
      <c r="B12" s="253"/>
      <c r="C12" s="253"/>
      <c r="D12" s="254"/>
      <c r="E12" s="254" t="s">
        <v>199</v>
      </c>
      <c r="F12" s="254" t="s">
        <v>198</v>
      </c>
      <c r="G12" s="255" t="s">
        <v>528</v>
      </c>
      <c r="H12" s="256">
        <f>SUMIF($G$2:G$2,G$2,$G12:G12)</f>
        <v>0</v>
      </c>
      <c r="I12" s="261"/>
      <c r="J12" s="261"/>
      <c r="K12" s="261"/>
      <c r="L12" s="261"/>
      <c r="M12" s="261"/>
      <c r="N12" s="261"/>
      <c r="O12" s="261"/>
      <c r="P12" s="261"/>
      <c r="Q12" s="261"/>
      <c r="R12" s="261"/>
      <c r="S12" s="261"/>
      <c r="T12" s="261"/>
      <c r="U12" s="261"/>
      <c r="V12" s="255" t="s">
        <v>528</v>
      </c>
      <c r="W12" s="256">
        <f>SUMIF($G$2:V$2,V$2,$G12:V12)</f>
        <v>0</v>
      </c>
      <c r="X12" s="255" t="s">
        <v>528</v>
      </c>
      <c r="Y12" s="255" t="s">
        <v>528</v>
      </c>
      <c r="Z12" s="255" t="s">
        <v>528</v>
      </c>
      <c r="AA12" s="255" t="s">
        <v>528</v>
      </c>
      <c r="AB12" s="263">
        <f>SUMIF($G$2:AA$2,AA$2,$G12:AA12)</f>
        <v>0</v>
      </c>
    </row>
    <row r="13" spans="1:28" ht="112" x14ac:dyDescent="0.2">
      <c r="A13" s="252" t="s">
        <v>193</v>
      </c>
      <c r="B13" s="253"/>
      <c r="C13" s="253"/>
      <c r="D13" s="254"/>
      <c r="E13" s="254" t="s">
        <v>197</v>
      </c>
      <c r="F13" s="254" t="s">
        <v>196</v>
      </c>
      <c r="G13" s="255" t="s">
        <v>529</v>
      </c>
      <c r="H13" s="256">
        <f>SUMIF($G$2:G$2,G$2,$G13:G13)</f>
        <v>0</v>
      </c>
      <c r="I13" s="261"/>
      <c r="J13" s="261"/>
      <c r="K13" s="261"/>
      <c r="L13" s="261"/>
      <c r="M13" s="261"/>
      <c r="N13" s="261"/>
      <c r="O13" s="261"/>
      <c r="P13" s="261"/>
      <c r="Q13" s="261"/>
      <c r="R13" s="261"/>
      <c r="S13" s="261"/>
      <c r="T13" s="261"/>
      <c r="U13" s="261"/>
      <c r="V13" s="255" t="s">
        <v>529</v>
      </c>
      <c r="W13" s="256">
        <f>SUMIF($G$2:V$2,V$2,$G13:V13)</f>
        <v>0</v>
      </c>
      <c r="X13" s="255" t="s">
        <v>529</v>
      </c>
      <c r="Y13" s="255" t="s">
        <v>529</v>
      </c>
      <c r="Z13" s="255" t="s">
        <v>529</v>
      </c>
      <c r="AA13" s="255" t="s">
        <v>529</v>
      </c>
      <c r="AB13" s="259">
        <f>SUMIF($G$2:AA$2,AA$2,$G13:AA13)</f>
        <v>0</v>
      </c>
    </row>
    <row r="14" spans="1:28" ht="319" x14ac:dyDescent="0.2">
      <c r="A14" s="252" t="s">
        <v>193</v>
      </c>
      <c r="B14" s="253"/>
      <c r="C14" s="253"/>
      <c r="D14" s="254"/>
      <c r="E14" s="254" t="s">
        <v>195</v>
      </c>
      <c r="F14" s="254" t="s">
        <v>194</v>
      </c>
      <c r="G14" s="255" t="s">
        <v>530</v>
      </c>
      <c r="H14" s="256">
        <f>SUMIF($G$2:G$2,G$2,$G14:G14)</f>
        <v>0</v>
      </c>
      <c r="I14" s="255" t="s">
        <v>503</v>
      </c>
      <c r="J14" s="255" t="s">
        <v>531</v>
      </c>
      <c r="K14" s="255" t="s">
        <v>532</v>
      </c>
      <c r="L14" s="255" t="s">
        <v>533</v>
      </c>
      <c r="M14" s="255" t="s">
        <v>534</v>
      </c>
      <c r="N14" s="255" t="s">
        <v>535</v>
      </c>
      <c r="O14" s="255" t="s">
        <v>536</v>
      </c>
      <c r="P14" s="255" t="s">
        <v>504</v>
      </c>
      <c r="Q14" s="255" t="s">
        <v>505</v>
      </c>
      <c r="R14" s="255" t="s">
        <v>537</v>
      </c>
      <c r="S14" s="255" t="s">
        <v>507</v>
      </c>
      <c r="T14" s="255" t="s">
        <v>508</v>
      </c>
      <c r="U14" s="255" t="s">
        <v>509</v>
      </c>
      <c r="V14" s="255" t="s">
        <v>538</v>
      </c>
      <c r="W14" s="256">
        <f>SUMIF($G$2:V$2,V$2,$G14:V14)</f>
        <v>0</v>
      </c>
      <c r="X14" s="264"/>
      <c r="Y14" s="264"/>
      <c r="Z14" s="264"/>
      <c r="AA14" s="264"/>
      <c r="AB14" s="259">
        <f>SUMIF($G$2:AA$2,AA$2,$G14:AA14)</f>
        <v>0</v>
      </c>
    </row>
    <row r="15" spans="1:28" ht="319" x14ac:dyDescent="0.2">
      <c r="A15" s="252" t="s">
        <v>193</v>
      </c>
      <c r="B15" s="253"/>
      <c r="C15" s="253"/>
      <c r="D15" s="254"/>
      <c r="E15" s="254" t="s">
        <v>192</v>
      </c>
      <c r="F15" s="254" t="s">
        <v>191</v>
      </c>
      <c r="G15" s="255" t="s">
        <v>530</v>
      </c>
      <c r="H15" s="256">
        <f>SUMIF($G$2:G$2,G$2,$G15:G15)</f>
        <v>0</v>
      </c>
      <c r="I15" s="255" t="s">
        <v>503</v>
      </c>
      <c r="J15" s="255" t="s">
        <v>531</v>
      </c>
      <c r="K15" s="255" t="s">
        <v>532</v>
      </c>
      <c r="L15" s="255" t="s">
        <v>533</v>
      </c>
      <c r="M15" s="255" t="s">
        <v>534</v>
      </c>
      <c r="N15" s="255" t="s">
        <v>535</v>
      </c>
      <c r="O15" s="255" t="s">
        <v>536</v>
      </c>
      <c r="P15" s="255" t="s">
        <v>504</v>
      </c>
      <c r="Q15" s="255" t="s">
        <v>505</v>
      </c>
      <c r="R15" s="255" t="s">
        <v>537</v>
      </c>
      <c r="S15" s="255" t="s">
        <v>507</v>
      </c>
      <c r="T15" s="255" t="s">
        <v>508</v>
      </c>
      <c r="U15" s="255" t="s">
        <v>509</v>
      </c>
      <c r="V15" s="255" t="s">
        <v>538</v>
      </c>
      <c r="W15" s="256">
        <f>SUMIF($G$2:V$2,V$2,$G15:V15)</f>
        <v>0</v>
      </c>
      <c r="X15" s="264"/>
      <c r="Y15" s="264"/>
      <c r="Z15" s="264"/>
      <c r="AA15" s="264"/>
      <c r="AB15" s="259">
        <f>SUMIF($G$2:AA$2,AA$2,$G15:AA15)</f>
        <v>0</v>
      </c>
    </row>
    <row r="16" spans="1:28" ht="28" x14ac:dyDescent="0.2">
      <c r="A16" s="252"/>
      <c r="B16" s="265"/>
      <c r="C16" s="265"/>
      <c r="D16" s="266"/>
      <c r="E16" s="266"/>
      <c r="F16" s="267" t="s">
        <v>190</v>
      </c>
      <c r="G16" s="268">
        <f>SUMIF($C$5:$C15,$C15,G$5:G15)</f>
        <v>0</v>
      </c>
      <c r="H16" s="256">
        <f>SUMIF($C$5:$C15,$C15,H$5:H15)</f>
        <v>0</v>
      </c>
      <c r="I16" s="268">
        <f>SUMIF($C$5:$C15,$C15,I$5:I15)</f>
        <v>0</v>
      </c>
      <c r="J16" s="268">
        <f>SUMIF($C$5:$C15,$C15,J$5:J15)</f>
        <v>0</v>
      </c>
      <c r="K16" s="268">
        <f>SUMIF($C$5:$C15,$C15,K$5:K15)</f>
        <v>0</v>
      </c>
      <c r="L16" s="268">
        <f>SUMIF($C$5:$C15,$C15,L$5:L15)</f>
        <v>0</v>
      </c>
      <c r="M16" s="268">
        <f>SUMIF($C$5:$C15,$C15,M$5:M15)</f>
        <v>0</v>
      </c>
      <c r="N16" s="268">
        <f>SUMIF($C$5:$C15,$C15,N$5:N15)</f>
        <v>0</v>
      </c>
      <c r="O16" s="268">
        <f>SUMIF($C$5:$C15,$C15,O$5:O15)</f>
        <v>0</v>
      </c>
      <c r="P16" s="268">
        <f>SUMIF($C$5:$C15,$C15,P$5:P15)</f>
        <v>0</v>
      </c>
      <c r="Q16" s="268">
        <f>SUMIF($C$5:$C15,$C15,Q$5:Q15)</f>
        <v>0</v>
      </c>
      <c r="R16" s="268"/>
      <c r="S16" s="268">
        <f>SUMIF($C$5:$C15,$C15,S$5:S15)</f>
        <v>0</v>
      </c>
      <c r="T16" s="268">
        <f>SUMIF($C$5:$C15,$C15,T$5:T15)</f>
        <v>0</v>
      </c>
      <c r="U16" s="268">
        <f>SUMIF($C$5:$C15,$C15,U$5:U15)</f>
        <v>0</v>
      </c>
      <c r="V16" s="268">
        <f>SUMIF($C$5:$C15,$C15,V$5:V15)</f>
        <v>0</v>
      </c>
      <c r="W16" s="256">
        <f>SUMIF($C$5:$C15,$C15,W$5:W15)</f>
        <v>0</v>
      </c>
      <c r="X16" s="269">
        <f>SUMIF($C$5:$C15,$C15,X$5:X15)</f>
        <v>0</v>
      </c>
      <c r="Y16" s="269">
        <f>SUMIF($C$5:$C15,$C15,Y$5:Y15)</f>
        <v>0</v>
      </c>
      <c r="Z16" s="269">
        <f>SUMIF($C$5:$C15,$C15,Z$5:Z15)</f>
        <v>0</v>
      </c>
      <c r="AA16" s="269">
        <f>SUMIF($C$5:$C15,$C15,AA$5:AA15)</f>
        <v>0</v>
      </c>
      <c r="AB16" s="259">
        <f>SUMIF($C$5:$C15,$C15,AB$5:AB15)</f>
        <v>0</v>
      </c>
    </row>
    <row r="17" customFormat="1" x14ac:dyDescent="0.2"/>
  </sheetData>
  <mergeCells count="4">
    <mergeCell ref="AB2:AB4"/>
    <mergeCell ref="B1:I1"/>
    <mergeCell ref="H2:H4"/>
    <mergeCell ref="W2:W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76CA-691B-C543-A9EA-F5956F50D7E1}">
  <dimension ref="A1:U16"/>
  <sheetViews>
    <sheetView workbookViewId="0">
      <selection sqref="A1:U16"/>
    </sheetView>
  </sheetViews>
  <sheetFormatPr baseColWidth="10" defaultRowHeight="15" x14ac:dyDescent="0.2"/>
  <sheetData>
    <row r="1" spans="1:21" ht="42" customHeight="1" x14ac:dyDescent="0.2">
      <c r="A1" s="358" t="s">
        <v>368</v>
      </c>
      <c r="B1" s="358"/>
      <c r="C1" s="358"/>
      <c r="D1" s="358"/>
      <c r="E1" s="358"/>
      <c r="F1" s="358"/>
      <c r="G1" s="358"/>
      <c r="H1" s="358"/>
      <c r="I1" s="292"/>
      <c r="J1" s="292"/>
      <c r="K1" s="292"/>
      <c r="L1" s="292"/>
      <c r="M1" s="292"/>
      <c r="N1" s="292"/>
      <c r="O1" s="293"/>
      <c r="P1" s="293"/>
      <c r="Q1" s="292"/>
      <c r="R1" s="292"/>
      <c r="S1" s="292"/>
      <c r="T1" s="292"/>
      <c r="U1" s="292"/>
    </row>
    <row r="2" spans="1:21" ht="28" x14ac:dyDescent="0.2">
      <c r="A2" s="291"/>
      <c r="B2" s="291"/>
      <c r="C2" s="291"/>
      <c r="D2" s="291"/>
      <c r="E2" s="291"/>
      <c r="F2" s="291"/>
      <c r="G2" s="294" t="s">
        <v>323</v>
      </c>
      <c r="H2" s="357" t="s">
        <v>322</v>
      </c>
      <c r="I2" s="294" t="s">
        <v>321</v>
      </c>
      <c r="J2" s="294" t="s">
        <v>321</v>
      </c>
      <c r="K2" s="294" t="s">
        <v>321</v>
      </c>
      <c r="L2" s="294" t="s">
        <v>321</v>
      </c>
      <c r="M2" s="294" t="s">
        <v>321</v>
      </c>
      <c r="N2" s="294" t="s">
        <v>321</v>
      </c>
      <c r="O2" s="295" t="s">
        <v>321</v>
      </c>
      <c r="P2" s="295" t="s">
        <v>321</v>
      </c>
      <c r="Q2" s="294" t="s">
        <v>321</v>
      </c>
      <c r="R2" s="294" t="s">
        <v>321</v>
      </c>
      <c r="S2" s="357" t="s">
        <v>320</v>
      </c>
      <c r="T2" s="294" t="s">
        <v>139</v>
      </c>
      <c r="U2" s="357" t="s">
        <v>319</v>
      </c>
    </row>
    <row r="3" spans="1:21" ht="56" x14ac:dyDescent="0.2">
      <c r="A3" s="291"/>
      <c r="B3" s="291"/>
      <c r="C3" s="291"/>
      <c r="D3" s="291"/>
      <c r="E3" s="291"/>
      <c r="F3" s="291"/>
      <c r="G3" s="294" t="s">
        <v>312</v>
      </c>
      <c r="H3" s="357"/>
      <c r="I3" s="294" t="s">
        <v>364</v>
      </c>
      <c r="J3" s="294" t="s">
        <v>363</v>
      </c>
      <c r="K3" s="294" t="s">
        <v>362</v>
      </c>
      <c r="L3" s="294" t="s">
        <v>361</v>
      </c>
      <c r="M3" s="294" t="s">
        <v>360</v>
      </c>
      <c r="N3" s="294" t="s">
        <v>359</v>
      </c>
      <c r="O3" s="295" t="s">
        <v>358</v>
      </c>
      <c r="P3" s="295" t="s">
        <v>357</v>
      </c>
      <c r="Q3" s="294" t="s">
        <v>356</v>
      </c>
      <c r="R3" s="294" t="s">
        <v>299</v>
      </c>
      <c r="S3" s="357"/>
      <c r="T3" s="294" t="s">
        <v>296</v>
      </c>
      <c r="U3" s="357"/>
    </row>
    <row r="4" spans="1:21" ht="112" x14ac:dyDescent="0.2">
      <c r="A4" s="291"/>
      <c r="B4" s="296" t="s">
        <v>266</v>
      </c>
      <c r="C4" s="296" t="s">
        <v>265</v>
      </c>
      <c r="D4" s="296" t="s">
        <v>32</v>
      </c>
      <c r="E4" s="296" t="s">
        <v>264</v>
      </c>
      <c r="F4" s="296" t="s">
        <v>263</v>
      </c>
      <c r="G4" s="294" t="s">
        <v>262</v>
      </c>
      <c r="H4" s="357"/>
      <c r="I4" s="294" t="s">
        <v>345</v>
      </c>
      <c r="J4" s="294" t="s">
        <v>344</v>
      </c>
      <c r="K4" s="294" t="s">
        <v>343</v>
      </c>
      <c r="L4" s="294" t="s">
        <v>342</v>
      </c>
      <c r="M4" s="294" t="s">
        <v>341</v>
      </c>
      <c r="N4" s="294" t="s">
        <v>340</v>
      </c>
      <c r="O4" s="295" t="s">
        <v>339</v>
      </c>
      <c r="P4" s="295" t="s">
        <v>338</v>
      </c>
      <c r="Q4" s="294" t="s">
        <v>337</v>
      </c>
      <c r="R4" s="294" t="s">
        <v>248</v>
      </c>
      <c r="S4" s="357"/>
      <c r="T4" s="294" t="s">
        <v>244</v>
      </c>
      <c r="U4" s="357"/>
    </row>
    <row r="5" spans="1:21" ht="196" x14ac:dyDescent="0.2">
      <c r="A5" s="297" t="s">
        <v>326</v>
      </c>
      <c r="B5" s="298"/>
      <c r="C5" s="298"/>
      <c r="D5" s="299"/>
      <c r="E5" s="298" t="s">
        <v>213</v>
      </c>
      <c r="F5" s="298" t="s">
        <v>212</v>
      </c>
      <c r="G5" s="255" t="s">
        <v>540</v>
      </c>
      <c r="H5" s="300">
        <f t="shared" ref="H5:H15" si="0">SUM(G5)</f>
        <v>0</v>
      </c>
      <c r="I5" s="301"/>
      <c r="J5" s="255" t="s">
        <v>541</v>
      </c>
      <c r="K5" s="255" t="s">
        <v>542</v>
      </c>
      <c r="L5" s="255" t="s">
        <v>543</v>
      </c>
      <c r="M5" s="302"/>
      <c r="N5" s="302"/>
      <c r="O5" s="303"/>
      <c r="P5" s="303"/>
      <c r="Q5" s="304"/>
      <c r="R5" s="255" t="s">
        <v>544</v>
      </c>
      <c r="S5" s="300">
        <f t="shared" ref="S5:S15" si="1">SUM(I5:R5)</f>
        <v>0</v>
      </c>
      <c r="T5" s="255" t="s">
        <v>545</v>
      </c>
      <c r="U5" s="300">
        <f t="shared" ref="U5:U15" si="2">SUM(T5)</f>
        <v>0</v>
      </c>
    </row>
    <row r="6" spans="1:21" x14ac:dyDescent="0.2">
      <c r="A6" s="305" t="s">
        <v>326</v>
      </c>
      <c r="B6" s="299"/>
      <c r="C6" s="299"/>
      <c r="D6" s="299"/>
      <c r="E6" s="299" t="s">
        <v>211</v>
      </c>
      <c r="F6" s="299" t="s">
        <v>210</v>
      </c>
      <c r="G6" s="302"/>
      <c r="H6" s="306">
        <f t="shared" si="0"/>
        <v>0</v>
      </c>
      <c r="I6" s="307"/>
      <c r="J6" s="303"/>
      <c r="K6" s="303"/>
      <c r="L6" s="303"/>
      <c r="M6" s="303"/>
      <c r="N6" s="302"/>
      <c r="O6" s="303"/>
      <c r="P6" s="303"/>
      <c r="Q6" s="303"/>
      <c r="R6" s="302"/>
      <c r="S6" s="306">
        <f t="shared" si="1"/>
        <v>0</v>
      </c>
      <c r="T6" s="302"/>
      <c r="U6" s="306">
        <f t="shared" si="2"/>
        <v>0</v>
      </c>
    </row>
    <row r="7" spans="1:21" x14ac:dyDescent="0.2">
      <c r="A7" s="297" t="s">
        <v>326</v>
      </c>
      <c r="B7" s="298"/>
      <c r="C7" s="298"/>
      <c r="D7" s="298"/>
      <c r="E7" s="298" t="s">
        <v>209</v>
      </c>
      <c r="F7" s="298" t="s">
        <v>208</v>
      </c>
      <c r="G7" s="302"/>
      <c r="H7" s="300">
        <f t="shared" si="0"/>
        <v>0</v>
      </c>
      <c r="I7" s="301"/>
      <c r="J7" s="304"/>
      <c r="K7" s="304"/>
      <c r="L7" s="304"/>
      <c r="M7" s="304"/>
      <c r="N7" s="308"/>
      <c r="O7" s="303"/>
      <c r="P7" s="303"/>
      <c r="Q7" s="304"/>
      <c r="R7" s="304"/>
      <c r="S7" s="300">
        <f t="shared" si="1"/>
        <v>0</v>
      </c>
      <c r="T7" s="307"/>
      <c r="U7" s="300">
        <f t="shared" si="2"/>
        <v>0</v>
      </c>
    </row>
    <row r="8" spans="1:21" ht="70" x14ac:dyDescent="0.2">
      <c r="A8" s="297" t="s">
        <v>326</v>
      </c>
      <c r="B8" s="298"/>
      <c r="C8" s="298"/>
      <c r="D8" s="298"/>
      <c r="E8" s="298" t="s">
        <v>207</v>
      </c>
      <c r="F8" s="298" t="s">
        <v>206</v>
      </c>
      <c r="G8" s="255" t="s">
        <v>546</v>
      </c>
      <c r="H8" s="300">
        <f t="shared" si="0"/>
        <v>0</v>
      </c>
      <c r="I8" s="301"/>
      <c r="J8" s="304"/>
      <c r="K8" s="304"/>
      <c r="L8" s="304"/>
      <c r="M8" s="304"/>
      <c r="N8" s="308"/>
      <c r="O8" s="303"/>
      <c r="P8" s="303"/>
      <c r="Q8" s="304"/>
      <c r="R8" s="255" t="s">
        <v>546</v>
      </c>
      <c r="S8" s="300">
        <f t="shared" si="1"/>
        <v>0</v>
      </c>
      <c r="T8" s="255" t="s">
        <v>546</v>
      </c>
      <c r="U8" s="300">
        <f t="shared" si="2"/>
        <v>0</v>
      </c>
    </row>
    <row r="9" spans="1:21" ht="238" x14ac:dyDescent="0.2">
      <c r="A9" s="297" t="s">
        <v>326</v>
      </c>
      <c r="B9" s="298"/>
      <c r="C9" s="298"/>
      <c r="D9" s="298"/>
      <c r="E9" s="298" t="s">
        <v>205</v>
      </c>
      <c r="F9" s="298" t="s">
        <v>204</v>
      </c>
      <c r="G9" s="255" t="s">
        <v>547</v>
      </c>
      <c r="H9" s="300">
        <f t="shared" si="0"/>
        <v>0</v>
      </c>
      <c r="I9" s="301"/>
      <c r="J9" s="304"/>
      <c r="K9" s="304"/>
      <c r="L9" s="304"/>
      <c r="M9" s="304"/>
      <c r="N9" s="308"/>
      <c r="O9" s="303"/>
      <c r="P9" s="303"/>
      <c r="Q9" s="304"/>
      <c r="R9" s="255" t="s">
        <v>548</v>
      </c>
      <c r="S9" s="300">
        <f t="shared" si="1"/>
        <v>0</v>
      </c>
      <c r="T9" s="255" t="s">
        <v>547</v>
      </c>
      <c r="U9" s="300">
        <f t="shared" si="2"/>
        <v>0</v>
      </c>
    </row>
    <row r="10" spans="1:21" ht="70" x14ac:dyDescent="0.2">
      <c r="A10" s="297" t="s">
        <v>326</v>
      </c>
      <c r="B10" s="298"/>
      <c r="C10" s="298"/>
      <c r="D10" s="298"/>
      <c r="E10" s="298" t="s">
        <v>203</v>
      </c>
      <c r="F10" s="298" t="s">
        <v>202</v>
      </c>
      <c r="G10" s="255" t="s">
        <v>549</v>
      </c>
      <c r="H10" s="300">
        <f t="shared" si="0"/>
        <v>0</v>
      </c>
      <c r="I10" s="301"/>
      <c r="J10" s="304"/>
      <c r="K10" s="304"/>
      <c r="L10" s="304"/>
      <c r="M10" s="304"/>
      <c r="N10" s="308"/>
      <c r="O10" s="303"/>
      <c r="P10" s="303"/>
      <c r="Q10" s="304"/>
      <c r="R10" s="255" t="s">
        <v>549</v>
      </c>
      <c r="S10" s="300">
        <f t="shared" si="1"/>
        <v>0</v>
      </c>
      <c r="T10" s="255" t="s">
        <v>549</v>
      </c>
      <c r="U10" s="300">
        <f t="shared" si="2"/>
        <v>0</v>
      </c>
    </row>
    <row r="11" spans="1:21" ht="70" x14ac:dyDescent="0.2">
      <c r="A11" s="297" t="s">
        <v>326</v>
      </c>
      <c r="B11" s="298"/>
      <c r="C11" s="298"/>
      <c r="D11" s="298"/>
      <c r="E11" s="298" t="s">
        <v>201</v>
      </c>
      <c r="F11" s="298" t="s">
        <v>200</v>
      </c>
      <c r="G11" s="255" t="s">
        <v>550</v>
      </c>
      <c r="H11" s="300">
        <f t="shared" si="0"/>
        <v>0</v>
      </c>
      <c r="I11" s="301"/>
      <c r="J11" s="304"/>
      <c r="K11" s="304"/>
      <c r="L11" s="304"/>
      <c r="M11" s="304"/>
      <c r="N11" s="308"/>
      <c r="O11" s="303"/>
      <c r="P11" s="303"/>
      <c r="Q11" s="304"/>
      <c r="R11" s="255" t="s">
        <v>550</v>
      </c>
      <c r="S11" s="300">
        <f t="shared" si="1"/>
        <v>0</v>
      </c>
      <c r="T11" s="255" t="s">
        <v>550</v>
      </c>
      <c r="U11" s="300">
        <f t="shared" si="2"/>
        <v>0</v>
      </c>
    </row>
    <row r="12" spans="1:21" ht="98" x14ac:dyDescent="0.2">
      <c r="A12" s="297" t="s">
        <v>326</v>
      </c>
      <c r="B12" s="298"/>
      <c r="C12" s="298"/>
      <c r="D12" s="298"/>
      <c r="E12" s="298" t="s">
        <v>199</v>
      </c>
      <c r="F12" s="298" t="s">
        <v>198</v>
      </c>
      <c r="G12" s="255" t="s">
        <v>551</v>
      </c>
      <c r="H12" s="300">
        <f t="shared" si="0"/>
        <v>0</v>
      </c>
      <c r="I12" s="301"/>
      <c r="J12" s="304"/>
      <c r="K12" s="304"/>
      <c r="L12" s="304"/>
      <c r="M12" s="304"/>
      <c r="N12" s="308"/>
      <c r="O12" s="303"/>
      <c r="P12" s="303"/>
      <c r="Q12" s="304"/>
      <c r="R12" s="255" t="s">
        <v>551</v>
      </c>
      <c r="S12" s="300">
        <f t="shared" si="1"/>
        <v>0</v>
      </c>
      <c r="T12" s="255" t="s">
        <v>551</v>
      </c>
      <c r="U12" s="300">
        <f t="shared" si="2"/>
        <v>0</v>
      </c>
    </row>
    <row r="13" spans="1:21" ht="112" x14ac:dyDescent="0.2">
      <c r="A13" s="297" t="s">
        <v>326</v>
      </c>
      <c r="B13" s="298"/>
      <c r="C13" s="298"/>
      <c r="D13" s="298"/>
      <c r="E13" s="298" t="s">
        <v>197</v>
      </c>
      <c r="F13" s="309" t="s">
        <v>196</v>
      </c>
      <c r="G13" s="255" t="s">
        <v>552</v>
      </c>
      <c r="H13" s="300">
        <f t="shared" si="0"/>
        <v>0</v>
      </c>
      <c r="I13" s="301"/>
      <c r="J13" s="304"/>
      <c r="K13" s="304"/>
      <c r="L13" s="304"/>
      <c r="M13" s="304"/>
      <c r="N13" s="308"/>
      <c r="O13" s="303"/>
      <c r="P13" s="303"/>
      <c r="Q13" s="304"/>
      <c r="R13" s="255" t="s">
        <v>552</v>
      </c>
      <c r="S13" s="300">
        <f t="shared" si="1"/>
        <v>0</v>
      </c>
      <c r="T13" s="255" t="s">
        <v>552</v>
      </c>
      <c r="U13" s="300">
        <f t="shared" si="2"/>
        <v>0</v>
      </c>
    </row>
    <row r="14" spans="1:21" ht="196" x14ac:dyDescent="0.2">
      <c r="A14" s="297" t="s">
        <v>326</v>
      </c>
      <c r="B14" s="298"/>
      <c r="C14" s="298"/>
      <c r="D14" s="298"/>
      <c r="E14" s="298" t="s">
        <v>195</v>
      </c>
      <c r="F14" s="298" t="s">
        <v>194</v>
      </c>
      <c r="G14" s="255" t="s">
        <v>553</v>
      </c>
      <c r="H14" s="300">
        <f t="shared" si="0"/>
        <v>0</v>
      </c>
      <c r="I14" s="301"/>
      <c r="J14" s="255" t="s">
        <v>541</v>
      </c>
      <c r="K14" s="255" t="s">
        <v>542</v>
      </c>
      <c r="L14" s="255" t="s">
        <v>543</v>
      </c>
      <c r="M14" s="302"/>
      <c r="N14" s="302"/>
      <c r="O14" s="303"/>
      <c r="P14" s="303"/>
      <c r="Q14" s="304"/>
      <c r="R14" s="255" t="s">
        <v>554</v>
      </c>
      <c r="S14" s="300">
        <f t="shared" si="1"/>
        <v>0</v>
      </c>
      <c r="T14" s="307"/>
      <c r="U14" s="300">
        <f t="shared" si="2"/>
        <v>0</v>
      </c>
    </row>
    <row r="15" spans="1:21" ht="196" x14ac:dyDescent="0.2">
      <c r="A15" s="297" t="s">
        <v>326</v>
      </c>
      <c r="B15" s="298"/>
      <c r="C15" s="298"/>
      <c r="D15" s="298"/>
      <c r="E15" s="298" t="s">
        <v>192</v>
      </c>
      <c r="F15" s="298" t="s">
        <v>191</v>
      </c>
      <c r="G15" s="255" t="s">
        <v>553</v>
      </c>
      <c r="H15" s="300">
        <f t="shared" si="0"/>
        <v>0</v>
      </c>
      <c r="I15" s="301"/>
      <c r="J15" s="255" t="s">
        <v>541</v>
      </c>
      <c r="K15" s="255" t="s">
        <v>542</v>
      </c>
      <c r="L15" s="255" t="s">
        <v>543</v>
      </c>
      <c r="M15" s="302"/>
      <c r="N15" s="302"/>
      <c r="O15" s="303"/>
      <c r="P15" s="303"/>
      <c r="Q15" s="304"/>
      <c r="R15" s="255" t="s">
        <v>554</v>
      </c>
      <c r="S15" s="300">
        <f t="shared" si="1"/>
        <v>0</v>
      </c>
      <c r="T15" s="307"/>
      <c r="U15" s="300">
        <f t="shared" si="2"/>
        <v>0</v>
      </c>
    </row>
    <row r="16" spans="1:21" x14ac:dyDescent="0.2">
      <c r="A16" s="297"/>
      <c r="B16" s="310"/>
      <c r="C16" s="310"/>
      <c r="D16" s="310"/>
      <c r="E16" s="310"/>
      <c r="F16" s="311" t="s">
        <v>190</v>
      </c>
      <c r="G16" s="300">
        <f t="shared" ref="G16:U16" si="3">SUM(G5:G15)</f>
        <v>0</v>
      </c>
      <c r="H16" s="300">
        <f t="shared" si="3"/>
        <v>0</v>
      </c>
      <c r="I16" s="300">
        <f t="shared" si="3"/>
        <v>0</v>
      </c>
      <c r="J16" s="300">
        <f t="shared" si="3"/>
        <v>0</v>
      </c>
      <c r="K16" s="300">
        <f t="shared" si="3"/>
        <v>0</v>
      </c>
      <c r="L16" s="300">
        <f t="shared" si="3"/>
        <v>0</v>
      </c>
      <c r="M16" s="300">
        <f t="shared" si="3"/>
        <v>0</v>
      </c>
      <c r="N16" s="300">
        <f t="shared" si="3"/>
        <v>0</v>
      </c>
      <c r="O16" s="306">
        <f t="shared" si="3"/>
        <v>0</v>
      </c>
      <c r="P16" s="306">
        <f t="shared" si="3"/>
        <v>0</v>
      </c>
      <c r="Q16" s="300">
        <f t="shared" si="3"/>
        <v>0</v>
      </c>
      <c r="R16" s="300">
        <f>SUM(R5:R15)</f>
        <v>0</v>
      </c>
      <c r="S16" s="300">
        <f t="shared" si="3"/>
        <v>0</v>
      </c>
      <c r="T16" s="300">
        <f t="shared" si="3"/>
        <v>0</v>
      </c>
      <c r="U16" s="300">
        <f t="shared" si="3"/>
        <v>0</v>
      </c>
    </row>
  </sheetData>
  <mergeCells count="4">
    <mergeCell ref="H2:H4"/>
    <mergeCell ref="A1:H1"/>
    <mergeCell ref="S2:S4"/>
    <mergeCell ref="U2:U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B0A6-0C7B-B24C-996E-E43BA15C7B84}">
  <dimension ref="A1:J17"/>
  <sheetViews>
    <sheetView topLeftCell="E1" workbookViewId="0">
      <selection sqref="A1:XFD1048576"/>
    </sheetView>
  </sheetViews>
  <sheetFormatPr baseColWidth="10" defaultColWidth="11" defaultRowHeight="37" customHeight="1" x14ac:dyDescent="0.2"/>
  <cols>
    <col min="1" max="3" width="0" style="271" hidden="1" customWidth="1"/>
    <col min="4" max="4" width="15.1640625" style="271" hidden="1" customWidth="1"/>
    <col min="5" max="5" width="11" style="271"/>
    <col min="6" max="6" width="53.33203125" style="271" bestFit="1" customWidth="1"/>
    <col min="7" max="7" width="13.5" style="271" customWidth="1"/>
    <col min="8" max="8" width="11" style="271"/>
    <col min="9" max="9" width="13.5" style="271" customWidth="1"/>
    <col min="10" max="16384" width="11" style="271"/>
  </cols>
  <sheetData>
    <row r="1" spans="1:10" ht="37" customHeight="1" x14ac:dyDescent="0.2">
      <c r="A1" s="270"/>
      <c r="C1" s="272"/>
      <c r="E1" s="272" t="s">
        <v>370</v>
      </c>
      <c r="F1" s="272"/>
      <c r="G1" s="270"/>
      <c r="H1" s="270"/>
      <c r="I1" s="270"/>
      <c r="J1" s="270"/>
    </row>
    <row r="2" spans="1:10" ht="37" customHeight="1" x14ac:dyDescent="0.2">
      <c r="A2" s="273"/>
      <c r="B2" s="274"/>
      <c r="C2" s="274"/>
      <c r="D2" s="274"/>
      <c r="E2" s="274"/>
      <c r="F2" s="274"/>
      <c r="G2" s="222" t="s">
        <v>321</v>
      </c>
      <c r="H2" s="354" t="s">
        <v>320</v>
      </c>
      <c r="I2" s="222" t="s">
        <v>139</v>
      </c>
      <c r="J2" s="354" t="s">
        <v>319</v>
      </c>
    </row>
    <row r="3" spans="1:10" ht="37" customHeight="1" x14ac:dyDescent="0.2">
      <c r="A3" s="273"/>
      <c r="B3" s="274"/>
      <c r="C3" s="274"/>
      <c r="D3" s="274"/>
      <c r="E3" s="274"/>
      <c r="F3" s="274"/>
      <c r="G3" s="222" t="s">
        <v>299</v>
      </c>
      <c r="H3" s="354"/>
      <c r="I3" s="222" t="s">
        <v>296</v>
      </c>
      <c r="J3" s="354"/>
    </row>
    <row r="4" spans="1:10" ht="37" customHeight="1" x14ac:dyDescent="0.2">
      <c r="A4" s="275"/>
      <c r="B4" s="276" t="s">
        <v>266</v>
      </c>
      <c r="C4" s="276" t="s">
        <v>265</v>
      </c>
      <c r="D4" s="276" t="s">
        <v>32</v>
      </c>
      <c r="E4" s="276" t="s">
        <v>264</v>
      </c>
      <c r="F4" s="276" t="s">
        <v>263</v>
      </c>
      <c r="G4" s="222" t="s">
        <v>248</v>
      </c>
      <c r="H4" s="354"/>
      <c r="I4" s="222" t="s">
        <v>244</v>
      </c>
      <c r="J4" s="354"/>
    </row>
    <row r="5" spans="1:10" ht="37" customHeight="1" x14ac:dyDescent="0.2">
      <c r="A5" s="277" t="s">
        <v>369</v>
      </c>
      <c r="B5" s="278"/>
      <c r="C5" s="278"/>
      <c r="D5" s="279"/>
      <c r="E5" s="278" t="s">
        <v>213</v>
      </c>
      <c r="F5" s="278" t="s">
        <v>212</v>
      </c>
      <c r="G5" s="280" t="s">
        <v>539</v>
      </c>
      <c r="H5" s="281">
        <f t="shared" ref="H5:H13" si="0">SUM(G5)</f>
        <v>0</v>
      </c>
      <c r="I5" s="280" t="s">
        <v>539</v>
      </c>
      <c r="J5" s="281">
        <f t="shared" ref="J5:J13" si="1">SUM(I5)</f>
        <v>0</v>
      </c>
    </row>
    <row r="6" spans="1:10" ht="37" customHeight="1" x14ac:dyDescent="0.2">
      <c r="A6" s="277" t="s">
        <v>369</v>
      </c>
      <c r="B6" s="278"/>
      <c r="C6" s="278"/>
      <c r="D6" s="227"/>
      <c r="E6" s="278" t="s">
        <v>207</v>
      </c>
      <c r="F6" s="278" t="s">
        <v>206</v>
      </c>
      <c r="G6" s="282"/>
      <c r="H6" s="281">
        <f t="shared" si="0"/>
        <v>0</v>
      </c>
      <c r="I6" s="283"/>
      <c r="J6" s="281">
        <f t="shared" si="1"/>
        <v>0</v>
      </c>
    </row>
    <row r="7" spans="1:10" ht="37" customHeight="1" x14ac:dyDescent="0.2">
      <c r="A7" s="277" t="s">
        <v>369</v>
      </c>
      <c r="B7" s="278"/>
      <c r="C7" s="278"/>
      <c r="D7" s="227"/>
      <c r="E7" s="278" t="s">
        <v>205</v>
      </c>
      <c r="F7" s="278" t="s">
        <v>204</v>
      </c>
      <c r="G7" s="282"/>
      <c r="H7" s="281">
        <f t="shared" si="0"/>
        <v>0</v>
      </c>
      <c r="I7" s="284"/>
      <c r="J7" s="281">
        <f t="shared" si="1"/>
        <v>0</v>
      </c>
    </row>
    <row r="8" spans="1:10" ht="37" customHeight="1" x14ac:dyDescent="0.2">
      <c r="A8" s="277" t="s">
        <v>369</v>
      </c>
      <c r="B8" s="278"/>
      <c r="C8" s="278"/>
      <c r="D8" s="227"/>
      <c r="E8" s="278" t="s">
        <v>203</v>
      </c>
      <c r="F8" s="278" t="s">
        <v>202</v>
      </c>
      <c r="G8" s="282"/>
      <c r="H8" s="281">
        <f t="shared" si="0"/>
        <v>0</v>
      </c>
      <c r="I8" s="283"/>
      <c r="J8" s="281">
        <f t="shared" si="1"/>
        <v>0</v>
      </c>
    </row>
    <row r="9" spans="1:10" ht="37" customHeight="1" x14ac:dyDescent="0.2">
      <c r="A9" s="277" t="s">
        <v>369</v>
      </c>
      <c r="B9" s="278"/>
      <c r="C9" s="278"/>
      <c r="D9" s="227"/>
      <c r="E9" s="278" t="s">
        <v>201</v>
      </c>
      <c r="F9" s="278" t="s">
        <v>200</v>
      </c>
      <c r="G9" s="282"/>
      <c r="H9" s="281">
        <f t="shared" si="0"/>
        <v>0</v>
      </c>
      <c r="I9" s="284"/>
      <c r="J9" s="281">
        <f t="shared" si="1"/>
        <v>0</v>
      </c>
    </row>
    <row r="10" spans="1:10" ht="37" customHeight="1" x14ac:dyDescent="0.2">
      <c r="A10" s="277" t="s">
        <v>369</v>
      </c>
      <c r="B10" s="278"/>
      <c r="C10" s="278"/>
      <c r="D10" s="227"/>
      <c r="E10" s="278" t="s">
        <v>199</v>
      </c>
      <c r="F10" s="278" t="s">
        <v>198</v>
      </c>
      <c r="G10" s="282"/>
      <c r="H10" s="281">
        <f t="shared" si="0"/>
        <v>0</v>
      </c>
      <c r="I10" s="283"/>
      <c r="J10" s="281">
        <f t="shared" si="1"/>
        <v>0</v>
      </c>
    </row>
    <row r="11" spans="1:10" ht="37" customHeight="1" x14ac:dyDescent="0.2">
      <c r="A11" s="277" t="s">
        <v>369</v>
      </c>
      <c r="B11" s="278"/>
      <c r="C11" s="278"/>
      <c r="D11" s="227"/>
      <c r="E11" s="278" t="s">
        <v>197</v>
      </c>
      <c r="F11" s="278" t="s">
        <v>196</v>
      </c>
      <c r="G11" s="282"/>
      <c r="H11" s="281">
        <f t="shared" si="0"/>
        <v>0</v>
      </c>
      <c r="I11" s="284"/>
      <c r="J11" s="281">
        <f t="shared" si="1"/>
        <v>0</v>
      </c>
    </row>
    <row r="12" spans="1:10" ht="37" customHeight="1" x14ac:dyDescent="0.2">
      <c r="A12" s="277" t="s">
        <v>369</v>
      </c>
      <c r="B12" s="278"/>
      <c r="C12" s="278"/>
      <c r="D12" s="227"/>
      <c r="E12" s="278" t="s">
        <v>195</v>
      </c>
      <c r="F12" s="278" t="s">
        <v>194</v>
      </c>
      <c r="G12" s="280" t="s">
        <v>539</v>
      </c>
      <c r="H12" s="281">
        <f t="shared" si="0"/>
        <v>0</v>
      </c>
      <c r="I12" s="285"/>
      <c r="J12" s="281">
        <f t="shared" si="1"/>
        <v>0</v>
      </c>
    </row>
    <row r="13" spans="1:10" ht="37" customHeight="1" x14ac:dyDescent="0.2">
      <c r="A13" s="277" t="s">
        <v>369</v>
      </c>
      <c r="B13" s="278"/>
      <c r="C13" s="278"/>
      <c r="D13" s="227"/>
      <c r="E13" s="278" t="s">
        <v>192</v>
      </c>
      <c r="F13" s="278" t="s">
        <v>191</v>
      </c>
      <c r="G13" s="280" t="s">
        <v>539</v>
      </c>
      <c r="H13" s="281">
        <f t="shared" si="0"/>
        <v>0</v>
      </c>
      <c r="I13" s="285"/>
      <c r="J13" s="281">
        <f t="shared" si="1"/>
        <v>0</v>
      </c>
    </row>
    <row r="14" spans="1:10" ht="37" customHeight="1" x14ac:dyDescent="0.2">
      <c r="A14" s="286"/>
      <c r="B14" s="287"/>
      <c r="C14" s="287"/>
      <c r="D14" s="287"/>
      <c r="E14" s="288"/>
      <c r="F14" s="289" t="s">
        <v>190</v>
      </c>
      <c r="G14" s="281">
        <f>SUM(G5:G13)</f>
        <v>0</v>
      </c>
      <c r="H14" s="281">
        <f>SUM(H5:H13)</f>
        <v>0</v>
      </c>
      <c r="I14" s="281">
        <f>SUM(I5:I13)</f>
        <v>0</v>
      </c>
      <c r="J14" s="281">
        <f>SUM(J5:J13)</f>
        <v>0</v>
      </c>
    </row>
    <row r="17" spans="4:4" ht="37" customHeight="1" x14ac:dyDescent="0.2">
      <c r="D17" s="290"/>
    </row>
  </sheetData>
  <mergeCells count="2">
    <mergeCell ref="H2:H4"/>
    <mergeCell ref="J2: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ACCUEIL</vt:lpstr>
      <vt:lpstr>ETPT A-JUST</vt:lpstr>
      <vt:lpstr>ETPT Format DDG</vt:lpstr>
      <vt:lpstr>Agrégats DDG</vt:lpstr>
      <vt:lpstr>codage tribunal</vt:lpstr>
      <vt:lpstr>Juridictions</vt:lpstr>
      <vt:lpstr>Table_Fonctions</vt:lpstr>
      <vt:lpstr>ETPT_TJ</vt:lpstr>
      <vt:lpstr>ETPT_TPRX</vt:lpstr>
      <vt:lpstr>ETPT_CPH</vt:lpstr>
      <vt:lpstr>ETPT_TJ_DDG</vt:lpstr>
      <vt:lpstr>ETPT_TPRX_DDG</vt:lpstr>
      <vt:lpstr>ETPT_CPH_DDG</vt:lpstr>
      <vt:lpstr>ETPT_TJ_corresp-SIEGE-TJ</vt:lpstr>
      <vt:lpstr>ETPT_TPROX_corresp-SIEGE-TPROX</vt:lpstr>
      <vt:lpstr>ETPT_TJ_corresp-GREFFE-TJ</vt:lpstr>
      <vt:lpstr>ETPT_TROX_corresp-GREFFE-TPROX</vt:lpstr>
      <vt:lpstr>ETPT_CPH_corresp-GREFFE-CPH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Extraction de données d'effectifs</dc:title>
  <dc:subject/>
  <dc:creator>A-JUST</dc:creator>
  <cp:keywords/>
  <dc:description>Ce fichier est généré sur la base des données saisies dans A-JUST</dc:description>
  <cp:lastModifiedBy>Jimmy CHEVALLIER</cp:lastModifiedBy>
  <dcterms:created xsi:type="dcterms:W3CDTF">2020-03-26T00:32:42Z</dcterms:created>
  <dcterms:modified xsi:type="dcterms:W3CDTF">2024-12-03T14:42:39Z</dcterms:modified>
  <cp:category/>
</cp:coreProperties>
</file>