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hidePivotFieldList="1" defaultThemeVersion="166925"/>
  <mc:AlternateContent xmlns:mc="http://schemas.openxmlformats.org/markup-compatibility/2006">
    <mc:Choice Requires="x15">
      <x15ac:absPath xmlns:x15ac="http://schemas.microsoft.com/office/spreadsheetml/2010/11/ac" url="/Users/dinum-327809/Documents/a-just-dev/a-just/front/src/assets/"/>
    </mc:Choice>
  </mc:AlternateContent>
  <xr:revisionPtr revIDLastSave="0" documentId="13_ncr:1_{8633B384-6001-964A-B82D-5903BEEB9204}" xr6:coauthVersionLast="47" xr6:coauthVersionMax="47" xr10:uidLastSave="{00000000-0000-0000-0000-000000000000}"/>
  <bookViews>
    <workbookView xWindow="0" yWindow="760" windowWidth="30240" windowHeight="17700" activeTab="9" xr2:uid="{50CB0F02-73D8-432D-BA19-0D33B1FE1838}"/>
  </bookViews>
  <sheets>
    <sheet name="ACCUEIL" sheetId="33" r:id="rId1"/>
    <sheet name="ETPT A-JUST" sheetId="1" r:id="rId2"/>
    <sheet name="ETPT Format DDG" sheetId="9" r:id="rId3"/>
    <sheet name="Synthèse ETPT" sheetId="10" r:id="rId4"/>
    <sheet name="Table_Fonctions" sheetId="19" state="hidden" r:id="rId5"/>
    <sheet name="ETPT Format DDG DETAIL" sheetId="41" state="hidden" r:id="rId6"/>
    <sheet name="ETPT_TJ" sheetId="25" state="hidden" r:id="rId7"/>
    <sheet name="ETPT_TPRX" sheetId="26" state="hidden" r:id="rId8"/>
    <sheet name="ETPT_CPH" sheetId="27" state="hidden" r:id="rId9"/>
    <sheet name="ETPT_ATTJ" sheetId="38" r:id="rId10"/>
    <sheet name="ETPT_TJ_DDG" sheetId="28" r:id="rId11"/>
    <sheet name="ETPT_TPRX_DDG" sheetId="29" r:id="rId12"/>
    <sheet name="ETPT_CPH_DDG" sheetId="30" r:id="rId13"/>
    <sheet name="ETPT_ATTJ_DDG" sheetId="39" r:id="rId14"/>
    <sheet name="Juridictions" sheetId="17" state="hidden" r:id="rId15"/>
    <sheet name="ETPT_TJ_corresp-SIEGE-TJ" sheetId="24" state="hidden" r:id="rId16"/>
    <sheet name="ETPT_TPROX_corresp-SIEGE-TPROX" sheetId="34" state="hidden" r:id="rId17"/>
    <sheet name="ETPT_TJ_corresp-GREFFE-TJ" sheetId="35" state="hidden" r:id="rId18"/>
    <sheet name="ETPT_TROX_corresp-GREFFE-TPROX" sheetId="36" state="hidden" r:id="rId19"/>
    <sheet name="ETPT_CPH_corresp-GREFFE-CPH" sheetId="37" state="hidden" r:id="rId20"/>
    <sheet name="ETPT_ATTACHES_JUSTICE  corresp" sheetId="40" state="hidden"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DETAIL'!$A$1:$V$1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38" l="1" a="1"/>
  <c r="I5" i="38" s="1"/>
  <c r="R6" i="38" a="1"/>
  <c r="R6" i="38" s="1"/>
  <c r="Q6" i="38" a="1"/>
  <c r="Q6" i="38" s="1"/>
  <c r="P6" i="38" a="1"/>
  <c r="P6" i="38" s="1"/>
  <c r="O6" i="38" a="1"/>
  <c r="O6" i="38" s="1"/>
  <c r="L6" i="38" a="1"/>
  <c r="L6" i="38" s="1"/>
  <c r="K6" i="38" a="1"/>
  <c r="K6" i="38" s="1"/>
  <c r="K6" i="39" s="1"/>
  <c r="J6" i="38" a="1"/>
  <c r="J6" i="38" s="1"/>
  <c r="I6" i="38" a="1"/>
  <c r="I6" i="38" s="1"/>
  <c r="P5" i="38" a="1"/>
  <c r="P5" i="38" s="1"/>
  <c r="L5" i="38" a="1"/>
  <c r="L5" i="38" s="1"/>
  <c r="M13" i="39"/>
  <c r="N13" i="39"/>
  <c r="AT15" i="25"/>
  <c r="AF15" i="25"/>
  <c r="AT14" i="25"/>
  <c r="AF14" i="25"/>
  <c r="L6" i="25"/>
  <c r="K12" i="38"/>
  <c r="K11" i="38"/>
  <c r="K10" i="38"/>
  <c r="K9" i="38"/>
  <c r="K8" i="38"/>
  <c r="K7" i="38"/>
  <c r="J12" i="38"/>
  <c r="J11" i="38"/>
  <c r="J10" i="38"/>
  <c r="J9" i="38"/>
  <c r="J8" i="38"/>
  <c r="J7" i="38"/>
  <c r="R12" i="38"/>
  <c r="R11" i="38"/>
  <c r="R10" i="38"/>
  <c r="R9" i="38"/>
  <c r="R8" i="38"/>
  <c r="R7" i="38"/>
  <c r="M13" i="38"/>
  <c r="N13" i="38"/>
  <c r="V14" i="25"/>
  <c r="V15" i="25"/>
  <c r="R15" i="25"/>
  <c r="AT5" i="28"/>
  <c r="AT5" i="25" a="1"/>
  <c r="AT5" i="25" s="1"/>
  <c r="AT16" i="25" s="1"/>
  <c r="V5" i="25"/>
  <c r="R14" i="25"/>
  <c r="R5" i="25"/>
  <c r="R5" i="28"/>
  <c r="U6" i="10"/>
  <c r="S6" i="10"/>
  <c r="L6" i="10"/>
  <c r="J13" i="38" l="1"/>
  <c r="J13" i="39" s="1"/>
  <c r="J6" i="39"/>
  <c r="K13" i="38"/>
  <c r="K13" i="39" s="1"/>
  <c r="S13" i="40"/>
  <c r="R13" i="40"/>
  <c r="Q13" i="40"/>
  <c r="P13" i="40"/>
  <c r="O13" i="40"/>
  <c r="N13" i="40"/>
  <c r="K13" i="40"/>
  <c r="H13" i="40"/>
  <c r="G13" i="40"/>
  <c r="S12" i="40"/>
  <c r="S11" i="40"/>
  <c r="S10" i="40"/>
  <c r="S9" i="40"/>
  <c r="S8" i="40"/>
  <c r="S7" i="40"/>
  <c r="S6" i="40"/>
  <c r="S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O16" i="24"/>
  <c r="AN16" i="24"/>
  <c r="AM16" i="24"/>
  <c r="AL16" i="24"/>
  <c r="AK16" i="24"/>
  <c r="AJ16" i="24"/>
  <c r="AI16" i="24"/>
  <c r="AH16" i="24"/>
  <c r="AG16" i="24"/>
  <c r="AF16" i="24"/>
  <c r="AE16" i="24"/>
  <c r="AD16" i="24"/>
  <c r="AB16" i="24"/>
  <c r="AA16" i="24"/>
  <c r="Z16" i="24"/>
  <c r="Y16" i="24"/>
  <c r="X16" i="24"/>
  <c r="W16" i="24"/>
  <c r="V16" i="24"/>
  <c r="U16" i="24"/>
  <c r="T16" i="24"/>
  <c r="S16" i="24"/>
  <c r="R16" i="24"/>
  <c r="Q16" i="24"/>
  <c r="P16" i="24"/>
  <c r="O16" i="24"/>
  <c r="N16" i="24"/>
  <c r="M16" i="24"/>
  <c r="L16" i="24"/>
  <c r="K16" i="24"/>
  <c r="J16" i="24"/>
  <c r="I16" i="24"/>
  <c r="H16" i="24"/>
  <c r="G16" i="24"/>
  <c r="AO15" i="24"/>
  <c r="AE15" i="24"/>
  <c r="P15" i="24"/>
  <c r="AO14" i="24"/>
  <c r="AE14" i="24"/>
  <c r="P14" i="24"/>
  <c r="AO13" i="24"/>
  <c r="AE13" i="24"/>
  <c r="P13" i="24"/>
  <c r="AO12" i="24"/>
  <c r="AE12" i="24"/>
  <c r="P12" i="24"/>
  <c r="AO11" i="24"/>
  <c r="AE11" i="24"/>
  <c r="P11" i="24"/>
  <c r="AO10" i="24"/>
  <c r="AE10" i="24"/>
  <c r="P10" i="24"/>
  <c r="AO9" i="24"/>
  <c r="AE9" i="24"/>
  <c r="P9" i="24"/>
  <c r="AO8" i="24"/>
  <c r="AE8" i="24"/>
  <c r="P8" i="24"/>
  <c r="AO7" i="24"/>
  <c r="AE7" i="24"/>
  <c r="P7" i="24"/>
  <c r="AO6" i="24"/>
  <c r="AE6" i="24"/>
  <c r="P6" i="24"/>
  <c r="AO5" i="24"/>
  <c r="AE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U20" i="25" a="1"/>
  <c r="AU20" i="25" s="1"/>
  <c r="V20" i="25" a="1"/>
  <c r="V20" i="25" s="1"/>
  <c r="V6" i="25"/>
  <c r="G15" i="25" l="1"/>
  <c r="G13" i="27"/>
  <c r="G12" i="27"/>
  <c r="G20" i="25" a="1"/>
  <c r="G20" i="25" s="1"/>
  <c r="AU15" i="25"/>
  <c r="AU14" i="25"/>
  <c r="AU6" i="25"/>
  <c r="AS6" i="25"/>
  <c r="Y6" i="28"/>
  <c r="Y7" i="28"/>
  <c r="Y8" i="28"/>
  <c r="Y9" i="28"/>
  <c r="Y10" i="28"/>
  <c r="Y11" i="28"/>
  <c r="Y12" i="28"/>
  <c r="Y13" i="28"/>
  <c r="Y14" i="28"/>
  <c r="Y15" i="28"/>
  <c r="AR15" i="25"/>
  <c r="AQ15" i="25"/>
  <c r="AP15" i="25"/>
  <c r="AO15" i="25"/>
  <c r="AN15" i="25"/>
  <c r="AM15" i="25"/>
  <c r="AL15" i="25"/>
  <c r="AK15" i="25"/>
  <c r="AJ15" i="25"/>
  <c r="AI15" i="25"/>
  <c r="AH15" i="25"/>
  <c r="AE15" i="25"/>
  <c r="AD15" i="25"/>
  <c r="AC15" i="25"/>
  <c r="AB15" i="25"/>
  <c r="AA15" i="25"/>
  <c r="Z15" i="25"/>
  <c r="Y15" i="25"/>
  <c r="X15" i="25"/>
  <c r="U15" i="25"/>
  <c r="T15" i="25"/>
  <c r="S15" i="25"/>
  <c r="Q15" i="25"/>
  <c r="P15" i="25"/>
  <c r="O15" i="25"/>
  <c r="AR14" i="25"/>
  <c r="AQ14" i="25"/>
  <c r="AP14" i="25"/>
  <c r="AO14" i="25"/>
  <c r="AN14" i="25"/>
  <c r="AM14" i="25"/>
  <c r="AL14" i="25"/>
  <c r="AK14" i="25"/>
  <c r="AJ14" i="25"/>
  <c r="AI14" i="25"/>
  <c r="AH14" i="25"/>
  <c r="AE14" i="25"/>
  <c r="AD14" i="25"/>
  <c r="AC14" i="25"/>
  <c r="AB14" i="25"/>
  <c r="AA14" i="25"/>
  <c r="Z14" i="25"/>
  <c r="Y14" i="25"/>
  <c r="X14" i="25"/>
  <c r="U14" i="25"/>
  <c r="T14" i="25"/>
  <c r="S14" i="25"/>
  <c r="Q14" i="25"/>
  <c r="P14" i="25"/>
  <c r="O14" i="25"/>
  <c r="N15" i="25"/>
  <c r="N14" i="25"/>
  <c r="M15" i="25"/>
  <c r="M14" i="25"/>
  <c r="L15" i="25"/>
  <c r="L14" i="25"/>
  <c r="K15" i="25"/>
  <c r="K14" i="25"/>
  <c r="J15" i="25"/>
  <c r="J14" i="25"/>
  <c r="I15" i="25"/>
  <c r="I14" i="25"/>
  <c r="Z7" i="25" l="1" a="1"/>
  <c r="Z7" i="25" s="1"/>
  <c r="R6" i="10" l="1"/>
  <c r="K6" i="10"/>
  <c r="G6" i="25"/>
  <c r="G13" i="25"/>
  <c r="O5" i="39"/>
  <c r="Q5" i="39"/>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F5" i="25"/>
  <c r="AV14" i="25"/>
  <c r="AV15" i="25"/>
  <c r="AG14" i="25"/>
  <c r="AG15" i="25"/>
  <c r="W7" i="25"/>
  <c r="W15" i="25"/>
  <c r="H15" i="25"/>
  <c r="H6" i="25"/>
  <c r="H7" i="25"/>
  <c r="H13" i="25"/>
  <c r="H14" i="25"/>
  <c r="AU13" i="25"/>
  <c r="V13" i="25"/>
  <c r="W13" i="25" s="1"/>
  <c r="AS13" i="25"/>
  <c r="AF13" i="25" a="1"/>
  <c r="AF13" i="25" s="1"/>
  <c r="AE13" i="25" a="1"/>
  <c r="AE13" i="25" s="1"/>
  <c r="AD13" i="25" a="1"/>
  <c r="AD13" i="25" s="1"/>
  <c r="Z13" i="25" a="1"/>
  <c r="Z13" i="25" s="1"/>
  <c r="Y13" i="25" a="1"/>
  <c r="Y13" i="25" s="1"/>
  <c r="AG13" i="25" s="1"/>
  <c r="AU12" i="25"/>
  <c r="AV12" i="25" s="1"/>
  <c r="AF12" i="25" a="1"/>
  <c r="AF12" i="25" s="1"/>
  <c r="AE12" i="25" a="1"/>
  <c r="AE12" i="25" s="1"/>
  <c r="AD12" i="25" a="1"/>
  <c r="AD12" i="25" s="1"/>
  <c r="Z12" i="25" a="1"/>
  <c r="Z12" i="25" s="1"/>
  <c r="Y12" i="25" a="1"/>
  <c r="Y12" i="25" s="1"/>
  <c r="AG12" i="25" s="1"/>
  <c r="V12" i="25"/>
  <c r="W12" i="25" s="1"/>
  <c r="G12" i="25"/>
  <c r="H12" i="25" s="1"/>
  <c r="AU11" i="25"/>
  <c r="AV11" i="25" s="1"/>
  <c r="AF11" i="25" a="1"/>
  <c r="AF11" i="25" s="1"/>
  <c r="AE11" i="25" a="1"/>
  <c r="AE11" i="25" s="1"/>
  <c r="AD11" i="25" a="1"/>
  <c r="AD11" i="25" s="1"/>
  <c r="Z11" i="25" a="1"/>
  <c r="Z11" i="25" s="1"/>
  <c r="Y11" i="25" a="1"/>
  <c r="Y11" i="25" s="1"/>
  <c r="AG11" i="25" s="1"/>
  <c r="V11" i="25"/>
  <c r="W11" i="25" s="1"/>
  <c r="G11" i="25"/>
  <c r="H11" i="25" s="1"/>
  <c r="AU10" i="25"/>
  <c r="AV10" i="25" s="1"/>
  <c r="AF10" i="25" a="1"/>
  <c r="AF10" i="25" s="1"/>
  <c r="AE10" i="25" a="1"/>
  <c r="AE10" i="25" s="1"/>
  <c r="AD10" i="25" a="1"/>
  <c r="AD10" i="25" s="1"/>
  <c r="Z10" i="25" a="1"/>
  <c r="Z10" i="25" s="1"/>
  <c r="Y10" i="25" a="1"/>
  <c r="Y10" i="25" s="1"/>
  <c r="V10" i="25"/>
  <c r="W10" i="25" s="1"/>
  <c r="G10" i="25"/>
  <c r="H10" i="25" s="1"/>
  <c r="AU9" i="25"/>
  <c r="AV9" i="25" s="1"/>
  <c r="AF9" i="25" a="1"/>
  <c r="AF9" i="25" s="1"/>
  <c r="AE9" i="25" a="1"/>
  <c r="AE9" i="25" s="1"/>
  <c r="AD9" i="25" a="1"/>
  <c r="AD9" i="25" s="1"/>
  <c r="Z9" i="25" a="1"/>
  <c r="Z9" i="25" s="1"/>
  <c r="Y9" i="25" a="1"/>
  <c r="Y9" i="25" s="1"/>
  <c r="AG9" i="25" s="1"/>
  <c r="V9" i="25"/>
  <c r="W9" i="25" s="1"/>
  <c r="G9" i="25"/>
  <c r="H9" i="25" s="1"/>
  <c r="AU8" i="25"/>
  <c r="AV8" i="25" s="1"/>
  <c r="AF8" i="25" a="1"/>
  <c r="AF8" i="25" s="1"/>
  <c r="AE8" i="25" a="1"/>
  <c r="AE8" i="25" s="1"/>
  <c r="AD8" i="25" a="1"/>
  <c r="AD8" i="25" s="1"/>
  <c r="Z8" i="25" a="1"/>
  <c r="Z8" i="25" s="1"/>
  <c r="Y8" i="25" a="1"/>
  <c r="Y8" i="25" s="1"/>
  <c r="V8" i="25"/>
  <c r="W8" i="25" s="1"/>
  <c r="G8" i="25"/>
  <c r="H8" i="25" s="1"/>
  <c r="AU7" i="25"/>
  <c r="AV7" i="25" s="1"/>
  <c r="AF7" i="25" a="1"/>
  <c r="AF7" i="25" s="1"/>
  <c r="AE7" i="25" a="1"/>
  <c r="AE7" i="25" s="1"/>
  <c r="AD7" i="25" a="1"/>
  <c r="AD7" i="25" s="1"/>
  <c r="Y7" i="25" a="1"/>
  <c r="Y7" i="25" s="1"/>
  <c r="AU5" i="25"/>
  <c r="AS5" i="25"/>
  <c r="AS16" i="25" s="1"/>
  <c r="AQ5" i="25" a="1"/>
  <c r="AQ5" i="25" s="1"/>
  <c r="AQ16" i="25" s="1"/>
  <c r="AP5" i="25" a="1"/>
  <c r="AP5" i="25" s="1"/>
  <c r="AP16" i="25" s="1"/>
  <c r="AO5" i="25" a="1"/>
  <c r="AO5" i="25" s="1"/>
  <c r="AO16" i="25" s="1"/>
  <c r="AN5" i="25" a="1"/>
  <c r="AN5" i="25" s="1"/>
  <c r="Y5" i="25" a="1"/>
  <c r="Y5" i="25" s="1"/>
  <c r="X5" i="25" a="1"/>
  <c r="X5" i="25" s="1"/>
  <c r="X16" i="25" s="1"/>
  <c r="U5" i="25"/>
  <c r="U16" i="25" s="1"/>
  <c r="T5" i="25"/>
  <c r="T16" i="25" s="1"/>
  <c r="S5" i="25"/>
  <c r="S16" i="25" s="1"/>
  <c r="Q5" i="25"/>
  <c r="Q16" i="25" s="1"/>
  <c r="P5" i="25"/>
  <c r="P16" i="25" s="1"/>
  <c r="I5" i="25"/>
  <c r="G5" i="25"/>
  <c r="G16" i="25" s="1"/>
  <c r="W5" i="25" l="1"/>
  <c r="AG8" i="25"/>
  <c r="AV13" i="25"/>
  <c r="AU16" i="25"/>
  <c r="AG7" i="25"/>
  <c r="Y16" i="25"/>
  <c r="AG10" i="25"/>
  <c r="AN16" i="25"/>
  <c r="H5" i="25"/>
  <c r="I16" i="25"/>
  <c r="H16" i="25"/>
  <c r="V16" i="25"/>
  <c r="D12" i="39" l="1"/>
  <c r="D11" i="39"/>
  <c r="D11" i="38" s="1"/>
  <c r="D10" i="39"/>
  <c r="D10" i="38" s="1"/>
  <c r="D9" i="39"/>
  <c r="D9" i="38" s="1"/>
  <c r="D8" i="39"/>
  <c r="D8" i="38" s="1"/>
  <c r="D7" i="39"/>
  <c r="D7" i="38" s="1"/>
  <c r="D6" i="39"/>
  <c r="D6" i="38" s="1"/>
  <c r="L6" i="39"/>
  <c r="I6" i="39"/>
  <c r="D12" i="38"/>
  <c r="D5" i="38"/>
  <c r="Q9" i="38" s="1"/>
  <c r="Q9" i="39" s="1"/>
  <c r="G5" i="28"/>
  <c r="H5" i="38" l="1" a="1"/>
  <c r="H5" i="38" s="1"/>
  <c r="H6" i="38" a="1"/>
  <c r="H6" i="38" s="1"/>
  <c r="H6" i="39" s="1"/>
  <c r="H11" i="38" a="1"/>
  <c r="H11" i="38" s="1"/>
  <c r="H11" i="39" s="1"/>
  <c r="H8" i="38" a="1"/>
  <c r="H8" i="38" s="1"/>
  <c r="H8" i="39" s="1"/>
  <c r="G11" i="38" a="1"/>
  <c r="G11" i="38" s="1"/>
  <c r="H7" i="38" a="1"/>
  <c r="H7" i="38" s="1"/>
  <c r="H7" i="39" s="1"/>
  <c r="H9" i="38" a="1"/>
  <c r="H9" i="38" s="1"/>
  <c r="H9" i="39" s="1"/>
  <c r="G9" i="38" a="1"/>
  <c r="G9" i="38" s="1"/>
  <c r="G9" i="39" s="1"/>
  <c r="I10" i="38"/>
  <c r="I10" i="39" s="1"/>
  <c r="P6" i="39"/>
  <c r="R6" i="39"/>
  <c r="I5" i="39"/>
  <c r="P5" i="39"/>
  <c r="I11" i="38"/>
  <c r="I11" i="39" s="1"/>
  <c r="O6" i="39"/>
  <c r="Q6" i="39"/>
  <c r="G7" i="38" a="1"/>
  <c r="G7" i="38" s="1"/>
  <c r="G7" i="39" s="1"/>
  <c r="G8" i="38" a="1"/>
  <c r="G8" i="38" s="1"/>
  <c r="G8" i="39" s="1"/>
  <c r="G6" i="38" a="1"/>
  <c r="G6" i="38" s="1"/>
  <c r="I7" i="38"/>
  <c r="I7" i="39" s="1"/>
  <c r="L9" i="38"/>
  <c r="L9" i="39" s="1"/>
  <c r="O10" i="38"/>
  <c r="O10" i="39" s="1"/>
  <c r="R7" i="39"/>
  <c r="I8" i="38"/>
  <c r="I8" i="39" s="1"/>
  <c r="L10" i="38"/>
  <c r="L10" i="39" s="1"/>
  <c r="O11" i="38"/>
  <c r="O11" i="39" s="1"/>
  <c r="R8" i="39"/>
  <c r="I9" i="38"/>
  <c r="I9" i="39" s="1"/>
  <c r="L11" i="38"/>
  <c r="L11" i="39" s="1"/>
  <c r="P7" i="38"/>
  <c r="P7" i="39" s="1"/>
  <c r="R9" i="39"/>
  <c r="H5" i="39"/>
  <c r="P8" i="38"/>
  <c r="P8" i="39" s="1"/>
  <c r="R10" i="39"/>
  <c r="P9" i="38"/>
  <c r="P9" i="39" s="1"/>
  <c r="R11" i="39"/>
  <c r="P10" i="38"/>
  <c r="P10" i="39" s="1"/>
  <c r="P11" i="38"/>
  <c r="P11" i="39" s="1"/>
  <c r="H10" i="38" a="1"/>
  <c r="H10" i="38" s="1"/>
  <c r="H10" i="39" s="1"/>
  <c r="Q7" i="38"/>
  <c r="Q7" i="39" s="1"/>
  <c r="Q8" i="38"/>
  <c r="Q8" i="39" s="1"/>
  <c r="O7" i="38"/>
  <c r="O7" i="39" s="1"/>
  <c r="P12" i="38"/>
  <c r="L12" i="38"/>
  <c r="O12" i="38"/>
  <c r="O12" i="39" s="1"/>
  <c r="I12" i="38"/>
  <c r="H12" i="38" a="1"/>
  <c r="H12" i="38" s="1"/>
  <c r="H12" i="39" s="1"/>
  <c r="G12" i="38" a="1"/>
  <c r="G12" i="38" s="1"/>
  <c r="Q12" i="38"/>
  <c r="G5" i="38" a="1"/>
  <c r="G5" i="38" s="1"/>
  <c r="R5" i="39"/>
  <c r="G10" i="38" a="1"/>
  <c r="G10" i="38" s="1"/>
  <c r="L7" i="38"/>
  <c r="L7" i="39" s="1"/>
  <c r="O8" i="38"/>
  <c r="O8" i="39" s="1"/>
  <c r="Q10" i="38"/>
  <c r="Q10" i="39" s="1"/>
  <c r="G11" i="39"/>
  <c r="L8" i="38"/>
  <c r="L8" i="39" s="1"/>
  <c r="O9" i="38"/>
  <c r="O9" i="39" s="1"/>
  <c r="Q11" i="38"/>
  <c r="Q11" i="39" s="1"/>
  <c r="Z6" i="25" a="1"/>
  <c r="Z6" i="25" s="1"/>
  <c r="AE5" i="25" a="1"/>
  <c r="AE5" i="25" s="1"/>
  <c r="O6" i="25"/>
  <c r="O16" i="25" s="1"/>
  <c r="N6" i="25"/>
  <c r="N16" i="25" s="1"/>
  <c r="M6" i="25"/>
  <c r="M16" i="25" s="1"/>
  <c r="L16" i="25"/>
  <c r="K6" i="25"/>
  <c r="K16" i="25" s="1"/>
  <c r="J6" i="25"/>
  <c r="R6" i="25"/>
  <c r="R16" i="25" s="1"/>
  <c r="S6" i="38" l="1"/>
  <c r="S6" i="39" s="1"/>
  <c r="L5" i="39"/>
  <c r="G6" i="39"/>
  <c r="W6" i="25"/>
  <c r="W16" i="25" s="1"/>
  <c r="J16" i="25"/>
  <c r="AG5" i="25"/>
  <c r="Z16" i="25"/>
  <c r="G10" i="39"/>
  <c r="S10" i="38"/>
  <c r="S10" i="39" s="1"/>
  <c r="G13" i="38"/>
  <c r="G13" i="39" s="1"/>
  <c r="S5" i="38"/>
  <c r="G5" i="39"/>
  <c r="S8" i="38"/>
  <c r="S8" i="39" s="1"/>
  <c r="Q13" i="38"/>
  <c r="Q13" i="39" s="1"/>
  <c r="Q12" i="39"/>
  <c r="S9" i="38"/>
  <c r="S9" i="39" s="1"/>
  <c r="S12" i="38"/>
  <c r="S12" i="39" s="1"/>
  <c r="G12" i="39"/>
  <c r="I13" i="38"/>
  <c r="I13" i="39" s="1"/>
  <c r="I12" i="39"/>
  <c r="H13" i="38"/>
  <c r="H13" i="39" s="1"/>
  <c r="S11" i="38"/>
  <c r="S11" i="39" s="1"/>
  <c r="O13" i="38"/>
  <c r="O13" i="39" s="1"/>
  <c r="L13" i="38"/>
  <c r="L12" i="39"/>
  <c r="S7" i="38"/>
  <c r="S7" i="39" s="1"/>
  <c r="P13" i="38"/>
  <c r="P13" i="39" s="1"/>
  <c r="P12" i="39"/>
  <c r="R13" i="38"/>
  <c r="R13" i="39" s="1"/>
  <c r="R12" i="39"/>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L13" i="39" l="1"/>
  <c r="AR16" i="25"/>
  <c r="AV5" i="25"/>
  <c r="AG6" i="25"/>
  <c r="AG16" i="25"/>
  <c r="AH16" i="25"/>
  <c r="AV6" i="25"/>
  <c r="S5" i="39"/>
  <c r="S13" i="38"/>
  <c r="S13" i="39" s="1"/>
  <c r="Q6" i="10"/>
  <c r="P6" i="10"/>
  <c r="N6" i="10"/>
  <c r="J6" i="10"/>
  <c r="I6" i="10"/>
  <c r="G6" i="10"/>
  <c r="H6" i="10" s="1"/>
  <c r="AV16" i="25" l="1"/>
  <c r="O6" i="10"/>
  <c r="M6" i="10"/>
  <c r="T6" i="10"/>
  <c r="V6" i="10"/>
  <c r="M14" i="37"/>
  <c r="N13" i="37"/>
  <c r="N12" i="37"/>
  <c r="N11" i="37"/>
  <c r="N10" i="37"/>
  <c r="N9" i="37"/>
  <c r="N8" i="37"/>
  <c r="N7" i="37"/>
  <c r="N6" i="37"/>
  <c r="N5" i="37"/>
  <c r="N14" i="37" s="1"/>
  <c r="AF18" i="29"/>
  <c r="AF13" i="29"/>
  <c r="R18" i="29"/>
  <c r="R14" i="29"/>
  <c r="G18" i="29"/>
  <c r="G14" i="29"/>
  <c r="AU20" i="28"/>
  <c r="AU15" i="28"/>
  <c r="G20" i="28"/>
  <c r="G15" i="28"/>
  <c r="V20" i="28"/>
  <c r="V15" i="28"/>
  <c r="BF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F5" i="28"/>
  <c r="D6" i="28"/>
  <c r="I6" i="28"/>
  <c r="P6" i="28"/>
  <c r="Q6" i="28"/>
  <c r="S6" i="28"/>
  <c r="T6" i="28"/>
  <c r="U6" i="28"/>
  <c r="X6" i="28"/>
  <c r="AN6" i="28"/>
  <c r="AO6" i="28"/>
  <c r="AP6" i="28"/>
  <c r="AQ6" i="28"/>
  <c r="AR6" i="28"/>
  <c r="BF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F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U8" i="28"/>
  <c r="BF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F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F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F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F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U13" i="28"/>
  <c r="BF13" i="28"/>
  <c r="D14" i="28"/>
  <c r="AS14" i="28"/>
  <c r="BF14" i="28"/>
  <c r="D15" i="28"/>
  <c r="AS15" i="28"/>
  <c r="BF15" i="28"/>
  <c r="AW16" i="28"/>
  <c r="AX16" i="28"/>
  <c r="AY16" i="28"/>
  <c r="AZ16" i="28"/>
  <c r="BA16" i="28"/>
  <c r="BB16" i="28"/>
  <c r="BC16" i="28"/>
  <c r="BD16" i="28"/>
  <c r="BE16" i="28"/>
  <c r="D5" i="27"/>
  <c r="H13" i="27" l="1"/>
  <c r="H12" i="27"/>
  <c r="G5" i="27"/>
  <c r="AG13" i="29"/>
  <c r="AC10" i="29"/>
  <c r="BF16" i="28"/>
  <c r="AG7" i="29"/>
  <c r="AG6" i="29"/>
  <c r="AC6" i="29"/>
  <c r="AB16" i="29"/>
  <c r="AA16" i="29"/>
  <c r="Z16" i="29"/>
  <c r="AC7" i="29"/>
  <c r="S7" i="29"/>
  <c r="AC12" i="29"/>
  <c r="AC8" i="29"/>
  <c r="Q16" i="29"/>
  <c r="AC11" i="29"/>
  <c r="P16" i="29"/>
  <c r="O16" i="29"/>
  <c r="AC13" i="29"/>
  <c r="AC9" i="29"/>
  <c r="T16" i="29"/>
  <c r="S6" i="29"/>
  <c r="AD16" i="29"/>
  <c r="AV13" i="28"/>
  <c r="AG13" i="28"/>
  <c r="W7" i="28"/>
  <c r="AG8" i="28"/>
  <c r="AV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Q5" i="28"/>
  <c r="P5" i="28"/>
  <c r="I5" i="28"/>
  <c r="H5" i="28"/>
  <c r="W5" i="28" l="1"/>
  <c r="Y5" i="28" l="1"/>
  <c r="Y16" i="28" s="1"/>
  <c r="X5" i="28"/>
  <c r="AU5" i="28" l="1"/>
  <c r="AS5" i="28"/>
  <c r="AR5" i="28"/>
  <c r="AQ5" i="28"/>
  <c r="AP5" i="28"/>
  <c r="AO5" i="28"/>
  <c r="AN5" i="28"/>
  <c r="D6" i="25"/>
  <c r="AV5" i="28" l="1"/>
  <c r="D7" i="25" l="1"/>
  <c r="AF7" i="28" l="1"/>
  <c r="AE7" i="28"/>
  <c r="AD7" i="28"/>
  <c r="Z7" i="28"/>
  <c r="AU7" i="28" l="1"/>
  <c r="AG7" i="28"/>
  <c r="BF7" i="25"/>
  <c r="D8" i="25"/>
  <c r="G8" i="28" l="1"/>
  <c r="AV7" i="28"/>
  <c r="V8" i="28" l="1"/>
  <c r="H8" i="28"/>
  <c r="W8" i="28" l="1"/>
  <c r="BF8" i="25"/>
  <c r="D9" i="25"/>
  <c r="G9" i="28" l="1"/>
  <c r="V9" i="28" l="1"/>
  <c r="H9" i="28"/>
  <c r="W9" i="28" l="1"/>
  <c r="AF9" i="28" l="1"/>
  <c r="AE9" i="28"/>
  <c r="AD9" i="28"/>
  <c r="Z9" i="28"/>
  <c r="AU9" i="28" l="1"/>
  <c r="AG9" i="28"/>
  <c r="BF9" i="25"/>
  <c r="D10" i="25"/>
  <c r="G10" i="28" l="1"/>
  <c r="AV9" i="28"/>
  <c r="V10" i="28" l="1"/>
  <c r="H10" i="28"/>
  <c r="W10" i="28" l="1"/>
  <c r="AF10" i="28" l="1"/>
  <c r="AE10" i="28"/>
  <c r="AD10" i="28"/>
  <c r="Z10" i="28"/>
  <c r="AU10" i="28" l="1"/>
  <c r="AG10" i="28"/>
  <c r="BF10" i="25"/>
  <c r="D11" i="25"/>
  <c r="G11" i="28" l="1"/>
  <c r="AV10" i="28"/>
  <c r="V11" i="28" l="1"/>
  <c r="W11" i="28" s="1"/>
  <c r="H11" i="28"/>
  <c r="AF11" i="28" l="1"/>
  <c r="AE11" i="28"/>
  <c r="AD11" i="28"/>
  <c r="Z11" i="28"/>
  <c r="AU11" i="28" l="1"/>
  <c r="AV11" i="28" s="1"/>
  <c r="AG11" i="28"/>
  <c r="BF11" i="25"/>
  <c r="D12" i="25"/>
  <c r="G12" i="28" l="1"/>
  <c r="H12" i="28" s="1"/>
  <c r="V12" i="28" l="1"/>
  <c r="W12" i="28" s="1"/>
  <c r="AF12" i="28" l="1"/>
  <c r="AE12" i="28"/>
  <c r="AD12" i="28"/>
  <c r="Z12" i="28"/>
  <c r="AU12" i="28" l="1"/>
  <c r="AV12" i="28" s="1"/>
  <c r="AG12" i="28"/>
  <c r="BF12" i="25"/>
  <c r="D13" i="25"/>
  <c r="G13" i="28" l="1"/>
  <c r="H13" i="28" s="1"/>
  <c r="V13" i="28" l="1"/>
  <c r="W13" i="28" s="1"/>
  <c r="BF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F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F15" i="25"/>
  <c r="BF16" i="25" s="1"/>
  <c r="AW16" i="25"/>
  <c r="AX16" i="25"/>
  <c r="AY16" i="25"/>
  <c r="AZ16" i="25"/>
  <c r="BA16" i="25"/>
  <c r="BB16" i="25"/>
  <c r="BC16" i="25"/>
  <c r="BD16" i="25"/>
  <c r="BE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U14" i="28"/>
  <c r="G6" i="28"/>
  <c r="M6" i="28"/>
  <c r="M16" i="28" s="1"/>
  <c r="AE5" i="28"/>
  <c r="AA6" i="28"/>
  <c r="AA16" i="28" s="1"/>
  <c r="N6" i="28"/>
  <c r="N16" i="28" s="1"/>
  <c r="AU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U16" i="28"/>
  <c r="AG5" i="28"/>
  <c r="AE16" i="28"/>
  <c r="V6" i="28"/>
  <c r="AH16" i="28"/>
  <c r="AV6" i="28"/>
  <c r="H6" i="28"/>
  <c r="H16" i="28" s="1"/>
  <c r="G16" i="28"/>
  <c r="AG6" i="28"/>
  <c r="Z16" i="28"/>
  <c r="AV15" i="28"/>
  <c r="AV14" i="28"/>
  <c r="AG16" i="28" l="1"/>
  <c r="AV16" i="28"/>
  <c r="W6" i="28"/>
  <c r="W16" i="28" s="1"/>
  <c r="V16" i="28"/>
  <c r="AV18" i="2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tc={ECE5F496-0680-3E4B-8D7B-1FFBCAB138F6}</author>
    <author>tc={10E42624-3694-4A4C-BC5A-0A1108139DDD}</author>
  </authors>
  <commentList>
    <comment ref="V14" authorId="0" shapeId="0" xr:uid="{ECE5F496-0680-3E4B-8D7B-1FFBCAB138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avec DELHOUSTAL si ce qui est dans la colonne R13 du TPRX remonte ici ou au TPRX</t>
      </text>
    </comment>
    <comment ref="R15" authorId="1" shapeId="0" xr:uid="{10E42624-3694-4A4C-BC5A-0A1108139D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On a enlevé le 5 JLD CIVIL</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<sst xmlns="http://schemas.openxmlformats.org/spreadsheetml/2006/main" count="1840" uniqueCount="693">
  <si>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</si>
  <si>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</si>
  <si>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</si>
  <si>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</si>
  <si>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</si>
  <si>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</si>
  <si>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</si>
  <si>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</si>
  <si>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</si>
  <si>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</si>
  <si>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</si>
  <si>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</si>
  <si>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</si>
  <si>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</si>
  <si>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</si>
  <si>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</si>
  <si>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</si>
  <si>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</si>
  <si>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</si>
  <si>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</si>
  <si>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</si>
  <si>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</si>
  <si>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</si>
  <si>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</si>
  <si>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</si>
  <si>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</si>
  <si>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</si>
  <si>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</si>
  <si>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</si>
  <si>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</si>
  <si>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</si>
  <si>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</si>
  <si>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</si>
  <si>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</si>
  <si>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</si>
  <si>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</si>
  <si>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</si>
  <si>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</si>
  <si>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</si>
  <si>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</si>
  <si>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</si>
  <si>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</si>
  <si>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</si>
  <si>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</si>
  <si>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</si>
  <si>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</si>
  <si>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</si>
  <si>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</si>
  <si>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</si>
  <si>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</si>
  <si>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</si>
  <si>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</si>
  <si>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</si>
  <si>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</si>
  <si>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</si>
  <si>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</si>
  <si>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</si>
  <si>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</si>
  <si>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</si>
  <si>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</si>
  <si>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</si>
  <si>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</si>
  <si>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</si>
  <si>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</si>
  <si>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</si>
  <si>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</si>
  <si>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</si>
  <si>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</si>
  <si>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</si>
  <si>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</si>
  <si>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</si>
  <si>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</si>
  <si>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</si>
  <si>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</si>
  <si>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</si>
  <si>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</si>
  <si>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</si>
  <si>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</si>
  <si>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</si>
  <si>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</si>
  <si>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</si>
  <si>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</si>
  <si>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</si>
  <si>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</si>
  <si>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</si>
  <si>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</si>
  <si>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</si>
  <si>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</si>
  <si>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</si>
  <si>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</si>
  <si>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</si>
  <si>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</si>
  <si>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</si>
  <si>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</si>
  <si>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</si>
  <si>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</si>
  <si>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</si>
  <si>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</si>
  <si>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</si>
  <si>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</si>
  <si>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</si>
  <si>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</si>
  <si>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</si>
  <si>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</si>
  <si>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</si>
  <si>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</si>
  <si>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</si>
  <si>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</si>
  <si>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</si>
  <si>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</si>
  <si>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</si>
  <si>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</si>
  <si>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</si>
  <si>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</si>
  <si>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</si>
  <si>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</si>
  <si>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</si>
  <si>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</si>
  <si>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</si>
  <si>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</si>
  <si>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</si>
  <si>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</si>
  <si>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</si>
  <si>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</si>
  <si>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</si>
  <si>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</si>
  <si>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</si>
  <si>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</si>
  <si>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</si>
  <si>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</si>
  <si>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</si>
  <si>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</si>
  <si>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</si>
  <si>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</si>
  <si>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</si>
  <si>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</si>
  <si>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</si>
  <si>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</si>
  <si>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</si>
  <si>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</si>
  <si>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</si>
  <si>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</si>
  <si>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</si>
  <si>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</si>
  <si>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</si>
  <si>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</si>
  <si>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</si>
  <si>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</si>
  <si>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</si>
  <si>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</si>
  <si>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</si>
  <si>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</si>
  <si>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</si>
  <si>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</si>
  <si>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</si>
  <si>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</si>
  <si>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</si>
  <si>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</si>
  <si>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</si>
  <si>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</si>
  <si>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</si>
  <si>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</si>
  <si>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</si>
  <si>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</si>
  <si>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</si>
  <si>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</si>
  <si>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</si>
  <si>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</si>
  <si>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</si>
  <si>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</si>
  <si>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</si>
  <si>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</si>
  <si>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</si>
  <si>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</si>
  <si>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</si>
  <si>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</si>
  <si>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</si>
  <si>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</si>
  <si>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</si>
  <si>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</si>
  <si>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</si>
  <si>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</si>
  <si>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</si>
  <si>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</si>
  <si>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</si>
  <si>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</si>
  <si>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</si>
  <si>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</si>
  <si>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</si>
  <si>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</si>
  <si>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</si>
  <si>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</si>
  <si>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</si>
  <si>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</si>
  <si>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</si>
  <si>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</si>
  <si>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</si>
  <si>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</si>
  <si>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</si>
  <si>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</si>
  <si>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</si>
  <si>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</si>
  <si>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</si>
  <si>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</si>
  <si>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</si>
  <si>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</si>
  <si>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</si>
  <si>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</si>
  <si>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</si>
  <si>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</si>
  <si>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</si>
  <si>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</si>
  <si>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</si>
  <si>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</si>
  <si>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</si>
  <si>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</si>
  <si>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</si>
  <si>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</si>
  <si>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</si>
  <si>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</si>
  <si>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</si>
  <si>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</si>
  <si>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</si>
  <si>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</si>
  <si>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</si>
  <si>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</si>
  <si>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</si>
  <si>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</si>
  <si>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</si>
  <si>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</si>
  <si>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</si>
  <si>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</si>
  <si>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</si>
  <si>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</si>
  <si>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</si>
  <si>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</si>
  <si>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</si>
  <si>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</si>
  <si>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</si>
  <si>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</si>
  <si>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</si>
  <si>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</si>
  <si>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</si>
  <si>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</si>
  <si>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</si>
  <si>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</si>
  <si>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</si>
  <si>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</si>
  <si>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</si>
  <si>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</si>
  <si>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</si>
  <si>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</si>
  <si>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</si>
  <si>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</si>
  <si>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</si>
  <si>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</si>
  <si>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</si>
  <si>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</si>
  <si>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</si>
  <si>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</si>
  <si>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</si>
  <si>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</si>
  <si>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</si>
  <si>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</si>
  <si>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</si>
  <si>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</si>
  <si>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</si>
  <si>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</si>
  <si>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</si>
  <si>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</si>
  <si>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</si>
  <si>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</si>
  <si>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</si>
  <si>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</si>
  <si>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</si>
  <si>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</si>
  <si>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</si>
  <si>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</si>
  <si>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</si>
  <si>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</si>
  <si>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de contractuels a j prox et a vif</t>
  </si>
  <si>
    <t>ETPT juristes assistants siège autres</t>
  </si>
  <si>
    <t>ETPT de contractuels a j prox et a vif au parquet</t>
  </si>
  <si>
    <t>ETPT_ATTACHES_JUSTICE</t>
  </si>
  <si>
    <t xml:space="preserve">                 Déclaration des ETPT Attachés de Justice</t>
  </si>
  <si>
    <t>DÉCLARATION ETPT ATTACHES DE JUSTICE (JURISTES ASSISTANTS)</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</si>
  <si>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</si>
  <si>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</si>
  <si>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</si>
  <si>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</si>
  <si>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</si>
  <si>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</si>
  <si>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</si>
  <si>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</si>
  <si>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</si>
  <si>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</si>
  <si>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</si>
  <si>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</si>
  <si>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</si>
  <si>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</si>
  <si>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</si>
  <si>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</si>
  <si>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</si>
  <si>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</si>
  <si>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</si>
  <si>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</si>
  <si>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</si>
  <si>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</si>
  <si>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</si>
  <si>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</si>
  <si>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</si>
  <si>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</si>
  <si>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</si>
  <si>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</si>
  <si>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</si>
  <si>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</si>
  <si>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</si>
  <si>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</si>
  <si>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</si>
  <si>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</si>
  <si>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</si>
  <si>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</si>
  <si>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</si>
  <si>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</si>
  <si>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</si>
  <si>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</si>
  <si>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</si>
  <si>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</si>
  <si>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</si>
  <si>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</si>
  <si>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</si>
  <si>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</si>
  <si>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</si>
  <si>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</si>
  <si>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</si>
  <si>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</si>
  <si>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</si>
  <si>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</si>
  <si>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</si>
  <si>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</si>
  <si>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</si>
  <si>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</si>
  <si>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</si>
  <si>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</si>
  <si>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</si>
  <si>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</si>
  <si>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</si>
  <si>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</si>
  <si>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</si>
  <si>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</si>
  <si>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</si>
  <si>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</si>
  <si>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</si>
  <si>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</si>
  <si>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</si>
  <si>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</si>
  <si>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</si>
  <si>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</si>
  <si>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</si>
  <si>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</si>
  <si>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</si>
  <si>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</si>
  <si>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</si>
  <si>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</si>
  <si>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</si>
  <si>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</si>
  <si>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</si>
  <si>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</si>
  <si>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</si>
  <si>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</si>
  <si>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</si>
  <si>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</si>
  <si>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</si>
  <si>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</si>
  <si>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</si>
  <si>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</si>
  <si>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</si>
  <si>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</si>
  <si>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</si>
  <si>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</si>
  <si>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</si>
  <si>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</si>
  <si>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</si>
  <si>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</si>
  <si>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</si>
  <si>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</si>
  <si>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</si>
  <si>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</si>
  <si>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</si>
  <si>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</si>
  <si>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</si>
  <si>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</si>
  <si>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</si>
  <si>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</si>
  <si>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</si>
  <si>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</si>
  <si>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</si>
  <si>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</si>
  <si>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</si>
  <si>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</si>
  <si>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</si>
  <si>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</si>
  <si>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</si>
  <si>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</si>
  <si>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</si>
  <si>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</si>
  <si>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</si>
  <si>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</si>
  <si>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</si>
  <si>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</si>
  <si>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</si>
  <si>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</si>
  <si>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</si>
  <si>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</si>
  <si>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</si>
  <si>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</si>
  <si>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</si>
  <si>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</si>
  <si>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</si>
  <si>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</si>
  <si>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</si>
  <si>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</si>
  <si>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</si>
  <si>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</si>
  <si>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</si>
  <si>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</si>
  <si>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</si>
  <si>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</si>
  <si>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</si>
  <si>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</si>
  <si>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</si>
  <si>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</si>
  <si>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</si>
  <si>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</si>
  <si>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</si>
  <si>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</si>
  <si>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</si>
  <si>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</si>
  <si>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</si>
  <si>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</si>
  <si>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</si>
  <si>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</si>
  <si>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</si>
  <si>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</si>
  <si>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</si>
  <si>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</si>
  <si>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</si>
  <si>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</si>
  <si>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</si>
  <si>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</si>
  <si>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</si>
  <si>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</si>
  <si>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</si>
  <si>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</si>
  <si>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</si>
  <si>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</si>
  <si>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</si>
  <si>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</si>
  <si>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</si>
  <si>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</si>
  <si>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</si>
  <si>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</si>
  <si>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</si>
  <si>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</si>
  <si>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</si>
  <si>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</si>
  <si>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</si>
  <si>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</si>
  <si>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</si>
  <si>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</si>
  <si>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</si>
  <si>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</si>
  <si>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</si>
  <si>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</si>
  <si>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</si>
  <si>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</si>
  <si>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</si>
  <si>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</si>
  <si>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</si>
  <si>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</si>
  <si>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</si>
  <si>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</si>
  <si>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</si>
  <si>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</si>
  <si>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</si>
  <si>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</si>
  <si>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</si>
  <si>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</si>
  <si>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</si>
  <si>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</si>
  <si>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</si>
  <si>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</si>
  <si>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</si>
  <si>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</si>
  <si>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</si>
  <si>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</si>
  <si>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</si>
  <si>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</si>
  <si>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</si>
  <si>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</si>
  <si>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</si>
  <si>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</si>
  <si>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</si>
  <si>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</si>
  <si>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</si>
  <si>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</si>
  <si>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</si>
  <si>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</si>
  <si>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</si>
  <si>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</si>
  <si>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</si>
  <si>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</si>
  <si>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</si>
  <si>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</si>
  <si>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</si>
  <si>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</si>
  <si>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</si>
  <si>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</si>
  <si>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</si>
  <si>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</si>
  <si>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</si>
  <si>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</si>
  <si>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</si>
  <si>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</si>
  <si>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</si>
  <si>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</si>
  <si>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</si>
  <si>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</si>
  <si>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</si>
  <si>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</si>
  <si>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</si>
  <si>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</si>
  <si>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</si>
  <si>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</si>
  <si>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</si>
  <si>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</si>
  <si>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</si>
  <si>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</si>
  <si>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</si>
  <si>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</si>
  <si>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</si>
  <si>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</si>
  <si>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</si>
  <si>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</si>
  <si>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</si>
  <si>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</si>
  <si>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</si>
  <si>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</si>
  <si>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</si>
  <si>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</si>
  <si>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</si>
  <si>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</si>
  <si>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</si>
  <si>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</si>
  <si>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</si>
  <si>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</si>
  <si>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</si>
  <si>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</si>
  <si>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</si>
  <si>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</si>
  <si>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</si>
  <si>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</si>
  <si>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</si>
  <si>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</si>
  <si>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</si>
  <si>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</si>
  <si>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</si>
  <si>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</si>
  <si>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</si>
  <si>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</si>
  <si>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</si>
  <si>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</si>
  <si>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</si>
  <si>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</si>
  <si>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</si>
  <si>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</si>
  <si>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</si>
  <si>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</si>
  <si>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</si>
  <si>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</si>
  <si>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</si>
  <si>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</si>
  <si>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</si>
  <si>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</si>
  <si>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</si>
  <si>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</si>
  <si>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</si>
  <si>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</si>
  <si>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</si>
  <si>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</si>
  <si>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</si>
  <si>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</si>
  <si>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</si>
  <si>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</si>
  <si>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</si>
  <si>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</si>
  <si>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</si>
  <si>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</si>
  <si>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</si>
  <si>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</si>
  <si>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</si>
  <si>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</si>
  <si>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</si>
  <si>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</si>
  <si>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</si>
  <si>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</si>
  <si>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</si>
  <si>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</si>
  <si>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</si>
  <si>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</si>
  <si>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</si>
  <si>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</si>
  <si>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</si>
  <si>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</si>
  <si>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</si>
  <si>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</si>
  <si>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</si>
  <si>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</si>
  <si>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</si>
  <si>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</si>
  <si>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</si>
  <si>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</si>
  <si>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</si>
  <si>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</si>
  <si>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</si>
  <si>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</si>
  <si>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</si>
  <si>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</si>
  <si>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</si>
  <si>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</si>
  <si>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</si>
  <si>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</si>
  <si>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</si>
  <si>
    <t>ETPT ventilé</t>
  </si>
  <si>
    <t>ETPT global sur la période (incluant absentéisme et action 99)</t>
  </si>
  <si>
    <t>## log.etptGlobal</t>
  </si>
  <si>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</si>
  <si>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</si>
  <si>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t>JNS_HO_CRA_CONTENTION_(EX JLD CIVIL)</t>
  </si>
  <si>
    <t>5. TOTAL JLD CIVIL
(Pour Fonction recodée = Magistrats SIEGE S et NS)
TJ et TPR ou CPH (donc pas de critère sur le TJ)</t>
  </si>
  <si>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</si>
  <si>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</si>
  <si>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t xml:space="preserve">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</si>
  <si>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 xml:space="preserve">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</si>
  <si>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 xml:space="preserve">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</si>
  <si>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t>JLD (pénal uniquement)</t>
  </si>
  <si>
    <t>JNS - HO - CRA - Contention (ex JLD civil)</t>
  </si>
  <si>
    <t xml:space="preserve">                 DÉCLARATION ETPT ATTACHÉS DE JUSTICE</t>
  </si>
  <si>
    <t>Attachés de justice siège</t>
  </si>
  <si>
    <t>Attachés de justice siège affectés aux assises</t>
  </si>
  <si>
    <t>Attachés de justice siège affectés au CCD</t>
  </si>
  <si>
    <t>Attachés de justice affectés aux JLD (pénal uniquement)</t>
  </si>
  <si>
    <t>Attachés de justice au parquet</t>
  </si>
  <si>
    <t>Attachés de justice affectés aux JAP</t>
  </si>
  <si>
    <t>Attachés de justice affectés aux JE</t>
  </si>
  <si>
    <t>Attachés de justice affectés aux Juge d'instruction</t>
  </si>
  <si>
    <r>
      <t xml:space="preserve">2. TOTAL CONTENTIEUX JAF  + 4. TOTAL CIVIL NON SPÉCIALISÉ + </t>
    </r>
    <r>
      <rPr>
        <u/>
        <sz val="10"/>
        <rFont val="Arial"/>
        <family val="2"/>
      </rPr>
      <t>5. TOTAL JLD CIVIL</t>
    </r>
    <r>
      <rPr>
        <sz val="10"/>
        <rFont val="Arial"/>
        <family val="2"/>
      </rPr>
      <t xml:space="preserve">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</si>
  <si>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2. TOTAL CONTENTIEUX JAF + 4. TOTAL CIVIL NON SPÉCIALISÉ + 5. TOTAL JLD CIVIL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</si>
  <si>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t>2. TOTAL CONTENTIEUX JAF + 4. TOTAL CIVIL NON SPÉCIALISÉ + 6.1. ACTIVITÉ CIVILE + 5. TOTAL JLD CIVIL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</si>
  <si>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t>Attachés de justice parquet affectés aux assises</t>
  </si>
  <si>
    <t>Attachés de justice parquet affectés aux CDD</t>
  </si>
  <si>
    <t>ATT J</t>
  </si>
  <si>
    <t>JA/AttJ Siège autres</t>
  </si>
  <si>
    <r>
      <t xml:space="preserve">1. TOTAL CONTENTIEUX SOCIAL + 2. TOTAL CONTENTIEUX JAF + 3. TOTAL CONTENTIEUX DE LA PROTECTION + 4. TOTAL CIVIL NON SPÉCIALISÉ + + 5. TOTAL JLD CIVIL + 11.7. FONCTIONNAIRES AFFECTÉS AU CPH
</t>
    </r>
    <r>
      <rPr>
        <b/>
        <sz val="10"/>
        <color rgb="FF0070C0"/>
        <rFont val="Arial"/>
        <family val="2"/>
      </rPr>
      <t>Fonction recodée = Att.J/JA PARQUET + Att.J/JA SIEGE AUTRES + Att.J/JA JAP + Att.J/JA JE + Att.J/JA JI + Att.J/AJ JLD PENAL + Att.J SIEGE ASSISES + Att.J SIEGE CCD</t>
    </r>
    <r>
      <rPr>
        <sz val="10"/>
        <color theme="1"/>
        <rFont val="Arial"/>
        <family val="2"/>
      </rPr>
      <t xml:space="preserve">
</t>
    </r>
    <r>
      <rPr>
        <b/>
        <sz val="10"/>
        <color indexed="2"/>
        <rFont val="Arial"/>
        <family val="2"/>
      </rPr>
      <t xml:space="preserve">
Critère sur le TJ ou le TPROX ou le CPH</t>
    </r>
  </si>
  <si>
    <t>7. TOTAL SIÈGE PÉNAL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</si>
  <si>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</si>
  <si>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</si>
  <si>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</si>
  <si>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</si>
  <si>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</si>
  <si>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</si>
  <si>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t>ETPT attachés de justice au parquet</t>
  </si>
  <si>
    <t>Attachés de justice siège affectés aux CCD</t>
  </si>
  <si>
    <t>7.52 COUR CRIM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</si>
  <si>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</si>
  <si>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11.51. ACCUEIL DU JUSTICIABLE (DONT SAUJ)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</si>
  <si>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</si>
  <si>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</si>
  <si>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ASSISES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</si>
  <si>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</si>
  <si>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</si>
  <si>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CCD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</si>
  <si>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</si>
  <si>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</si>
  <si>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</si>
  <si>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</si>
  <si>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t>Attachés de justice parquet affectés aux CCD</t>
  </si>
  <si>
    <t>ETPT attachés de justice affectés aux jap</t>
  </si>
  <si>
    <t>ETPT attachés de justice affectés aux je</t>
  </si>
  <si>
    <t>ETPT attachés de justice affectés aux juge d'instruction</t>
  </si>
  <si>
    <t>ETPT attachés de justice affectés aux jld pénal</t>
  </si>
  <si>
    <t>7.5. COUR D'ASSISES HORS JIRS +
7.51. COUR D'ASSISES JIRS
Fonction recodée = Att.J/JA PARQUET + Att.J/JA SIEGE AUTRES + Att.J/JA JAP + Att.J/JA JE + Att.J/JA JI + Att.J/AJ JLD PENAL + Att.J SIEGE ASSISES + Att.J SIEGE CCD
Critère sur le TJ ou le TPROX ou le CPH</t>
  </si>
  <si>
    <t>Fonctionnaires affectés aux fonctions JI, JE, JAP, JLD (pénal uniquement)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</si>
</sst>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
      <b/>
      <sz val="10"/>
      <color indexed="2"/>
      <name val="Arial"/>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6" fillId="0" borderId="0"/>
    <xf numFmtId="165" fontId="6" fillId="0" borderId="0" applyFont="0" applyFill="0" applyBorder="0" applyAlignment="0" applyProtection="0"/>
    <xf numFmtId="164" fontId="11" fillId="0" borderId="0" applyFont="0" applyFill="0" applyBorder="0" applyAlignment="0" applyProtection="0"/>
    <xf numFmtId="0" fontId="5" fillId="0" borderId="0"/>
    <xf numFmtId="165" fontId="5" fillId="0" borderId="0" applyFont="0" applyFill="0" applyBorder="0" applyAlignment="0" applyProtection="0"/>
  </cellStyleXfs>
  <cellXfs count="446">
    <xf numFmtId="0" fontId="0" fillId="0" borderId="0" xfId="0"/>
    <xf numFmtId="0" fontId="0" fillId="0" borderId="0" xfId="0" applyAlignment="1">
      <alignment horizontal="right"/>
    </xf>
    <xf numFmtId="0" fontId="0" fillId="0" borderId="0" xfId="0" applyAlignment="1">
      <alignment horizontal="center"/>
    </xf>
    <xf numFmtId="0" fontId="8"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9" fillId="3" borderId="0" xfId="0" applyFont="1" applyFill="1" applyAlignment="1">
      <alignment horizontal="right"/>
    </xf>
    <xf numFmtId="0" fontId="0" fillId="3" borderId="0" xfId="0" applyFill="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11" fillId="0" borderId="0" xfId="0" applyFont="1" applyAlignment="1">
      <alignment horizontal="left" vertical="center" wrapText="1"/>
    </xf>
    <xf numFmtId="166" fontId="7" fillId="0" borderId="3" xfId="3" applyNumberFormat="1" applyFont="1" applyBorder="1" applyAlignment="1">
      <alignment horizontal="center" vertical="center" wrapText="1"/>
    </xf>
    <xf numFmtId="166" fontId="7" fillId="0" borderId="4" xfId="3" applyNumberFormat="1" applyFont="1" applyBorder="1" applyAlignment="1">
      <alignment horizontal="center" vertical="center" wrapText="1"/>
    </xf>
    <xf numFmtId="0" fontId="11" fillId="0" borderId="0" xfId="0" applyFont="1" applyAlignment="1">
      <alignment vertical="center"/>
    </xf>
    <xf numFmtId="0" fontId="12" fillId="4" borderId="0" xfId="0" applyFont="1" applyFill="1" applyAlignment="1">
      <alignment wrapText="1"/>
    </xf>
    <xf numFmtId="0" fontId="12" fillId="4" borderId="0" xfId="0" applyFont="1" applyFill="1" applyAlignment="1">
      <alignment horizontal="center" vertical="center"/>
    </xf>
    <xf numFmtId="0" fontId="0" fillId="5" borderId="0" xfId="0" applyFill="1" applyAlignment="1">
      <alignment horizontal="left"/>
    </xf>
    <xf numFmtId="0" fontId="7" fillId="5" borderId="0" xfId="0" applyFont="1" applyFill="1" applyAlignment="1">
      <alignment horizontal="left"/>
    </xf>
    <xf numFmtId="166" fontId="7" fillId="0" borderId="0" xfId="3" applyNumberFormat="1" applyFont="1" applyBorder="1" applyAlignment="1">
      <alignment horizontal="center" vertical="center"/>
    </xf>
    <xf numFmtId="166" fontId="7" fillId="0" borderId="1" xfId="3" applyNumberFormat="1" applyFont="1" applyBorder="1" applyAlignment="1">
      <alignment horizontal="center" vertical="center"/>
    </xf>
    <xf numFmtId="0" fontId="7" fillId="6" borderId="6" xfId="0" applyFont="1" applyFill="1" applyBorder="1" applyAlignment="1">
      <alignment horizontal="center" vertical="center" wrapText="1"/>
    </xf>
    <xf numFmtId="0" fontId="0" fillId="0" borderId="0" xfId="0" applyAlignment="1">
      <alignment wrapText="1"/>
    </xf>
    <xf numFmtId="0" fontId="7"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0" fillId="0" borderId="0" xfId="0" applyFont="1"/>
    <xf numFmtId="166" fontId="7" fillId="0" borderId="4" xfId="0" applyNumberFormat="1" applyFont="1" applyBorder="1" applyAlignment="1">
      <alignment horizontal="center" vertical="center" wrapText="1"/>
    </xf>
    <xf numFmtId="0" fontId="17" fillId="0" borderId="0" xfId="4" applyFont="1" applyProtection="1">
      <protection hidden="1"/>
    </xf>
    <xf numFmtId="0" fontId="18" fillId="0" borderId="0" xfId="4" applyFont="1" applyProtection="1">
      <protection locked="0"/>
    </xf>
    <xf numFmtId="49" fontId="18" fillId="0" borderId="0" xfId="4" applyNumberFormat="1" applyFont="1" applyAlignment="1" applyProtection="1">
      <alignment horizontal="left" vertical="center"/>
      <protection locked="0"/>
    </xf>
    <xf numFmtId="0" fontId="18" fillId="0" borderId="0" xfId="4" applyFont="1" applyAlignment="1" applyProtection="1">
      <alignment horizontal="left" vertical="center"/>
      <protection locked="0"/>
    </xf>
    <xf numFmtId="0" fontId="17" fillId="0" borderId="0" xfId="4" applyFont="1" applyAlignment="1" applyProtection="1">
      <alignment horizontal="left"/>
      <protection hidden="1"/>
    </xf>
    <xf numFmtId="0" fontId="19" fillId="0" borderId="0" xfId="4" applyFont="1" applyAlignment="1" applyProtection="1">
      <alignment horizontal="left"/>
      <protection hidden="1"/>
    </xf>
    <xf numFmtId="0" fontId="11" fillId="0" borderId="0" xfId="4" applyFont="1" applyAlignment="1">
      <alignment vertical="center" wrapText="1"/>
    </xf>
    <xf numFmtId="0" fontId="20" fillId="0" borderId="0" xfId="4" applyFont="1" applyAlignment="1">
      <alignment vertical="center" wrapText="1"/>
    </xf>
    <xf numFmtId="0" fontId="5" fillId="0" borderId="0" xfId="4" applyProtection="1">
      <protection hidden="1"/>
    </xf>
    <xf numFmtId="169" fontId="5" fillId="0" borderId="0" xfId="4" applyNumberFormat="1" applyProtection="1">
      <protection hidden="1"/>
    </xf>
    <xf numFmtId="0" fontId="16" fillId="0" borderId="0" xfId="4" applyFont="1" applyProtection="1">
      <protection hidden="1"/>
    </xf>
    <xf numFmtId="169" fontId="16" fillId="0" borderId="0" xfId="4" applyNumberFormat="1" applyFont="1" applyProtection="1">
      <protection hidden="1"/>
    </xf>
    <xf numFmtId="0" fontId="21" fillId="8" borderId="0" xfId="4" applyFont="1" applyFill="1" applyAlignment="1" applyProtection="1">
      <alignment horizontal="left"/>
      <protection hidden="1"/>
    </xf>
    <xf numFmtId="169" fontId="22" fillId="8" borderId="0" xfId="4" applyNumberFormat="1" applyFont="1" applyFill="1" applyProtection="1">
      <protection hidden="1"/>
    </xf>
    <xf numFmtId="0" fontId="23" fillId="8" borderId="0" xfId="4" applyFont="1" applyFill="1" applyAlignment="1" applyProtection="1">
      <alignment horizontal="left"/>
      <protection hidden="1"/>
    </xf>
    <xf numFmtId="0" fontId="22" fillId="8" borderId="0" xfId="4" applyFont="1" applyFill="1" applyAlignment="1" applyProtection="1">
      <alignment horizontal="left"/>
      <protection hidden="1"/>
    </xf>
    <xf numFmtId="0" fontId="24" fillId="8" borderId="0" xfId="4" applyFont="1" applyFill="1" applyAlignment="1" applyProtection="1">
      <alignment horizontal="left"/>
      <protection hidden="1"/>
    </xf>
    <xf numFmtId="169" fontId="22" fillId="9" borderId="12" xfId="4" applyNumberFormat="1" applyFont="1" applyFill="1" applyBorder="1" applyProtection="1">
      <protection hidden="1"/>
    </xf>
    <xf numFmtId="169" fontId="22" fillId="10" borderId="12" xfId="4" applyNumberFormat="1" applyFont="1" applyFill="1" applyBorder="1" applyProtection="1">
      <protection hidden="1"/>
    </xf>
    <xf numFmtId="0" fontId="23" fillId="10" borderId="12" xfId="4" applyFont="1" applyFill="1" applyBorder="1" applyAlignment="1" applyProtection="1">
      <alignment horizontal="left"/>
      <protection hidden="1"/>
    </xf>
    <xf numFmtId="0" fontId="22" fillId="8" borderId="12" xfId="4" applyFont="1" applyFill="1" applyBorder="1" applyAlignment="1" applyProtection="1">
      <alignment horizontal="left"/>
      <protection hidden="1"/>
    </xf>
    <xf numFmtId="49" fontId="24" fillId="8" borderId="13" xfId="4" applyNumberFormat="1" applyFont="1" applyFill="1" applyBorder="1" applyAlignment="1" applyProtection="1">
      <alignment horizontal="left"/>
      <protection hidden="1"/>
    </xf>
    <xf numFmtId="169" fontId="24" fillId="11" borderId="12" xfId="4" applyNumberFormat="1" applyFont="1" applyFill="1" applyBorder="1" applyProtection="1">
      <protection hidden="1"/>
    </xf>
    <xf numFmtId="169" fontId="25" fillId="12" borderId="12" xfId="4" applyNumberFormat="1" applyFont="1" applyFill="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169" fontId="25" fillId="12" borderId="12" xfId="4" applyNumberFormat="1" applyFont="1" applyFill="1" applyBorder="1" applyAlignment="1" applyProtection="1">
      <alignment horizontal="right" vertical="center" wrapText="1"/>
      <protection hidden="1"/>
    </xf>
    <xf numFmtId="169" fontId="24" fillId="0" borderId="12" xfId="4" applyNumberFormat="1" applyFont="1" applyBorder="1" applyProtection="1">
      <protection hidden="1"/>
    </xf>
    <xf numFmtId="169" fontId="25" fillId="7" borderId="12" xfId="4" applyNumberFormat="1" applyFont="1" applyFill="1" applyBorder="1" applyAlignment="1" applyProtection="1">
      <alignment horizontal="right"/>
      <protection hidden="1"/>
    </xf>
    <xf numFmtId="169" fontId="27" fillId="9" borderId="12" xfId="4" applyNumberFormat="1" applyFont="1" applyFill="1" applyBorder="1" applyProtection="1">
      <protection hidden="1"/>
    </xf>
    <xf numFmtId="0" fontId="24" fillId="8" borderId="12" xfId="4" applyFont="1" applyFill="1" applyBorder="1" applyAlignment="1" applyProtection="1">
      <alignment horizontal="left"/>
      <protection hidden="1"/>
    </xf>
    <xf numFmtId="0" fontId="24" fillId="8" borderId="12" xfId="4" applyFont="1" applyFill="1" applyBorder="1" applyAlignment="1" applyProtection="1">
      <alignment horizontal="left" vertical="center"/>
      <protection hidden="1"/>
    </xf>
    <xf numFmtId="169" fontId="26" fillId="8"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24" fillId="11" borderId="12" xfId="4" applyNumberFormat="1" applyFont="1" applyFill="1" applyBorder="1" applyAlignment="1" applyProtection="1">
      <alignment horizontal="center" vertical="center" wrapText="1"/>
      <protection hidden="1"/>
    </xf>
    <xf numFmtId="169" fontId="25" fillId="7"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right"/>
      <protection hidden="1"/>
    </xf>
    <xf numFmtId="0" fontId="24" fillId="16" borderId="12" xfId="4" applyFont="1" applyFill="1" applyBorder="1" applyAlignment="1" applyProtection="1">
      <alignment horizontal="left" vertical="center"/>
      <protection hidden="1"/>
    </xf>
    <xf numFmtId="0" fontId="22" fillId="13" borderId="12" xfId="4" applyFont="1" applyFill="1" applyBorder="1" applyAlignment="1" applyProtection="1">
      <alignment horizontal="center" vertical="center" wrapText="1"/>
      <protection hidden="1"/>
    </xf>
    <xf numFmtId="0" fontId="22" fillId="14" borderId="12" xfId="4" applyFont="1" applyFill="1" applyBorder="1" applyAlignment="1" applyProtection="1">
      <alignment horizontal="center" vertical="center" wrapText="1"/>
      <protection hidden="1"/>
    </xf>
    <xf numFmtId="0" fontId="22" fillId="15" borderId="12" xfId="4" applyFont="1" applyFill="1" applyBorder="1" applyAlignment="1" applyProtection="1">
      <alignment horizontal="center" vertical="center" wrapText="1"/>
      <protection hidden="1"/>
    </xf>
    <xf numFmtId="0" fontId="22" fillId="8" borderId="12" xfId="4" applyFont="1" applyFill="1" applyBorder="1" applyAlignment="1" applyProtection="1">
      <alignment horizontal="center" vertical="center" wrapText="1"/>
      <protection hidden="1"/>
    </xf>
    <xf numFmtId="0" fontId="29" fillId="8" borderId="12" xfId="4" applyFont="1" applyFill="1" applyBorder="1" applyAlignment="1" applyProtection="1">
      <alignment horizontal="center" vertical="center" wrapText="1"/>
      <protection hidden="1"/>
    </xf>
    <xf numFmtId="49" fontId="29" fillId="8" borderId="0" xfId="4" applyNumberFormat="1" applyFont="1" applyFill="1" applyAlignment="1" applyProtection="1">
      <alignment horizontal="center" vertical="center" wrapText="1"/>
      <protection hidden="1"/>
    </xf>
    <xf numFmtId="0" fontId="29" fillId="8" borderId="0" xfId="4" applyFont="1" applyFill="1" applyAlignment="1" applyProtection="1">
      <alignment horizontal="center" vertical="center" wrapText="1"/>
      <protection hidden="1"/>
    </xf>
    <xf numFmtId="0" fontId="23" fillId="10" borderId="12" xfId="4" applyFont="1" applyFill="1" applyBorder="1" applyAlignment="1" applyProtection="1">
      <alignment horizontal="left" vertical="center"/>
      <protection hidden="1"/>
    </xf>
    <xf numFmtId="0" fontId="22" fillId="8" borderId="12" xfId="4" applyFont="1" applyFill="1" applyBorder="1" applyAlignment="1" applyProtection="1">
      <alignment horizontal="left" vertical="center"/>
      <protection hidden="1"/>
    </xf>
    <xf numFmtId="0" fontId="24" fillId="8" borderId="13" xfId="4" applyFont="1" applyFill="1" applyBorder="1" applyAlignment="1" applyProtection="1">
      <alignment horizontal="center" vertical="center"/>
      <protection hidden="1"/>
    </xf>
    <xf numFmtId="169" fontId="22" fillId="9" borderId="12" xfId="4" applyNumberFormat="1" applyFont="1" applyFill="1" applyBorder="1" applyAlignment="1" applyProtection="1">
      <alignment horizontal="right"/>
      <protection hidden="1"/>
    </xf>
    <xf numFmtId="169" fontId="24" fillId="8" borderId="12" xfId="4" applyNumberFormat="1" applyFont="1" applyFill="1" applyBorder="1" applyAlignment="1" applyProtection="1">
      <alignment horizontal="right"/>
      <protection hidden="1"/>
    </xf>
    <xf numFmtId="169" fontId="29" fillId="9" borderId="12" xfId="4" applyNumberFormat="1" applyFont="1" applyFill="1" applyBorder="1" applyProtection="1">
      <protection hidden="1"/>
    </xf>
    <xf numFmtId="49" fontId="23" fillId="10" borderId="12" xfId="4" applyNumberFormat="1" applyFont="1" applyFill="1" applyBorder="1" applyAlignment="1" applyProtection="1">
      <alignment horizontal="left" vertical="center"/>
      <protection hidden="1"/>
    </xf>
    <xf numFmtId="49" fontId="24" fillId="8" borderId="12" xfId="4" applyNumberFormat="1" applyFont="1" applyFill="1" applyBorder="1" applyAlignment="1" applyProtection="1">
      <alignment horizontal="left" vertical="center"/>
      <protection hidden="1"/>
    </xf>
    <xf numFmtId="49" fontId="24" fillId="8" borderId="0" xfId="4" applyNumberFormat="1" applyFont="1" applyFill="1" applyAlignment="1" applyProtection="1">
      <alignment horizontal="center" vertical="center"/>
      <protection hidden="1"/>
    </xf>
    <xf numFmtId="49" fontId="24" fillId="16" borderId="12" xfId="4" applyNumberFormat="1" applyFont="1" applyFill="1" applyBorder="1" applyAlignment="1" applyProtection="1">
      <alignment horizontal="left" vertical="center"/>
      <protection hidden="1"/>
    </xf>
    <xf numFmtId="49" fontId="29" fillId="8" borderId="12" xfId="4" applyNumberFormat="1" applyFont="1" applyFill="1" applyBorder="1" applyAlignment="1" applyProtection="1">
      <alignment horizontal="center" vertical="center" wrapText="1"/>
      <protection hidden="1"/>
    </xf>
    <xf numFmtId="0" fontId="36" fillId="8" borderId="0" xfId="4" applyFont="1" applyFill="1" applyAlignment="1" applyProtection="1">
      <alignment horizontal="center" vertical="center" wrapText="1"/>
      <protection hidden="1"/>
    </xf>
    <xf numFmtId="0" fontId="35" fillId="8" borderId="0" xfId="4" applyFont="1" applyFill="1" applyAlignment="1" applyProtection="1">
      <alignment horizontal="center" vertical="center"/>
      <protection hidden="1"/>
    </xf>
    <xf numFmtId="49" fontId="31" fillId="8" borderId="0" xfId="4" applyNumberFormat="1" applyFont="1" applyFill="1" applyAlignment="1" applyProtection="1">
      <alignment horizontal="left" vertical="top"/>
      <protection hidden="1"/>
    </xf>
    <xf numFmtId="169" fontId="25" fillId="7" borderId="12" xfId="4" applyNumberFormat="1" applyFont="1" applyFill="1" applyBorder="1" applyAlignment="1" applyProtection="1">
      <alignment wrapText="1"/>
      <protection hidden="1"/>
    </xf>
    <xf numFmtId="0" fontId="24" fillId="0" borderId="13" xfId="4" applyFont="1" applyBorder="1" applyAlignment="1" applyProtection="1">
      <alignment horizontal="center" vertical="center"/>
      <protection hidden="1"/>
    </xf>
    <xf numFmtId="0" fontId="24" fillId="0" borderId="12" xfId="4" applyFont="1" applyBorder="1" applyAlignment="1" applyProtection="1">
      <alignment horizontal="left" vertical="center"/>
      <protection hidden="1"/>
    </xf>
    <xf numFmtId="169" fontId="24" fillId="0" borderId="12" xfId="4" applyNumberFormat="1" applyFont="1" applyBorder="1" applyAlignment="1" applyProtection="1">
      <alignment horizontal="right"/>
      <protection hidden="1"/>
    </xf>
    <xf numFmtId="169" fontId="25" fillId="0" borderId="12" xfId="4" applyNumberFormat="1" applyFont="1" applyBorder="1" applyAlignment="1" applyProtection="1">
      <alignment horizontal="right"/>
      <protection hidden="1"/>
    </xf>
    <xf numFmtId="0" fontId="21" fillId="0" borderId="0" xfId="4" applyFont="1" applyAlignment="1" applyProtection="1">
      <alignment horizontal="left"/>
      <protection hidden="1"/>
    </xf>
    <xf numFmtId="0" fontId="22" fillId="0" borderId="12" xfId="4" applyFont="1" applyBorder="1" applyAlignment="1" applyProtection="1">
      <alignment horizontal="center" vertical="center" wrapText="1"/>
      <protection hidden="1"/>
    </xf>
    <xf numFmtId="0" fontId="37" fillId="18" borderId="12" xfId="4" applyFont="1" applyFill="1" applyBorder="1" applyAlignment="1" applyProtection="1">
      <alignment horizontal="left" vertical="center"/>
      <protection hidden="1"/>
    </xf>
    <xf numFmtId="49" fontId="37" fillId="18" borderId="12" xfId="4" applyNumberFormat="1" applyFont="1" applyFill="1" applyBorder="1" applyAlignment="1" applyProtection="1">
      <alignment horizontal="left" vertical="center"/>
      <protection hidden="1"/>
    </xf>
    <xf numFmtId="0" fontId="7" fillId="0" borderId="0" xfId="0" applyFont="1"/>
    <xf numFmtId="0" fontId="39" fillId="19" borderId="0" xfId="0" applyFont="1" applyFill="1" applyAlignment="1">
      <alignment vertical="center" wrapText="1"/>
    </xf>
    <xf numFmtId="0" fontId="39" fillId="19" borderId="0" xfId="0" applyFont="1" applyFill="1" applyAlignment="1">
      <alignment vertical="center"/>
    </xf>
    <xf numFmtId="0" fontId="39" fillId="19" borderId="0" xfId="0" applyFont="1" applyFill="1" applyAlignment="1">
      <alignment horizontal="left" vertical="center"/>
    </xf>
    <xf numFmtId="0" fontId="40" fillId="19" borderId="0" xfId="0" applyFont="1" applyFill="1" applyAlignment="1">
      <alignment horizontal="right" wrapText="1"/>
    </xf>
    <xf numFmtId="0" fontId="40" fillId="19" borderId="0" xfId="0" applyFont="1" applyFill="1"/>
    <xf numFmtId="0" fontId="40" fillId="19" borderId="0" xfId="0" applyFont="1" applyFill="1" applyAlignment="1">
      <alignment horizontal="left" vertical="center" wrapText="1"/>
    </xf>
    <xf numFmtId="0" fontId="40"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8" fillId="0" borderId="0" xfId="0" applyFont="1" applyAlignment="1">
      <alignment horizontal="right" vertical="center" wrapText="1"/>
    </xf>
    <xf numFmtId="0" fontId="13" fillId="19" borderId="17" xfId="0" quotePrefix="1" applyFont="1" applyFill="1" applyBorder="1" applyAlignment="1">
      <alignment horizontal="left" vertical="center" wrapText="1" indent="1"/>
    </xf>
    <xf numFmtId="0" fontId="13" fillId="19" borderId="18" xfId="0" applyFont="1" applyFill="1" applyBorder="1" applyAlignment="1">
      <alignment horizontal="left" vertical="center" wrapText="1" indent="1"/>
    </xf>
    <xf numFmtId="0" fontId="38" fillId="0" borderId="0" xfId="0" applyFont="1" applyAlignment="1">
      <alignment vertical="center" wrapText="1"/>
    </xf>
    <xf numFmtId="0" fontId="0" fillId="0" borderId="0" xfId="0" applyAlignment="1">
      <alignment horizontal="right" vertical="top" wrapText="1"/>
    </xf>
    <xf numFmtId="0" fontId="39" fillId="3" borderId="0" xfId="0" applyFont="1" applyFill="1" applyAlignment="1">
      <alignment horizontal="left" vertical="center"/>
    </xf>
    <xf numFmtId="0" fontId="42" fillId="0" borderId="12" xfId="4" applyFont="1" applyBorder="1" applyAlignment="1" applyProtection="1">
      <alignment horizontal="left" vertical="center"/>
      <protection hidden="1"/>
    </xf>
    <xf numFmtId="0" fontId="42"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8" fillId="0" borderId="25" xfId="0" applyFont="1" applyBorder="1" applyAlignment="1">
      <alignment vertical="center" wrapText="1"/>
    </xf>
    <xf numFmtId="0" fontId="44" fillId="20" borderId="21" xfId="0" applyFont="1" applyFill="1" applyBorder="1" applyAlignment="1">
      <alignment horizontal="left" vertical="center" wrapText="1" indent="1"/>
    </xf>
    <xf numFmtId="0" fontId="44" fillId="21" borderId="23" xfId="0" applyFont="1" applyFill="1" applyBorder="1" applyAlignment="1">
      <alignment horizontal="left" vertical="center" wrapText="1" indent="1"/>
    </xf>
    <xf numFmtId="0" fontId="44" fillId="22" borderId="23" xfId="0" applyFont="1" applyFill="1" applyBorder="1" applyAlignment="1">
      <alignment horizontal="left" vertical="center" wrapText="1" indent="1"/>
    </xf>
    <xf numFmtId="0" fontId="44" fillId="23" borderId="25" xfId="0" applyFont="1" applyFill="1" applyBorder="1" applyAlignment="1">
      <alignment horizontal="left" vertical="center" wrapText="1" indent="1"/>
    </xf>
    <xf numFmtId="0" fontId="45" fillId="0" borderId="0" xfId="0" applyFont="1" applyAlignment="1">
      <alignment horizontal="left" indent="1"/>
    </xf>
    <xf numFmtId="0" fontId="4" fillId="0" borderId="0" xfId="0" applyFont="1" applyProtection="1">
      <protection hidden="1"/>
    </xf>
    <xf numFmtId="0" fontId="21" fillId="8" borderId="0" xfId="0" applyFont="1" applyFill="1" applyAlignment="1">
      <alignment horizontal="left"/>
    </xf>
    <xf numFmtId="0" fontId="22" fillId="13" borderId="12" xfId="0" applyFont="1" applyFill="1" applyBorder="1" applyAlignment="1">
      <alignment horizontal="center" vertical="center" wrapText="1"/>
    </xf>
    <xf numFmtId="169" fontId="25" fillId="12" borderId="12" xfId="0" applyNumberFormat="1" applyFont="1" applyFill="1" applyBorder="1" applyAlignment="1">
      <alignment horizontal="center" vertical="center" wrapText="1"/>
    </xf>
    <xf numFmtId="169" fontId="22" fillId="9" borderId="12" xfId="0" applyNumberFormat="1" applyFont="1" applyFill="1" applyBorder="1"/>
    <xf numFmtId="169" fontId="24" fillId="11" borderId="12" xfId="0" applyNumberFormat="1" applyFont="1" applyFill="1" applyBorder="1"/>
    <xf numFmtId="169" fontId="24" fillId="11" borderId="12" xfId="0" applyNumberFormat="1" applyFont="1" applyFill="1" applyBorder="1" applyAlignment="1">
      <alignment horizontal="center" vertical="center" wrapText="1"/>
    </xf>
    <xf numFmtId="169" fontId="24" fillId="11" borderId="12" xfId="0" applyNumberFormat="1" applyFont="1" applyFill="1" applyBorder="1" applyAlignment="1">
      <alignment horizontal="center" vertical="center"/>
    </xf>
    <xf numFmtId="169" fontId="26" fillId="0" borderId="10" xfId="0" applyNumberFormat="1" applyFont="1" applyBorder="1" applyAlignment="1">
      <alignment horizontal="center" vertical="center" wrapText="1"/>
    </xf>
    <xf numFmtId="0" fontId="15" fillId="0" borderId="10" xfId="0" applyFont="1" applyBorder="1" applyAlignment="1">
      <alignment horizontal="center" vertical="center" wrapText="1"/>
    </xf>
    <xf numFmtId="169" fontId="25" fillId="0" borderId="12" xfId="0" applyNumberFormat="1"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2" fillId="10" borderId="12" xfId="0" applyNumberFormat="1" applyFont="1" applyFill="1" applyBorder="1"/>
    <xf numFmtId="0" fontId="3" fillId="0" borderId="0" xfId="0" applyFont="1" applyAlignment="1">
      <alignment vertical="center"/>
    </xf>
    <xf numFmtId="0" fontId="3" fillId="0" borderId="0" xfId="0" applyFont="1"/>
    <xf numFmtId="0" fontId="22" fillId="8" borderId="12" xfId="0" applyFont="1" applyFill="1" applyBorder="1" applyAlignment="1" applyProtection="1">
      <alignment horizontal="center" vertical="center" wrapText="1"/>
      <protection hidden="1"/>
    </xf>
    <xf numFmtId="0" fontId="22" fillId="0" borderId="12" xfId="0" applyFont="1" applyBorder="1" applyAlignment="1" applyProtection="1">
      <alignment horizontal="center" vertical="center" wrapText="1"/>
      <protection hidden="1"/>
    </xf>
    <xf numFmtId="0" fontId="24" fillId="0" borderId="12" xfId="0" applyFont="1" applyBorder="1" applyAlignment="1" applyProtection="1">
      <alignment horizontal="left" vertical="center"/>
      <protection hidden="1"/>
    </xf>
    <xf numFmtId="169" fontId="25" fillId="0" borderId="12" xfId="0" applyNumberFormat="1" applyFont="1" applyBorder="1" applyAlignment="1" applyProtection="1">
      <alignment horizontal="center" vertical="center" wrapText="1"/>
      <protection hidden="1"/>
    </xf>
    <xf numFmtId="169" fontId="58" fillId="0" borderId="12" xfId="0" applyNumberFormat="1" applyFont="1" applyBorder="1" applyAlignment="1">
      <alignment horizontal="center" vertical="center" wrapText="1"/>
    </xf>
    <xf numFmtId="0" fontId="21" fillId="8" borderId="0" xfId="0" applyFont="1" applyFill="1" applyAlignment="1" applyProtection="1">
      <alignment horizontal="left"/>
      <protection hidden="1"/>
    </xf>
    <xf numFmtId="0" fontId="3" fillId="0" borderId="0" xfId="0" applyFont="1" applyProtection="1">
      <protection hidden="1"/>
    </xf>
    <xf numFmtId="49" fontId="31" fillId="8" borderId="0" xfId="0" applyNumberFormat="1" applyFont="1" applyFill="1" applyAlignment="1" applyProtection="1">
      <alignment horizontal="left" vertical="top"/>
      <protection hidden="1"/>
    </xf>
    <xf numFmtId="0" fontId="35" fillId="8" borderId="0" xfId="0" applyFont="1" applyFill="1" applyAlignment="1" applyProtection="1">
      <alignment horizontal="center" vertical="center"/>
      <protection hidden="1"/>
    </xf>
    <xf numFmtId="0" fontId="36" fillId="8" borderId="0" xfId="0" applyFont="1" applyFill="1" applyAlignment="1" applyProtection="1">
      <alignment horizontal="center" vertical="center" wrapText="1"/>
      <protection hidden="1"/>
    </xf>
    <xf numFmtId="49" fontId="35" fillId="8" borderId="0" xfId="0" applyNumberFormat="1" applyFont="1" applyFill="1" applyAlignment="1" applyProtection="1">
      <alignment horizontal="center" vertical="center"/>
      <protection hidden="1"/>
    </xf>
    <xf numFmtId="49" fontId="29" fillId="8" borderId="12" xfId="0" applyNumberFormat="1" applyFont="1" applyFill="1" applyBorder="1" applyAlignment="1" applyProtection="1">
      <alignment horizontal="center" vertical="center" wrapText="1"/>
      <protection hidden="1"/>
    </xf>
    <xf numFmtId="49" fontId="24" fillId="8" borderId="0" xfId="0" applyNumberFormat="1" applyFont="1" applyFill="1" applyAlignment="1" applyProtection="1">
      <alignment horizontal="center" vertical="center"/>
      <protection hidden="1"/>
    </xf>
    <xf numFmtId="49" fontId="24" fillId="8" borderId="12" xfId="0" applyNumberFormat="1" applyFont="1" applyFill="1" applyBorder="1" applyAlignment="1" applyProtection="1">
      <alignment horizontal="left" vertical="center"/>
      <protection hidden="1"/>
    </xf>
    <xf numFmtId="49" fontId="24" fillId="0" borderId="12" xfId="0" applyNumberFormat="1" applyFont="1" applyBorder="1" applyAlignment="1" applyProtection="1">
      <alignment horizontal="left" vertical="center"/>
      <protection hidden="1"/>
    </xf>
    <xf numFmtId="169" fontId="29" fillId="9" borderId="12" xfId="0" applyNumberFormat="1" applyFont="1" applyFill="1" applyBorder="1" applyProtection="1">
      <protection hidden="1"/>
    </xf>
    <xf numFmtId="169" fontId="34" fillId="0" borderId="12" xfId="0" applyNumberFormat="1" applyFont="1" applyBorder="1" applyProtection="1">
      <protection hidden="1"/>
    </xf>
    <xf numFmtId="169" fontId="34" fillId="8" borderId="12" xfId="0" applyNumberFormat="1" applyFont="1" applyFill="1" applyBorder="1" applyProtection="1">
      <protection hidden="1"/>
    </xf>
    <xf numFmtId="169" fontId="34" fillId="17" borderId="12" xfId="0" applyNumberFormat="1" applyFont="1" applyFill="1" applyBorder="1" applyProtection="1">
      <protection hidden="1"/>
    </xf>
    <xf numFmtId="169" fontId="24" fillId="0" borderId="12" xfId="0" applyNumberFormat="1" applyFont="1" applyBorder="1" applyProtection="1">
      <protection hidden="1"/>
    </xf>
    <xf numFmtId="0" fontId="33" fillId="8" borderId="0" xfId="0" applyFont="1" applyFill="1" applyAlignment="1" applyProtection="1">
      <alignment horizontal="center" vertical="center"/>
      <protection hidden="1"/>
    </xf>
    <xf numFmtId="0" fontId="33" fillId="8" borderId="12" xfId="0" applyFont="1" applyFill="1" applyBorder="1" applyAlignment="1" applyProtection="1">
      <alignment horizontal="left" vertical="center"/>
      <protection hidden="1"/>
    </xf>
    <xf numFmtId="0" fontId="16" fillId="0" borderId="0" xfId="0" applyFont="1" applyProtection="1">
      <protection hidden="1"/>
    </xf>
    <xf numFmtId="0" fontId="51" fillId="8" borderId="0" xfId="0" applyFont="1" applyFill="1" applyAlignment="1" applyProtection="1">
      <alignment horizontal="center" vertical="center"/>
      <protection hidden="1"/>
    </xf>
    <xf numFmtId="0" fontId="51" fillId="0" borderId="0" xfId="0" applyFont="1" applyAlignment="1" applyProtection="1">
      <alignment horizontal="center" vertical="center"/>
      <protection hidden="1"/>
    </xf>
    <xf numFmtId="0" fontId="52" fillId="0" borderId="12" xfId="0" applyFont="1" applyBorder="1" applyAlignment="1" applyProtection="1">
      <alignment horizontal="center" vertical="center" wrapText="1"/>
      <protection hidden="1"/>
    </xf>
    <xf numFmtId="0" fontId="55" fillId="0" borderId="12"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169" fontId="58" fillId="0" borderId="12" xfId="0" applyNumberFormat="1" applyFont="1" applyBorder="1" applyAlignment="1" applyProtection="1">
      <alignment horizontal="center" vertical="center"/>
      <protection hidden="1"/>
    </xf>
    <xf numFmtId="0" fontId="55" fillId="0" borderId="13" xfId="0" applyFont="1" applyBorder="1" applyAlignment="1" applyProtection="1">
      <alignment horizontal="center" vertical="center"/>
      <protection hidden="1"/>
    </xf>
    <xf numFmtId="169" fontId="55" fillId="0" borderId="12" xfId="0" applyNumberFormat="1" applyFont="1" applyBorder="1" applyAlignment="1" applyProtection="1">
      <alignment horizontal="center" vertical="center"/>
      <protection hidden="1"/>
    </xf>
    <xf numFmtId="40" fontId="7" fillId="0" borderId="0" xfId="0" applyNumberFormat="1" applyFont="1" applyAlignment="1">
      <alignment horizontal="center" vertical="center"/>
    </xf>
    <xf numFmtId="0" fontId="0" fillId="0" borderId="0" xfId="0" applyAlignment="1">
      <alignment horizontal="center" vertical="center"/>
    </xf>
    <xf numFmtId="166" fontId="7" fillId="0" borderId="3" xfId="0" applyNumberFormat="1" applyFont="1" applyBorder="1" applyAlignment="1">
      <alignment horizontal="center" vertical="center" wrapText="1"/>
    </xf>
    <xf numFmtId="166" fontId="60" fillId="0" borderId="2" xfId="0" applyNumberFormat="1" applyFont="1" applyBorder="1" applyAlignment="1">
      <alignment horizontal="center" vertical="center" wrapText="1"/>
    </xf>
    <xf numFmtId="170" fontId="60" fillId="0" borderId="0" xfId="3" applyNumberFormat="1" applyFont="1" applyBorder="1" applyAlignment="1">
      <alignment horizontal="center" vertical="center"/>
    </xf>
    <xf numFmtId="170" fontId="60" fillId="0" borderId="5" xfId="3" applyNumberFormat="1" applyFont="1" applyBorder="1" applyAlignment="1">
      <alignment horizontal="center" vertical="center"/>
    </xf>
    <xf numFmtId="166" fontId="60" fillId="0" borderId="4" xfId="0" applyNumberFormat="1" applyFont="1" applyBorder="1" applyAlignment="1">
      <alignment horizontal="center" vertical="center" wrapText="1"/>
    </xf>
    <xf numFmtId="0" fontId="0" fillId="0" borderId="1" xfId="0" applyBorder="1"/>
    <xf numFmtId="0" fontId="0" fillId="0" borderId="4" xfId="0" applyBorder="1"/>
    <xf numFmtId="0" fontId="62" fillId="0" borderId="0" xfId="0" applyFont="1" applyAlignment="1">
      <alignment horizontal="right" vertical="center"/>
    </xf>
    <xf numFmtId="0" fontId="17" fillId="0" borderId="0" xfId="0" applyFont="1" applyAlignment="1">
      <alignment vertical="center" wrapText="1"/>
    </xf>
    <xf numFmtId="0" fontId="17" fillId="0" borderId="0" xfId="0" applyFont="1" applyAlignment="1">
      <alignment horizontal="right" vertical="center"/>
    </xf>
    <xf numFmtId="0" fontId="2" fillId="0" borderId="0" xfId="0" applyFont="1"/>
    <xf numFmtId="0" fontId="2" fillId="0" borderId="0" xfId="0" applyFont="1" applyAlignment="1">
      <alignment vertical="center"/>
    </xf>
    <xf numFmtId="0" fontId="40" fillId="0" borderId="0" xfId="0" applyFont="1" applyAlignment="1">
      <alignment vertical="center"/>
    </xf>
    <xf numFmtId="0" fontId="40" fillId="0" borderId="0" xfId="0" applyFont="1" applyAlignment="1">
      <alignment horizontal="center" vertical="center"/>
    </xf>
    <xf numFmtId="0" fontId="40" fillId="0" borderId="0" xfId="0" applyFont="1" applyAlignment="1" applyProtection="1">
      <alignment horizontal="center" vertical="center"/>
      <protection hidden="1"/>
    </xf>
    <xf numFmtId="169" fontId="64" fillId="0" borderId="0" xfId="0" applyNumberFormat="1" applyFont="1" applyAlignment="1" applyProtection="1">
      <alignment horizontal="center" vertical="center"/>
      <protection hidden="1"/>
    </xf>
    <xf numFmtId="169" fontId="40" fillId="0" borderId="0" xfId="0" applyNumberFormat="1" applyFont="1" applyAlignment="1" applyProtection="1">
      <alignment horizontal="center" vertical="center"/>
      <protection hidden="1"/>
    </xf>
    <xf numFmtId="0" fontId="17" fillId="0" borderId="0" xfId="0" applyFont="1" applyAlignment="1" applyProtection="1">
      <alignment horizontal="center" vertical="center"/>
      <protection hidden="1"/>
    </xf>
    <xf numFmtId="0" fontId="57" fillId="0" borderId="0" xfId="0" applyFont="1" applyAlignment="1" applyProtection="1">
      <alignment horizontal="center" vertical="center"/>
      <protection hidden="1"/>
    </xf>
    <xf numFmtId="0" fontId="2" fillId="0" borderId="0" xfId="0" applyFont="1" applyProtection="1">
      <protection hidden="1"/>
    </xf>
    <xf numFmtId="0" fontId="65"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7" fillId="0" borderId="0" xfId="0" applyFont="1" applyAlignment="1">
      <alignment horizontal="center" vertical="center"/>
    </xf>
    <xf numFmtId="0" fontId="7" fillId="0" borderId="0" xfId="4" applyFont="1" applyAlignment="1">
      <alignment horizontal="center" vertical="center" wrapText="1"/>
    </xf>
    <xf numFmtId="169" fontId="26" fillId="8" borderId="12" xfId="4" applyNumberFormat="1" applyFont="1" applyFill="1" applyBorder="1" applyAlignment="1" applyProtection="1">
      <alignment horizontal="right" wrapText="1"/>
      <protection hidden="1"/>
    </xf>
    <xf numFmtId="169" fontId="25" fillId="0" borderId="12" xfId="4" applyNumberFormat="1" applyFont="1" applyBorder="1" applyAlignment="1" applyProtection="1">
      <alignment wrapText="1"/>
      <protection hidden="1"/>
    </xf>
    <xf numFmtId="169" fontId="25" fillId="12" borderId="12" xfId="4" quotePrefix="1" applyNumberFormat="1" applyFont="1" applyFill="1" applyBorder="1" applyAlignment="1" applyProtection="1">
      <alignment horizontal="right" wrapText="1"/>
      <protection hidden="1"/>
    </xf>
    <xf numFmtId="169" fontId="26" fillId="11" borderId="12" xfId="4" applyNumberFormat="1" applyFont="1" applyFill="1" applyBorder="1" applyAlignment="1" applyProtection="1">
      <alignment horizontal="right" wrapText="1"/>
      <protection hidden="1"/>
    </xf>
    <xf numFmtId="169" fontId="25" fillId="7" borderId="12" xfId="4" applyNumberFormat="1" applyFont="1" applyFill="1" applyBorder="1" applyAlignment="1" applyProtection="1">
      <alignment horizontal="right" wrapText="1"/>
      <protection hidden="1"/>
    </xf>
    <xf numFmtId="169" fontId="25" fillId="26" borderId="12" xfId="4" applyNumberFormat="1" applyFont="1" applyFill="1" applyBorder="1" applyAlignment="1" applyProtection="1">
      <alignment horizontal="right"/>
      <protection hidden="1"/>
    </xf>
    <xf numFmtId="169" fontId="26" fillId="27" borderId="12" xfId="4" applyNumberFormat="1" applyFont="1" applyFill="1" applyBorder="1" applyAlignment="1" applyProtection="1">
      <alignment horizontal="right"/>
      <protection hidden="1"/>
    </xf>
    <xf numFmtId="169" fontId="26" fillId="26" borderId="12" xfId="4" applyNumberFormat="1" applyFont="1" applyFill="1" applyBorder="1" applyAlignment="1" applyProtection="1">
      <alignment horizontal="right"/>
      <protection hidden="1"/>
    </xf>
    <xf numFmtId="0" fontId="31" fillId="8" borderId="0" xfId="1" applyFont="1" applyFill="1" applyAlignment="1">
      <alignment horizontal="center" vertical="center"/>
    </xf>
    <xf numFmtId="0" fontId="29" fillId="8" borderId="0" xfId="1" applyFont="1" applyFill="1" applyAlignment="1">
      <alignment horizontal="center" vertical="center" wrapText="1"/>
    </xf>
    <xf numFmtId="0" fontId="22" fillId="8" borderId="12" xfId="1" applyFont="1" applyFill="1" applyBorder="1" applyAlignment="1">
      <alignment horizontal="center" vertical="center" wrapText="1"/>
    </xf>
    <xf numFmtId="49" fontId="50" fillId="8" borderId="0" xfId="1" applyNumberFormat="1" applyFont="1" applyFill="1" applyAlignment="1">
      <alignment horizontal="center" vertical="center"/>
    </xf>
    <xf numFmtId="49" fontId="50" fillId="8" borderId="12" xfId="1" applyNumberFormat="1" applyFont="1" applyFill="1" applyBorder="1" applyAlignment="1">
      <alignment horizontal="center" vertical="center" wrapText="1"/>
    </xf>
    <xf numFmtId="49" fontId="24" fillId="8" borderId="0" xfId="1" applyNumberFormat="1" applyFont="1" applyFill="1" applyAlignment="1">
      <alignment horizontal="center" vertical="center"/>
    </xf>
    <xf numFmtId="49" fontId="24" fillId="8" borderId="12" xfId="1" applyNumberFormat="1" applyFont="1" applyFill="1" applyBorder="1" applyAlignment="1">
      <alignment horizontal="left" vertical="center"/>
    </xf>
    <xf numFmtId="49" fontId="55" fillId="8" borderId="12" xfId="1" applyNumberFormat="1" applyFont="1" applyFill="1" applyBorder="1" applyAlignment="1">
      <alignment horizontal="left" vertical="center" wrapText="1"/>
    </xf>
    <xf numFmtId="169" fontId="29" fillId="9" borderId="12" xfId="1" applyNumberFormat="1" applyFont="1" applyFill="1" applyBorder="1"/>
    <xf numFmtId="49" fontId="53" fillId="10" borderId="12" xfId="1" applyNumberFormat="1" applyFont="1" applyFill="1" applyBorder="1" applyAlignment="1">
      <alignment horizontal="left" vertical="center" wrapText="1"/>
    </xf>
    <xf numFmtId="0" fontId="6" fillId="0" borderId="0" xfId="1"/>
    <xf numFmtId="0" fontId="55" fillId="0" borderId="0" xfId="1" applyFont="1" applyAlignment="1">
      <alignment wrapText="1"/>
    </xf>
    <xf numFmtId="0" fontId="24" fillId="8" borderId="12" xfId="1" applyFont="1" applyFill="1" applyBorder="1" applyAlignment="1">
      <alignment horizontal="left" vertical="center"/>
    </xf>
    <xf numFmtId="0" fontId="44"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4" fillId="24" borderId="25" xfId="0" applyFont="1" applyFill="1" applyBorder="1" applyAlignment="1">
      <alignment horizontal="left" vertical="center" wrapText="1" indent="1"/>
    </xf>
    <xf numFmtId="0" fontId="44" fillId="25" borderId="25" xfId="0" applyFont="1" applyFill="1" applyBorder="1" applyAlignment="1">
      <alignment horizontal="left" vertical="center" wrapText="1" indent="1"/>
    </xf>
    <xf numFmtId="0" fontId="55" fillId="0" borderId="12" xfId="0" applyFont="1" applyBorder="1" applyAlignment="1" applyProtection="1">
      <alignment horizontal="center" vertical="center" wrapText="1"/>
      <protection hidden="1"/>
    </xf>
    <xf numFmtId="0" fontId="40" fillId="0" borderId="0" xfId="0" applyFont="1" applyAlignment="1" applyProtection="1">
      <alignment horizontal="center" vertical="center" wrapText="1"/>
      <protection hidden="1"/>
    </xf>
    <xf numFmtId="0" fontId="21" fillId="0" borderId="0" xfId="0" applyFont="1" applyAlignment="1" applyProtection="1">
      <alignment horizontal="left" vertical="center" wrapText="1"/>
      <protection hidden="1"/>
    </xf>
    <xf numFmtId="0" fontId="24" fillId="0" borderId="12" xfId="0" applyFont="1" applyBorder="1" applyAlignment="1" applyProtection="1">
      <alignment horizontal="left" vertical="center" wrapText="1"/>
      <protection hidden="1"/>
    </xf>
    <xf numFmtId="0" fontId="24" fillId="0" borderId="13" xfId="0" applyFont="1" applyBorder="1" applyAlignment="1" applyProtection="1">
      <alignment horizontal="center" vertical="center" wrapText="1"/>
      <protection hidden="1"/>
    </xf>
    <xf numFmtId="169" fontId="26" fillId="0" borderId="12" xfId="0" applyNumberFormat="1" applyFont="1" applyBorder="1" applyAlignment="1" applyProtection="1">
      <alignment vertical="center" wrapText="1"/>
      <protection hidden="1"/>
    </xf>
    <xf numFmtId="169" fontId="26" fillId="0" borderId="12" xfId="0" applyNumberFormat="1" applyFont="1" applyBorder="1" applyAlignment="1" applyProtection="1">
      <alignment horizontal="right" vertical="center" wrapText="1"/>
      <protection hidden="1"/>
    </xf>
    <xf numFmtId="169" fontId="28" fillId="0" borderId="12" xfId="0" applyNumberFormat="1" applyFont="1" applyBorder="1" applyAlignment="1" applyProtection="1">
      <alignment horizontal="right" vertical="center" wrapText="1"/>
      <protection hidden="1"/>
    </xf>
    <xf numFmtId="169" fontId="75" fillId="0" borderId="12" xfId="0" applyNumberFormat="1" applyFont="1" applyBorder="1" applyAlignment="1" applyProtection="1">
      <alignment horizontal="right" vertical="center" wrapText="1"/>
      <protection hidden="1"/>
    </xf>
    <xf numFmtId="169" fontId="25" fillId="0" borderId="12" xfId="0" applyNumberFormat="1" applyFont="1" applyBorder="1" applyAlignment="1" applyProtection="1">
      <alignment horizontal="right" vertical="center" wrapText="1"/>
      <protection hidden="1"/>
    </xf>
    <xf numFmtId="169" fontId="26" fillId="0" borderId="16" xfId="0" applyNumberFormat="1" applyFont="1" applyBorder="1" applyAlignment="1">
      <alignment horizontal="center" vertical="center" wrapText="1"/>
    </xf>
    <xf numFmtId="0" fontId="76" fillId="0" borderId="0" xfId="4" applyFont="1" applyProtection="1">
      <protection hidden="1"/>
    </xf>
    <xf numFmtId="169" fontId="28" fillId="0" borderId="0" xfId="4" applyNumberFormat="1" applyFont="1" applyProtection="1">
      <protection hidden="1"/>
    </xf>
    <xf numFmtId="40" fontId="37" fillId="0" borderId="0" xfId="4" applyNumberFormat="1" applyFont="1" applyProtection="1">
      <protection hidden="1"/>
    </xf>
    <xf numFmtId="0" fontId="76" fillId="0" borderId="0" xfId="0" applyFont="1" applyAlignment="1">
      <alignment vertical="center" wrapText="1"/>
    </xf>
    <xf numFmtId="0" fontId="76" fillId="0" borderId="0" xfId="0" applyFont="1" applyAlignment="1">
      <alignment horizontal="right" vertical="center"/>
    </xf>
    <xf numFmtId="169" fontId="76" fillId="0" borderId="0" xfId="4" applyNumberFormat="1" applyFont="1" applyProtection="1">
      <protection hidden="1"/>
    </xf>
    <xf numFmtId="0" fontId="78" fillId="0" borderId="0" xfId="0" applyFont="1" applyAlignment="1">
      <alignment horizontal="left"/>
    </xf>
    <xf numFmtId="0" fontId="76" fillId="0" borderId="0" xfId="0" applyFont="1"/>
    <xf numFmtId="49" fontId="29" fillId="8" borderId="12" xfId="1" applyNumberFormat="1" applyFont="1" applyFill="1" applyBorder="1" applyAlignment="1">
      <alignment horizontal="center" vertical="center" wrapText="1"/>
    </xf>
    <xf numFmtId="49" fontId="24" fillId="8" borderId="12" xfId="1" applyNumberFormat="1" applyFont="1" applyFill="1" applyBorder="1" applyAlignment="1">
      <alignment horizontal="left" vertical="center" wrapText="1"/>
    </xf>
    <xf numFmtId="0" fontId="24" fillId="0" borderId="0" xfId="1" applyFont="1" applyAlignment="1">
      <alignment wrapText="1"/>
    </xf>
    <xf numFmtId="169" fontId="76" fillId="0" borderId="12" xfId="0" applyNumberFormat="1" applyFont="1" applyBorder="1" applyAlignment="1">
      <alignment horizontal="right" wrapText="1"/>
    </xf>
    <xf numFmtId="0" fontId="23" fillId="9" borderId="12" xfId="0" applyFont="1" applyFill="1" applyBorder="1" applyAlignment="1">
      <alignment horizontal="center" vertical="center" wrapText="1"/>
    </xf>
    <xf numFmtId="0" fontId="22" fillId="8" borderId="12" xfId="0" applyFont="1" applyFill="1" applyBorder="1" applyAlignment="1">
      <alignment horizontal="center" vertical="center" wrapText="1"/>
    </xf>
    <xf numFmtId="49" fontId="24" fillId="8" borderId="12" xfId="0" applyNumberFormat="1" applyFont="1" applyFill="1" applyBorder="1" applyAlignment="1">
      <alignment horizontal="left" vertical="center"/>
    </xf>
    <xf numFmtId="49" fontId="23" fillId="10" borderId="12" xfId="0" applyNumberFormat="1" applyFont="1" applyFill="1" applyBorder="1" applyAlignment="1">
      <alignment horizontal="left" vertical="center"/>
    </xf>
    <xf numFmtId="0" fontId="24" fillId="8" borderId="12" xfId="0" applyFont="1" applyFill="1" applyBorder="1" applyAlignment="1">
      <alignment horizontal="left" vertical="center"/>
    </xf>
    <xf numFmtId="0" fontId="23" fillId="10" borderId="12" xfId="0" applyFont="1" applyFill="1" applyBorder="1" applyAlignment="1">
      <alignment horizontal="left" vertical="center"/>
    </xf>
    <xf numFmtId="0" fontId="29" fillId="8" borderId="0" xfId="1" applyFont="1" applyFill="1" applyAlignment="1">
      <alignment horizontal="center" vertical="center"/>
    </xf>
    <xf numFmtId="49" fontId="29" fillId="8" borderId="0" xfId="1" applyNumberFormat="1" applyFont="1" applyFill="1" applyAlignment="1">
      <alignment horizontal="center" vertical="center"/>
    </xf>
    <xf numFmtId="0" fontId="79" fillId="0" borderId="0" xfId="4" applyFont="1" applyProtection="1">
      <protection hidden="1"/>
    </xf>
    <xf numFmtId="49" fontId="34" fillId="8" borderId="0" xfId="4" applyNumberFormat="1" applyFont="1" applyFill="1" applyAlignment="1" applyProtection="1">
      <alignment horizontal="center" vertical="center"/>
      <protection hidden="1"/>
    </xf>
    <xf numFmtId="0" fontId="24" fillId="8" borderId="0" xfId="4" applyFont="1" applyFill="1" applyAlignment="1" applyProtection="1">
      <alignment horizontal="center" vertical="center"/>
      <protection hidden="1"/>
    </xf>
    <xf numFmtId="49" fontId="23" fillId="10" borderId="15" xfId="1" applyNumberFormat="1" applyFont="1" applyFill="1" applyBorder="1" applyAlignment="1">
      <alignment horizontal="left" vertical="center" wrapText="1"/>
    </xf>
    <xf numFmtId="0" fontId="24" fillId="8" borderId="16" xfId="1" applyFont="1" applyFill="1" applyBorder="1" applyAlignment="1">
      <alignment horizontal="left" vertical="center"/>
    </xf>
    <xf numFmtId="49" fontId="24" fillId="8" borderId="16" xfId="1" applyNumberFormat="1" applyFont="1" applyFill="1" applyBorder="1" applyAlignment="1">
      <alignment horizontal="left" vertical="center"/>
    </xf>
    <xf numFmtId="0" fontId="24" fillId="0" borderId="10" xfId="1" applyFont="1" applyBorder="1" applyAlignment="1">
      <alignment wrapText="1"/>
    </xf>
    <xf numFmtId="0" fontId="79" fillId="0" borderId="10" xfId="1" applyFont="1" applyBorder="1"/>
    <xf numFmtId="0" fontId="37" fillId="18" borderId="12" xfId="1" applyFont="1" applyFill="1" applyBorder="1" applyAlignment="1">
      <alignment horizontal="left" vertical="center"/>
    </xf>
    <xf numFmtId="169" fontId="25" fillId="12" borderId="12" xfId="4" applyNumberFormat="1" applyFont="1" applyFill="1" applyBorder="1" applyAlignment="1" applyProtection="1">
      <alignment horizontal="right" wrapText="1"/>
      <protection hidden="1"/>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169" fontId="25" fillId="12" borderId="12" xfId="0" applyNumberFormat="1" applyFont="1" applyFill="1" applyBorder="1" applyAlignment="1">
      <alignment horizontal="right" wrapText="1"/>
    </xf>
    <xf numFmtId="0" fontId="76" fillId="0" borderId="0" xfId="0" applyFont="1" applyAlignment="1">
      <alignment horizontal="right"/>
    </xf>
    <xf numFmtId="0" fontId="76" fillId="0" borderId="0" xfId="4" applyFont="1" applyAlignment="1" applyProtection="1">
      <alignment horizontal="right"/>
      <protection hidden="1"/>
    </xf>
    <xf numFmtId="169" fontId="76" fillId="0" borderId="0" xfId="4" applyNumberFormat="1" applyFont="1" applyAlignment="1" applyProtection="1">
      <alignment horizontal="right"/>
      <protection hidden="1"/>
    </xf>
    <xf numFmtId="0" fontId="76" fillId="0" borderId="0" xfId="0" applyFont="1" applyAlignment="1">
      <alignment horizontal="right" wrapText="1"/>
    </xf>
    <xf numFmtId="169" fontId="34" fillId="7" borderId="12" xfId="4" applyNumberFormat="1" applyFont="1" applyFill="1" applyBorder="1" applyAlignment="1" applyProtection="1">
      <alignment horizontal="right"/>
      <protection hidden="1"/>
    </xf>
    <xf numFmtId="169" fontId="29" fillId="9" borderId="12" xfId="4" applyNumberFormat="1" applyFont="1" applyFill="1" applyBorder="1" applyAlignment="1" applyProtection="1">
      <alignment horizontal="right"/>
      <protection hidden="1"/>
    </xf>
    <xf numFmtId="169" fontId="34" fillId="8" borderId="12" xfId="4" applyNumberFormat="1" applyFont="1" applyFill="1" applyBorder="1" applyAlignment="1" applyProtection="1">
      <alignment horizontal="right"/>
      <protection hidden="1"/>
    </xf>
    <xf numFmtId="169" fontId="34" fillId="0" borderId="12" xfId="4" applyNumberFormat="1" applyFont="1" applyBorder="1" applyAlignment="1" applyProtection="1">
      <alignment horizontal="right"/>
      <protection hidden="1"/>
    </xf>
    <xf numFmtId="169" fontId="34" fillId="17" borderId="12" xfId="4" applyNumberFormat="1" applyFont="1" applyFill="1" applyBorder="1" applyAlignment="1" applyProtection="1">
      <alignment horizontal="right"/>
      <protection hidden="1"/>
    </xf>
    <xf numFmtId="169" fontId="29" fillId="9" borderId="12" xfId="1" applyNumberFormat="1" applyFont="1" applyFill="1" applyBorder="1" applyAlignment="1">
      <alignment horizontal="right"/>
    </xf>
    <xf numFmtId="169" fontId="76" fillId="12" borderId="12" xfId="0" applyNumberFormat="1" applyFont="1" applyFill="1" applyBorder="1" applyAlignment="1">
      <alignment horizontal="right" wrapText="1"/>
    </xf>
    <xf numFmtId="169" fontId="76" fillId="13" borderId="12" xfId="0" applyNumberFormat="1" applyFont="1" applyFill="1" applyBorder="1" applyAlignment="1">
      <alignment horizontal="right" wrapText="1"/>
    </xf>
    <xf numFmtId="0" fontId="67" fillId="0" borderId="0" xfId="0" applyFont="1" applyAlignment="1">
      <alignment horizontal="left" vertical="center" indent="1"/>
    </xf>
    <xf numFmtId="0" fontId="0" fillId="0" borderId="0" xfId="0" applyProtection="1">
      <protection locked="0"/>
    </xf>
    <xf numFmtId="0" fontId="51" fillId="0" borderId="0" xfId="0" applyFont="1" applyAlignment="1">
      <alignment horizontal="left" vertical="center"/>
    </xf>
    <xf numFmtId="0" fontId="51" fillId="0" borderId="0" xfId="0" applyFont="1" applyAlignment="1">
      <alignment horizontal="center" vertical="center"/>
    </xf>
    <xf numFmtId="0" fontId="50" fillId="0" borderId="0" xfId="0" applyFont="1" applyAlignment="1">
      <alignment horizontal="center" vertical="center" wrapText="1"/>
    </xf>
    <xf numFmtId="0" fontId="52" fillId="0" borderId="12" xfId="0" applyFont="1" applyBorder="1" applyAlignment="1">
      <alignment horizontal="center" vertical="center" wrapText="1"/>
    </xf>
    <xf numFmtId="49" fontId="50" fillId="0" borderId="0" xfId="0" applyNumberFormat="1" applyFont="1" applyAlignment="1">
      <alignment horizontal="center" vertical="center" wrapText="1"/>
    </xf>
    <xf numFmtId="0" fontId="50" fillId="0" borderId="12" xfId="0" applyFont="1" applyBorder="1" applyAlignment="1">
      <alignment horizontal="center" vertical="center" wrapText="1"/>
    </xf>
    <xf numFmtId="0" fontId="54" fillId="0" borderId="12" xfId="0" applyFont="1" applyBorder="1" applyAlignment="1">
      <alignment horizontal="center" vertical="center" wrapText="1"/>
    </xf>
    <xf numFmtId="49" fontId="55" fillId="0" borderId="13" xfId="0" applyNumberFormat="1" applyFont="1" applyBorder="1" applyAlignment="1">
      <alignment horizontal="left" vertical="center"/>
    </xf>
    <xf numFmtId="0" fontId="55" fillId="0" borderId="12" xfId="0" applyFont="1" applyBorder="1" applyAlignment="1">
      <alignment horizontal="left" vertical="center"/>
    </xf>
    <xf numFmtId="0" fontId="55" fillId="0" borderId="12" xfId="0" applyFont="1" applyBorder="1" applyAlignment="1">
      <alignment horizontal="left" vertical="center" wrapText="1"/>
    </xf>
    <xf numFmtId="169" fontId="56" fillId="0" borderId="12" xfId="0" applyNumberFormat="1" applyFont="1" applyBorder="1" applyAlignment="1">
      <alignment horizontal="center" vertical="center" wrapText="1"/>
    </xf>
    <xf numFmtId="169" fontId="52" fillId="30" borderId="12" xfId="0" applyNumberFormat="1" applyFont="1" applyFill="1" applyBorder="1" applyAlignment="1">
      <alignment horizontal="center" vertical="center" wrapText="1"/>
    </xf>
    <xf numFmtId="169" fontId="56" fillId="0" borderId="12" xfId="0" applyNumberFormat="1" applyFont="1" applyBorder="1" applyAlignment="1">
      <alignment horizontal="center" wrapText="1"/>
    </xf>
    <xf numFmtId="169" fontId="58" fillId="0" borderId="12" xfId="0" applyNumberFormat="1" applyFont="1" applyBorder="1" applyAlignment="1">
      <alignment horizontal="center" wrapText="1"/>
    </xf>
    <xf numFmtId="169" fontId="57"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2" fillId="0" borderId="12" xfId="0" applyFont="1" applyBorder="1" applyAlignment="1">
      <alignment horizontal="left" vertical="center"/>
    </xf>
    <xf numFmtId="0" fontId="52" fillId="0" borderId="12" xfId="0" applyFont="1" applyBorder="1" applyAlignment="1">
      <alignment horizontal="left" vertical="center" wrapText="1"/>
    </xf>
    <xf numFmtId="0" fontId="53" fillId="0" borderId="12" xfId="0" applyFont="1" applyBorder="1" applyAlignment="1">
      <alignment horizontal="left" vertical="center" wrapText="1"/>
    </xf>
    <xf numFmtId="169" fontId="52" fillId="9" borderId="12" xfId="0" applyNumberFormat="1" applyFont="1" applyFill="1" applyBorder="1" applyAlignment="1" applyProtection="1">
      <alignment vertical="center"/>
      <protection hidden="1"/>
    </xf>
    <xf numFmtId="0" fontId="21" fillId="0" borderId="0" xfId="0" applyFont="1" applyAlignment="1">
      <alignment horizontal="left" vertical="center"/>
    </xf>
    <xf numFmtId="0" fontId="30" fillId="0" borderId="0" xfId="0" applyFont="1" applyAlignment="1">
      <alignment horizontal="center" vertical="center" wrapText="1"/>
    </xf>
    <xf numFmtId="0" fontId="21" fillId="0" borderId="0" xfId="0" applyFont="1" applyAlignment="1">
      <alignment horizontal="left"/>
    </xf>
    <xf numFmtId="0" fontId="29" fillId="0" borderId="0" xfId="0" applyFont="1" applyAlignment="1">
      <alignment horizontal="center" vertical="center" wrapText="1"/>
    </xf>
    <xf numFmtId="0" fontId="22" fillId="0" borderId="12" xfId="0" applyFont="1" applyBorder="1" applyAlignment="1">
      <alignment horizontal="center" vertical="center" wrapText="1"/>
    </xf>
    <xf numFmtId="49" fontId="29" fillId="0" borderId="0" xfId="0" applyNumberFormat="1" applyFont="1" applyAlignment="1">
      <alignment horizontal="center" vertical="center" wrapText="1"/>
    </xf>
    <xf numFmtId="0" fontId="29" fillId="0" borderId="12" xfId="0" applyFont="1" applyBorder="1" applyAlignment="1">
      <alignment horizontal="center" vertical="center" wrapText="1"/>
    </xf>
    <xf numFmtId="49" fontId="24" fillId="0" borderId="13" xfId="0" applyNumberFormat="1" applyFont="1" applyBorder="1" applyAlignment="1">
      <alignment horizontal="left" vertical="center"/>
    </xf>
    <xf numFmtId="0" fontId="24" fillId="0" borderId="12" xfId="0" applyFont="1" applyBorder="1" applyAlignment="1">
      <alignment horizontal="left"/>
    </xf>
    <xf numFmtId="0" fontId="24" fillId="0" borderId="12" xfId="0" applyFont="1" applyBorder="1" applyAlignment="1">
      <alignment horizontal="left" vertical="center" wrapText="1"/>
    </xf>
    <xf numFmtId="169" fontId="22" fillId="30" borderId="12" xfId="0" applyNumberFormat="1" applyFont="1" applyFill="1" applyBorder="1" applyAlignment="1">
      <alignment vertical="center"/>
    </xf>
    <xf numFmtId="169" fontId="22" fillId="30" borderId="12" xfId="0" applyNumberFormat="1" applyFont="1" applyFill="1" applyBorder="1"/>
    <xf numFmtId="169" fontId="24" fillId="29" borderId="12" xfId="0" applyNumberFormat="1" applyFont="1" applyFill="1" applyBorder="1"/>
    <xf numFmtId="169" fontId="24" fillId="29" borderId="12" xfId="0" applyNumberFormat="1" applyFont="1" applyFill="1" applyBorder="1" applyAlignment="1">
      <alignment horizontal="center" vertical="center" wrapText="1"/>
    </xf>
    <xf numFmtId="169" fontId="24" fillId="29" borderId="12" xfId="0" applyNumberFormat="1" applyFont="1" applyFill="1" applyBorder="1" applyAlignment="1">
      <alignment horizontal="center" vertical="center"/>
    </xf>
    <xf numFmtId="169" fontId="22" fillId="30" borderId="15" xfId="0" applyNumberFormat="1" applyFont="1" applyFill="1" applyBorder="1" applyAlignment="1">
      <alignment vertical="center"/>
    </xf>
    <xf numFmtId="169" fontId="26" fillId="0" borderId="14" xfId="0" applyNumberFormat="1" applyFont="1" applyBorder="1" applyAlignment="1">
      <alignment horizontal="center" vertical="center" wrapText="1"/>
    </xf>
    <xf numFmtId="0" fontId="22" fillId="0" borderId="12" xfId="0" applyFont="1" applyBorder="1" applyAlignment="1">
      <alignment horizontal="left"/>
    </xf>
    <xf numFmtId="0" fontId="22" fillId="0" borderId="12" xfId="0" applyFont="1" applyBorder="1" applyAlignment="1">
      <alignment horizontal="left" vertical="center" wrapText="1"/>
    </xf>
    <xf numFmtId="0" fontId="23"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0" fillId="0" borderId="0" xfId="0" applyFont="1" applyAlignment="1" applyProtection="1">
      <alignment horizontal="center" vertical="center" wrapText="1"/>
      <protection hidden="1"/>
    </xf>
    <xf numFmtId="0" fontId="53" fillId="30" borderId="12" xfId="0" applyFont="1" applyFill="1" applyBorder="1" applyAlignment="1" applyProtection="1">
      <alignment horizontal="center" vertical="center" wrapText="1"/>
      <protection hidden="1"/>
    </xf>
    <xf numFmtId="0" fontId="50" fillId="0" borderId="12" xfId="0" applyFont="1" applyBorder="1" applyAlignment="1" applyProtection="1">
      <alignment horizontal="center" vertical="center" wrapText="1"/>
      <protection hidden="1"/>
    </xf>
    <xf numFmtId="169" fontId="52" fillId="30" borderId="12" xfId="0" applyNumberFormat="1" applyFont="1" applyFill="1" applyBorder="1" applyAlignment="1" applyProtection="1">
      <alignment horizontal="center" vertical="center"/>
      <protection hidden="1"/>
    </xf>
    <xf numFmtId="169" fontId="80" fillId="0" borderId="12" xfId="0" applyNumberFormat="1" applyFont="1" applyBorder="1" applyAlignment="1" applyProtection="1">
      <alignment horizontal="center" vertical="center" wrapText="1"/>
      <protection hidden="1"/>
    </xf>
    <xf numFmtId="0" fontId="12" fillId="0" borderId="0" xfId="0" applyFont="1"/>
    <xf numFmtId="169" fontId="81" fillId="0" borderId="12" xfId="0" applyNumberFormat="1" applyFont="1" applyBorder="1" applyAlignment="1" applyProtection="1">
      <alignment horizontal="center" vertical="center"/>
      <protection hidden="1"/>
    </xf>
    <xf numFmtId="169" fontId="80" fillId="0" borderId="12" xfId="0" applyNumberFormat="1" applyFont="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0" fontId="29" fillId="0" borderId="0" xfId="0" applyFont="1" applyAlignment="1" applyProtection="1">
      <alignment horizontal="center" vertical="center" wrapText="1"/>
      <protection hidden="1"/>
    </xf>
    <xf numFmtId="0" fontId="29" fillId="0" borderId="12" xfId="0" applyFont="1" applyBorder="1" applyAlignment="1" applyProtection="1">
      <alignment horizontal="center" vertical="center" wrapText="1"/>
      <protection hidden="1"/>
    </xf>
    <xf numFmtId="169" fontId="22" fillId="30" borderId="12" xfId="0" applyNumberFormat="1" applyFont="1" applyFill="1" applyBorder="1" applyAlignment="1" applyProtection="1">
      <alignment horizontal="right" vertical="center" wrapText="1"/>
      <protection hidden="1"/>
    </xf>
    <xf numFmtId="169" fontId="28" fillId="0" borderId="12" xfId="0" applyNumberFormat="1" applyFont="1" applyBorder="1" applyAlignment="1" applyProtection="1">
      <alignment horizontal="center" vertical="center" wrapText="1"/>
      <protection hidden="1"/>
    </xf>
    <xf numFmtId="0" fontId="22" fillId="0" borderId="12" xfId="0" applyFont="1" applyBorder="1" applyAlignment="1" applyProtection="1">
      <alignment horizontal="left" vertical="center" wrapText="1"/>
      <protection hidden="1"/>
    </xf>
    <xf numFmtId="0" fontId="23" fillId="30" borderId="12" xfId="0" applyFont="1" applyFill="1" applyBorder="1" applyAlignment="1" applyProtection="1">
      <alignment horizontal="left" vertical="center" wrapText="1"/>
      <protection hidden="1"/>
    </xf>
    <xf numFmtId="169" fontId="22"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1" fillId="0" borderId="0" xfId="0" applyFont="1" applyAlignment="1" applyProtection="1">
      <alignment horizontal="left"/>
      <protection hidden="1"/>
    </xf>
    <xf numFmtId="0" fontId="1" fillId="0" borderId="0" xfId="0" applyFont="1" applyProtection="1">
      <protection hidden="1"/>
    </xf>
    <xf numFmtId="49" fontId="31" fillId="0" borderId="0" xfId="0" applyNumberFormat="1" applyFont="1" applyAlignment="1" applyProtection="1">
      <alignment horizontal="left" vertical="top"/>
      <protection hidden="1"/>
    </xf>
    <xf numFmtId="49" fontId="31" fillId="0" borderId="0" xfId="0" applyNumberFormat="1" applyFont="1" applyAlignment="1" applyProtection="1">
      <alignment horizontal="left" vertical="top" wrapText="1"/>
      <protection hidden="1"/>
    </xf>
    <xf numFmtId="0" fontId="35" fillId="0" borderId="0" xfId="0" applyFont="1" applyAlignment="1" applyProtection="1">
      <alignment horizontal="center" vertical="center"/>
      <protection hidden="1"/>
    </xf>
    <xf numFmtId="0" fontId="36" fillId="0" borderId="0" xfId="0" applyFont="1" applyAlignment="1" applyProtection="1">
      <alignment horizontal="center" vertical="center" wrapText="1"/>
      <protection hidden="1"/>
    </xf>
    <xf numFmtId="49" fontId="35" fillId="0" borderId="0" xfId="0" applyNumberFormat="1" applyFont="1" applyAlignment="1" applyProtection="1">
      <alignment horizontal="center" vertical="center"/>
      <protection hidden="1"/>
    </xf>
    <xf numFmtId="49" fontId="29" fillId="0" borderId="12" xfId="0" applyNumberFormat="1" applyFont="1" applyBorder="1" applyAlignment="1" applyProtection="1">
      <alignment horizontal="center" vertical="center" wrapText="1"/>
      <protection hidden="1"/>
    </xf>
    <xf numFmtId="49" fontId="24" fillId="0" borderId="0" xfId="0" applyNumberFormat="1" applyFont="1" applyAlignment="1" applyProtection="1">
      <alignment horizontal="center" vertical="center"/>
      <protection hidden="1"/>
    </xf>
    <xf numFmtId="49" fontId="24" fillId="0" borderId="12" xfId="0" applyNumberFormat="1" applyFont="1" applyBorder="1" applyAlignment="1" applyProtection="1">
      <alignment horizontal="left" vertical="center" wrapText="1"/>
      <protection hidden="1"/>
    </xf>
    <xf numFmtId="169" fontId="34" fillId="0" borderId="12" xfId="0" applyNumberFormat="1" applyFont="1" applyBorder="1" applyAlignment="1" applyProtection="1">
      <alignment horizontal="center" vertical="center" wrapText="1"/>
      <protection hidden="1"/>
    </xf>
    <xf numFmtId="169" fontId="29" fillId="30" borderId="12" xfId="0" applyNumberFormat="1" applyFont="1" applyFill="1" applyBorder="1" applyProtection="1">
      <protection hidden="1"/>
    </xf>
    <xf numFmtId="0" fontId="33" fillId="0" borderId="0" xfId="0" applyFont="1" applyAlignment="1" applyProtection="1">
      <alignment horizontal="center" vertical="center"/>
      <protection hidden="1"/>
    </xf>
    <xf numFmtId="0" fontId="33" fillId="0" borderId="12" xfId="0" applyFont="1" applyBorder="1" applyAlignment="1" applyProtection="1">
      <alignment horizontal="left" vertical="center"/>
      <protection hidden="1"/>
    </xf>
    <xf numFmtId="0" fontId="32" fillId="0" borderId="12" xfId="0" applyFont="1" applyBorder="1" applyAlignment="1" applyProtection="1">
      <alignment horizontal="left" vertical="center"/>
      <protection hidden="1"/>
    </xf>
    <xf numFmtId="49" fontId="23" fillId="0" borderId="12" xfId="0" applyNumberFormat="1" applyFont="1" applyBorder="1" applyAlignment="1" applyProtection="1">
      <alignment horizontal="left" vertical="center" wrapText="1"/>
      <protection hidden="1"/>
    </xf>
    <xf numFmtId="0" fontId="21" fillId="0" borderId="0" xfId="1" applyFont="1" applyAlignment="1">
      <alignment horizontal="left"/>
    </xf>
    <xf numFmtId="0" fontId="51" fillId="0" borderId="0" xfId="1" applyFont="1" applyAlignment="1">
      <alignment horizontal="left" wrapText="1"/>
    </xf>
    <xf numFmtId="0" fontId="31" fillId="0" borderId="0" xfId="1" applyFont="1" applyAlignment="1">
      <alignment horizontal="center" vertical="center"/>
    </xf>
    <xf numFmtId="0" fontId="29" fillId="0" borderId="0" xfId="1" applyFont="1" applyAlignment="1">
      <alignment horizontal="center" vertical="center" wrapText="1"/>
    </xf>
    <xf numFmtId="0" fontId="50" fillId="0" borderId="0" xfId="1" applyFont="1" applyAlignment="1">
      <alignment horizontal="center" vertical="center" wrapText="1"/>
    </xf>
    <xf numFmtId="0" fontId="22" fillId="0" borderId="12" xfId="1" applyFont="1" applyBorder="1" applyAlignment="1">
      <alignment horizontal="center" vertical="center" wrapText="1"/>
    </xf>
    <xf numFmtId="49" fontId="50" fillId="0" borderId="0" xfId="1" applyNumberFormat="1" applyFont="1" applyAlignment="1">
      <alignment horizontal="center" vertical="center"/>
    </xf>
    <xf numFmtId="49" fontId="50" fillId="0" borderId="12" xfId="1" applyNumberFormat="1" applyFont="1" applyBorder="1" applyAlignment="1">
      <alignment horizontal="center" vertical="center" wrapText="1"/>
    </xf>
    <xf numFmtId="0" fontId="52" fillId="0" borderId="12" xfId="1" applyFont="1" applyBorder="1" applyAlignment="1">
      <alignment horizontal="center" vertical="center" wrapText="1"/>
    </xf>
    <xf numFmtId="49" fontId="24" fillId="0" borderId="0" xfId="1" applyNumberFormat="1" applyFont="1" applyAlignment="1">
      <alignment horizontal="center" vertical="center"/>
    </xf>
    <xf numFmtId="49" fontId="24" fillId="0" borderId="12" xfId="1" applyNumberFormat="1" applyFont="1" applyBorder="1" applyAlignment="1">
      <alignment horizontal="left" vertical="center"/>
    </xf>
    <xf numFmtId="49" fontId="55" fillId="0" borderId="12" xfId="1" applyNumberFormat="1" applyFont="1" applyBorder="1" applyAlignment="1">
      <alignment horizontal="left" vertical="center" wrapText="1"/>
    </xf>
    <xf numFmtId="169" fontId="17" fillId="0" borderId="12" xfId="0" applyNumberFormat="1" applyFont="1" applyBorder="1" applyAlignment="1">
      <alignment horizontal="center" vertical="center" wrapText="1"/>
    </xf>
    <xf numFmtId="169" fontId="29" fillId="0" borderId="12" xfId="1" applyNumberFormat="1" applyFont="1" applyBorder="1"/>
    <xf numFmtId="0" fontId="24" fillId="0" borderId="0" xfId="1" applyFont="1" applyAlignment="1">
      <alignment horizontal="center" vertical="center"/>
    </xf>
    <xf numFmtId="0" fontId="24" fillId="0" borderId="0" xfId="1" applyFont="1" applyAlignment="1">
      <alignment horizontal="left" vertical="center"/>
    </xf>
    <xf numFmtId="49" fontId="24" fillId="0" borderId="0" xfId="1" applyNumberFormat="1" applyFont="1" applyAlignment="1">
      <alignment horizontal="left" vertical="center"/>
    </xf>
    <xf numFmtId="49" fontId="53" fillId="0" borderId="12" xfId="1" applyNumberFormat="1" applyFont="1" applyBorder="1" applyAlignment="1">
      <alignment horizontal="left" vertical="center" wrapText="1"/>
    </xf>
    <xf numFmtId="0" fontId="7" fillId="5" borderId="0" xfId="0" applyFont="1" applyFill="1" applyAlignment="1">
      <alignment horizontal="center" vertical="center" wrapText="1"/>
    </xf>
    <xf numFmtId="0" fontId="7" fillId="31" borderId="0" xfId="0" applyFont="1" applyFill="1" applyAlignment="1">
      <alignment horizontal="center" vertical="center" wrapText="1"/>
    </xf>
    <xf numFmtId="0" fontId="7" fillId="32" borderId="0" xfId="0" applyFont="1" applyFill="1" applyAlignment="1">
      <alignment horizontal="center" vertical="center" wrapText="1"/>
    </xf>
    <xf numFmtId="0" fontId="7" fillId="31" borderId="0" xfId="0" applyFont="1" applyFill="1" applyAlignment="1">
      <alignment horizontal="left" vertical="center" wrapText="1"/>
    </xf>
    <xf numFmtId="0" fontId="65" fillId="0" borderId="0" xfId="0" applyFont="1" applyAlignment="1">
      <alignment horizontal="left" vertical="center" wrapText="1"/>
    </xf>
    <xf numFmtId="0" fontId="7" fillId="33" borderId="0" xfId="0" applyFont="1" applyFill="1" applyAlignment="1">
      <alignment horizontal="center" vertical="center" wrapText="1"/>
    </xf>
    <xf numFmtId="0" fontId="65" fillId="0" borderId="0" xfId="0" applyFont="1" applyAlignment="1">
      <alignment horizontal="left" vertical="center"/>
    </xf>
    <xf numFmtId="171" fontId="65" fillId="0" borderId="0" xfId="0" applyNumberFormat="1" applyFont="1" applyAlignment="1">
      <alignment horizontal="left" vertical="center" wrapText="1"/>
    </xf>
    <xf numFmtId="171" fontId="0" fillId="0" borderId="0" xfId="0" applyNumberFormat="1" applyAlignment="1">
      <alignment horizontal="left" vertical="center"/>
    </xf>
    <xf numFmtId="1" fontId="65" fillId="0" borderId="0" xfId="0" applyNumberFormat="1" applyFont="1" applyAlignment="1">
      <alignment horizontal="left" vertical="center" wrapText="1"/>
    </xf>
    <xf numFmtId="9" fontId="0" fillId="0" borderId="0" xfId="0" applyNumberFormat="1" applyAlignment="1">
      <alignment horizontal="left" vertical="center"/>
    </xf>
    <xf numFmtId="0" fontId="42" fillId="0" borderId="12" xfId="0" applyFont="1" applyBorder="1" applyAlignment="1">
      <alignment horizontal="center" vertical="center" wrapText="1"/>
    </xf>
    <xf numFmtId="169" fontId="54" fillId="0" borderId="12" xfId="0" applyNumberFormat="1" applyFont="1" applyBorder="1" applyAlignment="1">
      <alignment horizontal="center" vertical="center" wrapText="1"/>
    </xf>
    <xf numFmtId="169" fontId="17" fillId="0" borderId="10" xfId="0" applyNumberFormat="1" applyFont="1" applyBorder="1" applyAlignment="1">
      <alignment horizontal="center" vertical="center" wrapText="1"/>
    </xf>
    <xf numFmtId="169" fontId="17" fillId="0" borderId="0" xfId="0" applyNumberFormat="1" applyFont="1" applyAlignment="1">
      <alignment horizontal="center" vertical="center" wrapText="1"/>
    </xf>
    <xf numFmtId="0" fontId="31" fillId="23" borderId="0" xfId="1" applyFont="1" applyFill="1" applyAlignment="1">
      <alignment horizontal="center" vertical="center"/>
    </xf>
    <xf numFmtId="0" fontId="29" fillId="23" borderId="0" xfId="1" applyFont="1" applyFill="1" applyAlignment="1">
      <alignment horizontal="center" vertical="center" wrapText="1"/>
    </xf>
    <xf numFmtId="0" fontId="50" fillId="23" borderId="0" xfId="1" applyFont="1" applyFill="1" applyAlignment="1">
      <alignment horizontal="center" vertical="center" wrapText="1"/>
    </xf>
    <xf numFmtId="0" fontId="22" fillId="23" borderId="12" xfId="1" applyFont="1" applyFill="1" applyBorder="1" applyAlignment="1">
      <alignment horizontal="center" vertical="center" wrapText="1"/>
    </xf>
    <xf numFmtId="0" fontId="0" fillId="23" borderId="0" xfId="0" applyFill="1"/>
    <xf numFmtId="169" fontId="76" fillId="7" borderId="12" xfId="4" applyNumberFormat="1" applyFont="1" applyFill="1" applyBorder="1" applyAlignment="1" applyProtection="1">
      <alignment horizontal="right"/>
      <protection hidden="1"/>
    </xf>
    <xf numFmtId="0" fontId="39" fillId="19" borderId="0" xfId="0" applyFont="1" applyFill="1" applyAlignment="1">
      <alignment horizontal="center"/>
    </xf>
    <xf numFmtId="0" fontId="41" fillId="19" borderId="0" xfId="0" applyFont="1" applyFill="1" applyAlignment="1">
      <alignment horizontal="center" vertical="center"/>
    </xf>
    <xf numFmtId="0" fontId="13" fillId="19" borderId="0" xfId="0" applyFont="1" applyFill="1" applyAlignment="1">
      <alignment horizontal="center" vertical="center" wrapText="1"/>
    </xf>
    <xf numFmtId="0" fontId="13" fillId="19" borderId="0" xfId="0" applyFont="1" applyFill="1" applyAlignment="1">
      <alignment vertical="center" wrapText="1"/>
    </xf>
    <xf numFmtId="0" fontId="0" fillId="0" borderId="18" xfId="0" applyBorder="1" applyAlignment="1">
      <alignment horizontal="center" vertical="center" wrapText="1"/>
    </xf>
    <xf numFmtId="0" fontId="13" fillId="19" borderId="19" xfId="0" applyFont="1" applyFill="1" applyBorder="1" applyAlignment="1">
      <alignment horizontal="left" vertical="center" wrapText="1" indent="1"/>
    </xf>
    <xf numFmtId="0" fontId="13" fillId="19" borderId="20" xfId="0" applyFont="1" applyFill="1" applyBorder="1" applyAlignment="1">
      <alignment horizontal="left" vertical="center" wrapText="1" indent="1"/>
    </xf>
    <xf numFmtId="0" fontId="43" fillId="0" borderId="11" xfId="0" applyFont="1" applyBorder="1" applyAlignment="1">
      <alignment horizontal="left" vertical="center" wrapText="1"/>
    </xf>
    <xf numFmtId="0" fontId="43" fillId="0" borderId="26" xfId="0" applyFont="1" applyBorder="1" applyAlignment="1">
      <alignment horizontal="left" vertical="center" wrapText="1"/>
    </xf>
    <xf numFmtId="0" fontId="43" fillId="0" borderId="8" xfId="0" applyFont="1" applyBorder="1" applyAlignment="1">
      <alignment horizontal="left" vertical="center" wrapText="1"/>
    </xf>
    <xf numFmtId="0" fontId="43"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3" fillId="0" borderId="4" xfId="0" applyFont="1" applyBorder="1" applyAlignment="1">
      <alignment horizontal="left" vertical="center" wrapText="1"/>
    </xf>
    <xf numFmtId="0" fontId="43" fillId="0" borderId="0" xfId="0" applyFont="1" applyAlignment="1">
      <alignment horizontal="left" vertical="center" wrapText="1"/>
    </xf>
    <xf numFmtId="0" fontId="43" fillId="0" borderId="29" xfId="0" applyFont="1" applyBorder="1" applyAlignment="1">
      <alignment horizontal="left" vertical="center" wrapText="1"/>
    </xf>
    <xf numFmtId="0" fontId="8"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9" xfId="0" applyBorder="1" applyAlignment="1">
      <alignment horizontal="center" vertical="center" wrapText="1"/>
    </xf>
    <xf numFmtId="0" fontId="14" fillId="0" borderId="3" xfId="0" applyFont="1" applyBorder="1" applyAlignment="1">
      <alignment horizontal="center" vertical="center" wrapText="1"/>
    </xf>
    <xf numFmtId="0" fontId="0" fillId="0" borderId="2" xfId="0" applyBorder="1" applyAlignment="1">
      <alignment horizontal="center" vertical="center" wrapText="1"/>
    </xf>
    <xf numFmtId="0" fontId="23" fillId="9" borderId="12" xfId="4" applyFont="1" applyFill="1" applyBorder="1" applyAlignment="1" applyProtection="1">
      <alignment horizontal="center" vertical="center" wrapText="1"/>
      <protection hidden="1"/>
    </xf>
    <xf numFmtId="0" fontId="31" fillId="8" borderId="0" xfId="4" applyFont="1" applyFill="1" applyAlignment="1" applyProtection="1">
      <alignment horizontal="left" vertical="top"/>
      <protection hidden="1"/>
    </xf>
    <xf numFmtId="0" fontId="31" fillId="8" borderId="0" xfId="4" applyFont="1" applyFill="1" applyAlignment="1" applyProtection="1">
      <alignment horizontal="left" vertical="top" wrapText="1"/>
      <protection hidden="1"/>
    </xf>
    <xf numFmtId="0" fontId="23" fillId="10" borderId="12" xfId="1" applyFont="1" applyFill="1" applyBorder="1" applyAlignment="1">
      <alignment horizontal="center" vertical="center" wrapText="1"/>
    </xf>
    <xf numFmtId="0" fontId="57" fillId="0" borderId="33" xfId="0" applyFont="1" applyBorder="1" applyAlignment="1" applyProtection="1">
      <alignment horizontal="left" vertical="center" wrapText="1" indent="1"/>
      <protection hidden="1"/>
    </xf>
    <xf numFmtId="0" fontId="57" fillId="0" borderId="34" xfId="0" applyFont="1" applyBorder="1" applyAlignment="1" applyProtection="1">
      <alignment horizontal="left" vertical="center" wrapText="1" indent="1"/>
      <protection hidden="1"/>
    </xf>
    <xf numFmtId="0" fontId="57" fillId="0" borderId="35" xfId="0" applyFont="1" applyBorder="1" applyAlignment="1" applyProtection="1">
      <alignment horizontal="left" vertical="center" wrapText="1" indent="1"/>
      <protection hidden="1"/>
    </xf>
    <xf numFmtId="0" fontId="23" fillId="9" borderId="12" xfId="0" applyFont="1" applyFill="1" applyBorder="1" applyAlignment="1">
      <alignment horizontal="center" vertical="center" wrapText="1"/>
    </xf>
    <xf numFmtId="0" fontId="31" fillId="0" borderId="0" xfId="0" applyFont="1" applyAlignment="1">
      <alignment horizontal="left" vertical="top"/>
    </xf>
    <xf numFmtId="0" fontId="23" fillId="30" borderId="12" xfId="0" applyFont="1" applyFill="1" applyBorder="1" applyAlignment="1">
      <alignment horizontal="center" vertical="center" wrapText="1"/>
    </xf>
    <xf numFmtId="0" fontId="23" fillId="30" borderId="16" xfId="0" applyFont="1" applyFill="1" applyBorder="1" applyAlignment="1">
      <alignment horizontal="center" vertical="center" wrapText="1"/>
    </xf>
    <xf numFmtId="0" fontId="23" fillId="30" borderId="36" xfId="0" applyFont="1" applyFill="1" applyBorder="1" applyAlignment="1">
      <alignment horizontal="center" vertical="center" wrapText="1"/>
    </xf>
    <xf numFmtId="0" fontId="23" fillId="30" borderId="14" xfId="0" applyFont="1" applyFill="1" applyBorder="1" applyAlignment="1">
      <alignment horizontal="center" vertical="center" wrapText="1"/>
    </xf>
    <xf numFmtId="0" fontId="31" fillId="0" borderId="0" xfId="0" applyFont="1" applyAlignment="1" applyProtection="1">
      <alignment horizontal="left" vertical="center" wrapText="1"/>
      <protection hidden="1"/>
    </xf>
    <xf numFmtId="0" fontId="23" fillId="30" borderId="12" xfId="0" applyFont="1" applyFill="1" applyBorder="1" applyAlignment="1" applyProtection="1">
      <alignment horizontal="center" vertical="center" wrapText="1"/>
      <protection hidden="1"/>
    </xf>
    <xf numFmtId="0" fontId="50" fillId="0" borderId="0" xfId="0" applyFont="1" applyAlignment="1">
      <alignment horizontal="left" vertical="center"/>
    </xf>
    <xf numFmtId="0" fontId="53" fillId="30" borderId="12" xfId="0" applyFont="1" applyFill="1" applyBorder="1" applyAlignment="1">
      <alignment horizontal="center" vertical="center" wrapText="1"/>
    </xf>
    <xf numFmtId="0" fontId="53" fillId="30" borderId="12" xfId="0" applyFont="1" applyFill="1" applyBorder="1" applyAlignment="1" applyProtection="1">
      <alignment horizontal="center" vertical="center" wrapText="1"/>
      <protection hidden="1"/>
    </xf>
    <xf numFmtId="0" fontId="50" fillId="0" borderId="0" xfId="0" applyFont="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3" fillId="9" borderId="12" xfId="0" applyFont="1" applyFill="1" applyBorder="1" applyAlignment="1" applyProtection="1">
      <alignment horizontal="center" vertical="center" wrapText="1"/>
      <protection hidden="1"/>
    </xf>
    <xf numFmtId="49" fontId="31" fillId="0" borderId="0" xfId="1" applyNumberFormat="1" applyFont="1" applyAlignment="1">
      <alignment horizontal="left" vertical="top"/>
    </xf>
    <xf numFmtId="0" fontId="23" fillId="0" borderId="12" xfId="1" applyFont="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28">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
      <font>
        <color rgb="FF9C0006"/>
      </font>
      <fill>
        <patternFill>
          <bgColor rgb="FFFFC7CE"/>
        </patternFill>
      </fill>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4" dT="2026-02-11T19:05:32.19" personId="{00000000-0000-0000-0000-000000000000}" id="{ECE5F496-0680-3E4B-8D7B-1FFBCAB138F6}">
    <text>vérifier avec DELHOUSTAL si ce qui est dans la colonne R13 du TPRX remonte ici ou au TPRX</text>
  </threadedComment>
  <threadedComment ref="R15" dT="2026-02-11T19:10:50.96" personId="{00000000-0000-0000-0000-000000000000}" id="{10E42624-3694-4A4C-BC5A-0A1108139DDD}">
    <text>On a enlevé le 5 JLD CIVIL</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97" t="s">
        <v>221</v>
      </c>
      <c r="D1" s="397"/>
      <c r="E1" s="397"/>
      <c r="F1" s="101"/>
      <c r="H1" s="26" t="s">
        <v>0</v>
      </c>
    </row>
    <row r="2" spans="1:8" s="105" customFormat="1" ht="20" customHeight="1" x14ac:dyDescent="0.2">
      <c r="A2" s="102"/>
      <c r="B2" s="103"/>
      <c r="C2" s="398" t="s">
        <v>222</v>
      </c>
      <c r="D2" s="398"/>
      <c r="E2" s="398"/>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402" t="s">
        <v>226</v>
      </c>
      <c r="F4" s="403"/>
      <c r="G4" s="119"/>
      <c r="H4" s="26" t="s">
        <v>0</v>
      </c>
    </row>
    <row r="5" spans="1:8" s="26" customFormat="1" ht="48" customHeight="1" x14ac:dyDescent="0.2">
      <c r="A5" s="106"/>
      <c r="B5" s="120" t="s">
        <v>227</v>
      </c>
      <c r="C5" s="116" t="s">
        <v>228</v>
      </c>
      <c r="D5" s="116" t="s">
        <v>229</v>
      </c>
      <c r="E5" s="404" t="s">
        <v>242</v>
      </c>
      <c r="F5" s="405"/>
      <c r="G5" s="118"/>
      <c r="H5" s="26" t="s">
        <v>0</v>
      </c>
    </row>
    <row r="6" spans="1:8" s="26" customFormat="1" ht="48" customHeight="1" x14ac:dyDescent="0.2">
      <c r="A6" s="106"/>
      <c r="B6" s="121" t="s">
        <v>230</v>
      </c>
      <c r="C6" s="117" t="s">
        <v>231</v>
      </c>
      <c r="D6" s="117" t="s">
        <v>232</v>
      </c>
      <c r="E6" s="406" t="s">
        <v>243</v>
      </c>
      <c r="F6" s="407"/>
      <c r="G6" s="118"/>
      <c r="H6" s="26" t="s">
        <v>0</v>
      </c>
    </row>
    <row r="7" spans="1:8" s="26" customFormat="1" ht="48" customHeight="1" x14ac:dyDescent="0.2">
      <c r="A7" s="106"/>
      <c r="B7" s="122" t="s">
        <v>590</v>
      </c>
      <c r="C7" s="117" t="s">
        <v>234</v>
      </c>
      <c r="D7" s="117" t="s">
        <v>235</v>
      </c>
      <c r="E7" s="406" t="s">
        <v>242</v>
      </c>
      <c r="F7" s="407"/>
      <c r="G7" s="118"/>
      <c r="H7" s="26" t="s">
        <v>0</v>
      </c>
    </row>
    <row r="8" spans="1:8" s="26" customFormat="1" ht="23" customHeight="1" x14ac:dyDescent="0.2">
      <c r="A8" s="106"/>
      <c r="B8" s="123" t="s">
        <v>236</v>
      </c>
      <c r="C8" s="408" t="s">
        <v>237</v>
      </c>
      <c r="D8" s="408" t="s">
        <v>238</v>
      </c>
      <c r="E8" s="411" t="s">
        <v>244</v>
      </c>
      <c r="F8" s="411"/>
      <c r="G8" s="118"/>
      <c r="H8" s="26" t="s">
        <v>0</v>
      </c>
    </row>
    <row r="9" spans="1:8" s="26" customFormat="1" ht="23" customHeight="1" x14ac:dyDescent="0.2">
      <c r="A9" s="106"/>
      <c r="B9" s="223" t="s">
        <v>239</v>
      </c>
      <c r="C9" s="409"/>
      <c r="D9" s="409"/>
      <c r="E9" s="412"/>
      <c r="F9" s="412"/>
      <c r="G9" s="118"/>
      <c r="H9" s="26" t="s">
        <v>0</v>
      </c>
    </row>
    <row r="10" spans="1:8" s="26" customFormat="1" ht="23" customHeight="1" x14ac:dyDescent="0.2">
      <c r="A10" s="106"/>
      <c r="B10" s="224" t="s">
        <v>240</v>
      </c>
      <c r="C10" s="409"/>
      <c r="D10" s="409"/>
      <c r="E10" s="412"/>
      <c r="F10" s="412"/>
      <c r="G10" s="118"/>
      <c r="H10" s="26" t="s">
        <v>0</v>
      </c>
    </row>
    <row r="11" spans="1:8" s="26" customFormat="1" ht="23" customHeight="1" thickBot="1" x14ac:dyDescent="0.25">
      <c r="A11" s="106"/>
      <c r="B11" s="219" t="s">
        <v>340</v>
      </c>
      <c r="C11" s="410"/>
      <c r="D11" s="410"/>
      <c r="E11" s="413"/>
      <c r="F11" s="413"/>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401" t="s">
        <v>241</v>
      </c>
      <c r="D13" s="401"/>
      <c r="E13" s="401"/>
      <c r="F13" s="222"/>
      <c r="H13" s="26" t="s">
        <v>0</v>
      </c>
    </row>
    <row r="14" spans="1:8" s="26" customFormat="1" ht="6" customHeight="1" x14ac:dyDescent="0.2">
      <c r="A14" s="112"/>
      <c r="F14" s="107"/>
      <c r="H14" s="26" t="s">
        <v>0</v>
      </c>
    </row>
    <row r="15" spans="1:8" s="26" customFormat="1" ht="27" customHeight="1" x14ac:dyDescent="0.2">
      <c r="A15" s="399" t="s">
        <v>25</v>
      </c>
      <c r="B15" s="399"/>
      <c r="C15" s="399"/>
      <c r="D15" s="399"/>
      <c r="E15" s="399"/>
      <c r="F15" s="400"/>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zoomScaleNormal="110" workbookViewId="0">
      <pane xSplit="6" ySplit="2" topLeftCell="BL3" activePane="bottomRight" state="frozen"/>
      <selection pane="topRight" activeCell="G1" sqref="G1"/>
      <selection pane="bottomLeft" activeCell="A3" sqref="A3"/>
      <selection pane="bottomRight" activeCell="A3" sqref="A3"/>
    </sheetView>
  </sheetViews>
  <sheetFormatPr baseColWidth="10" defaultRowHeight="15" x14ac:dyDescent="0.2"/>
  <cols>
    <col min="1" max="1" width="18.6640625" customWidth="1"/>
    <col min="2" max="2" width="11.83203125" customWidth="1"/>
    <col min="4" max="4" width="10.83203125" style="282"/>
    <col min="9" max="9" width="30.5" style="282"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14" t="s">
        <v>484</v>
      </c>
      <c r="E1" s="415"/>
      <c r="F1" s="415"/>
      <c r="G1" s="415"/>
      <c r="H1" s="415"/>
      <c r="I1" s="415"/>
      <c r="J1" s="416"/>
      <c r="K1" s="416"/>
      <c r="L1" s="416"/>
      <c r="M1" s="416"/>
      <c r="N1" s="416"/>
      <c r="O1" s="416"/>
      <c r="P1" s="416"/>
      <c r="Q1" s="416"/>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sheet="1" autoFilter="0"/>
  <autoFilter ref="A2:DT2" xr:uid="{3B89445B-6ECC-4440-B85C-E593AE209933}"/>
  <mergeCells count="1">
    <mergeCell ref="D1:Q1"/>
  </mergeCells>
  <conditionalFormatting sqref="A2:EZ2 A3:FB1048576">
    <cfRule type="expression" dxfId="27" priority="1" stopIfTrue="1">
      <formula>AND(OR($R1&lt;&gt;0,$S1&lt;&gt;0,$T1&lt;&gt;0,ISBLANK($P1)),ROW()&gt;2,$A1&lt;&gt;"")</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632</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1" t="s">
        <v>339</v>
      </c>
    </row>
    <row r="4" spans="1:24" ht="19" customHeight="1" x14ac:dyDescent="0.2">
      <c r="B4" s="172"/>
      <c r="C4" s="171"/>
      <c r="D4" s="171"/>
      <c r="E4" s="171"/>
      <c r="F4" s="171"/>
      <c r="G4" s="417" t="s">
        <v>26</v>
      </c>
      <c r="H4" s="418"/>
      <c r="I4" s="418"/>
      <c r="J4" s="418"/>
      <c r="K4" s="418"/>
      <c r="L4" s="419"/>
      <c r="M4" s="420"/>
      <c r="N4" s="421" t="s">
        <v>27</v>
      </c>
      <c r="O4" s="419"/>
      <c r="P4" s="419"/>
      <c r="Q4" s="419"/>
      <c r="R4" s="419"/>
      <c r="S4" s="419"/>
      <c r="T4" s="422"/>
      <c r="U4" s="417" t="s">
        <v>28</v>
      </c>
      <c r="V4" s="420"/>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26" priority="16">
      <formula>IF(LEFT($A$3,2)&lt;&gt;"TJ",TRUE,FALSE)</formula>
    </cfRule>
  </conditionalFormatting>
  <conditionalFormatting sqref="C6:V151">
    <cfRule type="expression" dxfId="25" priority="18" stopIfTrue="1">
      <formula>AND(ISBLANK($C6)=FALSE,ISBLANK($E6)=TRUE)</formula>
    </cfRule>
  </conditionalFormatting>
  <conditionalFormatting sqref="D1:F1048576">
    <cfRule type="expression" dxfId="24" priority="1">
      <formula>AND($D1="8. TOTAL JUGES D'INSTRUCTION",ROUND(_xlfn.NUMBERVALUE($U1)-_xlfn.NUMBERVALUE($U2)-_xlfn.NUMBERVALUE($U3)-_xlfn.NUMBERVALUE($U4)-_xlfn.NUMBERVALUE($U5)-_xlfn.NUMBERVALUE($U6),3)&lt;&gt;0)</formula>
    </cfRule>
    <cfRule type="expression" dxfId="23" priority="2">
      <formula>AND($D1="8. TOTAL JUGES D'INSTRUCTION",ROUND(_xlfn.NUMBERVALUE($S1)-_xlfn.NUMBERVALUE($S2)-_xlfn.NUMBERVALUE($S3)-_xlfn.NUMBERVALUE($S4)-_xlfn.NUMBERVALUE($S5)-_xlfn.NUMBERVALUE($S6),3)&lt;&gt;0)</formula>
    </cfRule>
    <cfRule type="expression" dxfId="22" priority="7" stopIfTrue="1">
      <formula>AND($D1="8. TOTAL JUGES D'INSTRUCTION",ROUND(_xlfn.NUMBERVALUE($L1)-_xlfn.NUMBERVALUE($L2)-_xlfn.NUMBERVALUE($L3)-_xlfn.NUMBERVALUE($L4)-_xlfn.NUMBERVALUE($L5)-_xlfn.NUMBERVALUE($L6),3)&lt;&gt;0)</formula>
    </cfRule>
    <cfRule type="expression" dxfId="21"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0"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19" priority="11" stopIfTrue="1">
      <formula>AND($D1="8. TOTAL JUGES D'INSTRUCTION",ROUND(_xlfn.NUMBERVALUE($L1)-(_xlfn.NUMBERVALUE($L2)+_xlfn.NUMBERVALUE($L3)+_xlfn.NUMBERVALUE($L4)+_xlfn.NUMBERVALUE($L5)+_xlfn.NUMBERVALUE($L6)),3)&lt;&gt;0)</formula>
    </cfRule>
    <cfRule type="expression" dxfId="18" priority="15">
      <formula>AND($D1="6. TOTAL JUGES DES ENFANTS",ROUND(_xlfn.NUMBERVALUE($L1)-(_xlfn.NUMBERVALUE($L2)+_xlfn.NUMBERVALUE($L3)),3)&lt;&gt;0)</formula>
    </cfRule>
  </conditionalFormatting>
  <conditionalFormatting sqref="G7:M7">
    <cfRule type="expression" dxfId="17" priority="5">
      <formula>ROUND(_xlfn.NUMBERVALUE($L7),3)&lt;&gt;ROUND(_xlfn.NUMBERVALUE($L6),3)</formula>
    </cfRule>
  </conditionalFormatting>
  <conditionalFormatting sqref="N1:T1048576">
    <cfRule type="expression" dxfId="16" priority="10" stopIfTrue="1">
      <formula>AND($D1="8. TOTAL JUGES D'INSTRUCTION",ROUND(_xlfn.NUMBERVALUE($S1)-_xlfn.NUMBERVALUE($S2)-_xlfn.NUMBERVALUE($S3)-_xlfn.NUMBERVALUE($S4)-_xlfn.NUMBERVALUE($S5)-_xlfn.NUMBERVALUE($S6),3)&lt;&gt;0)</formula>
    </cfRule>
    <cfRule type="expression" dxfId="15" priority="14">
      <formula>AND($D1="6. TOTAL JUGES DES ENFANTS",ROUND(_xlfn.NUMBERVALUE($S1)-_xlfn.NUMBERVALUE($S2)-_xlfn.NUMBERVALUE($S3),3)&lt;&gt;0)</formula>
    </cfRule>
  </conditionalFormatting>
  <conditionalFormatting sqref="N7:T7">
    <cfRule type="expression" dxfId="14" priority="4">
      <formula>ROUND(_xlfn.NUMBERVALUE($S7),3)&lt;&gt;ROUND(_xlfn.NUMBERVALUE($S6),3)</formula>
    </cfRule>
  </conditionalFormatting>
  <conditionalFormatting sqref="U1:V1048576">
    <cfRule type="expression" dxfId="13" priority="9">
      <formula>AND($D1="8. TOTAL JUGES D'INSTRUCTION",ROUND(_xlfn.NUMBERVALUE($U1)-_xlfn.NUMBERVALUE($U2)-_xlfn.NUMBERVALUE($U3)-_xlfn.NUMBERVALUE($U4)-_xlfn.NUMBERVALUE($U5)-_xlfn.NUMBERVALUE($U6),3)&lt;&gt;0)</formula>
    </cfRule>
    <cfRule type="expression" dxfId="12" priority="13">
      <formula>AND($D1="6. TOTAL JUGES DES ENFANTS",ROUND(_xlfn.NUMBERVALUE($U1)-_xlfn.NUMBERVALUE($U2)-_xlfn.NUMBERVALUE($U3),3)&lt;&gt;0)</formula>
    </cfRule>
  </conditionalFormatting>
  <conditionalFormatting sqref="U7:V7">
    <cfRule type="expression" dxfId="11"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zoomScaleNormal="80" workbookViewId="0">
      <selection activeCell="D3" sqref="D3"/>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W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bestFit="1" customWidth="1"/>
  </cols>
  <sheetData>
    <row r="1" spans="1:23" ht="76" customHeight="1" x14ac:dyDescent="0.2">
      <c r="A1" s="22" t="s">
        <v>591</v>
      </c>
      <c r="B1" s="22" t="s">
        <v>592</v>
      </c>
      <c r="C1" s="22" t="s">
        <v>263</v>
      </c>
      <c r="D1" s="22" t="s">
        <v>593</v>
      </c>
      <c r="E1" s="22" t="s">
        <v>594</v>
      </c>
      <c r="F1" s="22"/>
      <c r="G1" s="376" t="s">
        <v>595</v>
      </c>
      <c r="H1" s="376" t="s">
        <v>596</v>
      </c>
      <c r="I1" s="381" t="s">
        <v>597</v>
      </c>
      <c r="J1" s="381" t="s">
        <v>598</v>
      </c>
      <c r="K1" s="381" t="s">
        <v>599</v>
      </c>
      <c r="L1" s="377" t="s">
        <v>600</v>
      </c>
      <c r="M1" s="22" t="s">
        <v>601</v>
      </c>
      <c r="N1" s="377" t="s">
        <v>602</v>
      </c>
      <c r="O1" s="378" t="s">
        <v>603</v>
      </c>
      <c r="P1" s="22" t="s">
        <v>604</v>
      </c>
      <c r="Q1" s="378" t="s">
        <v>605</v>
      </c>
      <c r="R1" s="378" t="s">
        <v>606</v>
      </c>
      <c r="S1" s="376" t="s">
        <v>630</v>
      </c>
      <c r="T1" s="376" t="s">
        <v>634</v>
      </c>
      <c r="U1" s="22" t="s">
        <v>633</v>
      </c>
      <c r="V1" s="379" t="s">
        <v>631</v>
      </c>
      <c r="W1" t="s">
        <v>607</v>
      </c>
    </row>
    <row r="2" spans="1:23" ht="15" customHeight="1" x14ac:dyDescent="0.2">
      <c r="A2" s="380" t="s">
        <v>609</v>
      </c>
      <c r="B2" s="380" t="s">
        <v>610</v>
      </c>
      <c r="C2" s="380" t="s">
        <v>611</v>
      </c>
      <c r="D2" s="380" t="s">
        <v>612</v>
      </c>
      <c r="E2" s="380" t="s">
        <v>613</v>
      </c>
      <c r="F2" s="380" t="s">
        <v>629</v>
      </c>
      <c r="G2" s="380" t="s">
        <v>614</v>
      </c>
      <c r="H2" s="380" t="s">
        <v>615</v>
      </c>
      <c r="I2" s="385" t="s">
        <v>616</v>
      </c>
      <c r="J2" s="385" t="s">
        <v>617</v>
      </c>
      <c r="K2" s="383" t="s">
        <v>618</v>
      </c>
      <c r="L2" s="383" t="s">
        <v>619</v>
      </c>
      <c r="M2" s="384" t="s">
        <v>620</v>
      </c>
      <c r="N2" s="386" t="s">
        <v>621</v>
      </c>
      <c r="O2" s="383" t="s">
        <v>622</v>
      </c>
      <c r="P2" s="383" t="s">
        <v>623</v>
      </c>
      <c r="Q2" s="383" t="s">
        <v>624</v>
      </c>
      <c r="R2" s="383" t="s">
        <v>625</v>
      </c>
      <c r="S2" s="383" t="s">
        <v>626</v>
      </c>
      <c r="T2" s="383" t="s">
        <v>635</v>
      </c>
      <c r="U2" s="383" t="s">
        <v>627</v>
      </c>
      <c r="V2" s="382" t="s">
        <v>628</v>
      </c>
      <c r="W2" t="s">
        <v>608</v>
      </c>
    </row>
    <row r="3" spans="1:23" x14ac:dyDescent="0.2">
      <c r="W3" t="s">
        <v>7</v>
      </c>
    </row>
    <row r="6" spans="1:23" x14ac:dyDescent="0.2">
      <c r="D6" s="21"/>
    </row>
  </sheetData>
  <autoFilter ref="A1:V1" xr:uid="{02AF4949-5E39-2D4C-AD07-A4D8FB117F56}"/>
  <conditionalFormatting sqref="A1:B1">
    <cfRule type="expression" dxfId="10" priority="30">
      <formula>AND(OR($I1&lt;&gt;"-",#REF!&lt;&gt;0,#REF!&lt;&gt;0,ISBLANK($M1)),ROW()&gt;2,$A1&lt;&gt;"")</formula>
    </cfRule>
  </conditionalFormatting>
  <conditionalFormatting sqref="A2:F2">
    <cfRule type="expression" dxfId="9" priority="11" stopIfTrue="1">
      <formula>$F2="x"</formula>
    </cfRule>
  </conditionalFormatting>
  <conditionalFormatting sqref="G2:N2">
    <cfRule type="expression" dxfId="8" priority="5">
      <formula>$F2="x"</formula>
    </cfRule>
  </conditionalFormatting>
  <conditionalFormatting sqref="I2:K2">
    <cfRule type="expression" dxfId="7" priority="6">
      <formula>1=1</formula>
    </cfRule>
  </conditionalFormatting>
  <conditionalFormatting sqref="L2">
    <cfRule type="expression" dxfId="6" priority="8">
      <formula>1=1</formula>
    </cfRule>
  </conditionalFormatting>
  <conditionalFormatting sqref="N2">
    <cfRule type="expression" dxfId="5" priority="7">
      <formula>1=1</formula>
    </cfRule>
  </conditionalFormatting>
  <conditionalFormatting sqref="O2">
    <cfRule type="expression" dxfId="4" priority="9">
      <formula>1=1</formula>
    </cfRule>
  </conditionalFormatting>
  <conditionalFormatting sqref="O2:V2">
    <cfRule type="expression" dxfId="3" priority="1">
      <formula>$F2="x"</formula>
    </cfRule>
  </conditionalFormatting>
  <conditionalFormatting sqref="Q2:R2">
    <cfRule type="expression" dxfId="2" priority="4">
      <formula>1=1</formula>
    </cfRule>
  </conditionalFormatting>
  <conditionalFormatting sqref="S2:T2">
    <cfRule type="expression" dxfId="1" priority="3">
      <formula>1=1</formula>
    </cfRule>
  </conditionalFormatting>
  <conditionalFormatting sqref="V2">
    <cfRule type="expression" dxfId="0" priority="2">
      <formula>1=1</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F24"/>
  <sheetViews>
    <sheetView topLeftCell="D1" zoomScaleNormal="100" workbookViewId="0">
      <pane xSplit="3" ySplit="1" topLeftCell="G2" activePane="bottomRight" state="frozen"/>
      <selection activeCell="D1" sqref="D1"/>
      <selection pane="topRight" activeCell="G1" sqref="G1"/>
      <selection pane="bottomLeft" activeCell="D2" sqref="D2"/>
      <selection pane="bottomRight" activeCell="I14" sqref="I14"/>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8" width="9.33203125" style="37" customWidth="1"/>
    <col min="59" max="59" width="4" style="37" customWidth="1"/>
    <col min="60" max="16384" width="11" style="37"/>
  </cols>
  <sheetData>
    <row r="1" spans="1:58" s="41" customFormat="1" ht="23.5" customHeight="1" x14ac:dyDescent="0.15">
      <c r="B1" s="424" t="s">
        <v>170</v>
      </c>
      <c r="C1" s="424"/>
      <c r="D1" s="424"/>
      <c r="E1" s="424"/>
      <c r="F1" s="424"/>
      <c r="G1" s="424"/>
      <c r="H1" s="424"/>
      <c r="I1" s="424"/>
    </row>
    <row r="2" spans="1:58" s="41" customFormat="1" ht="12.75" customHeight="1" x14ac:dyDescent="0.15">
      <c r="A2" s="74"/>
      <c r="B2" s="74"/>
      <c r="C2" s="74"/>
      <c r="D2" s="74"/>
      <c r="E2" s="74"/>
      <c r="F2" s="74"/>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69" t="s">
        <v>162</v>
      </c>
      <c r="AV2" s="423" t="s">
        <v>161</v>
      </c>
      <c r="AW2" s="68" t="s">
        <v>160</v>
      </c>
      <c r="AX2" s="68" t="s">
        <v>160</v>
      </c>
      <c r="AY2" s="68" t="s">
        <v>160</v>
      </c>
      <c r="AZ2" s="68" t="s">
        <v>160</v>
      </c>
      <c r="BA2" s="68" t="s">
        <v>160</v>
      </c>
      <c r="BB2" s="68" t="s">
        <v>160</v>
      </c>
      <c r="BC2" s="68" t="s">
        <v>160</v>
      </c>
      <c r="BD2" s="68" t="s">
        <v>160</v>
      </c>
      <c r="BE2" s="68" t="s">
        <v>160</v>
      </c>
      <c r="BF2" s="423" t="s">
        <v>159</v>
      </c>
    </row>
    <row r="3" spans="1:58"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8" s="41" customFormat="1" ht="72" x14ac:dyDescent="0.15">
      <c r="A4" s="73"/>
      <c r="B4" s="72" t="s">
        <v>112</v>
      </c>
      <c r="C4" s="72" t="s">
        <v>111</v>
      </c>
      <c r="D4" s="72" t="s">
        <v>32</v>
      </c>
      <c r="E4" s="72" t="s">
        <v>110</v>
      </c>
      <c r="F4" s="72" t="s">
        <v>109</v>
      </c>
      <c r="G4" s="71" t="s">
        <v>108</v>
      </c>
      <c r="H4" s="423"/>
      <c r="I4" s="70" t="s">
        <v>107</v>
      </c>
      <c r="J4" s="70" t="s">
        <v>106</v>
      </c>
      <c r="K4" s="70" t="s">
        <v>105</v>
      </c>
      <c r="L4" s="70" t="s">
        <v>104</v>
      </c>
      <c r="M4" s="70" t="s">
        <v>103</v>
      </c>
      <c r="N4" s="70" t="s">
        <v>102</v>
      </c>
      <c r="O4" s="70" t="s">
        <v>101</v>
      </c>
      <c r="P4" s="70" t="s">
        <v>100</v>
      </c>
      <c r="Q4" s="70" t="s">
        <v>99</v>
      </c>
      <c r="R4" s="70" t="s">
        <v>692</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84</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69</v>
      </c>
      <c r="AZ4" s="68" t="s">
        <v>68</v>
      </c>
      <c r="BA4" s="68" t="s">
        <v>67</v>
      </c>
      <c r="BB4" s="68" t="s">
        <v>66</v>
      </c>
      <c r="BC4" s="68" t="s">
        <v>65</v>
      </c>
      <c r="BD4" s="68" t="s">
        <v>64</v>
      </c>
      <c r="BE4" s="68" t="s">
        <v>63</v>
      </c>
      <c r="BF4" s="423"/>
    </row>
    <row r="5" spans="1:58"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cm="1">
        <f t="array" ref="AT5">SUM(SUMIFS(
INDEX( 'ETPT Format DDG'!$A:$ZZ,,MATCH("5. TOTAL JLD CIVIL",'ETPT Format DDG'!2:2,0)),
INDEX( 'ETPT Format DDG'!$A:$ZZ,,MATCH("Fonction recodée",'ETPT Format DDG'!2:2,0)),{"Magistrat SIEGE S";"Magistrat SIEGE NS"}))</f>
        <v>#N/A</v>
      </c>
      <c r="AU5" s="54"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46">
        <f>_xlfn.AGGREGATE(9,6,AH5:AU5)</f>
        <v>0</v>
      </c>
      <c r="AW5" s="51"/>
      <c r="AX5" s="51"/>
      <c r="AY5" s="62"/>
      <c r="AZ5" s="62"/>
      <c r="BA5" s="62"/>
      <c r="BB5" s="62"/>
      <c r="BC5" s="62"/>
      <c r="BD5" s="62"/>
      <c r="BE5" s="51"/>
      <c r="BF5" s="46">
        <f>SUM(AW5:BE5)</f>
        <v>0</v>
      </c>
    </row>
    <row r="6" spans="1:58"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54"/>
      <c r="AU6" s="63"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46">
        <f t="shared" ref="AV6:AV15" si="3">_xlfn.AGGREGATE(9,6,AH6:AU6)</f>
        <v>0</v>
      </c>
      <c r="AW6" s="51"/>
      <c r="AX6" s="51"/>
      <c r="AY6" s="51"/>
      <c r="AZ6" s="51"/>
      <c r="BA6" s="51"/>
      <c r="BB6" s="51"/>
      <c r="BC6" s="51"/>
      <c r="BD6" s="62"/>
      <c r="BE6" s="51"/>
      <c r="BF6" s="46">
        <f>SUM(AW6:BE6)</f>
        <v>0</v>
      </c>
    </row>
    <row r="7" spans="1:58"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60"/>
      <c r="AU7" s="52" t="e">
        <f>SUM(SUMIFS(
INDEX( 'ETPT Format DDG'!$A:$ZZ,,MATCH("11.5. CSM",'ETPT Format DDG'!2:2,0)),
INDEX( 'ETPT Format DDG'!$A:$ZZ,,MATCH("Fonction recodée",'ETPT Format DDG'!2:2,0)),"Magistrat SIEGE NS",
INDEX( 'ETPT Format DDG'!$A:$ZZ,,MATCH("TJCPH",'ETPT Format DDG'!2:2,0)),"OUI"))</f>
        <v>#N/A</v>
      </c>
      <c r="AV7" s="46">
        <f t="shared" si="3"/>
        <v>0</v>
      </c>
      <c r="AW7" s="51"/>
      <c r="AX7" s="51"/>
      <c r="AY7" s="51"/>
      <c r="AZ7" s="51"/>
      <c r="BA7" s="51"/>
      <c r="BB7" s="51"/>
      <c r="BC7" s="51"/>
      <c r="BD7" s="51"/>
      <c r="BE7" s="51"/>
      <c r="BF7" s="46">
        <f t="shared" ref="BF7:BF15" si="5">SUM(AW7:BE7)</f>
        <v>0</v>
      </c>
    </row>
    <row r="8" spans="1:58"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60"/>
      <c r="AU8" s="52" t="e">
        <f>SUM(SUMIFS(
INDEX( 'ETPT Format DDG'!$A:$ZZ,,MATCH("11.51. ACCUEIL DU JUSTICIABLE (DONT SAUJ)",'ETPT Format DDG'!2:2,0)),
INDEX( 'ETPT Format DDG'!$A:$ZZ,,MATCH("Fonction recodée",'ETPT Format DDG'!2:2,0)),"Magistrat SIEGE NS",
INDEX( 'ETPT Format DDG'!$A:$ZZ,,MATCH("TJCPH",'ETPT Format DDG'!2:2,0)),"OUI"))</f>
        <v>#N/A</v>
      </c>
      <c r="AV8" s="46">
        <f t="shared" si="3"/>
        <v>0</v>
      </c>
      <c r="AW8" s="51"/>
      <c r="AX8" s="51"/>
      <c r="AY8" s="51"/>
      <c r="AZ8" s="51"/>
      <c r="BA8" s="51"/>
      <c r="BB8" s="51"/>
      <c r="BC8" s="51"/>
      <c r="BD8" s="51"/>
      <c r="BE8" s="51"/>
      <c r="BF8" s="46">
        <f t="shared" si="5"/>
        <v>0</v>
      </c>
    </row>
    <row r="9" spans="1:58"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60"/>
      <c r="AU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46">
        <f t="shared" si="3"/>
        <v>0</v>
      </c>
      <c r="AW9" s="51"/>
      <c r="AX9" s="51"/>
      <c r="AY9" s="51"/>
      <c r="AZ9" s="51"/>
      <c r="BA9" s="51"/>
      <c r="BB9" s="51"/>
      <c r="BC9" s="51"/>
      <c r="BD9" s="51"/>
      <c r="BE9" s="51"/>
      <c r="BF9" s="46">
        <f t="shared" si="5"/>
        <v>0</v>
      </c>
    </row>
    <row r="10" spans="1:58"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60"/>
      <c r="AU10" s="52" t="e">
        <f>SUM(SUMIFS(
INDEX( 'ETPT Format DDG'!$A:$ZZ,,MATCH("11.3. FORMATIONS DISPENSÉES",'ETPT Format DDG'!2:2,0)),
INDEX( 'ETPT Format DDG'!$A:$ZZ,,MATCH("Fonction recodée",'ETPT Format DDG'!2:2,0)),"Magistrat SIEGE NS",
INDEX( 'ETPT Format DDG'!$A:$ZZ,,MATCH("TJCPH",'ETPT Format DDG'!2:2,0)),"OUI"))</f>
        <v>#N/A</v>
      </c>
      <c r="AV10" s="46">
        <f>_xlfn.AGGREGATE(9,6,AH10:AU10)</f>
        <v>0</v>
      </c>
      <c r="AW10" s="51"/>
      <c r="AX10" s="51"/>
      <c r="AY10" s="51"/>
      <c r="AZ10" s="51"/>
      <c r="BA10" s="51"/>
      <c r="BB10" s="51"/>
      <c r="BC10" s="51"/>
      <c r="BD10" s="51"/>
      <c r="BE10" s="51"/>
      <c r="BF10" s="46">
        <f t="shared" si="5"/>
        <v>0</v>
      </c>
    </row>
    <row r="11" spans="1:58"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60"/>
      <c r="AU11" s="52" t="e">
        <f>SUM(SUMIFS(
INDEX( 'ETPT Format DDG'!$A:$ZZ,,MATCH("11.4. ACCÈS AU DROIT ET À LA JUSTICE",'ETPT Format DDG'!2:2,0)),
INDEX( 'ETPT Format DDG'!$A:$ZZ,,MATCH("Fonction recodée",'ETPT Format DDG'!2:2,0)),"Magistrat SIEGE NS",
INDEX( 'ETPT Format DDG'!$A:$ZZ,,MATCH("TJCPH",'ETPT Format DDG'!2:2,0)),"OUI"))</f>
        <v>#N/A</v>
      </c>
      <c r="AV11" s="46">
        <f t="shared" si="3"/>
        <v>0</v>
      </c>
      <c r="AW11" s="51"/>
      <c r="AX11" s="51"/>
      <c r="AY11" s="51"/>
      <c r="AZ11" s="51"/>
      <c r="BA11" s="51"/>
      <c r="BB11" s="51"/>
      <c r="BC11" s="51"/>
      <c r="BD11" s="51"/>
      <c r="BE11" s="51"/>
      <c r="BF11" s="46">
        <f t="shared" si="5"/>
        <v>0</v>
      </c>
    </row>
    <row r="12" spans="1:58" s="41" customFormat="1" ht="14.25" customHeight="1" x14ac:dyDescent="0.15">
      <c r="A12" s="50" t="s">
        <v>42</v>
      </c>
      <c r="B12" s="58"/>
      <c r="C12" s="58"/>
      <c r="D12" s="59" t="str">
        <f t="shared" si="0"/>
        <v/>
      </c>
      <c r="E12" s="58" t="s">
        <v>48</v>
      </c>
      <c r="F12" s="58" t="s">
        <v>47</v>
      </c>
      <c r="G12" s="89"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60"/>
      <c r="AU12" s="52"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46">
        <f t="shared" si="3"/>
        <v>0</v>
      </c>
      <c r="AW12" s="51"/>
      <c r="AX12" s="51"/>
      <c r="AY12" s="51"/>
      <c r="AZ12" s="51"/>
      <c r="BA12" s="51"/>
      <c r="BB12" s="51"/>
      <c r="BC12" s="51"/>
      <c r="BD12" s="51"/>
      <c r="BE12" s="51"/>
      <c r="BF12" s="46">
        <f t="shared" si="5"/>
        <v>0</v>
      </c>
    </row>
    <row r="13" spans="1:58"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c r="AU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46">
        <f t="shared" si="3"/>
        <v>0</v>
      </c>
      <c r="AW13" s="51"/>
      <c r="AX13" s="51"/>
      <c r="AY13" s="51"/>
      <c r="AZ13" s="51"/>
      <c r="BA13" s="51"/>
      <c r="BB13" s="51"/>
      <c r="BC13" s="51"/>
      <c r="BD13" s="51"/>
      <c r="BE13" s="51"/>
      <c r="BF13" s="46">
        <f t="shared" si="5"/>
        <v>0</v>
      </c>
    </row>
    <row r="14" spans="1:58"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396" t="e">
        <f>SUM(SUMIFS(
INDEX( 'ETPT A-JUST'!$A:$ZZ,,MATCH("5. TOTAL JLD CIVIL",'ETPT A-JUST'!2:2,0)),
INDEX( 'ETPT A-JUST'!$A:$ZZ,,MATCH("Fonction recodée",'ETPT A-JUST'!2:2,0)),"Magistrat placé ADD"))</f>
        <v>#N/A</v>
      </c>
      <c r="AU14" s="265"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46">
        <f t="shared" si="3"/>
        <v>0</v>
      </c>
      <c r="AW14" s="51"/>
      <c r="AX14" s="51"/>
      <c r="AY14" s="51"/>
      <c r="AZ14" s="51"/>
      <c r="BA14" s="51"/>
      <c r="BB14" s="51"/>
      <c r="BC14" s="51"/>
      <c r="BD14" s="51"/>
      <c r="BE14" s="51"/>
      <c r="BF14" s="46">
        <f t="shared" si="5"/>
        <v>0</v>
      </c>
    </row>
    <row r="15" spans="1:58"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396" t="e">
        <f>SUM(SUMIFS(
INDEX( 'ETPT A-JUST'!$A:$ZZ,,MATCH("5. TOTAL JLD CIVIL",'ETPT A-JUST'!2:2,0)),
INDEX( 'ETPT A-JUST'!$A:$ZZ,,MATCH("Fonction recodée",'ETPT A-JUST'!2:2,0)),"Magistrat placé SUB"))</f>
        <v>#N/A</v>
      </c>
      <c r="AU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46">
        <f t="shared" si="3"/>
        <v>0</v>
      </c>
      <c r="AW15" s="51"/>
      <c r="AX15" s="51"/>
      <c r="AY15" s="51"/>
      <c r="AZ15" s="51"/>
      <c r="BA15" s="51"/>
      <c r="BB15" s="51"/>
      <c r="BC15" s="51"/>
      <c r="BD15" s="51"/>
      <c r="BE15" s="51"/>
      <c r="BF15" s="46">
        <f t="shared" si="5"/>
        <v>0</v>
      </c>
    </row>
    <row r="16" spans="1:58" s="41" customFormat="1" ht="14.25" customHeight="1" x14ac:dyDescent="0.15">
      <c r="A16" s="50"/>
      <c r="B16" s="49"/>
      <c r="C16" s="49"/>
      <c r="D16" s="49"/>
      <c r="E16" s="49"/>
      <c r="F16" s="48" t="s">
        <v>39</v>
      </c>
      <c r="G16" s="47">
        <f>_xlfn.AGGREGATE(9,6,G5:G15)</f>
        <v>0</v>
      </c>
      <c r="H16" s="47">
        <f>_xlfn.AGGREGATE(9,6,H5:H15)</f>
        <v>0</v>
      </c>
      <c r="I16" s="47">
        <f t="shared" ref="I16:AV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si="6"/>
        <v>0</v>
      </c>
      <c r="AW16" s="47">
        <f t="shared" ref="AW16:BF16" si="7">SUM(AW5:AW15)</f>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1:58"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row>
    <row r="18" spans="1:58" x14ac:dyDescent="0.2">
      <c r="W18" s="40"/>
      <c r="AV18" s="40"/>
    </row>
    <row r="19" spans="1:58" x14ac:dyDescent="0.2">
      <c r="D19" s="39" t="s">
        <v>171</v>
      </c>
      <c r="AV19" s="38"/>
    </row>
    <row r="20" spans="1:58" ht="28" x14ac:dyDescent="0.2">
      <c r="F20" s="181" t="s">
        <v>250</v>
      </c>
      <c r="G20" s="268" t="e" cm="1">
        <f t="array" ref="G20">SUM(SUMIFS(
INDEX( 'ETPT A-JUST'!$A:$ZZ,,MATCH("12. TOTAL INDISPONIBILITÉ",'ETPT A-JUST'!2:2,0)),
INDEX( 'ETPT A-JUST'!$A:$ZZ,,MATCH("Fonction recodée",'ETPT A-JUST'!2:2,0)),{"Fonctionnaire CTECH placé ADD";"Fonctionnaire CTECH placé SUB"},
INDEX( 'ETPT A-JUST'!$A:$ZZ,,MATCH("TJCPH",'ETPT A-JUST'!2:2,0)),"OUI"))</f>
        <v>#N/A</v>
      </c>
      <c r="H20" s="266"/>
      <c r="I20" s="266"/>
      <c r="J20" s="266"/>
      <c r="K20" s="266"/>
      <c r="L20" s="266"/>
      <c r="M20" s="266"/>
      <c r="N20" s="266"/>
      <c r="O20" s="266"/>
      <c r="P20" s="266"/>
      <c r="Q20" s="266"/>
      <c r="R20" s="266"/>
      <c r="S20" s="266"/>
      <c r="T20" s="266"/>
      <c r="U20" s="269" t="s">
        <v>251</v>
      </c>
      <c r="V20" s="268" t="e" cm="1">
        <f t="array" ref="V20">SUM(SUMIFS(
INDEX( 'ETPT A-JUST'!$A:$ZZ,,MATCH("12. TOTAL INDISPONIBILITÉ",'ETPT A-JUST'!2:2,0)),
INDEX( 'ETPT A-JUST'!$A:$ZZ,,MATCH("Fonction recodée",'ETPT A-JUST'!2:2,0)),{"Fonctionnaire A-B-CBUR placé ADD";"Fonctionnaire A-B-CBUR placé SUB"},
INDEX( 'ETPT A-JUST'!$A:$ZZ,,MATCH("TJCPH",'ETPT A-JUST'!2:2,0)),"OUI"))</f>
        <v>#N/A</v>
      </c>
      <c r="W20" s="267"/>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9" t="s">
        <v>249</v>
      </c>
      <c r="AT20" s="269"/>
      <c r="AU20" s="268" t="e" cm="1">
        <f t="array" ref="AU20">SUM(SUMIFS(
INDEX( 'ETPT A-JUST'!$A:$ZZ,,MATCH("12. TOTAL INDISPONIBILITÉ",'ETPT A-JUST'!2:2,0)),
INDEX( 'ETPT A-JUST'!$A:$ZZ,,MATCH("Fonction recodée",'ETPT A-JUST'!2:2,0)),{"Magistrat placé ADD";"Magistrat placé SUB"},
INDEX( 'ETPT A-JUST'!$A:$ZZ,,MATCH("TJCPH",'ETPT A-JUST'!2:2,0)),"OUI"))</f>
        <v>#N/A</v>
      </c>
      <c r="AV20" s="38"/>
    </row>
    <row r="21" spans="1:58" x14ac:dyDescent="0.2">
      <c r="W21" s="38"/>
      <c r="AU21" s="38"/>
    </row>
    <row r="22" spans="1:58" x14ac:dyDescent="0.2">
      <c r="AC22" s="38"/>
    </row>
    <row r="24" spans="1:58" x14ac:dyDescent="0.2">
      <c r="V24" s="38"/>
    </row>
  </sheetData>
  <mergeCells count="6">
    <mergeCell ref="BF2:BF4"/>
    <mergeCell ref="B1:I1"/>
    <mergeCell ref="H2:H4"/>
    <mergeCell ref="W2:W4"/>
    <mergeCell ref="AG2:AG4"/>
    <mergeCell ref="AV2:AV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25" t="s">
        <v>214</v>
      </c>
      <c r="B1" s="425"/>
      <c r="C1" s="425"/>
      <c r="D1" s="425"/>
      <c r="E1" s="425"/>
      <c r="F1" s="425"/>
      <c r="G1" s="425"/>
      <c r="H1" s="425"/>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23" t="s">
        <v>168</v>
      </c>
      <c r="I2" s="71" t="s">
        <v>167</v>
      </c>
      <c r="J2" s="71" t="s">
        <v>167</v>
      </c>
      <c r="K2" s="71" t="s">
        <v>167</v>
      </c>
      <c r="L2" s="71" t="s">
        <v>167</v>
      </c>
      <c r="M2" s="71" t="s">
        <v>167</v>
      </c>
      <c r="N2" s="71" t="s">
        <v>167</v>
      </c>
      <c r="O2" s="95" t="s">
        <v>167</v>
      </c>
      <c r="P2" s="95" t="s">
        <v>167</v>
      </c>
      <c r="Q2" s="71" t="s">
        <v>167</v>
      </c>
      <c r="R2" s="71" t="s">
        <v>167</v>
      </c>
      <c r="S2" s="423" t="s">
        <v>166</v>
      </c>
      <c r="T2" s="71" t="s">
        <v>164</v>
      </c>
      <c r="U2" s="71" t="s">
        <v>164</v>
      </c>
      <c r="V2" s="71" t="s">
        <v>164</v>
      </c>
      <c r="W2" s="71" t="s">
        <v>164</v>
      </c>
      <c r="X2" s="71" t="s">
        <v>164</v>
      </c>
      <c r="Y2" s="71" t="s">
        <v>164</v>
      </c>
      <c r="Z2" s="95" t="s">
        <v>164</v>
      </c>
      <c r="AA2" s="95" t="s">
        <v>164</v>
      </c>
      <c r="AB2" s="71" t="s">
        <v>164</v>
      </c>
      <c r="AC2" s="423" t="s">
        <v>213</v>
      </c>
      <c r="AD2" s="71" t="s">
        <v>212</v>
      </c>
      <c r="AE2" s="71" t="s">
        <v>212</v>
      </c>
      <c r="AF2" s="71" t="s">
        <v>212</v>
      </c>
      <c r="AG2" s="423" t="s">
        <v>211</v>
      </c>
    </row>
    <row r="3" spans="1:33" ht="36" x14ac:dyDescent="0.2">
      <c r="A3" s="74"/>
      <c r="B3" s="74"/>
      <c r="C3" s="74"/>
      <c r="D3" s="74"/>
      <c r="E3" s="74"/>
      <c r="F3" s="74"/>
      <c r="G3" s="71" t="s">
        <v>158</v>
      </c>
      <c r="H3" s="423"/>
      <c r="I3" s="71" t="s">
        <v>210</v>
      </c>
      <c r="J3" s="71" t="s">
        <v>209</v>
      </c>
      <c r="K3" s="71" t="s">
        <v>208</v>
      </c>
      <c r="L3" s="71" t="s">
        <v>207</v>
      </c>
      <c r="M3" s="71" t="s">
        <v>206</v>
      </c>
      <c r="N3" s="71" t="s">
        <v>205</v>
      </c>
      <c r="O3" s="95" t="s">
        <v>204</v>
      </c>
      <c r="P3" s="95" t="s">
        <v>203</v>
      </c>
      <c r="Q3" s="71" t="s">
        <v>202</v>
      </c>
      <c r="R3" s="71" t="s">
        <v>145</v>
      </c>
      <c r="S3" s="423"/>
      <c r="T3" s="71" t="s">
        <v>201</v>
      </c>
      <c r="U3" s="71" t="s">
        <v>200</v>
      </c>
      <c r="V3" s="71" t="s">
        <v>199</v>
      </c>
      <c r="W3" s="71" t="s">
        <v>198</v>
      </c>
      <c r="X3" s="71" t="s">
        <v>197</v>
      </c>
      <c r="Y3" s="71" t="s">
        <v>196</v>
      </c>
      <c r="Z3" s="95" t="s">
        <v>195</v>
      </c>
      <c r="AA3" s="95" t="s">
        <v>194</v>
      </c>
      <c r="AB3" s="71" t="s">
        <v>193</v>
      </c>
      <c r="AC3" s="423"/>
      <c r="AD3" s="71" t="s">
        <v>192</v>
      </c>
      <c r="AE3" s="71" t="s">
        <v>128</v>
      </c>
      <c r="AF3" s="71" t="s">
        <v>122</v>
      </c>
      <c r="AG3" s="423"/>
    </row>
    <row r="4" spans="1:33" ht="60" x14ac:dyDescent="0.2">
      <c r="A4" s="74"/>
      <c r="B4" s="72" t="s">
        <v>112</v>
      </c>
      <c r="C4" s="72" t="s">
        <v>111</v>
      </c>
      <c r="D4" s="72" t="s">
        <v>32</v>
      </c>
      <c r="E4" s="72" t="s">
        <v>110</v>
      </c>
      <c r="F4" s="72" t="s">
        <v>109</v>
      </c>
      <c r="G4" s="71" t="s">
        <v>108</v>
      </c>
      <c r="H4" s="423"/>
      <c r="I4" s="71" t="s">
        <v>191</v>
      </c>
      <c r="J4" s="71" t="s">
        <v>190</v>
      </c>
      <c r="K4" s="71" t="s">
        <v>189</v>
      </c>
      <c r="L4" s="71" t="s">
        <v>188</v>
      </c>
      <c r="M4" s="71" t="s">
        <v>187</v>
      </c>
      <c r="N4" s="71" t="s">
        <v>186</v>
      </c>
      <c r="O4" s="95" t="s">
        <v>185</v>
      </c>
      <c r="P4" s="95" t="s">
        <v>184</v>
      </c>
      <c r="Q4" s="71" t="s">
        <v>183</v>
      </c>
      <c r="R4" s="71" t="s">
        <v>94</v>
      </c>
      <c r="S4" s="423"/>
      <c r="T4" s="71" t="s">
        <v>182</v>
      </c>
      <c r="U4" s="71" t="s">
        <v>181</v>
      </c>
      <c r="V4" s="71" t="s">
        <v>180</v>
      </c>
      <c r="W4" s="71" t="s">
        <v>179</v>
      </c>
      <c r="X4" s="71" t="s">
        <v>178</v>
      </c>
      <c r="Y4" s="71" t="s">
        <v>177</v>
      </c>
      <c r="Z4" s="95" t="s">
        <v>176</v>
      </c>
      <c r="AA4" s="95" t="s">
        <v>175</v>
      </c>
      <c r="AB4" s="71" t="s">
        <v>174</v>
      </c>
      <c r="AC4" s="423"/>
      <c r="AD4" s="71" t="s">
        <v>173</v>
      </c>
      <c r="AE4" s="71" t="s">
        <v>78</v>
      </c>
      <c r="AF4" s="71" t="s">
        <v>72</v>
      </c>
      <c r="AG4" s="423"/>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0" customFormat="1" ht="24" x14ac:dyDescent="0.15">
      <c r="F18" s="272" t="s">
        <v>250</v>
      </c>
      <c r="G18" s="268" t="e" cm="1">
        <f t="array" ref="G18">SUM(SUMIFS(
INDEX( 'ETPT A-JUST'!$A:$ZZ,,MATCH("12. TOTAL INDISPONIBILITÉ",'ETPT A-JUST'!2:2,0)),
INDEX( 'ETPT A-JUST'!$A:$ZZ,,MATCH("Fonction recodée",'ETPT A-JUST'!2:2,0)),{"Fonctionnaire CTECH placé ADD";"Fonctionnaire CTECH placé SUB"},
INDEX( 'ETPT A-JUST'!$A:$ZZ,,MATCH("Juridiction",'ETPT A-JUST'!2:2,0)),$D$5))</f>
        <v>#N/A</v>
      </c>
      <c r="Q18" s="269" t="s">
        <v>251</v>
      </c>
      <c r="R18" s="268"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1"/>
      <c r="AD18" s="269"/>
      <c r="AE18" s="269"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23" t="s">
        <v>166</v>
      </c>
      <c r="I2" s="71" t="s">
        <v>38</v>
      </c>
      <c r="J2" s="423" t="s">
        <v>165</v>
      </c>
    </row>
    <row r="3" spans="1:10" ht="36" x14ac:dyDescent="0.2">
      <c r="A3" s="87"/>
      <c r="B3" s="86"/>
      <c r="C3" s="86"/>
      <c r="D3" s="86"/>
      <c r="E3" s="86"/>
      <c r="F3" s="86"/>
      <c r="G3" s="71" t="s">
        <v>145</v>
      </c>
      <c r="H3" s="423"/>
      <c r="I3" s="71" t="s">
        <v>142</v>
      </c>
      <c r="J3" s="423"/>
    </row>
    <row r="4" spans="1:10" s="256" customFormat="1" ht="36" x14ac:dyDescent="0.15">
      <c r="A4" s="257"/>
      <c r="B4" s="85" t="s">
        <v>112</v>
      </c>
      <c r="C4" s="85" t="s">
        <v>111</v>
      </c>
      <c r="D4" s="85" t="s">
        <v>32</v>
      </c>
      <c r="E4" s="85" t="s">
        <v>110</v>
      </c>
      <c r="F4" s="85" t="s">
        <v>109</v>
      </c>
      <c r="G4" s="71" t="s">
        <v>94</v>
      </c>
      <c r="H4" s="423"/>
      <c r="I4" s="71" t="s">
        <v>93</v>
      </c>
      <c r="J4" s="423"/>
    </row>
    <row r="5" spans="1:10" s="256" customFormat="1" ht="11" x14ac:dyDescent="0.15">
      <c r="A5" s="83" t="s">
        <v>215</v>
      </c>
      <c r="B5" s="82"/>
      <c r="C5" s="82"/>
      <c r="D5" s="84">
        <f>ETPT_CPH_DDG!$D$5</f>
        <v>0</v>
      </c>
      <c r="E5" s="82" t="s">
        <v>62</v>
      </c>
      <c r="F5" s="82" t="s">
        <v>61</v>
      </c>
      <c r="G5" s="273" t="e">
        <f>SUM(SUMIFS(
INDEX( 'ETPT Format DDG'!$A:$ZZ,,MATCH("11.7. FONCTIONNAIRES AFFECTÉS AU CPH",'ETPT Format DDG'!2:2,0)),
INDEX( 'ETPT Format DDG'!$A:$ZZ,,MATCH("Fonction recodée",'ETPT Format DDG'!2:2,0)),"Fonctionnaire A-B-CBUR",
INDEX( 'ETPT Format DDG'!$A:$ZZ,,MATCH("Juridiction",'ETPT Format DDG'!2:2,0)),$D$5))</f>
        <v>#N/A</v>
      </c>
      <c r="H5" s="274">
        <f>_xlfn.AGGREGATE(9,6,G5)</f>
        <v>0</v>
      </c>
      <c r="I5" s="275"/>
      <c r="J5" s="274">
        <f>_xlfn.AGGREGATE(9,6,I5)</f>
        <v>0</v>
      </c>
    </row>
    <row r="6" spans="1:10" s="256" customFormat="1" ht="11" x14ac:dyDescent="0.15">
      <c r="A6" s="83" t="s">
        <v>215</v>
      </c>
      <c r="B6" s="82"/>
      <c r="C6" s="82"/>
      <c r="D6" s="59">
        <f t="shared" ref="D6:D13" si="0">$D$5</f>
        <v>0</v>
      </c>
      <c r="E6" s="82" t="s">
        <v>56</v>
      </c>
      <c r="F6" s="82" t="s">
        <v>55</v>
      </c>
      <c r="G6" s="276"/>
      <c r="H6" s="274">
        <f t="shared" ref="H6:H13" si="1">_xlfn.AGGREGATE(9,6,G6)</f>
        <v>0</v>
      </c>
      <c r="I6" s="275"/>
      <c r="J6" s="274">
        <f t="shared" ref="J6:J13" si="2">_xlfn.AGGREGATE(9,6,I6)</f>
        <v>0</v>
      </c>
    </row>
    <row r="7" spans="1:10" s="256" customFormat="1" ht="11" x14ac:dyDescent="0.15">
      <c r="A7" s="83" t="s">
        <v>215</v>
      </c>
      <c r="B7" s="82"/>
      <c r="C7" s="82"/>
      <c r="D7" s="59">
        <f t="shared" si="0"/>
        <v>0</v>
      </c>
      <c r="E7" s="82" t="s">
        <v>54</v>
      </c>
      <c r="F7" s="82" t="s">
        <v>53</v>
      </c>
      <c r="G7" s="276"/>
      <c r="H7" s="274">
        <f t="shared" si="1"/>
        <v>0</v>
      </c>
      <c r="I7" s="277"/>
      <c r="J7" s="274">
        <f t="shared" si="2"/>
        <v>0</v>
      </c>
    </row>
    <row r="8" spans="1:10" s="256" customFormat="1" ht="11" x14ac:dyDescent="0.15">
      <c r="A8" s="83" t="s">
        <v>215</v>
      </c>
      <c r="B8" s="82"/>
      <c r="C8" s="82"/>
      <c r="D8" s="59">
        <f t="shared" si="0"/>
        <v>0</v>
      </c>
      <c r="E8" s="82" t="s">
        <v>52</v>
      </c>
      <c r="F8" s="82" t="s">
        <v>51</v>
      </c>
      <c r="G8" s="276"/>
      <c r="H8" s="274">
        <f t="shared" si="1"/>
        <v>0</v>
      </c>
      <c r="I8" s="275"/>
      <c r="J8" s="274">
        <f t="shared" si="2"/>
        <v>0</v>
      </c>
    </row>
    <row r="9" spans="1:10" s="256" customFormat="1" ht="11" x14ac:dyDescent="0.15">
      <c r="A9" s="83" t="s">
        <v>215</v>
      </c>
      <c r="B9" s="82"/>
      <c r="C9" s="82"/>
      <c r="D9" s="59">
        <f t="shared" si="0"/>
        <v>0</v>
      </c>
      <c r="E9" s="82" t="s">
        <v>50</v>
      </c>
      <c r="F9" s="82" t="s">
        <v>49</v>
      </c>
      <c r="G9" s="276"/>
      <c r="H9" s="274">
        <f t="shared" si="1"/>
        <v>0</v>
      </c>
      <c r="I9" s="277"/>
      <c r="J9" s="274">
        <f t="shared" si="2"/>
        <v>0</v>
      </c>
    </row>
    <row r="10" spans="1:10" s="256" customFormat="1" ht="11" x14ac:dyDescent="0.15">
      <c r="A10" s="83" t="s">
        <v>215</v>
      </c>
      <c r="B10" s="82"/>
      <c r="C10" s="82"/>
      <c r="D10" s="59">
        <f t="shared" si="0"/>
        <v>0</v>
      </c>
      <c r="E10" s="82" t="s">
        <v>48</v>
      </c>
      <c r="F10" s="82" t="s">
        <v>47</v>
      </c>
      <c r="G10" s="276"/>
      <c r="H10" s="274">
        <f t="shared" si="1"/>
        <v>0</v>
      </c>
      <c r="I10" s="275"/>
      <c r="J10" s="274">
        <f t="shared" si="2"/>
        <v>0</v>
      </c>
    </row>
    <row r="11" spans="1:10" s="256" customFormat="1" ht="11" x14ac:dyDescent="0.15">
      <c r="A11" s="83" t="s">
        <v>215</v>
      </c>
      <c r="B11" s="82"/>
      <c r="C11" s="82"/>
      <c r="D11" s="59">
        <f t="shared" si="0"/>
        <v>0</v>
      </c>
      <c r="E11" s="82" t="s">
        <v>46</v>
      </c>
      <c r="F11" s="82" t="s">
        <v>45</v>
      </c>
      <c r="G11" s="276"/>
      <c r="H11" s="274">
        <f t="shared" si="1"/>
        <v>0</v>
      </c>
      <c r="I11" s="277"/>
      <c r="J11" s="274">
        <f t="shared" si="2"/>
        <v>0</v>
      </c>
    </row>
    <row r="12" spans="1:10" s="256" customFormat="1" ht="11" x14ac:dyDescent="0.15">
      <c r="A12" s="83" t="s">
        <v>215</v>
      </c>
      <c r="B12" s="82"/>
      <c r="C12" s="82"/>
      <c r="D12" s="59">
        <f t="shared" si="0"/>
        <v>0</v>
      </c>
      <c r="E12" s="82" t="s">
        <v>44</v>
      </c>
      <c r="F12" s="82" t="s">
        <v>43</v>
      </c>
      <c r="G12" s="273" t="e">
        <f>SUM(SUMIFS(
INDEX( 'ETPT A-JUST'!$A:$ZZ,,MATCH("11.7. FONCTIONNAIRES AFFECTÉS AU CPH",'ETPT A-JUST'!2:2,0)),
INDEX( 'ETPT A-JUST'!$A:$ZZ,,MATCH("Fonction recodée",'ETPT A-JUST'!2:2,0)),"Fonctionnaire A-B-CBUR placé ADD",
INDEX( 'ETPT A-JUST'!$A:$ZZ,,MATCH("Juridiction",'ETPT A-JUST'!2:2,0)),$D$5))</f>
        <v>#N/A</v>
      </c>
      <c r="H12" s="274">
        <f t="shared" si="1"/>
        <v>0</v>
      </c>
      <c r="I12" s="92"/>
      <c r="J12" s="274">
        <f t="shared" si="2"/>
        <v>0</v>
      </c>
    </row>
    <row r="13" spans="1:10" s="256" customFormat="1" ht="11" x14ac:dyDescent="0.15">
      <c r="A13" s="83" t="s">
        <v>215</v>
      </c>
      <c r="B13" s="82"/>
      <c r="C13" s="82"/>
      <c r="D13" s="59">
        <f t="shared" si="0"/>
        <v>0</v>
      </c>
      <c r="E13" s="82" t="s">
        <v>41</v>
      </c>
      <c r="F13" s="82" t="s">
        <v>40</v>
      </c>
      <c r="G13" s="273" t="e">
        <f>SUM(SUMIFS(
INDEX( 'ETPT A-JUST'!$A:$ZZ,,MATCH("11.7. FONCTIONNAIRES AFFECTÉS AU CPH",'ETPT A-JUST'!2:2,0)),
INDEX( 'ETPT A-JUST'!$A:$ZZ,,MATCH("Fonction recodée",'ETPT A-JUST'!2:2,0)),"Fonctionnaire A-B-CBUR placé SUB",
INDEX( 'ETPT A-JUST'!$A:$ZZ,,MATCH("Juridiction",'ETPT A-JUST'!2:2,0)),$D$5))</f>
        <v>#N/A</v>
      </c>
      <c r="H13" s="274">
        <f t="shared" si="1"/>
        <v>0</v>
      </c>
      <c r="I13" s="92"/>
      <c r="J13" s="274">
        <f t="shared" si="2"/>
        <v>0</v>
      </c>
    </row>
    <row r="14" spans="1:10" s="256" customFormat="1" ht="11" x14ac:dyDescent="0.15">
      <c r="A14" s="258"/>
      <c r="B14" s="59"/>
      <c r="C14" s="59"/>
      <c r="D14" s="59"/>
      <c r="E14" s="76"/>
      <c r="F14" s="81" t="s">
        <v>39</v>
      </c>
      <c r="G14" s="274">
        <f>_xlfn.AGGREGATE(9,6,G5:G13)</f>
        <v>0</v>
      </c>
      <c r="H14" s="274">
        <f t="shared" ref="H14:I14" si="3">_xlfn.AGGREGATE(9,6,H5:H13)</f>
        <v>0</v>
      </c>
      <c r="I14" s="274">
        <f t="shared" si="3"/>
        <v>0</v>
      </c>
      <c r="J14" s="274">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L145"/>
  <sheetViews>
    <sheetView tabSelected="1" topLeftCell="C4" zoomScaleNormal="100" workbookViewId="0">
      <selection activeCell="I5" sqref="I5"/>
    </sheetView>
  </sheetViews>
  <sheetFormatPr baseColWidth="10" defaultRowHeight="15" x14ac:dyDescent="0.2"/>
  <cols>
    <col min="1" max="2" width="10.83203125" hidden="1" customWidth="1"/>
    <col min="3" max="3" width="9.83203125" bestFit="1" customWidth="1"/>
    <col min="6" max="6" width="73.83203125" customWidth="1"/>
    <col min="7" max="7" width="13.33203125" customWidth="1"/>
    <col min="8" max="8" width="13.1640625" customWidth="1"/>
    <col min="9" max="18" width="13.33203125" customWidth="1"/>
  </cols>
  <sheetData>
    <row r="1" spans="1:64" s="4" customFormat="1" ht="80" customHeight="1" x14ac:dyDescent="0.25">
      <c r="A1" s="3" t="s">
        <v>217</v>
      </c>
      <c r="B1" s="5"/>
      <c r="C1" s="5"/>
      <c r="D1" s="3" t="s">
        <v>284</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row>
    <row r="2" spans="1:64" ht="15" hidden="1" customHeight="1" x14ac:dyDescent="0.2">
      <c r="A2" s="206"/>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t="24" hidden="1" customHeight="1" x14ac:dyDescent="0.2">
      <c r="A3" s="206"/>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09"/>
      <c r="B4" s="210" t="s">
        <v>112</v>
      </c>
      <c r="C4" s="210" t="s">
        <v>111</v>
      </c>
      <c r="D4" s="210" t="s">
        <v>32</v>
      </c>
      <c r="E4" s="210"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426"/>
    </row>
    <row r="5" spans="1:64" x14ac:dyDescent="0.2">
      <c r="A5" s="211" t="s">
        <v>283</v>
      </c>
      <c r="B5" s="212"/>
      <c r="C5" s="212"/>
      <c r="D5" s="212">
        <f>ETPT_ATTJ_DDG!D5</f>
        <v>0</v>
      </c>
      <c r="E5" s="212" t="s">
        <v>62</v>
      </c>
      <c r="F5" s="213" t="s">
        <v>61</v>
      </c>
      <c r="G5" s="279"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79"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0" t="e" cm="1">
        <f t="array" ref="I5">SUM(SUMIFS(
INDEX( 'ETPT Format DDG'!$A:$ZZ,,MATCH("1. TOTAL CONTENTIEUX SOCIAL",'ETPT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Parquet";"JA/AttJ Siège autres";"JA/AttJ Siege Assises";"JA/AttJ Siege CCD"},
INDEX( 'ETPT Format DDG'!$A:$ZZ,,MATCH("Juridiction",'ETPT Format DDG'!2:2,0)),$D$5))</f>
        <v>#N/A</v>
      </c>
      <c r="J5" s="280"/>
      <c r="K5" s="280"/>
      <c r="L5" s="280" t="e" cm="1">
        <f t="array" ref="L5">SUM(SUMIFS(
INDEX( 'ETPT Format DDG'!$A:$ZZ,,MATCH("11.8. FONCTIONNAIRES AFFECTÉS AUX ACTIVITÉS CIVILES ET COMMERCIALES DU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5" s="280"/>
      <c r="N5" s="280"/>
      <c r="O5" s="280"/>
      <c r="P5" s="280" t="e" cm="1">
        <f t="array" ref="P5">SUM(SUMIFS(
INDEX( 'ETPT Format DDG'!$A:$ZZ,,MATCH("6.1. ACTIVITÉ CIVILE",'ETPT Format DDG'!2:2,0)),
INDEX( 'ETPT Format DDG'!$A:$ZZ,,MATCH("Fonction recodée",'ETPT Format DDG'!2:2,0)),{"JA/AttJ JAP";"JA/AttJ JE";"JA/AttJ JI";"JA/AttJ JLD PÉNAL";"JA/AttJ Parquet";"JA/AttJ Siège autres";"JA/AttJ Siege Assises";"JA/AttJ Siege CCD"},
INDEX( 'ETPT Format DDG'!$A:$ZZ,,MATCH("Juridiction",'ETPT Format DDG'!2:2,0)),$D$5))</f>
        <v>#N/A</v>
      </c>
      <c r="Q5" s="280"/>
      <c r="R5" s="280"/>
      <c r="S5" s="278">
        <f t="shared" ref="S5:S12" si="0">_xlfn.AGGREGATE(9,6,G5:R5)</f>
        <v>0</v>
      </c>
    </row>
    <row r="6" spans="1:64" x14ac:dyDescent="0.2">
      <c r="A6" s="211" t="s">
        <v>283</v>
      </c>
      <c r="B6" s="212"/>
      <c r="C6" s="212"/>
      <c r="D6" s="212">
        <f>ETPT_ATTJ_DDG!D6</f>
        <v>0</v>
      </c>
      <c r="E6" s="212" t="s">
        <v>60</v>
      </c>
      <c r="F6" s="213" t="s">
        <v>59</v>
      </c>
      <c r="G6" s="279"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79"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0" t="e" cm="1">
        <f t="array" ref="I6">SUM(SUMIFS(
INDEX( 'ETPT Format DDG'!$A:$ZZ,,MATCH("7. TOTAL SIÈGE PÉNAL",'ETPT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f>
        <v>#N/A</v>
      </c>
      <c r="J6" s="280" t="e" cm="1">
        <f t="array" ref="J6">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f>
        <v>#N/A</v>
      </c>
      <c r="K6" s="280" t="e" cm="1">
        <f t="array" ref="K6">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f>
        <v>#N/A</v>
      </c>
      <c r="L6" s="280" t="e" cm="1">
        <f t="array" ref="L6">SUM(SUMIFS(
INDEX( 'ETPT Format DDG'!$A:$ZZ,,MATCH("11.9. FONCTIONNAIRES AFFECTÉS À L'EXÉCUTION DES PEINES",'ETPT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6" s="280"/>
      <c r="N6" s="280"/>
      <c r="O6" s="280" t="e" cm="1">
        <f t="array" ref="O6">SUM(SUMIFS(
INDEX( 'ETPT Format DDG'!$A:$ZZ,,MATCH("9. TOTAL JAP",'ETPT Format DDG'!2:2,0)),
INDEX( 'ETPT Format DDG'!$A:$ZZ,,MATCH("Fonction recodée",'ETPT Format DDG'!2:2,0)),{"JA/AttJ JAP";"JA/AttJ JE";"JA/AttJ JI";"JA/AttJ JLD PÉNAL";"JA/AttJ Parquet";"JA/AttJ Siège autres";"JA/AttJ Siege Assises";"JA/AttJ Siege CCD"},
INDEX( 'ETPT Format DDG'!$A:$ZZ,,MATCH("Juridiction",'ETPT Format DDG'!2:2,0)),$D$5))</f>
        <v>#N/A</v>
      </c>
      <c r="P6" s="280" t="e" cm="1">
        <f t="array" ref="P6">SUM(SUMIFS(
INDEX( 'ETPT Format DDG'!$A:$ZZ,,MATCH("6.2. ACTIVITÉ PÉNALE",'ETPT Format DDG'!2:2,0)),
INDEX( 'ETPT Format DDG'!$A:$ZZ,,MATCH("Fonction recodée",'ETPT Format DDG'!2:2,0)),{"JA/AttJ JAP";"JA/AttJ JE";"JA/AttJ JI";"JA/AttJ JLD PÉNAL";"JA/AttJ Parquet";"JA/AttJ Siège autres";"JA/AttJ Siege Assises";"JA/AttJ Siege CCD"},
INDEX( 'ETPT Format DDG'!$A:$ZZ,,MATCH("Juridiction",'ETPT Format DDG'!2:2,0)),$D$5))</f>
        <v>#N/A</v>
      </c>
      <c r="Q6" s="280" t="e" cm="1">
        <f t="array" ref="Q6">SUM(SUMIFS(
INDEX( 'ETPT Format DDG'!$A:$ZZ,,MATCH("8. TOTAL JUGES D'INSTRUCTION",'ETPT Format DDG'!2:2,0)),
INDEX( 'ETPT Format DDG'!$A:$ZZ,,MATCH("Fonction recodée",'ETPT Format DDG'!2:2,0)),{"JA/AttJ JAP";"JA/AttJ JE";"JA/AttJ JI";"JA/AttJ JLD PÉNAL";"JA/AttJ Parquet";"JA/AttJ Siège autres";"JA/AttJ Siege Assises";"JA/AttJ Siege CCD"},
INDEX( 'ETPT Format DDG'!$A:$ZZ,,MATCH("Juridiction",'ETPT Format DDG'!2:2,0)),$D$5))</f>
        <v>#N/A</v>
      </c>
      <c r="R6" s="280" t="e" cm="1">
        <f t="array" ref="R6">SUM(SUMIFS(
INDEX( 'ETPT Format DDG'!$A:$ZZ,,MATCH("10. TOTAL JLD PÉNAL",'ETPT Format DDG'!2:2,0)),
INDEX( 'ETPT Format DDG'!$A:$ZZ,,MATCH("Fonction recodée",'ETPT Format DDG'!2:2,0)),{"JA/AttJ JAP";"JA/AttJ JE";"JA/AttJ JI";"JA/AttJ JLD PÉNAL";"JA/AttJ Parquet";"JA/AttJ Siège autres";"JA/AttJ Siege Assises";"JA/AttJ Siege CCD"},
INDEX( 'ETPT Format DDG'!$A:$ZZ,,MATCH("Juridiction",'ETPT Format DDG'!2:2,0)),$D$5))</f>
        <v>#N/A</v>
      </c>
      <c r="S6" s="278">
        <f t="shared" si="0"/>
        <v>0</v>
      </c>
    </row>
    <row r="7" spans="1:64" x14ac:dyDescent="0.2">
      <c r="A7" s="211" t="s">
        <v>283</v>
      </c>
      <c r="B7" s="212"/>
      <c r="C7" s="212"/>
      <c r="D7" s="212">
        <f>ETPT_ATTJ_DDG!D7</f>
        <v>0</v>
      </c>
      <c r="E7" s="212" t="s">
        <v>56</v>
      </c>
      <c r="F7" s="213" t="s">
        <v>55</v>
      </c>
      <c r="G7" s="279"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79"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0" t="e">
        <f>SUM(SUMIFS(
INDEX( 'ETPT Format DDG'!$A:$ZZ,,MATCH("11.51. ACCUEIL DU JUSTICIABLE (DONT SAUJ)",'ETPT Format DDG'!2:2,0)),
INDEX( 'ETPT Format DDG'!$A:$ZZ,,MATCH("Fonction recodée",'ETPT Format DDG'!2:2,0)),"JA/AttJ Siège autres",
INDEX( 'ETPT Format DDG'!$A:$ZZ,,MATCH("Juridiction",'ETPT Format DDG'!2:2,0)),$D$5))</f>
        <v>#N/A</v>
      </c>
      <c r="J7" s="280" t="e">
        <f>SUM(SUMIFS(
INDEX( 'ETPT Format DDG'!$A:$ZZ,,MATCH("11.51. ACCUEIL DU JUSTICIABLE (DONT SAUJ)",'ETPT Format DDG'!2:2,0)),
INDEX( 'ETPT Format DDG'!$A:$ZZ,,MATCH("Fonction recodée",'ETPT Format DDG'!2:2,0)),"JA/AttJ Siege Assises",
INDEX( 'ETPT Format DDG'!$A:$ZZ,,MATCH("Juridiction",'ETPT Format DDG'!2:2,0)),$D$5))</f>
        <v>#N/A</v>
      </c>
      <c r="K7" s="280" t="e">
        <f>SUM(SUMIFS(
INDEX( 'ETPT Format DDG'!$A:$ZZ,,MATCH("11.51. ACCUEIL DU JUSTICIABLE (DONT SAUJ)",'ETPT Format DDG'!2:2,0)),
INDEX( 'ETPT Format DDG'!$A:$ZZ,,MATCH("Fonction recodée",'ETPT Format DDG'!2:2,0)),"JA/AttJ Siege CCD",
INDEX( 'ETPT Format DDG'!$A:$ZZ,,MATCH("Juridiction",'ETPT Format DDG'!2:2,0)),$D$5))</f>
        <v>#N/A</v>
      </c>
      <c r="L7" s="280" t="e">
        <f>SUM(SUMIFS(
INDEX( 'ETPT Format DDG'!$A:$ZZ,,MATCH("11.51. ACCUEIL DU JUSTICIABLE (DONT SAUJ)",'ETPT Format DDG'!2:2,0)),
INDEX( 'ETPT Format DDG'!$A:$ZZ,,MATCH("Fonction recodée",'ETPT Format DDG'!2:2,0)),"JA/AttJ Parquet",
INDEX( 'ETPT Format DDG'!$A:$ZZ,,MATCH("Juridiction",'ETPT Format DDG'!2:2,0)),$D$5))</f>
        <v>#N/A</v>
      </c>
      <c r="M7" s="280"/>
      <c r="N7" s="280"/>
      <c r="O7" s="280" t="e">
        <f>SUM(SUMIFS(
INDEX( 'ETPT Format DDG'!$A:$ZZ,,MATCH("11.51. ACCUEIL DU JUSTICIABLE (DONT SAUJ)",'ETPT Format DDG'!2:2,0)),
INDEX( 'ETPT Format DDG'!$A:$ZZ,,MATCH("Fonction recodée",'ETPT Format DDG'!2:2,0)),"JA/AttJ JAP",
INDEX( 'ETPT Format DDG'!$A:$ZZ,,MATCH("Juridiction",'ETPT Format DDG'!2:2,0)),$D$5))</f>
        <v>#N/A</v>
      </c>
      <c r="P7" s="280" t="e">
        <f>SUM(SUMIFS(
INDEX( 'ETPT Format DDG'!$A:$ZZ,,MATCH("11.51. ACCUEIL DU JUSTICIABLE (DONT SAUJ)",'ETPT Format DDG'!2:2,0)),
INDEX( 'ETPT Format DDG'!$A:$ZZ,,MATCH("Fonction recodée",'ETPT Format DDG'!2:2,0)),"JA/AttJ JE",
INDEX( 'ETPT Format DDG'!$A:$ZZ,,MATCH("Juridiction",'ETPT Format DDG'!2:2,0)),$D$5))</f>
        <v>#N/A</v>
      </c>
      <c r="Q7" s="280" t="e">
        <f>SUM(SUMIFS(
INDEX( 'ETPT Format DDG'!$A:$ZZ,,MATCH("11.51. ACCUEIL DU JUSTICIABLE (DONT SAUJ)",'ETPT Format DDG'!2:2,0)),
INDEX( 'ETPT Format DDG'!$A:$ZZ,,MATCH("Fonction recodée",'ETPT Format DDG'!2:2,0)),"JA/AttJ JI",
INDEX( 'ETPT Format DDG'!$A:$ZZ,,MATCH("Juridiction",'ETPT Format DDG'!2:2,0)),$D$5))</f>
        <v>#N/A</v>
      </c>
      <c r="R7" s="280" t="e">
        <f>SUM(SUMIFS(
INDEX( 'ETPT Format DDG'!$A:$ZZ,,MATCH("11.51. ACCUEIL DU JUSTICIABLE (DONT SAUJ)",'ETPT Format DDG'!2:2,0)),
INDEX( 'ETPT Format DDG'!$A:$ZZ,,MATCH("Fonction recodée",'ETPT Format DDG'!2:2,0)),"JA/AttJ JLD PÉNAL",
INDEX( 'ETPT Format DDG'!$A:$ZZ,,MATCH("Juridiction",'ETPT Format DDG'!2:2,0)),$D$5))</f>
        <v>#N/A</v>
      </c>
      <c r="S7" s="278">
        <f t="shared" si="0"/>
        <v>0</v>
      </c>
    </row>
    <row r="8" spans="1:64" x14ac:dyDescent="0.2">
      <c r="A8" s="211" t="s">
        <v>283</v>
      </c>
      <c r="B8" s="212"/>
      <c r="C8" s="212"/>
      <c r="D8" s="212">
        <f>ETPT_ATTJ_DDG!D8</f>
        <v>0</v>
      </c>
      <c r="E8" s="212" t="s">
        <v>54</v>
      </c>
      <c r="F8" s="213" t="s">
        <v>53</v>
      </c>
      <c r="G8" s="279"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79"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0"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280"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280"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280"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280"/>
      <c r="N8" s="280"/>
      <c r="O8" s="280"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280"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280"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280"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278">
        <f t="shared" si="0"/>
        <v>0</v>
      </c>
    </row>
    <row r="9" spans="1:64" x14ac:dyDescent="0.2">
      <c r="A9" s="211" t="s">
        <v>283</v>
      </c>
      <c r="B9" s="212"/>
      <c r="C9" s="212"/>
      <c r="D9" s="212">
        <f>ETPT_ATTJ_DDG!D9</f>
        <v>0</v>
      </c>
      <c r="E9" s="212" t="s">
        <v>52</v>
      </c>
      <c r="F9" s="213" t="s">
        <v>51</v>
      </c>
      <c r="G9" s="279"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79"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0" t="e">
        <f>SUM(SUMIFS(
INDEX( 'ETPT Format DDG'!$A:$ZZ,,MATCH("11.3. FORMATIONS DISPENSÉES",'ETPT Format DDG'!2:2,0)),
INDEX( 'ETPT Format DDG'!$A:$ZZ,,MATCH("Fonction recodée",'ETPT Format DDG'!2:2,0)),"JA/AttJ Siège autres",
INDEX( 'ETPT Format DDG'!$A:$ZZ,,MATCH("Juridiction",'ETPT Format DDG'!2:2,0)),$D$5))</f>
        <v>#N/A</v>
      </c>
      <c r="J9" s="280" t="e">
        <f>SUM(SUMIFS(
INDEX( 'ETPT Format DDG'!$A:$ZZ,,MATCH("11.3. FORMATIONS DISPENSÉES",'ETPT Format DDG'!2:2,0)),
INDEX( 'ETPT Format DDG'!$A:$ZZ,,MATCH("Fonction recodée",'ETPT Format DDG'!2:2,0)),"JA/AttJ Siege Assises",
INDEX( 'ETPT Format DDG'!$A:$ZZ,,MATCH("Juridiction",'ETPT Format DDG'!2:2,0)),$D$5))</f>
        <v>#N/A</v>
      </c>
      <c r="K9" s="280" t="e">
        <f>SUM(SUMIFS(
INDEX( 'ETPT Format DDG'!$A:$ZZ,,MATCH("11.3. FORMATIONS DISPENSÉES",'ETPT Format DDG'!2:2,0)),
INDEX( 'ETPT Format DDG'!$A:$ZZ,,MATCH("Fonction recodée",'ETPT Format DDG'!2:2,0)),"JA/AttJ Siege CCD",
INDEX( 'ETPT Format DDG'!$A:$ZZ,,MATCH("Juridiction",'ETPT Format DDG'!2:2,0)),$D$5))</f>
        <v>#N/A</v>
      </c>
      <c r="L9" s="280" t="e">
        <f>SUM(SUMIFS(
INDEX( 'ETPT Format DDG'!$A:$ZZ,,MATCH("11.3. FORMATIONS DISPENSÉES",'ETPT Format DDG'!2:2,0)),
INDEX( 'ETPT Format DDG'!$A:$ZZ,,MATCH("Fonction recodée",'ETPT Format DDG'!2:2,0)),"JA/AttJ Parquet",
INDEX( 'ETPT Format DDG'!$A:$ZZ,,MATCH("Juridiction",'ETPT Format DDG'!2:2,0)),$D$5))</f>
        <v>#N/A</v>
      </c>
      <c r="M9" s="280"/>
      <c r="N9" s="280"/>
      <c r="O9" s="280" t="e">
        <f>SUM(SUMIFS(
INDEX( 'ETPT Format DDG'!$A:$ZZ,,MATCH("11.3. FORMATIONS DISPENSÉES",'ETPT Format DDG'!2:2,0)),
INDEX( 'ETPT Format DDG'!$A:$ZZ,,MATCH("Fonction recodée",'ETPT Format DDG'!2:2,0)),"JA/AttJ JAP",
INDEX( 'ETPT Format DDG'!$A:$ZZ,,MATCH("Juridiction",'ETPT Format DDG'!2:2,0)),$D$5))</f>
        <v>#N/A</v>
      </c>
      <c r="P9" s="280" t="e">
        <f>SUM(SUMIFS(
INDEX( 'ETPT Format DDG'!$A:$ZZ,,MATCH("11.3. FORMATIONS DISPENSÉES",'ETPT Format DDG'!2:2,0)),
INDEX( 'ETPT Format DDG'!$A:$ZZ,,MATCH("Fonction recodée",'ETPT Format DDG'!2:2,0)),"JA/AttJ JE",
INDEX( 'ETPT Format DDG'!$A:$ZZ,,MATCH("Juridiction",'ETPT Format DDG'!2:2,0)),$D$5))</f>
        <v>#N/A</v>
      </c>
      <c r="Q9" s="280" t="e">
        <f>SUM(SUMIFS(
INDEX( 'ETPT Format DDG'!$A:$ZZ,,MATCH("11.3. FORMATIONS DISPENSÉES",'ETPT Format DDG'!2:2,0)),
INDEX( 'ETPT Format DDG'!$A:$ZZ,,MATCH("Fonction recodée",'ETPT Format DDG'!2:2,0)),"JA/AttJ JI",
INDEX( 'ETPT Format DDG'!$A:$ZZ,,MATCH("Juridiction",'ETPT Format DDG'!2:2,0)),$D$5))</f>
        <v>#N/A</v>
      </c>
      <c r="R9" s="280" t="e">
        <f>SUM(SUMIFS(
INDEX( 'ETPT Format DDG'!$A:$ZZ,,MATCH("11.3. FORMATIONS DISPENSÉES",'ETPT Format DDG'!2:2,0)),
INDEX( 'ETPT Format DDG'!$A:$ZZ,,MATCH("Fonction recodée",'ETPT Format DDG'!2:2,0)),"JA/AttJ JLD PÉNAL",
INDEX( 'ETPT Format DDG'!$A:$ZZ,,MATCH("Juridiction",'ETPT Format DDG'!2:2,0)),$D$5))</f>
        <v>#N/A</v>
      </c>
      <c r="S9" s="278">
        <f t="shared" si="0"/>
        <v>0</v>
      </c>
    </row>
    <row r="10" spans="1:64" x14ac:dyDescent="0.2">
      <c r="A10" s="211" t="s">
        <v>283</v>
      </c>
      <c r="B10" s="212"/>
      <c r="C10" s="212"/>
      <c r="D10" s="212">
        <f>ETPT_ATTJ_DDG!D10</f>
        <v>0</v>
      </c>
      <c r="E10" s="212" t="s">
        <v>50</v>
      </c>
      <c r="F10" s="213" t="s">
        <v>49</v>
      </c>
      <c r="G10" s="279"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79"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0" t="e">
        <f>SUM(SUMIFS(
INDEX( 'ETPT Format DDG'!$A:$ZZ,,MATCH("11.4. ACCÈS AU DROIT ET À LA JUSTICE",'ETPT Format DDG'!2:2,0)),
INDEX( 'ETPT Format DDG'!$A:$ZZ,,MATCH("Fonction recodée",'ETPT Format DDG'!2:2,0)),"JA/AttJ Siège autres",
INDEX( 'ETPT Format DDG'!$A:$ZZ,,MATCH("Juridiction",'ETPT Format DDG'!2:2,0)),$D$5))</f>
        <v>#N/A</v>
      </c>
      <c r="J10" s="280" t="e">
        <f>SUM(SUMIFS(
INDEX( 'ETPT Format DDG'!$A:$ZZ,,MATCH("11.4. ACCÈS AU DROIT ET À LA JUSTICE",'ETPT Format DDG'!2:2,0)),
INDEX( 'ETPT Format DDG'!$A:$ZZ,,MATCH("Fonction recodée",'ETPT Format DDG'!2:2,0)),"JA/AttJ Siege Assises",
INDEX( 'ETPT Format DDG'!$A:$ZZ,,MATCH("Juridiction",'ETPT Format DDG'!2:2,0)),$D$5))</f>
        <v>#N/A</v>
      </c>
      <c r="K10" s="280" t="e">
        <f>SUM(SUMIFS(
INDEX( 'ETPT Format DDG'!$A:$ZZ,,MATCH("11.4. ACCÈS AU DROIT ET À LA JUSTICE",'ETPT Format DDG'!2:2,0)),
INDEX( 'ETPT Format DDG'!$A:$ZZ,,MATCH("Fonction recodée",'ETPT Format DDG'!2:2,0)),"JA/AttJ Siege CCD",
INDEX( 'ETPT Format DDG'!$A:$ZZ,,MATCH("Juridiction",'ETPT Format DDG'!2:2,0)),$D$5))</f>
        <v>#N/A</v>
      </c>
      <c r="L10" s="280" t="e">
        <f>SUM(SUMIFS(
INDEX( 'ETPT Format DDG'!$A:$ZZ,,MATCH("11.4. ACCÈS AU DROIT ET À LA JUSTICE",'ETPT Format DDG'!2:2,0)),
INDEX( 'ETPT Format DDG'!$A:$ZZ,,MATCH("Fonction recodée",'ETPT Format DDG'!2:2,0)),"JA/AttJ Parquet",
INDEX( 'ETPT Format DDG'!$A:$ZZ,,MATCH("Juridiction",'ETPT Format DDG'!2:2,0)),$D$5))</f>
        <v>#N/A</v>
      </c>
      <c r="M10" s="280"/>
      <c r="N10" s="280"/>
      <c r="O10" s="280" t="e">
        <f>SUM(SUMIFS(
INDEX( 'ETPT Format DDG'!$A:$ZZ,,MATCH("11.4. ACCÈS AU DROIT ET À LA JUSTICE",'ETPT Format DDG'!2:2,0)),
INDEX( 'ETPT Format DDG'!$A:$ZZ,,MATCH("Fonction recodée",'ETPT Format DDG'!2:2,0)),"JA/AttJ JAP",
INDEX( 'ETPT Format DDG'!$A:$ZZ,,MATCH("Juridiction",'ETPT Format DDG'!2:2,0)),$D$5))</f>
        <v>#N/A</v>
      </c>
      <c r="P10" s="280" t="e">
        <f>SUM(SUMIFS(
INDEX( 'ETPT Format DDG'!$A:$ZZ,,MATCH("11.4. ACCÈS AU DROIT ET À LA JUSTICE",'ETPT Format DDG'!2:2,0)),
INDEX( 'ETPT Format DDG'!$A:$ZZ,,MATCH("Fonction recodée",'ETPT Format DDG'!2:2,0)),"JA/AttJ JE",
INDEX( 'ETPT Format DDG'!$A:$ZZ,,MATCH("Juridiction",'ETPT Format DDG'!2:2,0)),$D$5))</f>
        <v>#N/A</v>
      </c>
      <c r="Q10" s="280" t="e">
        <f>SUM(SUMIFS(
INDEX( 'ETPT Format DDG'!$A:$ZZ,,MATCH("11.4. ACCÈS AU DROIT ET À LA JUSTICE",'ETPT Format DDG'!2:2,0)),
INDEX( 'ETPT Format DDG'!$A:$ZZ,,MATCH("Fonction recodée",'ETPT Format DDG'!2:2,0)),"JA/AttJ JI",
INDEX( 'ETPT Format DDG'!$A:$ZZ,,MATCH("Juridiction",'ETPT Format DDG'!2:2,0)),$D$5))</f>
        <v>#N/A</v>
      </c>
      <c r="R10" s="280" t="e">
        <f>SUM(SUMIFS(
INDEX( 'ETPT Format DDG'!$A:$ZZ,,MATCH("11.4. ACCÈS AU DROIT ET À LA JUSTICE",'ETPT Format DDG'!2:2,0)),
INDEX( 'ETPT Format DDG'!$A:$ZZ,,MATCH("Fonction recodée",'ETPT Format DDG'!2:2,0)),"JA/AttJ JLD PÉNAL",
INDEX( 'ETPT Format DDG'!$A:$ZZ,,MATCH("Juridiction",'ETPT Format DDG'!2:2,0)),$D$5))</f>
        <v>#N/A</v>
      </c>
      <c r="S10" s="278">
        <f t="shared" si="0"/>
        <v>0</v>
      </c>
    </row>
    <row r="11" spans="1:64" x14ac:dyDescent="0.2">
      <c r="A11" s="211" t="s">
        <v>283</v>
      </c>
      <c r="B11" s="212"/>
      <c r="C11" s="212"/>
      <c r="D11" s="212">
        <f>ETPT_ATTJ_DDG!D11</f>
        <v>0</v>
      </c>
      <c r="E11" s="212" t="s">
        <v>48</v>
      </c>
      <c r="F11" s="213" t="s">
        <v>47</v>
      </c>
      <c r="G11" s="279" t="e" cm="1">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79" t="e" cm="1">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0"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280" t="e">
        <f>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280" t="e">
        <f>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280"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280"/>
      <c r="N11" s="280"/>
      <c r="O11" s="280"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280"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280"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280" t="e">
        <f>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278">
        <f t="shared" si="0"/>
        <v>0</v>
      </c>
    </row>
    <row r="12" spans="1:64" x14ac:dyDescent="0.2">
      <c r="A12" s="211" t="s">
        <v>283</v>
      </c>
      <c r="B12" s="212"/>
      <c r="C12" s="212"/>
      <c r="D12" s="212">
        <f>ETPT_ATTJ_DDG!D12</f>
        <v>0</v>
      </c>
      <c r="E12" s="212" t="s">
        <v>46</v>
      </c>
      <c r="F12" s="213" t="s">
        <v>45</v>
      </c>
      <c r="G12" s="279"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79"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0"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280"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280"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280"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280"/>
      <c r="N12" s="280"/>
      <c r="O12" s="280"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280"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280"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280"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278">
        <f t="shared" si="0"/>
        <v>0</v>
      </c>
    </row>
    <row r="13" spans="1:64" ht="16" x14ac:dyDescent="0.2">
      <c r="A13" s="217"/>
      <c r="B13" s="217"/>
      <c r="C13" s="217"/>
      <c r="D13" s="217"/>
      <c r="E13" s="216"/>
      <c r="F13" s="215" t="s">
        <v>39</v>
      </c>
      <c r="G13" s="278">
        <f>_xlfn.AGGREGATE(9,6,G5:G12)</f>
        <v>0</v>
      </c>
      <c r="H13" s="278">
        <f>_xlfn.AGGREGATE(9,6,H5:H12)</f>
        <v>0</v>
      </c>
      <c r="I13" s="278">
        <f t="shared" ref="I13:R13" si="1">_xlfn.AGGREGATE(9,6,I5:I12)</f>
        <v>0</v>
      </c>
      <c r="J13" s="278">
        <f t="shared" si="1"/>
        <v>0</v>
      </c>
      <c r="K13" s="278">
        <f t="shared" si="1"/>
        <v>0</v>
      </c>
      <c r="L13" s="278">
        <f t="shared" si="1"/>
        <v>0</v>
      </c>
      <c r="M13" s="278">
        <f t="shared" si="1"/>
        <v>0</v>
      </c>
      <c r="N13" s="278">
        <f t="shared" si="1"/>
        <v>0</v>
      </c>
      <c r="O13" s="278">
        <f t="shared" si="1"/>
        <v>0</v>
      </c>
      <c r="P13" s="278">
        <f t="shared" si="1"/>
        <v>0</v>
      </c>
      <c r="Q13" s="278">
        <f t="shared" si="1"/>
        <v>0</v>
      </c>
      <c r="R13" s="278">
        <f t="shared" si="1"/>
        <v>0</v>
      </c>
      <c r="S13" s="278">
        <f>_xlfn.AGGREGATE(9,6,S5:S12)</f>
        <v>0</v>
      </c>
    </row>
    <row r="14" spans="1:64" ht="16" x14ac:dyDescent="0.2">
      <c r="A14" s="217"/>
      <c r="B14" s="217"/>
      <c r="C14" s="217"/>
      <c r="D14" s="217"/>
      <c r="E14" s="216"/>
      <c r="F14" s="216"/>
      <c r="G14" s="216"/>
      <c r="H14" s="216"/>
      <c r="I14" s="216"/>
      <c r="J14" s="216"/>
      <c r="K14" s="216"/>
      <c r="L14" s="216"/>
      <c r="M14" s="216"/>
      <c r="N14" s="216"/>
      <c r="O14" s="216"/>
      <c r="P14" s="216"/>
      <c r="Q14" s="216"/>
      <c r="R14" s="216"/>
      <c r="S14" s="216"/>
    </row>
    <row r="15" spans="1:64" ht="16" x14ac:dyDescent="0.2">
      <c r="A15" s="217"/>
      <c r="B15" s="217"/>
      <c r="C15" s="217"/>
      <c r="D15" s="217"/>
      <c r="E15" s="217"/>
      <c r="F15" s="217"/>
      <c r="G15" s="217"/>
      <c r="H15" s="217"/>
      <c r="I15" s="216"/>
      <c r="J15" s="216"/>
      <c r="K15" s="216"/>
      <c r="O15" s="216"/>
      <c r="P15" s="216"/>
      <c r="Q15" s="216"/>
      <c r="R15" s="216"/>
      <c r="S15" s="216"/>
    </row>
    <row r="16" spans="1:64" ht="16" x14ac:dyDescent="0.2">
      <c r="A16" s="217"/>
      <c r="B16" s="217"/>
      <c r="C16" s="217"/>
      <c r="D16" s="217"/>
      <c r="E16" s="217"/>
      <c r="F16" s="217"/>
      <c r="G16" s="217"/>
      <c r="H16" s="217"/>
      <c r="I16" s="216"/>
      <c r="J16" s="216"/>
      <c r="K16" s="216"/>
      <c r="O16" s="216"/>
      <c r="P16" s="216"/>
      <c r="Q16" s="216"/>
      <c r="R16" s="216"/>
      <c r="S16" s="216"/>
    </row>
    <row r="17" spans="1:20" ht="16" x14ac:dyDescent="0.2">
      <c r="A17" s="217"/>
      <c r="B17" s="217"/>
      <c r="C17" s="217"/>
      <c r="D17" s="217"/>
      <c r="E17" s="217"/>
      <c r="F17" s="217"/>
      <c r="G17" s="217"/>
      <c r="H17" s="217"/>
      <c r="I17" s="216"/>
      <c r="J17" s="216"/>
      <c r="K17" s="216"/>
      <c r="O17" s="216"/>
      <c r="P17" s="216"/>
      <c r="Q17" s="216"/>
      <c r="R17" s="216"/>
      <c r="S17" s="216"/>
      <c r="T17" s="216"/>
    </row>
    <row r="18" spans="1:20" ht="16" x14ac:dyDescent="0.2">
      <c r="A18" s="217"/>
      <c r="B18" s="217"/>
      <c r="C18" s="217"/>
      <c r="D18" s="217"/>
      <c r="E18" s="217"/>
      <c r="F18" s="217"/>
      <c r="G18" s="217"/>
      <c r="H18" s="217"/>
      <c r="I18" s="216"/>
      <c r="J18" s="216"/>
      <c r="K18" s="216"/>
      <c r="O18" s="216"/>
      <c r="P18" s="216"/>
      <c r="Q18" s="216"/>
      <c r="R18" s="216"/>
      <c r="S18" s="216"/>
      <c r="T18" s="216"/>
    </row>
    <row r="19" spans="1:20" ht="16" x14ac:dyDescent="0.2">
      <c r="A19" s="217"/>
      <c r="B19" s="217"/>
      <c r="C19" s="217"/>
      <c r="D19" s="217"/>
      <c r="E19" s="217"/>
      <c r="F19" s="217"/>
      <c r="G19" s="217"/>
      <c r="H19" s="217"/>
      <c r="I19" s="216"/>
      <c r="J19" s="216"/>
      <c r="K19" s="216"/>
      <c r="O19" s="216"/>
      <c r="P19" s="216"/>
      <c r="Q19" s="216"/>
      <c r="R19" s="216"/>
      <c r="S19" s="216"/>
      <c r="T19" s="216"/>
    </row>
    <row r="20" spans="1:20" ht="16" x14ac:dyDescent="0.2">
      <c r="A20" s="217"/>
      <c r="B20" s="217"/>
      <c r="C20" s="217"/>
      <c r="D20" s="217"/>
      <c r="E20" s="217"/>
      <c r="F20" s="217"/>
      <c r="G20" s="217"/>
      <c r="H20" s="217"/>
      <c r="I20" s="216"/>
      <c r="J20" s="216"/>
      <c r="K20" s="216"/>
      <c r="O20" s="216"/>
      <c r="P20" s="216"/>
      <c r="Q20" s="216"/>
      <c r="R20" s="216"/>
      <c r="S20" s="216"/>
      <c r="T20" s="216"/>
    </row>
    <row r="21" spans="1:20" ht="16" x14ac:dyDescent="0.2">
      <c r="A21" s="217"/>
      <c r="B21" s="217"/>
      <c r="C21" s="217"/>
      <c r="D21" s="217"/>
      <c r="E21" s="217"/>
      <c r="F21" s="217"/>
      <c r="G21" s="217"/>
      <c r="H21" s="217"/>
      <c r="I21" s="216"/>
      <c r="J21" s="216"/>
      <c r="K21" s="216"/>
      <c r="O21" s="216"/>
      <c r="P21" s="216"/>
      <c r="Q21" s="216"/>
      <c r="R21" s="216"/>
      <c r="S21" s="216"/>
      <c r="T21" s="216"/>
    </row>
    <row r="22" spans="1:20" ht="16" x14ac:dyDescent="0.2">
      <c r="A22" s="217"/>
      <c r="B22" s="217"/>
      <c r="C22" s="217"/>
      <c r="D22" s="217"/>
      <c r="E22" s="217"/>
      <c r="F22" s="217"/>
      <c r="G22" s="217"/>
      <c r="H22" s="217"/>
      <c r="I22" s="216"/>
      <c r="J22" s="216"/>
      <c r="K22" s="216"/>
      <c r="O22" s="216"/>
      <c r="P22" s="216"/>
      <c r="Q22" s="216"/>
      <c r="R22" s="216"/>
      <c r="S22" s="216"/>
      <c r="T22" s="216"/>
    </row>
    <row r="23" spans="1:20" ht="16" x14ac:dyDescent="0.2">
      <c r="A23" s="217"/>
      <c r="B23" s="217"/>
      <c r="C23" s="217"/>
      <c r="D23" s="217"/>
      <c r="E23" s="217"/>
      <c r="F23" s="217"/>
      <c r="G23" s="217"/>
      <c r="H23" s="217"/>
      <c r="I23" s="216"/>
      <c r="J23" s="216"/>
      <c r="K23" s="216"/>
      <c r="L23" s="216"/>
      <c r="M23" s="216"/>
      <c r="N23" s="216"/>
      <c r="O23" s="216"/>
      <c r="P23" s="216"/>
      <c r="Q23" s="216"/>
      <c r="R23" s="216"/>
      <c r="S23" s="216"/>
      <c r="T23" s="216"/>
    </row>
    <row r="24" spans="1:20" ht="16" x14ac:dyDescent="0.2">
      <c r="A24" s="217"/>
      <c r="B24" s="217"/>
      <c r="C24" s="217"/>
      <c r="D24" s="217"/>
      <c r="E24" s="217"/>
      <c r="F24" s="217"/>
      <c r="G24" s="217"/>
      <c r="H24" s="217"/>
      <c r="I24" s="216"/>
      <c r="J24" s="216"/>
      <c r="K24" s="216"/>
      <c r="L24" s="216"/>
      <c r="M24" s="216"/>
      <c r="N24" s="216"/>
      <c r="O24" s="216"/>
      <c r="P24" s="216"/>
      <c r="Q24" s="216"/>
      <c r="R24" s="216"/>
      <c r="S24" s="216"/>
      <c r="T24" s="216"/>
    </row>
    <row r="25" spans="1:20" ht="16" x14ac:dyDescent="0.2">
      <c r="A25" s="217"/>
      <c r="B25" s="217"/>
      <c r="C25" s="217"/>
      <c r="D25" s="217"/>
      <c r="E25" s="217"/>
      <c r="F25" s="217"/>
      <c r="G25" s="217"/>
      <c r="H25" s="217"/>
      <c r="I25" s="216"/>
      <c r="J25" s="216"/>
      <c r="K25" s="216"/>
      <c r="L25" s="216"/>
      <c r="M25" s="216"/>
      <c r="N25" s="216"/>
      <c r="O25" s="216"/>
      <c r="P25" s="216"/>
      <c r="Q25" s="216"/>
      <c r="R25" s="216"/>
      <c r="S25" s="216"/>
      <c r="T25" s="216"/>
    </row>
    <row r="26" spans="1:20" ht="16" x14ac:dyDescent="0.2">
      <c r="A26" s="217"/>
      <c r="B26" s="217"/>
      <c r="C26" s="217"/>
      <c r="D26" s="217"/>
      <c r="E26" s="217"/>
      <c r="F26" s="217"/>
      <c r="G26" s="217"/>
      <c r="H26" s="217"/>
      <c r="I26" s="216"/>
      <c r="J26" s="216"/>
      <c r="K26" s="216"/>
      <c r="L26" s="216"/>
      <c r="M26" s="216"/>
      <c r="N26" s="216"/>
      <c r="O26" s="216"/>
      <c r="P26" s="216"/>
      <c r="Q26" s="216"/>
      <c r="R26" s="216"/>
      <c r="S26" s="216"/>
      <c r="T26" s="216"/>
    </row>
    <row r="27" spans="1:20" ht="16" x14ac:dyDescent="0.2">
      <c r="A27" s="217"/>
      <c r="B27" s="217"/>
      <c r="C27" s="217"/>
      <c r="D27" s="217"/>
      <c r="E27" s="217"/>
      <c r="F27" s="217"/>
      <c r="G27" s="217"/>
      <c r="H27" s="217"/>
      <c r="I27" s="216"/>
      <c r="J27" s="216"/>
      <c r="K27" s="216"/>
      <c r="L27" s="216"/>
      <c r="M27" s="216"/>
      <c r="N27" s="216"/>
      <c r="O27" s="216"/>
      <c r="P27" s="216"/>
      <c r="Q27" s="216"/>
      <c r="R27" s="216"/>
      <c r="S27" s="216"/>
      <c r="T27" s="216"/>
    </row>
    <row r="28" spans="1:20" ht="16" x14ac:dyDescent="0.2">
      <c r="A28" s="217"/>
      <c r="B28" s="217"/>
      <c r="C28" s="217"/>
      <c r="D28" s="217"/>
      <c r="E28" s="217"/>
      <c r="F28" s="217"/>
      <c r="G28" s="217"/>
      <c r="H28" s="217"/>
      <c r="I28" s="216"/>
      <c r="J28" s="216"/>
      <c r="K28" s="216"/>
      <c r="L28" s="216"/>
      <c r="M28" s="216"/>
      <c r="N28" s="216"/>
      <c r="O28" s="216"/>
      <c r="P28" s="216"/>
      <c r="Q28" s="216"/>
      <c r="R28" s="216"/>
      <c r="S28" s="216"/>
      <c r="T28" s="216"/>
    </row>
    <row r="29" spans="1:20" ht="16" x14ac:dyDescent="0.2">
      <c r="A29" s="217"/>
      <c r="B29" s="217"/>
      <c r="C29" s="217"/>
      <c r="D29" s="217"/>
      <c r="E29" s="217"/>
      <c r="F29" s="217"/>
      <c r="G29" s="217"/>
      <c r="H29" s="217"/>
      <c r="I29" s="216"/>
      <c r="J29" s="216"/>
      <c r="K29" s="216"/>
      <c r="L29" s="216"/>
      <c r="M29" s="216"/>
      <c r="N29" s="216"/>
      <c r="O29" s="216"/>
      <c r="P29" s="216"/>
      <c r="Q29" s="216"/>
      <c r="R29" s="216"/>
      <c r="S29" s="216"/>
      <c r="T29" s="216"/>
    </row>
    <row r="30" spans="1:20" ht="16" x14ac:dyDescent="0.2">
      <c r="A30" s="217"/>
      <c r="B30" s="217"/>
      <c r="C30" s="217"/>
      <c r="D30" s="217"/>
      <c r="E30" s="217"/>
      <c r="F30" s="217"/>
      <c r="G30" s="217"/>
      <c r="H30" s="217"/>
      <c r="I30" s="216"/>
      <c r="J30" s="216"/>
      <c r="K30" s="216"/>
      <c r="L30" s="216"/>
      <c r="M30" s="216"/>
      <c r="N30" s="216"/>
      <c r="O30" s="216"/>
      <c r="P30" s="216"/>
      <c r="Q30" s="216"/>
      <c r="R30" s="216"/>
      <c r="S30" s="216"/>
      <c r="T30" s="216"/>
    </row>
    <row r="31" spans="1:20" ht="16" x14ac:dyDescent="0.2">
      <c r="A31" s="217"/>
      <c r="B31" s="217"/>
      <c r="C31" s="217"/>
      <c r="D31" s="217"/>
      <c r="E31" s="217"/>
      <c r="F31" s="217"/>
      <c r="G31" s="217"/>
      <c r="H31" s="217"/>
      <c r="I31" s="216"/>
      <c r="J31" s="216"/>
      <c r="K31" s="216"/>
      <c r="L31" s="216"/>
      <c r="M31" s="216"/>
      <c r="N31" s="216"/>
      <c r="O31" s="216"/>
      <c r="P31" s="216"/>
      <c r="Q31" s="216"/>
      <c r="R31" s="216"/>
      <c r="S31" s="216"/>
      <c r="T31" s="216"/>
    </row>
    <row r="32" spans="1:20" ht="16" x14ac:dyDescent="0.2">
      <c r="A32" s="217"/>
      <c r="B32" s="217"/>
      <c r="C32" s="217"/>
      <c r="D32" s="217"/>
      <c r="E32" s="217"/>
      <c r="F32" s="217"/>
      <c r="G32" s="217"/>
      <c r="H32" s="217"/>
      <c r="I32" s="216"/>
      <c r="J32" s="216"/>
      <c r="K32" s="216"/>
      <c r="L32" s="216"/>
      <c r="M32" s="216"/>
      <c r="N32" s="216"/>
      <c r="O32" s="216"/>
      <c r="P32" s="216"/>
      <c r="Q32" s="216"/>
      <c r="R32" s="216"/>
      <c r="S32" s="216"/>
      <c r="T32" s="216"/>
    </row>
    <row r="33" spans="1:20" ht="16" x14ac:dyDescent="0.2">
      <c r="A33" s="217"/>
      <c r="B33" s="217"/>
      <c r="C33" s="217"/>
      <c r="D33" s="217"/>
      <c r="E33" s="217"/>
      <c r="F33" s="217"/>
      <c r="G33" s="217"/>
      <c r="H33" s="217"/>
      <c r="I33" s="216"/>
      <c r="J33" s="216"/>
      <c r="K33" s="216"/>
      <c r="L33" s="216"/>
      <c r="M33" s="216"/>
      <c r="N33" s="216"/>
      <c r="O33" s="216"/>
      <c r="P33" s="216"/>
      <c r="Q33" s="216"/>
      <c r="R33" s="216"/>
      <c r="S33" s="216"/>
      <c r="T33" s="216"/>
    </row>
    <row r="34" spans="1:20" ht="16" x14ac:dyDescent="0.2">
      <c r="A34" s="217"/>
      <c r="B34" s="217"/>
      <c r="C34" s="217"/>
      <c r="D34" s="217"/>
      <c r="E34" s="217"/>
      <c r="F34" s="217"/>
      <c r="G34" s="217"/>
      <c r="H34" s="217"/>
      <c r="I34" s="216"/>
      <c r="J34" s="216"/>
      <c r="K34" s="216"/>
      <c r="L34" s="216"/>
      <c r="M34" s="216"/>
      <c r="N34" s="216"/>
      <c r="O34" s="216"/>
      <c r="P34" s="216"/>
      <c r="Q34" s="216"/>
      <c r="R34" s="216"/>
      <c r="S34" s="216"/>
      <c r="T34" s="216"/>
    </row>
    <row r="35" spans="1:20" ht="16" x14ac:dyDescent="0.2">
      <c r="A35" s="217"/>
      <c r="B35" s="217"/>
      <c r="C35" s="217"/>
      <c r="D35" s="217"/>
      <c r="E35" s="217"/>
      <c r="F35" s="217"/>
      <c r="G35" s="217"/>
      <c r="H35" s="217"/>
      <c r="I35" s="216"/>
      <c r="J35" s="216"/>
      <c r="K35" s="216"/>
      <c r="L35" s="216"/>
      <c r="M35" s="216"/>
      <c r="N35" s="216"/>
      <c r="O35" s="216"/>
      <c r="P35" s="216"/>
      <c r="Q35" s="216"/>
      <c r="R35" s="216"/>
      <c r="S35" s="216"/>
      <c r="T35" s="216"/>
    </row>
    <row r="36" spans="1:20" ht="16" x14ac:dyDescent="0.2">
      <c r="A36" s="217"/>
      <c r="B36" s="217"/>
      <c r="C36" s="217"/>
      <c r="D36" s="217"/>
      <c r="E36" s="217"/>
      <c r="F36" s="217"/>
      <c r="G36" s="217"/>
      <c r="H36" s="217"/>
      <c r="I36" s="216"/>
      <c r="J36" s="216"/>
      <c r="K36" s="216"/>
      <c r="L36" s="216"/>
      <c r="M36" s="216"/>
      <c r="N36" s="216"/>
      <c r="O36" s="216"/>
      <c r="P36" s="216"/>
      <c r="Q36" s="216"/>
      <c r="R36" s="216"/>
      <c r="S36" s="216"/>
      <c r="T36" s="216"/>
    </row>
    <row r="37" spans="1:20" ht="16" x14ac:dyDescent="0.2">
      <c r="A37" s="217"/>
      <c r="B37" s="217"/>
      <c r="C37" s="217"/>
      <c r="D37" s="217"/>
      <c r="E37" s="217"/>
      <c r="F37" s="217"/>
      <c r="G37" s="217"/>
      <c r="H37" s="217"/>
      <c r="I37" s="216"/>
      <c r="J37" s="216"/>
      <c r="K37" s="216"/>
      <c r="L37" s="216"/>
      <c r="M37" s="216"/>
      <c r="N37" s="216"/>
      <c r="O37" s="216"/>
      <c r="P37" s="216"/>
      <c r="Q37" s="216"/>
      <c r="R37" s="216"/>
      <c r="S37" s="216"/>
      <c r="T37" s="216"/>
    </row>
    <row r="38" spans="1:20" ht="16" x14ac:dyDescent="0.2">
      <c r="A38" s="217"/>
      <c r="B38" s="217"/>
      <c r="C38" s="217"/>
      <c r="D38" s="217"/>
      <c r="E38" s="217"/>
      <c r="F38" s="217"/>
      <c r="G38" s="217"/>
      <c r="H38" s="217"/>
      <c r="I38" s="216"/>
      <c r="J38" s="216"/>
      <c r="K38" s="216"/>
      <c r="L38" s="216"/>
      <c r="M38" s="216"/>
      <c r="N38" s="216"/>
      <c r="O38" s="216"/>
      <c r="P38" s="216"/>
      <c r="Q38" s="216"/>
      <c r="R38" s="216"/>
      <c r="S38" s="216"/>
      <c r="T38" s="216"/>
    </row>
    <row r="39" spans="1:20" ht="16" x14ac:dyDescent="0.2">
      <c r="A39" s="217"/>
      <c r="B39" s="217"/>
      <c r="C39" s="217"/>
      <c r="D39" s="217"/>
      <c r="E39" s="217"/>
      <c r="F39" s="217"/>
      <c r="G39" s="217"/>
      <c r="H39" s="217"/>
      <c r="I39" s="216"/>
      <c r="J39" s="216"/>
      <c r="K39" s="216"/>
      <c r="L39" s="216"/>
      <c r="M39" s="216"/>
      <c r="N39" s="216"/>
      <c r="O39" s="216"/>
      <c r="P39" s="216"/>
      <c r="Q39" s="216"/>
      <c r="R39" s="216"/>
      <c r="S39" s="216"/>
      <c r="T39" s="216"/>
    </row>
    <row r="40" spans="1:20" ht="16" x14ac:dyDescent="0.2">
      <c r="A40" s="217"/>
      <c r="B40" s="217"/>
      <c r="C40" s="217"/>
      <c r="D40" s="217"/>
      <c r="E40" s="217"/>
      <c r="F40" s="217"/>
      <c r="G40" s="217"/>
      <c r="H40" s="217"/>
      <c r="I40" s="216"/>
      <c r="J40" s="216"/>
      <c r="K40" s="216"/>
      <c r="L40" s="216"/>
      <c r="M40" s="216"/>
      <c r="N40" s="216"/>
      <c r="O40" s="216"/>
      <c r="P40" s="216"/>
      <c r="Q40" s="216"/>
      <c r="R40" s="216"/>
      <c r="S40" s="216"/>
      <c r="T40" s="216"/>
    </row>
    <row r="41" spans="1:20" ht="16" x14ac:dyDescent="0.2">
      <c r="A41" s="217"/>
      <c r="B41" s="217"/>
      <c r="C41" s="217"/>
      <c r="D41" s="217"/>
      <c r="E41" s="217"/>
      <c r="F41" s="217"/>
      <c r="G41" s="217"/>
      <c r="H41" s="217"/>
      <c r="I41" s="216"/>
      <c r="J41" s="216"/>
      <c r="K41" s="216"/>
      <c r="L41" s="216"/>
      <c r="M41" s="216"/>
      <c r="N41" s="216"/>
      <c r="O41" s="216"/>
      <c r="P41" s="216"/>
      <c r="Q41" s="216"/>
      <c r="R41" s="216"/>
      <c r="S41" s="216"/>
      <c r="T41" s="216"/>
    </row>
    <row r="42" spans="1:20" ht="16" x14ac:dyDescent="0.2">
      <c r="A42" s="217"/>
      <c r="B42" s="217"/>
      <c r="C42" s="217"/>
      <c r="D42" s="217"/>
      <c r="E42" s="217"/>
      <c r="F42" s="217"/>
      <c r="G42" s="217"/>
      <c r="H42" s="217"/>
      <c r="I42" s="216"/>
      <c r="J42" s="216"/>
      <c r="K42" s="216"/>
      <c r="L42" s="216"/>
      <c r="M42" s="216"/>
      <c r="N42" s="216"/>
      <c r="O42" s="216"/>
      <c r="P42" s="216"/>
      <c r="Q42" s="216"/>
      <c r="R42" s="216"/>
      <c r="S42" s="216"/>
      <c r="T42" s="216"/>
    </row>
    <row r="43" spans="1:20" ht="16" x14ac:dyDescent="0.2">
      <c r="A43" s="217"/>
      <c r="B43" s="217"/>
      <c r="C43" s="217"/>
      <c r="D43" s="217"/>
      <c r="E43" s="217"/>
      <c r="F43" s="217"/>
      <c r="G43" s="217"/>
      <c r="H43" s="217"/>
      <c r="I43" s="216"/>
      <c r="J43" s="216"/>
      <c r="K43" s="216"/>
      <c r="L43" s="216"/>
      <c r="M43" s="216"/>
      <c r="N43" s="216"/>
      <c r="O43" s="216"/>
      <c r="P43" s="216"/>
      <c r="Q43" s="216"/>
      <c r="R43" s="216"/>
      <c r="S43" s="216"/>
      <c r="T43" s="216"/>
    </row>
    <row r="44" spans="1:20" ht="16" x14ac:dyDescent="0.2">
      <c r="A44" s="217"/>
      <c r="B44" s="217"/>
      <c r="C44" s="217"/>
      <c r="D44" s="217"/>
      <c r="E44" s="217"/>
      <c r="F44" s="217"/>
      <c r="G44" s="217"/>
      <c r="H44" s="217"/>
      <c r="I44" s="216"/>
      <c r="J44" s="216"/>
      <c r="K44" s="216"/>
      <c r="L44" s="216"/>
      <c r="M44" s="216"/>
      <c r="N44" s="216"/>
      <c r="O44" s="216"/>
      <c r="P44" s="216"/>
      <c r="Q44" s="216"/>
      <c r="R44" s="216"/>
      <c r="S44" s="216"/>
      <c r="T44" s="216"/>
    </row>
    <row r="45" spans="1:20" ht="16" x14ac:dyDescent="0.2">
      <c r="A45" s="217"/>
      <c r="B45" s="217"/>
      <c r="C45" s="217"/>
      <c r="D45" s="217"/>
      <c r="E45" s="217"/>
      <c r="F45" s="217"/>
      <c r="G45" s="217"/>
      <c r="H45" s="217"/>
      <c r="I45" s="216"/>
      <c r="J45" s="216"/>
      <c r="K45" s="216"/>
      <c r="L45" s="216"/>
      <c r="M45" s="216"/>
      <c r="N45" s="216"/>
      <c r="O45" s="216"/>
      <c r="P45" s="216"/>
      <c r="Q45" s="216"/>
      <c r="R45" s="216"/>
      <c r="S45" s="216"/>
      <c r="T45" s="216"/>
    </row>
    <row r="46" spans="1:20" ht="16" x14ac:dyDescent="0.2">
      <c r="A46" s="217"/>
      <c r="B46" s="217"/>
      <c r="C46" s="217"/>
      <c r="D46" s="217"/>
      <c r="E46" s="217"/>
      <c r="F46" s="217"/>
      <c r="G46" s="217"/>
      <c r="H46" s="217"/>
      <c r="I46" s="216"/>
      <c r="J46" s="216"/>
      <c r="K46" s="216"/>
      <c r="L46" s="216"/>
      <c r="M46" s="216"/>
      <c r="N46" s="216"/>
      <c r="O46" s="216"/>
      <c r="P46" s="216"/>
      <c r="Q46" s="216"/>
      <c r="R46" s="216"/>
      <c r="S46" s="216"/>
      <c r="T46" s="216"/>
    </row>
    <row r="47" spans="1:20" ht="16" x14ac:dyDescent="0.2">
      <c r="A47" s="217"/>
      <c r="B47" s="217"/>
      <c r="C47" s="217"/>
      <c r="D47" s="217"/>
      <c r="E47" s="217"/>
      <c r="F47" s="217"/>
      <c r="G47" s="217"/>
      <c r="H47" s="217"/>
      <c r="I47" s="216"/>
      <c r="J47" s="216"/>
      <c r="K47" s="216"/>
      <c r="L47" s="216"/>
      <c r="M47" s="216"/>
      <c r="N47" s="216"/>
      <c r="O47" s="216"/>
      <c r="P47" s="216"/>
      <c r="Q47" s="216"/>
      <c r="R47" s="216"/>
      <c r="S47" s="216"/>
      <c r="T47" s="216"/>
    </row>
    <row r="48" spans="1:20" ht="16" x14ac:dyDescent="0.2">
      <c r="A48" s="217"/>
      <c r="B48" s="217"/>
      <c r="C48" s="217"/>
      <c r="D48" s="217"/>
      <c r="E48" s="217"/>
      <c r="F48" s="217"/>
      <c r="G48" s="217"/>
      <c r="H48" s="217"/>
      <c r="I48" s="216"/>
      <c r="J48" s="216"/>
      <c r="K48" s="216"/>
      <c r="L48" s="216"/>
      <c r="M48" s="216"/>
      <c r="N48" s="216"/>
      <c r="O48" s="216"/>
      <c r="P48" s="216"/>
      <c r="Q48" s="216"/>
      <c r="R48" s="216"/>
      <c r="S48" s="216"/>
      <c r="T48" s="216"/>
    </row>
    <row r="49" spans="1:20" ht="16" x14ac:dyDescent="0.2">
      <c r="A49" s="217"/>
      <c r="B49" s="217"/>
      <c r="C49" s="217"/>
      <c r="D49" s="217"/>
      <c r="E49" s="217"/>
      <c r="F49" s="217"/>
      <c r="G49" s="217"/>
      <c r="H49" s="217"/>
      <c r="I49" s="216"/>
      <c r="J49" s="216"/>
      <c r="K49" s="216"/>
      <c r="L49" s="216"/>
      <c r="M49" s="216"/>
      <c r="N49" s="216"/>
      <c r="O49" s="216"/>
      <c r="P49" s="216"/>
      <c r="Q49" s="216"/>
      <c r="R49" s="216"/>
      <c r="S49" s="216"/>
      <c r="T49" s="216"/>
    </row>
    <row r="50" spans="1:20" ht="16" x14ac:dyDescent="0.2">
      <c r="A50" s="217"/>
      <c r="B50" s="217"/>
      <c r="C50" s="217"/>
      <c r="D50" s="217"/>
      <c r="E50" s="217"/>
      <c r="F50" s="217"/>
      <c r="G50" s="217"/>
      <c r="H50" s="217"/>
      <c r="I50" s="216"/>
      <c r="J50" s="216"/>
      <c r="K50" s="216"/>
      <c r="L50" s="216"/>
      <c r="M50" s="216"/>
      <c r="N50" s="216"/>
      <c r="O50" s="216"/>
      <c r="P50" s="216"/>
      <c r="Q50" s="216"/>
      <c r="R50" s="216"/>
      <c r="S50" s="216"/>
      <c r="T50" s="216"/>
    </row>
    <row r="51" spans="1:20" ht="16" x14ac:dyDescent="0.2">
      <c r="A51" s="217"/>
      <c r="B51" s="217"/>
      <c r="C51" s="217"/>
      <c r="D51" s="217"/>
      <c r="E51" s="217"/>
      <c r="F51" s="217"/>
      <c r="G51" s="217"/>
      <c r="H51" s="217"/>
      <c r="I51" s="216"/>
      <c r="J51" s="216"/>
      <c r="K51" s="216"/>
      <c r="L51" s="216"/>
      <c r="M51" s="216"/>
      <c r="N51" s="216"/>
      <c r="O51" s="216"/>
      <c r="P51" s="216"/>
      <c r="Q51" s="216"/>
      <c r="R51" s="216"/>
      <c r="S51" s="216"/>
      <c r="T51" s="216"/>
    </row>
    <row r="52" spans="1:20" ht="16" x14ac:dyDescent="0.2">
      <c r="A52" s="217"/>
      <c r="B52" s="217"/>
      <c r="C52" s="217"/>
      <c r="D52" s="217"/>
      <c r="E52" s="217"/>
      <c r="F52" s="217"/>
      <c r="G52" s="217"/>
      <c r="H52" s="217"/>
      <c r="I52" s="216"/>
      <c r="J52" s="216"/>
      <c r="K52" s="216"/>
      <c r="L52" s="216"/>
      <c r="M52" s="216"/>
      <c r="N52" s="216"/>
      <c r="O52" s="216"/>
      <c r="P52" s="216"/>
      <c r="Q52" s="216"/>
      <c r="R52" s="216"/>
      <c r="S52" s="216"/>
      <c r="T52" s="216"/>
    </row>
    <row r="53" spans="1:20" ht="16" x14ac:dyDescent="0.2">
      <c r="A53" s="217"/>
      <c r="B53" s="217"/>
      <c r="C53" s="217"/>
      <c r="D53" s="217"/>
      <c r="E53" s="217"/>
      <c r="F53" s="217"/>
      <c r="G53" s="217"/>
      <c r="H53" s="217"/>
      <c r="I53" s="216"/>
      <c r="J53" s="216"/>
      <c r="K53" s="216"/>
      <c r="L53" s="216"/>
      <c r="M53" s="216"/>
      <c r="N53" s="216"/>
      <c r="O53" s="216"/>
      <c r="P53" s="216"/>
      <c r="Q53" s="216"/>
      <c r="R53" s="216"/>
      <c r="S53" s="216"/>
      <c r="T53" s="216"/>
    </row>
    <row r="54" spans="1:20" ht="16" x14ac:dyDescent="0.2">
      <c r="A54" s="217"/>
      <c r="B54" s="217"/>
      <c r="C54" s="217"/>
      <c r="D54" s="217"/>
      <c r="E54" s="217"/>
      <c r="F54" s="217"/>
      <c r="G54" s="217"/>
      <c r="H54" s="217"/>
      <c r="I54" s="216"/>
      <c r="J54" s="216"/>
      <c r="K54" s="216"/>
      <c r="L54" s="216"/>
      <c r="M54" s="216"/>
      <c r="N54" s="216"/>
      <c r="O54" s="216"/>
      <c r="P54" s="216"/>
      <c r="Q54" s="216"/>
      <c r="R54" s="216"/>
      <c r="S54" s="216"/>
      <c r="T54" s="216"/>
    </row>
    <row r="55" spans="1:20" ht="16" x14ac:dyDescent="0.2">
      <c r="A55" s="217"/>
      <c r="B55" s="217"/>
      <c r="C55" s="217"/>
      <c r="D55" s="217"/>
      <c r="E55" s="217"/>
      <c r="F55" s="217"/>
      <c r="G55" s="217"/>
      <c r="H55" s="217"/>
      <c r="I55" s="216"/>
      <c r="J55" s="216"/>
      <c r="K55" s="216"/>
      <c r="L55" s="216"/>
      <c r="M55" s="216"/>
      <c r="N55" s="216"/>
      <c r="O55" s="216"/>
      <c r="P55" s="216"/>
      <c r="Q55" s="216"/>
      <c r="R55" s="216"/>
      <c r="S55" s="216"/>
      <c r="T55" s="216"/>
    </row>
    <row r="56" spans="1:20" ht="16" x14ac:dyDescent="0.2">
      <c r="A56" s="217"/>
      <c r="B56" s="217"/>
      <c r="C56" s="217"/>
      <c r="D56" s="217"/>
      <c r="E56" s="217"/>
      <c r="F56" s="217"/>
      <c r="G56" s="217"/>
      <c r="H56" s="217"/>
      <c r="I56" s="216"/>
      <c r="J56" s="216"/>
      <c r="K56" s="216"/>
      <c r="L56" s="216"/>
      <c r="M56" s="216"/>
      <c r="N56" s="216"/>
      <c r="O56" s="216"/>
      <c r="P56" s="216"/>
      <c r="Q56" s="216"/>
      <c r="R56" s="216"/>
      <c r="S56" s="216"/>
      <c r="T56" s="216"/>
    </row>
    <row r="57" spans="1:20" ht="16" x14ac:dyDescent="0.2">
      <c r="A57" s="217"/>
      <c r="B57" s="217"/>
      <c r="C57" s="217"/>
      <c r="D57" s="217"/>
      <c r="E57" s="217"/>
      <c r="F57" s="217"/>
      <c r="G57" s="217"/>
      <c r="H57" s="217"/>
      <c r="I57" s="216"/>
      <c r="J57" s="216"/>
      <c r="K57" s="216"/>
      <c r="L57" s="216"/>
      <c r="M57" s="216"/>
      <c r="N57" s="216"/>
      <c r="O57" s="216"/>
      <c r="P57" s="216"/>
      <c r="Q57" s="216"/>
      <c r="R57" s="216"/>
      <c r="S57" s="216"/>
      <c r="T57" s="216"/>
    </row>
    <row r="58" spans="1:20" ht="16" x14ac:dyDescent="0.2">
      <c r="A58" s="217"/>
      <c r="B58" s="217"/>
      <c r="C58" s="217"/>
      <c r="D58" s="217"/>
      <c r="E58" s="217"/>
      <c r="F58" s="217"/>
      <c r="G58" s="217"/>
      <c r="H58" s="217"/>
      <c r="I58" s="216"/>
      <c r="J58" s="216"/>
      <c r="K58" s="216"/>
      <c r="L58" s="216"/>
      <c r="M58" s="216"/>
      <c r="N58" s="216"/>
      <c r="O58" s="216"/>
      <c r="P58" s="216"/>
      <c r="Q58" s="216"/>
      <c r="R58" s="216"/>
      <c r="S58" s="216"/>
      <c r="T58" s="216"/>
    </row>
    <row r="59" spans="1:20" ht="16" x14ac:dyDescent="0.2">
      <c r="A59" s="217"/>
      <c r="B59" s="217"/>
      <c r="C59" s="217"/>
      <c r="D59" s="217"/>
      <c r="E59" s="217"/>
      <c r="F59" s="217"/>
      <c r="G59" s="217"/>
      <c r="H59" s="217"/>
      <c r="I59" s="216"/>
      <c r="J59" s="216"/>
      <c r="K59" s="216"/>
      <c r="L59" s="216"/>
      <c r="M59" s="216"/>
      <c r="N59" s="216"/>
      <c r="O59" s="216"/>
      <c r="P59" s="216"/>
      <c r="Q59" s="216"/>
      <c r="R59" s="216"/>
      <c r="S59" s="216"/>
      <c r="T59" s="216"/>
    </row>
    <row r="60" spans="1:20" ht="16" x14ac:dyDescent="0.2">
      <c r="A60" s="217"/>
      <c r="B60" s="217"/>
      <c r="C60" s="217"/>
      <c r="D60" s="217"/>
      <c r="E60" s="217"/>
      <c r="F60" s="217"/>
      <c r="G60" s="217"/>
      <c r="H60" s="217"/>
      <c r="I60" s="216"/>
      <c r="J60" s="216"/>
      <c r="K60" s="216"/>
      <c r="L60" s="216"/>
      <c r="M60" s="216"/>
      <c r="N60" s="216"/>
      <c r="O60" s="216"/>
      <c r="P60" s="216"/>
      <c r="Q60" s="216"/>
      <c r="R60" s="216"/>
      <c r="S60" s="216"/>
      <c r="T60" s="216"/>
    </row>
    <row r="61" spans="1:20" ht="16" x14ac:dyDescent="0.2">
      <c r="A61" s="217"/>
      <c r="B61" s="217"/>
      <c r="C61" s="217"/>
      <c r="D61" s="217"/>
      <c r="E61" s="217"/>
      <c r="F61" s="217"/>
      <c r="G61" s="217"/>
      <c r="H61" s="217"/>
      <c r="I61" s="216"/>
      <c r="J61" s="216"/>
      <c r="K61" s="216"/>
      <c r="L61" s="216"/>
      <c r="M61" s="216"/>
      <c r="N61" s="216"/>
      <c r="O61" s="216"/>
      <c r="P61" s="216"/>
      <c r="Q61" s="216"/>
      <c r="R61" s="216"/>
      <c r="S61" s="216"/>
      <c r="T61" s="216"/>
    </row>
    <row r="62" spans="1:20" ht="16" x14ac:dyDescent="0.2">
      <c r="A62" s="217"/>
      <c r="B62" s="217"/>
      <c r="C62" s="217"/>
      <c r="D62" s="217"/>
      <c r="E62" s="217"/>
      <c r="F62" s="217"/>
      <c r="G62" s="217"/>
      <c r="H62" s="217"/>
      <c r="I62" s="216"/>
      <c r="J62" s="216"/>
      <c r="K62" s="216"/>
      <c r="L62" s="216"/>
      <c r="M62" s="216"/>
      <c r="N62" s="216"/>
      <c r="O62" s="216"/>
      <c r="P62" s="216"/>
      <c r="Q62" s="216"/>
      <c r="R62" s="216"/>
      <c r="S62" s="216"/>
      <c r="T62" s="216"/>
    </row>
    <row r="63" spans="1:20" ht="16" x14ac:dyDescent="0.2">
      <c r="A63" s="217"/>
      <c r="B63" s="217"/>
      <c r="C63" s="217"/>
      <c r="D63" s="217"/>
      <c r="E63" s="217"/>
      <c r="F63" s="217"/>
      <c r="G63" s="217"/>
      <c r="H63" s="217"/>
      <c r="I63" s="216"/>
      <c r="J63" s="216"/>
      <c r="K63" s="216"/>
      <c r="L63" s="216"/>
      <c r="M63" s="216"/>
      <c r="N63" s="216"/>
      <c r="O63" s="216"/>
      <c r="P63" s="216"/>
      <c r="Q63" s="216"/>
      <c r="R63" s="216"/>
      <c r="S63" s="216"/>
      <c r="T63" s="216"/>
    </row>
    <row r="64" spans="1:20" ht="16" x14ac:dyDescent="0.2">
      <c r="A64" s="217"/>
      <c r="B64" s="217"/>
      <c r="C64" s="217"/>
      <c r="D64" s="217"/>
      <c r="E64" s="217"/>
      <c r="F64" s="217"/>
      <c r="G64" s="217"/>
      <c r="H64" s="217"/>
      <c r="I64" s="216"/>
      <c r="J64" s="216"/>
      <c r="K64" s="216"/>
      <c r="L64" s="216"/>
      <c r="M64" s="216"/>
      <c r="N64" s="216"/>
      <c r="O64" s="216"/>
      <c r="P64" s="216"/>
      <c r="Q64" s="216"/>
      <c r="R64" s="216"/>
      <c r="S64" s="216"/>
      <c r="T64" s="216"/>
    </row>
    <row r="65" spans="1:20" ht="16" x14ac:dyDescent="0.2">
      <c r="A65" s="217"/>
      <c r="B65" s="217"/>
      <c r="C65" s="217"/>
      <c r="D65" s="217"/>
      <c r="E65" s="217"/>
      <c r="F65" s="217"/>
      <c r="G65" s="217"/>
      <c r="H65" s="217"/>
      <c r="I65" s="216"/>
      <c r="J65" s="216"/>
      <c r="K65" s="216"/>
      <c r="L65" s="216"/>
      <c r="M65" s="216"/>
      <c r="N65" s="216"/>
      <c r="O65" s="216"/>
      <c r="P65" s="216"/>
      <c r="Q65" s="216"/>
      <c r="R65" s="216"/>
      <c r="S65" s="216"/>
      <c r="T65" s="216"/>
    </row>
    <row r="66" spans="1:20" ht="16" x14ac:dyDescent="0.2">
      <c r="A66" s="217"/>
      <c r="B66" s="217"/>
      <c r="C66" s="217"/>
      <c r="D66" s="217"/>
      <c r="E66" s="217"/>
      <c r="F66" s="217"/>
      <c r="G66" s="217"/>
      <c r="H66" s="217"/>
      <c r="I66" s="216"/>
      <c r="J66" s="216"/>
      <c r="K66" s="216"/>
      <c r="L66" s="216"/>
      <c r="M66" s="216"/>
      <c r="N66" s="216"/>
      <c r="O66" s="216"/>
      <c r="P66" s="216"/>
      <c r="Q66" s="216"/>
      <c r="R66" s="216"/>
      <c r="S66" s="216"/>
      <c r="T66" s="216"/>
    </row>
    <row r="67" spans="1:20" ht="16" x14ac:dyDescent="0.2">
      <c r="A67" s="217"/>
      <c r="B67" s="217"/>
      <c r="C67" s="217"/>
      <c r="D67" s="217"/>
      <c r="E67" s="217"/>
      <c r="F67" s="217"/>
      <c r="G67" s="217"/>
      <c r="H67" s="217"/>
      <c r="I67" s="216"/>
      <c r="J67" s="216"/>
      <c r="K67" s="216"/>
      <c r="L67" s="216"/>
      <c r="M67" s="216"/>
      <c r="N67" s="216"/>
      <c r="O67" s="216"/>
      <c r="P67" s="216"/>
      <c r="Q67" s="216"/>
      <c r="R67" s="216"/>
      <c r="S67" s="216"/>
      <c r="T67" s="216"/>
    </row>
    <row r="68" spans="1:20" ht="16" x14ac:dyDescent="0.2">
      <c r="A68" s="217"/>
      <c r="B68" s="217"/>
      <c r="C68" s="217"/>
      <c r="D68" s="217"/>
      <c r="E68" s="217"/>
      <c r="F68" s="217"/>
      <c r="G68" s="217"/>
      <c r="H68" s="217"/>
      <c r="I68" s="216"/>
      <c r="J68" s="216"/>
      <c r="K68" s="216"/>
      <c r="L68" s="216"/>
      <c r="M68" s="216"/>
      <c r="N68" s="216"/>
      <c r="O68" s="216"/>
      <c r="P68" s="216"/>
      <c r="Q68" s="216"/>
      <c r="R68" s="216"/>
      <c r="S68" s="216"/>
      <c r="T68" s="216"/>
    </row>
    <row r="69" spans="1:20" ht="16" x14ac:dyDescent="0.2">
      <c r="A69" s="217"/>
      <c r="B69" s="217"/>
      <c r="C69" s="217"/>
      <c r="D69" s="217"/>
      <c r="E69" s="217"/>
      <c r="F69" s="217"/>
      <c r="G69" s="217"/>
      <c r="H69" s="217"/>
      <c r="I69" s="216"/>
      <c r="J69" s="216"/>
      <c r="K69" s="216"/>
      <c r="L69" s="216"/>
      <c r="M69" s="216"/>
      <c r="N69" s="216"/>
      <c r="O69" s="216"/>
      <c r="P69" s="216"/>
      <c r="Q69" s="216"/>
      <c r="R69" s="216"/>
      <c r="S69" s="216"/>
      <c r="T69" s="216"/>
    </row>
    <row r="70" spans="1:20" ht="16" x14ac:dyDescent="0.2">
      <c r="A70" s="217"/>
      <c r="B70" s="217"/>
      <c r="C70" s="217"/>
      <c r="D70" s="217"/>
      <c r="E70" s="217"/>
      <c r="F70" s="217"/>
      <c r="G70" s="217"/>
      <c r="H70" s="217"/>
      <c r="I70" s="216"/>
      <c r="J70" s="216"/>
      <c r="K70" s="216"/>
      <c r="L70" s="216"/>
      <c r="M70" s="216"/>
      <c r="N70" s="216"/>
      <c r="O70" s="216"/>
      <c r="P70" s="216"/>
      <c r="Q70" s="216"/>
      <c r="R70" s="216"/>
      <c r="S70" s="216"/>
      <c r="T70" s="216"/>
    </row>
    <row r="71" spans="1:20" ht="16" x14ac:dyDescent="0.2">
      <c r="A71" s="217"/>
      <c r="B71" s="217"/>
      <c r="C71" s="217"/>
      <c r="D71" s="217"/>
      <c r="E71" s="217"/>
      <c r="F71" s="217"/>
      <c r="G71" s="217"/>
      <c r="H71" s="217"/>
      <c r="I71" s="216"/>
      <c r="J71" s="216"/>
      <c r="K71" s="216"/>
      <c r="L71" s="216"/>
      <c r="M71" s="216"/>
      <c r="N71" s="216"/>
      <c r="O71" s="216"/>
      <c r="P71" s="216"/>
      <c r="Q71" s="216"/>
      <c r="R71" s="216"/>
      <c r="S71" s="216"/>
      <c r="T71" s="216"/>
    </row>
    <row r="72" spans="1:20" ht="16" x14ac:dyDescent="0.2">
      <c r="A72" s="217"/>
      <c r="B72" s="217"/>
      <c r="C72" s="217"/>
      <c r="D72" s="217"/>
      <c r="E72" s="217"/>
      <c r="F72" s="217"/>
      <c r="G72" s="217"/>
      <c r="H72" s="217"/>
      <c r="I72" s="216"/>
      <c r="J72" s="216"/>
      <c r="K72" s="216"/>
      <c r="L72" s="216"/>
      <c r="M72" s="216"/>
      <c r="N72" s="216"/>
      <c r="O72" s="216"/>
      <c r="P72" s="216"/>
      <c r="Q72" s="216"/>
      <c r="R72" s="216"/>
      <c r="S72" s="216"/>
      <c r="T72" s="216"/>
    </row>
    <row r="73" spans="1:20" ht="16" x14ac:dyDescent="0.2">
      <c r="A73" s="217"/>
      <c r="B73" s="217"/>
      <c r="C73" s="217"/>
      <c r="D73" s="217"/>
      <c r="E73" s="217"/>
      <c r="F73" s="217"/>
      <c r="G73" s="217"/>
      <c r="H73" s="217"/>
      <c r="I73" s="216"/>
      <c r="J73" s="216"/>
      <c r="K73" s="216"/>
      <c r="L73" s="216"/>
      <c r="M73" s="216"/>
      <c r="N73" s="216"/>
      <c r="O73" s="216"/>
      <c r="P73" s="216"/>
      <c r="Q73" s="216"/>
      <c r="R73" s="216"/>
      <c r="S73" s="216"/>
      <c r="T73" s="216"/>
    </row>
    <row r="74" spans="1:20" ht="16" x14ac:dyDescent="0.2">
      <c r="A74" s="217"/>
      <c r="B74" s="217"/>
      <c r="C74" s="217"/>
      <c r="D74" s="217"/>
      <c r="E74" s="217"/>
      <c r="F74" s="217"/>
      <c r="G74" s="217"/>
      <c r="H74" s="217"/>
      <c r="I74" s="216"/>
      <c r="J74" s="216"/>
      <c r="K74" s="216"/>
      <c r="L74" s="216"/>
      <c r="M74" s="216"/>
      <c r="N74" s="216"/>
      <c r="O74" s="216"/>
      <c r="P74" s="216"/>
      <c r="Q74" s="216"/>
      <c r="R74" s="216"/>
      <c r="S74" s="216"/>
      <c r="T74" s="216"/>
    </row>
    <row r="75" spans="1:20" ht="16" x14ac:dyDescent="0.2">
      <c r="A75" s="217"/>
      <c r="B75" s="217"/>
      <c r="C75" s="217"/>
      <c r="D75" s="217"/>
      <c r="E75" s="217"/>
      <c r="F75" s="217"/>
      <c r="G75" s="217"/>
      <c r="H75" s="217"/>
      <c r="I75" s="216"/>
      <c r="J75" s="216"/>
      <c r="K75" s="216"/>
      <c r="L75" s="216"/>
      <c r="M75" s="216"/>
      <c r="N75" s="216"/>
      <c r="O75" s="216"/>
      <c r="P75" s="216"/>
      <c r="Q75" s="216"/>
      <c r="R75" s="216"/>
      <c r="S75" s="216"/>
      <c r="T75" s="216"/>
    </row>
    <row r="76" spans="1:20" ht="16" x14ac:dyDescent="0.2">
      <c r="A76" s="217"/>
      <c r="B76" s="217"/>
      <c r="C76" s="217"/>
      <c r="D76" s="217"/>
      <c r="E76" s="217"/>
      <c r="F76" s="217"/>
      <c r="G76" s="217"/>
      <c r="H76" s="217"/>
      <c r="I76" s="216"/>
      <c r="J76" s="216"/>
      <c r="K76" s="216"/>
      <c r="L76" s="216"/>
      <c r="M76" s="216"/>
      <c r="N76" s="216"/>
      <c r="O76" s="216"/>
      <c r="P76" s="216"/>
      <c r="Q76" s="216"/>
      <c r="R76" s="216"/>
      <c r="S76" s="216"/>
      <c r="T76" s="216"/>
    </row>
    <row r="77" spans="1:20" ht="16" x14ac:dyDescent="0.2">
      <c r="A77" s="217"/>
      <c r="B77" s="217"/>
      <c r="C77" s="217"/>
      <c r="D77" s="217"/>
      <c r="E77" s="217"/>
      <c r="F77" s="217"/>
      <c r="G77" s="217"/>
      <c r="H77" s="217"/>
      <c r="I77" s="216"/>
      <c r="J77" s="216"/>
      <c r="K77" s="216"/>
      <c r="L77" s="216"/>
      <c r="M77" s="216"/>
      <c r="N77" s="216"/>
      <c r="O77" s="216"/>
      <c r="P77" s="216"/>
      <c r="Q77" s="216"/>
      <c r="R77" s="216"/>
      <c r="S77" s="216"/>
      <c r="T77" s="216"/>
    </row>
    <row r="78" spans="1:20" ht="16" x14ac:dyDescent="0.2">
      <c r="A78" s="217"/>
      <c r="B78" s="217"/>
      <c r="C78" s="217"/>
      <c r="D78" s="217"/>
      <c r="E78" s="217"/>
      <c r="F78" s="217"/>
      <c r="G78" s="217"/>
      <c r="H78" s="217"/>
      <c r="I78" s="216"/>
      <c r="J78" s="216"/>
      <c r="K78" s="216"/>
      <c r="L78" s="216"/>
      <c r="M78" s="216"/>
      <c r="N78" s="216"/>
      <c r="O78" s="216"/>
      <c r="P78" s="216"/>
      <c r="Q78" s="216"/>
      <c r="R78" s="216"/>
      <c r="S78" s="216"/>
      <c r="T78" s="216"/>
    </row>
    <row r="79" spans="1:20" ht="16" x14ac:dyDescent="0.2">
      <c r="A79" s="217"/>
      <c r="B79" s="217"/>
      <c r="C79" s="217"/>
      <c r="D79" s="217"/>
      <c r="E79" s="217"/>
      <c r="F79" s="217"/>
      <c r="G79" s="217"/>
      <c r="H79" s="217"/>
      <c r="I79" s="216"/>
      <c r="J79" s="216"/>
      <c r="K79" s="216"/>
      <c r="L79" s="216"/>
      <c r="M79" s="216"/>
      <c r="N79" s="216"/>
      <c r="O79" s="216"/>
      <c r="P79" s="216"/>
      <c r="Q79" s="216"/>
      <c r="R79" s="216"/>
      <c r="S79" s="216"/>
      <c r="T79" s="216"/>
    </row>
    <row r="80" spans="1:20" ht="16" x14ac:dyDescent="0.2">
      <c r="A80" s="217"/>
      <c r="B80" s="217"/>
      <c r="C80" s="217"/>
      <c r="D80" s="217"/>
      <c r="E80" s="217"/>
      <c r="F80" s="217"/>
      <c r="G80" s="217"/>
      <c r="H80" s="217"/>
      <c r="I80" s="216"/>
      <c r="J80" s="216"/>
      <c r="K80" s="216"/>
      <c r="L80" s="216"/>
      <c r="M80" s="216"/>
      <c r="N80" s="216"/>
      <c r="O80" s="216"/>
      <c r="P80" s="216"/>
      <c r="Q80" s="216"/>
      <c r="R80" s="216"/>
      <c r="S80" s="216"/>
      <c r="T80" s="216"/>
    </row>
    <row r="81" spans="1:20" ht="16" x14ac:dyDescent="0.2">
      <c r="A81" s="217"/>
      <c r="B81" s="217"/>
      <c r="C81" s="217"/>
      <c r="D81" s="217"/>
      <c r="E81" s="217"/>
      <c r="F81" s="217"/>
      <c r="G81" s="217"/>
      <c r="H81" s="217"/>
      <c r="I81" s="216"/>
      <c r="J81" s="216"/>
      <c r="K81" s="216"/>
      <c r="L81" s="216"/>
      <c r="M81" s="216"/>
      <c r="N81" s="216"/>
      <c r="O81" s="216"/>
      <c r="P81" s="216"/>
      <c r="Q81" s="216"/>
      <c r="R81" s="216"/>
      <c r="S81" s="216"/>
      <c r="T81" s="216"/>
    </row>
    <row r="82" spans="1:20" ht="16" x14ac:dyDescent="0.2">
      <c r="A82" s="217"/>
      <c r="B82" s="217"/>
      <c r="C82" s="217"/>
      <c r="D82" s="217"/>
      <c r="E82" s="217"/>
      <c r="F82" s="217"/>
      <c r="G82" s="217"/>
      <c r="H82" s="217"/>
      <c r="I82" s="216"/>
      <c r="J82" s="216"/>
      <c r="K82" s="216"/>
      <c r="L82" s="216"/>
      <c r="M82" s="216"/>
      <c r="N82" s="216"/>
      <c r="O82" s="216"/>
      <c r="P82" s="216"/>
      <c r="Q82" s="216"/>
      <c r="R82" s="216"/>
      <c r="S82" s="216"/>
      <c r="T82" s="216"/>
    </row>
    <row r="83" spans="1:20" ht="16" x14ac:dyDescent="0.2">
      <c r="A83" s="217"/>
      <c r="B83" s="217"/>
      <c r="C83" s="217"/>
      <c r="D83" s="217"/>
      <c r="E83" s="217"/>
      <c r="F83" s="217"/>
      <c r="G83" s="217"/>
      <c r="H83" s="217"/>
      <c r="I83" s="216"/>
      <c r="J83" s="216"/>
      <c r="K83" s="216"/>
      <c r="L83" s="216"/>
      <c r="M83" s="216"/>
      <c r="N83" s="216"/>
      <c r="O83" s="216"/>
      <c r="P83" s="216"/>
      <c r="Q83" s="216"/>
      <c r="R83" s="216"/>
      <c r="S83" s="216"/>
      <c r="T83" s="216"/>
    </row>
    <row r="84" spans="1:20" ht="16" x14ac:dyDescent="0.2">
      <c r="A84" s="217"/>
      <c r="B84" s="217"/>
      <c r="C84" s="217"/>
      <c r="D84" s="217"/>
      <c r="E84" s="217"/>
      <c r="F84" s="217"/>
      <c r="G84" s="217"/>
      <c r="H84" s="217"/>
      <c r="I84" s="216"/>
      <c r="J84" s="216"/>
      <c r="K84" s="216"/>
      <c r="L84" s="216"/>
      <c r="M84" s="216"/>
      <c r="N84" s="216"/>
      <c r="O84" s="216"/>
      <c r="P84" s="216"/>
      <c r="Q84" s="216"/>
      <c r="R84" s="216"/>
      <c r="S84" s="216"/>
      <c r="T84" s="216"/>
    </row>
    <row r="85" spans="1:20" ht="16" x14ac:dyDescent="0.2">
      <c r="A85" s="217"/>
      <c r="B85" s="217"/>
      <c r="C85" s="217"/>
      <c r="D85" s="217"/>
      <c r="E85" s="217"/>
      <c r="F85" s="217"/>
      <c r="G85" s="217"/>
      <c r="H85" s="217"/>
      <c r="I85" s="216"/>
      <c r="J85" s="216"/>
      <c r="K85" s="216"/>
      <c r="L85" s="216"/>
      <c r="M85" s="216"/>
      <c r="N85" s="216"/>
      <c r="O85" s="216"/>
      <c r="P85" s="216"/>
      <c r="Q85" s="216"/>
      <c r="R85" s="216"/>
      <c r="S85" s="216"/>
      <c r="T85" s="216"/>
    </row>
    <row r="86" spans="1:20" ht="16" x14ac:dyDescent="0.2">
      <c r="A86" s="217"/>
      <c r="B86" s="217"/>
      <c r="C86" s="217"/>
      <c r="D86" s="217"/>
      <c r="E86" s="217"/>
      <c r="F86" s="217"/>
      <c r="G86" s="217"/>
      <c r="H86" s="217"/>
      <c r="I86" s="216"/>
      <c r="J86" s="216"/>
      <c r="K86" s="216"/>
      <c r="L86" s="216"/>
      <c r="M86" s="216"/>
      <c r="N86" s="216"/>
      <c r="O86" s="216"/>
      <c r="P86" s="216"/>
      <c r="Q86" s="216"/>
      <c r="R86" s="216"/>
      <c r="S86" s="216"/>
      <c r="T86" s="216"/>
    </row>
    <row r="87" spans="1:20" ht="16" x14ac:dyDescent="0.2">
      <c r="A87" s="217"/>
      <c r="B87" s="217"/>
      <c r="C87" s="217"/>
      <c r="D87" s="217"/>
      <c r="E87" s="217"/>
      <c r="F87" s="217"/>
      <c r="G87" s="217"/>
      <c r="H87" s="217"/>
      <c r="I87" s="216"/>
      <c r="J87" s="216"/>
      <c r="K87" s="216"/>
      <c r="L87" s="216"/>
      <c r="M87" s="216"/>
      <c r="N87" s="216"/>
      <c r="O87" s="216"/>
      <c r="P87" s="216"/>
      <c r="Q87" s="216"/>
      <c r="R87" s="216"/>
      <c r="S87" s="216"/>
      <c r="T87" s="216"/>
    </row>
    <row r="88" spans="1:20" ht="16" x14ac:dyDescent="0.2">
      <c r="A88" s="217"/>
      <c r="B88" s="217"/>
      <c r="C88" s="217"/>
      <c r="D88" s="217"/>
      <c r="E88" s="217"/>
      <c r="F88" s="217"/>
      <c r="G88" s="217"/>
      <c r="H88" s="217"/>
      <c r="I88" s="216"/>
      <c r="J88" s="216"/>
      <c r="K88" s="216"/>
      <c r="L88" s="216"/>
      <c r="M88" s="216"/>
      <c r="N88" s="216"/>
      <c r="O88" s="216"/>
      <c r="P88" s="216"/>
      <c r="Q88" s="216"/>
      <c r="R88" s="216"/>
      <c r="S88" s="216"/>
      <c r="T88" s="216"/>
    </row>
    <row r="89" spans="1:20" ht="16" x14ac:dyDescent="0.2">
      <c r="A89" s="217"/>
      <c r="B89" s="217"/>
      <c r="C89" s="217"/>
      <c r="D89" s="217"/>
      <c r="E89" s="217"/>
      <c r="F89" s="217"/>
      <c r="G89" s="217"/>
      <c r="H89" s="217"/>
      <c r="I89" s="216"/>
      <c r="J89" s="216"/>
      <c r="K89" s="216"/>
      <c r="L89" s="216"/>
      <c r="M89" s="216"/>
      <c r="N89" s="216"/>
      <c r="O89" s="216"/>
      <c r="P89" s="216"/>
      <c r="Q89" s="216"/>
      <c r="R89" s="216"/>
      <c r="S89" s="216"/>
      <c r="T89" s="216"/>
    </row>
    <row r="90" spans="1:20" ht="16" x14ac:dyDescent="0.2">
      <c r="A90" s="217"/>
      <c r="B90" s="217"/>
      <c r="C90" s="217"/>
      <c r="D90" s="217"/>
      <c r="E90" s="217"/>
      <c r="F90" s="217"/>
      <c r="G90" s="217"/>
      <c r="H90" s="217"/>
      <c r="I90" s="216"/>
      <c r="J90" s="216"/>
      <c r="K90" s="216"/>
      <c r="L90" s="216"/>
      <c r="M90" s="216"/>
      <c r="N90" s="216"/>
      <c r="O90" s="216"/>
      <c r="P90" s="216"/>
      <c r="Q90" s="216"/>
      <c r="R90" s="216"/>
      <c r="S90" s="216"/>
      <c r="T90" s="216"/>
    </row>
    <row r="91" spans="1:20" ht="16" x14ac:dyDescent="0.2">
      <c r="A91" s="217"/>
      <c r="B91" s="217"/>
      <c r="C91" s="217"/>
      <c r="D91" s="217"/>
      <c r="E91" s="217"/>
      <c r="F91" s="217"/>
      <c r="G91" s="217"/>
      <c r="H91" s="217"/>
      <c r="I91" s="216"/>
      <c r="J91" s="216"/>
      <c r="K91" s="216"/>
      <c r="L91" s="216"/>
      <c r="M91" s="216"/>
      <c r="N91" s="216"/>
      <c r="O91" s="216"/>
      <c r="P91" s="216"/>
      <c r="Q91" s="216"/>
      <c r="R91" s="216"/>
      <c r="S91" s="216"/>
      <c r="T91" s="216"/>
    </row>
    <row r="92" spans="1:20" ht="16" x14ac:dyDescent="0.2">
      <c r="A92" s="217"/>
      <c r="B92" s="217"/>
      <c r="C92" s="217"/>
      <c r="D92" s="217"/>
      <c r="E92" s="217"/>
      <c r="F92" s="217"/>
      <c r="G92" s="217"/>
      <c r="H92" s="217"/>
      <c r="I92" s="216"/>
      <c r="J92" s="216"/>
      <c r="K92" s="216"/>
      <c r="L92" s="216"/>
      <c r="M92" s="216"/>
      <c r="N92" s="216"/>
      <c r="O92" s="216"/>
      <c r="P92" s="216"/>
      <c r="Q92" s="216"/>
      <c r="R92" s="216"/>
      <c r="S92" s="216"/>
      <c r="T92" s="216"/>
    </row>
    <row r="93" spans="1:20" ht="16" x14ac:dyDescent="0.2">
      <c r="A93" s="217"/>
      <c r="B93" s="217"/>
      <c r="C93" s="217"/>
      <c r="D93" s="217"/>
      <c r="E93" s="217"/>
      <c r="F93" s="217"/>
      <c r="G93" s="217"/>
      <c r="H93" s="217"/>
      <c r="I93" s="216"/>
      <c r="J93" s="216"/>
      <c r="K93" s="216"/>
      <c r="L93" s="216"/>
      <c r="M93" s="216"/>
      <c r="N93" s="216"/>
      <c r="O93" s="216"/>
      <c r="P93" s="216"/>
      <c r="Q93" s="216"/>
      <c r="R93" s="216"/>
      <c r="S93" s="216"/>
      <c r="T93" s="216"/>
    </row>
    <row r="94" spans="1:20" ht="16" x14ac:dyDescent="0.2">
      <c r="A94" s="217"/>
      <c r="B94" s="217"/>
      <c r="C94" s="217"/>
      <c r="D94" s="217"/>
      <c r="E94" s="217"/>
      <c r="F94" s="217"/>
      <c r="G94" s="217"/>
      <c r="H94" s="217"/>
      <c r="I94" s="216"/>
      <c r="J94" s="216"/>
      <c r="K94" s="216"/>
      <c r="L94" s="216"/>
      <c r="M94" s="216"/>
      <c r="N94" s="216"/>
      <c r="O94" s="216"/>
      <c r="P94" s="216"/>
      <c r="Q94" s="216"/>
      <c r="R94" s="216"/>
      <c r="S94" s="216"/>
      <c r="T94" s="216"/>
    </row>
    <row r="95" spans="1:20" ht="16" x14ac:dyDescent="0.2">
      <c r="A95" s="217"/>
      <c r="B95" s="217"/>
      <c r="C95" s="217"/>
      <c r="D95" s="217"/>
      <c r="E95" s="217"/>
      <c r="F95" s="217"/>
      <c r="G95" s="217"/>
      <c r="H95" s="217"/>
      <c r="I95" s="216"/>
      <c r="J95" s="216"/>
      <c r="K95" s="216"/>
      <c r="L95" s="216"/>
      <c r="M95" s="216"/>
      <c r="N95" s="216"/>
      <c r="O95" s="216"/>
      <c r="P95" s="216"/>
      <c r="Q95" s="216"/>
      <c r="R95" s="216"/>
      <c r="S95" s="216"/>
      <c r="T95" s="216"/>
    </row>
    <row r="96" spans="1:20" ht="16" x14ac:dyDescent="0.2">
      <c r="A96" s="217"/>
      <c r="B96" s="217"/>
      <c r="C96" s="217"/>
      <c r="D96" s="217"/>
      <c r="E96" s="217"/>
      <c r="F96" s="217"/>
      <c r="G96" s="217"/>
      <c r="H96" s="217"/>
      <c r="I96" s="216"/>
      <c r="J96" s="216"/>
      <c r="K96" s="216"/>
      <c r="L96" s="216"/>
      <c r="M96" s="216"/>
      <c r="N96" s="216"/>
      <c r="O96" s="216"/>
      <c r="P96" s="216"/>
      <c r="Q96" s="216"/>
      <c r="R96" s="216"/>
      <c r="S96" s="216"/>
      <c r="T96" s="216"/>
    </row>
    <row r="97" spans="1:20" ht="16" x14ac:dyDescent="0.2">
      <c r="A97" s="217"/>
      <c r="B97" s="217"/>
      <c r="C97" s="217"/>
      <c r="D97" s="217"/>
      <c r="E97" s="217"/>
      <c r="F97" s="217"/>
      <c r="G97" s="217"/>
      <c r="H97" s="217"/>
      <c r="I97" s="216"/>
      <c r="J97" s="216"/>
      <c r="K97" s="216"/>
      <c r="L97" s="216"/>
      <c r="M97" s="216"/>
      <c r="N97" s="216"/>
      <c r="O97" s="216"/>
      <c r="P97" s="216"/>
      <c r="Q97" s="216"/>
      <c r="R97" s="216"/>
      <c r="S97" s="216"/>
      <c r="T97" s="216"/>
    </row>
    <row r="98" spans="1:20" ht="16" x14ac:dyDescent="0.2">
      <c r="A98" s="217"/>
      <c r="B98" s="217"/>
      <c r="C98" s="217"/>
      <c r="D98" s="217"/>
      <c r="E98" s="217"/>
      <c r="F98" s="217"/>
      <c r="G98" s="217"/>
      <c r="H98" s="217"/>
      <c r="I98" s="216"/>
      <c r="J98" s="216"/>
      <c r="K98" s="216"/>
      <c r="L98" s="216"/>
      <c r="M98" s="216"/>
      <c r="N98" s="216"/>
      <c r="O98" s="216"/>
      <c r="P98" s="216"/>
      <c r="Q98" s="216"/>
      <c r="R98" s="216"/>
      <c r="S98" s="216"/>
      <c r="T98" s="216"/>
    </row>
    <row r="99" spans="1:20" ht="16" x14ac:dyDescent="0.2">
      <c r="A99" s="217"/>
      <c r="B99" s="217"/>
      <c r="C99" s="217"/>
      <c r="D99" s="217"/>
      <c r="E99" s="217"/>
      <c r="F99" s="217"/>
      <c r="G99" s="217"/>
      <c r="H99" s="217"/>
      <c r="I99" s="216"/>
      <c r="J99" s="216"/>
      <c r="K99" s="216"/>
      <c r="L99" s="216"/>
      <c r="M99" s="216"/>
      <c r="N99" s="216"/>
      <c r="O99" s="216"/>
      <c r="P99" s="216"/>
      <c r="Q99" s="216"/>
      <c r="R99" s="216"/>
      <c r="S99" s="216"/>
      <c r="T99" s="216"/>
    </row>
    <row r="100" spans="1:20" ht="16" x14ac:dyDescent="0.2">
      <c r="A100" s="217"/>
      <c r="B100" s="217"/>
      <c r="C100" s="217"/>
      <c r="D100" s="217"/>
      <c r="E100" s="217"/>
      <c r="F100" s="217"/>
      <c r="G100" s="217"/>
      <c r="H100" s="217"/>
      <c r="I100" s="216"/>
      <c r="J100" s="216"/>
      <c r="K100" s="216"/>
      <c r="L100" s="216"/>
      <c r="M100" s="216"/>
      <c r="N100" s="216"/>
      <c r="O100" s="216"/>
      <c r="P100" s="216"/>
      <c r="Q100" s="216"/>
      <c r="R100" s="216"/>
      <c r="S100" s="216"/>
      <c r="T100" s="216"/>
    </row>
    <row r="101" spans="1:20" ht="16" x14ac:dyDescent="0.2">
      <c r="A101" s="217"/>
      <c r="B101" s="217"/>
      <c r="C101" s="217"/>
      <c r="D101" s="217"/>
      <c r="E101" s="217"/>
      <c r="F101" s="217"/>
      <c r="G101" s="217"/>
      <c r="H101" s="217"/>
      <c r="I101" s="216"/>
      <c r="J101" s="216"/>
      <c r="K101" s="216"/>
      <c r="L101" s="216"/>
      <c r="M101" s="216"/>
      <c r="N101" s="216"/>
      <c r="O101" s="216"/>
      <c r="P101" s="216"/>
      <c r="Q101" s="216"/>
      <c r="R101" s="216"/>
      <c r="S101" s="216"/>
      <c r="T101" s="216"/>
    </row>
    <row r="102" spans="1:20" ht="16" x14ac:dyDescent="0.2">
      <c r="A102" s="217"/>
      <c r="B102" s="217"/>
      <c r="C102" s="217"/>
      <c r="D102" s="217"/>
      <c r="E102" s="217"/>
      <c r="F102" s="217"/>
      <c r="G102" s="217"/>
      <c r="H102" s="217"/>
      <c r="I102" s="216"/>
      <c r="J102" s="216"/>
      <c r="K102" s="216"/>
      <c r="L102" s="216"/>
      <c r="M102" s="216"/>
      <c r="N102" s="216"/>
      <c r="O102" s="216"/>
      <c r="P102" s="216"/>
      <c r="Q102" s="216"/>
      <c r="R102" s="216"/>
      <c r="S102" s="216"/>
      <c r="T102" s="216"/>
    </row>
    <row r="103" spans="1:20" ht="16" x14ac:dyDescent="0.2">
      <c r="A103" s="217"/>
      <c r="B103" s="217"/>
      <c r="C103" s="217"/>
      <c r="D103" s="217"/>
      <c r="E103" s="217"/>
      <c r="F103" s="217"/>
      <c r="G103" s="217"/>
      <c r="H103" s="217"/>
      <c r="I103" s="216"/>
      <c r="J103" s="216"/>
      <c r="K103" s="216"/>
      <c r="L103" s="216"/>
      <c r="M103" s="216"/>
      <c r="N103" s="216"/>
      <c r="O103" s="216"/>
      <c r="P103" s="216"/>
      <c r="Q103" s="216"/>
      <c r="R103" s="216"/>
      <c r="S103" s="216"/>
      <c r="T103" s="216"/>
    </row>
    <row r="104" spans="1:20" ht="16" x14ac:dyDescent="0.2">
      <c r="A104" s="217"/>
      <c r="B104" s="217"/>
      <c r="C104" s="217"/>
      <c r="D104" s="217"/>
      <c r="E104" s="217"/>
      <c r="F104" s="217"/>
      <c r="G104" s="217"/>
      <c r="H104" s="217"/>
      <c r="I104" s="216"/>
      <c r="J104" s="216"/>
      <c r="K104" s="216"/>
      <c r="L104" s="216"/>
      <c r="M104" s="216"/>
      <c r="N104" s="216"/>
      <c r="O104" s="216"/>
      <c r="P104" s="216"/>
      <c r="Q104" s="216"/>
      <c r="R104" s="216"/>
      <c r="S104" s="216"/>
      <c r="T104" s="216"/>
    </row>
    <row r="105" spans="1:20" ht="16" x14ac:dyDescent="0.2">
      <c r="A105" s="217"/>
      <c r="B105" s="217"/>
      <c r="C105" s="217"/>
      <c r="D105" s="217"/>
      <c r="E105" s="217"/>
      <c r="F105" s="217"/>
      <c r="G105" s="217"/>
      <c r="H105" s="217"/>
      <c r="I105" s="216"/>
      <c r="J105" s="216"/>
      <c r="K105" s="216"/>
      <c r="L105" s="216"/>
      <c r="M105" s="216"/>
      <c r="N105" s="216"/>
      <c r="O105" s="216"/>
      <c r="P105" s="216"/>
      <c r="Q105" s="216"/>
      <c r="R105" s="216"/>
      <c r="S105" s="216"/>
      <c r="T105" s="216"/>
    </row>
    <row r="106" spans="1:20" ht="16" x14ac:dyDescent="0.2">
      <c r="A106" s="217"/>
      <c r="B106" s="217"/>
      <c r="C106" s="217"/>
      <c r="D106" s="217"/>
      <c r="E106" s="217"/>
      <c r="F106" s="217"/>
      <c r="G106" s="217"/>
      <c r="H106" s="217"/>
      <c r="I106" s="216"/>
      <c r="J106" s="216"/>
      <c r="K106" s="216"/>
      <c r="L106" s="216"/>
      <c r="M106" s="216"/>
      <c r="N106" s="216"/>
      <c r="O106" s="216"/>
      <c r="P106" s="216"/>
      <c r="Q106" s="216"/>
      <c r="R106" s="216"/>
      <c r="S106" s="216"/>
      <c r="T106" s="216"/>
    </row>
    <row r="107" spans="1:20" ht="16" x14ac:dyDescent="0.2">
      <c r="A107" s="217"/>
      <c r="B107" s="217"/>
      <c r="C107" s="217"/>
      <c r="D107" s="217"/>
      <c r="E107" s="217"/>
      <c r="F107" s="217"/>
      <c r="G107" s="217"/>
      <c r="H107" s="217"/>
      <c r="I107" s="216"/>
      <c r="J107" s="216"/>
      <c r="K107" s="216"/>
      <c r="L107" s="216"/>
      <c r="M107" s="216"/>
      <c r="N107" s="216"/>
      <c r="O107" s="216"/>
      <c r="P107" s="216"/>
      <c r="Q107" s="216"/>
      <c r="R107" s="216"/>
      <c r="S107" s="216"/>
      <c r="T107" s="216"/>
    </row>
    <row r="108" spans="1:20" ht="16" x14ac:dyDescent="0.2">
      <c r="A108" s="217"/>
      <c r="B108" s="217"/>
      <c r="C108" s="217"/>
      <c r="D108" s="217"/>
      <c r="E108" s="217"/>
      <c r="F108" s="217"/>
      <c r="G108" s="217"/>
      <c r="H108" s="217"/>
      <c r="I108" s="216"/>
      <c r="J108" s="216"/>
      <c r="K108" s="216"/>
      <c r="L108" s="216"/>
      <c r="M108" s="216"/>
      <c r="N108" s="216"/>
      <c r="O108" s="216"/>
      <c r="P108" s="216"/>
      <c r="Q108" s="216"/>
      <c r="R108" s="216"/>
      <c r="S108" s="216"/>
      <c r="T108" s="216"/>
    </row>
    <row r="109" spans="1:20" ht="16" x14ac:dyDescent="0.2">
      <c r="A109" s="217"/>
      <c r="B109" s="217"/>
      <c r="C109" s="217"/>
      <c r="D109" s="217"/>
      <c r="E109" s="217"/>
      <c r="F109" s="217"/>
      <c r="G109" s="217"/>
      <c r="H109" s="217"/>
      <c r="I109" s="216"/>
      <c r="J109" s="216"/>
      <c r="K109" s="216"/>
      <c r="L109" s="216"/>
      <c r="M109" s="216"/>
      <c r="N109" s="216"/>
      <c r="O109" s="216"/>
      <c r="P109" s="216"/>
      <c r="Q109" s="216"/>
      <c r="R109" s="216"/>
      <c r="S109" s="216"/>
      <c r="T109" s="216"/>
    </row>
    <row r="110" spans="1:20" ht="16" x14ac:dyDescent="0.2">
      <c r="A110" s="217"/>
      <c r="B110" s="217"/>
      <c r="C110" s="217"/>
      <c r="D110" s="217"/>
      <c r="E110" s="217"/>
      <c r="F110" s="217"/>
      <c r="G110" s="217"/>
      <c r="H110" s="217"/>
      <c r="I110" s="216"/>
      <c r="J110" s="216"/>
      <c r="K110" s="216"/>
      <c r="L110" s="216"/>
      <c r="M110" s="216"/>
      <c r="N110" s="216"/>
      <c r="O110" s="216"/>
      <c r="P110" s="216"/>
      <c r="Q110" s="216"/>
      <c r="R110" s="216"/>
      <c r="S110" s="216"/>
      <c r="T110" s="216"/>
    </row>
    <row r="111" spans="1:20" ht="16" x14ac:dyDescent="0.2">
      <c r="A111" s="217"/>
      <c r="B111" s="217"/>
      <c r="C111" s="217"/>
      <c r="D111" s="217"/>
      <c r="E111" s="217"/>
      <c r="F111" s="217"/>
      <c r="G111" s="217"/>
      <c r="H111" s="217"/>
      <c r="I111" s="216"/>
      <c r="J111" s="216"/>
      <c r="K111" s="216"/>
      <c r="L111" s="216"/>
      <c r="M111" s="216"/>
      <c r="N111" s="216"/>
      <c r="O111" s="216"/>
      <c r="P111" s="216"/>
      <c r="Q111" s="216"/>
      <c r="R111" s="216"/>
      <c r="S111" s="216"/>
      <c r="T111" s="216"/>
    </row>
    <row r="112" spans="1:20" ht="16" x14ac:dyDescent="0.2">
      <c r="A112" s="217"/>
      <c r="B112" s="217"/>
      <c r="C112" s="217"/>
      <c r="D112" s="217"/>
      <c r="E112" s="217"/>
      <c r="F112" s="217"/>
      <c r="G112" s="217"/>
      <c r="H112" s="217"/>
      <c r="I112" s="216"/>
      <c r="J112" s="216"/>
      <c r="K112" s="216"/>
      <c r="L112" s="216"/>
      <c r="M112" s="216"/>
      <c r="N112" s="216"/>
      <c r="O112" s="216"/>
      <c r="P112" s="216"/>
      <c r="Q112" s="216"/>
      <c r="R112" s="216"/>
      <c r="S112" s="216"/>
      <c r="T112" s="216"/>
    </row>
    <row r="113" spans="1:20" ht="16" x14ac:dyDescent="0.2">
      <c r="A113" s="217"/>
      <c r="B113" s="217"/>
      <c r="C113" s="217"/>
      <c r="D113" s="217"/>
      <c r="E113" s="217"/>
      <c r="F113" s="217"/>
      <c r="G113" s="217"/>
      <c r="H113" s="217"/>
      <c r="I113" s="216"/>
      <c r="J113" s="216"/>
      <c r="K113" s="216"/>
      <c r="L113" s="216"/>
      <c r="M113" s="216"/>
      <c r="N113" s="216"/>
      <c r="O113" s="216"/>
      <c r="P113" s="216"/>
      <c r="Q113" s="216"/>
      <c r="R113" s="216"/>
      <c r="S113" s="216"/>
      <c r="T113" s="216"/>
    </row>
    <row r="114" spans="1:20" ht="16" x14ac:dyDescent="0.2">
      <c r="A114" s="217"/>
      <c r="B114" s="217"/>
      <c r="C114" s="217"/>
      <c r="D114" s="217"/>
      <c r="E114" s="217"/>
      <c r="F114" s="217"/>
      <c r="G114" s="217"/>
      <c r="H114" s="217"/>
      <c r="I114" s="216"/>
      <c r="J114" s="216"/>
      <c r="K114" s="216"/>
      <c r="L114" s="216"/>
      <c r="M114" s="216"/>
      <c r="N114" s="216"/>
      <c r="O114" s="216"/>
      <c r="P114" s="216"/>
      <c r="Q114" s="216"/>
      <c r="R114" s="216"/>
      <c r="S114" s="216"/>
      <c r="T114" s="216"/>
    </row>
    <row r="115" spans="1:20" ht="16" x14ac:dyDescent="0.2">
      <c r="A115" s="217"/>
      <c r="B115" s="217"/>
      <c r="C115" s="217"/>
      <c r="D115" s="217"/>
      <c r="E115" s="217"/>
      <c r="F115" s="217"/>
      <c r="G115" s="217"/>
      <c r="H115" s="217"/>
      <c r="I115" s="216"/>
      <c r="J115" s="216"/>
      <c r="K115" s="216"/>
      <c r="L115" s="216"/>
      <c r="M115" s="216"/>
      <c r="N115" s="216"/>
      <c r="O115" s="216"/>
      <c r="P115" s="216"/>
      <c r="Q115" s="216"/>
      <c r="R115" s="216"/>
      <c r="S115" s="216"/>
      <c r="T115" s="216"/>
    </row>
    <row r="116" spans="1:20" ht="16" x14ac:dyDescent="0.2">
      <c r="A116" s="217"/>
      <c r="B116" s="217"/>
      <c r="C116" s="217"/>
      <c r="D116" s="217"/>
      <c r="E116" s="217"/>
      <c r="F116" s="217"/>
      <c r="G116" s="217"/>
      <c r="H116" s="217"/>
      <c r="I116" s="216"/>
      <c r="J116" s="216"/>
      <c r="K116" s="216"/>
      <c r="L116" s="216"/>
      <c r="M116" s="216"/>
      <c r="N116" s="216"/>
      <c r="O116" s="216"/>
      <c r="P116" s="216"/>
      <c r="Q116" s="216"/>
      <c r="R116" s="216"/>
      <c r="S116" s="216"/>
      <c r="T116" s="216"/>
    </row>
    <row r="117" spans="1:20" ht="16" x14ac:dyDescent="0.2">
      <c r="A117" s="217"/>
      <c r="B117" s="217"/>
      <c r="C117" s="217"/>
      <c r="D117" s="217"/>
      <c r="E117" s="217"/>
      <c r="F117" s="217"/>
      <c r="G117" s="217"/>
      <c r="H117" s="217"/>
      <c r="I117" s="216"/>
      <c r="J117" s="216"/>
      <c r="K117" s="216"/>
      <c r="L117" s="216"/>
      <c r="M117" s="216"/>
      <c r="N117" s="216"/>
      <c r="O117" s="216"/>
      <c r="P117" s="216"/>
      <c r="Q117" s="216"/>
      <c r="R117" s="216"/>
      <c r="S117" s="216"/>
      <c r="T117" s="216"/>
    </row>
    <row r="118" spans="1:20" ht="16" x14ac:dyDescent="0.2">
      <c r="A118" s="217"/>
      <c r="B118" s="217"/>
      <c r="C118" s="217"/>
      <c r="D118" s="217"/>
      <c r="E118" s="217"/>
      <c r="F118" s="217"/>
      <c r="G118" s="217"/>
      <c r="H118" s="217"/>
      <c r="I118" s="216"/>
      <c r="J118" s="216"/>
      <c r="K118" s="216"/>
      <c r="L118" s="216"/>
      <c r="M118" s="216"/>
      <c r="N118" s="216"/>
      <c r="O118" s="216"/>
      <c r="P118" s="216"/>
      <c r="Q118" s="216"/>
      <c r="R118" s="216"/>
      <c r="S118" s="216"/>
      <c r="T118" s="216"/>
    </row>
    <row r="119" spans="1:20" ht="16" x14ac:dyDescent="0.2">
      <c r="A119" s="217"/>
      <c r="B119" s="217"/>
      <c r="C119" s="217"/>
      <c r="D119" s="217"/>
      <c r="E119" s="217"/>
      <c r="F119" s="217"/>
      <c r="G119" s="217"/>
      <c r="H119" s="217"/>
      <c r="I119" s="216"/>
      <c r="J119" s="216"/>
      <c r="K119" s="216"/>
      <c r="L119" s="216"/>
      <c r="M119" s="216"/>
      <c r="N119" s="216"/>
      <c r="O119" s="216"/>
      <c r="P119" s="216"/>
      <c r="Q119" s="216"/>
      <c r="R119" s="216"/>
      <c r="S119" s="216"/>
      <c r="T119" s="216"/>
    </row>
    <row r="120" spans="1:20" ht="16" x14ac:dyDescent="0.2">
      <c r="A120" s="217"/>
      <c r="B120" s="217"/>
      <c r="C120" s="217"/>
      <c r="D120" s="217"/>
      <c r="E120" s="217"/>
      <c r="F120" s="217"/>
      <c r="G120" s="217"/>
      <c r="H120" s="217"/>
      <c r="I120" s="216"/>
      <c r="J120" s="216"/>
      <c r="K120" s="216"/>
      <c r="L120" s="216"/>
      <c r="M120" s="216"/>
      <c r="N120" s="216"/>
      <c r="O120" s="216"/>
      <c r="P120" s="216"/>
      <c r="Q120" s="216"/>
      <c r="R120" s="216"/>
      <c r="S120" s="216"/>
      <c r="T120" s="216"/>
    </row>
    <row r="121" spans="1:20" ht="16" x14ac:dyDescent="0.2">
      <c r="A121" s="217"/>
      <c r="B121" s="217"/>
      <c r="C121" s="217"/>
      <c r="D121" s="217"/>
      <c r="E121" s="217"/>
      <c r="F121" s="217"/>
      <c r="G121" s="217"/>
      <c r="H121" s="217"/>
      <c r="I121" s="216"/>
      <c r="J121" s="216"/>
      <c r="K121" s="216"/>
      <c r="L121" s="216"/>
      <c r="M121" s="216"/>
      <c r="N121" s="216"/>
      <c r="O121" s="216"/>
      <c r="P121" s="216"/>
      <c r="Q121" s="216"/>
      <c r="R121" s="216"/>
      <c r="S121" s="216"/>
      <c r="T121" s="216"/>
    </row>
    <row r="122" spans="1:20" ht="16" x14ac:dyDescent="0.2">
      <c r="A122" s="217"/>
      <c r="B122" s="217"/>
      <c r="C122" s="217"/>
      <c r="D122" s="217"/>
      <c r="E122" s="217"/>
      <c r="F122" s="217"/>
      <c r="G122" s="217"/>
      <c r="H122" s="217"/>
      <c r="I122" s="216"/>
      <c r="J122" s="216"/>
      <c r="K122" s="216"/>
      <c r="L122" s="216"/>
      <c r="M122" s="216"/>
      <c r="N122" s="216"/>
      <c r="O122" s="216"/>
      <c r="P122" s="216"/>
      <c r="Q122" s="216"/>
      <c r="R122" s="216"/>
      <c r="S122" s="216"/>
      <c r="T122" s="216"/>
    </row>
    <row r="123" spans="1:20" ht="16" x14ac:dyDescent="0.2">
      <c r="A123" s="217"/>
      <c r="B123" s="217"/>
      <c r="C123" s="217"/>
      <c r="D123" s="217"/>
      <c r="E123" s="217"/>
      <c r="F123" s="217"/>
      <c r="G123" s="217"/>
      <c r="H123" s="217"/>
      <c r="I123" s="216"/>
      <c r="J123" s="216"/>
      <c r="K123" s="216"/>
      <c r="L123" s="216"/>
      <c r="M123" s="216"/>
      <c r="N123" s="216"/>
      <c r="O123" s="216"/>
      <c r="P123" s="216"/>
      <c r="Q123" s="216"/>
      <c r="R123" s="216"/>
      <c r="S123" s="216"/>
      <c r="T123" s="216"/>
    </row>
    <row r="124" spans="1:20" ht="16" x14ac:dyDescent="0.2">
      <c r="A124" s="217"/>
      <c r="B124" s="217"/>
      <c r="C124" s="217"/>
      <c r="D124" s="217"/>
      <c r="E124" s="217"/>
      <c r="F124" s="217"/>
      <c r="G124" s="217"/>
      <c r="H124" s="217"/>
      <c r="I124" s="216"/>
      <c r="J124" s="216"/>
      <c r="K124" s="216"/>
      <c r="L124" s="216"/>
      <c r="M124" s="216"/>
      <c r="N124" s="216"/>
      <c r="O124" s="216"/>
      <c r="P124" s="216"/>
      <c r="Q124" s="216"/>
      <c r="R124" s="216"/>
      <c r="S124" s="216"/>
      <c r="T124" s="216"/>
    </row>
    <row r="125" spans="1:20" ht="16" x14ac:dyDescent="0.2">
      <c r="A125" s="217"/>
      <c r="B125" s="217"/>
      <c r="C125" s="217"/>
      <c r="D125" s="217"/>
      <c r="E125" s="217"/>
      <c r="F125" s="217"/>
      <c r="G125" s="217"/>
      <c r="H125" s="217"/>
      <c r="I125" s="216"/>
      <c r="J125" s="216"/>
      <c r="K125" s="216"/>
      <c r="L125" s="216"/>
      <c r="M125" s="216"/>
      <c r="N125" s="216"/>
      <c r="O125" s="216"/>
      <c r="P125" s="216"/>
      <c r="Q125" s="216"/>
      <c r="R125" s="216"/>
      <c r="S125" s="216"/>
      <c r="T125" s="216"/>
    </row>
    <row r="126" spans="1:20" ht="16" x14ac:dyDescent="0.2">
      <c r="A126" s="217"/>
      <c r="B126" s="217"/>
      <c r="C126" s="217"/>
      <c r="D126" s="217"/>
      <c r="E126" s="217"/>
      <c r="F126" s="217"/>
      <c r="G126" s="217"/>
      <c r="H126" s="217"/>
      <c r="I126" s="216"/>
      <c r="J126" s="216"/>
      <c r="K126" s="216"/>
      <c r="L126" s="216"/>
      <c r="M126" s="216"/>
      <c r="N126" s="216"/>
      <c r="O126" s="216"/>
      <c r="P126" s="216"/>
      <c r="Q126" s="216"/>
      <c r="R126" s="216"/>
      <c r="S126" s="216"/>
      <c r="T126" s="216"/>
    </row>
    <row r="127" spans="1:20" ht="16" x14ac:dyDescent="0.2">
      <c r="A127" s="217"/>
      <c r="B127" s="217"/>
      <c r="C127" s="217"/>
      <c r="D127" s="217"/>
      <c r="E127" s="217"/>
      <c r="F127" s="217"/>
      <c r="G127" s="217"/>
      <c r="H127" s="217"/>
      <c r="I127" s="216"/>
      <c r="J127" s="216"/>
      <c r="K127" s="216"/>
      <c r="L127" s="216"/>
      <c r="M127" s="216"/>
      <c r="N127" s="216"/>
      <c r="O127" s="216"/>
      <c r="P127" s="216"/>
      <c r="Q127" s="216"/>
      <c r="R127" s="216"/>
      <c r="S127" s="216"/>
      <c r="T127" s="216"/>
    </row>
    <row r="128" spans="1:20" ht="16" x14ac:dyDescent="0.2">
      <c r="A128" s="217"/>
      <c r="B128" s="217"/>
      <c r="C128" s="217"/>
      <c r="D128" s="217"/>
      <c r="E128" s="217"/>
      <c r="F128" s="217"/>
      <c r="G128" s="217"/>
      <c r="H128" s="217"/>
      <c r="I128" s="216"/>
      <c r="J128" s="216"/>
      <c r="K128" s="216"/>
      <c r="L128" s="216"/>
      <c r="M128" s="216"/>
      <c r="N128" s="216"/>
      <c r="O128" s="216"/>
      <c r="P128" s="216"/>
      <c r="Q128" s="216"/>
      <c r="R128" s="216"/>
      <c r="S128" s="216"/>
      <c r="T128" s="216"/>
    </row>
    <row r="129" spans="1:20" ht="16" x14ac:dyDescent="0.2">
      <c r="A129" s="217"/>
      <c r="B129" s="217"/>
      <c r="C129" s="217"/>
      <c r="D129" s="217"/>
      <c r="E129" s="217"/>
      <c r="F129" s="217"/>
      <c r="G129" s="217"/>
      <c r="H129" s="217"/>
      <c r="I129" s="216"/>
      <c r="J129" s="216"/>
      <c r="K129" s="216"/>
      <c r="L129" s="216"/>
      <c r="M129" s="216"/>
      <c r="N129" s="216"/>
      <c r="O129" s="216"/>
      <c r="P129" s="216"/>
      <c r="Q129" s="216"/>
      <c r="R129" s="216"/>
      <c r="S129" s="216"/>
      <c r="T129" s="216"/>
    </row>
    <row r="130" spans="1:20" ht="16" x14ac:dyDescent="0.2">
      <c r="A130" s="217"/>
      <c r="B130" s="217"/>
      <c r="C130" s="217"/>
      <c r="D130" s="217"/>
      <c r="E130" s="217"/>
      <c r="F130" s="217"/>
      <c r="G130" s="217"/>
      <c r="H130" s="217"/>
      <c r="I130" s="216"/>
      <c r="J130" s="216"/>
      <c r="K130" s="216"/>
      <c r="L130" s="216"/>
      <c r="M130" s="216"/>
      <c r="N130" s="216"/>
      <c r="O130" s="216"/>
      <c r="P130" s="216"/>
      <c r="Q130" s="216"/>
      <c r="R130" s="216"/>
      <c r="S130" s="216"/>
      <c r="T130" s="216"/>
    </row>
    <row r="131" spans="1:20" ht="16" x14ac:dyDescent="0.2">
      <c r="A131" s="217"/>
      <c r="B131" s="217"/>
      <c r="C131" s="217"/>
      <c r="D131" s="217"/>
      <c r="E131" s="217"/>
      <c r="F131" s="217"/>
      <c r="G131" s="217"/>
      <c r="H131" s="217"/>
      <c r="I131" s="216"/>
      <c r="J131" s="216"/>
      <c r="K131" s="216"/>
      <c r="L131" s="216"/>
      <c r="M131" s="216"/>
      <c r="N131" s="216"/>
      <c r="O131" s="216"/>
      <c r="P131" s="216"/>
      <c r="Q131" s="216"/>
      <c r="R131" s="216"/>
      <c r="S131" s="216"/>
      <c r="T131" s="216"/>
    </row>
    <row r="132" spans="1:20" ht="16" x14ac:dyDescent="0.2">
      <c r="A132" s="217"/>
      <c r="B132" s="217"/>
      <c r="C132" s="217"/>
      <c r="D132" s="217"/>
      <c r="E132" s="217"/>
      <c r="F132" s="217"/>
      <c r="G132" s="217"/>
      <c r="H132" s="217"/>
      <c r="I132" s="216"/>
      <c r="J132" s="216"/>
      <c r="K132" s="216"/>
      <c r="L132" s="216"/>
      <c r="M132" s="216"/>
      <c r="N132" s="216"/>
      <c r="O132" s="216"/>
      <c r="P132" s="216"/>
      <c r="Q132" s="216"/>
      <c r="R132" s="216"/>
      <c r="S132" s="216"/>
      <c r="T132" s="216"/>
    </row>
    <row r="133" spans="1:20" ht="16" x14ac:dyDescent="0.2">
      <c r="A133" s="217"/>
      <c r="B133" s="217"/>
      <c r="C133" s="217"/>
      <c r="D133" s="217"/>
      <c r="E133" s="217"/>
      <c r="F133" s="217"/>
      <c r="G133" s="217"/>
      <c r="H133" s="217"/>
      <c r="I133" s="216"/>
      <c r="J133" s="216"/>
      <c r="K133" s="216"/>
      <c r="L133" s="216"/>
      <c r="M133" s="216"/>
      <c r="N133" s="216"/>
      <c r="O133" s="216"/>
      <c r="P133" s="216"/>
      <c r="Q133" s="216"/>
      <c r="R133" s="216"/>
      <c r="S133" s="216"/>
      <c r="T133" s="216"/>
    </row>
    <row r="134" spans="1:20" ht="16" x14ac:dyDescent="0.2">
      <c r="A134" s="217"/>
      <c r="B134" s="217"/>
      <c r="C134" s="217"/>
      <c r="D134" s="217"/>
      <c r="E134" s="217"/>
      <c r="F134" s="217"/>
      <c r="G134" s="217"/>
      <c r="H134" s="217"/>
      <c r="I134" s="216"/>
      <c r="J134" s="216"/>
      <c r="K134" s="216"/>
      <c r="L134" s="216"/>
      <c r="M134" s="216"/>
      <c r="N134" s="216"/>
      <c r="O134" s="216"/>
      <c r="P134" s="216"/>
      <c r="Q134" s="216"/>
      <c r="R134" s="216"/>
      <c r="S134" s="216"/>
      <c r="T134" s="216"/>
    </row>
    <row r="135" spans="1:20" ht="16" x14ac:dyDescent="0.2">
      <c r="A135" s="217"/>
      <c r="B135" s="217"/>
      <c r="C135" s="217"/>
      <c r="D135" s="217"/>
      <c r="E135" s="217"/>
      <c r="F135" s="217"/>
      <c r="G135" s="217"/>
      <c r="H135" s="217"/>
      <c r="I135" s="216"/>
      <c r="J135" s="216"/>
      <c r="K135" s="216"/>
      <c r="L135" s="216"/>
      <c r="M135" s="216"/>
      <c r="N135" s="216"/>
      <c r="O135" s="216"/>
      <c r="P135" s="216"/>
      <c r="Q135" s="216"/>
      <c r="R135" s="216"/>
      <c r="S135" s="216"/>
      <c r="T135" s="216"/>
    </row>
    <row r="136" spans="1:20" ht="16" x14ac:dyDescent="0.2">
      <c r="A136" s="217"/>
      <c r="B136" s="217"/>
      <c r="C136" s="217"/>
      <c r="D136" s="217"/>
      <c r="E136" s="217"/>
      <c r="F136" s="217"/>
      <c r="G136" s="217"/>
      <c r="H136" s="217"/>
      <c r="I136" s="216"/>
      <c r="J136" s="216"/>
      <c r="K136" s="216"/>
      <c r="L136" s="216"/>
      <c r="M136" s="216"/>
      <c r="N136" s="216"/>
      <c r="O136" s="216"/>
      <c r="P136" s="216"/>
      <c r="Q136" s="216"/>
      <c r="R136" s="216"/>
      <c r="S136" s="216"/>
      <c r="T136" s="216"/>
    </row>
    <row r="137" spans="1:20" ht="16" x14ac:dyDescent="0.2">
      <c r="A137" s="217"/>
      <c r="B137" s="217"/>
      <c r="C137" s="217"/>
      <c r="D137" s="217"/>
      <c r="E137" s="217"/>
      <c r="F137" s="217"/>
      <c r="G137" s="217"/>
      <c r="H137" s="217"/>
      <c r="I137" s="216"/>
      <c r="J137" s="216"/>
      <c r="K137" s="216"/>
      <c r="L137" s="216"/>
      <c r="M137" s="216"/>
      <c r="N137" s="216"/>
      <c r="O137" s="216"/>
      <c r="P137" s="216"/>
      <c r="Q137" s="216"/>
      <c r="R137" s="216"/>
      <c r="S137" s="216"/>
      <c r="T137" s="216"/>
    </row>
    <row r="138" spans="1:20" ht="16" x14ac:dyDescent="0.2">
      <c r="A138" s="217"/>
      <c r="B138" s="217"/>
      <c r="C138" s="217"/>
      <c r="D138" s="217"/>
      <c r="E138" s="217"/>
      <c r="F138" s="217"/>
      <c r="G138" s="217"/>
      <c r="H138" s="217"/>
      <c r="I138" s="216"/>
      <c r="J138" s="216"/>
      <c r="K138" s="216"/>
      <c r="L138" s="216"/>
      <c r="M138" s="216"/>
      <c r="N138" s="216"/>
      <c r="O138" s="216"/>
      <c r="P138" s="216"/>
      <c r="Q138" s="216"/>
      <c r="R138" s="216"/>
      <c r="S138" s="216"/>
      <c r="T138" s="216"/>
    </row>
    <row r="139" spans="1:20" ht="16" x14ac:dyDescent="0.2">
      <c r="A139" s="217"/>
      <c r="B139" s="217"/>
      <c r="C139" s="217"/>
      <c r="D139" s="217"/>
      <c r="E139" s="217"/>
      <c r="F139" s="217"/>
      <c r="G139" s="217"/>
      <c r="H139" s="217"/>
      <c r="I139" s="216"/>
      <c r="J139" s="216"/>
      <c r="K139" s="216"/>
      <c r="L139" s="216"/>
      <c r="M139" s="216"/>
      <c r="N139" s="216"/>
      <c r="O139" s="216"/>
      <c r="P139" s="216"/>
      <c r="Q139" s="216"/>
      <c r="R139" s="216"/>
      <c r="S139" s="216"/>
      <c r="T139" s="216"/>
    </row>
    <row r="140" spans="1:20" ht="16" x14ac:dyDescent="0.2">
      <c r="A140" s="217"/>
      <c r="B140" s="217"/>
      <c r="C140" s="217"/>
      <c r="D140" s="217"/>
      <c r="E140" s="217"/>
      <c r="F140" s="217"/>
      <c r="G140" s="217"/>
      <c r="H140" s="217"/>
      <c r="I140" s="216"/>
      <c r="J140" s="216"/>
      <c r="K140" s="216"/>
      <c r="L140" s="216"/>
      <c r="M140" s="216"/>
      <c r="N140" s="216"/>
      <c r="O140" s="216"/>
      <c r="P140" s="216"/>
      <c r="Q140" s="216"/>
      <c r="R140" s="216"/>
      <c r="S140" s="216"/>
      <c r="T140" s="216"/>
    </row>
    <row r="141" spans="1:20" ht="16" x14ac:dyDescent="0.2">
      <c r="A141" s="217"/>
      <c r="B141" s="217"/>
      <c r="C141" s="217"/>
      <c r="D141" s="217"/>
      <c r="E141" s="217"/>
      <c r="F141" s="217"/>
      <c r="G141" s="217"/>
      <c r="H141" s="217"/>
      <c r="I141" s="216"/>
      <c r="J141" s="216"/>
      <c r="K141" s="216"/>
      <c r="L141" s="216"/>
      <c r="M141" s="216"/>
      <c r="N141" s="216"/>
      <c r="O141" s="216"/>
      <c r="P141" s="216"/>
      <c r="Q141" s="216"/>
      <c r="R141" s="216"/>
      <c r="S141" s="216"/>
      <c r="T141" s="216"/>
    </row>
    <row r="142" spans="1:20" ht="16" x14ac:dyDescent="0.2">
      <c r="A142" s="217"/>
      <c r="B142" s="217"/>
      <c r="C142" s="217"/>
      <c r="D142" s="217"/>
      <c r="E142" s="217"/>
      <c r="F142" s="217"/>
      <c r="G142" s="217"/>
      <c r="H142" s="217"/>
      <c r="I142" s="216"/>
      <c r="J142" s="216"/>
      <c r="K142" s="216"/>
      <c r="L142" s="216"/>
      <c r="M142" s="216"/>
      <c r="N142" s="216"/>
      <c r="O142" s="216"/>
      <c r="P142" s="216"/>
      <c r="Q142" s="216"/>
      <c r="R142" s="216"/>
      <c r="S142" s="216"/>
      <c r="T142" s="216"/>
    </row>
    <row r="143" spans="1:20" ht="16" x14ac:dyDescent="0.2">
      <c r="A143" s="217"/>
      <c r="B143" s="217"/>
      <c r="C143" s="217"/>
      <c r="D143" s="217"/>
      <c r="E143" s="217"/>
      <c r="F143" s="217"/>
      <c r="G143" s="217"/>
      <c r="H143" s="217"/>
      <c r="I143" s="216"/>
      <c r="J143" s="216"/>
      <c r="K143" s="216"/>
      <c r="L143" s="216"/>
      <c r="M143" s="216"/>
      <c r="N143" s="216"/>
      <c r="O143" s="216"/>
      <c r="P143" s="216"/>
      <c r="Q143" s="216"/>
      <c r="R143" s="216"/>
      <c r="S143" s="216"/>
      <c r="T143" s="216"/>
    </row>
    <row r="144" spans="1:20" ht="16" x14ac:dyDescent="0.2">
      <c r="A144" s="217"/>
      <c r="B144" s="217"/>
      <c r="C144" s="217"/>
      <c r="D144" s="217"/>
      <c r="E144" s="217"/>
      <c r="F144" s="217"/>
      <c r="G144" s="217"/>
      <c r="H144" s="217"/>
      <c r="I144" s="216"/>
      <c r="J144" s="216"/>
      <c r="K144" s="216"/>
      <c r="L144" s="216"/>
      <c r="M144" s="216"/>
      <c r="N144" s="216"/>
      <c r="O144" s="216"/>
      <c r="P144" s="216"/>
      <c r="Q144" s="216"/>
      <c r="R144" s="216"/>
      <c r="S144" s="216"/>
      <c r="T144" s="216"/>
    </row>
    <row r="145" spans="1:8" x14ac:dyDescent="0.2">
      <c r="A145" s="217"/>
      <c r="B145" s="217"/>
      <c r="C145" s="217"/>
      <c r="D145" s="217"/>
      <c r="E145" s="217"/>
      <c r="F145" s="217"/>
      <c r="G145" s="217"/>
      <c r="H145" s="217"/>
    </row>
  </sheetData>
  <mergeCells count="1">
    <mergeCell ref="S2:S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G22"/>
  <sheetViews>
    <sheetView showGridLines="0" topLeftCell="F1" zoomScaleNormal="100" workbookViewId="0">
      <selection activeCell="I5" sqref="I5"/>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3" width="9.33203125" style="37" customWidth="1"/>
    <col min="54" max="54" width="10.6640625" style="37" customWidth="1"/>
    <col min="55" max="58" width="9.33203125" style="37" customWidth="1"/>
    <col min="59" max="59" width="4" style="37" customWidth="1"/>
    <col min="60" max="16384" width="11" style="37"/>
  </cols>
  <sheetData>
    <row r="1" spans="1:59" s="4" customFormat="1" ht="80" customHeight="1" x14ac:dyDescent="0.25">
      <c r="A1" s="3" t="s">
        <v>217</v>
      </c>
      <c r="B1" s="5"/>
      <c r="C1" s="5"/>
      <c r="D1" s="3" t="s">
        <v>482</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row>
    <row r="2" spans="1:59" s="41" customFormat="1" ht="12.75" hidden="1" customHeight="1" x14ac:dyDescent="0.2">
      <c r="A2" s="74"/>
      <c r="B2" s="74"/>
      <c r="C2" s="74"/>
      <c r="D2" s="236"/>
      <c r="E2" s="236"/>
      <c r="F2" s="236"/>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c r="AU2" s="69" t="s">
        <v>162</v>
      </c>
      <c r="AV2" s="423" t="s">
        <v>161</v>
      </c>
      <c r="AW2" s="68" t="s">
        <v>160</v>
      </c>
      <c r="AX2" s="68" t="s">
        <v>160</v>
      </c>
      <c r="AY2" s="68" t="s">
        <v>160</v>
      </c>
      <c r="AZ2" s="68" t="s">
        <v>160</v>
      </c>
      <c r="BA2" s="68" t="s">
        <v>160</v>
      </c>
      <c r="BB2" s="68" t="s">
        <v>160</v>
      </c>
      <c r="BC2" s="68" t="s">
        <v>160</v>
      </c>
      <c r="BD2" s="68" t="s">
        <v>160</v>
      </c>
      <c r="BE2" s="68" t="s">
        <v>160</v>
      </c>
      <c r="BF2" s="423" t="s">
        <v>159</v>
      </c>
      <c r="BG2"/>
    </row>
    <row r="3" spans="1:59"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9" s="41" customFormat="1" ht="72" x14ac:dyDescent="0.2">
      <c r="A4" s="73"/>
      <c r="B4" s="72" t="s">
        <v>112</v>
      </c>
      <c r="C4" s="72" t="s">
        <v>111</v>
      </c>
      <c r="D4" s="72" t="s">
        <v>32</v>
      </c>
      <c r="E4" s="72" t="s">
        <v>110</v>
      </c>
      <c r="F4" s="72" t="s">
        <v>109</v>
      </c>
      <c r="G4" s="71" t="s">
        <v>108</v>
      </c>
      <c r="H4" s="423"/>
      <c r="I4" s="70" t="s">
        <v>107</v>
      </c>
      <c r="J4" s="70" t="s">
        <v>106</v>
      </c>
      <c r="K4" s="70" t="s">
        <v>469</v>
      </c>
      <c r="L4" s="70" t="s">
        <v>104</v>
      </c>
      <c r="M4" s="70" t="s">
        <v>103</v>
      </c>
      <c r="N4" s="70" t="s">
        <v>102</v>
      </c>
      <c r="O4" s="70" t="s">
        <v>101</v>
      </c>
      <c r="P4" s="70" t="s">
        <v>100</v>
      </c>
      <c r="Q4" s="70" t="s">
        <v>99</v>
      </c>
      <c r="R4" s="70" t="s">
        <v>692</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470</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471</v>
      </c>
      <c r="AZ4" s="68" t="s">
        <v>472</v>
      </c>
      <c r="BA4" s="68" t="s">
        <v>473</v>
      </c>
      <c r="BB4" s="68" t="s">
        <v>474</v>
      </c>
      <c r="BC4" s="68" t="s">
        <v>65</v>
      </c>
      <c r="BD4" s="68" t="s">
        <v>64</v>
      </c>
      <c r="BE4" s="68" t="s">
        <v>63</v>
      </c>
      <c r="BF4" s="423"/>
      <c r="BG4"/>
    </row>
    <row r="5" spans="1:59"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55" t="str">
        <f>IF(ISBLANK(ETPT_TJ_DDG!$D$5),"",IF(ISERROR(ETPT_TJ!AU5),"",IF(ETPT_TJ!AU5=0,"",ETPT_TJ!AU5)))</f>
        <v/>
      </c>
      <c r="AV5" s="46">
        <f t="shared" ref="AV5:AV15" si="3">SUM(AH5:AU5)</f>
        <v>0</v>
      </c>
      <c r="AW5" s="51"/>
      <c r="AX5" s="51"/>
      <c r="AY5" s="62"/>
      <c r="AZ5" s="62"/>
      <c r="BA5" s="62"/>
      <c r="BB5" s="62"/>
      <c r="BC5" s="62"/>
      <c r="BD5" s="62"/>
      <c r="BE5" s="51"/>
      <c r="BF5" s="46">
        <f t="shared" ref="BF5:BF15" si="4">SUM(AW5:BE5)</f>
        <v>0</v>
      </c>
      <c r="BG5"/>
    </row>
    <row r="6" spans="1:59"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c r="AU6" s="55" t="str">
        <f>IF(ISBLANK(ETPT_TJ_DDG!$D$5),"",IF(ISERROR(ETPT_TJ!AU6),"",IF(ETPT_TJ!AU6=0,"",ETPT_TJ!AU6)))</f>
        <v/>
      </c>
      <c r="AV6" s="46">
        <f t="shared" si="3"/>
        <v>0</v>
      </c>
      <c r="AW6" s="51"/>
      <c r="AX6" s="51"/>
      <c r="AY6" s="51"/>
      <c r="AZ6" s="51"/>
      <c r="BA6" s="51"/>
      <c r="BB6" s="51"/>
      <c r="BC6" s="51"/>
      <c r="BD6" s="62"/>
      <c r="BE6" s="51"/>
      <c r="BF6" s="46">
        <f t="shared" si="4"/>
        <v>0</v>
      </c>
    </row>
    <row r="7" spans="1:59"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c r="AU7" s="55" t="str">
        <f>IF(ISBLANK(ETPT_TJ_DDG!$D$5),"",IF(ISERROR(ETPT_TJ!AU7),"",IF(ETPT_TJ!AU7=0,"",ETPT_TJ!AU7)))</f>
        <v/>
      </c>
      <c r="AV7" s="46">
        <f t="shared" si="3"/>
        <v>0</v>
      </c>
      <c r="AW7" s="51"/>
      <c r="AX7" s="51"/>
      <c r="AY7" s="51"/>
      <c r="AZ7" s="51"/>
      <c r="BA7" s="51"/>
      <c r="BB7" s="51"/>
      <c r="BC7" s="51"/>
      <c r="BD7" s="51"/>
      <c r="BE7" s="51"/>
      <c r="BF7" s="46">
        <f t="shared" si="4"/>
        <v>0</v>
      </c>
    </row>
    <row r="8" spans="1:59"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c r="AU8" s="55" t="str">
        <f>IF(ISBLANK(ETPT_TJ_DDG!$D$5),"",IF(ISERROR(ETPT_TJ!AU8),"",IF(ETPT_TJ!AU8=0,"",ETPT_TJ!AU8)))</f>
        <v/>
      </c>
      <c r="AV8" s="46">
        <f t="shared" si="3"/>
        <v>0</v>
      </c>
      <c r="AW8" s="51"/>
      <c r="AX8" s="51"/>
      <c r="AY8" s="51"/>
      <c r="AZ8" s="51"/>
      <c r="BA8" s="51"/>
      <c r="BB8" s="51"/>
      <c r="BC8" s="51"/>
      <c r="BD8" s="51"/>
      <c r="BE8" s="51"/>
      <c r="BF8" s="46">
        <f t="shared" si="4"/>
        <v>0</v>
      </c>
    </row>
    <row r="9" spans="1:59"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c r="AU9" s="55" t="str">
        <f>IF(ISBLANK(ETPT_TJ_DDG!$D$5),"",IF(ISERROR(ETPT_TJ!AU9),"",IF(ETPT_TJ!AU9=0,"",ETPT_TJ!AU9)))</f>
        <v/>
      </c>
      <c r="AV9" s="46">
        <f t="shared" si="3"/>
        <v>0</v>
      </c>
      <c r="AW9" s="51"/>
      <c r="AX9" s="51"/>
      <c r="AY9" s="51"/>
      <c r="AZ9" s="51"/>
      <c r="BA9" s="51"/>
      <c r="BB9" s="51"/>
      <c r="BC9" s="51"/>
      <c r="BD9" s="51"/>
      <c r="BE9" s="51"/>
      <c r="BF9" s="46">
        <f t="shared" si="4"/>
        <v>0</v>
      </c>
    </row>
    <row r="10" spans="1:59"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c r="AU10" s="55" t="str">
        <f>IF(ISBLANK(ETPT_TJ_DDG!$D$5),"",IF(ISERROR(ETPT_TJ!AU10),"",IF(ETPT_TJ!AU10=0,"",ETPT_TJ!AU10)))</f>
        <v/>
      </c>
      <c r="AV10" s="46">
        <f t="shared" si="3"/>
        <v>0</v>
      </c>
      <c r="AW10" s="51"/>
      <c r="AX10" s="51"/>
      <c r="AY10" s="51"/>
      <c r="AZ10" s="51"/>
      <c r="BA10" s="51"/>
      <c r="BB10" s="51"/>
      <c r="BC10" s="51"/>
      <c r="BD10" s="51"/>
      <c r="BE10" s="51"/>
      <c r="BF10" s="46">
        <f t="shared" si="4"/>
        <v>0</v>
      </c>
    </row>
    <row r="11" spans="1:59"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c r="AU11" s="55" t="str">
        <f>IF(ISBLANK(ETPT_TJ_DDG!$D$5),"",IF(ISERROR(ETPT_TJ!AU11),"",IF(ETPT_TJ!AU11=0,"",ETPT_TJ!AU11)))</f>
        <v/>
      </c>
      <c r="AV11" s="46">
        <f t="shared" si="3"/>
        <v>0</v>
      </c>
      <c r="AW11" s="51"/>
      <c r="AX11" s="51"/>
      <c r="AY11" s="51"/>
      <c r="AZ11" s="51"/>
      <c r="BA11" s="51"/>
      <c r="BB11" s="51"/>
      <c r="BC11" s="51"/>
      <c r="BD11" s="51"/>
      <c r="BE11" s="51"/>
      <c r="BF11" s="46">
        <f t="shared" si="4"/>
        <v>0</v>
      </c>
    </row>
    <row r="12" spans="1:59"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c r="AU12" s="55" t="str">
        <f>IF(ISBLANK(ETPT_TJ_DDG!$D$5),"",IF(ISERROR(ETPT_TJ!AU12),"",IF(ETPT_TJ!AU12=0,"",ETPT_TJ!AU12)))</f>
        <v/>
      </c>
      <c r="AV12" s="46">
        <f t="shared" si="3"/>
        <v>0</v>
      </c>
      <c r="AW12" s="51"/>
      <c r="AX12" s="51"/>
      <c r="AY12" s="51"/>
      <c r="AZ12" s="51"/>
      <c r="BA12" s="51"/>
      <c r="BB12" s="51"/>
      <c r="BC12" s="51"/>
      <c r="BD12" s="51"/>
      <c r="BE12" s="51"/>
      <c r="BF12" s="46">
        <f t="shared" si="4"/>
        <v>0</v>
      </c>
    </row>
    <row r="13" spans="1:59"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c r="AU13" s="55" t="str">
        <f>IF(ISBLANK(ETPT_TJ_DDG!$D$5),"",IF(ISERROR(ETPT_TJ!AU13),"",IF(ETPT_TJ!AU13=0,"",ETPT_TJ!AU13)))</f>
        <v/>
      </c>
      <c r="AV13" s="46">
        <f t="shared" si="3"/>
        <v>0</v>
      </c>
      <c r="AW13" s="51"/>
      <c r="AX13" s="51"/>
      <c r="AY13" s="51"/>
      <c r="AZ13" s="51"/>
      <c r="BA13" s="51"/>
      <c r="BB13" s="51"/>
      <c r="BC13" s="51"/>
      <c r="BD13" s="51"/>
      <c r="BE13" s="51"/>
      <c r="BF13" s="46">
        <f t="shared" si="4"/>
        <v>0</v>
      </c>
    </row>
    <row r="14" spans="1:59"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c r="AU14" s="55" t="str">
        <f>IF(ISBLANK(ETPT_TJ_DDG!$D$5),"",IF(ISERROR(ETPT_TJ!AU14),"",IF(ETPT_TJ!AU14=0,"",ETPT_TJ!AU14)))</f>
        <v/>
      </c>
      <c r="AV14" s="46">
        <f t="shared" si="3"/>
        <v>0</v>
      </c>
      <c r="AW14" s="51"/>
      <c r="AX14" s="51"/>
      <c r="AY14" s="51"/>
      <c r="AZ14" s="51"/>
      <c r="BA14" s="51"/>
      <c r="BB14" s="51"/>
      <c r="BC14" s="51"/>
      <c r="BD14" s="51"/>
      <c r="BE14" s="51"/>
      <c r="BF14" s="46">
        <f t="shared" si="4"/>
        <v>0</v>
      </c>
    </row>
    <row r="15" spans="1:59"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c r="AU15" s="55" t="str">
        <f>IF(ISBLANK(ETPT_TJ_DDG!$D$5),"",IF(ISERROR(ETPT_TJ!AU15),"",IF(ETPT_TJ!AU15=0,"",ETPT_TJ!AU15)))</f>
        <v/>
      </c>
      <c r="AV15" s="46">
        <f t="shared" si="3"/>
        <v>0</v>
      </c>
      <c r="AW15" s="51"/>
      <c r="AX15" s="51"/>
      <c r="AY15" s="51"/>
      <c r="AZ15" s="51"/>
      <c r="BA15" s="51"/>
      <c r="BB15" s="51"/>
      <c r="BC15" s="51"/>
      <c r="BD15" s="51"/>
      <c r="BE15" s="51"/>
      <c r="BF15" s="46">
        <f t="shared" si="4"/>
        <v>0</v>
      </c>
    </row>
    <row r="16" spans="1:59"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F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c r="AU16" s="47">
        <f t="shared" si="7"/>
        <v>0</v>
      </c>
      <c r="AV16" s="46">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4:58"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6"/>
      <c r="AV17" s="237"/>
      <c r="AW17" s="236"/>
      <c r="AX17" s="236"/>
      <c r="AY17" s="236"/>
      <c r="AZ17" s="236"/>
      <c r="BA17" s="236"/>
      <c r="BB17" s="236"/>
      <c r="BC17" s="236"/>
      <c r="BD17" s="236"/>
      <c r="BE17" s="236"/>
      <c r="BF17" s="236"/>
    </row>
    <row r="18" spans="4:58"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6"/>
      <c r="AV18" s="238">
        <f>AV16+AG16-AV14-AG14-AV13-AV12-AG13-AG12</f>
        <v>0</v>
      </c>
      <c r="AW18" s="236"/>
      <c r="AX18" s="236"/>
      <c r="AY18" s="236"/>
      <c r="AZ18" s="236"/>
      <c r="BA18" s="236"/>
      <c r="BB18" s="236"/>
      <c r="BC18" s="236"/>
      <c r="BD18" s="236"/>
      <c r="BE18" s="236"/>
      <c r="BF18" s="236"/>
    </row>
    <row r="19" spans="4:58"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c r="BF19" s="236"/>
    </row>
    <row r="20" spans="4:58"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240"/>
      <c r="AU20" s="128" t="str">
        <f>IF(ISBLANK(ETPT_TJ_DDG!$D$5),"",IF(ISERROR(ETPT_TJ!AU20),"",IF(ETPT_TJ!AU20=0,"",ETPT_TJ!AU20)))</f>
        <v/>
      </c>
      <c r="AV20" s="236"/>
      <c r="AW20" s="236"/>
      <c r="AX20" s="236"/>
      <c r="AY20" s="236"/>
      <c r="AZ20" s="236"/>
      <c r="BA20" s="236"/>
      <c r="BB20" s="236"/>
      <c r="BC20" s="236"/>
      <c r="BD20" s="236"/>
      <c r="BE20" s="236"/>
      <c r="BF20" s="236"/>
    </row>
    <row r="21" spans="4:58" ht="17" thickBot="1" x14ac:dyDescent="0.25">
      <c r="E21" s="39"/>
    </row>
    <row r="22" spans="4:58" ht="69" customHeight="1" thickBot="1" x14ac:dyDescent="0.25">
      <c r="E22" s="427" t="s">
        <v>341</v>
      </c>
      <c r="F22" s="428"/>
      <c r="G22" s="428"/>
      <c r="H22" s="428"/>
      <c r="I22" s="428"/>
      <c r="J22" s="428"/>
      <c r="K22" s="428"/>
      <c r="L22" s="428"/>
      <c r="M22" s="428"/>
      <c r="N22" s="428"/>
      <c r="O22" s="428"/>
      <c r="P22" s="428"/>
      <c r="Q22" s="428"/>
      <c r="R22" s="428"/>
      <c r="S22" s="428"/>
      <c r="T22" s="428"/>
      <c r="U22" s="428"/>
      <c r="V22" s="428"/>
      <c r="W22" s="428"/>
      <c r="X22" s="429"/>
    </row>
  </sheetData>
  <mergeCells count="6">
    <mergeCell ref="E22:X22"/>
    <mergeCell ref="BF2:BF4"/>
    <mergeCell ref="H2:H4"/>
    <mergeCell ref="W2:W4"/>
    <mergeCell ref="AG2:AG4"/>
    <mergeCell ref="AV2:AV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480</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478</v>
      </c>
      <c r="S2" s="248" t="s">
        <v>166</v>
      </c>
      <c r="T2" s="249" t="s">
        <v>182</v>
      </c>
      <c r="U2" s="249" t="s">
        <v>181</v>
      </c>
      <c r="V2" s="249" t="s">
        <v>479</v>
      </c>
      <c r="W2" s="249" t="s">
        <v>179</v>
      </c>
      <c r="X2" s="249" t="s">
        <v>178</v>
      </c>
      <c r="Y2" s="249" t="s">
        <v>177</v>
      </c>
      <c r="Z2" s="249" t="s">
        <v>176</v>
      </c>
      <c r="AA2" s="249" t="s">
        <v>175</v>
      </c>
      <c r="AB2" s="249" t="s">
        <v>174</v>
      </c>
      <c r="AC2" s="248" t="s">
        <v>213</v>
      </c>
      <c r="AD2" s="249" t="s">
        <v>475</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478</v>
      </c>
      <c r="S3" s="248" t="s">
        <v>166</v>
      </c>
      <c r="T3" s="249" t="s">
        <v>182</v>
      </c>
      <c r="U3" s="249" t="s">
        <v>181</v>
      </c>
      <c r="V3" s="249" t="s">
        <v>479</v>
      </c>
      <c r="W3" s="249" t="s">
        <v>179</v>
      </c>
      <c r="X3" s="249" t="s">
        <v>178</v>
      </c>
      <c r="Y3" s="249" t="s">
        <v>177</v>
      </c>
      <c r="Z3" s="249" t="s">
        <v>176</v>
      </c>
      <c r="AA3" s="249" t="s">
        <v>175</v>
      </c>
      <c r="AB3" s="249" t="s">
        <v>174</v>
      </c>
      <c r="AC3" s="248" t="s">
        <v>213</v>
      </c>
      <c r="AD3" s="249" t="s">
        <v>475</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478</v>
      </c>
      <c r="S4" s="248" t="s">
        <v>166</v>
      </c>
      <c r="T4" s="249" t="s">
        <v>182</v>
      </c>
      <c r="U4" s="249" t="s">
        <v>181</v>
      </c>
      <c r="V4" s="249" t="s">
        <v>479</v>
      </c>
      <c r="W4" s="249" t="s">
        <v>179</v>
      </c>
      <c r="X4" s="249" t="s">
        <v>178</v>
      </c>
      <c r="Y4" s="249" t="s">
        <v>177</v>
      </c>
      <c r="Z4" s="249" t="s">
        <v>176</v>
      </c>
      <c r="AA4" s="249" t="s">
        <v>175</v>
      </c>
      <c r="AB4" s="249" t="s">
        <v>174</v>
      </c>
      <c r="AC4" s="248" t="s">
        <v>213</v>
      </c>
      <c r="AD4" s="249" t="s">
        <v>475</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27" t="s">
        <v>342</v>
      </c>
      <c r="F22" s="428"/>
      <c r="G22" s="428"/>
      <c r="H22" s="428"/>
      <c r="I22" s="428"/>
      <c r="J22" s="428"/>
      <c r="K22" s="428"/>
      <c r="L22" s="428"/>
      <c r="M22" s="428"/>
      <c r="N22" s="428"/>
      <c r="O22" s="428"/>
      <c r="P22" s="428"/>
      <c r="Q22" s="428"/>
      <c r="R22" s="428"/>
      <c r="S22" s="428"/>
      <c r="T22" s="428"/>
      <c r="U22" s="428"/>
      <c r="V22" s="428"/>
      <c r="W22" s="428"/>
      <c r="X22" s="428"/>
      <c r="Y22" s="428"/>
      <c r="Z22" s="428"/>
      <c r="AA22" s="428"/>
      <c r="AB22" s="429"/>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1" sqref="D1"/>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481</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6"/>
      <c r="B2" s="256"/>
      <c r="C2" s="256"/>
      <c r="D2" s="256"/>
      <c r="E2" s="256"/>
      <c r="F2" s="256"/>
      <c r="G2" s="71" t="s">
        <v>167</v>
      </c>
      <c r="H2" s="423" t="s">
        <v>166</v>
      </c>
    </row>
    <row r="3" spans="1:62" ht="36" hidden="1" x14ac:dyDescent="0.2">
      <c r="A3" s="256"/>
      <c r="B3" s="256"/>
      <c r="C3" s="256"/>
      <c r="D3" s="256"/>
      <c r="E3" s="256"/>
      <c r="F3" s="256"/>
      <c r="G3" s="71" t="s">
        <v>145</v>
      </c>
      <c r="H3" s="423"/>
    </row>
    <row r="4" spans="1:62" ht="36" x14ac:dyDescent="0.2">
      <c r="A4" s="257"/>
      <c r="B4" s="85" t="s">
        <v>112</v>
      </c>
      <c r="C4" s="85" t="s">
        <v>111</v>
      </c>
      <c r="D4" s="85" t="s">
        <v>32</v>
      </c>
      <c r="E4" s="85" t="s">
        <v>110</v>
      </c>
      <c r="F4" s="85" t="s">
        <v>109</v>
      </c>
      <c r="G4" s="71" t="s">
        <v>94</v>
      </c>
      <c r="H4" s="423"/>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8"/>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27" t="s">
        <v>483</v>
      </c>
      <c r="F18" s="428"/>
      <c r="G18" s="428"/>
      <c r="H18" s="428"/>
      <c r="I18" s="428"/>
      <c r="J18" s="428"/>
      <c r="K18" s="429"/>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L17"/>
  <sheetViews>
    <sheetView showGridLines="0" topLeftCell="F1" zoomScaleNormal="100" workbookViewId="0">
      <selection activeCell="I5" sqref="I5"/>
    </sheetView>
  </sheetViews>
  <sheetFormatPr baseColWidth="10" defaultRowHeight="15" x14ac:dyDescent="0.2"/>
  <cols>
    <col min="1" max="3" width="0" hidden="1" customWidth="1"/>
    <col min="4" max="4" width="16.83203125" customWidth="1"/>
    <col min="6" max="6" width="68.83203125" customWidth="1"/>
    <col min="7" max="18" width="13.5" customWidth="1"/>
  </cols>
  <sheetData>
    <row r="1" spans="1:64" s="4" customFormat="1" ht="80" customHeight="1" x14ac:dyDescent="0.25">
      <c r="A1" s="3"/>
      <c r="B1" s="5"/>
      <c r="C1" s="5"/>
      <c r="D1" s="3" t="s">
        <v>647</v>
      </c>
      <c r="E1" s="7"/>
      <c r="F1" s="6"/>
      <c r="G1" s="6"/>
      <c r="H1" s="7"/>
      <c r="I1" s="7"/>
      <c r="J1" s="7"/>
      <c r="K1" s="7"/>
      <c r="L1" s="7"/>
      <c r="M1" s="7"/>
      <c r="N1" s="7"/>
      <c r="O1" s="7"/>
      <c r="P1" s="7"/>
      <c r="Q1" s="7"/>
      <c r="R1" s="7"/>
      <c r="S1" s="7"/>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idden="1" x14ac:dyDescent="0.2">
      <c r="A2" s="254"/>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idden="1" x14ac:dyDescent="0.2">
      <c r="A3" s="254"/>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55"/>
      <c r="B4" s="244" t="s">
        <v>112</v>
      </c>
      <c r="C4" s="244" t="s">
        <v>111</v>
      </c>
      <c r="D4" s="244" t="s">
        <v>32</v>
      </c>
      <c r="E4" s="244"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426"/>
    </row>
    <row r="5" spans="1:64" x14ac:dyDescent="0.2">
      <c r="A5" s="211" t="s">
        <v>283</v>
      </c>
      <c r="B5" s="212"/>
      <c r="C5" s="212"/>
      <c r="D5" s="264"/>
      <c r="E5" s="212" t="s">
        <v>62</v>
      </c>
      <c r="F5" s="245" t="s">
        <v>61</v>
      </c>
      <c r="G5" s="247" t="str">
        <f>IF(ISBLANK(ETPT_ATTJ!G5),"",IF(ISERROR(ETPT_ATTJ!G5),"",IF(ETPT_ATTJ!G5=0,"",ETPT_ATTJ!G5)))</f>
        <v/>
      </c>
      <c r="H5" s="247" t="str">
        <f>IF(ISBLANK(ETPT_ATTJ!H5),"",IF(ISERROR(ETPT_ATTJ!H5),"",IF(ETPT_ATTJ!H5=0,"",ETPT_ATTJ!H5)))</f>
        <v/>
      </c>
      <c r="I5" s="247" t="str">
        <f>IF(ISBLANK(ETPT_ATTJ!I5),"",IF(ISERROR(ETPT_ATTJ!I5),"",IF(ETPT_ATTJ!I5=0,"",ETPT_ATTJ!I5)))</f>
        <v/>
      </c>
      <c r="J5" s="247"/>
      <c r="K5" s="247"/>
      <c r="L5" s="247" t="str">
        <f>IF(ISBLANK(ETPT_ATTJ!L5),"",IF(ISERROR(ETPT_ATTJ!L5),"",IF(ETPT_ATTJ!L5=0,"",ETPT_ATTJ!L5)))</f>
        <v/>
      </c>
      <c r="M5" s="247"/>
      <c r="N5" s="247"/>
      <c r="O5" s="247" t="str">
        <f>IF(ISBLANK(ETPT_ATTJ!O5),"",IF(ISERROR(ETPT_ATTJ!O5),"",IF(ETPT_ATTJ!O5=0,"",ETPT_ATTJ!O5)))</f>
        <v/>
      </c>
      <c r="P5" s="247" t="str">
        <f>IF(ISBLANK(ETPT_ATTJ!P5),"",IF(ISERROR(ETPT_ATTJ!P5),"",IF(ETPT_ATTJ!P5=0,"",ETPT_ATTJ!P5)))</f>
        <v/>
      </c>
      <c r="Q5" s="247" t="str">
        <f>IF(ISBLANK(ETPT_ATTJ!Q5),"",IF(ISERROR(ETPT_ATTJ!Q5),"",IF(ETPT_ATTJ!Q5=0,"",ETPT_ATTJ!Q5)))</f>
        <v/>
      </c>
      <c r="R5" s="247" t="str">
        <f>IF(ISBLANK(ETPT_ATTJ!R5),"",IF(ISERROR(ETPT_ATTJ!R5),"",IF(ETPT_ATTJ!R5=0,"",ETPT_ATTJ!R5)))</f>
        <v/>
      </c>
      <c r="S5" s="214">
        <f>ETPT_ATTJ!S5</f>
        <v>0</v>
      </c>
    </row>
    <row r="6" spans="1:64" x14ac:dyDescent="0.2">
      <c r="A6" s="211" t="s">
        <v>283</v>
      </c>
      <c r="B6" s="212"/>
      <c r="C6" s="212"/>
      <c r="D6" s="218">
        <f>$D$5</f>
        <v>0</v>
      </c>
      <c r="E6" s="212" t="s">
        <v>60</v>
      </c>
      <c r="F6" s="245" t="s">
        <v>59</v>
      </c>
      <c r="G6" s="247" t="str">
        <f>IF(ISBLANK(ETPT_ATTJ!G6),"",IF(ISERROR(ETPT_ATTJ!G6),"",IF(ETPT_ATTJ!G6=0,"",ETPT_ATTJ!G6)))</f>
        <v/>
      </c>
      <c r="H6" s="247" t="str">
        <f>IF(ISBLANK(ETPT_ATTJ!H6),"",IF(ISERROR(ETPT_ATTJ!H6),"",IF(ETPT_ATTJ!H6=0,"",ETPT_ATTJ!H6)))</f>
        <v/>
      </c>
      <c r="I6" s="247" t="str">
        <f>IF(ISBLANK(ETPT_ATTJ!I6),"",IF(ISERROR(ETPT_ATTJ!I6),"",IF(ETPT_ATTJ!I6=0,"",ETPT_ATTJ!I6)))</f>
        <v/>
      </c>
      <c r="J6" s="247" t="str">
        <f>IF(ISBLANK(ETPT_ATTJ!J6),"",IF(ISERROR(ETPT_ATTJ!J6),"",IF(ETPT_ATTJ!J6=0,"",ETPT_ATTJ!J6)))</f>
        <v/>
      </c>
      <c r="K6" s="247" t="str">
        <f>IF(ISBLANK(ETPT_ATTJ!K6),"",IF(ISERROR(ETPT_ATTJ!K6),"",IF(ETPT_ATTJ!K6=0,"",ETPT_ATTJ!K6)))</f>
        <v/>
      </c>
      <c r="L6" s="247" t="str">
        <f>IF(ISBLANK(ETPT_ATTJ!L6),"",IF(ISERROR(ETPT_ATTJ!L6),"",IF(ETPT_ATTJ!L6=0,"",ETPT_ATTJ!L6)))</f>
        <v/>
      </c>
      <c r="M6" s="247"/>
      <c r="N6" s="247"/>
      <c r="O6" s="247" t="str">
        <f>IF(ISBLANK(ETPT_ATTJ!O6),"",IF(ISERROR(ETPT_ATTJ!O6),"",IF(ETPT_ATTJ!O6=0,"",ETPT_ATTJ!O6)))</f>
        <v/>
      </c>
      <c r="P6" s="247" t="str">
        <f>IF(ISBLANK(ETPT_ATTJ!P6),"",IF(ISERROR(ETPT_ATTJ!P6),"",IF(ETPT_ATTJ!P6=0,"",ETPT_ATTJ!P6)))</f>
        <v/>
      </c>
      <c r="Q6" s="247" t="str">
        <f>IF(ISBLANK(ETPT_ATTJ!Q6),"",IF(ISERROR(ETPT_ATTJ!Q6),"",IF(ETPT_ATTJ!Q6=0,"",ETPT_ATTJ!Q6)))</f>
        <v/>
      </c>
      <c r="R6" s="247" t="str">
        <f>IF(ISBLANK(ETPT_ATTJ!R6),"",IF(ISERROR(ETPT_ATTJ!R6),"",IF(ETPT_ATTJ!R6=0,"",ETPT_ATTJ!R6)))</f>
        <v/>
      </c>
      <c r="S6" s="214">
        <f>ETPT_ATTJ!S6</f>
        <v>0</v>
      </c>
    </row>
    <row r="7" spans="1:64" x14ac:dyDescent="0.2">
      <c r="A7" s="211" t="s">
        <v>283</v>
      </c>
      <c r="B7" s="212"/>
      <c r="C7" s="212"/>
      <c r="D7" s="218">
        <f t="shared" ref="D7:D12" si="0">$D$5</f>
        <v>0</v>
      </c>
      <c r="E7" s="212" t="s">
        <v>56</v>
      </c>
      <c r="F7" s="245" t="s">
        <v>55</v>
      </c>
      <c r="G7" s="247" t="str">
        <f>IF(ISBLANK(ETPT_ATTJ!G7),"",IF(ISERROR(ETPT_ATTJ!G7),"",IF(ETPT_ATTJ!G7=0,"",ETPT_ATTJ!G7)))</f>
        <v/>
      </c>
      <c r="H7" s="247" t="str">
        <f>IF(ISBLANK(ETPT_ATTJ!H7),"",IF(ISERROR(ETPT_ATTJ!H7),"",IF(ETPT_ATTJ!H7=0,"",ETPT_ATTJ!H7)))</f>
        <v/>
      </c>
      <c r="I7" s="247" t="str">
        <f>IF(ISBLANK(ETPT_ATTJ!I7),"",IF(ISERROR(ETPT_ATTJ!I7),"",IF(ETPT_ATTJ!I7=0,"",ETPT_ATTJ!I7)))</f>
        <v/>
      </c>
      <c r="J7" s="247"/>
      <c r="K7" s="247"/>
      <c r="L7" s="247" t="str">
        <f>IF(ISBLANK(ETPT_ATTJ!L7),"",IF(ISERROR(ETPT_ATTJ!L7),"",IF(ETPT_ATTJ!L7=0,"",ETPT_ATTJ!L7)))</f>
        <v/>
      </c>
      <c r="M7" s="247"/>
      <c r="N7" s="247"/>
      <c r="O7" s="247" t="str">
        <f>IF(ISBLANK(ETPT_ATTJ!O7),"",IF(ISERROR(ETPT_ATTJ!O7),"",IF(ETPT_ATTJ!O7=0,"",ETPT_ATTJ!O7)))</f>
        <v/>
      </c>
      <c r="P7" s="247" t="str">
        <f>IF(ISBLANK(ETPT_ATTJ!P7),"",IF(ISERROR(ETPT_ATTJ!P7),"",IF(ETPT_ATTJ!P7=0,"",ETPT_ATTJ!P7)))</f>
        <v/>
      </c>
      <c r="Q7" s="247" t="str">
        <f>IF(ISBLANK(ETPT_ATTJ!Q7),"",IF(ISERROR(ETPT_ATTJ!Q7),"",IF(ETPT_ATTJ!Q7=0,"",ETPT_ATTJ!Q7)))</f>
        <v/>
      </c>
      <c r="R7" s="247" t="str">
        <f>IF(ISBLANK(ETPT_ATTJ!R7),"",IF(ISERROR(ETPT_ATTJ!R7),"",IF(ETPT_ATTJ!R7=0,"",ETPT_ATTJ!R7)))</f>
        <v/>
      </c>
      <c r="S7" s="214">
        <f>ETPT_ATTJ!S7</f>
        <v>0</v>
      </c>
    </row>
    <row r="8" spans="1:64" x14ac:dyDescent="0.2">
      <c r="A8" s="211" t="s">
        <v>283</v>
      </c>
      <c r="B8" s="212"/>
      <c r="C8" s="212"/>
      <c r="D8" s="218">
        <f t="shared" si="0"/>
        <v>0</v>
      </c>
      <c r="E8" s="212" t="s">
        <v>54</v>
      </c>
      <c r="F8" s="245" t="s">
        <v>53</v>
      </c>
      <c r="G8" s="247" t="str">
        <f>IF(ISBLANK(ETPT_ATTJ!G8),"",IF(ISERROR(ETPT_ATTJ!G8),"",IF(ETPT_ATTJ!G8=0,"",ETPT_ATTJ!G8)))</f>
        <v/>
      </c>
      <c r="H8" s="247" t="str">
        <f>IF(ISBLANK(ETPT_ATTJ!H8),"",IF(ISERROR(ETPT_ATTJ!H8),"",IF(ETPT_ATTJ!H8=0,"",ETPT_ATTJ!H8)))</f>
        <v/>
      </c>
      <c r="I8" s="247" t="str">
        <f>IF(ISBLANK(ETPT_ATTJ!I8),"",IF(ISERROR(ETPT_ATTJ!I8),"",IF(ETPT_ATTJ!I8=0,"",ETPT_ATTJ!I8)))</f>
        <v/>
      </c>
      <c r="J8" s="247"/>
      <c r="K8" s="247"/>
      <c r="L8" s="247" t="str">
        <f>IF(ISBLANK(ETPT_ATTJ!L8),"",IF(ISERROR(ETPT_ATTJ!L8),"",IF(ETPT_ATTJ!L8=0,"",ETPT_ATTJ!L8)))</f>
        <v/>
      </c>
      <c r="M8" s="247"/>
      <c r="N8" s="247"/>
      <c r="O8" s="247" t="str">
        <f>IF(ISBLANK(ETPT_ATTJ!O8),"",IF(ISERROR(ETPT_ATTJ!O8),"",IF(ETPT_ATTJ!O8=0,"",ETPT_ATTJ!O8)))</f>
        <v/>
      </c>
      <c r="P8" s="247" t="str">
        <f>IF(ISBLANK(ETPT_ATTJ!P8),"",IF(ISERROR(ETPT_ATTJ!P8),"",IF(ETPT_ATTJ!P8=0,"",ETPT_ATTJ!P8)))</f>
        <v/>
      </c>
      <c r="Q8" s="247" t="str">
        <f>IF(ISBLANK(ETPT_ATTJ!Q8),"",IF(ISERROR(ETPT_ATTJ!Q8),"",IF(ETPT_ATTJ!Q8=0,"",ETPT_ATTJ!Q8)))</f>
        <v/>
      </c>
      <c r="R8" s="247" t="str">
        <f>IF(ISBLANK(ETPT_ATTJ!R8),"",IF(ISERROR(ETPT_ATTJ!R8),"",IF(ETPT_ATTJ!R8=0,"",ETPT_ATTJ!R8)))</f>
        <v/>
      </c>
      <c r="S8" s="214">
        <f>ETPT_ATTJ!S8</f>
        <v>0</v>
      </c>
    </row>
    <row r="9" spans="1:64" x14ac:dyDescent="0.2">
      <c r="A9" s="211" t="s">
        <v>283</v>
      </c>
      <c r="B9" s="212"/>
      <c r="C9" s="212"/>
      <c r="D9" s="218">
        <f t="shared" si="0"/>
        <v>0</v>
      </c>
      <c r="E9" s="212" t="s">
        <v>52</v>
      </c>
      <c r="F9" s="245" t="s">
        <v>51</v>
      </c>
      <c r="G9" s="247" t="str">
        <f>IF(ISBLANK(ETPT_ATTJ!G9),"",IF(ISERROR(ETPT_ATTJ!G9),"",IF(ETPT_ATTJ!G9=0,"",ETPT_ATTJ!G9)))</f>
        <v/>
      </c>
      <c r="H9" s="247" t="str">
        <f>IF(ISBLANK(ETPT_ATTJ!H9),"",IF(ISERROR(ETPT_ATTJ!H9),"",IF(ETPT_ATTJ!H9=0,"",ETPT_ATTJ!H9)))</f>
        <v/>
      </c>
      <c r="I9" s="247" t="str">
        <f>IF(ISBLANK(ETPT_ATTJ!I9),"",IF(ISERROR(ETPT_ATTJ!I9),"",IF(ETPT_ATTJ!I9=0,"",ETPT_ATTJ!I9)))</f>
        <v/>
      </c>
      <c r="J9" s="247"/>
      <c r="K9" s="247"/>
      <c r="L9" s="247" t="str">
        <f>IF(ISBLANK(ETPT_ATTJ!L9),"",IF(ISERROR(ETPT_ATTJ!L9),"",IF(ETPT_ATTJ!L9=0,"",ETPT_ATTJ!L9)))</f>
        <v/>
      </c>
      <c r="M9" s="247"/>
      <c r="N9" s="247"/>
      <c r="O9" s="247" t="str">
        <f>IF(ISBLANK(ETPT_ATTJ!O9),"",IF(ISERROR(ETPT_ATTJ!O9),"",IF(ETPT_ATTJ!O9=0,"",ETPT_ATTJ!O9)))</f>
        <v/>
      </c>
      <c r="P9" s="247" t="str">
        <f>IF(ISBLANK(ETPT_ATTJ!P9),"",IF(ISERROR(ETPT_ATTJ!P9),"",IF(ETPT_ATTJ!P9=0,"",ETPT_ATTJ!P9)))</f>
        <v/>
      </c>
      <c r="Q9" s="247" t="str">
        <f>IF(ISBLANK(ETPT_ATTJ!Q9),"",IF(ISERROR(ETPT_ATTJ!Q9),"",IF(ETPT_ATTJ!Q9=0,"",ETPT_ATTJ!Q9)))</f>
        <v/>
      </c>
      <c r="R9" s="247" t="str">
        <f>IF(ISBLANK(ETPT_ATTJ!R9),"",IF(ISERROR(ETPT_ATTJ!R9),"",IF(ETPT_ATTJ!R9=0,"",ETPT_ATTJ!R9)))</f>
        <v/>
      </c>
      <c r="S9" s="214">
        <f>ETPT_ATTJ!S9</f>
        <v>0</v>
      </c>
    </row>
    <row r="10" spans="1:64" x14ac:dyDescent="0.2">
      <c r="A10" s="211" t="s">
        <v>283</v>
      </c>
      <c r="B10" s="212"/>
      <c r="C10" s="212"/>
      <c r="D10" s="218">
        <f t="shared" si="0"/>
        <v>0</v>
      </c>
      <c r="E10" s="212" t="s">
        <v>50</v>
      </c>
      <c r="F10" s="245" t="s">
        <v>49</v>
      </c>
      <c r="G10" s="247" t="str">
        <f>IF(ISBLANK(ETPT_ATTJ!G10),"",IF(ISERROR(ETPT_ATTJ!G10),"",IF(ETPT_ATTJ!G10=0,"",ETPT_ATTJ!G10)))</f>
        <v/>
      </c>
      <c r="H10" s="247" t="str">
        <f>IF(ISBLANK(ETPT_ATTJ!H10),"",IF(ISERROR(ETPT_ATTJ!H10),"",IF(ETPT_ATTJ!H10=0,"",ETPT_ATTJ!H10)))</f>
        <v/>
      </c>
      <c r="I10" s="247" t="str">
        <f>IF(ISBLANK(ETPT_ATTJ!I10),"",IF(ISERROR(ETPT_ATTJ!I10),"",IF(ETPT_ATTJ!I10=0,"",ETPT_ATTJ!I10)))</f>
        <v/>
      </c>
      <c r="J10" s="247"/>
      <c r="K10" s="247"/>
      <c r="L10" s="247" t="str">
        <f>IF(ISBLANK(ETPT_ATTJ!L10),"",IF(ISERROR(ETPT_ATTJ!L10),"",IF(ETPT_ATTJ!L10=0,"",ETPT_ATTJ!L10)))</f>
        <v/>
      </c>
      <c r="M10" s="247"/>
      <c r="N10" s="247"/>
      <c r="O10" s="247" t="str">
        <f>IF(ISBLANK(ETPT_ATTJ!O10),"",IF(ISERROR(ETPT_ATTJ!O10),"",IF(ETPT_ATTJ!O10=0,"",ETPT_ATTJ!O10)))</f>
        <v/>
      </c>
      <c r="P10" s="247" t="str">
        <f>IF(ISBLANK(ETPT_ATTJ!P10),"",IF(ISERROR(ETPT_ATTJ!P10),"",IF(ETPT_ATTJ!P10=0,"",ETPT_ATTJ!P10)))</f>
        <v/>
      </c>
      <c r="Q10" s="247" t="str">
        <f>IF(ISBLANK(ETPT_ATTJ!Q10),"",IF(ISERROR(ETPT_ATTJ!Q10),"",IF(ETPT_ATTJ!Q10=0,"",ETPT_ATTJ!Q10)))</f>
        <v/>
      </c>
      <c r="R10" s="247" t="str">
        <f>IF(ISBLANK(ETPT_ATTJ!R10),"",IF(ISERROR(ETPT_ATTJ!R10),"",IF(ETPT_ATTJ!R10=0,"",ETPT_ATTJ!R10)))</f>
        <v/>
      </c>
      <c r="S10" s="214">
        <f>ETPT_ATTJ!S10</f>
        <v>0</v>
      </c>
    </row>
    <row r="11" spans="1:64" x14ac:dyDescent="0.2">
      <c r="A11" s="211" t="s">
        <v>283</v>
      </c>
      <c r="B11" s="212"/>
      <c r="C11" s="212"/>
      <c r="D11" s="218">
        <f t="shared" si="0"/>
        <v>0</v>
      </c>
      <c r="E11" s="212" t="s">
        <v>48</v>
      </c>
      <c r="F11" s="245" t="s">
        <v>47</v>
      </c>
      <c r="G11" s="247" t="str">
        <f>IF(ISBLANK(ETPT_ATTJ!G11),"",IF(ISERROR(ETPT_ATTJ!G11),"",IF(ETPT_ATTJ!G11=0,"",ETPT_ATTJ!G11)))</f>
        <v/>
      </c>
      <c r="H11" s="247" t="str">
        <f>IF(ISBLANK(ETPT_ATTJ!H11),"",IF(ISERROR(ETPT_ATTJ!H11),"",IF(ETPT_ATTJ!H11=0,"",ETPT_ATTJ!H11)))</f>
        <v/>
      </c>
      <c r="I11" s="247" t="str">
        <f>IF(ISBLANK(ETPT_ATTJ!I11),"",IF(ISERROR(ETPT_ATTJ!I11),"",IF(ETPT_ATTJ!I11=0,"",ETPT_ATTJ!I11)))</f>
        <v/>
      </c>
      <c r="J11" s="247"/>
      <c r="K11" s="247"/>
      <c r="L11" s="247" t="str">
        <f>IF(ISBLANK(ETPT_ATTJ!L11),"",IF(ISERROR(ETPT_ATTJ!L11),"",IF(ETPT_ATTJ!L11=0,"",ETPT_ATTJ!L11)))</f>
        <v/>
      </c>
      <c r="M11" s="247"/>
      <c r="N11" s="247"/>
      <c r="O11" s="247" t="str">
        <f>IF(ISBLANK(ETPT_ATTJ!O11),"",IF(ISERROR(ETPT_ATTJ!O11),"",IF(ETPT_ATTJ!O11=0,"",ETPT_ATTJ!O11)))</f>
        <v/>
      </c>
      <c r="P11" s="247" t="str">
        <f>IF(ISBLANK(ETPT_ATTJ!P11),"",IF(ISERROR(ETPT_ATTJ!P11),"",IF(ETPT_ATTJ!P11=0,"",ETPT_ATTJ!P11)))</f>
        <v/>
      </c>
      <c r="Q11" s="247" t="str">
        <f>IF(ISBLANK(ETPT_ATTJ!Q11),"",IF(ISERROR(ETPT_ATTJ!Q11),"",IF(ETPT_ATTJ!Q11=0,"",ETPT_ATTJ!Q11)))</f>
        <v/>
      </c>
      <c r="R11" s="247" t="str">
        <f>IF(ISBLANK(ETPT_ATTJ!R11),"",IF(ISERROR(ETPT_ATTJ!R11),"",IF(ETPT_ATTJ!R11=0,"",ETPT_ATTJ!R11)))</f>
        <v/>
      </c>
      <c r="S11" s="214">
        <f>ETPT_ATTJ!S11</f>
        <v>0</v>
      </c>
    </row>
    <row r="12" spans="1:64" x14ac:dyDescent="0.2">
      <c r="A12" s="211" t="s">
        <v>283</v>
      </c>
      <c r="B12" s="212"/>
      <c r="C12" s="212"/>
      <c r="D12" s="260">
        <f t="shared" si="0"/>
        <v>0</v>
      </c>
      <c r="E12" s="261" t="s">
        <v>46</v>
      </c>
      <c r="F12" s="245" t="s">
        <v>45</v>
      </c>
      <c r="G12" s="247" t="str">
        <f>IF(ISBLANK(ETPT_ATTJ!G12),"",IF(ISERROR(ETPT_ATTJ!G12),"",IF(ETPT_ATTJ!G12=0,"",ETPT_ATTJ!G12)))</f>
        <v/>
      </c>
      <c r="H12" s="247" t="str">
        <f>IF(ISBLANK(ETPT_ATTJ!H12),"",IF(ISERROR(ETPT_ATTJ!H12),"",IF(ETPT_ATTJ!H12=0,"",ETPT_ATTJ!H12)))</f>
        <v/>
      </c>
      <c r="I12" s="247" t="str">
        <f>IF(ISBLANK(ETPT_ATTJ!I12),"",IF(ISERROR(ETPT_ATTJ!I12),"",IF(ETPT_ATTJ!I12=0,"",ETPT_ATTJ!I12)))</f>
        <v/>
      </c>
      <c r="J12" s="247"/>
      <c r="K12" s="247"/>
      <c r="L12" s="247" t="str">
        <f>IF(ISBLANK(ETPT_ATTJ!L12),"",IF(ISERROR(ETPT_ATTJ!L12),"",IF(ETPT_ATTJ!L12=0,"",ETPT_ATTJ!L12)))</f>
        <v/>
      </c>
      <c r="M12" s="247"/>
      <c r="N12" s="247"/>
      <c r="O12" s="247" t="str">
        <f>IF(ISBLANK(ETPT_ATTJ!O12),"",IF(ISERROR(ETPT_ATTJ!O12),"",IF(ETPT_ATTJ!O12=0,"",ETPT_ATTJ!O12)))</f>
        <v/>
      </c>
      <c r="P12" s="247" t="str">
        <f>IF(ISBLANK(ETPT_ATTJ!P12),"",IF(ISERROR(ETPT_ATTJ!P12),"",IF(ETPT_ATTJ!P12=0,"",ETPT_ATTJ!P12)))</f>
        <v/>
      </c>
      <c r="Q12" s="247" t="str">
        <f>IF(ISBLANK(ETPT_ATTJ!Q12),"",IF(ISERROR(ETPT_ATTJ!Q12),"",IF(ETPT_ATTJ!Q12=0,"",ETPT_ATTJ!Q12)))</f>
        <v/>
      </c>
      <c r="R12" s="247" t="str">
        <f>IF(ISBLANK(ETPT_ATTJ!R12),"",IF(ISERROR(ETPT_ATTJ!R12),"",IF(ETPT_ATTJ!R12=0,"",ETPT_ATTJ!R12)))</f>
        <v/>
      </c>
      <c r="S12" s="214">
        <f>ETPT_ATTJ!S12</f>
        <v>0</v>
      </c>
    </row>
    <row r="13" spans="1:64" x14ac:dyDescent="0.2">
      <c r="A13" s="246"/>
      <c r="B13" s="246"/>
      <c r="C13" s="246"/>
      <c r="D13" s="262"/>
      <c r="E13" s="263"/>
      <c r="F13" s="259" t="s">
        <v>39</v>
      </c>
      <c r="G13" s="214">
        <f>ETPT_ATTJ!G13</f>
        <v>0</v>
      </c>
      <c r="H13" s="214">
        <f>ETPT_ATTJ!H13</f>
        <v>0</v>
      </c>
      <c r="I13" s="214">
        <f>ETPT_ATTJ!I13</f>
        <v>0</v>
      </c>
      <c r="J13" s="214">
        <f>ETPT_ATTJ!J13</f>
        <v>0</v>
      </c>
      <c r="K13" s="214">
        <f>ETPT_ATTJ!K13</f>
        <v>0</v>
      </c>
      <c r="L13" s="214">
        <f>ETPT_ATTJ!L13</f>
        <v>0</v>
      </c>
      <c r="M13" s="214">
        <f>ETPT_ATTJ!M13</f>
        <v>0</v>
      </c>
      <c r="N13" s="214">
        <f>ETPT_ATTJ!N13</f>
        <v>0</v>
      </c>
      <c r="O13" s="214">
        <f>ETPT_ATTJ!O13</f>
        <v>0</v>
      </c>
      <c r="P13" s="214">
        <f>ETPT_ATTJ!P13</f>
        <v>0</v>
      </c>
      <c r="Q13" s="214">
        <f>ETPT_ATTJ!Q13</f>
        <v>0</v>
      </c>
      <c r="R13" s="214">
        <f>ETPT_ATTJ!R13</f>
        <v>0</v>
      </c>
      <c r="S13" s="214">
        <f>ETPT_ATTJ!S13</f>
        <v>0</v>
      </c>
    </row>
    <row r="14" spans="1:64" ht="16" x14ac:dyDescent="0.2">
      <c r="A14" s="217"/>
      <c r="B14" s="217"/>
      <c r="C14" s="217"/>
      <c r="D14" s="217"/>
      <c r="E14" s="216"/>
      <c r="F14" s="216"/>
      <c r="G14" s="216"/>
      <c r="H14" s="216"/>
      <c r="I14" s="216"/>
      <c r="J14" s="216"/>
      <c r="K14" s="216"/>
      <c r="L14" s="216"/>
      <c r="M14" s="216"/>
      <c r="N14" s="216"/>
      <c r="O14" s="216"/>
      <c r="P14" s="216"/>
      <c r="Q14" s="216"/>
      <c r="R14" s="216"/>
      <c r="S14" s="216"/>
      <c r="T14" s="216"/>
    </row>
    <row r="15" spans="1:64" ht="16" x14ac:dyDescent="0.2">
      <c r="A15" s="217"/>
      <c r="B15" s="217"/>
      <c r="C15" s="217"/>
      <c r="E15" s="124" t="s">
        <v>245</v>
      </c>
      <c r="F15" s="217"/>
      <c r="G15" s="217"/>
      <c r="H15" s="217"/>
      <c r="I15" s="216"/>
      <c r="J15" s="216"/>
      <c r="K15" s="216"/>
      <c r="L15" s="216"/>
      <c r="M15" s="216"/>
      <c r="N15" s="216"/>
      <c r="O15" s="216"/>
      <c r="P15" s="216"/>
      <c r="Q15" s="216"/>
      <c r="R15" s="216"/>
      <c r="S15" s="216"/>
      <c r="T15" s="216"/>
    </row>
    <row r="16" spans="1:64" ht="16" x14ac:dyDescent="0.2">
      <c r="A16" s="217"/>
      <c r="B16" s="217"/>
      <c r="C16" s="217"/>
      <c r="D16" s="217"/>
      <c r="E16" s="217"/>
      <c r="F16" s="217"/>
      <c r="G16" s="217"/>
      <c r="H16" s="217"/>
      <c r="I16" s="216"/>
      <c r="J16" s="216"/>
      <c r="K16" s="216"/>
      <c r="L16" s="216"/>
      <c r="M16" s="216"/>
      <c r="N16" s="216"/>
      <c r="O16" s="216"/>
      <c r="P16" s="216"/>
      <c r="Q16" s="216"/>
      <c r="R16" s="216"/>
      <c r="S16" s="216"/>
    </row>
    <row r="17" spans="1:20" ht="16" x14ac:dyDescent="0.2">
      <c r="A17" s="217"/>
      <c r="B17" s="217"/>
      <c r="C17" s="217"/>
      <c r="D17" s="217"/>
      <c r="E17" s="217"/>
      <c r="F17" s="217"/>
      <c r="G17" s="217"/>
      <c r="H17" s="217"/>
      <c r="I17" s="216"/>
      <c r="J17" s="216"/>
      <c r="K17" s="216"/>
      <c r="L17" s="216"/>
      <c r="M17" s="216"/>
      <c r="N17" s="216"/>
      <c r="O17" s="216"/>
      <c r="P17" s="216"/>
      <c r="Q17" s="216"/>
      <c r="R17" s="216"/>
      <c r="S17" s="216"/>
      <c r="T17" s="216"/>
    </row>
  </sheetData>
  <mergeCells count="1">
    <mergeCell ref="S2:S4"/>
  </mergeCells>
  <phoneticPr fontId="6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J27"/>
  <sheetViews>
    <sheetView zoomScaleNormal="100" workbookViewId="0">
      <pane xSplit="5" ySplit="1" topLeftCell="R2" activePane="bottomRight" state="frozen"/>
      <selection pane="topRight" activeCell="G1" sqref="G1"/>
      <selection pane="bottomLeft" activeCell="A2" sqref="A2"/>
      <selection pane="bottomRight" activeCell="AC4" sqref="AC4"/>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9" width="9.33203125" style="139" customWidth="1"/>
    <col min="30" max="30" width="11.6640625" style="139" customWidth="1"/>
    <col min="31" max="38" width="9.33203125" style="139" customWidth="1"/>
    <col min="39" max="39" width="7.83203125" style="139" customWidth="1"/>
    <col min="40" max="40" width="8.6640625" style="139" customWidth="1"/>
    <col min="41" max="43" width="9.33203125" style="139" customWidth="1"/>
    <col min="44" max="44" width="10.83203125" style="139" customWidth="1"/>
    <col min="45" max="49" width="9.33203125" style="139" customWidth="1"/>
    <col min="50" max="50" width="15.5" style="139" customWidth="1"/>
    <col min="51" max="51" width="16.5" style="139" customWidth="1"/>
    <col min="52" max="52" width="9.33203125" style="139" customWidth="1"/>
    <col min="53" max="62" width="9.33203125" style="139" hidden="1" customWidth="1"/>
    <col min="63" max="63" width="4" style="139" customWidth="1"/>
    <col min="64" max="16384" width="10.83203125" style="139"/>
  </cols>
  <sheetData>
    <row r="1" spans="1:62" s="126" customFormat="1" ht="12" customHeight="1" x14ac:dyDescent="0.15">
      <c r="A1" s="303"/>
      <c r="B1" s="431" t="s">
        <v>170</v>
      </c>
      <c r="C1" s="431"/>
      <c r="D1" s="431"/>
      <c r="E1" s="431"/>
      <c r="F1" s="431"/>
      <c r="G1" s="304"/>
      <c r="H1" s="304"/>
      <c r="I1" s="304"/>
      <c r="J1" s="304"/>
      <c r="K1" s="304"/>
      <c r="L1" s="304"/>
      <c r="M1" s="304"/>
      <c r="N1" s="304"/>
      <c r="O1" s="304"/>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62" s="126" customFormat="1" ht="12" customHeight="1" x14ac:dyDescent="0.15">
      <c r="A2" s="306"/>
      <c r="B2" s="306"/>
      <c r="C2" s="306"/>
      <c r="D2" s="306"/>
      <c r="E2" s="306"/>
      <c r="F2" s="306"/>
      <c r="G2" s="307" t="s">
        <v>164</v>
      </c>
      <c r="H2" s="307" t="s">
        <v>164</v>
      </c>
      <c r="I2" s="307" t="s">
        <v>164</v>
      </c>
      <c r="J2" s="307" t="s">
        <v>164</v>
      </c>
      <c r="K2" s="307" t="s">
        <v>164</v>
      </c>
      <c r="L2" s="307" t="s">
        <v>164</v>
      </c>
      <c r="M2" s="307" t="s">
        <v>164</v>
      </c>
      <c r="N2" s="307" t="s">
        <v>164</v>
      </c>
      <c r="O2" s="307" t="s">
        <v>164</v>
      </c>
      <c r="P2" s="432" t="s">
        <v>163</v>
      </c>
      <c r="Q2" s="307" t="s">
        <v>162</v>
      </c>
      <c r="R2" s="307" t="s">
        <v>162</v>
      </c>
      <c r="S2" s="307" t="s">
        <v>162</v>
      </c>
      <c r="T2" s="307" t="s">
        <v>162</v>
      </c>
      <c r="U2" s="307" t="s">
        <v>162</v>
      </c>
      <c r="V2" s="307" t="s">
        <v>162</v>
      </c>
      <c r="W2" s="307" t="s">
        <v>162</v>
      </c>
      <c r="X2" s="307" t="s">
        <v>162</v>
      </c>
      <c r="Y2" s="307" t="s">
        <v>162</v>
      </c>
      <c r="Z2" s="307" t="s">
        <v>162</v>
      </c>
      <c r="AA2" s="307" t="s">
        <v>162</v>
      </c>
      <c r="AB2" s="307" t="s">
        <v>162</v>
      </c>
      <c r="AC2" s="307" t="s">
        <v>162</v>
      </c>
      <c r="AD2" s="307" t="s">
        <v>162</v>
      </c>
      <c r="AE2" s="432" t="s">
        <v>161</v>
      </c>
      <c r="AF2" s="307" t="s">
        <v>160</v>
      </c>
      <c r="AG2" s="307" t="s">
        <v>160</v>
      </c>
      <c r="AH2" s="307" t="s">
        <v>160</v>
      </c>
      <c r="AI2" s="307" t="s">
        <v>160</v>
      </c>
      <c r="AJ2" s="307" t="s">
        <v>160</v>
      </c>
      <c r="AK2" s="307" t="s">
        <v>160</v>
      </c>
      <c r="AL2" s="307" t="s">
        <v>160</v>
      </c>
      <c r="AM2" s="307" t="s">
        <v>160</v>
      </c>
      <c r="AN2" s="307" t="s">
        <v>160</v>
      </c>
      <c r="AO2" s="433" t="s">
        <v>159</v>
      </c>
      <c r="BA2" s="127"/>
      <c r="BB2" s="127"/>
      <c r="BC2" s="127"/>
      <c r="BD2" s="127"/>
      <c r="BE2" s="127"/>
      <c r="BF2" s="127"/>
      <c r="BG2" s="127"/>
      <c r="BH2" s="127"/>
      <c r="BI2" s="127"/>
      <c r="BJ2" s="430"/>
    </row>
    <row r="3" spans="1:62" s="126" customFormat="1" ht="36" customHeight="1" x14ac:dyDescent="0.15">
      <c r="A3" s="306"/>
      <c r="B3" s="306"/>
      <c r="C3" s="306"/>
      <c r="D3" s="306"/>
      <c r="E3" s="306"/>
      <c r="F3" s="306"/>
      <c r="G3" s="307" t="s">
        <v>141</v>
      </c>
      <c r="H3" s="307" t="s">
        <v>140</v>
      </c>
      <c r="I3" s="307" t="s">
        <v>139</v>
      </c>
      <c r="J3" s="307" t="s">
        <v>138</v>
      </c>
      <c r="K3" s="307" t="s">
        <v>137</v>
      </c>
      <c r="L3" s="307" t="s">
        <v>136</v>
      </c>
      <c r="M3" s="307" t="s">
        <v>35</v>
      </c>
      <c r="N3" s="307" t="s">
        <v>34</v>
      </c>
      <c r="O3" s="307" t="s">
        <v>135</v>
      </c>
      <c r="P3" s="432"/>
      <c r="Q3" s="307" t="s">
        <v>134</v>
      </c>
      <c r="R3" s="307" t="s">
        <v>133</v>
      </c>
      <c r="S3" s="307" t="s">
        <v>132</v>
      </c>
      <c r="T3" s="307" t="s">
        <v>131</v>
      </c>
      <c r="U3" s="307" t="s">
        <v>130</v>
      </c>
      <c r="V3" s="307" t="s">
        <v>129</v>
      </c>
      <c r="W3" s="307" t="s">
        <v>128</v>
      </c>
      <c r="X3" s="307" t="s">
        <v>127</v>
      </c>
      <c r="Y3" s="307" t="s">
        <v>126</v>
      </c>
      <c r="Z3" s="307" t="s">
        <v>125</v>
      </c>
      <c r="AA3" s="307" t="s">
        <v>124</v>
      </c>
      <c r="AB3" s="307" t="s">
        <v>123</v>
      </c>
      <c r="AC3" s="387" t="s">
        <v>638</v>
      </c>
      <c r="AD3" s="307" t="s">
        <v>122</v>
      </c>
      <c r="AE3" s="432"/>
      <c r="AF3" s="307" t="s">
        <v>121</v>
      </c>
      <c r="AG3" s="307" t="s">
        <v>120</v>
      </c>
      <c r="AH3" s="307" t="s">
        <v>119</v>
      </c>
      <c r="AI3" s="307" t="s">
        <v>118</v>
      </c>
      <c r="AJ3" s="307" t="s">
        <v>117</v>
      </c>
      <c r="AK3" s="307" t="s">
        <v>116</v>
      </c>
      <c r="AL3" s="307" t="s">
        <v>115</v>
      </c>
      <c r="AM3" s="307" t="s">
        <v>114</v>
      </c>
      <c r="AN3" s="307" t="s">
        <v>113</v>
      </c>
      <c r="AO3" s="434"/>
      <c r="BA3" s="127"/>
      <c r="BB3" s="127"/>
      <c r="BC3" s="127"/>
      <c r="BD3" s="127"/>
      <c r="BE3" s="127"/>
      <c r="BF3" s="127"/>
      <c r="BG3" s="127"/>
      <c r="BH3" s="127"/>
      <c r="BI3" s="127"/>
      <c r="BJ3" s="430"/>
    </row>
    <row r="4" spans="1:62" s="126" customFormat="1" ht="60" customHeight="1" x14ac:dyDescent="0.15">
      <c r="A4" s="308"/>
      <c r="B4" s="309" t="s">
        <v>112</v>
      </c>
      <c r="C4" s="309" t="s">
        <v>111</v>
      </c>
      <c r="D4" s="309" t="s">
        <v>32</v>
      </c>
      <c r="E4" s="309" t="s">
        <v>110</v>
      </c>
      <c r="F4" s="309" t="s">
        <v>109</v>
      </c>
      <c r="G4" s="307" t="s">
        <v>92</v>
      </c>
      <c r="H4" s="307" t="s">
        <v>91</v>
      </c>
      <c r="I4" s="307" t="s">
        <v>90</v>
      </c>
      <c r="J4" s="307" t="s">
        <v>89</v>
      </c>
      <c r="K4" s="307" t="s">
        <v>88</v>
      </c>
      <c r="L4" s="307" t="s">
        <v>87</v>
      </c>
      <c r="M4" s="307" t="s">
        <v>35</v>
      </c>
      <c r="N4" s="307" t="s">
        <v>86</v>
      </c>
      <c r="O4" s="307" t="s">
        <v>85</v>
      </c>
      <c r="P4" s="432"/>
      <c r="Q4" s="307" t="s">
        <v>84</v>
      </c>
      <c r="R4" s="307" t="s">
        <v>83</v>
      </c>
      <c r="S4" s="307" t="s">
        <v>82</v>
      </c>
      <c r="T4" s="307" t="s">
        <v>81</v>
      </c>
      <c r="U4" s="307" t="s">
        <v>80</v>
      </c>
      <c r="V4" s="307" t="s">
        <v>79</v>
      </c>
      <c r="W4" s="307" t="s">
        <v>78</v>
      </c>
      <c r="X4" s="307" t="s">
        <v>77</v>
      </c>
      <c r="Y4" s="307" t="s">
        <v>76</v>
      </c>
      <c r="Z4" s="307" t="s">
        <v>75</v>
      </c>
      <c r="AA4" s="307" t="s">
        <v>74</v>
      </c>
      <c r="AB4" s="307" t="s">
        <v>73</v>
      </c>
      <c r="AC4" s="387" t="s">
        <v>638</v>
      </c>
      <c r="AD4" s="307" t="s">
        <v>72</v>
      </c>
      <c r="AE4" s="432"/>
      <c r="AF4" s="307" t="s">
        <v>71</v>
      </c>
      <c r="AG4" s="307" t="s">
        <v>70</v>
      </c>
      <c r="AH4" s="307" t="s">
        <v>69</v>
      </c>
      <c r="AI4" s="307" t="s">
        <v>68</v>
      </c>
      <c r="AJ4" s="307" t="s">
        <v>67</v>
      </c>
      <c r="AK4" s="307" t="s">
        <v>66</v>
      </c>
      <c r="AL4" s="307" t="s">
        <v>65</v>
      </c>
      <c r="AM4" s="307" t="s">
        <v>64</v>
      </c>
      <c r="AN4" s="307" t="s">
        <v>63</v>
      </c>
      <c r="AO4" s="435"/>
      <c r="BA4" s="127"/>
      <c r="BB4" s="127"/>
      <c r="BC4" s="127"/>
      <c r="BD4" s="127"/>
      <c r="BE4" s="127"/>
      <c r="BF4" s="127"/>
      <c r="BG4" s="127"/>
      <c r="BH4" s="127"/>
      <c r="BI4" s="127"/>
      <c r="BJ4" s="430"/>
    </row>
    <row r="5" spans="1:62" s="126" customFormat="1" ht="293" customHeight="1" x14ac:dyDescent="0.15">
      <c r="A5" s="310" t="s">
        <v>42</v>
      </c>
      <c r="B5" s="311"/>
      <c r="C5" s="311"/>
      <c r="D5" s="312"/>
      <c r="E5" s="312" t="s">
        <v>62</v>
      </c>
      <c r="F5" s="312" t="s">
        <v>61</v>
      </c>
      <c r="G5" s="135" t="s">
        <v>403</v>
      </c>
      <c r="H5" s="135" t="s">
        <v>404</v>
      </c>
      <c r="I5" s="136"/>
      <c r="J5" s="136"/>
      <c r="K5" s="136"/>
      <c r="L5" s="136"/>
      <c r="M5" s="135"/>
      <c r="N5" s="135" t="s">
        <v>405</v>
      </c>
      <c r="O5" s="135"/>
      <c r="P5" s="313">
        <f>SUMIF($G$2:O$2,O$2,$G5:O5)</f>
        <v>0</v>
      </c>
      <c r="Q5" s="136"/>
      <c r="R5" s="136"/>
      <c r="S5" s="136"/>
      <c r="T5" s="136"/>
      <c r="U5" s="136"/>
      <c r="V5" s="136"/>
      <c r="W5" s="135" t="s">
        <v>406</v>
      </c>
      <c r="X5" s="135" t="s">
        <v>407</v>
      </c>
      <c r="Y5" s="135" t="s">
        <v>408</v>
      </c>
      <c r="Z5" s="135" t="s">
        <v>409</v>
      </c>
      <c r="AA5" s="135" t="s">
        <v>410</v>
      </c>
      <c r="AB5" s="135" t="s">
        <v>411</v>
      </c>
      <c r="AC5" s="135" t="s">
        <v>639</v>
      </c>
      <c r="AD5" s="135" t="s">
        <v>412</v>
      </c>
      <c r="AE5" s="314">
        <f>SUMIF($G$2:AD$2,Y$2,$G5:AD5)</f>
        <v>0</v>
      </c>
      <c r="AF5" s="315"/>
      <c r="AG5" s="315"/>
      <c r="AH5" s="316"/>
      <c r="AI5" s="316"/>
      <c r="AJ5" s="316"/>
      <c r="AK5" s="316"/>
      <c r="AL5" s="316"/>
      <c r="AM5" s="316"/>
      <c r="AN5" s="315"/>
      <c r="AO5" s="314">
        <f>SUMIF($G$2:AN$2,AN$2,$G5:AN5)</f>
        <v>0</v>
      </c>
      <c r="BA5" s="130"/>
      <c r="BB5" s="130"/>
      <c r="BC5" s="131"/>
      <c r="BD5" s="131"/>
      <c r="BE5" s="131"/>
      <c r="BF5" s="131"/>
      <c r="BG5" s="131"/>
      <c r="BH5" s="131"/>
      <c r="BI5" s="130"/>
      <c r="BJ5" s="129"/>
    </row>
    <row r="6" spans="1:62" s="126" customFormat="1" ht="409.6" x14ac:dyDescent="0.15">
      <c r="A6" s="310" t="s">
        <v>42</v>
      </c>
      <c r="B6" s="311"/>
      <c r="C6" s="311"/>
      <c r="D6" s="312"/>
      <c r="E6" s="312" t="s">
        <v>60</v>
      </c>
      <c r="F6" s="312" t="s">
        <v>59</v>
      </c>
      <c r="G6" s="136"/>
      <c r="H6" s="136"/>
      <c r="I6" s="135" t="s">
        <v>413</v>
      </c>
      <c r="J6" s="135" t="s">
        <v>414</v>
      </c>
      <c r="K6" s="135" t="s">
        <v>415</v>
      </c>
      <c r="L6" s="135" t="s">
        <v>416</v>
      </c>
      <c r="M6" s="135" t="s">
        <v>417</v>
      </c>
      <c r="N6" s="135" t="s">
        <v>418</v>
      </c>
      <c r="O6" s="135" t="s">
        <v>419</v>
      </c>
      <c r="P6" s="313">
        <f>SUMIF($G$2:O$2,O$2,$G6:O6)</f>
        <v>0</v>
      </c>
      <c r="Q6" s="135" t="s">
        <v>420</v>
      </c>
      <c r="R6" s="135" t="s">
        <v>421</v>
      </c>
      <c r="S6" s="135" t="s">
        <v>422</v>
      </c>
      <c r="T6" s="135" t="s">
        <v>423</v>
      </c>
      <c r="U6" s="135" t="s">
        <v>424</v>
      </c>
      <c r="V6" s="135" t="s">
        <v>425</v>
      </c>
      <c r="W6" s="136"/>
      <c r="X6" s="136"/>
      <c r="Y6" s="136"/>
      <c r="Z6" s="136"/>
      <c r="AA6" s="136"/>
      <c r="AB6" s="135" t="s">
        <v>516</v>
      </c>
      <c r="AC6" s="135"/>
      <c r="AD6" s="135" t="s">
        <v>517</v>
      </c>
      <c r="AE6" s="314">
        <f>SUMIF($G$2:AD$2,Y$2,$G6:AD6)</f>
        <v>0</v>
      </c>
      <c r="AF6" s="315"/>
      <c r="AG6" s="316"/>
      <c r="AH6" s="316"/>
      <c r="AI6" s="316"/>
      <c r="AJ6" s="316"/>
      <c r="AK6" s="316"/>
      <c r="AL6" s="316"/>
      <c r="AM6" s="316"/>
      <c r="AN6" s="315"/>
      <c r="AO6" s="314">
        <f>SUMIF($G$2:AN$2,AN$2,$G6:AN6)</f>
        <v>0</v>
      </c>
      <c r="BA6" s="130"/>
      <c r="BB6" s="131"/>
      <c r="BC6" s="131"/>
      <c r="BD6" s="131"/>
      <c r="BE6" s="131"/>
      <c r="BF6" s="131"/>
      <c r="BG6" s="131"/>
      <c r="BH6" s="131"/>
      <c r="BI6" s="130"/>
      <c r="BJ6" s="129"/>
    </row>
    <row r="7" spans="1:62" s="126" customFormat="1" ht="48" customHeight="1" x14ac:dyDescent="0.15">
      <c r="A7" s="310" t="s">
        <v>42</v>
      </c>
      <c r="B7" s="311"/>
      <c r="C7" s="311"/>
      <c r="D7" s="312"/>
      <c r="E7" s="312" t="s">
        <v>58</v>
      </c>
      <c r="F7" s="312" t="s">
        <v>57</v>
      </c>
      <c r="G7" s="136"/>
      <c r="H7" s="135" t="s">
        <v>426</v>
      </c>
      <c r="I7" s="135" t="s">
        <v>427</v>
      </c>
      <c r="J7" s="136"/>
      <c r="K7" s="136"/>
      <c r="L7" s="136"/>
      <c r="M7" s="135" t="s">
        <v>428</v>
      </c>
      <c r="N7" s="135" t="s">
        <v>429</v>
      </c>
      <c r="O7" s="135" t="s">
        <v>430</v>
      </c>
      <c r="P7" s="313">
        <f>SUMIF($G$2:O$2,O$2,$G7:O7)</f>
        <v>0</v>
      </c>
      <c r="Q7" s="136"/>
      <c r="R7" s="136"/>
      <c r="S7" s="136"/>
      <c r="T7" s="136"/>
      <c r="U7" s="136"/>
      <c r="V7" s="136"/>
      <c r="W7" s="136"/>
      <c r="X7" s="136"/>
      <c r="Y7" s="136"/>
      <c r="Z7" s="136"/>
      <c r="AA7" s="136"/>
      <c r="AB7" s="136"/>
      <c r="AC7" s="136"/>
      <c r="AD7" s="135" t="s">
        <v>431</v>
      </c>
      <c r="AE7" s="314">
        <f>SUMIF($G$2:AD$2,Y$2,$G7:AD7)</f>
        <v>0</v>
      </c>
      <c r="AF7" s="315"/>
      <c r="AG7" s="315"/>
      <c r="AH7" s="315"/>
      <c r="AI7" s="315"/>
      <c r="AJ7" s="315"/>
      <c r="AK7" s="315"/>
      <c r="AL7" s="315"/>
      <c r="AM7" s="315"/>
      <c r="AN7" s="317"/>
      <c r="AO7" s="314">
        <f>SUMIF($G$2:AN$2,AN$2,$G7:AN7)</f>
        <v>0</v>
      </c>
      <c r="BA7" s="130"/>
      <c r="BB7" s="130"/>
      <c r="BC7" s="130"/>
      <c r="BD7" s="130"/>
      <c r="BE7" s="130"/>
      <c r="BF7" s="130"/>
      <c r="BG7" s="130"/>
      <c r="BH7" s="130"/>
      <c r="BI7" s="132"/>
      <c r="BJ7" s="129"/>
    </row>
    <row r="8" spans="1:62" s="126" customFormat="1" ht="63" customHeight="1" x14ac:dyDescent="0.15">
      <c r="A8" s="310" t="s">
        <v>42</v>
      </c>
      <c r="B8" s="311"/>
      <c r="C8" s="311"/>
      <c r="D8" s="312"/>
      <c r="E8" s="312" t="s">
        <v>56</v>
      </c>
      <c r="F8" s="312" t="s">
        <v>55</v>
      </c>
      <c r="G8" s="235"/>
      <c r="H8" s="135" t="s">
        <v>432</v>
      </c>
      <c r="I8" s="135" t="s">
        <v>433</v>
      </c>
      <c r="J8" s="235"/>
      <c r="K8" s="235"/>
      <c r="L8" s="235"/>
      <c r="M8" s="135" t="s">
        <v>434</v>
      </c>
      <c r="N8" s="135" t="s">
        <v>435</v>
      </c>
      <c r="O8" s="135" t="s">
        <v>436</v>
      </c>
      <c r="P8" s="313">
        <f>SUMIF($G$2:O$2,O$2,$G8:O8)</f>
        <v>0</v>
      </c>
      <c r="Q8" s="136"/>
      <c r="R8" s="136"/>
      <c r="S8" s="136"/>
      <c r="T8" s="136"/>
      <c r="U8" s="136"/>
      <c r="V8" s="136"/>
      <c r="W8" s="136"/>
      <c r="X8" s="136"/>
      <c r="Y8" s="136"/>
      <c r="Z8" s="136"/>
      <c r="AA8" s="136"/>
      <c r="AB8" s="136"/>
      <c r="AC8" s="136"/>
      <c r="AD8" s="135" t="s">
        <v>437</v>
      </c>
      <c r="AE8" s="314">
        <f>SUMIF($G$2:AD$2,Y$2,$G8:AD8)</f>
        <v>0</v>
      </c>
      <c r="AF8" s="315"/>
      <c r="AG8" s="315"/>
      <c r="AH8" s="315"/>
      <c r="AI8" s="315"/>
      <c r="AJ8" s="315"/>
      <c r="AK8" s="315"/>
      <c r="AL8" s="315"/>
      <c r="AM8" s="315"/>
      <c r="AN8" s="315"/>
      <c r="AO8" s="314">
        <f>SUMIF($G$2:AN$2,AN$2,$G8:AN8)</f>
        <v>0</v>
      </c>
      <c r="BA8" s="130"/>
      <c r="BB8" s="130"/>
      <c r="BC8" s="130"/>
      <c r="BD8" s="130"/>
      <c r="BE8" s="130"/>
      <c r="BF8" s="130"/>
      <c r="BG8" s="130"/>
      <c r="BH8" s="130"/>
      <c r="BI8" s="130"/>
      <c r="BJ8" s="129"/>
    </row>
    <row r="9" spans="1:62" s="126" customFormat="1" ht="156" customHeight="1" x14ac:dyDescent="0.15">
      <c r="A9" s="310" t="s">
        <v>42</v>
      </c>
      <c r="B9" s="311"/>
      <c r="C9" s="311"/>
      <c r="D9" s="312"/>
      <c r="E9" s="312" t="s">
        <v>54</v>
      </c>
      <c r="F9" s="312" t="s">
        <v>53</v>
      </c>
      <c r="G9" s="133"/>
      <c r="H9" s="135" t="s">
        <v>438</v>
      </c>
      <c r="I9" s="135" t="s">
        <v>439</v>
      </c>
      <c r="J9" s="134"/>
      <c r="K9" s="134"/>
      <c r="L9" s="134"/>
      <c r="M9" s="135" t="s">
        <v>440</v>
      </c>
      <c r="N9" s="135" t="s">
        <v>441</v>
      </c>
      <c r="O9" s="135" t="s">
        <v>442</v>
      </c>
      <c r="P9" s="318">
        <f>SUMIF($G$2:O$2,O$2,$G9:O9)</f>
        <v>0</v>
      </c>
      <c r="Q9" s="136"/>
      <c r="R9" s="136"/>
      <c r="S9" s="136"/>
      <c r="T9" s="136"/>
      <c r="U9" s="136"/>
      <c r="V9" s="136"/>
      <c r="W9" s="136"/>
      <c r="X9" s="136"/>
      <c r="Y9" s="136"/>
      <c r="Z9" s="136"/>
      <c r="AA9" s="136"/>
      <c r="AB9" s="136"/>
      <c r="AC9" s="136"/>
      <c r="AD9" s="135" t="s">
        <v>443</v>
      </c>
      <c r="AE9" s="314">
        <f>SUMIF($G$2:AD$2,Y$2,$G9:AD9)</f>
        <v>0</v>
      </c>
      <c r="AF9" s="315"/>
      <c r="AG9" s="315"/>
      <c r="AH9" s="315"/>
      <c r="AI9" s="315"/>
      <c r="AJ9" s="315"/>
      <c r="AK9" s="315"/>
      <c r="AL9" s="315"/>
      <c r="AM9" s="315"/>
      <c r="AN9" s="315"/>
      <c r="AO9" s="314">
        <f>SUMIF($G$2:AN$2,AN$2,$G9:AN9)</f>
        <v>0</v>
      </c>
      <c r="BA9" s="130"/>
      <c r="BB9" s="130"/>
      <c r="BC9" s="130"/>
      <c r="BD9" s="130"/>
      <c r="BE9" s="130"/>
      <c r="BF9" s="130"/>
      <c r="BG9" s="130"/>
      <c r="BH9" s="130"/>
      <c r="BI9" s="130"/>
      <c r="BJ9" s="129"/>
    </row>
    <row r="10" spans="1:62" s="126" customFormat="1" ht="72" customHeight="1" x14ac:dyDescent="0.15">
      <c r="A10" s="310" t="s">
        <v>42</v>
      </c>
      <c r="B10" s="311"/>
      <c r="C10" s="311"/>
      <c r="D10" s="312"/>
      <c r="E10" s="312" t="s">
        <v>52</v>
      </c>
      <c r="F10" s="312" t="s">
        <v>51</v>
      </c>
      <c r="G10" s="133"/>
      <c r="H10" s="135" t="s">
        <v>444</v>
      </c>
      <c r="I10" s="135" t="s">
        <v>445</v>
      </c>
      <c r="J10" s="134"/>
      <c r="K10" s="134"/>
      <c r="L10" s="134"/>
      <c r="M10" s="135" t="s">
        <v>446</v>
      </c>
      <c r="N10" s="135" t="s">
        <v>447</v>
      </c>
      <c r="O10" s="135" t="s">
        <v>448</v>
      </c>
      <c r="P10" s="318">
        <f>SUMIF($G$2:O$2,O$2,$G10:O10)</f>
        <v>0</v>
      </c>
      <c r="Q10" s="136"/>
      <c r="R10" s="136"/>
      <c r="S10" s="136"/>
      <c r="T10" s="136"/>
      <c r="U10" s="136"/>
      <c r="V10" s="136"/>
      <c r="W10" s="136"/>
      <c r="X10" s="136"/>
      <c r="Y10" s="136"/>
      <c r="Z10" s="136"/>
      <c r="AA10" s="136"/>
      <c r="AB10" s="136"/>
      <c r="AC10" s="136"/>
      <c r="AD10" s="135" t="s">
        <v>449</v>
      </c>
      <c r="AE10" s="314">
        <f>SUMIF($G$2:AD$2,Y$2,$G10:AD10)</f>
        <v>0</v>
      </c>
      <c r="AF10" s="315"/>
      <c r="AG10" s="315"/>
      <c r="AH10" s="315"/>
      <c r="AI10" s="315"/>
      <c r="AJ10" s="315"/>
      <c r="AK10" s="315"/>
      <c r="AL10" s="315"/>
      <c r="AM10" s="315"/>
      <c r="AN10" s="315"/>
      <c r="AO10" s="314">
        <f>SUMIF($G$2:AN$2,AN$2,$G10:AN10)</f>
        <v>0</v>
      </c>
      <c r="BA10" s="130"/>
      <c r="BB10" s="130"/>
      <c r="BC10" s="130"/>
      <c r="BD10" s="130"/>
      <c r="BE10" s="130"/>
      <c r="BF10" s="130"/>
      <c r="BG10" s="130"/>
      <c r="BH10" s="130"/>
      <c r="BI10" s="130"/>
      <c r="BJ10" s="129"/>
    </row>
    <row r="11" spans="1:62" s="126" customFormat="1" ht="72" customHeight="1" x14ac:dyDescent="0.15">
      <c r="A11" s="310" t="s">
        <v>42</v>
      </c>
      <c r="B11" s="311"/>
      <c r="C11" s="311"/>
      <c r="D11" s="312"/>
      <c r="E11" s="312" t="s">
        <v>50</v>
      </c>
      <c r="F11" s="312" t="s">
        <v>49</v>
      </c>
      <c r="G11" s="133"/>
      <c r="H11" s="135" t="s">
        <v>450</v>
      </c>
      <c r="I11" s="135" t="s">
        <v>451</v>
      </c>
      <c r="J11" s="134"/>
      <c r="K11" s="134"/>
      <c r="L11" s="134"/>
      <c r="M11" s="135" t="s">
        <v>452</v>
      </c>
      <c r="N11" s="135" t="s">
        <v>453</v>
      </c>
      <c r="O11" s="135" t="s">
        <v>454</v>
      </c>
      <c r="P11" s="318">
        <f>SUMIF($G$2:O$2,O$2,$G11:O11)</f>
        <v>0</v>
      </c>
      <c r="Q11" s="136"/>
      <c r="R11" s="136"/>
      <c r="S11" s="136"/>
      <c r="T11" s="136"/>
      <c r="U11" s="136"/>
      <c r="V11" s="136"/>
      <c r="W11" s="136"/>
      <c r="X11" s="136"/>
      <c r="Y11" s="136"/>
      <c r="Z11" s="136"/>
      <c r="AA11" s="136"/>
      <c r="AB11" s="136"/>
      <c r="AC11" s="136"/>
      <c r="AD11" s="135" t="s">
        <v>455</v>
      </c>
      <c r="AE11" s="314">
        <f>SUMIF($G$2:AD$2,Y$2,$G11:AD11)</f>
        <v>0</v>
      </c>
      <c r="AF11" s="315"/>
      <c r="AG11" s="315"/>
      <c r="AH11" s="315"/>
      <c r="AI11" s="315"/>
      <c r="AJ11" s="315"/>
      <c r="AK11" s="315"/>
      <c r="AL11" s="315"/>
      <c r="AM11" s="315"/>
      <c r="AN11" s="315"/>
      <c r="AO11" s="314">
        <f>SUMIF($G$2:AN$2,AN$2,$G11:AN11)</f>
        <v>0</v>
      </c>
      <c r="BA11" s="130"/>
      <c r="BB11" s="130"/>
      <c r="BC11" s="130"/>
      <c r="BD11" s="130"/>
      <c r="BE11" s="130"/>
      <c r="BF11" s="130"/>
      <c r="BG11" s="130"/>
      <c r="BH11" s="130"/>
      <c r="BI11" s="130"/>
      <c r="BJ11" s="129"/>
    </row>
    <row r="12" spans="1:62" s="126" customFormat="1" ht="72" customHeight="1" x14ac:dyDescent="0.15">
      <c r="A12" s="310" t="s">
        <v>42</v>
      </c>
      <c r="B12" s="311"/>
      <c r="C12" s="311"/>
      <c r="D12" s="312"/>
      <c r="E12" s="312" t="s">
        <v>48</v>
      </c>
      <c r="F12" s="312" t="s">
        <v>47</v>
      </c>
      <c r="G12" s="133"/>
      <c r="H12" s="135" t="s">
        <v>456</v>
      </c>
      <c r="I12" s="135" t="s">
        <v>457</v>
      </c>
      <c r="J12" s="134"/>
      <c r="K12" s="134"/>
      <c r="L12" s="134"/>
      <c r="M12" s="135" t="s">
        <v>458</v>
      </c>
      <c r="N12" s="135" t="s">
        <v>459</v>
      </c>
      <c r="O12" s="135" t="s">
        <v>460</v>
      </c>
      <c r="P12" s="318">
        <f>SUMIF($G$2:O$2,O$2,$G12:O12)</f>
        <v>0</v>
      </c>
      <c r="Q12" s="136"/>
      <c r="R12" s="136"/>
      <c r="S12" s="136"/>
      <c r="T12" s="136"/>
      <c r="U12" s="136"/>
      <c r="V12" s="136"/>
      <c r="W12" s="136"/>
      <c r="X12" s="136"/>
      <c r="Y12" s="136"/>
      <c r="Z12" s="136"/>
      <c r="AA12" s="136"/>
      <c r="AB12" s="136"/>
      <c r="AC12" s="136"/>
      <c r="AD12" s="135" t="s">
        <v>461</v>
      </c>
      <c r="AE12" s="314">
        <f>SUMIF($G$2:AD$2,Y$2,$G12:AD12)</f>
        <v>0</v>
      </c>
      <c r="AF12" s="315"/>
      <c r="AG12" s="315"/>
      <c r="AH12" s="315"/>
      <c r="AI12" s="315"/>
      <c r="AJ12" s="315"/>
      <c r="AK12" s="315"/>
      <c r="AL12" s="315"/>
      <c r="AM12" s="315"/>
      <c r="AN12" s="315"/>
      <c r="AO12" s="314">
        <f>SUMIF($G$2:AN$2,AN$2,$G12:AN12)</f>
        <v>0</v>
      </c>
      <c r="BA12" s="130"/>
      <c r="BB12" s="130"/>
      <c r="BC12" s="130"/>
      <c r="BD12" s="130"/>
      <c r="BE12" s="130"/>
      <c r="BF12" s="130"/>
      <c r="BG12" s="130"/>
      <c r="BH12" s="130"/>
      <c r="BI12" s="130"/>
      <c r="BJ12" s="129"/>
    </row>
    <row r="13" spans="1:62" s="126" customFormat="1" ht="79" customHeight="1" x14ac:dyDescent="0.15">
      <c r="A13" s="310" t="s">
        <v>42</v>
      </c>
      <c r="B13" s="311"/>
      <c r="C13" s="311"/>
      <c r="D13" s="312"/>
      <c r="E13" s="312" t="s">
        <v>46</v>
      </c>
      <c r="F13" s="312" t="s">
        <v>45</v>
      </c>
      <c r="G13" s="319"/>
      <c r="H13" s="135" t="s">
        <v>462</v>
      </c>
      <c r="I13" s="135" t="s">
        <v>463</v>
      </c>
      <c r="J13" s="134"/>
      <c r="K13" s="134"/>
      <c r="L13" s="134"/>
      <c r="M13" s="135" t="s">
        <v>464</v>
      </c>
      <c r="N13" s="135" t="s">
        <v>465</v>
      </c>
      <c r="O13" s="135" t="s">
        <v>466</v>
      </c>
      <c r="P13" s="313">
        <f>SUMIF($G$2:O$2,O$2,$G13:O13)</f>
        <v>0</v>
      </c>
      <c r="Q13" s="136"/>
      <c r="R13" s="136"/>
      <c r="S13" s="136"/>
      <c r="T13" s="136"/>
      <c r="U13" s="136"/>
      <c r="V13" s="136"/>
      <c r="W13" s="136"/>
      <c r="X13" s="136"/>
      <c r="Y13" s="136"/>
      <c r="Z13" s="136"/>
      <c r="AA13" s="136"/>
      <c r="AB13" s="135" t="s">
        <v>467</v>
      </c>
      <c r="AC13" s="135"/>
      <c r="AD13" s="135" t="s">
        <v>468</v>
      </c>
      <c r="AE13" s="314">
        <f>SUMIF($G$2:AD$2,Y$2,$G13:AD13)</f>
        <v>0</v>
      </c>
      <c r="AF13" s="315"/>
      <c r="AG13" s="315"/>
      <c r="AH13" s="315"/>
      <c r="AI13" s="315"/>
      <c r="AJ13" s="315"/>
      <c r="AK13" s="315"/>
      <c r="AL13" s="315"/>
      <c r="AM13" s="315"/>
      <c r="AN13" s="315"/>
      <c r="AO13" s="314">
        <f>SUMIF($G$2:AN$2,AN$2,$G13:AN13)</f>
        <v>0</v>
      </c>
      <c r="BA13" s="130"/>
      <c r="BB13" s="130"/>
      <c r="BC13" s="130"/>
      <c r="BD13" s="130"/>
      <c r="BE13" s="130"/>
      <c r="BF13" s="130"/>
      <c r="BG13" s="130"/>
      <c r="BH13" s="130"/>
      <c r="BI13" s="130"/>
      <c r="BJ13" s="129"/>
    </row>
    <row r="14" spans="1:62" s="126" customFormat="1" ht="245" customHeight="1" x14ac:dyDescent="0.15">
      <c r="A14" s="310" t="s">
        <v>42</v>
      </c>
      <c r="B14" s="311"/>
      <c r="C14" s="311"/>
      <c r="D14" s="312"/>
      <c r="E14" s="312" t="s">
        <v>44</v>
      </c>
      <c r="F14" s="312" t="s">
        <v>43</v>
      </c>
      <c r="G14" s="135" t="s">
        <v>518</v>
      </c>
      <c r="H14" s="135" t="s">
        <v>519</v>
      </c>
      <c r="I14" s="135" t="s">
        <v>520</v>
      </c>
      <c r="J14" s="135" t="s">
        <v>521</v>
      </c>
      <c r="K14" s="135" t="s">
        <v>522</v>
      </c>
      <c r="L14" s="135" t="s">
        <v>523</v>
      </c>
      <c r="M14" s="135" t="s">
        <v>524</v>
      </c>
      <c r="N14" s="135" t="s">
        <v>525</v>
      </c>
      <c r="O14" s="135" t="s">
        <v>636</v>
      </c>
      <c r="P14" s="313">
        <f>SUMIF($G$2:O$2,O$2,$G14:O14)</f>
        <v>0</v>
      </c>
      <c r="Q14" s="135" t="s">
        <v>526</v>
      </c>
      <c r="R14" s="135" t="s">
        <v>527</v>
      </c>
      <c r="S14" s="135" t="s">
        <v>528</v>
      </c>
      <c r="T14" s="135" t="s">
        <v>529</v>
      </c>
      <c r="U14" s="135" t="s">
        <v>530</v>
      </c>
      <c r="V14" s="135" t="s">
        <v>531</v>
      </c>
      <c r="W14" s="135" t="s">
        <v>532</v>
      </c>
      <c r="X14" s="135" t="s">
        <v>533</v>
      </c>
      <c r="Y14" s="135" t="s">
        <v>534</v>
      </c>
      <c r="Z14" s="135" t="s">
        <v>535</v>
      </c>
      <c r="AA14" s="135" t="s">
        <v>536</v>
      </c>
      <c r="AB14" s="136"/>
      <c r="AC14" s="135" t="s">
        <v>640</v>
      </c>
      <c r="AD14" s="135" t="s">
        <v>537</v>
      </c>
      <c r="AE14" s="314">
        <f>SUMIF($G$2:AD$2,Y$2,$G14:AD14)</f>
        <v>0</v>
      </c>
      <c r="AF14" s="315"/>
      <c r="AG14" s="315"/>
      <c r="AH14" s="315"/>
      <c r="AI14" s="315"/>
      <c r="AJ14" s="315"/>
      <c r="AK14" s="315"/>
      <c r="AL14" s="315"/>
      <c r="AM14" s="315"/>
      <c r="AN14" s="315"/>
      <c r="AO14" s="314">
        <f>SUMIF($G$2:AN$2,AN$2,$G14:AN14)</f>
        <v>0</v>
      </c>
      <c r="BA14" s="130"/>
      <c r="BB14" s="130"/>
      <c r="BC14" s="130"/>
      <c r="BD14" s="130"/>
      <c r="BE14" s="130"/>
      <c r="BF14" s="130"/>
      <c r="BG14" s="130"/>
      <c r="BH14" s="130"/>
      <c r="BI14" s="130"/>
      <c r="BJ14" s="129"/>
    </row>
    <row r="15" spans="1:62" s="126" customFormat="1" ht="236" customHeight="1" x14ac:dyDescent="0.15">
      <c r="A15" s="310" t="s">
        <v>42</v>
      </c>
      <c r="B15" s="311"/>
      <c r="C15" s="311"/>
      <c r="D15" s="312"/>
      <c r="E15" s="312" t="s">
        <v>41</v>
      </c>
      <c r="F15" s="312" t="s">
        <v>40</v>
      </c>
      <c r="G15" s="135" t="s">
        <v>538</v>
      </c>
      <c r="H15" s="135" t="s">
        <v>539</v>
      </c>
      <c r="I15" s="135" t="s">
        <v>540</v>
      </c>
      <c r="J15" s="135" t="s">
        <v>541</v>
      </c>
      <c r="K15" s="135" t="s">
        <v>542</v>
      </c>
      <c r="L15" s="135" t="s">
        <v>543</v>
      </c>
      <c r="M15" s="135" t="s">
        <v>544</v>
      </c>
      <c r="N15" s="135" t="s">
        <v>545</v>
      </c>
      <c r="O15" s="135" t="s">
        <v>637</v>
      </c>
      <c r="P15" s="313">
        <f>SUMIF($G$2:O$2,O$2,$G15:O15)</f>
        <v>0</v>
      </c>
      <c r="Q15" s="135" t="s">
        <v>546</v>
      </c>
      <c r="R15" s="135" t="s">
        <v>547</v>
      </c>
      <c r="S15" s="135" t="s">
        <v>548</v>
      </c>
      <c r="T15" s="135" t="s">
        <v>549</v>
      </c>
      <c r="U15" s="135" t="s">
        <v>550</v>
      </c>
      <c r="V15" s="135" t="s">
        <v>551</v>
      </c>
      <c r="W15" s="135" t="s">
        <v>552</v>
      </c>
      <c r="X15" s="135" t="s">
        <v>553</v>
      </c>
      <c r="Y15" s="135" t="s">
        <v>554</v>
      </c>
      <c r="Z15" s="135" t="s">
        <v>555</v>
      </c>
      <c r="AA15" s="135" t="s">
        <v>556</v>
      </c>
      <c r="AB15" s="136"/>
      <c r="AC15" s="135" t="s">
        <v>641</v>
      </c>
      <c r="AD15" s="135" t="s">
        <v>557</v>
      </c>
      <c r="AE15" s="314">
        <f>SUMIF($G$2:AD$2,Y$2,$G15:AD15)</f>
        <v>0</v>
      </c>
      <c r="AF15" s="315"/>
      <c r="AG15" s="315"/>
      <c r="AH15" s="315"/>
      <c r="AI15" s="315"/>
      <c r="AJ15" s="315"/>
      <c r="AK15" s="315"/>
      <c r="AL15" s="315"/>
      <c r="AM15" s="315"/>
      <c r="AN15" s="315"/>
      <c r="AO15" s="314">
        <f>SUMIF($G$2:AN$2,AN$2,$G15:AN15)</f>
        <v>0</v>
      </c>
      <c r="BA15" s="130"/>
      <c r="BB15" s="130"/>
      <c r="BC15" s="130"/>
      <c r="BD15" s="130"/>
      <c r="BE15" s="130"/>
      <c r="BF15" s="130"/>
      <c r="BG15" s="130"/>
      <c r="BH15" s="130"/>
      <c r="BI15" s="130"/>
      <c r="BJ15" s="129"/>
    </row>
    <row r="16" spans="1:62" s="126" customFormat="1" ht="12" customHeight="1" x14ac:dyDescent="0.15">
      <c r="A16" s="310"/>
      <c r="B16" s="320"/>
      <c r="C16" s="320"/>
      <c r="D16" s="321"/>
      <c r="E16" s="321"/>
      <c r="F16" s="322" t="s">
        <v>39</v>
      </c>
      <c r="G16" s="314">
        <f>SUMIF($C$5:$C15,$C15,G$5:G15)</f>
        <v>0</v>
      </c>
      <c r="H16" s="314">
        <f>SUMIF($C$5:$C15,$C15,H$5:H15)</f>
        <v>0</v>
      </c>
      <c r="I16" s="314">
        <f>SUMIF($C$5:$C15,$C15,I$5:I15)</f>
        <v>0</v>
      </c>
      <c r="J16" s="314">
        <f>SUMIF($C$5:$C15,$C15,J$5:J15)</f>
        <v>0</v>
      </c>
      <c r="K16" s="314">
        <f>SUMIF($C$5:$C15,$C15,K$5:K15)</f>
        <v>0</v>
      </c>
      <c r="L16" s="314">
        <f>SUMIF($C$5:$C15,$C15,L$5:L15)</f>
        <v>0</v>
      </c>
      <c r="M16" s="314">
        <f>SUMIF($C$5:$C15,$C15,M$5:M15)</f>
        <v>0</v>
      </c>
      <c r="N16" s="314">
        <f>SUMIF($C$5:$C15,$C15,N$5:N15)</f>
        <v>0</v>
      </c>
      <c r="O16" s="314">
        <f>SUMIF($C$5:$C15,$C15,O$5:O15)</f>
        <v>0</v>
      </c>
      <c r="P16" s="314">
        <f>SUMIF($C$5:$C15,$C15,P$5:P15)</f>
        <v>0</v>
      </c>
      <c r="Q16" s="314">
        <f>SUMIF($C$5:$C15,$C15,Q$5:Q15)</f>
        <v>0</v>
      </c>
      <c r="R16" s="314">
        <f>SUMIF($C$5:$C15,$C15,R$5:R15)</f>
        <v>0</v>
      </c>
      <c r="S16" s="314">
        <f>SUMIF($C$5:$C15,$C15,S$5:S15)</f>
        <v>0</v>
      </c>
      <c r="T16" s="314">
        <f>SUMIF($C$5:$C15,$C15,T$5:T15)</f>
        <v>0</v>
      </c>
      <c r="U16" s="314">
        <f>SUMIF($C$5:$C15,$C15,U$5:U15)</f>
        <v>0</v>
      </c>
      <c r="V16" s="314">
        <f>SUMIF($C$5:$C15,$C15,V$5:V15)</f>
        <v>0</v>
      </c>
      <c r="W16" s="314">
        <f>SUMIF($C$5:$C15,$C15,W$5:W15)</f>
        <v>0</v>
      </c>
      <c r="X16" s="314">
        <f>SUMIF($C$5:$C15,$C15,X$5:X15)</f>
        <v>0</v>
      </c>
      <c r="Y16" s="314">
        <f>SUMIF($C$5:$C15,$C15,Y$5:Y15)</f>
        <v>0</v>
      </c>
      <c r="Z16" s="314">
        <f>SUMIF($C$5:$C15,$C15,Z$5:Z15)</f>
        <v>0</v>
      </c>
      <c r="AA16" s="314">
        <f>SUMIF($C$5:$C15,$C15,AA$5:AA15)</f>
        <v>0</v>
      </c>
      <c r="AB16" s="314">
        <f>SUMIF($C$5:$C15,$C15,AB$5:AB15)</f>
        <v>0</v>
      </c>
      <c r="AC16" s="314"/>
      <c r="AD16" s="314">
        <f>SUMIF($C$5:$C15,$C15,AD$5:AD15)</f>
        <v>0</v>
      </c>
      <c r="AE16" s="314">
        <f>SUMIF($C$5:$C15,$C15,AE$5:AE15)</f>
        <v>0</v>
      </c>
      <c r="AF16" s="314">
        <f>SUMIF($C$5:$C15,$C15,AF$5:AF15)</f>
        <v>0</v>
      </c>
      <c r="AG16" s="314">
        <f>SUMIF($C$5:$C15,$C15,AG$5:AG15)</f>
        <v>0</v>
      </c>
      <c r="AH16" s="314">
        <f>SUMIF($C$5:$C15,$C15,AH$5:AH15)</f>
        <v>0</v>
      </c>
      <c r="AI16" s="314">
        <f>SUMIF($C$5:$C15,$C15,AI$5:AI15)</f>
        <v>0</v>
      </c>
      <c r="AJ16" s="314">
        <f>SUMIF($C$5:$C15,$C15,AJ$5:AJ15)</f>
        <v>0</v>
      </c>
      <c r="AK16" s="314">
        <f>SUMIF($C$5:$C15,$C15,AK$5:AK15)</f>
        <v>0</v>
      </c>
      <c r="AL16" s="314">
        <f>SUMIF($C$5:$C15,$C15,AL$5:AL15)</f>
        <v>0</v>
      </c>
      <c r="AM16" s="314">
        <f>SUMIF($C$5:$C15,$C15,AM$5:AM15)</f>
        <v>0</v>
      </c>
      <c r="AN16" s="314">
        <f>SUMIF($C$5:$C15,$C15,AN$5:AN15)</f>
        <v>0</v>
      </c>
      <c r="AO16" s="314">
        <f>SUMIF($C$5:$C15,$C15,AO$5:AO15)</f>
        <v>0</v>
      </c>
      <c r="BA16" s="137"/>
      <c r="BB16" s="137"/>
      <c r="BC16" s="137"/>
      <c r="BD16" s="137"/>
      <c r="BE16" s="137"/>
      <c r="BF16" s="137"/>
      <c r="BG16" s="137"/>
      <c r="BH16" s="137"/>
      <c r="BI16" s="137"/>
      <c r="BJ16" s="129"/>
    </row>
    <row r="17" spans="1:52" ht="16" customHeight="1" x14ac:dyDescent="0.2">
      <c r="A17" s="323"/>
      <c r="B17" s="324"/>
      <c r="C17" s="324"/>
      <c r="D17" s="323"/>
      <c r="E17" s="323"/>
      <c r="F17" s="323"/>
      <c r="G17" s="324"/>
      <c r="H17" s="324"/>
      <c r="I17" s="324"/>
      <c r="J17" s="324"/>
      <c r="K17" s="324"/>
      <c r="L17" s="324"/>
      <c r="M17" s="324"/>
      <c r="N17" s="324"/>
      <c r="O17" s="324"/>
      <c r="P17" s="324"/>
      <c r="Q17" s="324"/>
      <c r="R17" s="324"/>
      <c r="S17" s="324"/>
      <c r="T17" s="324"/>
      <c r="U17" s="324"/>
      <c r="V17" s="324"/>
      <c r="W17" s="324"/>
      <c r="X17" s="324"/>
      <c r="Y17" s="324"/>
      <c r="Z17" s="324"/>
      <c r="AA17" s="324"/>
      <c r="AB17" s="324"/>
      <c r="AC17" s="324"/>
      <c r="AD17" s="324"/>
      <c r="AE17" s="324"/>
      <c r="AF17" s="324"/>
      <c r="AG17" s="324"/>
      <c r="AH17" s="324"/>
      <c r="AI17" s="324"/>
      <c r="AJ17" s="324"/>
      <c r="AK17" s="324"/>
      <c r="AL17" s="324"/>
      <c r="AM17" s="324"/>
      <c r="AN17" s="324"/>
      <c r="AO17" s="324"/>
      <c r="AP17" s="183"/>
      <c r="AQ17" s="183"/>
      <c r="AR17" s="126"/>
      <c r="AS17" s="126"/>
      <c r="AT17" s="126"/>
      <c r="AU17" s="126"/>
      <c r="AV17" s="126"/>
      <c r="AW17" s="126"/>
      <c r="AX17" s="126"/>
      <c r="AY17" s="126"/>
      <c r="AZ17" s="126"/>
    </row>
    <row r="18" spans="1:52" ht="16" customHeight="1" x14ac:dyDescent="0.2">
      <c r="A18" s="323"/>
      <c r="B18" s="324"/>
      <c r="C18" s="324"/>
      <c r="D18" s="323"/>
      <c r="E18" s="323"/>
      <c r="F18" s="323"/>
      <c r="G18" s="324"/>
      <c r="H18" s="324"/>
      <c r="I18" s="324"/>
      <c r="J18" s="324"/>
      <c r="K18" s="324"/>
      <c r="L18" s="324"/>
      <c r="M18" s="324"/>
      <c r="N18" s="324"/>
      <c r="O18" s="324"/>
      <c r="P18" s="324"/>
      <c r="Q18" s="324"/>
      <c r="R18" s="324"/>
      <c r="S18" s="324"/>
      <c r="T18" s="324"/>
      <c r="U18" s="324"/>
      <c r="V18" s="324"/>
      <c r="W18" s="324"/>
      <c r="X18" s="324"/>
      <c r="Y18" s="324"/>
      <c r="Z18" s="324"/>
      <c r="AA18" s="324"/>
      <c r="AB18" s="324"/>
      <c r="AC18" s="324"/>
      <c r="AD18" s="324"/>
      <c r="AE18" s="324"/>
      <c r="AF18" s="324"/>
      <c r="AG18" s="324"/>
      <c r="AH18" s="324"/>
      <c r="AI18" s="324"/>
      <c r="AJ18" s="324"/>
      <c r="AK18" s="324"/>
      <c r="AL18" s="324"/>
      <c r="AM18" s="324"/>
      <c r="AN18" s="324"/>
      <c r="AO18" s="324"/>
      <c r="AP18" s="183"/>
      <c r="AQ18" s="183"/>
    </row>
    <row r="19" spans="1:52" ht="180" x14ac:dyDescent="0.2">
      <c r="A19" s="323"/>
      <c r="B19" s="324"/>
      <c r="C19" s="324"/>
      <c r="D19" s="323"/>
      <c r="E19" s="323"/>
      <c r="F19" s="323"/>
      <c r="G19" s="324"/>
      <c r="H19" s="324"/>
      <c r="I19" s="324"/>
      <c r="J19" s="324"/>
      <c r="K19" s="324"/>
      <c r="L19" s="324"/>
      <c r="M19" s="324"/>
      <c r="N19" s="324"/>
      <c r="O19" s="324"/>
      <c r="P19" s="324"/>
      <c r="Q19" s="324"/>
      <c r="R19" s="324"/>
      <c r="S19" s="324"/>
      <c r="T19" s="324"/>
      <c r="U19" s="324"/>
      <c r="V19" s="324"/>
      <c r="W19" s="324"/>
      <c r="X19" s="324"/>
      <c r="Y19" s="324"/>
      <c r="Z19" s="324"/>
      <c r="AA19" s="324"/>
      <c r="AB19" s="180" t="s">
        <v>249</v>
      </c>
      <c r="AC19" s="180"/>
      <c r="AD19" s="135" t="s">
        <v>558</v>
      </c>
      <c r="AE19" s="324"/>
      <c r="AF19" s="324"/>
      <c r="AG19" s="324"/>
      <c r="AH19" s="324"/>
      <c r="AI19" s="324"/>
      <c r="AJ19" s="324"/>
      <c r="AK19" s="324"/>
      <c r="AL19" s="324"/>
      <c r="AM19" s="324"/>
      <c r="AN19" s="324"/>
      <c r="AO19" s="324"/>
      <c r="AP19" s="183"/>
      <c r="AQ19" s="183"/>
    </row>
    <row r="20" spans="1:52"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c r="AQ20" s="183"/>
    </row>
    <row r="21" spans="1:52"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c r="AQ21" s="183"/>
    </row>
    <row r="22" spans="1:52"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c r="AQ22" s="183"/>
    </row>
    <row r="23" spans="1:52"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c r="AQ23" s="183"/>
    </row>
    <row r="24" spans="1:52"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c r="AQ24" s="183"/>
    </row>
    <row r="25" spans="1:52"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c r="AQ25" s="183"/>
    </row>
    <row r="26" spans="1:52"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c r="AQ26" s="183"/>
    </row>
    <row r="27" spans="1:52"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c r="AQ27" s="183"/>
    </row>
  </sheetData>
  <mergeCells count="5">
    <mergeCell ref="BJ2:BJ4"/>
    <mergeCell ref="B1:F1"/>
    <mergeCell ref="P2:P4"/>
    <mergeCell ref="AE2:AE4"/>
    <mergeCell ref="AO2:AO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36" t="s">
        <v>214</v>
      </c>
      <c r="B1" s="436"/>
      <c r="C1" s="436"/>
      <c r="D1" s="436"/>
      <c r="E1" s="436"/>
      <c r="F1" s="436"/>
      <c r="G1" s="227"/>
      <c r="H1" s="227"/>
      <c r="I1" s="227"/>
      <c r="J1" s="227"/>
      <c r="K1" s="227"/>
      <c r="L1" s="227"/>
      <c r="M1" s="227"/>
      <c r="N1" s="227"/>
      <c r="O1" s="227"/>
      <c r="P1" s="227"/>
      <c r="Q1" s="227"/>
      <c r="R1" s="227"/>
      <c r="S1" s="227"/>
      <c r="T1" s="227"/>
    </row>
    <row r="2" spans="1:20" ht="15" customHeight="1" x14ac:dyDescent="0.2">
      <c r="A2" s="334"/>
      <c r="B2" s="334"/>
      <c r="C2" s="334"/>
      <c r="D2" s="334"/>
      <c r="E2" s="334"/>
      <c r="F2" s="334"/>
      <c r="G2" s="141" t="s">
        <v>164</v>
      </c>
      <c r="H2" s="141" t="s">
        <v>164</v>
      </c>
      <c r="I2" s="141" t="s">
        <v>164</v>
      </c>
      <c r="J2" s="141" t="s">
        <v>164</v>
      </c>
      <c r="K2" s="141" t="s">
        <v>164</v>
      </c>
      <c r="L2" s="141" t="s">
        <v>164</v>
      </c>
      <c r="M2" s="141" t="s">
        <v>164</v>
      </c>
      <c r="N2" s="141" t="s">
        <v>164</v>
      </c>
      <c r="O2" s="141" t="s">
        <v>164</v>
      </c>
      <c r="P2" s="437" t="s">
        <v>213</v>
      </c>
      <c r="Q2" s="141" t="s">
        <v>212</v>
      </c>
      <c r="R2" s="141" t="s">
        <v>212</v>
      </c>
      <c r="S2" s="141" t="s">
        <v>212</v>
      </c>
      <c r="T2" s="437" t="s">
        <v>211</v>
      </c>
    </row>
    <row r="3" spans="1:20" ht="24" x14ac:dyDescent="0.2">
      <c r="A3" s="334"/>
      <c r="B3" s="334"/>
      <c r="C3" s="334"/>
      <c r="D3" s="334"/>
      <c r="E3" s="334"/>
      <c r="F3" s="334"/>
      <c r="G3" s="141" t="s">
        <v>201</v>
      </c>
      <c r="H3" s="141" t="s">
        <v>200</v>
      </c>
      <c r="I3" s="141" t="s">
        <v>199</v>
      </c>
      <c r="J3" s="141" t="s">
        <v>198</v>
      </c>
      <c r="K3" s="141" t="s">
        <v>197</v>
      </c>
      <c r="L3" s="141" t="s">
        <v>196</v>
      </c>
      <c r="M3" s="141" t="s">
        <v>195</v>
      </c>
      <c r="N3" s="141" t="s">
        <v>194</v>
      </c>
      <c r="O3" s="141" t="s">
        <v>193</v>
      </c>
      <c r="P3" s="437"/>
      <c r="Q3" s="141" t="s">
        <v>192</v>
      </c>
      <c r="R3" s="141" t="s">
        <v>128</v>
      </c>
      <c r="S3" s="141" t="s">
        <v>122</v>
      </c>
      <c r="T3" s="437"/>
    </row>
    <row r="4" spans="1:20" ht="60" x14ac:dyDescent="0.2">
      <c r="A4" s="334"/>
      <c r="B4" s="335" t="s">
        <v>112</v>
      </c>
      <c r="C4" s="335" t="s">
        <v>111</v>
      </c>
      <c r="D4" s="335" t="s">
        <v>32</v>
      </c>
      <c r="E4" s="335" t="s">
        <v>110</v>
      </c>
      <c r="F4" s="335" t="s">
        <v>109</v>
      </c>
      <c r="G4" s="141" t="s">
        <v>182</v>
      </c>
      <c r="H4" s="141" t="s">
        <v>181</v>
      </c>
      <c r="I4" s="141" t="s">
        <v>180</v>
      </c>
      <c r="J4" s="141" t="s">
        <v>179</v>
      </c>
      <c r="K4" s="141" t="s">
        <v>178</v>
      </c>
      <c r="L4" s="141" t="s">
        <v>177</v>
      </c>
      <c r="M4" s="141" t="s">
        <v>176</v>
      </c>
      <c r="N4" s="141" t="s">
        <v>175</v>
      </c>
      <c r="O4" s="141" t="s">
        <v>174</v>
      </c>
      <c r="P4" s="437"/>
      <c r="Q4" s="141" t="s">
        <v>173</v>
      </c>
      <c r="R4" s="141" t="s">
        <v>78</v>
      </c>
      <c r="S4" s="141" t="s">
        <v>72</v>
      </c>
      <c r="T4" s="437"/>
    </row>
    <row r="5" spans="1:20" ht="204" x14ac:dyDescent="0.2">
      <c r="A5" s="229" t="s">
        <v>172</v>
      </c>
      <c r="B5" s="228"/>
      <c r="C5" s="228"/>
      <c r="D5" s="228"/>
      <c r="E5" s="228" t="s">
        <v>62</v>
      </c>
      <c r="F5" s="228" t="s">
        <v>61</v>
      </c>
      <c r="G5" s="230"/>
      <c r="H5" s="135" t="s">
        <v>386</v>
      </c>
      <c r="I5" s="135" t="s">
        <v>387</v>
      </c>
      <c r="J5" s="135" t="s">
        <v>388</v>
      </c>
      <c r="K5" s="143" t="s">
        <v>389</v>
      </c>
      <c r="L5" s="143" t="s">
        <v>389</v>
      </c>
      <c r="M5" s="143"/>
      <c r="N5" s="143"/>
      <c r="O5" s="143" t="s">
        <v>348</v>
      </c>
      <c r="P5" s="336">
        <f t="shared" ref="P5:P15" si="0">SUM(G5:O5)</f>
        <v>0</v>
      </c>
      <c r="Q5" s="143" t="s">
        <v>390</v>
      </c>
      <c r="R5" s="135" t="s">
        <v>391</v>
      </c>
      <c r="S5" s="143" t="s">
        <v>392</v>
      </c>
      <c r="T5" s="336">
        <f t="shared" ref="T5:T15" si="1">SUM(Q5:S5)</f>
        <v>0</v>
      </c>
    </row>
    <row r="6" spans="1:20" ht="228" x14ac:dyDescent="0.2">
      <c r="A6" s="229" t="s">
        <v>172</v>
      </c>
      <c r="B6" s="228"/>
      <c r="C6" s="228"/>
      <c r="D6" s="228"/>
      <c r="E6" s="228" t="s">
        <v>60</v>
      </c>
      <c r="F6" s="228" t="s">
        <v>59</v>
      </c>
      <c r="G6" s="230"/>
      <c r="H6" s="231"/>
      <c r="I6" s="231"/>
      <c r="J6" s="231"/>
      <c r="K6" s="231"/>
      <c r="L6" s="231"/>
      <c r="M6" s="143" t="s">
        <v>393</v>
      </c>
      <c r="N6" s="143" t="s">
        <v>394</v>
      </c>
      <c r="O6" s="143" t="s">
        <v>348</v>
      </c>
      <c r="P6" s="336">
        <f t="shared" si="0"/>
        <v>0</v>
      </c>
      <c r="Q6" s="143" t="s">
        <v>395</v>
      </c>
      <c r="R6" s="231"/>
      <c r="S6" s="143"/>
      <c r="T6" s="336">
        <f t="shared" si="1"/>
        <v>0</v>
      </c>
    </row>
    <row r="7" spans="1:20" ht="108" x14ac:dyDescent="0.2">
      <c r="A7" s="229" t="s">
        <v>172</v>
      </c>
      <c r="B7" s="228"/>
      <c r="C7" s="228"/>
      <c r="D7" s="228"/>
      <c r="E7" s="228" t="s">
        <v>58</v>
      </c>
      <c r="F7" s="228" t="s">
        <v>57</v>
      </c>
      <c r="G7" s="230"/>
      <c r="H7" s="231"/>
      <c r="I7" s="231"/>
      <c r="J7" s="231"/>
      <c r="K7" s="231"/>
      <c r="L7" s="231"/>
      <c r="M7" s="231"/>
      <c r="N7" s="232"/>
      <c r="O7" s="233"/>
      <c r="P7" s="336">
        <f>SUM(G7:O7)</f>
        <v>0</v>
      </c>
      <c r="Q7" s="231"/>
      <c r="R7" s="231"/>
      <c r="S7" s="135" t="s">
        <v>396</v>
      </c>
      <c r="T7" s="336">
        <f>SUM(Q7:S7)</f>
        <v>0</v>
      </c>
    </row>
    <row r="8" spans="1:20" ht="120" x14ac:dyDescent="0.2">
      <c r="A8" s="229" t="s">
        <v>172</v>
      </c>
      <c r="B8" s="228"/>
      <c r="C8" s="228"/>
      <c r="D8" s="228"/>
      <c r="E8" s="228" t="s">
        <v>56</v>
      </c>
      <c r="F8" s="228" t="s">
        <v>55</v>
      </c>
      <c r="G8" s="230"/>
      <c r="H8" s="231"/>
      <c r="I8" s="231"/>
      <c r="J8" s="231"/>
      <c r="K8" s="231"/>
      <c r="L8" s="231"/>
      <c r="M8" s="231"/>
      <c r="N8" s="231"/>
      <c r="O8" s="231"/>
      <c r="P8" s="336">
        <f t="shared" si="0"/>
        <v>0</v>
      </c>
      <c r="Q8" s="231"/>
      <c r="R8" s="135"/>
      <c r="S8" s="135" t="s">
        <v>397</v>
      </c>
      <c r="T8" s="336">
        <f>SUM(Q8:R8)</f>
        <v>0</v>
      </c>
    </row>
    <row r="9" spans="1:20" ht="168" x14ac:dyDescent="0.2">
      <c r="A9" s="229" t="s">
        <v>172</v>
      </c>
      <c r="B9" s="228"/>
      <c r="C9" s="228"/>
      <c r="D9" s="228"/>
      <c r="E9" s="228" t="s">
        <v>54</v>
      </c>
      <c r="F9" s="228" t="s">
        <v>53</v>
      </c>
      <c r="G9" s="230"/>
      <c r="H9" s="231"/>
      <c r="I9" s="231"/>
      <c r="J9" s="231"/>
      <c r="K9" s="231"/>
      <c r="L9" s="231"/>
      <c r="M9" s="231"/>
      <c r="N9" s="231"/>
      <c r="O9" s="231"/>
      <c r="P9" s="336">
        <f t="shared" si="0"/>
        <v>0</v>
      </c>
      <c r="Q9" s="231"/>
      <c r="R9" s="135"/>
      <c r="S9" s="135" t="s">
        <v>575</v>
      </c>
      <c r="T9" s="336">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6">
        <f t="shared" si="0"/>
        <v>0</v>
      </c>
      <c r="Q10" s="231"/>
      <c r="R10" s="231"/>
      <c r="S10" s="135" t="s">
        <v>398</v>
      </c>
      <c r="T10" s="336">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6">
        <f t="shared" si="0"/>
        <v>0</v>
      </c>
      <c r="Q11" s="231"/>
      <c r="R11" s="135"/>
      <c r="S11" s="135" t="s">
        <v>399</v>
      </c>
      <c r="T11" s="336">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6">
        <f t="shared" si="0"/>
        <v>0</v>
      </c>
      <c r="Q12" s="231"/>
      <c r="R12" s="231"/>
      <c r="S12" s="135" t="s">
        <v>400</v>
      </c>
      <c r="T12" s="336">
        <f t="shared" si="1"/>
        <v>0</v>
      </c>
    </row>
    <row r="13" spans="1:20" ht="144" x14ac:dyDescent="0.2">
      <c r="A13" s="229" t="s">
        <v>172</v>
      </c>
      <c r="B13" s="228"/>
      <c r="C13" s="228"/>
      <c r="D13" s="228"/>
      <c r="E13" s="228" t="s">
        <v>46</v>
      </c>
      <c r="F13" s="228" t="s">
        <v>45</v>
      </c>
      <c r="G13" s="337" t="s">
        <v>401</v>
      </c>
      <c r="H13" s="231"/>
      <c r="I13" s="231"/>
      <c r="J13" s="231"/>
      <c r="K13" s="231"/>
      <c r="L13" s="231"/>
      <c r="M13" s="231"/>
      <c r="N13" s="231"/>
      <c r="O13" s="231"/>
      <c r="P13" s="336">
        <f t="shared" si="0"/>
        <v>0</v>
      </c>
      <c r="Q13" s="231"/>
      <c r="R13" s="231"/>
      <c r="S13" s="135" t="s">
        <v>402</v>
      </c>
      <c r="T13" s="336">
        <f t="shared" si="1"/>
        <v>0</v>
      </c>
    </row>
    <row r="14" spans="1:20" ht="240" x14ac:dyDescent="0.2">
      <c r="A14" s="229" t="s">
        <v>172</v>
      </c>
      <c r="B14" s="228"/>
      <c r="C14" s="228"/>
      <c r="D14" s="228"/>
      <c r="E14" s="228" t="s">
        <v>44</v>
      </c>
      <c r="F14" s="228" t="s">
        <v>43</v>
      </c>
      <c r="G14" s="337" t="s">
        <v>576</v>
      </c>
      <c r="H14" s="135" t="s">
        <v>577</v>
      </c>
      <c r="I14" s="135" t="s">
        <v>578</v>
      </c>
      <c r="J14" s="135" t="s">
        <v>579</v>
      </c>
      <c r="K14" s="234"/>
      <c r="L14" s="234"/>
      <c r="M14" s="231"/>
      <c r="N14" s="231"/>
      <c r="O14" s="231"/>
      <c r="P14" s="336">
        <f t="shared" si="0"/>
        <v>0</v>
      </c>
      <c r="Q14" s="231"/>
      <c r="R14" s="135" t="s">
        <v>580</v>
      </c>
      <c r="S14" s="135" t="s">
        <v>581</v>
      </c>
      <c r="T14" s="336">
        <f t="shared" si="1"/>
        <v>0</v>
      </c>
    </row>
    <row r="15" spans="1:20" ht="240" x14ac:dyDescent="0.2">
      <c r="A15" s="229" t="s">
        <v>172</v>
      </c>
      <c r="B15" s="228"/>
      <c r="C15" s="228"/>
      <c r="D15" s="228"/>
      <c r="E15" s="228" t="s">
        <v>41</v>
      </c>
      <c r="F15" s="228" t="s">
        <v>40</v>
      </c>
      <c r="G15" s="337" t="s">
        <v>582</v>
      </c>
      <c r="H15" s="135" t="s">
        <v>583</v>
      </c>
      <c r="I15" s="135" t="s">
        <v>584</v>
      </c>
      <c r="J15" s="135" t="s">
        <v>585</v>
      </c>
      <c r="K15" s="234"/>
      <c r="L15" s="234"/>
      <c r="M15" s="231"/>
      <c r="N15" s="231"/>
      <c r="O15" s="231"/>
      <c r="P15" s="336">
        <f t="shared" si="0"/>
        <v>0</v>
      </c>
      <c r="Q15" s="231"/>
      <c r="R15" s="135" t="s">
        <v>586</v>
      </c>
      <c r="S15" s="135" t="s">
        <v>587</v>
      </c>
      <c r="T15" s="336">
        <f t="shared" si="1"/>
        <v>0</v>
      </c>
    </row>
    <row r="16" spans="1:20" x14ac:dyDescent="0.2">
      <c r="A16" s="229"/>
      <c r="B16" s="338"/>
      <c r="C16" s="338"/>
      <c r="D16" s="338"/>
      <c r="E16" s="338"/>
      <c r="F16" s="339" t="s">
        <v>39</v>
      </c>
      <c r="G16" s="340">
        <f t="shared" ref="G16:T16" si="2">SUM(G5:G15)</f>
        <v>0</v>
      </c>
      <c r="H16" s="340">
        <f t="shared" si="2"/>
        <v>0</v>
      </c>
      <c r="I16" s="340">
        <f t="shared" si="2"/>
        <v>0</v>
      </c>
      <c r="J16" s="340">
        <f t="shared" si="2"/>
        <v>0</v>
      </c>
      <c r="K16" s="340">
        <f t="shared" si="2"/>
        <v>0</v>
      </c>
      <c r="L16" s="340">
        <f t="shared" si="2"/>
        <v>0</v>
      </c>
      <c r="M16" s="340">
        <f t="shared" si="2"/>
        <v>0</v>
      </c>
      <c r="N16" s="340">
        <f t="shared" si="2"/>
        <v>0</v>
      </c>
      <c r="O16" s="340">
        <f t="shared" si="2"/>
        <v>0</v>
      </c>
      <c r="P16" s="340">
        <f t="shared" si="2"/>
        <v>0</v>
      </c>
      <c r="Q16" s="340">
        <f t="shared" si="2"/>
        <v>0</v>
      </c>
      <c r="R16" s="340">
        <f t="shared" si="2"/>
        <v>0</v>
      </c>
      <c r="S16" s="340">
        <f t="shared" si="2"/>
        <v>0</v>
      </c>
      <c r="T16" s="340">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1"/>
      <c r="R19" s="180" t="s">
        <v>249</v>
      </c>
      <c r="S19" s="135" t="s">
        <v>558</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topLeftCell="F1" workbookViewId="0">
      <selection activeCell="V15" sqref="V15"/>
    </sheetView>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3"/>
      <c r="B1" s="438" t="s">
        <v>170</v>
      </c>
      <c r="C1" s="438"/>
      <c r="D1" s="438"/>
      <c r="E1" s="438"/>
      <c r="F1" s="438"/>
      <c r="G1" s="438"/>
      <c r="H1" s="438"/>
      <c r="I1" s="438"/>
      <c r="J1" s="284"/>
      <c r="K1" s="284"/>
      <c r="L1" s="284"/>
      <c r="M1" s="284"/>
      <c r="N1" s="284"/>
      <c r="O1" s="284"/>
      <c r="P1" s="284"/>
      <c r="Q1" s="284"/>
      <c r="R1" s="284"/>
      <c r="S1" s="284"/>
      <c r="T1" s="284"/>
      <c r="U1" s="284"/>
      <c r="V1" s="284"/>
      <c r="W1" s="284"/>
    </row>
    <row r="2" spans="1:23" ht="28" customHeight="1" x14ac:dyDescent="0.2">
      <c r="A2" s="285"/>
      <c r="B2" s="285"/>
      <c r="C2" s="285"/>
      <c r="D2" s="285"/>
      <c r="E2" s="285"/>
      <c r="F2" s="285"/>
      <c r="G2" s="286" t="s">
        <v>169</v>
      </c>
      <c r="H2" s="439" t="s">
        <v>168</v>
      </c>
      <c r="I2" s="286" t="s">
        <v>167</v>
      </c>
      <c r="J2" s="286" t="s">
        <v>167</v>
      </c>
      <c r="K2" s="286" t="s">
        <v>167</v>
      </c>
      <c r="L2" s="286" t="s">
        <v>167</v>
      </c>
      <c r="M2" s="286" t="s">
        <v>167</v>
      </c>
      <c r="N2" s="286" t="s">
        <v>167</v>
      </c>
      <c r="O2" s="286" t="s">
        <v>167</v>
      </c>
      <c r="P2" s="286" t="s">
        <v>167</v>
      </c>
      <c r="Q2" s="286" t="s">
        <v>167</v>
      </c>
      <c r="R2" s="286" t="s">
        <v>167</v>
      </c>
      <c r="S2" s="286" t="s">
        <v>167</v>
      </c>
      <c r="T2" s="286" t="s">
        <v>167</v>
      </c>
      <c r="U2" s="286" t="s">
        <v>167</v>
      </c>
      <c r="V2" s="286" t="s">
        <v>167</v>
      </c>
      <c r="W2" s="439" t="s">
        <v>166</v>
      </c>
    </row>
    <row r="3" spans="1:23" ht="56" x14ac:dyDescent="0.2">
      <c r="A3" s="285"/>
      <c r="B3" s="285"/>
      <c r="C3" s="285"/>
      <c r="D3" s="285"/>
      <c r="E3" s="285"/>
      <c r="F3" s="285"/>
      <c r="G3" s="286" t="s">
        <v>158</v>
      </c>
      <c r="H3" s="439"/>
      <c r="I3" s="286" t="s">
        <v>157</v>
      </c>
      <c r="J3" s="286" t="s">
        <v>156</v>
      </c>
      <c r="K3" s="286" t="s">
        <v>155</v>
      </c>
      <c r="L3" s="286" t="s">
        <v>154</v>
      </c>
      <c r="M3" s="286" t="s">
        <v>153</v>
      </c>
      <c r="N3" s="286" t="s">
        <v>152</v>
      </c>
      <c r="O3" s="286" t="s">
        <v>151</v>
      </c>
      <c r="P3" s="286" t="s">
        <v>150</v>
      </c>
      <c r="Q3" s="286" t="s">
        <v>149</v>
      </c>
      <c r="R3" s="286"/>
      <c r="S3" s="286" t="s">
        <v>148</v>
      </c>
      <c r="T3" s="286" t="s">
        <v>147</v>
      </c>
      <c r="U3" s="286" t="s">
        <v>146</v>
      </c>
      <c r="V3" s="286" t="s">
        <v>145</v>
      </c>
      <c r="W3" s="439"/>
    </row>
    <row r="4" spans="1:23" ht="98" x14ac:dyDescent="0.2">
      <c r="A4" s="287"/>
      <c r="B4" s="288" t="s">
        <v>112</v>
      </c>
      <c r="C4" s="288" t="s">
        <v>111</v>
      </c>
      <c r="D4" s="288" t="s">
        <v>32</v>
      </c>
      <c r="E4" s="288" t="s">
        <v>110</v>
      </c>
      <c r="F4" s="288" t="s">
        <v>109</v>
      </c>
      <c r="G4" s="286" t="s">
        <v>108</v>
      </c>
      <c r="H4" s="439"/>
      <c r="I4" s="286" t="s">
        <v>107</v>
      </c>
      <c r="J4" s="289" t="s">
        <v>106</v>
      </c>
      <c r="K4" s="286" t="s">
        <v>105</v>
      </c>
      <c r="L4" s="286" t="s">
        <v>104</v>
      </c>
      <c r="M4" s="286" t="s">
        <v>103</v>
      </c>
      <c r="N4" s="286" t="s">
        <v>102</v>
      </c>
      <c r="O4" s="286" t="s">
        <v>101</v>
      </c>
      <c r="P4" s="286" t="s">
        <v>100</v>
      </c>
      <c r="Q4" s="286" t="s">
        <v>99</v>
      </c>
      <c r="R4" s="289" t="s">
        <v>98</v>
      </c>
      <c r="S4" s="286" t="s">
        <v>97</v>
      </c>
      <c r="T4" s="286" t="s">
        <v>96</v>
      </c>
      <c r="U4" s="286" t="s">
        <v>95</v>
      </c>
      <c r="V4" s="289" t="s">
        <v>94</v>
      </c>
      <c r="W4" s="439"/>
    </row>
    <row r="5" spans="1:23" ht="371" x14ac:dyDescent="0.2">
      <c r="A5" s="290" t="s">
        <v>42</v>
      </c>
      <c r="B5" s="291"/>
      <c r="C5" s="291"/>
      <c r="D5" s="292"/>
      <c r="E5" s="292" t="s">
        <v>62</v>
      </c>
      <c r="F5" s="292" t="s">
        <v>61</v>
      </c>
      <c r="G5" s="293" t="s">
        <v>361</v>
      </c>
      <c r="H5" s="294">
        <f>SUMIF($G$2:G$2,G$2,$G5:G5)</f>
        <v>0</v>
      </c>
      <c r="I5" s="293" t="s">
        <v>362</v>
      </c>
      <c r="J5" s="295"/>
      <c r="K5" s="296"/>
      <c r="L5" s="296"/>
      <c r="M5" s="296"/>
      <c r="N5" s="296"/>
      <c r="O5" s="296"/>
      <c r="P5" s="293" t="s">
        <v>363</v>
      </c>
      <c r="Q5" s="293" t="s">
        <v>364</v>
      </c>
      <c r="R5" s="293" t="s">
        <v>642</v>
      </c>
      <c r="S5" s="293" t="s">
        <v>365</v>
      </c>
      <c r="T5" s="293" t="s">
        <v>366</v>
      </c>
      <c r="U5" s="293" t="s">
        <v>367</v>
      </c>
      <c r="V5" s="293" t="s">
        <v>656</v>
      </c>
      <c r="W5" s="294">
        <f>SUMIF($G$2:V$2,V$2,$G5:V5)</f>
        <v>0</v>
      </c>
    </row>
    <row r="6" spans="1:23" ht="409.6" x14ac:dyDescent="0.2">
      <c r="A6" s="290" t="s">
        <v>42</v>
      </c>
      <c r="B6" s="291"/>
      <c r="C6" s="291"/>
      <c r="D6" s="292"/>
      <c r="E6" s="292" t="s">
        <v>60</v>
      </c>
      <c r="F6" s="292" t="s">
        <v>59</v>
      </c>
      <c r="G6" s="293" t="s">
        <v>368</v>
      </c>
      <c r="H6" s="294">
        <f>SUMIF($G$2:G$2,G$2,$G6:G6)</f>
        <v>0</v>
      </c>
      <c r="I6" s="295"/>
      <c r="J6" s="293" t="s">
        <v>369</v>
      </c>
      <c r="K6" s="293" t="s">
        <v>370</v>
      </c>
      <c r="L6" s="293" t="s">
        <v>371</v>
      </c>
      <c r="M6" s="293" t="s">
        <v>372</v>
      </c>
      <c r="N6" s="293" t="s">
        <v>373</v>
      </c>
      <c r="O6" s="293" t="s">
        <v>374</v>
      </c>
      <c r="P6" s="296"/>
      <c r="Q6" s="296"/>
      <c r="R6" s="293" t="s">
        <v>375</v>
      </c>
      <c r="S6" s="296"/>
      <c r="T6" s="296"/>
      <c r="U6" s="296"/>
      <c r="V6" s="297" t="s">
        <v>485</v>
      </c>
      <c r="W6" s="294">
        <f>SUMIF($G$2:V$2,V$2,$G6:V6)</f>
        <v>0</v>
      </c>
    </row>
    <row r="7" spans="1:23" x14ac:dyDescent="0.2">
      <c r="A7" s="290" t="s">
        <v>42</v>
      </c>
      <c r="B7" s="291"/>
      <c r="C7" s="291"/>
      <c r="D7" s="292"/>
      <c r="E7" s="292" t="s">
        <v>58</v>
      </c>
      <c r="F7" s="292" t="s">
        <v>57</v>
      </c>
      <c r="G7" s="144"/>
      <c r="H7" s="294">
        <f>SUMIF($G$2:G$2,G$2,$G7:G7)</f>
        <v>0</v>
      </c>
      <c r="I7" s="298"/>
      <c r="J7" s="298"/>
      <c r="K7" s="298"/>
      <c r="L7" s="298"/>
      <c r="M7" s="298"/>
      <c r="N7" s="298"/>
      <c r="O7" s="298"/>
      <c r="P7" s="298"/>
      <c r="Q7" s="298"/>
      <c r="R7" s="298"/>
      <c r="S7" s="298"/>
      <c r="T7" s="298"/>
      <c r="U7" s="298"/>
      <c r="V7" s="144"/>
      <c r="W7" s="294">
        <f>SUMIF($G$2:V$2,V$2,$G7:V7)</f>
        <v>0</v>
      </c>
    </row>
    <row r="8" spans="1:23" ht="196" x14ac:dyDescent="0.2">
      <c r="A8" s="290" t="s">
        <v>42</v>
      </c>
      <c r="B8" s="291"/>
      <c r="C8" s="291"/>
      <c r="D8" s="292"/>
      <c r="E8" s="292" t="s">
        <v>56</v>
      </c>
      <c r="F8" s="292" t="s">
        <v>55</v>
      </c>
      <c r="G8" s="293" t="s">
        <v>376</v>
      </c>
      <c r="H8" s="294">
        <f>SUMIF($G$2:G$2,G$2,$G8:G8)</f>
        <v>0</v>
      </c>
      <c r="I8" s="298"/>
      <c r="J8" s="298"/>
      <c r="K8" s="298"/>
      <c r="L8" s="298"/>
      <c r="M8" s="298"/>
      <c r="N8" s="298"/>
      <c r="O8" s="298"/>
      <c r="P8" s="298"/>
      <c r="Q8" s="298"/>
      <c r="R8" s="298"/>
      <c r="S8" s="298"/>
      <c r="T8" s="298"/>
      <c r="U8" s="298"/>
      <c r="V8" s="293" t="s">
        <v>377</v>
      </c>
      <c r="W8" s="294">
        <f>SUMIF($G$2:V$2,V$2,$G8:V8)</f>
        <v>0</v>
      </c>
    </row>
    <row r="9" spans="1:23" ht="280" x14ac:dyDescent="0.2">
      <c r="A9" s="290" t="s">
        <v>42</v>
      </c>
      <c r="B9" s="291"/>
      <c r="C9" s="291"/>
      <c r="D9" s="292"/>
      <c r="E9" s="292" t="s">
        <v>54</v>
      </c>
      <c r="F9" s="292" t="s">
        <v>53</v>
      </c>
      <c r="G9" s="293" t="s">
        <v>486</v>
      </c>
      <c r="H9" s="294">
        <f>SUMIF($G$2:G$2,G$2,$G9:G9)</f>
        <v>0</v>
      </c>
      <c r="I9" s="298"/>
      <c r="J9" s="298"/>
      <c r="K9" s="298"/>
      <c r="L9" s="298"/>
      <c r="M9" s="298"/>
      <c r="N9" s="298"/>
      <c r="O9" s="298"/>
      <c r="P9" s="298"/>
      <c r="Q9" s="298"/>
      <c r="R9" s="298"/>
      <c r="S9" s="298"/>
      <c r="T9" s="298"/>
      <c r="U9" s="298"/>
      <c r="V9" s="293" t="s">
        <v>487</v>
      </c>
      <c r="W9" s="294">
        <f>SUMIF($G$2:V$2,V$2,$G9:V9)</f>
        <v>0</v>
      </c>
    </row>
    <row r="10" spans="1:23" ht="196" x14ac:dyDescent="0.2">
      <c r="A10" s="290" t="s">
        <v>42</v>
      </c>
      <c r="B10" s="291"/>
      <c r="C10" s="291"/>
      <c r="D10" s="292"/>
      <c r="E10" s="292" t="s">
        <v>52</v>
      </c>
      <c r="F10" s="292" t="s">
        <v>51</v>
      </c>
      <c r="G10" s="293" t="s">
        <v>378</v>
      </c>
      <c r="H10" s="294">
        <f>SUMIF($G$2:G$2,G$2,$G10:G10)</f>
        <v>0</v>
      </c>
      <c r="I10" s="298"/>
      <c r="J10" s="298"/>
      <c r="K10" s="298"/>
      <c r="L10" s="298"/>
      <c r="M10" s="298"/>
      <c r="N10" s="298"/>
      <c r="O10" s="298"/>
      <c r="P10" s="298"/>
      <c r="Q10" s="298"/>
      <c r="S10" s="298"/>
      <c r="T10" s="298"/>
      <c r="U10" s="298"/>
      <c r="V10" s="293" t="s">
        <v>379</v>
      </c>
      <c r="W10" s="294">
        <f>SUMIF($G$2:V$2,V$2,$G10:V10)</f>
        <v>0</v>
      </c>
    </row>
    <row r="11" spans="1:23" ht="196" x14ac:dyDescent="0.2">
      <c r="A11" s="290" t="s">
        <v>42</v>
      </c>
      <c r="B11" s="291"/>
      <c r="C11" s="291"/>
      <c r="D11" s="292"/>
      <c r="E11" s="292" t="s">
        <v>50</v>
      </c>
      <c r="F11" s="292" t="s">
        <v>49</v>
      </c>
      <c r="G11" s="293" t="s">
        <v>380</v>
      </c>
      <c r="H11" s="294">
        <f>SUMIF($G$2:G$2,G$2,$G11:G11)</f>
        <v>0</v>
      </c>
      <c r="I11" s="298"/>
      <c r="J11" s="298"/>
      <c r="K11" s="298"/>
      <c r="L11" s="298"/>
      <c r="M11" s="298"/>
      <c r="N11" s="298"/>
      <c r="O11" s="298"/>
      <c r="P11" s="298"/>
      <c r="Q11" s="298"/>
      <c r="R11" s="298"/>
      <c r="S11" s="298"/>
      <c r="T11" s="298"/>
      <c r="U11" s="298"/>
      <c r="V11" s="293" t="s">
        <v>381</v>
      </c>
      <c r="W11" s="294">
        <f>SUMIF($G$2:V$2,V$2,$G11:V11)</f>
        <v>0</v>
      </c>
    </row>
    <row r="12" spans="1:23" ht="266" x14ac:dyDescent="0.2">
      <c r="A12" s="290" t="s">
        <v>42</v>
      </c>
      <c r="B12" s="291"/>
      <c r="C12" s="291"/>
      <c r="D12" s="292"/>
      <c r="E12" s="292" t="s">
        <v>48</v>
      </c>
      <c r="F12" s="292" t="s">
        <v>47</v>
      </c>
      <c r="G12" s="293" t="s">
        <v>382</v>
      </c>
      <c r="H12" s="294">
        <f>SUMIF($G$2:G$2,G$2,$G12:G12)</f>
        <v>0</v>
      </c>
      <c r="I12" s="298"/>
      <c r="J12" s="298"/>
      <c r="K12" s="298"/>
      <c r="L12" s="298"/>
      <c r="M12" s="298"/>
      <c r="N12" s="298"/>
      <c r="O12" s="298"/>
      <c r="P12" s="298"/>
      <c r="Q12" s="298"/>
      <c r="R12" s="298"/>
      <c r="S12" s="298"/>
      <c r="T12" s="298"/>
      <c r="U12" s="298"/>
      <c r="V12" s="293" t="s">
        <v>383</v>
      </c>
      <c r="W12" s="294">
        <f>SUMIF($G$2:V$2,V$2,$G12:V12)</f>
        <v>0</v>
      </c>
    </row>
    <row r="13" spans="1:23" ht="238" x14ac:dyDescent="0.2">
      <c r="A13" s="290" t="s">
        <v>42</v>
      </c>
      <c r="B13" s="291"/>
      <c r="C13" s="291"/>
      <c r="D13" s="292"/>
      <c r="E13" s="292" t="s">
        <v>46</v>
      </c>
      <c r="F13" s="292" t="s">
        <v>45</v>
      </c>
      <c r="G13" s="293" t="s">
        <v>384</v>
      </c>
      <c r="H13" s="294">
        <f>SUMIF($G$2:G$2,G$2,$G13:G13)</f>
        <v>0</v>
      </c>
      <c r="I13" s="298"/>
      <c r="J13" s="298"/>
      <c r="K13" s="298"/>
      <c r="L13" s="298"/>
      <c r="M13" s="298"/>
      <c r="N13" s="298"/>
      <c r="O13" s="298"/>
      <c r="P13" s="298"/>
      <c r="Q13" s="298"/>
      <c r="R13" s="298"/>
      <c r="S13" s="298"/>
      <c r="T13" s="298"/>
      <c r="U13" s="298"/>
      <c r="V13" s="293" t="s">
        <v>385</v>
      </c>
      <c r="W13" s="294">
        <f>SUMIF($G$2:V$2,V$2,$G13:V13)</f>
        <v>0</v>
      </c>
    </row>
    <row r="14" spans="1:23" ht="409.6" x14ac:dyDescent="0.2">
      <c r="A14" s="290" t="s">
        <v>42</v>
      </c>
      <c r="B14" s="291"/>
      <c r="C14" s="291"/>
      <c r="D14" s="292"/>
      <c r="E14" s="292" t="s">
        <v>44</v>
      </c>
      <c r="F14" s="292" t="s">
        <v>43</v>
      </c>
      <c r="G14" s="293" t="s">
        <v>488</v>
      </c>
      <c r="H14" s="294">
        <f>SUMIF($G$2:G$2,G$2,$G14:G14)</f>
        <v>0</v>
      </c>
      <c r="I14" s="293" t="s">
        <v>489</v>
      </c>
      <c r="J14" s="293" t="s">
        <v>490</v>
      </c>
      <c r="K14" s="293" t="s">
        <v>491</v>
      </c>
      <c r="L14" s="293" t="s">
        <v>492</v>
      </c>
      <c r="M14" s="293" t="s">
        <v>493</v>
      </c>
      <c r="N14" s="293" t="s">
        <v>494</v>
      </c>
      <c r="O14" s="293" t="s">
        <v>495</v>
      </c>
      <c r="P14" s="293" t="s">
        <v>496</v>
      </c>
      <c r="Q14" s="293" t="s">
        <v>497</v>
      </c>
      <c r="R14" s="388" t="s">
        <v>643</v>
      </c>
      <c r="S14" s="293" t="s">
        <v>498</v>
      </c>
      <c r="T14" s="293" t="s">
        <v>499</v>
      </c>
      <c r="U14" s="293" t="s">
        <v>500</v>
      </c>
      <c r="V14" s="293" t="s">
        <v>657</v>
      </c>
      <c r="W14" s="294">
        <f>SUMIF($G$2:V$2,V$2,$G14:V14)</f>
        <v>0</v>
      </c>
    </row>
    <row r="15" spans="1:23" ht="409.6" x14ac:dyDescent="0.2">
      <c r="A15" s="290" t="s">
        <v>42</v>
      </c>
      <c r="B15" s="291"/>
      <c r="C15" s="291"/>
      <c r="D15" s="292"/>
      <c r="E15" s="292" t="s">
        <v>41</v>
      </c>
      <c r="F15" s="292" t="s">
        <v>40</v>
      </c>
      <c r="G15" s="293" t="s">
        <v>501</v>
      </c>
      <c r="H15" s="294">
        <f>SUMIF($G$2:G$2,G$2,$G15:G15)</f>
        <v>0</v>
      </c>
      <c r="I15" s="293" t="s">
        <v>502</v>
      </c>
      <c r="J15" s="293" t="s">
        <v>503</v>
      </c>
      <c r="K15" s="293" t="s">
        <v>504</v>
      </c>
      <c r="L15" s="293" t="s">
        <v>505</v>
      </c>
      <c r="M15" s="293" t="s">
        <v>506</v>
      </c>
      <c r="N15" s="293" t="s">
        <v>507</v>
      </c>
      <c r="O15" s="293" t="s">
        <v>508</v>
      </c>
      <c r="P15" s="293" t="s">
        <v>509</v>
      </c>
      <c r="Q15" s="293" t="s">
        <v>510</v>
      </c>
      <c r="R15" s="388" t="s">
        <v>644</v>
      </c>
      <c r="S15" s="293" t="s">
        <v>511</v>
      </c>
      <c r="T15" s="293" t="s">
        <v>512</v>
      </c>
      <c r="U15" s="293" t="s">
        <v>513</v>
      </c>
      <c r="V15" s="297" t="s">
        <v>658</v>
      </c>
      <c r="W15" s="294">
        <f>SUMIF($G$2:V$2,V$2,$G15:V15)</f>
        <v>0</v>
      </c>
    </row>
    <row r="16" spans="1:23" x14ac:dyDescent="0.2">
      <c r="A16" s="290"/>
      <c r="B16" s="299"/>
      <c r="C16" s="299"/>
      <c r="D16" s="300"/>
      <c r="E16" s="300"/>
      <c r="F16" s="301" t="s">
        <v>39</v>
      </c>
      <c r="G16" s="294">
        <f>SUMIF($C$5:$C15,$C15,G$5:G15)</f>
        <v>0</v>
      </c>
      <c r="H16" s="302">
        <f>SUMIF($C$5:$C15,$C15,H$5:H15)</f>
        <v>0</v>
      </c>
      <c r="I16" s="294">
        <f>SUMIF($C$5:$C15,$C15,I$5:I15)</f>
        <v>0</v>
      </c>
      <c r="J16" s="294">
        <f>SUMIF($C$5:$C15,$C15,J$5:J15)</f>
        <v>0</v>
      </c>
      <c r="K16" s="294">
        <f>SUMIF($C$5:$C15,$C15,K$5:K15)</f>
        <v>0</v>
      </c>
      <c r="L16" s="294">
        <f>SUMIF($C$5:$C15,$C15,L$5:L15)</f>
        <v>0</v>
      </c>
      <c r="M16" s="294">
        <f>SUMIF($C$5:$C15,$C15,M$5:M15)</f>
        <v>0</v>
      </c>
      <c r="N16" s="294">
        <f>SUMIF($C$5:$C15,$C15,N$5:N15)</f>
        <v>0</v>
      </c>
      <c r="O16" s="294">
        <f>SUMIF($C$5:$C15,$C15,O$5:O15)</f>
        <v>0</v>
      </c>
      <c r="P16" s="294">
        <f>SUMIF($C$5:$C15,$C15,P$5:P15)</f>
        <v>0</v>
      </c>
      <c r="Q16" s="294">
        <f>SUMIF($C$5:$C15,$C15,Q$5:Q15)</f>
        <v>0</v>
      </c>
      <c r="R16" s="294"/>
      <c r="S16" s="294">
        <f>SUMIF($C$5:$C15,$C15,S$5:S15)</f>
        <v>0</v>
      </c>
      <c r="T16" s="294">
        <f>SUMIF($C$5:$C15,$C15,T$5:T15)</f>
        <v>0</v>
      </c>
      <c r="U16" s="294">
        <f>SUMIF($C$5:$C15,$C15,U$5:U15)</f>
        <v>0</v>
      </c>
      <c r="V16" s="294">
        <f>SUMIF($C$5:$C15,$C15,V$5:V15)</f>
        <v>0</v>
      </c>
      <c r="W16" s="294">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3" t="s">
        <v>514</v>
      </c>
      <c r="H19" s="186"/>
      <c r="I19" s="186"/>
      <c r="J19" s="186"/>
      <c r="K19" s="186"/>
      <c r="L19" s="186"/>
      <c r="M19" s="186"/>
      <c r="N19" s="186"/>
      <c r="O19" s="186"/>
      <c r="P19" s="186"/>
      <c r="Q19" s="186"/>
      <c r="R19" s="186"/>
      <c r="S19" s="186"/>
      <c r="T19" s="186"/>
      <c r="U19" s="182" t="s">
        <v>251</v>
      </c>
      <c r="V19" s="293" t="s">
        <v>515</v>
      </c>
      <c r="W19" s="186"/>
    </row>
  </sheetData>
  <mergeCells count="3">
    <mergeCell ref="B1:I1"/>
    <mergeCell ref="H2:H4"/>
    <mergeCell ref="W2:W4"/>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41" t="s">
        <v>214</v>
      </c>
      <c r="B1" s="441"/>
      <c r="C1" s="441"/>
      <c r="D1" s="441"/>
      <c r="E1" s="441"/>
      <c r="F1" s="441"/>
      <c r="G1" s="441"/>
      <c r="H1" s="441"/>
      <c r="I1" s="164"/>
      <c r="J1" s="164"/>
      <c r="K1" s="164"/>
      <c r="L1" s="164"/>
      <c r="M1" s="164"/>
      <c r="N1" s="164"/>
      <c r="O1" s="164"/>
      <c r="P1" s="164"/>
      <c r="Q1" s="164"/>
      <c r="R1" s="164"/>
      <c r="S1" s="164"/>
      <c r="T1" s="163"/>
      <c r="U1" s="163"/>
    </row>
    <row r="2" spans="1:21" ht="28" customHeight="1" x14ac:dyDescent="0.2">
      <c r="A2" s="325"/>
      <c r="B2" s="325"/>
      <c r="C2" s="325"/>
      <c r="D2" s="325"/>
      <c r="E2" s="325"/>
      <c r="F2" s="325"/>
      <c r="G2" s="165" t="s">
        <v>169</v>
      </c>
      <c r="H2" s="440" t="s">
        <v>168</v>
      </c>
      <c r="I2" s="165" t="s">
        <v>167</v>
      </c>
      <c r="J2" s="165" t="s">
        <v>167</v>
      </c>
      <c r="K2" s="165" t="s">
        <v>167</v>
      </c>
      <c r="L2" s="165" t="s">
        <v>167</v>
      </c>
      <c r="M2" s="165" t="s">
        <v>167</v>
      </c>
      <c r="N2" s="165" t="s">
        <v>167</v>
      </c>
      <c r="O2" s="165" t="s">
        <v>167</v>
      </c>
      <c r="P2" s="165" t="s">
        <v>167</v>
      </c>
      <c r="Q2" s="165" t="s">
        <v>167</v>
      </c>
      <c r="R2" s="165" t="s">
        <v>167</v>
      </c>
      <c r="S2" s="440" t="s">
        <v>166</v>
      </c>
    </row>
    <row r="3" spans="1:21" ht="56" x14ac:dyDescent="0.2">
      <c r="A3" s="325"/>
      <c r="B3" s="325"/>
      <c r="C3" s="325"/>
      <c r="D3" s="325"/>
      <c r="E3" s="325"/>
      <c r="F3" s="325"/>
      <c r="G3" s="165" t="s">
        <v>158</v>
      </c>
      <c r="H3" s="440"/>
      <c r="I3" s="165" t="s">
        <v>210</v>
      </c>
      <c r="J3" s="165" t="s">
        <v>209</v>
      </c>
      <c r="K3" s="165" t="s">
        <v>208</v>
      </c>
      <c r="L3" s="165" t="s">
        <v>207</v>
      </c>
      <c r="M3" s="165" t="s">
        <v>206</v>
      </c>
      <c r="N3" s="165" t="s">
        <v>205</v>
      </c>
      <c r="O3" s="165" t="s">
        <v>204</v>
      </c>
      <c r="P3" s="165" t="s">
        <v>203</v>
      </c>
      <c r="Q3" s="165" t="s">
        <v>202</v>
      </c>
      <c r="R3" s="165" t="s">
        <v>145</v>
      </c>
      <c r="S3" s="440"/>
    </row>
    <row r="4" spans="1:21" ht="112" x14ac:dyDescent="0.2">
      <c r="A4" s="325"/>
      <c r="B4" s="327" t="s">
        <v>112</v>
      </c>
      <c r="C4" s="327" t="s">
        <v>111</v>
      </c>
      <c r="D4" s="327" t="s">
        <v>32</v>
      </c>
      <c r="E4" s="327" t="s">
        <v>110</v>
      </c>
      <c r="F4" s="327" t="s">
        <v>109</v>
      </c>
      <c r="G4" s="165" t="s">
        <v>108</v>
      </c>
      <c r="H4" s="440"/>
      <c r="I4" s="165" t="s">
        <v>191</v>
      </c>
      <c r="J4" s="165" t="s">
        <v>190</v>
      </c>
      <c r="K4" s="165" t="s">
        <v>189</v>
      </c>
      <c r="L4" s="165" t="s">
        <v>188</v>
      </c>
      <c r="M4" s="165" t="s">
        <v>187</v>
      </c>
      <c r="N4" s="165" t="s">
        <v>186</v>
      </c>
      <c r="O4" s="165" t="s">
        <v>185</v>
      </c>
      <c r="P4" s="165" t="s">
        <v>184</v>
      </c>
      <c r="Q4" s="165" t="s">
        <v>183</v>
      </c>
      <c r="R4" s="165" t="s">
        <v>94</v>
      </c>
      <c r="S4" s="440"/>
    </row>
    <row r="5" spans="1:21" ht="409.6" x14ac:dyDescent="0.2">
      <c r="A5" s="169" t="s">
        <v>172</v>
      </c>
      <c r="B5" s="166"/>
      <c r="C5" s="166"/>
      <c r="D5" s="166"/>
      <c r="E5" s="166" t="s">
        <v>62</v>
      </c>
      <c r="F5" s="225" t="s">
        <v>61</v>
      </c>
      <c r="G5" s="293" t="s">
        <v>344</v>
      </c>
      <c r="H5" s="328">
        <f t="shared" ref="H5:H15" si="0">SUM(G5)</f>
        <v>0</v>
      </c>
      <c r="I5" s="170"/>
      <c r="J5" s="293" t="s">
        <v>345</v>
      </c>
      <c r="K5" s="293" t="s">
        <v>346</v>
      </c>
      <c r="L5" s="293" t="s">
        <v>347</v>
      </c>
      <c r="M5" s="329" t="s">
        <v>348</v>
      </c>
      <c r="N5" s="329" t="s">
        <v>348</v>
      </c>
      <c r="O5" s="330"/>
      <c r="P5" s="330"/>
      <c r="Q5" s="329" t="s">
        <v>348</v>
      </c>
      <c r="R5" s="293" t="s">
        <v>349</v>
      </c>
      <c r="S5" s="328">
        <f t="shared" ref="S5:S15" si="1">SUM(I5:R5)</f>
        <v>0</v>
      </c>
    </row>
    <row r="6" spans="1:21" ht="132" x14ac:dyDescent="0.2">
      <c r="A6" s="169" t="s">
        <v>172</v>
      </c>
      <c r="B6" s="166"/>
      <c r="C6" s="166"/>
      <c r="D6" s="166"/>
      <c r="E6" s="166" t="s">
        <v>60</v>
      </c>
      <c r="F6" s="225" t="s">
        <v>59</v>
      </c>
      <c r="G6" s="167"/>
      <c r="H6" s="328">
        <f t="shared" si="0"/>
        <v>0</v>
      </c>
      <c r="I6" s="170"/>
      <c r="J6" s="168"/>
      <c r="K6" s="168"/>
      <c r="L6" s="168"/>
      <c r="M6" s="331"/>
      <c r="N6" s="332"/>
      <c r="O6" s="329" t="s">
        <v>348</v>
      </c>
      <c r="P6" s="329" t="s">
        <v>348</v>
      </c>
      <c r="Q6" s="329" t="s">
        <v>348</v>
      </c>
      <c r="R6" s="143" t="s">
        <v>348</v>
      </c>
      <c r="S6" s="328">
        <f t="shared" si="1"/>
        <v>0</v>
      </c>
    </row>
    <row r="7" spans="1:21" ht="70" x14ac:dyDescent="0.2">
      <c r="A7" s="169" t="s">
        <v>172</v>
      </c>
      <c r="B7" s="166"/>
      <c r="C7" s="166"/>
      <c r="D7" s="166"/>
      <c r="E7" s="166" t="s">
        <v>58</v>
      </c>
      <c r="F7" s="225" t="s">
        <v>57</v>
      </c>
      <c r="G7" s="167"/>
      <c r="H7" s="328">
        <f t="shared" si="0"/>
        <v>0</v>
      </c>
      <c r="I7" s="170"/>
      <c r="J7" s="168"/>
      <c r="K7" s="168"/>
      <c r="L7" s="168"/>
      <c r="M7" s="168"/>
      <c r="N7" s="167"/>
      <c r="O7" s="168"/>
      <c r="P7" s="168"/>
      <c r="Q7" s="168"/>
      <c r="R7" s="168"/>
      <c r="S7" s="328">
        <f t="shared" si="1"/>
        <v>0</v>
      </c>
    </row>
    <row r="8" spans="1:21" ht="168" x14ac:dyDescent="0.2">
      <c r="A8" s="169" t="s">
        <v>172</v>
      </c>
      <c r="B8" s="166"/>
      <c r="C8" s="166"/>
      <c r="D8" s="166"/>
      <c r="E8" s="166" t="s">
        <v>56</v>
      </c>
      <c r="F8" s="225" t="s">
        <v>55</v>
      </c>
      <c r="G8" s="293" t="s">
        <v>350</v>
      </c>
      <c r="H8" s="328">
        <f t="shared" si="0"/>
        <v>0</v>
      </c>
      <c r="I8" s="170"/>
      <c r="J8" s="168"/>
      <c r="K8" s="168"/>
      <c r="L8" s="168"/>
      <c r="M8" s="168"/>
      <c r="N8" s="167"/>
      <c r="O8" s="168"/>
      <c r="P8" s="168"/>
      <c r="Q8" s="168"/>
      <c r="R8" s="293" t="s">
        <v>351</v>
      </c>
      <c r="S8" s="328">
        <f t="shared" si="1"/>
        <v>0</v>
      </c>
    </row>
    <row r="9" spans="1:21" ht="252" x14ac:dyDescent="0.2">
      <c r="A9" s="169" t="s">
        <v>172</v>
      </c>
      <c r="B9" s="166"/>
      <c r="C9" s="166"/>
      <c r="D9" s="166"/>
      <c r="E9" s="166" t="s">
        <v>54</v>
      </c>
      <c r="F9" s="225" t="s">
        <v>53</v>
      </c>
      <c r="G9" s="293" t="s">
        <v>559</v>
      </c>
      <c r="H9" s="328">
        <f t="shared" si="0"/>
        <v>0</v>
      </c>
      <c r="I9" s="170"/>
      <c r="J9" s="168"/>
      <c r="K9" s="168"/>
      <c r="L9" s="168"/>
      <c r="M9" s="168"/>
      <c r="N9" s="167"/>
      <c r="O9" s="168"/>
      <c r="P9" s="168"/>
      <c r="Q9" s="168"/>
      <c r="R9" s="293" t="s">
        <v>560</v>
      </c>
      <c r="S9" s="328">
        <f t="shared" si="1"/>
        <v>0</v>
      </c>
    </row>
    <row r="10" spans="1:21" ht="168" x14ac:dyDescent="0.2">
      <c r="A10" s="169" t="s">
        <v>172</v>
      </c>
      <c r="B10" s="166"/>
      <c r="C10" s="166"/>
      <c r="D10" s="166"/>
      <c r="E10" s="166" t="s">
        <v>52</v>
      </c>
      <c r="F10" s="225" t="s">
        <v>51</v>
      </c>
      <c r="G10" s="293" t="s">
        <v>352</v>
      </c>
      <c r="H10" s="328">
        <f>SUM(G10)</f>
        <v>0</v>
      </c>
      <c r="I10" s="170"/>
      <c r="J10" s="168"/>
      <c r="K10" s="168"/>
      <c r="L10" s="168"/>
      <c r="M10" s="168"/>
      <c r="N10" s="167"/>
      <c r="O10" s="168"/>
      <c r="P10" s="168"/>
      <c r="Q10" s="168"/>
      <c r="R10" s="293" t="s">
        <v>353</v>
      </c>
      <c r="S10" s="328">
        <f t="shared" si="1"/>
        <v>0</v>
      </c>
    </row>
    <row r="11" spans="1:21" ht="168" x14ac:dyDescent="0.2">
      <c r="A11" s="169" t="s">
        <v>172</v>
      </c>
      <c r="B11" s="166"/>
      <c r="C11" s="166"/>
      <c r="D11" s="166"/>
      <c r="E11" s="166" t="s">
        <v>50</v>
      </c>
      <c r="F11" s="225" t="s">
        <v>49</v>
      </c>
      <c r="G11" s="293" t="s">
        <v>354</v>
      </c>
      <c r="H11" s="328">
        <f>SUM(G11)</f>
        <v>0</v>
      </c>
      <c r="I11" s="170"/>
      <c r="J11" s="168"/>
      <c r="K11" s="168"/>
      <c r="L11" s="168"/>
      <c r="M11" s="168"/>
      <c r="N11" s="167"/>
      <c r="O11" s="168"/>
      <c r="P11" s="168"/>
      <c r="Q11" s="168"/>
      <c r="R11" s="293" t="s">
        <v>355</v>
      </c>
      <c r="S11" s="328">
        <f t="shared" si="1"/>
        <v>0</v>
      </c>
    </row>
    <row r="12" spans="1:21" ht="196" x14ac:dyDescent="0.2">
      <c r="A12" s="169" t="s">
        <v>172</v>
      </c>
      <c r="B12" s="166"/>
      <c r="C12" s="166"/>
      <c r="D12" s="166"/>
      <c r="E12" s="166" t="s">
        <v>48</v>
      </c>
      <c r="F12" s="225" t="s">
        <v>47</v>
      </c>
      <c r="G12" s="293" t="s">
        <v>356</v>
      </c>
      <c r="H12" s="328">
        <f t="shared" si="0"/>
        <v>0</v>
      </c>
      <c r="I12" s="170"/>
      <c r="J12" s="168"/>
      <c r="K12" s="168"/>
      <c r="L12" s="168"/>
      <c r="M12" s="168"/>
      <c r="N12" s="167"/>
      <c r="O12" s="168"/>
      <c r="P12" s="168"/>
      <c r="Q12" s="168"/>
      <c r="R12" s="293" t="s">
        <v>357</v>
      </c>
      <c r="S12" s="328">
        <f t="shared" si="1"/>
        <v>0</v>
      </c>
    </row>
    <row r="13" spans="1:21" ht="210" x14ac:dyDescent="0.2">
      <c r="A13" s="169" t="s">
        <v>172</v>
      </c>
      <c r="B13" s="166"/>
      <c r="C13" s="166"/>
      <c r="D13" s="166"/>
      <c r="E13" s="166" t="s">
        <v>46</v>
      </c>
      <c r="F13" s="225" t="s">
        <v>45</v>
      </c>
      <c r="G13" s="293" t="s">
        <v>358</v>
      </c>
      <c r="H13" s="328">
        <f t="shared" si="0"/>
        <v>0</v>
      </c>
      <c r="I13" s="293" t="s">
        <v>359</v>
      </c>
      <c r="J13" s="168"/>
      <c r="K13" s="168"/>
      <c r="L13" s="168"/>
      <c r="M13" s="168"/>
      <c r="N13" s="167"/>
      <c r="O13" s="168"/>
      <c r="P13" s="168"/>
      <c r="Q13" s="168"/>
      <c r="R13" s="293" t="s">
        <v>360</v>
      </c>
      <c r="S13" s="328">
        <f t="shared" si="1"/>
        <v>0</v>
      </c>
    </row>
    <row r="14" spans="1:21" ht="409.6" x14ac:dyDescent="0.2">
      <c r="A14" s="169" t="s">
        <v>172</v>
      </c>
      <c r="B14" s="166"/>
      <c r="C14" s="166"/>
      <c r="D14" s="166"/>
      <c r="E14" s="166" t="s">
        <v>44</v>
      </c>
      <c r="F14" s="225" t="s">
        <v>43</v>
      </c>
      <c r="G14" s="293" t="s">
        <v>561</v>
      </c>
      <c r="H14" s="328">
        <f t="shared" si="0"/>
        <v>0</v>
      </c>
      <c r="I14" s="293" t="s">
        <v>562</v>
      </c>
      <c r="J14" s="293" t="s">
        <v>563</v>
      </c>
      <c r="K14" s="293" t="s">
        <v>564</v>
      </c>
      <c r="L14" s="293" t="s">
        <v>565</v>
      </c>
      <c r="M14" s="167"/>
      <c r="N14" s="167"/>
      <c r="O14" s="168"/>
      <c r="P14" s="168"/>
      <c r="Q14" s="168"/>
      <c r="R14" s="293" t="s">
        <v>566</v>
      </c>
      <c r="S14" s="328">
        <f t="shared" si="1"/>
        <v>0</v>
      </c>
    </row>
    <row r="15" spans="1:21" ht="409.6" x14ac:dyDescent="0.2">
      <c r="A15" s="169" t="s">
        <v>172</v>
      </c>
      <c r="B15" s="166"/>
      <c r="C15" s="166"/>
      <c r="D15" s="166"/>
      <c r="E15" s="166" t="s">
        <v>41</v>
      </c>
      <c r="F15" s="225" t="s">
        <v>40</v>
      </c>
      <c r="G15" s="293" t="s">
        <v>567</v>
      </c>
      <c r="H15" s="328">
        <f t="shared" si="0"/>
        <v>0</v>
      </c>
      <c r="I15" s="293" t="s">
        <v>568</v>
      </c>
      <c r="J15" s="293" t="s">
        <v>569</v>
      </c>
      <c r="K15" s="293" t="s">
        <v>570</v>
      </c>
      <c r="L15" s="293" t="s">
        <v>571</v>
      </c>
      <c r="M15" s="167"/>
      <c r="N15" s="167"/>
      <c r="O15" s="168"/>
      <c r="P15" s="168"/>
      <c r="Q15" s="168"/>
      <c r="R15" s="293" t="s">
        <v>572</v>
      </c>
      <c r="S15" s="328">
        <f t="shared" si="1"/>
        <v>0</v>
      </c>
    </row>
    <row r="16" spans="1:21" ht="28" x14ac:dyDescent="0.2">
      <c r="A16" s="169"/>
      <c r="B16" s="333"/>
      <c r="C16" s="333"/>
      <c r="D16" s="333"/>
      <c r="E16" s="333"/>
      <c r="F16" s="326" t="s">
        <v>39</v>
      </c>
      <c r="G16" s="328">
        <f t="shared" ref="G16:S16" si="2">SUM(G5:G15)</f>
        <v>0</v>
      </c>
      <c r="H16" s="328">
        <f t="shared" si="2"/>
        <v>0</v>
      </c>
      <c r="I16" s="328">
        <f t="shared" si="2"/>
        <v>0</v>
      </c>
      <c r="J16" s="328">
        <f t="shared" si="2"/>
        <v>0</v>
      </c>
      <c r="K16" s="328">
        <f t="shared" si="2"/>
        <v>0</v>
      </c>
      <c r="L16" s="328">
        <f t="shared" si="2"/>
        <v>0</v>
      </c>
      <c r="M16" s="328">
        <f t="shared" si="2"/>
        <v>0</v>
      </c>
      <c r="N16" s="328">
        <f t="shared" si="2"/>
        <v>0</v>
      </c>
      <c r="O16" s="328">
        <f>SUM(O6:O15)</f>
        <v>0</v>
      </c>
      <c r="P16" s="328">
        <f>SUM(P6:P15)</f>
        <v>0</v>
      </c>
      <c r="Q16" s="328">
        <f t="shared" si="2"/>
        <v>0</v>
      </c>
      <c r="R16" s="328">
        <f>SUM(R5:R15)</f>
        <v>0</v>
      </c>
      <c r="S16" s="328">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3" t="s">
        <v>573</v>
      </c>
      <c r="H19" s="190"/>
      <c r="I19" s="190"/>
      <c r="J19" s="190"/>
      <c r="K19" s="190"/>
      <c r="L19" s="190"/>
      <c r="M19" s="190"/>
      <c r="N19" s="190"/>
      <c r="O19" s="190"/>
      <c r="P19" s="190"/>
      <c r="Q19" s="182" t="s">
        <v>251</v>
      </c>
      <c r="R19" s="293" t="s">
        <v>574</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2"/>
      <c r="F1" s="343"/>
      <c r="G1" s="344"/>
      <c r="H1" s="343"/>
      <c r="I1" s="344" t="s">
        <v>216</v>
      </c>
      <c r="J1" s="345"/>
      <c r="K1" s="342"/>
      <c r="L1" s="342"/>
      <c r="M1" s="145"/>
      <c r="N1" s="145"/>
    </row>
    <row r="2" spans="1:14" ht="37" customHeight="1" x14ac:dyDescent="0.2">
      <c r="A2" s="148"/>
      <c r="B2" s="149"/>
      <c r="C2" s="149"/>
      <c r="D2" s="149"/>
      <c r="E2" s="346"/>
      <c r="F2" s="347"/>
      <c r="G2" s="347"/>
      <c r="H2" s="347"/>
      <c r="I2" s="347"/>
      <c r="J2" s="347"/>
      <c r="K2" s="141" t="s">
        <v>167</v>
      </c>
      <c r="L2" s="442" t="s">
        <v>166</v>
      </c>
      <c r="M2" s="140" t="s">
        <v>38</v>
      </c>
      <c r="N2" s="443" t="s">
        <v>165</v>
      </c>
    </row>
    <row r="3" spans="1:14" ht="37" customHeight="1" x14ac:dyDescent="0.2">
      <c r="A3" s="148"/>
      <c r="B3" s="149"/>
      <c r="C3" s="149"/>
      <c r="D3" s="149"/>
      <c r="E3" s="346"/>
      <c r="F3" s="347"/>
      <c r="G3" s="347"/>
      <c r="H3" s="347"/>
      <c r="I3" s="347"/>
      <c r="J3" s="347"/>
      <c r="K3" s="141" t="s">
        <v>145</v>
      </c>
      <c r="L3" s="442"/>
      <c r="M3" s="140" t="s">
        <v>142</v>
      </c>
      <c r="N3" s="443"/>
    </row>
    <row r="4" spans="1:14" ht="37" customHeight="1" x14ac:dyDescent="0.2">
      <c r="A4" s="150"/>
      <c r="B4" s="151"/>
      <c r="C4" s="151"/>
      <c r="D4" s="151"/>
      <c r="E4" s="348"/>
      <c r="F4" s="349" t="s">
        <v>112</v>
      </c>
      <c r="G4" s="349" t="s">
        <v>111</v>
      </c>
      <c r="H4" s="349" t="s">
        <v>32</v>
      </c>
      <c r="I4" s="349" t="s">
        <v>110</v>
      </c>
      <c r="J4" s="349" t="s">
        <v>109</v>
      </c>
      <c r="K4" s="141" t="s">
        <v>94</v>
      </c>
      <c r="L4" s="442"/>
      <c r="M4" s="140" t="s">
        <v>93</v>
      </c>
      <c r="N4" s="443"/>
    </row>
    <row r="5" spans="1:14" ht="37" customHeight="1" x14ac:dyDescent="0.2">
      <c r="A5" s="152"/>
      <c r="B5" s="153"/>
      <c r="C5" s="153"/>
      <c r="D5" s="154"/>
      <c r="E5" s="350" t="s">
        <v>215</v>
      </c>
      <c r="F5" s="154"/>
      <c r="G5" s="154"/>
      <c r="H5" s="154"/>
      <c r="I5" s="154" t="s">
        <v>62</v>
      </c>
      <c r="J5" s="351" t="s">
        <v>61</v>
      </c>
      <c r="K5" s="352" t="s">
        <v>343</v>
      </c>
      <c r="L5" s="353">
        <f t="shared" ref="L5:L13" si="0">SUM(K5)</f>
        <v>0</v>
      </c>
      <c r="M5" s="157"/>
      <c r="N5" s="155">
        <f t="shared" ref="N5:N13" si="1">SUM(M5)</f>
        <v>0</v>
      </c>
    </row>
    <row r="6" spans="1:14" ht="37" customHeight="1" x14ac:dyDescent="0.2">
      <c r="A6" s="152"/>
      <c r="B6" s="153"/>
      <c r="C6" s="153"/>
      <c r="D6" s="142"/>
      <c r="E6" s="350" t="s">
        <v>215</v>
      </c>
      <c r="F6" s="154"/>
      <c r="G6" s="154"/>
      <c r="H6" s="142"/>
      <c r="I6" s="154" t="s">
        <v>56</v>
      </c>
      <c r="J6" s="351" t="s">
        <v>55</v>
      </c>
      <c r="K6" s="156"/>
      <c r="L6" s="353">
        <f t="shared" si="0"/>
        <v>0</v>
      </c>
      <c r="M6" s="157"/>
      <c r="N6" s="155">
        <f t="shared" si="1"/>
        <v>0</v>
      </c>
    </row>
    <row r="7" spans="1:14" ht="37" customHeight="1" x14ac:dyDescent="0.2">
      <c r="A7" s="152"/>
      <c r="B7" s="153"/>
      <c r="C7" s="153"/>
      <c r="D7" s="142"/>
      <c r="E7" s="350" t="s">
        <v>215</v>
      </c>
      <c r="F7" s="154"/>
      <c r="G7" s="154"/>
      <c r="H7" s="142"/>
      <c r="I7" s="154" t="s">
        <v>54</v>
      </c>
      <c r="J7" s="351" t="s">
        <v>53</v>
      </c>
      <c r="K7" s="156"/>
      <c r="L7" s="353">
        <f t="shared" si="0"/>
        <v>0</v>
      </c>
      <c r="M7" s="158"/>
      <c r="N7" s="155">
        <f t="shared" si="1"/>
        <v>0</v>
      </c>
    </row>
    <row r="8" spans="1:14" ht="37" customHeight="1" x14ac:dyDescent="0.2">
      <c r="A8" s="152"/>
      <c r="B8" s="153"/>
      <c r="C8" s="153"/>
      <c r="D8" s="142"/>
      <c r="E8" s="350" t="s">
        <v>215</v>
      </c>
      <c r="F8" s="154"/>
      <c r="G8" s="154"/>
      <c r="H8" s="142"/>
      <c r="I8" s="154" t="s">
        <v>52</v>
      </c>
      <c r="J8" s="351" t="s">
        <v>51</v>
      </c>
      <c r="K8" s="156"/>
      <c r="L8" s="353">
        <f t="shared" si="0"/>
        <v>0</v>
      </c>
      <c r="M8" s="157"/>
      <c r="N8" s="155">
        <f t="shared" si="1"/>
        <v>0</v>
      </c>
    </row>
    <row r="9" spans="1:14" ht="37" customHeight="1" x14ac:dyDescent="0.2">
      <c r="A9" s="152"/>
      <c r="B9" s="153"/>
      <c r="C9" s="153"/>
      <c r="D9" s="142"/>
      <c r="E9" s="350" t="s">
        <v>215</v>
      </c>
      <c r="F9" s="154"/>
      <c r="G9" s="154"/>
      <c r="H9" s="142"/>
      <c r="I9" s="154" t="s">
        <v>50</v>
      </c>
      <c r="J9" s="351" t="s">
        <v>49</v>
      </c>
      <c r="K9" s="156"/>
      <c r="L9" s="353">
        <f t="shared" si="0"/>
        <v>0</v>
      </c>
      <c r="M9" s="158"/>
      <c r="N9" s="155">
        <f t="shared" si="1"/>
        <v>0</v>
      </c>
    </row>
    <row r="10" spans="1:14" ht="37" customHeight="1" x14ac:dyDescent="0.2">
      <c r="A10" s="152"/>
      <c r="B10" s="153"/>
      <c r="C10" s="153"/>
      <c r="D10" s="142"/>
      <c r="E10" s="350" t="s">
        <v>215</v>
      </c>
      <c r="F10" s="154"/>
      <c r="G10" s="154"/>
      <c r="H10" s="142"/>
      <c r="I10" s="154" t="s">
        <v>48</v>
      </c>
      <c r="J10" s="351" t="s">
        <v>47</v>
      </c>
      <c r="K10" s="156"/>
      <c r="L10" s="353">
        <f t="shared" si="0"/>
        <v>0</v>
      </c>
      <c r="M10" s="157"/>
      <c r="N10" s="155">
        <f t="shared" si="1"/>
        <v>0</v>
      </c>
    </row>
    <row r="11" spans="1:14" ht="37" customHeight="1" x14ac:dyDescent="0.2">
      <c r="A11" s="152"/>
      <c r="B11" s="153"/>
      <c r="C11" s="153"/>
      <c r="D11" s="142"/>
      <c r="E11" s="350" t="s">
        <v>215</v>
      </c>
      <c r="F11" s="154"/>
      <c r="G11" s="154"/>
      <c r="H11" s="142"/>
      <c r="I11" s="154" t="s">
        <v>46</v>
      </c>
      <c r="J11" s="351" t="s">
        <v>45</v>
      </c>
      <c r="K11" s="156"/>
      <c r="L11" s="353">
        <f t="shared" si="0"/>
        <v>0</v>
      </c>
      <c r="M11" s="158"/>
      <c r="N11" s="155">
        <f t="shared" si="1"/>
        <v>0</v>
      </c>
    </row>
    <row r="12" spans="1:14" ht="179" customHeight="1" x14ac:dyDescent="0.2">
      <c r="A12" s="152"/>
      <c r="B12" s="153"/>
      <c r="C12" s="153"/>
      <c r="D12" s="142"/>
      <c r="E12" s="350" t="s">
        <v>215</v>
      </c>
      <c r="F12" s="154"/>
      <c r="G12" s="154"/>
      <c r="H12" s="142"/>
      <c r="I12" s="154" t="s">
        <v>44</v>
      </c>
      <c r="J12" s="351" t="s">
        <v>43</v>
      </c>
      <c r="K12" s="352" t="s">
        <v>588</v>
      </c>
      <c r="L12" s="353">
        <f t="shared" si="0"/>
        <v>0</v>
      </c>
      <c r="M12" s="159"/>
      <c r="N12" s="155">
        <f t="shared" si="1"/>
        <v>0</v>
      </c>
    </row>
    <row r="13" spans="1:14" ht="167" customHeight="1" x14ac:dyDescent="0.2">
      <c r="A13" s="152"/>
      <c r="B13" s="153"/>
      <c r="C13" s="153"/>
      <c r="D13" s="142"/>
      <c r="E13" s="350" t="s">
        <v>215</v>
      </c>
      <c r="F13" s="154"/>
      <c r="G13" s="154"/>
      <c r="H13" s="142"/>
      <c r="I13" s="154" t="s">
        <v>41</v>
      </c>
      <c r="J13" s="351" t="s">
        <v>40</v>
      </c>
      <c r="K13" s="352" t="s">
        <v>589</v>
      </c>
      <c r="L13" s="353">
        <f t="shared" si="0"/>
        <v>0</v>
      </c>
      <c r="M13" s="159"/>
      <c r="N13" s="155">
        <f t="shared" si="1"/>
        <v>0</v>
      </c>
    </row>
    <row r="14" spans="1:14" ht="37" customHeight="1" x14ac:dyDescent="0.2">
      <c r="A14" s="160"/>
      <c r="B14" s="161"/>
      <c r="C14" s="161"/>
      <c r="D14" s="161"/>
      <c r="E14" s="354"/>
      <c r="F14" s="355"/>
      <c r="G14" s="355"/>
      <c r="H14" s="355"/>
      <c r="I14" s="356"/>
      <c r="J14" s="357" t="s">
        <v>39</v>
      </c>
      <c r="K14" s="353">
        <f>SUM(K5:K13)</f>
        <v>0</v>
      </c>
      <c r="L14" s="353">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S13"/>
  <sheetViews>
    <sheetView topLeftCell="F6" workbookViewId="0">
      <selection activeCell="I6" sqref="I6"/>
    </sheetView>
  </sheetViews>
  <sheetFormatPr baseColWidth="10" defaultRowHeight="15"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
      <c r="A1" s="358"/>
      <c r="B1" s="444" t="s">
        <v>285</v>
      </c>
      <c r="C1" s="444"/>
      <c r="D1" s="444"/>
      <c r="E1" s="444"/>
      <c r="F1" s="359"/>
      <c r="G1" s="358"/>
      <c r="H1" s="358"/>
      <c r="I1" s="358"/>
      <c r="J1" s="358"/>
      <c r="K1" s="358"/>
      <c r="L1" s="358"/>
      <c r="M1" s="358"/>
      <c r="N1" s="358"/>
      <c r="O1" s="358"/>
      <c r="P1" s="358"/>
      <c r="Q1" s="358"/>
      <c r="R1" s="358"/>
      <c r="S1" s="358"/>
    </row>
    <row r="2" spans="1:19" x14ac:dyDescent="0.2">
      <c r="A2" s="360"/>
      <c r="B2" s="361"/>
      <c r="C2" s="361"/>
      <c r="D2" s="361"/>
      <c r="E2" s="361"/>
      <c r="F2" s="362"/>
      <c r="G2" s="363" t="s">
        <v>661</v>
      </c>
      <c r="H2" s="363" t="s">
        <v>661</v>
      </c>
      <c r="I2" s="363" t="s">
        <v>661</v>
      </c>
      <c r="J2" s="363" t="s">
        <v>661</v>
      </c>
      <c r="K2" s="363" t="s">
        <v>661</v>
      </c>
      <c r="L2" s="363" t="s">
        <v>661</v>
      </c>
      <c r="M2" s="363" t="s">
        <v>661</v>
      </c>
      <c r="N2" s="363" t="s">
        <v>661</v>
      </c>
      <c r="O2" s="363" t="s">
        <v>661</v>
      </c>
      <c r="P2" s="363" t="s">
        <v>661</v>
      </c>
      <c r="Q2" s="363" t="s">
        <v>661</v>
      </c>
      <c r="R2" s="363" t="s">
        <v>661</v>
      </c>
      <c r="S2" s="445" t="s">
        <v>271</v>
      </c>
    </row>
    <row r="3" spans="1:19" s="395" customFormat="1" x14ac:dyDescent="0.2">
      <c r="A3" s="391"/>
      <c r="B3" s="392"/>
      <c r="C3" s="392"/>
      <c r="D3" s="392"/>
      <c r="E3" s="392"/>
      <c r="F3" s="393"/>
      <c r="G3" s="394" t="s">
        <v>273</v>
      </c>
      <c r="H3" s="394" t="s">
        <v>662</v>
      </c>
      <c r="I3" s="394"/>
      <c r="J3" s="394"/>
      <c r="K3" s="394" t="s">
        <v>144</v>
      </c>
      <c r="L3" s="394"/>
      <c r="M3" s="394"/>
      <c r="N3" s="394" t="s">
        <v>274</v>
      </c>
      <c r="O3" s="394" t="s">
        <v>275</v>
      </c>
      <c r="P3" s="394" t="s">
        <v>276</v>
      </c>
      <c r="Q3" s="394" t="s">
        <v>277</v>
      </c>
      <c r="R3" s="394" t="s">
        <v>278</v>
      </c>
      <c r="S3" s="445"/>
    </row>
    <row r="4" spans="1:19" ht="42" x14ac:dyDescent="0.2">
      <c r="A4" s="364"/>
      <c r="B4" s="365" t="s">
        <v>112</v>
      </c>
      <c r="C4" s="365" t="s">
        <v>111</v>
      </c>
      <c r="D4" s="365" t="s">
        <v>32</v>
      </c>
      <c r="E4" s="365" t="s">
        <v>279</v>
      </c>
      <c r="F4" s="365" t="s">
        <v>109</v>
      </c>
      <c r="G4" s="366" t="s">
        <v>280</v>
      </c>
      <c r="H4" s="366" t="s">
        <v>281</v>
      </c>
      <c r="I4" s="366" t="s">
        <v>649</v>
      </c>
      <c r="J4" s="366" t="s">
        <v>672</v>
      </c>
      <c r="K4" s="366" t="s">
        <v>671</v>
      </c>
      <c r="L4" s="366" t="s">
        <v>659</v>
      </c>
      <c r="M4" s="366" t="s">
        <v>686</v>
      </c>
      <c r="N4" s="366" t="s">
        <v>282</v>
      </c>
      <c r="O4" s="366" t="s">
        <v>687</v>
      </c>
      <c r="P4" s="366" t="s">
        <v>688</v>
      </c>
      <c r="Q4" s="366" t="s">
        <v>689</v>
      </c>
      <c r="R4" s="366" t="s">
        <v>690</v>
      </c>
      <c r="S4" s="445"/>
    </row>
    <row r="5" spans="1:19" ht="332" x14ac:dyDescent="0.2">
      <c r="A5" s="367" t="s">
        <v>283</v>
      </c>
      <c r="B5" s="368"/>
      <c r="C5" s="368"/>
      <c r="D5" s="368"/>
      <c r="E5" s="368" t="s">
        <v>62</v>
      </c>
      <c r="F5" s="369" t="s">
        <v>61</v>
      </c>
      <c r="G5" s="370" t="s">
        <v>286</v>
      </c>
      <c r="H5" s="389" t="s">
        <v>663</v>
      </c>
      <c r="I5" s="390"/>
      <c r="J5" s="390"/>
      <c r="K5" s="370" t="s">
        <v>287</v>
      </c>
      <c r="L5" s="370"/>
      <c r="M5" s="370"/>
      <c r="N5" s="370" t="s">
        <v>288</v>
      </c>
      <c r="O5" s="370"/>
      <c r="P5" s="370" t="s">
        <v>289</v>
      </c>
      <c r="Q5" s="370"/>
      <c r="R5" s="370"/>
      <c r="S5" s="371">
        <f>SUMIF($G$2:R$2,R$2,$G5:R5)</f>
        <v>0</v>
      </c>
    </row>
    <row r="6" spans="1:19" ht="266" x14ac:dyDescent="0.2">
      <c r="A6" s="367" t="s">
        <v>283</v>
      </c>
      <c r="B6" s="368"/>
      <c r="C6" s="368"/>
      <c r="D6" s="368"/>
      <c r="E6" s="368" t="s">
        <v>60</v>
      </c>
      <c r="F6" s="369" t="s">
        <v>59</v>
      </c>
      <c r="G6" s="370" t="s">
        <v>290</v>
      </c>
      <c r="H6" s="389" t="s">
        <v>664</v>
      </c>
      <c r="I6" s="389" t="s">
        <v>691</v>
      </c>
      <c r="J6" s="389" t="s">
        <v>673</v>
      </c>
      <c r="K6" s="370" t="s">
        <v>291</v>
      </c>
      <c r="L6" s="370"/>
      <c r="M6" s="370"/>
      <c r="N6" s="370" t="s">
        <v>292</v>
      </c>
      <c r="O6" s="370" t="s">
        <v>293</v>
      </c>
      <c r="P6" s="370" t="s">
        <v>294</v>
      </c>
      <c r="Q6" s="370" t="s">
        <v>295</v>
      </c>
      <c r="R6" s="370" t="s">
        <v>296</v>
      </c>
      <c r="S6" s="371">
        <f>SUMIF($G$2:R$2,R$2,$G6:R6)</f>
        <v>0</v>
      </c>
    </row>
    <row r="7" spans="1:19" ht="154" x14ac:dyDescent="0.2">
      <c r="A7" s="367" t="s">
        <v>283</v>
      </c>
      <c r="B7" s="368"/>
      <c r="C7" s="368"/>
      <c r="D7" s="368"/>
      <c r="E7" s="368" t="s">
        <v>56</v>
      </c>
      <c r="F7" s="369" t="s">
        <v>55</v>
      </c>
      <c r="G7" s="370" t="s">
        <v>297</v>
      </c>
      <c r="H7" s="389" t="s">
        <v>665</v>
      </c>
      <c r="I7" s="389" t="s">
        <v>674</v>
      </c>
      <c r="J7" s="389" t="s">
        <v>675</v>
      </c>
      <c r="K7" s="370" t="s">
        <v>298</v>
      </c>
      <c r="L7" s="370"/>
      <c r="M7" s="370"/>
      <c r="N7" s="370" t="s">
        <v>299</v>
      </c>
      <c r="O7" s="370" t="s">
        <v>300</v>
      </c>
      <c r="P7" s="370" t="s">
        <v>301</v>
      </c>
      <c r="Q7" s="370" t="s">
        <v>302</v>
      </c>
      <c r="R7" s="370" t="s">
        <v>303</v>
      </c>
      <c r="S7" s="371">
        <f>SUMIF($G$2:R$2,R$2,$G7:R7)</f>
        <v>0</v>
      </c>
    </row>
    <row r="8" spans="1:19" ht="238" x14ac:dyDescent="0.2">
      <c r="A8" s="367" t="s">
        <v>283</v>
      </c>
      <c r="B8" s="368"/>
      <c r="C8" s="368"/>
      <c r="D8" s="368"/>
      <c r="E8" s="368" t="s">
        <v>54</v>
      </c>
      <c r="F8" s="369" t="s">
        <v>53</v>
      </c>
      <c r="G8" s="370" t="s">
        <v>304</v>
      </c>
      <c r="H8" s="389" t="s">
        <v>666</v>
      </c>
      <c r="I8" s="389" t="s">
        <v>676</v>
      </c>
      <c r="J8" s="389" t="s">
        <v>677</v>
      </c>
      <c r="K8" s="370" t="s">
        <v>305</v>
      </c>
      <c r="L8" s="370"/>
      <c r="M8" s="370"/>
      <c r="N8" s="370" t="s">
        <v>306</v>
      </c>
      <c r="O8" s="370" t="s">
        <v>307</v>
      </c>
      <c r="P8" s="370" t="s">
        <v>308</v>
      </c>
      <c r="Q8" s="370" t="s">
        <v>309</v>
      </c>
      <c r="R8" s="370" t="s">
        <v>310</v>
      </c>
      <c r="S8" s="371">
        <f>SUMIF($G$2:R$2,R$2,$G8:R8)</f>
        <v>0</v>
      </c>
    </row>
    <row r="9" spans="1:19" ht="140" x14ac:dyDescent="0.2">
      <c r="A9" s="367" t="s">
        <v>283</v>
      </c>
      <c r="B9" s="368"/>
      <c r="C9" s="368"/>
      <c r="D9" s="368"/>
      <c r="E9" s="368" t="s">
        <v>52</v>
      </c>
      <c r="F9" s="369" t="s">
        <v>51</v>
      </c>
      <c r="G9" s="370" t="s">
        <v>311</v>
      </c>
      <c r="H9" s="389" t="s">
        <v>667</v>
      </c>
      <c r="I9" s="389" t="s">
        <v>678</v>
      </c>
      <c r="J9" s="389" t="s">
        <v>679</v>
      </c>
      <c r="K9" s="370" t="s">
        <v>312</v>
      </c>
      <c r="L9" s="370"/>
      <c r="M9" s="370"/>
      <c r="N9" s="370" t="s">
        <v>313</v>
      </c>
      <c r="O9" s="370" t="s">
        <v>314</v>
      </c>
      <c r="P9" s="370" t="s">
        <v>315</v>
      </c>
      <c r="Q9" s="370" t="s">
        <v>316</v>
      </c>
      <c r="R9" s="370" t="s">
        <v>317</v>
      </c>
      <c r="S9" s="371">
        <f>SUMIF($G$2:R$2,R$2,$G9:R9)</f>
        <v>0</v>
      </c>
    </row>
    <row r="10" spans="1:19" ht="154" x14ac:dyDescent="0.2">
      <c r="A10" s="367" t="s">
        <v>283</v>
      </c>
      <c r="B10" s="368"/>
      <c r="C10" s="368"/>
      <c r="D10" s="368"/>
      <c r="E10" s="368" t="s">
        <v>50</v>
      </c>
      <c r="F10" s="369" t="s">
        <v>49</v>
      </c>
      <c r="G10" s="370" t="s">
        <v>318</v>
      </c>
      <c r="H10" s="389" t="s">
        <v>668</v>
      </c>
      <c r="I10" s="389" t="s">
        <v>680</v>
      </c>
      <c r="J10" s="389" t="s">
        <v>681</v>
      </c>
      <c r="K10" s="370" t="s">
        <v>319</v>
      </c>
      <c r="L10" s="370"/>
      <c r="M10" s="370"/>
      <c r="N10" s="370" t="s">
        <v>320</v>
      </c>
      <c r="O10" s="370" t="s">
        <v>321</v>
      </c>
      <c r="P10" s="370" t="s">
        <v>322</v>
      </c>
      <c r="Q10" s="370" t="s">
        <v>323</v>
      </c>
      <c r="R10" s="370" t="s">
        <v>324</v>
      </c>
      <c r="S10" s="371">
        <f>SUMIF($G$2:R$2,R$2,$G10:R10)</f>
        <v>0</v>
      </c>
    </row>
    <row r="11" spans="1:19" ht="182" x14ac:dyDescent="0.2">
      <c r="A11" s="367" t="s">
        <v>283</v>
      </c>
      <c r="B11" s="368"/>
      <c r="C11" s="368"/>
      <c r="D11" s="368"/>
      <c r="E11" s="368" t="s">
        <v>48</v>
      </c>
      <c r="F11" s="369" t="s">
        <v>47</v>
      </c>
      <c r="G11" s="370" t="s">
        <v>325</v>
      </c>
      <c r="H11" s="389" t="s">
        <v>669</v>
      </c>
      <c r="I11" s="389" t="s">
        <v>682</v>
      </c>
      <c r="J11" s="389" t="s">
        <v>683</v>
      </c>
      <c r="K11" s="370" t="s">
        <v>326</v>
      </c>
      <c r="L11" s="370"/>
      <c r="M11" s="370"/>
      <c r="N11" s="370" t="s">
        <v>327</v>
      </c>
      <c r="O11" s="370" t="s">
        <v>328</v>
      </c>
      <c r="P11" s="370" t="s">
        <v>329</v>
      </c>
      <c r="Q11" s="370" t="s">
        <v>330</v>
      </c>
      <c r="R11" s="370" t="s">
        <v>331</v>
      </c>
      <c r="S11" s="371">
        <f>SUMIF($G$2:R$2,R$2,$G11:R11)</f>
        <v>0</v>
      </c>
    </row>
    <row r="12" spans="1:19" ht="182" x14ac:dyDescent="0.2">
      <c r="A12" s="367" t="s">
        <v>283</v>
      </c>
      <c r="B12" s="368"/>
      <c r="C12" s="368"/>
      <c r="D12" s="368"/>
      <c r="E12" s="368" t="s">
        <v>46</v>
      </c>
      <c r="F12" s="369" t="s">
        <v>45</v>
      </c>
      <c r="G12" s="370" t="s">
        <v>332</v>
      </c>
      <c r="H12" s="389" t="s">
        <v>670</v>
      </c>
      <c r="I12" s="389" t="s">
        <v>684</v>
      </c>
      <c r="J12" s="389" t="s">
        <v>685</v>
      </c>
      <c r="K12" s="370" t="s">
        <v>333</v>
      </c>
      <c r="L12" s="370"/>
      <c r="M12" s="370"/>
      <c r="N12" s="370" t="s">
        <v>334</v>
      </c>
      <c r="O12" s="370" t="s">
        <v>335</v>
      </c>
      <c r="P12" s="370" t="s">
        <v>336</v>
      </c>
      <c r="Q12" s="370" t="s">
        <v>337</v>
      </c>
      <c r="R12" s="370" t="s">
        <v>338</v>
      </c>
      <c r="S12" s="371">
        <f>SUMIF($G$2:R$2,R$2,$G12:R12)</f>
        <v>0</v>
      </c>
    </row>
    <row r="13" spans="1:19" x14ac:dyDescent="0.2">
      <c r="A13" s="372"/>
      <c r="B13" s="373"/>
      <c r="C13" s="373"/>
      <c r="D13" s="374"/>
      <c r="E13" s="373"/>
      <c r="F13" s="375" t="s">
        <v>39</v>
      </c>
      <c r="G13" s="371">
        <f>SUMIF($C$5:$C12,$C12,G$5:G12)</f>
        <v>0</v>
      </c>
      <c r="H13" s="371">
        <f>SUMIF($C$5:$C12,$C12,H$5:H12)</f>
        <v>0</v>
      </c>
      <c r="I13" s="371"/>
      <c r="J13" s="371"/>
      <c r="K13" s="371">
        <f>SUMIF($C$5:$C12,$C12,K$5:K12)</f>
        <v>0</v>
      </c>
      <c r="L13" s="371"/>
      <c r="M13" s="371"/>
      <c r="N13" s="371">
        <f>SUMIF($C$5:$C12,$C12,N$5:N12)</f>
        <v>0</v>
      </c>
      <c r="O13" s="371">
        <f>SUMIF($C$5:$C12,$C12,O$5:O12)</f>
        <v>0</v>
      </c>
      <c r="P13" s="371">
        <f>SUMIF($C$5:$C12,$C12,P$5:P12)</f>
        <v>0</v>
      </c>
      <c r="Q13" s="371">
        <f>SUMIF($C$5:$C12,$C12,Q$5:Q12)</f>
        <v>0</v>
      </c>
      <c r="R13" s="371">
        <f>SUMIF($C$5:$C12,$C12,R$5:R12)</f>
        <v>0</v>
      </c>
      <c r="S13" s="371">
        <f>SUMIF($C$5:$C12,$C12,S$5:S12)</f>
        <v>0</v>
      </c>
    </row>
  </sheetData>
  <mergeCells count="2">
    <mergeCell ref="B1:E1"/>
    <mergeCell ref="S2:S4"/>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ETPT_ATTJ</vt:lpstr>
      <vt:lpstr>ETPT_TJ_DDG</vt:lpstr>
      <vt:lpstr>ETPT_TPRX_DDG</vt:lpstr>
      <vt:lpstr>ETPT_CPH_DDG</vt:lpstr>
      <vt:lpstr>ETPT_ATTJ_DDG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joseph dureau</cp:lastModifiedBy>
  <dcterms:created xsi:type="dcterms:W3CDTF">2020-03-26T00:32:42Z</dcterms:created>
  <dcterms:modified xsi:type="dcterms:W3CDTF">2026-02-18T21:49:34Z</dcterms:modified>
  <cp:category/>
</cp:coreProperties>
</file>