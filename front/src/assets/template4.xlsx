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hidePivotFieldList="1" defaultThemeVersion="166925"/>
  <mc:AlternateContent xmlns:mc="http://schemas.openxmlformats.org/markup-compatibility/2006">
    <mc:Choice Requires="x15">
      <x15ac:absPath xmlns:x15ac="http://schemas.microsoft.com/office/spreadsheetml/2010/11/ac" url="/Users/francois-xaviermontigny/git/beta.gouv.fr/a-just/front/src/assets/"/>
    </mc:Choice>
  </mc:AlternateContent>
  <xr:revisionPtr revIDLastSave="0" documentId="13_ncr:1_{7A3A0383-DF44-9D41-90A4-F5AE55CC880F}" xr6:coauthVersionLast="47" xr6:coauthVersionMax="47" xr10:uidLastSave="{00000000-0000-0000-0000-000000000000}"/>
  <bookViews>
    <workbookView xWindow="0" yWindow="660" windowWidth="30240" windowHeight="17400" xr2:uid="{50CB0F02-73D8-432D-BA19-0D33B1FE1838}"/>
  </bookViews>
  <sheets>
    <sheet name="ACCUEIL" sheetId="33" r:id="rId1"/>
    <sheet name="ETPT A-JUST" sheetId="1" r:id="rId2"/>
    <sheet name="ETPT Format DDG" sheetId="9" r:id="rId3"/>
    <sheet name="Synthèse ETPT" sheetId="10" r:id="rId4"/>
    <sheet name="Table_Fonctions" sheetId="19" state="hidden" r:id="rId5"/>
    <sheet name="ETPT Format DDG DETAIL" sheetId="41" state="hidden" r:id="rId6"/>
    <sheet name="ETPT_TJ" sheetId="25" state="hidden" r:id="rId7"/>
    <sheet name="ETPT_TPRX" sheetId="26" state="hidden" r:id="rId8"/>
    <sheet name="ETPT_CPH" sheetId="27" state="hidden" r:id="rId9"/>
    <sheet name="ETPT_ATTJ" sheetId="38" state="hidden" r:id="rId10"/>
    <sheet name="ETPT_TJ_DDG" sheetId="28" r:id="rId11"/>
    <sheet name="ETPT_TPRX_DDG" sheetId="29" r:id="rId12"/>
    <sheet name="ETPT_CPH_DDG" sheetId="30" r:id="rId13"/>
    <sheet name="ETPT_ATTJ_DDG" sheetId="39" r:id="rId14"/>
    <sheet name="Juridictions" sheetId="17" state="hidden" r:id="rId15"/>
    <sheet name="ETPT_TJ_corresp-SIEGE-TJ" sheetId="24" state="hidden" r:id="rId16"/>
    <sheet name="ETPT_TPROX_corresp-SIEGE-TPROX" sheetId="34" state="hidden" r:id="rId17"/>
    <sheet name="ETPT_TJ_corresp-GREFFE-TJ" sheetId="35" state="hidden" r:id="rId18"/>
    <sheet name="ETPT_TROX_corresp-GREFFE-TPROX" sheetId="36" state="hidden" r:id="rId19"/>
    <sheet name="ETPT_CPH_corresp-GREFFE-CPH" sheetId="37" state="hidden" r:id="rId20"/>
    <sheet name="ETPT_ATTACHES_JUSTICE  corresp" sheetId="40" state="hidden" r:id="rId21"/>
  </sheets>
  <definedNames>
    <definedName name="_xlnm._FilterDatabase" localSheetId="1" hidden="1">'ETPT A-JUST'!$A$2:$DN$2</definedName>
    <definedName name="_xlnm._FilterDatabase" localSheetId="2" hidden="1">'ETPT Format DDG'!$A$2:$DT$2</definedName>
    <definedName name="_xlnm._FilterDatabase" localSheetId="5" hidden="1">'ETPT Format DDG DETAIL'!$A$1:$V$1</definedName>
    <definedName name="_xlnm._FilterDatabase" localSheetId="4" hidden="1">Table_Fonctions!$A$1:$G$1</definedName>
    <definedName name="TJCPH">Juridictions!$J$1:$J$10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 i="25" l="1"/>
  <c r="V14" i="25"/>
  <c r="R5" i="28"/>
  <c r="K7" i="39"/>
  <c r="K8" i="39"/>
  <c r="K9" i="39"/>
  <c r="K10" i="39"/>
  <c r="K11" i="39"/>
  <c r="K12" i="39"/>
  <c r="J7" i="39"/>
  <c r="J8" i="39"/>
  <c r="J9" i="39"/>
  <c r="J10" i="39"/>
  <c r="J11" i="39"/>
  <c r="J12" i="39"/>
  <c r="AT6" i="28"/>
  <c r="AT7" i="28"/>
  <c r="AT8" i="28"/>
  <c r="AT9" i="28"/>
  <c r="AT10" i="28"/>
  <c r="AT16" i="28" s="1"/>
  <c r="AT11" i="28"/>
  <c r="AT12" i="28"/>
  <c r="AT13" i="28"/>
  <c r="AT14" i="28"/>
  <c r="AT15" i="28"/>
  <c r="R11" i="38"/>
  <c r="Q11" i="38"/>
  <c r="P11" i="38"/>
  <c r="O11" i="38"/>
  <c r="L11" i="38"/>
  <c r="K11" i="38"/>
  <c r="J11" i="38"/>
  <c r="I11" i="38"/>
  <c r="I6" i="38" a="1"/>
  <c r="I6" i="38" s="1"/>
  <c r="H11" i="38" a="1"/>
  <c r="H11" i="38" s="1"/>
  <c r="G11" i="38" a="1"/>
  <c r="G11" i="38" s="1"/>
  <c r="AU14" i="25"/>
  <c r="AU12" i="25"/>
  <c r="AU6" i="25"/>
  <c r="AU5" i="25"/>
  <c r="AS6" i="25"/>
  <c r="AS5" i="25"/>
  <c r="AQ15" i="25"/>
  <c r="AQ14" i="25"/>
  <c r="AF12" i="25" a="1"/>
  <c r="AF12" i="25" s="1"/>
  <c r="AE12" i="25" a="1"/>
  <c r="AE12" i="25" s="1"/>
  <c r="AD12" i="25" a="1"/>
  <c r="AD12" i="25" s="1"/>
  <c r="Z12" i="25" a="1"/>
  <c r="Z12" i="25" s="1"/>
  <c r="Y15" i="25"/>
  <c r="V12" i="25"/>
  <c r="V6" i="25"/>
  <c r="G12" i="25"/>
  <c r="I5" i="38" a="1"/>
  <c r="I5" i="38" s="1"/>
  <c r="G5" i="38" a="1"/>
  <c r="G5" i="38" s="1"/>
  <c r="R6" i="38" a="1"/>
  <c r="R6" i="38" s="1"/>
  <c r="Q6" i="38" a="1"/>
  <c r="Q6" i="38" s="1"/>
  <c r="P6" i="38" a="1"/>
  <c r="P6" i="38" s="1"/>
  <c r="O6" i="38" a="1"/>
  <c r="O6" i="38" s="1"/>
  <c r="L6" i="38" a="1"/>
  <c r="L6" i="38" s="1"/>
  <c r="K6" i="38" a="1"/>
  <c r="K6" i="38" s="1"/>
  <c r="K6" i="39" s="1"/>
  <c r="J6" i="38" a="1"/>
  <c r="J6" i="38" s="1"/>
  <c r="P5" i="38" a="1"/>
  <c r="P5" i="38" s="1"/>
  <c r="L5" i="38" a="1"/>
  <c r="L5" i="38" s="1"/>
  <c r="M13" i="39"/>
  <c r="N13" i="39"/>
  <c r="AT15" i="25"/>
  <c r="AF15" i="25"/>
  <c r="AT14" i="25"/>
  <c r="AF14" i="25"/>
  <c r="L6" i="25"/>
  <c r="K12" i="38"/>
  <c r="K10" i="38"/>
  <c r="K9" i="38"/>
  <c r="K8" i="38"/>
  <c r="K7" i="38"/>
  <c r="J12" i="38"/>
  <c r="J10" i="38"/>
  <c r="J9" i="38"/>
  <c r="J8" i="38"/>
  <c r="J7" i="38"/>
  <c r="R12" i="38"/>
  <c r="R10" i="38"/>
  <c r="R9" i="38"/>
  <c r="R8" i="38"/>
  <c r="R7" i="38"/>
  <c r="M13" i="38"/>
  <c r="N13" i="38"/>
  <c r="R15" i="25"/>
  <c r="AT5" i="28"/>
  <c r="AT5" i="25" a="1"/>
  <c r="AT5" i="25" s="1"/>
  <c r="AT16" i="25" s="1"/>
  <c r="V5" i="25"/>
  <c r="R14" i="25"/>
  <c r="R5" i="25"/>
  <c r="U6" i="10"/>
  <c r="S6" i="10"/>
  <c r="L6" i="10"/>
  <c r="J13" i="38" l="1"/>
  <c r="J13" i="39" s="1"/>
  <c r="J6" i="39"/>
  <c r="K13" i="38"/>
  <c r="K13" i="39" s="1"/>
  <c r="S13" i="40"/>
  <c r="R13" i="40"/>
  <c r="Q13" i="40"/>
  <c r="P13" i="40"/>
  <c r="O13" i="40"/>
  <c r="N13" i="40"/>
  <c r="K13" i="40"/>
  <c r="H13" i="40"/>
  <c r="G13" i="40"/>
  <c r="S12" i="40"/>
  <c r="S11" i="40"/>
  <c r="S10" i="40"/>
  <c r="S9" i="40"/>
  <c r="S8" i="40"/>
  <c r="S7" i="40"/>
  <c r="S6" i="40"/>
  <c r="S5" i="40"/>
  <c r="K14" i="37"/>
  <c r="L13" i="37"/>
  <c r="L12" i="37"/>
  <c r="L11" i="37"/>
  <c r="L10" i="37"/>
  <c r="L9" i="37"/>
  <c r="L8" i="37"/>
  <c r="L7" i="37"/>
  <c r="L6" i="37"/>
  <c r="L5" i="37"/>
  <c r="L14" i="37" s="1"/>
  <c r="S16" i="34"/>
  <c r="R16" i="34"/>
  <c r="Q16" i="34"/>
  <c r="O16" i="34"/>
  <c r="N16" i="34"/>
  <c r="M16" i="34"/>
  <c r="L16" i="34"/>
  <c r="K16" i="34"/>
  <c r="J16" i="34"/>
  <c r="I16" i="34"/>
  <c r="H16" i="34"/>
  <c r="G16" i="34"/>
  <c r="T15" i="34"/>
  <c r="P15" i="34"/>
  <c r="T14" i="34"/>
  <c r="P14" i="34"/>
  <c r="T13" i="34"/>
  <c r="P13" i="34"/>
  <c r="T12" i="34"/>
  <c r="P12" i="34"/>
  <c r="T11" i="34"/>
  <c r="P11" i="34"/>
  <c r="T10" i="34"/>
  <c r="P10" i="34"/>
  <c r="T9" i="34"/>
  <c r="P9" i="34"/>
  <c r="T8" i="34"/>
  <c r="P8" i="34"/>
  <c r="T7" i="34"/>
  <c r="P7" i="34"/>
  <c r="T6" i="34"/>
  <c r="P6" i="34"/>
  <c r="T5" i="34"/>
  <c r="T16" i="34" s="1"/>
  <c r="P5" i="34"/>
  <c r="P16" i="34" s="1"/>
  <c r="R16" i="36"/>
  <c r="Q16" i="36"/>
  <c r="P16" i="36"/>
  <c r="O16" i="36"/>
  <c r="N16" i="36"/>
  <c r="M16" i="36"/>
  <c r="L16" i="36"/>
  <c r="K16" i="36"/>
  <c r="J16" i="36"/>
  <c r="I16" i="36"/>
  <c r="H16" i="36"/>
  <c r="G16" i="36"/>
  <c r="S15" i="36"/>
  <c r="H15" i="36"/>
  <c r="S14" i="36"/>
  <c r="H14" i="36"/>
  <c r="S13" i="36"/>
  <c r="H13" i="36"/>
  <c r="S12" i="36"/>
  <c r="H12" i="36"/>
  <c r="S11" i="36"/>
  <c r="H11" i="36"/>
  <c r="S10" i="36"/>
  <c r="H10" i="36"/>
  <c r="S9" i="36"/>
  <c r="H9" i="36"/>
  <c r="S8" i="36"/>
  <c r="H8" i="36"/>
  <c r="S7" i="36"/>
  <c r="H7" i="36"/>
  <c r="S6" i="36"/>
  <c r="H6" i="36"/>
  <c r="S5" i="36"/>
  <c r="S16" i="36" s="1"/>
  <c r="H5" i="36"/>
  <c r="AO16" i="24"/>
  <c r="AN16" i="24"/>
  <c r="AM16" i="24"/>
  <c r="AL16" i="24"/>
  <c r="AK16" i="24"/>
  <c r="AJ16" i="24"/>
  <c r="AI16" i="24"/>
  <c r="AH16" i="24"/>
  <c r="AG16" i="24"/>
  <c r="AF16" i="24"/>
  <c r="AE16" i="24"/>
  <c r="AD16" i="24"/>
  <c r="AB16" i="24"/>
  <c r="AA16" i="24"/>
  <c r="Z16" i="24"/>
  <c r="Y16" i="24"/>
  <c r="X16" i="24"/>
  <c r="W16" i="24"/>
  <c r="V16" i="24"/>
  <c r="U16" i="24"/>
  <c r="T16" i="24"/>
  <c r="S16" i="24"/>
  <c r="R16" i="24"/>
  <c r="Q16" i="24"/>
  <c r="P16" i="24"/>
  <c r="O16" i="24"/>
  <c r="N16" i="24"/>
  <c r="M16" i="24"/>
  <c r="L16" i="24"/>
  <c r="K16" i="24"/>
  <c r="J16" i="24"/>
  <c r="I16" i="24"/>
  <c r="H16" i="24"/>
  <c r="G16" i="24"/>
  <c r="AO15" i="24"/>
  <c r="AE15" i="24"/>
  <c r="P15" i="24"/>
  <c r="AO14" i="24"/>
  <c r="AE14" i="24"/>
  <c r="P14" i="24"/>
  <c r="AO13" i="24"/>
  <c r="AE13" i="24"/>
  <c r="P13" i="24"/>
  <c r="AO12" i="24"/>
  <c r="AE12" i="24"/>
  <c r="P12" i="24"/>
  <c r="AO11" i="24"/>
  <c r="AE11" i="24"/>
  <c r="P11" i="24"/>
  <c r="AO10" i="24"/>
  <c r="AE10" i="24"/>
  <c r="P10" i="24"/>
  <c r="AO9" i="24"/>
  <c r="AE9" i="24"/>
  <c r="P9" i="24"/>
  <c r="AO8" i="24"/>
  <c r="AE8" i="24"/>
  <c r="P8" i="24"/>
  <c r="AO7" i="24"/>
  <c r="AE7" i="24"/>
  <c r="P7" i="24"/>
  <c r="AO6" i="24"/>
  <c r="AE6" i="24"/>
  <c r="P6" i="24"/>
  <c r="AO5" i="24"/>
  <c r="AE5" i="24"/>
  <c r="P5" i="24"/>
  <c r="W16" i="35"/>
  <c r="V16" i="35"/>
  <c r="U16" i="35"/>
  <c r="T16" i="35"/>
  <c r="S16" i="35"/>
  <c r="Q16" i="35"/>
  <c r="P16" i="35"/>
  <c r="O16" i="35"/>
  <c r="N16" i="35"/>
  <c r="M16" i="35"/>
  <c r="L16" i="35"/>
  <c r="K16" i="35"/>
  <c r="J16" i="35"/>
  <c r="I16" i="35"/>
  <c r="H16" i="35"/>
  <c r="G16" i="35"/>
  <c r="W15" i="35"/>
  <c r="H15" i="35"/>
  <c r="W14" i="35"/>
  <c r="H14" i="35"/>
  <c r="W13" i="35"/>
  <c r="H13" i="35"/>
  <c r="W12" i="35"/>
  <c r="H12" i="35"/>
  <c r="W11" i="35"/>
  <c r="H11" i="35"/>
  <c r="W10" i="35"/>
  <c r="H10" i="35"/>
  <c r="W9" i="35"/>
  <c r="H9" i="35"/>
  <c r="W8" i="35"/>
  <c r="H8" i="35"/>
  <c r="W7" i="35"/>
  <c r="H7" i="35"/>
  <c r="W6" i="35"/>
  <c r="H6" i="35"/>
  <c r="W5" i="35"/>
  <c r="H5" i="35"/>
  <c r="AF15" i="26" l="1"/>
  <c r="AF14" i="26"/>
  <c r="G14" i="26"/>
  <c r="G15" i="26"/>
  <c r="G14" i="25"/>
  <c r="AU20" i="25" a="1"/>
  <c r="AU20" i="25" s="1"/>
  <c r="V20" i="25" a="1"/>
  <c r="V20" i="25" s="1"/>
  <c r="G15" i="25" l="1"/>
  <c r="G13" i="27"/>
  <c r="G12" i="27"/>
  <c r="G20" i="25" a="1"/>
  <c r="G20" i="25" s="1"/>
  <c r="AU15" i="25"/>
  <c r="Y6" i="28"/>
  <c r="Y7" i="28"/>
  <c r="Y8" i="28"/>
  <c r="Y9" i="28"/>
  <c r="Y10" i="28"/>
  <c r="Y11" i="28"/>
  <c r="Y12" i="28"/>
  <c r="Y13" i="28"/>
  <c r="Y14" i="28"/>
  <c r="Y15" i="28"/>
  <c r="AR15" i="25"/>
  <c r="AP15" i="25"/>
  <c r="AO15" i="25"/>
  <c r="AN15" i="25"/>
  <c r="AM15" i="25"/>
  <c r="AL15" i="25"/>
  <c r="AK15" i="25"/>
  <c r="AJ15" i="25"/>
  <c r="AI15" i="25"/>
  <c r="AH15" i="25"/>
  <c r="AE15" i="25"/>
  <c r="AD15" i="25"/>
  <c r="AC15" i="25"/>
  <c r="AB15" i="25"/>
  <c r="AA15" i="25"/>
  <c r="Z15" i="25"/>
  <c r="X15" i="25"/>
  <c r="U15" i="25"/>
  <c r="T15" i="25"/>
  <c r="S15" i="25"/>
  <c r="Q15" i="25"/>
  <c r="P15" i="25"/>
  <c r="O15" i="25"/>
  <c r="AR14" i="25"/>
  <c r="AP14" i="25"/>
  <c r="AO14" i="25"/>
  <c r="AN14" i="25"/>
  <c r="AM14" i="25"/>
  <c r="AL14" i="25"/>
  <c r="AK14" i="25"/>
  <c r="AJ14" i="25"/>
  <c r="AI14" i="25"/>
  <c r="AH14" i="25"/>
  <c r="AE14" i="25"/>
  <c r="AD14" i="25"/>
  <c r="AC14" i="25"/>
  <c r="AB14" i="25"/>
  <c r="AA14" i="25"/>
  <c r="Z14" i="25"/>
  <c r="Y14" i="25"/>
  <c r="X14" i="25"/>
  <c r="U14" i="25"/>
  <c r="T14" i="25"/>
  <c r="S14" i="25"/>
  <c r="Q14" i="25"/>
  <c r="P14" i="25"/>
  <c r="O14" i="25"/>
  <c r="N15" i="25"/>
  <c r="N14" i="25"/>
  <c r="M15" i="25"/>
  <c r="M14" i="25"/>
  <c r="L15" i="25"/>
  <c r="L14" i="25"/>
  <c r="K15" i="25"/>
  <c r="K14" i="25"/>
  <c r="J15" i="25"/>
  <c r="J14" i="25"/>
  <c r="I15" i="25"/>
  <c r="I14" i="25"/>
  <c r="Z7" i="25" l="1" a="1"/>
  <c r="Z7" i="25" s="1"/>
  <c r="R6" i="10" l="1"/>
  <c r="K6" i="10"/>
  <c r="G6" i="25"/>
  <c r="G13" i="25"/>
  <c r="O5" i="39"/>
  <c r="Q5" i="39"/>
  <c r="J14" i="27"/>
  <c r="J6" i="27"/>
  <c r="J7" i="27"/>
  <c r="J8" i="27"/>
  <c r="J9" i="27"/>
  <c r="J10" i="27"/>
  <c r="J11" i="27"/>
  <c r="J12" i="27"/>
  <c r="J13" i="27"/>
  <c r="J5" i="27"/>
  <c r="I14" i="27"/>
  <c r="H6" i="27"/>
  <c r="H7" i="27"/>
  <c r="H8" i="27"/>
  <c r="H9" i="27"/>
  <c r="H10" i="27"/>
  <c r="H11" i="27"/>
  <c r="AG6" i="26"/>
  <c r="AD16" i="26"/>
  <c r="AC6" i="26"/>
  <c r="AC7" i="26"/>
  <c r="AC8" i="26"/>
  <c r="AC9" i="26"/>
  <c r="AC10" i="26"/>
  <c r="AC11" i="26"/>
  <c r="AC12" i="26"/>
  <c r="S6" i="26"/>
  <c r="S7" i="26"/>
  <c r="M16" i="26"/>
  <c r="N16" i="26"/>
  <c r="O16" i="26"/>
  <c r="P16" i="26"/>
  <c r="Q16" i="26"/>
  <c r="X16" i="26"/>
  <c r="Y16" i="26"/>
  <c r="Z16" i="26"/>
  <c r="AA16" i="26"/>
  <c r="AB16" i="26"/>
  <c r="H6" i="26"/>
  <c r="H7" i="26"/>
  <c r="W14" i="25" l="1"/>
  <c r="BF5" i="25"/>
  <c r="AV14" i="25"/>
  <c r="AV15" i="25"/>
  <c r="AG14" i="25"/>
  <c r="AG15" i="25"/>
  <c r="W7" i="25"/>
  <c r="W15" i="25"/>
  <c r="H15" i="25"/>
  <c r="H6" i="25"/>
  <c r="H7" i="25"/>
  <c r="H13" i="25"/>
  <c r="H14" i="25"/>
  <c r="AU13" i="25"/>
  <c r="V13" i="25"/>
  <c r="W13" i="25" s="1"/>
  <c r="AS13" i="25"/>
  <c r="AF13" i="25" a="1"/>
  <c r="AF13" i="25" s="1"/>
  <c r="AE13" i="25" a="1"/>
  <c r="AE13" i="25" s="1"/>
  <c r="AD13" i="25" a="1"/>
  <c r="AD13" i="25" s="1"/>
  <c r="Z13" i="25" a="1"/>
  <c r="Z13" i="25" s="1"/>
  <c r="Y13" i="25" a="1"/>
  <c r="Y13" i="25" s="1"/>
  <c r="AV12" i="25"/>
  <c r="Y12" i="25" a="1"/>
  <c r="Y12" i="25" s="1"/>
  <c r="W12" i="25"/>
  <c r="H12" i="25"/>
  <c r="AU11" i="25"/>
  <c r="AV11" i="25" s="1"/>
  <c r="AF11" i="25" a="1"/>
  <c r="AF11" i="25" s="1"/>
  <c r="AE11" i="25" a="1"/>
  <c r="AE11" i="25" s="1"/>
  <c r="AD11" i="25" a="1"/>
  <c r="AD11" i="25" s="1"/>
  <c r="Z11" i="25" a="1"/>
  <c r="Z11" i="25" s="1"/>
  <c r="Y11" i="25" a="1"/>
  <c r="Y11" i="25" s="1"/>
  <c r="V11" i="25"/>
  <c r="W11" i="25" s="1"/>
  <c r="G11" i="25"/>
  <c r="H11" i="25" s="1"/>
  <c r="AU10" i="25"/>
  <c r="AV10" i="25" s="1"/>
  <c r="AF10" i="25" a="1"/>
  <c r="AF10" i="25" s="1"/>
  <c r="AE10" i="25" a="1"/>
  <c r="AE10" i="25" s="1"/>
  <c r="AD10" i="25" a="1"/>
  <c r="AD10" i="25" s="1"/>
  <c r="Z10" i="25" a="1"/>
  <c r="Z10" i="25" s="1"/>
  <c r="Y10" i="25" a="1"/>
  <c r="Y10" i="25" s="1"/>
  <c r="V10" i="25"/>
  <c r="W10" i="25" s="1"/>
  <c r="G10" i="25"/>
  <c r="H10" i="25" s="1"/>
  <c r="AU9" i="25"/>
  <c r="AV9" i="25" s="1"/>
  <c r="AF9" i="25" a="1"/>
  <c r="AF9" i="25" s="1"/>
  <c r="AE9" i="25" a="1"/>
  <c r="AE9" i="25" s="1"/>
  <c r="AD9" i="25" a="1"/>
  <c r="AD9" i="25" s="1"/>
  <c r="Z9" i="25" a="1"/>
  <c r="Z9" i="25" s="1"/>
  <c r="Y9" i="25" a="1"/>
  <c r="Y9" i="25" s="1"/>
  <c r="V9" i="25"/>
  <c r="W9" i="25" s="1"/>
  <c r="G9" i="25"/>
  <c r="H9" i="25" s="1"/>
  <c r="AU8" i="25"/>
  <c r="AV8" i="25" s="1"/>
  <c r="AF8" i="25" a="1"/>
  <c r="AF8" i="25" s="1"/>
  <c r="AE8" i="25" a="1"/>
  <c r="AE8" i="25" s="1"/>
  <c r="AD8" i="25" a="1"/>
  <c r="AD8" i="25" s="1"/>
  <c r="Z8" i="25" a="1"/>
  <c r="Z8" i="25" s="1"/>
  <c r="Y8" i="25" a="1"/>
  <c r="Y8" i="25" s="1"/>
  <c r="V8" i="25"/>
  <c r="W8" i="25" s="1"/>
  <c r="G8" i="25"/>
  <c r="H8" i="25" s="1"/>
  <c r="AU7" i="25"/>
  <c r="AV7" i="25" s="1"/>
  <c r="AF7" i="25" a="1"/>
  <c r="AF7" i="25" s="1"/>
  <c r="AE7" i="25" a="1"/>
  <c r="AE7" i="25" s="1"/>
  <c r="AD7" i="25" a="1"/>
  <c r="AD7" i="25" s="1"/>
  <c r="Y7" i="25" a="1"/>
  <c r="Y7" i="25" s="1"/>
  <c r="AQ5" i="25" a="1"/>
  <c r="AQ5" i="25" s="1"/>
  <c r="AQ16" i="25" s="1"/>
  <c r="AP5" i="25" a="1"/>
  <c r="AP5" i="25" s="1"/>
  <c r="AP16" i="25" s="1"/>
  <c r="AO5" i="25" a="1"/>
  <c r="AO5" i="25" s="1"/>
  <c r="AO16" i="25" s="1"/>
  <c r="AN5" i="25" a="1"/>
  <c r="AN5" i="25" s="1"/>
  <c r="Y5" i="25" a="1"/>
  <c r="Y5" i="25" s="1"/>
  <c r="X5" i="25" a="1"/>
  <c r="X5" i="25" s="1"/>
  <c r="X16" i="25" s="1"/>
  <c r="U5" i="25"/>
  <c r="U16" i="25" s="1"/>
  <c r="T5" i="25"/>
  <c r="T16" i="25" s="1"/>
  <c r="S5" i="25"/>
  <c r="S16" i="25" s="1"/>
  <c r="Q5" i="25"/>
  <c r="Q16" i="25" s="1"/>
  <c r="P5" i="25"/>
  <c r="P16" i="25" s="1"/>
  <c r="I5" i="25"/>
  <c r="G5" i="25"/>
  <c r="AG9" i="25" l="1"/>
  <c r="AS16" i="25"/>
  <c r="G16" i="25"/>
  <c r="AG11" i="25"/>
  <c r="AG12" i="25"/>
  <c r="AG13" i="25"/>
  <c r="W5" i="25"/>
  <c r="AG8" i="25"/>
  <c r="AV13" i="25"/>
  <c r="AU16" i="25"/>
  <c r="AG7" i="25"/>
  <c r="Y16" i="25"/>
  <c r="AG10" i="25"/>
  <c r="AN16" i="25"/>
  <c r="H5" i="25"/>
  <c r="H16" i="25" s="1"/>
  <c r="I16" i="25"/>
  <c r="V16" i="25"/>
  <c r="D12" i="39" l="1"/>
  <c r="D11" i="39"/>
  <c r="D11" i="38" s="1"/>
  <c r="D10" i="39"/>
  <c r="D10" i="38" s="1"/>
  <c r="D9" i="39"/>
  <c r="D9" i="38" s="1"/>
  <c r="D8" i="39"/>
  <c r="D8" i="38" s="1"/>
  <c r="D7" i="39"/>
  <c r="D7" i="38" s="1"/>
  <c r="D6" i="39"/>
  <c r="D6" i="38" s="1"/>
  <c r="L6" i="39"/>
  <c r="I6" i="39"/>
  <c r="D12" i="38"/>
  <c r="D5" i="38"/>
  <c r="Q9" i="38" s="1"/>
  <c r="Q9" i="39" s="1"/>
  <c r="G5" i="28"/>
  <c r="H5" i="38" l="1" a="1"/>
  <c r="H5" i="38" s="1"/>
  <c r="H6" i="38" a="1"/>
  <c r="H6" i="38" s="1"/>
  <c r="H6" i="39" s="1"/>
  <c r="H11" i="39"/>
  <c r="H8" i="38" a="1"/>
  <c r="H8" i="38" s="1"/>
  <c r="H8" i="39" s="1"/>
  <c r="G11" i="39"/>
  <c r="H7" i="38" a="1"/>
  <c r="H7" i="38" s="1"/>
  <c r="H7" i="39" s="1"/>
  <c r="H9" i="38" a="1"/>
  <c r="H9" i="38" s="1"/>
  <c r="H9" i="39" s="1"/>
  <c r="G9" i="38" a="1"/>
  <c r="G9" i="38" s="1"/>
  <c r="G9" i="39" s="1"/>
  <c r="I10" i="38"/>
  <c r="I10" i="39" s="1"/>
  <c r="P6" i="39"/>
  <c r="R6" i="39"/>
  <c r="I5" i="39"/>
  <c r="P5" i="39"/>
  <c r="I11" i="39"/>
  <c r="O6" i="39"/>
  <c r="Q6" i="39"/>
  <c r="G7" i="38" a="1"/>
  <c r="G7" i="38" s="1"/>
  <c r="G7" i="39" s="1"/>
  <c r="G8" i="38" a="1"/>
  <c r="G8" i="38" s="1"/>
  <c r="G8" i="39" s="1"/>
  <c r="G6" i="38" a="1"/>
  <c r="G6" i="38" s="1"/>
  <c r="I7" i="38"/>
  <c r="I7" i="39" s="1"/>
  <c r="L9" i="38"/>
  <c r="L9" i="39" s="1"/>
  <c r="O10" i="38"/>
  <c r="O10" i="39" s="1"/>
  <c r="R7" i="39"/>
  <c r="I8" i="38"/>
  <c r="I8" i="39" s="1"/>
  <c r="L10" i="38"/>
  <c r="L10" i="39" s="1"/>
  <c r="O11" i="39"/>
  <c r="R8" i="39"/>
  <c r="I9" i="38"/>
  <c r="I9" i="39" s="1"/>
  <c r="L11" i="39"/>
  <c r="P7" i="38"/>
  <c r="P7" i="39" s="1"/>
  <c r="R9" i="39"/>
  <c r="H5" i="39"/>
  <c r="P8" i="38"/>
  <c r="P8" i="39" s="1"/>
  <c r="R10" i="39"/>
  <c r="P9" i="38"/>
  <c r="P9" i="39" s="1"/>
  <c r="R11" i="39"/>
  <c r="P10" i="38"/>
  <c r="P10" i="39" s="1"/>
  <c r="P11" i="39"/>
  <c r="H10" i="38" a="1"/>
  <c r="H10" i="38" s="1"/>
  <c r="H10" i="39" s="1"/>
  <c r="Q7" i="38"/>
  <c r="Q7" i="39" s="1"/>
  <c r="Q8" i="38"/>
  <c r="Q8" i="39" s="1"/>
  <c r="O7" i="38"/>
  <c r="O7" i="39" s="1"/>
  <c r="P12" i="38"/>
  <c r="L12" i="38"/>
  <c r="O12" i="38"/>
  <c r="O12" i="39" s="1"/>
  <c r="I12" i="38"/>
  <c r="H12" i="38" a="1"/>
  <c r="H12" i="38" s="1"/>
  <c r="H12" i="39" s="1"/>
  <c r="G12" i="38" a="1"/>
  <c r="G12" i="38" s="1"/>
  <c r="Q12" i="38"/>
  <c r="R5" i="39"/>
  <c r="G10" i="38" a="1"/>
  <c r="G10" i="38" s="1"/>
  <c r="L7" i="38"/>
  <c r="L7" i="39" s="1"/>
  <c r="O8" i="38"/>
  <c r="O8" i="39" s="1"/>
  <c r="Q10" i="38"/>
  <c r="Q10" i="39" s="1"/>
  <c r="L8" i="38"/>
  <c r="L8" i="39" s="1"/>
  <c r="O9" i="38"/>
  <c r="O9" i="39" s="1"/>
  <c r="Q11" i="39"/>
  <c r="Z6" i="25" a="1"/>
  <c r="Z6" i="25" s="1"/>
  <c r="AE5" i="25" a="1"/>
  <c r="AE5" i="25" s="1"/>
  <c r="O6" i="25"/>
  <c r="O16" i="25" s="1"/>
  <c r="N6" i="25"/>
  <c r="N16" i="25" s="1"/>
  <c r="M6" i="25"/>
  <c r="M16" i="25" s="1"/>
  <c r="L16" i="25"/>
  <c r="K6" i="25"/>
  <c r="K16" i="25" s="1"/>
  <c r="J6" i="25"/>
  <c r="R6" i="25"/>
  <c r="R16" i="25" s="1"/>
  <c r="S6" i="38" l="1"/>
  <c r="S6" i="39" s="1"/>
  <c r="L5" i="39"/>
  <c r="G6" i="39"/>
  <c r="W6" i="25"/>
  <c r="W16" i="25" s="1"/>
  <c r="J16" i="25"/>
  <c r="AG5" i="25"/>
  <c r="Z16" i="25"/>
  <c r="G10" i="39"/>
  <c r="S10" i="38"/>
  <c r="S10" i="39" s="1"/>
  <c r="G13" i="38"/>
  <c r="G13" i="39" s="1"/>
  <c r="S5" i="38"/>
  <c r="G5" i="39"/>
  <c r="S8" i="38"/>
  <c r="S8" i="39" s="1"/>
  <c r="Q13" i="38"/>
  <c r="Q13" i="39" s="1"/>
  <c r="Q12" i="39"/>
  <c r="S9" i="38"/>
  <c r="S9" i="39" s="1"/>
  <c r="S12" i="38"/>
  <c r="S12" i="39" s="1"/>
  <c r="G12" i="39"/>
  <c r="I13" i="38"/>
  <c r="I13" i="39" s="1"/>
  <c r="I12" i="39"/>
  <c r="H13" i="38"/>
  <c r="H13" i="39" s="1"/>
  <c r="S11" i="38"/>
  <c r="S11" i="39" s="1"/>
  <c r="O13" i="38"/>
  <c r="O13" i="39" s="1"/>
  <c r="L13" i="38"/>
  <c r="L12" i="39"/>
  <c r="S7" i="38"/>
  <c r="S7" i="39" s="1"/>
  <c r="P13" i="38"/>
  <c r="P13" i="39" s="1"/>
  <c r="P12" i="39"/>
  <c r="R13" i="38"/>
  <c r="R13" i="39" s="1"/>
  <c r="R12" i="39"/>
  <c r="AR5" i="25" a="1"/>
  <c r="AR5" i="25" s="1"/>
  <c r="AM6" i="25" a="1"/>
  <c r="AM6" i="25" s="1"/>
  <c r="AM16" i="25" s="1"/>
  <c r="AL6" i="25" a="1"/>
  <c r="AL6" i="25" s="1"/>
  <c r="AL16" i="25" s="1"/>
  <c r="AK6" i="25" a="1"/>
  <c r="AK6" i="25" s="1"/>
  <c r="AK16" i="25" s="1"/>
  <c r="AJ6" i="25" a="1"/>
  <c r="AJ6" i="25" s="1"/>
  <c r="AJ16" i="25" s="1"/>
  <c r="AI6" i="25" a="1"/>
  <c r="AI6" i="25" s="1"/>
  <c r="AI16" i="25" s="1"/>
  <c r="AH6" i="25" a="1"/>
  <c r="AH6" i="25" s="1"/>
  <c r="AF6" i="25" a="1"/>
  <c r="AF6" i="25" s="1"/>
  <c r="AF16" i="25" s="1"/>
  <c r="AE6" i="25" a="1"/>
  <c r="AE6" i="25" s="1"/>
  <c r="AE16" i="25" s="1"/>
  <c r="AD6" i="25" a="1"/>
  <c r="AD6" i="25" s="1"/>
  <c r="AD16" i="25" s="1"/>
  <c r="AC6" i="25" a="1"/>
  <c r="AC6" i="25" s="1"/>
  <c r="AC16" i="25" s="1"/>
  <c r="AB6" i="25" a="1"/>
  <c r="AB6" i="25" s="1"/>
  <c r="AB16" i="25" s="1"/>
  <c r="AA6" i="25" a="1"/>
  <c r="AA6" i="25" s="1"/>
  <c r="AA16" i="25" s="1"/>
  <c r="L13" i="39" l="1"/>
  <c r="AR16" i="25"/>
  <c r="AV5" i="25"/>
  <c r="AG6" i="25"/>
  <c r="AG16" i="25" s="1"/>
  <c r="AH16" i="25"/>
  <c r="AV6" i="25"/>
  <c r="S5" i="39"/>
  <c r="S13" i="38"/>
  <c r="S13" i="39" s="1"/>
  <c r="Q6" i="10"/>
  <c r="P6" i="10"/>
  <c r="N6" i="10"/>
  <c r="J6" i="10"/>
  <c r="I6" i="10"/>
  <c r="G6" i="10"/>
  <c r="H6" i="10" s="1"/>
  <c r="AV16" i="25" l="1"/>
  <c r="O6" i="10"/>
  <c r="M6" i="10"/>
  <c r="T6" i="10"/>
  <c r="V6" i="10"/>
  <c r="M14" i="37"/>
  <c r="N13" i="37"/>
  <c r="N12" i="37"/>
  <c r="N11" i="37"/>
  <c r="N10" i="37"/>
  <c r="N9" i="37"/>
  <c r="N8" i="37"/>
  <c r="N7" i="37"/>
  <c r="N6" i="37"/>
  <c r="N5" i="37"/>
  <c r="N14" i="37" s="1"/>
  <c r="AF18" i="29"/>
  <c r="AF13" i="29"/>
  <c r="R18" i="29"/>
  <c r="R14" i="29"/>
  <c r="G18" i="29"/>
  <c r="G14" i="29"/>
  <c r="AU20" i="28"/>
  <c r="AU15" i="28"/>
  <c r="G20" i="28"/>
  <c r="G15" i="28"/>
  <c r="V20" i="28"/>
  <c r="V15" i="28"/>
  <c r="BF6" i="25" l="1"/>
  <c r="D6" i="30" l="1"/>
  <c r="G6" i="30"/>
  <c r="H6" i="30" s="1"/>
  <c r="D7" i="30"/>
  <c r="G7" i="30"/>
  <c r="H7" i="30" s="1"/>
  <c r="D8" i="30"/>
  <c r="G8" i="30"/>
  <c r="H8" i="30" s="1"/>
  <c r="D9" i="30"/>
  <c r="G9" i="30"/>
  <c r="H9" i="30" s="1"/>
  <c r="D10" i="30"/>
  <c r="G10" i="30"/>
  <c r="H10" i="30" s="1"/>
  <c r="D11" i="30"/>
  <c r="G11" i="30"/>
  <c r="H11" i="30" s="1"/>
  <c r="D12" i="30"/>
  <c r="D13" i="30"/>
  <c r="I5" i="29"/>
  <c r="O5" i="29"/>
  <c r="P5" i="29"/>
  <c r="Q5" i="29"/>
  <c r="T5" i="29"/>
  <c r="Z5" i="29"/>
  <c r="AA5" i="29"/>
  <c r="AB5" i="29"/>
  <c r="AD5" i="29"/>
  <c r="D6" i="29"/>
  <c r="G6" i="29"/>
  <c r="H6" i="29" s="1"/>
  <c r="I6" i="29"/>
  <c r="J6" i="29"/>
  <c r="K6" i="29"/>
  <c r="L6" i="29"/>
  <c r="M6" i="29"/>
  <c r="N6" i="29"/>
  <c r="O6" i="29"/>
  <c r="P6" i="29"/>
  <c r="Q6" i="29"/>
  <c r="R6" i="29"/>
  <c r="T6" i="29"/>
  <c r="U6" i="29"/>
  <c r="V6" i="29"/>
  <c r="W6" i="29"/>
  <c r="X6" i="29"/>
  <c r="Y6" i="29"/>
  <c r="Z6" i="29"/>
  <c r="AA6" i="29"/>
  <c r="AB6" i="29"/>
  <c r="AD6" i="29"/>
  <c r="AE6" i="29"/>
  <c r="AF6" i="29"/>
  <c r="D7" i="29"/>
  <c r="G7" i="29"/>
  <c r="H7" i="29" s="1"/>
  <c r="I7" i="29"/>
  <c r="J7" i="29"/>
  <c r="K7" i="29"/>
  <c r="L7" i="29"/>
  <c r="M7" i="29"/>
  <c r="N7" i="29"/>
  <c r="O7" i="29"/>
  <c r="P7" i="29"/>
  <c r="Q7" i="29"/>
  <c r="R7" i="29"/>
  <c r="T7" i="29"/>
  <c r="U7" i="29"/>
  <c r="V7" i="29"/>
  <c r="W7" i="29"/>
  <c r="X7" i="29"/>
  <c r="Y7" i="29"/>
  <c r="Z7" i="29"/>
  <c r="AA7" i="29"/>
  <c r="AB7" i="29"/>
  <c r="AD7" i="29"/>
  <c r="AE7" i="29"/>
  <c r="AF7" i="29"/>
  <c r="D8" i="29"/>
  <c r="I8" i="29"/>
  <c r="J8" i="29"/>
  <c r="K8" i="29"/>
  <c r="L8" i="29"/>
  <c r="M8" i="29"/>
  <c r="N8" i="29"/>
  <c r="O8" i="29"/>
  <c r="P8" i="29"/>
  <c r="Q8" i="29"/>
  <c r="T8" i="29"/>
  <c r="U8" i="29"/>
  <c r="V8" i="29"/>
  <c r="W8" i="29"/>
  <c r="X8" i="29"/>
  <c r="Y8" i="29"/>
  <c r="Z8" i="29"/>
  <c r="AA8" i="29"/>
  <c r="AB8" i="29"/>
  <c r="AD8" i="29"/>
  <c r="AE8" i="29"/>
  <c r="D9" i="29"/>
  <c r="I9" i="29"/>
  <c r="J9" i="29"/>
  <c r="K9" i="29"/>
  <c r="L9" i="29"/>
  <c r="M9" i="29"/>
  <c r="N9" i="29"/>
  <c r="O9" i="29"/>
  <c r="P9" i="29"/>
  <c r="Q9" i="29"/>
  <c r="T9" i="29"/>
  <c r="U9" i="29"/>
  <c r="V9" i="29"/>
  <c r="W9" i="29"/>
  <c r="X9" i="29"/>
  <c r="Y9" i="29"/>
  <c r="Z9" i="29"/>
  <c r="AA9" i="29"/>
  <c r="AB9" i="29"/>
  <c r="AD9" i="29"/>
  <c r="AE9" i="29"/>
  <c r="D10" i="29"/>
  <c r="I10" i="29"/>
  <c r="J10" i="29"/>
  <c r="K10" i="29"/>
  <c r="L10" i="29"/>
  <c r="M10" i="29"/>
  <c r="N10" i="29"/>
  <c r="O10" i="29"/>
  <c r="P10" i="29"/>
  <c r="Q10" i="29"/>
  <c r="T10" i="29"/>
  <c r="U10" i="29"/>
  <c r="V10" i="29"/>
  <c r="W10" i="29"/>
  <c r="X10" i="29"/>
  <c r="Y10" i="29"/>
  <c r="Z10" i="29"/>
  <c r="AA10" i="29"/>
  <c r="AB10" i="29"/>
  <c r="AD10" i="29"/>
  <c r="AE10" i="29"/>
  <c r="D11" i="29"/>
  <c r="I11" i="29"/>
  <c r="J11" i="29"/>
  <c r="K11" i="29"/>
  <c r="L11" i="29"/>
  <c r="M11" i="29"/>
  <c r="N11" i="29"/>
  <c r="O11" i="29"/>
  <c r="P11" i="29"/>
  <c r="Q11" i="29"/>
  <c r="T11" i="29"/>
  <c r="U11" i="29"/>
  <c r="V11" i="29"/>
  <c r="W11" i="29"/>
  <c r="X11" i="29"/>
  <c r="Y11" i="29"/>
  <c r="Z11" i="29"/>
  <c r="AA11" i="29"/>
  <c r="AB11" i="29"/>
  <c r="AD11" i="29"/>
  <c r="AE11" i="29"/>
  <c r="D12" i="29"/>
  <c r="I12" i="29"/>
  <c r="J12" i="29"/>
  <c r="K12" i="29"/>
  <c r="L12" i="29"/>
  <c r="M12" i="29"/>
  <c r="N12" i="29"/>
  <c r="O12" i="29"/>
  <c r="P12" i="29"/>
  <c r="Q12" i="29"/>
  <c r="T12" i="29"/>
  <c r="U12" i="29"/>
  <c r="V12" i="29"/>
  <c r="W12" i="29"/>
  <c r="X12" i="29"/>
  <c r="Y12" i="29"/>
  <c r="Z12" i="29"/>
  <c r="AA12" i="29"/>
  <c r="AB12" i="29"/>
  <c r="AD12" i="29"/>
  <c r="AE12" i="29"/>
  <c r="D13" i="29"/>
  <c r="I13" i="29"/>
  <c r="J13" i="29"/>
  <c r="K13" i="29"/>
  <c r="L13" i="29"/>
  <c r="M13" i="29"/>
  <c r="N13" i="29"/>
  <c r="O13" i="29"/>
  <c r="P13" i="29"/>
  <c r="Q13" i="29"/>
  <c r="T13" i="29"/>
  <c r="U13" i="29"/>
  <c r="V13" i="29"/>
  <c r="W13" i="29"/>
  <c r="X13" i="29"/>
  <c r="Y13" i="29"/>
  <c r="Z13" i="29"/>
  <c r="AA13" i="29"/>
  <c r="AB13" i="29"/>
  <c r="AD13" i="29"/>
  <c r="AE13" i="29"/>
  <c r="D14" i="29"/>
  <c r="I14" i="29"/>
  <c r="O14" i="29"/>
  <c r="P14" i="29"/>
  <c r="Q14" i="29"/>
  <c r="T14" i="29"/>
  <c r="Z14" i="29"/>
  <c r="AA14" i="29"/>
  <c r="AB14" i="29"/>
  <c r="AD14" i="29"/>
  <c r="D15" i="29"/>
  <c r="I15" i="29"/>
  <c r="O15" i="29"/>
  <c r="P15" i="29"/>
  <c r="Q15" i="29"/>
  <c r="T15" i="29"/>
  <c r="Z15" i="29"/>
  <c r="AA15" i="29"/>
  <c r="AB15" i="29"/>
  <c r="AD15" i="29"/>
  <c r="J5" i="28"/>
  <c r="K5" i="28"/>
  <c r="L5" i="28"/>
  <c r="M5" i="28"/>
  <c r="N5" i="28"/>
  <c r="O5" i="28"/>
  <c r="Z5" i="28"/>
  <c r="AA5" i="28"/>
  <c r="AB5" i="28"/>
  <c r="AC5" i="28"/>
  <c r="AD5" i="28"/>
  <c r="AH5" i="28"/>
  <c r="AI5" i="28"/>
  <c r="AJ5" i="28"/>
  <c r="AK5" i="28"/>
  <c r="AL5" i="28"/>
  <c r="AM5" i="28"/>
  <c r="BF5" i="28"/>
  <c r="D6" i="28"/>
  <c r="I6" i="28"/>
  <c r="P6" i="28"/>
  <c r="Q6" i="28"/>
  <c r="S6" i="28"/>
  <c r="T6" i="28"/>
  <c r="U6" i="28"/>
  <c r="X6" i="28"/>
  <c r="AN6" i="28"/>
  <c r="AO6" i="28"/>
  <c r="AP6" i="28"/>
  <c r="AQ6" i="28"/>
  <c r="AR6" i="28"/>
  <c r="BF6" i="28"/>
  <c r="D7" i="28"/>
  <c r="G7" i="28"/>
  <c r="H7" i="28" s="1"/>
  <c r="I7" i="28"/>
  <c r="J7" i="28"/>
  <c r="K7" i="28"/>
  <c r="L7" i="28"/>
  <c r="M7" i="28"/>
  <c r="N7" i="28"/>
  <c r="O7" i="28"/>
  <c r="P7" i="28"/>
  <c r="Q7" i="28"/>
  <c r="R7" i="28"/>
  <c r="S7" i="28"/>
  <c r="T7" i="28"/>
  <c r="U7" i="28"/>
  <c r="V7" i="28"/>
  <c r="X7" i="28"/>
  <c r="AA7" i="28"/>
  <c r="AB7" i="28"/>
  <c r="AC7" i="28"/>
  <c r="AH7" i="28"/>
  <c r="AI7" i="28"/>
  <c r="AJ7" i="28"/>
  <c r="AK7" i="28"/>
  <c r="AL7" i="28"/>
  <c r="AM7" i="28"/>
  <c r="AN7" i="28"/>
  <c r="AO7" i="28"/>
  <c r="AP7" i="28"/>
  <c r="AQ7" i="28"/>
  <c r="AR7" i="28"/>
  <c r="AS7" i="28"/>
  <c r="BF7" i="28"/>
  <c r="D8" i="28"/>
  <c r="I8" i="28"/>
  <c r="J8" i="28"/>
  <c r="K8" i="28"/>
  <c r="L8" i="28"/>
  <c r="M8" i="28"/>
  <c r="N8" i="28"/>
  <c r="O8" i="28"/>
  <c r="P8" i="28"/>
  <c r="Q8" i="28"/>
  <c r="R8" i="28"/>
  <c r="S8" i="28"/>
  <c r="T8" i="28"/>
  <c r="U8" i="28"/>
  <c r="X8" i="28"/>
  <c r="Z8" i="28"/>
  <c r="AA8" i="28"/>
  <c r="AB8" i="28"/>
  <c r="AC8" i="28"/>
  <c r="AD8" i="28"/>
  <c r="AE8" i="28"/>
  <c r="AF8" i="28"/>
  <c r="AH8" i="28"/>
  <c r="AI8" i="28"/>
  <c r="AJ8" i="28"/>
  <c r="AK8" i="28"/>
  <c r="AL8" i="28"/>
  <c r="AM8" i="28"/>
  <c r="AN8" i="28"/>
  <c r="AO8" i="28"/>
  <c r="AP8" i="28"/>
  <c r="AQ8" i="28"/>
  <c r="AR8" i="28"/>
  <c r="AS8" i="28"/>
  <c r="AU8" i="28"/>
  <c r="BF8" i="28"/>
  <c r="D9" i="28"/>
  <c r="I9" i="28"/>
  <c r="J9" i="28"/>
  <c r="K9" i="28"/>
  <c r="L9" i="28"/>
  <c r="M9" i="28"/>
  <c r="N9" i="28"/>
  <c r="O9" i="28"/>
  <c r="P9" i="28"/>
  <c r="Q9" i="28"/>
  <c r="R9" i="28"/>
  <c r="S9" i="28"/>
  <c r="T9" i="28"/>
  <c r="U9" i="28"/>
  <c r="X9" i="28"/>
  <c r="AA9" i="28"/>
  <c r="AB9" i="28"/>
  <c r="AC9" i="28"/>
  <c r="AH9" i="28"/>
  <c r="AI9" i="28"/>
  <c r="AJ9" i="28"/>
  <c r="AK9" i="28"/>
  <c r="AL9" i="28"/>
  <c r="AM9" i="28"/>
  <c r="AN9" i="28"/>
  <c r="AO9" i="28"/>
  <c r="AP9" i="28"/>
  <c r="AQ9" i="28"/>
  <c r="AR9" i="28"/>
  <c r="AS9" i="28"/>
  <c r="BF9" i="28"/>
  <c r="D10" i="28"/>
  <c r="I10" i="28"/>
  <c r="J10" i="28"/>
  <c r="K10" i="28"/>
  <c r="L10" i="28"/>
  <c r="M10" i="28"/>
  <c r="N10" i="28"/>
  <c r="O10" i="28"/>
  <c r="P10" i="28"/>
  <c r="Q10" i="28"/>
  <c r="R10" i="28"/>
  <c r="S10" i="28"/>
  <c r="T10" i="28"/>
  <c r="U10" i="28"/>
  <c r="X10" i="28"/>
  <c r="AA10" i="28"/>
  <c r="AB10" i="28"/>
  <c r="AC10" i="28"/>
  <c r="AH10" i="28"/>
  <c r="AI10" i="28"/>
  <c r="AJ10" i="28"/>
  <c r="AK10" i="28"/>
  <c r="AL10" i="28"/>
  <c r="AM10" i="28"/>
  <c r="AN10" i="28"/>
  <c r="AO10" i="28"/>
  <c r="AP10" i="28"/>
  <c r="AQ10" i="28"/>
  <c r="AR10" i="28"/>
  <c r="AS10" i="28"/>
  <c r="BF10" i="28"/>
  <c r="D11" i="28"/>
  <c r="I11" i="28"/>
  <c r="J11" i="28"/>
  <c r="K11" i="28"/>
  <c r="L11" i="28"/>
  <c r="M11" i="28"/>
  <c r="N11" i="28"/>
  <c r="O11" i="28"/>
  <c r="P11" i="28"/>
  <c r="Q11" i="28"/>
  <c r="R11" i="28"/>
  <c r="S11" i="28"/>
  <c r="T11" i="28"/>
  <c r="U11" i="28"/>
  <c r="X11" i="28"/>
  <c r="AA11" i="28"/>
  <c r="AB11" i="28"/>
  <c r="AC11" i="28"/>
  <c r="AH11" i="28"/>
  <c r="AI11" i="28"/>
  <c r="AJ11" i="28"/>
  <c r="AK11" i="28"/>
  <c r="AL11" i="28"/>
  <c r="AM11" i="28"/>
  <c r="AN11" i="28"/>
  <c r="AO11" i="28"/>
  <c r="AP11" i="28"/>
  <c r="AQ11" i="28"/>
  <c r="AR11" i="28"/>
  <c r="AS11" i="28"/>
  <c r="BF11" i="28"/>
  <c r="D12" i="28"/>
  <c r="I12" i="28"/>
  <c r="J12" i="28"/>
  <c r="K12" i="28"/>
  <c r="L12" i="28"/>
  <c r="M12" i="28"/>
  <c r="N12" i="28"/>
  <c r="O12" i="28"/>
  <c r="P12" i="28"/>
  <c r="Q12" i="28"/>
  <c r="R12" i="28"/>
  <c r="S12" i="28"/>
  <c r="T12" i="28"/>
  <c r="U12" i="28"/>
  <c r="X12" i="28"/>
  <c r="AA12" i="28"/>
  <c r="AB12" i="28"/>
  <c r="AC12" i="28"/>
  <c r="AH12" i="28"/>
  <c r="AI12" i="28"/>
  <c r="AJ12" i="28"/>
  <c r="AK12" i="28"/>
  <c r="AL12" i="28"/>
  <c r="AM12" i="28"/>
  <c r="AN12" i="28"/>
  <c r="AO12" i="28"/>
  <c r="AP12" i="28"/>
  <c r="AQ12" i="28"/>
  <c r="AR12" i="28"/>
  <c r="AS12" i="28"/>
  <c r="BF12" i="28"/>
  <c r="D13" i="28"/>
  <c r="I13" i="28"/>
  <c r="J13" i="28"/>
  <c r="K13" i="28"/>
  <c r="L13" i="28"/>
  <c r="M13" i="28"/>
  <c r="N13" i="28"/>
  <c r="O13" i="28"/>
  <c r="P13" i="28"/>
  <c r="Q13" i="28"/>
  <c r="R13" i="28"/>
  <c r="S13" i="28"/>
  <c r="T13" i="28"/>
  <c r="U13" i="28"/>
  <c r="X13" i="28"/>
  <c r="Z13" i="28"/>
  <c r="AA13" i="28"/>
  <c r="AB13" i="28"/>
  <c r="AC13" i="28"/>
  <c r="AD13" i="28"/>
  <c r="AE13" i="28"/>
  <c r="AF13" i="28"/>
  <c r="AH13" i="28"/>
  <c r="AI13" i="28"/>
  <c r="AJ13" i="28"/>
  <c r="AK13" i="28"/>
  <c r="AL13" i="28"/>
  <c r="AM13" i="28"/>
  <c r="AN13" i="28"/>
  <c r="AO13" i="28"/>
  <c r="AP13" i="28"/>
  <c r="AQ13" i="28"/>
  <c r="AR13" i="28"/>
  <c r="AS13" i="28"/>
  <c r="AU13" i="28"/>
  <c r="BF13" i="28"/>
  <c r="D14" i="28"/>
  <c r="AS14" i="28"/>
  <c r="BF14" i="28"/>
  <c r="D15" i="28"/>
  <c r="AS15" i="28"/>
  <c r="BF15" i="28"/>
  <c r="AW16" i="28"/>
  <c r="AX16" i="28"/>
  <c r="AY16" i="28"/>
  <c r="AZ16" i="28"/>
  <c r="BA16" i="28"/>
  <c r="BB16" i="28"/>
  <c r="BC16" i="28"/>
  <c r="BD16" i="28"/>
  <c r="BE16" i="28"/>
  <c r="D5" i="27"/>
  <c r="H13" i="27" l="1"/>
  <c r="H12" i="27"/>
  <c r="G5" i="27"/>
  <c r="AG13" i="29"/>
  <c r="AC10" i="29"/>
  <c r="BF16" i="28"/>
  <c r="AG7" i="29"/>
  <c r="AG6" i="29"/>
  <c r="AC6" i="29"/>
  <c r="AB16" i="29"/>
  <c r="AA16" i="29"/>
  <c r="Z16" i="29"/>
  <c r="AC7" i="29"/>
  <c r="S7" i="29"/>
  <c r="AC12" i="29"/>
  <c r="AC8" i="29"/>
  <c r="Q16" i="29"/>
  <c r="AC11" i="29"/>
  <c r="P16" i="29"/>
  <c r="O16" i="29"/>
  <c r="AC13" i="29"/>
  <c r="AC9" i="29"/>
  <c r="T16" i="29"/>
  <c r="S6" i="29"/>
  <c r="AD16" i="29"/>
  <c r="AV13" i="28"/>
  <c r="AG13" i="28"/>
  <c r="W7" i="28"/>
  <c r="AG8" i="28"/>
  <c r="AV8" i="28"/>
  <c r="G5" i="30"/>
  <c r="I16" i="29"/>
  <c r="G14" i="27" l="1"/>
  <c r="H5" i="27"/>
  <c r="H14" i="27" s="1"/>
  <c r="H5" i="30"/>
  <c r="D6" i="27"/>
  <c r="D7" i="27"/>
  <c r="D8" i="27"/>
  <c r="D9" i="27"/>
  <c r="D10" i="27"/>
  <c r="D11" i="27"/>
  <c r="D12" i="27"/>
  <c r="G12" i="30" l="1"/>
  <c r="D13" i="27"/>
  <c r="G13" i="30" l="1"/>
  <c r="H13" i="30" s="1"/>
  <c r="H12" i="30"/>
  <c r="D5" i="26"/>
  <c r="T15" i="26" l="1"/>
  <c r="T14" i="26"/>
  <c r="AE15" i="26"/>
  <c r="K14" i="26"/>
  <c r="U14" i="26"/>
  <c r="W15" i="26"/>
  <c r="H14" i="26"/>
  <c r="L15" i="26"/>
  <c r="J15" i="26"/>
  <c r="R15" i="26"/>
  <c r="V15" i="26"/>
  <c r="U15" i="26"/>
  <c r="K15" i="26"/>
  <c r="R14" i="26"/>
  <c r="I15" i="26"/>
  <c r="I14" i="26"/>
  <c r="I13" i="26"/>
  <c r="J14" i="26"/>
  <c r="AF18" i="26" a="1"/>
  <c r="AF18" i="26" s="1"/>
  <c r="AE14" i="26"/>
  <c r="W14" i="26"/>
  <c r="H15" i="26"/>
  <c r="R18" i="26" a="1"/>
  <c r="R18" i="26" s="1"/>
  <c r="G18" i="26" a="1"/>
  <c r="G18" i="26" s="1"/>
  <c r="V14" i="26"/>
  <c r="L14" i="26"/>
  <c r="G13" i="26"/>
  <c r="T13" i="26" a="1"/>
  <c r="T13" i="26" s="1"/>
  <c r="AF5" i="26" a="1"/>
  <c r="AF5" i="26" s="1"/>
  <c r="R5" i="26"/>
  <c r="G5" i="26"/>
  <c r="H5" i="26" s="1"/>
  <c r="G12" i="26"/>
  <c r="H12" i="26" s="1"/>
  <c r="G11" i="26"/>
  <c r="H11" i="26" s="1"/>
  <c r="G9" i="26"/>
  <c r="H9" i="26" s="1"/>
  <c r="R10" i="26"/>
  <c r="S10" i="26" s="1"/>
  <c r="W5" i="26" a="1"/>
  <c r="W5" i="26" s="1"/>
  <c r="U5" i="26" a="1"/>
  <c r="U5" i="26" s="1"/>
  <c r="R13" i="26"/>
  <c r="R12" i="26"/>
  <c r="S12" i="26" s="1"/>
  <c r="R11" i="26"/>
  <c r="S11" i="26" s="1"/>
  <c r="G8" i="26"/>
  <c r="H8" i="26" s="1"/>
  <c r="G10" i="26"/>
  <c r="H10" i="26" s="1"/>
  <c r="V5" i="26" a="1"/>
  <c r="V5" i="26" s="1"/>
  <c r="AF13" i="26" a="1"/>
  <c r="AF13" i="26" s="1"/>
  <c r="AG13" i="26" s="1"/>
  <c r="J5" i="26"/>
  <c r="R9" i="26"/>
  <c r="S9" i="26" s="1"/>
  <c r="AF9" i="26" a="1"/>
  <c r="AF9" i="26" s="1"/>
  <c r="AG9" i="26" s="1"/>
  <c r="AF7" i="26" a="1"/>
  <c r="AF7" i="26" s="1"/>
  <c r="AG7" i="26" s="1"/>
  <c r="K5" i="26"/>
  <c r="AF12" i="26" a="1"/>
  <c r="AF12" i="26" s="1"/>
  <c r="AG12" i="26" s="1"/>
  <c r="R8" i="26"/>
  <c r="S8" i="26" s="1"/>
  <c r="AF11" i="26" a="1"/>
  <c r="AF11" i="26" s="1"/>
  <c r="AG11" i="26" s="1"/>
  <c r="AF10" i="26" a="1"/>
  <c r="AF10" i="26" s="1"/>
  <c r="AG10" i="26" s="1"/>
  <c r="AF8" i="26" a="1"/>
  <c r="AF8" i="26" s="1"/>
  <c r="AG8" i="26" s="1"/>
  <c r="L5" i="26"/>
  <c r="AE5" i="26" a="1"/>
  <c r="AE5" i="26" s="1"/>
  <c r="H14" i="30"/>
  <c r="G14" i="30"/>
  <c r="G5" i="29"/>
  <c r="W16" i="26" l="1"/>
  <c r="L16" i="26"/>
  <c r="V16" i="26"/>
  <c r="AG14" i="26"/>
  <c r="J16" i="26"/>
  <c r="S5" i="26"/>
  <c r="R16" i="26"/>
  <c r="T16" i="26"/>
  <c r="AC13" i="26"/>
  <c r="G16" i="26"/>
  <c r="H13" i="26"/>
  <c r="H16" i="26" s="1"/>
  <c r="S13" i="26"/>
  <c r="I16" i="26"/>
  <c r="AG5" i="26"/>
  <c r="AE16" i="26"/>
  <c r="S14" i="26"/>
  <c r="K16" i="26"/>
  <c r="U16" i="26"/>
  <c r="AC5" i="26"/>
  <c r="S15" i="26"/>
  <c r="AG15" i="26"/>
  <c r="AC14" i="26"/>
  <c r="AC15" i="26"/>
  <c r="R5" i="29"/>
  <c r="N5" i="29"/>
  <c r="M5" i="29"/>
  <c r="L5" i="29"/>
  <c r="K5" i="29"/>
  <c r="J5" i="29"/>
  <c r="H5" i="29"/>
  <c r="AF16" i="26" l="1"/>
  <c r="AC16" i="26"/>
  <c r="S16" i="26"/>
  <c r="AG16" i="26"/>
  <c r="S5" i="29"/>
  <c r="Y5" i="29" l="1"/>
  <c r="X5" i="29"/>
  <c r="W5" i="29"/>
  <c r="V5" i="29"/>
  <c r="U5" i="29"/>
  <c r="AF5" i="29" l="1"/>
  <c r="AE5" i="29"/>
  <c r="AC5" i="29"/>
  <c r="D6" i="26"/>
  <c r="D7" i="26"/>
  <c r="D8" i="26"/>
  <c r="G8" i="29" l="1"/>
  <c r="AG5" i="29"/>
  <c r="R8" i="29" l="1"/>
  <c r="H8" i="29"/>
  <c r="S8" i="29" l="1"/>
  <c r="AF8" i="29" l="1"/>
  <c r="D9" i="26"/>
  <c r="G9" i="29" l="1"/>
  <c r="AG8" i="29"/>
  <c r="R9" i="29" l="1"/>
  <c r="H9" i="29"/>
  <c r="S9" i="29" l="1"/>
  <c r="AF9" i="29" l="1"/>
  <c r="D10" i="26"/>
  <c r="G10" i="29" l="1"/>
  <c r="AG9" i="29"/>
  <c r="R10" i="29" l="1"/>
  <c r="H10" i="29"/>
  <c r="S10" i="29" l="1"/>
  <c r="AF10" i="29" l="1"/>
  <c r="D11" i="26"/>
  <c r="G11" i="29" l="1"/>
  <c r="AG10" i="29"/>
  <c r="R11" i="29" l="1"/>
  <c r="S11" i="29" s="1"/>
  <c r="H11" i="29"/>
  <c r="AF11" i="29" l="1"/>
  <c r="AG11" i="29" s="1"/>
  <c r="D12" i="26"/>
  <c r="G12" i="29" l="1"/>
  <c r="H12" i="29" s="1"/>
  <c r="R12" i="29" l="1"/>
  <c r="S12" i="29" s="1"/>
  <c r="AF12" i="29" l="1"/>
  <c r="AG12" i="29" s="1"/>
  <c r="D13" i="26"/>
  <c r="G13" i="29" l="1"/>
  <c r="H13" i="29" s="1"/>
  <c r="R13" i="29" l="1"/>
  <c r="S13" i="29" s="1"/>
  <c r="D14" i="26" l="1"/>
  <c r="H14" i="29" l="1"/>
  <c r="N14" i="29" l="1"/>
  <c r="M14" i="29"/>
  <c r="L14" i="29"/>
  <c r="K14" i="29"/>
  <c r="J14" i="29"/>
  <c r="Y14" i="29" l="1"/>
  <c r="X14" i="29"/>
  <c r="W14" i="29"/>
  <c r="V14" i="29"/>
  <c r="U14" i="29"/>
  <c r="S14" i="29"/>
  <c r="AF14" i="29" l="1"/>
  <c r="AE14" i="29"/>
  <c r="AC14" i="29"/>
  <c r="D15" i="26"/>
  <c r="G15" i="29" l="1"/>
  <c r="AG14" i="29"/>
  <c r="R15" i="29" l="1"/>
  <c r="R16" i="29" s="1"/>
  <c r="N15" i="29"/>
  <c r="N16" i="29" s="1"/>
  <c r="M15" i="29"/>
  <c r="M16" i="29" s="1"/>
  <c r="L15" i="29"/>
  <c r="L16" i="29" s="1"/>
  <c r="K15" i="29"/>
  <c r="K16" i="29" s="1"/>
  <c r="J15" i="29"/>
  <c r="H15" i="29"/>
  <c r="H16" i="29" s="1"/>
  <c r="G16" i="29"/>
  <c r="Y15" i="29" l="1"/>
  <c r="Y16" i="29" s="1"/>
  <c r="X15" i="29"/>
  <c r="X16" i="29" s="1"/>
  <c r="W15" i="29"/>
  <c r="W16" i="29" s="1"/>
  <c r="V15" i="29"/>
  <c r="V16" i="29" s="1"/>
  <c r="U15" i="29"/>
  <c r="S15" i="29"/>
  <c r="S16" i="29" s="1"/>
  <c r="J16" i="29"/>
  <c r="AF15" i="29" l="1"/>
  <c r="AF16" i="29" s="1"/>
  <c r="AE15" i="29"/>
  <c r="AC15" i="29"/>
  <c r="AC16" i="29" s="1"/>
  <c r="U16" i="29"/>
  <c r="D5" i="25"/>
  <c r="AG15" i="29" l="1"/>
  <c r="AG16" i="29" s="1"/>
  <c r="AE16" i="29"/>
  <c r="V5" i="28" l="1"/>
  <c r="U5" i="28"/>
  <c r="T5" i="28"/>
  <c r="S5" i="28"/>
  <c r="Q5" i="28"/>
  <c r="P5" i="28"/>
  <c r="I5" i="28"/>
  <c r="H5" i="28"/>
  <c r="W5" i="28" l="1"/>
  <c r="Y5" i="28" l="1"/>
  <c r="Y16" i="28" s="1"/>
  <c r="X5" i="28"/>
  <c r="AU5" i="28" l="1"/>
  <c r="AS5" i="28"/>
  <c r="AR5" i="28"/>
  <c r="AQ5" i="28"/>
  <c r="AP5" i="28"/>
  <c r="AO5" i="28"/>
  <c r="AN5" i="28"/>
  <c r="D6" i="25"/>
  <c r="AV5" i="28" l="1"/>
  <c r="D7" i="25" l="1"/>
  <c r="AF7" i="28" l="1"/>
  <c r="AE7" i="28"/>
  <c r="AD7" i="28"/>
  <c r="Z7" i="28"/>
  <c r="AU7" i="28" l="1"/>
  <c r="AG7" i="28"/>
  <c r="BF7" i="25"/>
  <c r="D8" i="25"/>
  <c r="G8" i="28" l="1"/>
  <c r="AV7" i="28"/>
  <c r="V8" i="28" l="1"/>
  <c r="H8" i="28"/>
  <c r="W8" i="28" l="1"/>
  <c r="BF8" i="25"/>
  <c r="D9" i="25"/>
  <c r="G9" i="28" l="1"/>
  <c r="V9" i="28" l="1"/>
  <c r="H9" i="28"/>
  <c r="W9" i="28" l="1"/>
  <c r="AF9" i="28" l="1"/>
  <c r="AE9" i="28"/>
  <c r="AD9" i="28"/>
  <c r="Z9" i="28"/>
  <c r="AU9" i="28" l="1"/>
  <c r="AG9" i="28"/>
  <c r="BF9" i="25"/>
  <c r="D10" i="25"/>
  <c r="G10" i="28" l="1"/>
  <c r="AV9" i="28"/>
  <c r="V10" i="28" l="1"/>
  <c r="H10" i="28"/>
  <c r="W10" i="28" l="1"/>
  <c r="AF10" i="28" l="1"/>
  <c r="AE10" i="28"/>
  <c r="AD10" i="28"/>
  <c r="Z10" i="28"/>
  <c r="AU10" i="28" l="1"/>
  <c r="AG10" i="28"/>
  <c r="BF10" i="25"/>
  <c r="D11" i="25"/>
  <c r="G11" i="28" l="1"/>
  <c r="AV10" i="28"/>
  <c r="V11" i="28" l="1"/>
  <c r="W11" i="28" s="1"/>
  <c r="H11" i="28"/>
  <c r="AF11" i="28" l="1"/>
  <c r="AE11" i="28"/>
  <c r="AD11" i="28"/>
  <c r="Z11" i="28"/>
  <c r="AU11" i="28" l="1"/>
  <c r="AV11" i="28" s="1"/>
  <c r="AG11" i="28"/>
  <c r="BF11" i="25"/>
  <c r="D12" i="25"/>
  <c r="G12" i="28" l="1"/>
  <c r="H12" i="28" s="1"/>
  <c r="V12" i="28" l="1"/>
  <c r="W12" i="28" s="1"/>
  <c r="AF12" i="28" l="1"/>
  <c r="AE12" i="28"/>
  <c r="AD12" i="28"/>
  <c r="Z12" i="28"/>
  <c r="AU12" i="28" l="1"/>
  <c r="AV12" i="28" s="1"/>
  <c r="AG12" i="28"/>
  <c r="BF12" i="25"/>
  <c r="D13" i="25"/>
  <c r="G13" i="28" l="1"/>
  <c r="H13" i="28" s="1"/>
  <c r="V13" i="28" l="1"/>
  <c r="W13" i="28" s="1"/>
  <c r="BF13" i="25" l="1"/>
  <c r="D14" i="25"/>
  <c r="G14" i="28" l="1"/>
  <c r="H14" i="28" s="1"/>
  <c r="V14" i="28" l="1"/>
  <c r="U14" i="28"/>
  <c r="T14" i="28"/>
  <c r="S14" i="28"/>
  <c r="R14" i="28"/>
  <c r="Q14" i="28"/>
  <c r="P14" i="28"/>
  <c r="O14" i="28"/>
  <c r="N14" i="28"/>
  <c r="M14" i="28"/>
  <c r="L14" i="28"/>
  <c r="K14" i="28"/>
  <c r="J14" i="28"/>
  <c r="I14" i="28"/>
  <c r="X14" i="28" l="1"/>
  <c r="W14" i="28"/>
  <c r="AR14" i="28" l="1"/>
  <c r="AQ14" i="28"/>
  <c r="AP14" i="28"/>
  <c r="AO14" i="28"/>
  <c r="AN14" i="28"/>
  <c r="BF14" i="25"/>
  <c r="D15" i="25"/>
  <c r="U15" i="28" l="1"/>
  <c r="U16" i="28" s="1"/>
  <c r="T15" i="28"/>
  <c r="T16" i="28" s="1"/>
  <c r="S15" i="28"/>
  <c r="S16" i="28" s="1"/>
  <c r="R15" i="28"/>
  <c r="Q15" i="28"/>
  <c r="Q16" i="28" s="1"/>
  <c r="P15" i="28"/>
  <c r="P16" i="28" s="1"/>
  <c r="O15" i="28"/>
  <c r="N15" i="28"/>
  <c r="M15" i="28"/>
  <c r="L15" i="28"/>
  <c r="K15" i="28"/>
  <c r="J15" i="28"/>
  <c r="I15" i="28"/>
  <c r="H15" i="28"/>
  <c r="X15" i="28" l="1"/>
  <c r="W15" i="28"/>
  <c r="I16" i="28"/>
  <c r="AR15" i="28" l="1"/>
  <c r="AR16" i="28" s="1"/>
  <c r="AQ15" i="28"/>
  <c r="AQ16" i="28" s="1"/>
  <c r="AP15" i="28"/>
  <c r="AP16" i="28" s="1"/>
  <c r="AO15" i="28"/>
  <c r="AO16" i="28" s="1"/>
  <c r="AN15" i="28"/>
  <c r="X16" i="28"/>
  <c r="BF15" i="25"/>
  <c r="BF16" i="25" s="1"/>
  <c r="AW16" i="25"/>
  <c r="AX16" i="25"/>
  <c r="AY16" i="25"/>
  <c r="AZ16" i="25"/>
  <c r="BA16" i="25"/>
  <c r="BB16" i="25"/>
  <c r="BC16" i="25"/>
  <c r="BD16" i="25"/>
  <c r="BE16" i="25"/>
  <c r="AN16" i="28" l="1"/>
  <c r="AI15" i="28" l="1"/>
  <c r="AE14" i="28"/>
  <c r="AL15" i="28"/>
  <c r="AC15" i="28"/>
  <c r="AJ14" i="28"/>
  <c r="AF6" i="28"/>
  <c r="AA15" i="28"/>
  <c r="AB15" i="28"/>
  <c r="AE15" i="28"/>
  <c r="AI14" i="28"/>
  <c r="AD14" i="28"/>
  <c r="AL14" i="28"/>
  <c r="AC14" i="28"/>
  <c r="AK15" i="28"/>
  <c r="AJ15" i="28"/>
  <c r="AE6" i="28"/>
  <c r="AF14" i="28"/>
  <c r="AD15" i="28"/>
  <c r="AM15" i="28"/>
  <c r="AB14" i="28"/>
  <c r="AK14" i="28"/>
  <c r="AF15" i="28"/>
  <c r="AA14" i="28"/>
  <c r="AM14" i="28" l="1"/>
  <c r="AU14" i="28"/>
  <c r="G6" i="28"/>
  <c r="M6" i="28"/>
  <c r="M16" i="28" s="1"/>
  <c r="AE5" i="28"/>
  <c r="AA6" i="28"/>
  <c r="AA16" i="28" s="1"/>
  <c r="N6" i="28"/>
  <c r="N16" i="28" s="1"/>
  <c r="AU6" i="28"/>
  <c r="AC6" i="28"/>
  <c r="AC16" i="28" s="1"/>
  <c r="K6" i="28"/>
  <c r="K16" i="28" s="1"/>
  <c r="AI6" i="28"/>
  <c r="AI16" i="28" s="1"/>
  <c r="AM6" i="28"/>
  <c r="AH6" i="28"/>
  <c r="J6" i="28"/>
  <c r="J16" i="28" s="1"/>
  <c r="AK6" i="28"/>
  <c r="AK16" i="28" s="1"/>
  <c r="AJ6" i="28"/>
  <c r="AJ16" i="28" s="1"/>
  <c r="AS6" i="28"/>
  <c r="AS16" i="28" s="1"/>
  <c r="L6" i="28"/>
  <c r="L16" i="28" s="1"/>
  <c r="Z6" i="28"/>
  <c r="AB6" i="28"/>
  <c r="AB16" i="28" s="1"/>
  <c r="Z15" i="28"/>
  <c r="AG15" i="28" s="1"/>
  <c r="AL6" i="28"/>
  <c r="AL16" i="28" s="1"/>
  <c r="AH15" i="28"/>
  <c r="O6" i="28"/>
  <c r="O16" i="28" s="1"/>
  <c r="R6" i="28"/>
  <c r="R16" i="28" s="1"/>
  <c r="AD6" i="28"/>
  <c r="AD16" i="28" s="1"/>
  <c r="AH14" i="28"/>
  <c r="Z14" i="28"/>
  <c r="AG14" i="28" s="1"/>
  <c r="AF5" i="28"/>
  <c r="AF16" i="28" s="1"/>
  <c r="B3" i="10"/>
  <c r="AM16" i="28" l="1"/>
  <c r="AU16" i="28"/>
  <c r="AG5" i="28"/>
  <c r="AE16" i="28"/>
  <c r="V6" i="28"/>
  <c r="AH16" i="28"/>
  <c r="AV6" i="28"/>
  <c r="H6" i="28"/>
  <c r="H16" i="28" s="1"/>
  <c r="G16" i="28"/>
  <c r="AG6" i="28"/>
  <c r="Z16" i="28"/>
  <c r="AV15" i="28"/>
  <c r="AV14" i="28"/>
  <c r="AG16" i="28" l="1"/>
  <c r="AV16" i="28"/>
  <c r="W6" i="28"/>
  <c r="W16" i="28" s="1"/>
  <c r="V16" i="28"/>
  <c r="AV18"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tc={ECE5F496-0680-3E4B-8D7B-1FFBCAB138F6}</author>
    <author>tc={10E42624-3694-4A4C-BC5A-0A1108139DDD}</author>
  </authors>
  <commentList>
    <comment ref="V14" authorId="0" shapeId="0" xr:uid="{ECE5F496-0680-3E4B-8D7B-1FFBCAB138F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vérifier avec DELHOUSTAL si ce qui est dans la colonne R13 du TPRX remonte ici ou au TPRX</t>
      </text>
    </comment>
    <comment ref="R15" authorId="1" shapeId="0" xr:uid="{10E42624-3694-4A4C-BC5A-0A1108139DD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a enlevé le 5 JLD CIVIL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<sst xmlns="http://schemas.openxmlformats.org/spreadsheetml/2006/main" count="1840" uniqueCount="693">
  <si>
    <t>#! END_ROW</t>
  </si>
  <si>
    <t>#! FOR_EACH w stats</t>
  </si>
  <si>
    <t>#! DUMP_COLS days</t>
  </si>
  <si>
    <t>#! DUMP_COLS w.actions</t>
  </si>
  <si>
    <t>#! CONTINUE w</t>
  </si>
  <si>
    <t>#! END_LOOP w</t>
  </si>
  <si>
    <t>#! DUMP_COLS subtitles</t>
  </si>
  <si>
    <t>#! FINISH</t>
  </si>
  <si>
    <t>#! DUMP_COLS days1</t>
  </si>
  <si>
    <t>#! FOR_EACH x stats1</t>
  </si>
  <si>
    <t>#! END_LOOP x</t>
  </si>
  <si>
    <t>#! DUMP_COLS x.actions</t>
  </si>
  <si>
    <t>#` ${arrondissement}</t>
  </si>
  <si>
    <t>Magistrats hors placés</t>
  </si>
  <si>
    <t>Magistrats placés additionnels</t>
  </si>
  <si>
    <t>Magistrats placés de substitution</t>
  </si>
  <si>
    <t>Fonctionnaires hors placés</t>
  </si>
  <si>
    <t>Fonctionnaires placés additionnels</t>
  </si>
  <si>
    <t>Fonctionnaires placés de substitution</t>
  </si>
  <si>
    <t>Code</t>
  </si>
  <si>
    <t>#! FOR_EACH y agregat</t>
  </si>
  <si>
    <t>#! END_LOOP y</t>
  </si>
  <si>
    <t>## y.sub</t>
  </si>
  <si>
    <t>## y.global</t>
  </si>
  <si>
    <t>Selectionner une juridiction</t>
  </si>
  <si>
    <t>Pour toute question, n'hésitez pas à contacter l'équipe A-JUST : support-utilisateurs@a-just.fr</t>
  </si>
  <si>
    <t>SIEGE</t>
  </si>
  <si>
    <t>GREFFE</t>
  </si>
  <si>
    <t>EQUIPE AUTOUR DU MAGISTRAT</t>
  </si>
  <si>
    <t>Contractuels et vacataires</t>
  </si>
  <si>
    <t>TOTAL SIEGE</t>
  </si>
  <si>
    <t>TOTAL GREFFE</t>
  </si>
  <si>
    <t>Juridiction</t>
  </si>
  <si>
    <t>TJ</t>
  </si>
  <si>
    <t>JE</t>
  </si>
  <si>
    <t>JAP</t>
  </si>
  <si>
    <t>CPH</t>
  </si>
  <si>
    <t>TPROX</t>
  </si>
  <si>
    <t>JURISTE AS</t>
  </si>
  <si>
    <t>TOTAL ETPT</t>
  </si>
  <si>
    <t>Etpt placés de substitution</t>
  </si>
  <si>
    <t>166-PS-NC</t>
  </si>
  <si>
    <t>ETPT_TJ</t>
  </si>
  <si>
    <t>Etpt placés additionnels</t>
  </si>
  <si>
    <t>166-PA-NC</t>
  </si>
  <si>
    <t>Etpt autres personnels à reventiler (dont droit local,commercial- rcs, mise à disposition)</t>
  </si>
  <si>
    <t>166-NC-NC</t>
  </si>
  <si>
    <t>Action 99 - Personnel concourant au programme - à reventiler</t>
  </si>
  <si>
    <t>166-99-NC</t>
  </si>
  <si>
    <t>Action 8 - Support à l'accès au droit et à la justice</t>
  </si>
  <si>
    <t>166-08-NC</t>
  </si>
  <si>
    <t>Action 7 - Formation dispensée</t>
  </si>
  <si>
    <t>166-07-NC</t>
  </si>
  <si>
    <t>Action 6 - Soutien (Hors accueil du justiciable)</t>
  </si>
  <si>
    <t>166-06-NC</t>
  </si>
  <si>
    <t>Action 6 - Accueil du justiciable (inclus SAUJ)</t>
  </si>
  <si>
    <t>166-06-99</t>
  </si>
  <si>
    <t>Action 4 - Conseil supérieur de la magistrature</t>
  </si>
  <si>
    <t>166-04-NC</t>
  </si>
  <si>
    <t>Action 2 - Traitement et jugement des affaires pénales</t>
  </si>
  <si>
    <t>166-02-NC</t>
  </si>
  <si>
    <t>Action 1 - Traitement et jugement des contentieux civils</t>
  </si>
  <si>
    <t>166-01-NC</t>
  </si>
  <si>
    <t>Autres Magistrats du Parquet</t>
  </si>
  <si>
    <t>Magistrats du Parquet - activité contraventionnelle</t>
  </si>
  <si>
    <t>Magistrats du Parquet Cour criminelle</t>
  </si>
  <si>
    <t>Magistrats du Parquet assises</t>
  </si>
  <si>
    <t>Magistrats du Parquet JIRS sections spécialisées</t>
  </si>
  <si>
    <t>Magistrats du Parquet JIRS crim-org</t>
  </si>
  <si>
    <t>Magistrats du Parquet JIRS éco-fi</t>
  </si>
  <si>
    <t>Magistrats du Parquet - exécution et appl. des peines</t>
  </si>
  <si>
    <t>Magistrats du Parquet - activité civile et commerciale</t>
  </si>
  <si>
    <t>Autres Magistrats du Siège non spécialisés</t>
  </si>
  <si>
    <t>Activités non spécialisés des juges spécialisés</t>
  </si>
  <si>
    <t>JAF</t>
  </si>
  <si>
    <t>Juges du Pôle social</t>
  </si>
  <si>
    <t>Juges TJ  IP et Saisies Rém</t>
  </si>
  <si>
    <t>Juges TJ Contentieux général &lt; 10 000 EUR</t>
  </si>
  <si>
    <t>Magistrats activité juge départiteur</t>
  </si>
  <si>
    <t>Magistrats du Siège activité contraventionnelle</t>
  </si>
  <si>
    <t>Magistrat du siège sections spécialisées</t>
  </si>
  <si>
    <t>Magistrat du siège JIRS crim-org</t>
  </si>
  <si>
    <t>Magistrat du siège JIRS éco-fi</t>
  </si>
  <si>
    <t>Magistrats du siège Cour criminelle</t>
  </si>
  <si>
    <t>Magistrats du Siège assises</t>
  </si>
  <si>
    <t>JLD</t>
  </si>
  <si>
    <t>Juges des Enfants</t>
  </si>
  <si>
    <t>Juges Instruction sections spécialisées</t>
  </si>
  <si>
    <t>Juges Instruction JIRS crim-org</t>
  </si>
  <si>
    <t>Juges Instruction JIRS éco-fi</t>
  </si>
  <si>
    <t>Juges Instruction - service général</t>
  </si>
  <si>
    <t>JCP TJ surendettement et hors surendettement</t>
  </si>
  <si>
    <t>JCP TJ Tutelles majeurs</t>
  </si>
  <si>
    <t>Juristes assistants siège Autres</t>
  </si>
  <si>
    <t xml:space="preserve">Fonctionnaires hors fonctions spécifiques </t>
  </si>
  <si>
    <t>Fonctionnaires affectés aux pôles sociaux</t>
  </si>
  <si>
    <t>Fonctionnaires TJ Contentieux général &lt; 10 000 EUR</t>
  </si>
  <si>
    <t>Fonctionnaires TJ  IP_Saisies Rém</t>
  </si>
  <si>
    <t>Fonctionnaires affectés aux fonctions JI, JE, JAP, JLD</t>
  </si>
  <si>
    <t>Fonctionnaires TJ au surendettement et au hors surendettement</t>
  </si>
  <si>
    <t>Fonctionnaires TJ Tutelles majeurs</t>
  </si>
  <si>
    <t>Fonctionnaires sections spécialisées</t>
  </si>
  <si>
    <t>Fonctionnaires JIRS crim-org</t>
  </si>
  <si>
    <t>Fonctionnaires JIRS éco-fi</t>
  </si>
  <si>
    <t>Fonctionnaires Cour criminelle</t>
  </si>
  <si>
    <t>Fonctionnaires Assises</t>
  </si>
  <si>
    <t>Fonctionnaires exécution des peines</t>
  </si>
  <si>
    <t>Fonctionnaires activité civile et commerciale du parquet</t>
  </si>
  <si>
    <t>Fonctionnaires Catégorie C Technique spécialisés</t>
  </si>
  <si>
    <t>Action</t>
  </si>
  <si>
    <t>Code sous action</t>
  </si>
  <si>
    <t>Code de la juridiction</t>
  </si>
  <si>
    <t>UO</t>
  </si>
  <si>
    <t>AUTRES_PARQUET</t>
  </si>
  <si>
    <t>PARQUET_TI</t>
  </si>
  <si>
    <t>PQT_COUR_CRIM</t>
  </si>
  <si>
    <t>PARQUET_ASSISES</t>
  </si>
  <si>
    <t>PARQUET_JIRS_SS</t>
  </si>
  <si>
    <t>PARQUET_JIRS_CRIMO</t>
  </si>
  <si>
    <t>PARQUET_JIRS_ECOFI</t>
  </si>
  <si>
    <t>PARQUET_EXE_APP_PEINES</t>
  </si>
  <si>
    <t>PARQUET_ACTIVITE_CIV_COM</t>
  </si>
  <si>
    <t>AUTRES_JNS</t>
  </si>
  <si>
    <t>J_SPEC_ACT_NON_SPEC</t>
  </si>
  <si>
    <t>JAF_JNS</t>
  </si>
  <si>
    <t>JUGE_TASS_JNS</t>
  </si>
  <si>
    <t>JUGE_TJ_IP_SR</t>
  </si>
  <si>
    <t>JUGE_CTX_GEN_INF_DIX_MIL</t>
  </si>
  <si>
    <t>TI_ACT_J_DEPARTITEUR</t>
  </si>
  <si>
    <t>MAG_SIEGE_CONTRAV</t>
  </si>
  <si>
    <t>MAG_SIEGE_JIRS_SS</t>
  </si>
  <si>
    <t>MAG_SIEGE_JIRS_CRIMO</t>
  </si>
  <si>
    <t>MAG_SIEGE_JIRS_ECOFI</t>
  </si>
  <si>
    <t>JNS_COUR_CRIM</t>
  </si>
  <si>
    <t>MAG_SIEGE_ASSISES</t>
  </si>
  <si>
    <t>JLD_JNS</t>
  </si>
  <si>
    <t>J_INSTRUCTION_JIRS_SS</t>
  </si>
  <si>
    <t>J_INSTRUCTION_JIRS_CRIMO</t>
  </si>
  <si>
    <t>J_INSTRUCTION_JIRS_ECOFI</t>
  </si>
  <si>
    <t>J_INSTRUCTION</t>
  </si>
  <si>
    <t>JCP_TJ_SURENDETTEMENT</t>
  </si>
  <si>
    <t>JCP_TJ_TUT_MAJ</t>
  </si>
  <si>
    <t>JUR_ASS_SIEGE</t>
  </si>
  <si>
    <t>JUR_ASS_TASS</t>
  </si>
  <si>
    <t>JUR_ASS_PARQUET</t>
  </si>
  <si>
    <t>FONCTIONNAIRES_HORS_FONCT_SPEC</t>
  </si>
  <si>
    <t>FONC_P_SOC</t>
  </si>
  <si>
    <t>FONC_CTX_GEN_INF_DIX_MIL</t>
  </si>
  <si>
    <t>FONC_TJ_IP_SR</t>
  </si>
  <si>
    <t>FONC_TJ_SURENDETTEMENT</t>
  </si>
  <si>
    <t>FONC_TJ_TUT_MAJ</t>
  </si>
  <si>
    <t>FONCTIONNAIRES_JIRS_SS</t>
  </si>
  <si>
    <t>FONCTIONNAIRES_JIRS_CRIMO</t>
  </si>
  <si>
    <t>FONCTIONNAIRES_JIRS_ECOFI</t>
  </si>
  <si>
    <t>FONC_COUR_CRIM</t>
  </si>
  <si>
    <t>FONCTIONNAIRES_ASSISES</t>
  </si>
  <si>
    <t>FONCTIONNAIRES_BEX_APP</t>
  </si>
  <si>
    <t>FONCTIONNAIRES_ACTIVITE_CIV_PRQT</t>
  </si>
  <si>
    <t>FONCTIONNAIRES_C_TECHNIQUES_SPEC</t>
  </si>
  <si>
    <t>Total magistrats du parquet</t>
  </si>
  <si>
    <t>PRQT</t>
  </si>
  <si>
    <t>Total magistrats du siège non spécialisés</t>
  </si>
  <si>
    <t>SIEGE NS</t>
  </si>
  <si>
    <t>Total magistrats du siège spécialisés</t>
  </si>
  <si>
    <t>SIEGE S</t>
  </si>
  <si>
    <t>Total juristes assistants</t>
  </si>
  <si>
    <t>Total fonctionnaires administratifs</t>
  </si>
  <si>
    <t>A-B-CBUR</t>
  </si>
  <si>
    <t>Total fonctionnaires techniques</t>
  </si>
  <si>
    <t>CTECH</t>
  </si>
  <si>
    <t>DÉCLARATION ETPT TJ</t>
  </si>
  <si>
    <t>Attention : par défaut, l'activité pénale recensée au niveau des TPR est comptabilisée sur le TJ</t>
  </si>
  <si>
    <t>ETPT_TPRX</t>
  </si>
  <si>
    <t>Magistrats du TJ affectés au TPRX</t>
  </si>
  <si>
    <t>Magistrat TPRX sur activité déléguée du TJ : Autres contentieux</t>
  </si>
  <si>
    <t>Magistrat TPRX sur activité déléguée du TJ en matière de police</t>
  </si>
  <si>
    <t>Magistrat TPRX sur activité déléguée du TJ en matière correctionnelle</t>
  </si>
  <si>
    <t>Magistrat TPRX sur activité déléguée du TJ en matière : Tutelles mineurs</t>
  </si>
  <si>
    <t>Magistrat TPRX sur activité déléguée du TJ en matière : JAF</t>
  </si>
  <si>
    <t>Magistrats suivi tutelles majeurs et comptes</t>
  </si>
  <si>
    <t xml:space="preserve">Magistrats TPRX affectés au surendettement et au Hors surendettement </t>
  </si>
  <si>
    <t>Magistrats TPRX affectés aux saisies sur rémunération et IP</t>
  </si>
  <si>
    <t>Juges du Livre Foncier + Juge d'Instance RCS et Droit Local</t>
  </si>
  <si>
    <t>Fonctionnaires TPRX sur activité déléguèe du TJ : Autres contentieux</t>
  </si>
  <si>
    <t>Fonctionnaires TPRX sur activité déléguée du TJ en matière de police</t>
  </si>
  <si>
    <t>Fonctionnaires TPRX sur activité déléguée du TJ en matière  correctionnelle</t>
  </si>
  <si>
    <t>Fonctionnaires TPRX sur activité déléguée du TJ en matière : Tutelles mineurs</t>
  </si>
  <si>
    <t>Fonctionnaires TPRX sur activité déléguée du TJ en matière : JAF</t>
  </si>
  <si>
    <t>Fonctionnaires TPRX tutelles majeurs et vérification des comptes</t>
  </si>
  <si>
    <t>Fonctionnaires TPRX affectés au surendettement et au Hors surendettement</t>
  </si>
  <si>
    <t>Fonctionnaires TPRX IP, Saisies rém, Nationalité, actes de greffe, etc.</t>
  </si>
  <si>
    <t>Fonctionnaires TPRX, Droit Local, Livre foncier, RCS,etc.</t>
  </si>
  <si>
    <t>MAGISTRATS_TGI_TI</t>
  </si>
  <si>
    <t>MAGISTRAT_TPRX_AUT_CTX_TJ</t>
  </si>
  <si>
    <t>MAGISTRAT_TPRX_POLICE</t>
  </si>
  <si>
    <t>MAGISTRAT_TPRX_CORREC</t>
  </si>
  <si>
    <t>MAGISTRAT_TPRX_TUT_MIN</t>
  </si>
  <si>
    <t>MAGISTRAT_TPRX_JAF</t>
  </si>
  <si>
    <t>MAGISTRATS_TI_TUTELLES</t>
  </si>
  <si>
    <t>MAGISTRATS_TI_SURENDET</t>
  </si>
  <si>
    <t>MAGISTRATS_TI_SR_IP</t>
  </si>
  <si>
    <t>JUGE_LIVRE_FONCIER_JNS</t>
  </si>
  <si>
    <t>FONC_TPRX_AUT_CTX_TJ</t>
  </si>
  <si>
    <t>FONC_TPRX_POLICE</t>
  </si>
  <si>
    <t>FONC_TPRX_CORREC</t>
  </si>
  <si>
    <t>FONC_TPRX_TUT_MIN</t>
  </si>
  <si>
    <t>FONC_TPRX_JAF</t>
  </si>
  <si>
    <t>FONCTIONNAIRES_TI_TUTELLES</t>
  </si>
  <si>
    <t>FONCTIONNAIRES_TI_SURENDET</t>
  </si>
  <si>
    <t>FONCTIONNAIRES_TI_AG_PACS_NAT</t>
  </si>
  <si>
    <t>FONCTIONNAIRES_TI_DRT_LOCAL_RCS</t>
  </si>
  <si>
    <t>Total magistrats du siège autres activités</t>
  </si>
  <si>
    <t>SIEGE  S</t>
  </si>
  <si>
    <t>Total magistrats du siège activités spécifiques</t>
  </si>
  <si>
    <t xml:space="preserve">DÉCLARATION ETPT TPRX
</t>
  </si>
  <si>
    <t>ETPT_CPH</t>
  </si>
  <si>
    <t>DÉCLARATION ETPT CPH</t>
  </si>
  <si>
    <t xml:space="preserve">                Agrégats DDG</t>
  </si>
  <si>
    <t xml:space="preserve">                  Extracteur de données d'effectifs</t>
  </si>
  <si>
    <t>CPH détachés</t>
  </si>
  <si>
    <t xml:space="preserve">  </t>
  </si>
  <si>
    <t>Bienvenue dans l'extraction de vos données d'effectifs !</t>
  </si>
  <si>
    <t>Ce fichier Excel a été extrait automatiquement de votre application A-JUST. Retrouvez ci-dessous quelques indications pour y naviguer en toute fluidité.</t>
  </si>
  <si>
    <t>Nom de l'onglet</t>
  </si>
  <si>
    <t>Description rapide</t>
  </si>
  <si>
    <t>Usage</t>
  </si>
  <si>
    <t>Pour une présentation complète</t>
  </si>
  <si>
    <t>ETPT A-JUST</t>
  </si>
  <si>
    <t>Retrouvez le détail des ventilations individuelles de chaque agent, agrégées sur la période pour laquelle vous avez extrait les données, à l'identique de ce que vous avez renseigné dans A-JUST.</t>
  </si>
  <si>
    <t xml:space="preserve">Tout au long de l'année, consultez le détail des affectations de chaque agent, calculées en ETPT, pour la période choisie. </t>
  </si>
  <si>
    <t>ETPT Format DDG</t>
  </si>
  <si>
    <t xml:space="preserve">Vous y trouverez les données individuelles, retraitées conformément aux règles de calcul de la Chancellerie, en procédant à la réintégration de certaines indisponibilités considérées comme de l'absentéisme, ne déduisant pas d'ETPT. </t>
  </si>
  <si>
    <t>Afin de préparer la collecte de vos ETPT dans les matrices de la DSJ certaines précisions doivent être apportées dans cet onglet.</t>
  </si>
  <si>
    <t>Agrégats DDG</t>
  </si>
  <si>
    <t>Pour chaque juridiction de l'arrondissement judiciaire, cette synthèse présente les ETPT affectés, par catégorie d'agent, à chaque contentieux ou sous-contentieux, l'absentéisme étant réintégré comme dans l'onglet "ETPT Format DDG".</t>
  </si>
  <si>
    <t>N'hésitez pas à la consulter toute l'année, pour les périodes de votre choix.</t>
  </si>
  <si>
    <t>ETPT_TJ_DDG</t>
  </si>
  <si>
    <t>Les tableaux de la Chancellerie, préremplis grâce aux informations saisies dans A-JUST et aux précisions apportées dans l'onglet ETPT Format DDG.
Pour les Tribunaux de proximité et CPH, sélectionnez la juridiction dans la cellule D5 et vos tableaux seront prêts !</t>
  </si>
  <si>
    <t>Ces données sont prérenseignées dans les tableaux de collecte des ETPT de la Chancellerie mais restent soumises à votre contrôle et éventuels ajustements avant transmission.</t>
  </si>
  <si>
    <t>ETPT_TPRX-DDG</t>
  </si>
  <si>
    <t>ETPT_CPH_DDG</t>
  </si>
  <si>
    <r>
      <rPr>
        <b/>
        <sz val="11"/>
        <color theme="1"/>
        <rFont val="Calibri"/>
        <family val="2"/>
        <scheme val="minor"/>
      </rPr>
      <t>Ce fichier</t>
    </r>
    <r>
      <rPr>
        <sz val="11"/>
        <color theme="1"/>
        <rFont val="Calibri"/>
        <family val="2"/>
        <scheme val="minor"/>
      </rPr>
      <t>, permettant de remplir automatiquement les tableaux de collecte d'ETPT de la Chancellerie à partir des données A-JUST,</t>
    </r>
    <r>
      <rPr>
        <b/>
        <sz val="11"/>
        <color theme="1"/>
        <rFont val="Calibri"/>
        <family val="2"/>
        <scheme val="minor"/>
      </rPr>
      <t xml:space="preserve"> résulte de la collaboration de l'équipe de la start-up d'Etat A-JUST avec Mme Nathalie DE JONG</t>
    </r>
    <r>
      <rPr>
        <sz val="11"/>
        <color theme="1"/>
        <rFont val="Calibri"/>
        <family val="2"/>
        <scheme val="minor"/>
      </rPr>
      <t xml:space="preserve">, statisticienne du SAIR de la </t>
    </r>
    <r>
      <rPr>
        <b/>
        <sz val="11"/>
        <color theme="1"/>
        <rFont val="Calibri"/>
        <family val="2"/>
        <scheme val="minor"/>
      </rPr>
      <t>Cour d'Appel de LYON</t>
    </r>
    <r>
      <rPr>
        <sz val="11"/>
        <color theme="1"/>
        <rFont val="Calibri"/>
        <family val="2"/>
        <scheme val="minor"/>
      </rPr>
      <t xml:space="preserve">. </t>
    </r>
    <r>
      <rPr>
        <b/>
        <sz val="11"/>
        <color theme="1"/>
        <rFont val="Calibri"/>
        <family val="2"/>
        <scheme val="minor"/>
      </rPr>
      <t>Qu'elle soit ici vivement remerciée</t>
    </r>
    <r>
      <rPr>
        <sz val="11"/>
        <color theme="1"/>
        <rFont val="Calibri"/>
        <family val="2"/>
        <scheme val="minor"/>
      </rPr>
      <t xml:space="preserve">, ainsi que sa hiérarchie qui l'a autorisée à consacrer un temps aussi précieux qu'irremplaçable à écrire les formules de calcul permettant d'automatiser l'alimentation des tableaux DDG et faire ainsi gagner à nos utilisateurs un temps considérable chaque année. </t>
    </r>
  </si>
  <si>
    <t>#! HYPERLINK firstLink.label firstLink.url</t>
  </si>
  <si>
    <t>#! HYPERLINK secondLink.label secondLink.url</t>
  </si>
  <si>
    <t>#! HYPERLINK thirdLink.label thirdLink.url</t>
  </si>
  <si>
    <r>
      <rPr>
        <b/>
        <sz val="12"/>
        <color rgb="FF2D46E0"/>
        <rFont val="Calibri"/>
        <family val="2"/>
        <scheme val="minor"/>
      </rPr>
      <t>→ Sélectionner la juridiction souhaitée à partir du menu déroulant qui se trouve dans la cellule D5 identifiée en</t>
    </r>
    <r>
      <rPr>
        <b/>
        <sz val="12"/>
        <color rgb="FF860000"/>
        <rFont val="Calibri"/>
        <family val="2"/>
        <scheme val="minor"/>
      </rPr>
      <t xml:space="preserve"> </t>
    </r>
    <r>
      <rPr>
        <b/>
        <sz val="12"/>
        <color theme="5"/>
        <rFont val="Calibri"/>
        <family val="2"/>
        <scheme val="minor"/>
      </rPr>
      <t>orange.</t>
    </r>
  </si>
  <si>
    <t>%age de l'ETPT</t>
  </si>
  <si>
    <t>## y.global1</t>
  </si>
  <si>
    <t>## y.sub1</t>
  </si>
  <si>
    <t>Indisponibilité des placés à reporter sur la cour, ligne "Etpt placés absents non affectés", colonne "Autres Magistrats du Siège non spécialisés"</t>
  </si>
  <si>
    <t>Indisponibilité des placés à reporter sur le SAR, ligne "Etpt placés absents non affectés", colonne C-TECH</t>
  </si>
  <si>
    <t>Indisponibilité des placés à reporter sur le SAR, ligne "Etpt placés absents non affectés", colonne ABC-BUR</t>
  </si>
  <si>
    <t>#! FOR_EACH f fonctions</t>
  </si>
  <si>
    <t>#! END_LOOP f</t>
  </si>
  <si>
    <t>## f.recodedFunction</t>
  </si>
  <si>
    <t>## f.category_detail</t>
  </si>
  <si>
    <t>## f.position</t>
  </si>
  <si>
    <t>## f.code</t>
  </si>
  <si>
    <t>## f.label</t>
  </si>
  <si>
    <t>## f.category_label</t>
  </si>
  <si>
    <t>#! DUMP_COLS subtitles1</t>
  </si>
  <si>
    <t>## f.CONCAT</t>
  </si>
  <si>
    <t>CONCAT</t>
  </si>
  <si>
    <t>Catégorie</t>
  </si>
  <si>
    <t>Label</t>
  </si>
  <si>
    <t>Position</t>
  </si>
  <si>
    <t>Fonction recodée DDG</t>
  </si>
  <si>
    <t>Fonction onglet agrégat</t>
  </si>
  <si>
    <t xml:space="preserve">
</t>
  </si>
  <si>
    <t xml:space="preserve">
</t>
  </si>
  <si>
    <t xml:space="preserve">
</t>
  </si>
  <si>
    <t>Total ETPT AJ_JA</t>
  </si>
  <si>
    <t>JUR_ASS_CH_SOC</t>
  </si>
  <si>
    <t>JA_CONT_A_JP</t>
  </si>
  <si>
    <t>CONT_A_JP_VIF_PARQUET</t>
  </si>
  <si>
    <t>JUR_ASS_JAP</t>
  </si>
  <si>
    <t>JUR_ASS_JE</t>
  </si>
  <si>
    <t>JUR_ASS_JINST</t>
  </si>
  <si>
    <t>JUR_ASS_JLD</t>
  </si>
  <si>
    <t>Sous action</t>
  </si>
  <si>
    <t>ETPT de contractuels a j prox et a vif</t>
  </si>
  <si>
    <t>ETPT juristes assistants siège autres</t>
  </si>
  <si>
    <t>ETPT de contractuels a j prox et a vif au parquet</t>
  </si>
  <si>
    <t>ETPT_ATTACHES_JUSTICE</t>
  </si>
  <si>
    <t xml:space="preserve">                 Déclaration des ETPT Attachés de Justice</t>
  </si>
  <si>
    <t>DÉCLARATION ETPT ATTACHES DE JUSTICE (JURISTES ASSISTANTS)</t>
  </si>
  <si>
    <r>
      <t xml:space="preserve">1. TOTAL CONTENTIEUX SOCIAL + 2. TOTAL CONTENTIEUX JAF + 3. TOTAL CONTENTIEUX DE LA PROTECTION + 4. TOTAL CIVIL NON SPÉCIALISÉ + 5. TOTAL JLD CIVIL + 6.1. ACTIVITÉ CIVILE +  11.7. FONCTIONNAIRES AFFECTÉS AU CPH
</t>
    </r>
    <r>
      <rPr>
        <b/>
        <sz val="10"/>
        <color rgb="FF0070C0"/>
        <rFont val="Arial"/>
        <family val="2"/>
      </rPr>
      <t xml:space="preserve">Fonction recodée = CONT A JP SIEGE + CONT A VIF SIEGE + CONT A JP PARQUET + CONT A VIF PARQUET
</t>
    </r>
    <r>
      <rPr>
        <sz val="10"/>
        <color theme="1"/>
        <rFont val="Arial"/>
        <family val="2"/>
      </rPr>
      <t xml:space="preserve">
</t>
    </r>
    <r>
      <rPr>
        <b/>
        <sz val="10"/>
        <color rgb="FFFF0000"/>
        <rFont val="Arial"/>
        <family val="2"/>
      </rPr>
      <t>Critère sur le TJ ou le TPROX ou le CPH</t>
    </r>
  </si>
  <si>
    <r>
      <t xml:space="preserve">11.8. FONCTIONNAIRES AFFECTÉS AUX ACTIVITÉS CIVILES ET COMMERCIALES DU PARQUET
</t>
    </r>
    <r>
      <rPr>
        <b/>
        <sz val="10"/>
        <color rgb="FF0070C0"/>
        <rFont val="Arial"/>
        <family val="2"/>
      </rPr>
      <t xml:space="preserve">Fonction recodée = Att.J/JA PARQUET + Att.J/JA SIEGE AUTRES + Att.J/JA SOCIAL + Att.J/JA JAP + Att.J/JA JE + Att.J/JA JI + Att.J/AJ JLD </t>
    </r>
    <r>
      <rPr>
        <sz val="10"/>
        <color theme="1"/>
        <rFont val="Arial"/>
        <family val="2"/>
      </rPr>
      <t xml:space="preserve">
</t>
    </r>
    <r>
      <rPr>
        <b/>
        <sz val="10"/>
        <color rgb="FFFF0000"/>
        <rFont val="Arial"/>
        <family val="2"/>
      </rPr>
      <t xml:space="preserve">
Critère sur le TJ ou le TPROX ou le CPH</t>
    </r>
  </si>
  <si>
    <r>
      <t xml:space="preserve">11.8. FONCTIONNAIRES AFFECTÉS AUX ACTIVITÉS CIVILES ET COMMERCIALES DU PARQUET
</t>
    </r>
    <r>
      <rPr>
        <b/>
        <sz val="10"/>
        <color rgb="FF0070C0"/>
        <rFont val="Arial"/>
        <family val="2"/>
      </rPr>
      <t>Fonction recodée = CONT A JP SIEGE + CONT A VIF SIEGE + CONT A JP PARQUET + CONT A VIF PARQUET</t>
    </r>
    <r>
      <rPr>
        <sz val="10"/>
        <color theme="1"/>
        <rFont val="Arial"/>
        <family val="2"/>
      </rPr>
      <t xml:space="preserve">
</t>
    </r>
    <r>
      <rPr>
        <b/>
        <sz val="10"/>
        <color rgb="FFFF0000"/>
        <rFont val="Arial"/>
        <family val="2"/>
      </rPr>
      <t xml:space="preserve">
Critère sur le TJ ou le TPROX ou le CPH</t>
    </r>
  </si>
  <si>
    <r>
      <t xml:space="preserve">6.1. ACTIVITÉ CIVILE
</t>
    </r>
    <r>
      <rPr>
        <b/>
        <sz val="10"/>
        <color rgb="FF0070C0"/>
        <rFont val="Arial"/>
        <family val="2"/>
      </rPr>
      <t>Fonction recodée = Att.J/JA PARQUET + Att.J/JA SIEGE AUTRES + Att.J/JA SOCIAL + Att.J/JA JAP + Att.J/JA JE + Att.J/JA JI + Att.J/AJ JLD</t>
    </r>
    <r>
      <rPr>
        <sz val="10"/>
        <color theme="1"/>
        <rFont val="Arial"/>
        <family val="2"/>
      </rPr>
      <t xml:space="preserve">
</t>
    </r>
    <r>
      <rPr>
        <b/>
        <sz val="10"/>
        <color rgb="FFFF0000"/>
        <rFont val="Arial"/>
        <family val="2"/>
      </rPr>
      <t>Critère sur le TJ ou le TPROX ou le CPH</t>
    </r>
  </si>
  <si>
    <r>
      <t xml:space="preserve">6.2. ACTIVITÉ PÉNALE + 7. TOTAL SIÈGE PÉNAL + 8. TOTAL JUGES D'INSTRUCTION + 
9. TOTAL JAP + 10. TOTAL JLD PÉNAL 
</t>
    </r>
    <r>
      <rPr>
        <b/>
        <sz val="10"/>
        <color rgb="FF0070C0"/>
        <rFont val="Arial"/>
        <family val="2"/>
      </rPr>
      <t xml:space="preserve">
Fonction recodée = CONT A JP SIEGE + CONT A VIF SIEGE + CONT A JP PARQUET + CONT A VIF PARQUET
</t>
    </r>
    <r>
      <rPr>
        <sz val="10"/>
        <color theme="1"/>
        <rFont val="Arial"/>
        <family val="2"/>
      </rPr>
      <t xml:space="preserve">
</t>
    </r>
    <r>
      <rPr>
        <b/>
        <sz val="10"/>
        <color rgb="FFFF0000"/>
        <rFont val="Arial"/>
        <family val="2"/>
      </rPr>
      <t>Critère sur le TJ ou le TPROX ou le CPH</t>
    </r>
  </si>
  <si>
    <r>
      <t xml:space="preserve"> 11.9. FONCTIONNAIRES AFFECTÉS À L'EXÉCUTION DES PEINES + 11.10 AUTRES FONCTIONNAIRES AFFECTÉS AU PARQUET 
</t>
    </r>
    <r>
      <rPr>
        <b/>
        <sz val="10"/>
        <color rgb="FF0070C0"/>
        <rFont val="Arial"/>
        <family val="2"/>
      </rPr>
      <t>Fonction recodée = Att.J/JA PARQUET + Att.J/JA SIEGE AUTRES + Att.J/JA SOCIAL + Att.J/JA JAP + Att.J/JA JE + Att.J/JA JI + Att.J/AJ JLD</t>
    </r>
    <r>
      <rPr>
        <sz val="10"/>
        <color theme="1"/>
        <rFont val="Arial"/>
        <family val="2"/>
      </rPr>
      <t xml:space="preserve">
</t>
    </r>
    <r>
      <rPr>
        <b/>
        <sz val="10"/>
        <color rgb="FFFF0000"/>
        <rFont val="Arial"/>
        <family val="2"/>
      </rPr>
      <t>Critère sur le TJ ou le TPROX ou le CPH</t>
    </r>
  </si>
  <si>
    <r>
      <t xml:space="preserve">11.9. FONCTIONNAIRES AFFECTÉS À L'EXÉCUTION DES PEINES + 11.10 AUTRES FONCTIONNAIRES AFFECTÉS AU PARQUET 
</t>
    </r>
    <r>
      <rPr>
        <b/>
        <sz val="10"/>
        <color rgb="FF0070C0"/>
        <rFont val="Arial"/>
        <family val="2"/>
      </rPr>
      <t>Fonction recodée = CONT A JP SIEGE + CONT A VIF SIEGE + CONT A JP PARQUET + CONT A VIF PARQUET</t>
    </r>
    <r>
      <rPr>
        <sz val="10"/>
        <color theme="1"/>
        <rFont val="Arial"/>
        <family val="2"/>
      </rPr>
      <t xml:space="preserve">
</t>
    </r>
    <r>
      <rPr>
        <b/>
        <sz val="10"/>
        <color rgb="FFFF0000"/>
        <rFont val="Arial"/>
        <family val="2"/>
      </rPr>
      <t>Critère sur le TJ ou le TPROX ou le CPH</t>
    </r>
  </si>
  <si>
    <r>
      <t xml:space="preserve">9. TOTAL JAP
</t>
    </r>
    <r>
      <rPr>
        <b/>
        <sz val="10"/>
        <color rgb="FF0070C0"/>
        <rFont val="Arial"/>
        <family val="2"/>
      </rPr>
      <t>Fonction recodée = Att.J/JA PARQUET + Att.J/JA SIEGE AUTRES + Att.J/JA SOCIAL + Att.J/JA JAP + Att.J/JA JE + Att.J/JA JI + Att.J/AJ JLD</t>
    </r>
    <r>
      <rPr>
        <sz val="10"/>
        <color theme="1"/>
        <rFont val="Arial"/>
        <family val="2"/>
      </rPr>
      <t xml:space="preserve">
</t>
    </r>
    <r>
      <rPr>
        <b/>
        <sz val="10"/>
        <color rgb="FFFF0000"/>
        <rFont val="Arial"/>
        <family val="2"/>
      </rPr>
      <t>Critère sur le TJ ou le TPROX ou le CPH</t>
    </r>
  </si>
  <si>
    <r>
      <t xml:space="preserve">6.2. ACTIVITÉ PÉNALE
</t>
    </r>
    <r>
      <rPr>
        <b/>
        <sz val="10"/>
        <color rgb="FF0070C0"/>
        <rFont val="Arial"/>
        <family val="2"/>
      </rPr>
      <t xml:space="preserve">
Fonction recodée = Att.J/JA PARQUET + Att.J/JA SIEGE AUTRES + Att.J/JA SOCIAL + Att.J/JA JAP + Att.J/JA JE + Att.J/JA JI + Att.J/AJ JLD
</t>
    </r>
    <r>
      <rPr>
        <sz val="10"/>
        <color theme="1"/>
        <rFont val="Arial"/>
        <family val="2"/>
      </rPr>
      <t xml:space="preserve">
</t>
    </r>
    <r>
      <rPr>
        <b/>
        <sz val="10"/>
        <color rgb="FFFF0000"/>
        <rFont val="Arial"/>
        <family val="2"/>
      </rPr>
      <t>Critère sur le TJ ou le TPROX ou le CPH</t>
    </r>
  </si>
  <si>
    <r>
      <t xml:space="preserve"> 8. TOTAL JUGES D'INSTRUCTION
</t>
    </r>
    <r>
      <rPr>
        <b/>
        <sz val="10"/>
        <color rgb="FF0070C0"/>
        <rFont val="Arial"/>
        <family val="2"/>
      </rPr>
      <t>Fonction recodée = Att.J/JA PARQUET + Att.J/JA SIEGE AUTRES + Att.J/JA SOCIAL + Att.J/JA JAP + Att.J/JA JE + Att.J/JA JI + Att.J/AJ JLD</t>
    </r>
    <r>
      <rPr>
        <sz val="10"/>
        <color theme="1"/>
        <rFont val="Arial"/>
        <family val="2"/>
      </rPr>
      <t xml:space="preserve">
</t>
    </r>
    <r>
      <rPr>
        <b/>
        <sz val="10"/>
        <color rgb="FFFF0000"/>
        <rFont val="Arial"/>
        <family val="2"/>
      </rPr>
      <t>Critère sur le TJ ou le TPROX ou le CPH</t>
    </r>
  </si>
  <si>
    <r>
      <t xml:space="preserve">10. TOTAL JLD PÉNAL
</t>
    </r>
    <r>
      <rPr>
        <b/>
        <sz val="10"/>
        <color rgb="FF0070C0"/>
        <rFont val="Arial"/>
        <family val="2"/>
      </rPr>
      <t>Fonction recodée = Att.J/JA PARQUET + Att.J/JA SIEGE AUTRES + Att.J/JA SOCIAL + Att.J/JA JAP + Att.J/JA JE + Att.J/JA JI + Att.J/AJ JLD</t>
    </r>
    <r>
      <rPr>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</si>
  <si>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CONT A JP SIEGE + CONT A VIF SIEGE</t>
    </r>
    <r>
      <rPr>
        <b/>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</si>
  <si>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</si>
  <si>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CONT A JP PARQUET + CONT A VIF PARQUET</t>
    </r>
    <r>
      <rPr>
        <b/>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</si>
  <si>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</si>
  <si>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</si>
  <si>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</si>
  <si>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11.51. ACCUEIL DU JUSTICIABLE (DONT SAUJ)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</si>
  <si>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 xml:space="preserve">Fonction recodée = CONT A JP SIEGE + CONT A VIF SIEGE
</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</si>
  <si>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</si>
  <si>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CONT A JP PARQUET + CONT A VIF PARQUET</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</si>
  <si>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</si>
  <si>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</si>
  <si>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</si>
  <si>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</si>
  <si>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 xml:space="preserve">Fonction recodée = CONT A JP SIEGE + CONT A VIF SIEGE
</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</si>
  <si>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</si>
  <si>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CONT A JP PARQUET + CONT A VIF PARQUET</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</si>
  <si>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</si>
  <si>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</si>
  <si>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</si>
  <si>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11.3. FORMATIONS DISPENSÉES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</si>
  <si>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CONT A JP SIEGE + CONT A VIF SIEGE</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</si>
  <si>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</si>
  <si>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CONT A JP PARQUET + CONT A VIF PARQUET</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</si>
  <si>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</si>
  <si>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</si>
  <si>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</si>
  <si>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11.4. ACCÈS AU DROIT ET À LA JUSTICE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</si>
  <si>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CONT A JP SIEGE + CONT A VIF SIEGE</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</si>
  <si>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</si>
  <si>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CONT A JP PARQUET + CONT A VIF PARQUET</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</si>
  <si>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</si>
  <si>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</si>
  <si>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</si>
  <si>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12. TOTAL des INDISPONIBILITÉS relevant de l'action 99 - 12.5. MISE À DISPOSITION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</si>
  <si>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CONT A JP SIEGE + CONT A VIF SIEGE</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</si>
  <si>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Att.J/JA PARQUET</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</si>
  <si>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CONT A JP PARQUET + CONT A VIF PARQUET</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</si>
  <si>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Att.J/JA JAP</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</si>
  <si>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Att.J/JA JE</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</si>
  <si>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Att.J/JA JI</t>
    </r>
    <r>
      <rPr>
        <sz val="10"/>
        <color theme="1"/>
        <rFont val="Arial"/>
        <family val="2"/>
      </rPr>
      <t xml:space="preserve">
</t>
    </r>
    <r>
      <rPr>
        <b/>
        <sz val="10"/>
        <color rgb="FFFF0000"/>
        <rFont val="Arial"/>
        <family val="2"/>
      </rPr>
      <t>Critère sur le TJ ou le TPROX ou le CPH</t>
    </r>
  </si>
  <si>
    <r>
      <t xml:space="preserve">12.5. MISE À DISPOSITION + 13. TOTAL CONTENTIEUX LOCAUX SPÉCIFIQUES
</t>
    </r>
    <r>
      <rPr>
        <b/>
        <sz val="10"/>
        <color rgb="FF0070C0"/>
        <rFont val="Arial"/>
        <family val="2"/>
      </rPr>
      <t>Fonction recodée = Att.J/JA JLD</t>
    </r>
    <r>
      <rPr>
        <sz val="10"/>
        <color theme="1"/>
        <rFont val="Arial"/>
        <family val="2"/>
      </rPr>
      <t xml:space="preserve">
</t>
    </r>
    <r>
      <rPr>
        <b/>
        <sz val="10"/>
        <color rgb="FFFF0000"/>
        <rFont val="Arial"/>
        <family val="2"/>
      </rPr>
      <t>Critère sur le TJ ou le TPROX ou le CPH</t>
    </r>
  </si>
  <si>
    <t>Les lignes à fond rouge invitent à des vérifications lors de l'établissement des tableaux de collecte pour les DDG. Pour plus d'informations sur les agents concernés, se référer à l'onglet ETPT Format DDG.</t>
  </si>
  <si>
    <t>ETPT_ATTACHES_JUSTICE_DDG</t>
  </si>
  <si>
    <r>
      <t>Attention : 
- par défaut, l'activité pénale recensée au niveau des TPRX est comptabilisée sur le TJ, tout comme les activités éventuellement déléguées dans les TPRX et le soutien des agents affectés au CPH</t>
    </r>
    <r>
      <rPr>
        <b/>
        <sz val="10"/>
        <color rgb="FF002060"/>
        <rFont val="Arial"/>
        <family val="2"/>
      </rPr>
      <t xml:space="preserve"> </t>
    </r>
    <r>
      <rPr>
        <sz val="10"/>
        <color rgb="FF002060"/>
        <rFont val="Arial"/>
        <family val="2"/>
      </rPr>
      <t>: si vous souhaitez affiner à ce niveau de détail, il vous appartient de déduire les ETPT concernés des rubriques afférentes du TJ pour les reporter manuellement dans les cases ad hoc du TPRX ou du CPH.</t>
    </r>
    <r>
      <rPr>
        <b/>
        <sz val="10"/>
        <color rgb="FFFF0000"/>
        <rFont val="Arial"/>
        <family val="2"/>
      </rPr>
      <t xml:space="preserve">
- les indisponibilités des fonctionnaires et magistrats placés figurant dans les cases vertes supra ne sont calculées qu'à titre indicatif </t>
    </r>
    <r>
      <rPr>
        <sz val="10"/>
        <color rgb="FF002060"/>
        <rFont val="Arial"/>
        <family val="2"/>
      </rPr>
      <t>pour pouvoir être éventuellement communiquées à la CA et au SAR, en charge de ces effectifs.</t>
    </r>
  </si>
  <si>
    <r>
      <t xml:space="preserve">Attention : par défaut, l'activité pénale recensée au niveau des TPRX est comptabilisée sur le TJ, tout comme les activités éventuellement déléguées dans les TPRX. 
</t>
    </r>
    <r>
      <rPr>
        <sz val="11"/>
        <color rgb="FF002060"/>
        <rFont val="Arial"/>
        <family val="2"/>
      </rPr>
      <t>Si des activités sont formellement déléguées du TJ au TPRX, ou si vous voulez faire apparaitre dans ce fichier les ETPT dédiés à l'activité pénale du TPRX, les ETPT correspondant doivent être manuellement reportés dans ce tableau et corrélativement soustraits des cases afférentes de l'onglet ETPT_TJ_DDG.</t>
    </r>
  </si>
  <si>
    <r>
      <t xml:space="preserve">11.7 Fonctionnaires affectés au CPH
</t>
    </r>
    <r>
      <rPr>
        <b/>
        <sz val="7"/>
        <color rgb="FF0070C0"/>
        <rFont val="Arial"/>
        <family val="2"/>
      </rPr>
      <t>(Pour Fonction recodée = Fonctionnaire A-B-CBUR)</t>
    </r>
    <r>
      <rPr>
        <sz val="7"/>
        <color rgb="FF333333"/>
        <rFont val="Arial"/>
        <family val="2"/>
      </rPr>
      <t xml:space="preserve">
</t>
    </r>
    <r>
      <rPr>
        <b/>
        <sz val="7"/>
        <color rgb="FFFF0000"/>
        <rFont val="Arial"/>
        <family val="2"/>
      </rPr>
      <t>Critère sur le TJ OU TPRX OU CPH</t>
    </r>
  </si>
  <si>
    <r>
      <t xml:space="preserve">1. TOTAL CONTENTIEUX SOCIAL + 2. TOTAL CONTENTIEUX JAF + 3. TOTAL CONTENTIEUX DE LA PROTECTION + 4. TOTAL CIVIL NON SPÉCIALISÉ + 5. TOTAL JLD CIVIL + 6.1. ACTIVITÉ CIVILE + 11.7 Fonctionnaires affectés au CPH + 11.8. FONCTIONNAIRES AFFECTÉS AUX ACTIVITÉS CIVILES ET COMMERCIALES DU PARQUET
</t>
    </r>
    <r>
      <rPr>
        <b/>
        <sz val="10"/>
        <color rgb="FF0070C0"/>
        <rFont val="Arial"/>
        <family val="2"/>
      </rPr>
      <t>(Pour Fonction recodée = Fonctionnaire CTECH)</t>
    </r>
    <r>
      <rPr>
        <sz val="10"/>
        <rFont val="Arial"/>
        <family val="2"/>
      </rPr>
      <t xml:space="preserve">
</t>
    </r>
    <r>
      <rPr>
        <b/>
        <sz val="10"/>
        <color rgb="FFFF0000"/>
        <rFont val="Arial"/>
        <family val="2"/>
      </rPr>
      <t>Critère sur le TPRX</t>
    </r>
  </si>
  <si>
    <r>
      <t xml:space="preserve">3.43 Injonctions de payer + 3.44 Saisies des rémunérations
</t>
    </r>
    <r>
      <rPr>
        <b/>
        <sz val="10"/>
        <color rgb="FF0070C0"/>
        <rFont val="Arial"/>
        <family val="2"/>
      </rPr>
      <t>(Pour Fonction recodée = Fonctionnaire A-B-CBUR)</t>
    </r>
    <r>
      <rPr>
        <sz val="10"/>
        <rFont val="Arial"/>
        <family val="2"/>
      </rPr>
      <t xml:space="preserve">
</t>
    </r>
    <r>
      <rPr>
        <b/>
        <sz val="10"/>
        <color rgb="FFFF0000"/>
        <rFont val="Arial"/>
        <family val="2"/>
      </rPr>
      <t>Critère sur le TPRX</t>
    </r>
  </si>
  <si>
    <r>
      <t xml:space="preserve">Soustraction
3. Contentieux de la Protection - 3.2 Protection des majeurs - 3.43 IP - 3.44 Saisies rémunérations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TPRX</t>
    </r>
  </si>
  <si>
    <r>
      <t xml:space="preserve">3.2 Protection des majeurs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TPRX</t>
    </r>
  </si>
  <si>
    <t>Pas identifiable avec A-JUST (à reporter à la la main s'il existe une délégation formelle - dans ce cas, penser à les ôter des ETPT du TJ dans la rubrique correspondante)</t>
  </si>
  <si>
    <r>
      <t xml:space="preserve">1. TOTAL CONTENTIEUX SOCIAL + 2. TOTAL CONTENTIEUX JAF + 4. TOTAL CIVIL NON SPÉCIALISÉ + 5. TOTAL JLD CIVIL + 6.1. ACTIVITÉ CIVILE + 11.8. FONCTIONNAIRES AFFECTÉS AUX ACTIVITÉS CIVILES ET COMMERCIALES DU PARQUET
</t>
    </r>
    <r>
      <rPr>
        <b/>
        <u/>
        <sz val="10"/>
        <rFont val="Arial"/>
        <family val="2"/>
      </rPr>
      <t xml:space="preserve">
</t>
    </r>
    <r>
      <rPr>
        <b/>
        <sz val="10"/>
        <color rgb="FF0070C0"/>
        <rFont val="Arial"/>
        <family val="2"/>
      </rPr>
      <t>(Pour Fonction recodée = Fonctionnaire A-B-CBUR)</t>
    </r>
    <r>
      <rPr>
        <b/>
        <u/>
        <sz val="10"/>
        <rFont val="Arial"/>
        <family val="2"/>
      </rPr>
      <t xml:space="preserve">
</t>
    </r>
    <r>
      <rPr>
        <sz val="10"/>
        <rFont val="Arial"/>
        <family val="2"/>
      </rPr>
      <t xml:space="preserve">
</t>
    </r>
    <r>
      <rPr>
        <b/>
        <sz val="10"/>
        <color rgb="FFFF0000"/>
        <rFont val="Arial"/>
        <family val="2"/>
      </rPr>
      <t>Critère sur le TPRX</t>
    </r>
  </si>
  <si>
    <r>
      <t xml:space="preserve">11.51 Accueil du justiciable
</t>
    </r>
    <r>
      <rPr>
        <sz val="10"/>
        <color rgb="FF0070C0"/>
        <rFont val="Arial"/>
        <family val="2"/>
      </rPr>
      <t xml:space="preserve">
</t>
    </r>
    <r>
      <rPr>
        <b/>
        <sz val="10"/>
        <color rgb="FF0070C0"/>
        <rFont val="Arial"/>
        <family val="2"/>
      </rPr>
      <t xml:space="preserve">(Pour Fonction recodée = Fonctionnaire CTECH)
</t>
    </r>
    <r>
      <rPr>
        <sz val="10"/>
        <rFont val="Arial"/>
        <family val="2"/>
      </rPr>
      <t xml:space="preserve">
</t>
    </r>
    <r>
      <rPr>
        <b/>
        <sz val="10"/>
        <color rgb="FFFF0000"/>
        <rFont val="Arial"/>
        <family val="2"/>
      </rPr>
      <t>Critère sur le TPRX</t>
    </r>
  </si>
  <si>
    <r>
      <t xml:space="preserve">11.51 Accueil du justiciable
</t>
    </r>
    <r>
      <rPr>
        <b/>
        <sz val="10"/>
        <color rgb="FF0070C0"/>
        <rFont val="Arial"/>
        <family val="2"/>
      </rPr>
      <t xml:space="preserve">(Pour Fonction recodée = Fonctionnaire A-B-CBUR)
</t>
    </r>
    <r>
      <rPr>
        <sz val="10"/>
        <rFont val="Arial"/>
        <family val="2"/>
      </rPr>
      <t xml:space="preserve">
</t>
    </r>
    <r>
      <rPr>
        <b/>
        <sz val="10"/>
        <color rgb="FFFF0000"/>
        <rFont val="Arial"/>
        <family val="2"/>
      </rPr>
      <t>Critère sur le TPRX</t>
    </r>
  </si>
  <si>
    <r>
      <t xml:space="preserve">11.3 Formations dispensées
</t>
    </r>
    <r>
      <rPr>
        <b/>
        <sz val="10"/>
        <color rgb="FF0070C0"/>
        <rFont val="Arial"/>
        <family val="2"/>
      </rPr>
      <t>(Pour Fonction recodée = Fonctionnaire CTECH)</t>
    </r>
    <r>
      <rPr>
        <sz val="10"/>
        <rFont val="Arial"/>
        <family val="2"/>
      </rPr>
      <t xml:space="preserve">
</t>
    </r>
    <r>
      <rPr>
        <b/>
        <sz val="10"/>
        <color rgb="FFFF0000"/>
        <rFont val="Arial"/>
        <family val="2"/>
      </rPr>
      <t>Critère sur le TPRX</t>
    </r>
  </si>
  <si>
    <r>
      <t xml:space="preserve">11.3 Formations dispensées
</t>
    </r>
    <r>
      <rPr>
        <b/>
        <sz val="10"/>
        <color rgb="FF0070C0"/>
        <rFont val="Arial"/>
        <family val="2"/>
      </rPr>
      <t>(Pour Fonction recodée = Fonctionnaire A-B-CBUR )</t>
    </r>
    <r>
      <rPr>
        <sz val="10"/>
        <rFont val="Arial"/>
        <family val="2"/>
      </rPr>
      <t xml:space="preserve">
</t>
    </r>
    <r>
      <rPr>
        <b/>
        <sz val="10"/>
        <color rgb="FFFF0000"/>
        <rFont val="Arial"/>
        <family val="2"/>
      </rPr>
      <t>Critère sur le TPRX</t>
    </r>
  </si>
  <si>
    <r>
      <t xml:space="preserve">11.4 Accès au droit et à la justice
</t>
    </r>
    <r>
      <rPr>
        <b/>
        <sz val="10"/>
        <color rgb="FF0070C0"/>
        <rFont val="Arial"/>
        <family val="2"/>
      </rPr>
      <t>(Pour Fonction recodée = Fonctionnaire CTECH)</t>
    </r>
    <r>
      <rPr>
        <b/>
        <sz val="10"/>
        <color rgb="FFFF0000"/>
        <rFont val="Arial"/>
        <family val="2"/>
      </rPr>
      <t xml:space="preserve">
</t>
    </r>
    <r>
      <rPr>
        <sz val="10"/>
        <rFont val="Arial"/>
        <family val="2"/>
      </rPr>
      <t xml:space="preserve">
</t>
    </r>
    <r>
      <rPr>
        <b/>
        <sz val="10"/>
        <color rgb="FFFF0000"/>
        <rFont val="Arial"/>
        <family val="2"/>
      </rPr>
      <t>Critère sur le TPRX</t>
    </r>
  </si>
  <si>
    <r>
      <t xml:space="preserve">11.4 Accès au droit et à la justice
</t>
    </r>
    <r>
      <rPr>
        <b/>
        <sz val="10"/>
        <color rgb="FFFF0000"/>
        <rFont val="Arial"/>
        <family val="2"/>
      </rPr>
      <t xml:space="preserve">
</t>
    </r>
    <r>
      <rPr>
        <b/>
        <sz val="10"/>
        <color rgb="FF0070C0"/>
        <rFont val="Arial"/>
        <family val="2"/>
      </rPr>
      <t>(Pour Fonction recodée = Fonctionnaire A-B-CBUR )</t>
    </r>
    <r>
      <rPr>
        <b/>
        <sz val="10"/>
        <color rgb="FFFF0000"/>
        <rFont val="Arial"/>
        <family val="2"/>
      </rPr>
      <t xml:space="preserve">
Critère sur le TPRX</t>
    </r>
  </si>
  <si>
    <r>
      <t xml:space="preserve">12. TOTAL INDISPONIBILITÉ - 12.5 Mise à disposition
</t>
    </r>
    <r>
      <rPr>
        <b/>
        <sz val="10"/>
        <color rgb="FF0070C0"/>
        <rFont val="Arial"/>
        <family val="2"/>
      </rPr>
      <t>(Pour Fonction recodée = Fonctionnaire CTECH)</t>
    </r>
    <r>
      <rPr>
        <sz val="10"/>
        <rFont val="Arial"/>
        <family val="2"/>
      </rPr>
      <t xml:space="preserve">
</t>
    </r>
    <r>
      <rPr>
        <b/>
        <sz val="10"/>
        <color rgb="FFFF0000"/>
        <rFont val="Arial"/>
        <family val="2"/>
      </rPr>
      <t>Critère sur le TJ</t>
    </r>
  </si>
  <si>
    <r>
      <t xml:space="preserve">12. TOTAL INDISPONIBILITÉ - 12.5 Mise à disposition
</t>
    </r>
    <r>
      <rPr>
        <b/>
        <sz val="10"/>
        <color rgb="FFFF0000"/>
        <rFont val="Arial"/>
        <family val="2"/>
      </rPr>
      <t xml:space="preserve">
(Pour Fonction recodée = Fonctionnaire A-B-CBUR )
Critère sur le TPRX</t>
    </r>
  </si>
  <si>
    <r>
      <t xml:space="preserve">12.5 Mise à disposition +
13. Contentieux locaux spécifiques
</t>
    </r>
    <r>
      <rPr>
        <b/>
        <sz val="10"/>
        <color rgb="FF0070C0"/>
        <rFont val="Arial"/>
        <family val="2"/>
      </rPr>
      <t>(Pour Fonction recodée = Fonctionnaire CTECH)</t>
    </r>
    <r>
      <rPr>
        <sz val="10"/>
        <rFont val="Arial"/>
        <family val="2"/>
      </rPr>
      <t xml:space="preserve">
</t>
    </r>
    <r>
      <rPr>
        <b/>
        <sz val="10"/>
        <color rgb="FFFF0000"/>
        <rFont val="Arial"/>
        <family val="2"/>
      </rPr>
      <t>Critère sur le TPRX</t>
    </r>
  </si>
  <si>
    <r>
      <t xml:space="preserve">13. Contentieux locaux spécifiques
</t>
    </r>
    <r>
      <rPr>
        <b/>
        <sz val="10"/>
        <color rgb="FF0070C0"/>
        <rFont val="Arial"/>
        <family val="2"/>
      </rPr>
      <t>(Pour Fonction recodée = Fonctionnaire A-B-CBUR )</t>
    </r>
    <r>
      <rPr>
        <sz val="10"/>
        <rFont val="Arial"/>
        <family val="2"/>
      </rPr>
      <t xml:space="preserve">
</t>
    </r>
    <r>
      <rPr>
        <b/>
        <sz val="10"/>
        <color rgb="FFFF0000"/>
        <rFont val="Arial"/>
        <family val="2"/>
      </rPr>
      <t>Critère sur le TPRX</t>
    </r>
  </si>
  <si>
    <r>
      <t xml:space="preserve">12.5 Mise à disposition
</t>
    </r>
    <r>
      <rPr>
        <b/>
        <sz val="10"/>
        <color rgb="FFFF0000"/>
        <rFont val="Arial"/>
        <family val="2"/>
      </rPr>
      <t xml:space="preserve">
</t>
    </r>
    <r>
      <rPr>
        <b/>
        <sz val="10"/>
        <color rgb="FF0070C0"/>
        <rFont val="Arial"/>
        <family val="2"/>
      </rPr>
      <t>(Pour Fonction recodée = Fonctionnaire A-B-CBUR )</t>
    </r>
    <r>
      <rPr>
        <b/>
        <sz val="10"/>
        <color rgb="FFFF0000"/>
        <rFont val="Arial"/>
        <family val="2"/>
      </rPr>
      <t xml:space="preserve">
Critère sur le TPRX</t>
    </r>
  </si>
  <si>
    <r>
      <t xml:space="preserve">1. TOTAL CONTENTIEUX SOCIAL + 2. TOTAL CONTENTIEUX JAF + 3. TOTAL CONTENTIEUX DE LA PROTECTION + 4. TOTAL CIVIL NON SPÉCIALISÉ + 5. TOTAL JLD CIVIL + 6.1. ACTIVITÉ CIVILE + 11.7 Fonctionnaires affectés au CPH + 11.8. FONCTIONNAIRES AFFECTÉS AUX ACTIVITÉS CIVILES ET COMMERCIALES DU PARQUET
</t>
    </r>
    <r>
      <rPr>
        <b/>
        <sz val="10"/>
        <color rgb="FF0070C0"/>
        <rFont val="Arial"/>
        <family val="2"/>
      </rPr>
      <t>(Pour Fonction recodée = Fonctionnaire CTECH)</t>
    </r>
    <r>
      <rPr>
        <sz val="10"/>
        <rFont val="Arial"/>
        <family val="2"/>
      </rPr>
      <t xml:space="preserve">
</t>
    </r>
    <r>
      <rPr>
        <b/>
        <sz val="10"/>
        <color rgb="FFFF0000"/>
        <rFont val="Arial"/>
        <family val="2"/>
      </rPr>
      <t>Critère sur le TJ OU CPH</t>
    </r>
  </si>
  <si>
    <r>
      <t xml:space="preserve">11.8. FONCTIONNAIRES AFFECTÉS AUX ACTIVITÉS CIVILES ET COMMERCIALES DU PARQUET
</t>
    </r>
    <r>
      <rPr>
        <b/>
        <sz val="10"/>
        <color rgb="FF0070C0"/>
        <rFont val="Arial"/>
        <family val="2"/>
      </rPr>
      <t>(Pour Fonction recodée = Fonctionnaire A-B-CBUR)</t>
    </r>
    <r>
      <rPr>
        <sz val="10"/>
        <rFont val="Arial"/>
        <family val="2"/>
      </rPr>
      <t xml:space="preserve">
</t>
    </r>
    <r>
      <rPr>
        <b/>
        <sz val="10"/>
        <color rgb="FFFF0000"/>
        <rFont val="Arial"/>
        <family val="2"/>
      </rPr>
      <t>Critère sur le TJ OU CPH</t>
    </r>
  </si>
  <si>
    <r>
      <t xml:space="preserve">3.2 Protection des majeurs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TJ  OU CPH</t>
    </r>
  </si>
  <si>
    <r>
      <t xml:space="preserve">3. Contentieux de la Protection - 3.2 Protection des majeurs - 3.43 IP - 3.44 Saisies rémunérations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TJ OU CPH</t>
    </r>
  </si>
  <si>
    <r>
      <t xml:space="preserve">3.43 Injonctions de payer + 3.44 Saisies des rémunérations
</t>
    </r>
    <r>
      <rPr>
        <b/>
        <sz val="10"/>
        <color rgb="FF0070C0"/>
        <rFont val="Arial"/>
        <family val="2"/>
      </rPr>
      <t>(Pour Fonction recodée = Fonctionnaire A-B-CBUR)</t>
    </r>
    <r>
      <rPr>
        <sz val="10"/>
        <rFont val="Arial"/>
        <family val="2"/>
      </rPr>
      <t xml:space="preserve">
</t>
    </r>
    <r>
      <rPr>
        <b/>
        <sz val="10"/>
        <color rgb="FFFF0000"/>
        <rFont val="Arial"/>
        <family val="2"/>
      </rPr>
      <t>Critère sur le TJ OU CPH</t>
    </r>
  </si>
  <si>
    <r>
      <t xml:space="preserve">4.0 Contentieux général &lt; 10000 euros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TJ OU CPH</t>
    </r>
  </si>
  <si>
    <r>
      <t xml:space="preserve">1. TOTAL CONTENTIEUX SOCIAL
</t>
    </r>
    <r>
      <rPr>
        <sz val="10"/>
        <color rgb="FF0070C0"/>
        <rFont val="Arial"/>
        <family val="2"/>
      </rPr>
      <t xml:space="preserve">
</t>
    </r>
    <r>
      <rPr>
        <b/>
        <sz val="10"/>
        <color rgb="FF0070C0"/>
        <rFont val="Arial"/>
        <family val="2"/>
      </rPr>
      <t xml:space="preserve">(Pour Fonction recodée = Fonctionnaire A-B-CBUR)
</t>
    </r>
    <r>
      <rPr>
        <sz val="10"/>
        <rFont val="Arial"/>
        <family val="2"/>
      </rPr>
      <t xml:space="preserve">
</t>
    </r>
    <r>
      <rPr>
        <b/>
        <sz val="10"/>
        <color rgb="FFFF0000"/>
        <rFont val="Arial"/>
        <family val="2"/>
      </rPr>
      <t>Critère sur le TJ OU CPH</t>
    </r>
  </si>
  <si>
    <r>
      <t xml:space="preserve">6.2. ACTIVITÉ PÉNALE + 7. TOTAL SIÈGE PÉNAL + 8. TOTAL JUGES D'INSTRUCTION + 
9. TOTAL JAP + 10. TOTAL JLD PÉNAL + 11.9 Fonctionnaires affectés à l'exécution des peines + 11.10 AUTRES FONCTIONNAIRES AFFECTÉS AU PARQUET 
</t>
    </r>
    <r>
      <rPr>
        <b/>
        <sz val="10"/>
        <color rgb="FF0070C0"/>
        <rFont val="Arial"/>
        <family val="2"/>
      </rPr>
      <t>(Pour Fonction recodée = Fonctionnaire CTECH)</t>
    </r>
    <r>
      <rPr>
        <b/>
        <sz val="10"/>
        <color rgb="FFFF0000"/>
        <rFont val="Arial"/>
        <family val="2"/>
      </rPr>
      <t xml:space="preserve">
TJ et TPR et CPH (donc pas de critère sur le TJ)</t>
    </r>
  </si>
  <si>
    <r>
      <t xml:space="preserve">11.9 Fonctionnaires affectés à l'exécution des peines
</t>
    </r>
    <r>
      <rPr>
        <b/>
        <sz val="10"/>
        <color rgb="FF0070C0"/>
        <rFont val="Arial"/>
        <family val="2"/>
      </rPr>
      <t xml:space="preserve">(Pour Fonction recodée = Fonctionnaire A-B-CBUR)
</t>
    </r>
    <r>
      <rPr>
        <sz val="10"/>
        <rFont val="Arial"/>
        <family val="2"/>
      </rPr>
      <t xml:space="preserve">
</t>
    </r>
    <r>
      <rPr>
        <b/>
        <sz val="10"/>
        <color rgb="FFFF0000"/>
        <rFont val="Arial"/>
        <family val="2"/>
      </rPr>
      <t>TJ et TPR  et CPH (donc pas de critère sur le TJ)</t>
    </r>
  </si>
  <si>
    <r>
      <t xml:space="preserve">7.5 + 7.51 Cour d'assises JIRS et hors JIRS
</t>
    </r>
    <r>
      <rPr>
        <b/>
        <sz val="10"/>
        <color rgb="FF0070C0"/>
        <rFont val="Arial"/>
        <family val="2"/>
      </rPr>
      <t xml:space="preserve">(Pour Fonction recodée = Fonctionnaire A-B-CBUR)
</t>
    </r>
    <r>
      <rPr>
        <sz val="10"/>
        <rFont val="Arial"/>
        <family val="2"/>
      </rPr>
      <t xml:space="preserve">
</t>
    </r>
    <r>
      <rPr>
        <b/>
        <sz val="10"/>
        <color rgb="FFFF0000"/>
        <rFont val="Arial"/>
        <family val="2"/>
      </rPr>
      <t>TJ et TPR et CPH (donc pas de critère sur le TJ)</t>
    </r>
  </si>
  <si>
    <r>
      <t xml:space="preserve">7.52 cour criminelle
</t>
    </r>
    <r>
      <rPr>
        <b/>
        <sz val="10"/>
        <color rgb="FF0070C0"/>
        <rFont val="Arial"/>
        <family val="2"/>
      </rPr>
      <t xml:space="preserve">(Pour Fonction recodée = Fonctionnaire A-B-CBUR)
</t>
    </r>
    <r>
      <rPr>
        <sz val="10"/>
        <rFont val="Arial"/>
        <family val="2"/>
      </rPr>
      <t xml:space="preserve">
</t>
    </r>
    <r>
      <rPr>
        <b/>
        <sz val="10"/>
        <color rgb="FFFF0000"/>
        <rFont val="Arial"/>
        <family val="2"/>
      </rPr>
      <t>TJ et TPR et CPH (donc pas de critère sur le TJ)</t>
    </r>
  </si>
  <si>
    <r>
      <t xml:space="preserve">7.121. COLLÉGIALES JIRS ÉCO-FI POUR LES JURIDICTIONS JIRS
</t>
    </r>
    <r>
      <rPr>
        <b/>
        <sz val="10"/>
        <color rgb="FF0070C0"/>
        <rFont val="Arial"/>
        <family val="2"/>
      </rPr>
      <t>(Pour Fonction recodée = Fonctionnaire A-B-CBUR)</t>
    </r>
    <r>
      <rPr>
        <sz val="10"/>
        <rFont val="Arial"/>
        <family val="2"/>
      </rPr>
      <t xml:space="preserve">
</t>
    </r>
    <r>
      <rPr>
        <b/>
        <sz val="10"/>
        <color rgb="FFFF0000"/>
        <rFont val="Arial"/>
        <family val="2"/>
      </rPr>
      <t>TJ et TPR et CPH (donc pas de critère sur le TJ)</t>
    </r>
  </si>
  <si>
    <r>
      <t xml:space="preserve"> 7.12 Collégiales JIRS crim-org
</t>
    </r>
    <r>
      <rPr>
        <b/>
        <sz val="10"/>
        <color rgb="FF0070C0"/>
        <rFont val="Arial"/>
        <family val="2"/>
      </rPr>
      <t xml:space="preserve">(Pour Fonction recodée = Fonctionnaire A-B-CBUR)
</t>
    </r>
    <r>
      <rPr>
        <sz val="10"/>
        <rFont val="Arial"/>
        <family val="2"/>
      </rPr>
      <t xml:space="preserve">
</t>
    </r>
    <r>
      <rPr>
        <b/>
        <sz val="10"/>
        <color rgb="FFFF0000"/>
        <rFont val="Arial"/>
        <family val="2"/>
      </rPr>
      <t>TJ et TPR et CPH (donc pas de critère sur le TJ)</t>
    </r>
  </si>
  <si>
    <r>
      <t>7.122 Collégiales autres sections spécialisées + 7.121 Collégiales eco-fi POUR LES JURIDICTIONS NON JIRS</t>
    </r>
    <r>
      <rPr>
        <b/>
        <sz val="10"/>
        <color rgb="FFFF0000"/>
        <rFont val="Arial"/>
        <family val="2"/>
      </rPr>
      <t xml:space="preserve">
</t>
    </r>
    <r>
      <rPr>
        <sz val="10"/>
        <rFont val="Arial"/>
        <family val="2"/>
      </rPr>
      <t xml:space="preserve">
</t>
    </r>
    <r>
      <rPr>
        <b/>
        <sz val="10"/>
        <color rgb="FF0070C0"/>
        <rFont val="Arial"/>
        <family val="2"/>
      </rPr>
      <t>(Pour Fonction recodée = Fonctionnaire A-B-CBUR)</t>
    </r>
    <r>
      <rPr>
        <sz val="10"/>
        <rFont val="Arial"/>
        <family val="2"/>
      </rPr>
      <t xml:space="preserve">
</t>
    </r>
    <r>
      <rPr>
        <b/>
        <sz val="10"/>
        <color rgb="FFFF0000"/>
        <rFont val="Arial"/>
        <family val="2"/>
      </rPr>
      <t>TJ et TPR et CPH (donc pas de critère sur le TJ)</t>
    </r>
  </si>
  <si>
    <r>
      <t>6.2 Activité pénale + 8. Juge d'instruction + 9. JAP + 10. JLD pénal</t>
    </r>
    <r>
      <rPr>
        <b/>
        <sz val="10"/>
        <color rgb="FFFF0000"/>
        <rFont val="Arial"/>
        <family val="2"/>
      </rPr>
      <t xml:space="preserve">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TJ et TPR et CPH (donc pas de critère sur le TJ)</t>
    </r>
  </si>
  <si>
    <r>
      <t xml:space="preserve">11.51 Accueil du justiciable
</t>
    </r>
    <r>
      <rPr>
        <b/>
        <sz val="10"/>
        <color rgb="FF0070C0"/>
        <rFont val="Arial"/>
        <family val="2"/>
      </rPr>
      <t>(Pour Fonction recodée = Fonctionnaire CTECH)</t>
    </r>
    <r>
      <rPr>
        <b/>
        <sz val="10"/>
        <color rgb="FFFF0000"/>
        <rFont val="Arial"/>
        <family val="2"/>
      </rPr>
      <t xml:space="preserve">
</t>
    </r>
    <r>
      <rPr>
        <sz val="10"/>
        <rFont val="Arial"/>
        <family val="2"/>
      </rPr>
      <t xml:space="preserve">
</t>
    </r>
    <r>
      <rPr>
        <b/>
        <sz val="10"/>
        <color rgb="FFFF0000"/>
        <rFont val="Arial"/>
        <family val="2"/>
      </rPr>
      <t>Critère sur le TJ OU CPH</t>
    </r>
  </si>
  <si>
    <r>
      <t xml:space="preserve">11.51 Accueil du justiciable
</t>
    </r>
    <r>
      <rPr>
        <sz val="10"/>
        <color rgb="FF0070C0"/>
        <rFont val="Arial"/>
        <family val="2"/>
      </rPr>
      <t xml:space="preserve">
</t>
    </r>
    <r>
      <rPr>
        <b/>
        <sz val="10"/>
        <color rgb="FF0070C0"/>
        <rFont val="Arial"/>
        <family val="2"/>
      </rPr>
      <t xml:space="preserve">(Pour Fonction recodée = Fonctionnaire A-B-CBUR)
</t>
    </r>
    <r>
      <rPr>
        <sz val="10"/>
        <rFont val="Arial"/>
        <family val="2"/>
      </rPr>
      <t xml:space="preserve">
</t>
    </r>
    <r>
      <rPr>
        <b/>
        <sz val="10"/>
        <color rgb="FFFF0000"/>
        <rFont val="Arial"/>
        <family val="2"/>
      </rPr>
      <t>Critère sur le TJ et CPH</t>
    </r>
  </si>
  <si>
    <r>
      <t xml:space="preserve">11.3 Formations dispensées
</t>
    </r>
    <r>
      <rPr>
        <b/>
        <sz val="10"/>
        <color rgb="FF0070C0"/>
        <rFont val="Arial"/>
        <family val="2"/>
      </rPr>
      <t>(Pour Fonction recodée = Fonctionnaire CTECH)</t>
    </r>
    <r>
      <rPr>
        <sz val="10"/>
        <rFont val="Arial"/>
        <family val="2"/>
      </rPr>
      <t xml:space="preserve">
</t>
    </r>
    <r>
      <rPr>
        <b/>
        <sz val="10"/>
        <color rgb="FFFF0000"/>
        <rFont val="Arial"/>
        <family val="2"/>
      </rPr>
      <t>Critère sur le TJ OU CPH</t>
    </r>
  </si>
  <si>
    <r>
      <t xml:space="preserve">11.3 Formations dispensées
</t>
    </r>
    <r>
      <rPr>
        <sz val="10"/>
        <color rgb="FF0070C0"/>
        <rFont val="Arial"/>
        <family val="2"/>
      </rPr>
      <t xml:space="preserve">
</t>
    </r>
    <r>
      <rPr>
        <b/>
        <sz val="10"/>
        <color rgb="FF0070C0"/>
        <rFont val="Arial"/>
        <family val="2"/>
      </rPr>
      <t>(Pour Fonction recodée = Fonctionnaire A-B-CBUR )</t>
    </r>
    <r>
      <rPr>
        <sz val="10"/>
        <color rgb="FF0070C0"/>
        <rFont val="Arial"/>
        <family val="2"/>
      </rPr>
      <t xml:space="preserve">
</t>
    </r>
    <r>
      <rPr>
        <sz val="10"/>
        <rFont val="Arial"/>
        <family val="2"/>
      </rPr>
      <t xml:space="preserve">
</t>
    </r>
    <r>
      <rPr>
        <b/>
        <sz val="10"/>
        <color rgb="FFFF0000"/>
        <rFont val="Arial"/>
        <family val="2"/>
      </rPr>
      <t>Critère sur le TJ et CPH</t>
    </r>
  </si>
  <si>
    <r>
      <t xml:space="preserve">11.4 Accès au droit et à la justice
</t>
    </r>
    <r>
      <rPr>
        <b/>
        <sz val="10"/>
        <color rgb="FF0070C0"/>
        <rFont val="Arial"/>
        <family val="2"/>
      </rPr>
      <t>(Pour Fonction recodée = Fonctionnaire CTECH)</t>
    </r>
    <r>
      <rPr>
        <b/>
        <sz val="10"/>
        <color rgb="FFFF0000"/>
        <rFont val="Arial"/>
        <family val="2"/>
      </rPr>
      <t xml:space="preserve">
</t>
    </r>
    <r>
      <rPr>
        <sz val="10"/>
        <rFont val="Arial"/>
        <family val="2"/>
      </rPr>
      <t xml:space="preserve">
</t>
    </r>
    <r>
      <rPr>
        <b/>
        <sz val="10"/>
        <color rgb="FFFF0000"/>
        <rFont val="Arial"/>
        <family val="2"/>
      </rPr>
      <t>Critère sur le TJ OU CPH</t>
    </r>
  </si>
  <si>
    <r>
      <t xml:space="preserve">11.4 Accès au droit et à la justice
</t>
    </r>
    <r>
      <rPr>
        <b/>
        <sz val="10"/>
        <color rgb="FF0070C0"/>
        <rFont val="Arial"/>
        <family val="2"/>
      </rPr>
      <t xml:space="preserve">
(Pour Fonction recodée = Fonctionnaire A-B-CBUR )
</t>
    </r>
    <r>
      <rPr>
        <b/>
        <sz val="10"/>
        <color rgb="FFFF0000"/>
        <rFont val="Arial"/>
        <family val="2"/>
      </rPr>
      <t xml:space="preserve">
Critère sur le TJ et CPH</t>
    </r>
  </si>
  <si>
    <r>
      <t xml:space="preserve">12. TOTAL des INDISPONIBILITÉS relevant de l'action 99 - 12.5 Mise à disposition
</t>
    </r>
    <r>
      <rPr>
        <b/>
        <sz val="10"/>
        <color rgb="FF0070C0"/>
        <rFont val="Arial"/>
        <family val="2"/>
      </rPr>
      <t>(Pour Fonction recodée = Fonctionnaire CTECH)</t>
    </r>
    <r>
      <rPr>
        <sz val="10"/>
        <rFont val="Arial"/>
        <family val="2"/>
      </rPr>
      <t xml:space="preserve">
</t>
    </r>
    <r>
      <rPr>
        <b/>
        <sz val="10"/>
        <color rgb="FFFF0000"/>
        <rFont val="Arial"/>
        <family val="2"/>
      </rPr>
      <t>Critère sur le TJ OU CPH</t>
    </r>
  </si>
  <si>
    <r>
      <t xml:space="preserve">12. TOTAL des INDISPONIBILITÉS relevant de l'action 99 - 12.5 Mise à disposition
</t>
    </r>
    <r>
      <rPr>
        <b/>
        <sz val="10"/>
        <color rgb="FFFF0000"/>
        <rFont val="Arial"/>
        <family val="2"/>
      </rPr>
      <t xml:space="preserve">
</t>
    </r>
    <r>
      <rPr>
        <b/>
        <sz val="10"/>
        <color rgb="FF0070C0"/>
        <rFont val="Arial"/>
        <family val="2"/>
      </rPr>
      <t>(Pour Fonction recodée = Fonctionnaire A-B-CBUR )</t>
    </r>
    <r>
      <rPr>
        <b/>
        <sz val="10"/>
        <color rgb="FFFF0000"/>
        <rFont val="Arial"/>
        <family val="2"/>
      </rPr>
      <t xml:space="preserve">
Critère sur le TJ et CPH</t>
    </r>
  </si>
  <si>
    <r>
      <t xml:space="preserve">12.5 Mise à disposition + 13. Contentieux locaux spécifiques
</t>
    </r>
    <r>
      <rPr>
        <b/>
        <sz val="10"/>
        <color rgb="FF0070C0"/>
        <rFont val="Arial"/>
        <family val="2"/>
      </rPr>
      <t>(Pour Fonction recodée = Fonctionnaire CTECH)</t>
    </r>
    <r>
      <rPr>
        <sz val="10"/>
        <rFont val="Arial"/>
        <family val="2"/>
      </rPr>
      <t xml:space="preserve">
</t>
    </r>
    <r>
      <rPr>
        <b/>
        <sz val="10"/>
        <color rgb="FFFF0000"/>
        <rFont val="Arial"/>
        <family val="2"/>
      </rPr>
      <t>Critère sur le TJ OU CPH</t>
    </r>
  </si>
  <si>
    <r>
      <t xml:space="preserve">12.5 Mise à disposition + 13. Contentieux locaux spécifiques
</t>
    </r>
    <r>
      <rPr>
        <b/>
        <sz val="10"/>
        <color rgb="FFFF0000"/>
        <rFont val="Arial"/>
        <family val="2"/>
      </rPr>
      <t xml:space="preserve">
</t>
    </r>
    <r>
      <rPr>
        <b/>
        <sz val="10"/>
        <color rgb="FF0070C0"/>
        <rFont val="Arial"/>
        <family val="2"/>
      </rPr>
      <t>(Pour Fonction recodée = Fonctionnaire A-B-CBUR )</t>
    </r>
    <r>
      <rPr>
        <b/>
        <sz val="10"/>
        <color rgb="FFFF0000"/>
        <rFont val="Arial"/>
        <family val="2"/>
      </rPr>
      <t xml:space="preserve">
Critère sur le TJ et CPH</t>
    </r>
  </si>
  <si>
    <r>
      <t xml:space="preserve">3.43 Injonctions de payer + 3.44 Saisies des rémunérations
</t>
    </r>
    <r>
      <rPr>
        <b/>
        <sz val="7"/>
        <color rgb="FF0070C0"/>
        <rFont val="Arial"/>
        <family val="2"/>
      </rPr>
      <t>(Pour Fonction recodée = Magistrats SIEGE S + Magistrats SIEGE NS)</t>
    </r>
    <r>
      <rPr>
        <b/>
        <sz val="7"/>
        <color rgb="FFFF0000"/>
        <rFont val="Arial"/>
        <family val="2"/>
      </rPr>
      <t xml:space="preserve">
</t>
    </r>
    <r>
      <rPr>
        <sz val="7"/>
        <rFont val="Arial"/>
        <family val="2"/>
      </rPr>
      <t xml:space="preserve">
</t>
    </r>
    <r>
      <rPr>
        <b/>
        <sz val="7"/>
        <color rgb="FFFF0000"/>
        <rFont val="Arial"/>
        <family val="2"/>
      </rPr>
      <t>Critère sur le TPRX</t>
    </r>
  </si>
  <si>
    <r>
      <t xml:space="preserve">3. Contentieux de la Protection - 3.2 Protection des majeurs - 3.43 Injonctions de payer - 3.44 Saisies des rémunérations
</t>
    </r>
    <r>
      <rPr>
        <b/>
        <sz val="7"/>
        <color rgb="FF0070C0"/>
        <rFont val="Arial"/>
        <family val="2"/>
      </rPr>
      <t xml:space="preserve">
(Pour Fonction recodée = Magistrats SIEGE S + Magistrats SIEGE NS)
</t>
    </r>
    <r>
      <rPr>
        <b/>
        <sz val="7"/>
        <color rgb="FFFF0000"/>
        <rFont val="Arial"/>
        <family val="2"/>
      </rPr>
      <t>Critère sur le TPRX</t>
    </r>
  </si>
  <si>
    <r>
      <t xml:space="preserve">3.2 Protection des majeurs
</t>
    </r>
    <r>
      <rPr>
        <b/>
        <sz val="7"/>
        <color rgb="FF0070C0"/>
        <rFont val="Arial"/>
        <family val="2"/>
      </rPr>
      <t xml:space="preserve">
(Pour Fonction recodée = Magistrats SIEGE S + Magistrats SIEGE NS)</t>
    </r>
    <r>
      <rPr>
        <b/>
        <sz val="7"/>
        <color rgb="FFFF0000"/>
        <rFont val="Arial"/>
        <family val="2"/>
      </rPr>
      <t xml:space="preserve">
</t>
    </r>
    <r>
      <rPr>
        <sz val="7"/>
        <rFont val="Arial"/>
        <family val="2"/>
      </rPr>
      <t xml:space="preserve">
</t>
    </r>
    <r>
      <rPr>
        <b/>
        <sz val="7"/>
        <color rgb="FFFF0000"/>
        <rFont val="Arial"/>
        <family val="2"/>
      </rPr>
      <t>Critère sur le TPRX</t>
    </r>
  </si>
  <si>
    <t>Pas identifiable avec A-JUST (à reporter à la la main s'il existe une délégation formelle - dans ce cas, penser à les ôter des ETPT JAF du TJ = AA5)</t>
  </si>
  <si>
    <r>
      <t>Magistrats du TJ qui sont délégués au TPROX pour faire autre chose que du JCP ou du départage ou une activité formellement déléguée</t>
    </r>
    <r>
      <rPr>
        <b/>
        <sz val="7"/>
        <color rgb="FFFF66CC"/>
        <rFont val="Arial"/>
        <family val="2"/>
      </rPr>
      <t xml:space="preserve">
</t>
    </r>
    <r>
      <rPr>
        <sz val="7"/>
        <rFont val="Arial"/>
        <family val="2"/>
      </rPr>
      <t xml:space="preserve">
 Pas identifiable avec A-JUST (à reporter à la la main)</t>
    </r>
  </si>
  <si>
    <r>
      <t xml:space="preserve">1.1 Départage prud'homal </t>
    </r>
    <r>
      <rPr>
        <b/>
        <sz val="7"/>
        <color rgb="FFFF0000"/>
        <rFont val="Arial"/>
        <family val="2"/>
      </rPr>
      <t xml:space="preserve">
</t>
    </r>
    <r>
      <rPr>
        <sz val="7"/>
        <rFont val="Arial"/>
        <family val="2"/>
      </rPr>
      <t xml:space="preserve">
</t>
    </r>
    <r>
      <rPr>
        <b/>
        <sz val="7"/>
        <color rgb="FF0070C0"/>
        <rFont val="Arial"/>
        <family val="2"/>
      </rPr>
      <t>(Pour Fonction recodée = Magistrats SIEGE S  + Magistrats SIEGE NS)</t>
    </r>
    <r>
      <rPr>
        <b/>
        <sz val="7"/>
        <color rgb="FFFF0000"/>
        <rFont val="Arial"/>
        <family val="2"/>
      </rPr>
      <t xml:space="preserve">
</t>
    </r>
    <r>
      <rPr>
        <sz val="7"/>
        <rFont val="Arial"/>
        <family val="2"/>
      </rPr>
      <t xml:space="preserve">
</t>
    </r>
    <r>
      <rPr>
        <b/>
        <sz val="7"/>
        <color rgb="FFFF0000"/>
        <rFont val="Arial"/>
        <family val="2"/>
      </rPr>
      <t>Critère sur le TPRX</t>
    </r>
  </si>
  <si>
    <r>
      <t xml:space="preserve">1. TOTAL CONTENTIEUX SOCIAL - 1.1 DEPARTAGE PRUD'HOMAL + 4. TOTAL CIVIL NON SPÉCIALISÉ
</t>
    </r>
    <r>
      <rPr>
        <b/>
        <sz val="7"/>
        <color rgb="FF0070C0"/>
        <rFont val="Arial"/>
        <family val="2"/>
      </rPr>
      <t xml:space="preserve">
(Pour Fonction recodée = Mag
istrats SIEGE S et NS)</t>
    </r>
    <r>
      <rPr>
        <sz val="7"/>
        <rFont val="Arial"/>
        <family val="2"/>
      </rPr>
      <t xml:space="preserve">
</t>
    </r>
    <r>
      <rPr>
        <b/>
        <sz val="7"/>
        <color rgb="FFFF0000"/>
        <rFont val="Arial"/>
        <family val="2"/>
      </rPr>
      <t xml:space="preserve">
Critère sur le TPRX</t>
    </r>
  </si>
  <si>
    <t>Pas identifiable avec A-JUST (à reporter à la la main s'il existe une délégation formelle - dans ce cas, penser à les ôter des ETPT du TJ affectés à l'activité correctionnelle = AB6 pour les juges spécialisés et AC6 pour les non spécialisés)</t>
  </si>
  <si>
    <t>Pas identifiable avec A-JUST (à reporter à la la main s'il existe une délégation formelle - dans ce cas, penser à les ôter des ETPT du TJ affectés à l'activité contraventionnelle = V6)</t>
  </si>
  <si>
    <r>
      <t>Magistrats du TJ qui sont délégués au TPROX pour faire autre chose que du JCP ou du départage ou une activité formellement déléguée</t>
    </r>
    <r>
      <rPr>
        <b/>
        <sz val="7"/>
        <color rgb="FFFF66CC"/>
        <rFont val="Arial"/>
        <family val="2"/>
      </rPr>
      <t xml:space="preserve">
</t>
    </r>
    <r>
      <rPr>
        <sz val="7"/>
        <rFont val="Arial"/>
        <family val="2"/>
      </rPr>
      <t xml:space="preserve">
 Pas identifiable avec A-JUST (à reporter à la la main) dans ce cas, penser à les ôter des ETPT du TJ dans la rubrique correspondante)</t>
    </r>
  </si>
  <si>
    <r>
      <t xml:space="preserve">11.5 CSM
</t>
    </r>
    <r>
      <rPr>
        <b/>
        <sz val="7"/>
        <color rgb="FF0070C0"/>
        <rFont val="Arial"/>
        <family val="2"/>
      </rPr>
      <t xml:space="preserve">(Pour Fonction recodée = Magistrats SIEGE S et NS)
</t>
    </r>
    <r>
      <rPr>
        <sz val="7"/>
        <rFont val="Arial"/>
        <family val="2"/>
      </rPr>
      <t xml:space="preserve">
</t>
    </r>
    <r>
      <rPr>
        <b/>
        <sz val="7"/>
        <color rgb="FFFF0000"/>
        <rFont val="Arial"/>
        <family val="2"/>
      </rPr>
      <t>Critère sur le TPRX</t>
    </r>
  </si>
  <si>
    <r>
      <t xml:space="preserve">11.51 Accueil du justiciable
</t>
    </r>
    <r>
      <rPr>
        <b/>
        <sz val="7"/>
        <color rgb="FF0070C0"/>
        <rFont val="Arial"/>
        <family val="2"/>
      </rPr>
      <t xml:space="preserve">(Pour Fonction recodée = Magistrats SIEGE S et NS)
</t>
    </r>
    <r>
      <rPr>
        <sz val="7"/>
        <rFont val="Arial"/>
        <family val="2"/>
      </rPr>
      <t xml:space="preserve">
</t>
    </r>
    <r>
      <rPr>
        <b/>
        <sz val="7"/>
        <color rgb="FFFF0000"/>
        <rFont val="Arial"/>
        <family val="2"/>
      </rPr>
      <t>Critère sur le TPRX</t>
    </r>
  </si>
  <si>
    <r>
      <t xml:space="preserve">11.3. Formations dispensées
</t>
    </r>
    <r>
      <rPr>
        <b/>
        <sz val="7"/>
        <color rgb="FF0070C0"/>
        <rFont val="Arial"/>
        <family val="2"/>
      </rPr>
      <t xml:space="preserve">(Pour Fonction recodée = Magistrats SIEGE S et NS)
</t>
    </r>
    <r>
      <rPr>
        <sz val="7"/>
        <rFont val="Arial"/>
        <family val="2"/>
      </rPr>
      <t xml:space="preserve">
</t>
    </r>
    <r>
      <rPr>
        <b/>
        <sz val="7"/>
        <color rgb="FFFF0000"/>
        <rFont val="Arial"/>
        <family val="2"/>
      </rPr>
      <t>Critère sur le TPRX</t>
    </r>
  </si>
  <si>
    <r>
      <t xml:space="preserve">11.4 Accès au droit et à la justice
</t>
    </r>
    <r>
      <rPr>
        <b/>
        <sz val="7"/>
        <color rgb="FF0070C0"/>
        <rFont val="Arial"/>
        <family val="2"/>
      </rPr>
      <t xml:space="preserve">(Pour Fonction recodée = Magistrats SIEGE S et NS)
</t>
    </r>
    <r>
      <rPr>
        <sz val="7"/>
        <rFont val="Arial"/>
        <family val="2"/>
      </rPr>
      <t xml:space="preserve">
</t>
    </r>
    <r>
      <rPr>
        <b/>
        <sz val="7"/>
        <color rgb="FFFF0000"/>
        <rFont val="Arial"/>
        <family val="2"/>
      </rPr>
      <t>Critère sur le TPRX</t>
    </r>
  </si>
  <si>
    <r>
      <t xml:space="preserve">12. TOTAL des INDISPONIBILITÉS relevant de l'action 99 - 12.5 MISE A DISPOSITN
</t>
    </r>
    <r>
      <rPr>
        <b/>
        <sz val="7"/>
        <color rgb="FF0070C0"/>
        <rFont val="Arial"/>
        <family val="2"/>
      </rPr>
      <t xml:space="preserve">
(Pour Fonction recodée = Magistrats SIEGE S  + Magistrats SIEGE NS)</t>
    </r>
    <r>
      <rPr>
        <b/>
        <sz val="7"/>
        <color rgb="FFFF0000"/>
        <rFont val="Arial"/>
        <family val="2"/>
      </rPr>
      <t xml:space="preserve">
</t>
    </r>
    <r>
      <rPr>
        <sz val="7"/>
        <color rgb="FFFF0000"/>
        <rFont val="Arial"/>
        <family val="2"/>
      </rPr>
      <t xml:space="preserve">
</t>
    </r>
    <r>
      <rPr>
        <b/>
        <sz val="7"/>
        <color rgb="FFFF0000"/>
        <rFont val="Arial"/>
        <family val="2"/>
      </rPr>
      <t>Critère sur le TPRX</t>
    </r>
  </si>
  <si>
    <r>
      <rPr>
        <sz val="7"/>
        <rFont val="Arial"/>
        <family val="2"/>
      </rPr>
      <t>13. Contentieux locaux spécifiques</t>
    </r>
    <r>
      <rPr>
        <b/>
        <sz val="7"/>
        <color rgb="FFFF0000"/>
        <rFont val="Arial"/>
        <family val="2"/>
      </rPr>
      <t xml:space="preserve">
</t>
    </r>
    <r>
      <rPr>
        <b/>
        <sz val="7"/>
        <color rgb="FF0070C0"/>
        <rFont val="Arial"/>
        <family val="2"/>
      </rPr>
      <t>(Pour Fonction recodée = Magistrats SIEGE S  + Magistrats SIEGE NS)</t>
    </r>
    <r>
      <rPr>
        <b/>
        <sz val="7"/>
        <color rgb="FFFF0000"/>
        <rFont val="Arial"/>
        <family val="2"/>
      </rPr>
      <t xml:space="preserve"> 
Critère sur le TPRX</t>
    </r>
  </si>
  <si>
    <r>
      <t xml:space="preserve">12.5 MISE A DISPOSITION
</t>
    </r>
    <r>
      <rPr>
        <b/>
        <sz val="7"/>
        <color rgb="FF0070C0"/>
        <rFont val="Arial"/>
        <family val="2"/>
      </rPr>
      <t xml:space="preserve">(Pour Fonction recodée = Magistrats SIEGE S  + Magistrats SIEGE NS) </t>
    </r>
    <r>
      <rPr>
        <b/>
        <sz val="7"/>
        <color rgb="FFFF0000"/>
        <rFont val="Arial"/>
        <family val="2"/>
      </rPr>
      <t xml:space="preserve">
</t>
    </r>
    <r>
      <rPr>
        <sz val="7"/>
        <color rgb="FFFFFF00"/>
        <rFont val="Arial"/>
        <family val="2"/>
      </rPr>
      <t xml:space="preserve">
</t>
    </r>
    <r>
      <rPr>
        <b/>
        <sz val="7"/>
        <color rgb="FFFF0000"/>
        <rFont val="Arial"/>
        <family val="2"/>
      </rPr>
      <t>Critère sur le TPRX</t>
    </r>
  </si>
  <si>
    <r>
      <t xml:space="preserve">3.2 Protection des majeurs
</t>
    </r>
    <r>
      <rPr>
        <b/>
        <sz val="7"/>
        <color rgb="FF0070C0"/>
        <rFont val="Arial"/>
        <family val="2"/>
      </rPr>
      <t>(Pour Fonction recodée = Magistrats SIEGE S et NS)</t>
    </r>
    <r>
      <rPr>
        <sz val="7"/>
        <rFont val="Arial"/>
        <family val="2"/>
      </rPr>
      <t xml:space="preserve">
</t>
    </r>
    <r>
      <rPr>
        <b/>
        <sz val="7"/>
        <color rgb="FFFF0000"/>
        <rFont val="Arial"/>
        <family val="2"/>
      </rPr>
      <t xml:space="preserve">
Critère sur le TJ OU CPH</t>
    </r>
  </si>
  <si>
    <r>
      <t xml:space="preserve">3. Contentieux de la Protection - 3.2 Protection des majeurs - 3.43 Injonctions de payer - 3.44 Saisies des rémunérations
</t>
    </r>
    <r>
      <rPr>
        <b/>
        <sz val="7"/>
        <color rgb="FF0070C0"/>
        <rFont val="Arial"/>
        <family val="2"/>
      </rPr>
      <t xml:space="preserve">(Pour Fonction recodée = Magistrats SIEGE S et NS)
</t>
    </r>
    <r>
      <rPr>
        <b/>
        <sz val="7"/>
        <color rgb="FFFF0000"/>
        <rFont val="Arial"/>
        <family val="2"/>
      </rPr>
      <t>Critère sur le TJ OU CPH</t>
    </r>
  </si>
  <si>
    <r>
      <t xml:space="preserve">6.1 JE : activité civile
</t>
    </r>
    <r>
      <rPr>
        <b/>
        <sz val="7"/>
        <color rgb="FF0070C0"/>
        <rFont val="Arial"/>
        <family val="2"/>
      </rPr>
      <t xml:space="preserve">(Pour Fonction recodée = Magistrats SIEGE S et NS)
</t>
    </r>
    <r>
      <rPr>
        <sz val="7"/>
        <rFont val="Arial"/>
        <family val="2"/>
      </rPr>
      <t xml:space="preserve">
</t>
    </r>
    <r>
      <rPr>
        <b/>
        <sz val="7"/>
        <color rgb="FFFF0000"/>
        <rFont val="Arial"/>
        <family val="2"/>
      </rPr>
      <t>TJ et TPR ou CPH (donc pas de critère sur le TJ)</t>
    </r>
  </si>
  <si>
    <r>
      <rPr>
        <b/>
        <sz val="7"/>
        <color rgb="FFFF0000"/>
        <rFont val="Arial"/>
        <family val="2"/>
      </rPr>
      <t xml:space="preserve">1.1 Départage prud'homal 
</t>
    </r>
    <r>
      <rPr>
        <sz val="7"/>
        <rFont val="Arial"/>
        <family val="2"/>
      </rPr>
      <t xml:space="preserve">
</t>
    </r>
    <r>
      <rPr>
        <b/>
        <sz val="7"/>
        <color rgb="FF0070C0"/>
        <rFont val="Arial"/>
        <family val="2"/>
      </rPr>
      <t>(Pour Fonction recodée = Magistrats SIEGE S et NS)</t>
    </r>
    <r>
      <rPr>
        <sz val="7"/>
        <rFont val="Arial"/>
        <family val="2"/>
      </rPr>
      <t xml:space="preserve">
</t>
    </r>
    <r>
      <rPr>
        <b/>
        <sz val="7"/>
        <color rgb="FFFF0000"/>
        <rFont val="Arial"/>
        <family val="2"/>
      </rPr>
      <t xml:space="preserve">
Critère sur le TJ OU CPH</t>
    </r>
  </si>
  <si>
    <r>
      <t xml:space="preserve">4.0 Contentieux général &lt; 10000 euros
</t>
    </r>
    <r>
      <rPr>
        <b/>
        <sz val="7"/>
        <color rgb="FF0070C0"/>
        <rFont val="Arial"/>
        <family val="2"/>
      </rPr>
      <t xml:space="preserve">(Pour Fonction recodée = Magistrats SIEGE S et NS)
</t>
    </r>
    <r>
      <rPr>
        <b/>
        <sz val="7"/>
        <color rgb="FFFF0000"/>
        <rFont val="Arial"/>
        <family val="2"/>
      </rPr>
      <t xml:space="preserve">
Critère sur le TJ OU CPH</t>
    </r>
  </si>
  <si>
    <r>
      <t xml:space="preserve">3.43 Injonctions de payer + 3.44 Saisies des rémunérations
</t>
    </r>
    <r>
      <rPr>
        <b/>
        <sz val="7"/>
        <color rgb="FF0070C0"/>
        <rFont val="Arial"/>
        <family val="2"/>
      </rPr>
      <t>(Pour Fonction recodée = Magistrats SIEGE S et NS)</t>
    </r>
    <r>
      <rPr>
        <sz val="7"/>
        <rFont val="Arial"/>
        <family val="2"/>
      </rPr>
      <t xml:space="preserve">
</t>
    </r>
    <r>
      <rPr>
        <b/>
        <sz val="7"/>
        <color rgb="FFFF0000"/>
        <rFont val="Arial"/>
        <family val="2"/>
      </rPr>
      <t xml:space="preserve">
Critère sur le TJ OU CPH</t>
    </r>
  </si>
  <si>
    <r>
      <t xml:space="preserve">1. TOTAL CONTENTIEUX SOCIAL  
-
</t>
    </r>
    <r>
      <rPr>
        <b/>
        <sz val="7"/>
        <color rgb="FFFF0000"/>
        <rFont val="Arial"/>
        <family val="2"/>
      </rPr>
      <t xml:space="preserve">1.1 Départage prud'homal 
</t>
    </r>
    <r>
      <rPr>
        <sz val="7"/>
        <rFont val="Arial"/>
        <family val="2"/>
      </rPr>
      <t xml:space="preserve">
</t>
    </r>
    <r>
      <rPr>
        <b/>
        <sz val="7"/>
        <color rgb="FF0070C0"/>
        <rFont val="Arial"/>
        <family val="2"/>
      </rPr>
      <t xml:space="preserve">(Pour Fonction recodée = Magistrats SIEGE S et NS)
</t>
    </r>
    <r>
      <rPr>
        <b/>
        <sz val="7"/>
        <color rgb="FFFF0000"/>
        <rFont val="Arial"/>
        <family val="2"/>
      </rPr>
      <t>Critère sur le TJ OU CPH</t>
    </r>
  </si>
  <si>
    <r>
      <t xml:space="preserve">2. TOTAL CONTENTIEUX JAF
</t>
    </r>
    <r>
      <rPr>
        <b/>
        <sz val="7"/>
        <color rgb="FF0070C0"/>
        <rFont val="Arial"/>
        <family val="2"/>
      </rPr>
      <t>(Pour Fonction recodée = Magistrats SIEGE S et NS)</t>
    </r>
    <r>
      <rPr>
        <sz val="7"/>
        <rFont val="Arial"/>
        <family val="2"/>
      </rPr>
      <t xml:space="preserve">
</t>
    </r>
    <r>
      <rPr>
        <b/>
        <sz val="7"/>
        <color rgb="FFFF0000"/>
        <rFont val="Arial"/>
        <family val="2"/>
      </rPr>
      <t xml:space="preserve">
TJ et TPR et CPH (donc pas de critère sur le TJ)</t>
    </r>
  </si>
  <si>
    <r>
      <t xml:space="preserve">4. TOTAL CIVIL NON SPÉCIALISÉ 
-
4.0 Contentieux général &lt; 10000 euros
</t>
    </r>
    <r>
      <rPr>
        <b/>
        <sz val="7"/>
        <color rgb="FF0070C0"/>
        <rFont val="Arial"/>
        <family val="2"/>
      </rPr>
      <t xml:space="preserve">(Pour Fonction recodée = Magistrats SIEGE S)
</t>
    </r>
    <r>
      <rPr>
        <sz val="7"/>
        <rFont val="Arial"/>
        <family val="2"/>
      </rPr>
      <t xml:space="preserve">
</t>
    </r>
    <r>
      <rPr>
        <b/>
        <sz val="7"/>
        <color rgb="FFFF0000"/>
        <rFont val="Arial"/>
        <family val="2"/>
      </rPr>
      <t>Critère sur le TJ ou CPH</t>
    </r>
  </si>
  <si>
    <r>
      <t xml:space="preserve">4. TOTAL CIVIL NON SPÉCIALISÉ - 4.0 Contentieux général &lt; 10000 euros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ou CPH</t>
    </r>
  </si>
  <si>
    <r>
      <t xml:space="preserve">8.1 Service général
</t>
    </r>
    <r>
      <rPr>
        <b/>
        <sz val="7"/>
        <color rgb="FF0070C0"/>
        <rFont val="Arial"/>
        <family val="2"/>
      </rPr>
      <t>(Pour Fonction recodée = Magistrats SIEGE S et NS)</t>
    </r>
    <r>
      <rPr>
        <sz val="7"/>
        <rFont val="Arial"/>
        <family val="2"/>
      </rPr>
      <t xml:space="preserve">
</t>
    </r>
    <r>
      <rPr>
        <b/>
        <sz val="7"/>
        <color rgb="FFFF0000"/>
        <rFont val="Arial"/>
        <family val="2"/>
      </rPr>
      <t xml:space="preserve">
TJ et TPR et CPH  (donc pas de critère sur le TJ)</t>
    </r>
  </si>
  <si>
    <r>
      <t xml:space="preserve">8.2 JIRS eco-fi
</t>
    </r>
    <r>
      <rPr>
        <b/>
        <sz val="7"/>
        <color rgb="FF0070C0"/>
        <rFont val="Arial"/>
        <family val="2"/>
      </rPr>
      <t>(Pour Fonction recodée = Magistrats SIEGE S et NS)</t>
    </r>
    <r>
      <rPr>
        <sz val="7"/>
        <rFont val="Arial"/>
        <family val="2"/>
      </rPr>
      <t xml:space="preserve">
</t>
    </r>
    <r>
      <rPr>
        <b/>
        <sz val="7"/>
        <color rgb="FFFF0000"/>
        <rFont val="Arial"/>
        <family val="2"/>
      </rPr>
      <t xml:space="preserve">
TJ et TPR et CPH (donc pas de critère sur le TJ)</t>
    </r>
  </si>
  <si>
    <r>
      <t xml:space="preserve">8.3 JIRS crim-org
</t>
    </r>
    <r>
      <rPr>
        <b/>
        <sz val="7"/>
        <color rgb="FF0070C0"/>
        <rFont val="Arial"/>
        <family val="2"/>
      </rPr>
      <t xml:space="preserve">(Pour Fonction recodée = Magistrats SIEGE S et NS)
</t>
    </r>
    <r>
      <rPr>
        <sz val="7"/>
        <rFont val="Arial"/>
        <family val="2"/>
      </rPr>
      <t xml:space="preserve">
</t>
    </r>
    <r>
      <rPr>
        <b/>
        <sz val="7"/>
        <color rgb="FFFF0000"/>
        <rFont val="Arial"/>
        <family val="2"/>
      </rPr>
      <t>TJ et TPR et CPH (donc pas de critère sur le TJ)</t>
    </r>
  </si>
  <si>
    <r>
      <t xml:space="preserve">8.4 autres sections spécialisées
</t>
    </r>
    <r>
      <rPr>
        <sz val="7"/>
        <color theme="1"/>
        <rFont val="Arial"/>
        <family val="2"/>
      </rPr>
      <t xml:space="preserve">+
8.11 ECO-FI HORS JIRS
</t>
    </r>
    <r>
      <rPr>
        <sz val="7"/>
        <rFont val="Arial"/>
        <family val="2"/>
      </rPr>
      <t xml:space="preserve">
</t>
    </r>
    <r>
      <rPr>
        <b/>
        <sz val="7"/>
        <color rgb="FF0070C0"/>
        <rFont val="Arial"/>
        <family val="2"/>
      </rPr>
      <t xml:space="preserve">(Pour Fonction recodée = Magistrats SIEGE S et NS)
</t>
    </r>
    <r>
      <rPr>
        <sz val="7"/>
        <rFont val="Arial"/>
        <family val="2"/>
      </rPr>
      <t xml:space="preserve">
</t>
    </r>
    <r>
      <rPr>
        <b/>
        <sz val="7"/>
        <color rgb="FFFF0000"/>
        <rFont val="Arial"/>
        <family val="2"/>
      </rPr>
      <t>TJ et TPR et CPH (donc pas de critère sur le TJ)</t>
    </r>
  </si>
  <si>
    <r>
      <t xml:space="preserve">9. TOTAL JAP
</t>
    </r>
    <r>
      <rPr>
        <b/>
        <sz val="7"/>
        <color rgb="FF0070C0"/>
        <rFont val="Arial"/>
        <family val="2"/>
      </rPr>
      <t>(Pour Fonction recodée = Magistrats SIEGE S et NS)</t>
    </r>
    <r>
      <rPr>
        <b/>
        <sz val="7"/>
        <rFont val="Arial"/>
        <family val="2"/>
      </rPr>
      <t xml:space="preserve">
</t>
    </r>
    <r>
      <rPr>
        <b/>
        <sz val="7"/>
        <color rgb="FFFF0000"/>
        <rFont val="Arial"/>
        <family val="2"/>
      </rPr>
      <t xml:space="preserve">
TJ et TPR et CPH (donc pas de critère sur le TJ)</t>
    </r>
  </si>
  <si>
    <r>
      <t xml:space="preserve">6.2 JE : activité pénale
</t>
    </r>
    <r>
      <rPr>
        <b/>
        <sz val="7"/>
        <color rgb="FF0070C0"/>
        <rFont val="Arial"/>
        <family val="2"/>
      </rPr>
      <t>(Pour Fonction recodée = Magistrats SIEGE S et NS)</t>
    </r>
    <r>
      <rPr>
        <sz val="7"/>
        <color rgb="FF0070C0"/>
        <rFont val="Arial"/>
        <family val="2"/>
      </rPr>
      <t xml:space="preserve">
</t>
    </r>
    <r>
      <rPr>
        <b/>
        <sz val="7"/>
        <color rgb="FFFF0000"/>
        <rFont val="Arial"/>
        <family val="2"/>
      </rPr>
      <t xml:space="preserve">
TJ et TPR et CPH (donc pas de critère sur le TJ)</t>
    </r>
  </si>
  <si>
    <r>
      <t xml:space="preserve">10. TOTAL JLD PÉNAL
</t>
    </r>
    <r>
      <rPr>
        <b/>
        <sz val="7"/>
        <color rgb="FF0070C0"/>
        <rFont val="Arial"/>
        <family val="2"/>
      </rPr>
      <t xml:space="preserve">(Pour Fonction recodée = Magistrats SIEGE S et NS)
</t>
    </r>
    <r>
      <rPr>
        <sz val="7"/>
        <rFont val="Arial"/>
        <family val="2"/>
      </rPr>
      <t xml:space="preserve">
</t>
    </r>
    <r>
      <rPr>
        <b/>
        <sz val="7"/>
        <color rgb="FFFF0000"/>
        <rFont val="Arial"/>
        <family val="2"/>
      </rPr>
      <t>TJ et TPR (donc pas de critère sur le TJ)</t>
    </r>
  </si>
  <si>
    <r>
      <t xml:space="preserve">7.5 + 7.51 Cour d'assises JIRS et hors JIRS
</t>
    </r>
    <r>
      <rPr>
        <b/>
        <sz val="7"/>
        <color theme="8" tint="-0.249977111117893"/>
        <rFont val="Arial"/>
        <family val="2"/>
      </rPr>
      <t xml:space="preserve">(Pour Fonction recodée = Magistrats SIEGE S et NS)
</t>
    </r>
    <r>
      <rPr>
        <b/>
        <sz val="7"/>
        <color rgb="FFFF0000"/>
        <rFont val="Arial"/>
        <family val="2"/>
      </rPr>
      <t>TJ et TPR et CPH (donc pas de critère sur le TJ)</t>
    </r>
  </si>
  <si>
    <r>
      <t>7.52 cour criminelle</t>
    </r>
    <r>
      <rPr>
        <b/>
        <sz val="7"/>
        <color rgb="FFFF0000"/>
        <rFont val="Arial"/>
        <family val="2"/>
      </rPr>
      <t xml:space="preserve">
</t>
    </r>
    <r>
      <rPr>
        <sz val="7"/>
        <rFont val="Arial"/>
        <family val="2"/>
      </rPr>
      <t xml:space="preserve">
</t>
    </r>
    <r>
      <rPr>
        <b/>
        <sz val="7"/>
        <color theme="8" tint="-0.249977111117893"/>
        <rFont val="Arial"/>
        <family val="2"/>
      </rPr>
      <t xml:space="preserve"> (Pour Fonction recodée = Magistrats SIEGE S et NS)
</t>
    </r>
    <r>
      <rPr>
        <b/>
        <sz val="7"/>
        <color rgb="FFFF0000"/>
        <rFont val="Arial"/>
        <family val="2"/>
      </rPr>
      <t>TJ et TPR et CPH (donc pas de critère sur le TJ)</t>
    </r>
  </si>
  <si>
    <r>
      <t xml:space="preserve">7.121 Collégiales JIRS eco-fi POUR LES JURIDICTIONS JIRS
</t>
    </r>
    <r>
      <rPr>
        <b/>
        <sz val="7"/>
        <color rgb="FFFF0000"/>
        <rFont val="Arial"/>
        <family val="2"/>
      </rPr>
      <t xml:space="preserve">
</t>
    </r>
    <r>
      <rPr>
        <b/>
        <sz val="7"/>
        <color rgb="FF0070C0"/>
        <rFont val="Arial"/>
        <family val="2"/>
      </rPr>
      <t xml:space="preserve"> (Pour Fonction recodée = Magistrats SIEGE S et NS)
</t>
    </r>
    <r>
      <rPr>
        <b/>
        <sz val="7"/>
        <color rgb="FFFF0000"/>
        <rFont val="Arial"/>
        <family val="2"/>
      </rPr>
      <t xml:space="preserve">
TJ et TPR et CPH (donc pas de critère sur le TJ)</t>
    </r>
  </si>
  <si>
    <r>
      <t xml:space="preserve">7.12 Collégiales JIRS crim-org
</t>
    </r>
    <r>
      <rPr>
        <b/>
        <sz val="7"/>
        <color rgb="FFFF0000"/>
        <rFont val="Arial"/>
        <family val="2"/>
      </rPr>
      <t xml:space="preserve">
 </t>
    </r>
    <r>
      <rPr>
        <b/>
        <sz val="7"/>
        <color rgb="FF0070C0"/>
        <rFont val="Arial"/>
        <family val="2"/>
      </rPr>
      <t>(Pour Fonction recodée = Magistrats SIEGE S et NS)</t>
    </r>
    <r>
      <rPr>
        <b/>
        <sz val="7"/>
        <color rgb="FFFF0000"/>
        <rFont val="Arial"/>
        <family val="2"/>
      </rPr>
      <t xml:space="preserve">
TJ et TPR et CPH (donc pas de critère sur le TJ)</t>
    </r>
  </si>
  <si>
    <r>
      <t xml:space="preserve">7.122 Collégiales autres sections spécialisées + 7.121 Collégiales eco-fi POUR LES JURIDICTIONS NON JIRS
</t>
    </r>
    <r>
      <rPr>
        <b/>
        <sz val="7"/>
        <color rgb="FFFF0000"/>
        <rFont val="Arial"/>
        <family val="2"/>
      </rPr>
      <t xml:space="preserve">
 </t>
    </r>
    <r>
      <rPr>
        <b/>
        <sz val="7"/>
        <color rgb="FF0070C0"/>
        <rFont val="Arial"/>
        <family val="2"/>
      </rPr>
      <t>(Pour Fonction recodée = Magistrats SIEGE S et NS)</t>
    </r>
    <r>
      <rPr>
        <b/>
        <sz val="7"/>
        <color rgb="FFFF0000"/>
        <rFont val="Arial"/>
        <family val="2"/>
      </rPr>
      <t xml:space="preserve">
TJ et TPR et CPH (donc pas de critère sur le TJ)</t>
    </r>
  </si>
  <si>
    <r>
      <t xml:space="preserve">7.6 Tribunal de police + 7.7 OP contraventionnelles
</t>
    </r>
    <r>
      <rPr>
        <b/>
        <sz val="7"/>
        <color rgb="FFFF0000"/>
        <rFont val="Arial"/>
        <family val="2"/>
      </rPr>
      <t xml:space="preserve">
</t>
    </r>
    <r>
      <rPr>
        <b/>
        <sz val="7"/>
        <color rgb="FF0070C0"/>
        <rFont val="Arial"/>
        <family val="2"/>
      </rPr>
      <t xml:space="preserve"> (Pour Fonction recodée = Magistrats SIEGE S et NS)
</t>
    </r>
    <r>
      <rPr>
        <b/>
        <sz val="7"/>
        <color rgb="FFFF0000"/>
        <rFont val="Arial"/>
        <family val="2"/>
      </rPr>
      <t xml:space="preserve">
TJ et TPR et CPH (donc pas de critère sur le TJ)</t>
    </r>
  </si>
  <si>
    <r>
      <t xml:space="preserve">11.5 CSM
</t>
    </r>
    <r>
      <rPr>
        <b/>
        <sz val="7"/>
        <color rgb="FF0070C0"/>
        <rFont val="Arial"/>
        <family val="2"/>
      </rPr>
      <t xml:space="preserve">(pour Fonction JCP seulement)
</t>
    </r>
    <r>
      <rPr>
        <sz val="7"/>
        <rFont val="Arial"/>
        <family val="2"/>
      </rPr>
      <t xml:space="preserve">
</t>
    </r>
    <r>
      <rPr>
        <b/>
        <sz val="7"/>
        <color rgb="FFFF0000"/>
        <rFont val="Arial"/>
        <family val="2"/>
      </rPr>
      <t>Critère sur le TJ et le CPH</t>
    </r>
  </si>
  <si>
    <r>
      <t xml:space="preserve">11.5 CSM
</t>
    </r>
    <r>
      <rPr>
        <b/>
        <sz val="7"/>
        <color rgb="FF0070C0"/>
        <rFont val="Arial"/>
        <family val="2"/>
      </rPr>
      <t>(pour Fonction JI seulement)</t>
    </r>
    <r>
      <rPr>
        <sz val="7"/>
        <rFont val="Arial"/>
        <family val="2"/>
      </rPr>
      <t xml:space="preserve">
</t>
    </r>
    <r>
      <rPr>
        <b/>
        <sz val="7"/>
        <color rgb="FFFF0000"/>
        <rFont val="Arial"/>
        <family val="2"/>
      </rPr>
      <t xml:space="preserve">
Critère sur le TJ et CPH</t>
    </r>
  </si>
  <si>
    <r>
      <t xml:space="preserve">11.5 CSM
</t>
    </r>
    <r>
      <rPr>
        <b/>
        <sz val="7"/>
        <color rgb="FF0070C0"/>
        <rFont val="Arial"/>
        <family val="2"/>
      </rPr>
      <t xml:space="preserve">(pour Fonction JAP seulement)
</t>
    </r>
    <r>
      <rPr>
        <sz val="7"/>
        <rFont val="Arial"/>
        <family val="2"/>
      </rPr>
      <t xml:space="preserve">
</t>
    </r>
    <r>
      <rPr>
        <b/>
        <sz val="7"/>
        <color rgb="FFFF0000"/>
        <rFont val="Arial"/>
        <family val="2"/>
      </rPr>
      <t>Critère sur le TJ et CPH</t>
    </r>
  </si>
  <si>
    <r>
      <t xml:space="preserve">11.5 CSM
</t>
    </r>
    <r>
      <rPr>
        <b/>
        <sz val="7"/>
        <color rgb="FF0070C0"/>
        <rFont val="Arial"/>
        <family val="2"/>
      </rPr>
      <t>(pour Fonction JE seulement)</t>
    </r>
    <r>
      <rPr>
        <sz val="7"/>
        <rFont val="Arial"/>
        <family val="2"/>
      </rPr>
      <t xml:space="preserve">
</t>
    </r>
    <r>
      <rPr>
        <b/>
        <sz val="7"/>
        <color rgb="FFFF0000"/>
        <rFont val="Arial"/>
        <family val="2"/>
      </rPr>
      <t xml:space="preserve">
Critère sur le TJ et CPH</t>
    </r>
  </si>
  <si>
    <r>
      <t xml:space="preserve">11.5 CSM
</t>
    </r>
    <r>
      <rPr>
        <b/>
        <sz val="7"/>
        <color rgb="FF0070C0"/>
        <rFont val="Arial"/>
        <family val="2"/>
      </rPr>
      <t xml:space="preserve">(pour Fonction JLD seulement)
</t>
    </r>
    <r>
      <rPr>
        <sz val="7"/>
        <rFont val="Arial"/>
        <family val="2"/>
      </rPr>
      <t xml:space="preserve">
</t>
    </r>
    <r>
      <rPr>
        <b/>
        <sz val="7"/>
        <color rgb="FFFF0000"/>
        <rFont val="Arial"/>
        <family val="2"/>
      </rPr>
      <t>Critère sur le TJ et CPH</t>
    </r>
  </si>
  <si>
    <r>
      <t xml:space="preserve">11.5 CSM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</si>
  <si>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 xml:space="preserve">11.51 Accueil du justiciable
</t>
    </r>
    <r>
      <rPr>
        <b/>
        <sz val="7"/>
        <color rgb="FF0070C0"/>
        <rFont val="Arial"/>
        <family val="2"/>
      </rPr>
      <t xml:space="preserve">(pour Fonction JCP seulement)
</t>
    </r>
    <r>
      <rPr>
        <sz val="7"/>
        <rFont val="Arial"/>
        <family val="2"/>
      </rPr>
      <t xml:space="preserve">
</t>
    </r>
    <r>
      <rPr>
        <b/>
        <sz val="7"/>
        <color rgb="FFFF0000"/>
        <rFont val="Arial"/>
        <family val="2"/>
      </rPr>
      <t>Critère sur le TJ et CPH</t>
    </r>
  </si>
  <si>
    <r>
      <t xml:space="preserve">11.51 Accueil du justiciable
</t>
    </r>
    <r>
      <rPr>
        <b/>
        <sz val="7"/>
        <color rgb="FF0070C0"/>
        <rFont val="Arial"/>
        <family val="2"/>
      </rPr>
      <t xml:space="preserve">(pour Fonction JI seulement)
</t>
    </r>
    <r>
      <rPr>
        <sz val="7"/>
        <rFont val="Arial"/>
        <family val="2"/>
      </rPr>
      <t xml:space="preserve">
</t>
    </r>
    <r>
      <rPr>
        <b/>
        <sz val="7"/>
        <color rgb="FFFF0000"/>
        <rFont val="Arial"/>
        <family val="2"/>
      </rPr>
      <t>Critère sur le TJ et CPH</t>
    </r>
  </si>
  <si>
    <r>
      <t xml:space="preserve">11.51 Accueil du justiciable
</t>
    </r>
    <r>
      <rPr>
        <b/>
        <sz val="7"/>
        <color rgb="FF0070C0"/>
        <rFont val="Arial"/>
        <family val="2"/>
      </rPr>
      <t xml:space="preserve">(pour Fonction JAP seulement)
</t>
    </r>
    <r>
      <rPr>
        <sz val="7"/>
        <rFont val="Arial"/>
        <family val="2"/>
      </rPr>
      <t xml:space="preserve">
</t>
    </r>
    <r>
      <rPr>
        <b/>
        <sz val="7"/>
        <color rgb="FFFF0000"/>
        <rFont val="Arial"/>
        <family val="2"/>
      </rPr>
      <t>Critère sur le TJ et CPH</t>
    </r>
  </si>
  <si>
    <r>
      <t xml:space="preserve">11.51 Accueil du justiciable
</t>
    </r>
    <r>
      <rPr>
        <b/>
        <sz val="7"/>
        <color rgb="FF0070C0"/>
        <rFont val="Arial"/>
        <family val="2"/>
      </rPr>
      <t>(pour Fonction JE seulement)</t>
    </r>
    <r>
      <rPr>
        <sz val="7"/>
        <rFont val="Arial"/>
        <family val="2"/>
      </rPr>
      <t xml:space="preserve">
</t>
    </r>
    <r>
      <rPr>
        <b/>
        <sz val="7"/>
        <color rgb="FFFF0000"/>
        <rFont val="Arial"/>
        <family val="2"/>
      </rPr>
      <t xml:space="preserve">
Critère sur le TJ et CPH</t>
    </r>
  </si>
  <si>
    <r>
      <t xml:space="preserve">11.51 Accueil du justiciable
</t>
    </r>
    <r>
      <rPr>
        <b/>
        <sz val="7"/>
        <color rgb="FF0070C0"/>
        <rFont val="Arial"/>
        <family val="2"/>
      </rPr>
      <t>(pour Fonction JLD seulement)</t>
    </r>
    <r>
      <rPr>
        <sz val="7"/>
        <rFont val="Arial"/>
        <family val="2"/>
      </rPr>
      <t xml:space="preserve">
</t>
    </r>
    <r>
      <rPr>
        <b/>
        <sz val="7"/>
        <color rgb="FFFF0000"/>
        <rFont val="Arial"/>
        <family val="2"/>
      </rPr>
      <t xml:space="preserve">
Critère sur le TJ et CPH</t>
    </r>
  </si>
  <si>
    <r>
      <t xml:space="preserve">11.51 Accueil du justiciable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</si>
  <si>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11.1 Soutien + 11.2 Formations suivies +</t>
    </r>
    <r>
      <rPr>
        <b/>
        <sz val="7"/>
        <color rgb="FFFF0000"/>
        <rFont val="Arial"/>
        <family val="2"/>
      </rPr>
      <t xml:space="preserve"> 11.6 Autres activités non juridictionnelles
 </t>
    </r>
    <r>
      <rPr>
        <sz val="7"/>
        <rFont val="Arial"/>
        <family val="2"/>
      </rPr>
      <t xml:space="preserve">
</t>
    </r>
    <r>
      <rPr>
        <b/>
        <sz val="7"/>
        <color rgb="FF0070C0"/>
        <rFont val="Arial"/>
        <family val="2"/>
      </rPr>
      <t xml:space="preserve">(pour Fonction JCP seulement)
</t>
    </r>
    <r>
      <rPr>
        <sz val="7"/>
        <rFont val="Arial"/>
        <family val="2"/>
      </rPr>
      <t xml:space="preserve">
</t>
    </r>
    <r>
      <rPr>
        <b/>
        <sz val="7"/>
        <color rgb="FFFF0000"/>
        <rFont val="Arial"/>
        <family val="2"/>
      </rPr>
      <t>Critère sur le TJ et CPH</t>
    </r>
  </si>
  <si>
    <r>
      <t xml:space="preserve">11.1 Soutien + 11.2 Formations suivies + </t>
    </r>
    <r>
      <rPr>
        <b/>
        <sz val="7"/>
        <color rgb="FFFF0000"/>
        <rFont val="Arial"/>
        <family val="2"/>
      </rPr>
      <t xml:space="preserve">11.6 Autres activités non juridictionnelles 
</t>
    </r>
    <r>
      <rPr>
        <sz val="7"/>
        <rFont val="Arial"/>
        <family val="2"/>
      </rPr>
      <t xml:space="preserve">
</t>
    </r>
    <r>
      <rPr>
        <b/>
        <sz val="7"/>
        <color rgb="FF0070C0"/>
        <rFont val="Arial"/>
        <family val="2"/>
      </rPr>
      <t xml:space="preserve">(pour Fonction JI seulement)
</t>
    </r>
    <r>
      <rPr>
        <sz val="7"/>
        <rFont val="Arial"/>
        <family val="2"/>
      </rPr>
      <t xml:space="preserve">
</t>
    </r>
    <r>
      <rPr>
        <b/>
        <sz val="7"/>
        <color rgb="FFFF0000"/>
        <rFont val="Arial"/>
        <family val="2"/>
      </rPr>
      <t>Critère sur le TJ et CPH</t>
    </r>
  </si>
  <si>
    <r>
      <t xml:space="preserve">11.1 Soutien + 11.2 Formations suivies + </t>
    </r>
    <r>
      <rPr>
        <b/>
        <sz val="7"/>
        <color rgb="FFFF0000"/>
        <rFont val="Arial"/>
        <family val="2"/>
      </rPr>
      <t>11.6 Autres activités non juridictionnelles</t>
    </r>
    <r>
      <rPr>
        <sz val="7"/>
        <rFont val="Arial"/>
        <family val="2"/>
      </rPr>
      <t xml:space="preserve"> 
</t>
    </r>
    <r>
      <rPr>
        <b/>
        <sz val="7"/>
        <color rgb="FF0070C0"/>
        <rFont val="Arial"/>
        <family val="2"/>
      </rPr>
      <t xml:space="preserve">(pour Fonction JAP seulement)
</t>
    </r>
    <r>
      <rPr>
        <sz val="7"/>
        <rFont val="Arial"/>
        <family val="2"/>
      </rPr>
      <t xml:space="preserve">
</t>
    </r>
    <r>
      <rPr>
        <b/>
        <sz val="7"/>
        <color rgb="FFFF0000"/>
        <rFont val="Arial"/>
        <family val="2"/>
      </rPr>
      <t>Critère sur le TJ et CPH</t>
    </r>
  </si>
  <si>
    <r>
      <t>11.1 Soutien + 11.2 Formations suivies +</t>
    </r>
    <r>
      <rPr>
        <b/>
        <sz val="7"/>
        <color rgb="FFFF0000"/>
        <rFont val="Arial"/>
        <family val="2"/>
      </rPr>
      <t xml:space="preserve"> 11.6 Autres activités non juridictionnelles 
</t>
    </r>
    <r>
      <rPr>
        <sz val="7"/>
        <rFont val="Arial"/>
        <family val="2"/>
      </rPr>
      <t xml:space="preserve">
</t>
    </r>
    <r>
      <rPr>
        <b/>
        <sz val="7"/>
        <color rgb="FF0070C0"/>
        <rFont val="Arial"/>
        <family val="2"/>
      </rPr>
      <t xml:space="preserve">(pour Fonction JE seulement)
</t>
    </r>
    <r>
      <rPr>
        <sz val="7"/>
        <rFont val="Arial"/>
        <family val="2"/>
      </rPr>
      <t xml:space="preserve">
</t>
    </r>
    <r>
      <rPr>
        <b/>
        <sz val="7"/>
        <color rgb="FFFF0000"/>
        <rFont val="Arial"/>
        <family val="2"/>
      </rPr>
      <t>Critère sur le TJ et CPH</t>
    </r>
  </si>
  <si>
    <r>
      <t>11.1 Soutien + 11.2 Formations suivies +</t>
    </r>
    <r>
      <rPr>
        <b/>
        <sz val="7"/>
        <color rgb="FFFF0000"/>
        <rFont val="Arial"/>
        <family val="2"/>
      </rPr>
      <t xml:space="preserve"> 11.6 Autres activités non juridictionnelles 
</t>
    </r>
    <r>
      <rPr>
        <sz val="7"/>
        <rFont val="Arial"/>
        <family val="2"/>
      </rPr>
      <t xml:space="preserve">
</t>
    </r>
    <r>
      <rPr>
        <b/>
        <sz val="7"/>
        <color rgb="FF0070C0"/>
        <rFont val="Arial"/>
        <family val="2"/>
      </rPr>
      <t xml:space="preserve">(pour Fonction JLD seulement)
</t>
    </r>
    <r>
      <rPr>
        <sz val="7"/>
        <rFont val="Arial"/>
        <family val="2"/>
      </rPr>
      <t xml:space="preserve">
</t>
    </r>
    <r>
      <rPr>
        <b/>
        <sz val="7"/>
        <color rgb="FFFF0000"/>
        <rFont val="Arial"/>
        <family val="2"/>
      </rPr>
      <t>Critère sur le TJ et CPH</t>
    </r>
  </si>
  <si>
    <r>
      <t>11.1 Soutien + 11.2 Formations suivies +</t>
    </r>
    <r>
      <rPr>
        <b/>
        <sz val="7"/>
        <color rgb="FFFF0000"/>
        <rFont val="Arial"/>
        <family val="2"/>
      </rPr>
      <t xml:space="preserve"> 11.6 Autres activités non juridictionnelles
 </t>
    </r>
    <r>
      <rPr>
        <sz val="7"/>
        <rFont val="Arial"/>
        <family val="2"/>
      </rPr>
      <t xml:space="preserve">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</si>
  <si>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JCP seulement)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</si>
  <si>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JI seulement)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</si>
  <si>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JAP seulement)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</si>
  <si>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JE seulement)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</si>
  <si>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JLD  seulement)
</t>
    </r>
    <r>
      <rPr>
        <sz val="7"/>
        <rFont val="Arial"/>
        <family val="2"/>
      </rPr>
      <t xml:space="preserve">
</t>
    </r>
    <r>
      <rPr>
        <b/>
        <sz val="7"/>
        <color rgb="FFFF0000"/>
        <rFont val="Arial"/>
        <family val="2"/>
      </rPr>
      <t>Critère sur le TJ et CPH</t>
    </r>
  </si>
  <si>
    <r>
      <t xml:space="preserve">11.3 Formations dispensées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</si>
  <si>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JCP seulement)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</si>
  <si>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JI seulement)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</si>
  <si>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JAP seulement)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</si>
  <si>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JE seulement)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</si>
  <si>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JLD  seulement)
</t>
    </r>
    <r>
      <rPr>
        <sz val="7"/>
        <rFont val="Arial"/>
        <family val="2"/>
      </rPr>
      <t xml:space="preserve">
</t>
    </r>
    <r>
      <rPr>
        <b/>
        <sz val="7"/>
        <color rgb="FFFF0000"/>
        <rFont val="Arial"/>
        <family val="2"/>
      </rPr>
      <t>Critère sur le TJ et CPH</t>
    </r>
  </si>
  <si>
    <r>
      <t xml:space="preserve">11.4 Accès au droit et à la justice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</si>
  <si>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 xml:space="preserve">12. TOTAL des INDISPONIBILITÉS relevant de l'action 99
-
12.5 MISE A DISPOSITION
</t>
    </r>
    <r>
      <rPr>
        <b/>
        <sz val="7"/>
        <color rgb="FF0070C0"/>
        <rFont val="Arial"/>
        <family val="2"/>
      </rPr>
      <t xml:space="preserve">
(pour Fonction JCP seulement)</t>
    </r>
    <r>
      <rPr>
        <sz val="7"/>
        <rFont val="Arial"/>
        <family val="2"/>
      </rPr>
      <t xml:space="preserve">
</t>
    </r>
    <r>
      <rPr>
        <b/>
        <sz val="7"/>
        <color rgb="FFFF0000"/>
        <rFont val="Arial"/>
        <family val="2"/>
      </rPr>
      <t xml:space="preserve">
Critère sur le TJ et CPH</t>
    </r>
  </si>
  <si>
    <r>
      <t xml:space="preserve">12. TOTAL des INDISPONIBILITÉS relevant de l'action 99
-
12.5 MISE A DISPOSITION
</t>
    </r>
    <r>
      <rPr>
        <b/>
        <sz val="7"/>
        <color rgb="FF0070C0"/>
        <rFont val="Arial"/>
        <family val="2"/>
      </rPr>
      <t xml:space="preserve">
(pour Fonction JI seulement)</t>
    </r>
    <r>
      <rPr>
        <sz val="7"/>
        <rFont val="Arial"/>
        <family val="2"/>
      </rPr>
      <t xml:space="preserve">
</t>
    </r>
    <r>
      <rPr>
        <b/>
        <sz val="7"/>
        <color rgb="FFFF0000"/>
        <rFont val="Arial"/>
        <family val="2"/>
      </rPr>
      <t xml:space="preserve">
Critère sur le TJ et CPH</t>
    </r>
  </si>
  <si>
    <r>
      <t xml:space="preserve">12. TOTAL des INDISPONIBILITÉS relevant de l'action 99
-
12.5 MISE A DISPOSITION
</t>
    </r>
    <r>
      <rPr>
        <b/>
        <sz val="7"/>
        <color rgb="FF0070C0"/>
        <rFont val="Arial"/>
        <family val="2"/>
      </rPr>
      <t xml:space="preserve">
(pour Fonction JAP seulement)</t>
    </r>
    <r>
      <rPr>
        <sz val="7"/>
        <rFont val="Arial"/>
        <family val="2"/>
      </rPr>
      <t xml:space="preserve">
</t>
    </r>
    <r>
      <rPr>
        <b/>
        <sz val="7"/>
        <color rgb="FFFF0000"/>
        <rFont val="Arial"/>
        <family val="2"/>
      </rPr>
      <t xml:space="preserve">
Critère sur le TJ et CPH</t>
    </r>
  </si>
  <si>
    <r>
      <t xml:space="preserve">12. TOTAL des INDISPONIBILITÉS relevant de l'action 99
-
12.5 MISE A DISPOSITION
</t>
    </r>
    <r>
      <rPr>
        <b/>
        <sz val="7"/>
        <color rgb="FF0070C0"/>
        <rFont val="Arial"/>
        <family val="2"/>
      </rPr>
      <t xml:space="preserve">
(pour Fonction JE seulement)</t>
    </r>
    <r>
      <rPr>
        <sz val="7"/>
        <rFont val="Arial"/>
        <family val="2"/>
      </rPr>
      <t xml:space="preserve">
</t>
    </r>
    <r>
      <rPr>
        <b/>
        <sz val="7"/>
        <color rgb="FFFF0000"/>
        <rFont val="Arial"/>
        <family val="2"/>
      </rPr>
      <t xml:space="preserve">
Critère sur le TJ et CPH</t>
    </r>
  </si>
  <si>
    <r>
      <t xml:space="preserve">12. TOTAL des INDISPONIBILITÉS relevant de l'action 99
-
12.5 MISE A DISPOSITION
</t>
    </r>
    <r>
      <rPr>
        <b/>
        <sz val="7"/>
        <color rgb="FF0070C0"/>
        <rFont val="Arial"/>
        <family val="2"/>
      </rPr>
      <t xml:space="preserve">
(pour Fonction JLD seulement)</t>
    </r>
    <r>
      <rPr>
        <sz val="7"/>
        <rFont val="Arial"/>
        <family val="2"/>
      </rPr>
      <t xml:space="preserve">
</t>
    </r>
    <r>
      <rPr>
        <b/>
        <sz val="7"/>
        <color rgb="FFFF0000"/>
        <rFont val="Arial"/>
        <family val="2"/>
      </rPr>
      <t xml:space="preserve">
Critère sur le TJ et CPH</t>
    </r>
  </si>
  <si>
    <r>
      <t xml:space="preserve">12. TOTAL des INDISPONIBILITÉS relevant de l'action 99
-
12.5 MISE A DISPOSITION
</t>
    </r>
    <r>
      <rPr>
        <b/>
        <sz val="7"/>
        <color rgb="FF0070C0"/>
        <rFont val="Arial"/>
        <family val="2"/>
      </rPr>
      <t xml:space="preserve">(Pour Fonction recodée = Magistrats SIEGE NS)
</t>
    </r>
    <r>
      <rPr>
        <sz val="7"/>
        <rFont val="Arial"/>
        <family val="2"/>
      </rPr>
      <t xml:space="preserve">
</t>
    </r>
    <r>
      <rPr>
        <b/>
        <sz val="7"/>
        <color rgb="FFFF0000"/>
        <rFont val="Arial"/>
        <family val="2"/>
      </rPr>
      <t>Critère sur le TJ et CPH</t>
    </r>
  </si>
  <si>
    <r>
      <t xml:space="preserve">12.5 MISE A DISPOSITION
</t>
    </r>
    <r>
      <rPr>
        <b/>
        <sz val="7"/>
        <color rgb="FF0070C0"/>
        <rFont val="Arial"/>
        <family val="2"/>
      </rPr>
      <t xml:space="preserve">
(pour Fonction JCP seulement)</t>
    </r>
    <r>
      <rPr>
        <sz val="7"/>
        <rFont val="Arial"/>
        <family val="2"/>
      </rPr>
      <t xml:space="preserve">
</t>
    </r>
    <r>
      <rPr>
        <b/>
        <sz val="7"/>
        <color rgb="FFFF0000"/>
        <rFont val="Arial"/>
        <family val="2"/>
      </rPr>
      <t xml:space="preserve">
Critère sur le TJ et CPH</t>
    </r>
  </si>
  <si>
    <r>
      <t xml:space="preserve">12.5 MISE A DISPOSITION
</t>
    </r>
    <r>
      <rPr>
        <b/>
        <sz val="7"/>
        <color rgb="FF0070C0"/>
        <rFont val="Arial"/>
        <family val="2"/>
      </rPr>
      <t xml:space="preserve">
(pour Fonction JI seulement)</t>
    </r>
    <r>
      <rPr>
        <sz val="7"/>
        <rFont val="Arial"/>
        <family val="2"/>
      </rPr>
      <t xml:space="preserve">
</t>
    </r>
    <r>
      <rPr>
        <b/>
        <sz val="7"/>
        <color rgb="FFFF0000"/>
        <rFont val="Arial"/>
        <family val="2"/>
      </rPr>
      <t xml:space="preserve">
Critère sur le TJ et CPH</t>
    </r>
  </si>
  <si>
    <r>
      <t xml:space="preserve">12.5 MISE A DISPOSITION
</t>
    </r>
    <r>
      <rPr>
        <b/>
        <sz val="7"/>
        <color rgb="FF0070C0"/>
        <rFont val="Arial"/>
        <family val="2"/>
      </rPr>
      <t xml:space="preserve">
(pour Fonction JAP seulement)</t>
    </r>
    <r>
      <rPr>
        <sz val="7"/>
        <rFont val="Arial"/>
        <family val="2"/>
      </rPr>
      <t xml:space="preserve">
</t>
    </r>
    <r>
      <rPr>
        <b/>
        <sz val="7"/>
        <color rgb="FFFF0000"/>
        <rFont val="Arial"/>
        <family val="2"/>
      </rPr>
      <t xml:space="preserve">
Critère sur le TJ et CPH</t>
    </r>
  </si>
  <si>
    <r>
      <t xml:space="preserve">12.5 MISE A DISPOSITION
</t>
    </r>
    <r>
      <rPr>
        <b/>
        <sz val="7"/>
        <color rgb="FF0070C0"/>
        <rFont val="Arial"/>
        <family val="2"/>
      </rPr>
      <t xml:space="preserve">
(pour Fonction JE seulement)</t>
    </r>
    <r>
      <rPr>
        <sz val="7"/>
        <rFont val="Arial"/>
        <family val="2"/>
      </rPr>
      <t xml:space="preserve">
</t>
    </r>
    <r>
      <rPr>
        <b/>
        <sz val="7"/>
        <color rgb="FFFF0000"/>
        <rFont val="Arial"/>
        <family val="2"/>
      </rPr>
      <t xml:space="preserve">
Critère sur le TJ et CPH</t>
    </r>
  </si>
  <si>
    <r>
      <t xml:space="preserve">12.5 MISE A DISPOSITION
</t>
    </r>
    <r>
      <rPr>
        <b/>
        <sz val="7"/>
        <color rgb="FF0070C0"/>
        <rFont val="Arial"/>
        <family val="2"/>
      </rPr>
      <t xml:space="preserve">
(pour Fonction JLD seulement)</t>
    </r>
    <r>
      <rPr>
        <sz val="7"/>
        <rFont val="Arial"/>
        <family val="2"/>
      </rPr>
      <t xml:space="preserve">
</t>
    </r>
    <r>
      <rPr>
        <b/>
        <sz val="7"/>
        <color rgb="FFFF0000"/>
        <rFont val="Arial"/>
        <family val="2"/>
      </rPr>
      <t xml:space="preserve">
Critère sur le TJ et CPH</t>
    </r>
  </si>
  <si>
    <r>
      <t xml:space="preserve">13. Contentieux locaux spécifiques
</t>
    </r>
    <r>
      <rPr>
        <b/>
        <sz val="7"/>
        <color rgb="FF0070C0"/>
        <rFont val="Arial"/>
        <family val="2"/>
      </rPr>
      <t xml:space="preserve">
(Pour Fonction recodée = Magistrats SIEGE S)</t>
    </r>
    <r>
      <rPr>
        <sz val="7"/>
        <rFont val="Arial"/>
        <family val="2"/>
      </rPr>
      <t xml:space="preserve">
</t>
    </r>
    <r>
      <rPr>
        <b/>
        <sz val="7"/>
        <color rgb="FFFF0000"/>
        <rFont val="Arial"/>
        <family val="2"/>
      </rPr>
      <t xml:space="preserve">
Critère sur le TJ et CPH</t>
    </r>
  </si>
  <si>
    <r>
      <t xml:space="preserve">12.5 MISE A DISPOSITION 
+
13. Contentieux locaux spécifiques
</t>
    </r>
    <r>
      <rPr>
        <b/>
        <sz val="7"/>
        <color rgb="FF0070C0"/>
        <rFont val="Arial"/>
        <family val="2"/>
      </rPr>
      <t xml:space="preserve">
(Pour Fonction recodée = Magistrats SIEGE NS)</t>
    </r>
    <r>
      <rPr>
        <sz val="7"/>
        <rFont val="Arial"/>
        <family val="2"/>
      </rPr>
      <t xml:space="preserve">
</t>
    </r>
    <r>
      <rPr>
        <b/>
        <sz val="7"/>
        <color rgb="FFFF0000"/>
        <rFont val="Arial"/>
        <family val="2"/>
      </rPr>
      <t xml:space="preserve">
Critère sur le TJ et CPH</t>
    </r>
  </si>
  <si>
    <t xml:space="preserve">Fonctionnaires Assises (inclus JIRS) </t>
  </si>
  <si>
    <t>Magistrats du Siège assises (inclus JIRS)</t>
  </si>
  <si>
    <t>Magistrats du Parquet JIRS éco-fi (correctionnel)</t>
  </si>
  <si>
    <t>Magistrats du Parquet JIRS crim-org (correctionnel)</t>
  </si>
  <si>
    <t>Magistrats du Parquet JIRS sections spécialisées (correctionnel)</t>
  </si>
  <si>
    <t xml:space="preserve">Magistrats du Parquet assises (inclus JIRS) </t>
  </si>
  <si>
    <t>Magistrats du TJ affectés au TPRX (contentieux civil &lt; 10 000 EUR)</t>
  </si>
  <si>
    <t>Contractuels A J Prox et A VIF</t>
  </si>
  <si>
    <t>Contractuels A J Prox et A VIF au Parquet</t>
  </si>
  <si>
    <t>Fonctionnaires hors fonctions spécifiques</t>
  </si>
  <si>
    <t>Magistrats TPRX affectés au surendettement et au Hors surendettement</t>
  </si>
  <si>
    <t xml:space="preserve">                 DÉCLARATION ETPT TPRX</t>
  </si>
  <si>
    <t xml:space="preserve">                 DÉCLARATION ETPT CPH</t>
  </si>
  <si>
    <t xml:space="preserve">                 DÉCLARATION ETPT TJ</t>
  </si>
  <si>
    <r>
      <t xml:space="preserve">Attention : Les actions 6, 7, 8 et 99 des agents affectés au CPH ne peuvent être automatiquement reportées dans ce tableau et figurent par défaut dans l'onglet ETPT-TJ-DDG.
</t>
    </r>
    <r>
      <rPr>
        <sz val="11"/>
        <color rgb="FF002060"/>
        <rFont val="Arial"/>
        <family val="2"/>
      </rPr>
      <t>Si vous souhaitez détailler ces actions pour les agents affectés au CPH, il convient de les reporter manuellement dans le tableau ci-dessus et de les soustraire corrélativement des ETPT du TJ</t>
    </r>
  </si>
  <si>
    <r>
      <t xml:space="preserve">                  Extracteur de données d'effectifs - Format DDG (avec réintégration de l'absentéisme)
                  </t>
    </r>
    <r>
      <rPr>
        <b/>
        <sz val="14"/>
        <color rgb="FFFF0000"/>
        <rFont val="Calibri (Corps)"/>
      </rPr>
      <t>Les lignes en rouge invitent à des vérifications dans les colonnes R, S et T. Veillez à ne pas supprimer de ligne dans le tableau.</t>
    </r>
  </si>
  <si>
    <r>
      <rPr>
        <sz val="10"/>
        <rFont val="Arial"/>
        <family val="2"/>
      </rPr>
      <t>7. TOTAL SIÈGE PÉNAL + 11.10 AUTRES FONCTIONNAIRES AFFECTÉS AU PARQUET - 7.5. COUR D'ASSISES HORS JIRS - 7.51. COUR D'ASSISES JIRS - 7.52. COUR CRIMINELLE - 7.121. COLLÉGIALES JIRS ÉCO-FI - 7.12. COLLÉGIALES JIRS CRIM-ORG - 7.122. COLLÉGIALES AUTRES SECTIONS SPÉCIALISÉES</t>
    </r>
    <r>
      <rPr>
        <u/>
        <sz val="10"/>
        <rFont val="Arial"/>
        <family val="2"/>
      </rPr>
      <t xml:space="preserve">
</t>
    </r>
    <r>
      <rPr>
        <b/>
        <u/>
        <sz val="10"/>
        <color rgb="FFFF0000"/>
        <rFont val="Arial"/>
        <family val="2"/>
      </rPr>
      <t xml:space="preserve"> 
</t>
    </r>
    <r>
      <rPr>
        <b/>
        <sz val="10"/>
        <color rgb="FF0070C0"/>
        <rFont val="Arial"/>
        <family val="2"/>
      </rPr>
      <t>(Pour Fonction recodée = Fonctionnaire A-B-CBUR)</t>
    </r>
    <r>
      <rPr>
        <b/>
        <sz val="10"/>
        <color rgb="FFFF0000"/>
        <rFont val="Arial"/>
        <family val="2"/>
      </rPr>
      <t xml:space="preserve">
TJ et TPR et CPH (donc pas de critère sur le TJ)</t>
    </r>
  </si>
  <si>
    <r>
      <t xml:space="preserve">11.1 Soutien + 11.2 Formations suivies + 11.6 Autres activités non juridictionnelles
</t>
    </r>
    <r>
      <rPr>
        <b/>
        <sz val="10"/>
        <color rgb="FF0070C0"/>
        <rFont val="Arial"/>
        <family val="2"/>
      </rPr>
      <t xml:space="preserve">(Pour Fonction recodée = Fonctionnaire CTECH)
</t>
    </r>
    <r>
      <rPr>
        <sz val="10"/>
        <rFont val="Arial"/>
        <family val="2"/>
      </rPr>
      <t xml:space="preserve">
</t>
    </r>
    <r>
      <rPr>
        <b/>
        <sz val="10"/>
        <color rgb="FFFF0000"/>
        <rFont val="Arial"/>
        <family val="2"/>
      </rPr>
      <t>Critère sur le TJ OU CPH</t>
    </r>
  </si>
  <si>
    <r>
      <t xml:space="preserve">11.1 Soutien + 11.2 Formations suivies + 11.6 Autres activités non juridictionnelles
</t>
    </r>
    <r>
      <rPr>
        <b/>
        <sz val="10"/>
        <color rgb="FF0070C0"/>
        <rFont val="Arial"/>
        <family val="2"/>
      </rPr>
      <t>(Pour Fonction recodée = Fonctionnaire A-B-CBUR )</t>
    </r>
    <r>
      <rPr>
        <sz val="10"/>
        <rFont val="Arial"/>
        <family val="2"/>
      </rPr>
      <t xml:space="preserve">
</t>
    </r>
    <r>
      <rPr>
        <b/>
        <sz val="10"/>
        <color rgb="FFFF0000"/>
        <rFont val="Arial"/>
        <family val="2"/>
      </rPr>
      <t>Critère sur le TJ et CPH</t>
    </r>
  </si>
  <si>
    <r>
      <rPr>
        <b/>
        <sz val="10"/>
        <color rgb="FFFF0000"/>
        <rFont val="Arial"/>
        <family val="2"/>
      </rPr>
      <t>Temps ventilé sur la période A-JUST*</t>
    </r>
    <r>
      <rPr>
        <sz val="10"/>
        <rFont val="Arial"/>
        <family val="2"/>
      </rPr>
      <t xml:space="preserve"> (absentéisme et action 99 déduits)
</t>
    </r>
    <r>
      <rPr>
        <b/>
        <sz val="10"/>
        <color rgb="FF0070C0"/>
        <rFont val="Arial"/>
        <family val="2"/>
      </rPr>
      <t>(Pour fonction recodée = Fonctionnaire CTECH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</si>
  <si>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11.8. FONCTIONNAIRES AFFECTÉS AUX ACTIVITÉS CIVILES ET COMMERCIALES DU PARQUET*</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</si>
  <si>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11.9 Fonctionnaires affectés à l'exécution des peines*</t>
    </r>
    <r>
      <rPr>
        <sz val="10"/>
        <rFont val="Arial"/>
        <family val="2"/>
      </rPr>
      <t xml:space="preserve">
</t>
    </r>
    <r>
      <rPr>
        <b/>
        <sz val="10"/>
        <color rgb="FF0070C0"/>
        <rFont val="Arial"/>
        <family val="2"/>
      </rPr>
      <t>(Pour fonction recodée =Fonctionnaire A-B-CBUR placé ADD)</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</si>
  <si>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7.5 + 7.51 Cour d'assises JIRS et hors JIRS*</t>
    </r>
    <r>
      <rPr>
        <sz val="10"/>
        <rFont val="Arial"/>
        <family val="2"/>
      </rPr>
      <t xml:space="preserve">
</t>
    </r>
    <r>
      <rPr>
        <b/>
        <sz val="10"/>
        <color rgb="FF0070C0"/>
        <rFont val="Arial"/>
        <family val="2"/>
      </rPr>
      <t>(Pour fonction recodée =Fonctionnaire A-B-CBUR placé ADD)</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</si>
  <si>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7.52 cour criminelle*</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</si>
  <si>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7.121. COLLÉGIALES JIRS ÉCO-FI POUR LES JURIDICTIONS JIRS*</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ADD)</t>
    </r>
    <r>
      <rPr>
        <b/>
        <sz val="10"/>
        <color rgb="FFFF0000"/>
        <rFont val="Arial"/>
        <family val="2"/>
      </rPr>
      <t xml:space="preserve">
TJ ET TPROX ET CPH (pas de critère sur le TJ)</t>
    </r>
    <r>
      <rPr>
        <sz val="10"/>
        <rFont val="Arial"/>
        <family val="2"/>
      </rPr>
      <t xml:space="preserve">
</t>
    </r>
    <r>
      <rPr>
        <sz val="10"/>
        <color rgb="FFFF0000"/>
        <rFont val="Arial"/>
        <family val="2"/>
      </rPr>
      <t>*figurant dans l'onglet ETPT A-JUST</t>
    </r>
  </si>
  <si>
    <r>
      <rPr>
        <b/>
        <sz val="10"/>
        <color rgb="FFFF0000"/>
        <rFont val="Arial"/>
        <family val="2"/>
      </rPr>
      <t xml:space="preserve">7.12 Collégiales JIRS crim-org* </t>
    </r>
    <r>
      <rPr>
        <sz val="10"/>
        <rFont val="Arial"/>
        <family val="2"/>
      </rPr>
      <t xml:space="preserve">
</t>
    </r>
    <r>
      <rPr>
        <b/>
        <sz val="10"/>
        <color rgb="FFFF0000"/>
        <rFont val="Arial"/>
        <family val="2"/>
      </rPr>
      <t xml:space="preserve">
</t>
    </r>
    <r>
      <rPr>
        <b/>
        <sz val="10"/>
        <color rgb="FF0070C0"/>
        <rFont val="Arial"/>
        <family val="2"/>
      </rPr>
      <t xml:space="preserve">(Pour fonction recodée =Fonctionnaire A-B-CBUR placé ADD)
</t>
    </r>
    <r>
      <rPr>
        <b/>
        <sz val="10"/>
        <color rgb="FFFF0000"/>
        <rFont val="Arial"/>
        <family val="2"/>
      </rPr>
      <t xml:space="preserve">
TJ ET TPROX ET CPH (pas de critère sur le TJ)
</t>
    </r>
    <r>
      <rPr>
        <sz val="10"/>
        <color rgb="FFFF0000"/>
        <rFont val="Arial"/>
        <family val="2"/>
      </rPr>
      <t xml:space="preserve">
*figurant dans l'onglet ETPT A-JUST</t>
    </r>
  </si>
  <si>
    <r>
      <rPr>
        <b/>
        <sz val="10"/>
        <color rgb="FFFF0000"/>
        <rFont val="Arial"/>
        <family val="2"/>
      </rPr>
      <t>7.122 Collégiales autres sections spécialisées + 7.121 Collégiales eco-fi POUR LES JURIDICTIONS NON JIRS*</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ADD)</t>
    </r>
    <r>
      <rPr>
        <b/>
        <sz val="10"/>
        <color rgb="FFFF0000"/>
        <rFont val="Arial"/>
        <family val="2"/>
      </rPr>
      <t xml:space="preserve">
TJ ET TPROX ET CPH (pas de critère sur le TJ)</t>
    </r>
    <r>
      <rPr>
        <sz val="10"/>
        <rFont val="Arial"/>
        <family val="2"/>
      </rPr>
      <t xml:space="preserve">
</t>
    </r>
    <r>
      <rPr>
        <sz val="10"/>
        <color rgb="FFFF0000"/>
        <rFont val="Arial"/>
        <family val="2"/>
      </rPr>
      <t xml:space="preserve">
*figurant dans l'onglet ETPT A-JUST</t>
    </r>
  </si>
  <si>
    <r>
      <rPr>
        <b/>
        <sz val="10"/>
        <color rgb="FFFF0000"/>
        <rFont val="Arial"/>
        <family val="2"/>
      </rPr>
      <t>3.2 Protection des majeurs*</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</si>
  <si>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 xml:space="preserve">3. Contentieux de la Protection - 3.2 Protection des majeurs - 3.43 IP - 3.44 Saisies rémunérations*
</t>
    </r>
    <r>
      <rPr>
        <sz val="10"/>
        <color rgb="FF0070C0"/>
        <rFont val="Arial"/>
        <family val="2"/>
      </rPr>
      <t xml:space="preserve">
</t>
    </r>
    <r>
      <rPr>
        <sz val="10"/>
        <rFont val="Arial"/>
        <family val="2"/>
      </rPr>
      <t>(</t>
    </r>
    <r>
      <rPr>
        <b/>
        <sz val="10"/>
        <color rgb="FF0070C0"/>
        <rFont val="Arial"/>
        <family val="2"/>
      </rPr>
      <t>Pour fonction recodée =Fonctionnaire A-B-CBUR placé ADD</t>
    </r>
    <r>
      <rPr>
        <sz val="10"/>
        <rFont val="Arial"/>
        <family val="2"/>
      </rPr>
      <t>)</t>
    </r>
    <r>
      <rPr>
        <sz val="10"/>
        <color rgb="FF0070C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</si>
  <si>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3.43 Injonctions de payer + 3.44 Saisies des rémunérations*</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</si>
  <si>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4.0 Contentieux général &lt; 10000 euros*</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</si>
  <si>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 xml:space="preserve">1. TOTAL CONTENTIEUX SOCIAL*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</si>
  <si>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Temps ventilé sur la période A-JUST*</t>
    </r>
    <r>
      <rPr>
        <sz val="10"/>
        <rFont val="Arial"/>
        <family val="2"/>
      </rPr>
      <t xml:space="preserve"> (absentéisme et action 99 déduits)
</t>
    </r>
    <r>
      <rPr>
        <b/>
        <sz val="10"/>
        <color rgb="FF0070C0"/>
        <rFont val="Arial"/>
        <family val="2"/>
      </rPr>
      <t>(Pour fonction recodée = Fonctionnaire CTECH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</si>
  <si>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11.8. FONCTIONNAIRES AFFECTÉS AUX ACTIVITÉS CIVILES ET COMMERCIALES DU PARQUET*</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</si>
  <si>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11.9 Fonctionnaires affectés à l'exécution des peines*</t>
    </r>
    <r>
      <rPr>
        <sz val="10"/>
        <rFont val="Arial"/>
        <family val="2"/>
      </rPr>
      <t xml:space="preserve">
</t>
    </r>
    <r>
      <rPr>
        <b/>
        <sz val="10"/>
        <color rgb="FF0070C0"/>
        <rFont val="Arial"/>
        <family val="2"/>
      </rPr>
      <t>(Pour fonction recodée =Fonctionnaire A-B-CBUR placé SUB)</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</si>
  <si>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7.5 + 7.51 Cour d'assises JIRS et hors JIRS*</t>
    </r>
    <r>
      <rPr>
        <sz val="10"/>
        <rFont val="Arial"/>
        <family val="2"/>
      </rPr>
      <t xml:space="preserve">
</t>
    </r>
    <r>
      <rPr>
        <b/>
        <sz val="10"/>
        <color rgb="FF0070C0"/>
        <rFont val="Arial"/>
        <family val="2"/>
      </rPr>
      <t>(Pour fonction recodée =Fonctionnaire A-B-CBUR placé SUB)</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</si>
  <si>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7.52 cour criminelle*</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TJ ET TPROX ET CPH (pas de critère sur le TJ)
</t>
    </r>
    <r>
      <rPr>
        <sz val="10"/>
        <color rgb="FFFF0000"/>
        <rFont val="Arial"/>
        <family val="2"/>
      </rPr>
      <t>*figurant dans l'onglet ETPT A-JUST</t>
    </r>
  </si>
  <si>
    <r>
      <rPr>
        <b/>
        <sz val="10"/>
        <color rgb="FFFF0000"/>
        <rFont val="Arial"/>
        <family val="2"/>
      </rPr>
      <t>7.121. COLLÉGIALES JIRS ÉCO-FI POUR LES JURIDICTIONS JIRS*</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SUB)</t>
    </r>
    <r>
      <rPr>
        <b/>
        <sz val="10"/>
        <color rgb="FFFF0000"/>
        <rFont val="Arial"/>
        <family val="2"/>
      </rPr>
      <t xml:space="preserve">
TJ ET TPROX ET CPH (pas de critère sur le TJ)</t>
    </r>
    <r>
      <rPr>
        <sz val="10"/>
        <rFont val="Arial"/>
        <family val="2"/>
      </rPr>
      <t xml:space="preserve">
</t>
    </r>
    <r>
      <rPr>
        <sz val="10"/>
        <color rgb="FFFF0000"/>
        <rFont val="Arial"/>
        <family val="2"/>
      </rPr>
      <t>*figurant dans l'onglet ETPT A-JUST</t>
    </r>
  </si>
  <si>
    <r>
      <rPr>
        <b/>
        <sz val="10"/>
        <color rgb="FFFF0000"/>
        <rFont val="Arial"/>
        <family val="2"/>
      </rPr>
      <t xml:space="preserve">7.12 Collégiales JIRS crim-org* </t>
    </r>
    <r>
      <rPr>
        <sz val="10"/>
        <rFont val="Arial"/>
        <family val="2"/>
      </rPr>
      <t xml:space="preserve">
</t>
    </r>
    <r>
      <rPr>
        <b/>
        <sz val="10"/>
        <color rgb="FFFF0000"/>
        <rFont val="Arial"/>
        <family val="2"/>
      </rPr>
      <t xml:space="preserve">
</t>
    </r>
    <r>
      <rPr>
        <b/>
        <sz val="10"/>
        <color rgb="FF0070C0"/>
        <rFont val="Arial"/>
        <family val="2"/>
      </rPr>
      <t xml:space="preserve">(Pour fonction recodée =Fonctionnaire A-B-CBUR placé SUB)
</t>
    </r>
    <r>
      <rPr>
        <b/>
        <sz val="10"/>
        <color rgb="FFFF0000"/>
        <rFont val="Arial"/>
        <family val="2"/>
      </rPr>
      <t xml:space="preserve">
TJ ET TPROX ET CPH (pas de critère sur le TJ)
</t>
    </r>
    <r>
      <rPr>
        <sz val="10"/>
        <color rgb="FFFF0000"/>
        <rFont val="Arial"/>
        <family val="2"/>
      </rPr>
      <t xml:space="preserve">
*figurant dans l'onglet ETPT A-JUST</t>
    </r>
  </si>
  <si>
    <r>
      <rPr>
        <b/>
        <sz val="10"/>
        <color rgb="FFFF0000"/>
        <rFont val="Arial"/>
        <family val="2"/>
      </rPr>
      <t>7.122 Collégiales autres sections spécialisées + 7.121 Collégiales eco-fi POUR LES JURIDICTIONS NON JIRS*</t>
    </r>
    <r>
      <rPr>
        <sz val="10"/>
        <rFont val="Arial"/>
        <family val="2"/>
      </rPr>
      <t xml:space="preserve">
</t>
    </r>
    <r>
      <rPr>
        <b/>
        <sz val="10"/>
        <color rgb="FFFF0000"/>
        <rFont val="Arial"/>
        <family val="2"/>
      </rPr>
      <t xml:space="preserve">
</t>
    </r>
    <r>
      <rPr>
        <b/>
        <sz val="10"/>
        <color rgb="FF0070C0"/>
        <rFont val="Arial"/>
        <family val="2"/>
      </rPr>
      <t>(Pour fonction recodée =Fonctionnaire A-B-CBUR placé SUB)</t>
    </r>
    <r>
      <rPr>
        <b/>
        <sz val="10"/>
        <color rgb="FFFF0000"/>
        <rFont val="Arial"/>
        <family val="2"/>
      </rPr>
      <t xml:space="preserve">
TJ ET TPROX ET CPH (pas de critère sur le TJ)</t>
    </r>
    <r>
      <rPr>
        <sz val="10"/>
        <rFont val="Arial"/>
        <family val="2"/>
      </rPr>
      <t xml:space="preserve">
</t>
    </r>
    <r>
      <rPr>
        <sz val="10"/>
        <color rgb="FFFF0000"/>
        <rFont val="Arial"/>
        <family val="2"/>
      </rPr>
      <t xml:space="preserve">
*figurant dans l'onglet ETPT A-JUST</t>
    </r>
  </si>
  <si>
    <r>
      <rPr>
        <b/>
        <sz val="10"/>
        <color rgb="FFFF0000"/>
        <rFont val="Arial"/>
        <family val="2"/>
      </rPr>
      <t>3.2 Protection des majeurs*</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</si>
  <si>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 xml:space="preserve">3. Contentieux de la Protection - 3.2 Protection des majeurs - 3.43 IP - 3.44 Saisies rémunérations*
</t>
    </r>
    <r>
      <rPr>
        <sz val="10"/>
        <color rgb="FF0070C0"/>
        <rFont val="Arial"/>
        <family val="2"/>
      </rPr>
      <t xml:space="preserve">
</t>
    </r>
    <r>
      <rPr>
        <sz val="10"/>
        <rFont val="Arial"/>
        <family val="2"/>
      </rPr>
      <t>(</t>
    </r>
    <r>
      <rPr>
        <b/>
        <sz val="10"/>
        <color rgb="FF0070C0"/>
        <rFont val="Arial"/>
        <family val="2"/>
      </rPr>
      <t>Pour fonction recodée =Fonctionnaire A-B-CBUR placé SUB</t>
    </r>
    <r>
      <rPr>
        <sz val="10"/>
        <rFont val="Arial"/>
        <family val="2"/>
      </rPr>
      <t>)</t>
    </r>
    <r>
      <rPr>
        <sz val="10"/>
        <color rgb="FF0070C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</si>
  <si>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3.43 Injonctions de payer + 3.44 Saisies des rémunérations*</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</si>
  <si>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4.0 Contentieux général &lt; 10000 euros*</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</si>
  <si>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 xml:space="preserve">1. TOTAL CONTENTIEUX SOCIAL*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TJ OU CPH
</t>
    </r>
    <r>
      <rPr>
        <sz val="10"/>
        <color rgb="FFFF0000"/>
        <rFont val="Arial"/>
        <family val="2"/>
      </rPr>
      <t>*figurant dans l'onglet ETPT A-JUST</t>
    </r>
  </si>
  <si>
    <r>
      <rPr>
        <b/>
        <sz val="10"/>
        <color rgb="FFFF0000"/>
        <rFont val="Arial"/>
        <family val="2"/>
      </rPr>
      <t xml:space="preserve">12. TOTAL INDISPONIBILITÉ*
</t>
    </r>
    <r>
      <rPr>
        <sz val="10"/>
        <rFont val="Arial"/>
        <family val="2"/>
      </rPr>
      <t xml:space="preserve">
</t>
    </r>
    <r>
      <rPr>
        <b/>
        <sz val="10"/>
        <color rgb="FF0070C0"/>
        <rFont val="Arial"/>
        <family val="2"/>
      </rPr>
      <t>(Pour Fonctions recodées = Fonctionnaire CTECH placé ADD  ou Fonctionnaire Fonctionnaire CTECH placé SUB)</t>
    </r>
    <r>
      <rPr>
        <sz val="10"/>
        <rFont val="Arial"/>
        <family val="2"/>
      </rPr>
      <t xml:space="preserve">
</t>
    </r>
    <r>
      <rPr>
        <b/>
        <sz val="10"/>
        <color rgb="FFFF0000"/>
        <rFont val="Arial"/>
        <family val="2"/>
      </rPr>
      <t>Critère sur le TJ</t>
    </r>
    <r>
      <rPr>
        <b/>
        <sz val="10"/>
        <rFont val="Arial"/>
        <family val="2"/>
      </rPr>
      <t xml:space="preserve"> </t>
    </r>
    <r>
      <rPr>
        <b/>
        <sz val="10"/>
        <color rgb="FFFF0000"/>
        <rFont val="Arial"/>
        <family val="2"/>
      </rPr>
      <t>OU CPH</t>
    </r>
    <r>
      <rPr>
        <sz val="10"/>
        <rFont val="Arial"/>
        <family val="2"/>
      </rPr>
      <t xml:space="preserve">
</t>
    </r>
    <r>
      <rPr>
        <sz val="10"/>
        <color rgb="FFFF0000"/>
        <rFont val="Arial"/>
        <family val="2"/>
      </rPr>
      <t>*figurant dans l'onglet ETPT A-JUST</t>
    </r>
  </si>
  <si>
    <r>
      <rPr>
        <b/>
        <sz val="10"/>
        <color rgb="FFFF0000"/>
        <rFont val="Arial"/>
        <family val="2"/>
      </rPr>
      <t>12. TOTAL INDISPONIBILITÉ*</t>
    </r>
    <r>
      <rPr>
        <sz val="10"/>
        <rFont val="Arial"/>
        <family val="2"/>
      </rPr>
      <t xml:space="preserve">
</t>
    </r>
    <r>
      <rPr>
        <b/>
        <sz val="10"/>
        <color rgb="FF0070C0"/>
        <rFont val="Arial"/>
        <family val="2"/>
      </rPr>
      <t xml:space="preserve">(Pour Fonctions recodées = Fonctionnaire A-B-CBUR placé ADD  ou Fonctionnaire A-B-CBUR placé SUB)
</t>
    </r>
    <r>
      <rPr>
        <b/>
        <sz val="10"/>
        <color rgb="FFFF0000"/>
        <rFont val="Arial"/>
        <family val="2"/>
      </rPr>
      <t>Critère sur le TJ ou CPH</t>
    </r>
    <r>
      <rPr>
        <sz val="10"/>
        <rFont val="Arial"/>
        <family val="2"/>
      </rPr>
      <t xml:space="preserve">
</t>
    </r>
    <r>
      <rPr>
        <sz val="10"/>
        <color rgb="FFFF0000"/>
        <rFont val="Arial"/>
        <family val="2"/>
      </rPr>
      <t>*figurant dans l'onglet ETPT A-JUST</t>
    </r>
  </si>
  <si>
    <r>
      <t>7. TOTAL SIÈGE PÉNAL - 7.5. COUR D'ASSISES HORS JIRS - 7.51. COUR D'ASSISES JIRS - 7.52. COUR CRIMINELLE - 7.121. COLLÉGIALES JIRS ÉCO-FI - 7.12. COLLÉGIALES JIRS CRIM-ORG - 7.122. COLLÉGIALES AUTRES SECTIONS SPÉCIALISÉES - 7.6. TRIBUNAL DE POLICE - 7.7. OP CONTRAVENTIONNELLES</t>
    </r>
    <r>
      <rPr>
        <b/>
        <sz val="7"/>
        <color rgb="FFFF0000"/>
        <rFont val="Arial"/>
        <family val="2"/>
      </rPr>
      <t xml:space="preserve">
</t>
    </r>
    <r>
      <rPr>
        <sz val="7"/>
        <rFont val="Arial"/>
        <family val="2"/>
      </rPr>
      <t xml:space="preserve">
</t>
    </r>
    <r>
      <rPr>
        <b/>
        <sz val="7"/>
        <color rgb="FF0070C0"/>
        <rFont val="Arial"/>
        <family val="2"/>
      </rPr>
      <t xml:space="preserve">(Pour Fonction recodée = Magistrats SIEGE S)
</t>
    </r>
    <r>
      <rPr>
        <b/>
        <sz val="7"/>
        <color rgb="FFFF0000"/>
        <rFont val="Arial"/>
        <family val="2"/>
      </rPr>
      <t xml:space="preserve">
TJ et TPR et CPH (donc pas de critère sur le TJ)</t>
    </r>
  </si>
  <si>
    <r>
      <t>7. TOTAL SIÈGE PÉNAL - 7.5. COUR D'ASSISES HORS JIRS - 7.51. COUR D'ASSISES JIRS - 7.52. COUR CRIMINELLE - 7.121. COLLÉGIALES JIRS ÉCO-FI - 7.12. COLLÉGIALES JIRS CRIM-ORG - 7.122. COLLÉGIALES AUTRES SECTIONS SPÉCIALISÉES - 7.6. TRIBUNAL DE POLICE - 7.7. OP CONTRAVENTIONNELLES</t>
    </r>
    <r>
      <rPr>
        <b/>
        <sz val="7"/>
        <color rgb="FFFF0000"/>
        <rFont val="Arial"/>
        <family val="2"/>
      </rPr>
      <t xml:space="preserve">
</t>
    </r>
    <r>
      <rPr>
        <sz val="7"/>
        <rFont val="Arial"/>
        <family val="2"/>
      </rPr>
      <t xml:space="preserve">
</t>
    </r>
    <r>
      <rPr>
        <b/>
        <sz val="7"/>
        <color rgb="FF0070C0"/>
        <rFont val="Arial"/>
        <family val="2"/>
      </rPr>
      <t xml:space="preserve">(Pour Fonction recodée = Magistrats SIEGE NS)
</t>
    </r>
    <r>
      <rPr>
        <b/>
        <sz val="7"/>
        <color rgb="FFFF0000"/>
        <rFont val="Arial"/>
        <family val="2"/>
      </rPr>
      <t xml:space="preserve">
TJ et TPR et CPH (donc pas de critère sur le TJ)</t>
    </r>
  </si>
  <si>
    <r>
      <rPr>
        <b/>
        <sz val="7"/>
        <color rgb="FFFF0000"/>
        <rFont val="Arial"/>
        <family val="2"/>
      </rPr>
      <t>3.2 Protection des majeurs*</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</si>
  <si>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3. Contentieux de la Protection - 3.2 Protection des majeurs - 3.43 Injonctions de payer - 3.44 Saisies des rémunérations*</t>
    </r>
    <r>
      <rPr>
        <sz val="7"/>
        <rFont val="Arial"/>
        <family val="2"/>
      </rPr>
      <t xml:space="preserve">
</t>
    </r>
    <r>
      <rPr>
        <b/>
        <sz val="7"/>
        <color rgb="FF0070C0"/>
        <rFont val="Arial"/>
        <family val="2"/>
      </rPr>
      <t xml:space="preserve">(Pour Fonction recodée = Magistrat Placé ADD)
</t>
    </r>
    <r>
      <rPr>
        <b/>
        <sz val="7"/>
        <color rgb="FFFF0000"/>
        <rFont val="Arial"/>
        <family val="2"/>
      </rPr>
      <t xml:space="preserve">Critère sur le TJ OU CPH
</t>
    </r>
    <r>
      <rPr>
        <sz val="7"/>
        <color rgb="FFFF0000"/>
        <rFont val="Arial"/>
        <family val="2"/>
      </rPr>
      <t xml:space="preserve">
*figurant dans l'onglet ETPT A-JUST</t>
    </r>
  </si>
  <si>
    <r>
      <rPr>
        <b/>
        <sz val="7"/>
        <color rgb="FFFF0000"/>
        <rFont val="Arial"/>
        <family val="2"/>
      </rPr>
      <t>8.1 Service général*</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</si>
  <si>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8.2 JIRS eco-fi*</t>
    </r>
    <r>
      <rPr>
        <sz val="7"/>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</si>
  <si>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8.3 JIRS crim-org*</t>
    </r>
    <r>
      <rPr>
        <sz val="7"/>
        <rFont val="Arial"/>
        <family val="2"/>
      </rPr>
      <t xml:space="preserve">
</t>
    </r>
    <r>
      <rPr>
        <b/>
        <sz val="7"/>
        <color rgb="FF0070C0"/>
        <rFont val="Arial"/>
        <family val="2"/>
      </rPr>
      <t xml:space="preserve">(Pour Fonction recodée = Magistrat Placé ADD)
</t>
    </r>
    <r>
      <rPr>
        <sz val="7"/>
        <rFont val="Arial"/>
        <family val="2"/>
      </rPr>
      <t xml:space="preserve">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</si>
  <si>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 xml:space="preserve">8.4 autres sections spécialisées
+
8.11 ECO-FI HORS JIRS*
</t>
    </r>
    <r>
      <rPr>
        <sz val="7"/>
        <rFont val="Arial"/>
        <family val="2"/>
      </rPr>
      <t xml:space="preserve">
</t>
    </r>
    <r>
      <rPr>
        <b/>
        <sz val="7"/>
        <color rgb="FF0070C0"/>
        <rFont val="Arial"/>
        <family val="2"/>
      </rPr>
      <t xml:space="preserve">(Pour Fonction recodée = Magistrat Placé ADD)
</t>
    </r>
    <r>
      <rPr>
        <sz val="7"/>
        <rFont val="Arial"/>
        <family val="2"/>
      </rPr>
      <t xml:space="preserve">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</si>
  <si>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9. TOTAL JAP*</t>
    </r>
    <r>
      <rPr>
        <sz val="7"/>
        <rFont val="Arial"/>
        <family val="2"/>
      </rPr>
      <t xml:space="preserve">
</t>
    </r>
    <r>
      <rPr>
        <b/>
        <sz val="7"/>
        <color rgb="FF0070C0"/>
        <rFont val="Arial"/>
        <family val="2"/>
      </rPr>
      <t>(Pour Fonction recodée = Magistrat Placé ADD)</t>
    </r>
    <r>
      <rPr>
        <b/>
        <sz val="7"/>
        <rFont val="Arial"/>
        <family val="2"/>
      </rPr>
      <t xml:space="preserve">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</si>
  <si>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6.1 JE : activité civile + 6.2 JE : activité pénale*</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ADD)
</t>
    </r>
    <r>
      <rPr>
        <b/>
        <sz val="7"/>
        <color rgb="FFFF0000"/>
        <rFont val="Arial"/>
        <family val="2"/>
      </rPr>
      <t>TJ et TPR et CPH  (donc pas de critère sur le TJ)</t>
    </r>
    <r>
      <rPr>
        <sz val="7"/>
        <rFont val="Arial"/>
        <family val="2"/>
      </rPr>
      <t xml:space="preserve">
</t>
    </r>
    <r>
      <rPr>
        <sz val="7"/>
        <color rgb="FFFF0000"/>
        <rFont val="Arial"/>
        <family val="2"/>
      </rPr>
      <t xml:space="preserve">
*figurant dans l'onglet ETPT A-JUST</t>
    </r>
  </si>
  <si>
    <r>
      <rPr>
        <b/>
        <sz val="7"/>
        <color rgb="FFFF0000"/>
        <rFont val="Arial"/>
        <family val="2"/>
      </rPr>
      <t>7.5 + 7.51 Cour d'assises JIRS et hors JIRS*</t>
    </r>
    <r>
      <rPr>
        <sz val="7"/>
        <rFont val="Arial"/>
        <family val="2"/>
      </rPr>
      <t xml:space="preserve">
</t>
    </r>
    <r>
      <rPr>
        <b/>
        <sz val="7"/>
        <color theme="8" tint="-0.249977111117893"/>
        <rFont val="Arial"/>
        <family val="2"/>
      </rPr>
      <t xml:space="preserve">(Pour Fonction recodée = Magistrat Placé ADD)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</si>
  <si>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 xml:space="preserve">7.52 cour criminelle*
</t>
    </r>
    <r>
      <rPr>
        <sz val="7"/>
        <rFont val="Arial"/>
        <family val="2"/>
      </rPr>
      <t xml:space="preserve">
</t>
    </r>
    <r>
      <rPr>
        <b/>
        <sz val="7"/>
        <color theme="8" tint="-0.249977111117893"/>
        <rFont val="Arial"/>
        <family val="2"/>
      </rPr>
      <t xml:space="preserve">(Pour Fonction recodée = Magistrat Placé ADD)
</t>
    </r>
    <r>
      <rPr>
        <b/>
        <sz val="7"/>
        <color rgb="FFFF0000"/>
        <rFont val="Arial"/>
        <family val="2"/>
      </rPr>
      <t xml:space="preserve">TJ et TPR et CPH (donc pas de critère sur le TJ)
</t>
    </r>
    <r>
      <rPr>
        <sz val="7"/>
        <color rgb="FFFF0000"/>
        <rFont val="Arial"/>
        <family val="2"/>
      </rPr>
      <t>*figurant dans l'onglet ETPT A-JUST</t>
    </r>
  </si>
  <si>
    <r>
      <rPr>
        <b/>
        <sz val="7"/>
        <color rgb="FFFF0000"/>
        <rFont val="Arial"/>
        <family val="2"/>
      </rPr>
      <t>7.121 Collégiales JIRS eco-fi POUR LES JURIDICTIONS JIRS*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</si>
  <si>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7.12 Collégiales JIRS crim-org*</t>
    </r>
    <r>
      <rPr>
        <sz val="7"/>
        <rFont val="Arial"/>
        <family val="2"/>
      </rPr>
      <t xml:space="preserve">
</t>
    </r>
    <r>
      <rPr>
        <b/>
        <sz val="7"/>
        <color rgb="FFFF0000"/>
        <rFont val="Arial"/>
        <family val="2"/>
      </rPr>
      <t xml:space="preserve">
</t>
    </r>
    <r>
      <rPr>
        <b/>
        <sz val="7"/>
        <color rgb="FF0070C0"/>
        <rFont val="Arial"/>
        <family val="2"/>
      </rPr>
      <t>(Pour Fonction recodée = Magistrat Placé ADD)</t>
    </r>
    <r>
      <rPr>
        <b/>
        <sz val="7"/>
        <color rgb="FFFF0000"/>
        <rFont val="Arial"/>
        <family val="2"/>
      </rPr>
      <t xml:space="preserve">
TJ et TPR et CPH (donc pas de critère sur le TJ)</t>
    </r>
    <r>
      <rPr>
        <sz val="7"/>
        <rFont val="Arial"/>
        <family val="2"/>
      </rPr>
      <t xml:space="preserve">
</t>
    </r>
    <r>
      <rPr>
        <sz val="7"/>
        <color rgb="FFFF0000"/>
        <rFont val="Arial"/>
        <family val="2"/>
      </rPr>
      <t xml:space="preserve">
*figurant dans l'onglet ETPT A-JUST</t>
    </r>
  </si>
  <si>
    <r>
      <rPr>
        <b/>
        <sz val="7"/>
        <color rgb="FFFF0000"/>
        <rFont val="Arial"/>
        <family val="2"/>
      </rPr>
      <t>7.122 Collégiales autres sections spécialisées + 7.121 Collégiales eco-fi POUR LES JURIDICTIONS NON JIRS*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t>
    </r>
    <r>
      <rPr>
        <sz val="7"/>
        <color rgb="FFFF0000"/>
        <rFont val="Arial"/>
        <family val="2"/>
      </rPr>
      <t xml:space="preserve">
*figurant dans l'onglet ETPT A-JUST</t>
    </r>
  </si>
  <si>
    <r>
      <rPr>
        <b/>
        <sz val="7"/>
        <color rgb="FFFF0000"/>
        <rFont val="Arial"/>
        <family val="2"/>
      </rPr>
      <t>7.6 Tribunal de police + 7.7 OP contraventionnelles*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
</t>
    </r>
    <r>
      <rPr>
        <sz val="7"/>
        <color rgb="FFFF0000"/>
        <rFont val="Arial"/>
        <family val="2"/>
      </rPr>
      <t xml:space="preserve">
*figurant dans l'onglet ETPT A-JUST</t>
    </r>
  </si>
  <si>
    <r>
      <rPr>
        <b/>
        <sz val="7"/>
        <color rgb="FFFF0000"/>
        <rFont val="Arial"/>
        <family val="2"/>
      </rPr>
      <t xml:space="preserve">1.1 Départage prud'homal* 
</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</si>
  <si>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4.0 Contentieux général &lt; 10000 euros*</t>
    </r>
    <r>
      <rPr>
        <sz val="7"/>
        <rFont val="Arial"/>
        <family val="2"/>
      </rPr>
      <t xml:space="preserve">
</t>
    </r>
    <r>
      <rPr>
        <b/>
        <sz val="7"/>
        <color rgb="FF0070C0"/>
        <rFont val="Arial"/>
        <family val="2"/>
      </rPr>
      <t xml:space="preserve">(Pour Fonction recodée = Magistrat Placé ADD)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</si>
  <si>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3.43 Injonctions de payer + 3.44 Saisies des rémunérations*</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 xml:space="preserve">
Critère sur le TJ OU CPH</t>
    </r>
    <r>
      <rPr>
        <sz val="7"/>
        <rFont val="Arial"/>
        <family val="2"/>
      </rPr>
      <t xml:space="preserve">
</t>
    </r>
    <r>
      <rPr>
        <sz val="7"/>
        <color rgb="FFFF0000"/>
        <rFont val="Arial"/>
        <family val="2"/>
      </rPr>
      <t>*figurant dans l'onglet ETPT A-JUST</t>
    </r>
  </si>
  <si>
    <r>
      <rPr>
        <b/>
        <sz val="7"/>
        <color rgb="FFFF0000"/>
        <rFont val="Arial"/>
        <family val="2"/>
      </rPr>
      <t xml:space="preserve">1. TOTAL CONTENTIEUX SOCIAL  
-
1.1 Départage prud'homal* 
</t>
    </r>
    <r>
      <rPr>
        <sz val="7"/>
        <rFont val="Arial"/>
        <family val="2"/>
      </rPr>
      <t xml:space="preserve">
</t>
    </r>
    <r>
      <rPr>
        <b/>
        <sz val="7"/>
        <color rgb="FF0070C0"/>
        <rFont val="Arial"/>
        <family val="2"/>
      </rPr>
      <t xml:space="preserve">(Pour Fonction recodée = Magistrat Placé ADD)
</t>
    </r>
    <r>
      <rPr>
        <b/>
        <sz val="7"/>
        <color rgb="FFFF0000"/>
        <rFont val="Arial"/>
        <family val="2"/>
      </rPr>
      <t>Critère sur le TJ OU CPH</t>
    </r>
    <r>
      <rPr>
        <sz val="7"/>
        <rFont val="Arial"/>
        <family val="2"/>
      </rPr>
      <t xml:space="preserve">
</t>
    </r>
    <r>
      <rPr>
        <sz val="7"/>
        <color rgb="FFFF0000"/>
        <rFont val="Arial"/>
        <family val="2"/>
      </rPr>
      <t>*figurant dans l'onglet ETPT A-JUST</t>
    </r>
  </si>
  <si>
    <r>
      <rPr>
        <b/>
        <sz val="7"/>
        <color rgb="FFFF0000"/>
        <rFont val="Arial"/>
        <family val="2"/>
      </rPr>
      <t>2. TOTAL CONTENTIEUX JAF*</t>
    </r>
    <r>
      <rPr>
        <sz val="7"/>
        <rFont val="Arial"/>
        <family val="2"/>
      </rPr>
      <t xml:space="preserve">
</t>
    </r>
    <r>
      <rPr>
        <sz val="7"/>
        <color rgb="FF0070C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
</t>
    </r>
    <r>
      <rPr>
        <sz val="7"/>
        <color rgb="FFFF0000"/>
        <rFont val="Arial"/>
        <family val="2"/>
      </rPr>
      <t>*figurant dans l'onglet ETPT A-JUST</t>
    </r>
  </si>
  <si>
    <r>
      <rPr>
        <b/>
        <sz val="7"/>
        <color rgb="FFFF0000"/>
        <rFont val="Arial"/>
        <family val="2"/>
      </rPr>
      <t xml:space="preserve">4. TOTAL CIVIL NON SPÉCIALISÉ - 4.0 Contentieux général &lt; 10000 euros*
+
13. Contentieux locaux spécifiques *
+ 
11.51. ACCUEIL DU JUSTICIABLE (DONT SAUJ) + 11.1. SOUTIEN (HORS FORMATIONS SUIVIES) + 11.2. FORMATIONS SUIVIES + 11.6. AUTRES ACTIVITÉS NON JURIDICTIONNELLES + 11.3. FORMATIONS DISPENSÉES + 11.4. ACCÈS AU DROIT ET À LA JUSTICE + 11.5. CSM*
</t>
    </r>
    <r>
      <rPr>
        <sz val="7"/>
        <rFont val="Arial"/>
        <family val="2"/>
      </rPr>
      <t xml:space="preserve">
</t>
    </r>
    <r>
      <rPr>
        <b/>
        <sz val="7"/>
        <color rgb="FF0070C0"/>
        <rFont val="Arial"/>
        <family val="2"/>
      </rPr>
      <t>(Pour Fonction recodée = Magistrat placé ADD)</t>
    </r>
    <r>
      <rPr>
        <b/>
        <sz val="7"/>
        <color rgb="FFFF0000"/>
        <rFont val="Arial"/>
        <family val="2"/>
      </rPr>
      <t xml:space="preserve">
</t>
    </r>
    <r>
      <rPr>
        <sz val="7"/>
        <rFont val="Arial"/>
        <family val="2"/>
      </rPr>
      <t xml:space="preserve">
</t>
    </r>
    <r>
      <rPr>
        <b/>
        <sz val="7"/>
        <color rgb="FFFF0000"/>
        <rFont val="Arial"/>
        <family val="2"/>
      </rPr>
      <t xml:space="preserve">Critère sur le TJ ou CPH
+
7. TOTAL SIÈGE PÉNAL - 7.5. COUR D'ASSISES HORS JIRS - 7.51. COUR D'ASSISES JIRS - 7.52. COUR CRIMINELLE - 7.121. COLLÉGIALES JIRS ÉCO-FI - 7.12. COLLÉGIALES JIRS CRIM-ORG - 7.122. COLLÉGIALES AUTRES SECTIONS SPÉCIALISÉES - 7.6. TRIBUNAL DE POLICE - 7.7. OP CONTRAVENTIONNELLES*
</t>
    </r>
    <r>
      <rPr>
        <sz val="7"/>
        <rFont val="Arial"/>
        <family val="2"/>
      </rPr>
      <t xml:space="preserve">
</t>
    </r>
    <r>
      <rPr>
        <b/>
        <sz val="7"/>
        <color rgb="FF0070C0"/>
        <rFont val="Arial"/>
        <family val="2"/>
      </rPr>
      <t xml:space="preserve">(Pour Fonction recodée = Magistrat placé ADD)
</t>
    </r>
    <r>
      <rPr>
        <sz val="7"/>
        <rFont val="Arial"/>
        <family val="2"/>
      </rPr>
      <t xml:space="preserve">
</t>
    </r>
    <r>
      <rPr>
        <b/>
        <sz val="7"/>
        <color rgb="FFFF0000"/>
        <rFont val="Arial"/>
        <family val="2"/>
      </rPr>
      <t xml:space="preserve">TJ et TPR et CPH (donc pas de critère sur le TJ)
</t>
    </r>
    <r>
      <rPr>
        <sz val="7"/>
        <color rgb="FFFF0000"/>
        <rFont val="Arial"/>
        <family val="2"/>
      </rPr>
      <t>*figurant dans l'onglet ETPT A-JUST</t>
    </r>
  </si>
  <si>
    <r>
      <rPr>
        <b/>
        <sz val="7"/>
        <color rgb="FFFF0000"/>
        <rFont val="Arial"/>
        <family val="2"/>
      </rPr>
      <t>3.2 Protection des majeurs*</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</si>
  <si>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3. Contentieux de la Protection - 3.2 Protection des majeurs - 3.43 Injonctions de payer - 3.44 Saisies des rémunérations*</t>
    </r>
    <r>
      <rPr>
        <sz val="7"/>
        <rFont val="Arial"/>
        <family val="2"/>
      </rPr>
      <t xml:space="preserve">
</t>
    </r>
    <r>
      <rPr>
        <b/>
        <sz val="7"/>
        <color rgb="FF0070C0"/>
        <rFont val="Arial"/>
        <family val="2"/>
      </rPr>
      <t xml:space="preserve">(Pour Fonction recodée = Magistrat Placé SUB)
</t>
    </r>
    <r>
      <rPr>
        <b/>
        <sz val="7"/>
        <color rgb="FFFF0000"/>
        <rFont val="Arial"/>
        <family val="2"/>
      </rPr>
      <t xml:space="preserve">Critère sur le TJ OU CPH
</t>
    </r>
    <r>
      <rPr>
        <sz val="7"/>
        <color rgb="FFFF0000"/>
        <rFont val="Arial"/>
        <family val="2"/>
      </rPr>
      <t xml:space="preserve">
*figurant dans l'onglet ETPT A-JUST</t>
    </r>
  </si>
  <si>
    <r>
      <rPr>
        <b/>
        <sz val="7"/>
        <color rgb="FFFF0000"/>
        <rFont val="Arial"/>
        <family val="2"/>
      </rPr>
      <t>8.1 Service général*</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</si>
  <si>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8.2 JIRS eco-fi*</t>
    </r>
    <r>
      <rPr>
        <sz val="7"/>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</si>
  <si>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8.3 JIRS crim-org*</t>
    </r>
    <r>
      <rPr>
        <sz val="7"/>
        <rFont val="Arial"/>
        <family val="2"/>
      </rPr>
      <t xml:space="preserve">
</t>
    </r>
    <r>
      <rPr>
        <b/>
        <sz val="7"/>
        <color rgb="FF0070C0"/>
        <rFont val="Arial"/>
        <family val="2"/>
      </rPr>
      <t xml:space="preserve">(Pour Fonction recodée = Magistrat Placé SUB)
</t>
    </r>
    <r>
      <rPr>
        <sz val="7"/>
        <rFont val="Arial"/>
        <family val="2"/>
      </rPr>
      <t xml:space="preserve">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</si>
  <si>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 xml:space="preserve">8.4 autres sections spécialisées
+
8.11 ECO-FI HORS JIRS*
</t>
    </r>
    <r>
      <rPr>
        <sz val="7"/>
        <rFont val="Arial"/>
        <family val="2"/>
      </rPr>
      <t xml:space="preserve">
</t>
    </r>
    <r>
      <rPr>
        <b/>
        <sz val="7"/>
        <color rgb="FF0070C0"/>
        <rFont val="Arial"/>
        <family val="2"/>
      </rPr>
      <t xml:space="preserve">(Pour Fonction recodée = Magistrat Placé SUB)
</t>
    </r>
    <r>
      <rPr>
        <sz val="7"/>
        <rFont val="Arial"/>
        <family val="2"/>
      </rPr>
      <t xml:space="preserve">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</si>
  <si>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9. TOTAL JAP*</t>
    </r>
    <r>
      <rPr>
        <sz val="7"/>
        <rFont val="Arial"/>
        <family val="2"/>
      </rPr>
      <t xml:space="preserve">
</t>
    </r>
    <r>
      <rPr>
        <b/>
        <sz val="7"/>
        <color rgb="FF0070C0"/>
        <rFont val="Arial"/>
        <family val="2"/>
      </rPr>
      <t>(Pour Fonction recodée = Magistrat Placé SUB)</t>
    </r>
    <r>
      <rPr>
        <b/>
        <sz val="7"/>
        <rFont val="Arial"/>
        <family val="2"/>
      </rPr>
      <t xml:space="preserve">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</si>
  <si>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6.1 JE : activité civile + 6.2 JE : activité pénale*</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SUB)
</t>
    </r>
    <r>
      <rPr>
        <b/>
        <sz val="7"/>
        <color rgb="FFFF0000"/>
        <rFont val="Arial"/>
        <family val="2"/>
      </rPr>
      <t>TJ et TPR et CPH  (donc pas de critère sur le TJ)</t>
    </r>
    <r>
      <rPr>
        <sz val="7"/>
        <rFont val="Arial"/>
        <family val="2"/>
      </rPr>
      <t xml:space="preserve">
</t>
    </r>
    <r>
      <rPr>
        <sz val="7"/>
        <color rgb="FFFF0000"/>
        <rFont val="Arial"/>
        <family val="2"/>
      </rPr>
      <t xml:space="preserve">
*figurant dans l'onglet ETPT A-JUST</t>
    </r>
  </si>
  <si>
    <r>
      <rPr>
        <b/>
        <sz val="7"/>
        <color rgb="FFFF0000"/>
        <rFont val="Arial"/>
        <family val="2"/>
      </rPr>
      <t>7.5 + 7.51 Cour d'assises JIRS et hors JIRS*</t>
    </r>
    <r>
      <rPr>
        <sz val="7"/>
        <rFont val="Arial"/>
        <family val="2"/>
      </rPr>
      <t xml:space="preserve">
</t>
    </r>
    <r>
      <rPr>
        <b/>
        <sz val="7"/>
        <color theme="8" tint="-0.249977111117893"/>
        <rFont val="Arial"/>
        <family val="2"/>
      </rPr>
      <t xml:space="preserve">(Pour Fonction recodée = Magistrat Placé SUB)
</t>
    </r>
    <r>
      <rPr>
        <b/>
        <sz val="7"/>
        <color rgb="FFFF0000"/>
        <rFont val="Arial"/>
        <family val="2"/>
      </rPr>
      <t>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</si>
  <si>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 xml:space="preserve">7.52 cour criminelle*
</t>
    </r>
    <r>
      <rPr>
        <sz val="7"/>
        <rFont val="Arial"/>
        <family val="2"/>
      </rPr>
      <t xml:space="preserve">
</t>
    </r>
    <r>
      <rPr>
        <b/>
        <sz val="7"/>
        <color theme="8" tint="-0.249977111117893"/>
        <rFont val="Arial"/>
        <family val="2"/>
      </rPr>
      <t xml:space="preserve">(Pour Fonction recodée = Magistrat Placé SUB)
</t>
    </r>
    <r>
      <rPr>
        <b/>
        <sz val="7"/>
        <color rgb="FFFF0000"/>
        <rFont val="Arial"/>
        <family val="2"/>
      </rPr>
      <t xml:space="preserve">TJ et TPR et CPH (donc pas de critère sur le TJ)
</t>
    </r>
    <r>
      <rPr>
        <sz val="7"/>
        <color rgb="FFFF0000"/>
        <rFont val="Arial"/>
        <family val="2"/>
      </rPr>
      <t>*figurant dans l'onglet ETPT A-JUST</t>
    </r>
  </si>
  <si>
    <r>
      <rPr>
        <b/>
        <sz val="7"/>
        <color rgb="FFFF0000"/>
        <rFont val="Arial"/>
        <family val="2"/>
      </rPr>
      <t>7.121 Collégiales JIRS eco-fi POUR LES JURIDICTIONS JIRS*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t>
    </r>
    <r>
      <rPr>
        <sz val="7"/>
        <rFont val="Arial"/>
        <family val="2"/>
      </rPr>
      <t xml:space="preserve">
</t>
    </r>
    <r>
      <rPr>
        <sz val="7"/>
        <color rgb="FFFF0000"/>
        <rFont val="Arial"/>
        <family val="2"/>
      </rPr>
      <t>*figurant dans l'onglet ETPT A-JUST</t>
    </r>
  </si>
  <si>
    <r>
      <rPr>
        <b/>
        <sz val="7"/>
        <color rgb="FFFF0000"/>
        <rFont val="Arial"/>
        <family val="2"/>
      </rPr>
      <t>7.12 Collégiales JIRS crim-org*</t>
    </r>
    <r>
      <rPr>
        <sz val="7"/>
        <rFont val="Arial"/>
        <family val="2"/>
      </rPr>
      <t xml:space="preserve">
</t>
    </r>
    <r>
      <rPr>
        <b/>
        <sz val="7"/>
        <color rgb="FFFF0000"/>
        <rFont val="Arial"/>
        <family val="2"/>
      </rPr>
      <t xml:space="preserve">
</t>
    </r>
    <r>
      <rPr>
        <b/>
        <sz val="7"/>
        <color rgb="FF0070C0"/>
        <rFont val="Arial"/>
        <family val="2"/>
      </rPr>
      <t>(Pour Fonction recodée = Magistrat Placé SUB)</t>
    </r>
    <r>
      <rPr>
        <b/>
        <sz val="7"/>
        <color rgb="FFFF0000"/>
        <rFont val="Arial"/>
        <family val="2"/>
      </rPr>
      <t xml:space="preserve">
TJ et TPR et CPH (donc pas de critère sur le TJ)</t>
    </r>
    <r>
      <rPr>
        <sz val="7"/>
        <rFont val="Arial"/>
        <family val="2"/>
      </rPr>
      <t xml:space="preserve">
</t>
    </r>
    <r>
      <rPr>
        <sz val="7"/>
        <color rgb="FFFF0000"/>
        <rFont val="Arial"/>
        <family val="2"/>
      </rPr>
      <t xml:space="preserve">
*figurant dans l'onglet ETPT A-JUST</t>
    </r>
  </si>
  <si>
    <r>
      <rPr>
        <b/>
        <sz val="7"/>
        <color rgb="FFFF0000"/>
        <rFont val="Arial"/>
        <family val="2"/>
      </rPr>
      <t>7.122 Collégiales autres sections spécialisées + 7.121 Collégiales eco-fi POUR LES JURIDICTIONS NON JIRS*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t>
    </r>
    <r>
      <rPr>
        <sz val="7"/>
        <color rgb="FFFF0000"/>
        <rFont val="Arial"/>
        <family val="2"/>
      </rPr>
      <t xml:space="preserve">
*figurant dans l'onglet ETPT A-JUST</t>
    </r>
  </si>
  <si>
    <r>
      <rPr>
        <b/>
        <sz val="7"/>
        <color rgb="FFFF0000"/>
        <rFont val="Arial"/>
        <family val="2"/>
      </rPr>
      <t>7.6 Tribunal de police + 7.7 OP contraventionnelles*</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
</t>
    </r>
    <r>
      <rPr>
        <sz val="7"/>
        <color rgb="FFFF0000"/>
        <rFont val="Arial"/>
        <family val="2"/>
      </rPr>
      <t xml:space="preserve">
*figurant dans l'onglet ETPT A-JUST</t>
    </r>
  </si>
  <si>
    <r>
      <rPr>
        <b/>
        <sz val="7"/>
        <color rgb="FFFF0000"/>
        <rFont val="Arial"/>
        <family val="2"/>
      </rPr>
      <t xml:space="preserve">1.1 Départage prud'homal* 
</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</si>
  <si>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4.0 Contentieux général &lt; 10000 euros*</t>
    </r>
    <r>
      <rPr>
        <sz val="7"/>
        <rFont val="Arial"/>
        <family val="2"/>
      </rPr>
      <t xml:space="preserve">
</t>
    </r>
    <r>
      <rPr>
        <b/>
        <sz val="7"/>
        <color rgb="FF0070C0"/>
        <rFont val="Arial"/>
        <family val="2"/>
      </rPr>
      <t xml:space="preserve">(Pour Fonction recodée = Magistrat Placé SUB)
</t>
    </r>
    <r>
      <rPr>
        <b/>
        <sz val="7"/>
        <color rgb="FFFF0000"/>
        <rFont val="Arial"/>
        <family val="2"/>
      </rPr>
      <t xml:space="preserve">
Critère sur le TJ OU CPH
</t>
    </r>
    <r>
      <rPr>
        <sz val="7"/>
        <color rgb="FFFF0000"/>
        <rFont val="Arial"/>
        <family val="2"/>
      </rPr>
      <t>*figurant dans l'onglet ETPT A-JUST</t>
    </r>
  </si>
  <si>
    <r>
      <rPr>
        <b/>
        <sz val="7"/>
        <color rgb="FFFF0000"/>
        <rFont val="Arial"/>
        <family val="2"/>
      </rPr>
      <t>3.43 Injonctions de payer + 3.44 Saisies des rémunérations*</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 xml:space="preserve">
Critère sur le TJ OU CPH</t>
    </r>
    <r>
      <rPr>
        <sz val="7"/>
        <rFont val="Arial"/>
        <family val="2"/>
      </rPr>
      <t xml:space="preserve">
</t>
    </r>
    <r>
      <rPr>
        <sz val="7"/>
        <color rgb="FFFF0000"/>
        <rFont val="Arial"/>
        <family val="2"/>
      </rPr>
      <t>*figurant dans l'onglet ETPT A-JUST</t>
    </r>
  </si>
  <si>
    <r>
      <rPr>
        <b/>
        <sz val="7"/>
        <color rgb="FFFF0000"/>
        <rFont val="Arial"/>
        <family val="2"/>
      </rPr>
      <t xml:space="preserve">1. TOTAL CONTENTIEUX SOCIAL  
-
1.1 Départage prud'homal* 
</t>
    </r>
    <r>
      <rPr>
        <sz val="7"/>
        <rFont val="Arial"/>
        <family val="2"/>
      </rPr>
      <t xml:space="preserve">
</t>
    </r>
    <r>
      <rPr>
        <b/>
        <sz val="7"/>
        <color rgb="FF0070C0"/>
        <rFont val="Arial"/>
        <family val="2"/>
      </rPr>
      <t xml:space="preserve">(Pour Fonction recodée = Magistrat Placé SUB)
</t>
    </r>
    <r>
      <rPr>
        <b/>
        <sz val="7"/>
        <color rgb="FFFF0000"/>
        <rFont val="Arial"/>
        <family val="2"/>
      </rPr>
      <t>Critère sur le TJ OU CPH</t>
    </r>
    <r>
      <rPr>
        <sz val="7"/>
        <rFont val="Arial"/>
        <family val="2"/>
      </rPr>
      <t xml:space="preserve">
</t>
    </r>
    <r>
      <rPr>
        <sz val="7"/>
        <color rgb="FFFF0000"/>
        <rFont val="Arial"/>
        <family val="2"/>
      </rPr>
      <t>*figurant dans l'onglet ETPT A-JUST</t>
    </r>
  </si>
  <si>
    <r>
      <rPr>
        <b/>
        <sz val="7"/>
        <color rgb="FFFF0000"/>
        <rFont val="Arial"/>
        <family val="2"/>
      </rPr>
      <t>2. TOTAL CONTENTIEUX JAF*</t>
    </r>
    <r>
      <rPr>
        <sz val="7"/>
        <rFont val="Arial"/>
        <family val="2"/>
      </rPr>
      <t xml:space="preserve">
</t>
    </r>
    <r>
      <rPr>
        <sz val="7"/>
        <color rgb="FF0070C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
</t>
    </r>
    <r>
      <rPr>
        <sz val="7"/>
        <color rgb="FFFF0000"/>
        <rFont val="Arial"/>
        <family val="2"/>
      </rPr>
      <t>*figurant dans l'onglet ETPT A-JUST</t>
    </r>
  </si>
  <si>
    <r>
      <rPr>
        <b/>
        <sz val="7"/>
        <color rgb="FFFF0000"/>
        <rFont val="Arial"/>
        <family val="2"/>
      </rPr>
      <t xml:space="preserve">4. TOTAL CIVIL NON SPÉCIALISÉ - 4.0 Contentieux général &lt; 10000 euros*
+
13. Contentieux locaux spécifiques *
+ 
11.51. ACCUEIL DU JUSTICIABLE (DONT SAUJ) + 11.1. SOUTIEN (HORS FORMATIONS SUIVIES) + 11.2. FORMATIONS SUIVIES + 11.6. AUTRES ACTIVITÉS NON JURIDICTIONNELLES + 11.3. FORMATIONS DISPENSÉES + 11.4. ACCÈS AU DROIT ET À LA JUSTICE + 11.5. CSM*
</t>
    </r>
    <r>
      <rPr>
        <sz val="7"/>
        <rFont val="Arial"/>
        <family val="2"/>
      </rPr>
      <t xml:space="preserve">
</t>
    </r>
    <r>
      <rPr>
        <b/>
        <sz val="7"/>
        <color rgb="FF0070C0"/>
        <rFont val="Arial"/>
        <family val="2"/>
      </rPr>
      <t>(Pour Fonction recodée = Magistrat placé SUB)</t>
    </r>
    <r>
      <rPr>
        <b/>
        <sz val="7"/>
        <color rgb="FFFF0000"/>
        <rFont val="Arial"/>
        <family val="2"/>
      </rPr>
      <t xml:space="preserve">
</t>
    </r>
    <r>
      <rPr>
        <sz val="7"/>
        <rFont val="Arial"/>
        <family val="2"/>
      </rPr>
      <t xml:space="preserve">
</t>
    </r>
    <r>
      <rPr>
        <b/>
        <sz val="7"/>
        <color rgb="FFFF0000"/>
        <rFont val="Arial"/>
        <family val="2"/>
      </rPr>
      <t xml:space="preserve">Critère sur le TJ ou CPH
+
7. TOTAL SIÈGE PÉNAL - 7.5. COUR D'ASSISES HORS JIRS - 7.51. COUR D'ASSISES JIRS - 7.52. COUR CRIMINELLE - 7.121. COLLÉGIALES JIRS ÉCO-FI - 7.12. COLLÉGIALES JIRS CRIM-ORG - 7.122. COLLÉGIALES AUTRES SECTIONS SPÉCIALISÉES - 7.6. TRIBUNAL DE POLICE - 7.7. OP CONTRAVENTIONNELLES*
</t>
    </r>
    <r>
      <rPr>
        <sz val="7"/>
        <rFont val="Arial"/>
        <family val="2"/>
      </rPr>
      <t xml:space="preserve">
</t>
    </r>
    <r>
      <rPr>
        <b/>
        <sz val="7"/>
        <color rgb="FF0070C0"/>
        <rFont val="Arial"/>
        <family val="2"/>
      </rPr>
      <t xml:space="preserve">(Pour Fonction recodée = Magistrat placé SUB)
</t>
    </r>
    <r>
      <rPr>
        <sz val="7"/>
        <rFont val="Arial"/>
        <family val="2"/>
      </rPr>
      <t xml:space="preserve">
</t>
    </r>
    <r>
      <rPr>
        <b/>
        <sz val="7"/>
        <color rgb="FFFF0000"/>
        <rFont val="Arial"/>
        <family val="2"/>
      </rPr>
      <t xml:space="preserve">TJ et TPR et CPH (donc pas de critère sur le TJ)
</t>
    </r>
    <r>
      <rPr>
        <sz val="7"/>
        <color rgb="FFFF0000"/>
        <rFont val="Arial"/>
        <family val="2"/>
      </rPr>
      <t>*figurant dans l'onglet ETPT A-JUST</t>
    </r>
  </si>
  <si>
    <r>
      <rPr>
        <b/>
        <sz val="7"/>
        <color rgb="FFFF0000"/>
        <rFont val="Arial"/>
        <family val="2"/>
      </rPr>
      <t>12. TOTAL INDISPONIBILITÉ*</t>
    </r>
    <r>
      <rPr>
        <sz val="7"/>
        <rFont val="Arial"/>
        <family val="2"/>
      </rPr>
      <t xml:space="preserve">
</t>
    </r>
    <r>
      <rPr>
        <b/>
        <sz val="7"/>
        <color rgb="FF0070C0"/>
        <rFont val="Arial"/>
        <family val="2"/>
      </rPr>
      <t xml:space="preserve">(Pour Fonctions recodées = Magistrats placé ADD  ou Magistrat placé SUB)
</t>
    </r>
    <r>
      <rPr>
        <b/>
        <sz val="7"/>
        <color rgb="FFFF0000"/>
        <rFont val="Arial"/>
        <family val="2"/>
      </rPr>
      <t xml:space="preserve">Critère sur le TJ ou CPH
</t>
    </r>
    <r>
      <rPr>
        <sz val="7"/>
        <color rgb="FFFF0000"/>
        <rFont val="Arial"/>
        <family val="2"/>
      </rPr>
      <t>*figurant dans l'onglet ETPT A-JUST</t>
    </r>
  </si>
  <si>
    <r>
      <t xml:space="preserve">11.1 Soutien + 11.2 Formations suivies + 11.6 Autres activités non juridictionnelles
</t>
    </r>
    <r>
      <rPr>
        <b/>
        <sz val="10"/>
        <color rgb="FF0070C0"/>
        <rFont val="Arial"/>
        <family val="2"/>
      </rPr>
      <t>(Pour Fonction recodée = Fonctionnaire CTECH)</t>
    </r>
    <r>
      <rPr>
        <b/>
        <sz val="10"/>
        <color rgb="FFFF0000"/>
        <rFont val="Arial"/>
        <family val="2"/>
      </rPr>
      <t xml:space="preserve">
</t>
    </r>
    <r>
      <rPr>
        <sz val="10"/>
        <rFont val="Arial"/>
        <family val="2"/>
      </rPr>
      <t xml:space="preserve">
</t>
    </r>
    <r>
      <rPr>
        <b/>
        <sz val="10"/>
        <color rgb="FFFF0000"/>
        <rFont val="Arial"/>
        <family val="2"/>
      </rPr>
      <t>Critère sur le TPRX</t>
    </r>
  </si>
  <si>
    <r>
      <t xml:space="preserve">11.1 Soutien + 11.2 Formations suivies + 11.6 Autres activités non juridictionnelles
</t>
    </r>
    <r>
      <rPr>
        <b/>
        <sz val="10"/>
        <color rgb="FF0070C0"/>
        <rFont val="Arial"/>
        <family val="2"/>
      </rPr>
      <t xml:space="preserve">(Pour Fonction recodée = Fonctionnaire A-B-CBUR )
</t>
    </r>
    <r>
      <rPr>
        <b/>
        <sz val="10"/>
        <color rgb="FFFF0000"/>
        <rFont val="Arial"/>
        <family val="2"/>
      </rPr>
      <t>Critère sur le TPRX</t>
    </r>
  </si>
  <si>
    <r>
      <rPr>
        <b/>
        <sz val="10"/>
        <color rgb="FFFF0000"/>
        <rFont val="Arial"/>
        <family val="2"/>
      </rPr>
      <t>Temps ventilé sur la période A-JUST*</t>
    </r>
    <r>
      <rPr>
        <sz val="10"/>
        <rFont val="Arial"/>
        <family val="2"/>
      </rPr>
      <t xml:space="preserve"> (absentéisme et action 99 déduits)
</t>
    </r>
    <r>
      <rPr>
        <b/>
        <sz val="10"/>
        <color rgb="FF0070C0"/>
        <rFont val="Arial"/>
        <family val="2"/>
      </rPr>
      <t>(Pour fonction recodée = Fonctionnaire CTECH placé ADD)</t>
    </r>
    <r>
      <rPr>
        <b/>
        <sz val="10"/>
        <color rgb="FFFF0000"/>
        <rFont val="Arial"/>
        <family val="2"/>
      </rPr>
      <t xml:space="preserve">
</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</si>
  <si>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13. Contentieux locaux spécifiques*</t>
    </r>
    <r>
      <rPr>
        <sz val="10"/>
        <rFont val="Arial"/>
        <family val="2"/>
      </rPr>
      <t xml:space="preserve">
</t>
    </r>
    <r>
      <rPr>
        <b/>
        <sz val="10"/>
        <color rgb="FF0070C0"/>
        <rFont val="Arial"/>
        <family val="2"/>
      </rPr>
      <t>(Pour fonction recodée =Fonctionnaire A-B-CBUR placé ADD)</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</si>
  <si>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3.43 Injonctions de payer + 3.44 Saisies des rémunérations*</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</si>
  <si>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 xml:space="preserve">3. Contentieux de la Protection - 3.2 Protection des majeurs - 3.43 IP - 3.44 Saisies rémunérations*
</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</si>
  <si>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3.2 Protection des majeurs*</t>
    </r>
    <r>
      <rPr>
        <sz val="10"/>
        <rFont val="Arial"/>
        <family val="2"/>
      </rPr>
      <t xml:space="preserve">
</t>
    </r>
    <r>
      <rPr>
        <b/>
        <sz val="10"/>
        <color rgb="FF0070C0"/>
        <rFont val="Arial"/>
        <family val="2"/>
      </rPr>
      <t>(Pour fonction recodée =Fonctionnaire A-B-CBUR placé ADD)</t>
    </r>
    <r>
      <rPr>
        <b/>
        <sz val="10"/>
        <color rgb="FFFF0000"/>
        <rFont val="Arial"/>
        <family val="2"/>
      </rPr>
      <t xml:space="preserve">
</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</si>
  <si>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 xml:space="preserve">1. TOTAL CONTENTIEUX SOCIAL + 2. TOTAL CONTENTIEUX JAF + 4. TOTAL CIVIL NON SPÉCIALISÉ + 5. TOTAL JLD CIVIL + 6.1. ACTIVITÉ CIVILE + 11.8. FONCTIONNAIRES AFFECTÉS AUX ACTIVITÉS CIVILES ET COMMERCIALES DU PARQUET*
+
11.51. ACCUEIL DU JUSTICIABLE (DONT SAUJ) + 11.1. SOUTIEN (HORS FORMATIONS SUIVIES) + 11.2. FORMATIONS SUIVIES + 11.6. AUTRES ACTIVITÉS NON JURIDICTIONNELLES + 11.3. FORMATIONS DISPENSÉES + 11.4. ACCÈS AU DROIT ET À LA JUSTICE*
</t>
    </r>
    <r>
      <rPr>
        <b/>
        <u/>
        <sz val="10"/>
        <rFont val="Arial"/>
        <family val="2"/>
      </rPr>
      <t xml:space="preserve">
</t>
    </r>
    <r>
      <rPr>
        <b/>
        <sz val="10"/>
        <color rgb="FF0070C0"/>
        <rFont val="Arial"/>
        <family val="2"/>
      </rPr>
      <t>(Pour fonction recodée =Fonctionnaire A-B-CBUR placé ADD)</t>
    </r>
    <r>
      <rPr>
        <b/>
        <u/>
        <sz val="1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</si>
  <si>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Temps ventilé sur la période A-JUST*</t>
    </r>
    <r>
      <rPr>
        <sz val="10"/>
        <rFont val="Arial"/>
        <family val="2"/>
      </rPr>
      <t xml:space="preserve"> (absentéisme et action 99 déduits)
</t>
    </r>
    <r>
      <rPr>
        <b/>
        <sz val="10"/>
        <color rgb="FF0070C0"/>
        <rFont val="Arial"/>
        <family val="2"/>
      </rPr>
      <t>(Pour fonction recodée = Fonctionnaire CTECH placé SUB)</t>
    </r>
    <r>
      <rPr>
        <b/>
        <sz val="10"/>
        <color rgb="FFFF0000"/>
        <rFont val="Arial"/>
        <family val="2"/>
      </rPr>
      <t xml:space="preserve">
</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</si>
  <si>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13. Contentieux locaux spécifiques*</t>
    </r>
    <r>
      <rPr>
        <sz val="10"/>
        <rFont val="Arial"/>
        <family val="2"/>
      </rPr>
      <t xml:space="preserve">
</t>
    </r>
    <r>
      <rPr>
        <b/>
        <sz val="10"/>
        <color rgb="FF0070C0"/>
        <rFont val="Arial"/>
        <family val="2"/>
      </rPr>
      <t>(Pour fonction recodée =Fonctionnaire A-B-CBUR placé SUB)</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</si>
  <si>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3.43 Injonctions de payer + 3.44 Saisies des rémunérations*</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</si>
  <si>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 xml:space="preserve">3. Contentieux de la Protection - 3.2 Protection des majeurs - 3.43 IP - 3.44 Saisies rémunérations*
</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</si>
  <si>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3.2 Protection des majeurs*</t>
    </r>
    <r>
      <rPr>
        <sz val="10"/>
        <rFont val="Arial"/>
        <family val="2"/>
      </rPr>
      <t xml:space="preserve">
</t>
    </r>
    <r>
      <rPr>
        <b/>
        <sz val="10"/>
        <color rgb="FF0070C0"/>
        <rFont val="Arial"/>
        <family val="2"/>
      </rPr>
      <t>(Pour fonction recodée =Fonctionnaire A-B-CBUR placé SUB)</t>
    </r>
    <r>
      <rPr>
        <b/>
        <sz val="10"/>
        <color rgb="FFFF0000"/>
        <rFont val="Arial"/>
        <family val="2"/>
      </rPr>
      <t xml:space="preserve">
</t>
    </r>
    <r>
      <rPr>
        <sz val="10"/>
        <rFont val="Arial"/>
        <family val="2"/>
      </rPr>
      <t xml:space="preserve">
</t>
    </r>
    <r>
      <rPr>
        <b/>
        <sz val="10"/>
        <color rgb="FFFF0000"/>
        <rFont val="Arial"/>
        <family val="2"/>
      </rPr>
      <t xml:space="preserve">Critère sur le TPRX
</t>
    </r>
    <r>
      <rPr>
        <sz val="10"/>
        <color rgb="FFFF0000"/>
        <rFont val="Arial"/>
        <family val="2"/>
      </rPr>
      <t>*figurant dans l'onglet ETPT A-JUST</t>
    </r>
  </si>
  <si>
    <r>
      <rPr>
        <b/>
        <sz val="10"/>
        <color rgb="FFFF0000"/>
        <rFont val="Arial"/>
        <family val="2"/>
      </rPr>
      <t xml:space="preserve">1. TOTAL CONTENTIEUX SOCIAL + 2. TOTAL CONTENTIEUX JAF + 4. TOTAL CIVIL NON SPÉCIALISÉ + 5. TOTAL JLD CIVIL + 6.1. ACTIVITÉ CIVILE + 11.8. FONCTIONNAIRES AFFECTÉS AUX ACTIVITÉS CIVILES ET COMMERCIALES DU PARQUET*
+
11.51. ACCUEIL DU JUSTICIABLE (DONT SAUJ) + 11.1. SOUTIEN (HORS FORMATIONS SUIVIES) + 11.2. FORMATIONS SUIVIES + 11.6. AUTRES ACTIVITÉS NON JURIDICTIONNELLES + 11.3. FORMATIONS DISPENSÉES + 11.4. ACCÈS AU DROIT ET À LA JUSTICE*
</t>
    </r>
    <r>
      <rPr>
        <b/>
        <u/>
        <sz val="10"/>
        <rFont val="Arial"/>
        <family val="2"/>
      </rPr>
      <t xml:space="preserve">
</t>
    </r>
    <r>
      <rPr>
        <b/>
        <sz val="10"/>
        <color rgb="FF0070C0"/>
        <rFont val="Arial"/>
        <family val="2"/>
      </rPr>
      <t>(Pour fonction recodée =Fonctionnaire A-B-CBUR placé SUB)</t>
    </r>
    <r>
      <rPr>
        <b/>
        <u/>
        <sz val="10"/>
        <rFont val="Arial"/>
        <family val="2"/>
      </rPr>
      <t xml:space="preserve">
</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</si>
  <si>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 xml:space="preserve">12. TOTAL INDISPONIBILITÉ*
</t>
    </r>
    <r>
      <rPr>
        <sz val="10"/>
        <rFont val="Arial"/>
        <family val="2"/>
      </rPr>
      <t xml:space="preserve">
</t>
    </r>
    <r>
      <rPr>
        <b/>
        <sz val="10"/>
        <color rgb="FF0070C0"/>
        <rFont val="Arial"/>
        <family val="2"/>
      </rPr>
      <t>(Pour Fonctions recodées = Fonctionnaire CTECH placé ADD  ou Fonctionnaire Fonctionnaire CTECH placé SUB)</t>
    </r>
    <r>
      <rPr>
        <sz val="10"/>
        <rFont val="Arial"/>
        <family val="2"/>
      </rPr>
      <t xml:space="preserve">
</t>
    </r>
    <r>
      <rPr>
        <b/>
        <sz val="10"/>
        <color rgb="FFFF0000"/>
        <rFont val="Arial"/>
        <family val="2"/>
      </rPr>
      <t>Critère sur le TPRX</t>
    </r>
    <r>
      <rPr>
        <sz val="10"/>
        <rFont val="Arial"/>
        <family val="2"/>
      </rPr>
      <t xml:space="preserve">
</t>
    </r>
    <r>
      <rPr>
        <sz val="10"/>
        <color rgb="FFFF0000"/>
        <rFont val="Arial"/>
        <family val="2"/>
      </rPr>
      <t>*figurant dans l'onglet ETPT A-JUST</t>
    </r>
  </si>
  <si>
    <r>
      <rPr>
        <b/>
        <sz val="10"/>
        <color rgb="FFFF0000"/>
        <rFont val="Arial"/>
        <family val="2"/>
      </rPr>
      <t>12. TOTAL INDISPONIBILITÉ*</t>
    </r>
    <r>
      <rPr>
        <sz val="10"/>
        <rFont val="Arial"/>
        <family val="2"/>
      </rPr>
      <t xml:space="preserve">
</t>
    </r>
    <r>
      <rPr>
        <b/>
        <sz val="10"/>
        <color rgb="FF0070C0"/>
        <rFont val="Arial"/>
        <family val="2"/>
      </rPr>
      <t xml:space="preserve">(Pour Fonctions recodées = Fonctionnaire A-B-CBUR placé ADD  ou Fonctionnaire A-B-CBUR placé SUB)
</t>
    </r>
    <r>
      <rPr>
        <b/>
        <sz val="10"/>
        <color rgb="FFFF0000"/>
        <rFont val="Arial"/>
        <family val="2"/>
      </rPr>
      <t>Critère sur le TPRX</t>
    </r>
    <r>
      <rPr>
        <sz val="10"/>
        <rFont val="Arial"/>
        <family val="2"/>
      </rPr>
      <t xml:space="preserve">
</t>
    </r>
    <r>
      <rPr>
        <sz val="10"/>
        <color rgb="FFFF0000"/>
        <rFont val="Arial"/>
        <family val="2"/>
      </rPr>
      <t>*figurant dans l'onglet ETPT A-JUST</t>
    </r>
  </si>
  <si>
    <r>
      <t xml:space="preserve">11.1 Soutien + 11.2 Formations suivies + 11.6 Autres activités non juridictionnelles
</t>
    </r>
    <r>
      <rPr>
        <b/>
        <sz val="7"/>
        <color rgb="FF0070C0"/>
        <rFont val="Arial"/>
        <family val="2"/>
      </rPr>
      <t xml:space="preserve">(Pour Fonction recodée = Magistrats SIEGE S et NS)
</t>
    </r>
    <r>
      <rPr>
        <sz val="7"/>
        <rFont val="Arial"/>
        <family val="2"/>
      </rPr>
      <t xml:space="preserve">
</t>
    </r>
    <r>
      <rPr>
        <b/>
        <sz val="7"/>
        <color rgb="FFFF0000"/>
        <rFont val="Arial"/>
        <family val="2"/>
      </rPr>
      <t>Critère sur le TPRX</t>
    </r>
  </si>
  <si>
    <r>
      <t xml:space="preserve">13. Contentieux locaux spécifiques*
</t>
    </r>
    <r>
      <rPr>
        <b/>
        <sz val="7"/>
        <color rgb="FF0070C0"/>
        <rFont val="Arial"/>
        <family val="2"/>
      </rPr>
      <t xml:space="preserve">(Pour Fonction recodée = Magistrat placé ADD)
</t>
    </r>
    <r>
      <rPr>
        <b/>
        <sz val="7"/>
        <color rgb="FFFF0000"/>
        <rFont val="Arial"/>
        <family val="2"/>
      </rPr>
      <t xml:space="preserve">
Critère sur le TPRX
</t>
    </r>
    <r>
      <rPr>
        <sz val="7"/>
        <color rgb="FFFF0000"/>
        <rFont val="Arial"/>
        <family val="2"/>
      </rPr>
      <t>*figurant dans l'onglet ETPT A-JUST</t>
    </r>
  </si>
  <si>
    <r>
      <rPr>
        <b/>
        <sz val="7"/>
        <color rgb="FFFF0000"/>
        <rFont val="Arial"/>
        <family val="2"/>
      </rPr>
      <t xml:space="preserve">3.43 Injonctions de payer + 3.44 Saisies des rémunérations* </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</si>
  <si>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 xml:space="preserve">3. Contentieux de la Protection - 3.2 Protection des majeurs - 3.43 Injonctions de payer - 3.44 Saisies des rémunérations*
</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</si>
  <si>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3.2 Protection des majeurs*</t>
    </r>
    <r>
      <rPr>
        <sz val="7"/>
        <rFont val="Arial"/>
        <family val="2"/>
      </rPr>
      <t xml:space="preserve">
</t>
    </r>
    <r>
      <rPr>
        <b/>
        <sz val="7"/>
        <color rgb="FF0070C0"/>
        <rFont val="Arial"/>
        <family val="2"/>
      </rPr>
      <t>(Pour Fonction recodée = Magistrat placé ADD)</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</si>
  <si>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1.1 Départage prud'homal *</t>
    </r>
    <r>
      <rPr>
        <sz val="7"/>
        <color theme="1"/>
        <rFont val="Arial"/>
        <family val="2"/>
      </rPr>
      <t xml:space="preserve">
</t>
    </r>
    <r>
      <rPr>
        <sz val="7"/>
        <rFont val="Arial"/>
        <family val="2"/>
      </rPr>
      <t xml:space="preserve">
</t>
    </r>
    <r>
      <rPr>
        <b/>
        <sz val="7"/>
        <color rgb="FF0070C0"/>
        <rFont val="Arial"/>
        <family val="2"/>
      </rPr>
      <t>(Pour Fonction recodée = Magistrat placé ADD)</t>
    </r>
    <r>
      <rPr>
        <b/>
        <sz val="7"/>
        <color rgb="FFFF0000"/>
        <rFont val="Arial"/>
        <family val="2"/>
      </rPr>
      <t xml:space="preserve">
</t>
    </r>
    <r>
      <rPr>
        <sz val="7"/>
        <rFont val="Arial"/>
        <family val="2"/>
      </rPr>
      <t xml:space="preserve">
</t>
    </r>
    <r>
      <rPr>
        <b/>
        <sz val="7"/>
        <color rgb="FFFF0000"/>
        <rFont val="Arial"/>
        <family val="2"/>
      </rPr>
      <t xml:space="preserve">Critère sur le TPRX
</t>
    </r>
    <r>
      <rPr>
        <sz val="7"/>
        <color rgb="FFFF0000"/>
        <rFont val="Arial"/>
        <family val="2"/>
      </rPr>
      <t xml:space="preserve">
*figurant dans l'onglet ETPT A-JUST</t>
    </r>
  </si>
  <si>
    <r>
      <rPr>
        <b/>
        <sz val="7"/>
        <color rgb="FFFF0000"/>
        <rFont val="Arial"/>
        <family val="2"/>
      </rPr>
      <t>Temps ventilés sur la période (absentéisme et action 99 déduits)*</t>
    </r>
    <r>
      <rPr>
        <sz val="7"/>
        <rFont val="Arial"/>
        <family val="2"/>
      </rPr>
      <t xml:space="preserve"> 
-
somme colonnes précédentes
</t>
    </r>
    <r>
      <rPr>
        <b/>
        <sz val="7"/>
        <color rgb="FF0070C0"/>
        <rFont val="Arial"/>
        <family val="2"/>
      </rPr>
      <t>(Pour Fonction recodée = Magistrat placé ADD)</t>
    </r>
    <r>
      <rPr>
        <b/>
        <sz val="7"/>
        <color rgb="FFFF0000"/>
        <rFont val="Arial"/>
        <family val="2"/>
      </rPr>
      <t xml:space="preserve">
</t>
    </r>
    <r>
      <rPr>
        <sz val="7"/>
        <rFont val="Arial"/>
        <family val="2"/>
      </rPr>
      <t xml:space="preserve">
</t>
    </r>
    <r>
      <rPr>
        <b/>
        <sz val="7"/>
        <color rgb="FFFF0000"/>
        <rFont val="Arial"/>
        <family val="2"/>
      </rPr>
      <t xml:space="preserve">Critère sur le TPRX
</t>
    </r>
    <r>
      <rPr>
        <sz val="7"/>
        <color rgb="FFFF0000"/>
        <rFont val="Arial"/>
        <family val="2"/>
      </rPr>
      <t>*figurant dans l'onglet ETPT A-JUST</t>
    </r>
  </si>
  <si>
    <r>
      <t xml:space="preserve">13. Contentieux locaux spécifiques*
</t>
    </r>
    <r>
      <rPr>
        <b/>
        <sz val="7"/>
        <color rgb="FF0070C0"/>
        <rFont val="Arial"/>
        <family val="2"/>
      </rPr>
      <t xml:space="preserve">(Pour Fonction recodée = Magistrat placé SUB)
</t>
    </r>
    <r>
      <rPr>
        <b/>
        <sz val="7"/>
        <color rgb="FFFF0000"/>
        <rFont val="Arial"/>
        <family val="2"/>
      </rPr>
      <t xml:space="preserve">
Critère sur le TPRX
</t>
    </r>
    <r>
      <rPr>
        <sz val="7"/>
        <color rgb="FFFF0000"/>
        <rFont val="Arial"/>
        <family val="2"/>
      </rPr>
      <t>*figurant dans l'onglet ETPT A-JUST</t>
    </r>
  </si>
  <si>
    <r>
      <rPr>
        <b/>
        <sz val="7"/>
        <color rgb="FFFF0000"/>
        <rFont val="Arial"/>
        <family val="2"/>
      </rPr>
      <t xml:space="preserve">3.43 Injonctions de payer + 3.44 Saisies des rémunérations* </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</si>
  <si>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 xml:space="preserve">3. Contentieux de la Protection - 3.2 Protection des majeurs - 3.43 Injonctions de payer - 3.44 Saisies des rémunérations*
</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</si>
  <si>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3.2 Protection des majeurs*</t>
    </r>
    <r>
      <rPr>
        <sz val="7"/>
        <rFont val="Arial"/>
        <family val="2"/>
      </rPr>
      <t xml:space="preserve">
</t>
    </r>
    <r>
      <rPr>
        <b/>
        <sz val="7"/>
        <color rgb="FF0070C0"/>
        <rFont val="Arial"/>
        <family val="2"/>
      </rPr>
      <t>(Pour Fonction recodée = Magistrat placé SUB)</t>
    </r>
    <r>
      <rPr>
        <sz val="7"/>
        <rFont val="Arial"/>
        <family val="2"/>
      </rPr>
      <t xml:space="preserve">
</t>
    </r>
    <r>
      <rPr>
        <b/>
        <sz val="7"/>
        <color rgb="FFFF0000"/>
        <rFont val="Arial"/>
        <family val="2"/>
      </rPr>
      <t>Critère sur le TPRX</t>
    </r>
    <r>
      <rPr>
        <sz val="7"/>
        <rFont val="Arial"/>
        <family val="2"/>
      </rPr>
      <t xml:space="preserve">
</t>
    </r>
    <r>
      <rPr>
        <sz val="7"/>
        <color rgb="FFFF0000"/>
        <rFont val="Arial"/>
        <family val="2"/>
      </rPr>
      <t>*figurant dans l'onglet ETPT A-JUST</t>
    </r>
  </si>
  <si>
    <r>
      <rPr>
        <b/>
        <sz val="7"/>
        <color rgb="FFFF0000"/>
        <rFont val="Arial"/>
        <family val="2"/>
      </rPr>
      <t>1.1 Départage prud'homal *</t>
    </r>
    <r>
      <rPr>
        <sz val="7"/>
        <color theme="1"/>
        <rFont val="Arial"/>
        <family val="2"/>
      </rPr>
      <t xml:space="preserve">
</t>
    </r>
    <r>
      <rPr>
        <sz val="7"/>
        <rFont val="Arial"/>
        <family val="2"/>
      </rPr>
      <t xml:space="preserve">
</t>
    </r>
    <r>
      <rPr>
        <b/>
        <sz val="7"/>
        <color rgb="FF0070C0"/>
        <rFont val="Arial"/>
        <family val="2"/>
      </rPr>
      <t>(Pour Fonction recodée = Magistrat placé SUB)</t>
    </r>
    <r>
      <rPr>
        <b/>
        <sz val="7"/>
        <color rgb="FFFF0000"/>
        <rFont val="Arial"/>
        <family val="2"/>
      </rPr>
      <t xml:space="preserve">
</t>
    </r>
    <r>
      <rPr>
        <sz val="7"/>
        <rFont val="Arial"/>
        <family val="2"/>
      </rPr>
      <t xml:space="preserve">
</t>
    </r>
    <r>
      <rPr>
        <b/>
        <sz val="7"/>
        <color rgb="FFFF0000"/>
        <rFont val="Arial"/>
        <family val="2"/>
      </rPr>
      <t xml:space="preserve">Critère sur le TPRX
</t>
    </r>
    <r>
      <rPr>
        <sz val="7"/>
        <color rgb="FFFF0000"/>
        <rFont val="Arial"/>
        <family val="2"/>
      </rPr>
      <t xml:space="preserve">
*figurant dans l'onglet ETPT A-JUST</t>
    </r>
  </si>
  <si>
    <r>
      <rPr>
        <b/>
        <sz val="7"/>
        <color rgb="FFFF0000"/>
        <rFont val="Arial"/>
        <family val="2"/>
      </rPr>
      <t>Temps ventilés sur la période (absentéisme et action 99 déduits)*</t>
    </r>
    <r>
      <rPr>
        <sz val="7"/>
        <rFont val="Arial"/>
        <family val="2"/>
      </rPr>
      <t xml:space="preserve"> 
-
somme colonnes précédentes
</t>
    </r>
    <r>
      <rPr>
        <b/>
        <sz val="7"/>
        <color rgb="FF0070C0"/>
        <rFont val="Arial"/>
        <family val="2"/>
      </rPr>
      <t>(Pour Fonction recodée = Magistrat placé SUB)</t>
    </r>
    <r>
      <rPr>
        <b/>
        <sz val="7"/>
        <color rgb="FFFF0000"/>
        <rFont val="Arial"/>
        <family val="2"/>
      </rPr>
      <t xml:space="preserve">
</t>
    </r>
    <r>
      <rPr>
        <sz val="7"/>
        <rFont val="Arial"/>
        <family val="2"/>
      </rPr>
      <t xml:space="preserve">
</t>
    </r>
    <r>
      <rPr>
        <b/>
        <sz val="7"/>
        <color rgb="FFFF0000"/>
        <rFont val="Arial"/>
        <family val="2"/>
      </rPr>
      <t xml:space="preserve">Critère sur le TPRX
</t>
    </r>
    <r>
      <rPr>
        <sz val="7"/>
        <color rgb="FFFF0000"/>
        <rFont val="Arial"/>
        <family val="2"/>
      </rPr>
      <t>*figurant dans l'onglet ETPT A-JUST</t>
    </r>
  </si>
  <si>
    <r>
      <rPr>
        <b/>
        <sz val="7"/>
        <color rgb="FFFF0000"/>
        <rFont val="Arial"/>
        <family val="2"/>
      </rPr>
      <t>11.7 Fonctionnaires affectés au CPH*</t>
    </r>
    <r>
      <rPr>
        <sz val="7"/>
        <color rgb="FF333333"/>
        <rFont val="Arial"/>
        <family val="2"/>
      </rPr>
      <t xml:space="preserve">
</t>
    </r>
    <r>
      <rPr>
        <b/>
        <sz val="7"/>
        <color rgb="FFFF0000"/>
        <rFont val="Arial"/>
        <family val="2"/>
      </rPr>
      <t xml:space="preserve">
</t>
    </r>
    <r>
      <rPr>
        <b/>
        <sz val="7"/>
        <color rgb="FF0070C0"/>
        <rFont val="Arial"/>
        <family val="2"/>
      </rPr>
      <t>(Pour fonction recodée =Fonctionnaire A-B-CBUR placé ADD)</t>
    </r>
    <r>
      <rPr>
        <sz val="7"/>
        <color rgb="FF333333"/>
        <rFont val="Arial"/>
        <family val="2"/>
      </rPr>
      <t xml:space="preserve">
</t>
    </r>
    <r>
      <rPr>
        <b/>
        <sz val="7"/>
        <color rgb="FFFF0000"/>
        <rFont val="Arial"/>
        <family val="2"/>
      </rPr>
      <t xml:space="preserve">Critère sur le TJ OU TPRX OU CPH
</t>
    </r>
    <r>
      <rPr>
        <sz val="7"/>
        <color rgb="FFFF0000"/>
        <rFont val="Arial"/>
        <family val="2"/>
      </rPr>
      <t>*figurant dans l'onglet ETPT A-JUST</t>
    </r>
  </si>
  <si>
    <r>
      <rPr>
        <b/>
        <sz val="7"/>
        <color rgb="FFFF0000"/>
        <rFont val="Arial"/>
        <family val="2"/>
      </rPr>
      <t>11.7 Fonctionnaires affectés au CPH*</t>
    </r>
    <r>
      <rPr>
        <sz val="7"/>
        <color rgb="FF333333"/>
        <rFont val="Arial"/>
        <family val="2"/>
      </rPr>
      <t xml:space="preserve">
</t>
    </r>
    <r>
      <rPr>
        <b/>
        <sz val="7"/>
        <color rgb="FF0070C0"/>
        <rFont val="Arial"/>
        <family val="2"/>
      </rPr>
      <t>(Pour fonction recodée =Fonctionnaire A-B-CBUR placé SUB)</t>
    </r>
    <r>
      <rPr>
        <b/>
        <sz val="7"/>
        <color rgb="FFFF0000"/>
        <rFont val="Arial"/>
        <family val="2"/>
      </rPr>
      <t xml:space="preserve">
</t>
    </r>
    <r>
      <rPr>
        <sz val="7"/>
        <color rgb="FF333333"/>
        <rFont val="Arial"/>
        <family val="2"/>
      </rPr>
      <t xml:space="preserve">
</t>
    </r>
    <r>
      <rPr>
        <b/>
        <sz val="7"/>
        <color rgb="FFFF0000"/>
        <rFont val="Arial"/>
        <family val="2"/>
      </rPr>
      <t xml:space="preserve">Critère sur le TJ OU TPRX OU CPH
</t>
    </r>
    <r>
      <rPr>
        <sz val="7"/>
        <color rgb="FFFF0000"/>
        <rFont val="Arial"/>
        <family val="2"/>
      </rPr>
      <t>*figurant dans l'onglet ETPT A-JUST</t>
    </r>
  </si>
  <si>
    <t>Synthèse ETPT</t>
  </si>
  <si>
    <t>Réf.</t>
  </si>
  <si>
    <t>Nom/Prénom/Matricule</t>
  </si>
  <si>
    <t>Date d'arrivée</t>
  </si>
  <si>
    <t>Date de départ</t>
  </si>
  <si>
    <t>Date de début du segment</t>
  </si>
  <si>
    <t>Date de fin du segment</t>
  </si>
  <si>
    <t>Nombre jour ouvré sur période total extaction</t>
  </si>
  <si>
    <t>Nombre jour ouvré segment</t>
  </si>
  <si>
    <t xml:space="preserve">Ratio Jour : 
Nb jour ouvré segment /
Nb jour ouvré total </t>
  </si>
  <si>
    <t>Temps de travail en ETPT saisie</t>
  </si>
  <si>
    <t>Valeur de l'ETPT sur période total d'extraction (ETPT saisi x Ratio Jour)</t>
  </si>
  <si>
    <t>Indisponibilité saisie</t>
  </si>
  <si>
    <t>Valeur de l'indisponibilité sur la période total d'extraction (Indisponibilité saisie en%/100 x Ratio Jour)</t>
  </si>
  <si>
    <t>Nb jour ouvré CET sur toute la période d'extraction</t>
  </si>
  <si>
    <t>Valeur de l'absentéisme</t>
  </si>
  <si>
    <t>Valeur de l'action 99</t>
  </si>
  <si>
    <t>#! FOR_EACH log ongletLogs</t>
  </si>
  <si>
    <t>#! END_LOOP log</t>
  </si>
  <si>
    <t>## log.id</t>
  </si>
  <si>
    <t>## log.name</t>
  </si>
  <si>
    <t>## log.category</t>
  </si>
  <si>
    <t>## log.humanStart</t>
  </si>
  <si>
    <t>## log.humanEnd</t>
  </si>
  <si>
    <t>## log.periodStart</t>
  </si>
  <si>
    <t>## log.periodEnd</t>
  </si>
  <si>
    <t>## log.nbOfWorkingDaysQuery</t>
  </si>
  <si>
    <t>## log.workingDays</t>
  </si>
  <si>
    <t>## log.dayRate</t>
  </si>
  <si>
    <t>## log.filledEtp</t>
  </si>
  <si>
    <t>## log.queryEtpValue</t>
  </si>
  <si>
    <t>## log.totalIndispo</t>
  </si>
  <si>
    <t>## log.queryIndispoValue</t>
  </si>
  <si>
    <t>## log.cetDays</t>
  </si>
  <si>
    <t>## log.abs</t>
  </si>
  <si>
    <t>## log.action99</t>
  </si>
  <si>
    <t>## log.effectifEtp</t>
  </si>
  <si>
    <t>## log.logAccVentilation</t>
  </si>
  <si>
    <t>## log.ctx</t>
  </si>
  <si>
    <t>## log.main</t>
  </si>
  <si>
    <t>ETPT effectif sur la période total (ETPT- action 99 + absentéisme) x Ratio Jour</t>
  </si>
  <si>
    <t xml:space="preserve">     Détails de la ventilation (arrondi au millième) :</t>
  </si>
  <si>
    <t xml:space="preserve">                     Synthèse ETPT</t>
  </si>
  <si>
    <t>ETPT ventilé</t>
  </si>
  <si>
    <t>ETPT global sur la période (incluant absentéisme et action 99)</t>
  </si>
  <si>
    <t>## log.etptGlobal</t>
  </si>
  <si>
    <r>
      <rPr>
        <b/>
        <sz val="7"/>
        <color rgb="FFFF0000"/>
        <rFont val="Arial"/>
        <family val="2"/>
      </rPr>
      <t>10. TOTAL JLD PÉNAL*</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
</t>
    </r>
    <r>
      <rPr>
        <sz val="7"/>
        <color rgb="FFFF0000"/>
        <rFont val="Arial"/>
        <family val="2"/>
      </rPr>
      <t>*figurant dans l'onglet ETPT A-JUST</t>
    </r>
  </si>
  <si>
    <r>
      <rPr>
        <b/>
        <sz val="7"/>
        <color rgb="FFFF0000"/>
        <rFont val="Arial"/>
        <family val="2"/>
      </rPr>
      <t>10. TOTAL JLD PÉNAL*</t>
    </r>
    <r>
      <rPr>
        <sz val="7"/>
        <rFont val="Arial"/>
        <family val="2"/>
      </rPr>
      <t xml:space="preserve">
</t>
    </r>
    <r>
      <rPr>
        <b/>
        <sz val="7"/>
        <color rgb="FFFF000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
</t>
    </r>
    <r>
      <rPr>
        <sz val="7"/>
        <color rgb="FFFF0000"/>
        <rFont val="Arial"/>
        <family val="2"/>
      </rPr>
      <t>*figurant dans l'onglet ETPT A-JUST</t>
    </r>
  </si>
  <si>
    <t>JNS_HO_CRA_CONTENTION_(EX JLD CIVIL)</t>
  </si>
  <si>
    <t>5. TOTAL JLD CIVIL
(Pour Fonction recodée = Magistrats SIEGE S et NS)
TJ et TPR ou CPH (donc pas de critère sur le TJ)</t>
  </si>
  <si>
    <r>
      <rPr>
        <b/>
        <sz val="7"/>
        <color rgb="FFFF0000"/>
        <rFont val="Arial"/>
        <family val="2"/>
      </rPr>
      <t>5. TOTAL JLD CIVIL*</t>
    </r>
    <r>
      <rPr>
        <sz val="7"/>
        <rFont val="Arial"/>
        <family val="2"/>
      </rPr>
      <t xml:space="preserve">
</t>
    </r>
    <r>
      <rPr>
        <sz val="7"/>
        <color rgb="FF0070C0"/>
        <rFont val="Arial"/>
        <family val="2"/>
      </rPr>
      <t xml:space="preserve">
</t>
    </r>
    <r>
      <rPr>
        <b/>
        <sz val="7"/>
        <color rgb="FF0070C0"/>
        <rFont val="Arial"/>
        <family val="2"/>
      </rPr>
      <t xml:space="preserve">(Pour Fonction recodée = Magistrat Placé ADD)
</t>
    </r>
    <r>
      <rPr>
        <b/>
        <sz val="7"/>
        <color rgb="FFFF0000"/>
        <rFont val="Arial"/>
        <family val="2"/>
      </rPr>
      <t xml:space="preserve">
TJ et TPR et CPH (donc pas de critère sur le TJ)
</t>
    </r>
    <r>
      <rPr>
        <sz val="7"/>
        <color rgb="FFFF0000"/>
        <rFont val="Arial"/>
        <family val="2"/>
      </rPr>
      <t>*figurant dans l'onglet ETPT A-JUST</t>
    </r>
  </si>
  <si>
    <r>
      <rPr>
        <b/>
        <sz val="7"/>
        <color rgb="FFFF0000"/>
        <rFont val="Arial"/>
        <family val="2"/>
      </rPr>
      <t>5. TOTAL JLD CIVIL*</t>
    </r>
    <r>
      <rPr>
        <sz val="7"/>
        <rFont val="Arial"/>
        <family val="2"/>
      </rPr>
      <t xml:space="preserve">
</t>
    </r>
    <r>
      <rPr>
        <sz val="7"/>
        <color rgb="FF0070C0"/>
        <rFont val="Arial"/>
        <family val="2"/>
      </rPr>
      <t xml:space="preserve">
</t>
    </r>
    <r>
      <rPr>
        <b/>
        <sz val="7"/>
        <color rgb="FF0070C0"/>
        <rFont val="Arial"/>
        <family val="2"/>
      </rPr>
      <t xml:space="preserve">(Pour Fonction recodée = Magistrat Placé SUB)
</t>
    </r>
    <r>
      <rPr>
        <b/>
        <sz val="7"/>
        <color rgb="FFFF0000"/>
        <rFont val="Arial"/>
        <family val="2"/>
      </rPr>
      <t xml:space="preserve">
TJ et TPR et CPH (donc pas de critère sur le TJ)
</t>
    </r>
    <r>
      <rPr>
        <sz val="7"/>
        <color rgb="FFFF0000"/>
        <rFont val="Arial"/>
        <family val="2"/>
      </rPr>
      <t>*figurant dans l'onglet ETPT A-JUST</t>
    </r>
  </si>
  <si>
    <r>
      <t xml:space="preserve">6.1. ACTIVITÉ CIVILE
</t>
    </r>
    <r>
      <rPr>
        <b/>
        <sz val="10"/>
        <color rgb="FF0070C0"/>
        <rFont val="Arial"/>
        <family val="2"/>
      </rPr>
      <t>(Pour Fonction recodée = Fonctionnaire A-B-CBUR)</t>
    </r>
    <r>
      <rPr>
        <b/>
        <sz val="10"/>
        <color rgb="FFFF0000"/>
        <rFont val="Arial"/>
        <family val="2"/>
      </rPr>
      <t xml:space="preserve">
</t>
    </r>
    <r>
      <rPr>
        <sz val="10"/>
        <rFont val="Arial"/>
        <family val="2"/>
      </rPr>
      <t xml:space="preserve">
</t>
    </r>
    <r>
      <rPr>
        <b/>
        <sz val="10"/>
        <color rgb="FFFF0000"/>
        <rFont val="Arial"/>
        <family val="2"/>
      </rPr>
      <t>Critère sur le TJ OU CPH</t>
    </r>
  </si>
  <si>
    <r>
      <rPr>
        <b/>
        <sz val="10"/>
        <color rgb="FFFF0000"/>
        <rFont val="Arial"/>
        <family val="2"/>
      </rPr>
      <t xml:space="preserve">6.Juge des enfants + 8. Juge d'instruction + 9. JAP + 10. JLD pénal*
</t>
    </r>
    <r>
      <rPr>
        <b/>
        <sz val="10"/>
        <color rgb="FF0070C0"/>
        <rFont val="Arial"/>
        <family val="2"/>
      </rPr>
      <t>(Pour fonction recodée =Fonctionnaire A-B-CBUR placé ADD)</t>
    </r>
    <r>
      <rPr>
        <b/>
        <sz val="10"/>
        <color rgb="FFFF0000"/>
        <rFont val="Arial"/>
        <family val="2"/>
      </rPr>
      <t xml:space="preserve">
TJ ET TPROX ET CPH (pas de critère sur le TJ)
</t>
    </r>
    <r>
      <rPr>
        <sz val="10"/>
        <color rgb="FFFF0000"/>
        <rFont val="Arial"/>
        <family val="2"/>
      </rPr>
      <t>*figurant dans l'onglet ETPT A-JUST</t>
    </r>
  </si>
  <si>
    <r>
      <rPr>
        <b/>
        <sz val="10"/>
        <color rgb="FFFF0000"/>
        <rFont val="Arial"/>
        <family val="2"/>
      </rPr>
      <t xml:space="preserve">6.Juge des enfants + 8. Juge d'instruction + 9. JAP + 10. JLD pénal*
</t>
    </r>
    <r>
      <rPr>
        <b/>
        <sz val="10"/>
        <color rgb="FF0070C0"/>
        <rFont val="Arial"/>
        <family val="2"/>
      </rPr>
      <t>(Pour fonction recodée =Fonctionnaire A-B-CBUR placé SUB)</t>
    </r>
    <r>
      <rPr>
        <b/>
        <sz val="10"/>
        <color rgb="FFFF0000"/>
        <rFont val="Arial"/>
        <family val="2"/>
      </rPr>
      <t xml:space="preserve">
TJ ET TPROX ET CPH (pas de critère sur le TJ)
</t>
    </r>
    <r>
      <rPr>
        <sz val="10"/>
        <color rgb="FFFF0000"/>
        <rFont val="Arial"/>
        <family val="2"/>
      </rPr>
      <t>*figurant dans l'onglet ETPT A-JUST</t>
    </r>
  </si>
  <si>
    <t>JLD (pénal uniquement)</t>
  </si>
  <si>
    <t>JNS - HO - CRA - Contention (ex JLD civil)</t>
  </si>
  <si>
    <t xml:space="preserve">                 DÉCLARATION ETPT ATTACHÉS DE JUSTICE</t>
  </si>
  <si>
    <t>Attachés de justice siège</t>
  </si>
  <si>
    <t>Attachés de justice siège affectés aux assises</t>
  </si>
  <si>
    <t>Attachés de justice siège affectés au CCD</t>
  </si>
  <si>
    <t>Attachés de justice affectés aux JLD (pénal uniquement)</t>
  </si>
  <si>
    <t>Attachés de justice au parquet</t>
  </si>
  <si>
    <t>Attachés de justice affectés aux JAP</t>
  </si>
  <si>
    <t>Attachés de justice affectés aux JE</t>
  </si>
  <si>
    <t>Attachés de justice affectés aux Juge d'instruction</t>
  </si>
  <si>
    <r>
      <t xml:space="preserve">2. TOTAL CONTENTIEUX JAF  + 4. TOTAL CIVIL NON SPÉCIALISÉ + </t>
    </r>
    <r>
      <rPr>
        <u/>
        <sz val="10"/>
        <rFont val="Arial"/>
        <family val="2"/>
      </rPr>
      <t>5. TOTAL JLD CIVIL</t>
    </r>
    <r>
      <rPr>
        <sz val="10"/>
        <rFont val="Arial"/>
        <family val="2"/>
      </rPr>
      <t xml:space="preserve">
-
4.0. Contentieux général &lt; 10000 euros
</t>
    </r>
    <r>
      <rPr>
        <b/>
        <u/>
        <sz val="10"/>
        <rFont val="Arial"/>
        <family val="2"/>
      </rPr>
      <t xml:space="preserve">
</t>
    </r>
    <r>
      <rPr>
        <b/>
        <sz val="10"/>
        <color rgb="FF0070C0"/>
        <rFont val="Arial"/>
        <family val="2"/>
      </rPr>
      <t>(Pour Fonction recodée = Fonctionnaire A-B-CBUR)</t>
    </r>
    <r>
      <rPr>
        <b/>
        <u/>
        <sz val="10"/>
        <rFont val="Arial"/>
        <family val="2"/>
      </rPr>
      <t xml:space="preserve">
</t>
    </r>
    <r>
      <rPr>
        <sz val="10"/>
        <rFont val="Arial"/>
        <family val="2"/>
      </rPr>
      <t xml:space="preserve">
</t>
    </r>
    <r>
      <rPr>
        <b/>
        <sz val="10"/>
        <color rgb="FFFF0000"/>
        <rFont val="Arial"/>
        <family val="2"/>
      </rPr>
      <t>Critère sur le TJ OU CPH</t>
    </r>
  </si>
  <si>
    <r>
      <rPr>
        <b/>
        <sz val="10"/>
        <color rgb="FFFF0000"/>
        <rFont val="Arial"/>
        <family val="2"/>
      </rPr>
      <t>2. TOTAL CONTENTIEUX JAF + 4. TOTAL CIVIL NON SPÉCIALISÉ + 5. TOTAL JLD CIVIL  + 6.1. ACTIVITÉ CIVILE + 13. Contentieux locaux spécifiques - 4.0 Contentieux général &lt; 10000 euros *</t>
    </r>
    <r>
      <rPr>
        <sz val="10"/>
        <rFont val="Arial"/>
        <family val="2"/>
      </rPr>
      <t xml:space="preserve">
+
</t>
    </r>
    <r>
      <rPr>
        <b/>
        <sz val="10"/>
        <color rgb="FFFF0000"/>
        <rFont val="Arial"/>
        <family val="2"/>
      </rPr>
      <t>11.51. ACCUEIL DU JUSTICIABLE (DONT SAUJ) + 11.1. SOUTIEN (HORS FORMATIONS SUIVIES) + 11.2. FORMATIONS SUIVIES + 11.6. AUTRES ACTIVITÉS NON JURIDICTIONNELLES + 11.3. FORMATIONS DISPENSÉES + 11.4. ACCÈS AU DROIT ET À LA JUSTICE*</t>
    </r>
    <r>
      <rPr>
        <sz val="10"/>
        <rFont val="Arial"/>
        <family val="2"/>
      </rPr>
      <t xml:space="preserve">
</t>
    </r>
    <r>
      <rPr>
        <b/>
        <sz val="10"/>
        <color rgb="FF0070C0"/>
        <rFont val="Arial"/>
        <family val="2"/>
      </rPr>
      <t>(Pour fonction recodée =Fonctionnaire A-B-CBUR placé ADD)</t>
    </r>
    <r>
      <rPr>
        <sz val="10"/>
        <color rgb="FF0070C0"/>
        <rFont val="Arial"/>
        <family val="2"/>
      </rPr>
      <t xml:space="preserve">
</t>
    </r>
    <r>
      <rPr>
        <sz val="10"/>
        <rFont val="Arial"/>
        <family val="2"/>
      </rPr>
      <t xml:space="preserve">
</t>
    </r>
    <r>
      <rPr>
        <b/>
        <sz val="10"/>
        <color rgb="FFFF0000"/>
        <rFont val="Arial"/>
        <family val="2"/>
      </rPr>
      <t>Critère sur le TJ OU CPH</t>
    </r>
    <r>
      <rPr>
        <sz val="10"/>
        <rFont val="Arial"/>
        <family val="2"/>
      </rPr>
      <t xml:space="preserve">
+ 
</t>
    </r>
    <r>
      <rPr>
        <b/>
        <sz val="10"/>
        <color rgb="FFFF0000"/>
        <rFont val="Arial"/>
        <family val="2"/>
      </rPr>
      <t xml:space="preserve">7. TOTAL SIÈGE PÉNAL + 11.10 AUTRES FONCTIONNAIRES AFFECTÉS AU PARQUET - 7.5. COUR D'ASSISES HORS JIRS - 7.51. COUR D'ASSISES JIRS - 7.52. COUR CRIMINELLE - 7.121. COLLÉGIALES JIRS ÉCO-FI - 7.12. COLLÉGIALES JIRS CRIM-ORG - 7.122. COLLÉGIALES AUTRES SECTIONS SPÉCIALISÉES*
</t>
    </r>
    <r>
      <rPr>
        <sz val="10"/>
        <rFont val="Arial"/>
        <family val="2"/>
      </rPr>
      <t xml:space="preserve">
</t>
    </r>
    <r>
      <rPr>
        <b/>
        <sz val="10"/>
        <color rgb="FF0070C0"/>
        <rFont val="Arial"/>
        <family val="2"/>
      </rPr>
      <t>(Fonction recodée = fonctionnaire A-B-CBUR placé ADD)</t>
    </r>
    <r>
      <rPr>
        <sz val="10"/>
        <rFont val="Arial"/>
        <family val="2"/>
      </rPr>
      <t xml:space="preserve">
</t>
    </r>
    <r>
      <rPr>
        <b/>
        <sz val="10"/>
        <color rgb="FFFF0000"/>
        <rFont val="Arial"/>
        <family val="2"/>
      </rPr>
      <t xml:space="preserve">TJ et TPRX et CPH (pas de critère sur le TJ)
</t>
    </r>
    <r>
      <rPr>
        <sz val="10"/>
        <color rgb="FFFF0000"/>
        <rFont val="Arial"/>
        <family val="2"/>
      </rPr>
      <t xml:space="preserve">
*figurant dans l'onglet ETPT A-JUST</t>
    </r>
  </si>
  <si>
    <r>
      <t>2. TOTAL CONTENTIEUX JAF + 4. TOTAL CIVIL NON SPÉCIALISÉ + 6.1. ACTIVITÉ CIVILE + 5. TOTAL JLD CIVIL + 13. Contentieux locaux spécifiques - 4.0 Contentieux général &lt; 10000 euros *</t>
    </r>
    <r>
      <rPr>
        <sz val="10"/>
        <rFont val="Arial"/>
        <family val="2"/>
      </rPr>
      <t xml:space="preserve">
+
</t>
    </r>
    <r>
      <rPr>
        <b/>
        <sz val="10"/>
        <color rgb="FFFF0000"/>
        <rFont val="Arial"/>
        <family val="2"/>
      </rPr>
      <t>11.51. ACCUEIL DU JUSTICIABLE (DONT SAUJ) + 11.1. SOUTIEN (HORS FORMATIONS SUIVIES) + 11.2. FORMATIONS SUIVIES + 11.6. AUTRES ACTIVITÉS NON JURIDICTIONNELLES + 11.3. FORMATIONS DISPENSÉES + 11.4. ACCÈS AU DROIT ET À LA JUSTICE*</t>
    </r>
    <r>
      <rPr>
        <sz val="10"/>
        <rFont val="Arial"/>
        <family val="2"/>
      </rPr>
      <t xml:space="preserve">
</t>
    </r>
    <r>
      <rPr>
        <b/>
        <sz val="10"/>
        <color rgb="FF0070C0"/>
        <rFont val="Arial"/>
        <family val="2"/>
      </rPr>
      <t>(Pour fonction recodée =Fonctionnaire A-B-CBUR placé SUB)</t>
    </r>
    <r>
      <rPr>
        <sz val="10"/>
        <color rgb="FF0070C0"/>
        <rFont val="Arial"/>
        <family val="2"/>
      </rPr>
      <t xml:space="preserve">
</t>
    </r>
    <r>
      <rPr>
        <sz val="10"/>
        <rFont val="Arial"/>
        <family val="2"/>
      </rPr>
      <t xml:space="preserve">
</t>
    </r>
    <r>
      <rPr>
        <b/>
        <sz val="10"/>
        <color rgb="FFFF0000"/>
        <rFont val="Arial"/>
        <family val="2"/>
      </rPr>
      <t>Critère sur le TJ OU CPH</t>
    </r>
    <r>
      <rPr>
        <sz val="10"/>
        <rFont val="Arial"/>
        <family val="2"/>
      </rPr>
      <t xml:space="preserve">
+ 
</t>
    </r>
    <r>
      <rPr>
        <b/>
        <sz val="10"/>
        <color rgb="FFFF0000"/>
        <rFont val="Arial"/>
        <family val="2"/>
      </rPr>
      <t xml:space="preserve">7. TOTAL SIÈGE PÉNAL + 11.10 AUTRES FONCTIONNAIRES AFFECTÉS AU PARQUET - 7.5. COUR D'ASSISES HORS JIRS - 7.51. COUR D'ASSISES JIRS - 7.52. COUR CRIMINELLE - 7.121. COLLÉGIALES JIRS ÉCO-FI - 7.12. COLLÉGIALES JIRS CRIM-ORG - 7.122. COLLÉGIALES AUTRES SECTIONS SPÉCIALISÉES*
</t>
    </r>
    <r>
      <rPr>
        <sz val="10"/>
        <rFont val="Arial"/>
        <family val="2"/>
      </rPr>
      <t xml:space="preserve">
</t>
    </r>
    <r>
      <rPr>
        <b/>
        <sz val="10"/>
        <color rgb="FF0070C0"/>
        <rFont val="Arial"/>
        <family val="2"/>
      </rPr>
      <t>(Fonction recodée = fonctionnaire A-B-CBUR placé SUB)</t>
    </r>
    <r>
      <rPr>
        <sz val="10"/>
        <rFont val="Arial"/>
        <family val="2"/>
      </rPr>
      <t xml:space="preserve">
</t>
    </r>
    <r>
      <rPr>
        <b/>
        <sz val="10"/>
        <color rgb="FFFF0000"/>
        <rFont val="Arial"/>
        <family val="2"/>
      </rPr>
      <t xml:space="preserve">TJ et TPRX et CPH (pas de critère sur le TJ)
</t>
    </r>
    <r>
      <rPr>
        <sz val="10"/>
        <color rgb="FFFF0000"/>
        <rFont val="Arial"/>
        <family val="2"/>
      </rPr>
      <t xml:space="preserve">
*figurant dans l'onglet ETPT A-JUST</t>
    </r>
  </si>
  <si>
    <t>Attachés de justice parquet affectés aux assises</t>
  </si>
  <si>
    <t>Attachés de justice parquet affectés aux CDD</t>
  </si>
  <si>
    <t>ATT J</t>
  </si>
  <si>
    <t>JA/AttJ Siège autres</t>
  </si>
  <si>
    <r>
      <t xml:space="preserve">1. TOTAL CONTENTIEUX SOCIAL + 2. TOTAL CONTENTIEUX JAF + 3. TOTAL CONTENTIEUX DE LA PROTECTION + 4. TOTAL CIVIL NON SPÉCIALISÉ + + 5. TOTAL JLD CIVIL + 11.7. FONCTIONNAIRES AFFECTÉS AU CPH
</t>
    </r>
    <r>
      <rPr>
        <b/>
        <sz val="10"/>
        <color rgb="FF0070C0"/>
        <rFont val="Arial"/>
        <family val="2"/>
      </rPr>
      <t>Fonction recodée = Att.J/JA PARQUET + Att.J/JA SIEGE AUTRES + Att.J/JA JAP + Att.J/JA JE + Att.J/JA JI + Att.J/AJ JLD PENAL + Att.J SIEGE ASSISES + Att.J SIEGE CCD</t>
    </r>
    <r>
      <rPr>
        <sz val="10"/>
        <color theme="1"/>
        <rFont val="Arial"/>
        <family val="2"/>
      </rPr>
      <t xml:space="preserve">
</t>
    </r>
    <r>
      <rPr>
        <b/>
        <sz val="10"/>
        <color indexed="2"/>
        <rFont val="Arial"/>
        <family val="2"/>
      </rPr>
      <t xml:space="preserve">
Critère sur le TJ ou le TPROX ou le CPH</t>
    </r>
  </si>
  <si>
    <t>7. TOTAL SIÈGE PÉNAL
Fonction recodée = Att.J/JA PARQUET + Att.J/JA SIEGE AUTRES + Att.J/JA JAP + Att.J/JA JE + Att.J/JA JI + Att.J/AJ JLD PENAL + Att.J SIEGE ASSISES + Att.J SIEGE CCD
Critère sur le TJ ou le TPROX ou le CPH</t>
  </si>
  <si>
    <r>
      <t xml:space="preserve">11.51. ACCUEIL DU JUSTICIABLE (DONT SAUJ)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</si>
  <si>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r>
      <t xml:space="preserve">11.1. SOUTIEN (HORS FORMATIONS SUIVIES) + 11.2. FORMATIONS SUIVIES + 11.6. AUTRES ACTIVITÉS NON JURIDICTIONNELLES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</si>
  <si>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r>
      <t xml:space="preserve">11.3. FORMATIONS DISPENSÉES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</si>
  <si>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r>
      <t xml:space="preserve">11.4. ACCÈS AU DROIT ET À LA JUSTICE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</si>
  <si>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r>
      <t xml:space="preserve">12. TOTAL des INDISPONIBILITÉS relevant de l'action 99 - 12.5. MISE À DISPOSITION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</si>
  <si>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r>
      <t xml:space="preserve">12.5. MISE À DISPOSITION + 13. TOTAL CONTENTIEUX LOCAUX SPÉCIFIQUES
</t>
    </r>
    <r>
      <rPr>
        <b/>
        <sz val="10"/>
        <color rgb="FF0070C0"/>
        <rFont val="Arial"/>
        <family val="2"/>
      </rPr>
      <t xml:space="preserve">Fonction recodée = Att.J/JA SIEGE AUTRES </t>
    </r>
    <r>
      <rPr>
        <sz val="10"/>
        <color theme="1"/>
        <rFont val="Arial"/>
        <family val="2"/>
      </rPr>
      <t xml:space="preserve">
</t>
    </r>
    <r>
      <rPr>
        <b/>
        <sz val="10"/>
        <color indexed="2"/>
        <rFont val="Arial"/>
        <family val="2"/>
      </rPr>
      <t>Critère sur le TJ ou le TPROX ou le CPH</t>
    </r>
  </si>
  <si>
    <t>ETPT attachés de justice au parquet</t>
  </si>
  <si>
    <t>Attachés de justice siège affectés aux CCD</t>
  </si>
  <si>
    <t>7.52 COUR CRIM
Fonction recodée = Att.J/JA PARQUET + Att.J/JA SIEGE AUTRES + Att.J/JA JAP + Att.J/JA JE + Att.J/JA JI + Att.J/AJ JLD PENAL + Att.J SIEGE ASSISES + Att.J SIEGE CCD
Critère sur le TJ ou le TPROX ou le CPH</t>
  </si>
  <si>
    <r>
      <t xml:space="preserve">11.51. ACCUEIL DU JUSTICIABLE (DONT SAUJ)
</t>
    </r>
    <r>
      <rPr>
        <b/>
        <sz val="10"/>
        <color rgb="FF0070C0"/>
        <rFont val="Arial"/>
        <family val="2"/>
      </rPr>
      <t>Fonction recodée = Att.J/JA SIEGE ASSISES</t>
    </r>
    <r>
      <rPr>
        <sz val="10"/>
        <color theme="1"/>
        <rFont val="Arial"/>
        <family val="2"/>
      </rPr>
      <t xml:space="preserve">
</t>
    </r>
    <r>
      <rPr>
        <b/>
        <sz val="10"/>
        <color indexed="2"/>
        <rFont val="Arial"/>
        <family val="2"/>
      </rPr>
      <t>Critère sur le TJ ou le TPROX ou le CPH</t>
    </r>
  </si>
  <si>
    <r>
      <t xml:space="preserve">11.51. ACCUEIL DU JUSTICIABLE (DONT SAUJ)
</t>
    </r>
    <r>
      <rPr>
        <b/>
        <sz val="10"/>
        <color rgb="FF0070C0"/>
        <rFont val="Arial"/>
        <family val="2"/>
      </rPr>
      <t>Fonction recodée = Att.J/JA SIEGE CCD</t>
    </r>
    <r>
      <rPr>
        <sz val="10"/>
        <color theme="1"/>
        <rFont val="Arial"/>
        <family val="2"/>
      </rPr>
      <t xml:space="preserve">
</t>
    </r>
    <r>
      <rPr>
        <b/>
        <sz val="10"/>
        <color indexed="2"/>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</si>
  <si>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SIEGE ASSISES</t>
    </r>
    <r>
      <rPr>
        <sz val="10"/>
        <color theme="1"/>
        <rFont val="Arial"/>
        <family val="2"/>
      </rPr>
      <t xml:space="preserve">
</t>
    </r>
    <r>
      <rPr>
        <b/>
        <sz val="10"/>
        <color indexed="2"/>
        <rFont val="Arial"/>
        <family val="2"/>
      </rPr>
      <t>Critère sur le TJ ou le TPROX ou le CPH</t>
    </r>
  </si>
  <si>
    <r>
      <t xml:space="preserve">11.1. SOUTIEN (HORS FORMATIONS SUIVIES) + 11.2. FORMATIONS SUIVIES + 11.6. AUTRES ACTIVITÉS NON JURIDICTIONNELLES
</t>
    </r>
    <r>
      <rPr>
        <b/>
        <sz val="10"/>
        <color rgb="FF0070C0"/>
        <rFont val="Arial"/>
        <family val="2"/>
      </rPr>
      <t>Fonction recodée = Att.J/JA SIEGE CCD</t>
    </r>
    <r>
      <rPr>
        <sz val="10"/>
        <color theme="1"/>
        <rFont val="Arial"/>
        <family val="2"/>
      </rPr>
      <t xml:space="preserve">
</t>
    </r>
    <r>
      <rPr>
        <b/>
        <sz val="10"/>
        <color indexed="2"/>
        <rFont val="Arial"/>
        <family val="2"/>
      </rPr>
      <t>Critère sur le TJ ou le TPROX ou le CPH</t>
    </r>
  </si>
  <si>
    <r>
      <t xml:space="preserve">11.3. FORMATIONS DISPENSÉES
</t>
    </r>
    <r>
      <rPr>
        <b/>
        <sz val="10"/>
        <color rgb="FF0070C0"/>
        <rFont val="Arial"/>
        <family val="2"/>
      </rPr>
      <t xml:space="preserve">Fonction recodée = Att.J/JA SIEGE ASSISES </t>
    </r>
    <r>
      <rPr>
        <sz val="10"/>
        <color theme="1"/>
        <rFont val="Arial"/>
        <family val="2"/>
      </rPr>
      <t xml:space="preserve">
</t>
    </r>
    <r>
      <rPr>
        <b/>
        <sz val="10"/>
        <color indexed="2"/>
        <rFont val="Arial"/>
        <family val="2"/>
      </rPr>
      <t>Critère sur le TJ ou le TPROX ou le CPH</t>
    </r>
  </si>
  <si>
    <r>
      <t xml:space="preserve">11.3. FORMATIONS DISPENSÉES
</t>
    </r>
    <r>
      <rPr>
        <b/>
        <sz val="10"/>
        <color rgb="FF0070C0"/>
        <rFont val="Arial"/>
        <family val="2"/>
      </rPr>
      <t>Fonction recodée = Att.J/JA SIEGE CCD</t>
    </r>
    <r>
      <rPr>
        <sz val="10"/>
        <color theme="1"/>
        <rFont val="Arial"/>
        <family val="2"/>
      </rPr>
      <t xml:space="preserve">
</t>
    </r>
    <r>
      <rPr>
        <b/>
        <sz val="10"/>
        <color indexed="2"/>
        <rFont val="Arial"/>
        <family val="2"/>
      </rPr>
      <t>Critère sur le TJ ou le TPROX ou le CPH</t>
    </r>
  </si>
  <si>
    <r>
      <t xml:space="preserve">11.4. ACCÈS AU DROIT ET À LA JUSTICE
</t>
    </r>
    <r>
      <rPr>
        <b/>
        <sz val="10"/>
        <color rgb="FF0070C0"/>
        <rFont val="Arial"/>
        <family val="2"/>
      </rPr>
      <t>Fonction recodée = Att.J/JA SIEGE ASSISES</t>
    </r>
    <r>
      <rPr>
        <sz val="10"/>
        <color theme="1"/>
        <rFont val="Arial"/>
        <family val="2"/>
      </rPr>
      <t xml:space="preserve">
</t>
    </r>
    <r>
      <rPr>
        <b/>
        <sz val="10"/>
        <color indexed="2"/>
        <rFont val="Arial"/>
        <family val="2"/>
      </rPr>
      <t>Critère sur le TJ ou le TPROX ou le CPH</t>
    </r>
  </si>
  <si>
    <r>
      <t xml:space="preserve">11.4. ACCÈS AU DROIT ET À LA JUSTICE
</t>
    </r>
    <r>
      <rPr>
        <b/>
        <sz val="10"/>
        <color rgb="FF0070C0"/>
        <rFont val="Arial"/>
        <family val="2"/>
      </rPr>
      <t xml:space="preserve">Fonction recodée = Att.J/JA SIEGE CCD
</t>
    </r>
    <r>
      <rPr>
        <b/>
        <sz val="10"/>
        <color indexed="2"/>
        <rFont val="Arial"/>
        <family val="2"/>
      </rPr>
      <t>Critère sur le TJ ou le TPROX ou le CPH</t>
    </r>
  </si>
  <si>
    <r>
      <t xml:space="preserve">12. TOTAL des INDISPONIBILITÉS relevant de l'action 99 - 12.5. MISE À DISPOSITION
</t>
    </r>
    <r>
      <rPr>
        <b/>
        <sz val="10"/>
        <color rgb="FF0070C0"/>
        <rFont val="Arial"/>
        <family val="2"/>
      </rPr>
      <t>Fonction recodée = Att.J/JA SIEGE ASSISES</t>
    </r>
    <r>
      <rPr>
        <sz val="10"/>
        <color theme="1"/>
        <rFont val="Arial"/>
        <family val="2"/>
      </rPr>
      <t xml:space="preserve">
</t>
    </r>
    <r>
      <rPr>
        <b/>
        <sz val="10"/>
        <color indexed="2"/>
        <rFont val="Arial"/>
        <family val="2"/>
      </rPr>
      <t>Critère sur le TJ ou le TPROX ou le CPH</t>
    </r>
  </si>
  <si>
    <r>
      <t xml:space="preserve">12. TOTAL des INDISPONIBILITÉS relevant de l'action 99 - 12.5. MISE À DISPOSITION
</t>
    </r>
    <r>
      <rPr>
        <b/>
        <sz val="10"/>
        <color rgb="FF0070C0"/>
        <rFont val="Arial"/>
        <family val="2"/>
      </rPr>
      <t>Fonction recodée = Att.J/JA SIEGE CCD</t>
    </r>
    <r>
      <rPr>
        <sz val="10"/>
        <color theme="1"/>
        <rFont val="Arial"/>
        <family val="2"/>
      </rPr>
      <t xml:space="preserve">
</t>
    </r>
    <r>
      <rPr>
        <b/>
        <sz val="10"/>
        <color indexed="2"/>
        <rFont val="Arial"/>
        <family val="2"/>
      </rPr>
      <t>Critère sur le TJ ou le TPROX ou le CPH</t>
    </r>
  </si>
  <si>
    <r>
      <t xml:space="preserve">12.5. MISE À DISPOSITION + 13. TOTAL CONTENTIEUX LOCAUX SPÉCIFIQUES
</t>
    </r>
    <r>
      <rPr>
        <b/>
        <sz val="10"/>
        <color rgb="FF0070C0"/>
        <rFont val="Arial"/>
        <family val="2"/>
      </rPr>
      <t>Fonction recodée = Att.J/JA SIEGE ASSISES</t>
    </r>
    <r>
      <rPr>
        <sz val="10"/>
        <color theme="1"/>
        <rFont val="Arial"/>
        <family val="2"/>
      </rPr>
      <t xml:space="preserve">
</t>
    </r>
    <r>
      <rPr>
        <b/>
        <sz val="10"/>
        <color indexed="2"/>
        <rFont val="Arial"/>
        <family val="2"/>
      </rPr>
      <t>Critère sur le TJ ou le TPROX ou le CPH</t>
    </r>
  </si>
  <si>
    <r>
      <t xml:space="preserve">12.5. MISE À DISPOSITION + 13. TOTAL CONTENTIEUX LOCAUX SPÉCIFIQUES
</t>
    </r>
    <r>
      <rPr>
        <b/>
        <sz val="10"/>
        <color rgb="FF0070C0"/>
        <rFont val="Arial"/>
        <family val="2"/>
      </rPr>
      <t>Fonction recodée = Att.J/JA SIEGE CCD</t>
    </r>
    <r>
      <rPr>
        <sz val="10"/>
        <color theme="1"/>
        <rFont val="Arial"/>
        <family val="2"/>
      </rPr>
      <t xml:space="preserve">
</t>
    </r>
    <r>
      <rPr>
        <b/>
        <sz val="10"/>
        <color indexed="2"/>
        <rFont val="Arial"/>
        <family val="2"/>
      </rPr>
      <t>Critère sur le TJ ou le TPROX ou le CPH</t>
    </r>
  </si>
  <si>
    <t>Attachés de justice parquet affectés aux CCD</t>
  </si>
  <si>
    <t>ETPT attachés de justice affectés aux jap</t>
  </si>
  <si>
    <t>ETPT attachés de justice affectés aux je</t>
  </si>
  <si>
    <t>ETPT attachés de justice affectés aux juge d'instruction</t>
  </si>
  <si>
    <t>ETPT attachés de justice affectés aux jld pénal</t>
  </si>
  <si>
    <t>7.5. COUR D'ASSISES HORS JIRS +
7.51. COUR D'ASSISES JIRS
Fonction recodée = Att.J/JA PARQUET + Att.J/JA SIEGE AUTRES + Att.J/JA JAP + Att.J/JA JE + Att.J/JA JI + Att.J/AJ JLD PENAL + Att.J SIEGE ASSISES + Att.J SIEGE CCD
Critère sur le TJ ou le TPROX ou le CPH</t>
  </si>
  <si>
    <t>Fonctionnaires affectés aux fonctions JI, JE, JAP, JLD (pénal uniquement)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</si>
</sst>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_-;\-* #,##0.00_-;_-* &quot;-&quot;??_-;_-@_-"/>
    <numFmt numFmtId="166" formatCode="_-* #,##0.000_-;\-* #,##0.000_-;_-* &quot;-&quot;??_-;_-@_-"/>
    <numFmt numFmtId="167" formatCode="General;General;\-"/>
    <numFmt numFmtId="168" formatCode="0.###;0.###;\-"/>
    <numFmt numFmtId="169" formatCode="#,##0.00_ ;[Red]\-#,##0.00\ "/>
    <numFmt numFmtId="170" formatCode="0.0%"/>
    <numFmt numFmtId="171" formatCode="0.###"/>
  </numFmts>
  <fonts count="8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22"/>
      <color theme="0" tint="-4.9989318521683403E-2"/>
      <name val="Calibri"/>
      <family val="2"/>
      <scheme val="minor"/>
    </font>
    <font>
      <b/>
      <i/>
      <sz val="16"/>
      <color theme="0" tint="-4.9989318521683403E-2"/>
      <name val="Calibri"/>
      <family val="2"/>
      <scheme val="minor"/>
    </font>
    <font>
      <sz val="11"/>
      <color theme="0"/>
      <name val="Calibri"/>
      <family val="2"/>
      <scheme val="minor"/>
    </font>
    <font>
      <sz val="11"/>
      <color theme="1"/>
      <name val="Calibri"/>
      <family val="2"/>
      <scheme val="minor"/>
    </font>
    <font>
      <sz val="8"/>
      <color theme="1"/>
      <name val="Calibri"/>
      <family val="2"/>
      <scheme val="minor"/>
    </font>
    <font>
      <b/>
      <sz val="12"/>
      <color theme="0"/>
      <name val="Calibri"/>
      <family val="2"/>
      <scheme val="minor"/>
    </font>
    <font>
      <b/>
      <sz val="14"/>
      <color theme="1"/>
      <name val="Calibri"/>
      <family val="2"/>
      <scheme val="minor"/>
    </font>
    <font>
      <sz val="12"/>
      <color rgb="FFFF0000"/>
      <name val="Calibri"/>
      <family val="2"/>
      <scheme val="minor"/>
    </font>
    <font>
      <b/>
      <sz val="12"/>
      <color rgb="FFFF0000"/>
      <name val="Calibri"/>
      <family val="2"/>
      <scheme val="minor"/>
    </font>
    <font>
      <sz val="10"/>
      <color theme="1"/>
      <name val="Arial"/>
      <family val="2"/>
    </font>
    <font>
      <sz val="10"/>
      <color rgb="FF860000"/>
      <name val="Arial"/>
      <family val="2"/>
    </font>
    <font>
      <b/>
      <sz val="10"/>
      <color theme="1"/>
      <name val="Arial"/>
      <family val="2"/>
    </font>
    <font>
      <sz val="11"/>
      <color rgb="FFFF0000"/>
      <name val="Calibri"/>
      <family val="2"/>
      <scheme val="minor"/>
    </font>
    <font>
      <sz val="9"/>
      <color rgb="FF333333"/>
      <name val="Arial"/>
      <family val="2"/>
    </font>
    <font>
      <b/>
      <sz val="7"/>
      <color rgb="FF000000"/>
      <name val="Arial"/>
      <family val="2"/>
    </font>
    <font>
      <b/>
      <u/>
      <sz val="7"/>
      <color rgb="FF000000"/>
      <name val="Arial"/>
      <family val="2"/>
    </font>
    <font>
      <sz val="7"/>
      <color rgb="FF000000"/>
      <name val="Arial"/>
      <family val="2"/>
    </font>
    <font>
      <sz val="7"/>
      <name val="Arial"/>
      <family val="2"/>
    </font>
    <font>
      <sz val="7"/>
      <color rgb="FFFF0000"/>
      <name val="Arial"/>
      <family val="2"/>
    </font>
    <font>
      <b/>
      <sz val="7"/>
      <name val="Arial"/>
      <family val="2"/>
    </font>
    <font>
      <b/>
      <sz val="7"/>
      <color rgb="FFFF0000"/>
      <name val="Arial"/>
      <family val="2"/>
    </font>
    <font>
      <b/>
      <sz val="7"/>
      <color rgb="FF333333"/>
      <name val="Arial"/>
      <family val="2"/>
    </font>
    <font>
      <b/>
      <sz val="8"/>
      <color rgb="FFFF0000"/>
      <name val="Arial"/>
      <family val="2"/>
    </font>
    <font>
      <b/>
      <sz val="8"/>
      <color rgb="FF333333"/>
      <name val="Arial"/>
      <family val="2"/>
    </font>
    <font>
      <b/>
      <sz val="8"/>
      <color rgb="FF000000"/>
      <name val="Arial"/>
      <family val="2"/>
    </font>
    <font>
      <sz val="8"/>
      <color rgb="FF000000"/>
      <name val="Arial"/>
      <family val="2"/>
    </font>
    <font>
      <sz val="7"/>
      <color rgb="FF333333"/>
      <name val="Arial"/>
      <family val="2"/>
    </font>
    <font>
      <sz val="8"/>
      <color rgb="FF333333"/>
      <name val="Arial"/>
      <family val="2"/>
    </font>
    <font>
      <b/>
      <sz val="9"/>
      <color rgb="FF333333"/>
      <name val="Arial"/>
      <family val="2"/>
    </font>
    <font>
      <sz val="7"/>
      <color theme="0"/>
      <name val="Arial"/>
      <family val="2"/>
    </font>
    <font>
      <b/>
      <sz val="12"/>
      <color theme="1"/>
      <name val="Calibri"/>
      <family val="2"/>
      <scheme val="minor"/>
    </font>
    <font>
      <b/>
      <sz val="22"/>
      <color theme="0"/>
      <name val="Calibri"/>
      <family val="2"/>
      <scheme val="minor"/>
    </font>
    <font>
      <sz val="10"/>
      <color theme="1"/>
      <name val="Calibri"/>
      <family val="2"/>
      <scheme val="minor"/>
    </font>
    <font>
      <sz val="10"/>
      <color theme="0"/>
      <name val="Calibri"/>
      <family val="2"/>
      <scheme val="minor"/>
    </font>
    <font>
      <b/>
      <sz val="7"/>
      <color theme="1"/>
      <name val="Arial"/>
      <family val="2"/>
    </font>
    <font>
      <u/>
      <sz val="11"/>
      <color theme="4"/>
      <name val="Calibri"/>
      <family val="2"/>
      <scheme val="minor"/>
    </font>
    <font>
      <b/>
      <sz val="11"/>
      <color theme="0"/>
      <name val="Calibri"/>
      <family val="2"/>
      <scheme val="minor"/>
    </font>
    <font>
      <b/>
      <sz val="12"/>
      <color rgb="FF860000"/>
      <name val="Calibri"/>
      <family val="2"/>
      <scheme val="minor"/>
    </font>
    <font>
      <b/>
      <sz val="12"/>
      <color rgb="FF2D46E0"/>
      <name val="Calibri"/>
      <family val="2"/>
      <scheme val="minor"/>
    </font>
    <font>
      <b/>
      <sz val="12"/>
      <color theme="5"/>
      <name val="Calibri"/>
      <family val="2"/>
      <scheme val="minor"/>
    </font>
    <font>
      <b/>
      <sz val="7"/>
      <color rgb="FF0070C0"/>
      <name val="Arial"/>
      <family val="2"/>
    </font>
    <font>
      <sz val="7"/>
      <color rgb="FF0070C0"/>
      <name val="Arial"/>
      <family val="2"/>
    </font>
    <font>
      <b/>
      <sz val="10"/>
      <color rgb="FF333333"/>
      <name val="Arial"/>
      <family val="2"/>
    </font>
    <font>
      <sz val="10"/>
      <color rgb="FF333333"/>
      <name val="Arial"/>
      <family val="2"/>
    </font>
    <font>
      <b/>
      <sz val="10"/>
      <color rgb="FF000000"/>
      <name val="Arial"/>
      <family val="2"/>
    </font>
    <font>
      <b/>
      <u/>
      <sz val="10"/>
      <color rgb="FF000000"/>
      <name val="Arial"/>
      <family val="2"/>
    </font>
    <font>
      <b/>
      <sz val="10"/>
      <name val="Arial"/>
      <family val="2"/>
    </font>
    <font>
      <sz val="10"/>
      <color rgb="FF000000"/>
      <name val="Arial"/>
      <family val="2"/>
    </font>
    <font>
      <sz val="10"/>
      <name val="Arial"/>
      <family val="2"/>
    </font>
    <font>
      <b/>
      <sz val="10"/>
      <color rgb="FFFF0000"/>
      <name val="Arial"/>
      <family val="2"/>
    </font>
    <font>
      <sz val="10"/>
      <color rgb="FFFF0000"/>
      <name val="Arial"/>
      <family val="2"/>
    </font>
    <font>
      <b/>
      <u/>
      <sz val="10"/>
      <name val="Arial"/>
      <family val="2"/>
    </font>
    <font>
      <i/>
      <sz val="11"/>
      <color theme="1"/>
      <name val="Calibri"/>
      <family val="2"/>
      <scheme val="minor"/>
    </font>
    <font>
      <sz val="7"/>
      <color rgb="FFFFFF00"/>
      <name val="Arial"/>
      <family val="2"/>
    </font>
    <font>
      <sz val="9"/>
      <color theme="1"/>
      <name val="Arial"/>
      <family val="2"/>
    </font>
    <font>
      <b/>
      <sz val="10"/>
      <color rgb="FF0070C0"/>
      <name val="Arial"/>
      <family val="2"/>
    </font>
    <font>
      <b/>
      <sz val="10"/>
      <color rgb="FFFF0000"/>
      <name val="Calibri"/>
      <family val="2"/>
      <scheme val="minor"/>
    </font>
    <font>
      <sz val="11"/>
      <color rgb="FF000000"/>
      <name val="Calibri"/>
      <family val="2"/>
      <scheme val="minor"/>
    </font>
    <font>
      <sz val="8"/>
      <name val="Calibri"/>
      <family val="2"/>
      <scheme val="minor"/>
    </font>
    <font>
      <b/>
      <sz val="11"/>
      <color rgb="FFFF0000"/>
      <name val="Calibri"/>
      <family val="2"/>
      <scheme val="minor"/>
    </font>
    <font>
      <b/>
      <sz val="14"/>
      <color rgb="FFFF0000"/>
      <name val="Calibri (Corps)"/>
    </font>
    <font>
      <b/>
      <sz val="10"/>
      <color rgb="FF002060"/>
      <name val="Arial"/>
      <family val="2"/>
    </font>
    <font>
      <sz val="10"/>
      <color rgb="FF002060"/>
      <name val="Arial"/>
      <family val="2"/>
    </font>
    <font>
      <sz val="11"/>
      <color rgb="FF002060"/>
      <name val="Arial"/>
      <family val="2"/>
    </font>
    <font>
      <sz val="10"/>
      <color rgb="FF0070C0"/>
      <name val="Arial"/>
      <family val="2"/>
    </font>
    <font>
      <u/>
      <sz val="10"/>
      <name val="Arial"/>
      <family val="2"/>
    </font>
    <font>
      <b/>
      <u/>
      <sz val="10"/>
      <color rgb="FFFF0000"/>
      <name val="Arial"/>
      <family val="2"/>
    </font>
    <font>
      <b/>
      <sz val="7"/>
      <color rgb="FFFF66CC"/>
      <name val="Arial"/>
      <family val="2"/>
    </font>
    <font>
      <sz val="7"/>
      <color theme="1"/>
      <name val="Arial"/>
      <family val="2"/>
    </font>
    <font>
      <b/>
      <sz val="7"/>
      <color theme="8" tint="-0.249977111117893"/>
      <name val="Arial"/>
      <family val="2"/>
    </font>
    <font>
      <b/>
      <sz val="7"/>
      <color rgb="FF860000"/>
      <name val="Arial"/>
      <family val="2"/>
    </font>
    <font>
      <sz val="7"/>
      <color theme="1"/>
      <name val="Calibri"/>
      <family val="2"/>
      <scheme val="minor"/>
    </font>
    <font>
      <sz val="8"/>
      <name val="Arial"/>
      <family val="2"/>
    </font>
    <font>
      <sz val="8"/>
      <color rgb="FFFF0000"/>
      <name val="Arial"/>
      <family val="2"/>
    </font>
    <font>
      <b/>
      <sz val="10"/>
      <color indexed="2"/>
      <name val="Arial"/>
      <family val="2"/>
    </font>
  </fonts>
  <fills count="34">
    <fill>
      <patternFill patternType="none"/>
    </fill>
    <fill>
      <patternFill patternType="gray125"/>
    </fill>
    <fill>
      <patternFill patternType="solid">
        <fgColor theme="3" tint="0.59999389629810485"/>
        <bgColor indexed="64"/>
      </patternFill>
    </fill>
    <fill>
      <patternFill patternType="solid">
        <fgColor theme="3" tint="-0.249977111117893"/>
        <bgColor indexed="64"/>
      </patternFill>
    </fill>
    <fill>
      <patternFill patternType="solid">
        <fgColor theme="1" tint="0.3499862666707357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FF"/>
        <bgColor rgb="FFFFFFFF"/>
      </patternFill>
    </fill>
    <fill>
      <patternFill patternType="solid">
        <fgColor rgb="FFCCFFFF"/>
        <bgColor rgb="FFFFFFFF"/>
      </patternFill>
    </fill>
    <fill>
      <patternFill patternType="solid">
        <fgColor rgb="FFCEFFFF"/>
        <bgColor rgb="FFFFFFFF"/>
      </patternFill>
    </fill>
    <fill>
      <patternFill patternType="solid">
        <fgColor theme="1" tint="0.249977111117893"/>
        <bgColor rgb="FFFFFFFF"/>
      </patternFill>
    </fill>
    <fill>
      <patternFill patternType="solid">
        <fgColor rgb="FF92D050"/>
        <bgColor rgb="FFFFFFFF"/>
      </patternFill>
    </fill>
    <fill>
      <patternFill patternType="solid">
        <fgColor theme="9" tint="0.79998168889431442"/>
        <bgColor rgb="FFFFFFFF"/>
      </patternFill>
    </fill>
    <fill>
      <patternFill patternType="solid">
        <fgColor theme="5" tint="0.79998168889431442"/>
        <bgColor rgb="FFFFFFFF"/>
      </patternFill>
    </fill>
    <fill>
      <patternFill patternType="solid">
        <fgColor theme="4" tint="0.79998168889431442"/>
        <bgColor rgb="FFFFFFFF"/>
      </patternFill>
    </fill>
    <fill>
      <patternFill patternType="solid">
        <fgColor rgb="FFFFC000"/>
        <bgColor rgb="FFFFFFFF"/>
      </patternFill>
    </fill>
    <fill>
      <patternFill patternType="solid">
        <fgColor rgb="FFFCFDFD"/>
        <bgColor rgb="FFFFFFFF"/>
      </patternFill>
    </fill>
    <fill>
      <patternFill patternType="solid">
        <fgColor theme="5"/>
        <bgColor rgb="FFFFFFFF"/>
      </patternFill>
    </fill>
    <fill>
      <patternFill patternType="solid">
        <fgColor rgb="FF333F4F"/>
        <bgColor indexed="64"/>
      </patternFill>
    </fill>
    <fill>
      <patternFill patternType="solid">
        <fgColor rgb="FFE64B85"/>
        <bgColor indexed="64"/>
      </patternFill>
    </fill>
    <fill>
      <patternFill patternType="solid">
        <fgColor rgb="FF2D46E0"/>
        <bgColor indexed="64"/>
      </patternFill>
    </fill>
    <fill>
      <patternFill patternType="solid">
        <fgColor rgb="FF0B0B97"/>
        <bgColor indexed="64"/>
      </patternFill>
    </fill>
    <fill>
      <patternFill patternType="solid">
        <fgColor rgb="FFFF0000"/>
        <bgColor indexed="64"/>
      </patternFill>
    </fill>
    <fill>
      <patternFill patternType="solid">
        <fgColor rgb="FFF7F02D"/>
        <bgColor indexed="64"/>
      </patternFill>
    </fill>
    <fill>
      <patternFill patternType="solid">
        <fgColor rgb="FF00B252"/>
        <bgColor indexed="64"/>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0070C0"/>
        <bgColor indexed="64"/>
      </patternFill>
    </fill>
    <fill>
      <patternFill patternType="solid">
        <fgColor theme="1" tint="0.249977111117893"/>
        <bgColor indexed="64"/>
      </patternFill>
    </fill>
    <fill>
      <patternFill patternType="solid">
        <fgColor rgb="FFCCFFFF"/>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CCB1EE"/>
        <bgColor indexed="64"/>
      </patternFill>
    </fill>
  </fills>
  <borders count="37">
    <border>
      <left/>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333F4F"/>
      </left>
      <right/>
      <top style="medium">
        <color rgb="FF333F4F"/>
      </top>
      <bottom style="medium">
        <color rgb="FF333F4F"/>
      </bottom>
      <diagonal/>
    </border>
    <border>
      <left/>
      <right/>
      <top style="medium">
        <color rgb="FF333F4F"/>
      </top>
      <bottom style="medium">
        <color rgb="FF333F4F"/>
      </bottom>
      <diagonal/>
    </border>
    <border>
      <left/>
      <right/>
      <top style="medium">
        <color rgb="FF333F4F"/>
      </top>
      <bottom/>
      <diagonal/>
    </border>
    <border>
      <left/>
      <right style="medium">
        <color rgb="FF333F4F"/>
      </right>
      <top style="medium">
        <color rgb="FF333F4F"/>
      </top>
      <bottom/>
      <diagonal/>
    </border>
    <border>
      <left style="medium">
        <color rgb="FF333F4F"/>
      </left>
      <right/>
      <top/>
      <bottom style="thin">
        <color rgb="FF333F4F"/>
      </bottom>
      <diagonal/>
    </border>
    <border>
      <left/>
      <right/>
      <top/>
      <bottom style="thin">
        <color rgb="FF333F4F"/>
      </bottom>
      <diagonal/>
    </border>
    <border>
      <left style="medium">
        <color rgb="FF333F4F"/>
      </left>
      <right/>
      <top style="thin">
        <color rgb="FF333F4F"/>
      </top>
      <bottom style="thin">
        <color rgb="FF333F4F"/>
      </bottom>
      <diagonal/>
    </border>
    <border>
      <left/>
      <right/>
      <top style="thin">
        <color rgb="FF333F4F"/>
      </top>
      <bottom style="thin">
        <color rgb="FF333F4F"/>
      </bottom>
      <diagonal/>
    </border>
    <border>
      <left style="medium">
        <color rgb="FF333F4F"/>
      </left>
      <right/>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rgb="FF333F4F"/>
      </left>
      <right/>
      <top/>
      <bottom style="medium">
        <color rgb="FF333F4F"/>
      </bottom>
      <diagonal/>
    </border>
    <border>
      <left/>
      <right/>
      <top/>
      <bottom style="medium">
        <color rgb="FF333F4F"/>
      </bottom>
      <diagonal/>
    </border>
    <border>
      <left style="medium">
        <color indexed="64"/>
      </left>
      <right/>
      <top/>
      <bottom/>
      <diagonal/>
    </border>
    <border>
      <left/>
      <right/>
      <top style="thin">
        <color rgb="FF333F4F"/>
      </top>
      <bottom/>
      <diagonal/>
    </border>
    <border>
      <left/>
      <right style="medium">
        <color rgb="FF333F4F"/>
      </right>
      <top style="medium">
        <color rgb="FF333F4F"/>
      </top>
      <bottom style="medium">
        <color rgb="FF333F4F"/>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style="thin">
        <color rgb="FF000000"/>
      </right>
      <top/>
      <bottom/>
      <diagonal/>
    </border>
  </borders>
  <cellStyleXfs count="6">
    <xf numFmtId="0" fontId="0" fillId="0" borderId="0"/>
    <xf numFmtId="0" fontId="6" fillId="0" borderId="0"/>
    <xf numFmtId="165" fontId="6" fillId="0" borderId="0" applyFont="0" applyFill="0" applyBorder="0" applyAlignment="0" applyProtection="0"/>
    <xf numFmtId="164" fontId="11" fillId="0" borderId="0" applyFont="0" applyFill="0" applyBorder="0" applyAlignment="0" applyProtection="0"/>
    <xf numFmtId="0" fontId="5" fillId="0" borderId="0"/>
    <xf numFmtId="165" fontId="5" fillId="0" borderId="0" applyFont="0" applyFill="0" applyBorder="0" applyAlignment="0" applyProtection="0"/>
  </cellStyleXfs>
  <cellXfs count="446">
    <xf numFmtId="0" fontId="0" fillId="0" borderId="0" xfId="0"/>
    <xf numFmtId="0" fontId="0" fillId="0" borderId="0" xfId="0" applyAlignment="1">
      <alignment horizontal="right"/>
    </xf>
    <xf numFmtId="0" fontId="0" fillId="0" borderId="0" xfId="0" applyAlignment="1">
      <alignment horizontal="center"/>
    </xf>
    <xf numFmtId="0" fontId="8"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xf>
    <xf numFmtId="0" fontId="9" fillId="3" borderId="0" xfId="0" applyFont="1" applyFill="1" applyAlignment="1">
      <alignment horizontal="right"/>
    </xf>
    <xf numFmtId="0" fontId="0" fillId="3" borderId="0" xfId="0" applyFill="1" applyAlignment="1">
      <alignment horizontal="center" vertical="center"/>
    </xf>
    <xf numFmtId="0" fontId="10" fillId="0" borderId="0" xfId="0" applyFont="1" applyAlignment="1">
      <alignment vertical="center"/>
    </xf>
    <xf numFmtId="0" fontId="11" fillId="0" borderId="0" xfId="0" applyFont="1" applyAlignment="1">
      <alignment vertical="center" wrapText="1"/>
    </xf>
    <xf numFmtId="0" fontId="11" fillId="0" borderId="0" xfId="0" applyFont="1" applyAlignment="1">
      <alignment horizontal="left" vertical="center" wrapText="1"/>
    </xf>
    <xf numFmtId="166" fontId="7" fillId="0" borderId="3" xfId="3" applyNumberFormat="1" applyFont="1" applyBorder="1" applyAlignment="1">
      <alignment horizontal="center" vertical="center" wrapText="1"/>
    </xf>
    <xf numFmtId="166" fontId="7" fillId="0" borderId="4" xfId="3" applyNumberFormat="1" applyFont="1" applyBorder="1" applyAlignment="1">
      <alignment horizontal="center" vertical="center" wrapText="1"/>
    </xf>
    <xf numFmtId="0" fontId="11" fillId="0" borderId="0" xfId="0" applyFont="1" applyAlignment="1">
      <alignment vertical="center"/>
    </xf>
    <xf numFmtId="0" fontId="12" fillId="4" borderId="0" xfId="0" applyFont="1" applyFill="1" applyAlignment="1">
      <alignment wrapText="1"/>
    </xf>
    <xf numFmtId="0" fontId="12" fillId="4" borderId="0" xfId="0" applyFont="1" applyFill="1" applyAlignment="1">
      <alignment horizontal="center" vertical="center"/>
    </xf>
    <xf numFmtId="0" fontId="0" fillId="5" borderId="0" xfId="0" applyFill="1" applyAlignment="1">
      <alignment horizontal="left"/>
    </xf>
    <xf numFmtId="0" fontId="7" fillId="5" borderId="0" xfId="0" applyFont="1" applyFill="1" applyAlignment="1">
      <alignment horizontal="left"/>
    </xf>
    <xf numFmtId="166" fontId="7" fillId="0" borderId="0" xfId="3" applyNumberFormat="1" applyFont="1" applyBorder="1" applyAlignment="1">
      <alignment horizontal="center" vertical="center"/>
    </xf>
    <xf numFmtId="166" fontId="7" fillId="0" borderId="1" xfId="3" applyNumberFormat="1" applyFont="1" applyBorder="1" applyAlignment="1">
      <alignment horizontal="center" vertical="center"/>
    </xf>
    <xf numFmtId="0" fontId="7" fillId="6" borderId="6" xfId="0" applyFont="1" applyFill="1" applyBorder="1" applyAlignment="1">
      <alignment horizontal="center" vertical="center" wrapText="1"/>
    </xf>
    <xf numFmtId="0" fontId="0" fillId="0" borderId="0" xfId="0" applyAlignment="1">
      <alignment wrapText="1"/>
    </xf>
    <xf numFmtId="0" fontId="7" fillId="2" borderId="0" xfId="0" applyFont="1" applyFill="1" applyAlignment="1">
      <alignment horizontal="center" vertical="center" wrapText="1"/>
    </xf>
    <xf numFmtId="167" fontId="0" fillId="0" borderId="0" xfId="0" applyNumberFormat="1"/>
    <xf numFmtId="0" fontId="0" fillId="6" borderId="0" xfId="0" applyFill="1" applyAlignment="1">
      <alignment horizontal="center" vertical="center"/>
    </xf>
    <xf numFmtId="168" fontId="0" fillId="0" borderId="0" xfId="0" applyNumberFormat="1" applyAlignment="1">
      <alignment horizontal="left" vertical="top"/>
    </xf>
    <xf numFmtId="0" fontId="0" fillId="0" borderId="0" xfId="0" applyAlignment="1">
      <alignment vertical="center" wrapText="1"/>
    </xf>
    <xf numFmtId="0" fontId="10" fillId="0" borderId="0" xfId="0" applyFont="1"/>
    <xf numFmtId="166" fontId="7" fillId="0" borderId="4" xfId="0" applyNumberFormat="1" applyFont="1" applyBorder="1" applyAlignment="1">
      <alignment horizontal="center" vertical="center" wrapText="1"/>
    </xf>
    <xf numFmtId="0" fontId="17" fillId="0" borderId="0" xfId="4" applyFont="1" applyProtection="1">
      <protection hidden="1"/>
    </xf>
    <xf numFmtId="0" fontId="18" fillId="0" borderId="0" xfId="4" applyFont="1" applyProtection="1">
      <protection locked="0"/>
    </xf>
    <xf numFmtId="49" fontId="18" fillId="0" borderId="0" xfId="4" applyNumberFormat="1" applyFont="1" applyAlignment="1" applyProtection="1">
      <alignment horizontal="left" vertical="center"/>
      <protection locked="0"/>
    </xf>
    <xf numFmtId="0" fontId="18" fillId="0" borderId="0" xfId="4" applyFont="1" applyAlignment="1" applyProtection="1">
      <alignment horizontal="left" vertical="center"/>
      <protection locked="0"/>
    </xf>
    <xf numFmtId="0" fontId="17" fillId="0" borderId="0" xfId="4" applyFont="1" applyAlignment="1" applyProtection="1">
      <alignment horizontal="left"/>
      <protection hidden="1"/>
    </xf>
    <xf numFmtId="0" fontId="19" fillId="0" borderId="0" xfId="4" applyFont="1" applyAlignment="1" applyProtection="1">
      <alignment horizontal="left"/>
      <protection hidden="1"/>
    </xf>
    <xf numFmtId="0" fontId="11" fillId="0" borderId="0" xfId="4" applyFont="1" applyAlignment="1">
      <alignment vertical="center" wrapText="1"/>
    </xf>
    <xf numFmtId="0" fontId="20" fillId="0" borderId="0" xfId="4" applyFont="1" applyAlignment="1">
      <alignment vertical="center" wrapText="1"/>
    </xf>
    <xf numFmtId="0" fontId="5" fillId="0" borderId="0" xfId="4" applyProtection="1">
      <protection hidden="1"/>
    </xf>
    <xf numFmtId="169" fontId="5" fillId="0" borderId="0" xfId="4" applyNumberFormat="1" applyProtection="1">
      <protection hidden="1"/>
    </xf>
    <xf numFmtId="0" fontId="16" fillId="0" borderId="0" xfId="4" applyFont="1" applyProtection="1">
      <protection hidden="1"/>
    </xf>
    <xf numFmtId="169" fontId="16" fillId="0" borderId="0" xfId="4" applyNumberFormat="1" applyFont="1" applyProtection="1">
      <protection hidden="1"/>
    </xf>
    <xf numFmtId="0" fontId="21" fillId="8" borderId="0" xfId="4" applyFont="1" applyFill="1" applyAlignment="1" applyProtection="1">
      <alignment horizontal="left"/>
      <protection hidden="1"/>
    </xf>
    <xf numFmtId="169" fontId="22" fillId="8" borderId="0" xfId="4" applyNumberFormat="1" applyFont="1" applyFill="1" applyProtection="1">
      <protection hidden="1"/>
    </xf>
    <xf numFmtId="0" fontId="23" fillId="8" borderId="0" xfId="4" applyFont="1" applyFill="1" applyAlignment="1" applyProtection="1">
      <alignment horizontal="left"/>
      <protection hidden="1"/>
    </xf>
    <xf numFmtId="0" fontId="22" fillId="8" borderId="0" xfId="4" applyFont="1" applyFill="1" applyAlignment="1" applyProtection="1">
      <alignment horizontal="left"/>
      <protection hidden="1"/>
    </xf>
    <xf numFmtId="0" fontId="24" fillId="8" borderId="0" xfId="4" applyFont="1" applyFill="1" applyAlignment="1" applyProtection="1">
      <alignment horizontal="left"/>
      <protection hidden="1"/>
    </xf>
    <xf numFmtId="169" fontId="22" fillId="9" borderId="12" xfId="4" applyNumberFormat="1" applyFont="1" applyFill="1" applyBorder="1" applyProtection="1">
      <protection hidden="1"/>
    </xf>
    <xf numFmtId="169" fontId="22" fillId="10" borderId="12" xfId="4" applyNumberFormat="1" applyFont="1" applyFill="1" applyBorder="1" applyProtection="1">
      <protection hidden="1"/>
    </xf>
    <xf numFmtId="0" fontId="23" fillId="10" borderId="12" xfId="4" applyFont="1" applyFill="1" applyBorder="1" applyAlignment="1" applyProtection="1">
      <alignment horizontal="left"/>
      <protection hidden="1"/>
    </xf>
    <xf numFmtId="0" fontId="22" fillId="8" borderId="12" xfId="4" applyFont="1" applyFill="1" applyBorder="1" applyAlignment="1" applyProtection="1">
      <alignment horizontal="left"/>
      <protection hidden="1"/>
    </xf>
    <xf numFmtId="49" fontId="24" fillId="8" borderId="13" xfId="4" applyNumberFormat="1" applyFont="1" applyFill="1" applyBorder="1" applyAlignment="1" applyProtection="1">
      <alignment horizontal="left"/>
      <protection hidden="1"/>
    </xf>
    <xf numFmtId="169" fontId="24" fillId="11" borderId="12" xfId="4" applyNumberFormat="1" applyFont="1" applyFill="1" applyBorder="1" applyProtection="1">
      <protection hidden="1"/>
    </xf>
    <xf numFmtId="169" fontId="25" fillId="12" borderId="12" xfId="4" applyNumberFormat="1" applyFont="1" applyFill="1" applyBorder="1" applyAlignment="1" applyProtection="1">
      <alignment horizontal="right"/>
      <protection hidden="1"/>
    </xf>
    <xf numFmtId="169" fontId="26" fillId="0" borderId="12" xfId="4" applyNumberFormat="1" applyFont="1" applyBorder="1" applyAlignment="1" applyProtection="1">
      <alignment horizontal="right"/>
      <protection hidden="1"/>
    </xf>
    <xf numFmtId="169" fontId="25" fillId="12" borderId="12" xfId="4" applyNumberFormat="1" applyFont="1" applyFill="1" applyBorder="1" applyAlignment="1" applyProtection="1">
      <alignment horizontal="right" vertical="center" wrapText="1"/>
      <protection hidden="1"/>
    </xf>
    <xf numFmtId="169" fontId="24" fillId="0" borderId="12" xfId="4" applyNumberFormat="1" applyFont="1" applyBorder="1" applyProtection="1">
      <protection hidden="1"/>
    </xf>
    <xf numFmtId="169" fontId="25" fillId="7" borderId="12" xfId="4" applyNumberFormat="1" applyFont="1" applyFill="1" applyBorder="1" applyAlignment="1" applyProtection="1">
      <alignment horizontal="right"/>
      <protection hidden="1"/>
    </xf>
    <xf numFmtId="169" fontId="27" fillId="9" borderId="12" xfId="4" applyNumberFormat="1" applyFont="1" applyFill="1" applyBorder="1" applyProtection="1">
      <protection hidden="1"/>
    </xf>
    <xf numFmtId="0" fontId="24" fillId="8" borderId="12" xfId="4" applyFont="1" applyFill="1" applyBorder="1" applyAlignment="1" applyProtection="1">
      <alignment horizontal="left"/>
      <protection hidden="1"/>
    </xf>
    <xf numFmtId="0" fontId="24" fillId="8" borderId="12" xfId="4" applyFont="1" applyFill="1" applyBorder="1" applyAlignment="1" applyProtection="1">
      <alignment horizontal="left" vertical="center"/>
      <protection hidden="1"/>
    </xf>
    <xf numFmtId="169" fontId="26" fillId="8" borderId="12" xfId="4" applyNumberFormat="1" applyFont="1" applyFill="1" applyBorder="1" applyAlignment="1" applyProtection="1">
      <alignment horizontal="right"/>
      <protection hidden="1"/>
    </xf>
    <xf numFmtId="169" fontId="25" fillId="8" borderId="12" xfId="4" applyNumberFormat="1" applyFont="1" applyFill="1" applyBorder="1" applyAlignment="1" applyProtection="1">
      <alignment horizontal="right"/>
      <protection hidden="1"/>
    </xf>
    <xf numFmtId="169" fontId="24" fillId="11" borderId="12" xfId="4" applyNumberFormat="1" applyFont="1" applyFill="1" applyBorder="1" applyAlignment="1" applyProtection="1">
      <alignment horizontal="center" vertical="center" wrapText="1"/>
      <protection hidden="1"/>
    </xf>
    <xf numFmtId="169" fontId="25" fillId="7" borderId="12" xfId="4" applyNumberFormat="1" applyFont="1" applyFill="1" applyBorder="1" applyAlignment="1" applyProtection="1">
      <alignment horizontal="right" vertical="center" wrapText="1"/>
      <protection hidden="1"/>
    </xf>
    <xf numFmtId="169" fontId="26" fillId="11" borderId="12" xfId="4" applyNumberFormat="1" applyFont="1" applyFill="1" applyBorder="1" applyAlignment="1" applyProtection="1">
      <alignment horizontal="right" vertical="center" wrapText="1"/>
      <protection hidden="1"/>
    </xf>
    <xf numFmtId="169" fontId="26" fillId="11" borderId="12" xfId="4" applyNumberFormat="1" applyFont="1" applyFill="1" applyBorder="1" applyAlignment="1" applyProtection="1">
      <alignment horizontal="right"/>
      <protection hidden="1"/>
    </xf>
    <xf numFmtId="169" fontId="25" fillId="11" borderId="12" xfId="4" applyNumberFormat="1" applyFont="1" applyFill="1" applyBorder="1" applyAlignment="1" applyProtection="1">
      <alignment horizontal="right"/>
      <protection hidden="1"/>
    </xf>
    <xf numFmtId="0" fontId="24" fillId="16" borderId="12" xfId="4" applyFont="1" applyFill="1" applyBorder="1" applyAlignment="1" applyProtection="1">
      <alignment horizontal="left" vertical="center"/>
      <protection hidden="1"/>
    </xf>
    <xf numFmtId="0" fontId="22" fillId="13" borderId="12" xfId="4" applyFont="1" applyFill="1" applyBorder="1" applyAlignment="1" applyProtection="1">
      <alignment horizontal="center" vertical="center" wrapText="1"/>
      <protection hidden="1"/>
    </xf>
    <xf numFmtId="0" fontId="22" fillId="14" borderId="12" xfId="4" applyFont="1" applyFill="1" applyBorder="1" applyAlignment="1" applyProtection="1">
      <alignment horizontal="center" vertical="center" wrapText="1"/>
      <protection hidden="1"/>
    </xf>
    <xf numFmtId="0" fontId="22" fillId="15" borderId="12" xfId="4" applyFont="1" applyFill="1" applyBorder="1" applyAlignment="1" applyProtection="1">
      <alignment horizontal="center" vertical="center" wrapText="1"/>
      <protection hidden="1"/>
    </xf>
    <xf numFmtId="0" fontId="22" fillId="8" borderId="12" xfId="4" applyFont="1" applyFill="1" applyBorder="1" applyAlignment="1" applyProtection="1">
      <alignment horizontal="center" vertical="center" wrapText="1"/>
      <protection hidden="1"/>
    </xf>
    <xf numFmtId="0" fontId="29" fillId="8" borderId="12" xfId="4" applyFont="1" applyFill="1" applyBorder="1" applyAlignment="1" applyProtection="1">
      <alignment horizontal="center" vertical="center" wrapText="1"/>
      <protection hidden="1"/>
    </xf>
    <xf numFmtId="49" fontId="29" fillId="8" borderId="0" xfId="4" applyNumberFormat="1" applyFont="1" applyFill="1" applyAlignment="1" applyProtection="1">
      <alignment horizontal="center" vertical="center" wrapText="1"/>
      <protection hidden="1"/>
    </xf>
    <xf numFmtId="0" fontId="29" fillId="8" borderId="0" xfId="4" applyFont="1" applyFill="1" applyAlignment="1" applyProtection="1">
      <alignment horizontal="center" vertical="center" wrapText="1"/>
      <protection hidden="1"/>
    </xf>
    <xf numFmtId="0" fontId="23" fillId="10" borderId="12" xfId="4" applyFont="1" applyFill="1" applyBorder="1" applyAlignment="1" applyProtection="1">
      <alignment horizontal="left" vertical="center"/>
      <protection hidden="1"/>
    </xf>
    <xf numFmtId="0" fontId="22" fillId="8" borderId="12" xfId="4" applyFont="1" applyFill="1" applyBorder="1" applyAlignment="1" applyProtection="1">
      <alignment horizontal="left" vertical="center"/>
      <protection hidden="1"/>
    </xf>
    <xf numFmtId="0" fontId="24" fillId="8" borderId="13" xfId="4" applyFont="1" applyFill="1" applyBorder="1" applyAlignment="1" applyProtection="1">
      <alignment horizontal="center" vertical="center"/>
      <protection hidden="1"/>
    </xf>
    <xf numFmtId="169" fontId="22" fillId="9" borderId="12" xfId="4" applyNumberFormat="1" applyFont="1" applyFill="1" applyBorder="1" applyAlignment="1" applyProtection="1">
      <alignment horizontal="right"/>
      <protection hidden="1"/>
    </xf>
    <xf numFmtId="169" fontId="24" fillId="8" borderId="12" xfId="4" applyNumberFormat="1" applyFont="1" applyFill="1" applyBorder="1" applyAlignment="1" applyProtection="1">
      <alignment horizontal="right"/>
      <protection hidden="1"/>
    </xf>
    <xf numFmtId="169" fontId="29" fillId="9" borderId="12" xfId="4" applyNumberFormat="1" applyFont="1" applyFill="1" applyBorder="1" applyProtection="1">
      <protection hidden="1"/>
    </xf>
    <xf numFmtId="49" fontId="23" fillId="10" borderId="12" xfId="4" applyNumberFormat="1" applyFont="1" applyFill="1" applyBorder="1" applyAlignment="1" applyProtection="1">
      <alignment horizontal="left" vertical="center"/>
      <protection hidden="1"/>
    </xf>
    <xf numFmtId="49" fontId="24" fillId="8" borderId="12" xfId="4" applyNumberFormat="1" applyFont="1" applyFill="1" applyBorder="1" applyAlignment="1" applyProtection="1">
      <alignment horizontal="left" vertical="center"/>
      <protection hidden="1"/>
    </xf>
    <xf numFmtId="49" fontId="24" fillId="8" borderId="0" xfId="4" applyNumberFormat="1" applyFont="1" applyFill="1" applyAlignment="1" applyProtection="1">
      <alignment horizontal="center" vertical="center"/>
      <protection hidden="1"/>
    </xf>
    <xf numFmtId="49" fontId="24" fillId="16" borderId="12" xfId="4" applyNumberFormat="1" applyFont="1" applyFill="1" applyBorder="1" applyAlignment="1" applyProtection="1">
      <alignment horizontal="left" vertical="center"/>
      <protection hidden="1"/>
    </xf>
    <xf numFmtId="49" fontId="29" fillId="8" borderId="12" xfId="4" applyNumberFormat="1" applyFont="1" applyFill="1" applyBorder="1" applyAlignment="1" applyProtection="1">
      <alignment horizontal="center" vertical="center" wrapText="1"/>
      <protection hidden="1"/>
    </xf>
    <xf numFmtId="0" fontId="36" fillId="8" borderId="0" xfId="4" applyFont="1" applyFill="1" applyAlignment="1" applyProtection="1">
      <alignment horizontal="center" vertical="center" wrapText="1"/>
      <protection hidden="1"/>
    </xf>
    <xf numFmtId="0" fontId="35" fillId="8" borderId="0" xfId="4" applyFont="1" applyFill="1" applyAlignment="1" applyProtection="1">
      <alignment horizontal="center" vertical="center"/>
      <protection hidden="1"/>
    </xf>
    <xf numFmtId="49" fontId="31" fillId="8" borderId="0" xfId="4" applyNumberFormat="1" applyFont="1" applyFill="1" applyAlignment="1" applyProtection="1">
      <alignment horizontal="left" vertical="top"/>
      <protection hidden="1"/>
    </xf>
    <xf numFmtId="169" fontId="25" fillId="7" borderId="12" xfId="4" applyNumberFormat="1" applyFont="1" applyFill="1" applyBorder="1" applyAlignment="1" applyProtection="1">
      <alignment wrapText="1"/>
      <protection hidden="1"/>
    </xf>
    <xf numFmtId="0" fontId="24" fillId="0" borderId="13" xfId="4" applyFont="1" applyBorder="1" applyAlignment="1" applyProtection="1">
      <alignment horizontal="center" vertical="center"/>
      <protection hidden="1"/>
    </xf>
    <xf numFmtId="0" fontId="24" fillId="0" borderId="12" xfId="4" applyFont="1" applyBorder="1" applyAlignment="1" applyProtection="1">
      <alignment horizontal="left" vertical="center"/>
      <protection hidden="1"/>
    </xf>
    <xf numFmtId="169" fontId="24" fillId="0" borderId="12" xfId="4" applyNumberFormat="1" applyFont="1" applyBorder="1" applyAlignment="1" applyProtection="1">
      <alignment horizontal="right"/>
      <protection hidden="1"/>
    </xf>
    <xf numFmtId="169" fontId="25" fillId="0" borderId="12" xfId="4" applyNumberFormat="1" applyFont="1" applyBorder="1" applyAlignment="1" applyProtection="1">
      <alignment horizontal="right"/>
      <protection hidden="1"/>
    </xf>
    <xf numFmtId="0" fontId="21" fillId="0" borderId="0" xfId="4" applyFont="1" applyAlignment="1" applyProtection="1">
      <alignment horizontal="left"/>
      <protection hidden="1"/>
    </xf>
    <xf numFmtId="0" fontId="22" fillId="0" borderId="12" xfId="4" applyFont="1" applyBorder="1" applyAlignment="1" applyProtection="1">
      <alignment horizontal="center" vertical="center" wrapText="1"/>
      <protection hidden="1"/>
    </xf>
    <xf numFmtId="0" fontId="37" fillId="18" borderId="12" xfId="4" applyFont="1" applyFill="1" applyBorder="1" applyAlignment="1" applyProtection="1">
      <alignment horizontal="left" vertical="center"/>
      <protection hidden="1"/>
    </xf>
    <xf numFmtId="49" fontId="37" fillId="18" borderId="12" xfId="4" applyNumberFormat="1" applyFont="1" applyFill="1" applyBorder="1" applyAlignment="1" applyProtection="1">
      <alignment horizontal="left" vertical="center"/>
      <protection hidden="1"/>
    </xf>
    <xf numFmtId="0" fontId="7" fillId="0" borderId="0" xfId="0" applyFont="1"/>
    <xf numFmtId="0" fontId="39" fillId="19" borderId="0" xfId="0" applyFont="1" applyFill="1" applyAlignment="1">
      <alignment vertical="center" wrapText="1"/>
    </xf>
    <xf numFmtId="0" fontId="39" fillId="19" borderId="0" xfId="0" applyFont="1" applyFill="1" applyAlignment="1">
      <alignment vertical="center"/>
    </xf>
    <xf numFmtId="0" fontId="39" fillId="19" borderId="0" xfId="0" applyFont="1" applyFill="1" applyAlignment="1">
      <alignment horizontal="left" vertical="center"/>
    </xf>
    <xf numFmtId="0" fontId="40" fillId="19" borderId="0" xfId="0" applyFont="1" applyFill="1" applyAlignment="1">
      <alignment horizontal="right" wrapText="1"/>
    </xf>
    <xf numFmtId="0" fontId="40" fillId="19" borderId="0" xfId="0" applyFont="1" applyFill="1"/>
    <xf numFmtId="0" fontId="40" fillId="19" borderId="0" xfId="0" applyFont="1" applyFill="1" applyAlignment="1">
      <alignment horizontal="left" vertical="center" wrapText="1"/>
    </xf>
    <xf numFmtId="0" fontId="40" fillId="0" borderId="0" xfId="0" applyFon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0" fontId="38" fillId="0" borderId="0" xfId="0" applyFont="1" applyAlignment="1">
      <alignment horizontal="right" vertical="center" wrapText="1"/>
    </xf>
    <xf numFmtId="0" fontId="13" fillId="19" borderId="17" xfId="0" quotePrefix="1" applyFont="1" applyFill="1" applyBorder="1" applyAlignment="1">
      <alignment horizontal="left" vertical="center" wrapText="1" indent="1"/>
    </xf>
    <xf numFmtId="0" fontId="13" fillId="19" borderId="18" xfId="0" applyFont="1" applyFill="1" applyBorder="1" applyAlignment="1">
      <alignment horizontal="left" vertical="center" wrapText="1" indent="1"/>
    </xf>
    <xf numFmtId="0" fontId="38" fillId="0" borderId="0" xfId="0" applyFont="1" applyAlignment="1">
      <alignment vertical="center" wrapText="1"/>
    </xf>
    <xf numFmtId="0" fontId="0" fillId="0" borderId="0" xfId="0" applyAlignment="1">
      <alignment horizontal="right" vertical="top" wrapText="1"/>
    </xf>
    <xf numFmtId="0" fontId="39" fillId="3" borderId="0" xfId="0" applyFont="1" applyFill="1" applyAlignment="1">
      <alignment horizontal="left" vertical="center"/>
    </xf>
    <xf numFmtId="0" fontId="42" fillId="0" borderId="12" xfId="4" applyFont="1" applyBorder="1" applyAlignment="1" applyProtection="1">
      <alignment horizontal="left" vertical="center"/>
      <protection hidden="1"/>
    </xf>
    <xf numFmtId="0" fontId="42" fillId="8" borderId="12" xfId="4" applyFont="1" applyFill="1" applyBorder="1" applyAlignment="1" applyProtection="1">
      <alignment horizontal="left" vertical="center"/>
      <protection hidden="1"/>
    </xf>
    <xf numFmtId="0" fontId="0" fillId="0" borderId="22" xfId="0" applyBorder="1" applyAlignment="1">
      <alignment horizontal="left" vertical="center" wrapText="1" indent="1"/>
    </xf>
    <xf numFmtId="0" fontId="0" fillId="0" borderId="24" xfId="0" applyBorder="1" applyAlignment="1">
      <alignment horizontal="left" vertical="center" wrapText="1" indent="1"/>
    </xf>
    <xf numFmtId="0" fontId="0" fillId="0" borderId="30" xfId="0" applyBorder="1" applyAlignment="1">
      <alignment vertical="center" wrapText="1"/>
    </xf>
    <xf numFmtId="0" fontId="38" fillId="0" borderId="25" xfId="0" applyFont="1" applyBorder="1" applyAlignment="1">
      <alignment vertical="center" wrapText="1"/>
    </xf>
    <xf numFmtId="0" fontId="44" fillId="20" borderId="21" xfId="0" applyFont="1" applyFill="1" applyBorder="1" applyAlignment="1">
      <alignment horizontal="left" vertical="center" wrapText="1" indent="1"/>
    </xf>
    <xf numFmtId="0" fontId="44" fillId="21" borderId="23" xfId="0" applyFont="1" applyFill="1" applyBorder="1" applyAlignment="1">
      <alignment horizontal="left" vertical="center" wrapText="1" indent="1"/>
    </xf>
    <xf numFmtId="0" fontId="44" fillId="22" borderId="23" xfId="0" applyFont="1" applyFill="1" applyBorder="1" applyAlignment="1">
      <alignment horizontal="left" vertical="center" wrapText="1" indent="1"/>
    </xf>
    <xf numFmtId="0" fontId="44" fillId="23" borderId="25" xfId="0" applyFont="1" applyFill="1" applyBorder="1" applyAlignment="1">
      <alignment horizontal="left" vertical="center" wrapText="1" indent="1"/>
    </xf>
    <xf numFmtId="0" fontId="45" fillId="0" borderId="0" xfId="0" applyFont="1" applyAlignment="1">
      <alignment horizontal="left" indent="1"/>
    </xf>
    <xf numFmtId="0" fontId="4" fillId="0" borderId="0" xfId="0" applyFont="1" applyProtection="1">
      <protection hidden="1"/>
    </xf>
    <xf numFmtId="0" fontId="21" fillId="8" borderId="0" xfId="0" applyFont="1" applyFill="1" applyAlignment="1">
      <alignment horizontal="left"/>
    </xf>
    <xf numFmtId="0" fontId="22" fillId="13" borderId="12" xfId="0" applyFont="1" applyFill="1" applyBorder="1" applyAlignment="1">
      <alignment horizontal="center" vertical="center" wrapText="1"/>
    </xf>
    <xf numFmtId="169" fontId="25" fillId="12" borderId="12" xfId="0" applyNumberFormat="1" applyFont="1" applyFill="1" applyBorder="1" applyAlignment="1">
      <alignment horizontal="center" vertical="center" wrapText="1"/>
    </xf>
    <xf numFmtId="169" fontId="22" fillId="9" borderId="12" xfId="0" applyNumberFormat="1" applyFont="1" applyFill="1" applyBorder="1"/>
    <xf numFmtId="169" fontId="24" fillId="11" borderId="12" xfId="0" applyNumberFormat="1" applyFont="1" applyFill="1" applyBorder="1"/>
    <xf numFmtId="169" fontId="24" fillId="11" borderId="12" xfId="0" applyNumberFormat="1" applyFont="1" applyFill="1" applyBorder="1" applyAlignment="1">
      <alignment horizontal="center" vertical="center" wrapText="1"/>
    </xf>
    <xf numFmtId="169" fontId="24" fillId="11" borderId="12" xfId="0" applyNumberFormat="1" applyFont="1" applyFill="1" applyBorder="1" applyAlignment="1">
      <alignment horizontal="center" vertical="center"/>
    </xf>
    <xf numFmtId="169" fontId="26" fillId="0" borderId="10" xfId="0" applyNumberFormat="1" applyFont="1" applyBorder="1" applyAlignment="1">
      <alignment horizontal="center" vertical="center" wrapText="1"/>
    </xf>
    <xf numFmtId="0" fontId="15" fillId="0" borderId="10" xfId="0" applyFont="1" applyBorder="1" applyAlignment="1">
      <alignment horizontal="center" vertical="center" wrapText="1"/>
    </xf>
    <xf numFmtId="169" fontId="25" fillId="0" borderId="12" xfId="0" applyNumberFormat="1" applyFont="1" applyBorder="1" applyAlignment="1">
      <alignment horizontal="center" vertical="center" wrapText="1"/>
    </xf>
    <xf numFmtId="169" fontId="26" fillId="0" borderId="12" xfId="0" applyNumberFormat="1" applyFont="1" applyBorder="1" applyAlignment="1">
      <alignment horizontal="center" vertical="center" wrapText="1"/>
    </xf>
    <xf numFmtId="169" fontId="22" fillId="10" borderId="12" xfId="0" applyNumberFormat="1" applyFont="1" applyFill="1" applyBorder="1"/>
    <xf numFmtId="0" fontId="3" fillId="0" borderId="0" xfId="0" applyFont="1" applyAlignment="1">
      <alignment vertical="center"/>
    </xf>
    <xf numFmtId="0" fontId="3" fillId="0" borderId="0" xfId="0" applyFont="1"/>
    <xf numFmtId="0" fontId="22" fillId="8" borderId="12" xfId="0" applyFont="1" applyFill="1" applyBorder="1" applyAlignment="1" applyProtection="1">
      <alignment horizontal="center" vertical="center" wrapText="1"/>
      <protection hidden="1"/>
    </xf>
    <xf numFmtId="0" fontId="22" fillId="0" borderId="12" xfId="0" applyFont="1" applyBorder="1" applyAlignment="1" applyProtection="1">
      <alignment horizontal="center" vertical="center" wrapText="1"/>
      <protection hidden="1"/>
    </xf>
    <xf numFmtId="0" fontId="24" fillId="0" borderId="12" xfId="0" applyFont="1" applyBorder="1" applyAlignment="1" applyProtection="1">
      <alignment horizontal="left" vertical="center"/>
      <protection hidden="1"/>
    </xf>
    <xf numFmtId="169" fontId="25" fillId="0" borderId="12" xfId="0" applyNumberFormat="1" applyFont="1" applyBorder="1" applyAlignment="1" applyProtection="1">
      <alignment horizontal="center" vertical="center" wrapText="1"/>
      <protection hidden="1"/>
    </xf>
    <xf numFmtId="169" fontId="58" fillId="0" borderId="12" xfId="0" applyNumberFormat="1" applyFont="1" applyBorder="1" applyAlignment="1">
      <alignment horizontal="center" vertical="center" wrapText="1"/>
    </xf>
    <xf numFmtId="0" fontId="21" fillId="8" borderId="0" xfId="0" applyFont="1" applyFill="1" applyAlignment="1" applyProtection="1">
      <alignment horizontal="left"/>
      <protection hidden="1"/>
    </xf>
    <xf numFmtId="0" fontId="3" fillId="0" borderId="0" xfId="0" applyFont="1" applyProtection="1">
      <protection hidden="1"/>
    </xf>
    <xf numFmtId="49" fontId="31" fillId="8" borderId="0" xfId="0" applyNumberFormat="1" applyFont="1" applyFill="1" applyAlignment="1" applyProtection="1">
      <alignment horizontal="left" vertical="top"/>
      <protection hidden="1"/>
    </xf>
    <xf numFmtId="0" fontId="35" fillId="8" borderId="0" xfId="0" applyFont="1" applyFill="1" applyAlignment="1" applyProtection="1">
      <alignment horizontal="center" vertical="center"/>
      <protection hidden="1"/>
    </xf>
    <xf numFmtId="0" fontId="36" fillId="8" borderId="0" xfId="0" applyFont="1" applyFill="1" applyAlignment="1" applyProtection="1">
      <alignment horizontal="center" vertical="center" wrapText="1"/>
      <protection hidden="1"/>
    </xf>
    <xf numFmtId="49" fontId="35" fillId="8" borderId="0" xfId="0" applyNumberFormat="1" applyFont="1" applyFill="1" applyAlignment="1" applyProtection="1">
      <alignment horizontal="center" vertical="center"/>
      <protection hidden="1"/>
    </xf>
    <xf numFmtId="49" fontId="29" fillId="8" borderId="12" xfId="0" applyNumberFormat="1" applyFont="1" applyFill="1" applyBorder="1" applyAlignment="1" applyProtection="1">
      <alignment horizontal="center" vertical="center" wrapText="1"/>
      <protection hidden="1"/>
    </xf>
    <xf numFmtId="49" fontId="24" fillId="8" borderId="0" xfId="0" applyNumberFormat="1" applyFont="1" applyFill="1" applyAlignment="1" applyProtection="1">
      <alignment horizontal="center" vertical="center"/>
      <protection hidden="1"/>
    </xf>
    <xf numFmtId="49" fontId="24" fillId="8" borderId="12" xfId="0" applyNumberFormat="1" applyFont="1" applyFill="1" applyBorder="1" applyAlignment="1" applyProtection="1">
      <alignment horizontal="left" vertical="center"/>
      <protection hidden="1"/>
    </xf>
    <xf numFmtId="49" fontId="24" fillId="0" borderId="12" xfId="0" applyNumberFormat="1" applyFont="1" applyBorder="1" applyAlignment="1" applyProtection="1">
      <alignment horizontal="left" vertical="center"/>
      <protection hidden="1"/>
    </xf>
    <xf numFmtId="169" fontId="29" fillId="9" borderId="12" xfId="0" applyNumberFormat="1" applyFont="1" applyFill="1" applyBorder="1" applyProtection="1">
      <protection hidden="1"/>
    </xf>
    <xf numFmtId="169" fontId="34" fillId="0" borderId="12" xfId="0" applyNumberFormat="1" applyFont="1" applyBorder="1" applyProtection="1">
      <protection hidden="1"/>
    </xf>
    <xf numFmtId="169" fontId="34" fillId="8" borderId="12" xfId="0" applyNumberFormat="1" applyFont="1" applyFill="1" applyBorder="1" applyProtection="1">
      <protection hidden="1"/>
    </xf>
    <xf numFmtId="169" fontId="34" fillId="17" borderId="12" xfId="0" applyNumberFormat="1" applyFont="1" applyFill="1" applyBorder="1" applyProtection="1">
      <protection hidden="1"/>
    </xf>
    <xf numFmtId="169" fontId="24" fillId="0" borderId="12" xfId="0" applyNumberFormat="1" applyFont="1" applyBorder="1" applyProtection="1">
      <protection hidden="1"/>
    </xf>
    <xf numFmtId="0" fontId="33" fillId="8" borderId="0" xfId="0" applyFont="1" applyFill="1" applyAlignment="1" applyProtection="1">
      <alignment horizontal="center" vertical="center"/>
      <protection hidden="1"/>
    </xf>
    <xf numFmtId="0" fontId="33" fillId="8" borderId="12" xfId="0" applyFont="1" applyFill="1" applyBorder="1" applyAlignment="1" applyProtection="1">
      <alignment horizontal="left" vertical="center"/>
      <protection hidden="1"/>
    </xf>
    <xf numFmtId="0" fontId="16" fillId="0" borderId="0" xfId="0" applyFont="1" applyProtection="1">
      <protection hidden="1"/>
    </xf>
    <xf numFmtId="0" fontId="51" fillId="8" borderId="0" xfId="0" applyFont="1" applyFill="1" applyAlignment="1" applyProtection="1">
      <alignment horizontal="center" vertical="center"/>
      <protection hidden="1"/>
    </xf>
    <xf numFmtId="0" fontId="51" fillId="0" borderId="0" xfId="0" applyFont="1" applyAlignment="1" applyProtection="1">
      <alignment horizontal="center" vertical="center"/>
      <protection hidden="1"/>
    </xf>
    <xf numFmtId="0" fontId="52" fillId="0" borderId="12" xfId="0" applyFont="1" applyBorder="1" applyAlignment="1" applyProtection="1">
      <alignment horizontal="center" vertical="center" wrapText="1"/>
      <protection hidden="1"/>
    </xf>
    <xf numFmtId="0" fontId="55" fillId="0" borderId="12" xfId="0" applyFont="1" applyBorder="1" applyAlignment="1" applyProtection="1">
      <alignment horizontal="center" vertical="center"/>
      <protection hidden="1"/>
    </xf>
    <xf numFmtId="169" fontId="56" fillId="0" borderId="12" xfId="0" applyNumberFormat="1" applyFont="1" applyBorder="1" applyAlignment="1" applyProtection="1">
      <alignment horizontal="center" vertical="center"/>
      <protection hidden="1"/>
    </xf>
    <xf numFmtId="169" fontId="58" fillId="0" borderId="12" xfId="0" applyNumberFormat="1" applyFont="1" applyBorder="1" applyAlignment="1" applyProtection="1">
      <alignment horizontal="center" vertical="center"/>
      <protection hidden="1"/>
    </xf>
    <xf numFmtId="0" fontId="55" fillId="0" borderId="13" xfId="0" applyFont="1" applyBorder="1" applyAlignment="1" applyProtection="1">
      <alignment horizontal="center" vertical="center"/>
      <protection hidden="1"/>
    </xf>
    <xf numFmtId="169" fontId="55" fillId="0" borderId="12" xfId="0" applyNumberFormat="1" applyFont="1" applyBorder="1" applyAlignment="1" applyProtection="1">
      <alignment horizontal="center" vertical="center"/>
      <protection hidden="1"/>
    </xf>
    <xf numFmtId="40" fontId="7" fillId="0" borderId="0" xfId="0" applyNumberFormat="1" applyFont="1" applyAlignment="1">
      <alignment horizontal="center" vertical="center"/>
    </xf>
    <xf numFmtId="0" fontId="0" fillId="0" borderId="0" xfId="0" applyAlignment="1">
      <alignment horizontal="center" vertical="center"/>
    </xf>
    <xf numFmtId="166" fontId="7" fillId="0" borderId="3" xfId="0" applyNumberFormat="1" applyFont="1" applyBorder="1" applyAlignment="1">
      <alignment horizontal="center" vertical="center" wrapText="1"/>
    </xf>
    <xf numFmtId="166" fontId="60" fillId="0" borderId="2" xfId="0" applyNumberFormat="1" applyFont="1" applyBorder="1" applyAlignment="1">
      <alignment horizontal="center" vertical="center" wrapText="1"/>
    </xf>
    <xf numFmtId="170" fontId="60" fillId="0" borderId="0" xfId="3" applyNumberFormat="1" applyFont="1" applyBorder="1" applyAlignment="1">
      <alignment horizontal="center" vertical="center"/>
    </xf>
    <xf numFmtId="170" fontId="60" fillId="0" borderId="5" xfId="3" applyNumberFormat="1" applyFont="1" applyBorder="1" applyAlignment="1">
      <alignment horizontal="center" vertical="center"/>
    </xf>
    <xf numFmtId="166" fontId="60" fillId="0" borderId="4" xfId="0" applyNumberFormat="1" applyFont="1" applyBorder="1" applyAlignment="1">
      <alignment horizontal="center" vertical="center" wrapText="1"/>
    </xf>
    <xf numFmtId="0" fontId="0" fillId="0" borderId="1" xfId="0" applyBorder="1"/>
    <xf numFmtId="0" fontId="0" fillId="0" borderId="4" xfId="0" applyBorder="1"/>
    <xf numFmtId="0" fontId="62" fillId="0" borderId="0" xfId="0" applyFont="1" applyAlignment="1">
      <alignment horizontal="right" vertical="center"/>
    </xf>
    <xf numFmtId="0" fontId="17" fillId="0" borderId="0" xfId="0" applyFont="1" applyAlignment="1">
      <alignment vertical="center" wrapText="1"/>
    </xf>
    <xf numFmtId="0" fontId="17" fillId="0" borderId="0" xfId="0" applyFont="1" applyAlignment="1">
      <alignment horizontal="right" vertical="center"/>
    </xf>
    <xf numFmtId="0" fontId="2" fillId="0" borderId="0" xfId="0" applyFont="1"/>
    <xf numFmtId="0" fontId="2" fillId="0" borderId="0" xfId="0" applyFont="1" applyAlignment="1">
      <alignment vertical="center"/>
    </xf>
    <xf numFmtId="0" fontId="40" fillId="0" borderId="0" xfId="0" applyFont="1" applyAlignment="1">
      <alignment vertical="center"/>
    </xf>
    <xf numFmtId="0" fontId="40" fillId="0" borderId="0" xfId="0" applyFont="1" applyAlignment="1">
      <alignment horizontal="center" vertical="center"/>
    </xf>
    <xf numFmtId="0" fontId="40" fillId="0" borderId="0" xfId="0" applyFont="1" applyAlignment="1" applyProtection="1">
      <alignment horizontal="center" vertical="center"/>
      <protection hidden="1"/>
    </xf>
    <xf numFmtId="169" fontId="64" fillId="0" borderId="0" xfId="0" applyNumberFormat="1" applyFont="1" applyAlignment="1" applyProtection="1">
      <alignment horizontal="center" vertical="center"/>
      <protection hidden="1"/>
    </xf>
    <xf numFmtId="169" fontId="40" fillId="0" borderId="0" xfId="0" applyNumberFormat="1" applyFont="1" applyAlignment="1" applyProtection="1">
      <alignment horizontal="center" vertical="center"/>
      <protection hidden="1"/>
    </xf>
    <xf numFmtId="0" fontId="17" fillId="0" borderId="0" xfId="0" applyFont="1" applyAlignment="1" applyProtection="1">
      <alignment horizontal="center" vertical="center"/>
      <protection hidden="1"/>
    </xf>
    <xf numFmtId="0" fontId="57" fillId="0" borderId="0" xfId="0" applyFont="1" applyAlignment="1" applyProtection="1">
      <alignment horizontal="center" vertical="center"/>
      <protection hidden="1"/>
    </xf>
    <xf numFmtId="0" fontId="2" fillId="0" borderId="0" xfId="0" applyFont="1" applyProtection="1">
      <protection hidden="1"/>
    </xf>
    <xf numFmtId="0" fontId="65" fillId="0" borderId="0" xfId="0" applyFont="1" applyAlignment="1">
      <alignment vertical="center" wrapText="1"/>
    </xf>
    <xf numFmtId="0" fontId="0" fillId="5" borderId="0" xfId="0" applyFill="1" applyAlignment="1">
      <alignment horizontal="left" vertical="center" wrapText="1"/>
    </xf>
    <xf numFmtId="0" fontId="0" fillId="0" borderId="0" xfId="0" applyAlignment="1">
      <alignment horizontal="left"/>
    </xf>
    <xf numFmtId="0" fontId="7" fillId="0" borderId="0" xfId="0" applyFont="1" applyAlignment="1">
      <alignment horizontal="center" vertical="center"/>
    </xf>
    <xf numFmtId="0" fontId="7" fillId="0" borderId="0" xfId="4" applyFont="1" applyAlignment="1">
      <alignment horizontal="center" vertical="center" wrapText="1"/>
    </xf>
    <xf numFmtId="169" fontId="26" fillId="8" borderId="12" xfId="4" applyNumberFormat="1" applyFont="1" applyFill="1" applyBorder="1" applyAlignment="1" applyProtection="1">
      <alignment horizontal="right" wrapText="1"/>
      <protection hidden="1"/>
    </xf>
    <xf numFmtId="169" fontId="25" fillId="0" borderId="12" xfId="4" applyNumberFormat="1" applyFont="1" applyBorder="1" applyAlignment="1" applyProtection="1">
      <alignment wrapText="1"/>
      <protection hidden="1"/>
    </xf>
    <xf numFmtId="169" fontId="25" fillId="12" borderId="12" xfId="4" quotePrefix="1" applyNumberFormat="1" applyFont="1" applyFill="1" applyBorder="1" applyAlignment="1" applyProtection="1">
      <alignment horizontal="right" wrapText="1"/>
      <protection hidden="1"/>
    </xf>
    <xf numFmtId="169" fontId="26" fillId="11" borderId="12" xfId="4" applyNumberFormat="1" applyFont="1" applyFill="1" applyBorder="1" applyAlignment="1" applyProtection="1">
      <alignment horizontal="right" wrapText="1"/>
      <protection hidden="1"/>
    </xf>
    <xf numFmtId="169" fontId="25" fillId="7" borderId="12" xfId="4" applyNumberFormat="1" applyFont="1" applyFill="1" applyBorder="1" applyAlignment="1" applyProtection="1">
      <alignment horizontal="right" wrapText="1"/>
      <protection hidden="1"/>
    </xf>
    <xf numFmtId="169" fontId="25" fillId="26" borderId="12" xfId="4" applyNumberFormat="1" applyFont="1" applyFill="1" applyBorder="1" applyAlignment="1" applyProtection="1">
      <alignment horizontal="right"/>
      <protection hidden="1"/>
    </xf>
    <xf numFmtId="169" fontId="26" fillId="27" borderId="12" xfId="4" applyNumberFormat="1" applyFont="1" applyFill="1" applyBorder="1" applyAlignment="1" applyProtection="1">
      <alignment horizontal="right"/>
      <protection hidden="1"/>
    </xf>
    <xf numFmtId="169" fontId="26" fillId="26" borderId="12" xfId="4" applyNumberFormat="1" applyFont="1" applyFill="1" applyBorder="1" applyAlignment="1" applyProtection="1">
      <alignment horizontal="right"/>
      <protection hidden="1"/>
    </xf>
    <xf numFmtId="0" fontId="31" fillId="8" borderId="0" xfId="1" applyFont="1" applyFill="1" applyAlignment="1">
      <alignment horizontal="center" vertical="center"/>
    </xf>
    <xf numFmtId="0" fontId="29" fillId="8" borderId="0" xfId="1" applyFont="1" applyFill="1" applyAlignment="1">
      <alignment horizontal="center" vertical="center" wrapText="1"/>
    </xf>
    <xf numFmtId="0" fontId="22" fillId="8" borderId="12" xfId="1" applyFont="1" applyFill="1" applyBorder="1" applyAlignment="1">
      <alignment horizontal="center" vertical="center" wrapText="1"/>
    </xf>
    <xf numFmtId="49" fontId="50" fillId="8" borderId="0" xfId="1" applyNumberFormat="1" applyFont="1" applyFill="1" applyAlignment="1">
      <alignment horizontal="center" vertical="center"/>
    </xf>
    <xf numFmtId="49" fontId="50" fillId="8" borderId="12" xfId="1" applyNumberFormat="1" applyFont="1" applyFill="1" applyBorder="1" applyAlignment="1">
      <alignment horizontal="center" vertical="center" wrapText="1"/>
    </xf>
    <xf numFmtId="49" fontId="24" fillId="8" borderId="0" xfId="1" applyNumberFormat="1" applyFont="1" applyFill="1" applyAlignment="1">
      <alignment horizontal="center" vertical="center"/>
    </xf>
    <xf numFmtId="49" fontId="24" fillId="8" borderId="12" xfId="1" applyNumberFormat="1" applyFont="1" applyFill="1" applyBorder="1" applyAlignment="1">
      <alignment horizontal="left" vertical="center"/>
    </xf>
    <xf numFmtId="49" fontId="55" fillId="8" borderId="12" xfId="1" applyNumberFormat="1" applyFont="1" applyFill="1" applyBorder="1" applyAlignment="1">
      <alignment horizontal="left" vertical="center" wrapText="1"/>
    </xf>
    <xf numFmtId="169" fontId="29" fillId="9" borderId="12" xfId="1" applyNumberFormat="1" applyFont="1" applyFill="1" applyBorder="1"/>
    <xf numFmtId="49" fontId="53" fillId="10" borderId="12" xfId="1" applyNumberFormat="1" applyFont="1" applyFill="1" applyBorder="1" applyAlignment="1">
      <alignment horizontal="left" vertical="center" wrapText="1"/>
    </xf>
    <xf numFmtId="0" fontId="6" fillId="0" borderId="0" xfId="1"/>
    <xf numFmtId="0" fontId="55" fillId="0" borderId="0" xfId="1" applyFont="1" applyAlignment="1">
      <alignment wrapText="1"/>
    </xf>
    <xf numFmtId="0" fontId="24" fillId="8" borderId="12" xfId="1" applyFont="1" applyFill="1" applyBorder="1" applyAlignment="1">
      <alignment horizontal="left" vertical="center"/>
    </xf>
    <xf numFmtId="0" fontId="44" fillId="28" borderId="28" xfId="0" applyFont="1" applyFill="1" applyBorder="1" applyAlignment="1">
      <alignment horizontal="center" vertical="center" wrapText="1"/>
    </xf>
    <xf numFmtId="0" fontId="0" fillId="0" borderId="4" xfId="0" quotePrefix="1" applyBorder="1" applyAlignment="1">
      <alignment vertical="top" wrapText="1"/>
    </xf>
    <xf numFmtId="0" fontId="0" fillId="0" borderId="17" xfId="0" applyBorder="1" applyAlignment="1">
      <alignment vertical="center" wrapText="1"/>
    </xf>
    <xf numFmtId="0" fontId="0" fillId="0" borderId="32" xfId="0" applyBorder="1" applyAlignment="1">
      <alignment vertical="center" wrapText="1"/>
    </xf>
    <xf numFmtId="0" fontId="44" fillId="24" borderId="25" xfId="0" applyFont="1" applyFill="1" applyBorder="1" applyAlignment="1">
      <alignment horizontal="left" vertical="center" wrapText="1" indent="1"/>
    </xf>
    <xf numFmtId="0" fontId="44" fillId="25" borderId="25" xfId="0" applyFont="1" applyFill="1" applyBorder="1" applyAlignment="1">
      <alignment horizontal="left" vertical="center" wrapText="1" indent="1"/>
    </xf>
    <xf numFmtId="0" fontId="55" fillId="0" borderId="12" xfId="0" applyFont="1" applyBorder="1" applyAlignment="1" applyProtection="1">
      <alignment horizontal="center" vertical="center" wrapText="1"/>
      <protection hidden="1"/>
    </xf>
    <xf numFmtId="0" fontId="40" fillId="0" borderId="0" xfId="0" applyFont="1" applyAlignment="1" applyProtection="1">
      <alignment horizontal="center" vertical="center" wrapText="1"/>
      <protection hidden="1"/>
    </xf>
    <xf numFmtId="0" fontId="21" fillId="0" borderId="0" xfId="0" applyFont="1" applyAlignment="1" applyProtection="1">
      <alignment horizontal="left" vertical="center" wrapText="1"/>
      <protection hidden="1"/>
    </xf>
    <xf numFmtId="0" fontId="24" fillId="0" borderId="12" xfId="0" applyFont="1" applyBorder="1" applyAlignment="1" applyProtection="1">
      <alignment horizontal="left" vertical="center" wrapText="1"/>
      <protection hidden="1"/>
    </xf>
    <xf numFmtId="0" fontId="24" fillId="0" borderId="13" xfId="0" applyFont="1" applyBorder="1" applyAlignment="1" applyProtection="1">
      <alignment horizontal="center" vertical="center" wrapText="1"/>
      <protection hidden="1"/>
    </xf>
    <xf numFmtId="169" fontId="26" fillId="0" borderId="12" xfId="0" applyNumberFormat="1" applyFont="1" applyBorder="1" applyAlignment="1" applyProtection="1">
      <alignment vertical="center" wrapText="1"/>
      <protection hidden="1"/>
    </xf>
    <xf numFmtId="169" fontId="26" fillId="0" borderId="12" xfId="0" applyNumberFormat="1" applyFont="1" applyBorder="1" applyAlignment="1" applyProtection="1">
      <alignment horizontal="right" vertical="center" wrapText="1"/>
      <protection hidden="1"/>
    </xf>
    <xf numFmtId="169" fontId="28" fillId="0" borderId="12" xfId="0" applyNumberFormat="1" applyFont="1" applyBorder="1" applyAlignment="1" applyProtection="1">
      <alignment horizontal="right" vertical="center" wrapText="1"/>
      <protection hidden="1"/>
    </xf>
    <xf numFmtId="169" fontId="75" fillId="0" borderId="12" xfId="0" applyNumberFormat="1" applyFont="1" applyBorder="1" applyAlignment="1" applyProtection="1">
      <alignment horizontal="right" vertical="center" wrapText="1"/>
      <protection hidden="1"/>
    </xf>
    <xf numFmtId="169" fontId="25" fillId="0" borderId="12" xfId="0" applyNumberFormat="1" applyFont="1" applyBorder="1" applyAlignment="1" applyProtection="1">
      <alignment horizontal="right" vertical="center" wrapText="1"/>
      <protection hidden="1"/>
    </xf>
    <xf numFmtId="169" fontId="26" fillId="0" borderId="16" xfId="0" applyNumberFormat="1" applyFont="1" applyBorder="1" applyAlignment="1">
      <alignment horizontal="center" vertical="center" wrapText="1"/>
    </xf>
    <xf numFmtId="0" fontId="76" fillId="0" borderId="0" xfId="4" applyFont="1" applyProtection="1">
      <protection hidden="1"/>
    </xf>
    <xf numFmtId="169" fontId="28" fillId="0" borderId="0" xfId="4" applyNumberFormat="1" applyFont="1" applyProtection="1">
      <protection hidden="1"/>
    </xf>
    <xf numFmtId="40" fontId="37" fillId="0" borderId="0" xfId="4" applyNumberFormat="1" applyFont="1" applyProtection="1">
      <protection hidden="1"/>
    </xf>
    <xf numFmtId="0" fontId="76" fillId="0" borderId="0" xfId="0" applyFont="1" applyAlignment="1">
      <alignment vertical="center" wrapText="1"/>
    </xf>
    <xf numFmtId="0" fontId="76" fillId="0" borderId="0" xfId="0" applyFont="1" applyAlignment="1">
      <alignment horizontal="right" vertical="center"/>
    </xf>
    <xf numFmtId="169" fontId="76" fillId="0" borderId="0" xfId="4" applyNumberFormat="1" applyFont="1" applyProtection="1">
      <protection hidden="1"/>
    </xf>
    <xf numFmtId="0" fontId="78" fillId="0" borderId="0" xfId="0" applyFont="1" applyAlignment="1">
      <alignment horizontal="left"/>
    </xf>
    <xf numFmtId="0" fontId="76" fillId="0" borderId="0" xfId="0" applyFont="1"/>
    <xf numFmtId="49" fontId="29" fillId="8" borderId="12" xfId="1" applyNumberFormat="1" applyFont="1" applyFill="1" applyBorder="1" applyAlignment="1">
      <alignment horizontal="center" vertical="center" wrapText="1"/>
    </xf>
    <xf numFmtId="49" fontId="24" fillId="8" borderId="12" xfId="1" applyNumberFormat="1" applyFont="1" applyFill="1" applyBorder="1" applyAlignment="1">
      <alignment horizontal="left" vertical="center" wrapText="1"/>
    </xf>
    <xf numFmtId="0" fontId="24" fillId="0" borderId="0" xfId="1" applyFont="1" applyAlignment="1">
      <alignment wrapText="1"/>
    </xf>
    <xf numFmtId="169" fontId="76" fillId="0" borderId="12" xfId="0" applyNumberFormat="1" applyFont="1" applyBorder="1" applyAlignment="1">
      <alignment horizontal="right" wrapText="1"/>
    </xf>
    <xf numFmtId="0" fontId="23" fillId="9" borderId="12" xfId="0" applyFont="1" applyFill="1" applyBorder="1" applyAlignment="1">
      <alignment horizontal="center" vertical="center" wrapText="1"/>
    </xf>
    <xf numFmtId="0" fontId="22" fillId="8" borderId="12" xfId="0" applyFont="1" applyFill="1" applyBorder="1" applyAlignment="1">
      <alignment horizontal="center" vertical="center" wrapText="1"/>
    </xf>
    <xf numFmtId="49" fontId="24" fillId="8" borderId="12" xfId="0" applyNumberFormat="1" applyFont="1" applyFill="1" applyBorder="1" applyAlignment="1">
      <alignment horizontal="left" vertical="center"/>
    </xf>
    <xf numFmtId="49" fontId="23" fillId="10" borderId="12" xfId="0" applyNumberFormat="1" applyFont="1" applyFill="1" applyBorder="1" applyAlignment="1">
      <alignment horizontal="left" vertical="center"/>
    </xf>
    <xf numFmtId="0" fontId="24" fillId="8" borderId="12" xfId="0" applyFont="1" applyFill="1" applyBorder="1" applyAlignment="1">
      <alignment horizontal="left" vertical="center"/>
    </xf>
    <xf numFmtId="0" fontId="23" fillId="10" borderId="12" xfId="0" applyFont="1" applyFill="1" applyBorder="1" applyAlignment="1">
      <alignment horizontal="left" vertical="center"/>
    </xf>
    <xf numFmtId="0" fontId="29" fillId="8" borderId="0" xfId="1" applyFont="1" applyFill="1" applyAlignment="1">
      <alignment horizontal="center" vertical="center"/>
    </xf>
    <xf numFmtId="49" fontId="29" fillId="8" borderId="0" xfId="1" applyNumberFormat="1" applyFont="1" applyFill="1" applyAlignment="1">
      <alignment horizontal="center" vertical="center"/>
    </xf>
    <xf numFmtId="0" fontId="79" fillId="0" borderId="0" xfId="4" applyFont="1" applyProtection="1">
      <protection hidden="1"/>
    </xf>
    <xf numFmtId="49" fontId="34" fillId="8" borderId="0" xfId="4" applyNumberFormat="1" applyFont="1" applyFill="1" applyAlignment="1" applyProtection="1">
      <alignment horizontal="center" vertical="center"/>
      <protection hidden="1"/>
    </xf>
    <xf numFmtId="0" fontId="24" fillId="8" borderId="0" xfId="4" applyFont="1" applyFill="1" applyAlignment="1" applyProtection="1">
      <alignment horizontal="center" vertical="center"/>
      <protection hidden="1"/>
    </xf>
    <xf numFmtId="49" fontId="23" fillId="10" borderId="15" xfId="1" applyNumberFormat="1" applyFont="1" applyFill="1" applyBorder="1" applyAlignment="1">
      <alignment horizontal="left" vertical="center" wrapText="1"/>
    </xf>
    <xf numFmtId="0" fontId="24" fillId="8" borderId="16" xfId="1" applyFont="1" applyFill="1" applyBorder="1" applyAlignment="1">
      <alignment horizontal="left" vertical="center"/>
    </xf>
    <xf numFmtId="49" fontId="24" fillId="8" borderId="16" xfId="1" applyNumberFormat="1" applyFont="1" applyFill="1" applyBorder="1" applyAlignment="1">
      <alignment horizontal="left" vertical="center"/>
    </xf>
    <xf numFmtId="0" fontId="24" fillId="0" borderId="10" xfId="1" applyFont="1" applyBorder="1" applyAlignment="1">
      <alignment wrapText="1"/>
    </xf>
    <xf numFmtId="0" fontId="79" fillId="0" borderId="10" xfId="1" applyFont="1" applyBorder="1"/>
    <xf numFmtId="0" fontId="37" fillId="18" borderId="12" xfId="1" applyFont="1" applyFill="1" applyBorder="1" applyAlignment="1">
      <alignment horizontal="left" vertical="center"/>
    </xf>
    <xf numFmtId="169" fontId="25" fillId="12" borderId="12" xfId="4" applyNumberFormat="1" applyFont="1" applyFill="1" applyBorder="1" applyAlignment="1" applyProtection="1">
      <alignment horizontal="right" wrapText="1"/>
      <protection hidden="1"/>
    </xf>
    <xf numFmtId="0" fontId="79" fillId="0" borderId="0" xfId="4" applyFont="1" applyAlignment="1" applyProtection="1">
      <alignment horizontal="right"/>
      <protection hidden="1"/>
    </xf>
    <xf numFmtId="169" fontId="79" fillId="0" borderId="0" xfId="4" applyNumberFormat="1" applyFont="1" applyAlignment="1" applyProtection="1">
      <alignment horizontal="right"/>
      <protection hidden="1"/>
    </xf>
    <xf numFmtId="169" fontId="25" fillId="12" borderId="12" xfId="0" applyNumberFormat="1" applyFont="1" applyFill="1" applyBorder="1" applyAlignment="1">
      <alignment horizontal="right" wrapText="1"/>
    </xf>
    <xf numFmtId="0" fontId="76" fillId="0" borderId="0" xfId="0" applyFont="1" applyAlignment="1">
      <alignment horizontal="right"/>
    </xf>
    <xf numFmtId="0" fontId="76" fillId="0" borderId="0" xfId="4" applyFont="1" applyAlignment="1" applyProtection="1">
      <alignment horizontal="right"/>
      <protection hidden="1"/>
    </xf>
    <xf numFmtId="169" fontId="76" fillId="0" borderId="0" xfId="4" applyNumberFormat="1" applyFont="1" applyAlignment="1" applyProtection="1">
      <alignment horizontal="right"/>
      <protection hidden="1"/>
    </xf>
    <xf numFmtId="0" fontId="76" fillId="0" borderId="0" xfId="0" applyFont="1" applyAlignment="1">
      <alignment horizontal="right" wrapText="1"/>
    </xf>
    <xf numFmtId="169" fontId="34" fillId="7" borderId="12" xfId="4" applyNumberFormat="1" applyFont="1" applyFill="1" applyBorder="1" applyAlignment="1" applyProtection="1">
      <alignment horizontal="right"/>
      <protection hidden="1"/>
    </xf>
    <xf numFmtId="169" fontId="29" fillId="9" borderId="12" xfId="4" applyNumberFormat="1" applyFont="1" applyFill="1" applyBorder="1" applyAlignment="1" applyProtection="1">
      <alignment horizontal="right"/>
      <protection hidden="1"/>
    </xf>
    <xf numFmtId="169" fontId="34" fillId="8" borderId="12" xfId="4" applyNumberFormat="1" applyFont="1" applyFill="1" applyBorder="1" applyAlignment="1" applyProtection="1">
      <alignment horizontal="right"/>
      <protection hidden="1"/>
    </xf>
    <xf numFmtId="169" fontId="34" fillId="0" borderId="12" xfId="4" applyNumberFormat="1" applyFont="1" applyBorder="1" applyAlignment="1" applyProtection="1">
      <alignment horizontal="right"/>
      <protection hidden="1"/>
    </xf>
    <xf numFmtId="169" fontId="34" fillId="17" borderId="12" xfId="4" applyNumberFormat="1" applyFont="1" applyFill="1" applyBorder="1" applyAlignment="1" applyProtection="1">
      <alignment horizontal="right"/>
      <protection hidden="1"/>
    </xf>
    <xf numFmtId="169" fontId="29" fillId="9" borderId="12" xfId="1" applyNumberFormat="1" applyFont="1" applyFill="1" applyBorder="1" applyAlignment="1">
      <alignment horizontal="right"/>
    </xf>
    <xf numFmtId="169" fontId="76" fillId="12" borderId="12" xfId="0" applyNumberFormat="1" applyFont="1" applyFill="1" applyBorder="1" applyAlignment="1">
      <alignment horizontal="right" wrapText="1"/>
    </xf>
    <xf numFmtId="169" fontId="76" fillId="13" borderId="12" xfId="0" applyNumberFormat="1" applyFont="1" applyFill="1" applyBorder="1" applyAlignment="1">
      <alignment horizontal="right" wrapText="1"/>
    </xf>
    <xf numFmtId="0" fontId="67" fillId="0" borderId="0" xfId="0" applyFont="1" applyAlignment="1">
      <alignment horizontal="left" vertical="center" indent="1"/>
    </xf>
    <xf numFmtId="0" fontId="0" fillId="0" borderId="0" xfId="0" applyProtection="1">
      <protection locked="0"/>
    </xf>
    <xf numFmtId="0" fontId="51" fillId="0" borderId="0" xfId="0" applyFont="1" applyAlignment="1">
      <alignment horizontal="left" vertical="center"/>
    </xf>
    <xf numFmtId="0" fontId="51" fillId="0" borderId="0" xfId="0" applyFont="1" applyAlignment="1">
      <alignment horizontal="center" vertical="center"/>
    </xf>
    <xf numFmtId="0" fontId="50" fillId="0" borderId="0" xfId="0" applyFont="1" applyAlignment="1">
      <alignment horizontal="center" vertical="center" wrapText="1"/>
    </xf>
    <xf numFmtId="0" fontId="52" fillId="0" borderId="12" xfId="0" applyFont="1" applyBorder="1" applyAlignment="1">
      <alignment horizontal="center" vertical="center" wrapText="1"/>
    </xf>
    <xf numFmtId="49" fontId="50" fillId="0" borderId="0" xfId="0" applyNumberFormat="1" applyFont="1" applyAlignment="1">
      <alignment horizontal="center" vertical="center" wrapText="1"/>
    </xf>
    <xf numFmtId="0" fontId="50" fillId="0" borderId="12" xfId="0" applyFont="1" applyBorder="1" applyAlignment="1">
      <alignment horizontal="center" vertical="center" wrapText="1"/>
    </xf>
    <xf numFmtId="0" fontId="54" fillId="0" borderId="12" xfId="0" applyFont="1" applyBorder="1" applyAlignment="1">
      <alignment horizontal="center" vertical="center" wrapText="1"/>
    </xf>
    <xf numFmtId="49" fontId="55" fillId="0" borderId="13" xfId="0" applyNumberFormat="1" applyFont="1" applyBorder="1" applyAlignment="1">
      <alignment horizontal="left" vertical="center"/>
    </xf>
    <xf numFmtId="0" fontId="55" fillId="0" borderId="12" xfId="0" applyFont="1" applyBorder="1" applyAlignment="1">
      <alignment horizontal="left" vertical="center"/>
    </xf>
    <xf numFmtId="0" fontId="55" fillId="0" borderId="12" xfId="0" applyFont="1" applyBorder="1" applyAlignment="1">
      <alignment horizontal="left" vertical="center" wrapText="1"/>
    </xf>
    <xf numFmtId="169" fontId="56" fillId="0" borderId="12" xfId="0" applyNumberFormat="1" applyFont="1" applyBorder="1" applyAlignment="1">
      <alignment horizontal="center" vertical="center" wrapText="1"/>
    </xf>
    <xf numFmtId="169" fontId="52" fillId="30" borderId="12" xfId="0" applyNumberFormat="1" applyFont="1" applyFill="1" applyBorder="1" applyAlignment="1">
      <alignment horizontal="center" vertical="center" wrapText="1"/>
    </xf>
    <xf numFmtId="169" fontId="56" fillId="0" borderId="12" xfId="0" applyNumberFormat="1" applyFont="1" applyBorder="1" applyAlignment="1">
      <alignment horizontal="center" wrapText="1"/>
    </xf>
    <xf numFmtId="169" fontId="58" fillId="0" borderId="12" xfId="0" applyNumberFormat="1" applyFont="1" applyBorder="1" applyAlignment="1">
      <alignment horizontal="center" wrapText="1"/>
    </xf>
    <xf numFmtId="169" fontId="57" fillId="0" borderId="12" xfId="0" applyNumberFormat="1" applyFont="1" applyBorder="1" applyAlignment="1">
      <alignment horizontal="center" vertical="center" wrapText="1"/>
    </xf>
    <xf numFmtId="169" fontId="55" fillId="0" borderId="12" xfId="0" applyNumberFormat="1" applyFont="1" applyBorder="1" applyAlignment="1">
      <alignment horizontal="center" vertical="center" wrapText="1"/>
    </xf>
    <xf numFmtId="0" fontId="52" fillId="0" borderId="12" xfId="0" applyFont="1" applyBorder="1" applyAlignment="1">
      <alignment horizontal="left" vertical="center"/>
    </xf>
    <xf numFmtId="0" fontId="52" fillId="0" borderId="12" xfId="0" applyFont="1" applyBorder="1" applyAlignment="1">
      <alignment horizontal="left" vertical="center" wrapText="1"/>
    </xf>
    <xf numFmtId="0" fontId="53" fillId="0" borderId="12" xfId="0" applyFont="1" applyBorder="1" applyAlignment="1">
      <alignment horizontal="left" vertical="center" wrapText="1"/>
    </xf>
    <xf numFmtId="169" fontId="52" fillId="9" borderId="12" xfId="0" applyNumberFormat="1" applyFont="1" applyFill="1" applyBorder="1" applyAlignment="1" applyProtection="1">
      <alignment vertical="center"/>
      <protection hidden="1"/>
    </xf>
    <xf numFmtId="0" fontId="21" fillId="0" borderId="0" xfId="0" applyFont="1" applyAlignment="1">
      <alignment horizontal="left" vertical="center"/>
    </xf>
    <xf numFmtId="0" fontId="30" fillId="0" borderId="0" xfId="0" applyFont="1" applyAlignment="1">
      <alignment horizontal="center" vertical="center" wrapText="1"/>
    </xf>
    <xf numFmtId="0" fontId="21" fillId="0" borderId="0" xfId="0" applyFont="1" applyAlignment="1">
      <alignment horizontal="left"/>
    </xf>
    <xf numFmtId="0" fontId="29" fillId="0" borderId="0" xfId="0" applyFont="1" applyAlignment="1">
      <alignment horizontal="center" vertical="center" wrapText="1"/>
    </xf>
    <xf numFmtId="0" fontId="22" fillId="0" borderId="12" xfId="0" applyFont="1" applyBorder="1" applyAlignment="1">
      <alignment horizontal="center" vertical="center" wrapText="1"/>
    </xf>
    <xf numFmtId="49" fontId="29" fillId="0" borderId="0" xfId="0" applyNumberFormat="1" applyFont="1" applyAlignment="1">
      <alignment horizontal="center" vertical="center" wrapText="1"/>
    </xf>
    <xf numFmtId="0" fontId="29" fillId="0" borderId="12" xfId="0" applyFont="1" applyBorder="1" applyAlignment="1">
      <alignment horizontal="center" vertical="center" wrapText="1"/>
    </xf>
    <xf numFmtId="49" fontId="24" fillId="0" borderId="13" xfId="0" applyNumberFormat="1" applyFont="1" applyBorder="1" applyAlignment="1">
      <alignment horizontal="left" vertical="center"/>
    </xf>
    <xf numFmtId="0" fontId="24" fillId="0" borderId="12" xfId="0" applyFont="1" applyBorder="1" applyAlignment="1">
      <alignment horizontal="left"/>
    </xf>
    <xf numFmtId="0" fontId="24" fillId="0" borderId="12" xfId="0" applyFont="1" applyBorder="1" applyAlignment="1">
      <alignment horizontal="left" vertical="center" wrapText="1"/>
    </xf>
    <xf numFmtId="169" fontId="22" fillId="30" borderId="12" xfId="0" applyNumberFormat="1" applyFont="1" applyFill="1" applyBorder="1" applyAlignment="1">
      <alignment vertical="center"/>
    </xf>
    <xf numFmtId="169" fontId="22" fillId="30" borderId="12" xfId="0" applyNumberFormat="1" applyFont="1" applyFill="1" applyBorder="1"/>
    <xf numFmtId="169" fontId="24" fillId="29" borderId="12" xfId="0" applyNumberFormat="1" applyFont="1" applyFill="1" applyBorder="1"/>
    <xf numFmtId="169" fontId="24" fillId="29" borderId="12" xfId="0" applyNumberFormat="1" applyFont="1" applyFill="1" applyBorder="1" applyAlignment="1">
      <alignment horizontal="center" vertical="center" wrapText="1"/>
    </xf>
    <xf numFmtId="169" fontId="24" fillId="29" borderId="12" xfId="0" applyNumberFormat="1" applyFont="1" applyFill="1" applyBorder="1" applyAlignment="1">
      <alignment horizontal="center" vertical="center"/>
    </xf>
    <xf numFmtId="169" fontId="22" fillId="30" borderId="15" xfId="0" applyNumberFormat="1" applyFont="1" applyFill="1" applyBorder="1" applyAlignment="1">
      <alignment vertical="center"/>
    </xf>
    <xf numFmtId="169" fontId="26" fillId="0" borderId="14" xfId="0" applyNumberFormat="1" applyFont="1" applyBorder="1" applyAlignment="1">
      <alignment horizontal="center" vertical="center" wrapText="1"/>
    </xf>
    <xf numFmtId="0" fontId="22" fillId="0" borderId="12" xfId="0" applyFont="1" applyBorder="1" applyAlignment="1">
      <alignment horizontal="left"/>
    </xf>
    <xf numFmtId="0" fontId="22" fillId="0" borderId="12" xfId="0" applyFont="1" applyBorder="1" applyAlignment="1">
      <alignment horizontal="left" vertical="center" wrapText="1"/>
    </xf>
    <xf numFmtId="0" fontId="23" fillId="30" borderId="12" xfId="0" applyFont="1" applyFill="1" applyBorder="1" applyAlignment="1">
      <alignment horizontal="left" vertical="center" wrapText="1"/>
    </xf>
    <xf numFmtId="0" fontId="1" fillId="0" borderId="0" xfId="0" applyFont="1" applyAlignment="1">
      <alignment vertical="center"/>
    </xf>
    <xf numFmtId="0" fontId="1" fillId="0" borderId="0" xfId="0" applyFont="1"/>
    <xf numFmtId="0" fontId="50" fillId="0" borderId="0" xfId="0" applyFont="1" applyAlignment="1" applyProtection="1">
      <alignment horizontal="center" vertical="center" wrapText="1"/>
      <protection hidden="1"/>
    </xf>
    <xf numFmtId="0" fontId="53" fillId="30" borderId="12" xfId="0" applyFont="1" applyFill="1" applyBorder="1" applyAlignment="1" applyProtection="1">
      <alignment horizontal="center" vertical="center" wrapText="1"/>
      <protection hidden="1"/>
    </xf>
    <xf numFmtId="0" fontId="50" fillId="0" borderId="12" xfId="0" applyFont="1" applyBorder="1" applyAlignment="1" applyProtection="1">
      <alignment horizontal="center" vertical="center" wrapText="1"/>
      <protection hidden="1"/>
    </xf>
    <xf numFmtId="169" fontId="52" fillId="30" borderId="12" xfId="0" applyNumberFormat="1" applyFont="1" applyFill="1" applyBorder="1" applyAlignment="1" applyProtection="1">
      <alignment horizontal="center" vertical="center"/>
      <protection hidden="1"/>
    </xf>
    <xf numFmtId="169" fontId="80" fillId="0" borderId="12" xfId="0" applyNumberFormat="1" applyFont="1" applyBorder="1" applyAlignment="1" applyProtection="1">
      <alignment horizontal="center" vertical="center" wrapText="1"/>
      <protection hidden="1"/>
    </xf>
    <xf numFmtId="0" fontId="12" fillId="0" borderId="0" xfId="0" applyFont="1"/>
    <xf numFmtId="169" fontId="81" fillId="0" borderId="12" xfId="0" applyNumberFormat="1" applyFont="1" applyBorder="1" applyAlignment="1" applyProtection="1">
      <alignment horizontal="center" vertical="center"/>
      <protection hidden="1"/>
    </xf>
    <xf numFmtId="169" fontId="80" fillId="0" borderId="12" xfId="0" applyNumberFormat="1" applyFont="1" applyBorder="1" applyAlignment="1" applyProtection="1">
      <alignment horizontal="center" vertical="center"/>
      <protection hidden="1"/>
    </xf>
    <xf numFmtId="0" fontId="52" fillId="0" borderId="12" xfId="0" applyFont="1" applyBorder="1" applyAlignment="1" applyProtection="1">
      <alignment horizontal="center" vertical="center"/>
      <protection hidden="1"/>
    </xf>
    <xf numFmtId="0" fontId="29" fillId="0" borderId="0" xfId="0" applyFont="1" applyAlignment="1" applyProtection="1">
      <alignment horizontal="center" vertical="center" wrapText="1"/>
      <protection hidden="1"/>
    </xf>
    <xf numFmtId="0" fontId="29" fillId="0" borderId="12" xfId="0" applyFont="1" applyBorder="1" applyAlignment="1" applyProtection="1">
      <alignment horizontal="center" vertical="center" wrapText="1"/>
      <protection hidden="1"/>
    </xf>
    <xf numFmtId="169" fontId="22" fillId="30" borderId="12" xfId="0" applyNumberFormat="1" applyFont="1" applyFill="1" applyBorder="1" applyAlignment="1" applyProtection="1">
      <alignment horizontal="right" vertical="center" wrapText="1"/>
      <protection hidden="1"/>
    </xf>
    <xf numFmtId="169" fontId="28" fillId="0" borderId="12" xfId="0" applyNumberFormat="1" applyFont="1" applyBorder="1" applyAlignment="1" applyProtection="1">
      <alignment horizontal="center" vertical="center" wrapText="1"/>
      <protection hidden="1"/>
    </xf>
    <xf numFmtId="0" fontId="22" fillId="0" borderId="12" xfId="0" applyFont="1" applyBorder="1" applyAlignment="1" applyProtection="1">
      <alignment horizontal="left" vertical="center" wrapText="1"/>
      <protection hidden="1"/>
    </xf>
    <xf numFmtId="0" fontId="23" fillId="30" borderId="12" xfId="0" applyFont="1" applyFill="1" applyBorder="1" applyAlignment="1" applyProtection="1">
      <alignment horizontal="left" vertical="center" wrapText="1"/>
      <protection hidden="1"/>
    </xf>
    <xf numFmtId="169" fontId="22" fillId="30" borderId="12" xfId="0" applyNumberFormat="1" applyFont="1" applyFill="1" applyBorder="1" applyAlignment="1" applyProtection="1">
      <alignment vertical="center" wrapText="1"/>
      <protection hidden="1"/>
    </xf>
    <xf numFmtId="0" fontId="1" fillId="0" borderId="0" xfId="0" applyFont="1" applyAlignment="1">
      <alignment wrapText="1"/>
    </xf>
    <xf numFmtId="0" fontId="21" fillId="0" borderId="0" xfId="0" applyFont="1" applyAlignment="1" applyProtection="1">
      <alignment horizontal="left"/>
      <protection hidden="1"/>
    </xf>
    <xf numFmtId="0" fontId="1" fillId="0" borderId="0" xfId="0" applyFont="1" applyProtection="1">
      <protection hidden="1"/>
    </xf>
    <xf numFmtId="49" fontId="31" fillId="0" borderId="0" xfId="0" applyNumberFormat="1" applyFont="1" applyAlignment="1" applyProtection="1">
      <alignment horizontal="left" vertical="top"/>
      <protection hidden="1"/>
    </xf>
    <xf numFmtId="49" fontId="31" fillId="0" borderId="0" xfId="0" applyNumberFormat="1" applyFont="1" applyAlignment="1" applyProtection="1">
      <alignment horizontal="left" vertical="top" wrapText="1"/>
      <protection hidden="1"/>
    </xf>
    <xf numFmtId="0" fontId="35" fillId="0" borderId="0" xfId="0" applyFont="1" applyAlignment="1" applyProtection="1">
      <alignment horizontal="center" vertical="center"/>
      <protection hidden="1"/>
    </xf>
    <xf numFmtId="0" fontId="36" fillId="0" borderId="0" xfId="0" applyFont="1" applyAlignment="1" applyProtection="1">
      <alignment horizontal="center" vertical="center" wrapText="1"/>
      <protection hidden="1"/>
    </xf>
    <xf numFmtId="49" fontId="35" fillId="0" borderId="0" xfId="0" applyNumberFormat="1" applyFont="1" applyAlignment="1" applyProtection="1">
      <alignment horizontal="center" vertical="center"/>
      <protection hidden="1"/>
    </xf>
    <xf numFmtId="49" fontId="29" fillId="0" borderId="12" xfId="0" applyNumberFormat="1" applyFont="1" applyBorder="1" applyAlignment="1" applyProtection="1">
      <alignment horizontal="center" vertical="center" wrapText="1"/>
      <protection hidden="1"/>
    </xf>
    <xf numFmtId="49" fontId="24" fillId="0" borderId="0" xfId="0" applyNumberFormat="1" applyFont="1" applyAlignment="1" applyProtection="1">
      <alignment horizontal="center" vertical="center"/>
      <protection hidden="1"/>
    </xf>
    <xf numFmtId="49" fontId="24" fillId="0" borderId="12" xfId="0" applyNumberFormat="1" applyFont="1" applyBorder="1" applyAlignment="1" applyProtection="1">
      <alignment horizontal="left" vertical="center" wrapText="1"/>
      <protection hidden="1"/>
    </xf>
    <xf numFmtId="169" fontId="34" fillId="0" borderId="12" xfId="0" applyNumberFormat="1" applyFont="1" applyBorder="1" applyAlignment="1" applyProtection="1">
      <alignment horizontal="center" vertical="center" wrapText="1"/>
      <protection hidden="1"/>
    </xf>
    <xf numFmtId="169" fontId="29" fillId="30" borderId="12" xfId="0" applyNumberFormat="1" applyFont="1" applyFill="1" applyBorder="1" applyProtection="1">
      <protection hidden="1"/>
    </xf>
    <xf numFmtId="0" fontId="33" fillId="0" borderId="0" xfId="0" applyFont="1" applyAlignment="1" applyProtection="1">
      <alignment horizontal="center" vertical="center"/>
      <protection hidden="1"/>
    </xf>
    <xf numFmtId="0" fontId="33" fillId="0" borderId="12" xfId="0" applyFont="1" applyBorder="1" applyAlignment="1" applyProtection="1">
      <alignment horizontal="left" vertical="center"/>
      <protection hidden="1"/>
    </xf>
    <xf numFmtId="0" fontId="32" fillId="0" borderId="12" xfId="0" applyFont="1" applyBorder="1" applyAlignment="1" applyProtection="1">
      <alignment horizontal="left" vertical="center"/>
      <protection hidden="1"/>
    </xf>
    <xf numFmtId="49" fontId="23" fillId="0" borderId="12" xfId="0" applyNumberFormat="1" applyFont="1" applyBorder="1" applyAlignment="1" applyProtection="1">
      <alignment horizontal="left" vertical="center" wrapText="1"/>
      <protection hidden="1"/>
    </xf>
    <xf numFmtId="0" fontId="21" fillId="0" borderId="0" xfId="1" applyFont="1" applyAlignment="1">
      <alignment horizontal="left"/>
    </xf>
    <xf numFmtId="0" fontId="51" fillId="0" borderId="0" xfId="1" applyFont="1" applyAlignment="1">
      <alignment horizontal="left" wrapText="1"/>
    </xf>
    <xf numFmtId="0" fontId="31" fillId="0" borderId="0" xfId="1" applyFont="1" applyAlignment="1">
      <alignment horizontal="center" vertical="center"/>
    </xf>
    <xf numFmtId="0" fontId="29" fillId="0" borderId="0" xfId="1" applyFont="1" applyAlignment="1">
      <alignment horizontal="center" vertical="center" wrapText="1"/>
    </xf>
    <xf numFmtId="0" fontId="50" fillId="0" borderId="0" xfId="1" applyFont="1" applyAlignment="1">
      <alignment horizontal="center" vertical="center" wrapText="1"/>
    </xf>
    <xf numFmtId="0" fontId="22" fillId="0" borderId="12" xfId="1" applyFont="1" applyBorder="1" applyAlignment="1">
      <alignment horizontal="center" vertical="center" wrapText="1"/>
    </xf>
    <xf numFmtId="49" fontId="50" fillId="0" borderId="0" xfId="1" applyNumberFormat="1" applyFont="1" applyAlignment="1">
      <alignment horizontal="center" vertical="center"/>
    </xf>
    <xf numFmtId="49" fontId="50" fillId="0" borderId="12" xfId="1" applyNumberFormat="1" applyFont="1" applyBorder="1" applyAlignment="1">
      <alignment horizontal="center" vertical="center" wrapText="1"/>
    </xf>
    <xf numFmtId="0" fontId="52" fillId="0" borderId="12" xfId="1" applyFont="1" applyBorder="1" applyAlignment="1">
      <alignment horizontal="center" vertical="center" wrapText="1"/>
    </xf>
    <xf numFmtId="49" fontId="24" fillId="0" borderId="0" xfId="1" applyNumberFormat="1" applyFont="1" applyAlignment="1">
      <alignment horizontal="center" vertical="center"/>
    </xf>
    <xf numFmtId="49" fontId="24" fillId="0" borderId="12" xfId="1" applyNumberFormat="1" applyFont="1" applyBorder="1" applyAlignment="1">
      <alignment horizontal="left" vertical="center"/>
    </xf>
    <xf numFmtId="49" fontId="55" fillId="0" borderId="12" xfId="1" applyNumberFormat="1" applyFont="1" applyBorder="1" applyAlignment="1">
      <alignment horizontal="left" vertical="center" wrapText="1"/>
    </xf>
    <xf numFmtId="169" fontId="17" fillId="0" borderId="12" xfId="0" applyNumberFormat="1" applyFont="1" applyBorder="1" applyAlignment="1">
      <alignment horizontal="center" vertical="center" wrapText="1"/>
    </xf>
    <xf numFmtId="169" fontId="29" fillId="0" borderId="12" xfId="1" applyNumberFormat="1" applyFont="1" applyBorder="1"/>
    <xf numFmtId="0" fontId="24" fillId="0" borderId="0" xfId="1" applyFont="1" applyAlignment="1">
      <alignment horizontal="center" vertical="center"/>
    </xf>
    <xf numFmtId="0" fontId="24" fillId="0" borderId="0" xfId="1" applyFont="1" applyAlignment="1">
      <alignment horizontal="left" vertical="center"/>
    </xf>
    <xf numFmtId="49" fontId="24" fillId="0" borderId="0" xfId="1" applyNumberFormat="1" applyFont="1" applyAlignment="1">
      <alignment horizontal="left" vertical="center"/>
    </xf>
    <xf numFmtId="49" fontId="53" fillId="0" borderId="12" xfId="1" applyNumberFormat="1" applyFont="1" applyBorder="1" applyAlignment="1">
      <alignment horizontal="left" vertical="center" wrapText="1"/>
    </xf>
    <xf numFmtId="0" fontId="7" fillId="5" borderId="0" xfId="0" applyFont="1" applyFill="1" applyAlignment="1">
      <alignment horizontal="center" vertical="center" wrapText="1"/>
    </xf>
    <xf numFmtId="0" fontId="7" fillId="31" borderId="0" xfId="0" applyFont="1" applyFill="1" applyAlignment="1">
      <alignment horizontal="center" vertical="center" wrapText="1"/>
    </xf>
    <xf numFmtId="0" fontId="7" fillId="32" borderId="0" xfId="0" applyFont="1" applyFill="1" applyAlignment="1">
      <alignment horizontal="center" vertical="center" wrapText="1"/>
    </xf>
    <xf numFmtId="0" fontId="7" fillId="31" borderId="0" xfId="0" applyFont="1" applyFill="1" applyAlignment="1">
      <alignment horizontal="left" vertical="center" wrapText="1"/>
    </xf>
    <xf numFmtId="0" fontId="65" fillId="0" borderId="0" xfId="0" applyFont="1" applyAlignment="1">
      <alignment horizontal="left" vertical="center" wrapText="1"/>
    </xf>
    <xf numFmtId="0" fontId="7" fillId="33" borderId="0" xfId="0" applyFont="1" applyFill="1" applyAlignment="1">
      <alignment horizontal="center" vertical="center" wrapText="1"/>
    </xf>
    <xf numFmtId="0" fontId="65" fillId="0" borderId="0" xfId="0" applyFont="1" applyAlignment="1">
      <alignment horizontal="left" vertical="center"/>
    </xf>
    <xf numFmtId="171" fontId="65" fillId="0" borderId="0" xfId="0" applyNumberFormat="1" applyFont="1" applyAlignment="1">
      <alignment horizontal="left" vertical="center" wrapText="1"/>
    </xf>
    <xf numFmtId="171" fontId="0" fillId="0" borderId="0" xfId="0" applyNumberFormat="1" applyAlignment="1">
      <alignment horizontal="left" vertical="center"/>
    </xf>
    <xf numFmtId="1" fontId="65" fillId="0" borderId="0" xfId="0" applyNumberFormat="1" applyFont="1" applyAlignment="1">
      <alignment horizontal="left" vertical="center" wrapText="1"/>
    </xf>
    <xf numFmtId="9" fontId="0" fillId="0" borderId="0" xfId="0" applyNumberFormat="1" applyAlignment="1">
      <alignment horizontal="left" vertical="center"/>
    </xf>
    <xf numFmtId="0" fontId="42" fillId="0" borderId="12" xfId="0" applyFont="1" applyBorder="1" applyAlignment="1">
      <alignment horizontal="center" vertical="center" wrapText="1"/>
    </xf>
    <xf numFmtId="169" fontId="54" fillId="0" borderId="12" xfId="0" applyNumberFormat="1" applyFont="1" applyBorder="1" applyAlignment="1">
      <alignment horizontal="center" vertical="center" wrapText="1"/>
    </xf>
    <xf numFmtId="169" fontId="17" fillId="0" borderId="10" xfId="0" applyNumberFormat="1" applyFont="1" applyBorder="1" applyAlignment="1">
      <alignment horizontal="center" vertical="center" wrapText="1"/>
    </xf>
    <xf numFmtId="169" fontId="17" fillId="0" borderId="0" xfId="0" applyNumberFormat="1" applyFont="1" applyAlignment="1">
      <alignment horizontal="center" vertical="center" wrapText="1"/>
    </xf>
    <xf numFmtId="0" fontId="31" fillId="23" borderId="0" xfId="1" applyFont="1" applyFill="1" applyAlignment="1">
      <alignment horizontal="center" vertical="center"/>
    </xf>
    <xf numFmtId="0" fontId="29" fillId="23" borderId="0" xfId="1" applyFont="1" applyFill="1" applyAlignment="1">
      <alignment horizontal="center" vertical="center" wrapText="1"/>
    </xf>
    <xf numFmtId="0" fontId="50" fillId="23" borderId="0" xfId="1" applyFont="1" applyFill="1" applyAlignment="1">
      <alignment horizontal="center" vertical="center" wrapText="1"/>
    </xf>
    <xf numFmtId="0" fontId="22" fillId="23" borderId="12" xfId="1" applyFont="1" applyFill="1" applyBorder="1" applyAlignment="1">
      <alignment horizontal="center" vertical="center" wrapText="1"/>
    </xf>
    <xf numFmtId="0" fontId="0" fillId="23" borderId="0" xfId="0" applyFill="1"/>
    <xf numFmtId="169" fontId="76" fillId="7" borderId="12" xfId="4" applyNumberFormat="1" applyFont="1" applyFill="1" applyBorder="1" applyAlignment="1" applyProtection="1">
      <alignment horizontal="right"/>
      <protection hidden="1"/>
    </xf>
    <xf numFmtId="0" fontId="39" fillId="19" borderId="0" xfId="0" applyFont="1" applyFill="1" applyAlignment="1">
      <alignment horizontal="center"/>
    </xf>
    <xf numFmtId="0" fontId="41" fillId="19" borderId="0" xfId="0" applyFont="1" applyFill="1" applyAlignment="1">
      <alignment horizontal="center" vertical="center"/>
    </xf>
    <xf numFmtId="0" fontId="13" fillId="19" borderId="0" xfId="0" applyFont="1" applyFill="1" applyAlignment="1">
      <alignment horizontal="center" vertical="center" wrapText="1"/>
    </xf>
    <xf numFmtId="0" fontId="13" fillId="19" borderId="0" xfId="0" applyFont="1" applyFill="1" applyAlignment="1">
      <alignment vertical="center" wrapText="1"/>
    </xf>
    <xf numFmtId="0" fontId="0" fillId="0" borderId="18" xfId="0" applyBorder="1" applyAlignment="1">
      <alignment horizontal="center" vertical="center" wrapText="1"/>
    </xf>
    <xf numFmtId="0" fontId="13" fillId="19" borderId="19" xfId="0" applyFont="1" applyFill="1" applyBorder="1" applyAlignment="1">
      <alignment horizontal="left" vertical="center" wrapText="1" indent="1"/>
    </xf>
    <xf numFmtId="0" fontId="13" fillId="19" borderId="20" xfId="0" applyFont="1" applyFill="1" applyBorder="1" applyAlignment="1">
      <alignment horizontal="left" vertical="center" wrapText="1" indent="1"/>
    </xf>
    <xf numFmtId="0" fontId="43" fillId="0" borderId="11" xfId="0" applyFont="1" applyBorder="1" applyAlignment="1">
      <alignment horizontal="left" vertical="center" wrapText="1"/>
    </xf>
    <xf numFmtId="0" fontId="43" fillId="0" borderId="26" xfId="0" applyFont="1" applyBorder="1" applyAlignment="1">
      <alignment horizontal="left" vertical="center" wrapText="1"/>
    </xf>
    <xf numFmtId="0" fontId="43" fillId="0" borderId="8" xfId="0" applyFont="1" applyBorder="1" applyAlignment="1">
      <alignment horizontal="left" vertical="center" wrapText="1"/>
    </xf>
    <xf numFmtId="0" fontId="43" fillId="0" borderId="27" xfId="0" applyFont="1" applyBorder="1" applyAlignment="1">
      <alignment horizontal="left" vertical="center" wrapText="1"/>
    </xf>
    <xf numFmtId="0" fontId="0" fillId="0" borderId="31"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vertical="center" wrapText="1"/>
    </xf>
    <xf numFmtId="0" fontId="43" fillId="0" borderId="4" xfId="0" applyFont="1" applyBorder="1" applyAlignment="1">
      <alignment horizontal="left" vertical="center" wrapText="1"/>
    </xf>
    <xf numFmtId="0" fontId="43" fillId="0" borderId="0" xfId="0" applyFont="1" applyAlignment="1">
      <alignment horizontal="left" vertical="center" wrapText="1"/>
    </xf>
    <xf numFmtId="0" fontId="43" fillId="0" borderId="29" xfId="0" applyFont="1" applyBorder="1" applyAlignment="1">
      <alignment horizontal="left" vertical="center" wrapText="1"/>
    </xf>
    <xf numFmtId="0" fontId="8" fillId="3" borderId="0" xfId="0" applyFont="1" applyFill="1" applyAlignment="1">
      <alignment horizontal="left" vertical="center" wrapText="1"/>
    </xf>
    <xf numFmtId="0" fontId="0" fillId="0" borderId="0" xfId="0" applyAlignment="1">
      <alignment horizontal="left" vertical="center"/>
    </xf>
    <xf numFmtId="0" fontId="0" fillId="0" borderId="0" xfId="0"/>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4" xfId="0" applyFont="1" applyBorder="1" applyAlignment="1">
      <alignment horizontal="center" vertical="center" wrapText="1"/>
    </xf>
    <xf numFmtId="0" fontId="0" fillId="0" borderId="9" xfId="0" applyBorder="1" applyAlignment="1">
      <alignment horizontal="center" vertical="center" wrapText="1"/>
    </xf>
    <xf numFmtId="0" fontId="14" fillId="0" borderId="3" xfId="0" applyFont="1" applyBorder="1" applyAlignment="1">
      <alignment horizontal="center" vertical="center" wrapText="1"/>
    </xf>
    <xf numFmtId="0" fontId="0" fillId="0" borderId="2" xfId="0" applyBorder="1" applyAlignment="1">
      <alignment horizontal="center" vertical="center" wrapText="1"/>
    </xf>
    <xf numFmtId="0" fontId="23" fillId="9" borderId="12" xfId="4" applyFont="1" applyFill="1" applyBorder="1" applyAlignment="1" applyProtection="1">
      <alignment horizontal="center" vertical="center" wrapText="1"/>
      <protection hidden="1"/>
    </xf>
    <xf numFmtId="0" fontId="31" fillId="8" borderId="0" xfId="4" applyFont="1" applyFill="1" applyAlignment="1" applyProtection="1">
      <alignment horizontal="left" vertical="top"/>
      <protection hidden="1"/>
    </xf>
    <xf numFmtId="0" fontId="31" fillId="8" borderId="0" xfId="4" applyFont="1" applyFill="1" applyAlignment="1" applyProtection="1">
      <alignment horizontal="left" vertical="top" wrapText="1"/>
      <protection hidden="1"/>
    </xf>
    <xf numFmtId="0" fontId="23" fillId="10" borderId="12" xfId="1" applyFont="1" applyFill="1" applyBorder="1" applyAlignment="1">
      <alignment horizontal="center" vertical="center" wrapText="1"/>
    </xf>
    <xf numFmtId="0" fontId="57" fillId="0" borderId="33" xfId="0" applyFont="1" applyBorder="1" applyAlignment="1" applyProtection="1">
      <alignment horizontal="left" vertical="center" wrapText="1" indent="1"/>
      <protection hidden="1"/>
    </xf>
    <xf numFmtId="0" fontId="57" fillId="0" borderId="34" xfId="0" applyFont="1" applyBorder="1" applyAlignment="1" applyProtection="1">
      <alignment horizontal="left" vertical="center" wrapText="1" indent="1"/>
      <protection hidden="1"/>
    </xf>
    <xf numFmtId="0" fontId="57" fillId="0" borderId="35" xfId="0" applyFont="1" applyBorder="1" applyAlignment="1" applyProtection="1">
      <alignment horizontal="left" vertical="center" wrapText="1" indent="1"/>
      <protection hidden="1"/>
    </xf>
    <xf numFmtId="0" fontId="23" fillId="9" borderId="12" xfId="0" applyFont="1" applyFill="1" applyBorder="1" applyAlignment="1">
      <alignment horizontal="center" vertical="center" wrapText="1"/>
    </xf>
    <xf numFmtId="0" fontId="31" fillId="0" borderId="0" xfId="0" applyFont="1" applyAlignment="1">
      <alignment horizontal="left" vertical="top"/>
    </xf>
    <xf numFmtId="0" fontId="23" fillId="30" borderId="12" xfId="0" applyFont="1" applyFill="1" applyBorder="1" applyAlignment="1">
      <alignment horizontal="center" vertical="center" wrapText="1"/>
    </xf>
    <xf numFmtId="0" fontId="23" fillId="30" borderId="16" xfId="0" applyFont="1" applyFill="1" applyBorder="1" applyAlignment="1">
      <alignment horizontal="center" vertical="center" wrapText="1"/>
    </xf>
    <xf numFmtId="0" fontId="23" fillId="30" borderId="36" xfId="0" applyFont="1" applyFill="1" applyBorder="1" applyAlignment="1">
      <alignment horizontal="center" vertical="center" wrapText="1"/>
    </xf>
    <xf numFmtId="0" fontId="23" fillId="30" borderId="14" xfId="0" applyFont="1" applyFill="1" applyBorder="1" applyAlignment="1">
      <alignment horizontal="center" vertical="center" wrapText="1"/>
    </xf>
    <xf numFmtId="0" fontId="31" fillId="0" borderId="0" xfId="0" applyFont="1" applyAlignment="1" applyProtection="1">
      <alignment horizontal="left" vertical="center" wrapText="1"/>
      <protection hidden="1"/>
    </xf>
    <xf numFmtId="0" fontId="23" fillId="30" borderId="12" xfId="0" applyFont="1" applyFill="1" applyBorder="1" applyAlignment="1" applyProtection="1">
      <alignment horizontal="center" vertical="center" wrapText="1"/>
      <protection hidden="1"/>
    </xf>
    <xf numFmtId="0" fontId="50" fillId="0" borderId="0" xfId="0" applyFont="1" applyAlignment="1">
      <alignment horizontal="left" vertical="center"/>
    </xf>
    <xf numFmtId="0" fontId="53" fillId="30" borderId="12" xfId="0" applyFont="1" applyFill="1" applyBorder="1" applyAlignment="1">
      <alignment horizontal="center" vertical="center" wrapText="1"/>
    </xf>
    <xf numFmtId="0" fontId="53" fillId="30" borderId="12" xfId="0" applyFont="1" applyFill="1" applyBorder="1" applyAlignment="1" applyProtection="1">
      <alignment horizontal="center" vertical="center" wrapText="1"/>
      <protection hidden="1"/>
    </xf>
    <xf numFmtId="0" fontId="50" fillId="0" borderId="0" xfId="0" applyFont="1" applyAlignment="1" applyProtection="1">
      <alignment horizontal="center" vertical="center" wrapText="1"/>
      <protection hidden="1"/>
    </xf>
    <xf numFmtId="0" fontId="23" fillId="0" borderId="12" xfId="0" applyFont="1" applyBorder="1" applyAlignment="1" applyProtection="1">
      <alignment horizontal="center" vertical="center" wrapText="1"/>
      <protection hidden="1"/>
    </xf>
    <xf numFmtId="0" fontId="23" fillId="9" borderId="12" xfId="0" applyFont="1" applyFill="1" applyBorder="1" applyAlignment="1" applyProtection="1">
      <alignment horizontal="center" vertical="center" wrapText="1"/>
      <protection hidden="1"/>
    </xf>
    <xf numFmtId="49" fontId="31" fillId="0" borderId="0" xfId="1" applyNumberFormat="1" applyFont="1" applyAlignment="1">
      <alignment horizontal="left" vertical="top"/>
    </xf>
    <xf numFmtId="0" fontId="23" fillId="0" borderId="12" xfId="1" applyFont="1" applyBorder="1" applyAlignment="1">
      <alignment horizontal="center" vertical="center" wrapText="1"/>
    </xf>
  </cellXfs>
  <cellStyles count="6">
    <cellStyle name="Comma 2" xfId="2" xr:uid="{C877C5E8-FCBF-114F-9ECB-F75EF7C9C0EB}"/>
    <cellStyle name="Milliers" xfId="3" builtinId="3"/>
    <cellStyle name="Milliers 2" xfId="5" xr:uid="{C98A9282-6AC5-784B-80AA-54BB74A59302}"/>
    <cellStyle name="Normal" xfId="0" builtinId="0"/>
    <cellStyle name="Normal 2" xfId="1" xr:uid="{6FC886D6-2077-B34D-B1DF-739B068A66D1}"/>
    <cellStyle name="Normal 3" xfId="4" xr:uid="{6BD57324-3FD5-D341-A299-730D14794802}"/>
  </cellStyles>
  <dxfs count="28">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rgb="FFCCB1EE"/>
        </patternFill>
      </fill>
    </dxf>
    <dxf>
      <fill>
        <patternFill>
          <bgColor theme="2" tint="-9.9948118533890809E-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5" tint="0.79998168889431442"/>
          <bgColor theme="5" tint="0.79998168889431442"/>
        </patternFill>
      </fill>
      <border>
        <top style="thin">
          <color theme="1"/>
        </top>
        <vertical/>
        <horizontal/>
      </border>
    </dxf>
    <dxf>
      <font>
        <color theme="0"/>
      </font>
    </dxf>
    <dxf>
      <font>
        <color rgb="FF9C0006"/>
      </font>
      <fill>
        <patternFill>
          <bgColor rgb="FFFFC7CE"/>
        </patternFill>
      </fill>
    </dxf>
  </dxfs>
  <tableStyles count="0" defaultTableStyle="TableStyleMedium2" defaultPivotStyle="PivotStyleLight16"/>
  <colors>
    <mruColors>
      <color rgb="FFCCB1EE"/>
      <color rgb="FFC896EA"/>
      <color rgb="FF01A94F"/>
      <color rgb="FFF7EF2D"/>
      <color rgb="FFFE0000"/>
      <color rgb="FF0B0B97"/>
      <color rgb="FF2C45E0"/>
      <color rgb="FFCE42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632166</xdr:colOff>
      <xdr:row>12</xdr:row>
      <xdr:rowOff>199927</xdr:rowOff>
    </xdr:from>
    <xdr:ext cx="389621" cy="478116"/>
    <xdr:pic>
      <xdr:nvPicPr>
        <xdr:cNvPr id="2" name="Image 1" descr="Applause PNG Transparent Images - PNG All">
          <a:extLst>
            <a:ext uri="{FF2B5EF4-FFF2-40B4-BE49-F238E27FC236}">
              <a16:creationId xmlns:a16="http://schemas.microsoft.com/office/drawing/2014/main" id="{A725DBE8-FC47-BB4E-ACFF-F99368C8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57666" y="2282727"/>
          <a:ext cx="389621" cy="4781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173580</xdr:colOff>
      <xdr:row>12</xdr:row>
      <xdr:rowOff>190844</xdr:rowOff>
    </xdr:from>
    <xdr:ext cx="513642" cy="428121"/>
    <xdr:pic>
      <xdr:nvPicPr>
        <xdr:cNvPr id="3" name="Image 2">
          <a:extLst>
            <a:ext uri="{FF2B5EF4-FFF2-40B4-BE49-F238E27FC236}">
              <a16:creationId xmlns:a16="http://schemas.microsoft.com/office/drawing/2014/main" id="{35047058-CEC0-0F4C-93C4-C25DC82BDC38}"/>
            </a:ext>
          </a:extLst>
        </xdr:cNvPr>
        <xdr:cNvPicPr>
          <a:picLocks noChangeAspect="1"/>
        </xdr:cNvPicPr>
      </xdr:nvPicPr>
      <xdr:blipFill rotWithShape="1">
        <a:blip xmlns:r="http://schemas.openxmlformats.org/officeDocument/2006/relationships" r:embed="rId2"/>
        <a:srcRect b="12015"/>
        <a:stretch/>
      </xdr:blipFill>
      <xdr:spPr>
        <a:xfrm>
          <a:off x="4301080" y="2286344"/>
          <a:ext cx="513642" cy="428121"/>
        </a:xfrm>
        <a:prstGeom prst="rect">
          <a:avLst/>
        </a:prstGeom>
      </xdr:spPr>
    </xdr:pic>
    <xdr:clientData/>
  </xdr:oneCellAnchor>
  <xdr:oneCellAnchor>
    <xdr:from>
      <xdr:col>1</xdr:col>
      <xdr:colOff>227016</xdr:colOff>
      <xdr:row>0</xdr:row>
      <xdr:rowOff>14635</xdr:rowOff>
    </xdr:from>
    <xdr:ext cx="960661" cy="902640"/>
    <xdr:pic>
      <xdr:nvPicPr>
        <xdr:cNvPr id="4" name="Picture 1">
          <a:extLst>
            <a:ext uri="{FF2B5EF4-FFF2-40B4-BE49-F238E27FC236}">
              <a16:creationId xmlns:a16="http://schemas.microsoft.com/office/drawing/2014/main" id="{2BAFB5E9-E271-8649-BC8B-F2629B6E970C}"/>
            </a:ext>
          </a:extLst>
        </xdr:cNvPr>
        <xdr:cNvPicPr>
          <a:picLocks noChangeAspect="1"/>
        </xdr:cNvPicPr>
      </xdr:nvPicPr>
      <xdr:blipFill>
        <a:blip xmlns:r="http://schemas.openxmlformats.org/officeDocument/2006/relationships" r:embed="rId3" cstate="print"/>
        <a:stretch>
          <a:fillRect/>
        </a:stretch>
      </xdr:blipFill>
      <xdr:spPr>
        <a:xfrm>
          <a:off x="320595" y="14635"/>
          <a:ext cx="960661" cy="9026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92364</xdr:colOff>
      <xdr:row>0</xdr:row>
      <xdr:rowOff>48382</xdr:rowOff>
    </xdr:from>
    <xdr:to>
      <xdr:col>0</xdr:col>
      <xdr:colOff>1027546</xdr:colOff>
      <xdr:row>0</xdr:row>
      <xdr:rowOff>923637</xdr:rowOff>
    </xdr:to>
    <xdr:pic>
      <xdr:nvPicPr>
        <xdr:cNvPr id="4" name="Picture 5">
          <a:extLst>
            <a:ext uri="{FF2B5EF4-FFF2-40B4-BE49-F238E27FC236}">
              <a16:creationId xmlns:a16="http://schemas.microsoft.com/office/drawing/2014/main" id="{55C61324-E573-A246-9DC1-CC27AB5D3430}"/>
            </a:ext>
          </a:extLst>
        </xdr:cNvPr>
        <xdr:cNvPicPr>
          <a:picLocks noChangeAspect="1"/>
        </xdr:cNvPicPr>
      </xdr:nvPicPr>
      <xdr:blipFill>
        <a:blip xmlns:r="http://schemas.openxmlformats.org/officeDocument/2006/relationships" r:embed="rId1"/>
        <a:stretch>
          <a:fillRect/>
        </a:stretch>
      </xdr:blipFill>
      <xdr:spPr>
        <a:xfrm>
          <a:off x="92364" y="48382"/>
          <a:ext cx="935182" cy="8752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101600</xdr:colOff>
      <xdr:row>0</xdr:row>
      <xdr:rowOff>88900</xdr:rowOff>
    </xdr:from>
    <xdr:to>
      <xdr:col>3</xdr:col>
      <xdr:colOff>806450</xdr:colOff>
      <xdr:row>0</xdr:row>
      <xdr:rowOff>964155</xdr:rowOff>
    </xdr:to>
    <xdr:pic>
      <xdr:nvPicPr>
        <xdr:cNvPr id="2" name="Picture 5">
          <a:extLst>
            <a:ext uri="{FF2B5EF4-FFF2-40B4-BE49-F238E27FC236}">
              <a16:creationId xmlns:a16="http://schemas.microsoft.com/office/drawing/2014/main" id="{F6B8D4B0-F035-0341-BA33-193E66A8970C}"/>
            </a:ext>
          </a:extLst>
        </xdr:cNvPr>
        <xdr:cNvPicPr>
          <a:picLocks noChangeAspect="1"/>
        </xdr:cNvPicPr>
      </xdr:nvPicPr>
      <xdr:blipFill>
        <a:blip xmlns:r="http://schemas.openxmlformats.org/officeDocument/2006/relationships" r:embed="rId1"/>
        <a:stretch>
          <a:fillRect/>
        </a:stretch>
      </xdr:blipFill>
      <xdr:spPr>
        <a:xfrm>
          <a:off x="6502400" y="88900"/>
          <a:ext cx="1409700" cy="8752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239888</xdr:colOff>
      <xdr:row>0</xdr:row>
      <xdr:rowOff>28222</xdr:rowOff>
    </xdr:from>
    <xdr:to>
      <xdr:col>0</xdr:col>
      <xdr:colOff>1326444</xdr:colOff>
      <xdr:row>0</xdr:row>
      <xdr:rowOff>976232</xdr:rowOff>
    </xdr:to>
    <xdr:pic>
      <xdr:nvPicPr>
        <xdr:cNvPr id="3" name="Picture 5">
          <a:extLst>
            <a:ext uri="{FF2B5EF4-FFF2-40B4-BE49-F238E27FC236}">
              <a16:creationId xmlns:a16="http://schemas.microsoft.com/office/drawing/2014/main" id="{CC4A8B9D-07C1-B441-8116-3363078844BB}"/>
            </a:ext>
          </a:extLst>
        </xdr:cNvPr>
        <xdr:cNvPicPr>
          <a:picLocks noChangeAspect="1"/>
        </xdr:cNvPicPr>
      </xdr:nvPicPr>
      <xdr:blipFill>
        <a:blip xmlns:r="http://schemas.openxmlformats.org/officeDocument/2006/relationships" r:embed="rId1"/>
        <a:stretch>
          <a:fillRect/>
        </a:stretch>
      </xdr:blipFill>
      <xdr:spPr>
        <a:xfrm>
          <a:off x="239888" y="28222"/>
          <a:ext cx="1086556" cy="9480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224081</xdr:colOff>
      <xdr:row>0</xdr:row>
      <xdr:rowOff>932488</xdr:rowOff>
    </xdr:to>
    <xdr:pic>
      <xdr:nvPicPr>
        <xdr:cNvPr id="5" name="Picture 5">
          <a:extLst>
            <a:ext uri="{FF2B5EF4-FFF2-40B4-BE49-F238E27FC236}">
              <a16:creationId xmlns:a16="http://schemas.microsoft.com/office/drawing/2014/main" id="{14EC877E-FE4C-6948-B73E-2DD9CF2519D5}"/>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3</xdr:col>
      <xdr:colOff>1049581</xdr:colOff>
      <xdr:row>0</xdr:row>
      <xdr:rowOff>932488</xdr:rowOff>
    </xdr:to>
    <xdr:pic>
      <xdr:nvPicPr>
        <xdr:cNvPr id="3" name="Picture 5">
          <a:extLst>
            <a:ext uri="{FF2B5EF4-FFF2-40B4-BE49-F238E27FC236}">
              <a16:creationId xmlns:a16="http://schemas.microsoft.com/office/drawing/2014/main" id="{94C05814-536A-084A-B3F3-D787AC3C965E}"/>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4</xdr:col>
      <xdr:colOff>20881</xdr:colOff>
      <xdr:row>0</xdr:row>
      <xdr:rowOff>932488</xdr:rowOff>
    </xdr:to>
    <xdr:pic>
      <xdr:nvPicPr>
        <xdr:cNvPr id="3" name="Picture 5">
          <a:extLst>
            <a:ext uri="{FF2B5EF4-FFF2-40B4-BE49-F238E27FC236}">
              <a16:creationId xmlns:a16="http://schemas.microsoft.com/office/drawing/2014/main" id="{CB6F3F4A-57CD-7847-B40E-26FCFBF9CD22}"/>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88900</xdr:colOff>
      <xdr:row>0</xdr:row>
      <xdr:rowOff>55033</xdr:rowOff>
    </xdr:from>
    <xdr:to>
      <xdr:col>3</xdr:col>
      <xdr:colOff>1049581</xdr:colOff>
      <xdr:row>0</xdr:row>
      <xdr:rowOff>932488</xdr:rowOff>
    </xdr:to>
    <xdr:pic>
      <xdr:nvPicPr>
        <xdr:cNvPr id="3" name="Picture 5">
          <a:extLst>
            <a:ext uri="{FF2B5EF4-FFF2-40B4-BE49-F238E27FC236}">
              <a16:creationId xmlns:a16="http://schemas.microsoft.com/office/drawing/2014/main" id="{8DBCC5E3-38D9-8842-9253-F2769D5458D5}"/>
            </a:ext>
          </a:extLst>
        </xdr:cNvPr>
        <xdr:cNvPicPr>
          <a:picLocks noChangeAspect="1"/>
        </xdr:cNvPicPr>
      </xdr:nvPicPr>
      <xdr:blipFill>
        <a:blip xmlns:r="http://schemas.openxmlformats.org/officeDocument/2006/relationships" r:embed="rId1"/>
        <a:stretch>
          <a:fillRect/>
        </a:stretch>
      </xdr:blipFill>
      <xdr:spPr>
        <a:xfrm>
          <a:off x="88900" y="55033"/>
          <a:ext cx="960681" cy="877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92927</xdr:colOff>
      <xdr:row>0</xdr:row>
      <xdr:rowOff>46464</xdr:rowOff>
    </xdr:from>
    <xdr:to>
      <xdr:col>3</xdr:col>
      <xdr:colOff>1051723</xdr:colOff>
      <xdr:row>0</xdr:row>
      <xdr:rowOff>923919</xdr:rowOff>
    </xdr:to>
    <xdr:pic>
      <xdr:nvPicPr>
        <xdr:cNvPr id="7" name="Picture 5">
          <a:extLst>
            <a:ext uri="{FF2B5EF4-FFF2-40B4-BE49-F238E27FC236}">
              <a16:creationId xmlns:a16="http://schemas.microsoft.com/office/drawing/2014/main" id="{74E1BC4E-C815-5246-B194-4137BE66CBD6}"/>
            </a:ext>
          </a:extLst>
        </xdr:cNvPr>
        <xdr:cNvPicPr>
          <a:picLocks noChangeAspect="1"/>
        </xdr:cNvPicPr>
      </xdr:nvPicPr>
      <xdr:blipFill>
        <a:blip xmlns:r="http://schemas.openxmlformats.org/officeDocument/2006/relationships" r:embed="rId1"/>
        <a:stretch>
          <a:fillRect/>
        </a:stretch>
      </xdr:blipFill>
      <xdr:spPr>
        <a:xfrm>
          <a:off x="92927" y="46464"/>
          <a:ext cx="951389" cy="87745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4" dT="2026-02-11T19:05:32.19" personId="{00000000-0000-0000-0000-000000000000}" id="{ECE5F496-0680-3E4B-8D7B-1FFBCAB138F6}">
    <text>vérifier avec DELHOUSTAL si ce qui est dans la colonne R13 du TPRX remonte ici ou au TPRX</text>
  </threadedComment>
  <threadedComment ref="R15" dT="2026-02-11T19:10:50.96" personId="{00000000-0000-0000-0000-000000000000}" id="{10E42624-3694-4A4C-BC5A-0A1108139DDD}">
    <text>On a enlevé le 5 JLD CIVIL</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9B09-C60F-334A-AD8D-3CC1EC8DED35}">
  <sheetPr>
    <tabColor rgb="FF002060"/>
  </sheetPr>
  <dimension ref="A1:H16"/>
  <sheetViews>
    <sheetView showGridLines="0" tabSelected="1" zoomScale="78" zoomScaleNormal="78" workbookViewId="0">
      <selection activeCell="A15" sqref="A15:F15"/>
    </sheetView>
  </sheetViews>
  <sheetFormatPr baseColWidth="10" defaultColWidth="10.83203125" defaultRowHeight="15" x14ac:dyDescent="0.2"/>
  <cols>
    <col min="1" max="1" width="1.1640625" style="21" customWidth="1"/>
    <col min="2" max="2" width="30" style="21" customWidth="1"/>
    <col min="3" max="3" width="102.1640625" style="21" customWidth="1"/>
    <col min="4" max="4" width="56.33203125" style="21" customWidth="1"/>
    <col min="5" max="5" width="14" style="21" customWidth="1"/>
    <col min="6" max="6" width="37.83203125" style="107" customWidth="1"/>
    <col min="7" max="7" width="10.83203125" style="21" customWidth="1"/>
    <col min="8" max="16384" width="10.83203125" style="21"/>
  </cols>
  <sheetData>
    <row r="1" spans="1:8" s="26" customFormat="1" ht="60" customHeight="1" x14ac:dyDescent="0.35">
      <c r="A1" s="99"/>
      <c r="B1" s="100" t="s">
        <v>220</v>
      </c>
      <c r="C1" s="397" t="s">
        <v>221</v>
      </c>
      <c r="D1" s="397"/>
      <c r="E1" s="397"/>
      <c r="F1" s="101"/>
      <c r="H1" s="26" t="s">
        <v>0</v>
      </c>
    </row>
    <row r="2" spans="1:8" s="105" customFormat="1" ht="20" customHeight="1" x14ac:dyDescent="0.2">
      <c r="A2" s="102"/>
      <c r="B2" s="103"/>
      <c r="C2" s="398" t="s">
        <v>222</v>
      </c>
      <c r="D2" s="398"/>
      <c r="E2" s="398"/>
      <c r="F2" s="104"/>
      <c r="H2" s="26" t="s">
        <v>0</v>
      </c>
    </row>
    <row r="3" spans="1:8" s="26" customFormat="1" ht="6.5" customHeight="1" thickBot="1" x14ac:dyDescent="0.25">
      <c r="A3" s="106"/>
      <c r="F3" s="107"/>
      <c r="H3" s="26" t="s">
        <v>0</v>
      </c>
    </row>
    <row r="4" spans="1:8" s="111" customFormat="1" ht="32.25" customHeight="1" thickBot="1" x14ac:dyDescent="0.25">
      <c r="A4" s="108"/>
      <c r="B4" s="109" t="s">
        <v>223</v>
      </c>
      <c r="C4" s="110" t="s">
        <v>224</v>
      </c>
      <c r="D4" s="110" t="s">
        <v>225</v>
      </c>
      <c r="E4" s="402" t="s">
        <v>226</v>
      </c>
      <c r="F4" s="403"/>
      <c r="G4" s="119"/>
      <c r="H4" s="26" t="s">
        <v>0</v>
      </c>
    </row>
    <row r="5" spans="1:8" s="26" customFormat="1" ht="48" customHeight="1" x14ac:dyDescent="0.2">
      <c r="A5" s="106"/>
      <c r="B5" s="120" t="s">
        <v>227</v>
      </c>
      <c r="C5" s="116" t="s">
        <v>228</v>
      </c>
      <c r="D5" s="116" t="s">
        <v>229</v>
      </c>
      <c r="E5" s="404" t="s">
        <v>242</v>
      </c>
      <c r="F5" s="405"/>
      <c r="G5" s="118"/>
      <c r="H5" s="26" t="s">
        <v>0</v>
      </c>
    </row>
    <row r="6" spans="1:8" s="26" customFormat="1" ht="48" customHeight="1" x14ac:dyDescent="0.2">
      <c r="A6" s="106"/>
      <c r="B6" s="121" t="s">
        <v>230</v>
      </c>
      <c r="C6" s="117" t="s">
        <v>231</v>
      </c>
      <c r="D6" s="117" t="s">
        <v>232</v>
      </c>
      <c r="E6" s="406" t="s">
        <v>243</v>
      </c>
      <c r="F6" s="407"/>
      <c r="G6" s="118"/>
      <c r="H6" s="26" t="s">
        <v>0</v>
      </c>
    </row>
    <row r="7" spans="1:8" s="26" customFormat="1" ht="48" customHeight="1" x14ac:dyDescent="0.2">
      <c r="A7" s="106"/>
      <c r="B7" s="122" t="s">
        <v>590</v>
      </c>
      <c r="C7" s="117" t="s">
        <v>234</v>
      </c>
      <c r="D7" s="117" t="s">
        <v>235</v>
      </c>
      <c r="E7" s="406" t="s">
        <v>242</v>
      </c>
      <c r="F7" s="407"/>
      <c r="G7" s="118"/>
      <c r="H7" s="26" t="s">
        <v>0</v>
      </c>
    </row>
    <row r="8" spans="1:8" s="26" customFormat="1" ht="23" customHeight="1" x14ac:dyDescent="0.2">
      <c r="A8" s="106"/>
      <c r="B8" s="123" t="s">
        <v>236</v>
      </c>
      <c r="C8" s="408" t="s">
        <v>237</v>
      </c>
      <c r="D8" s="408" t="s">
        <v>238</v>
      </c>
      <c r="E8" s="411" t="s">
        <v>244</v>
      </c>
      <c r="F8" s="411"/>
      <c r="G8" s="118"/>
      <c r="H8" s="26" t="s">
        <v>0</v>
      </c>
    </row>
    <row r="9" spans="1:8" s="26" customFormat="1" ht="23" customHeight="1" x14ac:dyDescent="0.2">
      <c r="A9" s="106"/>
      <c r="B9" s="223" t="s">
        <v>239</v>
      </c>
      <c r="C9" s="409"/>
      <c r="D9" s="409"/>
      <c r="E9" s="412"/>
      <c r="F9" s="412"/>
      <c r="G9" s="118"/>
      <c r="H9" s="26" t="s">
        <v>0</v>
      </c>
    </row>
    <row r="10" spans="1:8" s="26" customFormat="1" ht="23" customHeight="1" x14ac:dyDescent="0.2">
      <c r="A10" s="106"/>
      <c r="B10" s="224" t="s">
        <v>240</v>
      </c>
      <c r="C10" s="409"/>
      <c r="D10" s="409"/>
      <c r="E10" s="412"/>
      <c r="F10" s="412"/>
      <c r="G10" s="118"/>
      <c r="H10" s="26" t="s">
        <v>0</v>
      </c>
    </row>
    <row r="11" spans="1:8" s="26" customFormat="1" ht="23" customHeight="1" thickBot="1" x14ac:dyDescent="0.25">
      <c r="A11" s="106"/>
      <c r="B11" s="219" t="s">
        <v>340</v>
      </c>
      <c r="C11" s="410"/>
      <c r="D11" s="410"/>
      <c r="E11" s="413"/>
      <c r="F11" s="413"/>
      <c r="G11" s="118"/>
      <c r="H11" s="26" t="s">
        <v>0</v>
      </c>
    </row>
    <row r="12" spans="1:8" s="26" customFormat="1" ht="5" customHeight="1" thickBot="1" x14ac:dyDescent="0.25">
      <c r="A12" s="106"/>
      <c r="B12" s="220"/>
      <c r="C12" s="220"/>
      <c r="D12" s="220"/>
      <c r="E12" s="220"/>
      <c r="F12" s="220"/>
      <c r="H12" s="26" t="s">
        <v>0</v>
      </c>
    </row>
    <row r="13" spans="1:8" s="26" customFormat="1" ht="72" customHeight="1" thickBot="1" x14ac:dyDescent="0.25">
      <c r="A13" s="106"/>
      <c r="B13" s="221"/>
      <c r="C13" s="401" t="s">
        <v>241</v>
      </c>
      <c r="D13" s="401"/>
      <c r="E13" s="401"/>
      <c r="F13" s="222"/>
      <c r="H13" s="26" t="s">
        <v>0</v>
      </c>
    </row>
    <row r="14" spans="1:8" s="26" customFormat="1" ht="6" customHeight="1" x14ac:dyDescent="0.2">
      <c r="A14" s="112"/>
      <c r="F14" s="107"/>
      <c r="H14" s="26" t="s">
        <v>0</v>
      </c>
    </row>
    <row r="15" spans="1:8" s="26" customFormat="1" ht="27" customHeight="1" x14ac:dyDescent="0.2">
      <c r="A15" s="399" t="s">
        <v>25</v>
      </c>
      <c r="B15" s="399"/>
      <c r="C15" s="399"/>
      <c r="D15" s="399"/>
      <c r="E15" s="399"/>
      <c r="F15" s="400"/>
      <c r="H15" s="26" t="s">
        <v>0</v>
      </c>
    </row>
    <row r="16" spans="1:8" ht="16" customHeight="1" x14ac:dyDescent="0.2">
      <c r="H16" s="21" t="s">
        <v>7</v>
      </c>
    </row>
  </sheetData>
  <mergeCells count="11">
    <mergeCell ref="C1:E1"/>
    <mergeCell ref="C2:E2"/>
    <mergeCell ref="A15:F15"/>
    <mergeCell ref="C13:E13"/>
    <mergeCell ref="E4:F4"/>
    <mergeCell ref="E5:F5"/>
    <mergeCell ref="E6:F6"/>
    <mergeCell ref="E7:F7"/>
    <mergeCell ref="C8:C11"/>
    <mergeCell ref="D8:D11"/>
    <mergeCell ref="E8:F11"/>
  </mergeCells>
  <pageMargins left="0.7" right="0.7" top="0.75" bottom="0.75" header="0.3" footer="0.3"/>
  <pageSetup paperSize="9" orientation="portrait" useFirstPageNumber="1"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4A8A-13E9-4EDB-B294-D1FF8F18362C}">
  <sheetPr codeName="Feuil4">
    <tabColor rgb="FFCE4275"/>
  </sheetPr>
  <dimension ref="A1:DN8"/>
  <sheetViews>
    <sheetView topLeftCell="A2" zoomScale="110" zoomScaleNormal="110" workbookViewId="0">
      <selection activeCell="AC136" sqref="AC136"/>
    </sheetView>
  </sheetViews>
  <sheetFormatPr baseColWidth="10" defaultColWidth="8.83203125" defaultRowHeight="15" x14ac:dyDescent="0.2"/>
  <cols>
    <col min="1" max="1" width="26.1640625" customWidth="1"/>
    <col min="2" max="2" width="22.1640625" style="1" customWidth="1"/>
    <col min="3" max="3" width="7.6640625" style="1" customWidth="1"/>
    <col min="4" max="4" width="12" style="2" customWidth="1"/>
    <col min="5" max="5" width="11.83203125" style="2" customWidth="1"/>
    <col min="6" max="6" width="60.1640625" customWidth="1"/>
    <col min="7" max="7" width="5.1640625" customWidth="1"/>
    <col min="8" max="8" width="9.1640625" customWidth="1"/>
  </cols>
  <sheetData>
    <row r="1" spans="1:118" s="4" customFormat="1" ht="80" customHeight="1" x14ac:dyDescent="0.25">
      <c r="A1" s="3" t="s">
        <v>218</v>
      </c>
      <c r="B1" s="5"/>
      <c r="C1" s="5"/>
      <c r="D1" s="7"/>
      <c r="E1" s="7"/>
      <c r="F1" s="6"/>
      <c r="G1" s="6" t="s">
        <v>6</v>
      </c>
      <c r="H1" s="8" t="s">
        <v>0</v>
      </c>
    </row>
    <row r="2" spans="1:118" ht="66" customHeight="1" x14ac:dyDescent="0.2">
      <c r="A2" s="22" t="s">
        <v>2</v>
      </c>
      <c r="B2" s="21" t="s">
        <v>1</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row>
    <row r="3" spans="1:118" x14ac:dyDescent="0.2">
      <c r="A3" s="25" t="s">
        <v>3</v>
      </c>
      <c r="B3" t="s">
        <v>4</v>
      </c>
      <c r="C3"/>
      <c r="D3"/>
      <c r="E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row>
    <row r="4" spans="1:118" x14ac:dyDescent="0.2">
      <c r="A4" s="25" t="s">
        <v>3</v>
      </c>
      <c r="B4" t="s">
        <v>5</v>
      </c>
      <c r="C4"/>
      <c r="D4"/>
      <c r="E4"/>
    </row>
    <row r="5" spans="1:118" x14ac:dyDescent="0.2">
      <c r="B5" s="27" t="s">
        <v>7</v>
      </c>
      <c r="C5"/>
      <c r="D5"/>
      <c r="E5"/>
    </row>
    <row r="6" spans="1:118" x14ac:dyDescent="0.2">
      <c r="B6"/>
      <c r="C6"/>
      <c r="D6"/>
    </row>
    <row r="7" spans="1:118" x14ac:dyDescent="0.2">
      <c r="A7" s="1"/>
      <c r="C7" s="2"/>
    </row>
    <row r="8" spans="1:118" x14ac:dyDescent="0.2">
      <c r="C8" s="2"/>
    </row>
  </sheetData>
  <sheetProtection sheet="1" sort="0" autoFilter="0"/>
  <autoFilter ref="A2:DN2" xr:uid="{F3674A8A-13E9-4EDB-B294-D1FF8F18362C}"/>
  <dataConsolidate/>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9445B-6ECC-4440-B85C-E593AE209933}">
  <sheetPr codeName="Feuil13">
    <tabColor rgb="FF2C45E0"/>
  </sheetPr>
  <dimension ref="A1:FD4"/>
  <sheetViews>
    <sheetView showFormulas="1" zoomScaleNormal="110" workbookViewId="0">
      <pane xSplit="6" ySplit="2" topLeftCell="G3" activePane="bottomRight" state="frozen"/>
      <selection pane="topRight" activeCell="G1" sqref="G1"/>
      <selection pane="bottomLeft" activeCell="A3" sqref="A3"/>
      <selection pane="bottomRight" activeCell="I7" sqref="I7"/>
    </sheetView>
  </sheetViews>
  <sheetFormatPr baseColWidth="10" defaultRowHeight="15" x14ac:dyDescent="0.2"/>
  <cols>
    <col min="1" max="1" width="18.6640625" customWidth="1"/>
    <col min="2" max="2" width="11.83203125" customWidth="1"/>
    <col min="4" max="4" width="10.83203125" style="282"/>
    <col min="9" max="9" width="30.5" style="282" customWidth="1"/>
    <col min="126" max="126" width="13.5" customWidth="1"/>
    <col min="127" max="127" width="15.83203125" customWidth="1"/>
    <col min="128" max="154" width="36.1640625" customWidth="1"/>
    <col min="155" max="155" width="16.83203125" customWidth="1"/>
    <col min="156" max="156" width="20" customWidth="1"/>
    <col min="157" max="157" width="60.6640625" bestFit="1" customWidth="1"/>
    <col min="165" max="165" width="45.1640625" bestFit="1" customWidth="1"/>
    <col min="166" max="166" width="15.1640625" bestFit="1" customWidth="1"/>
  </cols>
  <sheetData>
    <row r="1" spans="1:160" s="4" customFormat="1" ht="80" customHeight="1" x14ac:dyDescent="0.25">
      <c r="A1" s="3"/>
      <c r="B1" s="3"/>
      <c r="C1" s="3"/>
      <c r="D1" s="414" t="s">
        <v>484</v>
      </c>
      <c r="E1" s="415"/>
      <c r="F1" s="415"/>
      <c r="G1" s="415"/>
      <c r="H1" s="415"/>
      <c r="I1" s="415"/>
      <c r="J1" s="416"/>
      <c r="K1" s="416"/>
      <c r="L1" s="416"/>
      <c r="M1" s="416"/>
      <c r="N1" s="416"/>
      <c r="O1" s="416"/>
      <c r="P1" s="416"/>
      <c r="Q1" s="416"/>
      <c r="R1" s="6" t="s">
        <v>260</v>
      </c>
      <c r="S1" s="4" t="s">
        <v>0</v>
      </c>
      <c r="EZ1"/>
      <c r="FA1"/>
      <c r="FB1"/>
      <c r="FC1"/>
      <c r="FD1"/>
    </row>
    <row r="2" spans="1:160" ht="66" customHeight="1" x14ac:dyDescent="0.2">
      <c r="A2" s="22" t="s">
        <v>8</v>
      </c>
      <c r="B2" t="s">
        <v>9</v>
      </c>
    </row>
    <row r="3" spans="1:160" x14ac:dyDescent="0.2">
      <c r="A3" s="25" t="s">
        <v>11</v>
      </c>
      <c r="B3" t="s">
        <v>10</v>
      </c>
      <c r="N3" s="195"/>
      <c r="O3" s="195"/>
      <c r="P3" s="195"/>
    </row>
    <row r="4" spans="1:160" x14ac:dyDescent="0.2">
      <c r="B4" s="27" t="s">
        <v>7</v>
      </c>
      <c r="FA4" s="21"/>
    </row>
  </sheetData>
  <sheetProtection sheet="1" autoFilter="0"/>
  <autoFilter ref="A2:DT2" xr:uid="{3B89445B-6ECC-4440-B85C-E593AE209933}"/>
  <mergeCells count="1">
    <mergeCell ref="D1:Q1"/>
  </mergeCells>
  <conditionalFormatting sqref="A2:EZ2 A3:FB1048576">
    <cfRule type="expression" dxfId="27" priority="1">
      <formula>OR(AND(OR($R1&lt;&gt;0,$S1&lt;&gt;0,$T1&lt;&gt;0,ISBLANK($P1)),ROW()&gt;2,$A1&lt;&gt;""),LEFT($I1,3)="JA ")</formula>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3F90-1EC7-764C-B747-7920FCEC73CB}">
  <sheetPr codeName="Feuil18">
    <tabColor rgb="FF0B0B97"/>
  </sheetPr>
  <dimension ref="A1:X7"/>
  <sheetViews>
    <sheetView topLeftCell="L1" zoomScaleNormal="90" workbookViewId="0">
      <selection activeCell="A3" sqref="A3"/>
    </sheetView>
  </sheetViews>
  <sheetFormatPr baseColWidth="10" defaultRowHeight="15" x14ac:dyDescent="0.2"/>
  <cols>
    <col min="1" max="1" width="32.5" customWidth="1"/>
    <col min="2" max="2" width="4.6640625" hidden="1" customWidth="1"/>
    <col min="3" max="3" width="38.33203125" hidden="1" customWidth="1"/>
    <col min="4" max="4" width="51.83203125" customWidth="1"/>
    <col min="5" max="5" width="34.6640625" hidden="1" customWidth="1"/>
    <col min="6" max="6" width="70.83203125" customWidth="1"/>
    <col min="7" max="8" width="19" customWidth="1"/>
    <col min="9" max="9" width="17.6640625" customWidth="1"/>
    <col min="10" max="11" width="16.83203125" customWidth="1"/>
    <col min="12" max="13" width="18.33203125" customWidth="1"/>
    <col min="14" max="15" width="20.5" customWidth="1"/>
    <col min="16" max="18" width="16.6640625" customWidth="1"/>
    <col min="21" max="22" width="18.1640625" customWidth="1"/>
  </cols>
  <sheetData>
    <row r="1" spans="1:24" s="4" customFormat="1" ht="80" customHeight="1" x14ac:dyDescent="0.25">
      <c r="A1" s="3" t="s">
        <v>632</v>
      </c>
      <c r="B1" s="5"/>
      <c r="C1" s="113" t="s">
        <v>233</v>
      </c>
      <c r="D1" s="113"/>
      <c r="E1" s="7"/>
      <c r="F1" s="7"/>
      <c r="G1" s="7"/>
      <c r="H1" s="7"/>
      <c r="I1" s="6"/>
      <c r="J1" s="6"/>
      <c r="K1" s="7"/>
      <c r="L1" s="7"/>
      <c r="M1" s="7"/>
      <c r="N1" s="7"/>
      <c r="O1" s="7"/>
      <c r="P1" s="7"/>
      <c r="Q1" s="7"/>
      <c r="R1" s="7"/>
      <c r="S1" s="7"/>
      <c r="T1" s="7"/>
      <c r="U1" s="7"/>
      <c r="V1" s="7"/>
      <c r="W1" s="4" t="s">
        <v>0</v>
      </c>
    </row>
    <row r="2" spans="1:24" ht="42" customHeight="1" thickBot="1" x14ac:dyDescent="0.25">
      <c r="A2" s="20" t="s">
        <v>24</v>
      </c>
      <c r="B2" s="14" t="s">
        <v>19</v>
      </c>
      <c r="C2" t="s">
        <v>0</v>
      </c>
    </row>
    <row r="3" spans="1:24" ht="30" customHeight="1" thickTop="1" x14ac:dyDescent="0.2">
      <c r="A3" s="24" t="s">
        <v>12</v>
      </c>
      <c r="B3" s="15" t="e">
        <f>VLOOKUP(A3,#REF!,2,FALSE)</f>
        <v>#REF!</v>
      </c>
      <c r="C3" t="s">
        <v>0</v>
      </c>
      <c r="D3" s="281" t="s">
        <v>339</v>
      </c>
    </row>
    <row r="4" spans="1:24" ht="19" customHeight="1" x14ac:dyDescent="0.2">
      <c r="B4" s="172"/>
      <c r="C4" s="171"/>
      <c r="D4" s="171"/>
      <c r="E4" s="171"/>
      <c r="F4" s="171"/>
      <c r="G4" s="417" t="s">
        <v>26</v>
      </c>
      <c r="H4" s="418"/>
      <c r="I4" s="418"/>
      <c r="J4" s="418"/>
      <c r="K4" s="418"/>
      <c r="L4" s="419"/>
      <c r="M4" s="420"/>
      <c r="N4" s="421" t="s">
        <v>27</v>
      </c>
      <c r="O4" s="419"/>
      <c r="P4" s="419"/>
      <c r="Q4" s="419"/>
      <c r="R4" s="419"/>
      <c r="S4" s="419"/>
      <c r="T4" s="422"/>
      <c r="U4" s="417" t="s">
        <v>28</v>
      </c>
      <c r="V4" s="420"/>
      <c r="W4" s="178"/>
      <c r="X4" t="s">
        <v>0</v>
      </c>
    </row>
    <row r="5" spans="1:24" ht="48" x14ac:dyDescent="0.2">
      <c r="C5" s="9"/>
      <c r="D5" s="9"/>
      <c r="E5" s="10"/>
      <c r="F5" s="10"/>
      <c r="G5" s="11" t="s">
        <v>13</v>
      </c>
      <c r="H5" s="177" t="s">
        <v>246</v>
      </c>
      <c r="I5" s="12" t="s">
        <v>14</v>
      </c>
      <c r="J5" s="12" t="s">
        <v>15</v>
      </c>
      <c r="K5" s="28" t="s">
        <v>29</v>
      </c>
      <c r="L5" s="173" t="s">
        <v>30</v>
      </c>
      <c r="M5" s="174" t="s">
        <v>246</v>
      </c>
      <c r="N5" s="12" t="s">
        <v>16</v>
      </c>
      <c r="O5" s="177" t="s">
        <v>246</v>
      </c>
      <c r="P5" s="12" t="s">
        <v>17</v>
      </c>
      <c r="Q5" s="12" t="s">
        <v>18</v>
      </c>
      <c r="R5" s="28" t="s">
        <v>29</v>
      </c>
      <c r="S5" s="173" t="s">
        <v>31</v>
      </c>
      <c r="T5" s="177" t="s">
        <v>246</v>
      </c>
      <c r="U5" s="173" t="s">
        <v>29</v>
      </c>
      <c r="V5" s="174" t="s">
        <v>246</v>
      </c>
      <c r="W5" t="s">
        <v>20</v>
      </c>
    </row>
    <row r="6" spans="1:24" ht="16" x14ac:dyDescent="0.2">
      <c r="A6" s="13"/>
      <c r="C6" s="17" t="s">
        <v>23</v>
      </c>
      <c r="D6" s="17" t="s">
        <v>247</v>
      </c>
      <c r="E6" s="16" t="s">
        <v>22</v>
      </c>
      <c r="F6" s="194" t="s">
        <v>248</v>
      </c>
      <c r="G6" s="19" t="e">
        <f>SUMIFS(
INDEX('ETPT Format DDG'!$A:$ZZ,,IFERROR(MATCH(E6,'ETPT Format DDG'!$2:$2,0),MATCH(C6,'ETPT Format DDG'!$2:$2,0))),
INDEX( 'ETPT Format DDG'!$A:$ZZ,,MATCH("Fonction agrégat",'ETPT Format DDG'!2:2,0)),"M-TIT",
INDEX( 'ETPT Format DDG'!$A:$ZZ,,MATCH("Juridiction",'ETPT Format DDG'!2:2,0)),$A$3)</f>
        <v>#N/A</v>
      </c>
      <c r="H6" s="175" t="str">
        <f>IF(AND(OR(LEFT(C6,3)="12.",LEFT(E6,3)="12.",LEFT(E6,5)="CET &gt;",IFERROR(G6/$G$6,"")=0),NOT(AND(LEFT(E6,4)="12.8",IFERROR(G6/$G$6,"")&lt;&gt;0)),NOT(AND(LEFT(E6,5)="12.31",IFERROR(G6/$G$6,"")&lt;&gt;0)),NOT(AND(LEFT(E6,5)="12.32",IFERROR(G6/$G$6,"")&lt;&gt;0))),"", IFERROR(G6/$G$6,""))</f>
        <v/>
      </c>
      <c r="I6" s="18" t="e">
        <f>SUMIFS(
INDEX('ETPT Format DDG'!$A:$ZZ,,IFERROR(MATCH(E6,'ETPT Format DDG'!$2:$2,0),MATCH(C6,'ETPT Format DDG'!$2:$2,0))),
INDEX( 'ETPT Format DDG'!$A:$ZZ,,MATCH("Fonction agrégat",'ETPT Format DDG'!2:2,0)),"M-PLAC-ADD",
INDEX( 'ETPT Format DDG'!$A:$ZZ,,MATCH("Juridiction",'ETPT Format DDG'!2:2,0)),$A$3)</f>
        <v>#N/A</v>
      </c>
      <c r="J6" s="18" t="e">
        <f>SUMIFS(
INDEX('ETPT Format DDG'!$A:$ZZ,,IFERROR(MATCH(E6,'ETPT Format DDG'!$2:$2,0),MATCH(C6,'ETPT Format DDG'!$2:$2,0))),
INDEX( 'ETPT Format DDG'!$A:$ZZ,,MATCH("Fonction agrégat",'ETPT Format DDG'!2:2,0)),"M-PLAC-SUB",
INDEX( 'ETPT Format DDG'!$A:$ZZ,,MATCH("Juridiction",'ETPT Format DDG'!2:2,0)),$A$3)</f>
        <v>#N/A</v>
      </c>
      <c r="K6" s="18" t="e">
        <f>SUMIFS(
INDEX('ETPT Format DDG'!$A:$ZZ,,IFERROR(MATCH(E6,'ETPT Format DDG'!$2:$2,0),MATCH(C6,'ETPT Format DDG'!$2:$2,0))),
INDEX( 'ETPT Format DDG'!$A:$ZZ,,MATCH("Fonction agrégat",'ETPT Format DDG'!2:2,0)),"M-CONT",
INDEX( 'ETPT Format DDG'!$A:$ZZ,,MATCH("Juridiction",'ETPT Format DDG'!2:2,0)),$A$3,
INDEX( 'ETPT Format DDG'!$A:$ZZ,,MATCH("Catégorie",'ETPT Format DDG'!2:2,0)),"Magistrat")</f>
        <v>#N/A</v>
      </c>
      <c r="L6" s="19" t="e">
        <f>SUMIFS(
INDEX('ETPT Format DDG'!$A:$ZZ,,IFERROR(MATCH(E6,'ETPT Format DDG'!$2:$2,0),MATCH(C6,'ETPT Format DDG'!$2:$2,0))),
INDEX( 'ETPT Format DDG'!$A:$ZZ,,MATCH("Juridiction",'ETPT Format DDG'!2:2,0)),$A$3,
INDEX( 'ETPT Format DDG'!$A:$ZZ,,MATCH("Catégorie",'ETPT Format DDG'!2:2,0)),"Magistrat")</f>
        <v>#N/A</v>
      </c>
      <c r="M6" s="176" t="str">
        <f>IF(AND(OR(LEFT(C6,3)="12.",LEFT(E6,3)="12.",LEFT(E6,5)="CET &gt;", IFERROR(L6/$L$6,"")=0),NOT(AND(LEFT(E6,4)="12.8",IFERROR(G6/$G$6,"")&lt;&gt;0)),NOT(AND(LEFT(E6,5)="12.31",IFERROR(L6/$G$6,"")&lt;&gt;0)),NOT(AND(LEFT(E6,5)="12.32",IFERROR(L6/$G$6,"")&lt;&gt;0))),"", IFERROR(L6/$L$6,""))</f>
        <v/>
      </c>
      <c r="N6" s="18" t="e">
        <f>SUMIFS(
INDEX('ETPT Format DDG'!$A:$ZZ,,IFERROR(MATCH(E6,'ETPT Format DDG'!$2:$2,0),MATCH(C6,'ETPT Format DDG'!$2:$2,0))),
INDEX( 'ETPT Format DDG'!$A:$ZZ,,MATCH("Fonction agrégat",'ETPT Format DDG'!2:2,0)),"F-TIT",
INDEX( 'ETPT Format DDG'!$A:$ZZ,,MATCH("Juridiction",'ETPT Format DDG'!2:2,0)),$A$3)</f>
        <v>#N/A</v>
      </c>
      <c r="O6" s="175" t="str">
        <f>IF(AND(OR(LEFT(C6,3)="12.",LEFT(E6,3)="12.",LEFT(E6,5)="CET &gt;",IFERROR(N6/$N$6,"")=0),NOT(AND(LEFT(E6,4)="12.8",IFERROR(G6/$G$6,"")&lt;&gt;0)),NOT(AND(LEFT(E6,5)="12.31",IFERROR(N6/$G$6,"")&lt;&gt;0)),NOT(AND(LEFT(E6,5)="12.32",IFERROR(N6/$G$6,"")&lt;&gt;0))),"",IFERROR(N6/$N$6,""))</f>
        <v/>
      </c>
      <c r="P6" s="18" t="e">
        <f>SUMIFS(
INDEX('ETPT Format DDG'!$A:$FB,,IFERROR(MATCH(E6,'ETPT Format DDG'!$2:$2,0),MATCH(C6,'ETPT Format DDG'!$2:$2,0))),
INDEX( 'ETPT Format DDG'!$A:$ZZ,,MATCH("Fonction agrégat",'ETPT Format DDG'!2:2,0)),"F-PLAC-ADD",
INDEX( 'ETPT Format DDG'!$A:$ZZ,,MATCH("Juridiction",'ETPT Format DDG'!2:2,0)),$A$3)</f>
        <v>#N/A</v>
      </c>
      <c r="Q6" s="18" t="e">
        <f>SUMIFS(
INDEX('ETPT Format DDG'!$A:$FB,,IFERROR(MATCH(E6,'ETPT Format DDG'!$2:$2,0),MATCH(C6,'ETPT Format DDG'!$2:$2,0))),
INDEX( 'ETPT Format DDG'!$A:$ZZ,,MATCH("Fonction agrégat",'ETPT Format DDG'!2:2,0)),"F-PLAC-SUB",
INDEX( 'ETPT Format DDG'!$A:$ZZ,,MATCH("Juridiction",'ETPT Format DDG'!2:2,0)),$A$3)</f>
        <v>#N/A</v>
      </c>
      <c r="R6" s="18" t="e">
        <f>SUMIFS(
INDEX('ETPT Format DDG'!$A:$FB,,IFERROR(MATCH(E6,'ETPT Format DDG'!$2:$2,0),MATCH(C6,'ETPT Format DDG'!$2:$2,0))),
INDEX( 'ETPT Format DDG'!$A:$ZZ,,MATCH("Fonction agrégat",'ETPT Format DDG'!2:2,0)),"C",
'ETPT Format DDG'!$H:$H,"Greffe",
INDEX( 'ETPT Format DDG'!$A:$ZZ,,MATCH("Juridiction",'ETPT Format DDG'!2:2,0)),$A$3)</f>
        <v>#N/A</v>
      </c>
      <c r="S6" s="19" t="e">
        <f>SUMIFS(
INDEX('ETPT Format DDG'!$A:$FB,,IFERROR(MATCH(E6,'ETPT Format DDG'!$2:$2,0),MATCH(C6,'ETPT Format DDG'!$2:$2,0))),
INDEX( 'ETPT Format DDG'!$A:$ZZ,,MATCH("Catégorie",'ETPT Format DDG'!2:2,0)),"Greffe",
INDEX( 'ETPT Format DDG'!$A:$ZZ,,MATCH("Juridiction",'ETPT Format DDG'!2:2,0)),$A$3)</f>
        <v>#N/A</v>
      </c>
      <c r="T6" s="175" t="str">
        <f>IF(AND(OR(LEFT(C6,3)="12.",LEFT(E6,3)="12.",LEFT(E6,5)="CET &gt;",IFERROR(S6/$S$6,"")=0),NOT(AND(LEFT(E6,4)="12.8",IFERROR(G6/$G$6,"")&lt;&gt;0)),NOT(AND(LEFT(E6,5)="12.31",IFERROR(S6/$G$6,"")&lt;&gt;0)),NOT(AND(LEFT(E6,5)="12.32",IFERROR(S6/$G$6,"")&lt;&gt;0))),"", IFERROR(S6/$S$6,""))</f>
        <v/>
      </c>
      <c r="U6" s="19" t="e">
        <f>SUMIFS(
INDEX('ETPT Format DDG'!$A:$FB,,IFERROR(MATCH(E6,'ETPT Format DDG'!$2:$2,0),MATCH(C6,'ETPT Format DDG'!$2:$2,0))),
INDEX( 'ETPT Format DDG'!$A:$ZZ,,MATCH("Fonction agrégat",'ETPT Format DDG'!2:2,0)),"C",
INDEX( 'ETPT Format DDG'!$A:$ZZ,,MATCH("Juridiction",'ETPT Format DDG'!2:2,0)),$A$3,
INDEX( 'ETPT Format DDG'!$A:$ZZ,,MATCH("Catégorie",'ETPT Format DDG'!2:2,0)),"Autour du magistrat")</f>
        <v>#N/A</v>
      </c>
      <c r="V6" s="176" t="str">
        <f>IF(AND(OR(LEFT(C6,3)="12.",LEFT(E6,3)="12.",LEFT(E6,5)="CET &gt;",IFERROR(U6/$U$6,"")=0),NOT(AND(LEFT(E6,4)="12.8",IFERROR(G6/$G$6,"")&lt;&gt;0)),NOT(AND(LEFT(E6,5)="12.31",IFERROR(U6/$G$6,"")&lt;&gt;0)),NOT(AND(LEFT(E6,5)="12.32",IFERROR(U6/$G$6,"")&lt;&gt;0))),"", IFERROR(U6/$U$6,""))</f>
        <v/>
      </c>
      <c r="W6" t="s">
        <v>21</v>
      </c>
    </row>
    <row r="7" spans="1:24" x14ac:dyDescent="0.2">
      <c r="G7" s="179"/>
      <c r="H7" s="179"/>
      <c r="I7" s="179"/>
      <c r="J7" s="179"/>
      <c r="K7" s="179"/>
      <c r="L7" s="179"/>
      <c r="M7" s="179"/>
      <c r="N7" s="179"/>
      <c r="O7" s="179"/>
      <c r="P7" s="179"/>
      <c r="Q7" s="179"/>
      <c r="R7" s="179"/>
      <c r="S7" s="179"/>
      <c r="T7" s="179"/>
      <c r="U7" s="179"/>
      <c r="V7" s="179"/>
      <c r="W7" t="s">
        <v>7</v>
      </c>
    </row>
  </sheetData>
  <mergeCells count="3">
    <mergeCell ref="G4:M4"/>
    <mergeCell ref="N4:T4"/>
    <mergeCell ref="U4:V4"/>
  </mergeCells>
  <conditionalFormatting sqref="B4:F4">
    <cfRule type="expression" dxfId="26" priority="16">
      <formula>IF(LEFT($A$3,2)&lt;&gt;"TJ",TRUE,FALSE)</formula>
    </cfRule>
  </conditionalFormatting>
  <conditionalFormatting sqref="C6:V151">
    <cfRule type="expression" dxfId="25" priority="18" stopIfTrue="1">
      <formula>AND(ISBLANK($C6)=FALSE,ISBLANK($E6)=TRUE)</formula>
    </cfRule>
  </conditionalFormatting>
  <conditionalFormatting sqref="D1:F1048576">
    <cfRule type="expression" dxfId="24" priority="1">
      <formula>AND($D1="8. TOTAL JUGES D'INSTRUCTION",ROUND(_xlfn.NUMBERVALUE($U1)-_xlfn.NUMBERVALUE($U2)-_xlfn.NUMBERVALUE($U3)-_xlfn.NUMBERVALUE($U4)-_xlfn.NUMBERVALUE($U5)-_xlfn.NUMBERVALUE($U6),3)&lt;&gt;0)</formula>
    </cfRule>
    <cfRule type="expression" dxfId="23" priority="2">
      <formula>AND($D1="8. TOTAL JUGES D'INSTRUCTION",ROUND(_xlfn.NUMBERVALUE($S1)-_xlfn.NUMBERVALUE($S2)-_xlfn.NUMBERVALUE($S3)-_xlfn.NUMBERVALUE($S4)-_xlfn.NUMBERVALUE($S5)-_xlfn.NUMBERVALUE($S6),3)&lt;&gt;0)</formula>
    </cfRule>
    <cfRule type="expression" dxfId="22" priority="7" stopIfTrue="1">
      <formula>AND($D1="8. TOTAL JUGES D'INSTRUCTION",ROUND(_xlfn.NUMBERVALUE($L1)-_xlfn.NUMBERVALUE($L2)-_xlfn.NUMBERVALUE($L3)-_xlfn.NUMBERVALUE($L4)-_xlfn.NUMBERVALUE($L5)-_xlfn.NUMBERVALUE($L6),3)&lt;&gt;0)</formula>
    </cfRule>
    <cfRule type="expression" dxfId="21" priority="12">
      <formula>AND($D1="6. TOTAL JUGES DES ENFANTS",OR(ROUND(_xlfn.NUMBERVALUE($L1)-_xlfn.NUMBERVALUE($L2)-_xlfn.NUMBERVALUE($L3),3)&lt;&gt;0,ROUND(_xlfn.NUMBERVALUE($S1)-_xlfn.NUMBERVALUE($S2)-_xlfn.NUMBERVALUE($S3),3)&lt;&gt;0,ROUND(_xlfn.NUMBERVALUE($U1)-_xlfn.NUMBERVALUE($U2)-_xlfn.NUMBERVALUE($U3),3)&lt;&gt;0))</formula>
    </cfRule>
  </conditionalFormatting>
  <conditionalFormatting sqref="D7:F7">
    <cfRule type="expression" dxfId="20" priority="6" stopIfTrue="1">
      <formula>OR(ROUND(_xlfn.NUMBERVALUE($L7),3)&lt;&gt;ROUND(_xlfn.NUMBERVALUE($L6),3),ROUND(_xlfn.NUMBERVALUE($S7),3)&lt;&gt;ROUND(_xlfn.NUMBERVALUE($S6),3),ROUND(_xlfn.NUMBERVALUE($U7),3)&lt;&gt;ROUND(_xlfn.NUMBERVALUE($U6),3))</formula>
    </cfRule>
  </conditionalFormatting>
  <conditionalFormatting sqref="G1:M1048576">
    <cfRule type="expression" dxfId="19" priority="11" stopIfTrue="1">
      <formula>AND($D1="8. TOTAL JUGES D'INSTRUCTION",ROUND(_xlfn.NUMBERVALUE($L1)-(_xlfn.NUMBERVALUE($L2)+_xlfn.NUMBERVALUE($L3)+_xlfn.NUMBERVALUE($L4)+_xlfn.NUMBERVALUE($L5)+_xlfn.NUMBERVALUE($L6)),3)&lt;&gt;0)</formula>
    </cfRule>
    <cfRule type="expression" dxfId="18" priority="15">
      <formula>AND($D1="6. TOTAL JUGES DES ENFANTS",ROUND(_xlfn.NUMBERVALUE($L1)-(_xlfn.NUMBERVALUE($L2)+_xlfn.NUMBERVALUE($L3)),3)&lt;&gt;0)</formula>
    </cfRule>
  </conditionalFormatting>
  <conditionalFormatting sqref="G7:M7">
    <cfRule type="expression" dxfId="17" priority="5">
      <formula>ROUND(_xlfn.NUMBERVALUE($L7),3)&lt;&gt;ROUND(_xlfn.NUMBERVALUE($L6),3)</formula>
    </cfRule>
  </conditionalFormatting>
  <conditionalFormatting sqref="N1:T1048576">
    <cfRule type="expression" dxfId="16" priority="10" stopIfTrue="1">
      <formula>AND($D1="8. TOTAL JUGES D'INSTRUCTION",ROUND(_xlfn.NUMBERVALUE($S1)-_xlfn.NUMBERVALUE($S2)-_xlfn.NUMBERVALUE($S3)-_xlfn.NUMBERVALUE($S4)-_xlfn.NUMBERVALUE($S5)-_xlfn.NUMBERVALUE($S6),3)&lt;&gt;0)</formula>
    </cfRule>
    <cfRule type="expression" dxfId="15" priority="14">
      <formula>AND($D1="6. TOTAL JUGES DES ENFANTS",ROUND(_xlfn.NUMBERVALUE($S1)-_xlfn.NUMBERVALUE($S2)-_xlfn.NUMBERVALUE($S3),3)&lt;&gt;0)</formula>
    </cfRule>
  </conditionalFormatting>
  <conditionalFormatting sqref="N7:T7">
    <cfRule type="expression" dxfId="14" priority="4">
      <formula>ROUND(_xlfn.NUMBERVALUE($S7),3)&lt;&gt;ROUND(_xlfn.NUMBERVALUE($S6),3)</formula>
    </cfRule>
  </conditionalFormatting>
  <conditionalFormatting sqref="U1:V1048576">
    <cfRule type="expression" dxfId="13" priority="9">
      <formula>AND($D1="8. TOTAL JUGES D'INSTRUCTION",ROUND(_xlfn.NUMBERVALUE($U1)-_xlfn.NUMBERVALUE($U2)-_xlfn.NUMBERVALUE($U3)-_xlfn.NUMBERVALUE($U4)-_xlfn.NUMBERVALUE($U5)-_xlfn.NUMBERVALUE($U6),3)&lt;&gt;0)</formula>
    </cfRule>
    <cfRule type="expression" dxfId="12" priority="13">
      <formula>AND($D1="6. TOTAL JUGES DES ENFANTS",ROUND(_xlfn.NUMBERVALUE($U1)-_xlfn.NUMBERVALUE($U2)-_xlfn.NUMBERVALUE($U3),3)&lt;&gt;0)</formula>
    </cfRule>
  </conditionalFormatting>
  <conditionalFormatting sqref="U7:V7">
    <cfRule type="expression" dxfId="11" priority="3" stopIfTrue="1">
      <formula>ROUND(_xlfn.NUMBERVALUE($U7),3)&lt;&gt;ROUND(_xlfn.NUMBERVALUE($U6),3)</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5DB0-40DB-6046-B965-F2F52476B1A1}">
  <sheetPr codeName="Feuil14">
    <pageSetUpPr fitToPage="1"/>
  </sheetPr>
  <dimension ref="A1:H67"/>
  <sheetViews>
    <sheetView zoomScaleNormal="80" workbookViewId="0">
      <selection activeCell="D3" sqref="D3"/>
    </sheetView>
  </sheetViews>
  <sheetFormatPr baseColWidth="10" defaultColWidth="11" defaultRowHeight="15" x14ac:dyDescent="0.2"/>
  <cols>
    <col min="1" max="1" width="11" style="35"/>
    <col min="2" max="2" width="28.5" style="35" customWidth="1"/>
    <col min="3" max="3" width="86.1640625" style="35" customWidth="1"/>
    <col min="4" max="4" width="11.6640625" style="35" customWidth="1"/>
    <col min="5" max="5" width="19" style="35" customWidth="1"/>
    <col min="6" max="6" width="17.1640625" style="35" customWidth="1"/>
    <col min="7" max="7" width="17" style="35" customWidth="1"/>
    <col min="8" max="8" width="62.33203125" style="35" customWidth="1"/>
    <col min="9" max="16384" width="11" style="35"/>
  </cols>
  <sheetData>
    <row r="1" spans="1:8" ht="44" customHeight="1" x14ac:dyDescent="0.2">
      <c r="A1" s="196" t="s">
        <v>262</v>
      </c>
      <c r="B1" s="197" t="s">
        <v>263</v>
      </c>
      <c r="C1" s="197" t="s">
        <v>264</v>
      </c>
      <c r="D1" s="197" t="s">
        <v>265</v>
      </c>
      <c r="E1" s="197" t="s">
        <v>19</v>
      </c>
      <c r="F1" s="197" t="s">
        <v>266</v>
      </c>
      <c r="G1" s="197" t="s">
        <v>267</v>
      </c>
      <c r="H1" t="s">
        <v>252</v>
      </c>
    </row>
    <row r="2" spans="1:8" ht="32" x14ac:dyDescent="0.2">
      <c r="A2" s="35" t="s">
        <v>261</v>
      </c>
      <c r="B2" s="35" t="s">
        <v>259</v>
      </c>
      <c r="C2" s="35" t="s">
        <v>258</v>
      </c>
      <c r="D2" s="193" t="s">
        <v>256</v>
      </c>
      <c r="E2" s="35" t="s">
        <v>257</v>
      </c>
      <c r="F2" s="193" t="s">
        <v>254</v>
      </c>
      <c r="G2" s="193" t="s">
        <v>255</v>
      </c>
      <c r="H2" t="s">
        <v>253</v>
      </c>
    </row>
    <row r="3" spans="1:8" x14ac:dyDescent="0.2">
      <c r="H3" t="s">
        <v>7</v>
      </c>
    </row>
    <row r="41" ht="15.75" customHeight="1" x14ac:dyDescent="0.2"/>
    <row r="42" ht="15.75" customHeight="1" x14ac:dyDescent="0.2"/>
    <row r="43" ht="15.75" customHeight="1" x14ac:dyDescent="0.2"/>
    <row r="44" ht="15.75" customHeight="1" x14ac:dyDescent="0.2"/>
    <row r="45" ht="15.75" customHeight="1" x14ac:dyDescent="0.2"/>
    <row r="56" spans="2:8" ht="15.75" customHeight="1" x14ac:dyDescent="0.2"/>
    <row r="57" spans="2:8" ht="15.75" customHeight="1" x14ac:dyDescent="0.2"/>
    <row r="58" spans="2:8" s="36" customFormat="1" ht="15.75" customHeight="1" x14ac:dyDescent="0.2">
      <c r="B58" s="35"/>
      <c r="C58" s="35"/>
      <c r="D58" s="35"/>
      <c r="E58" s="35"/>
      <c r="F58" s="35"/>
      <c r="G58" s="35"/>
      <c r="H58" s="35"/>
    </row>
    <row r="59" spans="2:8" ht="15.75" customHeight="1" x14ac:dyDescent="0.2"/>
    <row r="60" spans="2:8" ht="15.75" customHeight="1" x14ac:dyDescent="0.2"/>
    <row r="61" spans="2:8" ht="15.75" customHeight="1" x14ac:dyDescent="0.2"/>
    <row r="62" spans="2:8" ht="15.75" customHeight="1" x14ac:dyDescent="0.2"/>
    <row r="63" spans="2:8" ht="15.75" customHeight="1" x14ac:dyDescent="0.2"/>
    <row r="64" spans="2:8" ht="15.75" customHeight="1" x14ac:dyDescent="0.2"/>
    <row r="65" ht="15.75" customHeight="1" x14ac:dyDescent="0.2"/>
    <row r="66" ht="15.75" customHeight="1" x14ac:dyDescent="0.2"/>
    <row r="67" ht="15.75" customHeight="1" x14ac:dyDescent="0.2"/>
  </sheetData>
  <autoFilter ref="A1:G1" xr:uid="{40175DB0-40DB-6046-B965-F2F52476B1A1}"/>
  <pageMargins left="0.70866141732283472" right="0.70866141732283472" top="0.74803149606299213" bottom="0.74803149606299213" header="0.31496062992125984" footer="0.31496062992125984"/>
  <pageSetup paperSize="8" scale="7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4949-5E39-2D4C-AD07-A4D8FB117F56}">
  <dimension ref="A1:W6"/>
  <sheetViews>
    <sheetView workbookViewId="0">
      <pane ySplit="1" topLeftCell="A2" activePane="bottomLeft" state="frozen"/>
      <selection pane="bottomLeft" activeCell="A2" sqref="A2"/>
    </sheetView>
  </sheetViews>
  <sheetFormatPr baseColWidth="10" defaultRowHeight="15" x14ac:dyDescent="0.2"/>
  <cols>
    <col min="2" max="2" width="41" customWidth="1"/>
    <col min="4" max="5" width="13.33203125" customWidth="1"/>
    <col min="6" max="6" width="13.33203125" hidden="1" customWidth="1"/>
    <col min="7" max="8" width="13.33203125" customWidth="1"/>
    <col min="9" max="9" width="12" customWidth="1"/>
    <col min="11" max="11" width="15" customWidth="1"/>
    <col min="12" max="12" width="12.83203125" customWidth="1"/>
    <col min="13" max="13" width="18.5" customWidth="1"/>
    <col min="14" max="14" width="12.83203125" customWidth="1"/>
    <col min="15" max="15" width="24.33203125" customWidth="1"/>
    <col min="16" max="16" width="13.83203125" customWidth="1"/>
    <col min="17" max="17" width="12.83203125" customWidth="1"/>
    <col min="18" max="18" width="12.33203125" customWidth="1"/>
    <col min="19" max="19" width="22.5" customWidth="1"/>
    <col min="20" max="20" width="15.5" customWidth="1"/>
    <col min="22" max="22" width="255.6640625" customWidth="1"/>
    <col min="23" max="23" width="19.33203125" bestFit="1" customWidth="1"/>
  </cols>
  <sheetData>
    <row r="1" spans="1:23" ht="76" customHeight="1" x14ac:dyDescent="0.2">
      <c r="A1" s="22" t="s">
        <v>591</v>
      </c>
      <c r="B1" s="22" t="s">
        <v>592</v>
      </c>
      <c r="C1" s="22" t="s">
        <v>263</v>
      </c>
      <c r="D1" s="22" t="s">
        <v>593</v>
      </c>
      <c r="E1" s="22" t="s">
        <v>594</v>
      </c>
      <c r="F1" s="22"/>
      <c r="G1" s="376" t="s">
        <v>595</v>
      </c>
      <c r="H1" s="376" t="s">
        <v>596</v>
      </c>
      <c r="I1" s="381" t="s">
        <v>597</v>
      </c>
      <c r="J1" s="381" t="s">
        <v>598</v>
      </c>
      <c r="K1" s="381" t="s">
        <v>599</v>
      </c>
      <c r="L1" s="377" t="s">
        <v>600</v>
      </c>
      <c r="M1" s="22" t="s">
        <v>601</v>
      </c>
      <c r="N1" s="377" t="s">
        <v>602</v>
      </c>
      <c r="O1" s="378" t="s">
        <v>603</v>
      </c>
      <c r="P1" s="22" t="s">
        <v>604</v>
      </c>
      <c r="Q1" s="378" t="s">
        <v>605</v>
      </c>
      <c r="R1" s="378" t="s">
        <v>606</v>
      </c>
      <c r="S1" s="376" t="s">
        <v>630</v>
      </c>
      <c r="T1" s="376" t="s">
        <v>634</v>
      </c>
      <c r="U1" s="22" t="s">
        <v>633</v>
      </c>
      <c r="V1" s="379" t="s">
        <v>631</v>
      </c>
      <c r="W1" t="s">
        <v>607</v>
      </c>
    </row>
    <row r="2" spans="1:23" ht="15" customHeight="1" x14ac:dyDescent="0.2">
      <c r="A2" s="380" t="s">
        <v>609</v>
      </c>
      <c r="B2" s="380" t="s">
        <v>610</v>
      </c>
      <c r="C2" s="380" t="s">
        <v>611</v>
      </c>
      <c r="D2" s="380" t="s">
        <v>612</v>
      </c>
      <c r="E2" s="380" t="s">
        <v>613</v>
      </c>
      <c r="F2" s="380" t="s">
        <v>629</v>
      </c>
      <c r="G2" s="380" t="s">
        <v>614</v>
      </c>
      <c r="H2" s="380" t="s">
        <v>615</v>
      </c>
      <c r="I2" s="385" t="s">
        <v>616</v>
      </c>
      <c r="J2" s="385" t="s">
        <v>617</v>
      </c>
      <c r="K2" s="383" t="s">
        <v>618</v>
      </c>
      <c r="L2" s="383" t="s">
        <v>619</v>
      </c>
      <c r="M2" s="384" t="s">
        <v>620</v>
      </c>
      <c r="N2" s="386" t="s">
        <v>621</v>
      </c>
      <c r="O2" s="383" t="s">
        <v>622</v>
      </c>
      <c r="P2" s="383" t="s">
        <v>623</v>
      </c>
      <c r="Q2" s="383" t="s">
        <v>624</v>
      </c>
      <c r="R2" s="383" t="s">
        <v>625</v>
      </c>
      <c r="S2" s="383" t="s">
        <v>626</v>
      </c>
      <c r="T2" s="383" t="s">
        <v>635</v>
      </c>
      <c r="U2" s="383" t="s">
        <v>627</v>
      </c>
      <c r="V2" s="382" t="s">
        <v>628</v>
      </c>
      <c r="W2" t="s">
        <v>608</v>
      </c>
    </row>
    <row r="3" spans="1:23" x14ac:dyDescent="0.2">
      <c r="W3" t="s">
        <v>7</v>
      </c>
    </row>
    <row r="6" spans="1:23" x14ac:dyDescent="0.2">
      <c r="D6" s="21"/>
    </row>
  </sheetData>
  <autoFilter ref="A1:V1" xr:uid="{02AF4949-5E39-2D4C-AD07-A4D8FB117F56}"/>
  <conditionalFormatting sqref="A1:B1">
    <cfRule type="expression" dxfId="10" priority="30">
      <formula>AND(OR($I1&lt;&gt;"-",#REF!&lt;&gt;0,#REF!&lt;&gt;0,ISBLANK($M1)),ROW()&gt;2,$A1&lt;&gt;"")</formula>
    </cfRule>
  </conditionalFormatting>
  <conditionalFormatting sqref="A2:F2">
    <cfRule type="expression" dxfId="9" priority="11" stopIfTrue="1">
      <formula>$F2="x"</formula>
    </cfRule>
  </conditionalFormatting>
  <conditionalFormatting sqref="G2:N2">
    <cfRule type="expression" dxfId="8" priority="5">
      <formula>$F2="x"</formula>
    </cfRule>
  </conditionalFormatting>
  <conditionalFormatting sqref="I2:K2">
    <cfRule type="expression" dxfId="7" priority="6">
      <formula>1=1</formula>
    </cfRule>
  </conditionalFormatting>
  <conditionalFormatting sqref="L2">
    <cfRule type="expression" dxfId="6" priority="8">
      <formula>1=1</formula>
    </cfRule>
  </conditionalFormatting>
  <conditionalFormatting sqref="N2">
    <cfRule type="expression" dxfId="5" priority="7">
      <formula>1=1</formula>
    </cfRule>
  </conditionalFormatting>
  <conditionalFormatting sqref="O2">
    <cfRule type="expression" dxfId="4" priority="9">
      <formula>1=1</formula>
    </cfRule>
  </conditionalFormatting>
  <conditionalFormatting sqref="O2:V2">
    <cfRule type="expression" dxfId="3" priority="1">
      <formula>$F2="x"</formula>
    </cfRule>
  </conditionalFormatting>
  <conditionalFormatting sqref="Q2:R2">
    <cfRule type="expression" dxfId="2" priority="4">
      <formula>1=1</formula>
    </cfRule>
  </conditionalFormatting>
  <conditionalFormatting sqref="S2:T2">
    <cfRule type="expression" dxfId="1" priority="3">
      <formula>1=1</formula>
    </cfRule>
  </conditionalFormatting>
  <conditionalFormatting sqref="V2">
    <cfRule type="expression" dxfId="0" priority="2">
      <formula>1=1</formula>
    </cfRule>
  </conditionalFormatting>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21C7-025B-4F4F-A5C7-6D94075AC520}">
  <sheetPr codeName="Feuil8">
    <tabColor rgb="FFC00000"/>
  </sheetPr>
  <dimension ref="A1:BF24"/>
  <sheetViews>
    <sheetView topLeftCell="D1" zoomScale="130" zoomScaleNormal="130" workbookViewId="0">
      <pane xSplit="3" ySplit="1" topLeftCell="P4" activePane="bottomRight" state="frozen"/>
      <selection activeCell="D1" sqref="D1"/>
      <selection pane="topRight" activeCell="G1" sqref="G1"/>
      <selection pane="bottomLeft" activeCell="D2" sqref="D2"/>
      <selection pane="bottomRight" activeCell="V15" sqref="V15"/>
    </sheetView>
  </sheetViews>
  <sheetFormatPr baseColWidth="10" defaultColWidth="11" defaultRowHeight="16" x14ac:dyDescent="0.2"/>
  <cols>
    <col min="1" max="1" width="6" style="37" hidden="1" customWidth="1"/>
    <col min="2" max="2" width="17.1640625" style="37" hidden="1" customWidth="1"/>
    <col min="3" max="3" width="6.33203125" style="37" bestFit="1" customWidth="1"/>
    <col min="4" max="4" width="14.6640625" style="37" customWidth="1"/>
    <col min="5" max="5" width="6.5" style="37" customWidth="1"/>
    <col min="6" max="6" width="45" style="37" customWidth="1"/>
    <col min="7" max="8" width="9.33203125" style="37" customWidth="1"/>
    <col min="9" max="9" width="9.5" style="37" customWidth="1"/>
    <col min="10" max="10" width="9" style="37" customWidth="1"/>
    <col min="11" max="33" width="9.33203125" style="37" customWidth="1"/>
    <col min="34" max="34" width="8.5" style="37" bestFit="1" customWidth="1"/>
    <col min="35" max="35" width="7.33203125" style="37" bestFit="1" customWidth="1"/>
    <col min="36" max="58" width="9.33203125" style="37" customWidth="1"/>
    <col min="59" max="59" width="4" style="37" customWidth="1"/>
    <col min="60" max="16384" width="11" style="37"/>
  </cols>
  <sheetData>
    <row r="1" spans="1:58" s="41" customFormat="1" ht="23.5" customHeight="1" x14ac:dyDescent="0.15">
      <c r="B1" s="424" t="s">
        <v>170</v>
      </c>
      <c r="C1" s="424"/>
      <c r="D1" s="424"/>
      <c r="E1" s="424"/>
      <c r="F1" s="424"/>
      <c r="G1" s="424"/>
      <c r="H1" s="424"/>
      <c r="I1" s="424"/>
    </row>
    <row r="2" spans="1:58" s="41" customFormat="1" ht="12.75" customHeight="1" x14ac:dyDescent="0.15">
      <c r="A2" s="74"/>
      <c r="B2" s="74"/>
      <c r="C2" s="74"/>
      <c r="D2" s="74"/>
      <c r="E2" s="74"/>
      <c r="F2" s="74"/>
      <c r="G2" s="71" t="s">
        <v>169</v>
      </c>
      <c r="H2" s="423" t="s">
        <v>168</v>
      </c>
      <c r="I2" s="70" t="s">
        <v>167</v>
      </c>
      <c r="J2" s="70" t="s">
        <v>167</v>
      </c>
      <c r="K2" s="70" t="s">
        <v>167</v>
      </c>
      <c r="L2" s="70" t="s">
        <v>167</v>
      </c>
      <c r="M2" s="70" t="s">
        <v>167</v>
      </c>
      <c r="N2" s="70" t="s">
        <v>167</v>
      </c>
      <c r="O2" s="70" t="s">
        <v>167</v>
      </c>
      <c r="P2" s="70" t="s">
        <v>167</v>
      </c>
      <c r="Q2" s="70" t="s">
        <v>167</v>
      </c>
      <c r="R2" s="70" t="s">
        <v>167</v>
      </c>
      <c r="S2" s="70" t="s">
        <v>167</v>
      </c>
      <c r="T2" s="70" t="s">
        <v>167</v>
      </c>
      <c r="U2" s="70" t="s">
        <v>167</v>
      </c>
      <c r="V2" s="70" t="s">
        <v>167</v>
      </c>
      <c r="W2" s="423" t="s">
        <v>166</v>
      </c>
      <c r="X2" s="69" t="s">
        <v>164</v>
      </c>
      <c r="Y2" s="69" t="s">
        <v>164</v>
      </c>
      <c r="Z2" s="69" t="s">
        <v>164</v>
      </c>
      <c r="AA2" s="69" t="s">
        <v>164</v>
      </c>
      <c r="AB2" s="69" t="s">
        <v>164</v>
      </c>
      <c r="AC2" s="69" t="s">
        <v>164</v>
      </c>
      <c r="AD2" s="69" t="s">
        <v>164</v>
      </c>
      <c r="AE2" s="69" t="s">
        <v>164</v>
      </c>
      <c r="AF2" s="69" t="s">
        <v>164</v>
      </c>
      <c r="AG2" s="423" t="s">
        <v>163</v>
      </c>
      <c r="AH2" s="69" t="s">
        <v>162</v>
      </c>
      <c r="AI2" s="69" t="s">
        <v>162</v>
      </c>
      <c r="AJ2" s="69" t="s">
        <v>162</v>
      </c>
      <c r="AK2" s="69" t="s">
        <v>162</v>
      </c>
      <c r="AL2" s="69" t="s">
        <v>162</v>
      </c>
      <c r="AM2" s="69" t="s">
        <v>162</v>
      </c>
      <c r="AN2" s="69" t="s">
        <v>162</v>
      </c>
      <c r="AO2" s="69" t="s">
        <v>162</v>
      </c>
      <c r="AP2" s="69" t="s">
        <v>162</v>
      </c>
      <c r="AQ2" s="69" t="s">
        <v>162</v>
      </c>
      <c r="AR2" s="69" t="s">
        <v>162</v>
      </c>
      <c r="AS2" s="69" t="s">
        <v>162</v>
      </c>
      <c r="AT2" s="69" t="s">
        <v>162</v>
      </c>
      <c r="AU2" s="69" t="s">
        <v>162</v>
      </c>
      <c r="AV2" s="423" t="s">
        <v>161</v>
      </c>
      <c r="AW2" s="68" t="s">
        <v>160</v>
      </c>
      <c r="AX2" s="68" t="s">
        <v>160</v>
      </c>
      <c r="AY2" s="68" t="s">
        <v>160</v>
      </c>
      <c r="AZ2" s="68" t="s">
        <v>160</v>
      </c>
      <c r="BA2" s="68" t="s">
        <v>160</v>
      </c>
      <c r="BB2" s="68" t="s">
        <v>160</v>
      </c>
      <c r="BC2" s="68" t="s">
        <v>160</v>
      </c>
      <c r="BD2" s="68" t="s">
        <v>160</v>
      </c>
      <c r="BE2" s="68" t="s">
        <v>160</v>
      </c>
      <c r="BF2" s="423" t="s">
        <v>159</v>
      </c>
    </row>
    <row r="3" spans="1:58" s="41" customFormat="1" ht="26" hidden="1" customHeight="1" x14ac:dyDescent="0.15">
      <c r="A3" s="74"/>
      <c r="B3" s="74"/>
      <c r="C3" s="74"/>
      <c r="D3" s="74"/>
      <c r="E3" s="74"/>
      <c r="F3" s="74"/>
      <c r="G3" s="71" t="s">
        <v>158</v>
      </c>
      <c r="H3" s="423"/>
      <c r="I3" s="70" t="s">
        <v>157</v>
      </c>
      <c r="J3" s="70" t="s">
        <v>156</v>
      </c>
      <c r="K3" s="70" t="s">
        <v>155</v>
      </c>
      <c r="L3" s="70" t="s">
        <v>154</v>
      </c>
      <c r="M3" s="70" t="s">
        <v>153</v>
      </c>
      <c r="N3" s="70" t="s">
        <v>152</v>
      </c>
      <c r="O3" s="70" t="s">
        <v>151</v>
      </c>
      <c r="P3" s="70" t="s">
        <v>150</v>
      </c>
      <c r="Q3" s="70" t="s">
        <v>149</v>
      </c>
      <c r="R3" s="70"/>
      <c r="S3" s="70" t="s">
        <v>148</v>
      </c>
      <c r="T3" s="70" t="s">
        <v>147</v>
      </c>
      <c r="U3" s="70" t="s">
        <v>146</v>
      </c>
      <c r="V3" s="70" t="s">
        <v>145</v>
      </c>
      <c r="W3" s="423"/>
      <c r="X3" s="69" t="s">
        <v>141</v>
      </c>
      <c r="Y3" s="69" t="s">
        <v>140</v>
      </c>
      <c r="Z3" s="69" t="s">
        <v>139</v>
      </c>
      <c r="AA3" s="69" t="s">
        <v>138</v>
      </c>
      <c r="AB3" s="69" t="s">
        <v>137</v>
      </c>
      <c r="AC3" s="69" t="s">
        <v>136</v>
      </c>
      <c r="AD3" s="69" t="s">
        <v>35</v>
      </c>
      <c r="AE3" s="69" t="s">
        <v>34</v>
      </c>
      <c r="AF3" s="69" t="s">
        <v>135</v>
      </c>
      <c r="AG3" s="423"/>
      <c r="AH3" s="69" t="s">
        <v>134</v>
      </c>
      <c r="AI3" s="69" t="s">
        <v>133</v>
      </c>
      <c r="AJ3" s="69" t="s">
        <v>132</v>
      </c>
      <c r="AK3" s="69" t="s">
        <v>131</v>
      </c>
      <c r="AL3" s="69" t="s">
        <v>130</v>
      </c>
      <c r="AM3" s="69" t="s">
        <v>129</v>
      </c>
      <c r="AN3" s="69" t="s">
        <v>128</v>
      </c>
      <c r="AO3" s="69" t="s">
        <v>127</v>
      </c>
      <c r="AP3" s="69" t="s">
        <v>126</v>
      </c>
      <c r="AQ3" s="69" t="s">
        <v>125</v>
      </c>
      <c r="AR3" s="69" t="s">
        <v>124</v>
      </c>
      <c r="AS3" s="69" t="s">
        <v>123</v>
      </c>
      <c r="AT3" s="69"/>
      <c r="AU3" s="69" t="s">
        <v>122</v>
      </c>
      <c r="AV3" s="423"/>
      <c r="AW3" s="68" t="s">
        <v>121</v>
      </c>
      <c r="AX3" s="68" t="s">
        <v>120</v>
      </c>
      <c r="AY3" s="68" t="s">
        <v>119</v>
      </c>
      <c r="AZ3" s="68" t="s">
        <v>118</v>
      </c>
      <c r="BA3" s="68" t="s">
        <v>117</v>
      </c>
      <c r="BB3" s="68" t="s">
        <v>116</v>
      </c>
      <c r="BC3" s="68" t="s">
        <v>115</v>
      </c>
      <c r="BD3" s="68" t="s">
        <v>114</v>
      </c>
      <c r="BE3" s="68" t="s">
        <v>113</v>
      </c>
      <c r="BF3" s="423"/>
    </row>
    <row r="4" spans="1:58" s="41" customFormat="1" ht="72" x14ac:dyDescent="0.15">
      <c r="A4" s="73"/>
      <c r="B4" s="72" t="s">
        <v>112</v>
      </c>
      <c r="C4" s="72" t="s">
        <v>111</v>
      </c>
      <c r="D4" s="72" t="s">
        <v>32</v>
      </c>
      <c r="E4" s="72" t="s">
        <v>110</v>
      </c>
      <c r="F4" s="72" t="s">
        <v>109</v>
      </c>
      <c r="G4" s="71" t="s">
        <v>108</v>
      </c>
      <c r="H4" s="423"/>
      <c r="I4" s="70" t="s">
        <v>107</v>
      </c>
      <c r="J4" s="70" t="s">
        <v>106</v>
      </c>
      <c r="K4" s="70" t="s">
        <v>105</v>
      </c>
      <c r="L4" s="70" t="s">
        <v>104</v>
      </c>
      <c r="M4" s="70" t="s">
        <v>103</v>
      </c>
      <c r="N4" s="70" t="s">
        <v>102</v>
      </c>
      <c r="O4" s="70" t="s">
        <v>101</v>
      </c>
      <c r="P4" s="70" t="s">
        <v>100</v>
      </c>
      <c r="Q4" s="70" t="s">
        <v>99</v>
      </c>
      <c r="R4" s="70" t="s">
        <v>692</v>
      </c>
      <c r="S4" s="70" t="s">
        <v>97</v>
      </c>
      <c r="T4" s="70" t="s">
        <v>96</v>
      </c>
      <c r="U4" s="70" t="s">
        <v>95</v>
      </c>
      <c r="V4" s="70" t="s">
        <v>94</v>
      </c>
      <c r="W4" s="423"/>
      <c r="X4" s="69" t="s">
        <v>92</v>
      </c>
      <c r="Y4" s="69" t="s">
        <v>91</v>
      </c>
      <c r="Z4" s="69" t="s">
        <v>90</v>
      </c>
      <c r="AA4" s="69" t="s">
        <v>89</v>
      </c>
      <c r="AB4" s="69" t="s">
        <v>88</v>
      </c>
      <c r="AC4" s="69" t="s">
        <v>87</v>
      </c>
      <c r="AD4" s="69" t="s">
        <v>35</v>
      </c>
      <c r="AE4" s="69" t="s">
        <v>86</v>
      </c>
      <c r="AF4" s="69" t="s">
        <v>645</v>
      </c>
      <c r="AG4" s="423"/>
      <c r="AH4" s="69" t="s">
        <v>84</v>
      </c>
      <c r="AI4" s="69" t="s">
        <v>83</v>
      </c>
      <c r="AJ4" s="69" t="s">
        <v>82</v>
      </c>
      <c r="AK4" s="69" t="s">
        <v>81</v>
      </c>
      <c r="AL4" s="69" t="s">
        <v>80</v>
      </c>
      <c r="AM4" s="69" t="s">
        <v>79</v>
      </c>
      <c r="AN4" s="69" t="s">
        <v>78</v>
      </c>
      <c r="AO4" s="69" t="s">
        <v>77</v>
      </c>
      <c r="AP4" s="69" t="s">
        <v>76</v>
      </c>
      <c r="AQ4" s="69" t="s">
        <v>75</v>
      </c>
      <c r="AR4" s="69" t="s">
        <v>74</v>
      </c>
      <c r="AS4" s="69" t="s">
        <v>73</v>
      </c>
      <c r="AT4" s="69" t="s">
        <v>646</v>
      </c>
      <c r="AU4" s="69" t="s">
        <v>72</v>
      </c>
      <c r="AV4" s="423"/>
      <c r="AW4" s="68" t="s">
        <v>71</v>
      </c>
      <c r="AX4" s="68" t="s">
        <v>70</v>
      </c>
      <c r="AY4" s="68" t="s">
        <v>69</v>
      </c>
      <c r="AZ4" s="68" t="s">
        <v>68</v>
      </c>
      <c r="BA4" s="68" t="s">
        <v>67</v>
      </c>
      <c r="BB4" s="68" t="s">
        <v>66</v>
      </c>
      <c r="BC4" s="68" t="s">
        <v>65</v>
      </c>
      <c r="BD4" s="68" t="s">
        <v>64</v>
      </c>
      <c r="BE4" s="68" t="s">
        <v>63</v>
      </c>
      <c r="BF4" s="423"/>
    </row>
    <row r="5" spans="1:58" s="41" customFormat="1" ht="11" customHeight="1" x14ac:dyDescent="0.15">
      <c r="A5" s="50" t="s">
        <v>42</v>
      </c>
      <c r="B5" s="58"/>
      <c r="C5" s="58"/>
      <c r="D5" s="67" t="str">
        <f>IF(ETPT_TJ_DDG!$D$5="","",ETPT_TJ_DDG!$D$5)</f>
        <v/>
      </c>
      <c r="E5" s="58" t="s">
        <v>62</v>
      </c>
      <c r="F5" s="58" t="s">
        <v>61</v>
      </c>
      <c r="G5" s="89" t="e">
        <f>SUM(SUMIFS(
INDEX( 'ETPT Format DDG'!$A:$ZZ,,MATCH("1. TOTAL CONTENTIEUX SOCIAL",'ETPT Format DDG'!2:2,0)),
INDEX( 'ETPT Format DDG'!$A:$ZZ,,MATCH("Fonction recodée",'ETPT Format DDG'!2:2,0)),"Fonctionnaire CTECH",
INDEX( 'ETPT Format DDG'!$A:$ZZ,,MATCH("TJCPH",'ETPT Format DDG'!2:2,0)),"OUI"))+
SUM(SUMIFS(
INDEX( 'ETPT Format DDG'!$A:$ZZ,,MATCH("2. TOTAL CONTENTIEUX JAF",'ETPT Format DDG'!2:2,0)),
INDEX( 'ETPT Format DDG'!$A:$ZZ,,MATCH("Fonction recodée",'ETPT Format DDG'!2:2,0)),"Fonctionnaire CTECH",
INDEX( 'ETPT Format DDG'!$A:$ZZ,,MATCH("TJCPH",'ETPT Format DDG'!2:2,0)),"OUI"))+
SUM(SUMIFS(
INDEX( 'ETPT Format DDG'!$A:$ZZ,,MATCH("3. TOTAL CONTENTIEUX DE LA PROTECTION",'ETPT Format DDG'!2:2,0)),
INDEX( 'ETPT Format DDG'!$A:$ZZ,,MATCH("Fonction recodée",'ETPT Format DDG'!2:2,0)),"Fonctionnaire CTECH",
INDEX( 'ETPT Format DDG'!$A:$ZZ,,MATCH("TJCPH",'ETPT Format DDG'!2:2,0)),"OUI"))+
SUM(SUMIFS(
INDEX( 'ETPT Format DDG'!$A:$ZZ,,MATCH("4. TOTAL CIVIL NON SPÉCIALISÉ",'ETPT Format DDG'!2:2,0)),
INDEX( 'ETPT Format DDG'!$A:$ZZ,,MATCH("Fonction recodée",'ETPT Format DDG'!2:2,0)),"Fonctionnaire CTECH",
INDEX( 'ETPT Format DDG'!$A:$ZZ,,MATCH("TJCPH",'ETPT Format DDG'!2:2,0)),"OUI"))+
SUM(SUMIFS(
INDEX( 'ETPT Format DDG'!$A:$ZZ,,MATCH("5. TOTAL JLD CIVIL",'ETPT Format DDG'!2:2,0)),
INDEX( 'ETPT Format DDG'!$A:$ZZ,,MATCH("Fonction recodée",'ETPT Format DDG'!2:2,0)),"Fonctionnaire CTECH",
INDEX( 'ETPT Format DDG'!$A:$ZZ,,MATCH("TJCPH",'ETPT Format DDG'!2:2,0)),"OUI"))+
SUM(SUMIFS(
INDEX( 'ETPT Format DDG'!$A:$ZZ,,MATCH("6.1. ACTIVITÉ CIVILE",'ETPT Format DDG'!2:2,0)),
INDEX( 'ETPT Format DDG'!$A:$ZZ,,MATCH("Fonction recodée",'ETPT Format DDG'!2:2,0)),"Fonctionnaire CTECH",
INDEX( 'ETPT Format DDG'!$A:$ZZ,,MATCH("TJCPH",'ETPT Format DDG'!2:2,0)),"OUI"))+
SUM(SUMIFS(
INDEX( 'ETPT Format DDG'!$A:$ZZ,,MATCH("11.7. FONCTIONNAIRES AFFECTÉS AU CPH",'ETPT Format DDG'!2:2,0)),
INDEX( 'ETPT Format DDG'!$A:$ZZ,,MATCH("Fonction recodée",'ETPT Format DDG'!2:2,0)),"Fonctionnaire CTECH",
INDEX( 'ETPT Format DDG'!$A:$ZZ,,MATCH("TJCPH",'ETPT Format DDG'!2:2,0)),"OUI"))+
SUM(SUMIFS(
INDEX( 'ETPT Format DDG'!$A:$ZZ,,MATCH("11.8. FONCTIONNAIRES AFFECTÉS AUX ACTIVITÉS CIVILES ET COMMERCIALES DU PARQUET",'ETPT Format DDG'!2:2,0)),
INDEX( 'ETPT Format DDG'!$A:$ZZ,,MATCH("Fonction recodée",'ETPT Format DDG'!2:2,0)),"Fonctionnaire CTECH",
INDEX( 'ETPT Format DDG'!$A:$ZZ,,MATCH("TJCPH",'ETPT Format DDG'!2:2,0)),"OUI"))</f>
        <v>#N/A</v>
      </c>
      <c r="H5" s="57">
        <f>_xlfn.AGGREGATE(9,6,G5)</f>
        <v>0</v>
      </c>
      <c r="I5" s="56" t="e">
        <f>SUM(SUMIFS(
INDEX( 'ETPT Format DDG'!$A:$ZZ,,MATCH("11.8. FONCTIONNAIRES AFFECTÉS AUX ACTIVITÉS CIVILES ET COMMERCIALES DU PARQUET",'ETPT Format DDG'!2:2,0)),
INDEX( 'ETPT Format DDG'!$A:$ZZ,,MATCH("Fonction recodée",'ETPT Format DDG'!2:2,0)),"Fonctionnaire A-B-CBUR",
INDEX( 'ETPT Format DDG'!$A:$ZZ,,MATCH("TJCPH",'ETPT Format DDG'!2:2,0)),"OUI"))</f>
        <v>#N/A</v>
      </c>
      <c r="J5" s="66"/>
      <c r="K5" s="66"/>
      <c r="L5" s="66"/>
      <c r="M5" s="66"/>
      <c r="N5" s="66"/>
      <c r="O5" s="66"/>
      <c r="P5" s="56" t="e">
        <f>SUM(SUMIFS(
INDEX( 'ETPT Format DDG'!$A:$ZZ,,MATCH("3.2. PROTECTION DES MAJEURS",'ETPT Format DDG'!2:2,0)),
INDEX( 'ETPT Format DDG'!$A:$ZZ,,MATCH("Fonction recodée",'ETPT Format DDG'!2:2,0)),"Fonctionnaire A-B-CBUR",
INDEX( 'ETPT Format DDG'!$A:$ZZ,,MATCH("TJCPH",'ETPT Format DDG'!2:2,0)),"OUI"))</f>
        <v>#N/A</v>
      </c>
      <c r="Q5" s="56" t="e">
        <f>SUM(SUMIFS(
INDEX( 'ETPT Format DDG'!$A:$ZZ,,MATCH("3. TOTAL CONTENTIEUX DE LA PROTECTION",'ETPT Format DDG'!2:2,0)),
INDEX( 'ETPT Format DDG'!$A:$ZZ,,MATCH("Fonction recodée",'ETPT Format DDG'!2:2,0)),"Fonctionnaire A-B-CBUR",
INDEX( 'ETPT Format DDG'!$A:$ZZ,,MATCH("TJCPH",'ETPT Format DDG'!2:2,0)),"OUI"))-
SUM(SUMIFS(
INDEX( 'ETPT Format DDG'!$A:$ZZ,,MATCH("3.2. PROTECTION DES MAJEURS",'ETPT Format DDG'!2:2,0)),
INDEX( 'ETPT Format DDG'!$A:$ZZ,,MATCH("Fonction recodée",'ETPT Format DDG'!2:2,0)),"Fonctionnaire A-B-CBUR",
INDEX( 'ETPT Format DDG'!$A:$ZZ,,MATCH("TJCPH",'ETPT Format DDG'!2:2,0)),"OUI"))-
SUM(SUMIFS(
INDEX( 'ETPT Format DDG'!$A:$ZZ,,MATCH("3.43. INJONCTIONS DE PAYER",'ETPT Format DDG'!2:2,0)),
INDEX( 'ETPT Format DDG'!$A:$ZZ,,MATCH("Fonction recodée",'ETPT Format DDG'!2:2,0)),"Fonctionnaire A-B-CBUR",
INDEX( 'ETPT Format DDG'!$A:$ZZ,,MATCH("TJCPH",'ETPT Format DDG'!2:2,0)),"OUI"))-
SUM(SUMIFS(
INDEX( 'ETPT Format DDG'!$A:$ZZ,,MATCH("3.44. SAISIE DES RÉMUNÉRATIONS",'ETPT Format DDG'!2:2,0)),
INDEX( 'ETPT Format DDG'!$A:$ZZ,,MATCH("Fonction recodée",'ETPT Format DDG'!2:2,0)),"Fonctionnaire A-B-CBUR",
INDEX( 'ETPT Format DDG'!$A:$ZZ,,MATCH("TJCPH",'ETPT Format DDG'!2:2,0)),"OUI"))</f>
        <v>#N/A</v>
      </c>
      <c r="R5" s="56" t="e">
        <f>SUM(SUMIFS(
INDEX( 'ETPT Format DDG'!$A:$ZZ,,MATCH("6.1. ACTIVITÉ CIVILE",'ETPT Format DDG'!2:2,0)),
INDEX( 'ETPT Format DDG'!$A:$ZZ,,MATCH("Fonction recodée",'ETPT Format DDG'!2:2,0)),"Fonctionnaire A-B-CBUR",
INDEX( 'ETPT Format DDG'!$A:$ZZ,,MATCH("TJCPH",'ETPT Format DDG'!2:2,0)),"OUI"))</f>
        <v>#N/A</v>
      </c>
      <c r="S5" s="56" t="e">
        <f>SUM(SUMIFS(
INDEX( 'ETPT Format DDG'!$A:$ZZ,,MATCH("3.43. INJONCTIONS DE PAYER",'ETPT Format DDG'!2:2,0)),
INDEX( 'ETPT Format DDG'!$A:$ZZ,,MATCH("Fonction recodée",'ETPT Format DDG'!2:2,0)),"Fonctionnaire A-B-CBUR",
INDEX( 'ETPT Format DDG'!$A:$ZZ,,MATCH("TJCPH",'ETPT Format DDG'!2:2,0)),"OUI"))+
SUM(SUMIFS(
INDEX( 'ETPT Format DDG'!$A:$ZZ,,MATCH("3.44. SAISIE DES RÉMUNÉRATIONS",'ETPT Format DDG'!2:2,0)),
INDEX( 'ETPT Format DDG'!$A:$ZZ,,MATCH("Fonction recodée",'ETPT Format DDG'!2:2,0)),"Fonctionnaire A-B-CBUR",
INDEX( 'ETPT Format DDG'!$A:$ZZ,,MATCH("TJCPH",'ETPT Format DDG'!2:2,0)),"OUI"))</f>
        <v>#N/A</v>
      </c>
      <c r="T5" s="56" t="e">
        <f>SUM(SUMIFS(
INDEX( 'ETPT Format DDG'!$A:$ZZ,,MATCH("4.0. CONTENTIEUX GÉNÉRAL &lt;10.000€",'ETPT Format DDG'!2:2,0)),
INDEX( 'ETPT Format DDG'!$A:$ZZ,,MATCH("Fonction recodée",'ETPT Format DDG'!2:2,0)),"Fonctionnaire A-B-CBUR",
INDEX( 'ETPT Format DDG'!$A:$ZZ,,MATCH("TJCPH",'ETPT Format DDG'!2:2,0)),"OUI"))</f>
        <v>#N/A</v>
      </c>
      <c r="U5" s="56" t="e">
        <f>SUM(SUMIFS(
INDEX( 'ETPT Format DDG'!$A:$ZZ,,MATCH("1. TOTAL CONTENTIEUX SOCIAL",'ETPT Format DDG'!2:2,0)),
INDEX( 'ETPT Format DDG'!$A:$ZZ,,MATCH("Fonction recodée",'ETPT Format DDG'!2:2,0)),"Fonctionnaire A-B-CBUR",
INDEX( 'ETPT Format DDG'!$A:$ZZ,,MATCH("TJCPH",'ETPT Format DDG'!2:2,0)),"OUI"))</f>
        <v>#N/A</v>
      </c>
      <c r="V5" s="56" t="e">
        <f>SUM(SUMIFS(
INDEX( 'ETPT Format DDG'!$A:$ZZ,,MATCH("5. TOTAL JLD CIVIL",'ETPT Format DDG'!2:2,0)),
INDEX( 'ETPT Format DDG'!$A:$ZZ,,MATCH("Fonction recodée",'ETPT Format DDG'!2:2,0)),"Fonctionnaire A-B-CBUR",
INDEX( 'ETPT Format DDG'!$A:$ZZ,,MATCH("TJCPH",'ETPT Format DDG'!2:2,0)),"OUI"))+
SUM(SUMIFS(
INDEX( 'ETPT Format DDG'!$A:$ZZ,,MATCH("2. TOTAL CONTENTIEUX JAF",'ETPT Format DDG'!2:2,0)),
INDEX( 'ETPT Format DDG'!$A:$ZZ,,MATCH("Fonction recodée",'ETPT Format DDG'!2:2,0)),"Fonctionnaire A-B-CBUR",
INDEX( 'ETPT Format DDG'!$A:$ZZ,,MATCH("TJCPH",'ETPT Format DDG'!2:2,0)),"OUI"))+
SUM(SUMIFS(
INDEX( 'ETPT Format DDG'!$A:$ZZ,,MATCH("4. TOTAL CIVIL NON SPÉCIALISÉ",'ETPT Format DDG'!2:2,0)),
INDEX( 'ETPT Format DDG'!$A:$ZZ,,MATCH("Fonction recodée",'ETPT Format DDG'!2:2,0)),"Fonctionnaire A-B-CBUR",
INDEX( 'ETPT Format DDG'!$A:$ZZ,,MATCH("TJCPH",'ETPT Format DDG'!2:2,0)),"OUI"))-
SUM(SUMIFS(
INDEX( 'ETPT Format DDG'!$A:$ZZ,,MATCH("4.0. CONTENTIEUX GÉNÉRAL &lt;10.000€",'ETPT Format DDG'!2:2,0)),
INDEX( 'ETPT Format DDG'!$A:$ZZ,,MATCH("Fonction recodée",'ETPT Format DDG'!2:2,0)),"Fonctionnaire A-B-CBUR",
INDEX( 'ETPT Format DDG'!$A:$ZZ,,MATCH("TJCPH",'ETPT Format DDG'!2:2,0)),"OUI"))</f>
        <v>#N/A</v>
      </c>
      <c r="W5" s="46">
        <f>_xlfn.AGGREGATE(9,6,I5:V5)</f>
        <v>0</v>
      </c>
      <c r="X5" s="54" t="e" cm="1">
        <f t="array" ref="X5">SUM(SUMIFS(
INDEX( 'ETPT Format DDG'!$A:$ZZ,,MATCH("3.2. PROTECTION DES MAJEURS",'ETPT Format DDG'!2:2,0)),
INDEX( 'ETPT Format DDG'!$A:$ZZ,,MATCH("Fonction recodée",'ETPT Format DDG'!2:2,0)),{"Magistrat SIEGE S";"Magistrat SIEGE NS"},
INDEX( 'ETPT Format DDG'!$A:$ZZ,,MATCH("TJCPH",'ETPT Format DDG'!2:2,0)),"OUI"))</f>
        <v>#N/A</v>
      </c>
      <c r="Y5" s="52" t="e" cm="1">
        <f t="array" ref="Y5">SUM(SUMIFS(
INDEX( 'ETPT Format DDG'!$A:$ZZ,,MATCH("3. TOTAL CONTENTIEUX DE LA PROTECTION",'ETPT Format DDG'!2:2,0)),
INDEX( 'ETPT Format DDG'!$A:$ZZ,,MATCH("Fonction recodée",'ETPT Format DDG'!2:2,0)),{"Magistrat SIEGE S";"Magistrat SIEGE NS"},
INDEX( 'ETPT Format DDG'!$A:$ZZ,,MATCH("TJCPH",'ETPT Format DDG'!2:2,0)),"OUI"))-
SUM(SUMIFS(
INDEX( 'ETPT Format DDG'!$A:$ZZ,,MATCH("3.2. PROTECTION DES MAJEURS",'ETPT Format DDG'!2:2,0)),
INDEX( 'ETPT Format DDG'!$A:$ZZ,,MATCH("Fonction recodée",'ETPT Format DDG'!2:2,0)),{"Magistrat SIEGE S";"Magistrat SIEGE NS"},
INDEX( 'ETPT Format DDG'!$A:$ZZ,,MATCH("TJCPH",'ETPT Format DDG'!2:2,0)),"OUI"))-
SUM(SUMIFS(
INDEX( 'ETPT Format DDG'!$A:$ZZ,,MATCH("3.43. INJONCTIONS DE PAYER",'ETPT Format DDG'!2:2,0)),
INDEX( 'ETPT Format DDG'!$A:$ZZ,,MATCH("Fonction recodée",'ETPT Format DDG'!2:2,0)),{"Magistrat SIEGE S";"Magistrat SIEGE NS"},
INDEX( 'ETPT Format DDG'!$A:$ZZ,,MATCH("TJCPH",'ETPT Format DDG'!2:2,0)),"OUI"))-
SUM(SUMIFS(
INDEX( 'ETPT Format DDG'!$A:$ZZ,,MATCH("3.44. SAISIE DES RÉMUNÉRATIONS",'ETPT Format DDG'!2:2,0)),
INDEX( 'ETPT Format DDG'!$A:$ZZ,,MATCH("Fonction recodée",'ETPT Format DDG'!2:2,0)),{"Magistrat SIEGE S";"Magistrat SIEGE NS"},
INDEX( 'ETPT Format DDG'!$A:$ZZ,,MATCH("TJCPH",'ETPT Format DDG'!2:2,0)),"OUI"))</f>
        <v>#N/A</v>
      </c>
      <c r="Z5" s="64"/>
      <c r="AA5" s="64"/>
      <c r="AB5" s="64"/>
      <c r="AC5" s="64"/>
      <c r="AD5" s="64"/>
      <c r="AE5" s="52" t="e" cm="1">
        <f t="array" ref="AE5">SUM(SUMIFS(
INDEX( 'ETPT Format DDG'!$A:$ZZ,,MATCH("6.1. ACTIVITÉ CIVILE",'ETPT Format DDG'!2:2,0)),
INDEX( 'ETPT Format DDG'!$A:$ZZ,,MATCH("Fonction recodée",'ETPT Format DDG'!2:2,0)),{"Magistrat SIEGE S";"Magistrat SIEGE NS"}))</f>
        <v>#N/A</v>
      </c>
      <c r="AF5" s="52"/>
      <c r="AG5" s="46">
        <f>_xlfn.AGGREGATE(9,6,X5:AF5)</f>
        <v>0</v>
      </c>
      <c r="AH5" s="64"/>
      <c r="AI5" s="64"/>
      <c r="AJ5" s="64"/>
      <c r="AK5" s="64"/>
      <c r="AL5" s="64"/>
      <c r="AM5" s="64"/>
      <c r="AN5" s="54" t="e" cm="1">
        <f t="array" ref="AN5">SUM(SUMIFS(
INDEX( 'ETPT Format DDG'!$A:$ZZ,,MATCH("1.1. DÉPARTAGE PRUD'HOMAL",'ETPT Format DDG'!2:2,0)),
INDEX( 'ETPT Format DDG'!$A:$ZZ,,MATCH("Fonction recodée",'ETPT Format DDG'!2:2,0)),{"Magistrat SIEGE S";"Magistrat SIEGE NS"},
INDEX( 'ETPT Format DDG'!$A:$ZZ,,MATCH("TJCPH",'ETPT Format DDG'!2:2,0)),"OUI"))</f>
        <v>#N/A</v>
      </c>
      <c r="AO5" s="52" t="e" cm="1">
        <f t="array" ref="AO5">SUM(SUMIFS(
INDEX( 'ETPT Format DDG'!$A:$ZZ,,MATCH("4.0. CONTENTIEUX GÉNÉRAL &lt;10.000€",'ETPT Format DDG'!2:2,0)),
INDEX( 'ETPT Format DDG'!$A:$ZZ,,MATCH("Fonction recodée",'ETPT Format DDG'!2:2,0)),{"Magistrat SIEGE S";"Magistrat SIEGE NS"},
INDEX( 'ETPT Format DDG'!$A:$ZZ,,MATCH("TJCPH",'ETPT Format DDG'!2:2,0)),"OUI"))</f>
        <v>#N/A</v>
      </c>
      <c r="AP5" s="52" t="e" cm="1">
        <f t="array" ref="AP5">SUM(SUMIFS(
INDEX( 'ETPT Format DDG'!$A:$ZZ,,MATCH("3.43. INJONCTIONS DE PAYER",'ETPT Format DDG'!2:2,0)),
INDEX( 'ETPT Format DDG'!$A:$ZZ,,MATCH("Fonction recodée",'ETPT Format DDG'!2:2,0)),{"Magistrat SIEGE S";"Magistrat SIEGE NS"},
INDEX( 'ETPT Format DDG'!$A:$ZZ,,MATCH("TJCPH",'ETPT Format DDG'!2:2,0)),"OUI"))+
SUM(SUMIFS(
INDEX( 'ETPT Format DDG'!$A:$ZZ,,MATCH("3.44. SAISIE DES RÉMUNÉRATIONS",'ETPT Format DDG'!2:2,0)),
INDEX( 'ETPT Format DDG'!$A:$ZZ,,MATCH("Fonction recodée",'ETPT Format DDG'!2:2,0)),{"Magistrat SIEGE S";"Magistrat SIEGE NS"},
INDEX( 'ETPT Format DDG'!$A:$ZZ,,MATCH("TJCPH",'ETPT Format DDG'!2:2,0)),"OUI"))</f>
        <v>#N/A</v>
      </c>
      <c r="AQ5" s="52" t="e" cm="1">
        <f t="array" ref="AQ5">SUM(SUMIFS(
INDEX( 'ETPT Format DDG'!$A:$ZZ,,MATCH("1. TOTAL CONTENTIEUX SOCIAL",'ETPT Format DDG'!2:2,0)),
INDEX( 'ETPT Format DDG'!$A:$ZZ,,MATCH("Fonction recodée",'ETPT Format DDG'!2:2,0)),{"Magistrat SIEGE S";"Magistrat SIEGE NS"},
INDEX( 'ETPT Format DDG'!$A:$ZZ,,MATCH("TJCPH",'ETPT Format DDG'!2:2,0)),"OUI"))-
SUM(SUMIFS(
INDEX( 'ETPT Format DDG'!$A:$ZZ,,MATCH("1.1. DÉPARTAGE PRUD'HOMAL",'ETPT Format DDG'!2:2,0)),
INDEX( 'ETPT Format DDG'!$A:$ZZ,,MATCH("Fonction recodée",'ETPT Format DDG'!2:2,0)),{"Magistrat SIEGE S";"Magistrat SIEGE NS"},
INDEX( 'ETPT Format DDG'!$A:$ZZ,,MATCH("TJCPH",'ETPT Format DDG'!2:2,0)),"OUI"))</f>
        <v>#N/A</v>
      </c>
      <c r="AR5" s="54" t="e" cm="1">
        <f t="array" ref="AR5">SUM(SUMIFS(
INDEX( 'ETPT Format DDG'!$A:$ZZ,,MATCH("2. TOTAL CONTENTIEUX JAF",'ETPT Format DDG'!2:2,0)),
INDEX( 'ETPT Format DDG'!$A:$ZZ,,MATCH("Fonction recodée",'ETPT Format DDG'!2:2,0)),{"Magistrat SIEGE S";"Magistrat SIEGE NS"}))</f>
        <v>#N/A</v>
      </c>
      <c r="AS5" s="54" t="e">
        <f>MAX(0,SUM(SUMIFS(
INDEX( 'ETPT Format DDG'!$A:$ZZ,,MATCH("4. TOTAL CIVIL NON SPÉCIALISÉ",'ETPT Format DDG'!2:2,0)),
INDEX( 'ETPT Format DDG'!$A:$ZZ,,MATCH("Fonction recodée",'ETPT Format DDG'!2:2,0)),"Magistrat SIEGE S",
INDEX( 'ETPT Format DDG'!$A:$ZZ,,MATCH("TJCPH",'ETPT Format DDG'!2:2,0)),"OUI"))-
SUM(SUMIFS(
INDEX( 'ETPT Format DDG'!$A:$ZZ,,MATCH("4.0. CONTENTIEUX GÉNÉRAL &lt;10.000€",'ETPT Format DDG'!2:2,0)),
INDEX( 'ETPT Format DDG'!$A:$ZZ,,MATCH("Fonction recodée",'ETPT Format DDG'!2:2,0)),"Magistrat SIEGE S",
INDEX( 'ETPT Format DDG'!$A:$ZZ,,MATCH("TJCPH",'ETPT Format DDG'!2:2,0)),"OUI")))</f>
        <v>#N/A</v>
      </c>
      <c r="AT5" s="54" t="e" cm="1">
        <f t="array" ref="AT5">SUM(SUMIFS(
INDEX( 'ETPT Format DDG'!$A:$ZZ,,MATCH("5. TOTAL JLD CIVIL",'ETPT Format DDG'!2:2,0)),
INDEX( 'ETPT Format DDG'!$A:$ZZ,,MATCH("Fonction recodée",'ETPT Format DDG'!2:2,0)),{"Magistrat SIEGE S";"Magistrat SIEGE NS"}))</f>
        <v>#N/A</v>
      </c>
      <c r="AU5" s="54" t="e">
        <f>MAX(0,SUM(SUMIFS(
INDEX( 'ETPT Format DDG'!$A:$ZZ,,MATCH("4. TOTAL CIVIL NON SPÉCIALISÉ",'ETPT Format DDG'!2:2,0)),
INDEX( 'ETPT Format DDG'!$A:$ZZ,,MATCH("Fonction recodée",'ETPT Format DDG'!2:2,0)),"Magistrat SIEGE NS",
INDEX( 'ETPT Format DDG'!$A:$ZZ,,MATCH("TJCPH",'ETPT Format DDG'!2:2,0)),"OUI"))-
SUM(SUMIFS(
INDEX( 'ETPT Format DDG'!$A:$ZZ,,MATCH("4.0. CONTENTIEUX GÉNÉRAL &lt;10.000€",'ETPT Format DDG'!2:2,0)),
INDEX( 'ETPT Format DDG'!$A:$ZZ,,MATCH("Fonction recodée",'ETPT Format DDG'!2:2,0)),"Magistrat SIEGE NS",
INDEX( 'ETPT Format DDG'!$A:$ZZ,,MATCH("TJCPH",'ETPT Format DDG'!2:2,0)),"OUI")))</f>
        <v>#N/A</v>
      </c>
      <c r="AV5" s="46">
        <f>_xlfn.AGGREGATE(9,6,AH5:AU5)</f>
        <v>0</v>
      </c>
      <c r="AW5" s="51"/>
      <c r="AX5" s="51"/>
      <c r="AY5" s="62"/>
      <c r="AZ5" s="62"/>
      <c r="BA5" s="62"/>
      <c r="BB5" s="62"/>
      <c r="BC5" s="62"/>
      <c r="BD5" s="62"/>
      <c r="BE5" s="51"/>
      <c r="BF5" s="46">
        <f>SUM(AW5:BE5)</f>
        <v>0</v>
      </c>
    </row>
    <row r="6" spans="1:58" s="41" customFormat="1" ht="12" customHeight="1" x14ac:dyDescent="0.15">
      <c r="A6" s="50" t="s">
        <v>42</v>
      </c>
      <c r="B6" s="58"/>
      <c r="C6" s="58"/>
      <c r="D6" s="59" t="str">
        <f t="shared" ref="D6:D15" si="0">$D$5</f>
        <v/>
      </c>
      <c r="E6" s="58" t="s">
        <v>60</v>
      </c>
      <c r="F6" s="58" t="s">
        <v>59</v>
      </c>
      <c r="G6" s="89" t="e">
        <f>SUM(SUMIFS(
INDEX( 'ETPT Format DDG'!$A:$ZZ,,MATCH("6.2. ACTIVITÉ PÉNALE",'ETPT Format DDG'!2:2,0)),
INDEX( 'ETPT Format DDG'!$A:$ZZ,,MATCH("Fonction recodée",'ETPT Format DDG'!2:2,0)),"Fonctionnaire CTECH"))
+
SUM(SUMIFS(
INDEX( 'ETPT Format DDG'!$A:$ZZ,,MATCH("7. TOTAL SIÈGE PÉNAL",'ETPT Format DDG'!2:2,0)),
INDEX( 'ETPT Format DDG'!$A:$ZZ,,MATCH("Fonction recodée",'ETPT Format DDG'!2:2,0)),"Fonctionnaire CTECH"))
+
SUM(SUMIFS(
INDEX( 'ETPT Format DDG'!$A:$ZZ,,MATCH("8. TOTAL JUGES D'INSTRUCTION",'ETPT Format DDG'!2:2,0)),
INDEX( 'ETPT Format DDG'!$A:$ZZ,,MATCH("Fonction recodée",'ETPT Format DDG'!2:2,0)),"Fonctionnaire CTECH"))
+
SUM(SUMIFS(
INDEX( 'ETPT Format DDG'!$A:$ZZ,,MATCH("9. TOTAL JAP",'ETPT Format DDG'!2:2,0)),
INDEX( 'ETPT Format DDG'!$A:$ZZ,,MATCH("Fonction recodée",'ETPT Format DDG'!2:2,0)),"Fonctionnaire CTECH"))
+
SUM(SUMIFS(
INDEX( 'ETPT Format DDG'!$A:$ZZ,,MATCH("10. TOTAL JLD PÉNAL",'ETPT Format DDG'!2:2,0)),
INDEX( 'ETPT Format DDG'!$A:$ZZ,,MATCH("Fonction recodée",'ETPT Format DDG'!2:2,0)),"Fonctionnaire CTECH"))
+
SUM(SUMIFS(
INDEX( 'ETPT Format DDG'!$A:$ZZ,,MATCH("11.9. FONCTIONNAIRES AFFECTÉS À L'EXÉCUTION DES PEINES",'ETPT Format DDG'!2:2,0)),
INDEX( 'ETPT Format DDG'!$A:$ZZ,,MATCH("Fonction recodée",'ETPT Format DDG'!2:2,0)),"Fonctionnaire CTECH"))
+
SUM(SUMIFS(
INDEX( 'ETPT Format DDG'!$A:$ZZ,,MATCH("11.10. AUTRES FONCTIONNAIRES AFFECTÉS AU PARQUET",'ETPT Format DDG'!2:2,0)),
INDEX( 'ETPT Format DDG'!$A:$ZZ,,MATCH("Fonction recodée",'ETPT Format DDG'!2:2,0)),"Fonctionnaire CTECH"))</f>
        <v>#N/A</v>
      </c>
      <c r="H6" s="57">
        <f t="shared" ref="H6:H14" si="1">_xlfn.AGGREGATE(9,6,G6)</f>
        <v>0</v>
      </c>
      <c r="I6" s="66"/>
      <c r="J6" s="56" t="e">
        <f>SUM(SUMIFS(
INDEX( 'ETPT Format DDG'!$A:$ZZ,,MATCH("11.9. FONCTIONNAIRES AFFECTÉS À L'EXÉCUTION DES PEINES",'ETPT Format DDG'!2:2,0)),
INDEX( 'ETPT Format DDG'!$A:$ZZ,,MATCH("Fonction recodée",'ETPT Format DDG'!2:2,0)),"Fonctionnaire A-B-CBUR"))</f>
        <v>#N/A</v>
      </c>
      <c r="K6" s="56" t="e">
        <f>SUM(SUMIFS(
INDEX( 'ETPT Format DDG'!$A:$ZZ,,MATCH("7.5. COUR D'ASSISES HORS JIRS",'ETPT Format DDG'!2:2,0)),
INDEX( 'ETPT Format DDG'!$A:$ZZ,,MATCH("Fonction recodée",'ETPT Format DDG'!2:2,0)),"Fonctionnaire A-B-CBUR"))+
SUM(SUMIFS(
INDEX( 'ETPT Format DDG'!$A:$ZZ,,MATCH("7.51. COUR D'ASSISES JIRS",'ETPT Format DDG'!2:2,0)),
INDEX( 'ETPT Format DDG'!$A:$ZZ,,MATCH("Fonction recodée",'ETPT Format DDG'!2:2,0)),"Fonctionnaire A-B-CBUR"))</f>
        <v>#N/A</v>
      </c>
      <c r="L6" s="56" t="e">
        <f>SUM(SUMIFS(
INDEX( 'ETPT Format DDG'!$A:$ZZ,,MATCH("7.52. COUR CRIMINELLE",'ETPT Format DDG'!2:2,0)),
INDEX( 'ETPT Format DDG'!$A:$ZZ,,MATCH("Fonction recodée",'ETPT Format DDG'!2:2,0)),"Fonctionnaire A-B-CBUR"))</f>
        <v>#N/A</v>
      </c>
      <c r="M6" s="56" t="e">
        <f>SUM(SUMIFS(
INDEX( 'ETPT Format DDG'!$A:$ZZ,,MATCH("7.121. COLLÉGIALES JIRS ÉCO-FI",'ETPT Format DDG'!2:2,0)),
INDEX( 'ETPT Format DDG'!$A:$ZZ,,MATCH("Fonction recodée",'ETPT Format DDG'!2:2,0)),"Fonctionnaire A-B-CBUR",
INDEX( 'ETPT Format DDG'!$A:$ZZ,,MATCH("Jirs",'ETPT Format DDG'!2:2,0)),"x"))</f>
        <v>#N/A</v>
      </c>
      <c r="N6" s="56" t="e">
        <f>SUM(SUMIFS(
INDEX( 'ETPT Format DDG'!$A:$ZZ,,MATCH("7.12. COLLÉGIALES JIRS CRIM-ORG",'ETPT Format DDG'!2:2,0)),
INDEX( 'ETPT Format DDG'!$A:$ZZ,,MATCH("Fonction recodée",'ETPT Format DDG'!2:2,0)),"Fonctionnaire A-B-CBUR"))</f>
        <v>#N/A</v>
      </c>
      <c r="O6" s="56" t="e">
        <f>SUM(SUMIFS(
INDEX( 'ETPT Format DDG'!$A:$ZZ,,MATCH("7.122. COLLÉGIALES AUTRES SECTIONS SPÉCIALISÉES",'ETPT Format DDG'!2:2,0)),
INDEX( 'ETPT Format DDG'!$A:$ZZ,,MATCH("Fonction recodée",'ETPT Format DDG'!2:2,0)),"Fonctionnaire A-B-CBUR"))+
SUM(SUMIFS(
INDEX( 'ETPT Format DDG'!$A:$ZZ,,MATCH("7.121. COLLÉGIALES JIRS ÉCO-FI",'ETPT Format DDG'!2:2,0)),
INDEX( 'ETPT Format DDG'!$A:$ZZ,,MATCH("Fonction recodée",'ETPT Format DDG'!2:2,0)),"Fonctionnaire A-B-CBUR",
INDEX( 'ETPT Format DDG'!$A:$ZZ,,MATCH("Jirs",'ETPT Format DDG'!2:2,0)),""))</f>
        <v>#N/A</v>
      </c>
      <c r="P6" s="66"/>
      <c r="Q6" s="66"/>
      <c r="R6" s="200" t="e">
        <f>SUM(SUMIFS(
INDEX( 'ETPT Format DDG'!$A:$ZZ,,MATCH("6.2. ACTIVITÉ PÉNALE",'ETPT Format DDG'!2:2,0)),
INDEX( 'ETPT Format DDG'!$A:$ZZ,,MATCH("Fonction recodée",'ETPT Format DDG'!2:2,0)),"Fonctionnaire A-B-CBUR"))+
SUM(SUMIFS(
INDEX( 'ETPT Format DDG'!$A:$ZZ,,MATCH("8. TOTAL JUGES D'INSTRUCTION",'ETPT Format DDG'!2:2,0)),
INDEX( 'ETPT Format DDG'!$A:$ZZ,,MATCH("Fonction recodée",'ETPT Format DDG'!2:2,0)),"Fonctionnaire A-B-CBUR"))+
SUM(SUMIFS(
INDEX( 'ETPT Format DDG'!$A:$ZZ,,MATCH("9. TOTAL JAP",'ETPT Format DDG'!2:2,0)),
INDEX( 'ETPT Format DDG'!$A:$ZZ,,MATCH("Fonction recodée",'ETPT Format DDG'!2:2,0)),"Fonctionnaire A-B-CBUR"))+
SUM(SUMIFS(
INDEX( 'ETPT Format DDG'!$A:$ZZ,,MATCH("10. TOTAL JLD PÉNAL",'ETPT Format DDG'!2:2,0)),
INDEX( 'ETPT Format DDG'!$A:$ZZ,,MATCH("Fonction recodée",'ETPT Format DDG'!2:2,0)),"Fonctionnaire A-B-CBUR"))</f>
        <v>#N/A</v>
      </c>
      <c r="S6" s="65"/>
      <c r="T6" s="65"/>
      <c r="U6" s="201" t="s">
        <v>270</v>
      </c>
      <c r="V6" s="202" t="e">
        <f>MAX(0,SUM(SUMIFS(
INDEX( 'ETPT Format DDG'!$A:$ZZ,,MATCH("7. TOTAL SIÈGE PÉNAL",'ETPT Format DDG'!2:2,0)),
INDEX( 'ETPT Format DDG'!$A:$ZZ,,MATCH("Fonction recodée",'ETPT Format DDG'!2:2,0)),"Fonctionnaire A-B-CBUR"))+
SUM(SUMIFS(
INDEX( 'ETPT Format DDG'!$A:$ZZ,,MATCH("11.10. AUTRES FONCTIONNAIRES AFFECTÉS AU PARQUET",'ETPT Format DDG'!2:2,0)),
INDEX( 'ETPT Format DDG'!$A:$ZZ,,MATCH("Fonction recodée",'ETPT Format DDG'!2:2,0)),"Fonctionnaire A-B-CBUR"))-
SUM(SUMIFS(
INDEX( 'ETPT Format DDG'!$A:$ZZ,,MATCH("7.5. COUR D'ASSISES HORS JIRS",'ETPT Format DDG'!2:2,0)),
INDEX( 'ETPT Format DDG'!$A:$ZZ,,MATCH("Fonction recodée",'ETPT Format DDG'!2:2,0)),"Fonctionnaire A-B-CBUR"))-
SUM(SUMIFS(
INDEX( 'ETPT Format DDG'!$A:$ZZ,,MATCH("7.51. COUR D'ASSISES JIRS",'ETPT Format DDG'!2:2,0)),
INDEX( 'ETPT Format DDG'!$A:$ZZ,,MATCH("Fonction recodée",'ETPT Format DDG'!2:2,0)),"Fonctionnaire A-B-CBUR"))-
SUM(SUMIFS(
INDEX( 'ETPT Format DDG'!$A:$ZZ,,MATCH("7.52. COUR CRIMINELLE",'ETPT Format DDG'!2:2,0)),
INDEX( 'ETPT Format DDG'!$A:$ZZ,,MATCH("Fonction recodée",'ETPT Format DDG'!2:2,0)),"Fonctionnaire A-B-CBUR"))-
SUM(SUMIFS(
INDEX( 'ETPT Format DDG'!$A:$ZZ,,MATCH("7.121. COLLÉGIALES JIRS ÉCO-FI",'ETPT Format DDG'!2:2,0)),
INDEX( 'ETPT Format DDG'!$A:$ZZ,,MATCH("Fonction recodée",'ETPT Format DDG'!2:2,0)),"Fonctionnaire A-B-CBUR"))-
SUM(SUMIFS(
INDEX( 'ETPT Format DDG'!$A:$ZZ,,MATCH("7.12. COLLÉGIALES JIRS CRIM-ORG",'ETPT Format DDG'!2:2,0)),
INDEX( 'ETPT Format DDG'!$A:$ZZ,,MATCH("Fonction recodée",'ETPT Format DDG'!2:2,0)),"Fonctionnaire A-B-CBUR"))-
SUM(SUMIFS(
INDEX( 'ETPT Format DDG'!$A:$ZZ,,MATCH("7.122. COLLÉGIALES AUTRES SECTIONS SPÉCIALISÉES",'ETPT Format DDG'!2:2,0)),
INDEX( 'ETPT Format DDG'!$A:$ZZ,,MATCH("Fonction recodée",'ETPT Format DDG'!2:2,0)),"Fonctionnaire A-B-CBUR")))</f>
        <v>#N/A</v>
      </c>
      <c r="W6" s="46">
        <f>_xlfn.AGGREGATE(9,6,I6:V6)</f>
        <v>0</v>
      </c>
      <c r="X6" s="64"/>
      <c r="Y6" s="64"/>
      <c r="Z6" s="52" t="e" cm="1">
        <f t="array" ref="Z6">SUM(SUMIFS(
INDEX( 'ETPT Format DDG'!$A:$ZZ,,MATCH("8.1. SERVICE GÉNÉRAL",'ETPT Format DDG'!2:2,0)),
INDEX( 'ETPT Format DDG'!$A:$ZZ,,MATCH("Fonction recodée",'ETPT Format DDG'!2:2,0)),{"Magistrat SIEGE S";"Magistrat SIEGE NS"}))</f>
        <v>#N/A</v>
      </c>
      <c r="AA6" s="52" t="e" cm="1">
        <f t="array" ref="AA6">SUM(SUMIFS(
INDEX( 'ETPT Format DDG'!$A:$ZZ,,MATCH("8.2. JIRS ÉCO-FI",'ETPT Format DDG'!2:2,0)),
INDEX( 'ETPT Format DDG'!$A:$ZZ,,MATCH("Fonction recodée",'ETPT Format DDG'!2:2,0)),{"Magistrat SIEGE S";"Magistrat SIEGE NS"}))</f>
        <v>#N/A</v>
      </c>
      <c r="AB6" s="52" t="e" cm="1">
        <f t="array" ref="AB6">SUM(SUMIFS(
INDEX( 'ETPT Format DDG'!$A:$ZZ,,MATCH("8.3. JIRS CRIM-ORG",'ETPT Format DDG'!2:2,0)),
INDEX( 'ETPT Format DDG'!$A:$ZZ,,MATCH("Fonction recodée",'ETPT Format DDG'!2:2,0)),{"Magistrat SIEGE S";"Magistrat SIEGE NS"}))</f>
        <v>#N/A</v>
      </c>
      <c r="AC6" s="52" t="e" cm="1">
        <f t="array" ref="AC6">SUM(SUMIFS(
INDEX( 'ETPT Format DDG'!$A:$ZZ,,MATCH("8.4. AUTRES SECTIONS SPÉCIALISÉES",'ETPT Format DDG'!2:2,0)),
INDEX( 'ETPT Format DDG'!$A:$ZZ,,MATCH("Fonction recodée",'ETPT Format DDG'!2:2,0)),{"Magistrat SIEGE S";"Magistrat SIEGE NS"}))+
SUM(SUMIFS(
INDEX( 'ETPT Format DDG'!$A:$ZZ,,MATCH("8.11. ECO-FI HORS JIRS",'ETPT Format DDG'!2:2,0)),
INDEX( 'ETPT Format DDG'!$A:$ZZ,,MATCH("Fonction recodée",'ETPT Format DDG'!2:2,0)),{"Magistrat SIEGE S";"Magistrat SIEGE NS"}))</f>
        <v>#N/A</v>
      </c>
      <c r="AD6" s="52" t="e" cm="1">
        <f t="array" ref="AD6">SUM(SUMIFS(
INDEX( 'ETPT Format DDG'!$A:$ZZ,,MATCH("9. TOTAL JAP",'ETPT Format DDG'!2:2,0)),
INDEX( 'ETPT Format DDG'!$A:$ZZ,,MATCH("Fonction recodée",'ETPT Format DDG'!2:2,0)),{"Magistrat SIEGE S";"Magistrat SIEGE NS"}))</f>
        <v>#N/A</v>
      </c>
      <c r="AE6" s="52" t="e" cm="1">
        <f t="array" ref="AE6">SUM(SUMIFS(
INDEX( 'ETPT Format DDG'!$A:$ZZ,,MATCH("6.2. ACTIVITÉ PÉNALE",'ETPT Format DDG'!2:2,0)),
INDEX( 'ETPT Format DDG'!$A:$ZZ,,MATCH("Fonction recodée",'ETPT Format DDG'!2:2,0)),{"Magistrat SIEGE S";"Magistrat SIEGE NS"}))</f>
        <v>#N/A</v>
      </c>
      <c r="AF6" s="52" t="e" cm="1">
        <f t="array" ref="AF6">SUM(SUMIFS(
INDEX( 'ETPT Format DDG'!$A:$ZZ,,MATCH("10. TOTAL JLD PÉNAL",'ETPT Format DDG'!2:2,0)),
INDEX( 'ETPT Format DDG'!$A:$ZZ,,MATCH("Fonction recodée",'ETPT Format DDG'!2:2,0)),{"Magistrat SIEGE S";"Magistrat SIEGE NS"}))</f>
        <v>#N/A</v>
      </c>
      <c r="AG6" s="46">
        <f t="shared" ref="AG6:AG15" si="2">_xlfn.AGGREGATE(9,6,X6:AF6)</f>
        <v>0</v>
      </c>
      <c r="AH6" s="52" t="e" cm="1">
        <f t="array" ref="AH6">SUM(SUMIFS(
INDEX( 'ETPT Format DDG'!$A:$ZZ,,MATCH("7.5. COUR D'ASSISES HORS JIRS",'ETPT Format DDG'!2:2,0)),
INDEX( 'ETPT Format DDG'!$A:$ZZ,,MATCH("Fonction recodée",'ETPT Format DDG'!2:2,0)),{"Magistrat SIEGE S";"Magistrat SIEGE NS"}))+
SUM(SUMIFS(
INDEX( 'ETPT Format DDG'!$A:$ZZ,,MATCH("7.51. COUR D'ASSISES JIRS",'ETPT Format DDG'!2:2,0)),
INDEX( 'ETPT Format DDG'!$A:$ZZ,,MATCH("Fonction recodée",'ETPT Format DDG'!2:2,0)),{"Magistrat SIEGE S";"Magistrat SIEGE NS"}))</f>
        <v>#N/A</v>
      </c>
      <c r="AI6" s="52" t="e" cm="1">
        <f t="array" ref="AI6">SUM(SUMIFS(
INDEX( 'ETPT Format DDG'!$A:$ZZ,,MATCH("7.52. COUR CRIMINELLE",'ETPT Format DDG'!2:2,0)),
INDEX( 'ETPT Format DDG'!$A:$ZZ,,MATCH("Fonction recodée",'ETPT Format DDG'!2:2,0)),{"Magistrat SIEGE S";"Magistrat SIEGE NS"}))</f>
        <v>#N/A</v>
      </c>
      <c r="AJ6" s="52" t="e" cm="1">
        <f t="array" ref="AJ6">SUM(SUMIFS(
INDEX( 'ETPT Format DDG'!$A:$ZZ,,MATCH("7.121. COLLÉGIALES JIRS ÉCO-FI",'ETPT Format DDG'!2:2,0)),
INDEX( 'ETPT Format DDG'!$A:$ZZ,,MATCH("Fonction recodée",'ETPT Format DDG'!2:2,0)),{"Magistrat SIEGE S";"Magistrat SIEGE NS"},
INDEX( 'ETPT Format DDG'!$A:$ZZ,,MATCH("Jirs",'ETPT Format DDG'!2:2,0)),"x"))</f>
        <v>#N/A</v>
      </c>
      <c r="AK6" s="52" t="e" cm="1">
        <f t="array" ref="AK6">SUM(SUMIFS(
INDEX( 'ETPT Format DDG'!$A:$ZZ,,MATCH("7.12. COLLÉGIALES JIRS CRIM-ORG",'ETPT Format DDG'!2:2,0)),
INDEX( 'ETPT Format DDG'!$A:$ZZ,,MATCH("Fonction recodée",'ETPT Format DDG'!2:2,0)),{"Magistrat SIEGE S";"Magistrat SIEGE NS"}))</f>
        <v>#N/A</v>
      </c>
      <c r="AL6" s="52" t="e" cm="1">
        <f t="array" ref="AL6">SUM(SUMIFS(
INDEX( 'ETPT Format DDG'!$A:$ZZ,,MATCH("7.122. COLLÉGIALES AUTRES SECTIONS SPÉCIALISÉES",'ETPT Format DDG'!2:2,0)),
INDEX( 'ETPT Format DDG'!$A:$ZZ,,MATCH("Fonction recodée",'ETPT Format DDG'!2:2,0)),{"Magistrat SIEGE S";"Magistrat SIEGE NS"}))+
SUM(SUMIFS(
INDEX( 'ETPT Format DDG'!$A:$ZZ,,MATCH("7.121. COLLÉGIALES JIRS ÉCO-FI",'ETPT Format DDG'!2:2,0)),
INDEX( 'ETPT Format DDG'!$A:$ZZ,,MATCH("Fonction recodée",'ETPT Format DDG'!2:2,0)),{"Magistrat SIEGE S";"Magistrat SIEGE NS"},
INDEX( 'ETPT Format DDG'!$A:$ZZ,,MATCH("Jirs",'ETPT Format DDG'!2:2,0)),""))</f>
        <v>#N/A</v>
      </c>
      <c r="AM6" s="54" t="e" cm="1">
        <f t="array" ref="AM6">SUM(SUMIFS(
INDEX( 'ETPT Format DDG'!$A:$ZZ,,MATCH("7.6. TRIBUNAL DE POLICE",'ETPT Format DDG'!2:2,0)),
INDEX( 'ETPT Format DDG'!$A:$ZZ,,MATCH("Fonction recodée",'ETPT Format DDG'!2:2,0)),{"Magistrat SIEGE S";"Magistrat SIEGE NS"}))+
SUM(SUMIFS(
INDEX( 'ETPT Format DDG'!$A:$ZZ,,MATCH("7.7. OP CONTRAVENTIONNELLES",'ETPT Format DDG'!2:2,0)),
INDEX( 'ETPT Format DDG'!$A:$ZZ,,MATCH("Fonction recodée",'ETPT Format DDG'!2:2,0)),{"Magistrat SIEGE S";"Magistrat SIEGE NS"}))</f>
        <v>#N/A</v>
      </c>
      <c r="AN6" s="64"/>
      <c r="AO6" s="64"/>
      <c r="AP6" s="64"/>
      <c r="AQ6" s="64"/>
      <c r="AR6" s="64"/>
      <c r="AS6" s="54" t="e">
        <f>MAX(0,SUMIFS(
INDEX( 'ETPT Format DDG'!$A:$ZZ,,MATCH("7. TOTAL SIÈGE PÉNAL",'ETPT Format DDG'!2:2,0)),
INDEX( 'ETPT Format DDG'!$A:$ZZ,,MATCH("Fonction recodée",'ETPT Format DDG'!2:2,0)),"Magistrat SIEGE S")-
SUMIFS(
INDEX( 'ETPT Format DDG'!$A:$ZZ,,MATCH("7.5. COUR D'ASSISES HORS JIRS",'ETPT Format DDG'!2:2,0)),
INDEX( 'ETPT Format DDG'!$A:$ZZ,,MATCH("Fonction recodée",'ETPT Format DDG'!2:2,0)),"Magistrat SIEGE S")-
SUMIFS(
INDEX( 'ETPT Format DDG'!$A:$ZZ,,MATCH("7.51. COUR D'ASSISES JIRS",'ETPT Format DDG'!2:2,0)),
INDEX( 'ETPT Format DDG'!$A:$ZZ,,MATCH("Fonction recodée",'ETPT Format DDG'!2:2,0)),"Magistrat SIEGE S")-
SUMIFS(
INDEX( 'ETPT Format DDG'!$A:$ZZ,,MATCH("7.52. COUR CRIMINELLE",'ETPT Format DDG'!2:2,0)),
INDEX( 'ETPT Format DDG'!$A:$ZZ,,MATCH("Fonction recodée",'ETPT Format DDG'!2:2,0)),"Magistrat SIEGE S")-
SUMIFS(
INDEX( 'ETPT Format DDG'!$A:$ZZ,,MATCH("7.121. COLLÉGIALES JIRS ÉCO-FI",'ETPT Format DDG'!2:2,0)),
INDEX( 'ETPT Format DDG'!$A:$ZZ,,MATCH("Fonction recodée",'ETPT Format DDG'!2:2,0)),"Magistrat SIEGE S")-
SUMIFS(
INDEX( 'ETPT Format DDG'!$A:$ZZ,,MATCH("7.12. COLLÉGIALES JIRS CRIM-ORG",'ETPT Format DDG'!2:2,0)),
INDEX( 'ETPT Format DDG'!$A:$ZZ,,MATCH("Fonction recodée",'ETPT Format DDG'!2:2,0)),"Magistrat SIEGE S")-
SUMIFS(
INDEX( 'ETPT Format DDG'!$A:$ZZ,,MATCH("7.122. COLLÉGIALES AUTRES SECTIONS SPÉCIALISÉES",'ETPT Format DDG'!2:2,0)),
INDEX( 'ETPT Format DDG'!$A:$ZZ,,MATCH("Fonction recodée",'ETPT Format DDG'!2:2,0)),"Magistrat SIEGE S")-
SUMIFS(
INDEX( 'ETPT Format DDG'!$A:$ZZ,,MATCH("7.6. TRIBUNAL DE POLICE",'ETPT Format DDG'!2:2,0)),
INDEX( 'ETPT Format DDG'!$A:$ZZ,,MATCH("Fonction recodée",'ETPT Format DDG'!2:2,0)),"Magistrat SIEGE S")-
SUMIFS(
INDEX( 'ETPT Format DDG'!$A:$ZZ,,MATCH("7.7. OP CONTRAVENTIONNELLES",'ETPT Format DDG'!2:2,0)),
INDEX( 'ETPT Format DDG'!$A:$ZZ,,MATCH("Fonction recodée",'ETPT Format DDG'!2:2,0)),"Magistrat SIEGE S"))</f>
        <v>#N/A</v>
      </c>
      <c r="AT6" s="54"/>
      <c r="AU6" s="63" t="e">
        <f>MAX(0,SUMIFS(
INDEX( 'ETPT Format DDG'!$A:$ZZ,,MATCH("7. TOTAL SIÈGE PÉNAL",'ETPT Format DDG'!2:2,0)),
INDEX( 'ETPT Format DDG'!$A:$ZZ,,MATCH("Fonction recodée",'ETPT Format DDG'!2:2,0)),"Magistrat SIEGE NS")-
SUMIFS(
INDEX( 'ETPT Format DDG'!$A:$ZZ,,MATCH("7.5. COUR D'ASSISES HORS JIRS",'ETPT Format DDG'!2:2,0)),
INDEX( 'ETPT Format DDG'!$A:$ZZ,,MATCH("Fonction recodée",'ETPT Format DDG'!2:2,0)),"Magistrat SIEGE NS")-
SUMIFS(
INDEX( 'ETPT Format DDG'!$A:$ZZ,,MATCH("7.51. COUR D'ASSISES JIRS",'ETPT Format DDG'!2:2,0)),
INDEX( 'ETPT Format DDG'!$A:$ZZ,,MATCH("Fonction recodée",'ETPT Format DDG'!2:2,0)),"Magistrat SIEGE NS")-
SUMIFS(
INDEX( 'ETPT Format DDG'!$A:$ZZ,,MATCH("7.52. COUR CRIMINELLE",'ETPT Format DDG'!2:2,0)),
INDEX( 'ETPT Format DDG'!$A:$ZZ,,MATCH("Fonction recodée",'ETPT Format DDG'!2:2,0)),"Magistrat SIEGE NS")-
SUMIFS(
INDEX( 'ETPT Format DDG'!$A:$ZZ,,MATCH("7.121. COLLÉGIALES JIRS ÉCO-FI",'ETPT Format DDG'!2:2,0)),
INDEX( 'ETPT Format DDG'!$A:$ZZ,,MATCH("Fonction recodée",'ETPT Format DDG'!2:2,0)),"Magistrat SIEGE NS")-
SUMIFS(
INDEX( 'ETPT Format DDG'!$A:$ZZ,,MATCH("7.12. COLLÉGIALES JIRS CRIM-ORG",'ETPT Format DDG'!2:2,0)),
INDEX( 'ETPT Format DDG'!$A:$ZZ,,MATCH("Fonction recodée",'ETPT Format DDG'!2:2,0)),"Magistrat SIEGE NS")-
SUMIFS(
INDEX( 'ETPT Format DDG'!$A:$ZZ,,MATCH("7.122. COLLÉGIALES AUTRES SECTIONS SPÉCIALISÉES",'ETPT Format DDG'!2:2,0)),
INDEX( 'ETPT Format DDG'!$A:$ZZ,,MATCH("Fonction recodée",'ETPT Format DDG'!2:2,0)),"Magistrat SIEGE NS")-
SUMIFS(
INDEX( 'ETPT Format DDG'!$A:$ZZ,,MATCH("7.6. TRIBUNAL DE POLICE",'ETPT Format DDG'!2:2,0)),
INDEX( 'ETPT Format DDG'!$A:$ZZ,,MATCH("Fonction recodée",'ETPT Format DDG'!2:2,0)),"Magistrat SIEGE NS")-
SUMIFS(
INDEX( 'ETPT Format DDG'!$A:$ZZ,,MATCH("7.7. OP CONTRAVENTIONNELLES",'ETPT Format DDG'!2:2,0)),
INDEX( 'ETPT Format DDG'!$A:$ZZ,,MATCH("Fonction recodée",'ETPT Format DDG'!2:2,0)),"Magistrat SIEGE NS"))</f>
        <v>#N/A</v>
      </c>
      <c r="AV6" s="46">
        <f t="shared" ref="AV6:AV15" si="3">_xlfn.AGGREGATE(9,6,AH6:AU6)</f>
        <v>0</v>
      </c>
      <c r="AW6" s="51"/>
      <c r="AX6" s="51"/>
      <c r="AY6" s="51"/>
      <c r="AZ6" s="51"/>
      <c r="BA6" s="51"/>
      <c r="BB6" s="51"/>
      <c r="BC6" s="51"/>
      <c r="BD6" s="62"/>
      <c r="BE6" s="51"/>
      <c r="BF6" s="46">
        <f>SUM(AW6:BE6)</f>
        <v>0</v>
      </c>
    </row>
    <row r="7" spans="1:58" s="41" customFormat="1" ht="14.25" customHeight="1" x14ac:dyDescent="0.15">
      <c r="A7" s="50" t="s">
        <v>42</v>
      </c>
      <c r="B7" s="58"/>
      <c r="C7" s="58"/>
      <c r="D7" s="59" t="str">
        <f t="shared" si="0"/>
        <v/>
      </c>
      <c r="E7" s="58" t="s">
        <v>58</v>
      </c>
      <c r="F7" s="58" t="s">
        <v>57</v>
      </c>
      <c r="G7" s="199"/>
      <c r="H7" s="57">
        <f t="shared" si="1"/>
        <v>0</v>
      </c>
      <c r="I7" s="60"/>
      <c r="J7" s="60"/>
      <c r="K7" s="60"/>
      <c r="L7" s="60"/>
      <c r="M7" s="60"/>
      <c r="N7" s="60"/>
      <c r="O7" s="60"/>
      <c r="P7" s="60"/>
      <c r="Q7" s="198" t="s">
        <v>268</v>
      </c>
      <c r="R7" s="198" t="s">
        <v>269</v>
      </c>
      <c r="S7" s="60"/>
      <c r="T7" s="60"/>
      <c r="U7" s="60"/>
      <c r="V7" s="60"/>
      <c r="W7" s="46">
        <f t="shared" ref="W7:W15" si="4">_xlfn.AGGREGATE(9,6,I7:V7)</f>
        <v>0</v>
      </c>
      <c r="X7" s="60"/>
      <c r="Y7" s="52" t="e" cm="1">
        <f t="array" ref="Y7">SUM(SUMIFS(
INDEX( 'ETPT Format DDG'!$A:$ZZ,,MATCH("11.5. CSM",'ETPT Format DDG'!2:2,0)),
INDEX( 'ETPT Format DDG'!$A:$ZZ,,MATCH("Fonction",'ETPT Format DDG'!2:2,0)),{"JCP";"VPCP";"1VPCP"},
INDEX( 'ETPT Format DDG'!$A:$ZZ,,MATCH("TJCPH",'ETPT Format DDG'!2:2,0)),"OUI"))</f>
        <v>#N/A</v>
      </c>
      <c r="Z7" s="52" t="e" cm="1">
        <f t="array" ref="Z7">SUM(SUMIFS(
INDEX( 'ETPT Format DDG'!$A:$ZZ,,MATCH("11.5. CSM",'ETPT Format DDG'!2:2,0)),
INDEX( 'ETPT Format DDG'!$A:$ZZ,,MATCH("Fonction",'ETPT Format DDG'!2:2,0)),{"JI";"VPI";"1VPI"},
INDEX( 'ETPT Format DDG'!$A:$ZZ,,MATCH("TJCPH",'ETPT Format DDG'!2:2,0)),"OUI"))</f>
        <v>#N/A</v>
      </c>
      <c r="AA7" s="60"/>
      <c r="AB7" s="60"/>
      <c r="AC7" s="60"/>
      <c r="AD7" s="52" t="e" cm="1">
        <f t="array" ref="AD7">SUM(SUMIFS(
INDEX( 'ETPT Format DDG'!$A:$ZZ,,MATCH("11.5. CSM",'ETPT Format DDG'!2:2,0)),
INDEX( 'ETPT Format DDG'!$A:$ZZ,,MATCH("Fonction",'ETPT Format DDG'!2:2,0)),{"JAP";"VPAP";"1VPAP"},
INDEX( 'ETPT Format DDG'!$A:$ZZ,,MATCH("TJCPH",'ETPT Format DDG'!2:2,0)),"OUI"))</f>
        <v>#N/A</v>
      </c>
      <c r="AE7" s="52" t="e" cm="1">
        <f t="array" ref="AE7">SUM(SUMIFS(
INDEX( 'ETPT Format DDG'!$A:$ZZ,,MATCH("11.5. CSM",'ETPT Format DDG'!2:2,0)),
INDEX( 'ETPT Format DDG'!$A:$ZZ,,MATCH("Fonction",'ETPT Format DDG'!2:2,0)),{"JE";"VPE";"1VPE"},
INDEX( 'ETPT Format DDG'!$A:$ZZ,,MATCH("TJCPH",'ETPT Format DDG'!2:2,0)),"OUI"))</f>
        <v>#N/A</v>
      </c>
      <c r="AF7" s="52" t="e" cm="1">
        <f t="array" ref="AF7">SUM(SUMIFS(
INDEX( 'ETPT Format DDG'!$A:$ZZ,,MATCH("11.5. CSM",'ETPT Format DDG'!2:2,0)),
INDEX( 'ETPT Format DDG'!$A:$ZZ,,MATCH("Fonction",'ETPT Format DDG'!2:2,0)),{"VPLD";"1VPLD"},
INDEX( 'ETPT Format DDG'!$A:$ZZ,,MATCH("TJCPH",'ETPT Format DDG'!2:2,0)),"OUI"))</f>
        <v>#N/A</v>
      </c>
      <c r="AG7" s="46">
        <f t="shared" si="2"/>
        <v>0</v>
      </c>
      <c r="AH7" s="60"/>
      <c r="AI7" s="60"/>
      <c r="AJ7" s="60"/>
      <c r="AK7" s="60"/>
      <c r="AL7" s="60"/>
      <c r="AM7" s="60"/>
      <c r="AN7" s="60"/>
      <c r="AO7" s="60"/>
      <c r="AP7" s="60"/>
      <c r="AQ7" s="60"/>
      <c r="AR7" s="198"/>
      <c r="AS7" s="60"/>
      <c r="AT7" s="60"/>
      <c r="AU7" s="52" t="e">
        <f>SUM(SUMIFS(
INDEX( 'ETPT Format DDG'!$A:$ZZ,,MATCH("11.5. CSM",'ETPT Format DDG'!2:2,0)),
INDEX( 'ETPT Format DDG'!$A:$ZZ,,MATCH("Fonction recodée",'ETPT Format DDG'!2:2,0)),"Magistrat SIEGE NS",
INDEX( 'ETPT Format DDG'!$A:$ZZ,,MATCH("TJCPH",'ETPT Format DDG'!2:2,0)),"OUI"))</f>
        <v>#N/A</v>
      </c>
      <c r="AV7" s="46">
        <f t="shared" si="3"/>
        <v>0</v>
      </c>
      <c r="AW7" s="51"/>
      <c r="AX7" s="51"/>
      <c r="AY7" s="51"/>
      <c r="AZ7" s="51"/>
      <c r="BA7" s="51"/>
      <c r="BB7" s="51"/>
      <c r="BC7" s="51"/>
      <c r="BD7" s="51"/>
      <c r="BE7" s="51"/>
      <c r="BF7" s="46">
        <f t="shared" ref="BF7:BF15" si="5">SUM(AW7:BE7)</f>
        <v>0</v>
      </c>
    </row>
    <row r="8" spans="1:58" s="41" customFormat="1" ht="14.25" customHeight="1" x14ac:dyDescent="0.15">
      <c r="A8" s="50" t="s">
        <v>42</v>
      </c>
      <c r="B8" s="58"/>
      <c r="C8" s="58"/>
      <c r="D8" s="59" t="str">
        <f t="shared" si="0"/>
        <v/>
      </c>
      <c r="E8" s="58" t="s">
        <v>56</v>
      </c>
      <c r="F8" s="58" t="s">
        <v>55</v>
      </c>
      <c r="G8" s="89" t="e">
        <f>SUM(SUMIFS(
INDEX( 'ETPT Format DDG'!$A:$ZZ,,MATCH("11.51. ACCUEIL DU JUSTICIABLE (DONT SAUJ)",'ETPT Format DDG'!2:2,0)),
INDEX( 'ETPT Format DDG'!$A:$ZZ,,MATCH("Fonction recodée",'ETPT Format DDG'!2:2,0)),"Fonctionnaire CTECH",
INDEX( 'ETPT Format DDG'!$A:$ZZ,,MATCH("TJCPH",'ETPT Format DDG'!2:2,0)),"OUI"))</f>
        <v>#N/A</v>
      </c>
      <c r="H8" s="57">
        <f t="shared" si="1"/>
        <v>0</v>
      </c>
      <c r="I8" s="60"/>
      <c r="J8" s="60"/>
      <c r="K8" s="60"/>
      <c r="L8" s="60"/>
      <c r="M8" s="60"/>
      <c r="N8" s="60"/>
      <c r="O8" s="60"/>
      <c r="P8" s="60"/>
      <c r="Q8" s="60"/>
      <c r="R8" s="60"/>
      <c r="S8" s="60"/>
      <c r="T8" s="60"/>
      <c r="U8" s="60"/>
      <c r="V8" s="52" t="e">
        <f>SUM(SUMIFS(
INDEX( 'ETPT Format DDG'!$A:$ZZ,,MATCH("11.51. ACCUEIL DU JUSTICIABLE (DONT SAUJ)",'ETPT Format DDG'!2:2,0)),
INDEX( 'ETPT Format DDG'!$A:$ZZ,,MATCH("Fonction recodée",'ETPT Format DDG'!2:2,0)),"Fonctionnaire A-B-CBUR",
INDEX( 'ETPT Format DDG'!$A:$ZZ,,MATCH("TJCPH",'ETPT Format DDG'!2:2,0)),"OUI"))</f>
        <v>#N/A</v>
      </c>
      <c r="W8" s="46">
        <f t="shared" si="4"/>
        <v>0</v>
      </c>
      <c r="X8" s="60"/>
      <c r="Y8" s="52" t="e" cm="1">
        <f t="array" ref="Y8">SUM(SUMIFS(
INDEX( 'ETPT Format DDG'!$A:$ZZ,,MATCH("11.51. ACCUEIL DU JUSTICIABLE (DONT SAUJ)",'ETPT Format DDG'!2:2,0)),
INDEX( 'ETPT Format DDG'!$A:$ZZ,,MATCH("Fonction",'ETPT Format DDG'!2:2,0)),{"JCP";"VPCP";"1VPCP"},
INDEX( 'ETPT Format DDG'!$A:$ZZ,,MATCH("TJCPH",'ETPT Format DDG'!2:2,0)),"OUI"))</f>
        <v>#N/A</v>
      </c>
      <c r="Z8" s="52" t="e" cm="1">
        <f t="array" ref="Z8">SUM(SUMIFS(
INDEX( 'ETPT Format DDG'!$A:$ZZ,,MATCH("11.51. ACCUEIL DU JUSTICIABLE (DONT SAUJ)",'ETPT Format DDG'!2:2,0)),
INDEX( 'ETPT Format DDG'!$A:$ZZ,,MATCH("Fonction",'ETPT Format DDG'!2:2,0)),{"JI";"VPI";"1VPI"},
INDEX( 'ETPT Format DDG'!$A:$ZZ,,MATCH("TJCPH",'ETPT Format DDG'!2:2,0)),"OUI"))</f>
        <v>#N/A</v>
      </c>
      <c r="AA8" s="60"/>
      <c r="AB8" s="60"/>
      <c r="AC8" s="60"/>
      <c r="AD8" s="52" t="e" cm="1">
        <f t="array" ref="AD8">SUM(SUMIFS(
INDEX( 'ETPT Format DDG'!$A:$ZZ,,MATCH("11.51. ACCUEIL DU JUSTICIABLE (DONT SAUJ)",'ETPT Format DDG'!2:2,0)),
INDEX( 'ETPT Format DDG'!$A:$ZZ,,MATCH("Fonction",'ETPT Format DDG'!2:2,0)),{"JAP";"VPAP";"1VPAP"},
INDEX( 'ETPT Format DDG'!$A:$ZZ,,MATCH("TJCPH",'ETPT Format DDG'!2:2,0)),"OUI"))</f>
        <v>#N/A</v>
      </c>
      <c r="AE8" s="52" t="e" cm="1">
        <f t="array" ref="AE8">SUM(SUMIFS(
INDEX( 'ETPT Format DDG'!$A:$ZZ,,MATCH("11.51. ACCUEIL DU JUSTICIABLE (DONT SAUJ)",'ETPT Format DDG'!2:2,0)),
INDEX( 'ETPT Format DDG'!$A:$ZZ,,MATCH("Fonction",'ETPT Format DDG'!2:2,0)),{"JE";"VPE";"1VPE"},
INDEX( 'ETPT Format DDG'!$A:$ZZ,,MATCH("TJCPH",'ETPT Format DDG'!2:2,0)),"OUI"))</f>
        <v>#N/A</v>
      </c>
      <c r="AF8" s="52" t="e" cm="1">
        <f t="array" ref="AF8">SUM(SUMIFS(
INDEX( 'ETPT Format DDG'!$A:$ZZ,,MATCH("11.51. ACCUEIL DU JUSTICIABLE (DONT SAUJ)",'ETPT Format DDG'!2:2,0)),
INDEX( 'ETPT Format DDG'!$A:$ZZ,,MATCH("Fonction",'ETPT Format DDG'!2:2,0)),{"VPLD";"1VPLD"},
INDEX( 'ETPT Format DDG'!$A:$ZZ,,MATCH("TJCPH",'ETPT Format DDG'!2:2,0)),"OUI"))</f>
        <v>#N/A</v>
      </c>
      <c r="AG8" s="46">
        <f t="shared" si="2"/>
        <v>0</v>
      </c>
      <c r="AH8" s="60"/>
      <c r="AI8" s="60"/>
      <c r="AJ8" s="60"/>
      <c r="AK8" s="60"/>
      <c r="AL8" s="60"/>
      <c r="AM8" s="60"/>
      <c r="AN8" s="60"/>
      <c r="AO8" s="60"/>
      <c r="AP8" s="60"/>
      <c r="AQ8" s="60"/>
      <c r="AR8" s="60"/>
      <c r="AS8" s="60"/>
      <c r="AT8" s="60"/>
      <c r="AU8" s="52" t="e">
        <f>SUM(SUMIFS(
INDEX( 'ETPT Format DDG'!$A:$ZZ,,MATCH("11.51. ACCUEIL DU JUSTICIABLE (DONT SAUJ)",'ETPT Format DDG'!2:2,0)),
INDEX( 'ETPT Format DDG'!$A:$ZZ,,MATCH("Fonction recodée",'ETPT Format DDG'!2:2,0)),"Magistrat SIEGE NS",
INDEX( 'ETPT Format DDG'!$A:$ZZ,,MATCH("TJCPH",'ETPT Format DDG'!2:2,0)),"OUI"))</f>
        <v>#N/A</v>
      </c>
      <c r="AV8" s="46">
        <f t="shared" si="3"/>
        <v>0</v>
      </c>
      <c r="AW8" s="51"/>
      <c r="AX8" s="51"/>
      <c r="AY8" s="51"/>
      <c r="AZ8" s="51"/>
      <c r="BA8" s="51"/>
      <c r="BB8" s="51"/>
      <c r="BC8" s="51"/>
      <c r="BD8" s="51"/>
      <c r="BE8" s="51"/>
      <c r="BF8" s="46">
        <f t="shared" si="5"/>
        <v>0</v>
      </c>
    </row>
    <row r="9" spans="1:58" s="41" customFormat="1" ht="14.25" customHeight="1" x14ac:dyDescent="0.15">
      <c r="A9" s="50" t="s">
        <v>42</v>
      </c>
      <c r="B9" s="58"/>
      <c r="C9" s="58"/>
      <c r="D9" s="59" t="str">
        <f t="shared" si="0"/>
        <v/>
      </c>
      <c r="E9" s="58" t="s">
        <v>54</v>
      </c>
      <c r="F9" s="58" t="s">
        <v>53</v>
      </c>
      <c r="G9" s="89" t="e">
        <f>SUM(SUMIFS(
INDEX( 'ETPT Format DDG'!$A:$ZZ,,MATCH("11.1. SOUTIEN (HORS FORMATIONS SUIVIES)",'ETPT Format DDG'!2:2,0)),
INDEX( 'ETPT Format DDG'!$A:$ZZ,,MATCH("Fonction recodée",'ETPT Format DDG'!2:2,0)),"Fonctionnaire CTECH",
INDEX( 'ETPT Format DDG'!$A:$ZZ,,MATCH("TJCPH",'ETPT Format DDG'!2:2,0)),"OUI"))+
SUM(SUMIFS(
INDEX( 'ETPT Format DDG'!$A:$ZZ,,MATCH("11.2. FORMATIONS SUIVIES",'ETPT Format DDG'!2:2,0)),
INDEX( 'ETPT Format DDG'!$A:$ZZ,,MATCH("Fonction recodée",'ETPT Format DDG'!2:2,0)),"Fonctionnaire CTECH",
INDEX( 'ETPT Format DDG'!$A:$ZZ,,MATCH("TJCPH",'ETPT Format DDG'!2:2,0)),"OUI"))+
SUM(SUMIFS(
INDEX( 'ETPT Format DDG'!$A:$ZZ,,MATCH("11.6. AUTRES ACTIVITÉS NON JURIDICTIONNELLES",'ETPT Format DDG'!2:2,0)),
INDEX( 'ETPT Format DDG'!$A:$ZZ,,MATCH("Fonction recodée",'ETPT Format DDG'!2:2,0)),"Fonctionnaire CTECH",
INDEX( 'ETPT Format DDG'!$A:$ZZ,,MATCH("TJCPH",'ETPT Format DDG'!2:2,0)),"OUI"))</f>
        <v>#N/A</v>
      </c>
      <c r="H9" s="57">
        <f t="shared" si="1"/>
        <v>0</v>
      </c>
      <c r="I9" s="60"/>
      <c r="J9" s="60"/>
      <c r="K9" s="60"/>
      <c r="L9" s="60"/>
      <c r="M9" s="60"/>
      <c r="N9" s="60"/>
      <c r="O9" s="60"/>
      <c r="P9" s="60"/>
      <c r="Q9" s="60"/>
      <c r="R9" s="60"/>
      <c r="S9" s="60"/>
      <c r="T9" s="60"/>
      <c r="U9" s="60"/>
      <c r="V9" s="52" t="e">
        <f>SUM(SUMIFS(
INDEX( 'ETPT Format DDG'!$A:$ZZ,,MATCH("11.1. SOUTIEN (HORS FORMATIONS SUIVIES)",'ETPT Format DDG'!2:2,0)),
INDEX( 'ETPT Format DDG'!$A:$ZZ,,MATCH("Fonction recodée",'ETPT Format DDG'!2:2,0)),"Fonctionnaire A-B-CBUR",
INDEX( 'ETPT Format DDG'!$A:$ZZ,,MATCH("TJCPH",'ETPT Format DDG'!2:2,0)),"OUI"))+
SUM(SUMIFS(
INDEX( 'ETPT Format DDG'!$A:$ZZ,,MATCH("11.2. FORMATIONS SUIVIES",'ETPT Format DDG'!2:2,0)),
INDEX( 'ETPT Format DDG'!$A:$ZZ,,MATCH("Fonction recodée",'ETPT Format DDG'!2:2,0)),"Fonctionnaire A-B-CBUR",
INDEX( 'ETPT Format DDG'!$A:$ZZ,,MATCH("TJCPH",'ETPT Format DDG'!2:2,0)),"OUI"))+
SUM(SUMIFS(
INDEX( 'ETPT Format DDG'!$A:$ZZ,,MATCH("11.6. AUTRES ACTIVITÉS NON JURIDICTIONNELLES",'ETPT Format DDG'!2:2,0)),
INDEX( 'ETPT Format DDG'!$A:$ZZ,,MATCH("Fonction recodée",'ETPT Format DDG'!2:2,0)),"Fonctionnaire A-B-CBUR",
INDEX( 'ETPT Format DDG'!$A:$ZZ,,MATCH("TJCPH",'ETPT Format DDG'!2:2,0)),"OUI"))</f>
        <v>#N/A</v>
      </c>
      <c r="W9" s="46">
        <f t="shared" si="4"/>
        <v>0</v>
      </c>
      <c r="X9" s="60"/>
      <c r="Y9" s="52" t="e" cm="1">
        <f t="array" ref="Y9">SUM(SUMIFS(
INDEX( 'ETPT Format DDG'!$A:$ZZ,,MATCH("11.1. SOUTIEN (HORS FORMATIONS SUIVIES)",'ETPT Format DDG'!2:2,0)),
INDEX( 'ETPT Format DDG'!$A:$ZZ,,MATCH("Fonction",'ETPT Format DDG'!2:2,0)),{"JCP";"VPCP";"1VPCP"},
INDEX( 'ETPT Format DDG'!$A:$ZZ,,MATCH("TJCPH",'ETPT Format DDG'!2:2,0)),"OUI"))+
SUM(SUMIFS(
INDEX( 'ETPT Format DDG'!$A:$ZZ,,MATCH("11.2. FORMATIONS SUIVIES",'ETPT Format DDG'!2:2,0)),
INDEX( 'ETPT Format DDG'!$A:$ZZ,,MATCH("Fonction",'ETPT Format DDG'!2:2,0)),{"JCP";"VPCP";"1VPCP"},
INDEX( 'ETPT Format DDG'!$A:$ZZ,,MATCH("TJCPH",'ETPT Format DDG'!2:2,0)),"OUI"))+
SUM(SUMIFS(
INDEX( 'ETPT Format DDG'!$A:$ZZ,,MATCH("11.6. AUTRES ACTIVITÉS NON JURIDICTIONNELLES",'ETPT Format DDG'!2:2,0)),
INDEX( 'ETPT Format DDG'!$A:$ZZ,,MATCH("Fonction",'ETPT Format DDG'!2:2,0)),{"JCP";"VPCP";"1VPCP"},
INDEX( 'ETPT Format DDG'!$A:$ZZ,,MATCH("TJCPH",'ETPT Format DDG'!2:2,0)),"OUI"))</f>
        <v>#N/A</v>
      </c>
      <c r="Z9" s="52" t="e" cm="1">
        <f t="array" ref="Z9">SUM(SUMIFS(
INDEX( 'ETPT Format DDG'!$A:$ZZ,,MATCH("11.1. SOUTIEN (HORS FORMATIONS SUIVIES)",'ETPT Format DDG'!2:2,0)),
INDEX( 'ETPT Format DDG'!$A:$ZZ,,MATCH("Fonction",'ETPT Format DDG'!2:2,0)),{"JI";"VPI";"1VPI"},
INDEX( 'ETPT Format DDG'!$A:$ZZ,,MATCH("TJCPH",'ETPT Format DDG'!2:2,0)),"OUI"))+
SUM(SUMIFS(
INDEX( 'ETPT Format DDG'!$A:$ZZ,,MATCH("11.2. FORMATIONS SUIVIES",'ETPT Format DDG'!2:2,0)),
INDEX( 'ETPT Format DDG'!$A:$ZZ,,MATCH("Fonction",'ETPT Format DDG'!2:2,0)),{"JI";"VPI";"1VPI"},
INDEX( 'ETPT Format DDG'!$A:$ZZ,,MATCH("TJCPH",'ETPT Format DDG'!2:2,0)),"OUI"))+
SUM(SUMIFS(
INDEX( 'ETPT Format DDG'!$A:$ZZ,,MATCH("11.6. AUTRES ACTIVITÉS NON JURIDICTIONNELLES",'ETPT Format DDG'!2:2,0)),
INDEX( 'ETPT Format DDG'!$A:$ZZ,,MATCH("Fonction",'ETPT Format DDG'!2:2,0)),{"JI";"VPI";"1VPI"},
INDEX( 'ETPT Format DDG'!$A:$ZZ,,MATCH("TJCPH",'ETPT Format DDG'!2:2,0)),"OUI"))</f>
        <v>#N/A</v>
      </c>
      <c r="AA9" s="60"/>
      <c r="AB9" s="60"/>
      <c r="AC9" s="60"/>
      <c r="AD9" s="52" t="e" cm="1">
        <f t="array" ref="AD9">SUM(SUMIFS(
INDEX( 'ETPT Format DDG'!$A:$ZZ,,MATCH("11.1. SOUTIEN (HORS FORMATIONS SUIVIES)",'ETPT Format DDG'!2:2,0)),
INDEX( 'ETPT Format DDG'!$A:$ZZ,,MATCH("Fonction",'ETPT Format DDG'!2:2,0)),{"JAP";"VPAP";"1VPAP"},
INDEX( 'ETPT Format DDG'!$A:$ZZ,,MATCH("TJCPH",'ETPT Format DDG'!2:2,0)),"OUI"))+
SUM(SUMIFS(
INDEX( 'ETPT Format DDG'!$A:$ZZ,,MATCH("11.2. FORMATIONS SUIVIES",'ETPT Format DDG'!2:2,0)),
INDEX( 'ETPT Format DDG'!$A:$ZZ,,MATCH("Fonction",'ETPT Format DDG'!2:2,0)),{"JAP";"VPAP";"1VPAP"},
INDEX( 'ETPT Format DDG'!$A:$ZZ,,MATCH("TJCPH",'ETPT Format DDG'!2:2,0)),"OUI"))+
SUM(SUMIFS(
INDEX( 'ETPT Format DDG'!$A:$ZZ,,MATCH("11.6. AUTRES ACTIVITÉS NON JURIDICTIONNELLES",'ETPT Format DDG'!2:2,0)),
INDEX( 'ETPT Format DDG'!$A:$ZZ,,MATCH("Fonction",'ETPT Format DDG'!2:2,0)),{"JAP";"VPAP";"1VPAP"},
INDEX( 'ETPT Format DDG'!$A:$ZZ,,MATCH("TJCPH",'ETPT Format DDG'!2:2,0)),"OUI"))</f>
        <v>#N/A</v>
      </c>
      <c r="AE9" s="52" t="e" cm="1">
        <f t="array" ref="AE9">SUM(SUMIFS(
INDEX( 'ETPT Format DDG'!$A:$ZZ,,MATCH("11.1. SOUTIEN (HORS FORMATIONS SUIVIES)",'ETPT Format DDG'!2:2,0)),
INDEX( 'ETPT Format DDG'!$A:$ZZ,,MATCH("Fonction",'ETPT Format DDG'!2:2,0)),{"JE";"VPE";"1VPE"},
INDEX( 'ETPT Format DDG'!$A:$ZZ,,MATCH("TJCPH",'ETPT Format DDG'!2:2,0)),"OUI"))+
SUM(SUMIFS(
INDEX( 'ETPT Format DDG'!$A:$ZZ,,MATCH("11.2. FORMATIONS SUIVIES",'ETPT Format DDG'!2:2,0)),
INDEX( 'ETPT Format DDG'!$A:$ZZ,,MATCH("Fonction",'ETPT Format DDG'!2:2,0)),{"JE";"VPE";"1VPE"},
INDEX( 'ETPT Format DDG'!$A:$ZZ,,MATCH("TJCPH",'ETPT Format DDG'!2:2,0)),"OUI"))+
SUM(SUMIFS(
INDEX( 'ETPT Format DDG'!$A:$ZZ,,MATCH("11.6. AUTRES ACTIVITÉS NON JURIDICTIONNELLES",'ETPT Format DDG'!2:2,0)),
INDEX( 'ETPT Format DDG'!$A:$ZZ,,MATCH("Fonction",'ETPT Format DDG'!2:2,0)),{"JE";"VPE";"1VPE"},
INDEX( 'ETPT Format DDG'!$A:$ZZ,,MATCH("TJCPH",'ETPT Format DDG'!2:2,0)),"OUI"))</f>
        <v>#N/A</v>
      </c>
      <c r="AF9" s="52" t="e" cm="1">
        <f t="array" ref="AF9">SUM(SUMIFS(
INDEX( 'ETPT Format DDG'!$A:$ZZ,,MATCH("11.1. SOUTIEN (HORS FORMATIONS SUIVIES)",'ETPT Format DDG'!2:2,0)),
INDEX( 'ETPT Format DDG'!$A:$ZZ,,MATCH("Fonction",'ETPT Format DDG'!2:2,0)),{"VPLD";"1VPLD"},
INDEX( 'ETPT Format DDG'!$A:$ZZ,,MATCH("TJCPH",'ETPT Format DDG'!2:2,0)),"OUI"))+
SUM(SUMIFS(
INDEX( 'ETPT Format DDG'!$A:$ZZ,,MATCH("11.2. FORMATIONS SUIVIES",'ETPT Format DDG'!2:2,0)),
INDEX( 'ETPT Format DDG'!$A:$ZZ,,MATCH("Fonction",'ETPT Format DDG'!2:2,0)),{"VPLD";"1VPLD"},
INDEX( 'ETPT Format DDG'!$A:$ZZ,,MATCH("TJCPH",'ETPT Format DDG'!2:2,0)),"OUI"))+
SUM(SUMIFS(
INDEX( 'ETPT Format DDG'!$A:$ZZ,,MATCH("11.6. AUTRES ACTIVITÉS NON JURIDICTIONNELLES",'ETPT Format DDG'!2:2,0)),
INDEX( 'ETPT Format DDG'!$A:$ZZ,,MATCH("Fonction",'ETPT Format DDG'!2:2,0)),{"VPLD";"1VPLD"},
INDEX( 'ETPT Format DDG'!$A:$ZZ,,MATCH("TJCPH",'ETPT Format DDG'!2:2,0)),"OUI"))</f>
        <v>#N/A</v>
      </c>
      <c r="AG9" s="46">
        <f t="shared" si="2"/>
        <v>0</v>
      </c>
      <c r="AH9" s="60"/>
      <c r="AI9" s="60"/>
      <c r="AJ9" s="60"/>
      <c r="AK9" s="60"/>
      <c r="AL9" s="60"/>
      <c r="AM9" s="60"/>
      <c r="AN9" s="60"/>
      <c r="AO9" s="60"/>
      <c r="AP9" s="60"/>
      <c r="AQ9" s="60"/>
      <c r="AR9" s="60"/>
      <c r="AS9" s="60"/>
      <c r="AT9" s="60"/>
      <c r="AU9" s="52" t="e">
        <f>SUM(SUMIFS(
INDEX( 'ETPT Format DDG'!$A:$ZZ,,MATCH("11.1. SOUTIEN (HORS FORMATIONS SUIVIES)",'ETPT Format DDG'!2:2,0)),
INDEX( 'ETPT Format DDG'!$A:$ZZ,,MATCH("Fonction recodée",'ETPT Format DDG'!2:2,0)),"Magistrat SIEGE NS",
INDEX( 'ETPT Format DDG'!$A:$ZZ,,MATCH("TJCPH",'ETPT Format DDG'!2:2,0)),"OUI"))+
SUM(SUMIFS(
INDEX( 'ETPT Format DDG'!$A:$ZZ,,MATCH("11.2. FORMATIONS SUIVIES",'ETPT Format DDG'!2:2,0)),
INDEX( 'ETPT Format DDG'!$A:$ZZ,,MATCH("Fonction recodée",'ETPT Format DDG'!2:2,0)),"Magistrat SIEGE NS",
INDEX( 'ETPT Format DDG'!$A:$ZZ,,MATCH("TJCPH",'ETPT Format DDG'!2:2,0)),"OUI"))+
SUM(SUMIFS(
INDEX( 'ETPT Format DDG'!$A:$ZZ,,MATCH("11.6. AUTRES ACTIVITÉS NON JURIDICTIONNELLES",'ETPT Format DDG'!2:2,0)),
INDEX( 'ETPT Format DDG'!$A:$ZZ,,MATCH("Fonction recodée",'ETPT Format DDG'!2:2,0)),"Magistrat SIEGE NS",
INDEX( 'ETPT Format DDG'!$A:$ZZ,,MATCH("TJCPH",'ETPT Format DDG'!2:2,0)),"OUI"))</f>
        <v>#N/A</v>
      </c>
      <c r="AV9" s="46">
        <f t="shared" si="3"/>
        <v>0</v>
      </c>
      <c r="AW9" s="51"/>
      <c r="AX9" s="51"/>
      <c r="AY9" s="51"/>
      <c r="AZ9" s="51"/>
      <c r="BA9" s="51"/>
      <c r="BB9" s="51"/>
      <c r="BC9" s="51"/>
      <c r="BD9" s="51"/>
      <c r="BE9" s="51"/>
      <c r="BF9" s="46">
        <f t="shared" si="5"/>
        <v>0</v>
      </c>
    </row>
    <row r="10" spans="1:58" s="41" customFormat="1" ht="14.25" customHeight="1" x14ac:dyDescent="0.15">
      <c r="A10" s="50" t="s">
        <v>42</v>
      </c>
      <c r="B10" s="58"/>
      <c r="C10" s="58"/>
      <c r="D10" s="59" t="str">
        <f t="shared" si="0"/>
        <v/>
      </c>
      <c r="E10" s="58" t="s">
        <v>52</v>
      </c>
      <c r="F10" s="58" t="s">
        <v>51</v>
      </c>
      <c r="G10" s="89" t="e">
        <f>SUM(SUMIFS(
INDEX( 'ETPT Format DDG'!$A:$ZZ,,MATCH("11.3. FORMATIONS DISPENSÉES",'ETPT Format DDG'!2:2,0)),
INDEX( 'ETPT Format DDG'!$A:$ZZ,,MATCH("Fonction recodée",'ETPT Format DDG'!2:2,0)),"Fonctionnaire CTECH",
INDEX( 'ETPT Format DDG'!$A:$ZZ,,MATCH("TJCPH",'ETPT Format DDG'!2:2,0)),"OUI"))</f>
        <v>#N/A</v>
      </c>
      <c r="H10" s="57">
        <f t="shared" si="1"/>
        <v>0</v>
      </c>
      <c r="I10" s="60"/>
      <c r="J10" s="60"/>
      <c r="K10" s="60"/>
      <c r="L10" s="60"/>
      <c r="M10" s="60"/>
      <c r="N10" s="60"/>
      <c r="O10" s="60"/>
      <c r="P10" s="60"/>
      <c r="Q10" s="60"/>
      <c r="R10" s="60"/>
      <c r="S10" s="60"/>
      <c r="T10" s="60"/>
      <c r="U10" s="60"/>
      <c r="V10" s="52" t="e">
        <f>SUM(SUMIFS(
INDEX( 'ETPT Format DDG'!$A:$ZZ,,MATCH("11.3. FORMATIONS DISPENSÉES",'ETPT Format DDG'!2:2,0)),
INDEX( 'ETPT Format DDG'!$A:$ZZ,,MATCH("Fonction recodée",'ETPT Format DDG'!2:2,0)),"Fonctionnaire A-B-CBUR",
INDEX( 'ETPT Format DDG'!$A:$ZZ,,MATCH("TJCPH",'ETPT Format DDG'!2:2,0)),"OUI"))</f>
        <v>#N/A</v>
      </c>
      <c r="W10" s="46">
        <f t="shared" si="4"/>
        <v>0</v>
      </c>
      <c r="X10" s="60"/>
      <c r="Y10" s="52" t="e" cm="1">
        <f t="array" ref="Y10">SUM(SUMIFS(
INDEX( 'ETPT Format DDG'!$A:$ZZ,,MATCH("11.3. FORMATIONS DISPENSÉES",'ETPT Format DDG'!2:2,0)),
INDEX( 'ETPT Format DDG'!$A:$ZZ,,MATCH("Fonction",'ETPT Format DDG'!2:2,0)),{"JCP";"VPCP";"1VPCP"},
INDEX( 'ETPT Format DDG'!$A:$ZZ,,MATCH("TJCPH",'ETPT Format DDG'!2:2,0)),"OUI"))</f>
        <v>#N/A</v>
      </c>
      <c r="Z10" s="52" t="e" cm="1">
        <f t="array" ref="Z10">SUM(SUMIFS(
INDEX( 'ETPT Format DDG'!$A:$ZZ,,MATCH("11.3. FORMATIONS DISPENSÉES",'ETPT Format DDG'!2:2,0)),
INDEX( 'ETPT Format DDG'!$A:$ZZ,,MATCH("Fonction",'ETPT Format DDG'!2:2,0)),{"JI";"VPI";"1VPI"},
INDEX( 'ETPT Format DDG'!$A:$ZZ,,MATCH("TJCPH",'ETPT Format DDG'!2:2,0)),"OUI"))</f>
        <v>#N/A</v>
      </c>
      <c r="AA10" s="60"/>
      <c r="AB10" s="60"/>
      <c r="AC10" s="60"/>
      <c r="AD10" s="52" t="e" cm="1">
        <f t="array" ref="AD10">SUM(SUMIFS(
INDEX( 'ETPT Format DDG'!$A:$ZZ,,MATCH("11.3. FORMATIONS DISPENSÉES",'ETPT Format DDG'!2:2,0)),
INDEX( 'ETPT Format DDG'!$A:$ZZ,,MATCH("Fonction",'ETPT Format DDG'!2:2,0)),{"JAP";"VPAP";"1VPAP"},
INDEX( 'ETPT Format DDG'!$A:$ZZ,,MATCH("TJCPH",'ETPT Format DDG'!2:2,0)),"OUI"))</f>
        <v>#N/A</v>
      </c>
      <c r="AE10" s="52" t="e" cm="1">
        <f t="array" ref="AE10">SUM(SUMIFS(
INDEX( 'ETPT Format DDG'!$A:$ZZ,,MATCH("11.3. FORMATIONS DISPENSÉES",'ETPT Format DDG'!2:2,0)),
INDEX( 'ETPT Format DDG'!$A:$ZZ,,MATCH("Fonction",'ETPT Format DDG'!2:2,0)),{"JE";"VPE";"1VPE"},
INDEX( 'ETPT Format DDG'!$A:$ZZ,,MATCH("TJCPH",'ETPT Format DDG'!2:2,0)),"OUI"))</f>
        <v>#N/A</v>
      </c>
      <c r="AF10" s="52" t="e" cm="1">
        <f t="array" ref="AF10">SUM(SUMIFS(
INDEX( 'ETPT Format DDG'!$A:$ZZ,,MATCH("11.3. FORMATIONS DISPENSÉES",'ETPT Format DDG'!2:2,0)),
INDEX( 'ETPT Format DDG'!$A:$ZZ,,MATCH("Fonction",'ETPT Format DDG'!2:2,0)),{"VPLD";"1VPLD"},
INDEX( 'ETPT Format DDG'!$A:$ZZ,,MATCH("TJCPH",'ETPT Format DDG'!2:2,0)),"OUI"))</f>
        <v>#N/A</v>
      </c>
      <c r="AG10" s="46">
        <f t="shared" si="2"/>
        <v>0</v>
      </c>
      <c r="AH10" s="60"/>
      <c r="AI10" s="60"/>
      <c r="AJ10" s="60"/>
      <c r="AK10" s="60"/>
      <c r="AL10" s="60"/>
      <c r="AM10" s="60"/>
      <c r="AN10" s="60"/>
      <c r="AO10" s="60"/>
      <c r="AP10" s="60"/>
      <c r="AQ10" s="60"/>
      <c r="AR10" s="60"/>
      <c r="AS10" s="60"/>
      <c r="AT10" s="60"/>
      <c r="AU10" s="52" t="e">
        <f>SUM(SUMIFS(
INDEX( 'ETPT Format DDG'!$A:$ZZ,,MATCH("11.3. FORMATIONS DISPENSÉES",'ETPT Format DDG'!2:2,0)),
INDEX( 'ETPT Format DDG'!$A:$ZZ,,MATCH("Fonction recodée",'ETPT Format DDG'!2:2,0)),"Magistrat SIEGE NS",
INDEX( 'ETPT Format DDG'!$A:$ZZ,,MATCH("TJCPH",'ETPT Format DDG'!2:2,0)),"OUI"))</f>
        <v>#N/A</v>
      </c>
      <c r="AV10" s="46">
        <f>_xlfn.AGGREGATE(9,6,AH10:AU10)</f>
        <v>0</v>
      </c>
      <c r="AW10" s="51"/>
      <c r="AX10" s="51"/>
      <c r="AY10" s="51"/>
      <c r="AZ10" s="51"/>
      <c r="BA10" s="51"/>
      <c r="BB10" s="51"/>
      <c r="BC10" s="51"/>
      <c r="BD10" s="51"/>
      <c r="BE10" s="51"/>
      <c r="BF10" s="46">
        <f t="shared" si="5"/>
        <v>0</v>
      </c>
    </row>
    <row r="11" spans="1:58" s="41" customFormat="1" ht="14.25" customHeight="1" x14ac:dyDescent="0.15">
      <c r="A11" s="50" t="s">
        <v>42</v>
      </c>
      <c r="B11" s="58"/>
      <c r="C11" s="58"/>
      <c r="D11" s="59" t="str">
        <f t="shared" si="0"/>
        <v/>
      </c>
      <c r="E11" s="58" t="s">
        <v>50</v>
      </c>
      <c r="F11" s="58" t="s">
        <v>49</v>
      </c>
      <c r="G11" s="89" t="e">
        <f>SUM(SUMIFS(
INDEX( 'ETPT Format DDG'!$A:$ZZ,,MATCH("11.4. ACCÈS AU DROIT ET À LA JUSTICE",'ETPT Format DDG'!2:2,0)),
INDEX( 'ETPT Format DDG'!$A:$ZZ,,MATCH("Fonction recodée",'ETPT Format DDG'!2:2,0)),"Fonctionnaire CTECH",
INDEX( 'ETPT Format DDG'!$A:$ZZ,,MATCH("TJCPH",'ETPT Format DDG'!2:2,0)),"OUI"))</f>
        <v>#N/A</v>
      </c>
      <c r="H11" s="57">
        <f t="shared" si="1"/>
        <v>0</v>
      </c>
      <c r="I11" s="60"/>
      <c r="J11" s="60"/>
      <c r="K11" s="60"/>
      <c r="L11" s="60"/>
      <c r="M11" s="60"/>
      <c r="N11" s="60"/>
      <c r="O11" s="60"/>
      <c r="P11" s="60"/>
      <c r="Q11" s="60"/>
      <c r="R11" s="60"/>
      <c r="S11" s="60"/>
      <c r="T11" s="60"/>
      <c r="U11" s="60"/>
      <c r="V11" s="52" t="e">
        <f>SUM(SUMIFS(
INDEX( 'ETPT Format DDG'!$A:$ZZ,,MATCH("11.4. ACCÈS AU DROIT ET À LA JUSTICE",'ETPT Format DDG'!2:2,0)),
INDEX( 'ETPT Format DDG'!$A:$ZZ,,MATCH("Fonction recodée",'ETPT Format DDG'!2:2,0)),"Fonctionnaire A-B-CBUR",
INDEX( 'ETPT Format DDG'!$A:$ZZ,,MATCH("TJCPH",'ETPT Format DDG'!2:2,0)),"OUI"))</f>
        <v>#N/A</v>
      </c>
      <c r="W11" s="46">
        <f t="shared" si="4"/>
        <v>0</v>
      </c>
      <c r="X11" s="60"/>
      <c r="Y11" s="52" t="e" cm="1">
        <f t="array" ref="Y11">SUM(SUMIFS(
INDEX( 'ETPT Format DDG'!$A:$ZZ,,MATCH("11.4. ACCÈS AU DROIT ET À LA JUSTICE",'ETPT Format DDG'!2:2,0)),
INDEX( 'ETPT Format DDG'!$A:$ZZ,,MATCH("Fonction",'ETPT Format DDG'!2:2,0)),{"JCP";"VPCP";"1VPCP"},
INDEX( 'ETPT Format DDG'!$A:$ZZ,,MATCH("TJCPH",'ETPT Format DDG'!2:2,0)),"OUI"))</f>
        <v>#N/A</v>
      </c>
      <c r="Z11" s="52" t="e" cm="1">
        <f t="array" ref="Z11">SUM(SUMIFS(
INDEX( 'ETPT Format DDG'!$A:$ZZ,,MATCH("11.4. ACCÈS AU DROIT ET À LA JUSTICE",'ETPT Format DDG'!2:2,0)),
INDEX( 'ETPT Format DDG'!$A:$ZZ,,MATCH("Fonction",'ETPT Format DDG'!2:2,0)),{"JI";"VPI";"1VPI"},
INDEX( 'ETPT Format DDG'!$A:$ZZ,,MATCH("TJCPH",'ETPT Format DDG'!2:2,0)),"OUI"))</f>
        <v>#N/A</v>
      </c>
      <c r="AA11" s="61"/>
      <c r="AB11" s="61"/>
      <c r="AC11" s="61"/>
      <c r="AD11" s="52" t="e" cm="1">
        <f t="array" ref="AD11">SUM(SUMIFS(
INDEX( 'ETPT Format DDG'!$A:$ZZ,,MATCH("11.4. ACCÈS AU DROIT ET À LA JUSTICE",'ETPT Format DDG'!2:2,0)),
INDEX( 'ETPT Format DDG'!$A:$ZZ,,MATCH("Fonction",'ETPT Format DDG'!2:2,0)),{"JAP";"VPAP";"1VPAP"},
INDEX( 'ETPT Format DDG'!$A:$ZZ,,MATCH("TJCPH",'ETPT Format DDG'!2:2,0)),"OUI"))</f>
        <v>#N/A</v>
      </c>
      <c r="AE11" s="52" t="e" cm="1">
        <f t="array" ref="AE11">SUM(SUMIFS(
INDEX( 'ETPT Format DDG'!$A:$ZZ,,MATCH("11.4. ACCÈS AU DROIT ET À LA JUSTICE",'ETPT Format DDG'!2:2,0)),
INDEX( 'ETPT Format DDG'!$A:$ZZ,,MATCH("Fonction",'ETPT Format DDG'!2:2,0)),{"JE";"VPE";"1VPE"},
INDEX( 'ETPT Format DDG'!$A:$ZZ,,MATCH("TJCPH",'ETPT Format DDG'!2:2,0)),"OUI"))</f>
        <v>#N/A</v>
      </c>
      <c r="AF11" s="52" t="e" cm="1">
        <f t="array" ref="AF11">SUM(SUMIFS(
INDEX( 'ETPT Format DDG'!$A:$ZZ,,MATCH("11.4. ACCÈS AU DROIT ET À LA JUSTICE",'ETPT Format DDG'!2:2,0)),
INDEX( 'ETPT Format DDG'!$A:$ZZ,,MATCH("Fonction",'ETPT Format DDG'!2:2,0)),{"VPLD";"1VPLD"},
INDEX( 'ETPT Format DDG'!$A:$ZZ,,MATCH("TJCPH",'ETPT Format DDG'!2:2,0)),"OUI"))</f>
        <v>#N/A</v>
      </c>
      <c r="AG11" s="46">
        <f t="shared" si="2"/>
        <v>0</v>
      </c>
      <c r="AH11" s="60"/>
      <c r="AI11" s="60"/>
      <c r="AJ11" s="60"/>
      <c r="AK11" s="60"/>
      <c r="AL11" s="60"/>
      <c r="AM11" s="60"/>
      <c r="AN11" s="60"/>
      <c r="AO11" s="60"/>
      <c r="AP11" s="60"/>
      <c r="AQ11" s="60"/>
      <c r="AR11" s="60"/>
      <c r="AS11" s="60"/>
      <c r="AT11" s="60"/>
      <c r="AU11" s="52" t="e">
        <f>SUM(SUMIFS(
INDEX( 'ETPT Format DDG'!$A:$ZZ,,MATCH("11.4. ACCÈS AU DROIT ET À LA JUSTICE",'ETPT Format DDG'!2:2,0)),
INDEX( 'ETPT Format DDG'!$A:$ZZ,,MATCH("Fonction recodée",'ETPT Format DDG'!2:2,0)),"Magistrat SIEGE NS",
INDEX( 'ETPT Format DDG'!$A:$ZZ,,MATCH("TJCPH",'ETPT Format DDG'!2:2,0)),"OUI"))</f>
        <v>#N/A</v>
      </c>
      <c r="AV11" s="46">
        <f t="shared" si="3"/>
        <v>0</v>
      </c>
      <c r="AW11" s="51"/>
      <c r="AX11" s="51"/>
      <c r="AY11" s="51"/>
      <c r="AZ11" s="51"/>
      <c r="BA11" s="51"/>
      <c r="BB11" s="51"/>
      <c r="BC11" s="51"/>
      <c r="BD11" s="51"/>
      <c r="BE11" s="51"/>
      <c r="BF11" s="46">
        <f t="shared" si="5"/>
        <v>0</v>
      </c>
    </row>
    <row r="12" spans="1:58" s="41" customFormat="1" ht="14.25" customHeight="1" x14ac:dyDescent="0.15">
      <c r="A12" s="50" t="s">
        <v>42</v>
      </c>
      <c r="B12" s="58"/>
      <c r="C12" s="58"/>
      <c r="D12" s="59" t="str">
        <f t="shared" si="0"/>
        <v/>
      </c>
      <c r="E12" s="58" t="s">
        <v>48</v>
      </c>
      <c r="F12" s="58" t="s">
        <v>47</v>
      </c>
      <c r="G12" s="89" t="e">
        <f>MAX(0,SUM(SUMIFS(
INDEX( 'ETPT Format DDG'!$A:$ZZ,,MATCH("12. TOTAL des INDISPONIBILITÉS relevant de l'action 99",'ETPT Format DDG'!2:2,0)),
INDEX( 'ETPT Format DDG'!$A:$ZZ,,MATCH("Fonction recodée",'ETPT Format DDG'!2:2,0)),"Fonctionnaire CTECH",
INDEX( 'ETPT Format DDG'!$A:$ZZ,,MATCH("TJCPH",'ETPT Format DDG'!2:2,0)),"OUI"))-
SUM(SUMIFS(
INDEX( 'ETPT Format DDG'!$A:$ZZ,,MATCH("12.5. MISE À DISPOSITION",'ETPT Format DDG'!2:2,0)),
INDEX( 'ETPT Format DDG'!$A:$ZZ,,MATCH("Fonction recodée",'ETPT Format DDG'!2:2,0)),"Fonctionnaire CTECH",
INDEX( 'ETPT Format DDG'!$A:$ZZ,,MATCH("TJCPH",'ETPT Format DDG'!2:2,0)),"OUI")))</f>
        <v>#N/A</v>
      </c>
      <c r="H12" s="57">
        <f t="shared" si="1"/>
        <v>0</v>
      </c>
      <c r="I12" s="60"/>
      <c r="J12" s="60"/>
      <c r="K12" s="60"/>
      <c r="L12" s="60"/>
      <c r="M12" s="60"/>
      <c r="N12" s="60"/>
      <c r="O12" s="60"/>
      <c r="P12" s="60"/>
      <c r="Q12" s="60"/>
      <c r="R12" s="198"/>
      <c r="S12" s="60"/>
      <c r="T12" s="60"/>
      <c r="U12" s="60"/>
      <c r="V12" s="52" t="e">
        <f>MAX(0,SUM(SUMIFS(
INDEX( 'ETPT Format DDG'!$A:$ZZ,,MATCH("12. TOTAL des INDISPONIBILITÉS relevant de l'action 99",'ETPT Format DDG'!2:2,0)),
INDEX( 'ETPT Format DDG'!$A:$ZZ,,MATCH("Fonction recodée",'ETPT Format DDG'!2:2,0)),"Fonctionnaire A-B-CBUR",
INDEX( 'ETPT Format DDG'!$A:$ZZ,,MATCH("TJCPH",'ETPT Format DDG'!2:2,0)),"OUI"))-
SUM(SUMIFS(
INDEX( 'ETPT Format DDG'!$A:$ZZ,,MATCH("12.5. MISE À DISPOSITION",'ETPT Format DDG'!2:2,0)),
INDEX( 'ETPT Format DDG'!$A:$ZZ,,MATCH("Fonction recodée",'ETPT Format DDG'!2:2,0)),"Fonctionnaire A-B-CBUR",
INDEX( 'ETPT Format DDG'!$A:$ZZ,,MATCH("TJCPH",'ETPT Format DDG'!2:2,0)),"OUI")))</f>
        <v>#N/A</v>
      </c>
      <c r="W12" s="46">
        <f t="shared" si="4"/>
        <v>0</v>
      </c>
      <c r="X12" s="60"/>
      <c r="Y12" s="52" t="e" cm="1">
        <f t="array" ref="Y12">SUM(SUMIFS(
INDEX( 'ETPT Format DDG'!$A:$ZZ,,MATCH("12. TOTAL des INDISPONIBILITÉS relevant de l'action 99",'ETPT Format DDG'!2:2,0)),
INDEX( 'ETPT Format DDG'!$A:$ZZ,,MATCH("Fonction",'ETPT Format DDG'!2:2,0)),{"JCP";"VPCP";"1VPCP"},
INDEX( 'ETPT Format DDG'!$A:$ZZ,,MATCH("TJCPH",'ETPT Format DDG'!2:2,0)),"OUI"))-
SUM(SUMIFS(
INDEX( 'ETPT Format DDG'!$A:$ZZ,,MATCH("12.5. MISE À DISPOSITION",'ETPT Format DDG'!2:2,0)),
INDEX( 'ETPT Format DDG'!$A:$ZZ,,MATCH("Fonction",'ETPT Format DDG'!2:2,0)),{"JCP";"VPCP";"1VPCP"},
INDEX( 'ETPT Format DDG'!$A:$ZZ,,MATCH("TJCPH",'ETPT Format DDG'!2:2,0)),"OUI"))</f>
        <v>#N/A</v>
      </c>
      <c r="Z12" s="52" t="e" cm="1">
        <f t="array" ref="Z12">MAX(0,SUM(SUMIFS(
INDEX( 'ETPT Format DDG'!$A:$ZZ,,MATCH("12. TOTAL des INDISPONIBILITÉS relevant de l'action 99",'ETPT Format DDG'!2:2,0)),
INDEX( 'ETPT Format DDG'!$A:$ZZ,,MATCH("Fonction",'ETPT Format DDG'!2:2,0)),{"JI";"VPI";"1VPI"},
INDEX( 'ETPT Format DDG'!$A:$ZZ,,MATCH("TJCPH",'ETPT Format DDG'!2:2,0)),"OUI"))-
SUM(SUMIFS(
INDEX( 'ETPT Format DDG'!$A:$ZZ,,MATCH("12.5. MISE À DISPOSITION",'ETPT Format DDG'!2:2,0)),
INDEX( 'ETPT Format DDG'!$A:$ZZ,,MATCH("Fonction",'ETPT Format DDG'!2:2,0)),{"JI";"VPI";"1VPI"},
INDEX( 'ETPT Format DDG'!$A:$ZZ,,MATCH("TJCPH",'ETPT Format DDG'!2:2,0)),"OUI")))</f>
        <v>#N/A</v>
      </c>
      <c r="AA12" s="60"/>
      <c r="AB12" s="60"/>
      <c r="AC12" s="60"/>
      <c r="AD12" s="52" t="e" cm="1">
        <f t="array" ref="AD12">MAX(0,SUM(SUMIFS(
INDEX( 'ETPT Format DDG'!$A:$ZZ,,MATCH("12. TOTAL des INDISPONIBILITÉS relevant de l'action 99",'ETPT Format DDG'!2:2,0)),
INDEX( 'ETPT Format DDG'!$A:$ZZ,,MATCH("Fonction",'ETPT Format DDG'!2:2,0)),{"JAP";"VPAP";"1VPAP"},
INDEX( 'ETPT Format DDG'!$A:$ZZ,,MATCH("TJCPH",'ETPT Format DDG'!2:2,0)),"OUI"))-
SUM(SUMIFS(
INDEX( 'ETPT Format DDG'!$A:$ZZ,,MATCH("12.5. MISE À DISPOSITION",'ETPT Format DDG'!2:2,0)),
INDEX( 'ETPT Format DDG'!$A:$ZZ,,MATCH("Fonction",'ETPT Format DDG'!2:2,0)),{"JAP";"VPAP";"1VPAP"},
INDEX( 'ETPT Format DDG'!$A:$ZZ,,MATCH("TJCPH",'ETPT Format DDG'!2:2,0)),"OUI")))</f>
        <v>#N/A</v>
      </c>
      <c r="AE12" s="52" t="e" cm="1">
        <f t="array" ref="AE12">MAX(0,SUM(SUMIFS(
INDEX( 'ETPT Format DDG'!$A:$ZZ,,MATCH("12. TOTAL des INDISPONIBILITÉS relevant de l'action 99",'ETPT Format DDG'!2:2,0)),
INDEX( 'ETPT Format DDG'!$A:$ZZ,,MATCH("Fonction",'ETPT Format DDG'!2:2,0)),{"JE";"VPE";"1VPE"},
INDEX( 'ETPT Format DDG'!$A:$ZZ,,MATCH("TJCPH",'ETPT Format DDG'!2:2,0)),"OUI"))-
SUM(SUMIFS(
INDEX( 'ETPT Format DDG'!$A:$ZZ,,MATCH("12.5. MISE À DISPOSITION",'ETPT Format DDG'!2:2,0)),
INDEX( 'ETPT Format DDG'!$A:$ZZ,,MATCH("Fonction",'ETPT Format DDG'!2:2,0)),{"JE";"VPE";"1VPE"},
INDEX( 'ETPT Format DDG'!$A:$ZZ,,MATCH("TJCPH",'ETPT Format DDG'!2:2,0)),"OUI")))</f>
        <v>#N/A</v>
      </c>
      <c r="AF12" s="52" t="e" cm="1">
        <f t="array" ref="AF12">MAX(0,SUM(SUMIFS(
INDEX( 'ETPT Format DDG'!$A:$ZZ,,MATCH("12. TOTAL des INDISPONIBILITÉS relevant de l'action 99",'ETPT Format DDG'!2:2,0)),
INDEX( 'ETPT Format DDG'!$A:$ZZ,,MATCH("Fonction",'ETPT Format DDG'!2:2,0)),{"VPLD";"1VPLD"},
INDEX( 'ETPT Format DDG'!$A:$ZZ,,MATCH("TJCPH",'ETPT Format DDG'!2:2,0)),"OUI"))-
SUM(SUMIFS(
INDEX( 'ETPT Format DDG'!$A:$ZZ,,MATCH("12.5. MISE À DISPOSITION",'ETPT Format DDG'!2:2,0)),
INDEX( 'ETPT Format DDG'!$A:$ZZ,,MATCH("Fonction",'ETPT Format DDG'!2:2,0)),{"VPLD";"1VPLD"},
INDEX( 'ETPT Format DDG'!$A:$ZZ,,MATCH("TJCPH",'ETPT Format DDG'!2:2,0)),"OUI")))</f>
        <v>#N/A</v>
      </c>
      <c r="AG12" s="46">
        <f t="shared" si="2"/>
        <v>0</v>
      </c>
      <c r="AH12" s="60"/>
      <c r="AI12" s="60"/>
      <c r="AJ12" s="60"/>
      <c r="AK12" s="60"/>
      <c r="AL12" s="60"/>
      <c r="AM12" s="60"/>
      <c r="AN12" s="60"/>
      <c r="AO12" s="60"/>
      <c r="AP12" s="60"/>
      <c r="AQ12" s="60"/>
      <c r="AR12" s="60"/>
      <c r="AS12" s="60"/>
      <c r="AT12" s="60"/>
      <c r="AU12" s="52" t="e">
        <f>MAX(0,SUM(SUMIFS(
INDEX( 'ETPT Format DDG'!$A:$ZZ,,MATCH("12. TOTAL des INDISPONIBILITÉS relevant de l'action 99",'ETPT Format DDG'!2:2,0)),
INDEX( 'ETPT Format DDG'!$A:$ZZ,,MATCH("Fonction recodée",'ETPT Format DDG'!2:2,0)),"Magistrat SIEGE NS",
INDEX( 'ETPT Format DDG'!$A:$ZZ,,MATCH("TJCPH",'ETPT Format DDG'!2:2,0)),"OUI"))-
SUM(SUMIFS(
INDEX( 'ETPT Format DDG'!$A:$ZZ,,MATCH("12.5. MISE À DISPOSITION",'ETPT Format DDG'!2:2,0)),
INDEX( 'ETPT Format DDG'!$A:$ZZ,,MATCH("Fonction recodée",'ETPT Format DDG'!2:2,0)),"Magistrat SIEGE NS",
INDEX( 'ETPT Format DDG'!$A:$ZZ,,MATCH("TJCPH",'ETPT Format DDG'!2:2,0)),"OUI")))</f>
        <v>#N/A</v>
      </c>
      <c r="AV12" s="46">
        <f t="shared" si="3"/>
        <v>0</v>
      </c>
      <c r="AW12" s="51"/>
      <c r="AX12" s="51"/>
      <c r="AY12" s="51"/>
      <c r="AZ12" s="51"/>
      <c r="BA12" s="51"/>
      <c r="BB12" s="51"/>
      <c r="BC12" s="51"/>
      <c r="BD12" s="51"/>
      <c r="BE12" s="51"/>
      <c r="BF12" s="46">
        <f t="shared" si="5"/>
        <v>0</v>
      </c>
    </row>
    <row r="13" spans="1:58" s="41" customFormat="1" ht="14.25" customHeight="1" x14ac:dyDescent="0.15">
      <c r="A13" s="50" t="s">
        <v>42</v>
      </c>
      <c r="B13" s="58"/>
      <c r="C13" s="58"/>
      <c r="D13" s="59" t="str">
        <f t="shared" si="0"/>
        <v/>
      </c>
      <c r="E13" s="58" t="s">
        <v>46</v>
      </c>
      <c r="F13" s="58" t="s">
        <v>45</v>
      </c>
      <c r="G13" s="89" t="e">
        <f>SUM(SUMIFS(
INDEX( 'ETPT Format DDG'!$A:$ZZ,,MATCH("12.5. MISE À DISPOSITION",'ETPT Format DDG'!2:2,0)),
INDEX( 'ETPT Format DDG'!$A:$ZZ,,MATCH("Fonction recodée",'ETPT Format DDG'!2:2,0)),"Fonctionnaire CTECH",
INDEX( 'ETPT Format DDG'!$A:$ZZ,,MATCH("TJCPH",'ETPT Format DDG'!2:2,0)),"OUI"))+
_xlfn.IFNA(SUM(SUMIFS(
INDEX( 'ETPT Format DDG'!$A:$ZZ,,MATCH("13. TOTAL CONTENTIEUX LOCAUX SPÉCIFIQUES",'ETPT Format DDG'!2:2,0)),
INDEX( 'ETPT Format DDG'!$A:$ZZ,,MATCH("Fonction recodée",'ETPT Format DDG'!2:2,0)),"Fonctionnaire CTECH",
INDEX( 'ETPT Format DDG'!$A:$ZZ,,MATCH("TJCPH",'ETPT Format DDG'!2:2,0)),"OUI")),0)</f>
        <v>#N/A</v>
      </c>
      <c r="H13" s="57">
        <f t="shared" si="1"/>
        <v>0</v>
      </c>
      <c r="I13" s="60"/>
      <c r="J13" s="60"/>
      <c r="K13" s="60"/>
      <c r="L13" s="60"/>
      <c r="M13" s="60"/>
      <c r="N13" s="60"/>
      <c r="O13" s="60"/>
      <c r="P13" s="60"/>
      <c r="Q13" s="60"/>
      <c r="R13" s="60"/>
      <c r="S13" s="60"/>
      <c r="T13" s="60"/>
      <c r="U13" s="60"/>
      <c r="V13" s="52" t="e">
        <f>SUM(SUMIFS(
INDEX( 'ETPT Format DDG'!$A:$ZZ,,MATCH("12.5. MISE À DISPOSITION",'ETPT Format DDG'!2:2,0)),
INDEX( 'ETPT Format DDG'!$A:$ZZ,,MATCH("Fonction recodée",'ETPT Format DDG'!2:2,0)),"Fonctionnaire A-B-CBUR",
INDEX( 'ETPT Format DDG'!$A:$ZZ,,MATCH("TJCPH",'ETPT Format DDG'!2:2,0)),"OUI"))+
_xlfn.IFNA(SUM(SUMIFS(
INDEX( 'ETPT Format DDG'!$A:$ZZ,,MATCH("13. TOTAL CONTENTIEUX LOCAUX SPÉCIFIQUES",'ETPT Format DDG'!2:2,0)),
INDEX( 'ETPT Format DDG'!$A:$ZZ,,MATCH("Fonction recodée",'ETPT Format DDG'!2:2,0)),"Fonctionnaire A-B-CBUR",
INDEX( 'ETPT Format DDG'!$A:$ZZ,,MATCH("TJCPH",'ETPT Format DDG'!2:2,0)),"OUI")),0)</f>
        <v>#N/A</v>
      </c>
      <c r="W13" s="46">
        <f t="shared" si="4"/>
        <v>0</v>
      </c>
      <c r="X13" s="60"/>
      <c r="Y13" s="52" t="e" cm="1">
        <f t="array" ref="Y13">SUM(SUMIFS(
INDEX( 'ETPT Format DDG'!$A:$ZZ,,MATCH("12.5. MISE À DISPOSITION",'ETPT Format DDG'!2:2,0)),
INDEX( 'ETPT Format DDG'!$A:$ZZ,,MATCH("Fonction",'ETPT Format DDG'!2:2,0)),{"JCP";"VPCP";"1VPCP"},
INDEX( 'ETPT Format DDG'!$A:$ZZ,,MATCH("TJCPH",'ETPT Format DDG'!2:2,0)),"OUI"))</f>
        <v>#N/A</v>
      </c>
      <c r="Z13" s="52" t="e" cm="1">
        <f t="array" ref="Z13">SUM(SUMIFS(
INDEX( 'ETPT Format DDG'!$A:$ZZ,,MATCH("12.5. MISE À DISPOSITION",'ETPT Format DDG'!2:2,0)),
INDEX( 'ETPT Format DDG'!$A:$ZZ,,MATCH("Fonction",'ETPT Format DDG'!2:2,0)),{"JI";"VPI";"1VPI"},
INDEX( 'ETPT Format DDG'!$A:$ZZ,,MATCH("TJCPH",'ETPT Format DDG'!2:2,0)),"OUI"))</f>
        <v>#N/A</v>
      </c>
      <c r="AA13" s="60"/>
      <c r="AB13" s="60"/>
      <c r="AC13" s="60"/>
      <c r="AD13" s="52" t="e" cm="1">
        <f t="array" ref="AD13">SUM(SUMIFS(
INDEX( 'ETPT Format DDG'!$A:$ZZ,,MATCH("12.5. MISE À DISPOSITION",'ETPT Format DDG'!2:2,0)),
INDEX( 'ETPT Format DDG'!$A:$ZZ,,MATCH("Fonction",'ETPT Format DDG'!2:2,0)),{"JAP";"VPAP";"1VPAP"},
INDEX( 'ETPT Format DDG'!$A:$ZZ,,MATCH("TJCPH",'ETPT Format DDG'!2:2,0)),"OUI"))</f>
        <v>#N/A</v>
      </c>
      <c r="AE13" s="52" t="e" cm="1">
        <f t="array" ref="AE13">SUM(SUMIFS(
INDEX( 'ETPT Format DDG'!$A:$ZZ,,MATCH("12.5. MISE À DISPOSITION",'ETPT Format DDG'!2:2,0)),
INDEX( 'ETPT Format DDG'!$A:$ZZ,,MATCH("Fonction",'ETPT Format DDG'!2:2,0)),{"JE";"VPE";"1VPE"},
INDEX( 'ETPT Format DDG'!$A:$ZZ,,MATCH("TJCPH",'ETPT Format DDG'!2:2,0)),"OUI"))</f>
        <v>#N/A</v>
      </c>
      <c r="AF13" s="52" t="e" cm="1">
        <f t="array" ref="AF13">SUM(SUMIFS(
INDEX( 'ETPT Format DDG'!$A:$ZZ,,MATCH("12.5. MISE À DISPOSITION",'ETPT Format DDG'!2:2,0)),
INDEX( 'ETPT Format DDG'!$A:$ZZ,,MATCH("Fonction",'ETPT Format DDG'!2:2,0)),{"VPLD";"1VPLD"},
INDEX( 'ETPT Format DDG'!$A:$ZZ,,MATCH("TJCPH",'ETPT Format DDG'!2:2,0)),"OUI"))</f>
        <v>#N/A</v>
      </c>
      <c r="AG13" s="46">
        <f t="shared" si="2"/>
        <v>0</v>
      </c>
      <c r="AH13" s="60"/>
      <c r="AI13" s="60"/>
      <c r="AJ13" s="60"/>
      <c r="AK13" s="60"/>
      <c r="AL13" s="60"/>
      <c r="AM13" s="60"/>
      <c r="AN13" s="60"/>
      <c r="AO13" s="60"/>
      <c r="AP13" s="60"/>
      <c r="AQ13" s="60"/>
      <c r="AR13" s="60"/>
      <c r="AS13" s="52" t="e">
        <f>SUM(SUMIFS(
INDEX( 'ETPT Format DDG'!$A:$ZZ,,MATCH("13. TOTAL CONTENTIEUX LOCAUX SPÉCIFIQUES",'ETPT Format DDG'!2:2,0)),
INDEX( 'ETPT Format DDG'!$A:$ZZ,,MATCH("Fonction recodée",'ETPT Format DDG'!2:2,0)),"Magistrat SIEGE S",
INDEX( 'ETPT Format DDG'!$A:$ZZ,,MATCH("TJCPH",'ETPT Format DDG'!2:2,0)),"OUI"))</f>
        <v>#N/A</v>
      </c>
      <c r="AT13" s="52"/>
      <c r="AU13" s="52" t="e">
        <f>SUM(SUMIFS(
INDEX( 'ETPT Format DDG'!$A:$ZZ,,MATCH("12.5. MISE À DISPOSITION",'ETPT Format DDG'!2:2,0)),
INDEX( 'ETPT Format DDG'!$A:$ZZ,,MATCH("Fonction recodée",'ETPT Format DDG'!2:2,0)),"Magistrat SIEGE NS",
INDEX( 'ETPT Format DDG'!$A:$ZZ,,MATCH("TJCPH",'ETPT Format DDG'!2:2,0)),"OUI"))+
_xlfn.IFNA(SUM(SUMIFS(
INDEX( 'ETPT Format DDG'!$A:$ZZ,,MATCH("13. TOTAL CONTENTIEUX LOCAUX SPÉCIFIQUES",'ETPT Format DDG'!2:2,0)),
INDEX( 'ETPT Format DDG'!$A:$ZZ,,MATCH("Fonction recodée",'ETPT Format DDG'!2:2,0)),"Magistrat SIEGE NS",
INDEX( 'ETPT Format DDG'!$A:$ZZ,,MATCH("TJCPH",'ETPT Format DDG'!2:2,0)),"OUI")),0)</f>
        <v>#N/A</v>
      </c>
      <c r="AV13" s="46">
        <f t="shared" si="3"/>
        <v>0</v>
      </c>
      <c r="AW13" s="51"/>
      <c r="AX13" s="51"/>
      <c r="AY13" s="51"/>
      <c r="AZ13" s="51"/>
      <c r="BA13" s="51"/>
      <c r="BB13" s="51"/>
      <c r="BC13" s="51"/>
      <c r="BD13" s="51"/>
      <c r="BE13" s="51"/>
      <c r="BF13" s="46">
        <f t="shared" si="5"/>
        <v>0</v>
      </c>
    </row>
    <row r="14" spans="1:58" s="41" customFormat="1" ht="14.25" customHeight="1" x14ac:dyDescent="0.15">
      <c r="A14" s="50" t="s">
        <v>42</v>
      </c>
      <c r="B14" s="58"/>
      <c r="C14" s="58"/>
      <c r="D14" s="59" t="str">
        <f t="shared" si="0"/>
        <v/>
      </c>
      <c r="E14" s="58" t="s">
        <v>44</v>
      </c>
      <c r="F14" s="58" t="s">
        <v>43</v>
      </c>
      <c r="G14" s="89" t="e">
        <f>SUM(SUMIFS(
INDEX( 'ETPT A-JUST'!$A:$ZZ,,MATCH("Temps ventilés sur la période (absentéisme et action 99 déduits)",'ETPT A-JUST'!2:2,0)),
INDEX( 'ETPT A-JUST'!$A:$ZZ,,MATCH("Fonction recodée",'ETPT A-JUST'!2:2,0)),"Fonctionnaire CTECH placé ADD",
INDEX( 'ETPT A-JUST'!$A:$ZZ,,MATCH("TJCPH",'ETPT A-JUST'!2:2,0)),"OUI"))</f>
        <v>#N/A</v>
      </c>
      <c r="H14" s="57">
        <f t="shared" si="1"/>
        <v>0</v>
      </c>
      <c r="I14" s="56" t="e">
        <f>SUM(SUMIFS(
INDEX( 'ETPT A-JUST'!$A:$ZZ,,MATCH("11.8. FONCTIONNAIRES AFFECTÉS AUX ACTIVITÉS CIVILES ET COMMERCIALES DU PARQUET",'ETPT A-JUST'!2:2,0)),
INDEX( 'ETPT A-JUST'!$A:$ZZ,,MATCH("Fonction recodée",'ETPT A-JUST'!2:2,0)),"Fonctionnaire A-B-CBUR placé ADD",
INDEX( 'ETPT A-JUST'!$A:$ZZ,,MATCH("TJCPH",'ETPT A-JUST'!2:2,0)),"OUI"))</f>
        <v>#N/A</v>
      </c>
      <c r="J14" s="56" t="e">
        <f>SUM(SUMIFS(
INDEX( 'ETPT A-JUST'!$A:$ZZ,,MATCH("11.9. FONCTIONNAIRES AFFECTÉS À L'EXÉCUTION DES PEINES",'ETPT A-JUST'!2:2,0)),
INDEX( 'ETPT A-JUST'!$A:$ZZ,,MATCH("Fonction recodée",'ETPT A-JUST'!2:2,0)),"Fonctionnaire A-B-CBUR placé ADD"))</f>
        <v>#N/A</v>
      </c>
      <c r="K14" s="56" t="e">
        <f>SUM(SUMIFS(
INDEX( 'ETPT A-JUST'!$A:$ZZ,,MATCH("7.5. COUR D'ASSISES HORS JIRS",'ETPT A-JUST'!2:2,0)),
INDEX( 'ETPT A-JUST'!$A:$ZZ,,MATCH("Fonction recodée",'ETPT A-JUST'!2:2,0)),"Fonctionnaire A-B-CBUR placé ADD"))+
SUM(SUMIFS(
INDEX( 'ETPT A-JUST'!$A:$ZZ,,MATCH("7.51. COUR D'ASSISES JIRS",'ETPT A-JUST'!2:2,0)),
INDEX( 'ETPT A-JUST'!$A:$ZZ,,MATCH("Fonction recodée",'ETPT A-JUST'!2:2,0)),"Fonctionnaire A-B-CBUR placé ADD"))</f>
        <v>#N/A</v>
      </c>
      <c r="L14" s="56" t="e">
        <f>SUM(SUMIFS(
INDEX( 'ETPT A-JUST'!$A:$ZZ,,MATCH("7.52. COUR CRIMINELLE",'ETPT A-JUST'!2:2,0)),
INDEX( 'ETPT A-JUST'!$A:$ZZ,,MATCH("Fonction recodée",'ETPT A-JUST'!2:2,0)),"Fonctionnaire A-B-CBUR placé ADD"))</f>
        <v>#N/A</v>
      </c>
      <c r="M14" s="56" t="e">
        <f>SUM(SUMIFS(
INDEX( 'ETPT A-JUST'!$A:$ZZ,,MATCH("7.121. COLLÉGIALES JIRS ÉCO-FI",'ETPT A-JUST'!2:2,0)),
INDEX( 'ETPT A-JUST'!$A:$ZZ,,MATCH("Fonction recodée",'ETPT A-JUST'!2:2,0)),"Fonctionnaire A-B-CBUR placé ADD",
INDEX( 'ETPT A-JUST'!$A:$ZZ,,MATCH("Jirs",'ETPT A-JUST'!2:2,0)),"x"))</f>
        <v>#N/A</v>
      </c>
      <c r="N14" s="56" t="e">
        <f>SUM(SUMIFS(
INDEX( 'ETPT A-JUST'!$A:$ZZ,,MATCH("7.12. COLLÉGIALES JIRS CRIM-ORG",'ETPT A-JUST'!2:2,0)),
INDEX( 'ETPT A-JUST'!$A:$ZZ,,MATCH("Fonction recodée",'ETPT A-JUST'!2:2,0)),"Fonctionnaire A-B-CBUR placé ADD"))</f>
        <v>#N/A</v>
      </c>
      <c r="O14" s="56" t="e">
        <f>SUM(SUMIFS(
INDEX( 'ETPT A-JUST'!$A:$ZZ,,MATCH("7.122. COLLÉGIALES AUTRES SECTIONS SPÉCIALISÉES",'ETPT A-JUST'!2:2,0)),
INDEX( 'ETPT A-JUST'!$A:$ZZ,,MATCH("Fonction recodée",'ETPT A-JUST'!2:2,0)),"Fonctionnaire A-B-CBUR placé ADD"))+
SUM(SUMIFS(
INDEX( 'ETPT A-JUST'!$A:$ZZ,,MATCH("7.121. COLLÉGIALES JIRS ÉCO-FI",'ETPT A-JUST'!2:2,0)),
INDEX( 'ETPT A-JUST'!$A:$ZZ,,MATCH("Fonction recodée",'ETPT A-JUST'!2:2,0)),"Fonctionnaire A-B-CBUR placé ADD",
INDEX( 'ETPT A-JUST'!$A:$ZZ,,MATCH("Jirs",'ETPT A-JUST'!2:2,0)),""))</f>
        <v>#N/A</v>
      </c>
      <c r="P14" s="56" t="e">
        <f>SUM(SUMIFS(
INDEX( 'ETPT A-JUST'!$A:$ZZ,,MATCH("3.2. PROTECTION DES MAJEURS",'ETPT A-JUST'!2:2,0)),
INDEX( 'ETPT A-JUST'!$A:$ZZ,,MATCH("Fonction recodée",'ETPT A-JUST'!2:2,0)),"Fonctionnaire A-B-CBUR placé ADD",
INDEX( 'ETPT A-JUST'!$A:$ZZ,,MATCH("TJCPH",'ETPT A-JUST'!2:2,0)),"OUI"))</f>
        <v>#N/A</v>
      </c>
      <c r="Q14" s="56" t="e">
        <f>SUM(SUMIFS(
INDEX( 'ETPT A-JUST'!$A:$ZZ,,MATCH("3. TOTAL CONTENTIEUX DE LA PROTECTION",'ETPT A-JUST'!2:2,0)),
INDEX( 'ETPT A-JUST'!$A:$ZZ,,MATCH("Fonction recodée",'ETPT A-JUST'!2:2,0)),"Fonctionnaire A-B-CBUR placé ADD",
INDEX( 'ETPT A-JUST'!$A:$ZZ,,MATCH("TJCPH",'ETPT A-JUST'!2:2,0)),"OUI"))-
SUM(SUMIFS(
INDEX( 'ETPT A-JUST'!$A:$ZZ,,MATCH("3.2. PROTECTION DES MAJEURS",'ETPT A-JUST'!2:2,0)),
INDEX( 'ETPT A-JUST'!$A:$ZZ,,MATCH("Fonction recodée",'ETPT A-JUST'!2:2,0)),"Fonctionnaire A-B-CBUR placé ADD",
INDEX( 'ETPT A-JUST'!$A:$ZZ,,MATCH("TJCPH",'ETPT A-JUST'!2:2,0)),"OUI"))-
SUM(SUMIFS(
INDEX( 'ETPT A-JUST'!$A:$ZZ,,MATCH("3.43. INJONCTIONS DE PAYER",'ETPT A-JUST'!2:2,0)),
INDEX( 'ETPT A-JUST'!$A:$ZZ,,MATCH("Fonction recodée",'ETPT A-JUST'!2:2,0)),"Fonctionnaire A-B-CBUR placé ADD",
INDEX( 'ETPT A-JUST'!$A:$ZZ,,MATCH("TJCPH",'ETPT A-JUST'!2:2,0)),"OUI"))-
SUM(SUMIFS(
INDEX( 'ETPT A-JUST'!$A:$ZZ,,MATCH("3.44. SAISIE DES RÉMUNÉRATIONS",'ETPT A-JUST'!2:2,0)),
INDEX( 'ETPT A-JUST'!$A:$ZZ,,MATCH("Fonction recodée",'ETPT A-JUST'!2:2,0)),"Fonctionnaire A-B-CBUR placé ADD",
INDEX( 'ETPT A-JUST'!$A:$ZZ,,MATCH("TJCPH",'ETPT A-JUST'!2:2,0)),"OUI"))</f>
        <v>#N/A</v>
      </c>
      <c r="R14" s="56" t="e">
        <f>SUM(SUMIFS(
INDEX( 'ETPT A-JUST'!$A:$ZZ,,MATCH("6. TOTAL JUGES DES ENFANTS",'ETPT A-JUST'!2:2,0)),
INDEX( 'ETPT A-JUST'!$A:$ZZ,,MATCH("Fonction recodée",'ETPT A-JUST'!2:2,0)),"Fonctionnaire A-B-CBUR placé ADD"))+
SUM(SUMIFS(
INDEX( 'ETPT A-JUST'!$A:$ZZ,,MATCH("8. TOTAL JUGES D'INSTRUCTION",'ETPT A-JUST'!2:2,0)),
INDEX( 'ETPT A-JUST'!$A:$ZZ,,MATCH("Fonction recodée",'ETPT A-JUST'!2:2,0)),"Fonctionnaire A-B-CBUR placé ADD"))+
SUM(SUMIFS(
INDEX( 'ETPT A-JUST'!$A:$ZZ,,MATCH("9. TOTAL JAP",'ETPT A-JUST'!2:2,0)),
INDEX( 'ETPT A-JUST'!$A:$ZZ,,MATCH("Fonction recodée",'ETPT A-JUST'!2:2,0)),"Fonctionnaire A-B-CBUR placé ADD"))+
SUM(SUMIFS(
INDEX( 'ETPT A-JUST'!$A:$ZZ,,MATCH("10. TOTAL JLD PÉNAL",'ETPT A-JUST'!2:2,0)),
INDEX( 'ETPT A-JUST'!$A:$ZZ,,MATCH("Fonction recodée",'ETPT A-JUST'!2:2,0)),"Fonctionnaire A-B-CBUR placé ADD"))</f>
        <v>#N/A</v>
      </c>
      <c r="S14" s="56" t="e">
        <f>SUM(SUMIFS(
INDEX( 'ETPT A-JUST'!$A:$ZZ,,MATCH("3.43. INJONCTIONS DE PAYER",'ETPT A-JUST'!2:2,0)),
INDEX( 'ETPT A-JUST'!$A:$ZZ,,MATCH("Fonction recodée",'ETPT A-JUST'!2:2,0)),"Fonctionnaire A-B-CBUR placé ADD",
INDEX( 'ETPT A-JUST'!$A:$ZZ,,MATCH("TJCPH",'ETPT A-JUST'!2:2,0)),"OUI"))+
SUM(SUMIFS(
INDEX( 'ETPT A-JUST'!$A:$ZZ,,MATCH("3.44. SAISIE DES RÉMUNÉRATIONS",'ETPT A-JUST'!2:2,0)),
INDEX( 'ETPT A-JUST'!$A:$ZZ,,MATCH("Fonction recodée",'ETPT A-JUST'!2:2,0)),"Fonctionnaire A-B-CBUR placé ADD",
INDEX( 'ETPT A-JUST'!$A:$ZZ,,MATCH("TJCPH",'ETPT A-JUST'!2:2,0)),"OUI"))</f>
        <v>#N/A</v>
      </c>
      <c r="T14" s="56" t="e">
        <f>SUM(SUMIFS(
INDEX( 'ETPT A-JUST'!$A:$ZZ,,MATCH("4.0. CONTENTIEUX GÉNÉRAL &lt;10.000€",'ETPT A-JUST'!2:2,0)),
INDEX( 'ETPT A-JUST'!$A:$ZZ,,MATCH("Fonction recodée",'ETPT A-JUST'!2:2,0)),"Fonctionnaire A-B-CBUR placé ADD",
INDEX( 'ETPT A-JUST'!$A:$ZZ,,MATCH("TJCPH",'ETPT A-JUST'!2:2,0)),"OUI"))</f>
        <v>#N/A</v>
      </c>
      <c r="U14" s="56" t="e">
        <f>SUM(SUMIFS(
INDEX( 'ETPT A-JUST'!$A:$ZZ,,MATCH("1. TOTAL CONTENTIEUX SOCIAL",'ETPT A-JUST'!2:2,0)),
INDEX( 'ETPT A-JUST'!$A:$ZZ,,MATCH("Fonction recodée",'ETPT A-JUST'!2:2,0)),"Fonctionnaire A-B-CBUR placé ADD",
INDEX( 'ETPT A-JUST'!$A:$ZZ,,MATCH("TJCPH",'ETPT A-JUST'!2:2,0)),"OUI"))</f>
        <v>#N/A</v>
      </c>
      <c r="V14" s="52" t="e">
        <f>SUM(SUMIFS(
INDEX( 'ETPT A-JUST'!$A:$ZZ,,MATCH("2. TOTAL CONTENTIEUX JAF",'ETPT A-JUST'!2:2,0)),
INDEX( 'ETPT A-JUST'!$A:$ZZ,,MATCH("Fonction recodée",'ETPT A-JUST'!2:2,0)),"Fonctionnaire A-B-CBUR placé ADD",
INDEX( 'ETPT A-JUST'!$A:$ZZ,,MATCH("TJCPH",'ETPT A-JUST'!2:2,0)),"OUI"))+
SUM(SUMIFS(
INDEX( 'ETPT A-JUST'!$A:$ZZ,,MATCH("4. TOTAL CIVIL NON SPÉCIALISÉ",'ETPT A-JUST'!2:2,0)),
INDEX( 'ETPT A-JUST'!$A:$ZZ,,MATCH("Fonction recodée",'ETPT A-JUST'!2:2,0)),"Fonctionnaire A-B-CBUR placé ADD",
INDEX( 'ETPT A-JUST'!$A:$ZZ,,MATCH("TJCPH",'ETPT A-JUST'!2:2,0)),"OUI"))+
SUM(SUMIFS(
INDEX( 'ETPT A-JUST'!$A:$ZZ,,MATCH("5. TOTAL JLD CIVIL",'ETPT A-JUST'!2:2,0)),
INDEX( 'ETPT A-JUST'!$A:$ZZ,,MATCH("Fonction recodée",'ETPT A-JUST'!2:2,0)),"Fonctionnaire A-B-CBUR placé ADD"))+
_xlfn.IFNA(SUM(SUMIFS(
INDEX( 'ETPT A-JUST'!$A:$ZZ,,MATCH("13. TOTAL CONTENTIEUX LOCAUX SPÉCIFIQUES",'ETPT A-JUST'!2:2,0)),
INDEX( 'ETPT A-JUST'!$A:$ZZ,,MATCH("Fonction recodée",'ETPT A-JUST'!2:2,0)),"Fonctionnaire A-B-CBUR placé ADD",
INDEX( 'ETPT A-JUST'!$A:$ZZ,,MATCH("TJCPH",'ETPT A-JUST'!2:2,0)),"OUI")),0)-
SUM(SUMIFS(
INDEX( 'ETPT A-JUST'!$A:$ZZ,,MATCH("4.0. CONTENTIEUX GÉNÉRAL &lt;10.000€",'ETPT A-JUST'!2:2,0)),
INDEX( 'ETPT A-JUST'!$A:$ZZ,,MATCH("Fonction recodée",'ETPT A-JUST'!2:2,0)),"Fonctionnaire A-B-CBUR placé ADD",
INDEX( 'ETPT A-JUST'!$A:$ZZ,,MATCH("TJCPH",'ETPT A-JUST'!2:2,0)),"OUI"))+
SUM(SUMIFS(
INDEX( 'ETPT A-JUST'!$A:$ZZ,,MATCH("11.51. ACCUEIL DU JUSTICIABLE (DONT SAUJ)",'ETPT A-JUST'!2:2,0)),
INDEX( 'ETPT A-JUST'!$A:$ZZ,,MATCH("Fonction recodée",'ETPT A-JUST'!2:2,0)),"Fonctionnaire A-B-CBUR placé ADD",
INDEX( 'ETPT A-JUST'!$A:$ZZ,,MATCH("TJCPH",'ETPT A-JUST'!2:2,0)),"OUI"))+
SUM(SUMIFS(
INDEX( 'ETPT A-JUST'!$A:$ZZ,,MATCH("11.1. SOUTIEN (HORS FORMATIONS SUIVIES)",'ETPT A-JUST'!2:2,0)),
INDEX( 'ETPT A-JUST'!$A:$ZZ,,MATCH("Fonction recodée",'ETPT A-JUST'!2:2,0)),"Fonctionnaire A-B-CBUR placé ADD",
INDEX( 'ETPT A-JUST'!$A:$ZZ,,MATCH("TJCPH",'ETPT A-JUST'!2:2,0)),"OUI"))+
SUM(SUMIFS(
INDEX( 'ETPT A-JUST'!$A:$ZZ,,MATCH("11.2. FORMATIONS SUIVIES",'ETPT A-JUST'!2:2,0)),
INDEX( 'ETPT A-JUST'!$A:$ZZ,,MATCH("Fonction recodée",'ETPT A-JUST'!2:2,0)),"Fonctionnaire A-B-CBUR placé ADD",
INDEX( 'ETPT A-JUST'!$A:$ZZ,,MATCH("TJCPH",'ETPT A-JUST'!2:2,0)),"OUI"))+
SUM(SUMIFS(
INDEX( 'ETPT A-JUST'!$A:$ZZ,,MATCH("11.6. AUTRES ACTIVITÉS NON JURIDICTIONNELLES",'ETPT A-JUST'!2:2,0)),
INDEX( 'ETPT A-JUST'!$A:$ZZ,,MATCH("Fonction recodée",'ETPT A-JUST'!2:2,0)),"Fonctionnaire A-B-CBUR placé ADD",
INDEX( 'ETPT A-JUST'!$A:$ZZ,,MATCH("TJCPH",'ETPT A-JUST'!2:2,0)),"OUI"))+
SUM(SUMIFS(
INDEX( 'ETPT A-JUST'!$A:$ZZ,,MATCH("11.3. FORMATIONS DISPENSÉES",'ETPT A-JUST'!2:2,0)),
INDEX( 'ETPT A-JUST'!$A:$ZZ,,MATCH("Fonction recodée",'ETPT A-JUST'!2:2,0)),"Fonctionnaire A-B-CBUR placé ADD",
INDEX( 'ETPT A-JUST'!$A:$ZZ,,MATCH("TJCPH",'ETPT A-JUST'!2:2,0)),"OUI"))+
SUM(SUMIFS(
INDEX( 'ETPT A-JUST'!$A:$ZZ,,MATCH("11.4. ACCÈS AU DROIT ET À LA JUSTICE",'ETPT A-JUST'!2:2,0)),
INDEX( 'ETPT A-JUST'!$A:$ZZ,,MATCH("Fonction recodée",'ETPT A-JUST'!2:2,0)),"Fonctionnaire A-B-CBUR placé ADD",
INDEX( 'ETPT A-JUST'!$A:$ZZ,,MATCH("TJCPH",'ETPT A-JUST'!2:2,0)),"OUI"))+
SUMIFS(
INDEX( 'ETPT A-JUST'!$A:$ZZ,,MATCH("7. TOTAL SIÈGE PÉNAL",'ETPT A-JUST'!2:2,0)),
INDEX( 'ETPT A-JUST'!$A:$ZZ,,MATCH("Fonction recodée",'ETPT A-JUST'!2:2,0)),"Fonctionnaire A-B-CBUR placé ADD")+
SUMIFS(
INDEX( 'ETPT A-JUST'!$A:$ZZ,,MATCH("11.10. AUTRES FONCTIONNAIRES AFFECTÉS AU PARQUET",'ETPT A-JUST'!2:2,0)),
INDEX( 'ETPT A-JUST'!$A:$ZZ,,MATCH("Fonction recodée",'ETPT A-JUST'!2:2,0)),"Fonctionnaire A-B-CBUR placé ADD")-
SUMIFS(
INDEX( 'ETPT A-JUST'!$A:$ZZ,,MATCH("7.5. COUR D'ASSISES HORS JIRS",'ETPT A-JUST'!2:2,0)),
INDEX( 'ETPT A-JUST'!$A:$ZZ,,MATCH("Fonction recodée",'ETPT A-JUST'!2:2,0)),"Fonctionnaire A-B-CBUR placé ADD")-
SUMIFS(
INDEX( 'ETPT A-JUST'!$A:$ZZ,,MATCH("7.51. COUR D'ASSISES JIRS",'ETPT A-JUST'!2:2,0)),
INDEX( 'ETPT A-JUST'!$A:$ZZ,,MATCH("Fonction recodée",'ETPT A-JUST'!2:2,0)),"Fonctionnaire A-B-CBUR placé ADD")-
SUMIFS(
INDEX( 'ETPT A-JUST'!$A:$ZZ,,MATCH("7.52. COUR CRIMINELLE",'ETPT A-JUST'!2:2,0)),
INDEX( 'ETPT A-JUST'!$A:$ZZ,,MATCH("Fonction recodée",'ETPT A-JUST'!2:2,0)),"Fonctionnaire A-B-CBUR placé ADD")-
SUMIFS(
INDEX( 'ETPT A-JUST'!$A:$ZZ,,MATCH("7.121. COLLÉGIALES JIRS ÉCO-FI",'ETPT A-JUST'!2:2,0)),
INDEX( 'ETPT A-JUST'!$A:$ZZ,,MATCH("Fonction recodée",'ETPT A-JUST'!2:2,0)),"Fonctionnaire A-B-CBUR placé ADD")-
SUMIFS(
INDEX( 'ETPT A-JUST'!$A:$ZZ,,MATCH("7.12. COLLÉGIALES JIRS CRIM-ORG",'ETPT A-JUST'!2:2,0)),
INDEX( 'ETPT A-JUST'!$A:$ZZ,,MATCH("Fonction recodée",'ETPT A-JUST'!2:2,0)),"Fonctionnaire A-B-CBUR placé ADD")-
SUMIFS(
INDEX( 'ETPT A-JUST'!$A:$ZZ,,MATCH("7.122. COLLÉGIALES AUTRES SECTIONS SPÉCIALISÉES",'ETPT A-JUST'!2:2,0)),
INDEX( 'ETPT A-JUST'!$A:$ZZ,,MATCH("Fonction recodée",'ETPT A-JUST'!2:2,0)),"Fonctionnaire A-B-CBUR placé ADD")</f>
        <v>#N/A</v>
      </c>
      <c r="W14" s="46">
        <f t="shared" si="4"/>
        <v>0</v>
      </c>
      <c r="X14" s="52" t="e">
        <f>SUM(SUMIFS(
INDEX( 'ETPT A-JUST'!$A:$ZZ,,MATCH("3.2. PROTECTION DES MAJEURS",'ETPT A-JUST'!2:2,0)),
INDEX( 'ETPT A-JUST'!$A:$ZZ,,MATCH("Fonction recodée",'ETPT A-JUST'!2:2,0)),"Magistrat placé ADD",
INDEX( 'ETPT A-JUST'!$A:$ZZ,,MATCH("TJCPH",'ETPT A-JUST'!2:2,0)),"OUI"))</f>
        <v>#N/A</v>
      </c>
      <c r="Y14" s="52" t="e">
        <f>SUM(SUMIFS(
INDEX( 'ETPT A-JUST'!$A:$ZZ,,MATCH("3. TOTAL CONTENTIEUX DE LA PROTECTION",'ETPT A-JUST'!2:2,0)),
INDEX( 'ETPT A-JUST'!$A:$ZZ,,MATCH("Fonction recodée",'ETPT A-JUST'!2:2,0)),"Magistrat placé ADD",
INDEX( 'ETPT A-JUST'!$A:$ZZ,,MATCH("TJCPH",'ETPT A-JUST'!2:2,0)),"OUI"))-
SUM(SUMIFS(
INDEX( 'ETPT A-JUST'!$A:$ZZ,,MATCH("3.2. PROTECTION DES MAJEURS",'ETPT A-JUST'!2:2,0)),
INDEX( 'ETPT A-JUST'!$A:$ZZ,,MATCH("Fonction recodée",'ETPT A-JUST'!2:2,0)),"Magistrat placé ADD",
INDEX( 'ETPT A-JUST'!$A:$ZZ,,MATCH("TJCPH",'ETPT A-JUST'!2:2,0)),"OUI"))-
SUM(SUMIFS(
INDEX( 'ETPT A-JUST'!$A:$ZZ,,MATCH("3.43. INJONCTIONS DE PAYER",'ETPT A-JUST'!2:2,0)),
INDEX( 'ETPT A-JUST'!$A:$ZZ,,MATCH("Fonction recodée",'ETPT A-JUST'!2:2,0)),"Magistrat placé ADD",
INDEX( 'ETPT A-JUST'!$A:$ZZ,,MATCH("TJCPH",'ETPT A-JUST'!2:2,0)),"OUI"))-
SUM(SUMIFS(
INDEX( 'ETPT A-JUST'!$A:$ZZ,,MATCH("3.44. SAISIE DES RÉMUNÉRATIONS",'ETPT A-JUST'!2:2,0)),
INDEX( 'ETPT A-JUST'!$A:$ZZ,,MATCH("Fonction recodée",'ETPT A-JUST'!2:2,0)),"Magistrat placé ADD",
INDEX( 'ETPT A-JUST'!$A:$ZZ,,MATCH("TJCPH",'ETPT A-JUST'!2:2,0)),"OUI"))</f>
        <v>#N/A</v>
      </c>
      <c r="Z14" s="52" t="e">
        <f>SUM(SUMIFS(
INDEX( 'ETPT A-JUST'!$A:$ZZ,,MATCH("8.1. SERVICE GÉNÉRAL",'ETPT A-JUST'!2:2,0)),
INDEX( 'ETPT A-JUST'!$A:$ZZ,,MATCH("Fonction recodée",'ETPT A-JUST'!2:2,0)),"Magistrat placé ADD"))</f>
        <v>#N/A</v>
      </c>
      <c r="AA14" s="52" t="e">
        <f>SUM(SUMIFS(
INDEX( 'ETPT A-JUST'!$A:$ZZ,,MATCH("8.2. JIRS ÉCO-FI",'ETPT A-JUST'!2:2,0)),
INDEX( 'ETPT A-JUST'!$A:$ZZ,,MATCH("Fonction recodée",'ETPT A-JUST'!2:2,0)),"Magistrat placé ADD"))</f>
        <v>#N/A</v>
      </c>
      <c r="AB14" s="52" t="e">
        <f>SUM(SUMIFS(
INDEX( 'ETPT A-JUST'!$A:$ZZ,,MATCH("8.3. JIRS CRIM-ORG",'ETPT A-JUST'!2:2,0)),
INDEX( 'ETPT A-JUST'!$A:$ZZ,,MATCH("Fonction recodée",'ETPT A-JUST'!2:2,0)),"Magistrat placé ADD"))</f>
        <v>#N/A</v>
      </c>
      <c r="AC14" s="52" t="e">
        <f>SUM(SUMIFS(
INDEX( 'ETPT A-JUST'!$A:$ZZ,,MATCH("8.4. AUTRES SECTIONS SPÉCIALISÉES",'ETPT A-JUST'!2:2,0)),
INDEX( 'ETPT A-JUST'!$A:$ZZ,,MATCH("Fonction recodée",'ETPT A-JUST'!2:2,0)),"Magistrat placé ADD"))+
SUM(SUMIFS(
INDEX( 'ETPT A-JUST'!$A:$ZZ,,MATCH("8.11. ECO-FI HORS JIRS",'ETPT A-JUST'!2:2,0)),
INDEX( 'ETPT A-JUST'!$A:$ZZ,,MATCH("Fonction recodée",'ETPT A-JUST'!2:2,0)),"Magistrat placé ADD"))</f>
        <v>#N/A</v>
      </c>
      <c r="AD14" s="52" t="e">
        <f>SUM(SUMIFS(
INDEX( 'ETPT A-JUST'!$A:$ZZ,,MATCH("9. TOTAL JAP",'ETPT A-JUST'!2:2,0)),
INDEX( 'ETPT A-JUST'!$A:$ZZ,,MATCH("Fonction recodée",'ETPT A-JUST'!2:2,0)),"Magistrat placé ADD"))</f>
        <v>#N/A</v>
      </c>
      <c r="AE14" s="52" t="e">
        <f>SUM(SUMIFS(
INDEX( 'ETPT A-JUST'!$A:$ZZ,,MATCH("6.1. ACTIVITÉ CIVILE",'ETPT A-JUST'!2:2,0)),
INDEX( 'ETPT A-JUST'!$A:$ZZ,,MATCH("Fonction recodée",'ETPT A-JUST'!2:2,0)),"Magistrat placé ADD"))+
SUM(SUMIFS(
INDEX( 'ETPT A-JUST'!$A:$ZZ,,MATCH("6.2. ACTIVITÉ PÉNALE",'ETPT A-JUST'!2:2,0)),
INDEX( 'ETPT A-JUST'!$A:$ZZ,,MATCH("Fonction recodée",'ETPT A-JUST'!2:2,0)),"Magistrat placé ADD"))</f>
        <v>#N/A</v>
      </c>
      <c r="AF14" s="52" t="e">
        <f>SUM(SUMIFS(
INDEX( 'ETPT A-JUST'!$A:$ZZ,,MATCH("10. TOTAL JLD PÉNAL",'ETPT A-JUST'!2:2,0)),
INDEX( 'ETPT A-JUST'!$A:$ZZ,,MATCH("Fonction recodée",'ETPT A-JUST'!2:2,0)),"Magistrat placé ADD"))</f>
        <v>#N/A</v>
      </c>
      <c r="AG14" s="46">
        <f t="shared" si="2"/>
        <v>0</v>
      </c>
      <c r="AH14" s="52" t="e">
        <f>SUM(SUMIFS(
INDEX( 'ETPT A-JUST'!$A:$ZZ,,MATCH("7.5. COUR D'ASSISES HORS JIRS",'ETPT A-JUST'!2:2,0)),
INDEX( 'ETPT A-JUST'!$A:$ZZ,,MATCH("Fonction recodée",'ETPT A-JUST'!2:2,0)),"Magistrat placé ADD"))+
SUM(SUMIFS(
INDEX( 'ETPT A-JUST'!$A:$ZZ,,MATCH("7.51. COUR D'ASSISES JIRS",'ETPT A-JUST'!2:2,0)),
INDEX( 'ETPT A-JUST'!$A:$ZZ,,MATCH("Fonction recodée",'ETPT A-JUST'!2:2,0)),"Magistrat placé ADD"))</f>
        <v>#N/A</v>
      </c>
      <c r="AI14" s="52" t="e">
        <f>SUM(SUMIFS(
INDEX( 'ETPT A-JUST'!$A:$ZZ,,MATCH("7.52. COUR CRIMINELLE",'ETPT A-JUST'!2:2,0)),
INDEX( 'ETPT A-JUST'!$A:$ZZ,,MATCH("Fonction recodée",'ETPT A-JUST'!2:2,0)),"Magistrat placé ADD"))</f>
        <v>#N/A</v>
      </c>
      <c r="AJ14" s="52" t="e">
        <f>SUM(SUMIFS(
INDEX( 'ETPT A-JUST'!$A:$ZZ,,MATCH("7.121. COLLÉGIALES JIRS ÉCO-FI",'ETPT A-JUST'!2:2,0)),
INDEX( 'ETPT A-JUST'!$A:$ZZ,,MATCH("Fonction recodée",'ETPT A-JUST'!2:2,0)),"Magistrat placé ADD",
INDEX( 'ETPT A-JUST'!$A:$ZZ,,MATCH("Jirs",'ETPT A-JUST'!2:2,0)),"x"))</f>
        <v>#N/A</v>
      </c>
      <c r="AK14" s="52" t="e">
        <f>SUM(SUMIFS(
INDEX( 'ETPT A-JUST'!$A:$ZZ,,MATCH("7.12. COLLÉGIALES JIRS CRIM-ORG",'ETPT A-JUST'!2:2,0)),
INDEX( 'ETPT A-JUST'!$A:$ZZ,,MATCH("Fonction recodée",'ETPT A-JUST'!2:2,0)),"Magistrat placé ADD"))</f>
        <v>#N/A</v>
      </c>
      <c r="AL14" s="52" t="e">
        <f>SUM(SUMIFS(
INDEX( 'ETPT A-JUST'!$A:$ZZ,,MATCH("7.122. COLLÉGIALES AUTRES SECTIONS SPÉCIALISÉES",'ETPT A-JUST'!2:2,0)),
INDEX( 'ETPT A-JUST'!$A:$ZZ,,MATCH("Fonction recodée",'ETPT A-JUST'!2:2,0)),"Magistrat placé ADD"))+
SUM(SUMIFS(
INDEX( 'ETPT A-JUST'!$A:$ZZ,,MATCH("7.121. COLLÉGIALES JIRS ÉCO-FI",'ETPT A-JUST'!2:2,0)),
INDEX( 'ETPT A-JUST'!$A:$ZZ,,MATCH("Fonction recodée",'ETPT A-JUST'!2:2,0)),"Magistrat placé ADD",
INDEX( 'ETPT A-JUST'!$A:$ZZ,,MATCH("Jirs",'ETPT A-JUST'!2:2,0)),""))</f>
        <v>#N/A</v>
      </c>
      <c r="AM14" s="52" t="e">
        <f>SUM(SUMIFS(
INDEX( 'ETPT A-JUST'!$A:$ZZ,,MATCH("7.6. TRIBUNAL DE POLICE",'ETPT A-JUST'!2:2,0)),
INDEX( 'ETPT A-JUST'!$A:$ZZ,,MATCH("Fonction recodée",'ETPT A-JUST'!2:2,0)),"Magistrat placé ADD"))+
SUM(SUMIFS(
INDEX( 'ETPT A-JUST'!$A:$ZZ,,MATCH("7.7. OP CONTRAVENTIONNELLES",'ETPT A-JUST'!2:2,0)),
INDEX( 'ETPT A-JUST'!$A:$ZZ,,MATCH("Fonction recodée",'ETPT A-JUST'!2:2,0)),"Magistrat placé ADD"))</f>
        <v>#N/A</v>
      </c>
      <c r="AN14" s="52" t="e">
        <f>SUM(SUMIFS(
INDEX( 'ETPT A-JUST'!$A:$ZZ,,MATCH("1.1. DÉPARTAGE PRUD'HOMAL",'ETPT A-JUST'!2:2,0)),
INDEX( 'ETPT A-JUST'!$A:$ZZ,,MATCH("Fonction recodée",'ETPT A-JUST'!2:2,0)),"Magistrat placé ADD",
INDEX( 'ETPT A-JUST'!$A:$ZZ,,MATCH("TJCPH",'ETPT A-JUST'!2:2,0)),"OUI"))</f>
        <v>#N/A</v>
      </c>
      <c r="AO14" s="52" t="e">
        <f>SUM(SUMIFS(
INDEX( 'ETPT A-JUST'!$A:$ZZ,,MATCH("4.0. CONTENTIEUX GÉNÉRAL &lt;10.000€",'ETPT A-JUST'!2:2,0)),
INDEX( 'ETPT A-JUST'!$A:$ZZ,,MATCH("Fonction recodée",'ETPT A-JUST'!2:2,0)),"Magistrat placé ADD",
INDEX( 'ETPT A-JUST'!$A:$ZZ,,MATCH("TJCPH",'ETPT A-JUST'!2:2,0)),"OUI"))</f>
        <v>#N/A</v>
      </c>
      <c r="AP14" s="52" t="e">
        <f>SUM(SUMIFS(
INDEX( 'ETPT A-JUST'!$A:$ZZ,,MATCH("3.43. INJONCTIONS DE PAYER",'ETPT A-JUST'!2:2,0)),
INDEX( 'ETPT A-JUST'!$A:$ZZ,,MATCH("Fonction recodée",'ETPT A-JUST'!2:2,0)),"Magistrat placé ADD",
INDEX( 'ETPT A-JUST'!$A:$ZZ,,MATCH("TJCPH",'ETPT A-JUST'!2:2,0)),"OUI"))+
SUM(SUMIFS(
INDEX( 'ETPT A-JUST'!$A:$ZZ,,MATCH("3.44. SAISIE DES RÉMUNÉRATIONS",'ETPT A-JUST'!2:2,0)),
INDEX( 'ETPT A-JUST'!$A:$ZZ,,MATCH("Fonction recodée",'ETPT A-JUST'!2:2,0)),"Magistrat placé ADD",
INDEX( 'ETPT A-JUST'!$A:$ZZ,,MATCH("TJCPH",'ETPT A-JUST'!2:2,0)),"OUI"))</f>
        <v>#N/A</v>
      </c>
      <c r="AQ14" s="52" t="e">
        <f>MAX(0,SUM(SUMIFS(
INDEX( 'ETPT A-JUST'!$A:$ZZ,,MATCH("1. TOTAL CONTENTIEUX SOCIAL",'ETPT A-JUST'!2:2,0)),
INDEX( 'ETPT A-JUST'!$A:$ZZ,,MATCH("Fonction recodée",'ETPT A-JUST'!2:2,0)),"Magistrat placé ADD",
INDEX( 'ETPT A-JUST'!$A:$ZZ,,MATCH("TJCPH",'ETPT A-JUST'!2:2,0)),"OUI"))-
SUM(SUMIFS(
INDEX( 'ETPT A-JUST'!$A:$ZZ,,MATCH("1.1. DÉPARTAGE PRUD'HOMAL",'ETPT A-JUST'!2:2,0)),
INDEX( 'ETPT A-JUST'!$A:$ZZ,,MATCH("Fonction recodée",'ETPT A-JUST'!2:2,0)),"Magistrat placé ADD",
INDEX( 'ETPT A-JUST'!$A:$ZZ,,MATCH("TJCPH",'ETPT A-JUST'!2:2,0)),"OUI")))</f>
        <v>#N/A</v>
      </c>
      <c r="AR14" s="52" t="e">
        <f>SUM(SUMIFS(
INDEX( 'ETPT A-JUST'!$A:$ZZ,,MATCH("2. TOTAL CONTENTIEUX JAF",'ETPT A-JUST'!2:2,0)),
INDEX( 'ETPT A-JUST'!$A:$ZZ,,MATCH("Fonction recodée",'ETPT A-JUST'!2:2,0)),"Magistrat placé ADD"))</f>
        <v>#N/A</v>
      </c>
      <c r="AS14" s="53"/>
      <c r="AT14" s="396" t="e">
        <f>SUM(SUMIFS(
INDEX( 'ETPT A-JUST'!$A:$ZZ,,MATCH("5. TOTAL JLD CIVIL",'ETPT A-JUST'!2:2,0)),
INDEX( 'ETPT A-JUST'!$A:$ZZ,,MATCH("Fonction recodée",'ETPT A-JUST'!2:2,0)),"Magistrat placé ADD"))</f>
        <v>#N/A</v>
      </c>
      <c r="AU14" s="265" t="e">
        <f>MAX(0,SUM(SUMIFS(
INDEX( 'ETPT A-JUST'!$A:$ZZ,,MATCH("4. TOTAL CIVIL NON SPÉCIALISÉ",'ETPT A-JUST'!2:2,0)),
INDEX( 'ETPT A-JUST'!$A:$ZZ,,MATCH("Fonction recodée",'ETPT A-JUST'!2:2,0)),"Magistrat placé ADD",
INDEX( 'ETPT A-JUST'!$A:$ZZ,,MATCH("TJCPH",'ETPT A-JUST'!2:2,0)),"OUI"))-
SUM(SUMIFS(
INDEX( 'ETPT A-JUST'!$A:$ZZ,,MATCH("4.0. CONTENTIEUX GÉNÉRAL &lt;10.000€",'ETPT A-JUST'!2:2,0)),
INDEX( 'ETPT A-JUST'!$A:$ZZ,,MATCH("Fonction recodée",'ETPT A-JUST'!2:2,0)),"Magistrat placé ADD",
INDEX( 'ETPT A-JUST'!$A:$ZZ,,MATCH("TJCPH",'ETPT A-JUST'!2:2,0)),"OUI"))+
_xlfn.IFNA(SUM(SUMIFS(
INDEX( 'ETPT A-JUST'!$A:$ZZ,,MATCH("13. TOTAL CONTENTIEUX LOCAUX SPÉCIFIQUES",'ETPT A-JUST'!2:2,0)),
INDEX( 'ETPT A-JUST'!$A:$ZZ,,MATCH("Fonction recodée",'ETPT A-JUST'!2:2,0)),"Magistrat placé ADD",
INDEX( 'ETPT A-JUST'!$A:$ZZ,,MATCH("TJCPH",'ETPT A-JUST'!2:2,0)),"OUI")),0)+
SUM(SUMIFS(
INDEX( 'ETPT A-JUST'!$A:$ZZ,,MATCH("11.51. ACCUEIL DU JUSTICIABLE (DONT SAUJ)",'ETPT A-JUST'!2:2,0)),
INDEX( 'ETPT A-JUST'!$A:$ZZ,,MATCH("Fonction recodée",'ETPT A-JUST'!2:2,0)),"Magistrat placé ADD",
INDEX( 'ETPT A-JUST'!$A:$ZZ,,MATCH("TJCPH",'ETPT A-JUST'!2:2,0)),"OUI"))+
SUM(SUMIFS(
INDEX( 'ETPT A-JUST'!$A:$ZZ,,MATCH("11.1. SOUTIEN (HORS FORMATIONS SUIVIES)",'ETPT A-JUST'!2:2,0)),
INDEX( 'ETPT A-JUST'!$A:$ZZ,,MATCH("Fonction recodée",'ETPT A-JUST'!2:2,0)),"Magistrat placé ADD",
INDEX( 'ETPT A-JUST'!$A:$ZZ,,MATCH("TJCPH",'ETPT A-JUST'!2:2,0)),"OUI"))+
SUM(SUMIFS(
INDEX( 'ETPT A-JUST'!$A:$ZZ,,MATCH("11.2. FORMATIONS SUIVIES",'ETPT A-JUST'!2:2,0)),
INDEX( 'ETPT A-JUST'!$A:$ZZ,,MATCH("Fonction recodée",'ETPT A-JUST'!2:2,0)),"Magistrat placé ADD",
INDEX( 'ETPT A-JUST'!$A:$ZZ,,MATCH("TJCPH",'ETPT A-JUST'!2:2,0)),"OUI"))+
SUM(SUMIFS(
INDEX( 'ETPT A-JUST'!$A:$ZZ,,MATCH("11.6. AUTRES ACTIVITÉS NON JURIDICTIONNELLES",'ETPT A-JUST'!2:2,0)),
INDEX( 'ETPT A-JUST'!$A:$ZZ,,MATCH("Fonction recodée",'ETPT A-JUST'!2:2,0)),"Magistrat placé ADD",
INDEX( 'ETPT A-JUST'!$A:$ZZ,,MATCH("TJCPH",'ETPT A-JUST'!2:2,0)),"OUI"))+
SUM(SUMIFS(
INDEX( 'ETPT A-JUST'!$A:$ZZ,,MATCH("11.3. FORMATIONS DISPENSÉES",'ETPT A-JUST'!2:2,0)),
INDEX( 'ETPT A-JUST'!$A:$ZZ,,MATCH("Fonction recodée",'ETPT A-JUST'!2:2,0)),"Magistrat placé ADD",
INDEX( 'ETPT A-JUST'!$A:$ZZ,,MATCH("TJCPH",'ETPT A-JUST'!2:2,0)),"OUI"))+
SUM(SUMIFS(
INDEX( 'ETPT A-JUST'!$A:$ZZ,,MATCH("11.4. ACCÈS AU DROIT ET À LA JUSTICE",'ETPT A-JUST'!2:2,0)),
INDEX( 'ETPT A-JUST'!$A:$ZZ,,MATCH("Fonction recodée",'ETPT A-JUST'!2:2,0)),"Magistrat placé ADD",
INDEX( 'ETPT A-JUST'!$A:$ZZ,,MATCH("TJCPH",'ETPT A-JUST'!2:2,0)),"OUI"))+
SUM(SUMIFS(
INDEX( 'ETPT A-JUST'!$A:$ZZ,,MATCH("11.5. CSM",'ETPT A-JUST'!2:2,0)),
INDEX( 'ETPT A-JUST'!$A:$ZZ,,MATCH("Fonction recodée",'ETPT A-JUST'!2:2,0)),"Magistrat placé ADD",
INDEX( 'ETPT A-JUST'!$A:$ZZ,,MATCH("TJCPH",'ETPT A-JUST'!2:2,0)),"OUI"))
+
SUM(SUMIFS(
INDEX( 'ETPT A-JUST'!$A:$ZZ,,MATCH("7. TOTAL SIÈGE PÉNAL",'ETPT A-JUST'!2:2,0)),
INDEX( 'ETPT A-JUST'!$A:$ZZ,,MATCH("Fonction recodée",'ETPT A-JUST'!2:2,0)),"Magistrat placé ADD"))-
SUM(SUMIFS(
INDEX( 'ETPT A-JUST'!$A:$ZZ,,MATCH("7.5. COUR D'ASSISES HORS JIRS",'ETPT A-JUST'!2:2,0)),
INDEX( 'ETPT A-JUST'!$A:$ZZ,,MATCH("Fonction recodée",'ETPT A-JUST'!2:2,0)),"Magistrat placé ADD"))-
SUM(SUMIFS(
INDEX( 'ETPT A-JUST'!$A:$ZZ,,MATCH("7.51. COUR D'ASSISES JIRS",'ETPT A-JUST'!2:2,0)),
INDEX( 'ETPT A-JUST'!$A:$ZZ,,MATCH("Fonction recodée",'ETPT A-JUST'!2:2,0)),"Magistrat placé ADD"))-
SUM(SUMIFS(
INDEX( 'ETPT A-JUST'!$A:$ZZ,,MATCH("7.52. COUR CRIMINELLE",'ETPT A-JUST'!2:2,0)),
INDEX( 'ETPT A-JUST'!$A:$ZZ,,MATCH("Fonction recodée",'ETPT A-JUST'!2:2,0)),"Magistrat placé ADD"))-
SUM(SUMIFS(
INDEX( 'ETPT A-JUST'!$A:$ZZ,,MATCH("7.121. COLLÉGIALES JIRS ÉCO-FI",'ETPT A-JUST'!2:2,0)),
INDEX( 'ETPT A-JUST'!$A:$ZZ,,MATCH("Fonction recodée",'ETPT A-JUST'!2:2,0)),"Magistrat placé ADD"))-
SUM(SUMIFS(
INDEX( 'ETPT A-JUST'!$A:$ZZ,,MATCH("7.12. COLLÉGIALES JIRS CRIM-ORG",'ETPT A-JUST'!2:2,0)),
INDEX( 'ETPT A-JUST'!$A:$ZZ,,MATCH("Fonction recodée",'ETPT A-JUST'!2:2,0)),"Magistrat placé ADD"))-
SUM(SUMIFS(
INDEX( 'ETPT A-JUST'!$A:$ZZ,,MATCH("7.122. COLLÉGIALES AUTRES SECTIONS SPÉCIALISÉES",'ETPT A-JUST'!2:2,0)),
INDEX( 'ETPT A-JUST'!$A:$ZZ,,MATCH("Fonction recodée",'ETPT A-JUST'!2:2,0)),"Magistrat placé ADD"))-
SUM(SUMIFS(
INDEX( 'ETPT A-JUST'!$A:$ZZ,,MATCH("7.6. TRIBUNAL DE POLICE",'ETPT A-JUST'!2:2,0)),
INDEX( 'ETPT A-JUST'!$A:$ZZ,,MATCH("Fonction recodée",'ETPT A-JUST'!2:2,0)),"Magistrat placé ADD"))-
SUM(SUMIFS(
INDEX( 'ETPT A-JUST'!$A:$ZZ,,MATCH("7.7. OP CONTRAVENTIONNELLES",'ETPT A-JUST'!2:2,0)),
INDEX( 'ETPT A-JUST'!$A:$ZZ,,MATCH("Fonction recodée",'ETPT A-JUST'!2:2,0)),"Magistrat placé ADD")))</f>
        <v>#N/A</v>
      </c>
      <c r="AV14" s="46">
        <f t="shared" si="3"/>
        <v>0</v>
      </c>
      <c r="AW14" s="51"/>
      <c r="AX14" s="51"/>
      <c r="AY14" s="51"/>
      <c r="AZ14" s="51"/>
      <c r="BA14" s="51"/>
      <c r="BB14" s="51"/>
      <c r="BC14" s="51"/>
      <c r="BD14" s="51"/>
      <c r="BE14" s="51"/>
      <c r="BF14" s="46">
        <f t="shared" si="5"/>
        <v>0</v>
      </c>
    </row>
    <row r="15" spans="1:58" s="41" customFormat="1" ht="14.25" customHeight="1" x14ac:dyDescent="0.15">
      <c r="A15" s="50" t="s">
        <v>42</v>
      </c>
      <c r="B15" s="58"/>
      <c r="C15" s="58"/>
      <c r="D15" s="59" t="str">
        <f t="shared" si="0"/>
        <v/>
      </c>
      <c r="E15" s="58" t="s">
        <v>41</v>
      </c>
      <c r="F15" s="58" t="s">
        <v>40</v>
      </c>
      <c r="G15" s="89" t="e">
        <f>SUM(SUMIFS(
INDEX( 'ETPT A-JUST'!$A:$ZZ,,MATCH("Temps ventilés sur la période (absentéisme et action 99 déduits)",'ETPT A-JUST'!2:2,0)),
INDEX( 'ETPT A-JUST'!$A:$ZZ,,MATCH("Fonction recodée",'ETPT A-JUST'!2:2,0)),"Fonctionnaire CTECH placé SUB",
INDEX( 'ETPT A-JUST'!$A:$ZZ,,MATCH("TJCPH",'ETPT A-JUST'!2:2,0)),"OUI"))</f>
        <v>#N/A</v>
      </c>
      <c r="H15" s="57">
        <f>_xlfn.AGGREGATE(9,6,G15)</f>
        <v>0</v>
      </c>
      <c r="I15" s="56" t="e">
        <f>SUM(SUMIFS(
INDEX( 'ETPT A-JUST'!$A:$ZZ,,MATCH("11.8. FONCTIONNAIRES AFFECTÉS AUX ACTIVITÉS CIVILES ET COMMERCIALES DU PARQUET",'ETPT A-JUST'!2:2,0)),
INDEX( 'ETPT A-JUST'!$A:$ZZ,,MATCH("Fonction recodée",'ETPT A-JUST'!2:2,0)),"Fonctionnaire A-B-CBUR placé SUB",
INDEX( 'ETPT A-JUST'!$A:$ZZ,,MATCH("TJCPH",'ETPT A-JUST'!2:2,0)),"OUI"))</f>
        <v>#N/A</v>
      </c>
      <c r="J15" s="56" t="e">
        <f>SUM(SUMIFS(
INDEX( 'ETPT A-JUST'!$A:$ZZ,,MATCH("11.9. FONCTIONNAIRES AFFECTÉS À L'EXÉCUTION DES PEINES",'ETPT A-JUST'!2:2,0)),
INDEX( 'ETPT A-JUST'!$A:$ZZ,,MATCH("Fonction recodée",'ETPT A-JUST'!2:2,0)),"Fonctionnaire A-B-CBUR placé SUB"))</f>
        <v>#N/A</v>
      </c>
      <c r="K15" s="56" t="e">
        <f>SUM(SUMIFS(
INDEX( 'ETPT A-JUST'!$A:$ZZ,,MATCH("7.5. COUR D'ASSISES HORS JIRS",'ETPT A-JUST'!2:2,0)),
INDEX( 'ETPT A-JUST'!$A:$ZZ,,MATCH("Fonction recodée",'ETPT A-JUST'!2:2,0)),"Fonctionnaire A-B-CBUR placé SUB"))+
SUM(SUMIFS(
INDEX( 'ETPT A-JUST'!$A:$ZZ,,MATCH("7.51. COUR D'ASSISES JIRS",'ETPT A-JUST'!2:2,0)),
INDEX( 'ETPT A-JUST'!$A:$ZZ,,MATCH("Fonction recodée",'ETPT A-JUST'!2:2,0)),"Fonctionnaire A-B-CBUR placé SUB"))</f>
        <v>#N/A</v>
      </c>
      <c r="L15" s="56" t="e">
        <f>SUM(SUMIFS(
INDEX( 'ETPT A-JUST'!$A:$ZZ,,MATCH("7.52. COUR CRIMINELLE",'ETPT A-JUST'!2:2,0)),
INDEX( 'ETPT A-JUST'!$A:$ZZ,,MATCH("Fonction recodée",'ETPT A-JUST'!2:2,0)),"Fonctionnaire A-B-CBUR placé SUB"))</f>
        <v>#N/A</v>
      </c>
      <c r="M15" s="56" t="e">
        <f>SUM(SUMIFS(
INDEX( 'ETPT A-JUST'!$A:$ZZ,,MATCH("7.121. COLLÉGIALES JIRS ÉCO-FI",'ETPT A-JUST'!2:2,0)),
INDEX( 'ETPT A-JUST'!$A:$ZZ,,MATCH("Fonction recodée",'ETPT A-JUST'!2:2,0)),"Fonctionnaire A-B-CBUR placé SUB",
INDEX( 'ETPT A-JUST'!$A:$ZZ,,MATCH("Jirs",'ETPT A-JUST'!2:2,0)),"x"))</f>
        <v>#N/A</v>
      </c>
      <c r="N15" s="56" t="e">
        <f>SUM(SUMIFS(
INDEX( 'ETPT A-JUST'!$A:$ZZ,,MATCH("7.12. COLLÉGIALES JIRS CRIM-ORG",'ETPT A-JUST'!2:2,0)),
INDEX( 'ETPT A-JUST'!$A:$ZZ,,MATCH("Fonction recodée",'ETPT A-JUST'!2:2,0)),"Fonctionnaire A-B-CBUR placé SUB"))</f>
        <v>#N/A</v>
      </c>
      <c r="O15" s="56" t="e">
        <f>SUM(SUMIFS(
INDEX( 'ETPT A-JUST'!$A:$ZZ,,MATCH("7.122. COLLÉGIALES AUTRES SECTIONS SPÉCIALISÉES",'ETPT A-JUST'!2:2,0)),
INDEX( 'ETPT A-JUST'!$A:$ZZ,,MATCH("Fonction recodée",'ETPT A-JUST'!2:2,0)),"Fonctionnaire A-B-CBUR placé SUB"))+
SUM(SUMIFS(
INDEX( 'ETPT A-JUST'!$A:$ZZ,,MATCH("7.121. COLLÉGIALES JIRS ÉCO-FI",'ETPT A-JUST'!2:2,0)),
INDEX( 'ETPT A-JUST'!$A:$ZZ,,MATCH("Fonction recodée",'ETPT A-JUST'!2:2,0)),"Fonctionnaire A-B-CBUR placé SUB",
INDEX( 'ETPT A-JUST'!$A:$ZZ,,MATCH("Jirs",'ETPT A-JUST'!2:2,0)),""))</f>
        <v>#N/A</v>
      </c>
      <c r="P15" s="56" t="e">
        <f>SUM(SUMIFS(
INDEX( 'ETPT A-JUST'!$A:$ZZ,,MATCH("3.2. PROTECTION DES MAJEURS",'ETPT A-JUST'!2:2,0)),
INDEX( 'ETPT A-JUST'!$A:$ZZ,,MATCH("Fonction recodée",'ETPT A-JUST'!2:2,0)),"Fonctionnaire A-B-CBUR placé SUB",
INDEX( 'ETPT A-JUST'!$A:$ZZ,,MATCH("TJCPH",'ETPT A-JUST'!2:2,0)),"OUI"))</f>
        <v>#N/A</v>
      </c>
      <c r="Q15" s="56" t="e">
        <f>SUM(SUMIFS(
INDEX( 'ETPT A-JUST'!$A:$ZZ,,MATCH("3. TOTAL CONTENTIEUX DE LA PROTECTION",'ETPT A-JUST'!2:2,0)),
INDEX( 'ETPT A-JUST'!$A:$ZZ,,MATCH("Fonction recodée",'ETPT A-JUST'!2:2,0)),"Fonctionnaire A-B-CBUR placé SUB",
INDEX( 'ETPT A-JUST'!$A:$ZZ,,MATCH("TJCPH",'ETPT A-JUST'!2:2,0)),"OUI"))-
SUM(SUMIFS(
INDEX( 'ETPT A-JUST'!$A:$ZZ,,MATCH("3.2. PROTECTION DES MAJEURS",'ETPT A-JUST'!2:2,0)),
INDEX( 'ETPT A-JUST'!$A:$ZZ,,MATCH("Fonction recodée",'ETPT A-JUST'!2:2,0)),"Fonctionnaire A-B-CBUR placé SUB",
INDEX( 'ETPT A-JUST'!$A:$ZZ,,MATCH("TJCPH",'ETPT A-JUST'!2:2,0)),"OUI"))-
SUM(SUMIFS(
INDEX( 'ETPT A-JUST'!$A:$ZZ,,MATCH("3.43. INJONCTIONS DE PAYER",'ETPT A-JUST'!2:2,0)),
INDEX( 'ETPT A-JUST'!$A:$ZZ,,MATCH("Fonction recodée",'ETPT A-JUST'!2:2,0)),"Fonctionnaire A-B-CBUR placé SUB",
INDEX( 'ETPT A-JUST'!$A:$ZZ,,MATCH("TJCPH",'ETPT A-JUST'!2:2,0)),"OUI"))-
SUM(SUMIFS(
INDEX( 'ETPT A-JUST'!$A:$ZZ,,MATCH("3.44. SAISIE DES RÉMUNÉRATIONS",'ETPT A-JUST'!2:2,0)),
INDEX( 'ETPT A-JUST'!$A:$ZZ,,MATCH("Fonction recodée",'ETPT A-JUST'!2:2,0)),"Fonctionnaire A-B-CBUR placé SUB",
INDEX( 'ETPT A-JUST'!$A:$ZZ,,MATCH("TJCPH",'ETPT A-JUST'!2:2,0)),"OUI"))</f>
        <v>#N/A</v>
      </c>
      <c r="R15" s="56" t="e">
        <f>SUM(SUMIFS(
INDEX( 'ETPT A-JUST'!$A:$ZZ,,MATCH("6. TOTAL JUGES DES ENFANTS",'ETPT A-JUST'!2:2,0)),
INDEX( 'ETPT A-JUST'!$A:$ZZ,,MATCH("Fonction recodée",'ETPT A-JUST'!2:2,0)),"Fonctionnaire A-B-CBUR placé SUB"))+
SUM(SUMIFS(
INDEX( 'ETPT A-JUST'!$A:$ZZ,,MATCH("8. TOTAL JUGES D'INSTRUCTION",'ETPT A-JUST'!2:2,0)),
INDEX( 'ETPT A-JUST'!$A:$ZZ,,MATCH("Fonction recodée",'ETPT A-JUST'!2:2,0)),"Fonctionnaire A-B-CBUR placé SUB"))+
SUM(SUMIFS(
INDEX( 'ETPT A-JUST'!$A:$ZZ,,MATCH("9. TOTAL JAP",'ETPT A-JUST'!2:2,0)),
INDEX( 'ETPT A-JUST'!$A:$ZZ,,MATCH("Fonction recodée",'ETPT A-JUST'!2:2,0)),"Fonctionnaire A-B-CBUR placé SUB"))+
SUM(SUMIFS(
INDEX( 'ETPT A-JUST'!$A:$ZZ,,MATCH("10. TOTAL JLD PÉNAL",'ETPT A-JUST'!2:2,0)),
INDEX( 'ETPT A-JUST'!$A:$ZZ,,MATCH("Fonction recodée",'ETPT A-JUST'!2:2,0)),"Fonctionnaire A-B-CBUR placé SUB"))</f>
        <v>#N/A</v>
      </c>
      <c r="S15" s="56" t="e">
        <f>SUM(SUMIFS(
INDEX( 'ETPT A-JUST'!$A:$ZZ,,MATCH("3.43. INJONCTIONS DE PAYER",'ETPT A-JUST'!2:2,0)),
INDEX( 'ETPT A-JUST'!$A:$ZZ,,MATCH("Fonction recodée",'ETPT A-JUST'!2:2,0)),"Fonctionnaire A-B-CBUR placé SUB",
INDEX( 'ETPT A-JUST'!$A:$ZZ,,MATCH("TJCPH",'ETPT A-JUST'!2:2,0)),"OUI"))+
SUM(SUMIFS(
INDEX( 'ETPT A-JUST'!$A:$ZZ,,MATCH("3.44. SAISIE DES RÉMUNÉRATIONS",'ETPT A-JUST'!2:2,0)),
INDEX( 'ETPT A-JUST'!$A:$ZZ,,MATCH("Fonction recodée",'ETPT A-JUST'!2:2,0)),"Fonctionnaire A-B-CBUR placé SUB",
INDEX( 'ETPT A-JUST'!$A:$ZZ,,MATCH("TJCPH",'ETPT A-JUST'!2:2,0)),"OUI"))</f>
        <v>#N/A</v>
      </c>
      <c r="T15" s="56" t="e">
        <f>SUM(SUMIFS(
INDEX( 'ETPT A-JUST'!$A:$ZZ,,MATCH("4.0. CONTENTIEUX GÉNÉRAL &lt;10.000€",'ETPT A-JUST'!2:2,0)),
INDEX( 'ETPT A-JUST'!$A:$ZZ,,MATCH("Fonction recodée",'ETPT A-JUST'!2:2,0)),"Fonctionnaire A-B-CBUR placé SUB",
INDEX( 'ETPT A-JUST'!$A:$ZZ,,MATCH("TJCPH",'ETPT A-JUST'!2:2,0)),"OUI"))</f>
        <v>#N/A</v>
      </c>
      <c r="U15" s="56" t="e">
        <f>SUM(SUMIFS(
INDEX( 'ETPT A-JUST'!$A:$ZZ,,MATCH("1. TOTAL CONTENTIEUX SOCIAL",'ETPT A-JUST'!2:2,0)),
INDEX( 'ETPT A-JUST'!$A:$ZZ,,MATCH("Fonction recodée",'ETPT A-JUST'!2:2,0)),"Fonctionnaire A-B-CBUR placé SUB",
INDEX( 'ETPT A-JUST'!$A:$ZZ,,MATCH("TJCPH",'ETPT A-JUST'!2:2,0)),"OUI"))</f>
        <v>#N/A</v>
      </c>
      <c r="V15" s="52" t="e">
        <f>SUM(SUMIFS(
INDEX( 'ETPT A-JUST'!$A:$ZZ,,MATCH("2. TOTAL CONTENTIEUX JAF",'ETPT A-JUST'!2:2,0)),
INDEX( 'ETPT A-JUST'!$A:$ZZ,,MATCH("Fonction recodée",'ETPT A-JUST'!2:2,0)),"Fonctionnaire A-B-CBUR placé SUB",
INDEX( 'ETPT A-JUST'!$A:$ZZ,,MATCH("TJCPH",'ETPT A-JUST'!2:2,0)),"OUI"))+
SUM(SUMIFS(
INDEX( 'ETPT A-JUST'!$A:$ZZ,,MATCH("4. TOTAL CIVIL NON SPÉCIALISÉ",'ETPT A-JUST'!2:2,0)),
INDEX( 'ETPT A-JUST'!$A:$ZZ,,MATCH("Fonction recodée",'ETPT A-JUST'!2:2,0)),"Fonctionnaire A-B-CBUR placé SUB",
INDEX( 'ETPT A-JUST'!$A:$ZZ,,MATCH("TJCPH",'ETPT A-JUST'!2:2,0)),"OUI"))+
SUM(SUMIFS(
INDEX( 'ETPT A-JUST'!$A:$ZZ,,MATCH("5. TOTAL JLD CIVIL",'ETPT A-JUST'!2:2,0)),
INDEX( 'ETPT A-JUST'!$A:$ZZ,,MATCH("Fonction recodée",'ETPT A-JUST'!2:2,0)),"Fonctionnaire A-B-CBUR placé SUB"))+
_xlfn.IFNA(SUM(SUMIFS(
INDEX( 'ETPT A-JUST'!$A:$ZZ,,MATCH("13. TOTAL CONTENTIEUX LOCAUX SPÉCIFIQUES",'ETPT A-JUST'!2:2,0)),
INDEX( 'ETPT A-JUST'!$A:$ZZ,,MATCH("Fonction recodée",'ETPT A-JUST'!2:2,0)),"Fonctionnaire A-B-CBUR placé SUB",
INDEX( 'ETPT A-JUST'!$A:$ZZ,,MATCH("TJCPH",'ETPT A-JUST'!2:2,0)),"OUI")),0)-
SUM(SUMIFS(
INDEX( 'ETPT A-JUST'!$A:$ZZ,,MATCH("4.0. CONTENTIEUX GÉNÉRAL &lt;10.000€",'ETPT A-JUST'!2:2,0)),
INDEX( 'ETPT A-JUST'!$A:$ZZ,,MATCH("Fonction recodée",'ETPT A-JUST'!2:2,0)),"Fonctionnaire A-B-CBUR placé SUB",
INDEX( 'ETPT A-JUST'!$A:$ZZ,,MATCH("TJCPH",'ETPT A-JUST'!2:2,0)),"OUI"))+
SUM(SUMIFS(
INDEX( 'ETPT A-JUST'!$A:$ZZ,,MATCH("11.51. ACCUEIL DU JUSTICIABLE (DONT SAUJ)",'ETPT A-JUST'!2:2,0)),
INDEX( 'ETPT A-JUST'!$A:$ZZ,,MATCH("Fonction recodée",'ETPT A-JUST'!2:2,0)),"Fonctionnaire A-B-CBUR placé SUB",
INDEX( 'ETPT A-JUST'!$A:$ZZ,,MATCH("TJCPH",'ETPT A-JUST'!2:2,0)),"OUI"))+
SUM(SUMIFS(
INDEX( 'ETPT A-JUST'!$A:$ZZ,,MATCH("11.1. SOUTIEN (HORS FORMATIONS SUIVIES)",'ETPT A-JUST'!2:2,0)),
INDEX( 'ETPT A-JUST'!$A:$ZZ,,MATCH("Fonction recodée",'ETPT A-JUST'!2:2,0)),"Fonctionnaire A-B-CBUR placé SUB",
INDEX( 'ETPT A-JUST'!$A:$ZZ,,MATCH("TJCPH",'ETPT A-JUST'!2:2,0)),"OUI"))+
SUM(SUMIFS(
INDEX( 'ETPT A-JUST'!$A:$ZZ,,MATCH("11.2. FORMATIONS SUIVIES",'ETPT A-JUST'!2:2,0)),
INDEX( 'ETPT A-JUST'!$A:$ZZ,,MATCH("Fonction recodée",'ETPT A-JUST'!2:2,0)),"Fonctionnaire A-B-CBUR placé SUB",
INDEX( 'ETPT A-JUST'!$A:$ZZ,,MATCH("TJCPH",'ETPT A-JUST'!2:2,0)),"OUI"))+
SUM(SUMIFS(
INDEX( 'ETPT A-JUST'!$A:$ZZ,,MATCH("11.6. AUTRES ACTIVITÉS NON JURIDICTIONNELLES",'ETPT A-JUST'!2:2,0)),
INDEX( 'ETPT A-JUST'!$A:$ZZ,,MATCH("Fonction recodée",'ETPT A-JUST'!2:2,0)),"Fonctionnaire A-B-CBUR placé SUB",
INDEX( 'ETPT A-JUST'!$A:$ZZ,,MATCH("TJCPH",'ETPT A-JUST'!2:2,0)),"OUI"))+
SUM(SUMIFS(
INDEX( 'ETPT A-JUST'!$A:$ZZ,,MATCH("11.3. FORMATIONS DISPENSÉES",'ETPT A-JUST'!2:2,0)),
INDEX( 'ETPT A-JUST'!$A:$ZZ,,MATCH("Fonction recodée",'ETPT A-JUST'!2:2,0)),"Fonctionnaire A-B-CBUR placé SUB",
INDEX( 'ETPT A-JUST'!$A:$ZZ,,MATCH("TJCPH",'ETPT A-JUST'!2:2,0)),"OUI"))+
SUM(SUMIFS(
INDEX( 'ETPT A-JUST'!$A:$ZZ,,MATCH("11.4. ACCÈS AU DROIT ET À LA JUSTICE",'ETPT A-JUST'!2:2,0)),
INDEX( 'ETPT A-JUST'!$A:$ZZ,,MATCH("Fonction recodée",'ETPT A-JUST'!2:2,0)),"Fonctionnaire A-B-CBUR placé SUB",
INDEX( 'ETPT A-JUST'!$A:$ZZ,,MATCH("TJCPH",'ETPT A-JUST'!2:2,0)),"OUI"))+
SUMIFS(
INDEX( 'ETPT A-JUST'!$A:$ZZ,,MATCH("7. TOTAL SIÈGE PÉNAL",'ETPT A-JUST'!2:2,0)),
INDEX( 'ETPT A-JUST'!$A:$ZZ,,MATCH("Fonction recodée",'ETPT A-JUST'!2:2,0)),"Fonctionnaire A-B-CBUR placé SUB")+
SUMIFS(
INDEX( 'ETPT A-JUST'!$A:$ZZ,,MATCH("11.10. AUTRES FONCTIONNAIRES AFFECTÉS AU PARQUET",'ETPT A-JUST'!2:2,0)),
INDEX( 'ETPT A-JUST'!$A:$ZZ,,MATCH("Fonction recodée",'ETPT A-JUST'!2:2,0)),"Fonctionnaire A-B-CBUR placé SUB")-
SUMIFS(
INDEX( 'ETPT A-JUST'!$A:$ZZ,,MATCH("7.5. COUR D'ASSISES HORS JIRS",'ETPT A-JUST'!2:2,0)),
INDEX( 'ETPT A-JUST'!$A:$ZZ,,MATCH("Fonction recodée",'ETPT A-JUST'!2:2,0)),"Fonctionnaire A-B-CBUR placé SUB")-
SUMIFS(
INDEX( 'ETPT A-JUST'!$A:$ZZ,,MATCH("7.51. COUR D'ASSISES JIRS",'ETPT A-JUST'!2:2,0)),
INDEX( 'ETPT A-JUST'!$A:$ZZ,,MATCH("Fonction recodée",'ETPT A-JUST'!2:2,0)),"Fonctionnaire A-B-CBUR placé SUB")-
SUMIFS(
INDEX( 'ETPT A-JUST'!$A:$ZZ,,MATCH("7.52. COUR CRIMINELLE",'ETPT A-JUST'!2:2,0)),
INDEX( 'ETPT A-JUST'!$A:$ZZ,,MATCH("Fonction recodée",'ETPT A-JUST'!2:2,0)),"Fonctionnaire A-B-CBUR placé SUB")-
SUMIFS(
INDEX( 'ETPT A-JUST'!$A:$ZZ,,MATCH("7.121. COLLÉGIALES JIRS ÉCO-FI",'ETPT A-JUST'!2:2,0)),
INDEX( 'ETPT A-JUST'!$A:$ZZ,,MATCH("Fonction recodée",'ETPT A-JUST'!2:2,0)),"Fonctionnaire A-B-CBUR placé SUB")-
SUMIFS(
INDEX( 'ETPT A-JUST'!$A:$ZZ,,MATCH("7.12. COLLÉGIALES JIRS CRIM-ORG",'ETPT A-JUST'!2:2,0)),
INDEX( 'ETPT A-JUST'!$A:$ZZ,,MATCH("Fonction recodée",'ETPT A-JUST'!2:2,0)),"Fonctionnaire A-B-CBUR placé SUB")-
SUMIFS(
INDEX( 'ETPT A-JUST'!$A:$ZZ,,MATCH("7.122. COLLÉGIALES AUTRES SECTIONS SPÉCIALISÉES",'ETPT A-JUST'!2:2,0)),
INDEX( 'ETPT A-JUST'!$A:$ZZ,,MATCH("Fonction recodée",'ETPT A-JUST'!2:2,0)),"Fonctionnaire A-B-CBUR placé SUB")</f>
        <v>#N/A</v>
      </c>
      <c r="W15" s="46">
        <f t="shared" si="4"/>
        <v>0</v>
      </c>
      <c r="X15" s="52" t="e">
        <f>SUM(SUMIFS(
INDEX( 'ETPT A-JUST'!$A:$ZZ,,MATCH("3.2. PROTECTION DES MAJEURS",'ETPT A-JUST'!2:2,0)),
INDEX( 'ETPT A-JUST'!$A:$ZZ,,MATCH("Fonction recodée",'ETPT A-JUST'!2:2,0)),"Magistrat placé SUB",
INDEX( 'ETPT A-JUST'!$A:$ZZ,,MATCH("TJCPH",'ETPT A-JUST'!2:2,0)),"OUI"))</f>
        <v>#N/A</v>
      </c>
      <c r="Y15" s="52" t="e">
        <f>MAX(0,SUM(SUMIFS(
INDEX( 'ETPT A-JUST'!$A:$ZZ,,MATCH("3. TOTAL CONTENTIEUX DE LA PROTECTION",'ETPT A-JUST'!2:2,0)),
INDEX( 'ETPT A-JUST'!$A:$ZZ,,MATCH("Fonction recodée",'ETPT A-JUST'!2:2,0)),"Magistrat placé SUB",
INDEX( 'ETPT A-JUST'!$A:$ZZ,,MATCH("TJCPH",'ETPT A-JUST'!2:2,0)),"OUI"))-
SUM(SUMIFS(
INDEX( 'ETPT A-JUST'!$A:$ZZ,,MATCH("3.2. PROTECTION DES MAJEURS",'ETPT A-JUST'!2:2,0)),
INDEX( 'ETPT A-JUST'!$A:$ZZ,,MATCH("Fonction recodée",'ETPT A-JUST'!2:2,0)),"Magistrat placé SUB",
INDEX( 'ETPT A-JUST'!$A:$ZZ,,MATCH("TJCPH",'ETPT A-JUST'!2:2,0)),"OUI"))-
SUM(SUMIFS(
INDEX( 'ETPT A-JUST'!$A:$ZZ,,MATCH("3.43. INJONCTIONS DE PAYER",'ETPT A-JUST'!2:2,0)),
INDEX( 'ETPT A-JUST'!$A:$ZZ,,MATCH("Fonction recodée",'ETPT A-JUST'!2:2,0)),"Magistrat placé SUB",
INDEX( 'ETPT A-JUST'!$A:$ZZ,,MATCH("TJCPH",'ETPT A-JUST'!2:2,0)),"OUI"))-
SUM(SUMIFS(
INDEX( 'ETPT A-JUST'!$A:$ZZ,,MATCH("3.44. SAISIE DES RÉMUNÉRATIONS",'ETPT A-JUST'!2:2,0)),
INDEX( 'ETPT A-JUST'!$A:$ZZ,,MATCH("Fonction recodée",'ETPT A-JUST'!2:2,0)),"Magistrat placé SUB",
INDEX( 'ETPT A-JUST'!$A:$ZZ,,MATCH("TJCPH",'ETPT A-JUST'!2:2,0)),"OUI")))</f>
        <v>#N/A</v>
      </c>
      <c r="Z15" s="52" t="e">
        <f>SUM(SUMIFS(
INDEX( 'ETPT A-JUST'!$A:$ZZ,,MATCH("8.1. SERVICE GÉNÉRAL",'ETPT A-JUST'!2:2,0)),
INDEX( 'ETPT A-JUST'!$A:$ZZ,,MATCH("Fonction recodée",'ETPT A-JUST'!2:2,0)),"Magistrat placé SUB"))</f>
        <v>#N/A</v>
      </c>
      <c r="AA15" s="52" t="e">
        <f>SUM(SUMIFS(
INDEX( 'ETPT A-JUST'!$A:$ZZ,,MATCH("8.2. JIRS ÉCO-FI",'ETPT A-JUST'!2:2,0)),
INDEX( 'ETPT A-JUST'!$A:$ZZ,,MATCH("Fonction recodée",'ETPT A-JUST'!2:2,0)),"Magistrat placé SUB"))</f>
        <v>#N/A</v>
      </c>
      <c r="AB15" s="52" t="e">
        <f>SUM(SUMIFS(
INDEX( 'ETPT A-JUST'!$A:$ZZ,,MATCH("8.3. JIRS CRIM-ORG",'ETPT A-JUST'!2:2,0)),
INDEX( 'ETPT A-JUST'!$A:$ZZ,,MATCH("Fonction recodée",'ETPT A-JUST'!2:2,0)),"Magistrat placé SUB"))</f>
        <v>#N/A</v>
      </c>
      <c r="AC15" s="52" t="e">
        <f>SUM(SUMIFS(
INDEX( 'ETPT A-JUST'!$A:$ZZ,,MATCH("8.4. AUTRES SECTIONS SPÉCIALISÉES",'ETPT A-JUST'!2:2,0)),
INDEX( 'ETPT A-JUST'!$A:$ZZ,,MATCH("Fonction recodée",'ETPT A-JUST'!2:2,0)),"Magistrat placé SUB"))+
SUM(SUMIFS(
INDEX( 'ETPT A-JUST'!$A:$ZZ,,MATCH("8.11. ECO-FI HORS JIRS",'ETPT A-JUST'!2:2,0)),
INDEX( 'ETPT A-JUST'!$A:$ZZ,,MATCH("Fonction recodée",'ETPT A-JUST'!2:2,0)),"Magistrat placé SUB"))</f>
        <v>#N/A</v>
      </c>
      <c r="AD15" s="52" t="e">
        <f>SUM(SUMIFS(
INDEX( 'ETPT A-JUST'!$A:$ZZ,,MATCH("9. TOTAL JAP",'ETPT A-JUST'!2:2,0)),
INDEX( 'ETPT A-JUST'!$A:$ZZ,,MATCH("Fonction recodée",'ETPT A-JUST'!2:2,0)),"Magistrat placé SUB"))</f>
        <v>#N/A</v>
      </c>
      <c r="AE15" s="52" t="e">
        <f>SUM(SUMIFS(
INDEX( 'ETPT A-JUST'!$A:$ZZ,,MATCH("6.1. ACTIVITÉ CIVILE",'ETPT A-JUST'!2:2,0)),
INDEX( 'ETPT A-JUST'!$A:$ZZ,,MATCH("Fonction recodée",'ETPT A-JUST'!2:2,0)),"Magistrat placé SUB"))+
SUM(SUMIFS(
INDEX( 'ETPT A-JUST'!$A:$ZZ,,MATCH("6.2. ACTIVITÉ PÉNALE",'ETPT A-JUST'!2:2,0)),
INDEX( 'ETPT A-JUST'!$A:$ZZ,,MATCH("Fonction recodée",'ETPT A-JUST'!2:2,0)),"Magistrat placé SUB"))</f>
        <v>#N/A</v>
      </c>
      <c r="AF15" s="52" t="e">
        <f>SUM(SUMIFS(
INDEX( 'ETPT A-JUST'!$A:$ZZ,,MATCH("10. TOTAL JLD PÉNAL",'ETPT A-JUST'!2:2,0)),
INDEX( 'ETPT A-JUST'!$A:$ZZ,,MATCH("Fonction recodée",'ETPT A-JUST'!2:2,0)),"Magistrat placé SUB"))</f>
        <v>#N/A</v>
      </c>
      <c r="AG15" s="46">
        <f t="shared" si="2"/>
        <v>0</v>
      </c>
      <c r="AH15" s="52" t="e">
        <f>SUM(SUMIFS(
INDEX( 'ETPT A-JUST'!$A:$ZZ,,MATCH("7.5. COUR D'ASSISES HORS JIRS",'ETPT A-JUST'!2:2,0)),
INDEX( 'ETPT A-JUST'!$A:$ZZ,,MATCH("Fonction recodée",'ETPT A-JUST'!2:2,0)),"Magistrat placé SUB"))+
SUM(SUMIFS(
INDEX( 'ETPT A-JUST'!$A:$ZZ,,MATCH("7.51. COUR D'ASSISES JIRS",'ETPT A-JUST'!2:2,0)),
INDEX( 'ETPT A-JUST'!$A:$ZZ,,MATCH("Fonction recodée",'ETPT A-JUST'!2:2,0)),"Magistrat placé SUB"))</f>
        <v>#N/A</v>
      </c>
      <c r="AI15" s="52" t="e">
        <f>SUM(SUMIFS(
INDEX( 'ETPT A-JUST'!$A:$ZZ,,MATCH("7.52. COUR CRIMINELLE",'ETPT A-JUST'!2:2,0)),
INDEX( 'ETPT A-JUST'!$A:$ZZ,,MATCH("Fonction recodée",'ETPT A-JUST'!2:2,0)),"Magistrat placé SUB"))</f>
        <v>#N/A</v>
      </c>
      <c r="AJ15" s="52" t="e">
        <f>SUM(SUMIFS(
INDEX( 'ETPT A-JUST'!$A:$ZZ,,MATCH("7.121. COLLÉGIALES JIRS ÉCO-FI",'ETPT A-JUST'!2:2,0)),
INDEX( 'ETPT A-JUST'!$A:$ZZ,,MATCH("Fonction recodée",'ETPT A-JUST'!2:2,0)),"Magistrat placé SUB",
INDEX( 'ETPT A-JUST'!$A:$ZZ,,MATCH("Jirs",'ETPT A-JUST'!2:2,0)),"x"))</f>
        <v>#N/A</v>
      </c>
      <c r="AK15" s="52" t="e">
        <f>SUM(SUMIFS(
INDEX( 'ETPT A-JUST'!$A:$ZZ,,MATCH("7.12. COLLÉGIALES JIRS CRIM-ORG",'ETPT A-JUST'!2:2,0)),
INDEX( 'ETPT A-JUST'!$A:$ZZ,,MATCH("Fonction recodée",'ETPT A-JUST'!2:2,0)),"Magistrat placé SUB"))</f>
        <v>#N/A</v>
      </c>
      <c r="AL15" s="52" t="e">
        <f>SUM(SUMIFS(
INDEX( 'ETPT A-JUST'!$A:$ZZ,,MATCH("7.122. COLLÉGIALES AUTRES SECTIONS SPÉCIALISÉES",'ETPT A-JUST'!2:2,0)),
INDEX( 'ETPT A-JUST'!$A:$ZZ,,MATCH("Fonction recodée",'ETPT A-JUST'!2:2,0)),"Magistrat placé SUB"))+
SUM(SUMIFS(
INDEX( 'ETPT A-JUST'!$A:$ZZ,,MATCH("7.121. COLLÉGIALES JIRS ÉCO-FI",'ETPT A-JUST'!2:2,0)),
INDEX( 'ETPT A-JUST'!$A:$ZZ,,MATCH("Fonction recodée",'ETPT A-JUST'!2:2,0)),"Magistrat placé SUB",
INDEX( 'ETPT A-JUST'!$A:$ZZ,,MATCH("Jirs",'ETPT A-JUST'!2:2,0)),""))</f>
        <v>#N/A</v>
      </c>
      <c r="AM15" s="52" t="e">
        <f>SUM(SUMIFS(
INDEX( 'ETPT A-JUST'!$A:$ZZ,,MATCH("7.6. TRIBUNAL DE POLICE",'ETPT A-JUST'!2:2,0)),
INDEX( 'ETPT A-JUST'!$A:$ZZ,,MATCH("Fonction recodée",'ETPT A-JUST'!2:2,0)),"Magistrat placé SUB"))+
SUM(SUMIFS(
INDEX( 'ETPT A-JUST'!$A:$ZZ,,MATCH("7.7. OP CONTRAVENTIONNELLES",'ETPT A-JUST'!2:2,0)),
INDEX( 'ETPT A-JUST'!$A:$ZZ,,MATCH("Fonction recodée",'ETPT A-JUST'!2:2,0)),"Magistrat placé SUB"))</f>
        <v>#N/A</v>
      </c>
      <c r="AN15" s="52" t="e">
        <f>SUM(SUMIFS(
INDEX( 'ETPT A-JUST'!$A:$ZZ,,MATCH("1.1. DÉPARTAGE PRUD'HOMAL",'ETPT A-JUST'!2:2,0)),
INDEX( 'ETPT A-JUST'!$A:$ZZ,,MATCH("Fonction recodée",'ETPT A-JUST'!2:2,0)),"Magistrat placé SUB",
INDEX( 'ETPT A-JUST'!$A:$ZZ,,MATCH("TJCPH",'ETPT A-JUST'!2:2,0)),"OUI"))</f>
        <v>#N/A</v>
      </c>
      <c r="AO15" s="52" t="e">
        <f>SUM(SUMIFS(
INDEX( 'ETPT A-JUST'!$A:$ZZ,,MATCH("4.0. CONTENTIEUX GÉNÉRAL &lt;10.000€",'ETPT A-JUST'!2:2,0)),
INDEX( 'ETPT A-JUST'!$A:$ZZ,,MATCH("Fonction recodée",'ETPT A-JUST'!2:2,0)),"Magistrat placé SUB",
INDEX( 'ETPT A-JUST'!$A:$ZZ,,MATCH("TJCPH",'ETPT A-JUST'!2:2,0)),"OUI"))</f>
        <v>#N/A</v>
      </c>
      <c r="AP15" s="52" t="e">
        <f>SUM(SUMIFS(
INDEX( 'ETPT A-JUST'!$A:$ZZ,,MATCH("3.43. INJONCTIONS DE PAYER",'ETPT A-JUST'!2:2,0)),
INDEX( 'ETPT A-JUST'!$A:$ZZ,,MATCH("Fonction recodée",'ETPT A-JUST'!2:2,0)),"Magistrat placé SUB",
INDEX( 'ETPT A-JUST'!$A:$ZZ,,MATCH("TJCPH",'ETPT A-JUST'!2:2,0)),"OUI"))+
SUM(SUMIFS(
INDEX( 'ETPT A-JUST'!$A:$ZZ,,MATCH("3.44. SAISIE DES RÉMUNÉRATIONS",'ETPT A-JUST'!2:2,0)),
INDEX( 'ETPT A-JUST'!$A:$ZZ,,MATCH("Fonction recodée",'ETPT A-JUST'!2:2,0)),"Magistrat placé SUB",
INDEX( 'ETPT A-JUST'!$A:$ZZ,,MATCH("TJCPH",'ETPT A-JUST'!2:2,0)),"OUI"))</f>
        <v>#N/A</v>
      </c>
      <c r="AQ15" s="52" t="e">
        <f>MAX(0,SUM(SUMIFS(
INDEX( 'ETPT A-JUST'!$A:$ZZ,,MATCH("1. TOTAL CONTENTIEUX SOCIAL",'ETPT A-JUST'!2:2,0)),
INDEX( 'ETPT A-JUST'!$A:$ZZ,,MATCH("Fonction recodée",'ETPT A-JUST'!2:2,0)),"Magistrat placé SUB",
INDEX( 'ETPT A-JUST'!$A:$ZZ,,MATCH("TJCPH",'ETPT A-JUST'!2:2,0)),"OUI"))-
SUM(SUMIFS(
INDEX( 'ETPT A-JUST'!$A:$ZZ,,MATCH("1.1. DÉPARTAGE PRUD'HOMAL",'ETPT A-JUST'!2:2,0)),
INDEX( 'ETPT A-JUST'!$A:$ZZ,,MATCH("Fonction recodée",'ETPT A-JUST'!2:2,0)),"Magistrat placé SUB",
INDEX( 'ETPT A-JUST'!$A:$ZZ,,MATCH("TJCPH",'ETPT A-JUST'!2:2,0)),"OUI")))</f>
        <v>#N/A</v>
      </c>
      <c r="AR15" s="52" t="e">
        <f>SUM(SUMIFS(
INDEX( 'ETPT A-JUST'!$A:$ZZ,,MATCH("2. TOTAL CONTENTIEUX JAF",'ETPT A-JUST'!2:2,0)),
INDEX( 'ETPT A-JUST'!$A:$ZZ,,MATCH("Fonction recodée",'ETPT A-JUST'!2:2,0)),"Magistrat placé SUB"))</f>
        <v>#N/A</v>
      </c>
      <c r="AS15" s="53"/>
      <c r="AT15" s="396" t="e">
        <f>SUM(SUMIFS(
INDEX( 'ETPT A-JUST'!$A:$ZZ,,MATCH("5. TOTAL JLD CIVIL",'ETPT A-JUST'!2:2,0)),
INDEX( 'ETPT A-JUST'!$A:$ZZ,,MATCH("Fonction recodée",'ETPT A-JUST'!2:2,0)),"Magistrat placé SUB"))</f>
        <v>#N/A</v>
      </c>
      <c r="AU15" s="52" t="e">
        <f>SUM(SUMIFS(
INDEX( 'ETPT A-JUST'!$A:$ZZ,,MATCH("4. TOTAL CIVIL NON SPÉCIALISÉ",'ETPT A-JUST'!2:2,0)),
INDEX( 'ETPT A-JUST'!$A:$ZZ,,MATCH("Fonction recodée",'ETPT A-JUST'!2:2,0)),"Magistrat placé SUB",
INDEX( 'ETPT A-JUST'!$A:$ZZ,,MATCH("TJCPH",'ETPT A-JUST'!2:2,0)),"OUI"))-
SUM(SUMIFS(
INDEX( 'ETPT A-JUST'!$A:$ZZ,,MATCH("4.0. CONTENTIEUX GÉNÉRAL &lt;10.000€",'ETPT A-JUST'!2:2,0)),
INDEX( 'ETPT A-JUST'!$A:$ZZ,,MATCH("Fonction recodée",'ETPT A-JUST'!2:2,0)),"Magistrat placé SUB",
INDEX( 'ETPT A-JUST'!$A:$ZZ,,MATCH("TJCPH",'ETPT A-JUST'!2:2,0)),"OUI"))+
_xlfn.IFNA(SUM(SUMIFS(
INDEX( 'ETPT A-JUST'!$A:$ZZ,,MATCH("13. TOTAL CONTENTIEUX LOCAUX SPÉCIFIQUES",'ETPT A-JUST'!2:2,0)),
INDEX( 'ETPT A-JUST'!$A:$ZZ,,MATCH("Fonction recodée",'ETPT A-JUST'!2:2,0)),"Magistrat placé SUB",
INDEX( 'ETPT A-JUST'!$A:$ZZ,,MATCH("TJCPH",'ETPT A-JUST'!2:2,0)),"OUI")),0)+
SUM(SUMIFS(
INDEX( 'ETPT A-JUST'!$A:$ZZ,,MATCH("11.51. ACCUEIL DU JUSTICIABLE (DONT SAUJ)",'ETPT A-JUST'!2:2,0)),
INDEX( 'ETPT A-JUST'!$A:$ZZ,,MATCH("Fonction recodée",'ETPT A-JUST'!2:2,0)),"Magistrat placé SUB",
INDEX( 'ETPT A-JUST'!$A:$ZZ,,MATCH("TJCPH",'ETPT A-JUST'!2:2,0)),"OUI"))+
SUM(SUMIFS(
INDEX( 'ETPT A-JUST'!$A:$ZZ,,MATCH("11.1. SOUTIEN (HORS FORMATIONS SUIVIES)",'ETPT A-JUST'!2:2,0)),
INDEX( 'ETPT A-JUST'!$A:$ZZ,,MATCH("Fonction recodée",'ETPT A-JUST'!2:2,0)),"Magistrat placé SUB",
INDEX( 'ETPT A-JUST'!$A:$ZZ,,MATCH("TJCPH",'ETPT A-JUST'!2:2,0)),"OUI"))+
SUM(SUMIFS(
INDEX( 'ETPT A-JUST'!$A:$ZZ,,MATCH("11.2. FORMATIONS SUIVIES",'ETPT A-JUST'!2:2,0)),
INDEX( 'ETPT A-JUST'!$A:$ZZ,,MATCH("Fonction recodée",'ETPT A-JUST'!2:2,0)),"Magistrat placé SUB",
INDEX( 'ETPT A-JUST'!$A:$ZZ,,MATCH("TJCPH",'ETPT A-JUST'!2:2,0)),"OUI"))+
SUM(SUMIFS(
INDEX( 'ETPT A-JUST'!$A:$ZZ,,MATCH("11.6. AUTRES ACTIVITÉS NON JURIDICTIONNELLES",'ETPT A-JUST'!2:2,0)),
INDEX( 'ETPT A-JUST'!$A:$ZZ,,MATCH("Fonction recodée",'ETPT A-JUST'!2:2,0)),"Magistrat placé SUB",
INDEX( 'ETPT A-JUST'!$A:$ZZ,,MATCH("TJCPH",'ETPT A-JUST'!2:2,0)),"OUI"))+
SUM(SUMIFS(
INDEX( 'ETPT A-JUST'!$A:$ZZ,,MATCH("11.3. FORMATIONS DISPENSÉES",'ETPT A-JUST'!2:2,0)),
INDEX( 'ETPT A-JUST'!$A:$ZZ,,MATCH("Fonction recodée",'ETPT A-JUST'!2:2,0)),"Magistrat placé SUB",
INDEX( 'ETPT A-JUST'!$A:$ZZ,,MATCH("TJCPH",'ETPT A-JUST'!2:2,0)),"OUI"))+
SUM(SUMIFS(
INDEX( 'ETPT A-JUST'!$A:$ZZ,,MATCH("11.4. ACCÈS AU DROIT ET À LA JUSTICE",'ETPT A-JUST'!2:2,0)),
INDEX( 'ETPT A-JUST'!$A:$ZZ,,MATCH("Fonction recodée",'ETPT A-JUST'!2:2,0)),"Magistrat placé SUB",
INDEX( 'ETPT A-JUST'!$A:$ZZ,,MATCH("TJCPH",'ETPT A-JUST'!2:2,0)),"OUI"))+
SUM(SUMIFS(
INDEX( 'ETPT A-JUST'!$A:$ZZ,,MATCH("11.5. CSM",'ETPT A-JUST'!2:2,0)),
INDEX( 'ETPT A-JUST'!$A:$ZZ,,MATCH("Fonction recodée",'ETPT A-JUST'!2:2,0)),"Magistrat placé SUB",
INDEX( 'ETPT A-JUST'!$A:$ZZ,,MATCH("TJCPH",'ETPT A-JUST'!2:2,0)),"OUI"))
+
SUM(SUMIFS(
INDEX( 'ETPT A-JUST'!$A:$ZZ,,MATCH("7. TOTAL SIÈGE PÉNAL",'ETPT A-JUST'!2:2,0)),
INDEX( 'ETPT A-JUST'!$A:$ZZ,,MATCH("Fonction recodée",'ETPT A-JUST'!2:2,0)),"Magistrat placé SUB"))-
SUM(SUMIFS(
INDEX( 'ETPT A-JUST'!$A:$ZZ,,MATCH("7.5. COUR D'ASSISES HORS JIRS",'ETPT A-JUST'!2:2,0)),
INDEX( 'ETPT A-JUST'!$A:$ZZ,,MATCH("Fonction recodée",'ETPT A-JUST'!2:2,0)),"Magistrat placé SUB"))-
SUM(SUMIFS(
INDEX( 'ETPT A-JUST'!$A:$ZZ,,MATCH("7.51. COUR D'ASSISES JIRS",'ETPT A-JUST'!2:2,0)),
INDEX( 'ETPT A-JUST'!$A:$ZZ,,MATCH("Fonction recodée",'ETPT A-JUST'!2:2,0)),"Magistrat placé SUB"))-
SUM(SUMIFS(
INDEX( 'ETPT A-JUST'!$A:$ZZ,,MATCH("7.52. COUR CRIMINELLE",'ETPT A-JUST'!2:2,0)),
INDEX( 'ETPT A-JUST'!$A:$ZZ,,MATCH("Fonction recodée",'ETPT A-JUST'!2:2,0)),"Magistrat placé SUB"))-
SUM(SUMIFS(
INDEX( 'ETPT A-JUST'!$A:$ZZ,,MATCH("7.121. COLLÉGIALES JIRS ÉCO-FI",'ETPT A-JUST'!2:2,0)),
INDEX( 'ETPT A-JUST'!$A:$ZZ,,MATCH("Fonction recodée",'ETPT A-JUST'!2:2,0)),"Magistrat placé SUB"))-
SUM(SUMIFS(
INDEX( 'ETPT A-JUST'!$A:$ZZ,,MATCH("7.12. COLLÉGIALES JIRS CRIM-ORG",'ETPT A-JUST'!2:2,0)),
INDEX( 'ETPT A-JUST'!$A:$ZZ,,MATCH("Fonction recodée",'ETPT A-JUST'!2:2,0)),"Magistrat placé SUB"))-
SUM(SUMIFS(
INDEX( 'ETPT A-JUST'!$A:$ZZ,,MATCH("7.122. COLLÉGIALES AUTRES SECTIONS SPÉCIALISÉES",'ETPT A-JUST'!2:2,0)),
INDEX( 'ETPT A-JUST'!$A:$ZZ,,MATCH("Fonction recodée",'ETPT A-JUST'!2:2,0)),"Magistrat placé SUB"))-
SUM(SUMIFS(
INDEX( 'ETPT A-JUST'!$A:$ZZ,,MATCH("7.6. TRIBUNAL DE POLICE",'ETPT A-JUST'!2:2,0)),
INDEX( 'ETPT A-JUST'!$A:$ZZ,,MATCH("Fonction recodée",'ETPT A-JUST'!2:2,0)),"Magistrat placé SUB"))-
SUM(SUMIFS(
INDEX( 'ETPT A-JUST'!$A:$ZZ,,MATCH("7.7. OP CONTRAVENTIONNELLES",'ETPT A-JUST'!2:2,0)),
INDEX( 'ETPT A-JUST'!$A:$ZZ,,MATCH("Fonction recodée",'ETPT A-JUST'!2:2,0)),"Magistrat placé SUB"))</f>
        <v>#N/A</v>
      </c>
      <c r="AV15" s="46">
        <f t="shared" si="3"/>
        <v>0</v>
      </c>
      <c r="AW15" s="51"/>
      <c r="AX15" s="51"/>
      <c r="AY15" s="51"/>
      <c r="AZ15" s="51"/>
      <c r="BA15" s="51"/>
      <c r="BB15" s="51"/>
      <c r="BC15" s="51"/>
      <c r="BD15" s="51"/>
      <c r="BE15" s="51"/>
      <c r="BF15" s="46">
        <f t="shared" si="5"/>
        <v>0</v>
      </c>
    </row>
    <row r="16" spans="1:58" s="41" customFormat="1" ht="14.25" customHeight="1" x14ac:dyDescent="0.15">
      <c r="A16" s="50"/>
      <c r="B16" s="49"/>
      <c r="C16" s="49"/>
      <c r="D16" s="49"/>
      <c r="E16" s="49"/>
      <c r="F16" s="48" t="s">
        <v>39</v>
      </c>
      <c r="G16" s="47">
        <f>_xlfn.AGGREGATE(9,6,G5:G15)</f>
        <v>0</v>
      </c>
      <c r="H16" s="47">
        <f>_xlfn.AGGREGATE(9,6,H5:H15)</f>
        <v>0</v>
      </c>
      <c r="I16" s="47">
        <f t="shared" ref="I16:AV16" si="6">_xlfn.AGGREGATE(9,6,I5:I15)</f>
        <v>0</v>
      </c>
      <c r="J16" s="47">
        <f t="shared" si="6"/>
        <v>0</v>
      </c>
      <c r="K16" s="47">
        <f t="shared" si="6"/>
        <v>0</v>
      </c>
      <c r="L16" s="47">
        <f t="shared" si="6"/>
        <v>0</v>
      </c>
      <c r="M16" s="47">
        <f t="shared" si="6"/>
        <v>0</v>
      </c>
      <c r="N16" s="47">
        <f t="shared" si="6"/>
        <v>0</v>
      </c>
      <c r="O16" s="47">
        <f t="shared" si="6"/>
        <v>0</v>
      </c>
      <c r="P16" s="47">
        <f t="shared" si="6"/>
        <v>0</v>
      </c>
      <c r="Q16" s="47">
        <f t="shared" si="6"/>
        <v>0</v>
      </c>
      <c r="R16" s="47">
        <f t="shared" si="6"/>
        <v>0</v>
      </c>
      <c r="S16" s="47">
        <f t="shared" si="6"/>
        <v>0</v>
      </c>
      <c r="T16" s="47">
        <f t="shared" si="6"/>
        <v>0</v>
      </c>
      <c r="U16" s="47">
        <f t="shared" si="6"/>
        <v>0</v>
      </c>
      <c r="V16" s="47">
        <f t="shared" si="6"/>
        <v>0</v>
      </c>
      <c r="W16" s="47">
        <f t="shared" si="6"/>
        <v>0</v>
      </c>
      <c r="X16" s="47">
        <f t="shared" si="6"/>
        <v>0</v>
      </c>
      <c r="Y16" s="47">
        <f t="shared" si="6"/>
        <v>0</v>
      </c>
      <c r="Z16" s="47">
        <f t="shared" si="6"/>
        <v>0</v>
      </c>
      <c r="AA16" s="47">
        <f t="shared" si="6"/>
        <v>0</v>
      </c>
      <c r="AB16" s="47">
        <f t="shared" si="6"/>
        <v>0</v>
      </c>
      <c r="AC16" s="47">
        <f t="shared" si="6"/>
        <v>0</v>
      </c>
      <c r="AD16" s="47">
        <f t="shared" si="6"/>
        <v>0</v>
      </c>
      <c r="AE16" s="47">
        <f t="shared" si="6"/>
        <v>0</v>
      </c>
      <c r="AF16" s="47">
        <f t="shared" si="6"/>
        <v>0</v>
      </c>
      <c r="AG16" s="47">
        <f t="shared" si="6"/>
        <v>0</v>
      </c>
      <c r="AH16" s="47">
        <f t="shared" si="6"/>
        <v>0</v>
      </c>
      <c r="AI16" s="47">
        <f t="shared" si="6"/>
        <v>0</v>
      </c>
      <c r="AJ16" s="47">
        <f t="shared" si="6"/>
        <v>0</v>
      </c>
      <c r="AK16" s="47">
        <f t="shared" si="6"/>
        <v>0</v>
      </c>
      <c r="AL16" s="47">
        <f t="shared" si="6"/>
        <v>0</v>
      </c>
      <c r="AM16" s="47">
        <f t="shared" si="6"/>
        <v>0</v>
      </c>
      <c r="AN16" s="47">
        <f t="shared" si="6"/>
        <v>0</v>
      </c>
      <c r="AO16" s="47">
        <f t="shared" si="6"/>
        <v>0</v>
      </c>
      <c r="AP16" s="47">
        <f t="shared" si="6"/>
        <v>0</v>
      </c>
      <c r="AQ16" s="47">
        <f t="shared" si="6"/>
        <v>0</v>
      </c>
      <c r="AR16" s="47">
        <f t="shared" si="6"/>
        <v>0</v>
      </c>
      <c r="AS16" s="47">
        <f t="shared" si="6"/>
        <v>0</v>
      </c>
      <c r="AT16" s="47">
        <f t="shared" si="6"/>
        <v>0</v>
      </c>
      <c r="AU16" s="47">
        <f t="shared" si="6"/>
        <v>0</v>
      </c>
      <c r="AV16" s="47">
        <f t="shared" si="6"/>
        <v>0</v>
      </c>
      <c r="AW16" s="47">
        <f t="shared" ref="AW16:BF16" si="7">SUM(AW5:AW15)</f>
        <v>0</v>
      </c>
      <c r="AX16" s="47">
        <f t="shared" si="7"/>
        <v>0</v>
      </c>
      <c r="AY16" s="47">
        <f t="shared" si="7"/>
        <v>0</v>
      </c>
      <c r="AZ16" s="47">
        <f t="shared" si="7"/>
        <v>0</v>
      </c>
      <c r="BA16" s="47">
        <f t="shared" si="7"/>
        <v>0</v>
      </c>
      <c r="BB16" s="47">
        <f t="shared" si="7"/>
        <v>0</v>
      </c>
      <c r="BC16" s="47">
        <f t="shared" si="7"/>
        <v>0</v>
      </c>
      <c r="BD16" s="47">
        <f t="shared" si="7"/>
        <v>0</v>
      </c>
      <c r="BE16" s="47">
        <f t="shared" si="7"/>
        <v>0</v>
      </c>
      <c r="BF16" s="46">
        <f t="shared" si="7"/>
        <v>0</v>
      </c>
    </row>
    <row r="17" spans="1:58" s="41" customFormat="1" ht="9" customHeight="1" x14ac:dyDescent="0.15">
      <c r="A17" s="45"/>
      <c r="B17" s="44"/>
      <c r="C17" s="44"/>
      <c r="D17" s="44"/>
      <c r="E17" s="44"/>
      <c r="F17" s="43"/>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row>
    <row r="18" spans="1:58" x14ac:dyDescent="0.2">
      <c r="W18" s="40"/>
      <c r="AV18" s="40"/>
    </row>
    <row r="19" spans="1:58" x14ac:dyDescent="0.2">
      <c r="D19" s="39" t="s">
        <v>171</v>
      </c>
      <c r="AV19" s="38"/>
    </row>
    <row r="20" spans="1:58" ht="28" x14ac:dyDescent="0.2">
      <c r="F20" s="181" t="s">
        <v>250</v>
      </c>
      <c r="G20" s="268" t="e" cm="1">
        <f t="array" ref="G20">SUM(SUMIFS(
INDEX( 'ETPT A-JUST'!$A:$ZZ,,MATCH("12. TOTAL INDISPONIBILITÉ",'ETPT A-JUST'!2:2,0)),
INDEX( 'ETPT A-JUST'!$A:$ZZ,,MATCH("Fonction recodée",'ETPT A-JUST'!2:2,0)),{"Fonctionnaire CTECH placé ADD";"Fonctionnaire CTECH placé SUB"},
INDEX( 'ETPT A-JUST'!$A:$ZZ,,MATCH("TJCPH",'ETPT A-JUST'!2:2,0)),"OUI"))</f>
        <v>#N/A</v>
      </c>
      <c r="H20" s="266"/>
      <c r="I20" s="266"/>
      <c r="J20" s="266"/>
      <c r="K20" s="266"/>
      <c r="L20" s="266"/>
      <c r="M20" s="266"/>
      <c r="N20" s="266"/>
      <c r="O20" s="266"/>
      <c r="P20" s="266"/>
      <c r="Q20" s="266"/>
      <c r="R20" s="266"/>
      <c r="S20" s="266"/>
      <c r="T20" s="266"/>
      <c r="U20" s="269" t="s">
        <v>251</v>
      </c>
      <c r="V20" s="268" t="e" cm="1">
        <f t="array" ref="V20">SUM(SUMIFS(
INDEX( 'ETPT A-JUST'!$A:$ZZ,,MATCH("12. TOTAL INDISPONIBILITÉ",'ETPT A-JUST'!2:2,0)),
INDEX( 'ETPT A-JUST'!$A:$ZZ,,MATCH("Fonction recodée",'ETPT A-JUST'!2:2,0)),{"Fonctionnaire A-B-CBUR placé ADD";"Fonctionnaire A-B-CBUR placé SUB"},
INDEX( 'ETPT A-JUST'!$A:$ZZ,,MATCH("TJCPH",'ETPT A-JUST'!2:2,0)),"OUI"))</f>
        <v>#N/A</v>
      </c>
      <c r="W20" s="267"/>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9" t="s">
        <v>249</v>
      </c>
      <c r="AT20" s="269"/>
      <c r="AU20" s="268" t="e" cm="1">
        <f t="array" ref="AU20">SUM(SUMIFS(
INDEX( 'ETPT A-JUST'!$A:$ZZ,,MATCH("12. TOTAL INDISPONIBILITÉ",'ETPT A-JUST'!2:2,0)),
INDEX( 'ETPT A-JUST'!$A:$ZZ,,MATCH("Fonction recodée",'ETPT A-JUST'!2:2,0)),{"Magistrat placé ADD";"Magistrat placé SUB"},
INDEX( 'ETPT A-JUST'!$A:$ZZ,,MATCH("TJCPH",'ETPT A-JUST'!2:2,0)),"OUI"))</f>
        <v>#N/A</v>
      </c>
      <c r="AV20" s="38"/>
    </row>
    <row r="21" spans="1:58" x14ac:dyDescent="0.2">
      <c r="W21" s="38"/>
      <c r="AU21" s="38"/>
    </row>
    <row r="22" spans="1:58" x14ac:dyDescent="0.2">
      <c r="AC22" s="38"/>
    </row>
    <row r="24" spans="1:58" x14ac:dyDescent="0.2">
      <c r="V24" s="38"/>
    </row>
  </sheetData>
  <mergeCells count="6">
    <mergeCell ref="BF2:BF4"/>
    <mergeCell ref="B1:I1"/>
    <mergeCell ref="H2:H4"/>
    <mergeCell ref="W2:W4"/>
    <mergeCell ref="AG2:AG4"/>
    <mergeCell ref="AV2:AV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F550-3CE0-D840-A4B2-BC367E623A92}">
  <sheetPr codeName="Feuil10">
    <tabColor rgb="FFFFC000"/>
  </sheetPr>
  <dimension ref="A1:AG19"/>
  <sheetViews>
    <sheetView topLeftCell="D1" zoomScale="111" zoomScaleNormal="100" workbookViewId="0">
      <pane xSplit="3" ySplit="1" topLeftCell="G2" activePane="bottomRight" state="frozen"/>
      <selection pane="topRight" activeCell="G1" sqref="G1"/>
      <selection pane="bottomLeft" activeCell="A2" sqref="A2"/>
      <selection pane="bottomRight" activeCell="D5" sqref="D5"/>
    </sheetView>
  </sheetViews>
  <sheetFormatPr baseColWidth="10" defaultColWidth="11" defaultRowHeight="16" x14ac:dyDescent="0.2"/>
  <cols>
    <col min="1" max="3" width="11" style="37" hidden="1" customWidth="1"/>
    <col min="4" max="5" width="11" style="37"/>
    <col min="6" max="6" width="46.33203125" style="37" bestFit="1" customWidth="1"/>
    <col min="7" max="16384" width="11" style="37"/>
  </cols>
  <sheetData>
    <row r="1" spans="1:33" x14ac:dyDescent="0.2">
      <c r="A1" s="425" t="s">
        <v>214</v>
      </c>
      <c r="B1" s="425"/>
      <c r="C1" s="425"/>
      <c r="D1" s="425"/>
      <c r="E1" s="425"/>
      <c r="F1" s="425"/>
      <c r="G1" s="425"/>
      <c r="H1" s="425"/>
      <c r="I1" s="41"/>
      <c r="J1" s="41"/>
      <c r="K1" s="41"/>
      <c r="L1" s="41"/>
      <c r="M1" s="41"/>
      <c r="N1" s="41"/>
      <c r="O1" s="94"/>
      <c r="P1" s="94"/>
      <c r="Q1" s="41"/>
      <c r="R1" s="41"/>
      <c r="S1" s="41"/>
      <c r="T1" s="41"/>
      <c r="U1" s="41"/>
      <c r="V1" s="41"/>
      <c r="W1" s="41"/>
      <c r="X1" s="41"/>
      <c r="Y1" s="41"/>
      <c r="Z1" s="94"/>
      <c r="AA1" s="94"/>
      <c r="AB1" s="41"/>
      <c r="AC1" s="41"/>
      <c r="AD1" s="41"/>
      <c r="AE1" s="41"/>
      <c r="AF1" s="41"/>
      <c r="AG1" s="41"/>
    </row>
    <row r="2" spans="1:33" x14ac:dyDescent="0.2">
      <c r="A2" s="74"/>
      <c r="B2" s="74"/>
      <c r="C2" s="74"/>
      <c r="D2" s="74"/>
      <c r="E2" s="74"/>
      <c r="F2" s="74"/>
      <c r="G2" s="71" t="s">
        <v>169</v>
      </c>
      <c r="H2" s="423" t="s">
        <v>168</v>
      </c>
      <c r="I2" s="71" t="s">
        <v>167</v>
      </c>
      <c r="J2" s="71" t="s">
        <v>167</v>
      </c>
      <c r="K2" s="71" t="s">
        <v>167</v>
      </c>
      <c r="L2" s="71" t="s">
        <v>167</v>
      </c>
      <c r="M2" s="71" t="s">
        <v>167</v>
      </c>
      <c r="N2" s="71" t="s">
        <v>167</v>
      </c>
      <c r="O2" s="95" t="s">
        <v>167</v>
      </c>
      <c r="P2" s="95" t="s">
        <v>167</v>
      </c>
      <c r="Q2" s="71" t="s">
        <v>167</v>
      </c>
      <c r="R2" s="71" t="s">
        <v>167</v>
      </c>
      <c r="S2" s="423" t="s">
        <v>166</v>
      </c>
      <c r="T2" s="71" t="s">
        <v>164</v>
      </c>
      <c r="U2" s="71" t="s">
        <v>164</v>
      </c>
      <c r="V2" s="71" t="s">
        <v>164</v>
      </c>
      <c r="W2" s="71" t="s">
        <v>164</v>
      </c>
      <c r="X2" s="71" t="s">
        <v>164</v>
      </c>
      <c r="Y2" s="71" t="s">
        <v>164</v>
      </c>
      <c r="Z2" s="95" t="s">
        <v>164</v>
      </c>
      <c r="AA2" s="95" t="s">
        <v>164</v>
      </c>
      <c r="AB2" s="71" t="s">
        <v>164</v>
      </c>
      <c r="AC2" s="423" t="s">
        <v>213</v>
      </c>
      <c r="AD2" s="71" t="s">
        <v>212</v>
      </c>
      <c r="AE2" s="71" t="s">
        <v>212</v>
      </c>
      <c r="AF2" s="71" t="s">
        <v>212</v>
      </c>
      <c r="AG2" s="423" t="s">
        <v>211</v>
      </c>
    </row>
    <row r="3" spans="1:33" ht="36" x14ac:dyDescent="0.2">
      <c r="A3" s="74"/>
      <c r="B3" s="74"/>
      <c r="C3" s="74"/>
      <c r="D3" s="74"/>
      <c r="E3" s="74"/>
      <c r="F3" s="74"/>
      <c r="G3" s="71" t="s">
        <v>158</v>
      </c>
      <c r="H3" s="423"/>
      <c r="I3" s="71" t="s">
        <v>210</v>
      </c>
      <c r="J3" s="71" t="s">
        <v>209</v>
      </c>
      <c r="K3" s="71" t="s">
        <v>208</v>
      </c>
      <c r="L3" s="71" t="s">
        <v>207</v>
      </c>
      <c r="M3" s="71" t="s">
        <v>206</v>
      </c>
      <c r="N3" s="71" t="s">
        <v>205</v>
      </c>
      <c r="O3" s="95" t="s">
        <v>204</v>
      </c>
      <c r="P3" s="95" t="s">
        <v>203</v>
      </c>
      <c r="Q3" s="71" t="s">
        <v>202</v>
      </c>
      <c r="R3" s="71" t="s">
        <v>145</v>
      </c>
      <c r="S3" s="423"/>
      <c r="T3" s="71" t="s">
        <v>201</v>
      </c>
      <c r="U3" s="71" t="s">
        <v>200</v>
      </c>
      <c r="V3" s="71" t="s">
        <v>199</v>
      </c>
      <c r="W3" s="71" t="s">
        <v>198</v>
      </c>
      <c r="X3" s="71" t="s">
        <v>197</v>
      </c>
      <c r="Y3" s="71" t="s">
        <v>196</v>
      </c>
      <c r="Z3" s="95" t="s">
        <v>195</v>
      </c>
      <c r="AA3" s="95" t="s">
        <v>194</v>
      </c>
      <c r="AB3" s="71" t="s">
        <v>193</v>
      </c>
      <c r="AC3" s="423"/>
      <c r="AD3" s="71" t="s">
        <v>192</v>
      </c>
      <c r="AE3" s="71" t="s">
        <v>128</v>
      </c>
      <c r="AF3" s="71" t="s">
        <v>122</v>
      </c>
      <c r="AG3" s="423"/>
    </row>
    <row r="4" spans="1:33" ht="60" x14ac:dyDescent="0.2">
      <c r="A4" s="74"/>
      <c r="B4" s="72" t="s">
        <v>112</v>
      </c>
      <c r="C4" s="72" t="s">
        <v>111</v>
      </c>
      <c r="D4" s="72" t="s">
        <v>32</v>
      </c>
      <c r="E4" s="72" t="s">
        <v>110</v>
      </c>
      <c r="F4" s="72" t="s">
        <v>109</v>
      </c>
      <c r="G4" s="71" t="s">
        <v>108</v>
      </c>
      <c r="H4" s="423"/>
      <c r="I4" s="71" t="s">
        <v>191</v>
      </c>
      <c r="J4" s="71" t="s">
        <v>190</v>
      </c>
      <c r="K4" s="71" t="s">
        <v>189</v>
      </c>
      <c r="L4" s="71" t="s">
        <v>188</v>
      </c>
      <c r="M4" s="71" t="s">
        <v>187</v>
      </c>
      <c r="N4" s="71" t="s">
        <v>186</v>
      </c>
      <c r="O4" s="95" t="s">
        <v>185</v>
      </c>
      <c r="P4" s="95" t="s">
        <v>184</v>
      </c>
      <c r="Q4" s="71" t="s">
        <v>183</v>
      </c>
      <c r="R4" s="71" t="s">
        <v>94</v>
      </c>
      <c r="S4" s="423"/>
      <c r="T4" s="71" t="s">
        <v>182</v>
      </c>
      <c r="U4" s="71" t="s">
        <v>181</v>
      </c>
      <c r="V4" s="71" t="s">
        <v>180</v>
      </c>
      <c r="W4" s="71" t="s">
        <v>179</v>
      </c>
      <c r="X4" s="71" t="s">
        <v>178</v>
      </c>
      <c r="Y4" s="71" t="s">
        <v>177</v>
      </c>
      <c r="Z4" s="95" t="s">
        <v>176</v>
      </c>
      <c r="AA4" s="95" t="s">
        <v>175</v>
      </c>
      <c r="AB4" s="71" t="s">
        <v>174</v>
      </c>
      <c r="AC4" s="423"/>
      <c r="AD4" s="71" t="s">
        <v>173</v>
      </c>
      <c r="AE4" s="71" t="s">
        <v>78</v>
      </c>
      <c r="AF4" s="71" t="s">
        <v>72</v>
      </c>
      <c r="AG4" s="423"/>
    </row>
    <row r="5" spans="1:33" x14ac:dyDescent="0.2">
      <c r="A5" s="77" t="s">
        <v>172</v>
      </c>
      <c r="B5" s="59"/>
      <c r="C5" s="59"/>
      <c r="D5" s="67">
        <f>ETPT_TPRX_DDG!$D$5</f>
        <v>0</v>
      </c>
      <c r="E5" s="59" t="s">
        <v>62</v>
      </c>
      <c r="F5" s="59" t="s">
        <v>61</v>
      </c>
      <c r="G5" s="56" t="e">
        <f>SUM(SUMIFS(
INDEX( 'ETPT Format DDG'!$A:$ZZ,,MATCH("1. TOTAL CONTENTIEUX SOCIAL",'ETPT Format DDG'!2:2,0)),
INDEX( 'ETPT Format DDG'!$A:$ZZ,,MATCH("Fonction recodée",'ETPT Format DDG'!2:2,0)),"Fonctionnaire CTECH",
INDEX( 'ETPT Format DDG'!$A:$ZZ,,MATCH("Juridiction",'ETPT Format DDG'!2:2,0)),$D$5))+
SUM(SUMIFS(
INDEX( 'ETPT Format DDG'!$A:$ZZ,,MATCH("2. TOTAL CONTENTIEUX JAF",'ETPT Format DDG'!2:2,0)),
INDEX( 'ETPT Format DDG'!$A:$ZZ,,MATCH("Fonction recodée",'ETPT Format DDG'!2:2,0)),"Fonctionnaire CTECH",
INDEX( 'ETPT Format DDG'!$A:$ZZ,,MATCH("Juridiction",'ETPT Format DDG'!2:2,0)),$D$5))+
SUM(SUMIFS(
INDEX( 'ETPT Format DDG'!$A:$ZZ,,MATCH("3. TOTAL CONTENTIEUX DE LA PROTECTION",'ETPT Format DDG'!2:2,0)),
INDEX( 'ETPT Format DDG'!$A:$ZZ,,MATCH("Fonction recodée",'ETPT Format DDG'!2:2,0)),"Fonctionnaire CTECH",
INDEX( 'ETPT Format DDG'!$A:$ZZ,,MATCH("Juridiction",'ETPT Format DDG'!2:2,0)),$D$5))+
SUM(SUMIFS(
INDEX( 'ETPT Format DDG'!$A:$ZZ,,MATCH("4. TOTAL CIVIL NON SPÉCIALISÉ",'ETPT Format DDG'!2:2,0)),
INDEX( 'ETPT Format DDG'!$A:$ZZ,,MATCH("Fonction recodée",'ETPT Format DDG'!2:2,0)),"Fonctionnaire CTECH",
INDEX( 'ETPT Format DDG'!$A:$ZZ,,MATCH("Juridiction",'ETPT Format DDG'!2:2,0)),$D$5))+
SUM(SUMIFS(
INDEX( 'ETPT Format DDG'!$A:$ZZ,,MATCH("5. TOTAL JLD CIVIL",'ETPT Format DDG'!2:2,0)),
INDEX( 'ETPT Format DDG'!$A:$ZZ,,MATCH("Fonction recodée",'ETPT Format DDG'!2:2,0)),"Fonctionnaire CTECH",
INDEX( 'ETPT Format DDG'!$A:$ZZ,,MATCH("Juridiction",'ETPT Format DDG'!2:2,0)),$D$5))+
SUM(SUMIFS(
INDEX( 'ETPT Format DDG'!$A:$ZZ,,MATCH("6.1. ACTIVITÉ CIVILE",'ETPT Format DDG'!2:2,0)),
INDEX( 'ETPT Format DDG'!$A:$ZZ,,MATCH("Fonction recodée",'ETPT Format DDG'!2:2,0)),"Fonctionnaire CTECH",
INDEX( 'ETPT Format DDG'!$A:$ZZ,,MATCH("Juridiction",'ETPT Format DDG'!2:2,0)),$D$5))+
SUM(SUMIFS(
INDEX( 'ETPT Format DDG'!$A:$ZZ,,MATCH("11.7. FONCTIONNAIRES AFFECTÉS AU CPH",'ETPT Format DDG'!2:2,0)),
INDEX( 'ETPT Format DDG'!$A:$ZZ,,MATCH("Fonction recodée",'ETPT Format DDG'!2:2,0)),"Fonctionnaire CTECH",
INDEX( 'ETPT Format DDG'!$A:$ZZ,,MATCH("Juridiction",'ETPT Format DDG'!2:2,0)),$D$5))+
SUM(SUMIFS(
INDEX( 'ETPT Format DDG'!$A:$ZZ,,MATCH("11.8. FONCTIONNAIRES AFFECTÉS AUX ACTIVITÉS CIVILES ET COMMERCIALES DU PARQUET",'ETPT Format DDG'!2:2,0)),
INDEX( 'ETPT Format DDG'!$A:$ZZ,,MATCH("Fonction recodée",'ETPT Format DDG'!2:2,0)),"Fonctionnaire CTECH",
INDEX( 'ETPT Format DDG'!$A:$ZZ,,MATCH("Juridiction",'ETPT Format DDG'!2:2,0)),$D$5))</f>
        <v>#N/A</v>
      </c>
      <c r="H5" s="78">
        <f>_xlfn.AGGREGATE(9,6,G5)</f>
        <v>0</v>
      </c>
      <c r="I5" s="79"/>
      <c r="J5" s="202" t="e">
        <f>SUM(SUMIFS(
INDEX( 'ETPT Format DDG'!$A:$ZZ,,MATCH("3.43. INJONCTIONS DE PAYER",'ETPT Format DDG'!2:2,0)),
INDEX( 'ETPT Format DDG'!$A:$ZZ,,MATCH("Fonction recodée",'ETPT Format DDG'!2:2,0)),"Fonctionnaire A-B-CBUR",
INDEX( 'ETPT Format DDG'!$A:$ZZ,,MATCH("Juridiction",'ETPT Format DDG'!2:2,0)),$D$5))+
SUM(SUMIFS(
INDEX( 'ETPT Format DDG'!$A:$ZZ,,MATCH("3.44. SAISIE DES RÉMUNÉRATIONS",'ETPT Format DDG'!2:2,0)),
INDEX( 'ETPT Format DDG'!$A:$ZZ,,MATCH("Fonction recodée",'ETPT Format DDG'!2:2,0)),"Fonctionnaire A-B-CBUR",
INDEX( 'ETPT Format DDG'!$A:$ZZ,,MATCH("Juridiction",'ETPT Format DDG'!2:2,0)),$D$5))</f>
        <v>#N/A</v>
      </c>
      <c r="K5" s="56" t="e">
        <f>SUM(SUMIFS(
INDEX( 'ETPT Format DDG'!$A:$ZZ,,MATCH("3. TOTAL CONTENTIEUX DE LA PROTECTION",'ETPT Format DDG'!2:2,0)),
INDEX( 'ETPT Format DDG'!$A:$ZZ,,MATCH("Fonction recodée",'ETPT Format DDG'!2:2,0)),"Fonctionnaire A-B-CBUR",
INDEX( 'ETPT Format DDG'!$A:$ZZ,,MATCH("Juridiction",'ETPT Format DDG'!2:2,0)),$D$5))-
SUM(SUMIFS(
INDEX( 'ETPT Format DDG'!$A:$ZZ,,MATCH("3.2. PROTECTION DES MAJEURS",'ETPT Format DDG'!2:2,0)),
INDEX( 'ETPT Format DDG'!$A:$ZZ,,MATCH("Fonction recodée",'ETPT Format DDG'!2:2,0)),"Fonctionnaire A-B-CBUR",
INDEX( 'ETPT Format DDG'!$A:$ZZ,,MATCH("Juridiction",'ETPT Format DDG'!2:2,0)),$D$5))-
SUM(SUMIFS(
INDEX( 'ETPT Format DDG'!$A:$ZZ,,MATCH("3.43. INJONCTIONS DE PAYER",'ETPT Format DDG'!2:2,0)),
INDEX( 'ETPT Format DDG'!$A:$ZZ,,MATCH("Fonction recodée",'ETPT Format DDG'!2:2,0)),"Fonctionnaire A-B-CBUR",
INDEX( 'ETPT Format DDG'!$A:$ZZ,,MATCH("Juridiction",'ETPT Format DDG'!2:2,0)),$D$5))-
SUM(SUMIFS(
INDEX( 'ETPT Format DDG'!$A:$ZZ,,MATCH("3.44. SAISIE DES RÉMUNÉRATIONS",'ETPT Format DDG'!2:2,0)),
INDEX( 'ETPT Format DDG'!$A:$ZZ,,MATCH("Fonction recodée",'ETPT Format DDG'!2:2,0)),"Fonctionnaire A-B-CBUR",
INDEX( 'ETPT Format DDG'!$A:$ZZ,,MATCH("Juridiction",'ETPT Format DDG'!2:2,0)),$D$5))</f>
        <v>#N/A</v>
      </c>
      <c r="L5" s="56" t="e">
        <f>SUM(SUMIFS(
INDEX( 'ETPT Format DDG'!$A:$ZZ,,MATCH("3.2. PROTECTION DES MAJEURS",'ETPT Format DDG'!2:2,0)),
INDEX( 'ETPT Format DDG'!$A:$ZZ,,MATCH("Fonction recodée",'ETPT Format DDG'!2:2,0)),"Fonctionnaire A-B-CBUR",
INDEX( 'ETPT Format DDG'!$A:$ZZ,,MATCH("Juridiction",'ETPT Format DDG'!2:2,0)),$D$5))</f>
        <v>#N/A</v>
      </c>
      <c r="M5" s="203"/>
      <c r="N5" s="203"/>
      <c r="O5" s="53"/>
      <c r="P5" s="53"/>
      <c r="Q5" s="204"/>
      <c r="R5" s="52" t="e">
        <f>SUM(SUMIFS(
INDEX( 'ETPT Format DDG'!$A:$ZZ,,MATCH("1. TOTAL CONTENTIEUX SOCIAL",'ETPT Format DDG'!2:2,0)),
INDEX( 'ETPT Format DDG'!$A:$ZZ,,MATCH("Fonction recodée",'ETPT Format DDG'!2:2,0)),"Fonctionnaire A-B-CBUR",
INDEX( 'ETPT Format DDG'!$A:$ZZ,,MATCH("Juridiction",'ETPT Format DDG'!2:2,0)),$D$5))+
SUM(SUMIFS(
INDEX( 'ETPT Format DDG'!$A:$ZZ,,MATCH("2. TOTAL CONTENTIEUX JAF",'ETPT Format DDG'!2:2,0)),
INDEX( 'ETPT Format DDG'!$A:$ZZ,,MATCH("Fonction recodée",'ETPT Format DDG'!2:2,0)),"Fonctionnaire A-B-CBUR",
INDEX( 'ETPT Format DDG'!$A:$ZZ,,MATCH("Juridiction",'ETPT Format DDG'!2:2,0)),$D$5))+
SUM(SUMIFS(
INDEX( 'ETPT Format DDG'!$A:$ZZ,,MATCH("4. TOTAL CIVIL NON SPÉCIALISÉ",'ETPT Format DDG'!2:2,0)),
INDEX( 'ETPT Format DDG'!$A:$ZZ,,MATCH("Fonction recodée",'ETPT Format DDG'!2:2,0)),"Fonctionnaire A-B-CBUR",
INDEX( 'ETPT Format DDG'!$A:$ZZ,,MATCH("Juridiction",'ETPT Format DDG'!2:2,0)),$D$5))+
SUM(SUMIFS(
INDEX( 'ETPT Format DDG'!$A:$ZZ,,MATCH("5. TOTAL JLD CIVIL",'ETPT Format DDG'!2:2,0)),
INDEX( 'ETPT Format DDG'!$A:$ZZ,,MATCH("Fonction recodée",'ETPT Format DDG'!2:2,0)),"Fonctionnaire A-B-CBUR",
INDEX( 'ETPT Format DDG'!$A:$ZZ,,MATCH("Juridiction",'ETPT Format DDG'!2:2,0)),$D$5))+
SUM(SUMIFS(
INDEX( 'ETPT Format DDG'!$A:$ZZ,,MATCH("6.1. ACTIVITÉ CIVILE",'ETPT Format DDG'!2:2,0)),
INDEX( 'ETPT Format DDG'!$A:$ZZ,,MATCH("Fonction recodée",'ETPT Format DDG'!2:2,0)),"Fonctionnaire A-B-CBUR",
INDEX( 'ETPT Format DDG'!$A:$ZZ,,MATCH("Juridiction",'ETPT Format DDG'!2:2,0)),$D$5))+
SUM(SUMIFS(
INDEX( 'ETPT Format DDG'!$A:$ZZ,,MATCH("11.8. FONCTIONNAIRES AFFECTÉS AUX ACTIVITÉS CIVILES ET COMMERCIALES DU PARQUET",'ETPT Format DDG'!2:2,0)),
INDEX( 'ETPT Format DDG'!$A:$ZZ,,MATCH("Fonction recodée",'ETPT Format DDG'!2:2,0)),"Fonctionnaire A-B-CBUR",
INDEX( 'ETPT Format DDG'!$A:$ZZ,,MATCH("Juridiction",'ETPT Format DDG'!2:2,0)),$D$5))</f>
        <v>#N/A</v>
      </c>
      <c r="S5" s="78">
        <f>_xlfn.AGGREGATE(9,6,I5:R5)</f>
        <v>0</v>
      </c>
      <c r="T5" s="60"/>
      <c r="U5" s="202" t="e" cm="1">
        <f t="array" ref="U5">SUM(SUMIFS(
INDEX( 'ETPT Format DDG'!$A:$ZZ,,MATCH("3.43. INJONCTIONS DE PAYER",'ETPT Format DDG'!2:2,0)),
INDEX( 'ETPT Format DDG'!$A:$ZZ,,MATCH("Fonction recodée",'ETPT Format DDG'!2:2,0)),{"Magistrat SIEGE S";"Magistrat SIEGE NS"},
INDEX( 'ETPT Format DDG'!$A:$ZZ,,MATCH("Juridiction",'ETPT Format DDG'!2:2,0)),$D$5))+
SUM(SUMIFS(
INDEX( 'ETPT Format DDG'!$A:$ZZ,,MATCH("3.44. SAISIE DES RÉMUNÉRATIONS",'ETPT Format DDG'!2:2,0)),
INDEX( 'ETPT Format DDG'!$A:$ZZ,,MATCH("Fonction recodée",'ETPT Format DDG'!2:2,0)),{"Magistrat SIEGE S";"Magistrat SIEGE NS"},
INDEX( 'ETPT Format DDG'!$A:$ZZ,,MATCH("Juridiction",'ETPT Format DDG'!2:2,0)),$D$5))</f>
        <v>#N/A</v>
      </c>
      <c r="V5" s="56" t="e" cm="1">
        <f t="array" ref="V5">SUM(SUMIFS(
INDEX( 'ETPT Format DDG'!$A:$ZZ,,MATCH("3. TOTAL CONTENTIEUX DE LA PROTECTION",'ETPT Format DDG'!2:2,0)),
INDEX( 'ETPT Format DDG'!$A:$ZZ,,MATCH("Fonction recodée",'ETPT Format DDG'!2:2,0)),{"Magistrat SIEGE S";"Magistrat SIEGE NS"},
INDEX( 'ETPT Format DDG'!$A:$ZZ,,MATCH("Juridiction",'ETPT Format DDG'!2:2,0)),$D$5))-
SUM(SUMIFS(
INDEX( 'ETPT Format DDG'!$A:$ZZ,,MATCH("3.2. PROTECTION DES MAJEURS",'ETPT Format DDG'!2:2,0)),
INDEX( 'ETPT Format DDG'!$A:$ZZ,,MATCH("Fonction recodée",'ETPT Format DDG'!2:2,0)),{"Magistrat SIEGE S";"Magistrat SIEGE NS"},
INDEX( 'ETPT Format DDG'!$A:$ZZ,,MATCH("Juridiction",'ETPT Format DDG'!2:2,0)),$D$5))-
SUM(SUMIFS(
INDEX( 'ETPT Format DDG'!$A:$ZZ,,MATCH("3.43. INJONCTIONS DE PAYER",'ETPT Format DDG'!2:2,0)),
INDEX( 'ETPT Format DDG'!$A:$ZZ,,MATCH("Fonction recodée",'ETPT Format DDG'!2:2,0)),{"Magistrat SIEGE S";"Magistrat SIEGE NS"},
INDEX( 'ETPT Format DDG'!$A:$ZZ,,MATCH("Juridiction",'ETPT Format DDG'!2:2,0)),$D$5))-
SUM(SUMIFS(
INDEX( 'ETPT Format DDG'!$A:$ZZ,,MATCH("3.44. SAISIE DES RÉMUNÉRATIONS",'ETPT Format DDG'!2:2,0)),
INDEX( 'ETPT Format DDG'!$A:$ZZ,,MATCH("Fonction recodée",'ETPT Format DDG'!2:2,0)),{"Magistrat SIEGE S";"Magistrat SIEGE NS"},
INDEX( 'ETPT Format DDG'!$A:$ZZ,,MATCH("Juridiction",'ETPT Format DDG'!2:2,0)),$D$5))</f>
        <v>#N/A</v>
      </c>
      <c r="W5" s="56" t="e" cm="1">
        <f t="array" ref="W5">SUM(SUMIFS(
INDEX( 'ETPT Format DDG'!$A:$ZZ,,MATCH("3.2. PROTECTION DES MAJEURS",'ETPT Format DDG'!2:2,0)),
INDEX( 'ETPT Format DDG'!$A:$ZZ,,MATCH("Fonction recodée",'ETPT Format DDG'!2:2,0)),{"Magistrat SIEGE S";"Magistrat SIEGE NS"},
INDEX( 'ETPT Format DDG'!$A:$ZZ,,MATCH("Juridiction",'ETPT Format DDG'!2:2,0)),$D$5))</f>
        <v>#N/A</v>
      </c>
      <c r="X5" s="205"/>
      <c r="Y5" s="205"/>
      <c r="Z5" s="53"/>
      <c r="AA5" s="53"/>
      <c r="AB5" s="205"/>
      <c r="AC5" s="78">
        <f>_xlfn.AGGREGATE(9,6,T5:AB5)</f>
        <v>0</v>
      </c>
      <c r="AD5" s="205"/>
      <c r="AE5" s="52" t="e" cm="1">
        <f t="array" ref="AE5">SUM(SUMIFS(
INDEX( 'ETPT Format DDG'!$A:$ZZ,,MATCH("1.1. DÉPARTAGE PRUD'HOMAL",'ETPT Format DDG'!2:2,0)),
INDEX( 'ETPT Format DDG'!$A:$ZZ,,MATCH("Fonction recodée",'ETPT Format DDG'!2:2,0)),{"Magistrat SIEGE S";"Magistrat SIEGE NS"},
INDEX( 'ETPT Format DDG'!$A:$ZZ,,MATCH("Juridiction",'ETPT Format DDG'!2:2,0)),$D$5))</f>
        <v>#N/A</v>
      </c>
      <c r="AF5" s="52" t="e" cm="1">
        <f t="array" ref="AF5">SUM(SUMIFS(
INDEX( 'ETPT Format DDG'!$A:$ZZ,,MATCH("1. TOTAL CONTENTIEUX SOCIAL",'ETPT Format DDG'!2:2,0)),
INDEX( 'ETPT Format DDG'!$A:$ZZ,,MATCH("Fonction recodée",'ETPT Format DDG'!2:2,0)),{"Magistrat SIEGE S";"Magistrat SIEGE NS"},
INDEX( 'ETPT Format DDG'!$A:$ZZ,,MATCH("Juridiction",'ETPT Format DDG'!2:2,0)),$D$5))-
SUM(SUMIFS(
INDEX( 'ETPT Format DDG'!$A:$ZZ,,MATCH("1.1. DÉPARTAGE PRUD'HOMAL",'ETPT Format DDG'!2:2,0)),
INDEX( 'ETPT Format DDG'!$A:$ZZ,,MATCH("Fonction recodée",'ETPT Format DDG'!2:2,0)),{"Magistrat SIEGE S";"Magistrat SIEGE NS"},
INDEX( 'ETPT Format DDG'!$A:$ZZ,,MATCH("Juridiction",'ETPT Format DDG'!2:2,0)),$D$5))+
SUM(SUMIFS(
INDEX( 'ETPT Format DDG'!$A:$ZZ,,MATCH("4. TOTAL CIVIL NON SPÉCIALISÉ",'ETPT Format DDG'!2:2,0)),
INDEX( 'ETPT Format DDG'!$A:$ZZ,,MATCH("Fonction recodée",'ETPT Format DDG'!2:2,0)),{"Magistrat SIEGE S";"Magistrat SIEGE NS"},
INDEX( 'ETPT Format DDG'!$A:$ZZ,,MATCH("Juridiction",'ETPT Format DDG'!2:2,0)),$D$5))</f>
        <v>#N/A</v>
      </c>
      <c r="AG5" s="78">
        <f>_xlfn.AGGREGATE(9,6,AD5:AF5)</f>
        <v>0</v>
      </c>
    </row>
    <row r="6" spans="1:33" x14ac:dyDescent="0.2">
      <c r="A6" s="90" t="s">
        <v>172</v>
      </c>
      <c r="B6" s="91"/>
      <c r="C6" s="91"/>
      <c r="D6" s="91">
        <f t="shared" ref="D6:D15" si="0">$D$5</f>
        <v>0</v>
      </c>
      <c r="E6" s="91" t="s">
        <v>60</v>
      </c>
      <c r="F6" s="91" t="s">
        <v>59</v>
      </c>
      <c r="G6" s="93"/>
      <c r="H6" s="78">
        <f t="shared" ref="H6:H15" si="1">_xlfn.AGGREGATE(9,6,G6)</f>
        <v>0</v>
      </c>
      <c r="I6" s="92"/>
      <c r="J6" s="53"/>
      <c r="K6" s="53"/>
      <c r="L6" s="53"/>
      <c r="M6" s="53"/>
      <c r="N6" s="93"/>
      <c r="O6" s="205"/>
      <c r="P6" s="205"/>
      <c r="Q6" s="205"/>
      <c r="R6" s="203"/>
      <c r="S6" s="78">
        <f t="shared" ref="S6:S14" si="2">_xlfn.AGGREGATE(9,6,I6:R6)</f>
        <v>0</v>
      </c>
      <c r="T6" s="53"/>
      <c r="U6" s="53"/>
      <c r="V6" s="53"/>
      <c r="W6" s="53"/>
      <c r="X6" s="53"/>
      <c r="Y6" s="53"/>
      <c r="Z6" s="205"/>
      <c r="AA6" s="205"/>
      <c r="AB6" s="205"/>
      <c r="AC6" s="78">
        <f t="shared" ref="AC6:AC15" si="3">_xlfn.AGGREGATE(9,6,T6:AB6)</f>
        <v>0</v>
      </c>
      <c r="AD6" s="205"/>
      <c r="AE6" s="53"/>
      <c r="AF6" s="53"/>
      <c r="AG6" s="78">
        <f t="shared" ref="AG6:AG14" si="4">_xlfn.AGGREGATE(9,6,AD6:AF6)</f>
        <v>0</v>
      </c>
    </row>
    <row r="7" spans="1:33" x14ac:dyDescent="0.2">
      <c r="A7" s="77" t="s">
        <v>172</v>
      </c>
      <c r="B7" s="59"/>
      <c r="C7" s="59"/>
      <c r="D7" s="59">
        <f t="shared" si="0"/>
        <v>0</v>
      </c>
      <c r="E7" s="59" t="s">
        <v>58</v>
      </c>
      <c r="F7" s="59" t="s">
        <v>57</v>
      </c>
      <c r="G7" s="93"/>
      <c r="H7" s="78">
        <f t="shared" si="1"/>
        <v>0</v>
      </c>
      <c r="I7" s="79"/>
      <c r="J7" s="60"/>
      <c r="K7" s="60"/>
      <c r="L7" s="60"/>
      <c r="M7" s="60"/>
      <c r="N7" s="61"/>
      <c r="O7" s="53"/>
      <c r="P7" s="53"/>
      <c r="Q7" s="60"/>
      <c r="R7" s="60"/>
      <c r="S7" s="78">
        <f t="shared" si="2"/>
        <v>0</v>
      </c>
      <c r="T7" s="60"/>
      <c r="U7" s="60"/>
      <c r="V7" s="60"/>
      <c r="W7" s="60"/>
      <c r="X7" s="53"/>
      <c r="Y7" s="53"/>
      <c r="Z7" s="53"/>
      <c r="AA7" s="53"/>
      <c r="AB7" s="53"/>
      <c r="AC7" s="78">
        <f t="shared" si="3"/>
        <v>0</v>
      </c>
      <c r="AD7" s="60"/>
      <c r="AE7" s="60"/>
      <c r="AF7" s="202" t="e" cm="1">
        <f t="array" ref="AF7">SUM(SUMIFS(
INDEX( 'ETPT Format DDG'!$A:$ZZ,,MATCH("11.5. CSM",'ETPT Format DDG'!2:2,0)),
INDEX( 'ETPT Format DDG'!$A:$ZZ,,MATCH("Fonction recodée",'ETPT Format DDG'!2:2,0)),{"Magistrat SIEGE S";"Magistrat SIEGE NS"},
INDEX( 'ETPT Format DDG'!$A:$ZZ,,MATCH("Juridiction",'ETPT Format DDG'!2:2,0)),$D$5))</f>
        <v>#N/A</v>
      </c>
      <c r="AG7" s="78">
        <f t="shared" si="4"/>
        <v>0</v>
      </c>
    </row>
    <row r="8" spans="1:33" x14ac:dyDescent="0.2">
      <c r="A8" s="77" t="s">
        <v>172</v>
      </c>
      <c r="B8" s="59"/>
      <c r="C8" s="59"/>
      <c r="D8" s="59">
        <f t="shared" si="0"/>
        <v>0</v>
      </c>
      <c r="E8" s="59" t="s">
        <v>56</v>
      </c>
      <c r="F8" s="59" t="s">
        <v>55</v>
      </c>
      <c r="G8" s="202" t="e">
        <f>SUM(SUMIFS(
INDEX( 'ETPT Format DDG'!$A:$ZZ,,MATCH("11.51. ACCUEIL DU JUSTICIABLE (DONT SAUJ)",'ETPT Format DDG'!2:2,0)),
INDEX( 'ETPT Format DDG'!$A:$ZZ,,MATCH("Fonction recodée",'ETPT Format DDG'!2:2,0)),"Fonctionnaire CTECH",
INDEX( 'ETPT Format DDG'!$A:$ZZ,,MATCH("Juridiction",'ETPT Format DDG'!2:2,0)),$D$5))</f>
        <v>#N/A</v>
      </c>
      <c r="H8" s="78">
        <f t="shared" si="1"/>
        <v>0</v>
      </c>
      <c r="I8" s="79"/>
      <c r="J8" s="60"/>
      <c r="K8" s="60"/>
      <c r="L8" s="60"/>
      <c r="M8" s="60"/>
      <c r="N8" s="61"/>
      <c r="O8" s="53"/>
      <c r="P8" s="53"/>
      <c r="Q8" s="60"/>
      <c r="R8" s="202" t="e">
        <f>SUM(SUMIFS(
INDEX( 'ETPT Format DDG'!$A:$ZZ,,MATCH("11.51. ACCUEIL DU JUSTICIABLE (DONT SAUJ)",'ETPT Format DDG'!2:2,0)),
INDEX( 'ETPT Format DDG'!$A:$ZZ,,MATCH("Fonction recodée",'ETPT Format DDG'!2:2,0)),"Fonctionnaire A-B-CBUR",
INDEX( 'ETPT Format DDG'!$A:$ZZ,,MATCH("Juridiction",'ETPT Format DDG'!2:2,0)),$D$5))</f>
        <v>#N/A</v>
      </c>
      <c r="S8" s="78">
        <f t="shared" si="2"/>
        <v>0</v>
      </c>
      <c r="T8" s="60"/>
      <c r="U8" s="60"/>
      <c r="V8" s="60"/>
      <c r="W8" s="60"/>
      <c r="X8" s="53"/>
      <c r="Y8" s="53"/>
      <c r="Z8" s="53"/>
      <c r="AA8" s="53"/>
      <c r="AB8" s="53"/>
      <c r="AC8" s="78">
        <f t="shared" si="3"/>
        <v>0</v>
      </c>
      <c r="AD8" s="60"/>
      <c r="AE8" s="60"/>
      <c r="AF8" s="202" t="e" cm="1">
        <f t="array" ref="AF8">SUM(SUMIFS(
INDEX( 'ETPT Format DDG'!$A:$ZZ,,MATCH("11.51. ACCUEIL DU JUSTICIABLE (DONT SAUJ)",'ETPT Format DDG'!2:2,0)),
INDEX( 'ETPT Format DDG'!$A:$ZZ,,MATCH("Fonction recodée",'ETPT Format DDG'!2:2,0)),{"Magistrat SIEGE S";"Magistrat SIEGE NS"},
INDEX( 'ETPT Format DDG'!$A:$ZZ,,MATCH("Juridiction",'ETPT Format DDG'!2:2,0)),$D$5))</f>
        <v>#N/A</v>
      </c>
      <c r="AG8" s="78">
        <f t="shared" si="4"/>
        <v>0</v>
      </c>
    </row>
    <row r="9" spans="1:33" x14ac:dyDescent="0.2">
      <c r="A9" s="77" t="s">
        <v>172</v>
      </c>
      <c r="B9" s="59"/>
      <c r="C9" s="59"/>
      <c r="D9" s="59">
        <f t="shared" si="0"/>
        <v>0</v>
      </c>
      <c r="E9" s="59" t="s">
        <v>54</v>
      </c>
      <c r="F9" s="59" t="s">
        <v>53</v>
      </c>
      <c r="G9" s="202" t="e">
        <f>SUM(SUMIFS(
INDEX( 'ETPT Format DDG'!$A:$ZZ,,MATCH("11.1. SOUTIEN (HORS FORMATIONS SUIVIES)",'ETPT Format DDG'!2:2,0)),
INDEX( 'ETPT Format DDG'!$A:$ZZ,,MATCH("Fonction recodée",'ETPT Format DDG'!2:2,0)),"Fonctionnaire CTECH",
INDEX( 'ETPT Format DDG'!$A:$ZZ,,MATCH("Juridiction",'ETPT Format DDG'!2:2,0)),$D$5))+
SUM(SUMIFS(
INDEX( 'ETPT Format DDG'!$A:$ZZ,,MATCH("11.2. FORMATIONS SUIVIES",'ETPT Format DDG'!2:2,0)),
INDEX( 'ETPT Format DDG'!$A:$ZZ,,MATCH("Fonction recodée",'ETPT Format DDG'!2:2,0)),"Fonctionnaire CTECH",
INDEX( 'ETPT Format DDG'!$A:$ZZ,,MATCH("Juridiction",'ETPT Format DDG'!2:2,0)),$D$5))+
SUM(SUMIFS(
INDEX( 'ETPT Format DDG'!$A:$ZZ,,MATCH("11.6. AUTRES ACTIVITÉS NON JURIDICTIONNELLES",'ETPT Format DDG'!2:2,0)),
INDEX( 'ETPT Format DDG'!$A:$ZZ,,MATCH("Fonction recodée",'ETPT Format DDG'!2:2,0)),"Fonctionnaire CTECH",
INDEX( 'ETPT Format DDG'!$A:$ZZ,,MATCH("Juridiction",'ETPT Format DDG'!2:2,0)),$D$5))</f>
        <v>#N/A</v>
      </c>
      <c r="H9" s="78">
        <f t="shared" si="1"/>
        <v>0</v>
      </c>
      <c r="I9" s="79"/>
      <c r="J9" s="60"/>
      <c r="K9" s="60"/>
      <c r="L9" s="60"/>
      <c r="M9" s="60"/>
      <c r="N9" s="61"/>
      <c r="O9" s="53"/>
      <c r="P9" s="53"/>
      <c r="Q9" s="60"/>
      <c r="R9" s="202" t="e">
        <f>SUM(SUMIFS(
INDEX( 'ETPT Format DDG'!$A:$ZZ,,MATCH("11.1. SOUTIEN (HORS FORMATIONS SUIVIES)",'ETPT Format DDG'!2:2,0)),
INDEX( 'ETPT Format DDG'!$A:$ZZ,,MATCH("Fonction recodée",'ETPT Format DDG'!2:2,0)),"Fonctionnaire A-B-CBUR",
INDEX( 'ETPT Format DDG'!$A:$ZZ,,MATCH("Juridiction",'ETPT Format DDG'!2:2,0)),$D$5))+
SUM(SUMIFS(
INDEX( 'ETPT Format DDG'!$A:$ZZ,,MATCH("11.2. FORMATIONS SUIVIES",'ETPT Format DDG'!2:2,0)),
INDEX( 'ETPT Format DDG'!$A:$ZZ,,MATCH("Fonction recodée",'ETPT Format DDG'!2:2,0)),"Fonctionnaire A-B-CBUR",
INDEX( 'ETPT Format DDG'!$A:$ZZ,,MATCH("Juridiction",'ETPT Format DDG'!2:2,0)),$D$5))+
SUM(SUMIFS(
INDEX( 'ETPT Format DDG'!$A:$ZZ,,MATCH("11.6. AUTRES ACTIVITÉS NON JURIDICTIONNELLES",'ETPT Format DDG'!2:2,0)),
INDEX( 'ETPT Format DDG'!$A:$ZZ,,MATCH("Fonction recodée",'ETPT Format DDG'!2:2,0)),"Fonctionnaire A-B-CBUR",
INDEX( 'ETPT Format DDG'!$A:$ZZ,,MATCH("Juridiction",'ETPT Format DDG'!2:2,0)),$D$5))</f>
        <v>#N/A</v>
      </c>
      <c r="S9" s="78">
        <f t="shared" si="2"/>
        <v>0</v>
      </c>
      <c r="T9" s="60"/>
      <c r="U9" s="60"/>
      <c r="V9" s="60"/>
      <c r="W9" s="60"/>
      <c r="X9" s="53"/>
      <c r="Y9" s="53"/>
      <c r="Z9" s="53"/>
      <c r="AA9" s="53"/>
      <c r="AB9" s="53"/>
      <c r="AC9" s="78">
        <f t="shared" si="3"/>
        <v>0</v>
      </c>
      <c r="AD9" s="60"/>
      <c r="AE9" s="60"/>
      <c r="AF9" s="202" t="e" cm="1">
        <f t="array" ref="AF9">SUM(SUMIFS(
INDEX( 'ETPT Format DDG'!$A:$ZZ,,MATCH("11.1. SOUTIEN (HORS FORMATIONS SUIVIES)",'ETPT Format DDG'!2:2,0)),
INDEX( 'ETPT Format DDG'!$A:$ZZ,,MATCH("Fonction recodée",'ETPT Format DDG'!2:2,0)),{"Magistrat SIEGE S";"Magistrat SIEGE NS"},
INDEX( 'ETPT Format DDG'!$A:$ZZ,,MATCH("Juridiction",'ETPT Format DDG'!2:2,0)),$D$5))+
SUM(SUMIFS(
INDEX( 'ETPT Format DDG'!$A:$ZZ,,MATCH("11.2. FORMATIONS SUIVIES",'ETPT Format DDG'!2:2,0)),
INDEX( 'ETPT Format DDG'!$A:$ZZ,,MATCH("Fonction recodée",'ETPT Format DDG'!2:2,0)),{"Magistrat SIEGE S";"Magistrat SIEGE NS"},
INDEX( 'ETPT Format DDG'!$A:$ZZ,,MATCH("Juridiction",'ETPT Format DDG'!2:2,0)),$D$5))+
SUM(SUMIFS(
INDEX( 'ETPT Format DDG'!$A:$ZZ,,MATCH("11.6. AUTRES ACTIVITÉS NON JURIDICTIONNELLES",'ETPT Format DDG'!2:2,0)),
INDEX( 'ETPT Format DDG'!$A:$ZZ,,MATCH("Fonction recodée",'ETPT Format DDG'!2:2,0)),{"Magistrat SIEGE S";"Magistrat SIEGE NS"},
INDEX( 'ETPT Format DDG'!$A:$ZZ,,MATCH("Juridiction",'ETPT Format DDG'!2:2,0)),$D$5))</f>
        <v>#N/A</v>
      </c>
      <c r="AG9" s="78">
        <f t="shared" si="4"/>
        <v>0</v>
      </c>
    </row>
    <row r="10" spans="1:33" x14ac:dyDescent="0.2">
      <c r="A10" s="77" t="s">
        <v>172</v>
      </c>
      <c r="B10" s="59"/>
      <c r="C10" s="59"/>
      <c r="D10" s="59">
        <f t="shared" si="0"/>
        <v>0</v>
      </c>
      <c r="E10" s="59" t="s">
        <v>52</v>
      </c>
      <c r="F10" s="59" t="s">
        <v>51</v>
      </c>
      <c r="G10" s="202" t="e">
        <f>SUM(SUMIFS(
INDEX( 'ETPT Format DDG'!$A:$ZZ,,MATCH("11.3. FORMATIONS DISPENSÉES",'ETPT Format DDG'!2:2,0)),
INDEX( 'ETPT Format DDG'!$A:$ZZ,,MATCH("Fonction recodée",'ETPT Format DDG'!2:2,0)),"Fonctionnaire CTECH",
INDEX( 'ETPT Format DDG'!$A:$ZZ,,MATCH("Juridiction",'ETPT Format DDG'!2:2,0)),$D$5))</f>
        <v>#N/A</v>
      </c>
      <c r="H10" s="78">
        <f t="shared" si="1"/>
        <v>0</v>
      </c>
      <c r="I10" s="79"/>
      <c r="J10" s="60"/>
      <c r="K10" s="60"/>
      <c r="L10" s="60"/>
      <c r="M10" s="60"/>
      <c r="N10" s="61"/>
      <c r="O10" s="53"/>
      <c r="P10" s="53"/>
      <c r="Q10" s="60"/>
      <c r="R10" s="202" t="e">
        <f>SUM(SUMIFS(
INDEX( 'ETPT Format DDG'!$A:$ZZ,,MATCH("11.3. FORMATIONS DISPENSÉES",'ETPT Format DDG'!2:2,0)),
INDEX( 'ETPT Format DDG'!$A:$ZZ,,MATCH("Fonction recodée",'ETPT Format DDG'!2:2,0)),"Fonctionnaire A-B-CBUR",
INDEX( 'ETPT Format DDG'!$A:$ZZ,,MATCH("Juridiction",'ETPT Format DDG'!2:2,0)),$D$5))</f>
        <v>#N/A</v>
      </c>
      <c r="S10" s="78">
        <f t="shared" si="2"/>
        <v>0</v>
      </c>
      <c r="T10" s="60"/>
      <c r="U10" s="60"/>
      <c r="V10" s="60"/>
      <c r="W10" s="60"/>
      <c r="X10" s="53"/>
      <c r="Y10" s="53"/>
      <c r="Z10" s="53"/>
      <c r="AA10" s="53"/>
      <c r="AB10" s="53"/>
      <c r="AC10" s="78">
        <f t="shared" si="3"/>
        <v>0</v>
      </c>
      <c r="AD10" s="60"/>
      <c r="AE10" s="60"/>
      <c r="AF10" s="202" t="e" cm="1">
        <f t="array" ref="AF10">SUM(SUMIFS(
INDEX( 'ETPT Format DDG'!$A:$ZZ,,MATCH("11.3. FORMATIONS DISPENSÉES",'ETPT Format DDG'!2:2,0)),
INDEX( 'ETPT Format DDG'!$A:$ZZ,,MATCH("Fonction recodée",'ETPT Format DDG'!2:2,0)),{"Magistrat SIEGE S";"Magistrat SIEGE NS"},
INDEX( 'ETPT Format DDG'!$A:$ZZ,,MATCH("Juridiction",'ETPT Format DDG'!2:2,0)),$D$5))</f>
        <v>#N/A</v>
      </c>
      <c r="AG10" s="78">
        <f t="shared" si="4"/>
        <v>0</v>
      </c>
    </row>
    <row r="11" spans="1:33" x14ac:dyDescent="0.2">
      <c r="A11" s="77" t="s">
        <v>172</v>
      </c>
      <c r="B11" s="59"/>
      <c r="C11" s="59"/>
      <c r="D11" s="59">
        <f t="shared" si="0"/>
        <v>0</v>
      </c>
      <c r="E11" s="59" t="s">
        <v>50</v>
      </c>
      <c r="F11" s="59" t="s">
        <v>49</v>
      </c>
      <c r="G11" s="202" t="e">
        <f>SUM(SUMIFS(
INDEX( 'ETPT Format DDG'!$A:$ZZ,,MATCH("11.4. ACCÈS AU DROIT ET À LA JUSTICE",'ETPT Format DDG'!2:2,0)),
INDEX( 'ETPT Format DDG'!$A:$ZZ,,MATCH("Fonction recodée",'ETPT Format DDG'!2:2,0)),"Fonctionnaire CTECH",
INDEX( 'ETPT Format DDG'!$A:$ZZ,,MATCH("Juridiction",'ETPT Format DDG'!2:2,0)),$D$5))</f>
        <v>#N/A</v>
      </c>
      <c r="H11" s="78">
        <f t="shared" si="1"/>
        <v>0</v>
      </c>
      <c r="I11" s="79"/>
      <c r="J11" s="60"/>
      <c r="K11" s="60"/>
      <c r="L11" s="60"/>
      <c r="M11" s="60"/>
      <c r="N11" s="61"/>
      <c r="O11" s="53"/>
      <c r="P11" s="53"/>
      <c r="Q11" s="60"/>
      <c r="R11" s="202" t="e">
        <f>SUM(SUMIFS(
INDEX( 'ETPT Format DDG'!$A:$ZZ,,MATCH("11.4. ACCÈS AU DROIT ET À LA JUSTICE",'ETPT Format DDG'!2:2,0)),
INDEX( 'ETPT Format DDG'!$A:$ZZ,,MATCH("Fonction recodée",'ETPT Format DDG'!2:2,0)),"Fonctionnaire A-B-CBUR",
INDEX( 'ETPT Format DDG'!$A:$ZZ,,MATCH("Juridiction",'ETPT Format DDG'!2:2,0)),$D$5))</f>
        <v>#N/A</v>
      </c>
      <c r="S11" s="78">
        <f t="shared" si="2"/>
        <v>0</v>
      </c>
      <c r="T11" s="60"/>
      <c r="U11" s="60"/>
      <c r="V11" s="60"/>
      <c r="W11" s="60"/>
      <c r="X11" s="53"/>
      <c r="Y11" s="53"/>
      <c r="Z11" s="53"/>
      <c r="AA11" s="53"/>
      <c r="AB11" s="53"/>
      <c r="AC11" s="78">
        <f t="shared" si="3"/>
        <v>0</v>
      </c>
      <c r="AD11" s="60"/>
      <c r="AE11" s="60"/>
      <c r="AF11" s="202" t="e" cm="1">
        <f t="array" ref="AF11">SUM(SUMIFS(
INDEX( 'ETPT Format DDG'!$A:$ZZ,,MATCH("11.4. ACCÈS AU DROIT ET À LA JUSTICE",'ETPT Format DDG'!2:2,0)),
INDEX( 'ETPT Format DDG'!$A:$ZZ,,MATCH("Fonction recodée",'ETPT Format DDG'!2:2,0)),{"Magistrat SIEGE S";"Magistrat SIEGE NS"},
INDEX( 'ETPT Format DDG'!$A:$ZZ,,MATCH("Juridiction",'ETPT Format DDG'!2:2,0)),$D$5))</f>
        <v>#N/A</v>
      </c>
      <c r="AG11" s="78">
        <f t="shared" si="4"/>
        <v>0</v>
      </c>
    </row>
    <row r="12" spans="1:33" x14ac:dyDescent="0.2">
      <c r="A12" s="77" t="s">
        <v>172</v>
      </c>
      <c r="B12" s="59"/>
      <c r="C12" s="59"/>
      <c r="D12" s="59">
        <f t="shared" si="0"/>
        <v>0</v>
      </c>
      <c r="E12" s="59" t="s">
        <v>48</v>
      </c>
      <c r="F12" s="59" t="s">
        <v>47</v>
      </c>
      <c r="G12" s="202" t="e">
        <f>SUM(SUMIFS(
INDEX( 'ETPT Format DDG'!$A:$ZZ,,MATCH("12. TOTAL des INDISPONIBILITÉS relevant de l'action 99",'ETPT Format DDG'!2:2,0)),
INDEX( 'ETPT Format DDG'!$A:$ZZ,,MATCH("Fonction recodée",'ETPT Format DDG'!2:2,0)),"Fonctionnaire CTECH",
INDEX( 'ETPT Format DDG'!$A:$ZZ,,MATCH("Juridiction",'ETPT Format DDG'!2:2,0)),$D$5))-
SUM(SUMIFS(
INDEX( 'ETPT Format DDG'!$A:$ZZ,,MATCH("12.5. MISE À DISPOSITION",'ETPT Format DDG'!2:2,0)),
INDEX( 'ETPT Format DDG'!$A:$ZZ,,MATCH("Fonction recodée",'ETPT Format DDG'!2:2,0)),"Fonctionnaire CTECH",
INDEX( 'ETPT Format DDG'!$A:$ZZ,,MATCH("Juridiction",'ETPT Format DDG'!2:2,0)),$D$5))</f>
        <v>#N/A</v>
      </c>
      <c r="H12" s="78">
        <f t="shared" si="1"/>
        <v>0</v>
      </c>
      <c r="I12" s="79"/>
      <c r="J12" s="60"/>
      <c r="K12" s="60"/>
      <c r="L12" s="60"/>
      <c r="M12" s="60"/>
      <c r="N12" s="61"/>
      <c r="O12" s="53"/>
      <c r="P12" s="53"/>
      <c r="Q12" s="60"/>
      <c r="R12" s="202" t="e">
        <f>SUM(SUMIFS(
INDEX( 'ETPT Format DDG'!$A:$ZZ,,MATCH("12. TOTAL des INDISPONIBILITÉS relevant de l'action 99",'ETPT Format DDG'!2:2,0)),
INDEX( 'ETPT Format DDG'!$A:$ZZ,,MATCH("Fonction recodée",'ETPT Format DDG'!2:2,0)),"Fonctionnaire A-B-CBUR",
INDEX( 'ETPT Format DDG'!$A:$ZZ,,MATCH("Juridiction",'ETPT Format DDG'!2:2,0)),$D$5))-
SUM(SUMIFS(
INDEX( 'ETPT Format DDG'!$A:$ZZ,,MATCH("12.5. MISE À DISPOSITION",'ETPT Format DDG'!2:2,0)),
INDEX( 'ETPT Format DDG'!$A:$ZZ,,MATCH("Fonction recodée",'ETPT Format DDG'!2:2,0)),"Fonctionnaire A-B-CBUR",
INDEX( 'ETPT Format DDG'!$A:$ZZ,,MATCH("Juridiction",'ETPT Format DDG'!2:2,0)),$D$5))</f>
        <v>#N/A</v>
      </c>
      <c r="S12" s="78">
        <f t="shared" si="2"/>
        <v>0</v>
      </c>
      <c r="T12" s="60"/>
      <c r="U12" s="60"/>
      <c r="V12" s="60"/>
      <c r="W12" s="60"/>
      <c r="X12" s="53"/>
      <c r="Y12" s="53"/>
      <c r="Z12" s="53"/>
      <c r="AA12" s="53"/>
      <c r="AB12" s="53"/>
      <c r="AC12" s="78">
        <f t="shared" si="3"/>
        <v>0</v>
      </c>
      <c r="AD12" s="60"/>
      <c r="AE12" s="60"/>
      <c r="AF12" s="202" t="e" cm="1">
        <f t="array" ref="AF12">SUM(SUMIFS(
INDEX( 'ETPT Format DDG'!$A:$ZZ,,MATCH("12. TOTAL des INDISPONIBILITÉS relevant de l'action 99",'ETPT Format DDG'!2:2,0)),
INDEX( 'ETPT Format DDG'!$A:$ZZ,,MATCH("Fonction recodée",'ETPT Format DDG'!2:2,0)),{"Magistrat SIEGE S";"Magistrat SIEGE NS"},
INDEX( 'ETPT Format DDG'!$A:$ZZ,,MATCH("Juridiction",'ETPT Format DDG'!2:2,0)),$D$5))-
SUM(SUMIFS(
INDEX( 'ETPT Format DDG'!$A:$ZZ,,MATCH("12.5. MISE À DISPOSITION",'ETPT Format DDG'!2:2,0)),
INDEX( 'ETPT Format DDG'!$A:$ZZ,,MATCH("Fonction recodée",'ETPT Format DDG'!2:2,0)),{"Magistrat SIEGE S";"Magistrat SIEGE NS"},
INDEX( 'ETPT Format DDG'!$A:$ZZ,,MATCH("Juridiction",'ETPT Format DDG'!2:2,0)),$D$5))</f>
        <v>#N/A</v>
      </c>
      <c r="AG12" s="78">
        <f t="shared" si="4"/>
        <v>0</v>
      </c>
    </row>
    <row r="13" spans="1:33" x14ac:dyDescent="0.2">
      <c r="A13" s="77" t="s">
        <v>172</v>
      </c>
      <c r="B13" s="59"/>
      <c r="C13" s="59"/>
      <c r="D13" s="59">
        <f t="shared" si="0"/>
        <v>0</v>
      </c>
      <c r="E13" s="59" t="s">
        <v>46</v>
      </c>
      <c r="F13" s="59" t="s">
        <v>45</v>
      </c>
      <c r="G13" s="202" t="e">
        <f>SUM(SUMIFS(
INDEX( 'ETPT Format DDG'!$A:$ZZ,,MATCH("12.5. MISE À DISPOSITION",'ETPT Format DDG'!2:2,0)),
INDEX( 'ETPT Format DDG'!$A:$ZZ,,MATCH("Fonction recodée",'ETPT Format DDG'!2:2,0)),"Fonctionnaire CTECH",
INDEX( 'ETPT Format DDG'!$A:$ZZ,,MATCH("Juridiction",'ETPT Format DDG'!2:2,0)),$D$5))+
_xlfn.IFNA(SUM(SUMIFS(
INDEX( 'ETPT Format DDG'!$A:$ZZ,,MATCH("13. TOTAL CONTENTIEUX LOCAUX SPÉCIFIQUES",'ETPT Format DDG'!2:2,0)),
INDEX( 'ETPT Format DDG'!$A:$ZZ,,MATCH("Fonction recodée",'ETPT Format DDG'!2:2,0)),"Fonctionnaire CTECH",
INDEX( 'ETPT Format DDG'!$A:$ZZ,,MATCH("Juridiction",'ETPT Format DDG'!2:2,0)),$D$5)),0)</f>
        <v>#N/A</v>
      </c>
      <c r="H13" s="78">
        <f t="shared" si="1"/>
        <v>0</v>
      </c>
      <c r="I13" s="56">
        <f>_xlfn.IFNA(SUM(SUMIFS(
INDEX( 'ETPT Format DDG'!$A:$ZZ,,MATCH("13. TOTAL CONTENTIEUX LOCAUX SPÉCIFIQUES",'ETPT Format DDG'!2:2,0)),
INDEX( 'ETPT Format DDG'!$A:$ZZ,,MATCH("Fonction recodée",'ETPT Format DDG'!2:2,0)),"Fonctionnaire A-B-CBUR",
INDEX( 'ETPT Format DDG'!$A:$ZZ,,MATCH("Juridiction",'ETPT Format DDG'!2:2,0)),$D$5)),0)</f>
        <v>0</v>
      </c>
      <c r="J13" s="60"/>
      <c r="K13" s="60"/>
      <c r="L13" s="60"/>
      <c r="M13" s="61"/>
      <c r="N13" s="61"/>
      <c r="O13" s="53"/>
      <c r="P13" s="53"/>
      <c r="Q13" s="60"/>
      <c r="R13" s="202" t="e">
        <f>SUM(SUMIFS(
INDEX( 'ETPT Format DDG'!$A:$ZZ,,MATCH("12.5. MISE À DISPOSITION",'ETPT Format DDG'!2:2,0)),
INDEX( 'ETPT Format DDG'!$A:$ZZ,,MATCH("Fonction recodée",'ETPT Format DDG'!2:2,0)),"Fonctionnaire A-B-CBUR",
INDEX( 'ETPT Format DDG'!$A:$ZZ,,MATCH("Juridiction",'ETPT Format DDG'!2:2,0)),$D$5))</f>
        <v>#N/A</v>
      </c>
      <c r="S13" s="78">
        <f t="shared" si="2"/>
        <v>0</v>
      </c>
      <c r="T13" s="202" cm="1">
        <f t="array" ref="T13">_xlfn.IFNA(SUM(SUMIFS(
INDEX( 'ETPT Format DDG'!$A:$ZZ,,MATCH("13. TOTAL CONTENTIEUX LOCAUX SPÉCIFIQUES",'ETPT Format DDG'!2:2,0)),
INDEX( 'ETPT Format DDG'!$A:$ZZ,,MATCH("Fonction recodée",'ETPT Format DDG'!2:2,0)),{"Magistrat SIEGE S";"Magistrat SIEGE NS"},
INDEX( 'ETPT Format DDG'!$A:$ZZ,,MATCH("Juridiction",'ETPT Format DDG'!2:2,0)),$D$5)),0)</f>
        <v>0</v>
      </c>
      <c r="U13" s="60"/>
      <c r="V13" s="60"/>
      <c r="W13" s="60"/>
      <c r="X13" s="53"/>
      <c r="Y13" s="53"/>
      <c r="Z13" s="53"/>
      <c r="AA13" s="53"/>
      <c r="AB13" s="53"/>
      <c r="AC13" s="78">
        <f t="shared" si="3"/>
        <v>0</v>
      </c>
      <c r="AD13" s="60"/>
      <c r="AE13" s="60"/>
      <c r="AF13" s="202" t="e" cm="1">
        <f t="array" ref="AF13">SUM(SUMIFS(
INDEX( 'ETPT Format DDG'!$A:$ZZ,,MATCH("12.5. MISE À DISPOSITION",'ETPT Format DDG'!2:2,0)),
INDEX( 'ETPT Format DDG'!$A:$ZZ,,MATCH("Fonction recodée",'ETPT Format DDG'!2:2,0)),{"Magistrat SIEGE S";"Magistrat SIEGE NS"},
INDEX( 'ETPT Format DDG'!$A:$ZZ,,MATCH("Juridiction",'ETPT Format DDG'!2:2,0)),$D$5))</f>
        <v>#N/A</v>
      </c>
      <c r="AG13" s="78">
        <f t="shared" si="4"/>
        <v>0</v>
      </c>
    </row>
    <row r="14" spans="1:33" x14ac:dyDescent="0.2">
      <c r="A14" s="77" t="s">
        <v>172</v>
      </c>
      <c r="B14" s="59"/>
      <c r="C14" s="59"/>
      <c r="D14" s="59">
        <f t="shared" si="0"/>
        <v>0</v>
      </c>
      <c r="E14" s="59" t="s">
        <v>44</v>
      </c>
      <c r="F14" s="59" t="s">
        <v>43</v>
      </c>
      <c r="G14" s="202" t="e">
        <f>SUM(SUMIFS(
INDEX( 'ETPT A-JUST'!$A:$ZZ,,MATCH("Temps ventilés sur la période (absentéisme et action 99 déduits)",'ETPT A-JUST'!2:2,0)),
INDEX( 'ETPT A-JUST'!$A:$ZZ,,MATCH("Fonction recodée",'ETPT A-JUST'!2:2,0)),"Fonctionnaire CTECH placé ADD",
INDEX( 'ETPT A-JUST'!$A:$ZZ,,MATCH("Juridiction",'ETPT A-JUST'!2:2,0)),$D$5))</f>
        <v>#N/A</v>
      </c>
      <c r="H14" s="78">
        <f t="shared" si="1"/>
        <v>0</v>
      </c>
      <c r="I14" s="56">
        <f>_xlfn.IFNA(SUM(SUMIFS(
INDEX( 'ETPT A-JUST'!$A:$ZZ,,MATCH("13. TOTAL CONTENTIEUX LOCAUX SPÉCIFIQUES",'ETPT A-JUST'!2:2,0)),
INDEX( 'ETPT A-JUST'!$A:$ZZ,,MATCH("Fonction recodée",'ETPT A-JUST'!2:2,0)),"Fonctionnaire A-B-CBUR placé ADD",
INDEX( 'ETPT A-JUST'!$A:$ZZ,,MATCH("Juridiction",'ETPT A-JUST'!2:2,0)),$D$5)),0)</f>
        <v>0</v>
      </c>
      <c r="J14" s="56" t="e">
        <f>SUM(SUMIFS(
INDEX( 'ETPT A-JUST'!$A:$ZZ,,MATCH("3.43. INJONCTIONS DE PAYER",'ETPT A-JUST'!2:2,0)),
INDEX( 'ETPT A-JUST'!$A:$ZZ,,MATCH("Fonction recodée",'ETPT A-JUST'!2:2,0)),"Fonctionnaire A-B-CBUR placé ADD",
INDEX( 'ETPT A-JUST'!$A:$ZZ,,MATCH("Juridiction",'ETPT A-JUST'!2:2,0)),$D$5))+
SUM(SUMIFS(
INDEX( 'ETPT A-JUST'!$A:$ZZ,,MATCH("3.44. SAISIE DES RÉMUNÉRATIONS",'ETPT A-JUST'!2:2,0)),
INDEX( 'ETPT A-JUST'!$A:$ZZ,,MATCH("Fonction recodée",'ETPT A-JUST'!2:2,0)),"Fonctionnaire A-B-CBUR placé ADD",
INDEX( 'ETPT A-JUST'!$A:$ZZ,,MATCH("Juridiction",'ETPT A-JUST'!2:2,0)),$D$5))</f>
        <v>#N/A</v>
      </c>
      <c r="K14" s="56" t="e">
        <f>SUM(SUMIFS(
INDEX( 'ETPT A-JUST'!$A:$ZZ,,MATCH("3. TOTAL CONTENTIEUX DE LA PROTECTION",'ETPT A-JUST'!2:2,0)),
INDEX( 'ETPT A-JUST'!$A:$ZZ,,MATCH("Fonction recodée",'ETPT A-JUST'!2:2,0)),"Fonctionnaire A-B-CBUR placé ADD",
INDEX( 'ETPT A-JUST'!$A:$ZZ,,MATCH("Juridiction",'ETPT A-JUST'!2:2,0)),$D$5))-
SUM(SUMIFS(
INDEX( 'ETPT A-JUST'!$A:$ZZ,,MATCH("3.2. PROTECTION DES MAJEURS",'ETPT A-JUST'!2:2,0)),
INDEX( 'ETPT A-JUST'!$A:$ZZ,,MATCH("Fonction recodée",'ETPT A-JUST'!2:2,0)),"Fonctionnaire A-B-CBUR placé ADD",
INDEX( 'ETPT A-JUST'!$A:$ZZ,,MATCH("Juridiction",'ETPT A-JUST'!2:2,0)),$D$5))-
SUM(SUMIFS(
INDEX( 'ETPT A-JUST'!$A:$ZZ,,MATCH("3.43. INJONCTIONS DE PAYER",'ETPT A-JUST'!2:2,0)),
INDEX( 'ETPT A-JUST'!$A:$ZZ,,MATCH("Fonction recodée",'ETPT A-JUST'!2:2,0)),"Fonctionnaire A-B-CBUR placé ADD",
INDEX( 'ETPT A-JUST'!$A:$ZZ,,MATCH("Juridiction",'ETPT A-JUST'!2:2,0)),$D$5))-
SUM(SUMIFS(
INDEX( 'ETPT A-JUST'!$A:$ZZ,,MATCH("3.44. SAISIE DES RÉMUNÉRATIONS",'ETPT A-JUST'!2:2,0)),
INDEX( 'ETPT A-JUST'!$A:$ZZ,,MATCH("Fonction recodée",'ETPT A-JUST'!2:2,0)),"Fonctionnaire A-B-CBUR placé ADD",
INDEX( 'ETPT A-JUST'!$A:$ZZ,,MATCH("Juridiction",'ETPT A-JUST'!2:2,0)),$D$5))</f>
        <v>#N/A</v>
      </c>
      <c r="L14" s="56" t="e">
        <f>SUM(SUMIFS(
INDEX( 'ETPT A-JUST'!$A:$ZZ,,MATCH("3.2. PROTECTION DES MAJEURS",'ETPT A-JUST'!2:2,0)),
INDEX( 'ETPT A-JUST'!$A:$ZZ,,MATCH("Fonction recodée",'ETPT A-JUST'!2:2,0)),"Fonctionnaire A-B-CBUR placé ADD",
INDEX( 'ETPT A-JUST'!$A:$ZZ,,MATCH("Juridiction",'ETPT A-JUST'!2:2,0)),$D$5))</f>
        <v>#N/A</v>
      </c>
      <c r="M14" s="61"/>
      <c r="N14" s="61"/>
      <c r="O14" s="53"/>
      <c r="P14" s="53"/>
      <c r="Q14" s="60"/>
      <c r="R14" s="202" t="e">
        <f>SUM(SUMIFS(
INDEX( 'ETPT A-JUST'!$A:$ZZ,,MATCH("1. TOTAL CONTENTIEUX SOCIAL",'ETPT A-JUST'!2:2,0)),
INDEX( 'ETPT A-JUST'!$A:$ZZ,,MATCH("Fonction recodée",'ETPT A-JUST'!2:2,0)),"Fonctionnaire A-B-CBUR placé ADD",
INDEX( 'ETPT A-JUST'!$A:$ZZ,,MATCH("Juridiction",'ETPT A-JUST'!2:2,0)),$D$5))+
SUM(SUMIFS(
INDEX( 'ETPT A-JUST'!$A:$ZZ,,MATCH("2. TOTAL CONTENTIEUX JAF",'ETPT A-JUST'!2:2,0)),
INDEX( 'ETPT A-JUST'!$A:$ZZ,,MATCH("Fonction recodée",'ETPT A-JUST'!2:2,0)),"Fonctionnaire A-B-CBUR placé ADD",
INDEX( 'ETPT A-JUST'!$A:$ZZ,,MATCH("Juridiction",'ETPT A-JUST'!2:2,0)),$D$5))+
SUM(SUMIFS(
INDEX( 'ETPT A-JUST'!$A:$ZZ,,MATCH("4. TOTAL CIVIL NON SPÉCIALISÉ",'ETPT A-JUST'!2:2,0)),
INDEX( 'ETPT A-JUST'!$A:$ZZ,,MATCH("Fonction recodée",'ETPT A-JUST'!2:2,0)),"Fonctionnaire A-B-CBUR placé ADD",
INDEX( 'ETPT A-JUST'!$A:$ZZ,,MATCH("Juridiction",'ETPT A-JUST'!2:2,0)),$D$5))+
SUM(SUMIFS(
INDEX( 'ETPT A-JUST'!$A:$ZZ,,MATCH("5. TOTAL JLD CIVIL",'ETPT A-JUST'!2:2,0)),
INDEX( 'ETPT A-JUST'!$A:$ZZ,,MATCH("Fonction recodée",'ETPT A-JUST'!2:2,0)),"Fonctionnaire A-B-CBUR placé ADD",
INDEX( 'ETPT A-JUST'!$A:$ZZ,,MATCH("Juridiction",'ETPT A-JUST'!2:2,0)),$D$5))+
SUM(SUMIFS(
INDEX( 'ETPT A-JUST'!$A:$ZZ,,MATCH("6.1. ACTIVITÉ CIVILE",'ETPT A-JUST'!2:2,0)),
INDEX( 'ETPT A-JUST'!$A:$ZZ,,MATCH("Fonction recodée",'ETPT A-JUST'!2:2,0)),"Fonctionnaire A-B-CBUR placé ADD",
INDEX( 'ETPT A-JUST'!$A:$ZZ,,MATCH("Juridiction",'ETPT A-JUST'!2:2,0)),$D$5))+
SUM(SUMIFS(
INDEX( 'ETPT A-JUST'!$A:$ZZ,,MATCH("11.8. FONCTIONNAIRES AFFECTÉS AUX ACTIVITÉS CIVILES ET COMMERCIALES DU PARQUET",'ETPT A-JUST'!2:2,0)),
INDEX( 'ETPT A-JUST'!$A:$ZZ,,MATCH("Fonction recodée",'ETPT A-JUST'!2:2,0)),"Fonctionnaire A-B-CBUR placé ADD",
INDEX( 'ETPT A-JUST'!$A:$ZZ,,MATCH("Juridiction",'ETPT A-JUST'!2:2,0)),$D$5))+
SUM(SUMIFS(
INDEX( 'ETPT A-JUST'!$A:$ZZ,,MATCH("11.51. ACCUEIL DU JUSTICIABLE (DONT SAUJ)",'ETPT A-JUST'!2:2,0)),
INDEX( 'ETPT A-JUST'!$A:$ZZ,,MATCH("Fonction recodée",'ETPT A-JUST'!2:2,0)),"Fonctionnaire A-B-CBUR placé ADD",
INDEX( 'ETPT A-JUST'!$A:$ZZ,,MATCH("Juridiction",'ETPT A-JUST'!2:2,0)),$D$5))+
SUM(SUMIFS(
INDEX( 'ETPT A-JUST'!$A:$ZZ,,MATCH("11.1. SOUTIEN (HORS FORMATIONS SUIVIES)",'ETPT A-JUST'!2:2,0)),
INDEX( 'ETPT A-JUST'!$A:$ZZ,,MATCH("Fonction recodée",'ETPT A-JUST'!2:2,0)),"Fonctionnaire A-B-CBUR placé ADD",
INDEX( 'ETPT A-JUST'!$A:$ZZ,,MATCH("Juridiction",'ETPT A-JUST'!2:2,0)),$D$5))+
SUM(SUMIFS(
INDEX( 'ETPT A-JUST'!$A:$ZZ,,MATCH("11.2. FORMATIONS SUIVIES",'ETPT A-JUST'!2:2,0)),
INDEX( 'ETPT A-JUST'!$A:$ZZ,,MATCH("Fonction recodée",'ETPT A-JUST'!2:2,0)),"Fonctionnaire A-B-CBUR placé ADD",
INDEX( 'ETPT A-JUST'!$A:$ZZ,,MATCH("Juridiction",'ETPT A-JUST'!2:2,0)),$D$5))+
SUM(SUMIFS(
INDEX( 'ETPT A-JUST'!$A:$ZZ,,MATCH("11.6. AUTRES ACTIVITÉS NON JURIDICTIONNELLES",'ETPT A-JUST'!2:2,0)),
INDEX( 'ETPT A-JUST'!$A:$ZZ,,MATCH("Fonction recodée",'ETPT A-JUST'!2:2,0)),"Fonctionnaire A-B-CBUR placé ADD",
INDEX( 'ETPT A-JUST'!$A:$ZZ,,MATCH("Juridiction",'ETPT A-JUST'!2:2,0)),$D$5))+
SUM(SUMIFS(
INDEX( 'ETPT A-JUST'!$A:$ZZ,,MATCH("11.3. FORMATIONS DISPENSÉES",'ETPT A-JUST'!2:2,0)),
INDEX( 'ETPT A-JUST'!$A:$ZZ,,MATCH("Fonction recodée",'ETPT A-JUST'!2:2,0)),"Fonctionnaire A-B-CBUR placé ADD",
INDEX( 'ETPT A-JUST'!$A:$ZZ,,MATCH("Juridiction",'ETPT A-JUST'!2:2,0)),$D$5))+
SUM(SUMIFS(
INDEX( 'ETPT A-JUST'!$A:$ZZ,,MATCH("11.4. ACCÈS AU DROIT ET À LA JUSTICE",'ETPT A-JUST'!2:2,0)),
INDEX( 'ETPT A-JUST'!$A:$ZZ,,MATCH("Fonction recodée",'ETPT A-JUST'!2:2,0)),"Fonctionnaire A-B-CBUR placé ADD",
INDEX( 'ETPT A-JUST'!$A:$ZZ,,MATCH("Juridiction",'ETPT A-JUST'!2:2,0)),$D$5))</f>
        <v>#N/A</v>
      </c>
      <c r="S14" s="78">
        <f t="shared" si="2"/>
        <v>0</v>
      </c>
      <c r="T14" s="56">
        <f>_xlfn.IFNA(SUM(SUMIFS(
INDEX( 'ETPT A-JUST'!$A:$ZZ,,MATCH("13. TOTAL CONTENTIEUX LOCAUX SPÉCIFIQUES",'ETPT A-JUST'!2:2,0)),
INDEX( 'ETPT A-JUST'!$A:$ZZ,,MATCH("Fonction recodée",'ETPT A-JUST'!2:2,0)),"Magistrat placé ADD",
INDEX( 'ETPT A-JUST'!$A:$ZZ,,MATCH("Juridiction",'ETPT A-JUST'!2:2,0)),$D$5)),0)</f>
        <v>0</v>
      </c>
      <c r="U14" s="56" t="e">
        <f>SUM(SUMIFS(
INDEX( 'ETPT A-JUST'!$A:$ZZ,,MATCH("3.43. INJONCTIONS DE PAYER",'ETPT A-JUST'!2:2,0)),
INDEX( 'ETPT A-JUST'!$A:$ZZ,,MATCH("Fonction recodée",'ETPT A-JUST'!2:2,0)),"Magistrat placé ADD",
INDEX( 'ETPT A-JUST'!$A:$ZZ,,MATCH("Juridiction",'ETPT A-JUST'!2:2,0)),$D$5))+
SUM(SUMIFS(
INDEX( 'ETPT A-JUST'!$A:$ZZ,,MATCH("3.44. SAISIE DES RÉMUNÉRATIONS",'ETPT A-JUST'!2:2,0)),
INDEX( 'ETPT A-JUST'!$A:$ZZ,,MATCH("Fonction recodée",'ETPT A-JUST'!2:2,0)),"Magistrat placé ADD",
INDEX( 'ETPT A-JUST'!$A:$ZZ,,MATCH("Juridiction",'ETPT A-JUST'!2:2,0)),$D$5))</f>
        <v>#N/A</v>
      </c>
      <c r="V14" s="56" t="e">
        <f>SUM(SUMIFS(
INDEX( 'ETPT A-JUST'!$A:$ZZ,,MATCH("3. TOTAL CONTENTIEUX DE LA PROTECTION",'ETPT A-JUST'!2:2,0)),
INDEX( 'ETPT A-JUST'!$A:$ZZ,,MATCH("Fonction recodée",'ETPT A-JUST'!2:2,0)),"Magistrat placé ADD",
INDEX( 'ETPT A-JUST'!$A:$ZZ,,MATCH("Juridiction",'ETPT A-JUST'!2:2,0)),$D$5))-
SUM(SUMIFS(
INDEX( 'ETPT A-JUST'!$A:$ZZ,,MATCH("3.2. PROTECTION DES MAJEURS",'ETPT A-JUST'!2:2,0)),
INDEX( 'ETPT A-JUST'!$A:$ZZ,,MATCH("Fonction recodée",'ETPT A-JUST'!2:2,0)),"Magistrat placé ADD",
INDEX( 'ETPT A-JUST'!$A:$ZZ,,MATCH("Juridiction",'ETPT A-JUST'!2:2,0)),$D$5))-
SUM(SUMIFS(
INDEX( 'ETPT A-JUST'!$A:$ZZ,,MATCH("3.43. INJONCTIONS DE PAYER",'ETPT A-JUST'!2:2,0)),
INDEX( 'ETPT A-JUST'!$A:$ZZ,,MATCH("Fonction recodée",'ETPT A-JUST'!2:2,0)),"Magistrat placé ADD",
INDEX( 'ETPT A-JUST'!$A:$ZZ,,MATCH("Juridiction",'ETPT A-JUST'!2:2,0)),$D$5))-
SUM(SUMIFS(
INDEX( 'ETPT A-JUST'!$A:$ZZ,,MATCH("3.44. SAISIE DES RÉMUNÉRATIONS",'ETPT A-JUST'!2:2,0)),
INDEX( 'ETPT A-JUST'!$A:$ZZ,,MATCH("Fonction recodée",'ETPT A-JUST'!2:2,0)),"Magistrat placé ADD",
INDEX( 'ETPT A-JUST'!$A:$ZZ,,MATCH("Juridiction",'ETPT A-JUST'!2:2,0)),$D$5))</f>
        <v>#N/A</v>
      </c>
      <c r="W14" s="56" t="e">
        <f>SUM(SUMIFS(
INDEX( 'ETPT A-JUST'!$A:$ZZ,,MATCH("3.2. PROTECTION DES MAJEURS",'ETPT A-JUST'!2:2,0)),
INDEX( 'ETPT A-JUST'!$A:$ZZ,,MATCH("Fonction recodée",'ETPT A-JUST'!2:2,0)),"Magistrat placé ADD",
INDEX( 'ETPT A-JUST'!$A:$ZZ,,MATCH("Juridiction",'ETPT A-JUST'!2:2,0)),$D$5))</f>
        <v>#N/A</v>
      </c>
      <c r="X14" s="53"/>
      <c r="Y14" s="53"/>
      <c r="Z14" s="53"/>
      <c r="AA14" s="53"/>
      <c r="AB14" s="53"/>
      <c r="AC14" s="78">
        <f t="shared" si="3"/>
        <v>0</v>
      </c>
      <c r="AD14" s="53"/>
      <c r="AE14" s="52" t="e">
        <f>SUM(SUMIFS(
INDEX( 'ETPT A-JUST'!$A:$ZZ,,MATCH("1.1. DÉPARTAGE PRUD'HOMAL",'ETPT A-JUST'!2:2,0)),
INDEX( 'ETPT A-JUST'!$A:$ZZ,,MATCH("Fonction recodée",'ETPT A-JUST'!2:2,0)),"Magistrat placé ADD",
INDEX( 'ETPT A-JUST'!$A:$ZZ,,MATCH("Juridiction",'ETPT A-JUST'!2:2,0)),$D$5))</f>
        <v>#N/A</v>
      </c>
      <c r="AF14" s="52" t="e">
        <f>SUM(SUMIFS(
INDEX( 'ETPT A-JUST'!$A:$ZZ,,MATCH("Temps ventilés sur la période (absentéisme et action 99 déduits)",'ETPT A-JUST'!2:2,0)),
INDEX( 'ETPT A-JUST'!$A:$ZZ,,MATCH("Fonction recodée",'ETPT A-JUST'!2:2,0)),"Magistrat placé ADD",
INDEX( 'ETPT A-JUST'!$A:$ZZ,,MATCH("Juridiction",'ETPT A-JUST'!2:2,0)),$D$5))-
_xlfn.AGGREGATE(9,6,T14:AB14)-
_xlfn.AGGREGATE(9,6,AD14:AE14)</f>
        <v>#N/A</v>
      </c>
      <c r="AG14" s="78">
        <f t="shared" si="4"/>
        <v>0</v>
      </c>
    </row>
    <row r="15" spans="1:33" x14ac:dyDescent="0.2">
      <c r="A15" s="77" t="s">
        <v>172</v>
      </c>
      <c r="B15" s="59"/>
      <c r="C15" s="59"/>
      <c r="D15" s="59">
        <f t="shared" si="0"/>
        <v>0</v>
      </c>
      <c r="E15" s="59" t="s">
        <v>41</v>
      </c>
      <c r="F15" s="59" t="s">
        <v>40</v>
      </c>
      <c r="G15" s="202" t="e">
        <f>SUM(SUMIFS(
INDEX( 'ETPT A-JUST'!$A:$ZZ,,MATCH("Temps ventilés sur la période (absentéisme et action 99 déduits)",'ETPT A-JUST'!2:2,0)),
INDEX( 'ETPT A-JUST'!$A:$ZZ,,MATCH("Fonction recodée",'ETPT A-JUST'!2:2,0)),"Fonctionnaire CTECH placé SUB",
INDEX( 'ETPT A-JUST'!$A:$ZZ,,MATCH("Juridiction",'ETPT A-JUST'!2:2,0)),$D$5))</f>
        <v>#N/A</v>
      </c>
      <c r="H15" s="78">
        <f t="shared" si="1"/>
        <v>0</v>
      </c>
      <c r="I15" s="56">
        <f>_xlfn.IFNA(SUM(SUMIFS(
INDEX( 'ETPT A-JUST'!$A:$ZZ,,MATCH("13. TOTAL CONTENTIEUX LOCAUX SPÉCIFIQUES",'ETPT A-JUST'!2:2,0)),
INDEX( 'ETPT A-JUST'!$A:$ZZ,,MATCH("Fonction recodée",'ETPT A-JUST'!2:2,0)),"Fonctionnaire A-B-CBUR placé SUB",
INDEX( 'ETPT A-JUST'!$A:$ZZ,,MATCH("Juridiction",'ETPT A-JUST'!2:2,0)),$D$5)),0)</f>
        <v>0</v>
      </c>
      <c r="J15" s="56" t="e">
        <f>SUM(SUMIFS(
INDEX( 'ETPT A-JUST'!$A:$ZZ,,MATCH("3.43. INJONCTIONS DE PAYER",'ETPT A-JUST'!2:2,0)),
INDEX( 'ETPT A-JUST'!$A:$ZZ,,MATCH("Fonction recodée",'ETPT A-JUST'!2:2,0)),"Fonctionnaire A-B-CBUR placé SUB",
INDEX( 'ETPT A-JUST'!$A:$ZZ,,MATCH("Juridiction",'ETPT A-JUST'!2:2,0)),$D$5))+
SUM(SUMIFS(
INDEX( 'ETPT A-JUST'!$A:$ZZ,,MATCH("3.44. SAISIE DES RÉMUNÉRATIONS",'ETPT A-JUST'!2:2,0)),
INDEX( 'ETPT A-JUST'!$A:$ZZ,,MATCH("Fonction recodée",'ETPT A-JUST'!2:2,0)),"Fonctionnaire A-B-CBUR placé SUB",
INDEX( 'ETPT A-JUST'!$A:$ZZ,,MATCH("Juridiction",'ETPT A-JUST'!2:2,0)),$D$5))</f>
        <v>#N/A</v>
      </c>
      <c r="K15" s="56" t="e">
        <f>SUM(SUMIFS(
INDEX( 'ETPT A-JUST'!$A:$ZZ,,MATCH("3. TOTAL CONTENTIEUX DE LA PROTECTION",'ETPT A-JUST'!2:2,0)),
INDEX( 'ETPT A-JUST'!$A:$ZZ,,MATCH("Fonction recodée",'ETPT A-JUST'!2:2,0)),"Fonctionnaire A-B-CBUR placé SUB",
INDEX( 'ETPT A-JUST'!$A:$ZZ,,MATCH("Juridiction",'ETPT A-JUST'!2:2,0)),$D$5))-
SUM(SUMIFS(
INDEX( 'ETPT A-JUST'!$A:$ZZ,,MATCH("3.2. PROTECTION DES MAJEURS",'ETPT A-JUST'!2:2,0)),
INDEX( 'ETPT A-JUST'!$A:$ZZ,,MATCH("Fonction recodée",'ETPT A-JUST'!2:2,0)),"Fonctionnaire A-B-CBUR placé SUB",
INDEX( 'ETPT A-JUST'!$A:$ZZ,,MATCH("Juridiction",'ETPT A-JUST'!2:2,0)),$D$5))-
SUM(SUMIFS(
INDEX( 'ETPT A-JUST'!$A:$ZZ,,MATCH("3.43. INJONCTIONS DE PAYER",'ETPT A-JUST'!2:2,0)),
INDEX( 'ETPT A-JUST'!$A:$ZZ,,MATCH("Fonction recodée",'ETPT A-JUST'!2:2,0)),"Fonctionnaire A-B-CBUR placé SUB",
INDEX( 'ETPT A-JUST'!$A:$ZZ,,MATCH("Juridiction",'ETPT A-JUST'!2:2,0)),$D$5))-
SUM(SUMIFS(
INDEX( 'ETPT A-JUST'!$A:$ZZ,,MATCH("3.44. SAISIE DES RÉMUNÉRATIONS",'ETPT A-JUST'!2:2,0)),
INDEX( 'ETPT A-JUST'!$A:$ZZ,,MATCH("Fonction recodée",'ETPT A-JUST'!2:2,0)),"Fonctionnaire A-B-CBUR placé SUB",
INDEX( 'ETPT A-JUST'!$A:$ZZ,,MATCH("Juridiction",'ETPT A-JUST'!2:2,0)),$D$5))</f>
        <v>#N/A</v>
      </c>
      <c r="L15" s="56" t="e">
        <f>SUM(SUMIFS(
INDEX( 'ETPT A-JUST'!$A:$ZZ,,MATCH("3.2. PROTECTION DES MAJEURS",'ETPT A-JUST'!2:2,0)),
INDEX( 'ETPT A-JUST'!$A:$ZZ,,MATCH("Fonction recodée",'ETPT A-JUST'!2:2,0)),"Fonctionnaire A-B-CBUR placé SUB",
INDEX( 'ETPT A-JUST'!$A:$ZZ,,MATCH("Juridiction",'ETPT A-JUST'!2:2,0)),$D$5))</f>
        <v>#N/A</v>
      </c>
      <c r="M15" s="61"/>
      <c r="N15" s="61"/>
      <c r="O15" s="53"/>
      <c r="P15" s="53"/>
      <c r="Q15" s="60"/>
      <c r="R15" s="202" t="e">
        <f>SUM(SUMIFS(
INDEX( 'ETPT A-JUST'!$A:$ZZ,,MATCH("1. TOTAL CONTENTIEUX SOCIAL",'ETPT A-JUST'!2:2,0)),
INDEX( 'ETPT A-JUST'!$A:$ZZ,,MATCH("Fonction recodée",'ETPT A-JUST'!2:2,0)),"Fonctionnaire A-B-CBUR placé SUB",
INDEX( 'ETPT A-JUST'!$A:$ZZ,,MATCH("Juridiction",'ETPT A-JUST'!2:2,0)),$D$5))+
SUM(SUMIFS(
INDEX( 'ETPT A-JUST'!$A:$ZZ,,MATCH("2. TOTAL CONTENTIEUX JAF",'ETPT A-JUST'!2:2,0)),
INDEX( 'ETPT A-JUST'!$A:$ZZ,,MATCH("Fonction recodée",'ETPT A-JUST'!2:2,0)),"Fonctionnaire A-B-CBUR placé SUB",
INDEX( 'ETPT A-JUST'!$A:$ZZ,,MATCH("Juridiction",'ETPT A-JUST'!2:2,0)),$D$5))+
SUM(SUMIFS(
INDEX( 'ETPT A-JUST'!$A:$ZZ,,MATCH("4. TOTAL CIVIL NON SPÉCIALISÉ",'ETPT A-JUST'!2:2,0)),
INDEX( 'ETPT A-JUST'!$A:$ZZ,,MATCH("Fonction recodée",'ETPT A-JUST'!2:2,0)),"Fonctionnaire A-B-CBUR placé SUB",
INDEX( 'ETPT A-JUST'!$A:$ZZ,,MATCH("Juridiction",'ETPT A-JUST'!2:2,0)),$D$5))+
SUM(SUMIFS(
INDEX( 'ETPT A-JUST'!$A:$ZZ,,MATCH("5. TOTAL JLD CIVIL",'ETPT A-JUST'!2:2,0)),
INDEX( 'ETPT A-JUST'!$A:$ZZ,,MATCH("Fonction recodée",'ETPT A-JUST'!2:2,0)),"Fonctionnaire A-B-CBUR placé SUB",
INDEX( 'ETPT A-JUST'!$A:$ZZ,,MATCH("Juridiction",'ETPT A-JUST'!2:2,0)),$D$5))+
SUM(SUMIFS(
INDEX( 'ETPT A-JUST'!$A:$ZZ,,MATCH("6.1. ACTIVITÉ CIVILE",'ETPT A-JUST'!2:2,0)),
INDEX( 'ETPT A-JUST'!$A:$ZZ,,MATCH("Fonction recodée",'ETPT A-JUST'!2:2,0)),"Fonctionnaire A-B-CBUR placé SUB",
INDEX( 'ETPT A-JUST'!$A:$ZZ,,MATCH("Juridiction",'ETPT A-JUST'!2:2,0)),$D$5))+
SUM(SUMIFS(
INDEX( 'ETPT A-JUST'!$A:$ZZ,,MATCH("11.8. FONCTIONNAIRES AFFECTÉS AUX ACTIVITÉS CIVILES ET COMMERCIALES DU PARQUET",'ETPT A-JUST'!2:2,0)),
INDEX( 'ETPT A-JUST'!$A:$ZZ,,MATCH("Fonction recodée",'ETPT A-JUST'!2:2,0)),"Fonctionnaire A-B-CBUR placé SUB",
INDEX( 'ETPT A-JUST'!$A:$ZZ,,MATCH("Juridiction",'ETPT A-JUST'!2:2,0)),$D$5))+
SUM(SUMIFS(
INDEX( 'ETPT A-JUST'!$A:$ZZ,,MATCH("11.51. ACCUEIL DU JUSTICIABLE (DONT SAUJ)",'ETPT A-JUST'!2:2,0)),
INDEX( 'ETPT A-JUST'!$A:$ZZ,,MATCH("Fonction recodée",'ETPT A-JUST'!2:2,0)),"Fonctionnaire A-B-CBUR placé SUB",
INDEX( 'ETPT A-JUST'!$A:$ZZ,,MATCH("Juridiction",'ETPT A-JUST'!2:2,0)),$D$5))+
SUM(SUMIFS(
INDEX( 'ETPT A-JUST'!$A:$ZZ,,MATCH("11.1. SOUTIEN (HORS FORMATIONS SUIVIES)",'ETPT A-JUST'!2:2,0)),
INDEX( 'ETPT A-JUST'!$A:$ZZ,,MATCH("Fonction recodée",'ETPT A-JUST'!2:2,0)),"Fonctionnaire A-B-CBUR placé SUB",
INDEX( 'ETPT A-JUST'!$A:$ZZ,,MATCH("Juridiction",'ETPT A-JUST'!2:2,0)),$D$5))+
SUM(SUMIFS(
INDEX( 'ETPT A-JUST'!$A:$ZZ,,MATCH("11.2. FORMATIONS SUIVIES",'ETPT A-JUST'!2:2,0)),
INDEX( 'ETPT A-JUST'!$A:$ZZ,,MATCH("Fonction recodée",'ETPT A-JUST'!2:2,0)),"Fonctionnaire A-B-CBUR placé SUB",
INDEX( 'ETPT A-JUST'!$A:$ZZ,,MATCH("Juridiction",'ETPT A-JUST'!2:2,0)),$D$5))+
SUM(SUMIFS(
INDEX( 'ETPT A-JUST'!$A:$ZZ,,MATCH("11.6. AUTRES ACTIVITÉS NON JURIDICTIONNELLES",'ETPT A-JUST'!2:2,0)),
INDEX( 'ETPT A-JUST'!$A:$ZZ,,MATCH("Fonction recodée",'ETPT A-JUST'!2:2,0)),"Fonctionnaire A-B-CBUR placé SUB",
INDEX( 'ETPT A-JUST'!$A:$ZZ,,MATCH("Juridiction",'ETPT A-JUST'!2:2,0)),$D$5))+
SUM(SUMIFS(
INDEX( 'ETPT A-JUST'!$A:$ZZ,,MATCH("11.3. FORMATIONS DISPENSÉES",'ETPT A-JUST'!2:2,0)),
INDEX( 'ETPT A-JUST'!$A:$ZZ,,MATCH("Fonction recodée",'ETPT A-JUST'!2:2,0)),"Fonctionnaire A-B-CBUR placé SUB",
INDEX( 'ETPT A-JUST'!$A:$ZZ,,MATCH("Juridiction",'ETPT A-JUST'!2:2,0)),$D$5))+
SUM(SUMIFS(
INDEX( 'ETPT A-JUST'!$A:$ZZ,,MATCH("11.4. ACCÈS AU DROIT ET À LA JUSTICE",'ETPT A-JUST'!2:2,0)),
INDEX( 'ETPT A-JUST'!$A:$ZZ,,MATCH("Fonction recodée",'ETPT A-JUST'!2:2,0)),"Fonctionnaire A-B-CBUR placé SUB",
INDEX( 'ETPT A-JUST'!$A:$ZZ,,MATCH("Juridiction",'ETPT A-JUST'!2:2,0)),$D$5))</f>
        <v>#N/A</v>
      </c>
      <c r="S15" s="78">
        <f>_xlfn.AGGREGATE(9,6,I15:R15)</f>
        <v>0</v>
      </c>
      <c r="T15" s="56">
        <f>_xlfn.IFNA(SUM(SUMIFS(
INDEX( 'ETPT A-JUST'!$A:$ZZ,,MATCH("13. TOTAL CONTENTIEUX LOCAUX SPÉCIFIQUES",'ETPT A-JUST'!2:2,0)),
INDEX( 'ETPT A-JUST'!$A:$ZZ,,MATCH("Fonction recodée",'ETPT A-JUST'!2:2,0)),"Magistrat placé SUB",
INDEX( 'ETPT A-JUST'!$A:$ZZ,,MATCH("Juridiction",'ETPT A-JUST'!2:2,0)),$D$5)),0)</f>
        <v>0</v>
      </c>
      <c r="U15" s="56" t="e">
        <f>SUM(SUMIFS(
INDEX( 'ETPT A-JUST'!$A:$ZZ,,MATCH("3.43. INJONCTIONS DE PAYER",'ETPT A-JUST'!2:2,0)),
INDEX( 'ETPT A-JUST'!$A:$ZZ,,MATCH("Fonction recodée",'ETPT A-JUST'!2:2,0)),"Magistrat placé SUB",
INDEX( 'ETPT A-JUST'!$A:$ZZ,,MATCH("Juridiction",'ETPT A-JUST'!2:2,0)),$D$5))+
SUM(SUMIFS(
INDEX( 'ETPT A-JUST'!$A:$ZZ,,MATCH("3.44. SAISIE DES RÉMUNÉRATIONS",'ETPT A-JUST'!2:2,0)),
INDEX( 'ETPT A-JUST'!$A:$ZZ,,MATCH("Fonction recodée",'ETPT A-JUST'!2:2,0)),"Magistrat placé SUB",
INDEX( 'ETPT A-JUST'!$A:$ZZ,,MATCH("Juridiction",'ETPT A-JUST'!2:2,0)),$D$5))</f>
        <v>#N/A</v>
      </c>
      <c r="V15" s="56" t="e">
        <f>SUM(SUMIFS(
INDEX( 'ETPT A-JUST'!$A:$ZZ,,MATCH("3. TOTAL CONTENTIEUX DE LA PROTECTION",'ETPT A-JUST'!2:2,0)),
INDEX( 'ETPT A-JUST'!$A:$ZZ,,MATCH("Fonction recodée",'ETPT A-JUST'!2:2,0)),"Magistrat placé SUB",
INDEX( 'ETPT A-JUST'!$A:$ZZ,,MATCH("Juridiction",'ETPT A-JUST'!2:2,0)),$D$5))-
SUM(SUMIFS(
INDEX( 'ETPT A-JUST'!$A:$ZZ,,MATCH("3.2. PROTECTION DES MAJEURS",'ETPT A-JUST'!2:2,0)),
INDEX( 'ETPT A-JUST'!$A:$ZZ,,MATCH("Fonction recodée",'ETPT A-JUST'!2:2,0)),"Magistrat placé SUB",
INDEX( 'ETPT A-JUST'!$A:$ZZ,,MATCH("Juridiction",'ETPT A-JUST'!2:2,0)),$D$5))-
SUM(SUMIFS(
INDEX( 'ETPT A-JUST'!$A:$ZZ,,MATCH("3.43. INJONCTIONS DE PAYER",'ETPT A-JUST'!2:2,0)),
INDEX( 'ETPT A-JUST'!$A:$ZZ,,MATCH("Fonction recodée",'ETPT A-JUST'!2:2,0)),"Magistrat placé SUB",
INDEX( 'ETPT A-JUST'!$A:$ZZ,,MATCH("Juridiction",'ETPT A-JUST'!2:2,0)),$D$5))-
SUM(SUMIFS(
INDEX( 'ETPT A-JUST'!$A:$ZZ,,MATCH("3.44. SAISIE DES RÉMUNÉRATIONS",'ETPT A-JUST'!2:2,0)),
INDEX( 'ETPT A-JUST'!$A:$ZZ,,MATCH("Fonction recodée",'ETPT A-JUST'!2:2,0)),"Magistrat placé SUB",
INDEX( 'ETPT A-JUST'!$A:$ZZ,,MATCH("Juridiction",'ETPT A-JUST'!2:2,0)),$D$5))</f>
        <v>#N/A</v>
      </c>
      <c r="W15" s="56" t="e">
        <f>SUM(SUMIFS(
INDEX( 'ETPT A-JUST'!$A:$ZZ,,MATCH("3.2. PROTECTION DES MAJEURS",'ETPT A-JUST'!2:2,0)),
INDEX( 'ETPT A-JUST'!$A:$ZZ,,MATCH("Fonction recodée",'ETPT A-JUST'!2:2,0)),"Magistrat placé SUB",
INDEX( 'ETPT A-JUST'!$A:$ZZ,,MATCH("Juridiction",'ETPT A-JUST'!2:2,0)),$D$5))</f>
        <v>#N/A</v>
      </c>
      <c r="X15" s="53"/>
      <c r="Y15" s="53"/>
      <c r="Z15" s="53"/>
      <c r="AA15" s="53"/>
      <c r="AB15" s="53"/>
      <c r="AC15" s="78">
        <f t="shared" si="3"/>
        <v>0</v>
      </c>
      <c r="AD15" s="60"/>
      <c r="AE15" s="52" t="e">
        <f>SUM(SUMIFS(
INDEX( 'ETPT A-JUST'!$A:$ZZ,,MATCH("1.1. DÉPARTAGE PRUD'HOMAL",'ETPT A-JUST'!2:2,0)),
INDEX( 'ETPT A-JUST'!$A:$ZZ,,MATCH("Fonction recodée",'ETPT A-JUST'!2:2,0)),"Magistrat placé SUB",
INDEX( 'ETPT A-JUST'!$A:$ZZ,,MATCH("Juridiction",'ETPT A-JUST'!2:2,0)),$D$5))</f>
        <v>#N/A</v>
      </c>
      <c r="AF15" s="52" t="e">
        <f>SUM(SUMIFS(
INDEX( 'ETPT A-JUST'!$A:$ZZ,,MATCH("Temps ventilés sur la période (absentéisme et action 99 déduits)",'ETPT A-JUST'!2:2,0)),
INDEX( 'ETPT A-JUST'!$A:$ZZ,,MATCH("Fonction recodée",'ETPT A-JUST'!2:2,0)),"Magistrat placé SUB",
INDEX( 'ETPT A-JUST'!$A:$ZZ,,MATCH("Juridiction",'ETPT A-JUST'!2:2,0)),$D$5))-
_xlfn.AGGREGATE(9,6,T15:AB15)-
_xlfn.AGGREGATE(9,6,AD15:AE15)</f>
        <v>#N/A</v>
      </c>
      <c r="AG15" s="78">
        <f>_xlfn.AGGREGATE(9,6,AD15:AF15)</f>
        <v>0</v>
      </c>
    </row>
    <row r="16" spans="1:33" x14ac:dyDescent="0.2">
      <c r="A16" s="77"/>
      <c r="B16" s="76"/>
      <c r="C16" s="76"/>
      <c r="D16" s="76"/>
      <c r="E16" s="76"/>
      <c r="F16" s="75" t="s">
        <v>39</v>
      </c>
      <c r="G16" s="78">
        <f>_xlfn.AGGREGATE(9,6,G5:G15)</f>
        <v>0</v>
      </c>
      <c r="H16" s="78">
        <f t="shared" ref="H16:AG16" si="5">_xlfn.AGGREGATE(9,6,H5:H15)</f>
        <v>0</v>
      </c>
      <c r="I16" s="78">
        <f t="shared" si="5"/>
        <v>0</v>
      </c>
      <c r="J16" s="78">
        <f t="shared" si="5"/>
        <v>0</v>
      </c>
      <c r="K16" s="78">
        <f t="shared" si="5"/>
        <v>0</v>
      </c>
      <c r="L16" s="78">
        <f t="shared" si="5"/>
        <v>0</v>
      </c>
      <c r="M16" s="78">
        <f t="shared" si="5"/>
        <v>0</v>
      </c>
      <c r="N16" s="78">
        <f t="shared" si="5"/>
        <v>0</v>
      </c>
      <c r="O16" s="78">
        <f t="shared" si="5"/>
        <v>0</v>
      </c>
      <c r="P16" s="78">
        <f t="shared" si="5"/>
        <v>0</v>
      </c>
      <c r="Q16" s="78">
        <f t="shared" si="5"/>
        <v>0</v>
      </c>
      <c r="R16" s="78">
        <f t="shared" si="5"/>
        <v>0</v>
      </c>
      <c r="S16" s="78">
        <f t="shared" si="5"/>
        <v>0</v>
      </c>
      <c r="T16" s="78">
        <f t="shared" si="5"/>
        <v>0</v>
      </c>
      <c r="U16" s="78">
        <f t="shared" si="5"/>
        <v>0</v>
      </c>
      <c r="V16" s="78">
        <f t="shared" si="5"/>
        <v>0</v>
      </c>
      <c r="W16" s="78">
        <f t="shared" si="5"/>
        <v>0</v>
      </c>
      <c r="X16" s="78">
        <f t="shared" si="5"/>
        <v>0</v>
      </c>
      <c r="Y16" s="78">
        <f t="shared" si="5"/>
        <v>0</v>
      </c>
      <c r="Z16" s="78">
        <f t="shared" si="5"/>
        <v>0</v>
      </c>
      <c r="AA16" s="78">
        <f t="shared" si="5"/>
        <v>0</v>
      </c>
      <c r="AB16" s="78">
        <f t="shared" si="5"/>
        <v>0</v>
      </c>
      <c r="AC16" s="78">
        <f>_xlfn.AGGREGATE(9,6,AC5:AC15)</f>
        <v>0</v>
      </c>
      <c r="AD16" s="78">
        <f>_xlfn.AGGREGATE(9,6,AD5:AD15)</f>
        <v>0</v>
      </c>
      <c r="AE16" s="78">
        <f t="shared" si="5"/>
        <v>0</v>
      </c>
      <c r="AF16" s="78">
        <f t="shared" si="5"/>
        <v>0</v>
      </c>
      <c r="AG16" s="78">
        <f t="shared" si="5"/>
        <v>0</v>
      </c>
    </row>
    <row r="17" spans="4:32" x14ac:dyDescent="0.2">
      <c r="S17" s="40"/>
    </row>
    <row r="18" spans="4:32" s="270" customFormat="1" ht="24" x14ac:dyDescent="0.15">
      <c r="F18" s="272" t="s">
        <v>250</v>
      </c>
      <c r="G18" s="268" t="e" cm="1">
        <f t="array" ref="G18">SUM(SUMIFS(
INDEX( 'ETPT A-JUST'!$A:$ZZ,,MATCH("12. TOTAL INDISPONIBILITÉ",'ETPT A-JUST'!2:2,0)),
INDEX( 'ETPT A-JUST'!$A:$ZZ,,MATCH("Fonction recodée",'ETPT A-JUST'!2:2,0)),{"Fonctionnaire CTECH placé ADD";"Fonctionnaire CTECH placé SUB"},
INDEX( 'ETPT A-JUST'!$A:$ZZ,,MATCH("Juridiction",'ETPT A-JUST'!2:2,0)),$D$5))</f>
        <v>#N/A</v>
      </c>
      <c r="Q18" s="269" t="s">
        <v>251</v>
      </c>
      <c r="R18" s="268" t="e" cm="1">
        <f t="array" ref="R18">SUM(SUMIFS(
INDEX( 'ETPT A-JUST'!$A:$ZZ,,MATCH("12. TOTAL INDISPONIBILITÉ",'ETPT A-JUST'!2:2,0)),
INDEX( 'ETPT A-JUST'!$A:$ZZ,,MATCH("Fonction recodée",'ETPT A-JUST'!2:2,0)),{"Fonctionnaire A-B-CBUR placé ADD";"Fonctionnaire A-B-CBUR placé SUB"},
INDEX( 'ETPT A-JUST'!$A:$ZZ,,MATCH("Juridiction",'ETPT A-JUST'!2:2,0)),$D$5))</f>
        <v>#N/A</v>
      </c>
      <c r="S18" s="271"/>
      <c r="AD18" s="269"/>
      <c r="AE18" s="269" t="s">
        <v>249</v>
      </c>
      <c r="AF18" s="52" t="e" cm="1">
        <f t="array" ref="AF18">SUM(SUMIFS(
INDEX( 'ETPT A-JUST'!$A:$ZZ,,MATCH("12. TOTAL INDISPONIBILITÉ",'ETPT A-JUST'!2:2,0)),
INDEX( 'ETPT A-JUST'!$A:$ZZ,,MATCH("Fonction recodée",'ETPT A-JUST'!2:2,0)),{"Magistrat placé ADD";"Magistrat placé SUB"},
INDEX( 'ETPT A-JUST'!$A:$ZZ,,MATCH("Juridiction",'ETPT A-JUST'!2:2,0)),$D$5))</f>
        <v>#N/A</v>
      </c>
    </row>
    <row r="19" spans="4:32" x14ac:dyDescent="0.2">
      <c r="D19" s="39" t="s">
        <v>171</v>
      </c>
    </row>
  </sheetData>
  <mergeCells count="5">
    <mergeCell ref="AG2:AG4"/>
    <mergeCell ref="A1:H1"/>
    <mergeCell ref="H2:H4"/>
    <mergeCell ref="S2:S4"/>
    <mergeCell ref="AC2:AC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0F59-85DE-F04F-B545-970F6F7A26FE}">
  <sheetPr codeName="Feuil11">
    <tabColor rgb="FF92D050"/>
  </sheetPr>
  <dimension ref="A1:J17"/>
  <sheetViews>
    <sheetView topLeftCell="D4" zoomScale="150" workbookViewId="0">
      <selection activeCell="I19" sqref="I19"/>
    </sheetView>
  </sheetViews>
  <sheetFormatPr baseColWidth="10" defaultColWidth="11" defaultRowHeight="16" x14ac:dyDescent="0.2"/>
  <cols>
    <col min="1" max="3" width="0" style="37" hidden="1" customWidth="1"/>
    <col min="4" max="4" width="15.1640625" style="37" customWidth="1"/>
    <col min="5" max="5" width="11" style="37"/>
    <col min="6" max="6" width="46.33203125" style="37" bestFit="1" customWidth="1"/>
    <col min="7" max="16384" width="11" style="37"/>
  </cols>
  <sheetData>
    <row r="1" spans="1:10" x14ac:dyDescent="0.2">
      <c r="A1" s="41"/>
      <c r="C1" s="88"/>
      <c r="D1" s="88" t="s">
        <v>216</v>
      </c>
      <c r="E1" s="88"/>
      <c r="F1" s="88"/>
      <c r="G1" s="41"/>
      <c r="H1" s="41"/>
      <c r="I1" s="41"/>
      <c r="J1" s="41"/>
    </row>
    <row r="2" spans="1:10" x14ac:dyDescent="0.2">
      <c r="A2" s="87"/>
      <c r="B2" s="86"/>
      <c r="C2" s="86"/>
      <c r="D2" s="86"/>
      <c r="E2" s="86"/>
      <c r="F2" s="86"/>
      <c r="G2" s="71" t="s">
        <v>167</v>
      </c>
      <c r="H2" s="423" t="s">
        <v>166</v>
      </c>
      <c r="I2" s="71" t="s">
        <v>38</v>
      </c>
      <c r="J2" s="423" t="s">
        <v>165</v>
      </c>
    </row>
    <row r="3" spans="1:10" ht="36" x14ac:dyDescent="0.2">
      <c r="A3" s="87"/>
      <c r="B3" s="86"/>
      <c r="C3" s="86"/>
      <c r="D3" s="86"/>
      <c r="E3" s="86"/>
      <c r="F3" s="86"/>
      <c r="G3" s="71" t="s">
        <v>145</v>
      </c>
      <c r="H3" s="423"/>
      <c r="I3" s="71" t="s">
        <v>142</v>
      </c>
      <c r="J3" s="423"/>
    </row>
    <row r="4" spans="1:10" s="256" customFormat="1" ht="36" x14ac:dyDescent="0.15">
      <c r="A4" s="257"/>
      <c r="B4" s="85" t="s">
        <v>112</v>
      </c>
      <c r="C4" s="85" t="s">
        <v>111</v>
      </c>
      <c r="D4" s="85" t="s">
        <v>32</v>
      </c>
      <c r="E4" s="85" t="s">
        <v>110</v>
      </c>
      <c r="F4" s="85" t="s">
        <v>109</v>
      </c>
      <c r="G4" s="71" t="s">
        <v>94</v>
      </c>
      <c r="H4" s="423"/>
      <c r="I4" s="71" t="s">
        <v>93</v>
      </c>
      <c r="J4" s="423"/>
    </row>
    <row r="5" spans="1:10" s="256" customFormat="1" ht="11" x14ac:dyDescent="0.15">
      <c r="A5" s="83" t="s">
        <v>215</v>
      </c>
      <c r="B5" s="82"/>
      <c r="C5" s="82"/>
      <c r="D5" s="84">
        <f>ETPT_CPH_DDG!$D$5</f>
        <v>0</v>
      </c>
      <c r="E5" s="82" t="s">
        <v>62</v>
      </c>
      <c r="F5" s="82" t="s">
        <v>61</v>
      </c>
      <c r="G5" s="273" t="e">
        <f>SUM(SUMIFS(
INDEX( 'ETPT Format DDG'!$A:$ZZ,,MATCH("11.7. FONCTIONNAIRES AFFECTÉS AU CPH",'ETPT Format DDG'!2:2,0)),
INDEX( 'ETPT Format DDG'!$A:$ZZ,,MATCH("Fonction recodée",'ETPT Format DDG'!2:2,0)),"Fonctionnaire A-B-CBUR",
INDEX( 'ETPT Format DDG'!$A:$ZZ,,MATCH("Juridiction",'ETPT Format DDG'!2:2,0)),$D$5))</f>
        <v>#N/A</v>
      </c>
      <c r="H5" s="274">
        <f>_xlfn.AGGREGATE(9,6,G5)</f>
        <v>0</v>
      </c>
      <c r="I5" s="275"/>
      <c r="J5" s="274">
        <f>_xlfn.AGGREGATE(9,6,I5)</f>
        <v>0</v>
      </c>
    </row>
    <row r="6" spans="1:10" s="256" customFormat="1" ht="11" x14ac:dyDescent="0.15">
      <c r="A6" s="83" t="s">
        <v>215</v>
      </c>
      <c r="B6" s="82"/>
      <c r="C6" s="82"/>
      <c r="D6" s="59">
        <f t="shared" ref="D6:D13" si="0">$D$5</f>
        <v>0</v>
      </c>
      <c r="E6" s="82" t="s">
        <v>56</v>
      </c>
      <c r="F6" s="82" t="s">
        <v>55</v>
      </c>
      <c r="G6" s="276"/>
      <c r="H6" s="274">
        <f t="shared" ref="H6:H13" si="1">_xlfn.AGGREGATE(9,6,G6)</f>
        <v>0</v>
      </c>
      <c r="I6" s="275"/>
      <c r="J6" s="274">
        <f t="shared" ref="J6:J13" si="2">_xlfn.AGGREGATE(9,6,I6)</f>
        <v>0</v>
      </c>
    </row>
    <row r="7" spans="1:10" s="256" customFormat="1" ht="11" x14ac:dyDescent="0.15">
      <c r="A7" s="83" t="s">
        <v>215</v>
      </c>
      <c r="B7" s="82"/>
      <c r="C7" s="82"/>
      <c r="D7" s="59">
        <f t="shared" si="0"/>
        <v>0</v>
      </c>
      <c r="E7" s="82" t="s">
        <v>54</v>
      </c>
      <c r="F7" s="82" t="s">
        <v>53</v>
      </c>
      <c r="G7" s="276"/>
      <c r="H7" s="274">
        <f t="shared" si="1"/>
        <v>0</v>
      </c>
      <c r="I7" s="277"/>
      <c r="J7" s="274">
        <f t="shared" si="2"/>
        <v>0</v>
      </c>
    </row>
    <row r="8" spans="1:10" s="256" customFormat="1" ht="11" x14ac:dyDescent="0.15">
      <c r="A8" s="83" t="s">
        <v>215</v>
      </c>
      <c r="B8" s="82"/>
      <c r="C8" s="82"/>
      <c r="D8" s="59">
        <f t="shared" si="0"/>
        <v>0</v>
      </c>
      <c r="E8" s="82" t="s">
        <v>52</v>
      </c>
      <c r="F8" s="82" t="s">
        <v>51</v>
      </c>
      <c r="G8" s="276"/>
      <c r="H8" s="274">
        <f t="shared" si="1"/>
        <v>0</v>
      </c>
      <c r="I8" s="275"/>
      <c r="J8" s="274">
        <f t="shared" si="2"/>
        <v>0</v>
      </c>
    </row>
    <row r="9" spans="1:10" s="256" customFormat="1" ht="11" x14ac:dyDescent="0.15">
      <c r="A9" s="83" t="s">
        <v>215</v>
      </c>
      <c r="B9" s="82"/>
      <c r="C9" s="82"/>
      <c r="D9" s="59">
        <f t="shared" si="0"/>
        <v>0</v>
      </c>
      <c r="E9" s="82" t="s">
        <v>50</v>
      </c>
      <c r="F9" s="82" t="s">
        <v>49</v>
      </c>
      <c r="G9" s="276"/>
      <c r="H9" s="274">
        <f t="shared" si="1"/>
        <v>0</v>
      </c>
      <c r="I9" s="277"/>
      <c r="J9" s="274">
        <f t="shared" si="2"/>
        <v>0</v>
      </c>
    </row>
    <row r="10" spans="1:10" s="256" customFormat="1" ht="11" x14ac:dyDescent="0.15">
      <c r="A10" s="83" t="s">
        <v>215</v>
      </c>
      <c r="B10" s="82"/>
      <c r="C10" s="82"/>
      <c r="D10" s="59">
        <f t="shared" si="0"/>
        <v>0</v>
      </c>
      <c r="E10" s="82" t="s">
        <v>48</v>
      </c>
      <c r="F10" s="82" t="s">
        <v>47</v>
      </c>
      <c r="G10" s="276"/>
      <c r="H10" s="274">
        <f t="shared" si="1"/>
        <v>0</v>
      </c>
      <c r="I10" s="275"/>
      <c r="J10" s="274">
        <f t="shared" si="2"/>
        <v>0</v>
      </c>
    </row>
    <row r="11" spans="1:10" s="256" customFormat="1" ht="11" x14ac:dyDescent="0.15">
      <c r="A11" s="83" t="s">
        <v>215</v>
      </c>
      <c r="B11" s="82"/>
      <c r="C11" s="82"/>
      <c r="D11" s="59">
        <f t="shared" si="0"/>
        <v>0</v>
      </c>
      <c r="E11" s="82" t="s">
        <v>46</v>
      </c>
      <c r="F11" s="82" t="s">
        <v>45</v>
      </c>
      <c r="G11" s="276"/>
      <c r="H11" s="274">
        <f t="shared" si="1"/>
        <v>0</v>
      </c>
      <c r="I11" s="277"/>
      <c r="J11" s="274">
        <f t="shared" si="2"/>
        <v>0</v>
      </c>
    </row>
    <row r="12" spans="1:10" s="256" customFormat="1" ht="11" x14ac:dyDescent="0.15">
      <c r="A12" s="83" t="s">
        <v>215</v>
      </c>
      <c r="B12" s="82"/>
      <c r="C12" s="82"/>
      <c r="D12" s="59">
        <f t="shared" si="0"/>
        <v>0</v>
      </c>
      <c r="E12" s="82" t="s">
        <v>44</v>
      </c>
      <c r="F12" s="82" t="s">
        <v>43</v>
      </c>
      <c r="G12" s="273" t="e">
        <f>SUM(SUMIFS(
INDEX( 'ETPT A-JUST'!$A:$ZZ,,MATCH("11.7. FONCTIONNAIRES AFFECTÉS AU CPH",'ETPT A-JUST'!2:2,0)),
INDEX( 'ETPT A-JUST'!$A:$ZZ,,MATCH("Fonction recodée",'ETPT A-JUST'!2:2,0)),"Fonctionnaire A-B-CBUR placé ADD",
INDEX( 'ETPT A-JUST'!$A:$ZZ,,MATCH("Juridiction",'ETPT A-JUST'!2:2,0)),$D$5))</f>
        <v>#N/A</v>
      </c>
      <c r="H12" s="274">
        <f t="shared" si="1"/>
        <v>0</v>
      </c>
      <c r="I12" s="92"/>
      <c r="J12" s="274">
        <f t="shared" si="2"/>
        <v>0</v>
      </c>
    </row>
    <row r="13" spans="1:10" s="256" customFormat="1" ht="11" x14ac:dyDescent="0.15">
      <c r="A13" s="83" t="s">
        <v>215</v>
      </c>
      <c r="B13" s="82"/>
      <c r="C13" s="82"/>
      <c r="D13" s="59">
        <f t="shared" si="0"/>
        <v>0</v>
      </c>
      <c r="E13" s="82" t="s">
        <v>41</v>
      </c>
      <c r="F13" s="82" t="s">
        <v>40</v>
      </c>
      <c r="G13" s="273" t="e">
        <f>SUM(SUMIFS(
INDEX( 'ETPT A-JUST'!$A:$ZZ,,MATCH("11.7. FONCTIONNAIRES AFFECTÉS AU CPH",'ETPT A-JUST'!2:2,0)),
INDEX( 'ETPT A-JUST'!$A:$ZZ,,MATCH("Fonction recodée",'ETPT A-JUST'!2:2,0)),"Fonctionnaire A-B-CBUR placé SUB",
INDEX( 'ETPT A-JUST'!$A:$ZZ,,MATCH("Juridiction",'ETPT A-JUST'!2:2,0)),$D$5))</f>
        <v>#N/A</v>
      </c>
      <c r="H13" s="274">
        <f t="shared" si="1"/>
        <v>0</v>
      </c>
      <c r="I13" s="92"/>
      <c r="J13" s="274">
        <f t="shared" si="2"/>
        <v>0</v>
      </c>
    </row>
    <row r="14" spans="1:10" s="256" customFormat="1" ht="11" x14ac:dyDescent="0.15">
      <c r="A14" s="258"/>
      <c r="B14" s="59"/>
      <c r="C14" s="59"/>
      <c r="D14" s="59"/>
      <c r="E14" s="76"/>
      <c r="F14" s="81" t="s">
        <v>39</v>
      </c>
      <c r="G14" s="274">
        <f>_xlfn.AGGREGATE(9,6,G5:G13)</f>
        <v>0</v>
      </c>
      <c r="H14" s="274">
        <f t="shared" ref="H14:I14" si="3">_xlfn.AGGREGATE(9,6,H5:H13)</f>
        <v>0</v>
      </c>
      <c r="I14" s="274">
        <f t="shared" si="3"/>
        <v>0</v>
      </c>
      <c r="J14" s="274">
        <f>_xlfn.AGGREGATE(9,6,J5:J13)</f>
        <v>0</v>
      </c>
    </row>
    <row r="17" spans="4:4" x14ac:dyDescent="0.2">
      <c r="D17" s="39"/>
    </row>
  </sheetData>
  <mergeCells count="2">
    <mergeCell ref="H2:H4"/>
    <mergeCell ref="J2:J4"/>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5F5A-8EB5-004B-A277-10D36200C8B6}">
  <sheetPr>
    <tabColor rgb="FF002060"/>
  </sheetPr>
  <dimension ref="A1:BL145"/>
  <sheetViews>
    <sheetView topLeftCell="G4" zoomScaleNormal="100" workbookViewId="0">
      <selection activeCell="T5" sqref="T5"/>
    </sheetView>
  </sheetViews>
  <sheetFormatPr baseColWidth="10" defaultRowHeight="15" x14ac:dyDescent="0.2"/>
  <cols>
    <col min="1" max="2" width="10.83203125" hidden="1" customWidth="1"/>
    <col min="3" max="3" width="9.83203125" bestFit="1" customWidth="1"/>
    <col min="6" max="6" width="73.83203125" customWidth="1"/>
    <col min="7" max="7" width="13.33203125" customWidth="1"/>
    <col min="8" max="8" width="13.1640625" customWidth="1"/>
    <col min="9" max="18" width="13.33203125" customWidth="1"/>
  </cols>
  <sheetData>
    <row r="1" spans="1:64" s="4" customFormat="1" ht="80" customHeight="1" x14ac:dyDescent="0.25">
      <c r="A1" s="3" t="s">
        <v>217</v>
      </c>
      <c r="B1" s="5"/>
      <c r="C1" s="5"/>
      <c r="D1" s="3" t="s">
        <v>284</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row>
    <row r="2" spans="1:64" ht="15" hidden="1" customHeight="1" x14ac:dyDescent="0.2">
      <c r="A2" s="206"/>
      <c r="B2" s="207"/>
      <c r="C2" s="207"/>
      <c r="D2" s="207"/>
      <c r="E2" s="207"/>
      <c r="F2" s="207"/>
      <c r="G2" s="208" t="s">
        <v>38</v>
      </c>
      <c r="H2" s="208" t="s">
        <v>38</v>
      </c>
      <c r="I2" s="208" t="s">
        <v>38</v>
      </c>
      <c r="J2" s="208"/>
      <c r="K2" s="208"/>
      <c r="L2" s="208" t="s">
        <v>38</v>
      </c>
      <c r="M2" s="208"/>
      <c r="N2" s="208"/>
      <c r="O2" s="208" t="s">
        <v>38</v>
      </c>
      <c r="P2" s="208" t="s">
        <v>38</v>
      </c>
      <c r="Q2" s="208" t="s">
        <v>38</v>
      </c>
      <c r="R2" s="208" t="s">
        <v>38</v>
      </c>
      <c r="S2" s="426" t="s">
        <v>271</v>
      </c>
    </row>
    <row r="3" spans="1:64" ht="24" hidden="1" customHeight="1" x14ac:dyDescent="0.2">
      <c r="A3" s="206"/>
      <c r="B3" s="207"/>
      <c r="C3" s="207"/>
      <c r="D3" s="207"/>
      <c r="E3" s="207"/>
      <c r="F3" s="207"/>
      <c r="G3" s="208" t="s">
        <v>272</v>
      </c>
      <c r="H3" s="208" t="s">
        <v>273</v>
      </c>
      <c r="I3" s="208" t="s">
        <v>143</v>
      </c>
      <c r="J3" s="208"/>
      <c r="K3" s="208"/>
      <c r="L3" s="208" t="s">
        <v>144</v>
      </c>
      <c r="M3" s="208"/>
      <c r="N3" s="208"/>
      <c r="O3" s="208" t="s">
        <v>275</v>
      </c>
      <c r="P3" s="208" t="s">
        <v>276</v>
      </c>
      <c r="Q3" s="208" t="s">
        <v>277</v>
      </c>
      <c r="R3" s="208" t="s">
        <v>278</v>
      </c>
      <c r="S3" s="426"/>
    </row>
    <row r="4" spans="1:64" ht="36" x14ac:dyDescent="0.2">
      <c r="A4" s="209"/>
      <c r="B4" s="210" t="s">
        <v>112</v>
      </c>
      <c r="C4" s="210" t="s">
        <v>111</v>
      </c>
      <c r="D4" s="210" t="s">
        <v>32</v>
      </c>
      <c r="E4" s="210" t="s">
        <v>279</v>
      </c>
      <c r="F4" s="244" t="s">
        <v>109</v>
      </c>
      <c r="G4" s="249" t="s">
        <v>476</v>
      </c>
      <c r="H4" s="249" t="s">
        <v>477</v>
      </c>
      <c r="I4" s="249" t="s">
        <v>648</v>
      </c>
      <c r="J4" s="249" t="s">
        <v>649</v>
      </c>
      <c r="K4" s="249" t="s">
        <v>650</v>
      </c>
      <c r="L4" s="249" t="s">
        <v>652</v>
      </c>
      <c r="M4" s="249" t="s">
        <v>659</v>
      </c>
      <c r="N4" s="249" t="s">
        <v>660</v>
      </c>
      <c r="O4" s="249" t="s">
        <v>653</v>
      </c>
      <c r="P4" s="249" t="s">
        <v>654</v>
      </c>
      <c r="Q4" s="249" t="s">
        <v>655</v>
      </c>
      <c r="R4" s="249" t="s">
        <v>651</v>
      </c>
      <c r="S4" s="426"/>
    </row>
    <row r="5" spans="1:64" x14ac:dyDescent="0.2">
      <c r="A5" s="211" t="s">
        <v>283</v>
      </c>
      <c r="B5" s="212"/>
      <c r="C5" s="212"/>
      <c r="D5" s="212">
        <f>ETPT_ATTJ_DDG!D5</f>
        <v>0</v>
      </c>
      <c r="E5" s="212" t="s">
        <v>62</v>
      </c>
      <c r="F5" s="213" t="s">
        <v>61</v>
      </c>
      <c r="G5" s="279" t="e" cm="1">
        <f t="array" ref="G5">SUM(SUMIFS(
INDEX( 'ETPT Format DDG'!$A:$ZZ,,MATCH("1. TOTAL CONTENTIEUX SOCIAL",'ETPT Format DDG'!2:2,0)),
INDEX( 'ETPT Format DDG'!$A:$ZZ,,MATCH("Fonction recodée",'ETPT Format DDG'!2:2,0)),{"CONT A JP Siège";"CONT A JP Parquet";"CONT A VIF Siège";"CONT A VIF Parquet"},
INDEX( 'ETPT Format DDG'!$A:$ZZ,,MATCH("Juridiction",'ETPT Format DDG'!2:2,0)),$D$5))+
SUM(SUMIFS(
INDEX( 'ETPT Format DDG'!$A:$ZZ,,MATCH("2. TOTAL CONTENTIEUX JAF",'ETPT Format DDG'!2:2,0)),
INDEX( 'ETPT Format DDG'!$A:$ZZ,,MATCH("Fonction recodée",'ETPT Format DDG'!2:2,0)),{"CONT A JP Siège";"CONT A JP Parquet";"CONT A VIF Siège";"CONT A VIF Parquet"},
INDEX( 'ETPT Format DDG'!$A:$ZZ,,MATCH("Juridiction",'ETPT Format DDG'!2:2,0)),$D$5))+
SUM(SUMIFS(
INDEX( 'ETPT Format DDG'!$A:$ZZ,,MATCH("3. TOTAL CONTENTIEUX DE LA PROTECTION",'ETPT Format DDG'!2:2,0)),
INDEX( 'ETPT Format DDG'!$A:$ZZ,,MATCH("Fonction recodée",'ETPT Format DDG'!2:2,0)),{"CONT A JP Siège";"CONT A JP Parquet";"CONT A VIF Siège";"CONT A VIF Parquet"},
INDEX( 'ETPT Format DDG'!$A:$ZZ,,MATCH("Juridiction",'ETPT Format DDG'!2:2,0)),$D$5))+
SUM(SUMIFS(
INDEX( 'ETPT Format DDG'!$A:$ZZ,,MATCH("4. TOTAL CIVIL NON SPÉCIALISÉ",'ETPT Format DDG'!2:2,0)),
INDEX( 'ETPT Format DDG'!$A:$ZZ,,MATCH("Fonction recodée",'ETPT Format DDG'!2:2,0)),{"CONT A JP Siège";"CONT A JP Parquet";"CONT A VIF Siège";"CONT A VIF Parquet"},
INDEX( 'ETPT Format DDG'!$A:$ZZ,,MATCH("Juridiction",'ETPT Format DDG'!2:2,0)),$D$5))+
SUM(SUMIFS(
INDEX( 'ETPT Format DDG'!$A:$ZZ,,MATCH("5. TOTAL JLD CIVIL",'ETPT Format DDG'!2:2,0)),
INDEX( 'ETPT Format DDG'!$A:$ZZ,,MATCH("Fonction recodée",'ETPT Format DDG'!2:2,0)),{"CONT A JP Siège";"CONT A JP Parquet";"CONT A VIF Siège";"CONT A VIF Parquet"},
INDEX( 'ETPT Format DDG'!$A:$ZZ,,MATCH("Juridiction",'ETPT Format DDG'!2:2,0)),$D$5))+
SUM(SUMIFS(
INDEX( 'ETPT Format DDG'!$A:$ZZ,,MATCH("6.1. ACTIVITÉ CIVILE",'ETPT Format DDG'!2:2,0)),
INDEX( 'ETPT Format DDG'!$A:$ZZ,,MATCH("Fonction recodée",'ETPT Format DDG'!2:2,0)),{"CONT A JP Siège";"CONT A JP Parquet";"CONT A VIF Siège";"CONT A VIF Parquet"},
INDEX( 'ETPT Format DDG'!$A:$ZZ,,MATCH("Juridiction",'ETPT Format DDG'!2:2,0)),$D$5))+
SUM(SUMIFS(
INDEX( 'ETPT Format DDG'!$A:$ZZ,,MATCH("11.7. FONCTIONNAIRES AFFECTÉS AU CPH",'ETPT Format DDG'!2:2,0)),
INDEX( 'ETPT Format DDG'!$A:$ZZ,,MATCH("Fonction recodée",'ETPT Format DDG'!2:2,0)),{"CONT A JP Siège";"CONT A JP Parquet";"CONT A VIF Siège";"CONT A VIF Parquet"},
INDEX( 'ETPT Format DDG'!$A:$ZZ,,MATCH("Juridiction",'ETPT Format DDG'!2:2,0)),$D$5))</f>
        <v>#N/A</v>
      </c>
      <c r="H5" s="279" t="e" cm="1">
        <f t="array" ref="H5">SUM(SUMIFS(
INDEX( 'ETPT Format DDG'!$A:$ZZ,,MATCH("11.8. FONCTIONNAIRES AFFECTÉS AUX ACTIVITÉS CIVILES ET COMMERCIALES DU PARQUET",'ETPT Format DDG'!2:2,0)),
INDEX( 'ETPT Format DDG'!$A:$ZZ,,MATCH("Fonction recodée",'ETPT Format DDG'!2:2,0)),{"CONT A JP Siège";"CONT A JP Parquet";"CONT A VIF Siège";"CONT A VIF Parquet"},
INDEX( 'ETPT Format DDG'!$A:$ZZ,,MATCH("Juridiction",'ETPT Format DDG'!2:2,0)),$D$5))</f>
        <v>#N/A</v>
      </c>
      <c r="I5" s="280" t="e" cm="1">
        <f t="array" ref="I5">SUM(SUMIFS(
INDEX( 'ETPT Format DDG'!$A:$ZZ,,MATCH("1. TOTAL CONTENTIEUX SOCIAL",'ETPT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DDG'!$A:$ZZ,,MATCH("2. TOTAL CONTENTIEUX JAF",'ETPT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DDG'!$A:$ZZ,,MATCH("3. TOTAL CONTENTIEUX DE LA PROTECTION",'ETPT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DDG'!$A:$ZZ,,MATCH("4. TOTAL CIVIL NON SPÉCIALISÉ",'ETPT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DDG'!$A:$ZZ,,MATCH("5. TOTAL JLD CIVIL",'ETPT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DDG'!$A:$ZZ,,MATCH("11.7. FONCTIONNAIRES AFFECTÉS AU CPH",'ETPT Format DDG'!2:2,0)),
INDEX( 'ETPT Format DDG'!$A:$ZZ,,MATCH("Fonction recodée",'ETPT Format DDG'!2:2,0)),{"JA/AttJ JAP";"JA/AttJ JE";"JA/AttJ JI";"JA/AttJ JLD PÉNAL";"JA/AttJ Parquet";"JA/AttJ Siège autres";"JA/AttJ Siege Assises";"JA/AttJ Siege CCD"},
INDEX( 'ETPT Format DDG'!$A:$ZZ,,MATCH("Juridiction",'ETPT Format DDG'!2:2,0)),$D$5))</f>
        <v>#N/A</v>
      </c>
      <c r="J5" s="280"/>
      <c r="K5" s="280"/>
      <c r="L5" s="280" t="e" cm="1">
        <f t="array" ref="L5">SUM(SUMIFS(
INDEX( 'ETPT Format DDG'!$A:$ZZ,,MATCH("11.8. FONCTIONNAIRES AFFECTÉS AUX ACTIVITÉS CIVILES ET COMMERCIALES DU PARQUET",'ETPT Format DDG'!2:2,0)),
INDEX( 'ETPT Format DDG'!$A:$ZZ,,MATCH("Fonction recodée",'ETPT Format DDG'!2:2,0)),{"JA/AttJ JAP";"JA/AttJ JE";"JA/AttJ JI";"JA/AttJ JLD PÉNAL";"JA/AttJ Parquet";"JA/AttJ Siège autres";"JA/AttJ Siege Assises";"JA/AttJ Siege CCD"},
INDEX( 'ETPT Format DDG'!$A:$ZZ,,MATCH("Juridiction",'ETPT Format DDG'!2:2,0)),$D$5))</f>
        <v>#N/A</v>
      </c>
      <c r="M5" s="280"/>
      <c r="N5" s="280"/>
      <c r="O5" s="280"/>
      <c r="P5" s="280" t="e" cm="1">
        <f t="array" ref="P5">SUM(SUMIFS(
INDEX( 'ETPT Format DDG'!$A:$ZZ,,MATCH("6.1. ACTIVITÉ CIVILE",'ETPT Format DDG'!2:2,0)),
INDEX( 'ETPT Format DDG'!$A:$ZZ,,MATCH("Fonction recodée",'ETPT Format DDG'!2:2,0)),{"JA/AttJ JAP";"JA/AttJ JE";"JA/AttJ JI";"JA/AttJ JLD PÉNAL";"JA/AttJ Parquet";"JA/AttJ Siège autres";"JA/AttJ Siege Assises";"JA/AttJ Siege CCD"},
INDEX( 'ETPT Format DDG'!$A:$ZZ,,MATCH("Juridiction",'ETPT Format DDG'!2:2,0)),$D$5))</f>
        <v>#N/A</v>
      </c>
      <c r="Q5" s="280"/>
      <c r="R5" s="280"/>
      <c r="S5" s="278">
        <f t="shared" ref="S5:S12" si="0">_xlfn.AGGREGATE(9,6,G5:R5)</f>
        <v>0</v>
      </c>
    </row>
    <row r="6" spans="1:64" x14ac:dyDescent="0.2">
      <c r="A6" s="211" t="s">
        <v>283</v>
      </c>
      <c r="B6" s="212"/>
      <c r="C6" s="212"/>
      <c r="D6" s="212">
        <f>ETPT_ATTJ_DDG!D6</f>
        <v>0</v>
      </c>
      <c r="E6" s="212" t="s">
        <v>60</v>
      </c>
      <c r="F6" s="213" t="s">
        <v>59</v>
      </c>
      <c r="G6" s="279" t="e" cm="1">
        <f t="array" ref="G6">SUM(SUMIFS(
INDEX( 'ETPT Format DDG'!$A:$ZZ,,MATCH("6.2. ACTIVITÉ PÉNALE",'ETPT Format DDG'!2:2,0)),
INDEX( 'ETPT Format DDG'!$A:$ZZ,,MATCH("Fonction recodée",'ETPT Format DDG'!2:2,0)),{"CONT A JP Siège";"CONT A JP Parquet";"CONT A VIF Siège";"CONT A VIF Parquet"},
INDEX( 'ETPT Format DDG'!$A:$ZZ,,MATCH("Juridiction",'ETPT Format DDG'!2:2,0)),$D$5))+
SUM(SUMIFS(
INDEX( 'ETPT Format DDG'!$A:$ZZ,,MATCH("7. TOTAL SIÈGE PÉNAL",'ETPT Format DDG'!2:2,0)),
INDEX( 'ETPT Format DDG'!$A:$ZZ,,MATCH("Fonction recodée",'ETPT Format DDG'!2:2,0)),{"CONT A JP Siège";"CONT A JP Parquet";"CONT A VIF Siège";"CONT A VIF Parquet"},
INDEX( 'ETPT Format DDG'!$A:$ZZ,,MATCH("Juridiction",'ETPT Format DDG'!2:2,0)),$D$5))+
SUM(SUMIFS(
INDEX( 'ETPT Format DDG'!$A:$ZZ,,MATCH("8. TOTAL JUGES D'INSTRUCTION",'ETPT Format DDG'!2:2,0)),
INDEX( 'ETPT Format DDG'!$A:$ZZ,,MATCH("Fonction recodée",'ETPT Format DDG'!2:2,0)),{"CONT A JP Siège";"CONT A JP Parquet";"CONT A VIF Siège";"CONT A VIF Parquet"},
INDEX( 'ETPT Format DDG'!$A:$ZZ,,MATCH("Juridiction",'ETPT Format DDG'!2:2,0)),$D$5))+
SUM(SUMIFS(
INDEX( 'ETPT Format DDG'!$A:$ZZ,,MATCH("9. TOTAL JAP",'ETPT Format DDG'!2:2,0)),
INDEX( 'ETPT Format DDG'!$A:$ZZ,,MATCH("Fonction recodée",'ETPT Format DDG'!2:2,0)),{"CONT A JP Siège";"CONT A JP Parquet";"CONT A VIF Siège";"CONT A VIF Parquet"},
INDEX( 'ETPT Format DDG'!$A:$ZZ,,MATCH("Juridiction",'ETPT Format DDG'!2:2,0)),$D$5))+
SUM(SUMIFS(
INDEX( 'ETPT Format DDG'!$A:$ZZ,,MATCH("10. TOTAL JLD PÉNAL",'ETPT Format DDG'!2:2,0)),
INDEX( 'ETPT Format DDG'!$A:$ZZ,,MATCH("Fonction recodée",'ETPT Format DDG'!2:2,0)),{"CONT A JP Siège";"CONT A JP Parquet";"CONT A VIF Siège";"CONT A VIF Parquet"},
INDEX( 'ETPT Format DDG'!$A:$ZZ,,MATCH("Juridiction",'ETPT Format DDG'!2:2,0)),$D$5))</f>
        <v>#N/A</v>
      </c>
      <c r="H6" s="279" t="e" cm="1">
        <f t="array" ref="H6">SUM(SUMIFS(
INDEX( 'ETPT Format DDG'!$A:$ZZ,,MATCH("11.9. FONCTIONNAIRES AFFECTÉS À L'EXÉCUTION DES PEINES",'ETPT Format DDG'!2:2,0)),
INDEX( 'ETPT Format DDG'!$A:$ZZ,,MATCH("Fonction recodée",'ETPT Format DDG'!2:2,0)),{"CONT A JP Siège";"CONT A JP Parquet";"CONT A VIF Siège";"CONT A VIF Parquet"},
INDEX( 'ETPT Format DDG'!$A:$ZZ,,MATCH("Juridiction",'ETPT Format DDG'!2:2,0)),$D$5))+
SUM(SUMIFS(
INDEX( 'ETPT Format DDG'!$A:$ZZ,,MATCH("11.10. AUTRES FONCTIONNAIRES AFFECTÉS AU PARQUET",'ETPT Format DDG'!2:2,0)),
INDEX( 'ETPT Format DDG'!$A:$ZZ,,MATCH("Fonction recodée",'ETPT Format DDG'!2:2,0)),{"CONT A JP Siège";"CONT A JP Parquet";"CONT A VIF Siège";"CONT A VIF Parquet"},
INDEX( 'ETPT Format DDG'!$A:$ZZ,,MATCH("Juridiction",'ETPT Format DDG'!2:2,0)),$D$5))</f>
        <v>#N/A</v>
      </c>
      <c r="I6" s="280" t="e" cm="1">
        <f t="array" ref="I6">MAX(0,SUM(SUMIFS(
INDEX( 'ETPT Format DDG'!$A:$ZZ,,MATCH("7. TOTAL SIÈGE PÉNAL",'ETPT Format DDG'!2:2,0)),
INDEX( 'ETPT Format DDG'!$A:$ZZ,,MATCH("Fonction recodée",'ETPT Format DDG'!2:2,0)),{"JA/AttJ JAP";"JA/AttJ JE";"JA/AttJ JI";"JA/AttJ JLD PÉNAL";"JA/AttJ Parquet";"JA/AttJ Siège autres";"JA/AttJ Siege Assises";"JA/AttJ Siege CCD"},
INDEX( 'ETPT Format DDG'!$A:$ZZ,,MATCH("Juridiction",'ETPT Format DDG'!2:2,0)),$D$5)) -
SUM(SUMIFS(
INDEX( 'ETPT Format DDG'!$A:$ZZ,,MATCH("7.51. COUR D'ASSISES JIRS",'ETPT Format DDG'!2:2,0)),
INDEX( 'ETPT Format DDG'!$A:$ZZ,,MATCH("Fonction recodée",'ETPT Format DDG'!2:2,0)),{"JA/AttJ JAP";"JA/AttJ JE";"JA/AttJ JI";"JA/AttJ JLD PÉNAL";"JA/AttJ Parquet";"JA/AttJ Siège autres";"JA/AttJ Siege Assises";"JA/AttJ Siege CCD"},
INDEX( 'ETPT Format DDG'!$A:$ZZ,,MATCH("Juridiction",'ETPT Format DDG'!2:2,0)),$D$5)) -
SUM(SUMIFS(
INDEX( 'ETPT Format DDG'!$A:$ZZ,,MATCH("7.52. COUR CRIMINELLE",'ETPT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DDG'!$A:$ZZ,,MATCH("7.5. COUR D'ASSISES HORS JIRS",'ETPT Format DDG'!2:2,0)),
INDEX( 'ETPT Format DDG'!$A:$ZZ,,MATCH("Fonction recodée",'ETPT Format DDG'!2:2,0)),{"JA/AttJ JAP";"JA/AttJ JE";"JA/AttJ JI";"JA/AttJ JLD PÉNAL";"JA/AttJ Parquet";"JA/AttJ Siège autres";"JA/AttJ Siege Assises";"JA/AttJ Siege CCD"},
INDEX( 'ETPT Format DDG'!$A:$ZZ,,MATCH("Juridiction",'ETPT Format DDG'!2:2,0)),$D$5)))</f>
        <v>#N/A</v>
      </c>
      <c r="J6" s="280" t="e" cm="1">
        <f t="array" ref="J6">SUM(SUMIFS(
INDEX( 'ETPT Format DDG'!$A:$ZZ,,MATCH("7.5. COUR D'ASSISES HORS JIRS",'ETPT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DDG'!$A:$ZZ,,MATCH("7.51. COUR D'ASSISES JIRS",'ETPT Format DDG'!2:2,0)),
INDEX( 'ETPT Format DDG'!$A:$ZZ,,MATCH("Fonction recodée",'ETPT Format DDG'!2:2,0)),{"JA/AttJ JAP";"JA/AttJ JE";"JA/AttJ JI";"JA/AttJ JLD PÉNAL";"JA/AttJ Parquet";"JA/AttJ Siège autres";"JA/AttJ Siege Assises";"JA/AttJ Siege CCD"},
INDEX( 'ETPT Format DDG'!$A:$ZZ,,MATCH("Juridiction",'ETPT Format DDG'!2:2,0)),$D$5))</f>
        <v>#N/A</v>
      </c>
      <c r="K6" s="280" t="e" cm="1">
        <f t="array" ref="K6">SUM(SUMIFS(
INDEX( 'ETPT Format DDG'!$A:$ZZ,,MATCH("7.52. COUR CRIMINELLE",'ETPT Format DDG'!2:2,0)),
INDEX( 'ETPT Format DDG'!$A:$ZZ,,MATCH("Fonction recodée",'ETPT Format DDG'!2:2,0)),{"JA/AttJ JAP";"JA/AttJ JE";"JA/AttJ JI";"JA/AttJ JLD PÉNAL";"JA/AttJ Parquet";"JA/AttJ Siège autres";"JA/AttJ Siege Assises";"JA/AttJ Siege CCD"},
INDEX( 'ETPT Format DDG'!$A:$ZZ,,MATCH("Juridiction",'ETPT Format DDG'!2:2,0)),$D$5))</f>
        <v>#N/A</v>
      </c>
      <c r="L6" s="280" t="e" cm="1">
        <f t="array" ref="L6">SUM(SUMIFS(
INDEX( 'ETPT Format DDG'!$A:$ZZ,,MATCH("11.9. FONCTIONNAIRES AFFECTÉS À L'EXÉCUTION DES PEINES",'ETPT Format DDG'!2:2,0)),
INDEX( 'ETPT Format DDG'!$A:$ZZ,,MATCH("Fonction recodée",'ETPT Format DDG'!2:2,0)),{"JA/AttJ JAP";"JA/AttJ JE";"JA/AttJ JI";"JA/AttJ JLD PÉNAL";"JA/AttJ Parquet";"JA/AttJ Siège autres";"JA/AttJ Siege Assises";"JA/AttJ Siege CCD"},
INDEX( 'ETPT Format DDG'!$A:$ZZ,,MATCH("Juridiction",'ETPT Format DDG'!2:2,0)),$D$5))+
SUM(SUMIFS(
INDEX( 'ETPT Format DDG'!$A:$ZZ,,MATCH("11.10. AUTRES FONCTIONNAIRES AFFECTÉS AU PARQUET",'ETPT Format DDG'!2:2,0)),
INDEX( 'ETPT Format DDG'!$A:$ZZ,,MATCH("Fonction recodée",'ETPT Format DDG'!2:2,0)),{"JA/AttJ JAP";"JA/AttJ JE";"JA/AttJ JI";"JA/AttJ JLD PÉNAL";"JA/AttJ Parquet";"JA/AttJ Siège autres";"JA/AttJ Siege Assises";"JA/AttJ Siege CCD"},
INDEX( 'ETPT Format DDG'!$A:$ZZ,,MATCH("Juridiction",'ETPT Format DDG'!2:2,0)),$D$5))</f>
        <v>#N/A</v>
      </c>
      <c r="M6" s="280"/>
      <c r="N6" s="280"/>
      <c r="O6" s="280" t="e" cm="1">
        <f t="array" ref="O6">SUM(SUMIFS(
INDEX( 'ETPT Format DDG'!$A:$ZZ,,MATCH("9. TOTAL JAP",'ETPT Format DDG'!2:2,0)),
INDEX( 'ETPT Format DDG'!$A:$ZZ,,MATCH("Fonction recodée",'ETPT Format DDG'!2:2,0)),{"JA/AttJ JAP";"JA/AttJ JE";"JA/AttJ JI";"JA/AttJ JLD PÉNAL";"JA/AttJ Parquet";"JA/AttJ Siège autres";"JA/AttJ Siege Assises";"JA/AttJ Siege CCD"},
INDEX( 'ETPT Format DDG'!$A:$ZZ,,MATCH("Juridiction",'ETPT Format DDG'!2:2,0)),$D$5))</f>
        <v>#N/A</v>
      </c>
      <c r="P6" s="280" t="e" cm="1">
        <f t="array" ref="P6">SUM(SUMIFS(
INDEX( 'ETPT Format DDG'!$A:$ZZ,,MATCH("6.2. ACTIVITÉ PÉNALE",'ETPT Format DDG'!2:2,0)),
INDEX( 'ETPT Format DDG'!$A:$ZZ,,MATCH("Fonction recodée",'ETPT Format DDG'!2:2,0)),{"JA/AttJ JAP";"JA/AttJ JE";"JA/AttJ JI";"JA/AttJ JLD PÉNAL";"JA/AttJ Parquet";"JA/AttJ Siège autres";"JA/AttJ Siege Assises";"JA/AttJ Siege CCD"},
INDEX( 'ETPT Format DDG'!$A:$ZZ,,MATCH("Juridiction",'ETPT Format DDG'!2:2,0)),$D$5))</f>
        <v>#N/A</v>
      </c>
      <c r="Q6" s="280" t="e" cm="1">
        <f t="array" ref="Q6">SUM(SUMIFS(
INDEX( 'ETPT Format DDG'!$A:$ZZ,,MATCH("8. TOTAL JUGES D'INSTRUCTION",'ETPT Format DDG'!2:2,0)),
INDEX( 'ETPT Format DDG'!$A:$ZZ,,MATCH("Fonction recodée",'ETPT Format DDG'!2:2,0)),{"JA/AttJ JAP";"JA/AttJ JE";"JA/AttJ JI";"JA/AttJ JLD PÉNAL";"JA/AttJ Parquet";"JA/AttJ Siège autres";"JA/AttJ Siege Assises";"JA/AttJ Siege CCD"},
INDEX( 'ETPT Format DDG'!$A:$ZZ,,MATCH("Juridiction",'ETPT Format DDG'!2:2,0)),$D$5))</f>
        <v>#N/A</v>
      </c>
      <c r="R6" s="280" t="e" cm="1">
        <f t="array" ref="R6">SUM(SUMIFS(
INDEX( 'ETPT Format DDG'!$A:$ZZ,,MATCH("10. TOTAL JLD PÉNAL",'ETPT Format DDG'!2:2,0)),
INDEX( 'ETPT Format DDG'!$A:$ZZ,,MATCH("Fonction recodée",'ETPT Format DDG'!2:2,0)),{"JA/AttJ JAP";"JA/AttJ JE";"JA/AttJ JI";"JA/AttJ JLD PÉNAL";"JA/AttJ Parquet";"JA/AttJ Siège autres";"JA/AttJ Siege Assises";"JA/AttJ Siege CCD"},
INDEX( 'ETPT Format DDG'!$A:$ZZ,,MATCH("Juridiction",'ETPT Format DDG'!2:2,0)),$D$5))</f>
        <v>#N/A</v>
      </c>
      <c r="S6" s="278">
        <f t="shared" si="0"/>
        <v>0</v>
      </c>
    </row>
    <row r="7" spans="1:64" x14ac:dyDescent="0.2">
      <c r="A7" s="211" t="s">
        <v>283</v>
      </c>
      <c r="B7" s="212"/>
      <c r="C7" s="212"/>
      <c r="D7" s="212">
        <f>ETPT_ATTJ_DDG!D7</f>
        <v>0</v>
      </c>
      <c r="E7" s="212" t="s">
        <v>56</v>
      </c>
      <c r="F7" s="213" t="s">
        <v>55</v>
      </c>
      <c r="G7" s="279" t="e" cm="1">
        <f t="array" ref="G7">SUM(SUMIFS(
INDEX( 'ETPT Format DDG'!$A:$ZZ,,MATCH("11.51. ACCUEIL DU JUSTICIABLE (DONT SAUJ)",'ETPT Format DDG'!2:2,0)),
INDEX( 'ETPT Format DDG'!$A:$ZZ,,MATCH("Fonction recodée",'ETPT Format DDG'!2:2,0)),{"CONT A JP Siège";"CONT A VIF Siège"},
INDEX( 'ETPT Format DDG'!$A:$ZZ,,MATCH("Juridiction",'ETPT Format DDG'!2:2,0)),$D$5))</f>
        <v>#N/A</v>
      </c>
      <c r="H7" s="279" t="e" cm="1">
        <f t="array" ref="H7">SUM(SUMIFS(
INDEX( 'ETPT Format DDG'!$A:$ZZ,,MATCH("11.51. ACCUEIL DU JUSTICIABLE (DONT SAUJ)",'ETPT Format DDG'!2:2,0)),
INDEX( 'ETPT Format DDG'!$A:$ZZ,,MATCH("Fonction recodée",'ETPT Format DDG'!2:2,0)),{"CONT A JP Parquet";"CONT A VIF Parquet"},
INDEX( 'ETPT Format DDG'!$A:$ZZ,,MATCH("Juridiction",'ETPT Format DDG'!2:2,0)),$D$5))</f>
        <v>#N/A</v>
      </c>
      <c r="I7" s="280" t="e">
        <f>SUM(SUMIFS(
INDEX( 'ETPT Format DDG'!$A:$ZZ,,MATCH("11.51. ACCUEIL DU JUSTICIABLE (DONT SAUJ)",'ETPT Format DDG'!2:2,0)),
INDEX( 'ETPT Format DDG'!$A:$ZZ,,MATCH("Fonction recodée",'ETPT Format DDG'!2:2,0)),"JA/AttJ Siège autres",
INDEX( 'ETPT Format DDG'!$A:$ZZ,,MATCH("Juridiction",'ETPT Format DDG'!2:2,0)),$D$5))</f>
        <v>#N/A</v>
      </c>
      <c r="J7" s="280" t="e">
        <f>SUM(SUMIFS(
INDEX( 'ETPT Format DDG'!$A:$ZZ,,MATCH("11.51. ACCUEIL DU JUSTICIABLE (DONT SAUJ)",'ETPT Format DDG'!2:2,0)),
INDEX( 'ETPT Format DDG'!$A:$ZZ,,MATCH("Fonction recodée",'ETPT Format DDG'!2:2,0)),"JA/AttJ Siege Assises",
INDEX( 'ETPT Format DDG'!$A:$ZZ,,MATCH("Juridiction",'ETPT Format DDG'!2:2,0)),$D$5))</f>
        <v>#N/A</v>
      </c>
      <c r="K7" s="280" t="e">
        <f>SUM(SUMIFS(
INDEX( 'ETPT Format DDG'!$A:$ZZ,,MATCH("11.51. ACCUEIL DU JUSTICIABLE (DONT SAUJ)",'ETPT Format DDG'!2:2,0)),
INDEX( 'ETPT Format DDG'!$A:$ZZ,,MATCH("Fonction recodée",'ETPT Format DDG'!2:2,0)),"JA/AttJ Siege CCD",
INDEX( 'ETPT Format DDG'!$A:$ZZ,,MATCH("Juridiction",'ETPT Format DDG'!2:2,0)),$D$5))</f>
        <v>#N/A</v>
      </c>
      <c r="L7" s="280" t="e">
        <f>SUM(SUMIFS(
INDEX( 'ETPT Format DDG'!$A:$ZZ,,MATCH("11.51. ACCUEIL DU JUSTICIABLE (DONT SAUJ)",'ETPT Format DDG'!2:2,0)),
INDEX( 'ETPT Format DDG'!$A:$ZZ,,MATCH("Fonction recodée",'ETPT Format DDG'!2:2,0)),"JA/AttJ Parquet",
INDEX( 'ETPT Format DDG'!$A:$ZZ,,MATCH("Juridiction",'ETPT Format DDG'!2:2,0)),$D$5))</f>
        <v>#N/A</v>
      </c>
      <c r="M7" s="280"/>
      <c r="N7" s="280"/>
      <c r="O7" s="280" t="e">
        <f>SUM(SUMIFS(
INDEX( 'ETPT Format DDG'!$A:$ZZ,,MATCH("11.51. ACCUEIL DU JUSTICIABLE (DONT SAUJ)",'ETPT Format DDG'!2:2,0)),
INDEX( 'ETPT Format DDG'!$A:$ZZ,,MATCH("Fonction recodée",'ETPT Format DDG'!2:2,0)),"JA/AttJ JAP",
INDEX( 'ETPT Format DDG'!$A:$ZZ,,MATCH("Juridiction",'ETPT Format DDG'!2:2,0)),$D$5))</f>
        <v>#N/A</v>
      </c>
      <c r="P7" s="280" t="e">
        <f>SUM(SUMIFS(
INDEX( 'ETPT Format DDG'!$A:$ZZ,,MATCH("11.51. ACCUEIL DU JUSTICIABLE (DONT SAUJ)",'ETPT Format DDG'!2:2,0)),
INDEX( 'ETPT Format DDG'!$A:$ZZ,,MATCH("Fonction recodée",'ETPT Format DDG'!2:2,0)),"JA/AttJ JE",
INDEX( 'ETPT Format DDG'!$A:$ZZ,,MATCH("Juridiction",'ETPT Format DDG'!2:2,0)),$D$5))</f>
        <v>#N/A</v>
      </c>
      <c r="Q7" s="280" t="e">
        <f>SUM(SUMIFS(
INDEX( 'ETPT Format DDG'!$A:$ZZ,,MATCH("11.51. ACCUEIL DU JUSTICIABLE (DONT SAUJ)",'ETPT Format DDG'!2:2,0)),
INDEX( 'ETPT Format DDG'!$A:$ZZ,,MATCH("Fonction recodée",'ETPT Format DDG'!2:2,0)),"JA/AttJ JI",
INDEX( 'ETPT Format DDG'!$A:$ZZ,,MATCH("Juridiction",'ETPT Format DDG'!2:2,0)),$D$5))</f>
        <v>#N/A</v>
      </c>
      <c r="R7" s="280" t="e">
        <f>SUM(SUMIFS(
INDEX( 'ETPT Format DDG'!$A:$ZZ,,MATCH("11.51. ACCUEIL DU JUSTICIABLE (DONT SAUJ)",'ETPT Format DDG'!2:2,0)),
INDEX( 'ETPT Format DDG'!$A:$ZZ,,MATCH("Fonction recodée",'ETPT Format DDG'!2:2,0)),"JA/AttJ JLD PÉNAL",
INDEX( 'ETPT Format DDG'!$A:$ZZ,,MATCH("Juridiction",'ETPT Format DDG'!2:2,0)),$D$5))</f>
        <v>#N/A</v>
      </c>
      <c r="S7" s="278">
        <f t="shared" si="0"/>
        <v>0</v>
      </c>
    </row>
    <row r="8" spans="1:64" x14ac:dyDescent="0.2">
      <c r="A8" s="211" t="s">
        <v>283</v>
      </c>
      <c r="B8" s="212"/>
      <c r="C8" s="212"/>
      <c r="D8" s="212">
        <f>ETPT_ATTJ_DDG!D8</f>
        <v>0</v>
      </c>
      <c r="E8" s="212" t="s">
        <v>54</v>
      </c>
      <c r="F8" s="213" t="s">
        <v>53</v>
      </c>
      <c r="G8" s="279" t="e" cm="1">
        <f t="array" ref="G8">SUM(SUMIFS(
INDEX( 'ETPT Format DDG'!$A:$ZZ,,MATCH("11.1. SOUTIEN (HORS FORMATIONS SUIVIES)",'ETPT Format DDG'!2:2,0)),
INDEX( 'ETPT Format DDG'!$A:$ZZ,,MATCH("Fonction recodée",'ETPT Format DDG'!2:2,0)),{"CONT A JP Siège";"CONT A VIF Siège"},
INDEX( 'ETPT Format DDG'!$A:$ZZ,,MATCH("Juridiction",'ETPT Format DDG'!2:2,0)),$D$5))+
SUM(SUMIFS(
INDEX( 'ETPT Format DDG'!$A:$ZZ,,MATCH("11.2. FORMATIONS SUIVIES",'ETPT Format DDG'!2:2,0)),
INDEX( 'ETPT Format DDG'!$A:$ZZ,,MATCH("Fonction recodée",'ETPT Format DDG'!2:2,0)),{"CONT A JP Siège";"CONT A VIF Siège"},
INDEX( 'ETPT Format DDG'!$A:$ZZ,,MATCH("Juridiction",'ETPT Format DDG'!2:2,0)),$D$5))+
SUM(SUMIFS(
INDEX( 'ETPT Format DDG'!$A:$ZZ,,MATCH("11.6. AUTRES ACTIVITÉS NON JURIDICTIONNELLES",'ETPT Format DDG'!2:2,0)),
INDEX( 'ETPT Format DDG'!$A:$ZZ,,MATCH("Fonction recodée",'ETPT Format DDG'!2:2,0)),{"CONT A JP Siège";"CONT A VIF Siège"},
INDEX( 'ETPT Format DDG'!$A:$ZZ,,MATCH("Juridiction",'ETPT Format DDG'!2:2,0)),$D$5))</f>
        <v>#N/A</v>
      </c>
      <c r="H8" s="279" t="e" cm="1">
        <f t="array" ref="H8">SUM(SUMIFS(
INDEX( 'ETPT Format DDG'!$A:$ZZ,,MATCH("11.1. SOUTIEN (HORS FORMATIONS SUIVIES)",'ETPT Format DDG'!2:2,0)),
INDEX( 'ETPT Format DDG'!$A:$ZZ,,MATCH("Fonction recodée",'ETPT Format DDG'!2:2,0)),{"CONT A JP Parquet";"CONT A VIF Parquet"},
INDEX( 'ETPT Format DDG'!$A:$ZZ,,MATCH("Juridiction",'ETPT Format DDG'!2:2,0)),$D$5))+
SUM(SUMIFS(
INDEX( 'ETPT Format DDG'!$A:$ZZ,,MATCH("11.2. FORMATIONS SUIVIES",'ETPT Format DDG'!2:2,0)),
INDEX( 'ETPT Format DDG'!$A:$ZZ,,MATCH("Fonction recodée",'ETPT Format DDG'!2:2,0)),{"CONT A JP Parquet";"CONT A VIF Parquet"},
INDEX( 'ETPT Format DDG'!$A:$ZZ,,MATCH("Juridiction",'ETPT Format DDG'!2:2,0)),$D$5))+
SUM(SUMIFS(
INDEX( 'ETPT Format DDG'!$A:$ZZ,,MATCH("11.6. AUTRES ACTIVITÉS NON JURIDICTIONNELLES",'ETPT Format DDG'!2:2,0)),
INDEX( 'ETPT Format DDG'!$A:$ZZ,,MATCH("Fonction recodée",'ETPT Format DDG'!2:2,0)),{"CONT A JP Parquet";"CONT A VIF Parquet"},
INDEX( 'ETPT Format DDG'!$A:$ZZ,,MATCH("Juridiction",'ETPT Format DDG'!2:2,0)),$D$5))</f>
        <v>#N/A</v>
      </c>
      <c r="I8" s="280" t="e">
        <f>SUM(SUMIFS(
INDEX( 'ETPT Format DDG'!$A:$ZZ,,MATCH("11.1. SOUTIEN (HORS FORMATIONS SUIVIES)",'ETPT Format DDG'!2:2,0)),
INDEX( 'ETPT Format DDG'!$A:$ZZ,,MATCH("Fonction recodée",'ETPT Format DDG'!2:2,0)),"JA/AttJ Siège autres",
INDEX( 'ETPT Format DDG'!$A:$ZZ,,MATCH("Juridiction",'ETPT Format DDG'!2:2,0)),$D$5))+
SUM(SUMIFS(
INDEX( 'ETPT Format DDG'!$A:$ZZ,,MATCH("11.2. FORMATIONS SUIVIES",'ETPT Format DDG'!2:2,0)),
INDEX( 'ETPT Format DDG'!$A:$ZZ,,MATCH("Fonction recodée",'ETPT Format DDG'!2:2,0)),"JA/AttJ Siège autres",
INDEX( 'ETPT Format DDG'!$A:$ZZ,,MATCH("Juridiction",'ETPT Format DDG'!2:2,0)),$D$5))+
SUM(SUMIFS(
INDEX( 'ETPT Format DDG'!$A:$ZZ,,MATCH("11.6. AUTRES ACTIVITÉS NON JURIDICTIONNELLES",'ETPT Format DDG'!2:2,0)),
INDEX( 'ETPT Format DDG'!$A:$ZZ,,MATCH("Fonction recodée",'ETPT Format DDG'!2:2,0)),"JA/AttJ Siège autres",
INDEX( 'ETPT Format DDG'!$A:$ZZ,,MATCH("Juridiction",'ETPT Format DDG'!2:2,0)),$D$5))</f>
        <v>#N/A</v>
      </c>
      <c r="J8" s="280" t="e">
        <f>SUM(SUMIFS(
INDEX( 'ETPT Format DDG'!$A:$ZZ,,MATCH("11.1. SOUTIEN (HORS FORMATIONS SUIVIES)",'ETPT Format DDG'!2:2,0)),
INDEX( 'ETPT Format DDG'!$A:$ZZ,,MATCH("Fonction recodée",'ETPT Format DDG'!2:2,0)),"JA/AttJ Siege Assises",
INDEX( 'ETPT Format DDG'!$A:$ZZ,,MATCH("Juridiction",'ETPT Format DDG'!2:2,0)),$D$5))+
SUM(SUMIFS(
INDEX( 'ETPT Format DDG'!$A:$ZZ,,MATCH("11.2. FORMATIONS SUIVIES",'ETPT Format DDG'!2:2,0)),
INDEX( 'ETPT Format DDG'!$A:$ZZ,,MATCH("Fonction recodée",'ETPT Format DDG'!2:2,0)),"JA/AttJ Siege Assises",
INDEX( 'ETPT Format DDG'!$A:$ZZ,,MATCH("Juridiction",'ETPT Format DDG'!2:2,0)),$D$5))+
SUM(SUMIFS(
INDEX( 'ETPT Format DDG'!$A:$ZZ,,MATCH("11.6. AUTRES ACTIVITÉS NON JURIDICTIONNELLES",'ETPT Format DDG'!2:2,0)),
INDEX( 'ETPT Format DDG'!$A:$ZZ,,MATCH("Fonction recodée",'ETPT Format DDG'!2:2,0)),"JA/AttJ Siege Assises",
INDEX( 'ETPT Format DDG'!$A:$ZZ,,MATCH("Juridiction",'ETPT Format DDG'!2:2,0)),$D$5))</f>
        <v>#N/A</v>
      </c>
      <c r="K8" s="280" t="e">
        <f>SUM(SUMIFS(
INDEX( 'ETPT Format DDG'!$A:$ZZ,,MATCH("11.1. SOUTIEN (HORS FORMATIONS SUIVIES)",'ETPT Format DDG'!2:2,0)),
INDEX( 'ETPT Format DDG'!$A:$ZZ,,MATCH("Fonction recodée",'ETPT Format DDG'!2:2,0)),"JA/AttJ Siege CCD",
INDEX( 'ETPT Format DDG'!$A:$ZZ,,MATCH("Juridiction",'ETPT Format DDG'!2:2,0)),$D$5))+
SUM(SUMIFS(
INDEX( 'ETPT Format DDG'!$A:$ZZ,,MATCH("11.2. FORMATIONS SUIVIES",'ETPT Format DDG'!2:2,0)),
INDEX( 'ETPT Format DDG'!$A:$ZZ,,MATCH("Fonction recodée",'ETPT Format DDG'!2:2,0)),"JA/AttJ Siege CCD",
INDEX( 'ETPT Format DDG'!$A:$ZZ,,MATCH("Juridiction",'ETPT Format DDG'!2:2,0)),$D$5))+
SUM(SUMIFS(
INDEX( 'ETPT Format DDG'!$A:$ZZ,,MATCH("11.6. AUTRES ACTIVITÉS NON JURIDICTIONNELLES",'ETPT Format DDG'!2:2,0)),
INDEX( 'ETPT Format DDG'!$A:$ZZ,,MATCH("Fonction recodée",'ETPT Format DDG'!2:2,0)),"JA/AttJ Siege CCD",
INDEX( 'ETPT Format DDG'!$A:$ZZ,,MATCH("Juridiction",'ETPT Format DDG'!2:2,0)),$D$5))</f>
        <v>#N/A</v>
      </c>
      <c r="L8" s="280" t="e">
        <f>SUM(SUMIFS(
INDEX( 'ETPT Format DDG'!$A:$ZZ,,MATCH("11.1. SOUTIEN (HORS FORMATIONS SUIVIES)",'ETPT Format DDG'!2:2,0)),
INDEX( 'ETPT Format DDG'!$A:$ZZ,,MATCH("Fonction recodée",'ETPT Format DDG'!2:2,0)),"JA/AttJ Parquet",
INDEX( 'ETPT Format DDG'!$A:$ZZ,,MATCH("Juridiction",'ETPT Format DDG'!2:2,0)),$D$5))+
SUM(SUMIFS(
INDEX( 'ETPT Format DDG'!$A:$ZZ,,MATCH("11.2. FORMATIONS SUIVIES",'ETPT Format DDG'!2:2,0)),
INDEX( 'ETPT Format DDG'!$A:$ZZ,,MATCH("Fonction recodée",'ETPT Format DDG'!2:2,0)),"JA/AttJ Parquet",
INDEX( 'ETPT Format DDG'!$A:$ZZ,,MATCH("Juridiction",'ETPT Format DDG'!2:2,0)),$D$5))+
SUM(SUMIFS(
INDEX( 'ETPT Format DDG'!$A:$ZZ,,MATCH("11.6. AUTRES ACTIVITÉS NON JURIDICTIONNELLES",'ETPT Format DDG'!2:2,0)),
INDEX( 'ETPT Format DDG'!$A:$ZZ,,MATCH("Fonction recodée",'ETPT Format DDG'!2:2,0)),"JA/AttJ Parquet",
INDEX( 'ETPT Format DDG'!$A:$ZZ,,MATCH("Juridiction",'ETPT Format DDG'!2:2,0)),$D$5))</f>
        <v>#N/A</v>
      </c>
      <c r="M8" s="280"/>
      <c r="N8" s="280"/>
      <c r="O8" s="280" t="e">
        <f>SUM(SUMIFS(
INDEX( 'ETPT Format DDG'!$A:$ZZ,,MATCH("11.1. SOUTIEN (HORS FORMATIONS SUIVIES)",'ETPT Format DDG'!2:2,0)),
INDEX( 'ETPT Format DDG'!$A:$ZZ,,MATCH("Fonction recodée",'ETPT Format DDG'!2:2,0)),"JA/AttJ JAP",
INDEX( 'ETPT Format DDG'!$A:$ZZ,,MATCH("Juridiction",'ETPT Format DDG'!2:2,0)),$D$5))+
SUM(SUMIFS(
INDEX( 'ETPT Format DDG'!$A:$ZZ,,MATCH("11.2. FORMATIONS SUIVIES",'ETPT Format DDG'!2:2,0)),
INDEX( 'ETPT Format DDG'!$A:$ZZ,,MATCH("Fonction recodée",'ETPT Format DDG'!2:2,0)),"JA/AttJ JAP",
INDEX( 'ETPT Format DDG'!$A:$ZZ,,MATCH("Juridiction",'ETPT Format DDG'!2:2,0)),$D$5))+
SUM(SUMIFS(
INDEX( 'ETPT Format DDG'!$A:$ZZ,,MATCH("11.6. AUTRES ACTIVITÉS NON JURIDICTIONNELLES",'ETPT Format DDG'!2:2,0)),
INDEX( 'ETPT Format DDG'!$A:$ZZ,,MATCH("Fonction recodée",'ETPT Format DDG'!2:2,0)),"JA/AttJ JAP",
INDEX( 'ETPT Format DDG'!$A:$ZZ,,MATCH("Juridiction",'ETPT Format DDG'!2:2,0)),$D$5))</f>
        <v>#N/A</v>
      </c>
      <c r="P8" s="280" t="e">
        <f>SUM(SUMIFS(
INDEX( 'ETPT Format DDG'!$A:$ZZ,,MATCH("11.1. SOUTIEN (HORS FORMATIONS SUIVIES)",'ETPT Format DDG'!2:2,0)),
INDEX( 'ETPT Format DDG'!$A:$ZZ,,MATCH("Fonction recodée",'ETPT Format DDG'!2:2,0)),"JA/AttJ JE",
INDEX( 'ETPT Format DDG'!$A:$ZZ,,MATCH("Juridiction",'ETPT Format DDG'!2:2,0)),$D$5))+
SUM(SUMIFS(
INDEX( 'ETPT Format DDG'!$A:$ZZ,,MATCH("11.2. FORMATIONS SUIVIES",'ETPT Format DDG'!2:2,0)),
INDEX( 'ETPT Format DDG'!$A:$ZZ,,MATCH("Fonction recodée",'ETPT Format DDG'!2:2,0)),"JA/AttJ JE",
INDEX( 'ETPT Format DDG'!$A:$ZZ,,MATCH("Juridiction",'ETPT Format DDG'!2:2,0)),$D$5))+
SUM(SUMIFS(
INDEX( 'ETPT Format DDG'!$A:$ZZ,,MATCH("11.6. AUTRES ACTIVITÉS NON JURIDICTIONNELLES",'ETPT Format DDG'!2:2,0)),
INDEX( 'ETPT Format DDG'!$A:$ZZ,,MATCH("Fonction recodée",'ETPT Format DDG'!2:2,0)),"JA/AttJ JE",
INDEX( 'ETPT Format DDG'!$A:$ZZ,,MATCH("Juridiction",'ETPT Format DDG'!2:2,0)),$D$5))</f>
        <v>#N/A</v>
      </c>
      <c r="Q8" s="280" t="e">
        <f>SUM(SUMIFS(
INDEX( 'ETPT Format DDG'!$A:$ZZ,,MATCH("11.1. SOUTIEN (HORS FORMATIONS SUIVIES)",'ETPT Format DDG'!2:2,0)),
INDEX( 'ETPT Format DDG'!$A:$ZZ,,MATCH("Fonction recodée",'ETPT Format DDG'!2:2,0)),"JA/AttJ JI",
INDEX( 'ETPT Format DDG'!$A:$ZZ,,MATCH("Juridiction",'ETPT Format DDG'!2:2,0)),$D$5))+
SUM(SUMIFS(
INDEX( 'ETPT Format DDG'!$A:$ZZ,,MATCH("11.2. FORMATIONS SUIVIES",'ETPT Format DDG'!2:2,0)),
INDEX( 'ETPT Format DDG'!$A:$ZZ,,MATCH("Fonction recodée",'ETPT Format DDG'!2:2,0)),"JA/AttJ JI",
INDEX( 'ETPT Format DDG'!$A:$ZZ,,MATCH("Juridiction",'ETPT Format DDG'!2:2,0)),$D$5))+
SUM(SUMIFS(
INDEX( 'ETPT Format DDG'!$A:$ZZ,,MATCH("11.6. AUTRES ACTIVITÉS NON JURIDICTIONNELLES",'ETPT Format DDG'!2:2,0)),
INDEX( 'ETPT Format DDG'!$A:$ZZ,,MATCH("Fonction recodée",'ETPT Format DDG'!2:2,0)),"JA/AttJ JI",
INDEX( 'ETPT Format DDG'!$A:$ZZ,,MATCH("Juridiction",'ETPT Format DDG'!2:2,0)),$D$5))</f>
        <v>#N/A</v>
      </c>
      <c r="R8" s="280" t="e">
        <f>SUM(SUMIFS(
INDEX( 'ETPT Format DDG'!$A:$ZZ,,MATCH("11.1. SOUTIEN (HORS FORMATIONS SUIVIES)",'ETPT Format DDG'!2:2,0)),
INDEX( 'ETPT Format DDG'!$A:$ZZ,,MATCH("Fonction recodée",'ETPT Format DDG'!2:2,0)),"JA/AttJ JLD PÉNAL",
INDEX( 'ETPT Format DDG'!$A:$ZZ,,MATCH("Juridiction",'ETPT Format DDG'!2:2,0)),$D$5))+
SUM(SUMIFS(
INDEX( 'ETPT Format DDG'!$A:$ZZ,,MATCH("11.2. FORMATIONS SUIVIES",'ETPT Format DDG'!2:2,0)),
INDEX( 'ETPT Format DDG'!$A:$ZZ,,MATCH("Fonction recodée",'ETPT Format DDG'!2:2,0)),"JA/AttJ JLD PÉNAL",
INDEX( 'ETPT Format DDG'!$A:$ZZ,,MATCH("Juridiction",'ETPT Format DDG'!2:2,0)),$D$5))+
SUM(SUMIFS(
INDEX( 'ETPT Format DDG'!$A:$ZZ,,MATCH("11.6. AUTRES ACTIVITÉS NON JURIDICTIONNELLES",'ETPT Format DDG'!2:2,0)),
INDEX( 'ETPT Format DDG'!$A:$ZZ,,MATCH("Fonction recodée",'ETPT Format DDG'!2:2,0)),"JA/AttJ JLD PÉNAL",
INDEX( 'ETPT Format DDG'!$A:$ZZ,,MATCH("Juridiction",'ETPT Format DDG'!2:2,0)),$D$5))</f>
        <v>#N/A</v>
      </c>
      <c r="S8" s="278">
        <f t="shared" si="0"/>
        <v>0</v>
      </c>
    </row>
    <row r="9" spans="1:64" x14ac:dyDescent="0.2">
      <c r="A9" s="211" t="s">
        <v>283</v>
      </c>
      <c r="B9" s="212"/>
      <c r="C9" s="212"/>
      <c r="D9" s="212">
        <f>ETPT_ATTJ_DDG!D9</f>
        <v>0</v>
      </c>
      <c r="E9" s="212" t="s">
        <v>52</v>
      </c>
      <c r="F9" s="213" t="s">
        <v>51</v>
      </c>
      <c r="G9" s="279" t="e" cm="1">
        <f t="array" ref="G9">SUM(SUMIFS(
INDEX( 'ETPT Format DDG'!$A:$ZZ,,MATCH("11.3. FORMATIONS DISPENSÉES",'ETPT Format DDG'!2:2,0)),
INDEX( 'ETPT Format DDG'!$A:$ZZ,,MATCH("Fonction recodée",'ETPT Format DDG'!2:2,0)),{"CONT A JP Siège";"CONT A VIF Siège"},
INDEX( 'ETPT Format DDG'!$A:$ZZ,,MATCH("Juridiction",'ETPT Format DDG'!2:2,0)),$D$5))</f>
        <v>#N/A</v>
      </c>
      <c r="H9" s="279" t="e" cm="1">
        <f t="array" ref="H9">SUM(SUMIFS(
INDEX( 'ETPT Format DDG'!$A:$ZZ,,MATCH("11.3. FORMATIONS DISPENSÉES",'ETPT Format DDG'!2:2,0)),
INDEX( 'ETPT Format DDG'!$A:$ZZ,,MATCH("Fonction recodée",'ETPT Format DDG'!2:2,0)),{"CONT A JP Parquet";"CONT A VIF Parquet"},
INDEX( 'ETPT Format DDG'!$A:$ZZ,,MATCH("Juridiction",'ETPT Format DDG'!2:2,0)),$D$5))</f>
        <v>#N/A</v>
      </c>
      <c r="I9" s="280" t="e">
        <f>SUM(SUMIFS(
INDEX( 'ETPT Format DDG'!$A:$ZZ,,MATCH("11.3. FORMATIONS DISPENSÉES",'ETPT Format DDG'!2:2,0)),
INDEX( 'ETPT Format DDG'!$A:$ZZ,,MATCH("Fonction recodée",'ETPT Format DDG'!2:2,0)),"JA/AttJ Siège autres",
INDEX( 'ETPT Format DDG'!$A:$ZZ,,MATCH("Juridiction",'ETPT Format DDG'!2:2,0)),$D$5))</f>
        <v>#N/A</v>
      </c>
      <c r="J9" s="280" t="e">
        <f>SUM(SUMIFS(
INDEX( 'ETPT Format DDG'!$A:$ZZ,,MATCH("11.3. FORMATIONS DISPENSÉES",'ETPT Format DDG'!2:2,0)),
INDEX( 'ETPT Format DDG'!$A:$ZZ,,MATCH("Fonction recodée",'ETPT Format DDG'!2:2,0)),"JA/AttJ Siege Assises",
INDEX( 'ETPT Format DDG'!$A:$ZZ,,MATCH("Juridiction",'ETPT Format DDG'!2:2,0)),$D$5))</f>
        <v>#N/A</v>
      </c>
      <c r="K9" s="280" t="e">
        <f>SUM(SUMIFS(
INDEX( 'ETPT Format DDG'!$A:$ZZ,,MATCH("11.3. FORMATIONS DISPENSÉES",'ETPT Format DDG'!2:2,0)),
INDEX( 'ETPT Format DDG'!$A:$ZZ,,MATCH("Fonction recodée",'ETPT Format DDG'!2:2,0)),"JA/AttJ Siege CCD",
INDEX( 'ETPT Format DDG'!$A:$ZZ,,MATCH("Juridiction",'ETPT Format DDG'!2:2,0)),$D$5))</f>
        <v>#N/A</v>
      </c>
      <c r="L9" s="280" t="e">
        <f>SUM(SUMIFS(
INDEX( 'ETPT Format DDG'!$A:$ZZ,,MATCH("11.3. FORMATIONS DISPENSÉES",'ETPT Format DDG'!2:2,0)),
INDEX( 'ETPT Format DDG'!$A:$ZZ,,MATCH("Fonction recodée",'ETPT Format DDG'!2:2,0)),"JA/AttJ Parquet",
INDEX( 'ETPT Format DDG'!$A:$ZZ,,MATCH("Juridiction",'ETPT Format DDG'!2:2,0)),$D$5))</f>
        <v>#N/A</v>
      </c>
      <c r="M9" s="280"/>
      <c r="N9" s="280"/>
      <c r="O9" s="280" t="e">
        <f>SUM(SUMIFS(
INDEX( 'ETPT Format DDG'!$A:$ZZ,,MATCH("11.3. FORMATIONS DISPENSÉES",'ETPT Format DDG'!2:2,0)),
INDEX( 'ETPT Format DDG'!$A:$ZZ,,MATCH("Fonction recodée",'ETPT Format DDG'!2:2,0)),"JA/AttJ JAP",
INDEX( 'ETPT Format DDG'!$A:$ZZ,,MATCH("Juridiction",'ETPT Format DDG'!2:2,0)),$D$5))</f>
        <v>#N/A</v>
      </c>
      <c r="P9" s="280" t="e">
        <f>SUM(SUMIFS(
INDEX( 'ETPT Format DDG'!$A:$ZZ,,MATCH("11.3. FORMATIONS DISPENSÉES",'ETPT Format DDG'!2:2,0)),
INDEX( 'ETPT Format DDG'!$A:$ZZ,,MATCH("Fonction recodée",'ETPT Format DDG'!2:2,0)),"JA/AttJ JE",
INDEX( 'ETPT Format DDG'!$A:$ZZ,,MATCH("Juridiction",'ETPT Format DDG'!2:2,0)),$D$5))</f>
        <v>#N/A</v>
      </c>
      <c r="Q9" s="280" t="e">
        <f>SUM(SUMIFS(
INDEX( 'ETPT Format DDG'!$A:$ZZ,,MATCH("11.3. FORMATIONS DISPENSÉES",'ETPT Format DDG'!2:2,0)),
INDEX( 'ETPT Format DDG'!$A:$ZZ,,MATCH("Fonction recodée",'ETPT Format DDG'!2:2,0)),"JA/AttJ JI",
INDEX( 'ETPT Format DDG'!$A:$ZZ,,MATCH("Juridiction",'ETPT Format DDG'!2:2,0)),$D$5))</f>
        <v>#N/A</v>
      </c>
      <c r="R9" s="280" t="e">
        <f>SUM(SUMIFS(
INDEX( 'ETPT Format DDG'!$A:$ZZ,,MATCH("11.3. FORMATIONS DISPENSÉES",'ETPT Format DDG'!2:2,0)),
INDEX( 'ETPT Format DDG'!$A:$ZZ,,MATCH("Fonction recodée",'ETPT Format DDG'!2:2,0)),"JA/AttJ JLD PÉNAL",
INDEX( 'ETPT Format DDG'!$A:$ZZ,,MATCH("Juridiction",'ETPT Format DDG'!2:2,0)),$D$5))</f>
        <v>#N/A</v>
      </c>
      <c r="S9" s="278">
        <f t="shared" si="0"/>
        <v>0</v>
      </c>
    </row>
    <row r="10" spans="1:64" x14ac:dyDescent="0.2">
      <c r="A10" s="211" t="s">
        <v>283</v>
      </c>
      <c r="B10" s="212"/>
      <c r="C10" s="212"/>
      <c r="D10" s="212">
        <f>ETPT_ATTJ_DDG!D10</f>
        <v>0</v>
      </c>
      <c r="E10" s="212" t="s">
        <v>50</v>
      </c>
      <c r="F10" s="213" t="s">
        <v>49</v>
      </c>
      <c r="G10" s="279" t="e" cm="1">
        <f t="array" ref="G10">SUM(SUMIFS(
INDEX( 'ETPT Format DDG'!$A:$ZZ,,MATCH("11.4. ACCÈS AU DROIT ET À LA JUSTICE",'ETPT Format DDG'!2:2,0)),
INDEX( 'ETPT Format DDG'!$A:$ZZ,,MATCH("Fonction recodée",'ETPT Format DDG'!2:2,0)),{"CONT A JP Siège";"CONT A VIF Siège"},
INDEX( 'ETPT Format DDG'!$A:$ZZ,,MATCH("Juridiction",'ETPT Format DDG'!2:2,0)),$D$5))</f>
        <v>#N/A</v>
      </c>
      <c r="H10" s="279" t="e" cm="1">
        <f t="array" ref="H10">SUM(SUMIFS(
INDEX( 'ETPT Format DDG'!$A:$ZZ,,MATCH("11.4. ACCÈS AU DROIT ET À LA JUSTICE",'ETPT Format DDG'!2:2,0)),
INDEX( 'ETPT Format DDG'!$A:$ZZ,,MATCH("Fonction recodée",'ETPT Format DDG'!2:2,0)),{"CONT A JP Parquet";"CONT A VIF Parquet"},
INDEX( 'ETPT Format DDG'!$A:$ZZ,,MATCH("Juridiction",'ETPT Format DDG'!2:2,0)),$D$5))</f>
        <v>#N/A</v>
      </c>
      <c r="I10" s="280" t="e">
        <f>SUM(SUMIFS(
INDEX( 'ETPT Format DDG'!$A:$ZZ,,MATCH("11.4. ACCÈS AU DROIT ET À LA JUSTICE",'ETPT Format DDG'!2:2,0)),
INDEX( 'ETPT Format DDG'!$A:$ZZ,,MATCH("Fonction recodée",'ETPT Format DDG'!2:2,0)),"JA/AttJ Siège autres",
INDEX( 'ETPT Format DDG'!$A:$ZZ,,MATCH("Juridiction",'ETPT Format DDG'!2:2,0)),$D$5))</f>
        <v>#N/A</v>
      </c>
      <c r="J10" s="280" t="e">
        <f>SUM(SUMIFS(
INDEX( 'ETPT Format DDG'!$A:$ZZ,,MATCH("11.4. ACCÈS AU DROIT ET À LA JUSTICE",'ETPT Format DDG'!2:2,0)),
INDEX( 'ETPT Format DDG'!$A:$ZZ,,MATCH("Fonction recodée",'ETPT Format DDG'!2:2,0)),"JA/AttJ Siege Assises",
INDEX( 'ETPT Format DDG'!$A:$ZZ,,MATCH("Juridiction",'ETPT Format DDG'!2:2,0)),$D$5))</f>
        <v>#N/A</v>
      </c>
      <c r="K10" s="280" t="e">
        <f>SUM(SUMIFS(
INDEX( 'ETPT Format DDG'!$A:$ZZ,,MATCH("11.4. ACCÈS AU DROIT ET À LA JUSTICE",'ETPT Format DDG'!2:2,0)),
INDEX( 'ETPT Format DDG'!$A:$ZZ,,MATCH("Fonction recodée",'ETPT Format DDG'!2:2,0)),"JA/AttJ Siege CCD",
INDEX( 'ETPT Format DDG'!$A:$ZZ,,MATCH("Juridiction",'ETPT Format DDG'!2:2,0)),$D$5))</f>
        <v>#N/A</v>
      </c>
      <c r="L10" s="280" t="e">
        <f>SUM(SUMIFS(
INDEX( 'ETPT Format DDG'!$A:$ZZ,,MATCH("11.4. ACCÈS AU DROIT ET À LA JUSTICE",'ETPT Format DDG'!2:2,0)),
INDEX( 'ETPT Format DDG'!$A:$ZZ,,MATCH("Fonction recodée",'ETPT Format DDG'!2:2,0)),"JA/AttJ Parquet",
INDEX( 'ETPT Format DDG'!$A:$ZZ,,MATCH("Juridiction",'ETPT Format DDG'!2:2,0)),$D$5))</f>
        <v>#N/A</v>
      </c>
      <c r="M10" s="280"/>
      <c r="N10" s="280"/>
      <c r="O10" s="280" t="e">
        <f>SUM(SUMIFS(
INDEX( 'ETPT Format DDG'!$A:$ZZ,,MATCH("11.4. ACCÈS AU DROIT ET À LA JUSTICE",'ETPT Format DDG'!2:2,0)),
INDEX( 'ETPT Format DDG'!$A:$ZZ,,MATCH("Fonction recodée",'ETPT Format DDG'!2:2,0)),"JA/AttJ JAP",
INDEX( 'ETPT Format DDG'!$A:$ZZ,,MATCH("Juridiction",'ETPT Format DDG'!2:2,0)),$D$5))</f>
        <v>#N/A</v>
      </c>
      <c r="P10" s="280" t="e">
        <f>SUM(SUMIFS(
INDEX( 'ETPT Format DDG'!$A:$ZZ,,MATCH("11.4. ACCÈS AU DROIT ET À LA JUSTICE",'ETPT Format DDG'!2:2,0)),
INDEX( 'ETPT Format DDG'!$A:$ZZ,,MATCH("Fonction recodée",'ETPT Format DDG'!2:2,0)),"JA/AttJ JE",
INDEX( 'ETPT Format DDG'!$A:$ZZ,,MATCH("Juridiction",'ETPT Format DDG'!2:2,0)),$D$5))</f>
        <v>#N/A</v>
      </c>
      <c r="Q10" s="280" t="e">
        <f>SUM(SUMIFS(
INDEX( 'ETPT Format DDG'!$A:$ZZ,,MATCH("11.4. ACCÈS AU DROIT ET À LA JUSTICE",'ETPT Format DDG'!2:2,0)),
INDEX( 'ETPT Format DDG'!$A:$ZZ,,MATCH("Fonction recodée",'ETPT Format DDG'!2:2,0)),"JA/AttJ JI",
INDEX( 'ETPT Format DDG'!$A:$ZZ,,MATCH("Juridiction",'ETPT Format DDG'!2:2,0)),$D$5))</f>
        <v>#N/A</v>
      </c>
      <c r="R10" s="280" t="e">
        <f>SUM(SUMIFS(
INDEX( 'ETPT Format DDG'!$A:$ZZ,,MATCH("11.4. ACCÈS AU DROIT ET À LA JUSTICE",'ETPT Format DDG'!2:2,0)),
INDEX( 'ETPT Format DDG'!$A:$ZZ,,MATCH("Fonction recodée",'ETPT Format DDG'!2:2,0)),"JA/AttJ JLD PÉNAL",
INDEX( 'ETPT Format DDG'!$A:$ZZ,,MATCH("Juridiction",'ETPT Format DDG'!2:2,0)),$D$5))</f>
        <v>#N/A</v>
      </c>
      <c r="S10" s="278">
        <f t="shared" si="0"/>
        <v>0</v>
      </c>
    </row>
    <row r="11" spans="1:64" x14ac:dyDescent="0.2">
      <c r="A11" s="211" t="s">
        <v>283</v>
      </c>
      <c r="B11" s="212"/>
      <c r="C11" s="212"/>
      <c r="D11" s="212">
        <f>ETPT_ATTJ_DDG!D11</f>
        <v>0</v>
      </c>
      <c r="E11" s="212" t="s">
        <v>48</v>
      </c>
      <c r="F11" s="213" t="s">
        <v>47</v>
      </c>
      <c r="G11" s="279" t="e" cm="1">
        <f t="array" ref="G11">MAX(0,SUM(SUMIFS(
INDEX( 'ETPT Format DDG'!$A:$ZZ,,MATCH("12. TOTAL des INDISPONIBILITÉS relevant de l'action 99",'ETPT Format DDG'!2:2,0)),
INDEX( 'ETPT Format DDG'!$A:$ZZ,,MATCH("Fonction recodée",'ETPT Format DDG'!2:2,0)),{"CONT A JP Siège";"CONT A VIF Siège"},
INDEX( 'ETPT Format DDG'!$A:$ZZ,,MATCH("Juridiction",'ETPT Format DDG'!2:2,0)),$D$5))-
SUM(SUMIFS(
INDEX( 'ETPT Format DDG'!$A:$ZZ,,MATCH("12.5. MISE À DISPOSITION",'ETPT Format DDG'!2:2,0)),
INDEX( 'ETPT Format DDG'!$A:$ZZ,,MATCH("Fonction recodée",'ETPT Format DDG'!2:2,0)),{"CONT A JP Siège";"CONT A VIF Siège"},
INDEX( 'ETPT Format DDG'!$A:$ZZ,,MATCH("Juridiction",'ETPT Format DDG'!2:2,0)),$D$5)))</f>
        <v>#N/A</v>
      </c>
      <c r="H11" s="279" t="e" cm="1">
        <f t="array" ref="H11">MAX(0,SUM(SUMIFS(
INDEX( 'ETPT Format DDG'!$A:$ZZ,,MATCH("12. TOTAL des INDISPONIBILITÉS relevant de l'action 99",'ETPT Format DDG'!2:2,0)),
INDEX( 'ETPT Format DDG'!$A:$ZZ,,MATCH("Fonction recodée",'ETPT Format DDG'!2:2,0)),{"CONT A JP Parquet";"CONT A VIF Parquet"},
INDEX( 'ETPT Format DDG'!$A:$ZZ,,MATCH("Juridiction",'ETPT Format DDG'!2:2,0)),$D$5))-
SUM(SUMIFS(
INDEX( 'ETPT Format DDG'!$A:$ZZ,,MATCH("12.5. MISE À DISPOSITION",'ETPT Format DDG'!2:2,0)),
INDEX( 'ETPT Format DDG'!$A:$ZZ,,MATCH("Fonction recodée",'ETPT Format DDG'!2:2,0)),{"CONT A JP Parquet";"CONT A VIF Parquet"},
INDEX( 'ETPT Format DDG'!$A:$ZZ,,MATCH("Juridiction",'ETPT Format DDG'!2:2,0)),$D$5)))</f>
        <v>#N/A</v>
      </c>
      <c r="I11" s="280" t="e">
        <f>MAX(0,SUM(SUMIFS(
INDEX( 'ETPT Format DDG'!$A:$ZZ,,MATCH("12. TOTAL des INDISPONIBILITÉS relevant de l'action 99",'ETPT Format DDG'!2:2,0)),
INDEX( 'ETPT Format DDG'!$A:$ZZ,,MATCH("Fonction recodée",'ETPT Format DDG'!2:2,0)),"JA/AttJ Siège autres",
INDEX( 'ETPT Format DDG'!$A:$ZZ,,MATCH("Juridiction",'ETPT Format DDG'!2:2,0)),$D$5))-
SUM(SUMIFS(
INDEX( 'ETPT Format DDG'!$A:$ZZ,,MATCH("12.5. MISE À DISPOSITION",'ETPT Format DDG'!2:2,0)),
INDEX( 'ETPT Format DDG'!$A:$ZZ,,MATCH("Fonction recodée",'ETPT Format DDG'!2:2,0)),"JA/AttJ Siège autres",
INDEX( 'ETPT Format DDG'!$A:$ZZ,,MATCH("Juridiction",'ETPT Format DDG'!2:2,0)),$D$5)))</f>
        <v>#N/A</v>
      </c>
      <c r="J11" s="280" t="e">
        <f>MAX(0,SUM(SUMIFS(
INDEX( 'ETPT Format DDG'!$A:$ZZ,,MATCH("12. TOTAL des INDISPONIBILITÉS relevant de l'action 99",'ETPT Format DDG'!2:2,0)),
INDEX( 'ETPT Format DDG'!$A:$ZZ,,MATCH("Fonction recodée",'ETPT Format DDG'!2:2,0)),"JA/AttJ Siege Assises",
INDEX( 'ETPT Format DDG'!$A:$ZZ,,MATCH("Juridiction",'ETPT Format DDG'!2:2,0)),$D$5))-
SUM(SUMIFS(
INDEX( 'ETPT Format DDG'!$A:$ZZ,,MATCH("12.5. MISE À DISPOSITION",'ETPT Format DDG'!2:2,0)),
INDEX( 'ETPT Format DDG'!$A:$ZZ,,MATCH("Fonction recodée",'ETPT Format DDG'!2:2,0)),"JA/AttJ Siege Assises",
INDEX( 'ETPT Format DDG'!$A:$ZZ,,MATCH("Juridiction",'ETPT Format DDG'!2:2,0)),$D$5)))</f>
        <v>#N/A</v>
      </c>
      <c r="K11" s="280" t="e">
        <f>MAX(0,SUM(SUMIFS(
INDEX( 'ETPT Format DDG'!$A:$ZZ,,MATCH("12. TOTAL des INDISPONIBILITÉS relevant de l'action 99",'ETPT Format DDG'!2:2,0)),
INDEX( 'ETPT Format DDG'!$A:$ZZ,,MATCH("Fonction recodée",'ETPT Format DDG'!2:2,0)),"JA/AttJ Siege CCD",
INDEX( 'ETPT Format DDG'!$A:$ZZ,,MATCH("Juridiction",'ETPT Format DDG'!2:2,0)),$D$5))-
SUM(SUMIFS(
INDEX( 'ETPT Format DDG'!$A:$ZZ,,MATCH("12.5. MISE À DISPOSITION",'ETPT Format DDG'!2:2,0)),
INDEX( 'ETPT Format DDG'!$A:$ZZ,,MATCH("Fonction recodée",'ETPT Format DDG'!2:2,0)),"JA/AttJ Siege CCD",
INDEX( 'ETPT Format DDG'!$A:$ZZ,,MATCH("Juridiction",'ETPT Format DDG'!2:2,0)),$D$5)))</f>
        <v>#N/A</v>
      </c>
      <c r="L11" s="280" t="e">
        <f>MAX(0,SUM(SUMIFS(
INDEX( 'ETPT Format DDG'!$A:$ZZ,,MATCH("12. TOTAL des INDISPONIBILITÉS relevant de l'action 99",'ETPT Format DDG'!2:2,0)),
INDEX( 'ETPT Format DDG'!$A:$ZZ,,MATCH("Fonction recodée",'ETPT Format DDG'!2:2,0)),"JA/AttJ Parquet",
INDEX( 'ETPT Format DDG'!$A:$ZZ,,MATCH("Juridiction",'ETPT Format DDG'!2:2,0)),$D$5))-
SUM(SUMIFS(
INDEX( 'ETPT Format DDG'!$A:$ZZ,,MATCH("12.5. MISE À DISPOSITION",'ETPT Format DDG'!2:2,0)),
INDEX( 'ETPT Format DDG'!$A:$ZZ,,MATCH("Fonction recodée",'ETPT Format DDG'!2:2,0)),"JA/AttJ Parquet",
INDEX( 'ETPT Format DDG'!$A:$ZZ,,MATCH("Juridiction",'ETPT Format DDG'!2:2,0)),$D$5)))</f>
        <v>#N/A</v>
      </c>
      <c r="M11" s="280"/>
      <c r="N11" s="280"/>
      <c r="O11" s="280" t="e">
        <f>MAX(0,SUM(SUMIFS(
INDEX( 'ETPT Format DDG'!$A:$ZZ,,MATCH("12. TOTAL des INDISPONIBILITÉS relevant de l'action 99",'ETPT Format DDG'!2:2,0)),
INDEX( 'ETPT Format DDG'!$A:$ZZ,,MATCH("Fonction recodée",'ETPT Format DDG'!2:2,0)),"JA/AttJ JAP",
INDEX( 'ETPT Format DDG'!$A:$ZZ,,MATCH("Juridiction",'ETPT Format DDG'!2:2,0)),$D$5))-
SUM(SUMIFS(
INDEX( 'ETPT Format DDG'!$A:$ZZ,,MATCH("12.5. MISE À DISPOSITION",'ETPT Format DDG'!2:2,0)),
INDEX( 'ETPT Format DDG'!$A:$ZZ,,MATCH("Fonction recodée",'ETPT Format DDG'!2:2,0)),"JA/AttJ JAP",
INDEX( 'ETPT Format DDG'!$A:$ZZ,,MATCH("Juridiction",'ETPT Format DDG'!2:2,0)),$D$5)))</f>
        <v>#N/A</v>
      </c>
      <c r="P11" s="280" t="e">
        <f>MAX(0,SUM(SUMIFS(
INDEX( 'ETPT Format DDG'!$A:$ZZ,,MATCH("12. TOTAL des INDISPONIBILITÉS relevant de l'action 99",'ETPT Format DDG'!2:2,0)),
INDEX( 'ETPT Format DDG'!$A:$ZZ,,MATCH("Fonction recodée",'ETPT Format DDG'!2:2,0)),"JA/AttJ JE",
INDEX( 'ETPT Format DDG'!$A:$ZZ,,MATCH("Juridiction",'ETPT Format DDG'!2:2,0)),$D$5))-
SUM(SUMIFS(
INDEX( 'ETPT Format DDG'!$A:$ZZ,,MATCH("12.5. MISE À DISPOSITION",'ETPT Format DDG'!2:2,0)),
INDEX( 'ETPT Format DDG'!$A:$ZZ,,MATCH("Fonction recodée",'ETPT Format DDG'!2:2,0)),"JA/AttJ JE",
INDEX( 'ETPT Format DDG'!$A:$ZZ,,MATCH("Juridiction",'ETPT Format DDG'!2:2,0)),$D$5)))</f>
        <v>#N/A</v>
      </c>
      <c r="Q11" s="280" t="e">
        <f>MAX(0,SUM(SUMIFS(
INDEX( 'ETPT Format DDG'!$A:$ZZ,,MATCH("12. TOTAL des INDISPONIBILITÉS relevant de l'action 99",'ETPT Format DDG'!2:2,0)),
INDEX( 'ETPT Format DDG'!$A:$ZZ,,MATCH("Fonction recodée",'ETPT Format DDG'!2:2,0)),"JA/AttJ JI",
INDEX( 'ETPT Format DDG'!$A:$ZZ,,MATCH("Juridiction",'ETPT Format DDG'!2:2,0)),$D$5))-
SUM(SUMIFS(
INDEX( 'ETPT Format DDG'!$A:$ZZ,,MATCH("12.5. MISE À DISPOSITION",'ETPT Format DDG'!2:2,0)),
INDEX( 'ETPT Format DDG'!$A:$ZZ,,MATCH("Fonction recodée",'ETPT Format DDG'!2:2,0)),"JA/AttJ JI",
INDEX( 'ETPT Format DDG'!$A:$ZZ,,MATCH("Juridiction",'ETPT Format DDG'!2:2,0)),$D$5)))</f>
        <v>#N/A</v>
      </c>
      <c r="R11" s="280" t="e">
        <f>MAX(0,SUM(SUMIFS(
INDEX( 'ETPT Format DDG'!$A:$ZZ,,MATCH("12. TOTAL des INDISPONIBILITÉS relevant de l'action 99",'ETPT Format DDG'!2:2,0)),
INDEX( 'ETPT Format DDG'!$A:$ZZ,,MATCH("Fonction recodée",'ETPT Format DDG'!2:2,0)),"JA/AttJ JLD PÉNAL",
INDEX( 'ETPT Format DDG'!$A:$ZZ,,MATCH("Juridiction",'ETPT Format DDG'!2:2,0)),$D$5))-
SUM(SUMIFS(
INDEX( 'ETPT Format DDG'!$A:$ZZ,,MATCH("12.5. MISE À DISPOSITION",'ETPT Format DDG'!2:2,0)),
INDEX( 'ETPT Format DDG'!$A:$ZZ,,MATCH("Fonction recodée",'ETPT Format DDG'!2:2,0)),"JA/AttJ JLD PÉNAL",
INDEX( 'ETPT Format DDG'!$A:$ZZ,,MATCH("Juridiction",'ETPT Format DDG'!2:2,0)),$D$5)))</f>
        <v>#N/A</v>
      </c>
      <c r="S11" s="278">
        <f t="shared" si="0"/>
        <v>0</v>
      </c>
    </row>
    <row r="12" spans="1:64" x14ac:dyDescent="0.2">
      <c r="A12" s="211" t="s">
        <v>283</v>
      </c>
      <c r="B12" s="212"/>
      <c r="C12" s="212"/>
      <c r="D12" s="212">
        <f>ETPT_ATTJ_DDG!D12</f>
        <v>0</v>
      </c>
      <c r="E12" s="212" t="s">
        <v>46</v>
      </c>
      <c r="F12" s="213" t="s">
        <v>45</v>
      </c>
      <c r="G12" s="279" t="e" cm="1">
        <f t="array" ref="G12">SUM(SUMIFS(
INDEX( 'ETPT Format DDG'!$A:$ZZ,,MATCH("12.5. MISE À DISPOSITION",'ETPT Format DDG'!2:2,0)),
INDEX( 'ETPT Format DDG'!$A:$ZZ,,MATCH("Fonction recodée",'ETPT Format DDG'!2:2,0)),{"CONT A JP Siège";"CONT A VIF Siège"},
INDEX( 'ETPT Format DDG'!$A:$ZZ,,MATCH("Juridiction",'ETPT Format DDG'!2:2,0)),$D$5))+
_xlfn.IFNA(SUM(SUMIFS(
INDEX( 'ETPT Format DDG'!$A:$ZZ,,MATCH("13. TOTAL CONTENTIEUX LOCAUX SPÉCIFIQUES",'ETPT Format DDG'!2:2,0)),
INDEX( 'ETPT Format DDG'!$A:$ZZ,,MATCH("Fonction recodée",'ETPT Format DDG'!2:2,0)),{"CONT A JP Siège";"CONT A VIF Siège"},
INDEX( 'ETPT Format DDG'!$A:$ZZ,,MATCH("Juridiction",'ETPT Format DDG'!2:2,0)),$D$5)),0)</f>
        <v>#N/A</v>
      </c>
      <c r="H12" s="279" t="e" cm="1">
        <f t="array" ref="H12">SUM(SUMIFS(
INDEX( 'ETPT Format DDG'!$A:$ZZ,,MATCH("12.5. MISE À DISPOSITION",'ETPT Format DDG'!2:2,0)),
INDEX( 'ETPT Format DDG'!$A:$ZZ,,MATCH("Fonction recodée",'ETPT Format DDG'!2:2,0)),{"CONT A JP Parquet";"CONT A VIF Parquet"},
INDEX( 'ETPT Format DDG'!$A:$ZZ,,MATCH("Juridiction",'ETPT Format DDG'!2:2,0)),$D$5))+
_xlfn.IFNA(SUM(SUMIFS(
INDEX( 'ETPT Format DDG'!$A:$ZZ,,MATCH("13. TOTAL CONTENTIEUX LOCAUX SPÉCIFIQUES",'ETPT Format DDG'!2:2,0)),
INDEX( 'ETPT Format DDG'!$A:$ZZ,,MATCH("Fonction recodée",'ETPT Format DDG'!2:2,0)),{"CONT A JP Parquet";"CONT A VIF Parquet"},
INDEX( 'ETPT Format DDG'!$A:$ZZ,,MATCH("Juridiction",'ETPT Format DDG'!2:2,0)),$D$5)),0)</f>
        <v>#N/A</v>
      </c>
      <c r="I12" s="280" t="e">
        <f>SUM(SUMIFS(
INDEX( 'ETPT Format DDG'!$A:$ZZ,,MATCH("12.5. MISE À DISPOSITION",'ETPT Format DDG'!2:2,0)),
INDEX( 'ETPT Format DDG'!$A:$ZZ,,MATCH("Fonction recodée",'ETPT Format DDG'!2:2,0)),"JA/AttJ Siège autres",
INDEX( 'ETPT Format DDG'!$A:$ZZ,,MATCH("Juridiction",'ETPT Format DDG'!2:2,0)),$D$5))+
_xlfn.IFNA(SUM(SUMIFS(
INDEX( 'ETPT Format DDG'!$A:$ZZ,,MATCH("13. TOTAL CONTENTIEUX LOCAUX SPÉCIFIQUES",'ETPT Format DDG'!2:2,0)),
INDEX( 'ETPT Format DDG'!$A:$ZZ,,MATCH("Fonction recodée",'ETPT Format DDG'!2:2,0)),"JA/AttJ Siège autres",
INDEX( 'ETPT Format DDG'!$A:$ZZ,,MATCH("Juridiction",'ETPT Format DDG'!2:2,0)),$D$5)),0)</f>
        <v>#N/A</v>
      </c>
      <c r="J12" s="280" t="e">
        <f>SUM(SUMIFS(
INDEX( 'ETPT Format DDG'!$A:$ZZ,,MATCH("12.5. MISE À DISPOSITION",'ETPT Format DDG'!2:2,0)),
INDEX( 'ETPT Format DDG'!$A:$ZZ,,MATCH("Fonction recodée",'ETPT Format DDG'!2:2,0)),"JA/AttJ Siege Assises",
INDEX( 'ETPT Format DDG'!$A:$ZZ,,MATCH("Juridiction",'ETPT Format DDG'!2:2,0)),$D$5))+
_xlfn.IFNA(SUM(SUMIFS(
INDEX( 'ETPT Format DDG'!$A:$ZZ,,MATCH("13. TOTAL CONTENTIEUX LOCAUX SPÉCIFIQUES",'ETPT Format DDG'!2:2,0)),
INDEX( 'ETPT Format DDG'!$A:$ZZ,,MATCH("Fonction recodée",'ETPT Format DDG'!2:2,0)),"JA/AttJ Siege Assises",
INDEX( 'ETPT Format DDG'!$A:$ZZ,,MATCH("Juridiction",'ETPT Format DDG'!2:2,0)),$D$5)),0)</f>
        <v>#N/A</v>
      </c>
      <c r="K12" s="280" t="e">
        <f>SUM(SUMIFS(
INDEX( 'ETPT Format DDG'!$A:$ZZ,,MATCH("12.5. MISE À DISPOSITION",'ETPT Format DDG'!2:2,0)),
INDEX( 'ETPT Format DDG'!$A:$ZZ,,MATCH("Fonction recodée",'ETPT Format DDG'!2:2,0)),"JA/AttJ Siege CCD",
INDEX( 'ETPT Format DDG'!$A:$ZZ,,MATCH("Juridiction",'ETPT Format DDG'!2:2,0)),$D$5))+
_xlfn.IFNA(SUM(SUMIFS(
INDEX( 'ETPT Format DDG'!$A:$ZZ,,MATCH("13. TOTAL CONTENTIEUX LOCAUX SPÉCIFIQUES",'ETPT Format DDG'!2:2,0)),
INDEX( 'ETPT Format DDG'!$A:$ZZ,,MATCH("Fonction recodée",'ETPT Format DDG'!2:2,0)),"JA/AttJ Siege CCD",
INDEX( 'ETPT Format DDG'!$A:$ZZ,,MATCH("Juridiction",'ETPT Format DDG'!2:2,0)),$D$5)),0)</f>
        <v>#N/A</v>
      </c>
      <c r="L12" s="280" t="e">
        <f>SUM(SUMIFS(
INDEX( 'ETPT Format DDG'!$A:$ZZ,,MATCH("12.5. MISE À DISPOSITION",'ETPT Format DDG'!2:2,0)),
INDEX( 'ETPT Format DDG'!$A:$ZZ,,MATCH("Fonction recodée",'ETPT Format DDG'!2:2,0)),"JA/AttJ Parquet",
INDEX( 'ETPT Format DDG'!$A:$ZZ,,MATCH("Juridiction",'ETPT Format DDG'!2:2,0)),$D$5))+
_xlfn.IFNA(SUM(SUMIFS(
INDEX( 'ETPT Format DDG'!$A:$ZZ,,MATCH("13. TOTAL CONTENTIEUX LOCAUX SPÉCIFIQUES",'ETPT Format DDG'!2:2,0)),
INDEX( 'ETPT Format DDG'!$A:$ZZ,,MATCH("Fonction recodée",'ETPT Format DDG'!2:2,0)),"JA/AttJ Parquet",
INDEX( 'ETPT Format DDG'!$A:$ZZ,,MATCH("Juridiction",'ETPT Format DDG'!2:2,0)),$D$5)),0)</f>
        <v>#N/A</v>
      </c>
      <c r="M12" s="280"/>
      <c r="N12" s="280"/>
      <c r="O12" s="280" t="e">
        <f>SUM(SUMIFS(
INDEX( 'ETPT Format DDG'!$A:$ZZ,,MATCH("12.5. MISE À DISPOSITION",'ETPT Format DDG'!2:2,0)),
INDEX( 'ETPT Format DDG'!$A:$ZZ,,MATCH("Fonction recodée",'ETPT Format DDG'!2:2,0)),"JA/AttJ JAP",
INDEX( 'ETPT Format DDG'!$A:$ZZ,,MATCH("Juridiction",'ETPT Format DDG'!2:2,0)),$D$5))+
_xlfn.IFNA(SUM(SUMIFS(
INDEX( 'ETPT Format DDG'!$A:$ZZ,,MATCH("13. TOTAL CONTENTIEUX LOCAUX SPÉCIFIQUES",'ETPT Format DDG'!2:2,0)),
INDEX( 'ETPT Format DDG'!$A:$ZZ,,MATCH("Fonction recodée",'ETPT Format DDG'!2:2,0)),"JA/AttJ JAP",
INDEX( 'ETPT Format DDG'!$A:$ZZ,,MATCH("Juridiction",'ETPT Format DDG'!2:2,0)),$D$5)),0)</f>
        <v>#N/A</v>
      </c>
      <c r="P12" s="280" t="e">
        <f>SUM(SUMIFS(
INDEX( 'ETPT Format DDG'!$A:$ZZ,,MATCH("12.5. MISE À DISPOSITION",'ETPT Format DDG'!2:2,0)),
INDEX( 'ETPT Format DDG'!$A:$ZZ,,MATCH("Fonction recodée",'ETPT Format DDG'!2:2,0)),"JA/AttJ JE",
INDEX( 'ETPT Format DDG'!$A:$ZZ,,MATCH("Juridiction",'ETPT Format DDG'!2:2,0)),$D$5))+
_xlfn.IFNA(SUM(SUMIFS(
INDEX( 'ETPT Format DDG'!$A:$ZZ,,MATCH("13. TOTAL CONTENTIEUX LOCAUX SPÉCIFIQUES",'ETPT Format DDG'!2:2,0)),
INDEX( 'ETPT Format DDG'!$A:$ZZ,,MATCH("Fonction recodée",'ETPT Format DDG'!2:2,0)),"JA/AttJ JE",
INDEX( 'ETPT Format DDG'!$A:$ZZ,,MATCH("Juridiction",'ETPT Format DDG'!2:2,0)),$D$5)),0)</f>
        <v>#N/A</v>
      </c>
      <c r="Q12" s="280" t="e">
        <f>SUM(SUMIFS(
INDEX( 'ETPT Format DDG'!$A:$ZZ,,MATCH("12.5. MISE À DISPOSITION",'ETPT Format DDG'!2:2,0)),
INDEX( 'ETPT Format DDG'!$A:$ZZ,,MATCH("Fonction recodée",'ETPT Format DDG'!2:2,0)),"JA/AttJ JI",
INDEX( 'ETPT Format DDG'!$A:$ZZ,,MATCH("Juridiction",'ETPT Format DDG'!2:2,0)),$D$5))+
_xlfn.IFNA(SUM(SUMIFS(
INDEX( 'ETPT Format DDG'!$A:$ZZ,,MATCH("13. TOTAL CONTENTIEUX LOCAUX SPÉCIFIQUES",'ETPT Format DDG'!2:2,0)),
INDEX( 'ETPT Format DDG'!$A:$ZZ,,MATCH("Fonction recodée",'ETPT Format DDG'!2:2,0)),"JA/AttJ JI",
INDEX( 'ETPT Format DDG'!$A:$ZZ,,MATCH("Juridiction",'ETPT Format DDG'!2:2,0)),$D$5)),0)</f>
        <v>#N/A</v>
      </c>
      <c r="R12" s="280" t="e">
        <f>SUM(SUMIFS(
INDEX( 'ETPT Format DDG'!$A:$ZZ,,MATCH("12.5. MISE À DISPOSITION",'ETPT Format DDG'!2:2,0)),
INDEX( 'ETPT Format DDG'!$A:$ZZ,,MATCH("Fonction recodée",'ETPT Format DDG'!2:2,0)),"JA/AttJ JLD PÉNAL",
INDEX( 'ETPT Format DDG'!$A:$ZZ,,MATCH("Juridiction",'ETPT Format DDG'!2:2,0)),$D$5))+
_xlfn.IFNA(SUM(SUMIFS(
INDEX( 'ETPT Format DDG'!$A:$ZZ,,MATCH("13. TOTAL CONTENTIEUX LOCAUX SPÉCIFIQUES",'ETPT Format DDG'!2:2,0)),
INDEX( 'ETPT Format DDG'!$A:$ZZ,,MATCH("Fonction recodée",'ETPT Format DDG'!2:2,0)),"JA/AttJ JLD PÉNAL",
INDEX( 'ETPT Format DDG'!$A:$ZZ,,MATCH("Juridiction",'ETPT Format DDG'!2:2,0)),$D$5)),0)</f>
        <v>#N/A</v>
      </c>
      <c r="S12" s="278">
        <f t="shared" si="0"/>
        <v>0</v>
      </c>
    </row>
    <row r="13" spans="1:64" ht="16" x14ac:dyDescent="0.2">
      <c r="A13" s="217"/>
      <c r="B13" s="217"/>
      <c r="C13" s="217"/>
      <c r="D13" s="217"/>
      <c r="E13" s="216"/>
      <c r="F13" s="215" t="s">
        <v>39</v>
      </c>
      <c r="G13" s="278">
        <f>_xlfn.AGGREGATE(9,6,G5:G12)</f>
        <v>0</v>
      </c>
      <c r="H13" s="278">
        <f>_xlfn.AGGREGATE(9,6,H5:H12)</f>
        <v>0</v>
      </c>
      <c r="I13" s="278">
        <f t="shared" ref="I13:R13" si="1">_xlfn.AGGREGATE(9,6,I5:I12)</f>
        <v>0</v>
      </c>
      <c r="J13" s="278">
        <f t="shared" si="1"/>
        <v>0</v>
      </c>
      <c r="K13" s="278">
        <f t="shared" si="1"/>
        <v>0</v>
      </c>
      <c r="L13" s="278">
        <f t="shared" si="1"/>
        <v>0</v>
      </c>
      <c r="M13" s="278">
        <f t="shared" si="1"/>
        <v>0</v>
      </c>
      <c r="N13" s="278">
        <f t="shared" si="1"/>
        <v>0</v>
      </c>
      <c r="O13" s="278">
        <f t="shared" si="1"/>
        <v>0</v>
      </c>
      <c r="P13" s="278">
        <f t="shared" si="1"/>
        <v>0</v>
      </c>
      <c r="Q13" s="278">
        <f t="shared" si="1"/>
        <v>0</v>
      </c>
      <c r="R13" s="278">
        <f t="shared" si="1"/>
        <v>0</v>
      </c>
      <c r="S13" s="278">
        <f>_xlfn.AGGREGATE(9,6,S5:S12)</f>
        <v>0</v>
      </c>
    </row>
    <row r="14" spans="1:64" ht="16" x14ac:dyDescent="0.2">
      <c r="A14" s="217"/>
      <c r="B14" s="217"/>
      <c r="C14" s="217"/>
      <c r="D14" s="217"/>
      <c r="E14" s="216"/>
      <c r="F14" s="216"/>
      <c r="G14" s="216"/>
      <c r="H14" s="216"/>
      <c r="I14" s="216"/>
      <c r="J14" s="216"/>
      <c r="K14" s="216"/>
      <c r="L14" s="216"/>
      <c r="M14" s="216"/>
      <c r="N14" s="216"/>
      <c r="O14" s="216"/>
      <c r="P14" s="216"/>
      <c r="Q14" s="216"/>
      <c r="R14" s="216"/>
      <c r="S14" s="216"/>
    </row>
    <row r="15" spans="1:64" ht="16" x14ac:dyDescent="0.2">
      <c r="A15" s="217"/>
      <c r="B15" s="217"/>
      <c r="C15" s="217"/>
      <c r="D15" s="217"/>
      <c r="E15" s="217"/>
      <c r="F15" s="217"/>
      <c r="G15" s="217"/>
      <c r="H15" s="217"/>
      <c r="I15" s="216"/>
      <c r="J15" s="216"/>
      <c r="K15" s="216"/>
      <c r="O15" s="216"/>
      <c r="P15" s="216"/>
      <c r="Q15" s="216"/>
      <c r="R15" s="216"/>
      <c r="S15" s="216"/>
    </row>
    <row r="16" spans="1:64" ht="16" x14ac:dyDescent="0.2">
      <c r="A16" s="217"/>
      <c r="B16" s="217"/>
      <c r="C16" s="217"/>
      <c r="D16" s="217"/>
      <c r="E16" s="217"/>
      <c r="F16" s="217"/>
      <c r="G16" s="217"/>
      <c r="H16" s="217"/>
      <c r="I16" s="216"/>
      <c r="J16" s="216"/>
      <c r="K16" s="216"/>
      <c r="O16" s="216"/>
      <c r="P16" s="216"/>
      <c r="Q16" s="216"/>
      <c r="R16" s="216"/>
      <c r="S16" s="216"/>
    </row>
    <row r="17" spans="1:20" ht="16" x14ac:dyDescent="0.2">
      <c r="A17" s="217"/>
      <c r="B17" s="217"/>
      <c r="C17" s="217"/>
      <c r="D17" s="217"/>
      <c r="E17" s="217"/>
      <c r="F17" s="217"/>
      <c r="G17" s="217"/>
      <c r="H17" s="217"/>
      <c r="I17" s="216"/>
      <c r="J17" s="216"/>
      <c r="K17" s="216"/>
      <c r="O17" s="216"/>
      <c r="P17" s="216"/>
      <c r="Q17" s="216"/>
      <c r="R17" s="216"/>
      <c r="S17" s="216"/>
      <c r="T17" s="216"/>
    </row>
    <row r="18" spans="1:20" ht="16" x14ac:dyDescent="0.2">
      <c r="A18" s="217"/>
      <c r="B18" s="217"/>
      <c r="C18" s="217"/>
      <c r="D18" s="217"/>
      <c r="E18" s="217"/>
      <c r="F18" s="217"/>
      <c r="G18" s="217"/>
      <c r="H18" s="217"/>
      <c r="I18" s="216"/>
      <c r="J18" s="216"/>
      <c r="K18" s="216"/>
      <c r="O18" s="216"/>
      <c r="P18" s="216"/>
      <c r="Q18" s="216"/>
      <c r="R18" s="216"/>
      <c r="S18" s="216"/>
      <c r="T18" s="216"/>
    </row>
    <row r="19" spans="1:20" ht="16" x14ac:dyDescent="0.2">
      <c r="A19" s="217"/>
      <c r="B19" s="217"/>
      <c r="C19" s="217"/>
      <c r="D19" s="217"/>
      <c r="E19" s="217"/>
      <c r="F19" s="217"/>
      <c r="G19" s="217"/>
      <c r="H19" s="217"/>
      <c r="I19" s="216"/>
      <c r="J19" s="216"/>
      <c r="K19" s="216"/>
      <c r="O19" s="216"/>
      <c r="P19" s="216"/>
      <c r="Q19" s="216"/>
      <c r="R19" s="216"/>
      <c r="S19" s="216"/>
      <c r="T19" s="216"/>
    </row>
    <row r="20" spans="1:20" ht="16" x14ac:dyDescent="0.2">
      <c r="A20" s="217"/>
      <c r="B20" s="217"/>
      <c r="C20" s="217"/>
      <c r="D20" s="217"/>
      <c r="E20" s="217"/>
      <c r="F20" s="217"/>
      <c r="G20" s="217"/>
      <c r="H20" s="217"/>
      <c r="I20" s="216"/>
      <c r="J20" s="216"/>
      <c r="K20" s="216"/>
      <c r="O20" s="216"/>
      <c r="P20" s="216"/>
      <c r="Q20" s="216"/>
      <c r="R20" s="216"/>
      <c r="S20" s="216"/>
      <c r="T20" s="216"/>
    </row>
    <row r="21" spans="1:20" ht="16" x14ac:dyDescent="0.2">
      <c r="A21" s="217"/>
      <c r="B21" s="217"/>
      <c r="C21" s="217"/>
      <c r="D21" s="217"/>
      <c r="E21" s="217"/>
      <c r="F21" s="217"/>
      <c r="G21" s="217"/>
      <c r="H21" s="217"/>
      <c r="I21" s="216"/>
      <c r="J21" s="216"/>
      <c r="K21" s="216"/>
      <c r="O21" s="216"/>
      <c r="P21" s="216"/>
      <c r="Q21" s="216"/>
      <c r="R21" s="216"/>
      <c r="S21" s="216"/>
      <c r="T21" s="216"/>
    </row>
    <row r="22" spans="1:20" ht="16" x14ac:dyDescent="0.2">
      <c r="A22" s="217"/>
      <c r="B22" s="217"/>
      <c r="C22" s="217"/>
      <c r="D22" s="217"/>
      <c r="E22" s="217"/>
      <c r="F22" s="217"/>
      <c r="G22" s="217"/>
      <c r="H22" s="217"/>
      <c r="I22" s="216"/>
      <c r="J22" s="216"/>
      <c r="K22" s="216"/>
      <c r="O22" s="216"/>
      <c r="P22" s="216"/>
      <c r="Q22" s="216"/>
      <c r="R22" s="216"/>
      <c r="S22" s="216"/>
      <c r="T22" s="216"/>
    </row>
    <row r="23" spans="1:20" ht="16" x14ac:dyDescent="0.2">
      <c r="A23" s="217"/>
      <c r="B23" s="217"/>
      <c r="C23" s="217"/>
      <c r="D23" s="217"/>
      <c r="E23" s="217"/>
      <c r="F23" s="217"/>
      <c r="G23" s="217"/>
      <c r="H23" s="217"/>
      <c r="I23" s="216"/>
      <c r="J23" s="216"/>
      <c r="K23" s="216"/>
      <c r="L23" s="216"/>
      <c r="M23" s="216"/>
      <c r="N23" s="216"/>
      <c r="O23" s="216"/>
      <c r="P23" s="216"/>
      <c r="Q23" s="216"/>
      <c r="R23" s="216"/>
      <c r="S23" s="216"/>
      <c r="T23" s="216"/>
    </row>
    <row r="24" spans="1:20" ht="16" x14ac:dyDescent="0.2">
      <c r="A24" s="217"/>
      <c r="B24" s="217"/>
      <c r="C24" s="217"/>
      <c r="D24" s="217"/>
      <c r="E24" s="217"/>
      <c r="F24" s="217"/>
      <c r="G24" s="217"/>
      <c r="H24" s="217"/>
      <c r="I24" s="216"/>
      <c r="J24" s="216"/>
      <c r="K24" s="216"/>
      <c r="L24" s="216"/>
      <c r="M24" s="216"/>
      <c r="N24" s="216"/>
      <c r="O24" s="216"/>
      <c r="P24" s="216"/>
      <c r="Q24" s="216"/>
      <c r="R24" s="216"/>
      <c r="S24" s="216"/>
      <c r="T24" s="216"/>
    </row>
    <row r="25" spans="1:20" ht="16" x14ac:dyDescent="0.2">
      <c r="A25" s="217"/>
      <c r="B25" s="217"/>
      <c r="C25" s="217"/>
      <c r="D25" s="217"/>
      <c r="E25" s="217"/>
      <c r="F25" s="217"/>
      <c r="G25" s="217"/>
      <c r="H25" s="217"/>
      <c r="I25" s="216"/>
      <c r="J25" s="216"/>
      <c r="K25" s="216"/>
      <c r="L25" s="216"/>
      <c r="M25" s="216"/>
      <c r="N25" s="216"/>
      <c r="O25" s="216"/>
      <c r="P25" s="216"/>
      <c r="Q25" s="216"/>
      <c r="R25" s="216"/>
      <c r="S25" s="216"/>
      <c r="T25" s="216"/>
    </row>
    <row r="26" spans="1:20" ht="16" x14ac:dyDescent="0.2">
      <c r="A26" s="217"/>
      <c r="B26" s="217"/>
      <c r="C26" s="217"/>
      <c r="D26" s="217"/>
      <c r="E26" s="217"/>
      <c r="F26" s="217"/>
      <c r="G26" s="217"/>
      <c r="H26" s="217"/>
      <c r="I26" s="216"/>
      <c r="J26" s="216"/>
      <c r="K26" s="216"/>
      <c r="L26" s="216"/>
      <c r="M26" s="216"/>
      <c r="N26" s="216"/>
      <c r="O26" s="216"/>
      <c r="P26" s="216"/>
      <c r="Q26" s="216"/>
      <c r="R26" s="216"/>
      <c r="S26" s="216"/>
      <c r="T26" s="216"/>
    </row>
    <row r="27" spans="1:20" ht="16" x14ac:dyDescent="0.2">
      <c r="A27" s="217"/>
      <c r="B27" s="217"/>
      <c r="C27" s="217"/>
      <c r="D27" s="217"/>
      <c r="E27" s="217"/>
      <c r="F27" s="217"/>
      <c r="G27" s="217"/>
      <c r="H27" s="217"/>
      <c r="I27" s="216"/>
      <c r="J27" s="216"/>
      <c r="K27" s="216"/>
      <c r="L27" s="216"/>
      <c r="M27" s="216"/>
      <c r="N27" s="216"/>
      <c r="O27" s="216"/>
      <c r="P27" s="216"/>
      <c r="Q27" s="216"/>
      <c r="R27" s="216"/>
      <c r="S27" s="216"/>
      <c r="T27" s="216"/>
    </row>
    <row r="28" spans="1:20" ht="16" x14ac:dyDescent="0.2">
      <c r="A28" s="217"/>
      <c r="B28" s="217"/>
      <c r="C28" s="217"/>
      <c r="D28" s="217"/>
      <c r="E28" s="217"/>
      <c r="F28" s="217"/>
      <c r="G28" s="217"/>
      <c r="H28" s="217"/>
      <c r="I28" s="216"/>
      <c r="J28" s="216"/>
      <c r="K28" s="216"/>
      <c r="L28" s="216"/>
      <c r="M28" s="216"/>
      <c r="N28" s="216"/>
      <c r="O28" s="216"/>
      <c r="P28" s="216"/>
      <c r="Q28" s="216"/>
      <c r="R28" s="216"/>
      <c r="S28" s="216"/>
      <c r="T28" s="216"/>
    </row>
    <row r="29" spans="1:20" ht="16" x14ac:dyDescent="0.2">
      <c r="A29" s="217"/>
      <c r="B29" s="217"/>
      <c r="C29" s="217"/>
      <c r="D29" s="217"/>
      <c r="E29" s="217"/>
      <c r="F29" s="217"/>
      <c r="G29" s="217"/>
      <c r="H29" s="217"/>
      <c r="I29" s="216"/>
      <c r="J29" s="216"/>
      <c r="K29" s="216"/>
      <c r="L29" s="216"/>
      <c r="M29" s="216"/>
      <c r="N29" s="216"/>
      <c r="O29" s="216"/>
      <c r="P29" s="216"/>
      <c r="Q29" s="216"/>
      <c r="R29" s="216"/>
      <c r="S29" s="216"/>
      <c r="T29" s="216"/>
    </row>
    <row r="30" spans="1:20" ht="16" x14ac:dyDescent="0.2">
      <c r="A30" s="217"/>
      <c r="B30" s="217"/>
      <c r="C30" s="217"/>
      <c r="D30" s="217"/>
      <c r="E30" s="217"/>
      <c r="F30" s="217"/>
      <c r="G30" s="217"/>
      <c r="H30" s="217"/>
      <c r="I30" s="216"/>
      <c r="J30" s="216"/>
      <c r="K30" s="216"/>
      <c r="L30" s="216"/>
      <c r="M30" s="216"/>
      <c r="N30" s="216"/>
      <c r="O30" s="216"/>
      <c r="P30" s="216"/>
      <c r="Q30" s="216"/>
      <c r="R30" s="216"/>
      <c r="S30" s="216"/>
      <c r="T30" s="216"/>
    </row>
    <row r="31" spans="1:20" ht="16" x14ac:dyDescent="0.2">
      <c r="A31" s="217"/>
      <c r="B31" s="217"/>
      <c r="C31" s="217"/>
      <c r="D31" s="217"/>
      <c r="E31" s="217"/>
      <c r="F31" s="217"/>
      <c r="G31" s="217"/>
      <c r="H31" s="217"/>
      <c r="I31" s="216"/>
      <c r="J31" s="216"/>
      <c r="K31" s="216"/>
      <c r="L31" s="216"/>
      <c r="M31" s="216"/>
      <c r="N31" s="216"/>
      <c r="O31" s="216"/>
      <c r="P31" s="216"/>
      <c r="Q31" s="216"/>
      <c r="R31" s="216"/>
      <c r="S31" s="216"/>
      <c r="T31" s="216"/>
    </row>
    <row r="32" spans="1:20" ht="16" x14ac:dyDescent="0.2">
      <c r="A32" s="217"/>
      <c r="B32" s="217"/>
      <c r="C32" s="217"/>
      <c r="D32" s="217"/>
      <c r="E32" s="217"/>
      <c r="F32" s="217"/>
      <c r="G32" s="217"/>
      <c r="H32" s="217"/>
      <c r="I32" s="216"/>
      <c r="J32" s="216"/>
      <c r="K32" s="216"/>
      <c r="L32" s="216"/>
      <c r="M32" s="216"/>
      <c r="N32" s="216"/>
      <c r="O32" s="216"/>
      <c r="P32" s="216"/>
      <c r="Q32" s="216"/>
      <c r="R32" s="216"/>
      <c r="S32" s="216"/>
      <c r="T32" s="216"/>
    </row>
    <row r="33" spans="1:20" ht="16" x14ac:dyDescent="0.2">
      <c r="A33" s="217"/>
      <c r="B33" s="217"/>
      <c r="C33" s="217"/>
      <c r="D33" s="217"/>
      <c r="E33" s="217"/>
      <c r="F33" s="217"/>
      <c r="G33" s="217"/>
      <c r="H33" s="217"/>
      <c r="I33" s="216"/>
      <c r="J33" s="216"/>
      <c r="K33" s="216"/>
      <c r="L33" s="216"/>
      <c r="M33" s="216"/>
      <c r="N33" s="216"/>
      <c r="O33" s="216"/>
      <c r="P33" s="216"/>
      <c r="Q33" s="216"/>
      <c r="R33" s="216"/>
      <c r="S33" s="216"/>
      <c r="T33" s="216"/>
    </row>
    <row r="34" spans="1:20" ht="16" x14ac:dyDescent="0.2">
      <c r="A34" s="217"/>
      <c r="B34" s="217"/>
      <c r="C34" s="217"/>
      <c r="D34" s="217"/>
      <c r="E34" s="217"/>
      <c r="F34" s="217"/>
      <c r="G34" s="217"/>
      <c r="H34" s="217"/>
      <c r="I34" s="216"/>
      <c r="J34" s="216"/>
      <c r="K34" s="216"/>
      <c r="L34" s="216"/>
      <c r="M34" s="216"/>
      <c r="N34" s="216"/>
      <c r="O34" s="216"/>
      <c r="P34" s="216"/>
      <c r="Q34" s="216"/>
      <c r="R34" s="216"/>
      <c r="S34" s="216"/>
      <c r="T34" s="216"/>
    </row>
    <row r="35" spans="1:20" ht="16" x14ac:dyDescent="0.2">
      <c r="A35" s="217"/>
      <c r="B35" s="217"/>
      <c r="C35" s="217"/>
      <c r="D35" s="217"/>
      <c r="E35" s="217"/>
      <c r="F35" s="217"/>
      <c r="G35" s="217"/>
      <c r="H35" s="217"/>
      <c r="I35" s="216"/>
      <c r="J35" s="216"/>
      <c r="K35" s="216"/>
      <c r="L35" s="216"/>
      <c r="M35" s="216"/>
      <c r="N35" s="216"/>
      <c r="O35" s="216"/>
      <c r="P35" s="216"/>
      <c r="Q35" s="216"/>
      <c r="R35" s="216"/>
      <c r="S35" s="216"/>
      <c r="T35" s="216"/>
    </row>
    <row r="36" spans="1:20" ht="16" x14ac:dyDescent="0.2">
      <c r="A36" s="217"/>
      <c r="B36" s="217"/>
      <c r="C36" s="217"/>
      <c r="D36" s="217"/>
      <c r="E36" s="217"/>
      <c r="F36" s="217"/>
      <c r="G36" s="217"/>
      <c r="H36" s="217"/>
      <c r="I36" s="216"/>
      <c r="J36" s="216"/>
      <c r="K36" s="216"/>
      <c r="L36" s="216"/>
      <c r="M36" s="216"/>
      <c r="N36" s="216"/>
      <c r="O36" s="216"/>
      <c r="P36" s="216"/>
      <c r="Q36" s="216"/>
      <c r="R36" s="216"/>
      <c r="S36" s="216"/>
      <c r="T36" s="216"/>
    </row>
    <row r="37" spans="1:20" ht="16" x14ac:dyDescent="0.2">
      <c r="A37" s="217"/>
      <c r="B37" s="217"/>
      <c r="C37" s="217"/>
      <c r="D37" s="217"/>
      <c r="E37" s="217"/>
      <c r="F37" s="217"/>
      <c r="G37" s="217"/>
      <c r="H37" s="217"/>
      <c r="I37" s="216"/>
      <c r="J37" s="216"/>
      <c r="K37" s="216"/>
      <c r="L37" s="216"/>
      <c r="M37" s="216"/>
      <c r="N37" s="216"/>
      <c r="O37" s="216"/>
      <c r="P37" s="216"/>
      <c r="Q37" s="216"/>
      <c r="R37" s="216"/>
      <c r="S37" s="216"/>
      <c r="T37" s="216"/>
    </row>
    <row r="38" spans="1:20" ht="16" x14ac:dyDescent="0.2">
      <c r="A38" s="217"/>
      <c r="B38" s="217"/>
      <c r="C38" s="217"/>
      <c r="D38" s="217"/>
      <c r="E38" s="217"/>
      <c r="F38" s="217"/>
      <c r="G38" s="217"/>
      <c r="H38" s="217"/>
      <c r="I38" s="216"/>
      <c r="J38" s="216"/>
      <c r="K38" s="216"/>
      <c r="L38" s="216"/>
      <c r="M38" s="216"/>
      <c r="N38" s="216"/>
      <c r="O38" s="216"/>
      <c r="P38" s="216"/>
      <c r="Q38" s="216"/>
      <c r="R38" s="216"/>
      <c r="S38" s="216"/>
      <c r="T38" s="216"/>
    </row>
    <row r="39" spans="1:20" ht="16" x14ac:dyDescent="0.2">
      <c r="A39" s="217"/>
      <c r="B39" s="217"/>
      <c r="C39" s="217"/>
      <c r="D39" s="217"/>
      <c r="E39" s="217"/>
      <c r="F39" s="217"/>
      <c r="G39" s="217"/>
      <c r="H39" s="217"/>
      <c r="I39" s="216"/>
      <c r="J39" s="216"/>
      <c r="K39" s="216"/>
      <c r="L39" s="216"/>
      <c r="M39" s="216"/>
      <c r="N39" s="216"/>
      <c r="O39" s="216"/>
      <c r="P39" s="216"/>
      <c r="Q39" s="216"/>
      <c r="R39" s="216"/>
      <c r="S39" s="216"/>
      <c r="T39" s="216"/>
    </row>
    <row r="40" spans="1:20" ht="16" x14ac:dyDescent="0.2">
      <c r="A40" s="217"/>
      <c r="B40" s="217"/>
      <c r="C40" s="217"/>
      <c r="D40" s="217"/>
      <c r="E40" s="217"/>
      <c r="F40" s="217"/>
      <c r="G40" s="217"/>
      <c r="H40" s="217"/>
      <c r="I40" s="216"/>
      <c r="J40" s="216"/>
      <c r="K40" s="216"/>
      <c r="L40" s="216"/>
      <c r="M40" s="216"/>
      <c r="N40" s="216"/>
      <c r="O40" s="216"/>
      <c r="P40" s="216"/>
      <c r="Q40" s="216"/>
      <c r="R40" s="216"/>
      <c r="S40" s="216"/>
      <c r="T40" s="216"/>
    </row>
    <row r="41" spans="1:20" ht="16" x14ac:dyDescent="0.2">
      <c r="A41" s="217"/>
      <c r="B41" s="217"/>
      <c r="C41" s="217"/>
      <c r="D41" s="217"/>
      <c r="E41" s="217"/>
      <c r="F41" s="217"/>
      <c r="G41" s="217"/>
      <c r="H41" s="217"/>
      <c r="I41" s="216"/>
      <c r="J41" s="216"/>
      <c r="K41" s="216"/>
      <c r="L41" s="216"/>
      <c r="M41" s="216"/>
      <c r="N41" s="216"/>
      <c r="O41" s="216"/>
      <c r="P41" s="216"/>
      <c r="Q41" s="216"/>
      <c r="R41" s="216"/>
      <c r="S41" s="216"/>
      <c r="T41" s="216"/>
    </row>
    <row r="42" spans="1:20" ht="16" x14ac:dyDescent="0.2">
      <c r="A42" s="217"/>
      <c r="B42" s="217"/>
      <c r="C42" s="217"/>
      <c r="D42" s="217"/>
      <c r="E42" s="217"/>
      <c r="F42" s="217"/>
      <c r="G42" s="217"/>
      <c r="H42" s="217"/>
      <c r="I42" s="216"/>
      <c r="J42" s="216"/>
      <c r="K42" s="216"/>
      <c r="L42" s="216"/>
      <c r="M42" s="216"/>
      <c r="N42" s="216"/>
      <c r="O42" s="216"/>
      <c r="P42" s="216"/>
      <c r="Q42" s="216"/>
      <c r="R42" s="216"/>
      <c r="S42" s="216"/>
      <c r="T42" s="216"/>
    </row>
    <row r="43" spans="1:20" ht="16" x14ac:dyDescent="0.2">
      <c r="A43" s="217"/>
      <c r="B43" s="217"/>
      <c r="C43" s="217"/>
      <c r="D43" s="217"/>
      <c r="E43" s="217"/>
      <c r="F43" s="217"/>
      <c r="G43" s="217"/>
      <c r="H43" s="217"/>
      <c r="I43" s="216"/>
      <c r="J43" s="216"/>
      <c r="K43" s="216"/>
      <c r="L43" s="216"/>
      <c r="M43" s="216"/>
      <c r="N43" s="216"/>
      <c r="O43" s="216"/>
      <c r="P43" s="216"/>
      <c r="Q43" s="216"/>
      <c r="R43" s="216"/>
      <c r="S43" s="216"/>
      <c r="T43" s="216"/>
    </row>
    <row r="44" spans="1:20" ht="16" x14ac:dyDescent="0.2">
      <c r="A44" s="217"/>
      <c r="B44" s="217"/>
      <c r="C44" s="217"/>
      <c r="D44" s="217"/>
      <c r="E44" s="217"/>
      <c r="F44" s="217"/>
      <c r="G44" s="217"/>
      <c r="H44" s="217"/>
      <c r="I44" s="216"/>
      <c r="J44" s="216"/>
      <c r="K44" s="216"/>
      <c r="L44" s="216"/>
      <c r="M44" s="216"/>
      <c r="N44" s="216"/>
      <c r="O44" s="216"/>
      <c r="P44" s="216"/>
      <c r="Q44" s="216"/>
      <c r="R44" s="216"/>
      <c r="S44" s="216"/>
      <c r="T44" s="216"/>
    </row>
    <row r="45" spans="1:20" ht="16" x14ac:dyDescent="0.2">
      <c r="A45" s="217"/>
      <c r="B45" s="217"/>
      <c r="C45" s="217"/>
      <c r="D45" s="217"/>
      <c r="E45" s="217"/>
      <c r="F45" s="217"/>
      <c r="G45" s="217"/>
      <c r="H45" s="217"/>
      <c r="I45" s="216"/>
      <c r="J45" s="216"/>
      <c r="K45" s="216"/>
      <c r="L45" s="216"/>
      <c r="M45" s="216"/>
      <c r="N45" s="216"/>
      <c r="O45" s="216"/>
      <c r="P45" s="216"/>
      <c r="Q45" s="216"/>
      <c r="R45" s="216"/>
      <c r="S45" s="216"/>
      <c r="T45" s="216"/>
    </row>
    <row r="46" spans="1:20" ht="16" x14ac:dyDescent="0.2">
      <c r="A46" s="217"/>
      <c r="B46" s="217"/>
      <c r="C46" s="217"/>
      <c r="D46" s="217"/>
      <c r="E46" s="217"/>
      <c r="F46" s="217"/>
      <c r="G46" s="217"/>
      <c r="H46" s="217"/>
      <c r="I46" s="216"/>
      <c r="J46" s="216"/>
      <c r="K46" s="216"/>
      <c r="L46" s="216"/>
      <c r="M46" s="216"/>
      <c r="N46" s="216"/>
      <c r="O46" s="216"/>
      <c r="P46" s="216"/>
      <c r="Q46" s="216"/>
      <c r="R46" s="216"/>
      <c r="S46" s="216"/>
      <c r="T46" s="216"/>
    </row>
    <row r="47" spans="1:20" ht="16" x14ac:dyDescent="0.2">
      <c r="A47" s="217"/>
      <c r="B47" s="217"/>
      <c r="C47" s="217"/>
      <c r="D47" s="217"/>
      <c r="E47" s="217"/>
      <c r="F47" s="217"/>
      <c r="G47" s="217"/>
      <c r="H47" s="217"/>
      <c r="I47" s="216"/>
      <c r="J47" s="216"/>
      <c r="K47" s="216"/>
      <c r="L47" s="216"/>
      <c r="M47" s="216"/>
      <c r="N47" s="216"/>
      <c r="O47" s="216"/>
      <c r="P47" s="216"/>
      <c r="Q47" s="216"/>
      <c r="R47" s="216"/>
      <c r="S47" s="216"/>
      <c r="T47" s="216"/>
    </row>
    <row r="48" spans="1:20" ht="16" x14ac:dyDescent="0.2">
      <c r="A48" s="217"/>
      <c r="B48" s="217"/>
      <c r="C48" s="217"/>
      <c r="D48" s="217"/>
      <c r="E48" s="217"/>
      <c r="F48" s="217"/>
      <c r="G48" s="217"/>
      <c r="H48" s="217"/>
      <c r="I48" s="216"/>
      <c r="J48" s="216"/>
      <c r="K48" s="216"/>
      <c r="L48" s="216"/>
      <c r="M48" s="216"/>
      <c r="N48" s="216"/>
      <c r="O48" s="216"/>
      <c r="P48" s="216"/>
      <c r="Q48" s="216"/>
      <c r="R48" s="216"/>
      <c r="S48" s="216"/>
      <c r="T48" s="216"/>
    </row>
    <row r="49" spans="1:20" ht="16" x14ac:dyDescent="0.2">
      <c r="A49" s="217"/>
      <c r="B49" s="217"/>
      <c r="C49" s="217"/>
      <c r="D49" s="217"/>
      <c r="E49" s="217"/>
      <c r="F49" s="217"/>
      <c r="G49" s="217"/>
      <c r="H49" s="217"/>
      <c r="I49" s="216"/>
      <c r="J49" s="216"/>
      <c r="K49" s="216"/>
      <c r="L49" s="216"/>
      <c r="M49" s="216"/>
      <c r="N49" s="216"/>
      <c r="O49" s="216"/>
      <c r="P49" s="216"/>
      <c r="Q49" s="216"/>
      <c r="R49" s="216"/>
      <c r="S49" s="216"/>
      <c r="T49" s="216"/>
    </row>
    <row r="50" spans="1:20" ht="16" x14ac:dyDescent="0.2">
      <c r="A50" s="217"/>
      <c r="B50" s="217"/>
      <c r="C50" s="217"/>
      <c r="D50" s="217"/>
      <c r="E50" s="217"/>
      <c r="F50" s="217"/>
      <c r="G50" s="217"/>
      <c r="H50" s="217"/>
      <c r="I50" s="216"/>
      <c r="J50" s="216"/>
      <c r="K50" s="216"/>
      <c r="L50" s="216"/>
      <c r="M50" s="216"/>
      <c r="N50" s="216"/>
      <c r="O50" s="216"/>
      <c r="P50" s="216"/>
      <c r="Q50" s="216"/>
      <c r="R50" s="216"/>
      <c r="S50" s="216"/>
      <c r="T50" s="216"/>
    </row>
    <row r="51" spans="1:20" ht="16" x14ac:dyDescent="0.2">
      <c r="A51" s="217"/>
      <c r="B51" s="217"/>
      <c r="C51" s="217"/>
      <c r="D51" s="217"/>
      <c r="E51" s="217"/>
      <c r="F51" s="217"/>
      <c r="G51" s="217"/>
      <c r="H51" s="217"/>
      <c r="I51" s="216"/>
      <c r="J51" s="216"/>
      <c r="K51" s="216"/>
      <c r="L51" s="216"/>
      <c r="M51" s="216"/>
      <c r="N51" s="216"/>
      <c r="O51" s="216"/>
      <c r="P51" s="216"/>
      <c r="Q51" s="216"/>
      <c r="R51" s="216"/>
      <c r="S51" s="216"/>
      <c r="T51" s="216"/>
    </row>
    <row r="52" spans="1:20" ht="16" x14ac:dyDescent="0.2">
      <c r="A52" s="217"/>
      <c r="B52" s="217"/>
      <c r="C52" s="217"/>
      <c r="D52" s="217"/>
      <c r="E52" s="217"/>
      <c r="F52" s="217"/>
      <c r="G52" s="217"/>
      <c r="H52" s="217"/>
      <c r="I52" s="216"/>
      <c r="J52" s="216"/>
      <c r="K52" s="216"/>
      <c r="L52" s="216"/>
      <c r="M52" s="216"/>
      <c r="N52" s="216"/>
      <c r="O52" s="216"/>
      <c r="P52" s="216"/>
      <c r="Q52" s="216"/>
      <c r="R52" s="216"/>
      <c r="S52" s="216"/>
      <c r="T52" s="216"/>
    </row>
    <row r="53" spans="1:20" ht="16" x14ac:dyDescent="0.2">
      <c r="A53" s="217"/>
      <c r="B53" s="217"/>
      <c r="C53" s="217"/>
      <c r="D53" s="217"/>
      <c r="E53" s="217"/>
      <c r="F53" s="217"/>
      <c r="G53" s="217"/>
      <c r="H53" s="217"/>
      <c r="I53" s="216"/>
      <c r="J53" s="216"/>
      <c r="K53" s="216"/>
      <c r="L53" s="216"/>
      <c r="M53" s="216"/>
      <c r="N53" s="216"/>
      <c r="O53" s="216"/>
      <c r="P53" s="216"/>
      <c r="Q53" s="216"/>
      <c r="R53" s="216"/>
      <c r="S53" s="216"/>
      <c r="T53" s="216"/>
    </row>
    <row r="54" spans="1:20" ht="16" x14ac:dyDescent="0.2">
      <c r="A54" s="217"/>
      <c r="B54" s="217"/>
      <c r="C54" s="217"/>
      <c r="D54" s="217"/>
      <c r="E54" s="217"/>
      <c r="F54" s="217"/>
      <c r="G54" s="217"/>
      <c r="H54" s="217"/>
      <c r="I54" s="216"/>
      <c r="J54" s="216"/>
      <c r="K54" s="216"/>
      <c r="L54" s="216"/>
      <c r="M54" s="216"/>
      <c r="N54" s="216"/>
      <c r="O54" s="216"/>
      <c r="P54" s="216"/>
      <c r="Q54" s="216"/>
      <c r="R54" s="216"/>
      <c r="S54" s="216"/>
      <c r="T54" s="216"/>
    </row>
    <row r="55" spans="1:20" ht="16" x14ac:dyDescent="0.2">
      <c r="A55" s="217"/>
      <c r="B55" s="217"/>
      <c r="C55" s="217"/>
      <c r="D55" s="217"/>
      <c r="E55" s="217"/>
      <c r="F55" s="217"/>
      <c r="G55" s="217"/>
      <c r="H55" s="217"/>
      <c r="I55" s="216"/>
      <c r="J55" s="216"/>
      <c r="K55" s="216"/>
      <c r="L55" s="216"/>
      <c r="M55" s="216"/>
      <c r="N55" s="216"/>
      <c r="O55" s="216"/>
      <c r="P55" s="216"/>
      <c r="Q55" s="216"/>
      <c r="R55" s="216"/>
      <c r="S55" s="216"/>
      <c r="T55" s="216"/>
    </row>
    <row r="56" spans="1:20" ht="16" x14ac:dyDescent="0.2">
      <c r="A56" s="217"/>
      <c r="B56" s="217"/>
      <c r="C56" s="217"/>
      <c r="D56" s="217"/>
      <c r="E56" s="217"/>
      <c r="F56" s="217"/>
      <c r="G56" s="217"/>
      <c r="H56" s="217"/>
      <c r="I56" s="216"/>
      <c r="J56" s="216"/>
      <c r="K56" s="216"/>
      <c r="L56" s="216"/>
      <c r="M56" s="216"/>
      <c r="N56" s="216"/>
      <c r="O56" s="216"/>
      <c r="P56" s="216"/>
      <c r="Q56" s="216"/>
      <c r="R56" s="216"/>
      <c r="S56" s="216"/>
      <c r="T56" s="216"/>
    </row>
    <row r="57" spans="1:20" ht="16" x14ac:dyDescent="0.2">
      <c r="A57" s="217"/>
      <c r="B57" s="217"/>
      <c r="C57" s="217"/>
      <c r="D57" s="217"/>
      <c r="E57" s="217"/>
      <c r="F57" s="217"/>
      <c r="G57" s="217"/>
      <c r="H57" s="217"/>
      <c r="I57" s="216"/>
      <c r="J57" s="216"/>
      <c r="K57" s="216"/>
      <c r="L57" s="216"/>
      <c r="M57" s="216"/>
      <c r="N57" s="216"/>
      <c r="O57" s="216"/>
      <c r="P57" s="216"/>
      <c r="Q57" s="216"/>
      <c r="R57" s="216"/>
      <c r="S57" s="216"/>
      <c r="T57" s="216"/>
    </row>
    <row r="58" spans="1:20" ht="16" x14ac:dyDescent="0.2">
      <c r="A58" s="217"/>
      <c r="B58" s="217"/>
      <c r="C58" s="217"/>
      <c r="D58" s="217"/>
      <c r="E58" s="217"/>
      <c r="F58" s="217"/>
      <c r="G58" s="217"/>
      <c r="H58" s="217"/>
      <c r="I58" s="216"/>
      <c r="J58" s="216"/>
      <c r="K58" s="216"/>
      <c r="L58" s="216"/>
      <c r="M58" s="216"/>
      <c r="N58" s="216"/>
      <c r="O58" s="216"/>
      <c r="P58" s="216"/>
      <c r="Q58" s="216"/>
      <c r="R58" s="216"/>
      <c r="S58" s="216"/>
      <c r="T58" s="216"/>
    </row>
    <row r="59" spans="1:20" ht="16" x14ac:dyDescent="0.2">
      <c r="A59" s="217"/>
      <c r="B59" s="217"/>
      <c r="C59" s="217"/>
      <c r="D59" s="217"/>
      <c r="E59" s="217"/>
      <c r="F59" s="217"/>
      <c r="G59" s="217"/>
      <c r="H59" s="217"/>
      <c r="I59" s="216"/>
      <c r="J59" s="216"/>
      <c r="K59" s="216"/>
      <c r="L59" s="216"/>
      <c r="M59" s="216"/>
      <c r="N59" s="216"/>
      <c r="O59" s="216"/>
      <c r="P59" s="216"/>
      <c r="Q59" s="216"/>
      <c r="R59" s="216"/>
      <c r="S59" s="216"/>
      <c r="T59" s="216"/>
    </row>
    <row r="60" spans="1:20" ht="16" x14ac:dyDescent="0.2">
      <c r="A60" s="217"/>
      <c r="B60" s="217"/>
      <c r="C60" s="217"/>
      <c r="D60" s="217"/>
      <c r="E60" s="217"/>
      <c r="F60" s="217"/>
      <c r="G60" s="217"/>
      <c r="H60" s="217"/>
      <c r="I60" s="216"/>
      <c r="J60" s="216"/>
      <c r="K60" s="216"/>
      <c r="L60" s="216"/>
      <c r="M60" s="216"/>
      <c r="N60" s="216"/>
      <c r="O60" s="216"/>
      <c r="P60" s="216"/>
      <c r="Q60" s="216"/>
      <c r="R60" s="216"/>
      <c r="S60" s="216"/>
      <c r="T60" s="216"/>
    </row>
    <row r="61" spans="1:20" ht="16" x14ac:dyDescent="0.2">
      <c r="A61" s="217"/>
      <c r="B61" s="217"/>
      <c r="C61" s="217"/>
      <c r="D61" s="217"/>
      <c r="E61" s="217"/>
      <c r="F61" s="217"/>
      <c r="G61" s="217"/>
      <c r="H61" s="217"/>
      <c r="I61" s="216"/>
      <c r="J61" s="216"/>
      <c r="K61" s="216"/>
      <c r="L61" s="216"/>
      <c r="M61" s="216"/>
      <c r="N61" s="216"/>
      <c r="O61" s="216"/>
      <c r="P61" s="216"/>
      <c r="Q61" s="216"/>
      <c r="R61" s="216"/>
      <c r="S61" s="216"/>
      <c r="T61" s="216"/>
    </row>
    <row r="62" spans="1:20" ht="16" x14ac:dyDescent="0.2">
      <c r="A62" s="217"/>
      <c r="B62" s="217"/>
      <c r="C62" s="217"/>
      <c r="D62" s="217"/>
      <c r="E62" s="217"/>
      <c r="F62" s="217"/>
      <c r="G62" s="217"/>
      <c r="H62" s="217"/>
      <c r="I62" s="216"/>
      <c r="J62" s="216"/>
      <c r="K62" s="216"/>
      <c r="L62" s="216"/>
      <c r="M62" s="216"/>
      <c r="N62" s="216"/>
      <c r="O62" s="216"/>
      <c r="P62" s="216"/>
      <c r="Q62" s="216"/>
      <c r="R62" s="216"/>
      <c r="S62" s="216"/>
      <c r="T62" s="216"/>
    </row>
    <row r="63" spans="1:20" ht="16" x14ac:dyDescent="0.2">
      <c r="A63" s="217"/>
      <c r="B63" s="217"/>
      <c r="C63" s="217"/>
      <c r="D63" s="217"/>
      <c r="E63" s="217"/>
      <c r="F63" s="217"/>
      <c r="G63" s="217"/>
      <c r="H63" s="217"/>
      <c r="I63" s="216"/>
      <c r="J63" s="216"/>
      <c r="K63" s="216"/>
      <c r="L63" s="216"/>
      <c r="M63" s="216"/>
      <c r="N63" s="216"/>
      <c r="O63" s="216"/>
      <c r="P63" s="216"/>
      <c r="Q63" s="216"/>
      <c r="R63" s="216"/>
      <c r="S63" s="216"/>
      <c r="T63" s="216"/>
    </row>
    <row r="64" spans="1:20" ht="16" x14ac:dyDescent="0.2">
      <c r="A64" s="217"/>
      <c r="B64" s="217"/>
      <c r="C64" s="217"/>
      <c r="D64" s="217"/>
      <c r="E64" s="217"/>
      <c r="F64" s="217"/>
      <c r="G64" s="217"/>
      <c r="H64" s="217"/>
      <c r="I64" s="216"/>
      <c r="J64" s="216"/>
      <c r="K64" s="216"/>
      <c r="L64" s="216"/>
      <c r="M64" s="216"/>
      <c r="N64" s="216"/>
      <c r="O64" s="216"/>
      <c r="P64" s="216"/>
      <c r="Q64" s="216"/>
      <c r="R64" s="216"/>
      <c r="S64" s="216"/>
      <c r="T64" s="216"/>
    </row>
    <row r="65" spans="1:20" ht="16" x14ac:dyDescent="0.2">
      <c r="A65" s="217"/>
      <c r="B65" s="217"/>
      <c r="C65" s="217"/>
      <c r="D65" s="217"/>
      <c r="E65" s="217"/>
      <c r="F65" s="217"/>
      <c r="G65" s="217"/>
      <c r="H65" s="217"/>
      <c r="I65" s="216"/>
      <c r="J65" s="216"/>
      <c r="K65" s="216"/>
      <c r="L65" s="216"/>
      <c r="M65" s="216"/>
      <c r="N65" s="216"/>
      <c r="O65" s="216"/>
      <c r="P65" s="216"/>
      <c r="Q65" s="216"/>
      <c r="R65" s="216"/>
      <c r="S65" s="216"/>
      <c r="T65" s="216"/>
    </row>
    <row r="66" spans="1:20" ht="16" x14ac:dyDescent="0.2">
      <c r="A66" s="217"/>
      <c r="B66" s="217"/>
      <c r="C66" s="217"/>
      <c r="D66" s="217"/>
      <c r="E66" s="217"/>
      <c r="F66" s="217"/>
      <c r="G66" s="217"/>
      <c r="H66" s="217"/>
      <c r="I66" s="216"/>
      <c r="J66" s="216"/>
      <c r="K66" s="216"/>
      <c r="L66" s="216"/>
      <c r="M66" s="216"/>
      <c r="N66" s="216"/>
      <c r="O66" s="216"/>
      <c r="P66" s="216"/>
      <c r="Q66" s="216"/>
      <c r="R66" s="216"/>
      <c r="S66" s="216"/>
      <c r="T66" s="216"/>
    </row>
    <row r="67" spans="1:20" ht="16" x14ac:dyDescent="0.2">
      <c r="A67" s="217"/>
      <c r="B67" s="217"/>
      <c r="C67" s="217"/>
      <c r="D67" s="217"/>
      <c r="E67" s="217"/>
      <c r="F67" s="217"/>
      <c r="G67" s="217"/>
      <c r="H67" s="217"/>
      <c r="I67" s="216"/>
      <c r="J67" s="216"/>
      <c r="K67" s="216"/>
      <c r="L67" s="216"/>
      <c r="M67" s="216"/>
      <c r="N67" s="216"/>
      <c r="O67" s="216"/>
      <c r="P67" s="216"/>
      <c r="Q67" s="216"/>
      <c r="R67" s="216"/>
      <c r="S67" s="216"/>
      <c r="T67" s="216"/>
    </row>
    <row r="68" spans="1:20" ht="16" x14ac:dyDescent="0.2">
      <c r="A68" s="217"/>
      <c r="B68" s="217"/>
      <c r="C68" s="217"/>
      <c r="D68" s="217"/>
      <c r="E68" s="217"/>
      <c r="F68" s="217"/>
      <c r="G68" s="217"/>
      <c r="H68" s="217"/>
      <c r="I68" s="216"/>
      <c r="J68" s="216"/>
      <c r="K68" s="216"/>
      <c r="L68" s="216"/>
      <c r="M68" s="216"/>
      <c r="N68" s="216"/>
      <c r="O68" s="216"/>
      <c r="P68" s="216"/>
      <c r="Q68" s="216"/>
      <c r="R68" s="216"/>
      <c r="S68" s="216"/>
      <c r="T68" s="216"/>
    </row>
    <row r="69" spans="1:20" ht="16" x14ac:dyDescent="0.2">
      <c r="A69" s="217"/>
      <c r="B69" s="217"/>
      <c r="C69" s="217"/>
      <c r="D69" s="217"/>
      <c r="E69" s="217"/>
      <c r="F69" s="217"/>
      <c r="G69" s="217"/>
      <c r="H69" s="217"/>
      <c r="I69" s="216"/>
      <c r="J69" s="216"/>
      <c r="K69" s="216"/>
      <c r="L69" s="216"/>
      <c r="M69" s="216"/>
      <c r="N69" s="216"/>
      <c r="O69" s="216"/>
      <c r="P69" s="216"/>
      <c r="Q69" s="216"/>
      <c r="R69" s="216"/>
      <c r="S69" s="216"/>
      <c r="T69" s="216"/>
    </row>
    <row r="70" spans="1:20" ht="16" x14ac:dyDescent="0.2">
      <c r="A70" s="217"/>
      <c r="B70" s="217"/>
      <c r="C70" s="217"/>
      <c r="D70" s="217"/>
      <c r="E70" s="217"/>
      <c r="F70" s="217"/>
      <c r="G70" s="217"/>
      <c r="H70" s="217"/>
      <c r="I70" s="216"/>
      <c r="J70" s="216"/>
      <c r="K70" s="216"/>
      <c r="L70" s="216"/>
      <c r="M70" s="216"/>
      <c r="N70" s="216"/>
      <c r="O70" s="216"/>
      <c r="P70" s="216"/>
      <c r="Q70" s="216"/>
      <c r="R70" s="216"/>
      <c r="S70" s="216"/>
      <c r="T70" s="216"/>
    </row>
    <row r="71" spans="1:20" ht="16" x14ac:dyDescent="0.2">
      <c r="A71" s="217"/>
      <c r="B71" s="217"/>
      <c r="C71" s="217"/>
      <c r="D71" s="217"/>
      <c r="E71" s="217"/>
      <c r="F71" s="217"/>
      <c r="G71" s="217"/>
      <c r="H71" s="217"/>
      <c r="I71" s="216"/>
      <c r="J71" s="216"/>
      <c r="K71" s="216"/>
      <c r="L71" s="216"/>
      <c r="M71" s="216"/>
      <c r="N71" s="216"/>
      <c r="O71" s="216"/>
      <c r="P71" s="216"/>
      <c r="Q71" s="216"/>
      <c r="R71" s="216"/>
      <c r="S71" s="216"/>
      <c r="T71" s="216"/>
    </row>
    <row r="72" spans="1:20" ht="16" x14ac:dyDescent="0.2">
      <c r="A72" s="217"/>
      <c r="B72" s="217"/>
      <c r="C72" s="217"/>
      <c r="D72" s="217"/>
      <c r="E72" s="217"/>
      <c r="F72" s="217"/>
      <c r="G72" s="217"/>
      <c r="H72" s="217"/>
      <c r="I72" s="216"/>
      <c r="J72" s="216"/>
      <c r="K72" s="216"/>
      <c r="L72" s="216"/>
      <c r="M72" s="216"/>
      <c r="N72" s="216"/>
      <c r="O72" s="216"/>
      <c r="P72" s="216"/>
      <c r="Q72" s="216"/>
      <c r="R72" s="216"/>
      <c r="S72" s="216"/>
      <c r="T72" s="216"/>
    </row>
    <row r="73" spans="1:20" ht="16" x14ac:dyDescent="0.2">
      <c r="A73" s="217"/>
      <c r="B73" s="217"/>
      <c r="C73" s="217"/>
      <c r="D73" s="217"/>
      <c r="E73" s="217"/>
      <c r="F73" s="217"/>
      <c r="G73" s="217"/>
      <c r="H73" s="217"/>
      <c r="I73" s="216"/>
      <c r="J73" s="216"/>
      <c r="K73" s="216"/>
      <c r="L73" s="216"/>
      <c r="M73" s="216"/>
      <c r="N73" s="216"/>
      <c r="O73" s="216"/>
      <c r="P73" s="216"/>
      <c r="Q73" s="216"/>
      <c r="R73" s="216"/>
      <c r="S73" s="216"/>
      <c r="T73" s="216"/>
    </row>
    <row r="74" spans="1:20" ht="16" x14ac:dyDescent="0.2">
      <c r="A74" s="217"/>
      <c r="B74" s="217"/>
      <c r="C74" s="217"/>
      <c r="D74" s="217"/>
      <c r="E74" s="217"/>
      <c r="F74" s="217"/>
      <c r="G74" s="217"/>
      <c r="H74" s="217"/>
      <c r="I74" s="216"/>
      <c r="J74" s="216"/>
      <c r="K74" s="216"/>
      <c r="L74" s="216"/>
      <c r="M74" s="216"/>
      <c r="N74" s="216"/>
      <c r="O74" s="216"/>
      <c r="P74" s="216"/>
      <c r="Q74" s="216"/>
      <c r="R74" s="216"/>
      <c r="S74" s="216"/>
      <c r="T74" s="216"/>
    </row>
    <row r="75" spans="1:20" ht="16" x14ac:dyDescent="0.2">
      <c r="A75" s="217"/>
      <c r="B75" s="217"/>
      <c r="C75" s="217"/>
      <c r="D75" s="217"/>
      <c r="E75" s="217"/>
      <c r="F75" s="217"/>
      <c r="G75" s="217"/>
      <c r="H75" s="217"/>
      <c r="I75" s="216"/>
      <c r="J75" s="216"/>
      <c r="K75" s="216"/>
      <c r="L75" s="216"/>
      <c r="M75" s="216"/>
      <c r="N75" s="216"/>
      <c r="O75" s="216"/>
      <c r="P75" s="216"/>
      <c r="Q75" s="216"/>
      <c r="R75" s="216"/>
      <c r="S75" s="216"/>
      <c r="T75" s="216"/>
    </row>
    <row r="76" spans="1:20" ht="16" x14ac:dyDescent="0.2">
      <c r="A76" s="217"/>
      <c r="B76" s="217"/>
      <c r="C76" s="217"/>
      <c r="D76" s="217"/>
      <c r="E76" s="217"/>
      <c r="F76" s="217"/>
      <c r="G76" s="217"/>
      <c r="H76" s="217"/>
      <c r="I76" s="216"/>
      <c r="J76" s="216"/>
      <c r="K76" s="216"/>
      <c r="L76" s="216"/>
      <c r="M76" s="216"/>
      <c r="N76" s="216"/>
      <c r="O76" s="216"/>
      <c r="P76" s="216"/>
      <c r="Q76" s="216"/>
      <c r="R76" s="216"/>
      <c r="S76" s="216"/>
      <c r="T76" s="216"/>
    </row>
    <row r="77" spans="1:20" ht="16" x14ac:dyDescent="0.2">
      <c r="A77" s="217"/>
      <c r="B77" s="217"/>
      <c r="C77" s="217"/>
      <c r="D77" s="217"/>
      <c r="E77" s="217"/>
      <c r="F77" s="217"/>
      <c r="G77" s="217"/>
      <c r="H77" s="217"/>
      <c r="I77" s="216"/>
      <c r="J77" s="216"/>
      <c r="K77" s="216"/>
      <c r="L77" s="216"/>
      <c r="M77" s="216"/>
      <c r="N77" s="216"/>
      <c r="O77" s="216"/>
      <c r="P77" s="216"/>
      <c r="Q77" s="216"/>
      <c r="R77" s="216"/>
      <c r="S77" s="216"/>
      <c r="T77" s="216"/>
    </row>
    <row r="78" spans="1:20" ht="16" x14ac:dyDescent="0.2">
      <c r="A78" s="217"/>
      <c r="B78" s="217"/>
      <c r="C78" s="217"/>
      <c r="D78" s="217"/>
      <c r="E78" s="217"/>
      <c r="F78" s="217"/>
      <c r="G78" s="217"/>
      <c r="H78" s="217"/>
      <c r="I78" s="216"/>
      <c r="J78" s="216"/>
      <c r="K78" s="216"/>
      <c r="L78" s="216"/>
      <c r="M78" s="216"/>
      <c r="N78" s="216"/>
      <c r="O78" s="216"/>
      <c r="P78" s="216"/>
      <c r="Q78" s="216"/>
      <c r="R78" s="216"/>
      <c r="S78" s="216"/>
      <c r="T78" s="216"/>
    </row>
    <row r="79" spans="1:20" ht="16" x14ac:dyDescent="0.2">
      <c r="A79" s="217"/>
      <c r="B79" s="217"/>
      <c r="C79" s="217"/>
      <c r="D79" s="217"/>
      <c r="E79" s="217"/>
      <c r="F79" s="217"/>
      <c r="G79" s="217"/>
      <c r="H79" s="217"/>
      <c r="I79" s="216"/>
      <c r="J79" s="216"/>
      <c r="K79" s="216"/>
      <c r="L79" s="216"/>
      <c r="M79" s="216"/>
      <c r="N79" s="216"/>
      <c r="O79" s="216"/>
      <c r="P79" s="216"/>
      <c r="Q79" s="216"/>
      <c r="R79" s="216"/>
      <c r="S79" s="216"/>
      <c r="T79" s="216"/>
    </row>
    <row r="80" spans="1:20" ht="16" x14ac:dyDescent="0.2">
      <c r="A80" s="217"/>
      <c r="B80" s="217"/>
      <c r="C80" s="217"/>
      <c r="D80" s="217"/>
      <c r="E80" s="217"/>
      <c r="F80" s="217"/>
      <c r="G80" s="217"/>
      <c r="H80" s="217"/>
      <c r="I80" s="216"/>
      <c r="J80" s="216"/>
      <c r="K80" s="216"/>
      <c r="L80" s="216"/>
      <c r="M80" s="216"/>
      <c r="N80" s="216"/>
      <c r="O80" s="216"/>
      <c r="P80" s="216"/>
      <c r="Q80" s="216"/>
      <c r="R80" s="216"/>
      <c r="S80" s="216"/>
      <c r="T80" s="216"/>
    </row>
    <row r="81" spans="1:20" ht="16" x14ac:dyDescent="0.2">
      <c r="A81" s="217"/>
      <c r="B81" s="217"/>
      <c r="C81" s="217"/>
      <c r="D81" s="217"/>
      <c r="E81" s="217"/>
      <c r="F81" s="217"/>
      <c r="G81" s="217"/>
      <c r="H81" s="217"/>
      <c r="I81" s="216"/>
      <c r="J81" s="216"/>
      <c r="K81" s="216"/>
      <c r="L81" s="216"/>
      <c r="M81" s="216"/>
      <c r="N81" s="216"/>
      <c r="O81" s="216"/>
      <c r="P81" s="216"/>
      <c r="Q81" s="216"/>
      <c r="R81" s="216"/>
      <c r="S81" s="216"/>
      <c r="T81" s="216"/>
    </row>
    <row r="82" spans="1:20" ht="16" x14ac:dyDescent="0.2">
      <c r="A82" s="217"/>
      <c r="B82" s="217"/>
      <c r="C82" s="217"/>
      <c r="D82" s="217"/>
      <c r="E82" s="217"/>
      <c r="F82" s="217"/>
      <c r="G82" s="217"/>
      <c r="H82" s="217"/>
      <c r="I82" s="216"/>
      <c r="J82" s="216"/>
      <c r="K82" s="216"/>
      <c r="L82" s="216"/>
      <c r="M82" s="216"/>
      <c r="N82" s="216"/>
      <c r="O82" s="216"/>
      <c r="P82" s="216"/>
      <c r="Q82" s="216"/>
      <c r="R82" s="216"/>
      <c r="S82" s="216"/>
      <c r="T82" s="216"/>
    </row>
    <row r="83" spans="1:20" ht="16" x14ac:dyDescent="0.2">
      <c r="A83" s="217"/>
      <c r="B83" s="217"/>
      <c r="C83" s="217"/>
      <c r="D83" s="217"/>
      <c r="E83" s="217"/>
      <c r="F83" s="217"/>
      <c r="G83" s="217"/>
      <c r="H83" s="217"/>
      <c r="I83" s="216"/>
      <c r="J83" s="216"/>
      <c r="K83" s="216"/>
      <c r="L83" s="216"/>
      <c r="M83" s="216"/>
      <c r="N83" s="216"/>
      <c r="O83" s="216"/>
      <c r="P83" s="216"/>
      <c r="Q83" s="216"/>
      <c r="R83" s="216"/>
      <c r="S83" s="216"/>
      <c r="T83" s="216"/>
    </row>
    <row r="84" spans="1:20" ht="16" x14ac:dyDescent="0.2">
      <c r="A84" s="217"/>
      <c r="B84" s="217"/>
      <c r="C84" s="217"/>
      <c r="D84" s="217"/>
      <c r="E84" s="217"/>
      <c r="F84" s="217"/>
      <c r="G84" s="217"/>
      <c r="H84" s="217"/>
      <c r="I84" s="216"/>
      <c r="J84" s="216"/>
      <c r="K84" s="216"/>
      <c r="L84" s="216"/>
      <c r="M84" s="216"/>
      <c r="N84" s="216"/>
      <c r="O84" s="216"/>
      <c r="P84" s="216"/>
      <c r="Q84" s="216"/>
      <c r="R84" s="216"/>
      <c r="S84" s="216"/>
      <c r="T84" s="216"/>
    </row>
    <row r="85" spans="1:20" ht="16" x14ac:dyDescent="0.2">
      <c r="A85" s="217"/>
      <c r="B85" s="217"/>
      <c r="C85" s="217"/>
      <c r="D85" s="217"/>
      <c r="E85" s="217"/>
      <c r="F85" s="217"/>
      <c r="G85" s="217"/>
      <c r="H85" s="217"/>
      <c r="I85" s="216"/>
      <c r="J85" s="216"/>
      <c r="K85" s="216"/>
      <c r="L85" s="216"/>
      <c r="M85" s="216"/>
      <c r="N85" s="216"/>
      <c r="O85" s="216"/>
      <c r="P85" s="216"/>
      <c r="Q85" s="216"/>
      <c r="R85" s="216"/>
      <c r="S85" s="216"/>
      <c r="T85" s="216"/>
    </row>
    <row r="86" spans="1:20" ht="16" x14ac:dyDescent="0.2">
      <c r="A86" s="217"/>
      <c r="B86" s="217"/>
      <c r="C86" s="217"/>
      <c r="D86" s="217"/>
      <c r="E86" s="217"/>
      <c r="F86" s="217"/>
      <c r="G86" s="217"/>
      <c r="H86" s="217"/>
      <c r="I86" s="216"/>
      <c r="J86" s="216"/>
      <c r="K86" s="216"/>
      <c r="L86" s="216"/>
      <c r="M86" s="216"/>
      <c r="N86" s="216"/>
      <c r="O86" s="216"/>
      <c r="P86" s="216"/>
      <c r="Q86" s="216"/>
      <c r="R86" s="216"/>
      <c r="S86" s="216"/>
      <c r="T86" s="216"/>
    </row>
    <row r="87" spans="1:20" ht="16" x14ac:dyDescent="0.2">
      <c r="A87" s="217"/>
      <c r="B87" s="217"/>
      <c r="C87" s="217"/>
      <c r="D87" s="217"/>
      <c r="E87" s="217"/>
      <c r="F87" s="217"/>
      <c r="G87" s="217"/>
      <c r="H87" s="217"/>
      <c r="I87" s="216"/>
      <c r="J87" s="216"/>
      <c r="K87" s="216"/>
      <c r="L87" s="216"/>
      <c r="M87" s="216"/>
      <c r="N87" s="216"/>
      <c r="O87" s="216"/>
      <c r="P87" s="216"/>
      <c r="Q87" s="216"/>
      <c r="R87" s="216"/>
      <c r="S87" s="216"/>
      <c r="T87" s="216"/>
    </row>
    <row r="88" spans="1:20" ht="16" x14ac:dyDescent="0.2">
      <c r="A88" s="217"/>
      <c r="B88" s="217"/>
      <c r="C88" s="217"/>
      <c r="D88" s="217"/>
      <c r="E88" s="217"/>
      <c r="F88" s="217"/>
      <c r="G88" s="217"/>
      <c r="H88" s="217"/>
      <c r="I88" s="216"/>
      <c r="J88" s="216"/>
      <c r="K88" s="216"/>
      <c r="L88" s="216"/>
      <c r="M88" s="216"/>
      <c r="N88" s="216"/>
      <c r="O88" s="216"/>
      <c r="P88" s="216"/>
      <c r="Q88" s="216"/>
      <c r="R88" s="216"/>
      <c r="S88" s="216"/>
      <c r="T88" s="216"/>
    </row>
    <row r="89" spans="1:20" ht="16" x14ac:dyDescent="0.2">
      <c r="A89" s="217"/>
      <c r="B89" s="217"/>
      <c r="C89" s="217"/>
      <c r="D89" s="217"/>
      <c r="E89" s="217"/>
      <c r="F89" s="217"/>
      <c r="G89" s="217"/>
      <c r="H89" s="217"/>
      <c r="I89" s="216"/>
      <c r="J89" s="216"/>
      <c r="K89" s="216"/>
      <c r="L89" s="216"/>
      <c r="M89" s="216"/>
      <c r="N89" s="216"/>
      <c r="O89" s="216"/>
      <c r="P89" s="216"/>
      <c r="Q89" s="216"/>
      <c r="R89" s="216"/>
      <c r="S89" s="216"/>
      <c r="T89" s="216"/>
    </row>
    <row r="90" spans="1:20" ht="16" x14ac:dyDescent="0.2">
      <c r="A90" s="217"/>
      <c r="B90" s="217"/>
      <c r="C90" s="217"/>
      <c r="D90" s="217"/>
      <c r="E90" s="217"/>
      <c r="F90" s="217"/>
      <c r="G90" s="217"/>
      <c r="H90" s="217"/>
      <c r="I90" s="216"/>
      <c r="J90" s="216"/>
      <c r="K90" s="216"/>
      <c r="L90" s="216"/>
      <c r="M90" s="216"/>
      <c r="N90" s="216"/>
      <c r="O90" s="216"/>
      <c r="P90" s="216"/>
      <c r="Q90" s="216"/>
      <c r="R90" s="216"/>
      <c r="S90" s="216"/>
      <c r="T90" s="216"/>
    </row>
    <row r="91" spans="1:20" ht="16" x14ac:dyDescent="0.2">
      <c r="A91" s="217"/>
      <c r="B91" s="217"/>
      <c r="C91" s="217"/>
      <c r="D91" s="217"/>
      <c r="E91" s="217"/>
      <c r="F91" s="217"/>
      <c r="G91" s="217"/>
      <c r="H91" s="217"/>
      <c r="I91" s="216"/>
      <c r="J91" s="216"/>
      <c r="K91" s="216"/>
      <c r="L91" s="216"/>
      <c r="M91" s="216"/>
      <c r="N91" s="216"/>
      <c r="O91" s="216"/>
      <c r="P91" s="216"/>
      <c r="Q91" s="216"/>
      <c r="R91" s="216"/>
      <c r="S91" s="216"/>
      <c r="T91" s="216"/>
    </row>
    <row r="92" spans="1:20" ht="16" x14ac:dyDescent="0.2">
      <c r="A92" s="217"/>
      <c r="B92" s="217"/>
      <c r="C92" s="217"/>
      <c r="D92" s="217"/>
      <c r="E92" s="217"/>
      <c r="F92" s="217"/>
      <c r="G92" s="217"/>
      <c r="H92" s="217"/>
      <c r="I92" s="216"/>
      <c r="J92" s="216"/>
      <c r="K92" s="216"/>
      <c r="L92" s="216"/>
      <c r="M92" s="216"/>
      <c r="N92" s="216"/>
      <c r="O92" s="216"/>
      <c r="P92" s="216"/>
      <c r="Q92" s="216"/>
      <c r="R92" s="216"/>
      <c r="S92" s="216"/>
      <c r="T92" s="216"/>
    </row>
    <row r="93" spans="1:20" ht="16" x14ac:dyDescent="0.2">
      <c r="A93" s="217"/>
      <c r="B93" s="217"/>
      <c r="C93" s="217"/>
      <c r="D93" s="217"/>
      <c r="E93" s="217"/>
      <c r="F93" s="217"/>
      <c r="G93" s="217"/>
      <c r="H93" s="217"/>
      <c r="I93" s="216"/>
      <c r="J93" s="216"/>
      <c r="K93" s="216"/>
      <c r="L93" s="216"/>
      <c r="M93" s="216"/>
      <c r="N93" s="216"/>
      <c r="O93" s="216"/>
      <c r="P93" s="216"/>
      <c r="Q93" s="216"/>
      <c r="R93" s="216"/>
      <c r="S93" s="216"/>
      <c r="T93" s="216"/>
    </row>
    <row r="94" spans="1:20" ht="16" x14ac:dyDescent="0.2">
      <c r="A94" s="217"/>
      <c r="B94" s="217"/>
      <c r="C94" s="217"/>
      <c r="D94" s="217"/>
      <c r="E94" s="217"/>
      <c r="F94" s="217"/>
      <c r="G94" s="217"/>
      <c r="H94" s="217"/>
      <c r="I94" s="216"/>
      <c r="J94" s="216"/>
      <c r="K94" s="216"/>
      <c r="L94" s="216"/>
      <c r="M94" s="216"/>
      <c r="N94" s="216"/>
      <c r="O94" s="216"/>
      <c r="P94" s="216"/>
      <c r="Q94" s="216"/>
      <c r="R94" s="216"/>
      <c r="S94" s="216"/>
      <c r="T94" s="216"/>
    </row>
    <row r="95" spans="1:20" ht="16" x14ac:dyDescent="0.2">
      <c r="A95" s="217"/>
      <c r="B95" s="217"/>
      <c r="C95" s="217"/>
      <c r="D95" s="217"/>
      <c r="E95" s="217"/>
      <c r="F95" s="217"/>
      <c r="G95" s="217"/>
      <c r="H95" s="217"/>
      <c r="I95" s="216"/>
      <c r="J95" s="216"/>
      <c r="K95" s="216"/>
      <c r="L95" s="216"/>
      <c r="M95" s="216"/>
      <c r="N95" s="216"/>
      <c r="O95" s="216"/>
      <c r="P95" s="216"/>
      <c r="Q95" s="216"/>
      <c r="R95" s="216"/>
      <c r="S95" s="216"/>
      <c r="T95" s="216"/>
    </row>
    <row r="96" spans="1:20" ht="16" x14ac:dyDescent="0.2">
      <c r="A96" s="217"/>
      <c r="B96" s="217"/>
      <c r="C96" s="217"/>
      <c r="D96" s="217"/>
      <c r="E96" s="217"/>
      <c r="F96" s="217"/>
      <c r="G96" s="217"/>
      <c r="H96" s="217"/>
      <c r="I96" s="216"/>
      <c r="J96" s="216"/>
      <c r="K96" s="216"/>
      <c r="L96" s="216"/>
      <c r="M96" s="216"/>
      <c r="N96" s="216"/>
      <c r="O96" s="216"/>
      <c r="P96" s="216"/>
      <c r="Q96" s="216"/>
      <c r="R96" s="216"/>
      <c r="S96" s="216"/>
      <c r="T96" s="216"/>
    </row>
    <row r="97" spans="1:20" ht="16" x14ac:dyDescent="0.2">
      <c r="A97" s="217"/>
      <c r="B97" s="217"/>
      <c r="C97" s="217"/>
      <c r="D97" s="217"/>
      <c r="E97" s="217"/>
      <c r="F97" s="217"/>
      <c r="G97" s="217"/>
      <c r="H97" s="217"/>
      <c r="I97" s="216"/>
      <c r="J97" s="216"/>
      <c r="K97" s="216"/>
      <c r="L97" s="216"/>
      <c r="M97" s="216"/>
      <c r="N97" s="216"/>
      <c r="O97" s="216"/>
      <c r="P97" s="216"/>
      <c r="Q97" s="216"/>
      <c r="R97" s="216"/>
      <c r="S97" s="216"/>
      <c r="T97" s="216"/>
    </row>
    <row r="98" spans="1:20" ht="16" x14ac:dyDescent="0.2">
      <c r="A98" s="217"/>
      <c r="B98" s="217"/>
      <c r="C98" s="217"/>
      <c r="D98" s="217"/>
      <c r="E98" s="217"/>
      <c r="F98" s="217"/>
      <c r="G98" s="217"/>
      <c r="H98" s="217"/>
      <c r="I98" s="216"/>
      <c r="J98" s="216"/>
      <c r="K98" s="216"/>
      <c r="L98" s="216"/>
      <c r="M98" s="216"/>
      <c r="N98" s="216"/>
      <c r="O98" s="216"/>
      <c r="P98" s="216"/>
      <c r="Q98" s="216"/>
      <c r="R98" s="216"/>
      <c r="S98" s="216"/>
      <c r="T98" s="216"/>
    </row>
    <row r="99" spans="1:20" ht="16" x14ac:dyDescent="0.2">
      <c r="A99" s="217"/>
      <c r="B99" s="217"/>
      <c r="C99" s="217"/>
      <c r="D99" s="217"/>
      <c r="E99" s="217"/>
      <c r="F99" s="217"/>
      <c r="G99" s="217"/>
      <c r="H99" s="217"/>
      <c r="I99" s="216"/>
      <c r="J99" s="216"/>
      <c r="K99" s="216"/>
      <c r="L99" s="216"/>
      <c r="M99" s="216"/>
      <c r="N99" s="216"/>
      <c r="O99" s="216"/>
      <c r="P99" s="216"/>
      <c r="Q99" s="216"/>
      <c r="R99" s="216"/>
      <c r="S99" s="216"/>
      <c r="T99" s="216"/>
    </row>
    <row r="100" spans="1:20" ht="16" x14ac:dyDescent="0.2">
      <c r="A100" s="217"/>
      <c r="B100" s="217"/>
      <c r="C100" s="217"/>
      <c r="D100" s="217"/>
      <c r="E100" s="217"/>
      <c r="F100" s="217"/>
      <c r="G100" s="217"/>
      <c r="H100" s="217"/>
      <c r="I100" s="216"/>
      <c r="J100" s="216"/>
      <c r="K100" s="216"/>
      <c r="L100" s="216"/>
      <c r="M100" s="216"/>
      <c r="N100" s="216"/>
      <c r="O100" s="216"/>
      <c r="P100" s="216"/>
      <c r="Q100" s="216"/>
      <c r="R100" s="216"/>
      <c r="S100" s="216"/>
      <c r="T100" s="216"/>
    </row>
    <row r="101" spans="1:20" ht="16" x14ac:dyDescent="0.2">
      <c r="A101" s="217"/>
      <c r="B101" s="217"/>
      <c r="C101" s="217"/>
      <c r="D101" s="217"/>
      <c r="E101" s="217"/>
      <c r="F101" s="217"/>
      <c r="G101" s="217"/>
      <c r="H101" s="217"/>
      <c r="I101" s="216"/>
      <c r="J101" s="216"/>
      <c r="K101" s="216"/>
      <c r="L101" s="216"/>
      <c r="M101" s="216"/>
      <c r="N101" s="216"/>
      <c r="O101" s="216"/>
      <c r="P101" s="216"/>
      <c r="Q101" s="216"/>
      <c r="R101" s="216"/>
      <c r="S101" s="216"/>
      <c r="T101" s="216"/>
    </row>
    <row r="102" spans="1:20" ht="16" x14ac:dyDescent="0.2">
      <c r="A102" s="217"/>
      <c r="B102" s="217"/>
      <c r="C102" s="217"/>
      <c r="D102" s="217"/>
      <c r="E102" s="217"/>
      <c r="F102" s="217"/>
      <c r="G102" s="217"/>
      <c r="H102" s="217"/>
      <c r="I102" s="216"/>
      <c r="J102" s="216"/>
      <c r="K102" s="216"/>
      <c r="L102" s="216"/>
      <c r="M102" s="216"/>
      <c r="N102" s="216"/>
      <c r="O102" s="216"/>
      <c r="P102" s="216"/>
      <c r="Q102" s="216"/>
      <c r="R102" s="216"/>
      <c r="S102" s="216"/>
      <c r="T102" s="216"/>
    </row>
    <row r="103" spans="1:20" ht="16" x14ac:dyDescent="0.2">
      <c r="A103" s="217"/>
      <c r="B103" s="217"/>
      <c r="C103" s="217"/>
      <c r="D103" s="217"/>
      <c r="E103" s="217"/>
      <c r="F103" s="217"/>
      <c r="G103" s="217"/>
      <c r="H103" s="217"/>
      <c r="I103" s="216"/>
      <c r="J103" s="216"/>
      <c r="K103" s="216"/>
      <c r="L103" s="216"/>
      <c r="M103" s="216"/>
      <c r="N103" s="216"/>
      <c r="O103" s="216"/>
      <c r="P103" s="216"/>
      <c r="Q103" s="216"/>
      <c r="R103" s="216"/>
      <c r="S103" s="216"/>
      <c r="T103" s="216"/>
    </row>
    <row r="104" spans="1:20" ht="16" x14ac:dyDescent="0.2">
      <c r="A104" s="217"/>
      <c r="B104" s="217"/>
      <c r="C104" s="217"/>
      <c r="D104" s="217"/>
      <c r="E104" s="217"/>
      <c r="F104" s="217"/>
      <c r="G104" s="217"/>
      <c r="H104" s="217"/>
      <c r="I104" s="216"/>
      <c r="J104" s="216"/>
      <c r="K104" s="216"/>
      <c r="L104" s="216"/>
      <c r="M104" s="216"/>
      <c r="N104" s="216"/>
      <c r="O104" s="216"/>
      <c r="P104" s="216"/>
      <c r="Q104" s="216"/>
      <c r="R104" s="216"/>
      <c r="S104" s="216"/>
      <c r="T104" s="216"/>
    </row>
    <row r="105" spans="1:20" ht="16" x14ac:dyDescent="0.2">
      <c r="A105" s="217"/>
      <c r="B105" s="217"/>
      <c r="C105" s="217"/>
      <c r="D105" s="217"/>
      <c r="E105" s="217"/>
      <c r="F105" s="217"/>
      <c r="G105" s="217"/>
      <c r="H105" s="217"/>
      <c r="I105" s="216"/>
      <c r="J105" s="216"/>
      <c r="K105" s="216"/>
      <c r="L105" s="216"/>
      <c r="M105" s="216"/>
      <c r="N105" s="216"/>
      <c r="O105" s="216"/>
      <c r="P105" s="216"/>
      <c r="Q105" s="216"/>
      <c r="R105" s="216"/>
      <c r="S105" s="216"/>
      <c r="T105" s="216"/>
    </row>
    <row r="106" spans="1:20" ht="16" x14ac:dyDescent="0.2">
      <c r="A106" s="217"/>
      <c r="B106" s="217"/>
      <c r="C106" s="217"/>
      <c r="D106" s="217"/>
      <c r="E106" s="217"/>
      <c r="F106" s="217"/>
      <c r="G106" s="217"/>
      <c r="H106" s="217"/>
      <c r="I106" s="216"/>
      <c r="J106" s="216"/>
      <c r="K106" s="216"/>
      <c r="L106" s="216"/>
      <c r="M106" s="216"/>
      <c r="N106" s="216"/>
      <c r="O106" s="216"/>
      <c r="P106" s="216"/>
      <c r="Q106" s="216"/>
      <c r="R106" s="216"/>
      <c r="S106" s="216"/>
      <c r="T106" s="216"/>
    </row>
    <row r="107" spans="1:20" ht="16" x14ac:dyDescent="0.2">
      <c r="A107" s="217"/>
      <c r="B107" s="217"/>
      <c r="C107" s="217"/>
      <c r="D107" s="217"/>
      <c r="E107" s="217"/>
      <c r="F107" s="217"/>
      <c r="G107" s="217"/>
      <c r="H107" s="217"/>
      <c r="I107" s="216"/>
      <c r="J107" s="216"/>
      <c r="K107" s="216"/>
      <c r="L107" s="216"/>
      <c r="M107" s="216"/>
      <c r="N107" s="216"/>
      <c r="O107" s="216"/>
      <c r="P107" s="216"/>
      <c r="Q107" s="216"/>
      <c r="R107" s="216"/>
      <c r="S107" s="216"/>
      <c r="T107" s="216"/>
    </row>
    <row r="108" spans="1:20" ht="16" x14ac:dyDescent="0.2">
      <c r="A108" s="217"/>
      <c r="B108" s="217"/>
      <c r="C108" s="217"/>
      <c r="D108" s="217"/>
      <c r="E108" s="217"/>
      <c r="F108" s="217"/>
      <c r="G108" s="217"/>
      <c r="H108" s="217"/>
      <c r="I108" s="216"/>
      <c r="J108" s="216"/>
      <c r="K108" s="216"/>
      <c r="L108" s="216"/>
      <c r="M108" s="216"/>
      <c r="N108" s="216"/>
      <c r="O108" s="216"/>
      <c r="P108" s="216"/>
      <c r="Q108" s="216"/>
      <c r="R108" s="216"/>
      <c r="S108" s="216"/>
      <c r="T108" s="216"/>
    </row>
    <row r="109" spans="1:20" ht="16" x14ac:dyDescent="0.2">
      <c r="A109" s="217"/>
      <c r="B109" s="217"/>
      <c r="C109" s="217"/>
      <c r="D109" s="217"/>
      <c r="E109" s="217"/>
      <c r="F109" s="217"/>
      <c r="G109" s="217"/>
      <c r="H109" s="217"/>
      <c r="I109" s="216"/>
      <c r="J109" s="216"/>
      <c r="K109" s="216"/>
      <c r="L109" s="216"/>
      <c r="M109" s="216"/>
      <c r="N109" s="216"/>
      <c r="O109" s="216"/>
      <c r="P109" s="216"/>
      <c r="Q109" s="216"/>
      <c r="R109" s="216"/>
      <c r="S109" s="216"/>
      <c r="T109" s="216"/>
    </row>
    <row r="110" spans="1:20" ht="16" x14ac:dyDescent="0.2">
      <c r="A110" s="217"/>
      <c r="B110" s="217"/>
      <c r="C110" s="217"/>
      <c r="D110" s="217"/>
      <c r="E110" s="217"/>
      <c r="F110" s="217"/>
      <c r="G110" s="217"/>
      <c r="H110" s="217"/>
      <c r="I110" s="216"/>
      <c r="J110" s="216"/>
      <c r="K110" s="216"/>
      <c r="L110" s="216"/>
      <c r="M110" s="216"/>
      <c r="N110" s="216"/>
      <c r="O110" s="216"/>
      <c r="P110" s="216"/>
      <c r="Q110" s="216"/>
      <c r="R110" s="216"/>
      <c r="S110" s="216"/>
      <c r="T110" s="216"/>
    </row>
    <row r="111" spans="1:20" ht="16" x14ac:dyDescent="0.2">
      <c r="A111" s="217"/>
      <c r="B111" s="217"/>
      <c r="C111" s="217"/>
      <c r="D111" s="217"/>
      <c r="E111" s="217"/>
      <c r="F111" s="217"/>
      <c r="G111" s="217"/>
      <c r="H111" s="217"/>
      <c r="I111" s="216"/>
      <c r="J111" s="216"/>
      <c r="K111" s="216"/>
      <c r="L111" s="216"/>
      <c r="M111" s="216"/>
      <c r="N111" s="216"/>
      <c r="O111" s="216"/>
      <c r="P111" s="216"/>
      <c r="Q111" s="216"/>
      <c r="R111" s="216"/>
      <c r="S111" s="216"/>
      <c r="T111" s="216"/>
    </row>
    <row r="112" spans="1:20" ht="16" x14ac:dyDescent="0.2">
      <c r="A112" s="217"/>
      <c r="B112" s="217"/>
      <c r="C112" s="217"/>
      <c r="D112" s="217"/>
      <c r="E112" s="217"/>
      <c r="F112" s="217"/>
      <c r="G112" s="217"/>
      <c r="H112" s="217"/>
      <c r="I112" s="216"/>
      <c r="J112" s="216"/>
      <c r="K112" s="216"/>
      <c r="L112" s="216"/>
      <c r="M112" s="216"/>
      <c r="N112" s="216"/>
      <c r="O112" s="216"/>
      <c r="P112" s="216"/>
      <c r="Q112" s="216"/>
      <c r="R112" s="216"/>
      <c r="S112" s="216"/>
      <c r="T112" s="216"/>
    </row>
    <row r="113" spans="1:20" ht="16" x14ac:dyDescent="0.2">
      <c r="A113" s="217"/>
      <c r="B113" s="217"/>
      <c r="C113" s="217"/>
      <c r="D113" s="217"/>
      <c r="E113" s="217"/>
      <c r="F113" s="217"/>
      <c r="G113" s="217"/>
      <c r="H113" s="217"/>
      <c r="I113" s="216"/>
      <c r="J113" s="216"/>
      <c r="K113" s="216"/>
      <c r="L113" s="216"/>
      <c r="M113" s="216"/>
      <c r="N113" s="216"/>
      <c r="O113" s="216"/>
      <c r="P113" s="216"/>
      <c r="Q113" s="216"/>
      <c r="R113" s="216"/>
      <c r="S113" s="216"/>
      <c r="T113" s="216"/>
    </row>
    <row r="114" spans="1:20" ht="16" x14ac:dyDescent="0.2">
      <c r="A114" s="217"/>
      <c r="B114" s="217"/>
      <c r="C114" s="217"/>
      <c r="D114" s="217"/>
      <c r="E114" s="217"/>
      <c r="F114" s="217"/>
      <c r="G114" s="217"/>
      <c r="H114" s="217"/>
      <c r="I114" s="216"/>
      <c r="J114" s="216"/>
      <c r="K114" s="216"/>
      <c r="L114" s="216"/>
      <c r="M114" s="216"/>
      <c r="N114" s="216"/>
      <c r="O114" s="216"/>
      <c r="P114" s="216"/>
      <c r="Q114" s="216"/>
      <c r="R114" s="216"/>
      <c r="S114" s="216"/>
      <c r="T114" s="216"/>
    </row>
    <row r="115" spans="1:20" ht="16" x14ac:dyDescent="0.2">
      <c r="A115" s="217"/>
      <c r="B115" s="217"/>
      <c r="C115" s="217"/>
      <c r="D115" s="217"/>
      <c r="E115" s="217"/>
      <c r="F115" s="217"/>
      <c r="G115" s="217"/>
      <c r="H115" s="217"/>
      <c r="I115" s="216"/>
      <c r="J115" s="216"/>
      <c r="K115" s="216"/>
      <c r="L115" s="216"/>
      <c r="M115" s="216"/>
      <c r="N115" s="216"/>
      <c r="O115" s="216"/>
      <c r="P115" s="216"/>
      <c r="Q115" s="216"/>
      <c r="R115" s="216"/>
      <c r="S115" s="216"/>
      <c r="T115" s="216"/>
    </row>
    <row r="116" spans="1:20" ht="16" x14ac:dyDescent="0.2">
      <c r="A116" s="217"/>
      <c r="B116" s="217"/>
      <c r="C116" s="217"/>
      <c r="D116" s="217"/>
      <c r="E116" s="217"/>
      <c r="F116" s="217"/>
      <c r="G116" s="217"/>
      <c r="H116" s="217"/>
      <c r="I116" s="216"/>
      <c r="J116" s="216"/>
      <c r="K116" s="216"/>
      <c r="L116" s="216"/>
      <c r="M116" s="216"/>
      <c r="N116" s="216"/>
      <c r="O116" s="216"/>
      <c r="P116" s="216"/>
      <c r="Q116" s="216"/>
      <c r="R116" s="216"/>
      <c r="S116" s="216"/>
      <c r="T116" s="216"/>
    </row>
    <row r="117" spans="1:20" ht="16" x14ac:dyDescent="0.2">
      <c r="A117" s="217"/>
      <c r="B117" s="217"/>
      <c r="C117" s="217"/>
      <c r="D117" s="217"/>
      <c r="E117" s="217"/>
      <c r="F117" s="217"/>
      <c r="G117" s="217"/>
      <c r="H117" s="217"/>
      <c r="I117" s="216"/>
      <c r="J117" s="216"/>
      <c r="K117" s="216"/>
      <c r="L117" s="216"/>
      <c r="M117" s="216"/>
      <c r="N117" s="216"/>
      <c r="O117" s="216"/>
      <c r="P117" s="216"/>
      <c r="Q117" s="216"/>
      <c r="R117" s="216"/>
      <c r="S117" s="216"/>
      <c r="T117" s="216"/>
    </row>
    <row r="118" spans="1:20" ht="16" x14ac:dyDescent="0.2">
      <c r="A118" s="217"/>
      <c r="B118" s="217"/>
      <c r="C118" s="217"/>
      <c r="D118" s="217"/>
      <c r="E118" s="217"/>
      <c r="F118" s="217"/>
      <c r="G118" s="217"/>
      <c r="H118" s="217"/>
      <c r="I118" s="216"/>
      <c r="J118" s="216"/>
      <c r="K118" s="216"/>
      <c r="L118" s="216"/>
      <c r="M118" s="216"/>
      <c r="N118" s="216"/>
      <c r="O118" s="216"/>
      <c r="P118" s="216"/>
      <c r="Q118" s="216"/>
      <c r="R118" s="216"/>
      <c r="S118" s="216"/>
      <c r="T118" s="216"/>
    </row>
    <row r="119" spans="1:20" ht="16" x14ac:dyDescent="0.2">
      <c r="A119" s="217"/>
      <c r="B119" s="217"/>
      <c r="C119" s="217"/>
      <c r="D119" s="217"/>
      <c r="E119" s="217"/>
      <c r="F119" s="217"/>
      <c r="G119" s="217"/>
      <c r="H119" s="217"/>
      <c r="I119" s="216"/>
      <c r="J119" s="216"/>
      <c r="K119" s="216"/>
      <c r="L119" s="216"/>
      <c r="M119" s="216"/>
      <c r="N119" s="216"/>
      <c r="O119" s="216"/>
      <c r="P119" s="216"/>
      <c r="Q119" s="216"/>
      <c r="R119" s="216"/>
      <c r="S119" s="216"/>
      <c r="T119" s="216"/>
    </row>
    <row r="120" spans="1:20" ht="16" x14ac:dyDescent="0.2">
      <c r="A120" s="217"/>
      <c r="B120" s="217"/>
      <c r="C120" s="217"/>
      <c r="D120" s="217"/>
      <c r="E120" s="217"/>
      <c r="F120" s="217"/>
      <c r="G120" s="217"/>
      <c r="H120" s="217"/>
      <c r="I120" s="216"/>
      <c r="J120" s="216"/>
      <c r="K120" s="216"/>
      <c r="L120" s="216"/>
      <c r="M120" s="216"/>
      <c r="N120" s="216"/>
      <c r="O120" s="216"/>
      <c r="P120" s="216"/>
      <c r="Q120" s="216"/>
      <c r="R120" s="216"/>
      <c r="S120" s="216"/>
      <c r="T120" s="216"/>
    </row>
    <row r="121" spans="1:20" ht="16" x14ac:dyDescent="0.2">
      <c r="A121" s="217"/>
      <c r="B121" s="217"/>
      <c r="C121" s="217"/>
      <c r="D121" s="217"/>
      <c r="E121" s="217"/>
      <c r="F121" s="217"/>
      <c r="G121" s="217"/>
      <c r="H121" s="217"/>
      <c r="I121" s="216"/>
      <c r="J121" s="216"/>
      <c r="K121" s="216"/>
      <c r="L121" s="216"/>
      <c r="M121" s="216"/>
      <c r="N121" s="216"/>
      <c r="O121" s="216"/>
      <c r="P121" s="216"/>
      <c r="Q121" s="216"/>
      <c r="R121" s="216"/>
      <c r="S121" s="216"/>
      <c r="T121" s="216"/>
    </row>
    <row r="122" spans="1:20" ht="16" x14ac:dyDescent="0.2">
      <c r="A122" s="217"/>
      <c r="B122" s="217"/>
      <c r="C122" s="217"/>
      <c r="D122" s="217"/>
      <c r="E122" s="217"/>
      <c r="F122" s="217"/>
      <c r="G122" s="217"/>
      <c r="H122" s="217"/>
      <c r="I122" s="216"/>
      <c r="J122" s="216"/>
      <c r="K122" s="216"/>
      <c r="L122" s="216"/>
      <c r="M122" s="216"/>
      <c r="N122" s="216"/>
      <c r="O122" s="216"/>
      <c r="P122" s="216"/>
      <c r="Q122" s="216"/>
      <c r="R122" s="216"/>
      <c r="S122" s="216"/>
      <c r="T122" s="216"/>
    </row>
    <row r="123" spans="1:20" ht="16" x14ac:dyDescent="0.2">
      <c r="A123" s="217"/>
      <c r="B123" s="217"/>
      <c r="C123" s="217"/>
      <c r="D123" s="217"/>
      <c r="E123" s="217"/>
      <c r="F123" s="217"/>
      <c r="G123" s="217"/>
      <c r="H123" s="217"/>
      <c r="I123" s="216"/>
      <c r="J123" s="216"/>
      <c r="K123" s="216"/>
      <c r="L123" s="216"/>
      <c r="M123" s="216"/>
      <c r="N123" s="216"/>
      <c r="O123" s="216"/>
      <c r="P123" s="216"/>
      <c r="Q123" s="216"/>
      <c r="R123" s="216"/>
      <c r="S123" s="216"/>
      <c r="T123" s="216"/>
    </row>
    <row r="124" spans="1:20" ht="16" x14ac:dyDescent="0.2">
      <c r="A124" s="217"/>
      <c r="B124" s="217"/>
      <c r="C124" s="217"/>
      <c r="D124" s="217"/>
      <c r="E124" s="217"/>
      <c r="F124" s="217"/>
      <c r="G124" s="217"/>
      <c r="H124" s="217"/>
      <c r="I124" s="216"/>
      <c r="J124" s="216"/>
      <c r="K124" s="216"/>
      <c r="L124" s="216"/>
      <c r="M124" s="216"/>
      <c r="N124" s="216"/>
      <c r="O124" s="216"/>
      <c r="P124" s="216"/>
      <c r="Q124" s="216"/>
      <c r="R124" s="216"/>
      <c r="S124" s="216"/>
      <c r="T124" s="216"/>
    </row>
    <row r="125" spans="1:20" ht="16" x14ac:dyDescent="0.2">
      <c r="A125" s="217"/>
      <c r="B125" s="217"/>
      <c r="C125" s="217"/>
      <c r="D125" s="217"/>
      <c r="E125" s="217"/>
      <c r="F125" s="217"/>
      <c r="G125" s="217"/>
      <c r="H125" s="217"/>
      <c r="I125" s="216"/>
      <c r="J125" s="216"/>
      <c r="K125" s="216"/>
      <c r="L125" s="216"/>
      <c r="M125" s="216"/>
      <c r="N125" s="216"/>
      <c r="O125" s="216"/>
      <c r="P125" s="216"/>
      <c r="Q125" s="216"/>
      <c r="R125" s="216"/>
      <c r="S125" s="216"/>
      <c r="T125" s="216"/>
    </row>
    <row r="126" spans="1:20" ht="16" x14ac:dyDescent="0.2">
      <c r="A126" s="217"/>
      <c r="B126" s="217"/>
      <c r="C126" s="217"/>
      <c r="D126" s="217"/>
      <c r="E126" s="217"/>
      <c r="F126" s="217"/>
      <c r="G126" s="217"/>
      <c r="H126" s="217"/>
      <c r="I126" s="216"/>
      <c r="J126" s="216"/>
      <c r="K126" s="216"/>
      <c r="L126" s="216"/>
      <c r="M126" s="216"/>
      <c r="N126" s="216"/>
      <c r="O126" s="216"/>
      <c r="P126" s="216"/>
      <c r="Q126" s="216"/>
      <c r="R126" s="216"/>
      <c r="S126" s="216"/>
      <c r="T126" s="216"/>
    </row>
    <row r="127" spans="1:20" ht="16" x14ac:dyDescent="0.2">
      <c r="A127" s="217"/>
      <c r="B127" s="217"/>
      <c r="C127" s="217"/>
      <c r="D127" s="217"/>
      <c r="E127" s="217"/>
      <c r="F127" s="217"/>
      <c r="G127" s="217"/>
      <c r="H127" s="217"/>
      <c r="I127" s="216"/>
      <c r="J127" s="216"/>
      <c r="K127" s="216"/>
      <c r="L127" s="216"/>
      <c r="M127" s="216"/>
      <c r="N127" s="216"/>
      <c r="O127" s="216"/>
      <c r="P127" s="216"/>
      <c r="Q127" s="216"/>
      <c r="R127" s="216"/>
      <c r="S127" s="216"/>
      <c r="T127" s="216"/>
    </row>
    <row r="128" spans="1:20" ht="16" x14ac:dyDescent="0.2">
      <c r="A128" s="217"/>
      <c r="B128" s="217"/>
      <c r="C128" s="217"/>
      <c r="D128" s="217"/>
      <c r="E128" s="217"/>
      <c r="F128" s="217"/>
      <c r="G128" s="217"/>
      <c r="H128" s="217"/>
      <c r="I128" s="216"/>
      <c r="J128" s="216"/>
      <c r="K128" s="216"/>
      <c r="L128" s="216"/>
      <c r="M128" s="216"/>
      <c r="N128" s="216"/>
      <c r="O128" s="216"/>
      <c r="P128" s="216"/>
      <c r="Q128" s="216"/>
      <c r="R128" s="216"/>
      <c r="S128" s="216"/>
      <c r="T128" s="216"/>
    </row>
    <row r="129" spans="1:20" ht="16" x14ac:dyDescent="0.2">
      <c r="A129" s="217"/>
      <c r="B129" s="217"/>
      <c r="C129" s="217"/>
      <c r="D129" s="217"/>
      <c r="E129" s="217"/>
      <c r="F129" s="217"/>
      <c r="G129" s="217"/>
      <c r="H129" s="217"/>
      <c r="I129" s="216"/>
      <c r="J129" s="216"/>
      <c r="K129" s="216"/>
      <c r="L129" s="216"/>
      <c r="M129" s="216"/>
      <c r="N129" s="216"/>
      <c r="O129" s="216"/>
      <c r="P129" s="216"/>
      <c r="Q129" s="216"/>
      <c r="R129" s="216"/>
      <c r="S129" s="216"/>
      <c r="T129" s="216"/>
    </row>
    <row r="130" spans="1:20" ht="16" x14ac:dyDescent="0.2">
      <c r="A130" s="217"/>
      <c r="B130" s="217"/>
      <c r="C130" s="217"/>
      <c r="D130" s="217"/>
      <c r="E130" s="217"/>
      <c r="F130" s="217"/>
      <c r="G130" s="217"/>
      <c r="H130" s="217"/>
      <c r="I130" s="216"/>
      <c r="J130" s="216"/>
      <c r="K130" s="216"/>
      <c r="L130" s="216"/>
      <c r="M130" s="216"/>
      <c r="N130" s="216"/>
      <c r="O130" s="216"/>
      <c r="P130" s="216"/>
      <c r="Q130" s="216"/>
      <c r="R130" s="216"/>
      <c r="S130" s="216"/>
      <c r="T130" s="216"/>
    </row>
    <row r="131" spans="1:20" ht="16" x14ac:dyDescent="0.2">
      <c r="A131" s="217"/>
      <c r="B131" s="217"/>
      <c r="C131" s="217"/>
      <c r="D131" s="217"/>
      <c r="E131" s="217"/>
      <c r="F131" s="217"/>
      <c r="G131" s="217"/>
      <c r="H131" s="217"/>
      <c r="I131" s="216"/>
      <c r="J131" s="216"/>
      <c r="K131" s="216"/>
      <c r="L131" s="216"/>
      <c r="M131" s="216"/>
      <c r="N131" s="216"/>
      <c r="O131" s="216"/>
      <c r="P131" s="216"/>
      <c r="Q131" s="216"/>
      <c r="R131" s="216"/>
      <c r="S131" s="216"/>
      <c r="T131" s="216"/>
    </row>
    <row r="132" spans="1:20" ht="16" x14ac:dyDescent="0.2">
      <c r="A132" s="217"/>
      <c r="B132" s="217"/>
      <c r="C132" s="217"/>
      <c r="D132" s="217"/>
      <c r="E132" s="217"/>
      <c r="F132" s="217"/>
      <c r="G132" s="217"/>
      <c r="H132" s="217"/>
      <c r="I132" s="216"/>
      <c r="J132" s="216"/>
      <c r="K132" s="216"/>
      <c r="L132" s="216"/>
      <c r="M132" s="216"/>
      <c r="N132" s="216"/>
      <c r="O132" s="216"/>
      <c r="P132" s="216"/>
      <c r="Q132" s="216"/>
      <c r="R132" s="216"/>
      <c r="S132" s="216"/>
      <c r="T132" s="216"/>
    </row>
    <row r="133" spans="1:20" ht="16" x14ac:dyDescent="0.2">
      <c r="A133" s="217"/>
      <c r="B133" s="217"/>
      <c r="C133" s="217"/>
      <c r="D133" s="217"/>
      <c r="E133" s="217"/>
      <c r="F133" s="217"/>
      <c r="G133" s="217"/>
      <c r="H133" s="217"/>
      <c r="I133" s="216"/>
      <c r="J133" s="216"/>
      <c r="K133" s="216"/>
      <c r="L133" s="216"/>
      <c r="M133" s="216"/>
      <c r="N133" s="216"/>
      <c r="O133" s="216"/>
      <c r="P133" s="216"/>
      <c r="Q133" s="216"/>
      <c r="R133" s="216"/>
      <c r="S133" s="216"/>
      <c r="T133" s="216"/>
    </row>
    <row r="134" spans="1:20" ht="16" x14ac:dyDescent="0.2">
      <c r="A134" s="217"/>
      <c r="B134" s="217"/>
      <c r="C134" s="217"/>
      <c r="D134" s="217"/>
      <c r="E134" s="217"/>
      <c r="F134" s="217"/>
      <c r="G134" s="217"/>
      <c r="H134" s="217"/>
      <c r="I134" s="216"/>
      <c r="J134" s="216"/>
      <c r="K134" s="216"/>
      <c r="L134" s="216"/>
      <c r="M134" s="216"/>
      <c r="N134" s="216"/>
      <c r="O134" s="216"/>
      <c r="P134" s="216"/>
      <c r="Q134" s="216"/>
      <c r="R134" s="216"/>
      <c r="S134" s="216"/>
      <c r="T134" s="216"/>
    </row>
    <row r="135" spans="1:20" ht="16" x14ac:dyDescent="0.2">
      <c r="A135" s="217"/>
      <c r="B135" s="217"/>
      <c r="C135" s="217"/>
      <c r="D135" s="217"/>
      <c r="E135" s="217"/>
      <c r="F135" s="217"/>
      <c r="G135" s="217"/>
      <c r="H135" s="217"/>
      <c r="I135" s="216"/>
      <c r="J135" s="216"/>
      <c r="K135" s="216"/>
      <c r="L135" s="216"/>
      <c r="M135" s="216"/>
      <c r="N135" s="216"/>
      <c r="O135" s="216"/>
      <c r="P135" s="216"/>
      <c r="Q135" s="216"/>
      <c r="R135" s="216"/>
      <c r="S135" s="216"/>
      <c r="T135" s="216"/>
    </row>
    <row r="136" spans="1:20" ht="16" x14ac:dyDescent="0.2">
      <c r="A136" s="217"/>
      <c r="B136" s="217"/>
      <c r="C136" s="217"/>
      <c r="D136" s="217"/>
      <c r="E136" s="217"/>
      <c r="F136" s="217"/>
      <c r="G136" s="217"/>
      <c r="H136" s="217"/>
      <c r="I136" s="216"/>
      <c r="J136" s="216"/>
      <c r="K136" s="216"/>
      <c r="L136" s="216"/>
      <c r="M136" s="216"/>
      <c r="N136" s="216"/>
      <c r="O136" s="216"/>
      <c r="P136" s="216"/>
      <c r="Q136" s="216"/>
      <c r="R136" s="216"/>
      <c r="S136" s="216"/>
      <c r="T136" s="216"/>
    </row>
    <row r="137" spans="1:20" ht="16" x14ac:dyDescent="0.2">
      <c r="A137" s="217"/>
      <c r="B137" s="217"/>
      <c r="C137" s="217"/>
      <c r="D137" s="217"/>
      <c r="E137" s="217"/>
      <c r="F137" s="217"/>
      <c r="G137" s="217"/>
      <c r="H137" s="217"/>
      <c r="I137" s="216"/>
      <c r="J137" s="216"/>
      <c r="K137" s="216"/>
      <c r="L137" s="216"/>
      <c r="M137" s="216"/>
      <c r="N137" s="216"/>
      <c r="O137" s="216"/>
      <c r="P137" s="216"/>
      <c r="Q137" s="216"/>
      <c r="R137" s="216"/>
      <c r="S137" s="216"/>
      <c r="T137" s="216"/>
    </row>
    <row r="138" spans="1:20" ht="16" x14ac:dyDescent="0.2">
      <c r="A138" s="217"/>
      <c r="B138" s="217"/>
      <c r="C138" s="217"/>
      <c r="D138" s="217"/>
      <c r="E138" s="217"/>
      <c r="F138" s="217"/>
      <c r="G138" s="217"/>
      <c r="H138" s="217"/>
      <c r="I138" s="216"/>
      <c r="J138" s="216"/>
      <c r="K138" s="216"/>
      <c r="L138" s="216"/>
      <c r="M138" s="216"/>
      <c r="N138" s="216"/>
      <c r="O138" s="216"/>
      <c r="P138" s="216"/>
      <c r="Q138" s="216"/>
      <c r="R138" s="216"/>
      <c r="S138" s="216"/>
      <c r="T138" s="216"/>
    </row>
    <row r="139" spans="1:20" ht="16" x14ac:dyDescent="0.2">
      <c r="A139" s="217"/>
      <c r="B139" s="217"/>
      <c r="C139" s="217"/>
      <c r="D139" s="217"/>
      <c r="E139" s="217"/>
      <c r="F139" s="217"/>
      <c r="G139" s="217"/>
      <c r="H139" s="217"/>
      <c r="I139" s="216"/>
      <c r="J139" s="216"/>
      <c r="K139" s="216"/>
      <c r="L139" s="216"/>
      <c r="M139" s="216"/>
      <c r="N139" s="216"/>
      <c r="O139" s="216"/>
      <c r="P139" s="216"/>
      <c r="Q139" s="216"/>
      <c r="R139" s="216"/>
      <c r="S139" s="216"/>
      <c r="T139" s="216"/>
    </row>
    <row r="140" spans="1:20" ht="16" x14ac:dyDescent="0.2">
      <c r="A140" s="217"/>
      <c r="B140" s="217"/>
      <c r="C140" s="217"/>
      <c r="D140" s="217"/>
      <c r="E140" s="217"/>
      <c r="F140" s="217"/>
      <c r="G140" s="217"/>
      <c r="H140" s="217"/>
      <c r="I140" s="216"/>
      <c r="J140" s="216"/>
      <c r="K140" s="216"/>
      <c r="L140" s="216"/>
      <c r="M140" s="216"/>
      <c r="N140" s="216"/>
      <c r="O140" s="216"/>
      <c r="P140" s="216"/>
      <c r="Q140" s="216"/>
      <c r="R140" s="216"/>
      <c r="S140" s="216"/>
      <c r="T140" s="216"/>
    </row>
    <row r="141" spans="1:20" ht="16" x14ac:dyDescent="0.2">
      <c r="A141" s="217"/>
      <c r="B141" s="217"/>
      <c r="C141" s="217"/>
      <c r="D141" s="217"/>
      <c r="E141" s="217"/>
      <c r="F141" s="217"/>
      <c r="G141" s="217"/>
      <c r="H141" s="217"/>
      <c r="I141" s="216"/>
      <c r="J141" s="216"/>
      <c r="K141" s="216"/>
      <c r="L141" s="216"/>
      <c r="M141" s="216"/>
      <c r="N141" s="216"/>
      <c r="O141" s="216"/>
      <c r="P141" s="216"/>
      <c r="Q141" s="216"/>
      <c r="R141" s="216"/>
      <c r="S141" s="216"/>
      <c r="T141" s="216"/>
    </row>
    <row r="142" spans="1:20" ht="16" x14ac:dyDescent="0.2">
      <c r="A142" s="217"/>
      <c r="B142" s="217"/>
      <c r="C142" s="217"/>
      <c r="D142" s="217"/>
      <c r="E142" s="217"/>
      <c r="F142" s="217"/>
      <c r="G142" s="217"/>
      <c r="H142" s="217"/>
      <c r="I142" s="216"/>
      <c r="J142" s="216"/>
      <c r="K142" s="216"/>
      <c r="L142" s="216"/>
      <c r="M142" s="216"/>
      <c r="N142" s="216"/>
      <c r="O142" s="216"/>
      <c r="P142" s="216"/>
      <c r="Q142" s="216"/>
      <c r="R142" s="216"/>
      <c r="S142" s="216"/>
      <c r="T142" s="216"/>
    </row>
    <row r="143" spans="1:20" ht="16" x14ac:dyDescent="0.2">
      <c r="A143" s="217"/>
      <c r="B143" s="217"/>
      <c r="C143" s="217"/>
      <c r="D143" s="217"/>
      <c r="E143" s="217"/>
      <c r="F143" s="217"/>
      <c r="G143" s="217"/>
      <c r="H143" s="217"/>
      <c r="I143" s="216"/>
      <c r="J143" s="216"/>
      <c r="K143" s="216"/>
      <c r="L143" s="216"/>
      <c r="M143" s="216"/>
      <c r="N143" s="216"/>
      <c r="O143" s="216"/>
      <c r="P143" s="216"/>
      <c r="Q143" s="216"/>
      <c r="R143" s="216"/>
      <c r="S143" s="216"/>
      <c r="T143" s="216"/>
    </row>
    <row r="144" spans="1:20" ht="16" x14ac:dyDescent="0.2">
      <c r="A144" s="217"/>
      <c r="B144" s="217"/>
      <c r="C144" s="217"/>
      <c r="D144" s="217"/>
      <c r="E144" s="217"/>
      <c r="F144" s="217"/>
      <c r="G144" s="217"/>
      <c r="H144" s="217"/>
      <c r="I144" s="216"/>
      <c r="J144" s="216"/>
      <c r="K144" s="216"/>
      <c r="L144" s="216"/>
      <c r="M144" s="216"/>
      <c r="N144" s="216"/>
      <c r="O144" s="216"/>
      <c r="P144" s="216"/>
      <c r="Q144" s="216"/>
      <c r="R144" s="216"/>
      <c r="S144" s="216"/>
      <c r="T144" s="216"/>
    </row>
    <row r="145" spans="1:8" x14ac:dyDescent="0.2">
      <c r="A145" s="217"/>
      <c r="B145" s="217"/>
      <c r="C145" s="217"/>
      <c r="D145" s="217"/>
      <c r="E145" s="217"/>
      <c r="F145" s="217"/>
      <c r="G145" s="217"/>
      <c r="H145" s="217"/>
    </row>
  </sheetData>
  <mergeCells count="1">
    <mergeCell ref="S2:S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925AE-B1C3-2143-BED8-865F5DD872E0}">
  <sheetPr codeName="Feuil9">
    <tabColor rgb="FFFE0000"/>
  </sheetPr>
  <dimension ref="A1:BG22"/>
  <sheetViews>
    <sheetView showGridLines="0" topLeftCell="F1" zoomScaleNormal="100" workbookViewId="0">
      <selection activeCell="Q14" sqref="Q14:Q15"/>
    </sheetView>
  </sheetViews>
  <sheetFormatPr baseColWidth="10" defaultColWidth="11" defaultRowHeight="16" x14ac:dyDescent="0.2"/>
  <cols>
    <col min="1" max="1" width="6" style="37" hidden="1" customWidth="1"/>
    <col min="2" max="2" width="17.1640625" style="37" hidden="1" customWidth="1"/>
    <col min="3" max="3" width="6.33203125" style="37" hidden="1" customWidth="1"/>
    <col min="4" max="4" width="14.6640625" style="37" customWidth="1"/>
    <col min="5" max="5" width="9.6640625" style="37" customWidth="1"/>
    <col min="6" max="6" width="50.5" style="37" customWidth="1"/>
    <col min="7" max="8" width="9.33203125" style="37" customWidth="1"/>
    <col min="9" max="9" width="9.5" style="37" customWidth="1"/>
    <col min="10" max="10" width="9" style="37" customWidth="1"/>
    <col min="11" max="33" width="9.33203125" style="37" customWidth="1"/>
    <col min="34" max="34" width="8.5" style="37" bestFit="1" customWidth="1"/>
    <col min="35" max="35" width="7.33203125" style="37" bestFit="1" customWidth="1"/>
    <col min="36" max="53" width="9.33203125" style="37" customWidth="1"/>
    <col min="54" max="54" width="10.6640625" style="37" customWidth="1"/>
    <col min="55" max="58" width="9.33203125" style="37" customWidth="1"/>
    <col min="59" max="59" width="4" style="37" customWidth="1"/>
    <col min="60" max="16384" width="11" style="37"/>
  </cols>
  <sheetData>
    <row r="1" spans="1:59" s="4" customFormat="1" ht="80" customHeight="1" x14ac:dyDescent="0.25">
      <c r="A1" s="3" t="s">
        <v>217</v>
      </c>
      <c r="B1" s="5"/>
      <c r="C1" s="5"/>
      <c r="D1" s="3" t="s">
        <v>482</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row>
    <row r="2" spans="1:59" s="41" customFormat="1" ht="12.75" hidden="1" customHeight="1" x14ac:dyDescent="0.2">
      <c r="A2" s="74"/>
      <c r="B2" s="74"/>
      <c r="C2" s="74"/>
      <c r="D2" s="236"/>
      <c r="E2" s="236"/>
      <c r="F2" s="236"/>
      <c r="G2" s="71" t="s">
        <v>169</v>
      </c>
      <c r="H2" s="423" t="s">
        <v>168</v>
      </c>
      <c r="I2" s="70" t="s">
        <v>167</v>
      </c>
      <c r="J2" s="70" t="s">
        <v>167</v>
      </c>
      <c r="K2" s="70" t="s">
        <v>167</v>
      </c>
      <c r="L2" s="70" t="s">
        <v>167</v>
      </c>
      <c r="M2" s="70" t="s">
        <v>167</v>
      </c>
      <c r="N2" s="70" t="s">
        <v>167</v>
      </c>
      <c r="O2" s="70" t="s">
        <v>167</v>
      </c>
      <c r="P2" s="70" t="s">
        <v>167</v>
      </c>
      <c r="Q2" s="70" t="s">
        <v>167</v>
      </c>
      <c r="R2" s="70" t="s">
        <v>167</v>
      </c>
      <c r="S2" s="70" t="s">
        <v>167</v>
      </c>
      <c r="T2" s="70" t="s">
        <v>167</v>
      </c>
      <c r="U2" s="70" t="s">
        <v>167</v>
      </c>
      <c r="V2" s="70" t="s">
        <v>167</v>
      </c>
      <c r="W2" s="423" t="s">
        <v>166</v>
      </c>
      <c r="X2" s="69" t="s">
        <v>164</v>
      </c>
      <c r="Y2" s="69" t="s">
        <v>164</v>
      </c>
      <c r="Z2" s="69" t="s">
        <v>164</v>
      </c>
      <c r="AA2" s="69" t="s">
        <v>164</v>
      </c>
      <c r="AB2" s="69" t="s">
        <v>164</v>
      </c>
      <c r="AC2" s="69" t="s">
        <v>164</v>
      </c>
      <c r="AD2" s="69" t="s">
        <v>164</v>
      </c>
      <c r="AE2" s="69" t="s">
        <v>164</v>
      </c>
      <c r="AF2" s="69" t="s">
        <v>164</v>
      </c>
      <c r="AG2" s="423" t="s">
        <v>163</v>
      </c>
      <c r="AH2" s="69" t="s">
        <v>162</v>
      </c>
      <c r="AI2" s="69" t="s">
        <v>162</v>
      </c>
      <c r="AJ2" s="69" t="s">
        <v>162</v>
      </c>
      <c r="AK2" s="69" t="s">
        <v>162</v>
      </c>
      <c r="AL2" s="69" t="s">
        <v>162</v>
      </c>
      <c r="AM2" s="69" t="s">
        <v>162</v>
      </c>
      <c r="AN2" s="69" t="s">
        <v>162</v>
      </c>
      <c r="AO2" s="69" t="s">
        <v>162</v>
      </c>
      <c r="AP2" s="69" t="s">
        <v>162</v>
      </c>
      <c r="AQ2" s="69" t="s">
        <v>162</v>
      </c>
      <c r="AR2" s="69" t="s">
        <v>162</v>
      </c>
      <c r="AS2" s="69" t="s">
        <v>162</v>
      </c>
      <c r="AT2" s="69"/>
      <c r="AU2" s="69" t="s">
        <v>162</v>
      </c>
      <c r="AV2" s="423" t="s">
        <v>161</v>
      </c>
      <c r="AW2" s="68" t="s">
        <v>160</v>
      </c>
      <c r="AX2" s="68" t="s">
        <v>160</v>
      </c>
      <c r="AY2" s="68" t="s">
        <v>160</v>
      </c>
      <c r="AZ2" s="68" t="s">
        <v>160</v>
      </c>
      <c r="BA2" s="68" t="s">
        <v>160</v>
      </c>
      <c r="BB2" s="68" t="s">
        <v>160</v>
      </c>
      <c r="BC2" s="68" t="s">
        <v>160</v>
      </c>
      <c r="BD2" s="68" t="s">
        <v>160</v>
      </c>
      <c r="BE2" s="68" t="s">
        <v>160</v>
      </c>
      <c r="BF2" s="423" t="s">
        <v>159</v>
      </c>
      <c r="BG2"/>
    </row>
    <row r="3" spans="1:59" s="41" customFormat="1" ht="26" hidden="1" customHeight="1" x14ac:dyDescent="0.15">
      <c r="A3" s="74"/>
      <c r="B3" s="74"/>
      <c r="C3" s="74"/>
      <c r="D3" s="74"/>
      <c r="E3" s="74"/>
      <c r="F3" s="74"/>
      <c r="G3" s="71" t="s">
        <v>158</v>
      </c>
      <c r="H3" s="423"/>
      <c r="I3" s="70" t="s">
        <v>157</v>
      </c>
      <c r="J3" s="70" t="s">
        <v>156</v>
      </c>
      <c r="K3" s="70" t="s">
        <v>155</v>
      </c>
      <c r="L3" s="70" t="s">
        <v>154</v>
      </c>
      <c r="M3" s="70" t="s">
        <v>153</v>
      </c>
      <c r="N3" s="70" t="s">
        <v>152</v>
      </c>
      <c r="O3" s="70" t="s">
        <v>151</v>
      </c>
      <c r="P3" s="70" t="s">
        <v>150</v>
      </c>
      <c r="Q3" s="70" t="s">
        <v>149</v>
      </c>
      <c r="R3" s="70"/>
      <c r="S3" s="70" t="s">
        <v>148</v>
      </c>
      <c r="T3" s="70" t="s">
        <v>147</v>
      </c>
      <c r="U3" s="70" t="s">
        <v>146</v>
      </c>
      <c r="V3" s="70" t="s">
        <v>145</v>
      </c>
      <c r="W3" s="423"/>
      <c r="X3" s="69" t="s">
        <v>141</v>
      </c>
      <c r="Y3" s="69" t="s">
        <v>140</v>
      </c>
      <c r="Z3" s="69" t="s">
        <v>139</v>
      </c>
      <c r="AA3" s="69" t="s">
        <v>138</v>
      </c>
      <c r="AB3" s="69" t="s">
        <v>137</v>
      </c>
      <c r="AC3" s="69" t="s">
        <v>136</v>
      </c>
      <c r="AD3" s="69" t="s">
        <v>35</v>
      </c>
      <c r="AE3" s="69" t="s">
        <v>34</v>
      </c>
      <c r="AF3" s="69" t="s">
        <v>135</v>
      </c>
      <c r="AG3" s="423"/>
      <c r="AH3" s="69" t="s">
        <v>134</v>
      </c>
      <c r="AI3" s="69" t="s">
        <v>133</v>
      </c>
      <c r="AJ3" s="69" t="s">
        <v>132</v>
      </c>
      <c r="AK3" s="69" t="s">
        <v>131</v>
      </c>
      <c r="AL3" s="69" t="s">
        <v>130</v>
      </c>
      <c r="AM3" s="69" t="s">
        <v>129</v>
      </c>
      <c r="AN3" s="69" t="s">
        <v>128</v>
      </c>
      <c r="AO3" s="69" t="s">
        <v>127</v>
      </c>
      <c r="AP3" s="69" t="s">
        <v>126</v>
      </c>
      <c r="AQ3" s="69" t="s">
        <v>125</v>
      </c>
      <c r="AR3" s="69" t="s">
        <v>124</v>
      </c>
      <c r="AS3" s="69" t="s">
        <v>123</v>
      </c>
      <c r="AT3" s="69"/>
      <c r="AU3" s="69" t="s">
        <v>122</v>
      </c>
      <c r="AV3" s="423"/>
      <c r="AW3" s="68" t="s">
        <v>121</v>
      </c>
      <c r="AX3" s="68" t="s">
        <v>120</v>
      </c>
      <c r="AY3" s="68" t="s">
        <v>119</v>
      </c>
      <c r="AZ3" s="68" t="s">
        <v>118</v>
      </c>
      <c r="BA3" s="68" t="s">
        <v>117</v>
      </c>
      <c r="BB3" s="68" t="s">
        <v>116</v>
      </c>
      <c r="BC3" s="68" t="s">
        <v>115</v>
      </c>
      <c r="BD3" s="68" t="s">
        <v>114</v>
      </c>
      <c r="BE3" s="68" t="s">
        <v>113</v>
      </c>
      <c r="BF3" s="423"/>
    </row>
    <row r="4" spans="1:59" s="41" customFormat="1" ht="72" x14ac:dyDescent="0.2">
      <c r="A4" s="73"/>
      <c r="B4" s="72" t="s">
        <v>112</v>
      </c>
      <c r="C4" s="72" t="s">
        <v>111</v>
      </c>
      <c r="D4" s="72" t="s">
        <v>32</v>
      </c>
      <c r="E4" s="72" t="s">
        <v>110</v>
      </c>
      <c r="F4" s="72" t="s">
        <v>109</v>
      </c>
      <c r="G4" s="71" t="s">
        <v>108</v>
      </c>
      <c r="H4" s="423"/>
      <c r="I4" s="70" t="s">
        <v>107</v>
      </c>
      <c r="J4" s="70" t="s">
        <v>106</v>
      </c>
      <c r="K4" s="70" t="s">
        <v>469</v>
      </c>
      <c r="L4" s="70" t="s">
        <v>104</v>
      </c>
      <c r="M4" s="70" t="s">
        <v>103</v>
      </c>
      <c r="N4" s="70" t="s">
        <v>102</v>
      </c>
      <c r="O4" s="70" t="s">
        <v>101</v>
      </c>
      <c r="P4" s="70" t="s">
        <v>100</v>
      </c>
      <c r="Q4" s="70" t="s">
        <v>99</v>
      </c>
      <c r="R4" s="70" t="s">
        <v>692</v>
      </c>
      <c r="S4" s="70" t="s">
        <v>97</v>
      </c>
      <c r="T4" s="70" t="s">
        <v>96</v>
      </c>
      <c r="U4" s="70" t="s">
        <v>95</v>
      </c>
      <c r="V4" s="70" t="s">
        <v>94</v>
      </c>
      <c r="W4" s="423"/>
      <c r="X4" s="69" t="s">
        <v>92</v>
      </c>
      <c r="Y4" s="69" t="s">
        <v>91</v>
      </c>
      <c r="Z4" s="69" t="s">
        <v>90</v>
      </c>
      <c r="AA4" s="69" t="s">
        <v>89</v>
      </c>
      <c r="AB4" s="69" t="s">
        <v>88</v>
      </c>
      <c r="AC4" s="69" t="s">
        <v>87</v>
      </c>
      <c r="AD4" s="69" t="s">
        <v>35</v>
      </c>
      <c r="AE4" s="69" t="s">
        <v>86</v>
      </c>
      <c r="AF4" s="69" t="s">
        <v>645</v>
      </c>
      <c r="AG4" s="423"/>
      <c r="AH4" s="69" t="s">
        <v>470</v>
      </c>
      <c r="AI4" s="69" t="s">
        <v>83</v>
      </c>
      <c r="AJ4" s="69" t="s">
        <v>82</v>
      </c>
      <c r="AK4" s="69" t="s">
        <v>81</v>
      </c>
      <c r="AL4" s="69" t="s">
        <v>80</v>
      </c>
      <c r="AM4" s="69" t="s">
        <v>79</v>
      </c>
      <c r="AN4" s="69" t="s">
        <v>78</v>
      </c>
      <c r="AO4" s="69" t="s">
        <v>77</v>
      </c>
      <c r="AP4" s="69" t="s">
        <v>76</v>
      </c>
      <c r="AQ4" s="69" t="s">
        <v>75</v>
      </c>
      <c r="AR4" s="69" t="s">
        <v>74</v>
      </c>
      <c r="AS4" s="69" t="s">
        <v>73</v>
      </c>
      <c r="AT4" s="69" t="s">
        <v>646</v>
      </c>
      <c r="AU4" s="69" t="s">
        <v>72</v>
      </c>
      <c r="AV4" s="423"/>
      <c r="AW4" s="68" t="s">
        <v>71</v>
      </c>
      <c r="AX4" s="68" t="s">
        <v>70</v>
      </c>
      <c r="AY4" s="68" t="s">
        <v>471</v>
      </c>
      <c r="AZ4" s="68" t="s">
        <v>472</v>
      </c>
      <c r="BA4" s="68" t="s">
        <v>473</v>
      </c>
      <c r="BB4" s="68" t="s">
        <v>474</v>
      </c>
      <c r="BC4" s="68" t="s">
        <v>65</v>
      </c>
      <c r="BD4" s="68" t="s">
        <v>64</v>
      </c>
      <c r="BE4" s="68" t="s">
        <v>63</v>
      </c>
      <c r="BF4" s="423"/>
      <c r="BG4"/>
    </row>
    <row r="5" spans="1:59" s="41" customFormat="1" ht="15" x14ac:dyDescent="0.2">
      <c r="A5" s="50" t="s">
        <v>42</v>
      </c>
      <c r="B5" s="58"/>
      <c r="C5" s="58"/>
      <c r="D5" s="114"/>
      <c r="E5" s="58" t="s">
        <v>62</v>
      </c>
      <c r="F5" s="58" t="s">
        <v>61</v>
      </c>
      <c r="G5" s="55" t="str">
        <f>IF(ISBLANK(ETPT_TJ_DDG!$D$5),"",IF(ISERROR(ETPT_TJ!G5),"",IF(ETPT_TJ!G5=0,"",ETPT_TJ!G5)))</f>
        <v/>
      </c>
      <c r="H5" s="46">
        <f t="shared" ref="H5:H15" si="0">SUM(G5)</f>
        <v>0</v>
      </c>
      <c r="I5" s="55" t="str">
        <f>IF(ISBLANK(ETPT_TJ_DDG!$D$5),"",IF(ISERROR(ETPT_TJ!I5),"",IF(ETPT_TJ!I5=0,"",ETPT_TJ!I5)))</f>
        <v/>
      </c>
      <c r="J5" s="55" t="str">
        <f>IF(ISBLANK(ETPT_TJ_DDG!$D$5),"",IF(ISERROR(ETPT_TJ!J5),"",IF(ETPT_TJ!J5=0,"",ETPT_TJ!J5)))</f>
        <v/>
      </c>
      <c r="K5" s="55" t="str">
        <f>IF(ISBLANK(ETPT_TJ_DDG!$D$5),"",IF(ISERROR(ETPT_TJ!K5),"",IF(ETPT_TJ!K5=0,"",ETPT_TJ!K5)))</f>
        <v/>
      </c>
      <c r="L5" s="55" t="str">
        <f>IF(ISBLANK(ETPT_TJ_DDG!$D$5),"",IF(ISERROR(ETPT_TJ!L5),"",IF(ETPT_TJ!L5=0,"",ETPT_TJ!L5)))</f>
        <v/>
      </c>
      <c r="M5" s="55" t="str">
        <f>IF(ISBLANK(ETPT_TJ_DDG!$D$5),"",IF(ISERROR(ETPT_TJ!M5),"",IF(ETPT_TJ!M5=0,"",ETPT_TJ!M5)))</f>
        <v/>
      </c>
      <c r="N5" s="55" t="str">
        <f>IF(ISBLANK(ETPT_TJ_DDG!$D$5),"",IF(ISERROR(ETPT_TJ!N5),"",IF(ETPT_TJ!N5=0,"",ETPT_TJ!N5)))</f>
        <v/>
      </c>
      <c r="O5" s="55" t="str">
        <f>IF(ISBLANK(ETPT_TJ_DDG!$D$5),"",IF(ISERROR(ETPT_TJ!O5),"",IF(ETPT_TJ!O5=0,"",ETPT_TJ!O5)))</f>
        <v/>
      </c>
      <c r="P5" s="55" t="str">
        <f>IF(ISBLANK(ETPT_TJ_DDG!$D$5),"",IF(ISERROR(ETPT_TJ!P5),"",IF(ETPT_TJ!P5=0,"",ETPT_TJ!P5)))</f>
        <v/>
      </c>
      <c r="Q5" s="55" t="str">
        <f>IF(ISBLANK(ETPT_TJ_DDG!$D$5),"",IF(ISERROR(ETPT_TJ!Q5),"",IF(ETPT_TJ!Q5=0,"",ETPT_TJ!Q5)))</f>
        <v/>
      </c>
      <c r="R5" s="55" t="str">
        <f>IF(ISBLANK(ETPT_TJ_DDG!$D$5),"",IF(ISERROR(ETPT_TJ!R5),"",IF(ETPT_TJ!R5=0,"",ETPT_TJ!R5)))</f>
        <v/>
      </c>
      <c r="S5" s="55" t="str">
        <f>IF(ISBLANK(ETPT_TJ_DDG!$D$5),"",IF(ISERROR(ETPT_TJ!S5),"",IF(ETPT_TJ!S5=0,"",ETPT_TJ!S5)))</f>
        <v/>
      </c>
      <c r="T5" s="55" t="str">
        <f>IF(ISBLANK(ETPT_TJ_DDG!$D$5),"",IF(ISERROR(ETPT_TJ!T5),"",IF(ETPT_TJ!T5=0,"",ETPT_TJ!T5)))</f>
        <v/>
      </c>
      <c r="U5" s="55" t="str">
        <f>IF(ISBLANK(ETPT_TJ_DDG!$D$5),"",IF(ISERROR(ETPT_TJ!U5),"",IF(ETPT_TJ!U5=0,"",ETPT_TJ!U5)))</f>
        <v/>
      </c>
      <c r="V5" s="55" t="str">
        <f>IF(ISBLANK(ETPT_TJ_DDG!$D$5),"",IF(ISERROR(ETPT_TJ!V5),"",IF(ETPT_TJ!V5=0,"",ETPT_TJ!V5)))</f>
        <v/>
      </c>
      <c r="W5" s="46">
        <f t="shared" ref="W5:W15" si="1">SUM(I5:V5)</f>
        <v>0</v>
      </c>
      <c r="X5" s="55" t="str">
        <f>IF(ISBLANK(ETPT_TJ_DDG!$D$5),"",IF(ISERROR(ETPT_TJ!X5),"",IF(ETPT_TJ!X5=0,"",ETPT_TJ!X5)))</f>
        <v/>
      </c>
      <c r="Y5" s="55" t="str">
        <f>IF(ISBLANK(ETPT_TJ_DDG!$D$5),"",IF(ISERROR(ETPT_TJ!Y5),"",IF(ETPT_TJ!Y5=0,"",ETPT_TJ!Y5)))</f>
        <v/>
      </c>
      <c r="Z5" s="55" t="str">
        <f>IF(ISBLANK(ETPT_TJ_DDG!$D$5),"",IF(ISERROR(ETPT_TJ!Z5),"",IF(ETPT_TJ!Z5=0,"",ETPT_TJ!Z5)))</f>
        <v/>
      </c>
      <c r="AA5" s="55" t="str">
        <f>IF(ISBLANK(ETPT_TJ_DDG!$D$5),"",IF(ISERROR(ETPT_TJ!AA5),"",IF(ETPT_TJ!AA5=0,"",ETPT_TJ!AA5)))</f>
        <v/>
      </c>
      <c r="AB5" s="55" t="str">
        <f>IF(ISBLANK(ETPT_TJ_DDG!$D$5),"",IF(ISERROR(ETPT_TJ!AB5),"",IF(ETPT_TJ!AB5=0,"",ETPT_TJ!AB5)))</f>
        <v/>
      </c>
      <c r="AC5" s="55" t="str">
        <f>IF(ISBLANK(ETPT_TJ_DDG!$D$5),"",IF(ISERROR(ETPT_TJ!AC5),"",IF(ETPT_TJ!AC5=0,"",ETPT_TJ!AC5)))</f>
        <v/>
      </c>
      <c r="AD5" s="55" t="str">
        <f>IF(ISBLANK(ETPT_TJ_DDG!$D$5),"",IF(ISERROR(ETPT_TJ!AD5),"",IF(ETPT_TJ!AD5=0,"",ETPT_TJ!AD5)))</f>
        <v/>
      </c>
      <c r="AE5" s="55" t="str">
        <f>IF(ISBLANK(ETPT_TJ_DDG!$D$5),"",IF(ISERROR(ETPT_TJ!AE5),"",IF(ETPT_TJ!AE5=0,"",ETPT_TJ!AE5)))</f>
        <v/>
      </c>
      <c r="AF5" s="55" t="str">
        <f>IF(ISBLANK(ETPT_TJ_DDG!$D$5),"",IF(ISERROR(ETPT_TJ!AF5),"",IF(ETPT_TJ!AF5=0,"",ETPT_TJ!AF5)))</f>
        <v/>
      </c>
      <c r="AG5" s="46">
        <f t="shared" ref="AG5:AG15" si="2">SUM(X5:AF5)</f>
        <v>0</v>
      </c>
      <c r="AH5" s="55" t="str">
        <f>IF(ISBLANK(ETPT_TJ_DDG!$D$5),"",IF(ISERROR(ETPT_TJ!AH5),"",IF(ETPT_TJ!AH5=0,"",ETPT_TJ!AH5)))</f>
        <v/>
      </c>
      <c r="AI5" s="55" t="str">
        <f>IF(ISBLANK(ETPT_TJ_DDG!$D$5),"",IF(ISERROR(ETPT_TJ!AI5),"",IF(ETPT_TJ!AI5=0,"",ETPT_TJ!AI5)))</f>
        <v/>
      </c>
      <c r="AJ5" s="55" t="str">
        <f>IF(ISBLANK(ETPT_TJ_DDG!$D$5),"",IF(ISERROR(ETPT_TJ!AJ5),"",IF(ETPT_TJ!AJ5=0,"",ETPT_TJ!AJ5)))</f>
        <v/>
      </c>
      <c r="AK5" s="55" t="str">
        <f>IF(ISBLANK(ETPT_TJ_DDG!$D$5),"",IF(ISERROR(ETPT_TJ!AK5),"",IF(ETPT_TJ!AK5=0,"",ETPT_TJ!AK5)))</f>
        <v/>
      </c>
      <c r="AL5" s="55" t="str">
        <f>IF(ISBLANK(ETPT_TJ_DDG!$D$5),"",IF(ISERROR(ETPT_TJ!AL5),"",IF(ETPT_TJ!AL5=0,"",ETPT_TJ!AL5)))</f>
        <v/>
      </c>
      <c r="AM5" s="55" t="str">
        <f>IF(ISBLANK(ETPT_TJ_DDG!$D$5),"",IF(ISERROR(ETPT_TJ!AM5),"",IF(ETPT_TJ!AM5=0,"",ETPT_TJ!AM5)))</f>
        <v/>
      </c>
      <c r="AN5" s="55" t="str">
        <f>IF(ISBLANK(ETPT_TJ_DDG!$D$5),"",IF(ISERROR(ETPT_TJ!AN5),"",IF(ETPT_TJ!AN5=0,"",ETPT_TJ!AN5)))</f>
        <v/>
      </c>
      <c r="AO5" s="55" t="str">
        <f>IF(ISBLANK(ETPT_TJ_DDG!$D$5),"",IF(ISERROR(ETPT_TJ!AO5),"",IF(ETPT_TJ!AO5=0,"",ETPT_TJ!AO5)))</f>
        <v/>
      </c>
      <c r="AP5" s="55" t="str">
        <f>IF(ISBLANK(ETPT_TJ_DDG!$D$5),"",IF(ISERROR(ETPT_TJ!AP5),"",IF(ETPT_TJ!AP5=0,"",ETPT_TJ!AP5)))</f>
        <v/>
      </c>
      <c r="AQ5" s="55" t="str">
        <f>IF(ISBLANK(ETPT_TJ_DDG!$D$5),"",IF(ISERROR(ETPT_TJ!AQ5),"",IF(ETPT_TJ!AQ5=0,"",ETPT_TJ!AQ5)))</f>
        <v/>
      </c>
      <c r="AR5" s="55" t="str">
        <f>IF(ISBLANK(ETPT_TJ_DDG!$D$5),"",IF(ISERROR(ETPT_TJ!AR5),"",IF(ETPT_TJ!AR5=0,"",ETPT_TJ!AR5)))</f>
        <v/>
      </c>
      <c r="AS5" s="55" t="str">
        <f>IF(ISBLANK(ETPT_TJ_DDG!$D$5),"",IF(ISERROR(ETPT_TJ!AS5),"",IF(ETPT_TJ!AS5=0,"",ETPT_TJ!AS5)))</f>
        <v/>
      </c>
      <c r="AT5" s="55" t="str">
        <f>IF(ISBLANK(ETPT_TJ_DDG!$D$5),"",IF(ISERROR(ETPT_TJ!AT5),"",IF(ETPT_TJ!AT5=0,"",ETPT_TJ!AT5)))</f>
        <v/>
      </c>
      <c r="AU5" s="55" t="str">
        <f>IF(ISBLANK(ETPT_TJ_DDG!$D$5),"",IF(ISERROR(ETPT_TJ!AU5),"",IF(ETPT_TJ!AU5=0,"",ETPT_TJ!AU5)))</f>
        <v/>
      </c>
      <c r="AV5" s="46">
        <f t="shared" ref="AV5:AV15" si="3">SUM(AH5:AU5)</f>
        <v>0</v>
      </c>
      <c r="AW5" s="51"/>
      <c r="AX5" s="51"/>
      <c r="AY5" s="62"/>
      <c r="AZ5" s="62"/>
      <c r="BA5" s="62"/>
      <c r="BB5" s="62"/>
      <c r="BC5" s="62"/>
      <c r="BD5" s="62"/>
      <c r="BE5" s="51"/>
      <c r="BF5" s="46">
        <f t="shared" ref="BF5:BF15" si="4">SUM(AW5:BE5)</f>
        <v>0</v>
      </c>
      <c r="BG5"/>
    </row>
    <row r="6" spans="1:59" s="41" customFormat="1" ht="12" x14ac:dyDescent="0.15">
      <c r="A6" s="50" t="s">
        <v>42</v>
      </c>
      <c r="B6" s="58"/>
      <c r="C6" s="58"/>
      <c r="D6" s="115" t="str">
        <f t="shared" ref="D6:D15" si="5">IF(ISBLANK($D$5),"",$D$5)</f>
        <v/>
      </c>
      <c r="E6" s="58" t="s">
        <v>60</v>
      </c>
      <c r="F6" s="58" t="s">
        <v>59</v>
      </c>
      <c r="G6" s="55" t="str">
        <f>IF(ISBLANK(ETPT_TJ_DDG!$D$5),"",IF(ISERROR(ETPT_TJ!G6),"",IF(ETPT_TJ!G6=0,"",ETPT_TJ!G6)))</f>
        <v/>
      </c>
      <c r="H6" s="46">
        <f t="shared" si="0"/>
        <v>0</v>
      </c>
      <c r="I6" s="55" t="str">
        <f>IF(ISBLANK(ETPT_TJ_DDG!$D$5),"",IF(ISERROR(ETPT_TJ!I6),"",IF(ETPT_TJ!I6=0,"",ETPT_TJ!I6)))</f>
        <v/>
      </c>
      <c r="J6" s="55" t="str">
        <f>IF(ISBLANK(ETPT_TJ_DDG!$D$5),"",IF(ISERROR(ETPT_TJ!J6),"",IF(ETPT_TJ!J6=0,"",ETPT_TJ!J6)))</f>
        <v/>
      </c>
      <c r="K6" s="55" t="str">
        <f>IF(ISBLANK(ETPT_TJ_DDG!$D$5),"",IF(ISERROR(ETPT_TJ!K6),"",IF(ETPT_TJ!K6=0,"",ETPT_TJ!K6)))</f>
        <v/>
      </c>
      <c r="L6" s="55" t="str">
        <f>IF(ISBLANK(ETPT_TJ_DDG!$D$5),"",IF(ISERROR(ETPT_TJ!L6),"",IF(ETPT_TJ!L6=0,"",ETPT_TJ!L6)))</f>
        <v/>
      </c>
      <c r="M6" s="55" t="str">
        <f>IF(ISBLANK(ETPT_TJ_DDG!$D$5),"",IF(ISERROR(ETPT_TJ!M6),"",IF(ETPT_TJ!M6=0,"",ETPT_TJ!M6)))</f>
        <v/>
      </c>
      <c r="N6" s="55" t="str">
        <f>IF(ISBLANK(ETPT_TJ_DDG!$D$5),"",IF(ISERROR(ETPT_TJ!N6),"",IF(ETPT_TJ!N6=0,"",ETPT_TJ!N6)))</f>
        <v/>
      </c>
      <c r="O6" s="55" t="str">
        <f>IF(ISBLANK(ETPT_TJ_DDG!$D$5),"",IF(ISERROR(ETPT_TJ!O6),"",IF(ETPT_TJ!O6=0,"",ETPT_TJ!O6)))</f>
        <v/>
      </c>
      <c r="P6" s="55" t="str">
        <f>IF(ISBLANK(ETPT_TJ_DDG!$D$5),"",IF(ISERROR(ETPT_TJ!P6),"",IF(ETPT_TJ!P6=0,"",ETPT_TJ!P6)))</f>
        <v/>
      </c>
      <c r="Q6" s="55" t="str">
        <f>IF(ISBLANK(ETPT_TJ_DDG!$D$5),"",IF(ISERROR(ETPT_TJ!Q6),"",IF(ETPT_TJ!Q6=0,"",ETPT_TJ!Q6)))</f>
        <v/>
      </c>
      <c r="R6" s="55" t="str">
        <f>IF(ISBLANK(ETPT_TJ_DDG!$D$5),"",IF(ISERROR(ETPT_TJ!R6),"",IF(ETPT_TJ!R6=0,"",ETPT_TJ!R6)))</f>
        <v/>
      </c>
      <c r="S6" s="55" t="str">
        <f>IF(ISBLANK(ETPT_TJ_DDG!$D$5),"",IF(ISERROR(ETPT_TJ!S6),"",IF(ETPT_TJ!S6=0,"",ETPT_TJ!S6)))</f>
        <v/>
      </c>
      <c r="T6" s="55" t="str">
        <f>IF(ISBLANK(ETPT_TJ_DDG!$D$5),"",IF(ISERROR(ETPT_TJ!T6),"",IF(ETPT_TJ!T6=0,"",ETPT_TJ!T6)))</f>
        <v/>
      </c>
      <c r="U6" s="55" t="str">
        <f>IF(ISBLANK(ETPT_TJ_DDG!$D$5),"",IF(ISERROR(ETPT_TJ!U6),"",IF(ETPT_TJ!U6=0,"",ETPT_TJ!U6)))</f>
        <v/>
      </c>
      <c r="V6" s="55" t="str">
        <f>IF(ISBLANK(ETPT_TJ_DDG!$D$5),"",IF(ISERROR(ETPT_TJ!V6),"",IF(ETPT_TJ!V6=0,"",ETPT_TJ!V6)))</f>
        <v/>
      </c>
      <c r="W6" s="46">
        <f t="shared" si="1"/>
        <v>0</v>
      </c>
      <c r="X6" s="55" t="str">
        <f>IF(ISBLANK(ETPT_TJ_DDG!$D$5),"",IF(ISERROR(ETPT_TJ!X6),"",IF(ETPT_TJ!X6=0,"",ETPT_TJ!X6)))</f>
        <v/>
      </c>
      <c r="Y6" s="55" t="str">
        <f>IF(ISBLANK(ETPT_TJ_DDG!$D$5),"",IF(ISERROR(ETPT_TJ!Y6),"",IF(ETPT_TJ!Y6=0,"",ETPT_TJ!Y6)))</f>
        <v/>
      </c>
      <c r="Z6" s="55" t="str">
        <f>IF(ISBLANK(ETPT_TJ_DDG!$D$5),"",IF(ISERROR(ETPT_TJ!Z6),"",IF(ETPT_TJ!Z6=0,"",ETPT_TJ!Z6)))</f>
        <v/>
      </c>
      <c r="AA6" s="55" t="str">
        <f>IF(ISBLANK(ETPT_TJ_DDG!$D$5),"",IF(ISERROR(ETPT_TJ!AA6),"",IF(ETPT_TJ!AA6=0,"",ETPT_TJ!AA6)))</f>
        <v/>
      </c>
      <c r="AB6" s="55" t="str">
        <f>IF(ISBLANK(ETPT_TJ_DDG!$D$5),"",IF(ISERROR(ETPT_TJ!AB6),"",IF(ETPT_TJ!AB6=0,"",ETPT_TJ!AB6)))</f>
        <v/>
      </c>
      <c r="AC6" s="55" t="str">
        <f>IF(ISBLANK(ETPT_TJ_DDG!$D$5),"",IF(ISERROR(ETPT_TJ!AC6),"",IF(ETPT_TJ!AC6=0,"",ETPT_TJ!AC6)))</f>
        <v/>
      </c>
      <c r="AD6" s="55" t="str">
        <f>IF(ISBLANK(ETPT_TJ_DDG!$D$5),"",IF(ISERROR(ETPT_TJ!AD6),"",IF(ETPT_TJ!AD6=0,"",ETPT_TJ!AD6)))</f>
        <v/>
      </c>
      <c r="AE6" s="55" t="str">
        <f>IF(ISBLANK(ETPT_TJ_DDG!$D$5),"",IF(ISERROR(ETPT_TJ!AE6),"",IF(ETPT_TJ!AE6=0,"",ETPT_TJ!AE6)))</f>
        <v/>
      </c>
      <c r="AF6" s="55" t="str">
        <f>IF(ISBLANK(ETPT_TJ_DDG!$D$5),"",IF(ISERROR(ETPT_TJ!AF6),"",IF(ETPT_TJ!AF6=0,"",ETPT_TJ!AF6)))</f>
        <v/>
      </c>
      <c r="AG6" s="46">
        <f t="shared" si="2"/>
        <v>0</v>
      </c>
      <c r="AH6" s="55" t="str">
        <f>IF(ISBLANK(ETPT_TJ_DDG!$D$5),"",IF(ISERROR(ETPT_TJ!AH6),"",IF(ETPT_TJ!AH6=0,"",ETPT_TJ!AH6)))</f>
        <v/>
      </c>
      <c r="AI6" s="55" t="str">
        <f>IF(ISBLANK(ETPT_TJ_DDG!$D$5),"",IF(ISERROR(ETPT_TJ!AI6),"",IF(ETPT_TJ!AI6=0,"",ETPT_TJ!AI6)))</f>
        <v/>
      </c>
      <c r="AJ6" s="55" t="str">
        <f>IF(ISBLANK(ETPT_TJ_DDG!$D$5),"",IF(ISERROR(ETPT_TJ!AJ6),"",IF(ETPT_TJ!AJ6=0,"",ETPT_TJ!AJ6)))</f>
        <v/>
      </c>
      <c r="AK6" s="55" t="str">
        <f>IF(ISBLANK(ETPT_TJ_DDG!$D$5),"",IF(ISERROR(ETPT_TJ!AK6),"",IF(ETPT_TJ!AK6=0,"",ETPT_TJ!AK6)))</f>
        <v/>
      </c>
      <c r="AL6" s="55" t="str">
        <f>IF(ISBLANK(ETPT_TJ_DDG!$D$5),"",IF(ISERROR(ETPT_TJ!AL6),"",IF(ETPT_TJ!AL6=0,"",ETPT_TJ!AL6)))</f>
        <v/>
      </c>
      <c r="AM6" s="55" t="str">
        <f>IF(ISBLANK(ETPT_TJ_DDG!$D$5),"",IF(ISERROR(ETPT_TJ!AM6),"",IF(ETPT_TJ!AM6=0,"",ETPT_TJ!AM6)))</f>
        <v/>
      </c>
      <c r="AN6" s="55" t="str">
        <f>IF(ISBLANK(ETPT_TJ_DDG!$D$5),"",IF(ISERROR(ETPT_TJ!AN6),"",IF(ETPT_TJ!AN6=0,"",ETPT_TJ!AN6)))</f>
        <v/>
      </c>
      <c r="AO6" s="55" t="str">
        <f>IF(ISBLANK(ETPT_TJ_DDG!$D$5),"",IF(ISERROR(ETPT_TJ!AO6),"",IF(ETPT_TJ!AO6=0,"",ETPT_TJ!AO6)))</f>
        <v/>
      </c>
      <c r="AP6" s="55" t="str">
        <f>IF(ISBLANK(ETPT_TJ_DDG!$D$5),"",IF(ISERROR(ETPT_TJ!AP6),"",IF(ETPT_TJ!AP6=0,"",ETPT_TJ!AP6)))</f>
        <v/>
      </c>
      <c r="AQ6" s="55" t="str">
        <f>IF(ISBLANK(ETPT_TJ_DDG!$D$5),"",IF(ISERROR(ETPT_TJ!AQ6),"",IF(ETPT_TJ!AQ6=0,"",ETPT_TJ!AQ6)))</f>
        <v/>
      </c>
      <c r="AR6" s="55" t="str">
        <f>IF(ISBLANK(ETPT_TJ_DDG!$D$5),"",IF(ISERROR(ETPT_TJ!AR6),"",IF(ETPT_TJ!AR6=0,"",ETPT_TJ!AR6)))</f>
        <v/>
      </c>
      <c r="AS6" s="55" t="str">
        <f>IF(ISBLANK(ETPT_TJ_DDG!$D$5),"",IF(ISERROR(ETPT_TJ!AS6),"",IF(ETPT_TJ!AS6=0,"",ETPT_TJ!AS6)))</f>
        <v/>
      </c>
      <c r="AT6" s="55" t="str">
        <f>IF(ISBLANK(ETPT_TJ_DDG!$D$5),"",IF(ISERROR(ETPT_TJ!AT6),"",IF(ETPT_TJ!AT6=0,"",ETPT_TJ!AT6)))</f>
        <v/>
      </c>
      <c r="AU6" s="55" t="str">
        <f>IF(ISBLANK(ETPT_TJ_DDG!$D$5),"",IF(ISERROR(ETPT_TJ!AU6),"",IF(ETPT_TJ!AU6=0,"",ETPT_TJ!AU6)))</f>
        <v/>
      </c>
      <c r="AV6" s="46">
        <f t="shared" si="3"/>
        <v>0</v>
      </c>
      <c r="AW6" s="51"/>
      <c r="AX6" s="51"/>
      <c r="AY6" s="51"/>
      <c r="AZ6" s="51"/>
      <c r="BA6" s="51"/>
      <c r="BB6" s="51"/>
      <c r="BC6" s="51"/>
      <c r="BD6" s="62"/>
      <c r="BE6" s="51"/>
      <c r="BF6" s="46">
        <f t="shared" si="4"/>
        <v>0</v>
      </c>
    </row>
    <row r="7" spans="1:59" s="41" customFormat="1" ht="14.25" customHeight="1" x14ac:dyDescent="0.15">
      <c r="A7" s="50" t="s">
        <v>42</v>
      </c>
      <c r="B7" s="58"/>
      <c r="C7" s="58"/>
      <c r="D7" s="115" t="str">
        <f t="shared" si="5"/>
        <v/>
      </c>
      <c r="E7" s="58" t="s">
        <v>58</v>
      </c>
      <c r="F7" s="58" t="s">
        <v>57</v>
      </c>
      <c r="G7" s="55" t="str">
        <f>IF(ISBLANK(ETPT_TJ_DDG!$D$5),"",IF(ISERROR(ETPT_TJ!G7),"",IF(ETPT_TJ!G7=0,"",ETPT_TJ!G7)))</f>
        <v/>
      </c>
      <c r="H7" s="46">
        <f t="shared" si="0"/>
        <v>0</v>
      </c>
      <c r="I7" s="55" t="str">
        <f>IF(ISBLANK(ETPT_TJ_DDG!$D$5),"",IF(ISERROR(ETPT_TJ!I7),"",IF(ETPT_TJ!I7=0,"",ETPT_TJ!I7)))</f>
        <v/>
      </c>
      <c r="J7" s="55" t="str">
        <f>IF(ISBLANK(ETPT_TJ_DDG!$D$5),"",IF(ISERROR(ETPT_TJ!J7),"",IF(ETPT_TJ!J7=0,"",ETPT_TJ!J7)))</f>
        <v/>
      </c>
      <c r="K7" s="55" t="str">
        <f>IF(ISBLANK(ETPT_TJ_DDG!$D$5),"",IF(ISERROR(ETPT_TJ!K7),"",IF(ETPT_TJ!K7=0,"",ETPT_TJ!K7)))</f>
        <v/>
      </c>
      <c r="L7" s="55" t="str">
        <f>IF(ISBLANK(ETPT_TJ_DDG!$D$5),"",IF(ISERROR(ETPT_TJ!L7),"",IF(ETPT_TJ!L7=0,"",ETPT_TJ!L7)))</f>
        <v/>
      </c>
      <c r="M7" s="55" t="str">
        <f>IF(ISBLANK(ETPT_TJ_DDG!$D$5),"",IF(ISERROR(ETPT_TJ!M7),"",IF(ETPT_TJ!M7=0,"",ETPT_TJ!M7)))</f>
        <v/>
      </c>
      <c r="N7" s="55" t="str">
        <f>IF(ISBLANK(ETPT_TJ_DDG!$D$5),"",IF(ISERROR(ETPT_TJ!N7),"",IF(ETPT_TJ!N7=0,"",ETPT_TJ!N7)))</f>
        <v/>
      </c>
      <c r="O7" s="55" t="str">
        <f>IF(ISBLANK(ETPT_TJ_DDG!$D$5),"",IF(ISERROR(ETPT_TJ!O7),"",IF(ETPT_TJ!O7=0,"",ETPT_TJ!O7)))</f>
        <v/>
      </c>
      <c r="P7" s="55" t="str">
        <f>IF(ISBLANK(ETPT_TJ_DDG!$D$5),"",IF(ISERROR(ETPT_TJ!P7),"",IF(ETPT_TJ!P7=0,"",ETPT_TJ!P7)))</f>
        <v/>
      </c>
      <c r="Q7" s="55" t="str">
        <f>IF(ISBLANK(ETPT_TJ_DDG!$D$5),"",IF(ISERROR(ETPT_TJ!Q7),"",IF(ETPT_TJ!Q7=0,"",ETPT_TJ!Q7)))</f>
        <v/>
      </c>
      <c r="R7" s="55" t="str">
        <f>IF(ISBLANK(ETPT_TJ_DDG!$D$5),"",IF(ISERROR(ETPT_TJ!R7),"",IF(ETPT_TJ!R7=0,"",ETPT_TJ!R7)))</f>
        <v/>
      </c>
      <c r="S7" s="55" t="str">
        <f>IF(ISBLANK(ETPT_TJ_DDG!$D$5),"",IF(ISERROR(ETPT_TJ!S7),"",IF(ETPT_TJ!S7=0,"",ETPT_TJ!S7)))</f>
        <v/>
      </c>
      <c r="T7" s="55" t="str">
        <f>IF(ISBLANK(ETPT_TJ_DDG!$D$5),"",IF(ISERROR(ETPT_TJ!T7),"",IF(ETPT_TJ!T7=0,"",ETPT_TJ!T7)))</f>
        <v/>
      </c>
      <c r="U7" s="55" t="str">
        <f>IF(ISBLANK(ETPT_TJ_DDG!$D$5),"",IF(ISERROR(ETPT_TJ!U7),"",IF(ETPT_TJ!U7=0,"",ETPT_TJ!U7)))</f>
        <v/>
      </c>
      <c r="V7" s="55" t="str">
        <f>IF(ISBLANK(ETPT_TJ_DDG!$D$5),"",IF(ISERROR(ETPT_TJ!V7),"",IF(ETPT_TJ!V7=0,"",ETPT_TJ!V7)))</f>
        <v/>
      </c>
      <c r="W7" s="46">
        <f t="shared" si="1"/>
        <v>0</v>
      </c>
      <c r="X7" s="55" t="str">
        <f>IF(ISBLANK(ETPT_TJ_DDG!$D$5),"",IF(ISERROR(ETPT_TJ!X7),"",IF(ETPT_TJ!X7=0,"",ETPT_TJ!X7)))</f>
        <v/>
      </c>
      <c r="Y7" s="55" t="str">
        <f>IF(ISBLANK(ETPT_TJ_DDG!$D$5),"",IF(ISERROR(ETPT_TJ!Y7),"",IF(ETPT_TJ!Y7=0,"",ETPT_TJ!Y7)))</f>
        <v/>
      </c>
      <c r="Z7" s="55" t="str">
        <f>IF(ISBLANK(ETPT_TJ_DDG!$D$5),"",IF(ISERROR(ETPT_TJ!Z7),"",IF(ETPT_TJ!Z7=0,"",ETPT_TJ!Z7)))</f>
        <v/>
      </c>
      <c r="AA7" s="55" t="str">
        <f>IF(ISBLANK(ETPT_TJ_DDG!$D$5),"",IF(ISERROR(ETPT_TJ!AA7),"",IF(ETPT_TJ!AA7=0,"",ETPT_TJ!AA7)))</f>
        <v/>
      </c>
      <c r="AB7" s="55" t="str">
        <f>IF(ISBLANK(ETPT_TJ_DDG!$D$5),"",IF(ISERROR(ETPT_TJ!AB7),"",IF(ETPT_TJ!AB7=0,"",ETPT_TJ!AB7)))</f>
        <v/>
      </c>
      <c r="AC7" s="55" t="str">
        <f>IF(ISBLANK(ETPT_TJ_DDG!$D$5),"",IF(ISERROR(ETPT_TJ!AC7),"",IF(ETPT_TJ!AC7=0,"",ETPT_TJ!AC7)))</f>
        <v/>
      </c>
      <c r="AD7" s="55" t="str">
        <f>IF(ISBLANK(ETPT_TJ_DDG!$D$5),"",IF(ISERROR(ETPT_TJ!AD7),"",IF(ETPT_TJ!AD7=0,"",ETPT_TJ!AD7)))</f>
        <v/>
      </c>
      <c r="AE7" s="55" t="str">
        <f>IF(ISBLANK(ETPT_TJ_DDG!$D$5),"",IF(ISERROR(ETPT_TJ!AE7),"",IF(ETPT_TJ!AE7=0,"",ETPT_TJ!AE7)))</f>
        <v/>
      </c>
      <c r="AF7" s="55" t="str">
        <f>IF(ISBLANK(ETPT_TJ_DDG!$D$5),"",IF(ISERROR(ETPT_TJ!AF7),"",IF(ETPT_TJ!AF7=0,"",ETPT_TJ!AF7)))</f>
        <v/>
      </c>
      <c r="AG7" s="46">
        <f t="shared" si="2"/>
        <v>0</v>
      </c>
      <c r="AH7" s="55" t="str">
        <f>IF(ISBLANK(ETPT_TJ_DDG!$D$5),"",IF(ISERROR(ETPT_TJ!AH7),"",IF(ETPT_TJ!AH7=0,"",ETPT_TJ!AH7)))</f>
        <v/>
      </c>
      <c r="AI7" s="55" t="str">
        <f>IF(ISBLANK(ETPT_TJ_DDG!$D$5),"",IF(ISERROR(ETPT_TJ!AI7),"",IF(ETPT_TJ!AI7=0,"",ETPT_TJ!AI7)))</f>
        <v/>
      </c>
      <c r="AJ7" s="55" t="str">
        <f>IF(ISBLANK(ETPT_TJ_DDG!$D$5),"",IF(ISERROR(ETPT_TJ!AJ7),"",IF(ETPT_TJ!AJ7=0,"",ETPT_TJ!AJ7)))</f>
        <v/>
      </c>
      <c r="AK7" s="55" t="str">
        <f>IF(ISBLANK(ETPT_TJ_DDG!$D$5),"",IF(ISERROR(ETPT_TJ!AK7),"",IF(ETPT_TJ!AK7=0,"",ETPT_TJ!AK7)))</f>
        <v/>
      </c>
      <c r="AL7" s="55" t="str">
        <f>IF(ISBLANK(ETPT_TJ_DDG!$D$5),"",IF(ISERROR(ETPT_TJ!AL7),"",IF(ETPT_TJ!AL7=0,"",ETPT_TJ!AL7)))</f>
        <v/>
      </c>
      <c r="AM7" s="55" t="str">
        <f>IF(ISBLANK(ETPT_TJ_DDG!$D$5),"",IF(ISERROR(ETPT_TJ!AM7),"",IF(ETPT_TJ!AM7=0,"",ETPT_TJ!AM7)))</f>
        <v/>
      </c>
      <c r="AN7" s="55" t="str">
        <f>IF(ISBLANK(ETPT_TJ_DDG!$D$5),"",IF(ISERROR(ETPT_TJ!AN7),"",IF(ETPT_TJ!AN7=0,"",ETPT_TJ!AN7)))</f>
        <v/>
      </c>
      <c r="AO7" s="55" t="str">
        <f>IF(ISBLANK(ETPT_TJ_DDG!$D$5),"",IF(ISERROR(ETPT_TJ!AO7),"",IF(ETPT_TJ!AO7=0,"",ETPT_TJ!AO7)))</f>
        <v/>
      </c>
      <c r="AP7" s="55" t="str">
        <f>IF(ISBLANK(ETPT_TJ_DDG!$D$5),"",IF(ISERROR(ETPT_TJ!AP7),"",IF(ETPT_TJ!AP7=0,"",ETPT_TJ!AP7)))</f>
        <v/>
      </c>
      <c r="AQ7" s="55" t="str">
        <f>IF(ISBLANK(ETPT_TJ_DDG!$D$5),"",IF(ISERROR(ETPT_TJ!AQ7),"",IF(ETPT_TJ!AQ7=0,"",ETPT_TJ!AQ7)))</f>
        <v/>
      </c>
      <c r="AR7" s="55" t="str">
        <f>IF(ISBLANK(ETPT_TJ_DDG!$D$5),"",IF(ISERROR(ETPT_TJ!AR7),"",IF(ETPT_TJ!AR7=0,"",ETPT_TJ!AR7)))</f>
        <v/>
      </c>
      <c r="AS7" s="55" t="str">
        <f>IF(ISBLANK(ETPT_TJ_DDG!$D$5),"",IF(ISERROR(ETPT_TJ!AS7),"",IF(ETPT_TJ!AS7=0,"",ETPT_TJ!AS7)))</f>
        <v/>
      </c>
      <c r="AT7" s="55" t="str">
        <f>IF(ISBLANK(ETPT_TJ_DDG!$D$5),"",IF(ISERROR(ETPT_TJ!AT7),"",IF(ETPT_TJ!AT7=0,"",ETPT_TJ!AT7)))</f>
        <v/>
      </c>
      <c r="AU7" s="55" t="str">
        <f>IF(ISBLANK(ETPT_TJ_DDG!$D$5),"",IF(ISERROR(ETPT_TJ!AU7),"",IF(ETPT_TJ!AU7=0,"",ETPT_TJ!AU7)))</f>
        <v/>
      </c>
      <c r="AV7" s="46">
        <f t="shared" si="3"/>
        <v>0</v>
      </c>
      <c r="AW7" s="51"/>
      <c r="AX7" s="51"/>
      <c r="AY7" s="51"/>
      <c r="AZ7" s="51"/>
      <c r="BA7" s="51"/>
      <c r="BB7" s="51"/>
      <c r="BC7" s="51"/>
      <c r="BD7" s="51"/>
      <c r="BE7" s="51"/>
      <c r="BF7" s="46">
        <f t="shared" si="4"/>
        <v>0</v>
      </c>
    </row>
    <row r="8" spans="1:59" s="41" customFormat="1" ht="14.25" customHeight="1" x14ac:dyDescent="0.15">
      <c r="A8" s="50" t="s">
        <v>42</v>
      </c>
      <c r="B8" s="58"/>
      <c r="C8" s="58"/>
      <c r="D8" s="115" t="str">
        <f t="shared" si="5"/>
        <v/>
      </c>
      <c r="E8" s="58" t="s">
        <v>56</v>
      </c>
      <c r="F8" s="58" t="s">
        <v>55</v>
      </c>
      <c r="G8" s="55" t="str">
        <f>IF(ISBLANK(ETPT_TJ_DDG!$D$5),"",IF(ISERROR(ETPT_TJ!G8),"",IF(ETPT_TJ!G8=0,"",ETPT_TJ!G8)))</f>
        <v/>
      </c>
      <c r="H8" s="46">
        <f t="shared" si="0"/>
        <v>0</v>
      </c>
      <c r="I8" s="55" t="str">
        <f>IF(ISBLANK(ETPT_TJ_DDG!$D$5),"",IF(ISERROR(ETPT_TJ!I8),"",IF(ETPT_TJ!I8=0,"",ETPT_TJ!I8)))</f>
        <v/>
      </c>
      <c r="J8" s="55" t="str">
        <f>IF(ISBLANK(ETPT_TJ_DDG!$D$5),"",IF(ISERROR(ETPT_TJ!J8),"",IF(ETPT_TJ!J8=0,"",ETPT_TJ!J8)))</f>
        <v/>
      </c>
      <c r="K8" s="55" t="str">
        <f>IF(ISBLANK(ETPT_TJ_DDG!$D$5),"",IF(ISERROR(ETPT_TJ!K8),"",IF(ETPT_TJ!K8=0,"",ETPT_TJ!K8)))</f>
        <v/>
      </c>
      <c r="L8" s="55" t="str">
        <f>IF(ISBLANK(ETPT_TJ_DDG!$D$5),"",IF(ISERROR(ETPT_TJ!L8),"",IF(ETPT_TJ!L8=0,"",ETPT_TJ!L8)))</f>
        <v/>
      </c>
      <c r="M8" s="55" t="str">
        <f>IF(ISBLANK(ETPT_TJ_DDG!$D$5),"",IF(ISERROR(ETPT_TJ!M8),"",IF(ETPT_TJ!M8=0,"",ETPT_TJ!M8)))</f>
        <v/>
      </c>
      <c r="N8" s="55" t="str">
        <f>IF(ISBLANK(ETPT_TJ_DDG!$D$5),"",IF(ISERROR(ETPT_TJ!N8),"",IF(ETPT_TJ!N8=0,"",ETPT_TJ!N8)))</f>
        <v/>
      </c>
      <c r="O8" s="55" t="str">
        <f>IF(ISBLANK(ETPT_TJ_DDG!$D$5),"",IF(ISERROR(ETPT_TJ!O8),"",IF(ETPT_TJ!O8=0,"",ETPT_TJ!O8)))</f>
        <v/>
      </c>
      <c r="P8" s="55" t="str">
        <f>IF(ISBLANK(ETPT_TJ_DDG!$D$5),"",IF(ISERROR(ETPT_TJ!P8),"",IF(ETPT_TJ!P8=0,"",ETPT_TJ!P8)))</f>
        <v/>
      </c>
      <c r="Q8" s="55" t="str">
        <f>IF(ISBLANK(ETPT_TJ_DDG!$D$5),"",IF(ISERROR(ETPT_TJ!Q8),"",IF(ETPT_TJ!Q8=0,"",ETPT_TJ!Q8)))</f>
        <v/>
      </c>
      <c r="R8" s="55" t="str">
        <f>IF(ISBLANK(ETPT_TJ_DDG!$D$5),"",IF(ISERROR(ETPT_TJ!R8),"",IF(ETPT_TJ!R8=0,"",ETPT_TJ!R8)))</f>
        <v/>
      </c>
      <c r="S8" s="55" t="str">
        <f>IF(ISBLANK(ETPT_TJ_DDG!$D$5),"",IF(ISERROR(ETPT_TJ!S8),"",IF(ETPT_TJ!S8=0,"",ETPT_TJ!S8)))</f>
        <v/>
      </c>
      <c r="T8" s="55" t="str">
        <f>IF(ISBLANK(ETPT_TJ_DDG!$D$5),"",IF(ISERROR(ETPT_TJ!T8),"",IF(ETPT_TJ!T8=0,"",ETPT_TJ!T8)))</f>
        <v/>
      </c>
      <c r="U8" s="55" t="str">
        <f>IF(ISBLANK(ETPT_TJ_DDG!$D$5),"",IF(ISERROR(ETPT_TJ!U8),"",IF(ETPT_TJ!U8=0,"",ETPT_TJ!U8)))</f>
        <v/>
      </c>
      <c r="V8" s="55" t="str">
        <f>IF(ISBLANK(ETPT_TJ_DDG!$D$5),"",IF(ISERROR(ETPT_TJ!V8),"",IF(ETPT_TJ!V8=0,"",ETPT_TJ!V8)))</f>
        <v/>
      </c>
      <c r="W8" s="46">
        <f t="shared" si="1"/>
        <v>0</v>
      </c>
      <c r="X8" s="55" t="str">
        <f>IF(ISBLANK(ETPT_TJ_DDG!$D$5),"",IF(ISERROR(ETPT_TJ!X8),"",IF(ETPT_TJ!X8=0,"",ETPT_TJ!X8)))</f>
        <v/>
      </c>
      <c r="Y8" s="55" t="str">
        <f>IF(ISBLANK(ETPT_TJ_DDG!$D$5),"",IF(ISERROR(ETPT_TJ!Y8),"",IF(ETPT_TJ!Y8=0,"",ETPT_TJ!Y8)))</f>
        <v/>
      </c>
      <c r="Z8" s="55" t="str">
        <f>IF(ISBLANK(ETPT_TJ_DDG!$D$5),"",IF(ISERROR(ETPT_TJ!Z8),"",IF(ETPT_TJ!Z8=0,"",ETPT_TJ!Z8)))</f>
        <v/>
      </c>
      <c r="AA8" s="55" t="str">
        <f>IF(ISBLANK(ETPT_TJ_DDG!$D$5),"",IF(ISERROR(ETPT_TJ!AA8),"",IF(ETPT_TJ!AA8=0,"",ETPT_TJ!AA8)))</f>
        <v/>
      </c>
      <c r="AB8" s="55" t="str">
        <f>IF(ISBLANK(ETPT_TJ_DDG!$D$5),"",IF(ISERROR(ETPT_TJ!AB8),"",IF(ETPT_TJ!AB8=0,"",ETPT_TJ!AB8)))</f>
        <v/>
      </c>
      <c r="AC8" s="55" t="str">
        <f>IF(ISBLANK(ETPT_TJ_DDG!$D$5),"",IF(ISERROR(ETPT_TJ!AC8),"",IF(ETPT_TJ!AC8=0,"",ETPT_TJ!AC8)))</f>
        <v/>
      </c>
      <c r="AD8" s="55" t="str">
        <f>IF(ISBLANK(ETPT_TJ_DDG!$D$5),"",IF(ISERROR(ETPT_TJ!AD8),"",IF(ETPT_TJ!AD8=0,"",ETPT_TJ!AD8)))</f>
        <v/>
      </c>
      <c r="AE8" s="55" t="str">
        <f>IF(ISBLANK(ETPT_TJ_DDG!$D$5),"",IF(ISERROR(ETPT_TJ!AE8),"",IF(ETPT_TJ!AE8=0,"",ETPT_TJ!AE8)))</f>
        <v/>
      </c>
      <c r="AF8" s="55" t="str">
        <f>IF(ISBLANK(ETPT_TJ_DDG!$D$5),"",IF(ISERROR(ETPT_TJ!AF8),"",IF(ETPT_TJ!AF8=0,"",ETPT_TJ!AF8)))</f>
        <v/>
      </c>
      <c r="AG8" s="46">
        <f t="shared" si="2"/>
        <v>0</v>
      </c>
      <c r="AH8" s="55" t="str">
        <f>IF(ISBLANK(ETPT_TJ_DDG!$D$5),"",IF(ISERROR(ETPT_TJ!AH8),"",IF(ETPT_TJ!AH8=0,"",ETPT_TJ!AH8)))</f>
        <v/>
      </c>
      <c r="AI8" s="55" t="str">
        <f>IF(ISBLANK(ETPT_TJ_DDG!$D$5),"",IF(ISERROR(ETPT_TJ!AI8),"",IF(ETPT_TJ!AI8=0,"",ETPT_TJ!AI8)))</f>
        <v/>
      </c>
      <c r="AJ8" s="55" t="str">
        <f>IF(ISBLANK(ETPT_TJ_DDG!$D$5),"",IF(ISERROR(ETPT_TJ!AJ8),"",IF(ETPT_TJ!AJ8=0,"",ETPT_TJ!AJ8)))</f>
        <v/>
      </c>
      <c r="AK8" s="55" t="str">
        <f>IF(ISBLANK(ETPT_TJ_DDG!$D$5),"",IF(ISERROR(ETPT_TJ!AK8),"",IF(ETPT_TJ!AK8=0,"",ETPT_TJ!AK8)))</f>
        <v/>
      </c>
      <c r="AL8" s="55" t="str">
        <f>IF(ISBLANK(ETPT_TJ_DDG!$D$5),"",IF(ISERROR(ETPT_TJ!AL8),"",IF(ETPT_TJ!AL8=0,"",ETPT_TJ!AL8)))</f>
        <v/>
      </c>
      <c r="AM8" s="55" t="str">
        <f>IF(ISBLANK(ETPT_TJ_DDG!$D$5),"",IF(ISERROR(ETPT_TJ!AM8),"",IF(ETPT_TJ!AM8=0,"",ETPT_TJ!AM8)))</f>
        <v/>
      </c>
      <c r="AN8" s="55" t="str">
        <f>IF(ISBLANK(ETPT_TJ_DDG!$D$5),"",IF(ISERROR(ETPT_TJ!AN8),"",IF(ETPT_TJ!AN8=0,"",ETPT_TJ!AN8)))</f>
        <v/>
      </c>
      <c r="AO8" s="55" t="str">
        <f>IF(ISBLANK(ETPT_TJ_DDG!$D$5),"",IF(ISERROR(ETPT_TJ!AO8),"",IF(ETPT_TJ!AO8=0,"",ETPT_TJ!AO8)))</f>
        <v/>
      </c>
      <c r="AP8" s="55" t="str">
        <f>IF(ISBLANK(ETPT_TJ_DDG!$D$5),"",IF(ISERROR(ETPT_TJ!AP8),"",IF(ETPT_TJ!AP8=0,"",ETPT_TJ!AP8)))</f>
        <v/>
      </c>
      <c r="AQ8" s="55" t="str">
        <f>IF(ISBLANK(ETPT_TJ_DDG!$D$5),"",IF(ISERROR(ETPT_TJ!AQ8),"",IF(ETPT_TJ!AQ8=0,"",ETPT_TJ!AQ8)))</f>
        <v/>
      </c>
      <c r="AR8" s="55" t="str">
        <f>IF(ISBLANK(ETPT_TJ_DDG!$D$5),"",IF(ISERROR(ETPT_TJ!AR8),"",IF(ETPT_TJ!AR8=0,"",ETPT_TJ!AR8)))</f>
        <v/>
      </c>
      <c r="AS8" s="55" t="str">
        <f>IF(ISBLANK(ETPT_TJ_DDG!$D$5),"",IF(ISERROR(ETPT_TJ!AS8),"",IF(ETPT_TJ!AS8=0,"",ETPT_TJ!AS8)))</f>
        <v/>
      </c>
      <c r="AT8" s="55" t="str">
        <f>IF(ISBLANK(ETPT_TJ_DDG!$D$5),"",IF(ISERROR(ETPT_TJ!AT8),"",IF(ETPT_TJ!AT8=0,"",ETPT_TJ!AT8)))</f>
        <v/>
      </c>
      <c r="AU8" s="55" t="str">
        <f>IF(ISBLANK(ETPT_TJ_DDG!$D$5),"",IF(ISERROR(ETPT_TJ!AU8),"",IF(ETPT_TJ!AU8=0,"",ETPT_TJ!AU8)))</f>
        <v/>
      </c>
      <c r="AV8" s="46">
        <f t="shared" si="3"/>
        <v>0</v>
      </c>
      <c r="AW8" s="51"/>
      <c r="AX8" s="51"/>
      <c r="AY8" s="51"/>
      <c r="AZ8" s="51"/>
      <c r="BA8" s="51"/>
      <c r="BB8" s="51"/>
      <c r="BC8" s="51"/>
      <c r="BD8" s="51"/>
      <c r="BE8" s="51"/>
      <c r="BF8" s="46">
        <f t="shared" si="4"/>
        <v>0</v>
      </c>
    </row>
    <row r="9" spans="1:59" s="41" customFormat="1" ht="14.25" customHeight="1" x14ac:dyDescent="0.15">
      <c r="A9" s="50" t="s">
        <v>42</v>
      </c>
      <c r="B9" s="58"/>
      <c r="C9" s="58"/>
      <c r="D9" s="115" t="str">
        <f t="shared" si="5"/>
        <v/>
      </c>
      <c r="E9" s="58" t="s">
        <v>54</v>
      </c>
      <c r="F9" s="58" t="s">
        <v>53</v>
      </c>
      <c r="G9" s="55" t="str">
        <f>IF(ISBLANK(ETPT_TJ_DDG!$D$5),"",IF(ISERROR(ETPT_TJ!G9),"",IF(ETPT_TJ!G9=0,"",ETPT_TJ!G9)))</f>
        <v/>
      </c>
      <c r="H9" s="46">
        <f t="shared" si="0"/>
        <v>0</v>
      </c>
      <c r="I9" s="55" t="str">
        <f>IF(ISBLANK(ETPT_TJ_DDG!$D$5),"",IF(ISERROR(ETPT_TJ!I9),"",IF(ETPT_TJ!I9=0,"",ETPT_TJ!I9)))</f>
        <v/>
      </c>
      <c r="J9" s="55" t="str">
        <f>IF(ISBLANK(ETPT_TJ_DDG!$D$5),"",IF(ISERROR(ETPT_TJ!J9),"",IF(ETPT_TJ!J9=0,"",ETPT_TJ!J9)))</f>
        <v/>
      </c>
      <c r="K9" s="55" t="str">
        <f>IF(ISBLANK(ETPT_TJ_DDG!$D$5),"",IF(ISERROR(ETPT_TJ!K9),"",IF(ETPT_TJ!K9=0,"",ETPT_TJ!K9)))</f>
        <v/>
      </c>
      <c r="L9" s="55" t="str">
        <f>IF(ISBLANK(ETPT_TJ_DDG!$D$5),"",IF(ISERROR(ETPT_TJ!L9),"",IF(ETPT_TJ!L9=0,"",ETPT_TJ!L9)))</f>
        <v/>
      </c>
      <c r="M9" s="55" t="str">
        <f>IF(ISBLANK(ETPT_TJ_DDG!$D$5),"",IF(ISERROR(ETPT_TJ!M9),"",IF(ETPT_TJ!M9=0,"",ETPT_TJ!M9)))</f>
        <v/>
      </c>
      <c r="N9" s="55" t="str">
        <f>IF(ISBLANK(ETPT_TJ_DDG!$D$5),"",IF(ISERROR(ETPT_TJ!N9),"",IF(ETPT_TJ!N9=0,"",ETPT_TJ!N9)))</f>
        <v/>
      </c>
      <c r="O9" s="55" t="str">
        <f>IF(ISBLANK(ETPT_TJ_DDG!$D$5),"",IF(ISERROR(ETPT_TJ!O9),"",IF(ETPT_TJ!O9=0,"",ETPT_TJ!O9)))</f>
        <v/>
      </c>
      <c r="P9" s="55" t="str">
        <f>IF(ISBLANK(ETPT_TJ_DDG!$D$5),"",IF(ISERROR(ETPT_TJ!P9),"",IF(ETPT_TJ!P9=0,"",ETPT_TJ!P9)))</f>
        <v/>
      </c>
      <c r="Q9" s="55" t="str">
        <f>IF(ISBLANK(ETPT_TJ_DDG!$D$5),"",IF(ISERROR(ETPT_TJ!Q9),"",IF(ETPT_TJ!Q9=0,"",ETPT_TJ!Q9)))</f>
        <v/>
      </c>
      <c r="R9" s="55" t="str">
        <f>IF(ISBLANK(ETPT_TJ_DDG!$D$5),"",IF(ISERROR(ETPT_TJ!R9),"",IF(ETPT_TJ!R9=0,"",ETPT_TJ!R9)))</f>
        <v/>
      </c>
      <c r="S9" s="55" t="str">
        <f>IF(ISBLANK(ETPT_TJ_DDG!$D$5),"",IF(ISERROR(ETPT_TJ!S9),"",IF(ETPT_TJ!S9=0,"",ETPT_TJ!S9)))</f>
        <v/>
      </c>
      <c r="T9" s="55" t="str">
        <f>IF(ISBLANK(ETPT_TJ_DDG!$D$5),"",IF(ISERROR(ETPT_TJ!T9),"",IF(ETPT_TJ!T9=0,"",ETPT_TJ!T9)))</f>
        <v/>
      </c>
      <c r="U9" s="55" t="str">
        <f>IF(ISBLANK(ETPT_TJ_DDG!$D$5),"",IF(ISERROR(ETPT_TJ!U9),"",IF(ETPT_TJ!U9=0,"",ETPT_TJ!U9)))</f>
        <v/>
      </c>
      <c r="V9" s="55" t="str">
        <f>IF(ISBLANK(ETPT_TJ_DDG!$D$5),"",IF(ISERROR(ETPT_TJ!V9),"",IF(ETPT_TJ!V9=0,"",ETPT_TJ!V9)))</f>
        <v/>
      </c>
      <c r="W9" s="46">
        <f t="shared" si="1"/>
        <v>0</v>
      </c>
      <c r="X9" s="55" t="str">
        <f>IF(ISBLANK(ETPT_TJ_DDG!$D$5),"",IF(ISERROR(ETPT_TJ!X9),"",IF(ETPT_TJ!X9=0,"",ETPT_TJ!X9)))</f>
        <v/>
      </c>
      <c r="Y9" s="55" t="str">
        <f>IF(ISBLANK(ETPT_TJ_DDG!$D$5),"",IF(ISERROR(ETPT_TJ!Y9),"",IF(ETPT_TJ!Y9=0,"",ETPT_TJ!Y9)))</f>
        <v/>
      </c>
      <c r="Z9" s="55" t="str">
        <f>IF(ISBLANK(ETPT_TJ_DDG!$D$5),"",IF(ISERROR(ETPT_TJ!Z9),"",IF(ETPT_TJ!Z9=0,"",ETPT_TJ!Z9)))</f>
        <v/>
      </c>
      <c r="AA9" s="55" t="str">
        <f>IF(ISBLANK(ETPT_TJ_DDG!$D$5),"",IF(ISERROR(ETPT_TJ!AA9),"",IF(ETPT_TJ!AA9=0,"",ETPT_TJ!AA9)))</f>
        <v/>
      </c>
      <c r="AB9" s="55" t="str">
        <f>IF(ISBLANK(ETPT_TJ_DDG!$D$5),"",IF(ISERROR(ETPT_TJ!AB9),"",IF(ETPT_TJ!AB9=0,"",ETPT_TJ!AB9)))</f>
        <v/>
      </c>
      <c r="AC9" s="55" t="str">
        <f>IF(ISBLANK(ETPT_TJ_DDG!$D$5),"",IF(ISERROR(ETPT_TJ!AC9),"",IF(ETPT_TJ!AC9=0,"",ETPT_TJ!AC9)))</f>
        <v/>
      </c>
      <c r="AD9" s="55" t="str">
        <f>IF(ISBLANK(ETPT_TJ_DDG!$D$5),"",IF(ISERROR(ETPT_TJ!AD9),"",IF(ETPT_TJ!AD9=0,"",ETPT_TJ!AD9)))</f>
        <v/>
      </c>
      <c r="AE9" s="55" t="str">
        <f>IF(ISBLANK(ETPT_TJ_DDG!$D$5),"",IF(ISERROR(ETPT_TJ!AE9),"",IF(ETPT_TJ!AE9=0,"",ETPT_TJ!AE9)))</f>
        <v/>
      </c>
      <c r="AF9" s="55" t="str">
        <f>IF(ISBLANK(ETPT_TJ_DDG!$D$5),"",IF(ISERROR(ETPT_TJ!AF9),"",IF(ETPT_TJ!AF9=0,"",ETPT_TJ!AF9)))</f>
        <v/>
      </c>
      <c r="AG9" s="46">
        <f t="shared" si="2"/>
        <v>0</v>
      </c>
      <c r="AH9" s="55" t="str">
        <f>IF(ISBLANK(ETPT_TJ_DDG!$D$5),"",IF(ISERROR(ETPT_TJ!AH9),"",IF(ETPT_TJ!AH9=0,"",ETPT_TJ!AH9)))</f>
        <v/>
      </c>
      <c r="AI9" s="55" t="str">
        <f>IF(ISBLANK(ETPT_TJ_DDG!$D$5),"",IF(ISERROR(ETPT_TJ!AI9),"",IF(ETPT_TJ!AI9=0,"",ETPT_TJ!AI9)))</f>
        <v/>
      </c>
      <c r="AJ9" s="55" t="str">
        <f>IF(ISBLANK(ETPT_TJ_DDG!$D$5),"",IF(ISERROR(ETPT_TJ!AJ9),"",IF(ETPT_TJ!AJ9=0,"",ETPT_TJ!AJ9)))</f>
        <v/>
      </c>
      <c r="AK9" s="55" t="str">
        <f>IF(ISBLANK(ETPT_TJ_DDG!$D$5),"",IF(ISERROR(ETPT_TJ!AK9),"",IF(ETPT_TJ!AK9=0,"",ETPT_TJ!AK9)))</f>
        <v/>
      </c>
      <c r="AL9" s="55" t="str">
        <f>IF(ISBLANK(ETPT_TJ_DDG!$D$5),"",IF(ISERROR(ETPT_TJ!AL9),"",IF(ETPT_TJ!AL9=0,"",ETPT_TJ!AL9)))</f>
        <v/>
      </c>
      <c r="AM9" s="55" t="str">
        <f>IF(ISBLANK(ETPT_TJ_DDG!$D$5),"",IF(ISERROR(ETPT_TJ!AM9),"",IF(ETPT_TJ!AM9=0,"",ETPT_TJ!AM9)))</f>
        <v/>
      </c>
      <c r="AN9" s="55" t="str">
        <f>IF(ISBLANK(ETPT_TJ_DDG!$D$5),"",IF(ISERROR(ETPT_TJ!AN9),"",IF(ETPT_TJ!AN9=0,"",ETPT_TJ!AN9)))</f>
        <v/>
      </c>
      <c r="AO9" s="55" t="str">
        <f>IF(ISBLANK(ETPT_TJ_DDG!$D$5),"",IF(ISERROR(ETPT_TJ!AO9),"",IF(ETPT_TJ!AO9=0,"",ETPT_TJ!AO9)))</f>
        <v/>
      </c>
      <c r="AP9" s="55" t="str">
        <f>IF(ISBLANK(ETPT_TJ_DDG!$D$5),"",IF(ISERROR(ETPT_TJ!AP9),"",IF(ETPT_TJ!AP9=0,"",ETPT_TJ!AP9)))</f>
        <v/>
      </c>
      <c r="AQ9" s="55" t="str">
        <f>IF(ISBLANK(ETPT_TJ_DDG!$D$5),"",IF(ISERROR(ETPT_TJ!AQ9),"",IF(ETPT_TJ!AQ9=0,"",ETPT_TJ!AQ9)))</f>
        <v/>
      </c>
      <c r="AR9" s="55" t="str">
        <f>IF(ISBLANK(ETPT_TJ_DDG!$D$5),"",IF(ISERROR(ETPT_TJ!AR9),"",IF(ETPT_TJ!AR9=0,"",ETPT_TJ!AR9)))</f>
        <v/>
      </c>
      <c r="AS9" s="55" t="str">
        <f>IF(ISBLANK(ETPT_TJ_DDG!$D$5),"",IF(ISERROR(ETPT_TJ!AS9),"",IF(ETPT_TJ!AS9=0,"",ETPT_TJ!AS9)))</f>
        <v/>
      </c>
      <c r="AT9" s="55" t="str">
        <f>IF(ISBLANK(ETPT_TJ_DDG!$D$5),"",IF(ISERROR(ETPT_TJ!AT9),"",IF(ETPT_TJ!AT9=0,"",ETPT_TJ!AT9)))</f>
        <v/>
      </c>
      <c r="AU9" s="55" t="str">
        <f>IF(ISBLANK(ETPT_TJ_DDG!$D$5),"",IF(ISERROR(ETPT_TJ!AU9),"",IF(ETPT_TJ!AU9=0,"",ETPT_TJ!AU9)))</f>
        <v/>
      </c>
      <c r="AV9" s="46">
        <f t="shared" si="3"/>
        <v>0</v>
      </c>
      <c r="AW9" s="51"/>
      <c r="AX9" s="51"/>
      <c r="AY9" s="51"/>
      <c r="AZ9" s="51"/>
      <c r="BA9" s="51"/>
      <c r="BB9" s="51"/>
      <c r="BC9" s="51"/>
      <c r="BD9" s="51"/>
      <c r="BE9" s="51"/>
      <c r="BF9" s="46">
        <f t="shared" si="4"/>
        <v>0</v>
      </c>
    </row>
    <row r="10" spans="1:59" s="41" customFormat="1" ht="14.25" customHeight="1" x14ac:dyDescent="0.15">
      <c r="A10" s="50" t="s">
        <v>42</v>
      </c>
      <c r="B10" s="58"/>
      <c r="C10" s="58"/>
      <c r="D10" s="115" t="str">
        <f t="shared" si="5"/>
        <v/>
      </c>
      <c r="E10" s="58" t="s">
        <v>52</v>
      </c>
      <c r="F10" s="58" t="s">
        <v>51</v>
      </c>
      <c r="G10" s="55" t="str">
        <f>IF(ISBLANK(ETPT_TJ_DDG!$D$5),"",IF(ISERROR(ETPT_TJ!G10),"",IF(ETPT_TJ!G10=0,"",ETPT_TJ!G10)))</f>
        <v/>
      </c>
      <c r="H10" s="46">
        <f t="shared" si="0"/>
        <v>0</v>
      </c>
      <c r="I10" s="55" t="str">
        <f>IF(ISBLANK(ETPT_TJ_DDG!$D$5),"",IF(ISERROR(ETPT_TJ!I10),"",IF(ETPT_TJ!I10=0,"",ETPT_TJ!I10)))</f>
        <v/>
      </c>
      <c r="J10" s="55" t="str">
        <f>IF(ISBLANK(ETPT_TJ_DDG!$D$5),"",IF(ISERROR(ETPT_TJ!J10),"",IF(ETPT_TJ!J10=0,"",ETPT_TJ!J10)))</f>
        <v/>
      </c>
      <c r="K10" s="55" t="str">
        <f>IF(ISBLANK(ETPT_TJ_DDG!$D$5),"",IF(ISERROR(ETPT_TJ!K10),"",IF(ETPT_TJ!K10=0,"",ETPT_TJ!K10)))</f>
        <v/>
      </c>
      <c r="L10" s="55" t="str">
        <f>IF(ISBLANK(ETPT_TJ_DDG!$D$5),"",IF(ISERROR(ETPT_TJ!L10),"",IF(ETPT_TJ!L10=0,"",ETPT_TJ!L10)))</f>
        <v/>
      </c>
      <c r="M10" s="55" t="str">
        <f>IF(ISBLANK(ETPT_TJ_DDG!$D$5),"",IF(ISERROR(ETPT_TJ!M10),"",IF(ETPT_TJ!M10=0,"",ETPT_TJ!M10)))</f>
        <v/>
      </c>
      <c r="N10" s="55" t="str">
        <f>IF(ISBLANK(ETPT_TJ_DDG!$D$5),"",IF(ISERROR(ETPT_TJ!N10),"",IF(ETPT_TJ!N10=0,"",ETPT_TJ!N10)))</f>
        <v/>
      </c>
      <c r="O10" s="55" t="str">
        <f>IF(ISBLANK(ETPT_TJ_DDG!$D$5),"",IF(ISERROR(ETPT_TJ!O10),"",IF(ETPT_TJ!O10=0,"",ETPT_TJ!O10)))</f>
        <v/>
      </c>
      <c r="P10" s="55" t="str">
        <f>IF(ISBLANK(ETPT_TJ_DDG!$D$5),"",IF(ISERROR(ETPT_TJ!P10),"",IF(ETPT_TJ!P10=0,"",ETPT_TJ!P10)))</f>
        <v/>
      </c>
      <c r="Q10" s="55" t="str">
        <f>IF(ISBLANK(ETPT_TJ_DDG!$D$5),"",IF(ISERROR(ETPT_TJ!Q10),"",IF(ETPT_TJ!Q10=0,"",ETPT_TJ!Q10)))</f>
        <v/>
      </c>
      <c r="R10" s="55" t="str">
        <f>IF(ISBLANK(ETPT_TJ_DDG!$D$5),"",IF(ISERROR(ETPT_TJ!R10),"",IF(ETPT_TJ!R10=0,"",ETPT_TJ!R10)))</f>
        <v/>
      </c>
      <c r="S10" s="55" t="str">
        <f>IF(ISBLANK(ETPT_TJ_DDG!$D$5),"",IF(ISERROR(ETPT_TJ!S10),"",IF(ETPT_TJ!S10=0,"",ETPT_TJ!S10)))</f>
        <v/>
      </c>
      <c r="T10" s="55" t="str">
        <f>IF(ISBLANK(ETPT_TJ_DDG!$D$5),"",IF(ISERROR(ETPT_TJ!T10),"",IF(ETPT_TJ!T10=0,"",ETPT_TJ!T10)))</f>
        <v/>
      </c>
      <c r="U10" s="55" t="str">
        <f>IF(ISBLANK(ETPT_TJ_DDG!$D$5),"",IF(ISERROR(ETPT_TJ!U10),"",IF(ETPT_TJ!U10=0,"",ETPT_TJ!U10)))</f>
        <v/>
      </c>
      <c r="V10" s="55" t="str">
        <f>IF(ISBLANK(ETPT_TJ_DDG!$D$5),"",IF(ISERROR(ETPT_TJ!V10),"",IF(ETPT_TJ!V10=0,"",ETPT_TJ!V10)))</f>
        <v/>
      </c>
      <c r="W10" s="46">
        <f t="shared" si="1"/>
        <v>0</v>
      </c>
      <c r="X10" s="55" t="str">
        <f>IF(ISBLANK(ETPT_TJ_DDG!$D$5),"",IF(ISERROR(ETPT_TJ!X10),"",IF(ETPT_TJ!X10=0,"",ETPT_TJ!X10)))</f>
        <v/>
      </c>
      <c r="Y10" s="55" t="str">
        <f>IF(ISBLANK(ETPT_TJ_DDG!$D$5),"",IF(ISERROR(ETPT_TJ!Y10),"",IF(ETPT_TJ!Y10=0,"",ETPT_TJ!Y10)))</f>
        <v/>
      </c>
      <c r="Z10" s="55" t="str">
        <f>IF(ISBLANK(ETPT_TJ_DDG!$D$5),"",IF(ISERROR(ETPT_TJ!Z10),"",IF(ETPT_TJ!Z10=0,"",ETPT_TJ!Z10)))</f>
        <v/>
      </c>
      <c r="AA10" s="55" t="str">
        <f>IF(ISBLANK(ETPT_TJ_DDG!$D$5),"",IF(ISERROR(ETPT_TJ!AA10),"",IF(ETPT_TJ!AA10=0,"",ETPT_TJ!AA10)))</f>
        <v/>
      </c>
      <c r="AB10" s="55" t="str">
        <f>IF(ISBLANK(ETPT_TJ_DDG!$D$5),"",IF(ISERROR(ETPT_TJ!AB10),"",IF(ETPT_TJ!AB10=0,"",ETPT_TJ!AB10)))</f>
        <v/>
      </c>
      <c r="AC10" s="55" t="str">
        <f>IF(ISBLANK(ETPT_TJ_DDG!$D$5),"",IF(ISERROR(ETPT_TJ!AC10),"",IF(ETPT_TJ!AC10=0,"",ETPT_TJ!AC10)))</f>
        <v/>
      </c>
      <c r="AD10" s="55" t="str">
        <f>IF(ISBLANK(ETPT_TJ_DDG!$D$5),"",IF(ISERROR(ETPT_TJ!AD10),"",IF(ETPT_TJ!AD10=0,"",ETPT_TJ!AD10)))</f>
        <v/>
      </c>
      <c r="AE10" s="55" t="str">
        <f>IF(ISBLANK(ETPT_TJ_DDG!$D$5),"",IF(ISERROR(ETPT_TJ!AE10),"",IF(ETPT_TJ!AE10=0,"",ETPT_TJ!AE10)))</f>
        <v/>
      </c>
      <c r="AF10" s="55" t="str">
        <f>IF(ISBLANK(ETPT_TJ_DDG!$D$5),"",IF(ISERROR(ETPT_TJ!AF10),"",IF(ETPT_TJ!AF10=0,"",ETPT_TJ!AF10)))</f>
        <v/>
      </c>
      <c r="AG10" s="46">
        <f t="shared" si="2"/>
        <v>0</v>
      </c>
      <c r="AH10" s="55" t="str">
        <f>IF(ISBLANK(ETPT_TJ_DDG!$D$5),"",IF(ISERROR(ETPT_TJ!AH10),"",IF(ETPT_TJ!AH10=0,"",ETPT_TJ!AH10)))</f>
        <v/>
      </c>
      <c r="AI10" s="55" t="str">
        <f>IF(ISBLANK(ETPT_TJ_DDG!$D$5),"",IF(ISERROR(ETPT_TJ!AI10),"",IF(ETPT_TJ!AI10=0,"",ETPT_TJ!AI10)))</f>
        <v/>
      </c>
      <c r="AJ10" s="55" t="str">
        <f>IF(ISBLANK(ETPT_TJ_DDG!$D$5),"",IF(ISERROR(ETPT_TJ!AJ10),"",IF(ETPT_TJ!AJ10=0,"",ETPT_TJ!AJ10)))</f>
        <v/>
      </c>
      <c r="AK10" s="55" t="str">
        <f>IF(ISBLANK(ETPT_TJ_DDG!$D$5),"",IF(ISERROR(ETPT_TJ!AK10),"",IF(ETPT_TJ!AK10=0,"",ETPT_TJ!AK10)))</f>
        <v/>
      </c>
      <c r="AL10" s="55" t="str">
        <f>IF(ISBLANK(ETPT_TJ_DDG!$D$5),"",IF(ISERROR(ETPT_TJ!AL10),"",IF(ETPT_TJ!AL10=0,"",ETPT_TJ!AL10)))</f>
        <v/>
      </c>
      <c r="AM10" s="55" t="str">
        <f>IF(ISBLANK(ETPT_TJ_DDG!$D$5),"",IF(ISERROR(ETPT_TJ!AM10),"",IF(ETPT_TJ!AM10=0,"",ETPT_TJ!AM10)))</f>
        <v/>
      </c>
      <c r="AN10" s="55" t="str">
        <f>IF(ISBLANK(ETPT_TJ_DDG!$D$5),"",IF(ISERROR(ETPT_TJ!AN10),"",IF(ETPT_TJ!AN10=0,"",ETPT_TJ!AN10)))</f>
        <v/>
      </c>
      <c r="AO10" s="55" t="str">
        <f>IF(ISBLANK(ETPT_TJ_DDG!$D$5),"",IF(ISERROR(ETPT_TJ!AO10),"",IF(ETPT_TJ!AO10=0,"",ETPT_TJ!AO10)))</f>
        <v/>
      </c>
      <c r="AP10" s="55" t="str">
        <f>IF(ISBLANK(ETPT_TJ_DDG!$D$5),"",IF(ISERROR(ETPT_TJ!AP10),"",IF(ETPT_TJ!AP10=0,"",ETPT_TJ!AP10)))</f>
        <v/>
      </c>
      <c r="AQ10" s="55" t="str">
        <f>IF(ISBLANK(ETPT_TJ_DDG!$D$5),"",IF(ISERROR(ETPT_TJ!AQ10),"",IF(ETPT_TJ!AQ10=0,"",ETPT_TJ!AQ10)))</f>
        <v/>
      </c>
      <c r="AR10" s="55" t="str">
        <f>IF(ISBLANK(ETPT_TJ_DDG!$D$5),"",IF(ISERROR(ETPT_TJ!AR10),"",IF(ETPT_TJ!AR10=0,"",ETPT_TJ!AR10)))</f>
        <v/>
      </c>
      <c r="AS10" s="55" t="str">
        <f>IF(ISBLANK(ETPT_TJ_DDG!$D$5),"",IF(ISERROR(ETPT_TJ!AS10),"",IF(ETPT_TJ!AS10=0,"",ETPT_TJ!AS10)))</f>
        <v/>
      </c>
      <c r="AT10" s="55" t="str">
        <f>IF(ISBLANK(ETPT_TJ_DDG!$D$5),"",IF(ISERROR(ETPT_TJ!AT10),"",IF(ETPT_TJ!AT10=0,"",ETPT_TJ!AT10)))</f>
        <v/>
      </c>
      <c r="AU10" s="55" t="str">
        <f>IF(ISBLANK(ETPT_TJ_DDG!$D$5),"",IF(ISERROR(ETPT_TJ!AU10),"",IF(ETPT_TJ!AU10=0,"",ETPT_TJ!AU10)))</f>
        <v/>
      </c>
      <c r="AV10" s="46">
        <f t="shared" si="3"/>
        <v>0</v>
      </c>
      <c r="AW10" s="51"/>
      <c r="AX10" s="51"/>
      <c r="AY10" s="51"/>
      <c r="AZ10" s="51"/>
      <c r="BA10" s="51"/>
      <c r="BB10" s="51"/>
      <c r="BC10" s="51"/>
      <c r="BD10" s="51"/>
      <c r="BE10" s="51"/>
      <c r="BF10" s="46">
        <f t="shared" si="4"/>
        <v>0</v>
      </c>
    </row>
    <row r="11" spans="1:59" s="41" customFormat="1" ht="14.25" customHeight="1" x14ac:dyDescent="0.15">
      <c r="A11" s="50" t="s">
        <v>42</v>
      </c>
      <c r="B11" s="58"/>
      <c r="C11" s="58"/>
      <c r="D11" s="115" t="str">
        <f t="shared" si="5"/>
        <v/>
      </c>
      <c r="E11" s="58" t="s">
        <v>50</v>
      </c>
      <c r="F11" s="58" t="s">
        <v>49</v>
      </c>
      <c r="G11" s="55" t="str">
        <f>IF(ISBLANK(ETPT_TJ_DDG!$D$5),"",IF(ISERROR(ETPT_TJ!G11),"",IF(ETPT_TJ!G11=0,"",ETPT_TJ!G11)))</f>
        <v/>
      </c>
      <c r="H11" s="46">
        <f t="shared" si="0"/>
        <v>0</v>
      </c>
      <c r="I11" s="55" t="str">
        <f>IF(ISBLANK(ETPT_TJ_DDG!$D$5),"",IF(ISERROR(ETPT_TJ!I11),"",IF(ETPT_TJ!I11=0,"",ETPT_TJ!I11)))</f>
        <v/>
      </c>
      <c r="J11" s="55" t="str">
        <f>IF(ISBLANK(ETPT_TJ_DDG!$D$5),"",IF(ISERROR(ETPT_TJ!J11),"",IF(ETPT_TJ!J11=0,"",ETPT_TJ!J11)))</f>
        <v/>
      </c>
      <c r="K11" s="55" t="str">
        <f>IF(ISBLANK(ETPT_TJ_DDG!$D$5),"",IF(ISERROR(ETPT_TJ!K11),"",IF(ETPT_TJ!K11=0,"",ETPT_TJ!K11)))</f>
        <v/>
      </c>
      <c r="L11" s="55" t="str">
        <f>IF(ISBLANK(ETPT_TJ_DDG!$D$5),"",IF(ISERROR(ETPT_TJ!L11),"",IF(ETPT_TJ!L11=0,"",ETPT_TJ!L11)))</f>
        <v/>
      </c>
      <c r="M11" s="55" t="str">
        <f>IF(ISBLANK(ETPT_TJ_DDG!$D$5),"",IF(ISERROR(ETPT_TJ!M11),"",IF(ETPT_TJ!M11=0,"",ETPT_TJ!M11)))</f>
        <v/>
      </c>
      <c r="N11" s="55" t="str">
        <f>IF(ISBLANK(ETPT_TJ_DDG!$D$5),"",IF(ISERROR(ETPT_TJ!N11),"",IF(ETPT_TJ!N11=0,"",ETPT_TJ!N11)))</f>
        <v/>
      </c>
      <c r="O11" s="55" t="str">
        <f>IF(ISBLANK(ETPT_TJ_DDG!$D$5),"",IF(ISERROR(ETPT_TJ!O11),"",IF(ETPT_TJ!O11=0,"",ETPT_TJ!O11)))</f>
        <v/>
      </c>
      <c r="P11" s="55" t="str">
        <f>IF(ISBLANK(ETPT_TJ_DDG!$D$5),"",IF(ISERROR(ETPT_TJ!P11),"",IF(ETPT_TJ!P11=0,"",ETPT_TJ!P11)))</f>
        <v/>
      </c>
      <c r="Q11" s="55" t="str">
        <f>IF(ISBLANK(ETPT_TJ_DDG!$D$5),"",IF(ISERROR(ETPT_TJ!Q11),"",IF(ETPT_TJ!Q11=0,"",ETPT_TJ!Q11)))</f>
        <v/>
      </c>
      <c r="R11" s="55" t="str">
        <f>IF(ISBLANK(ETPT_TJ_DDG!$D$5),"",IF(ISERROR(ETPT_TJ!R11),"",IF(ETPT_TJ!R11=0,"",ETPT_TJ!R11)))</f>
        <v/>
      </c>
      <c r="S11" s="55" t="str">
        <f>IF(ISBLANK(ETPT_TJ_DDG!$D$5),"",IF(ISERROR(ETPT_TJ!S11),"",IF(ETPT_TJ!S11=0,"",ETPT_TJ!S11)))</f>
        <v/>
      </c>
      <c r="T11" s="55" t="str">
        <f>IF(ISBLANK(ETPT_TJ_DDG!$D$5),"",IF(ISERROR(ETPT_TJ!T11),"",IF(ETPT_TJ!T11=0,"",ETPT_TJ!T11)))</f>
        <v/>
      </c>
      <c r="U11" s="55" t="str">
        <f>IF(ISBLANK(ETPT_TJ_DDG!$D$5),"",IF(ISERROR(ETPT_TJ!U11),"",IF(ETPT_TJ!U11=0,"",ETPT_TJ!U11)))</f>
        <v/>
      </c>
      <c r="V11" s="55" t="str">
        <f>IF(ISBLANK(ETPT_TJ_DDG!$D$5),"",IF(ISERROR(ETPT_TJ!V11),"",IF(ETPT_TJ!V11=0,"",ETPT_TJ!V11)))</f>
        <v/>
      </c>
      <c r="W11" s="46">
        <f t="shared" si="1"/>
        <v>0</v>
      </c>
      <c r="X11" s="55" t="str">
        <f>IF(ISBLANK(ETPT_TJ_DDG!$D$5),"",IF(ISERROR(ETPT_TJ!X11),"",IF(ETPT_TJ!X11=0,"",ETPT_TJ!X11)))</f>
        <v/>
      </c>
      <c r="Y11" s="55" t="str">
        <f>IF(ISBLANK(ETPT_TJ_DDG!$D$5),"",IF(ISERROR(ETPT_TJ!Y11),"",IF(ETPT_TJ!Y11=0,"",ETPT_TJ!Y11)))</f>
        <v/>
      </c>
      <c r="Z11" s="55" t="str">
        <f>IF(ISBLANK(ETPT_TJ_DDG!$D$5),"",IF(ISERROR(ETPT_TJ!Z11),"",IF(ETPT_TJ!Z11=0,"",ETPT_TJ!Z11)))</f>
        <v/>
      </c>
      <c r="AA11" s="55" t="str">
        <f>IF(ISBLANK(ETPT_TJ_DDG!$D$5),"",IF(ISERROR(ETPT_TJ!AA11),"",IF(ETPT_TJ!AA11=0,"",ETPT_TJ!AA11)))</f>
        <v/>
      </c>
      <c r="AB11" s="55" t="str">
        <f>IF(ISBLANK(ETPT_TJ_DDG!$D$5),"",IF(ISERROR(ETPT_TJ!AB11),"",IF(ETPT_TJ!AB11=0,"",ETPT_TJ!AB11)))</f>
        <v/>
      </c>
      <c r="AC11" s="55" t="str">
        <f>IF(ISBLANK(ETPT_TJ_DDG!$D$5),"",IF(ISERROR(ETPT_TJ!AC11),"",IF(ETPT_TJ!AC11=0,"",ETPT_TJ!AC11)))</f>
        <v/>
      </c>
      <c r="AD11" s="55" t="str">
        <f>IF(ISBLANK(ETPT_TJ_DDG!$D$5),"",IF(ISERROR(ETPT_TJ!AD11),"",IF(ETPT_TJ!AD11=0,"",ETPT_TJ!AD11)))</f>
        <v/>
      </c>
      <c r="AE11" s="55" t="str">
        <f>IF(ISBLANK(ETPT_TJ_DDG!$D$5),"",IF(ISERROR(ETPT_TJ!AE11),"",IF(ETPT_TJ!AE11=0,"",ETPT_TJ!AE11)))</f>
        <v/>
      </c>
      <c r="AF11" s="55" t="str">
        <f>IF(ISBLANK(ETPT_TJ_DDG!$D$5),"",IF(ISERROR(ETPT_TJ!AF11),"",IF(ETPT_TJ!AF11=0,"",ETPT_TJ!AF11)))</f>
        <v/>
      </c>
      <c r="AG11" s="46">
        <f t="shared" si="2"/>
        <v>0</v>
      </c>
      <c r="AH11" s="55" t="str">
        <f>IF(ISBLANK(ETPT_TJ_DDG!$D$5),"",IF(ISERROR(ETPT_TJ!AH11),"",IF(ETPT_TJ!AH11=0,"",ETPT_TJ!AH11)))</f>
        <v/>
      </c>
      <c r="AI11" s="55" t="str">
        <f>IF(ISBLANK(ETPT_TJ_DDG!$D$5),"",IF(ISERROR(ETPT_TJ!AI11),"",IF(ETPT_TJ!AI11=0,"",ETPT_TJ!AI11)))</f>
        <v/>
      </c>
      <c r="AJ11" s="55" t="str">
        <f>IF(ISBLANK(ETPT_TJ_DDG!$D$5),"",IF(ISERROR(ETPT_TJ!AJ11),"",IF(ETPT_TJ!AJ11=0,"",ETPT_TJ!AJ11)))</f>
        <v/>
      </c>
      <c r="AK11" s="55" t="str">
        <f>IF(ISBLANK(ETPT_TJ_DDG!$D$5),"",IF(ISERROR(ETPT_TJ!AK11),"",IF(ETPT_TJ!AK11=0,"",ETPT_TJ!AK11)))</f>
        <v/>
      </c>
      <c r="AL11" s="55" t="str">
        <f>IF(ISBLANK(ETPT_TJ_DDG!$D$5),"",IF(ISERROR(ETPT_TJ!AL11),"",IF(ETPT_TJ!AL11=0,"",ETPT_TJ!AL11)))</f>
        <v/>
      </c>
      <c r="AM11" s="55" t="str">
        <f>IF(ISBLANK(ETPT_TJ_DDG!$D$5),"",IF(ISERROR(ETPT_TJ!AM11),"",IF(ETPT_TJ!AM11=0,"",ETPT_TJ!AM11)))</f>
        <v/>
      </c>
      <c r="AN11" s="55" t="str">
        <f>IF(ISBLANK(ETPT_TJ_DDG!$D$5),"",IF(ISERROR(ETPT_TJ!AN11),"",IF(ETPT_TJ!AN11=0,"",ETPT_TJ!AN11)))</f>
        <v/>
      </c>
      <c r="AO11" s="55" t="str">
        <f>IF(ISBLANK(ETPT_TJ_DDG!$D$5),"",IF(ISERROR(ETPT_TJ!AO11),"",IF(ETPT_TJ!AO11=0,"",ETPT_TJ!AO11)))</f>
        <v/>
      </c>
      <c r="AP11" s="55" t="str">
        <f>IF(ISBLANK(ETPT_TJ_DDG!$D$5),"",IF(ISERROR(ETPT_TJ!AP11),"",IF(ETPT_TJ!AP11=0,"",ETPT_TJ!AP11)))</f>
        <v/>
      </c>
      <c r="AQ11" s="55" t="str">
        <f>IF(ISBLANK(ETPT_TJ_DDG!$D$5),"",IF(ISERROR(ETPT_TJ!AQ11),"",IF(ETPT_TJ!AQ11=0,"",ETPT_TJ!AQ11)))</f>
        <v/>
      </c>
      <c r="AR11" s="55" t="str">
        <f>IF(ISBLANK(ETPT_TJ_DDG!$D$5),"",IF(ISERROR(ETPT_TJ!AR11),"",IF(ETPT_TJ!AR11=0,"",ETPT_TJ!AR11)))</f>
        <v/>
      </c>
      <c r="AS11" s="55" t="str">
        <f>IF(ISBLANK(ETPT_TJ_DDG!$D$5),"",IF(ISERROR(ETPT_TJ!AS11),"",IF(ETPT_TJ!AS11=0,"",ETPT_TJ!AS11)))</f>
        <v/>
      </c>
      <c r="AT11" s="55" t="str">
        <f>IF(ISBLANK(ETPT_TJ_DDG!$D$5),"",IF(ISERROR(ETPT_TJ!AT11),"",IF(ETPT_TJ!AT11=0,"",ETPT_TJ!AT11)))</f>
        <v/>
      </c>
      <c r="AU11" s="55" t="str">
        <f>IF(ISBLANK(ETPT_TJ_DDG!$D$5),"",IF(ISERROR(ETPT_TJ!AU11),"",IF(ETPT_TJ!AU11=0,"",ETPT_TJ!AU11)))</f>
        <v/>
      </c>
      <c r="AV11" s="46">
        <f t="shared" si="3"/>
        <v>0</v>
      </c>
      <c r="AW11" s="51"/>
      <c r="AX11" s="51"/>
      <c r="AY11" s="51"/>
      <c r="AZ11" s="51"/>
      <c r="BA11" s="51"/>
      <c r="BB11" s="51"/>
      <c r="BC11" s="51"/>
      <c r="BD11" s="51"/>
      <c r="BE11" s="51"/>
      <c r="BF11" s="46">
        <f t="shared" si="4"/>
        <v>0</v>
      </c>
    </row>
    <row r="12" spans="1:59" s="41" customFormat="1" ht="14.25" customHeight="1" x14ac:dyDescent="0.15">
      <c r="A12" s="50" t="s">
        <v>42</v>
      </c>
      <c r="B12" s="58"/>
      <c r="C12" s="58"/>
      <c r="D12" s="115" t="str">
        <f t="shared" si="5"/>
        <v/>
      </c>
      <c r="E12" s="58" t="s">
        <v>48</v>
      </c>
      <c r="F12" s="58" t="s">
        <v>47</v>
      </c>
      <c r="G12" s="55" t="str">
        <f>IF(ISBLANK(ETPT_TJ_DDG!$D$5),"",IF(ISERROR(ETPT_TJ!G12),"",IF(ETPT_TJ!G12=0,"",ETPT_TJ!G12)))</f>
        <v/>
      </c>
      <c r="H12" s="46">
        <f t="shared" si="0"/>
        <v>0</v>
      </c>
      <c r="I12" s="55" t="str">
        <f>IF(ISBLANK(ETPT_TJ_DDG!$D$5),"",IF(ISERROR(ETPT_TJ!I12),"",IF(ETPT_TJ!I12=0,"",ETPT_TJ!I12)))</f>
        <v/>
      </c>
      <c r="J12" s="55" t="str">
        <f>IF(ISBLANK(ETPT_TJ_DDG!$D$5),"",IF(ISERROR(ETPT_TJ!J12),"",IF(ETPT_TJ!J12=0,"",ETPT_TJ!J12)))</f>
        <v/>
      </c>
      <c r="K12" s="55" t="str">
        <f>IF(ISBLANK(ETPT_TJ_DDG!$D$5),"",IF(ISERROR(ETPT_TJ!K12),"",IF(ETPT_TJ!K12=0,"",ETPT_TJ!K12)))</f>
        <v/>
      </c>
      <c r="L12" s="55" t="str">
        <f>IF(ISBLANK(ETPT_TJ_DDG!$D$5),"",IF(ISERROR(ETPT_TJ!L12),"",IF(ETPT_TJ!L12=0,"",ETPT_TJ!L12)))</f>
        <v/>
      </c>
      <c r="M12" s="55" t="str">
        <f>IF(ISBLANK(ETPT_TJ_DDG!$D$5),"",IF(ISERROR(ETPT_TJ!M12),"",IF(ETPT_TJ!M12=0,"",ETPT_TJ!M12)))</f>
        <v/>
      </c>
      <c r="N12" s="55" t="str">
        <f>IF(ISBLANK(ETPT_TJ_DDG!$D$5),"",IF(ISERROR(ETPT_TJ!N12),"",IF(ETPT_TJ!N12=0,"",ETPT_TJ!N12)))</f>
        <v/>
      </c>
      <c r="O12" s="55" t="str">
        <f>IF(ISBLANK(ETPT_TJ_DDG!$D$5),"",IF(ISERROR(ETPT_TJ!O12),"",IF(ETPT_TJ!O12=0,"",ETPT_TJ!O12)))</f>
        <v/>
      </c>
      <c r="P12" s="55" t="str">
        <f>IF(ISBLANK(ETPT_TJ_DDG!$D$5),"",IF(ISERROR(ETPT_TJ!P12),"",IF(ETPT_TJ!P12=0,"",ETPT_TJ!P12)))</f>
        <v/>
      </c>
      <c r="Q12" s="55" t="str">
        <f>IF(ISBLANK(ETPT_TJ_DDG!$D$5),"",IF(ISERROR(ETPT_TJ!Q12),"",IF(ETPT_TJ!Q12=0,"",ETPT_TJ!Q12)))</f>
        <v/>
      </c>
      <c r="R12" s="55" t="str">
        <f>IF(ISBLANK(ETPT_TJ_DDG!$D$5),"",IF(ISERROR(ETPT_TJ!R12),"",IF(ETPT_TJ!R12=0,"",ETPT_TJ!R12)))</f>
        <v/>
      </c>
      <c r="S12" s="55" t="str">
        <f>IF(ISBLANK(ETPT_TJ_DDG!$D$5),"",IF(ISERROR(ETPT_TJ!S12),"",IF(ETPT_TJ!S12=0,"",ETPT_TJ!S12)))</f>
        <v/>
      </c>
      <c r="T12" s="55" t="str">
        <f>IF(ISBLANK(ETPT_TJ_DDG!$D$5),"",IF(ISERROR(ETPT_TJ!T12),"",IF(ETPT_TJ!T12=0,"",ETPT_TJ!T12)))</f>
        <v/>
      </c>
      <c r="U12" s="55" t="str">
        <f>IF(ISBLANK(ETPT_TJ_DDG!$D$5),"",IF(ISERROR(ETPT_TJ!U12),"",IF(ETPT_TJ!U12=0,"",ETPT_TJ!U12)))</f>
        <v/>
      </c>
      <c r="V12" s="55" t="str">
        <f>IF(ISBLANK(ETPT_TJ_DDG!$D$5),"",IF(ISERROR(ETPT_TJ!V12),"",IF(ETPT_TJ!V12=0,"",ETPT_TJ!V12)))</f>
        <v/>
      </c>
      <c r="W12" s="46">
        <f t="shared" si="1"/>
        <v>0</v>
      </c>
      <c r="X12" s="55" t="str">
        <f>IF(ISBLANK(ETPT_TJ_DDG!$D$5),"",IF(ISERROR(ETPT_TJ!X12),"",IF(ETPT_TJ!X12=0,"",ETPT_TJ!X12)))</f>
        <v/>
      </c>
      <c r="Y12" s="55" t="str">
        <f>IF(ISBLANK(ETPT_TJ_DDG!$D$5),"",IF(ISERROR(ETPT_TJ!Y12),"",IF(ETPT_TJ!Y12=0,"",ETPT_TJ!Y12)))</f>
        <v/>
      </c>
      <c r="Z12" s="55" t="str">
        <f>IF(ISBLANK(ETPT_TJ_DDG!$D$5),"",IF(ISERROR(ETPT_TJ!Z12),"",IF(ETPT_TJ!Z12=0,"",ETPT_TJ!Z12)))</f>
        <v/>
      </c>
      <c r="AA12" s="55" t="str">
        <f>IF(ISBLANK(ETPT_TJ_DDG!$D$5),"",IF(ISERROR(ETPT_TJ!AA12),"",IF(ETPT_TJ!AA12=0,"",ETPT_TJ!AA12)))</f>
        <v/>
      </c>
      <c r="AB12" s="55" t="str">
        <f>IF(ISBLANK(ETPT_TJ_DDG!$D$5),"",IF(ISERROR(ETPT_TJ!AB12),"",IF(ETPT_TJ!AB12=0,"",ETPT_TJ!AB12)))</f>
        <v/>
      </c>
      <c r="AC12" s="55" t="str">
        <f>IF(ISBLANK(ETPT_TJ_DDG!$D$5),"",IF(ISERROR(ETPT_TJ!AC12),"",IF(ETPT_TJ!AC12=0,"",ETPT_TJ!AC12)))</f>
        <v/>
      </c>
      <c r="AD12" s="55" t="str">
        <f>IF(ISBLANK(ETPT_TJ_DDG!$D$5),"",IF(ISERROR(ETPT_TJ!AD12),"",IF(ETPT_TJ!AD12=0,"",ETPT_TJ!AD12)))</f>
        <v/>
      </c>
      <c r="AE12" s="55" t="str">
        <f>IF(ISBLANK(ETPT_TJ_DDG!$D$5),"",IF(ISERROR(ETPT_TJ!AE12),"",IF(ETPT_TJ!AE12=0,"",ETPT_TJ!AE12)))</f>
        <v/>
      </c>
      <c r="AF12" s="55" t="str">
        <f>IF(ISBLANK(ETPT_TJ_DDG!$D$5),"",IF(ISERROR(ETPT_TJ!AF12),"",IF(ETPT_TJ!AF12=0,"",ETPT_TJ!AF12)))</f>
        <v/>
      </c>
      <c r="AG12" s="46">
        <f t="shared" si="2"/>
        <v>0</v>
      </c>
      <c r="AH12" s="55" t="str">
        <f>IF(ISBLANK(ETPT_TJ_DDG!$D$5),"",IF(ISERROR(ETPT_TJ!AH12),"",IF(ETPT_TJ!AH12=0,"",ETPT_TJ!AH12)))</f>
        <v/>
      </c>
      <c r="AI12" s="55" t="str">
        <f>IF(ISBLANK(ETPT_TJ_DDG!$D$5),"",IF(ISERROR(ETPT_TJ!AI12),"",IF(ETPT_TJ!AI12=0,"",ETPT_TJ!AI12)))</f>
        <v/>
      </c>
      <c r="AJ12" s="55" t="str">
        <f>IF(ISBLANK(ETPT_TJ_DDG!$D$5),"",IF(ISERROR(ETPT_TJ!AJ12),"",IF(ETPT_TJ!AJ12=0,"",ETPT_TJ!AJ12)))</f>
        <v/>
      </c>
      <c r="AK12" s="55" t="str">
        <f>IF(ISBLANK(ETPT_TJ_DDG!$D$5),"",IF(ISERROR(ETPT_TJ!AK12),"",IF(ETPT_TJ!AK12=0,"",ETPT_TJ!AK12)))</f>
        <v/>
      </c>
      <c r="AL12" s="55" t="str">
        <f>IF(ISBLANK(ETPT_TJ_DDG!$D$5),"",IF(ISERROR(ETPT_TJ!AL12),"",IF(ETPT_TJ!AL12=0,"",ETPT_TJ!AL12)))</f>
        <v/>
      </c>
      <c r="AM12" s="55" t="str">
        <f>IF(ISBLANK(ETPT_TJ_DDG!$D$5),"",IF(ISERROR(ETPT_TJ!AM12),"",IF(ETPT_TJ!AM12=0,"",ETPT_TJ!AM12)))</f>
        <v/>
      </c>
      <c r="AN12" s="55" t="str">
        <f>IF(ISBLANK(ETPT_TJ_DDG!$D$5),"",IF(ISERROR(ETPT_TJ!AN12),"",IF(ETPT_TJ!AN12=0,"",ETPT_TJ!AN12)))</f>
        <v/>
      </c>
      <c r="AO12" s="55" t="str">
        <f>IF(ISBLANK(ETPT_TJ_DDG!$D$5),"",IF(ISERROR(ETPT_TJ!AO12),"",IF(ETPT_TJ!AO12=0,"",ETPT_TJ!AO12)))</f>
        <v/>
      </c>
      <c r="AP12" s="55" t="str">
        <f>IF(ISBLANK(ETPT_TJ_DDG!$D$5),"",IF(ISERROR(ETPT_TJ!AP12),"",IF(ETPT_TJ!AP12=0,"",ETPT_TJ!AP12)))</f>
        <v/>
      </c>
      <c r="AQ12" s="55" t="str">
        <f>IF(ISBLANK(ETPT_TJ_DDG!$D$5),"",IF(ISERROR(ETPT_TJ!AQ12),"",IF(ETPT_TJ!AQ12=0,"",ETPT_TJ!AQ12)))</f>
        <v/>
      </c>
      <c r="AR12" s="55" t="str">
        <f>IF(ISBLANK(ETPT_TJ_DDG!$D$5),"",IF(ISERROR(ETPT_TJ!AR12),"",IF(ETPT_TJ!AR12=0,"",ETPT_TJ!AR12)))</f>
        <v/>
      </c>
      <c r="AS12" s="55" t="str">
        <f>IF(ISBLANK(ETPT_TJ_DDG!$D$5),"",IF(ISERROR(ETPT_TJ!AS12),"",IF(ETPT_TJ!AS12=0,"",ETPT_TJ!AS12)))</f>
        <v/>
      </c>
      <c r="AT12" s="55" t="str">
        <f>IF(ISBLANK(ETPT_TJ_DDG!$D$5),"",IF(ISERROR(ETPT_TJ!AT12),"",IF(ETPT_TJ!AT12=0,"",ETPT_TJ!AT12)))</f>
        <v/>
      </c>
      <c r="AU12" s="55" t="str">
        <f>IF(ISBLANK(ETPT_TJ_DDG!$D$5),"",IF(ISERROR(ETPT_TJ!AU12),"",IF(ETPT_TJ!AU12=0,"",ETPT_TJ!AU12)))</f>
        <v/>
      </c>
      <c r="AV12" s="46">
        <f t="shared" si="3"/>
        <v>0</v>
      </c>
      <c r="AW12" s="51"/>
      <c r="AX12" s="51"/>
      <c r="AY12" s="51"/>
      <c r="AZ12" s="51"/>
      <c r="BA12" s="51"/>
      <c r="BB12" s="51"/>
      <c r="BC12" s="51"/>
      <c r="BD12" s="51"/>
      <c r="BE12" s="51"/>
      <c r="BF12" s="46">
        <f t="shared" si="4"/>
        <v>0</v>
      </c>
    </row>
    <row r="13" spans="1:59" s="41" customFormat="1" ht="14.25" customHeight="1" x14ac:dyDescent="0.15">
      <c r="A13" s="50" t="s">
        <v>42</v>
      </c>
      <c r="B13" s="58"/>
      <c r="C13" s="58"/>
      <c r="D13" s="115" t="str">
        <f t="shared" si="5"/>
        <v/>
      </c>
      <c r="E13" s="58" t="s">
        <v>46</v>
      </c>
      <c r="F13" s="58" t="s">
        <v>45</v>
      </c>
      <c r="G13" s="55" t="str">
        <f>IF(ISBLANK(ETPT_TJ_DDG!$D$5),"",IF(ISERROR(ETPT_TJ!G13),"",IF(ETPT_TJ!G13=0,"",ETPT_TJ!G13)))</f>
        <v/>
      </c>
      <c r="H13" s="46">
        <f t="shared" si="0"/>
        <v>0</v>
      </c>
      <c r="I13" s="55" t="str">
        <f>IF(ISBLANK(ETPT_TJ_DDG!$D$5),"",IF(ISERROR(ETPT_TJ!I13),"",IF(ETPT_TJ!I13=0,"",ETPT_TJ!I13)))</f>
        <v/>
      </c>
      <c r="J13" s="55" t="str">
        <f>IF(ISBLANK(ETPT_TJ_DDG!$D$5),"",IF(ISERROR(ETPT_TJ!J13),"",IF(ETPT_TJ!J13=0,"",ETPT_TJ!J13)))</f>
        <v/>
      </c>
      <c r="K13" s="55" t="str">
        <f>IF(ISBLANK(ETPT_TJ_DDG!$D$5),"",IF(ISERROR(ETPT_TJ!K13),"",IF(ETPT_TJ!K13=0,"",ETPT_TJ!K13)))</f>
        <v/>
      </c>
      <c r="L13" s="55" t="str">
        <f>IF(ISBLANK(ETPT_TJ_DDG!$D$5),"",IF(ISERROR(ETPT_TJ!L13),"",IF(ETPT_TJ!L13=0,"",ETPT_TJ!L13)))</f>
        <v/>
      </c>
      <c r="M13" s="55" t="str">
        <f>IF(ISBLANK(ETPT_TJ_DDG!$D$5),"",IF(ISERROR(ETPT_TJ!M13),"",IF(ETPT_TJ!M13=0,"",ETPT_TJ!M13)))</f>
        <v/>
      </c>
      <c r="N13" s="55" t="str">
        <f>IF(ISBLANK(ETPT_TJ_DDG!$D$5),"",IF(ISERROR(ETPT_TJ!N13),"",IF(ETPT_TJ!N13=0,"",ETPT_TJ!N13)))</f>
        <v/>
      </c>
      <c r="O13" s="55" t="str">
        <f>IF(ISBLANK(ETPT_TJ_DDG!$D$5),"",IF(ISERROR(ETPT_TJ!O13),"",IF(ETPT_TJ!O13=0,"",ETPT_TJ!O13)))</f>
        <v/>
      </c>
      <c r="P13" s="55" t="str">
        <f>IF(ISBLANK(ETPT_TJ_DDG!$D$5),"",IF(ISERROR(ETPT_TJ!P13),"",IF(ETPT_TJ!P13=0,"",ETPT_TJ!P13)))</f>
        <v/>
      </c>
      <c r="Q13" s="55" t="str">
        <f>IF(ISBLANK(ETPT_TJ_DDG!$D$5),"",IF(ISERROR(ETPT_TJ!Q13),"",IF(ETPT_TJ!Q13=0,"",ETPT_TJ!Q13)))</f>
        <v/>
      </c>
      <c r="R13" s="55" t="str">
        <f>IF(ISBLANK(ETPT_TJ_DDG!$D$5),"",IF(ISERROR(ETPT_TJ!R13),"",IF(ETPT_TJ!R13=0,"",ETPT_TJ!R13)))</f>
        <v/>
      </c>
      <c r="S13" s="55" t="str">
        <f>IF(ISBLANK(ETPT_TJ_DDG!$D$5),"",IF(ISERROR(ETPT_TJ!S13),"",IF(ETPT_TJ!S13=0,"",ETPT_TJ!S13)))</f>
        <v/>
      </c>
      <c r="T13" s="55" t="str">
        <f>IF(ISBLANK(ETPT_TJ_DDG!$D$5),"",IF(ISERROR(ETPT_TJ!T13),"",IF(ETPT_TJ!T13=0,"",ETPT_TJ!T13)))</f>
        <v/>
      </c>
      <c r="U13" s="55" t="str">
        <f>IF(ISBLANK(ETPT_TJ_DDG!$D$5),"",IF(ISERROR(ETPT_TJ!U13),"",IF(ETPT_TJ!U13=0,"",ETPT_TJ!U13)))</f>
        <v/>
      </c>
      <c r="V13" s="55" t="str">
        <f>IF(ISBLANK(ETPT_TJ_DDG!$D$5),"",IF(ISERROR(ETPT_TJ!V13),"",IF(ETPT_TJ!V13=0,"",ETPT_TJ!V13)))</f>
        <v/>
      </c>
      <c r="W13" s="46">
        <f t="shared" si="1"/>
        <v>0</v>
      </c>
      <c r="X13" s="55" t="str">
        <f>IF(ISBLANK(ETPT_TJ_DDG!$D$5),"",IF(ISERROR(ETPT_TJ!X13),"",IF(ETPT_TJ!X13=0,"",ETPT_TJ!X13)))</f>
        <v/>
      </c>
      <c r="Y13" s="55" t="str">
        <f>IF(ISBLANK(ETPT_TJ_DDG!$D$5),"",IF(ISERROR(ETPT_TJ!Y13),"",IF(ETPT_TJ!Y13=0,"",ETPT_TJ!Y13)))</f>
        <v/>
      </c>
      <c r="Z13" s="55" t="str">
        <f>IF(ISBLANK(ETPT_TJ_DDG!$D$5),"",IF(ISERROR(ETPT_TJ!Z13),"",IF(ETPT_TJ!Z13=0,"",ETPT_TJ!Z13)))</f>
        <v/>
      </c>
      <c r="AA13" s="55" t="str">
        <f>IF(ISBLANK(ETPT_TJ_DDG!$D$5),"",IF(ISERROR(ETPT_TJ!AA13),"",IF(ETPT_TJ!AA13=0,"",ETPT_TJ!AA13)))</f>
        <v/>
      </c>
      <c r="AB13" s="55" t="str">
        <f>IF(ISBLANK(ETPT_TJ_DDG!$D$5),"",IF(ISERROR(ETPT_TJ!AB13),"",IF(ETPT_TJ!AB13=0,"",ETPT_TJ!AB13)))</f>
        <v/>
      </c>
      <c r="AC13" s="55" t="str">
        <f>IF(ISBLANK(ETPT_TJ_DDG!$D$5),"",IF(ISERROR(ETPT_TJ!AC13),"",IF(ETPT_TJ!AC13=0,"",ETPT_TJ!AC13)))</f>
        <v/>
      </c>
      <c r="AD13" s="55" t="str">
        <f>IF(ISBLANK(ETPT_TJ_DDG!$D$5),"",IF(ISERROR(ETPT_TJ!AD13),"",IF(ETPT_TJ!AD13=0,"",ETPT_TJ!AD13)))</f>
        <v/>
      </c>
      <c r="AE13" s="55" t="str">
        <f>IF(ISBLANK(ETPT_TJ_DDG!$D$5),"",IF(ISERROR(ETPT_TJ!AE13),"",IF(ETPT_TJ!AE13=0,"",ETPT_TJ!AE13)))</f>
        <v/>
      </c>
      <c r="AF13" s="55" t="str">
        <f>IF(ISBLANK(ETPT_TJ_DDG!$D$5),"",IF(ISERROR(ETPT_TJ!AF13),"",IF(ETPT_TJ!AF13=0,"",ETPT_TJ!AF13)))</f>
        <v/>
      </c>
      <c r="AG13" s="46">
        <f t="shared" si="2"/>
        <v>0</v>
      </c>
      <c r="AH13" s="55" t="str">
        <f>IF(ISBLANK(ETPT_TJ_DDG!$D$5),"",IF(ISERROR(ETPT_TJ!AH13),"",IF(ETPT_TJ!AH13=0,"",ETPT_TJ!AH13)))</f>
        <v/>
      </c>
      <c r="AI13" s="55" t="str">
        <f>IF(ISBLANK(ETPT_TJ_DDG!$D$5),"",IF(ISERROR(ETPT_TJ!AI13),"",IF(ETPT_TJ!AI13=0,"",ETPT_TJ!AI13)))</f>
        <v/>
      </c>
      <c r="AJ13" s="55" t="str">
        <f>IF(ISBLANK(ETPT_TJ_DDG!$D$5),"",IF(ISERROR(ETPT_TJ!AJ13),"",IF(ETPT_TJ!AJ13=0,"",ETPT_TJ!AJ13)))</f>
        <v/>
      </c>
      <c r="AK13" s="55" t="str">
        <f>IF(ISBLANK(ETPT_TJ_DDG!$D$5),"",IF(ISERROR(ETPT_TJ!AK13),"",IF(ETPT_TJ!AK13=0,"",ETPT_TJ!AK13)))</f>
        <v/>
      </c>
      <c r="AL13" s="55" t="str">
        <f>IF(ISBLANK(ETPT_TJ_DDG!$D$5),"",IF(ISERROR(ETPT_TJ!AL13),"",IF(ETPT_TJ!AL13=0,"",ETPT_TJ!AL13)))</f>
        <v/>
      </c>
      <c r="AM13" s="55" t="str">
        <f>IF(ISBLANK(ETPT_TJ_DDG!$D$5),"",IF(ISERROR(ETPT_TJ!AM13),"",IF(ETPT_TJ!AM13=0,"",ETPT_TJ!AM13)))</f>
        <v/>
      </c>
      <c r="AN13" s="55" t="str">
        <f>IF(ISBLANK(ETPT_TJ_DDG!$D$5),"",IF(ISERROR(ETPT_TJ!AN13),"",IF(ETPT_TJ!AN13=0,"",ETPT_TJ!AN13)))</f>
        <v/>
      </c>
      <c r="AO13" s="55" t="str">
        <f>IF(ISBLANK(ETPT_TJ_DDG!$D$5),"",IF(ISERROR(ETPT_TJ!AO13),"",IF(ETPT_TJ!AO13=0,"",ETPT_TJ!AO13)))</f>
        <v/>
      </c>
      <c r="AP13" s="55" t="str">
        <f>IF(ISBLANK(ETPT_TJ_DDG!$D$5),"",IF(ISERROR(ETPT_TJ!AP13),"",IF(ETPT_TJ!AP13=0,"",ETPT_TJ!AP13)))</f>
        <v/>
      </c>
      <c r="AQ13" s="55" t="str">
        <f>IF(ISBLANK(ETPT_TJ_DDG!$D$5),"",IF(ISERROR(ETPT_TJ!AQ13),"",IF(ETPT_TJ!AQ13=0,"",ETPT_TJ!AQ13)))</f>
        <v/>
      </c>
      <c r="AR13" s="55" t="str">
        <f>IF(ISBLANK(ETPT_TJ_DDG!$D$5),"",IF(ISERROR(ETPT_TJ!AR13),"",IF(ETPT_TJ!AR13=0,"",ETPT_TJ!AR13)))</f>
        <v/>
      </c>
      <c r="AS13" s="55" t="str">
        <f>IF(ISBLANK(ETPT_TJ_DDG!$D$5),"",IF(ISERROR(ETPT_TJ!AS13),"",IF(ETPT_TJ!AS13=0,"",ETPT_TJ!AS13)))</f>
        <v/>
      </c>
      <c r="AT13" s="55" t="str">
        <f>IF(ISBLANK(ETPT_TJ_DDG!$D$5),"",IF(ISERROR(ETPT_TJ!AT13),"",IF(ETPT_TJ!AT13=0,"",ETPT_TJ!AT13)))</f>
        <v/>
      </c>
      <c r="AU13" s="55" t="str">
        <f>IF(ISBLANK(ETPT_TJ_DDG!$D$5),"",IF(ISERROR(ETPT_TJ!AU13),"",IF(ETPT_TJ!AU13=0,"",ETPT_TJ!AU13)))</f>
        <v/>
      </c>
      <c r="AV13" s="46">
        <f t="shared" si="3"/>
        <v>0</v>
      </c>
      <c r="AW13" s="51"/>
      <c r="AX13" s="51"/>
      <c r="AY13" s="51"/>
      <c r="AZ13" s="51"/>
      <c r="BA13" s="51"/>
      <c r="BB13" s="51"/>
      <c r="BC13" s="51"/>
      <c r="BD13" s="51"/>
      <c r="BE13" s="51"/>
      <c r="BF13" s="46">
        <f t="shared" si="4"/>
        <v>0</v>
      </c>
    </row>
    <row r="14" spans="1:59" s="41" customFormat="1" ht="14.25" customHeight="1" x14ac:dyDescent="0.15">
      <c r="A14" s="50" t="s">
        <v>42</v>
      </c>
      <c r="B14" s="58"/>
      <c r="C14" s="58"/>
      <c r="D14" s="115" t="str">
        <f t="shared" si="5"/>
        <v/>
      </c>
      <c r="E14" s="58" t="s">
        <v>44</v>
      </c>
      <c r="F14" s="58" t="s">
        <v>43</v>
      </c>
      <c r="G14" s="55" t="str">
        <f>IF(ISBLANK(ETPT_TJ_DDG!$D$5),"",IF(ISERROR(ETPT_TJ!G14),"",IF(ETPT_TJ!G14=0,"",ETPT_TJ!G14)))</f>
        <v/>
      </c>
      <c r="H14" s="46">
        <f t="shared" si="0"/>
        <v>0</v>
      </c>
      <c r="I14" s="55" t="str">
        <f>IF(ISBLANK(ETPT_TJ_DDG!$D$5),"",IF(ISERROR(ETPT_TJ!I14),"",IF(ETPT_TJ!I14=0,"",ETPT_TJ!I14)))</f>
        <v/>
      </c>
      <c r="J14" s="55" t="str">
        <f>IF(ISBLANK(ETPT_TJ_DDG!$D$5),"",IF(ISERROR(ETPT_TJ!J14),"",IF(ETPT_TJ!J14=0,"",ETPT_TJ!J14)))</f>
        <v/>
      </c>
      <c r="K14" s="55" t="str">
        <f>IF(ISBLANK(ETPT_TJ_DDG!$D$5),"",IF(ISERROR(ETPT_TJ!K14),"",IF(ETPT_TJ!K14=0,"",ETPT_TJ!K14)))</f>
        <v/>
      </c>
      <c r="L14" s="55" t="str">
        <f>IF(ISBLANK(ETPT_TJ_DDG!$D$5),"",IF(ISERROR(ETPT_TJ!L14),"",IF(ETPT_TJ!L14=0,"",ETPT_TJ!L14)))</f>
        <v/>
      </c>
      <c r="M14" s="55" t="str">
        <f>IF(ISBLANK(ETPT_TJ_DDG!$D$5),"",IF(ISERROR(ETPT_TJ!M14),"",IF(ETPT_TJ!M14=0,"",ETPT_TJ!M14)))</f>
        <v/>
      </c>
      <c r="N14" s="55" t="str">
        <f>IF(ISBLANK(ETPT_TJ_DDG!$D$5),"",IF(ISERROR(ETPT_TJ!N14),"",IF(ETPT_TJ!N14=0,"",ETPT_TJ!N14)))</f>
        <v/>
      </c>
      <c r="O14" s="55" t="str">
        <f>IF(ISBLANK(ETPT_TJ_DDG!$D$5),"",IF(ISERROR(ETPT_TJ!O14),"",IF(ETPT_TJ!O14=0,"",ETPT_TJ!O14)))</f>
        <v/>
      </c>
      <c r="P14" s="55" t="str">
        <f>IF(ISBLANK(ETPT_TJ_DDG!$D$5),"",IF(ISERROR(ETPT_TJ!P14),"",IF(ETPT_TJ!P14=0,"",ETPT_TJ!P14)))</f>
        <v/>
      </c>
      <c r="Q14" s="55" t="str">
        <f>IF(ISBLANK(ETPT_TJ_DDG!$D$5),"",IF(ISERROR(ETPT_TJ!Q14),"",IF(ETPT_TJ!Q14=0,"",ETPT_TJ!Q14)))</f>
        <v/>
      </c>
      <c r="R14" s="55" t="str">
        <f>IF(ISBLANK(ETPT_TJ_DDG!$D$5),"",IF(ISERROR(ETPT_TJ!R14),"",IF(ETPT_TJ!R14=0,"",ETPT_TJ!R14)))</f>
        <v/>
      </c>
      <c r="S14" s="55" t="str">
        <f>IF(ISBLANK(ETPT_TJ_DDG!$D$5),"",IF(ISERROR(ETPT_TJ!S14),"",IF(ETPT_TJ!S14=0,"",ETPT_TJ!S14)))</f>
        <v/>
      </c>
      <c r="T14" s="55" t="str">
        <f>IF(ISBLANK(ETPT_TJ_DDG!$D$5),"",IF(ISERROR(ETPT_TJ!T14),"",IF(ETPT_TJ!T14=0,"",ETPT_TJ!T14)))</f>
        <v/>
      </c>
      <c r="U14" s="55" t="str">
        <f>IF(ISBLANK(ETPT_TJ_DDG!$D$5),"",IF(ISERROR(ETPT_TJ!U14),"",IF(ETPT_TJ!U14=0,"",ETPT_TJ!U14)))</f>
        <v/>
      </c>
      <c r="V14" s="55" t="str">
        <f>IF(ISBLANK(ETPT_TJ_DDG!$D$5),"",IF(ISERROR(ETPT_TJ!V14),"",IF(ETPT_TJ!V14=0,"",ETPT_TJ!V14)))</f>
        <v/>
      </c>
      <c r="W14" s="46">
        <f t="shared" si="1"/>
        <v>0</v>
      </c>
      <c r="X14" s="55" t="str">
        <f>IF(ISBLANK(ETPT_TJ_DDG!$D$5),"",IF(ISERROR(ETPT_TJ!X14),"",IF(ETPT_TJ!X14=0,"",ETPT_TJ!X14)))</f>
        <v/>
      </c>
      <c r="Y14" s="55" t="str">
        <f>IF(ISBLANK(ETPT_TJ_DDG!$D$5),"",IF(ISERROR(ETPT_TJ!Y14),"",IF(ETPT_TJ!Y14=0,"",ETPT_TJ!Y14)))</f>
        <v/>
      </c>
      <c r="Z14" s="55" t="str">
        <f>IF(ISBLANK(ETPT_TJ_DDG!$D$5),"",IF(ISERROR(ETPT_TJ!Z14),"",IF(ETPT_TJ!Z14=0,"",ETPT_TJ!Z14)))</f>
        <v/>
      </c>
      <c r="AA14" s="55" t="str">
        <f>IF(ISBLANK(ETPT_TJ_DDG!$D$5),"",IF(ISERROR(ETPT_TJ!AA14),"",IF(ETPT_TJ!AA14=0,"",ETPT_TJ!AA14)))</f>
        <v/>
      </c>
      <c r="AB14" s="55" t="str">
        <f>IF(ISBLANK(ETPT_TJ_DDG!$D$5),"",IF(ISERROR(ETPT_TJ!AB14),"",IF(ETPT_TJ!AB14=0,"",ETPT_TJ!AB14)))</f>
        <v/>
      </c>
      <c r="AC14" s="55" t="str">
        <f>IF(ISBLANK(ETPT_TJ_DDG!$D$5),"",IF(ISERROR(ETPT_TJ!AC14),"",IF(ETPT_TJ!AC14=0,"",ETPT_TJ!AC14)))</f>
        <v/>
      </c>
      <c r="AD14" s="55" t="str">
        <f>IF(ISBLANK(ETPT_TJ_DDG!$D$5),"",IF(ISERROR(ETPT_TJ!AD14),"",IF(ETPT_TJ!AD14=0,"",ETPT_TJ!AD14)))</f>
        <v/>
      </c>
      <c r="AE14" s="55" t="str">
        <f>IF(ISBLANK(ETPT_TJ_DDG!$D$5),"",IF(ISERROR(ETPT_TJ!AE14),"",IF(ETPT_TJ!AE14=0,"",ETPT_TJ!AE14)))</f>
        <v/>
      </c>
      <c r="AF14" s="55" t="str">
        <f>IF(ISBLANK(ETPT_TJ_DDG!$D$5),"",IF(ISERROR(ETPT_TJ!AF14),"",IF(ETPT_TJ!AF14=0,"",ETPT_TJ!AF14)))</f>
        <v/>
      </c>
      <c r="AG14" s="46">
        <f t="shared" si="2"/>
        <v>0</v>
      </c>
      <c r="AH14" s="55" t="str">
        <f>IF(ISBLANK(ETPT_TJ_DDG!$D$5),"",IF(ISERROR(ETPT_TJ!AH14),"",IF(ETPT_TJ!AH14=0,"",ETPT_TJ!AH14)))</f>
        <v/>
      </c>
      <c r="AI14" s="55" t="str">
        <f>IF(ISBLANK(ETPT_TJ_DDG!$D$5),"",IF(ISERROR(ETPT_TJ!AI14),"",IF(ETPT_TJ!AI14=0,"",ETPT_TJ!AI14)))</f>
        <v/>
      </c>
      <c r="AJ14" s="55" t="str">
        <f>IF(ISBLANK(ETPT_TJ_DDG!$D$5),"",IF(ISERROR(ETPT_TJ!AJ14),"",IF(ETPT_TJ!AJ14=0,"",ETPT_TJ!AJ14)))</f>
        <v/>
      </c>
      <c r="AK14" s="55" t="str">
        <f>IF(ISBLANK(ETPT_TJ_DDG!$D$5),"",IF(ISERROR(ETPT_TJ!AK14),"",IF(ETPT_TJ!AK14=0,"",ETPT_TJ!AK14)))</f>
        <v/>
      </c>
      <c r="AL14" s="55" t="str">
        <f>IF(ISBLANK(ETPT_TJ_DDG!$D$5),"",IF(ISERROR(ETPT_TJ!AL14),"",IF(ETPT_TJ!AL14=0,"",ETPT_TJ!AL14)))</f>
        <v/>
      </c>
      <c r="AM14" s="55" t="str">
        <f>IF(ISBLANK(ETPT_TJ_DDG!$D$5),"",IF(ISERROR(ETPT_TJ!AM14),"",IF(ETPT_TJ!AM14=0,"",ETPT_TJ!AM14)))</f>
        <v/>
      </c>
      <c r="AN14" s="55" t="str">
        <f>IF(ISBLANK(ETPT_TJ_DDG!$D$5),"",IF(ISERROR(ETPT_TJ!AN14),"",IF(ETPT_TJ!AN14=0,"",ETPT_TJ!AN14)))</f>
        <v/>
      </c>
      <c r="AO14" s="55" t="str">
        <f>IF(ISBLANK(ETPT_TJ_DDG!$D$5),"",IF(ISERROR(ETPT_TJ!AO14),"",IF(ETPT_TJ!AO14=0,"",ETPT_TJ!AO14)))</f>
        <v/>
      </c>
      <c r="AP14" s="55" t="str">
        <f>IF(ISBLANK(ETPT_TJ_DDG!$D$5),"",IF(ISERROR(ETPT_TJ!AP14),"",IF(ETPT_TJ!AP14=0,"",ETPT_TJ!AP14)))</f>
        <v/>
      </c>
      <c r="AQ14" s="55" t="str">
        <f>IF(ISBLANK(ETPT_TJ_DDG!$D$5),"",IF(ISERROR(ETPT_TJ!AQ14),"",IF(ETPT_TJ!AQ14=0,"",ETPT_TJ!AQ14)))</f>
        <v/>
      </c>
      <c r="AR14" s="55" t="str">
        <f>IF(ISBLANK(ETPT_TJ_DDG!$D$5),"",IF(ISERROR(ETPT_TJ!AR14),"",IF(ETPT_TJ!AR14=0,"",ETPT_TJ!AR14)))</f>
        <v/>
      </c>
      <c r="AS14" s="55" t="str">
        <f>IF(ISBLANK(ETPT_TJ_DDG!$D$5),"",IF(ISERROR(ETPT_TJ!AS14),"",IF(ETPT_TJ!AS14=0,"",ETPT_TJ!AS14)))</f>
        <v/>
      </c>
      <c r="AT14" s="55" t="str">
        <f>IF(ISBLANK(ETPT_TJ_DDG!$D$5),"",IF(ISERROR(ETPT_TJ!AT14),"",IF(ETPT_TJ!AT14=0,"",ETPT_TJ!AT14)))</f>
        <v/>
      </c>
      <c r="AU14" s="55" t="str">
        <f>IF(ISBLANK(ETPT_TJ_DDG!$D$5),"",IF(ISERROR(ETPT_TJ!AU14),"",IF(ETPT_TJ!AU14=0,"",ETPT_TJ!AU14)))</f>
        <v/>
      </c>
      <c r="AV14" s="46">
        <f t="shared" si="3"/>
        <v>0</v>
      </c>
      <c r="AW14" s="51"/>
      <c r="AX14" s="51"/>
      <c r="AY14" s="51"/>
      <c r="AZ14" s="51"/>
      <c r="BA14" s="51"/>
      <c r="BB14" s="51"/>
      <c r="BC14" s="51"/>
      <c r="BD14" s="51"/>
      <c r="BE14" s="51"/>
      <c r="BF14" s="46">
        <f t="shared" si="4"/>
        <v>0</v>
      </c>
    </row>
    <row r="15" spans="1:59" s="41" customFormat="1" ht="14.25" customHeight="1" x14ac:dyDescent="0.15">
      <c r="A15" s="50" t="s">
        <v>42</v>
      </c>
      <c r="B15" s="58"/>
      <c r="C15" s="58"/>
      <c r="D15" s="115" t="str">
        <f t="shared" si="5"/>
        <v/>
      </c>
      <c r="E15" s="58" t="s">
        <v>41</v>
      </c>
      <c r="F15" s="58" t="s">
        <v>40</v>
      </c>
      <c r="G15" s="55" t="str">
        <f>IF(ISBLANK(ETPT_TJ_DDG!$D$5),"",IF(ISERROR(ETPT_TJ!G15),"",IF(ETPT_TJ!G15=0,"",ETPT_TJ!G15)))</f>
        <v/>
      </c>
      <c r="H15" s="46">
        <f t="shared" si="0"/>
        <v>0</v>
      </c>
      <c r="I15" s="55" t="str">
        <f>IF(ISBLANK(ETPT_TJ_DDG!$D$5),"",IF(ISERROR(ETPT_TJ!I15),"",IF(ETPT_TJ!I15=0,"",ETPT_TJ!I15)))</f>
        <v/>
      </c>
      <c r="J15" s="55" t="str">
        <f>IF(ISBLANK(ETPT_TJ_DDG!$D$5),"",IF(ISERROR(ETPT_TJ!J15),"",IF(ETPT_TJ!J15=0,"",ETPT_TJ!J15)))</f>
        <v/>
      </c>
      <c r="K15" s="55" t="str">
        <f>IF(ISBLANK(ETPT_TJ_DDG!$D$5),"",IF(ISERROR(ETPT_TJ!K15),"",IF(ETPT_TJ!K15=0,"",ETPT_TJ!K15)))</f>
        <v/>
      </c>
      <c r="L15" s="55" t="str">
        <f>IF(ISBLANK(ETPT_TJ_DDG!$D$5),"",IF(ISERROR(ETPT_TJ!L15),"",IF(ETPT_TJ!L15=0,"",ETPT_TJ!L15)))</f>
        <v/>
      </c>
      <c r="M15" s="55" t="str">
        <f>IF(ISBLANK(ETPT_TJ_DDG!$D$5),"",IF(ISERROR(ETPT_TJ!M15),"",IF(ETPT_TJ!M15=0,"",ETPT_TJ!M15)))</f>
        <v/>
      </c>
      <c r="N15" s="55" t="str">
        <f>IF(ISBLANK(ETPT_TJ_DDG!$D$5),"",IF(ISERROR(ETPT_TJ!N15),"",IF(ETPT_TJ!N15=0,"",ETPT_TJ!N15)))</f>
        <v/>
      </c>
      <c r="O15" s="55" t="str">
        <f>IF(ISBLANK(ETPT_TJ_DDG!$D$5),"",IF(ISERROR(ETPT_TJ!O15),"",IF(ETPT_TJ!O15=0,"",ETPT_TJ!O15)))</f>
        <v/>
      </c>
      <c r="P15" s="55" t="str">
        <f>IF(ISBLANK(ETPT_TJ_DDG!$D$5),"",IF(ISERROR(ETPT_TJ!P15),"",IF(ETPT_TJ!P15=0,"",ETPT_TJ!P15)))</f>
        <v/>
      </c>
      <c r="Q15" s="55" t="str">
        <f>IF(ISBLANK(ETPT_TJ_DDG!$D$5),"",IF(ISERROR(ETPT_TJ!Q15),"",IF(ETPT_TJ!Q15=0,"",ETPT_TJ!Q15)))</f>
        <v/>
      </c>
      <c r="R15" s="55" t="str">
        <f>IF(ISBLANK(ETPT_TJ_DDG!$D$5),"",IF(ISERROR(ETPT_TJ!R15),"",IF(ETPT_TJ!R15=0,"",ETPT_TJ!R15)))</f>
        <v/>
      </c>
      <c r="S15" s="55" t="str">
        <f>IF(ISBLANK(ETPT_TJ_DDG!$D$5),"",IF(ISERROR(ETPT_TJ!S15),"",IF(ETPT_TJ!S15=0,"",ETPT_TJ!S15)))</f>
        <v/>
      </c>
      <c r="T15" s="55" t="str">
        <f>IF(ISBLANK(ETPT_TJ_DDG!$D$5),"",IF(ISERROR(ETPT_TJ!T15),"",IF(ETPT_TJ!T15=0,"",ETPT_TJ!T15)))</f>
        <v/>
      </c>
      <c r="U15" s="55" t="str">
        <f>IF(ISBLANK(ETPT_TJ_DDG!$D$5),"",IF(ISERROR(ETPT_TJ!U15),"",IF(ETPT_TJ!U15=0,"",ETPT_TJ!U15)))</f>
        <v/>
      </c>
      <c r="V15" s="55" t="str">
        <f>IF(ISBLANK(ETPT_TJ_DDG!$D$5),"",IF(ISERROR(ETPT_TJ!V15),"",IF(ETPT_TJ!V15=0,"",ETPT_TJ!V15)))</f>
        <v/>
      </c>
      <c r="W15" s="46">
        <f t="shared" si="1"/>
        <v>0</v>
      </c>
      <c r="X15" s="55" t="str">
        <f>IF(ISBLANK(ETPT_TJ_DDG!$D$5),"",IF(ISERROR(ETPT_TJ!X15),"",IF(ETPT_TJ!X15=0,"",ETPT_TJ!X15)))</f>
        <v/>
      </c>
      <c r="Y15" s="55" t="str">
        <f>IF(ISBLANK(ETPT_TJ_DDG!$D$5),"",IF(ISERROR(ETPT_TJ!Y15),"",IF(ETPT_TJ!Y15=0,"",ETPT_TJ!Y15)))</f>
        <v/>
      </c>
      <c r="Z15" s="55" t="str">
        <f>IF(ISBLANK(ETPT_TJ_DDG!$D$5),"",IF(ISERROR(ETPT_TJ!Z15),"",IF(ETPT_TJ!Z15=0,"",ETPT_TJ!Z15)))</f>
        <v/>
      </c>
      <c r="AA15" s="55" t="str">
        <f>IF(ISBLANK(ETPT_TJ_DDG!$D$5),"",IF(ISERROR(ETPT_TJ!AA15),"",IF(ETPT_TJ!AA15=0,"",ETPT_TJ!AA15)))</f>
        <v/>
      </c>
      <c r="AB15" s="55" t="str">
        <f>IF(ISBLANK(ETPT_TJ_DDG!$D$5),"",IF(ISERROR(ETPT_TJ!AB15),"",IF(ETPT_TJ!AB15=0,"",ETPT_TJ!AB15)))</f>
        <v/>
      </c>
      <c r="AC15" s="55" t="str">
        <f>IF(ISBLANK(ETPT_TJ_DDG!$D$5),"",IF(ISERROR(ETPT_TJ!AC15),"",IF(ETPT_TJ!AC15=0,"",ETPT_TJ!AC15)))</f>
        <v/>
      </c>
      <c r="AD15" s="55" t="str">
        <f>IF(ISBLANK(ETPT_TJ_DDG!$D$5),"",IF(ISERROR(ETPT_TJ!AD15),"",IF(ETPT_TJ!AD15=0,"",ETPT_TJ!AD15)))</f>
        <v/>
      </c>
      <c r="AE15" s="55" t="str">
        <f>IF(ISBLANK(ETPT_TJ_DDG!$D$5),"",IF(ISERROR(ETPT_TJ!AE15),"",IF(ETPT_TJ!AE15=0,"",ETPT_TJ!AE15)))</f>
        <v/>
      </c>
      <c r="AF15" s="55" t="str">
        <f>IF(ISBLANK(ETPT_TJ_DDG!$D$5),"",IF(ISERROR(ETPT_TJ!AF15),"",IF(ETPT_TJ!AF15=0,"",ETPT_TJ!AF15)))</f>
        <v/>
      </c>
      <c r="AG15" s="46">
        <f t="shared" si="2"/>
        <v>0</v>
      </c>
      <c r="AH15" s="55" t="str">
        <f>IF(ISBLANK(ETPT_TJ_DDG!$D$5),"",IF(ISERROR(ETPT_TJ!AH15),"",IF(ETPT_TJ!AH15=0,"",ETPT_TJ!AH15)))</f>
        <v/>
      </c>
      <c r="AI15" s="55" t="str">
        <f>IF(ISBLANK(ETPT_TJ_DDG!$D$5),"",IF(ISERROR(ETPT_TJ!AI15),"",IF(ETPT_TJ!AI15=0,"",ETPT_TJ!AI15)))</f>
        <v/>
      </c>
      <c r="AJ15" s="55" t="str">
        <f>IF(ISBLANK(ETPT_TJ_DDG!$D$5),"",IF(ISERROR(ETPT_TJ!AJ15),"",IF(ETPT_TJ!AJ15=0,"",ETPT_TJ!AJ15)))</f>
        <v/>
      </c>
      <c r="AK15" s="55" t="str">
        <f>IF(ISBLANK(ETPT_TJ_DDG!$D$5),"",IF(ISERROR(ETPT_TJ!AK15),"",IF(ETPT_TJ!AK15=0,"",ETPT_TJ!AK15)))</f>
        <v/>
      </c>
      <c r="AL15" s="55" t="str">
        <f>IF(ISBLANK(ETPT_TJ_DDG!$D$5),"",IF(ISERROR(ETPT_TJ!AL15),"",IF(ETPT_TJ!AL15=0,"",ETPT_TJ!AL15)))</f>
        <v/>
      </c>
      <c r="AM15" s="55" t="str">
        <f>IF(ISBLANK(ETPT_TJ_DDG!$D$5),"",IF(ISERROR(ETPT_TJ!AM15),"",IF(ETPT_TJ!AM15=0,"",ETPT_TJ!AM15)))</f>
        <v/>
      </c>
      <c r="AN15" s="55" t="str">
        <f>IF(ISBLANK(ETPT_TJ_DDG!$D$5),"",IF(ISERROR(ETPT_TJ!AN15),"",IF(ETPT_TJ!AN15=0,"",ETPT_TJ!AN15)))</f>
        <v/>
      </c>
      <c r="AO15" s="55" t="str">
        <f>IF(ISBLANK(ETPT_TJ_DDG!$D$5),"",IF(ISERROR(ETPT_TJ!AO15),"",IF(ETPT_TJ!AO15=0,"",ETPT_TJ!AO15)))</f>
        <v/>
      </c>
      <c r="AP15" s="55" t="str">
        <f>IF(ISBLANK(ETPT_TJ_DDG!$D$5),"",IF(ISERROR(ETPT_TJ!AP15),"",IF(ETPT_TJ!AP15=0,"",ETPT_TJ!AP15)))</f>
        <v/>
      </c>
      <c r="AQ15" s="55" t="str">
        <f>IF(ISBLANK(ETPT_TJ_DDG!$D$5),"",IF(ISERROR(ETPT_TJ!AQ15),"",IF(ETPT_TJ!AQ15=0,"",ETPT_TJ!AQ15)))</f>
        <v/>
      </c>
      <c r="AR15" s="55" t="str">
        <f>IF(ISBLANK(ETPT_TJ_DDG!$D$5),"",IF(ISERROR(ETPT_TJ!AR15),"",IF(ETPT_TJ!AR15=0,"",ETPT_TJ!AR15)))</f>
        <v/>
      </c>
      <c r="AS15" s="55" t="str">
        <f>IF(ISBLANK(ETPT_TJ_DDG!$D$5),"",IF(ISERROR(ETPT_TJ!AS15),"",IF(ETPT_TJ!AS15=0,"",ETPT_TJ!AS15)))</f>
        <v/>
      </c>
      <c r="AT15" s="55" t="str">
        <f>IF(ISBLANK(ETPT_TJ_DDG!$D$5),"",IF(ISERROR(ETPT_TJ!AT15),"",IF(ETPT_TJ!AT15=0,"",ETPT_TJ!AT15)))</f>
        <v/>
      </c>
      <c r="AU15" s="55" t="str">
        <f>IF(ISBLANK(ETPT_TJ_DDG!$D$5),"",IF(ISERROR(ETPT_TJ!AU15),"",IF(ETPT_TJ!AU15=0,"",ETPT_TJ!AU15)))</f>
        <v/>
      </c>
      <c r="AV15" s="46">
        <f t="shared" si="3"/>
        <v>0</v>
      </c>
      <c r="AW15" s="51"/>
      <c r="AX15" s="51"/>
      <c r="AY15" s="51"/>
      <c r="AZ15" s="51"/>
      <c r="BA15" s="51"/>
      <c r="BB15" s="51"/>
      <c r="BC15" s="51"/>
      <c r="BD15" s="51"/>
      <c r="BE15" s="51"/>
      <c r="BF15" s="46">
        <f t="shared" si="4"/>
        <v>0</v>
      </c>
    </row>
    <row r="16" spans="1:59" s="41" customFormat="1" ht="14.25" customHeight="1" x14ac:dyDescent="0.15">
      <c r="A16" s="50"/>
      <c r="B16" s="49"/>
      <c r="C16" s="49"/>
      <c r="D16" s="49"/>
      <c r="E16" s="49"/>
      <c r="F16" s="48" t="s">
        <v>39</v>
      </c>
      <c r="G16" s="47">
        <f t="shared" ref="G16:AG16" si="6">SUM(G5:G15)</f>
        <v>0</v>
      </c>
      <c r="H16" s="46">
        <f t="shared" si="6"/>
        <v>0</v>
      </c>
      <c r="I16" s="47">
        <f t="shared" si="6"/>
        <v>0</v>
      </c>
      <c r="J16" s="47">
        <f t="shared" si="6"/>
        <v>0</v>
      </c>
      <c r="K16" s="47">
        <f t="shared" si="6"/>
        <v>0</v>
      </c>
      <c r="L16" s="47">
        <f t="shared" si="6"/>
        <v>0</v>
      </c>
      <c r="M16" s="47">
        <f t="shared" si="6"/>
        <v>0</v>
      </c>
      <c r="N16" s="47">
        <f t="shared" si="6"/>
        <v>0</v>
      </c>
      <c r="O16" s="47">
        <f t="shared" si="6"/>
        <v>0</v>
      </c>
      <c r="P16" s="47">
        <f t="shared" si="6"/>
        <v>0</v>
      </c>
      <c r="Q16" s="47">
        <f t="shared" si="6"/>
        <v>0</v>
      </c>
      <c r="R16" s="47">
        <f t="shared" si="6"/>
        <v>0</v>
      </c>
      <c r="S16" s="47">
        <f t="shared" si="6"/>
        <v>0</v>
      </c>
      <c r="T16" s="47">
        <f t="shared" si="6"/>
        <v>0</v>
      </c>
      <c r="U16" s="47">
        <f t="shared" si="6"/>
        <v>0</v>
      </c>
      <c r="V16" s="47">
        <f t="shared" si="6"/>
        <v>0</v>
      </c>
      <c r="W16" s="46">
        <f t="shared" si="6"/>
        <v>0</v>
      </c>
      <c r="X16" s="47">
        <f t="shared" si="6"/>
        <v>0</v>
      </c>
      <c r="Y16" s="47">
        <f t="shared" si="6"/>
        <v>0</v>
      </c>
      <c r="Z16" s="47">
        <f t="shared" si="6"/>
        <v>0</v>
      </c>
      <c r="AA16" s="47">
        <f t="shared" si="6"/>
        <v>0</v>
      </c>
      <c r="AB16" s="47">
        <f t="shared" si="6"/>
        <v>0</v>
      </c>
      <c r="AC16" s="47">
        <f t="shared" si="6"/>
        <v>0</v>
      </c>
      <c r="AD16" s="47">
        <f t="shared" si="6"/>
        <v>0</v>
      </c>
      <c r="AE16" s="47">
        <f t="shared" si="6"/>
        <v>0</v>
      </c>
      <c r="AF16" s="47">
        <f t="shared" si="6"/>
        <v>0</v>
      </c>
      <c r="AG16" s="46">
        <f t="shared" si="6"/>
        <v>0</v>
      </c>
      <c r="AH16" s="47">
        <f t="shared" ref="AH16:BF16" si="7">SUM(AH5:AH15)</f>
        <v>0</v>
      </c>
      <c r="AI16" s="47">
        <f t="shared" si="7"/>
        <v>0</v>
      </c>
      <c r="AJ16" s="47">
        <f t="shared" si="7"/>
        <v>0</v>
      </c>
      <c r="AK16" s="47">
        <f t="shared" si="7"/>
        <v>0</v>
      </c>
      <c r="AL16" s="47">
        <f t="shared" si="7"/>
        <v>0</v>
      </c>
      <c r="AM16" s="47">
        <f t="shared" si="7"/>
        <v>0</v>
      </c>
      <c r="AN16" s="47">
        <f t="shared" si="7"/>
        <v>0</v>
      </c>
      <c r="AO16" s="47">
        <f t="shared" si="7"/>
        <v>0</v>
      </c>
      <c r="AP16" s="47">
        <f t="shared" si="7"/>
        <v>0</v>
      </c>
      <c r="AQ16" s="47">
        <f t="shared" si="7"/>
        <v>0</v>
      </c>
      <c r="AR16" s="47">
        <f t="shared" si="7"/>
        <v>0</v>
      </c>
      <c r="AS16" s="47">
        <f t="shared" si="7"/>
        <v>0</v>
      </c>
      <c r="AT16" s="47">
        <f t="shared" si="7"/>
        <v>0</v>
      </c>
      <c r="AU16" s="47">
        <f t="shared" si="7"/>
        <v>0</v>
      </c>
      <c r="AV16" s="46">
        <f t="shared" si="7"/>
        <v>0</v>
      </c>
      <c r="AW16" s="47">
        <f t="shared" si="7"/>
        <v>0</v>
      </c>
      <c r="AX16" s="47">
        <f t="shared" si="7"/>
        <v>0</v>
      </c>
      <c r="AY16" s="47">
        <f t="shared" si="7"/>
        <v>0</v>
      </c>
      <c r="AZ16" s="47">
        <f t="shared" si="7"/>
        <v>0</v>
      </c>
      <c r="BA16" s="47">
        <f t="shared" si="7"/>
        <v>0</v>
      </c>
      <c r="BB16" s="47">
        <f t="shared" si="7"/>
        <v>0</v>
      </c>
      <c r="BC16" s="47">
        <f t="shared" si="7"/>
        <v>0</v>
      </c>
      <c r="BD16" s="47">
        <f t="shared" si="7"/>
        <v>0</v>
      </c>
      <c r="BE16" s="47">
        <f t="shared" si="7"/>
        <v>0</v>
      </c>
      <c r="BF16" s="46">
        <f t="shared" si="7"/>
        <v>0</v>
      </c>
    </row>
    <row r="17" spans="4:58" ht="15" customHeight="1" x14ac:dyDescent="0.2">
      <c r="D17" s="236"/>
      <c r="E17" s="236"/>
      <c r="F17" s="236"/>
      <c r="G17" s="236"/>
      <c r="H17" s="236"/>
      <c r="I17" s="236"/>
      <c r="J17" s="236"/>
      <c r="K17" s="236"/>
      <c r="L17" s="236"/>
      <c r="M17" s="236"/>
      <c r="N17" s="236"/>
      <c r="O17" s="236"/>
      <c r="P17" s="236"/>
      <c r="Q17" s="236"/>
      <c r="R17" s="236"/>
      <c r="S17" s="236"/>
      <c r="T17" s="236"/>
      <c r="U17" s="236"/>
      <c r="V17" s="236"/>
      <c r="W17" s="237"/>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236"/>
      <c r="AT17" s="236"/>
      <c r="AU17" s="236"/>
      <c r="AV17" s="237"/>
      <c r="AW17" s="236"/>
      <c r="AX17" s="236"/>
      <c r="AY17" s="236"/>
      <c r="AZ17" s="236"/>
      <c r="BA17" s="236"/>
      <c r="BB17" s="236"/>
      <c r="BC17" s="236"/>
      <c r="BD17" s="236"/>
      <c r="BE17" s="236"/>
      <c r="BF17" s="236"/>
    </row>
    <row r="18" spans="4:58" hidden="1" x14ac:dyDescent="0.2">
      <c r="D18" s="236"/>
      <c r="E18" s="236"/>
      <c r="F18" s="236"/>
      <c r="G18" s="236"/>
      <c r="H18" s="236"/>
      <c r="I18" s="236"/>
      <c r="J18" s="236"/>
      <c r="K18" s="236"/>
      <c r="L18" s="236"/>
      <c r="M18" s="236"/>
      <c r="N18" s="236"/>
      <c r="O18" s="236"/>
      <c r="P18" s="236"/>
      <c r="Q18" s="236"/>
      <c r="R18" s="236"/>
      <c r="S18" s="236"/>
      <c r="T18" s="236"/>
      <c r="U18" s="236"/>
      <c r="V18" s="236"/>
      <c r="W18" s="238"/>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236"/>
      <c r="AT18" s="236"/>
      <c r="AU18" s="236"/>
      <c r="AV18" s="238">
        <f>AV16+AG16-AV14-AG14-AV13-AV12-AG13-AG12</f>
        <v>0</v>
      </c>
      <c r="AW18" s="236"/>
      <c r="AX18" s="236"/>
      <c r="AY18" s="236"/>
      <c r="AZ18" s="236"/>
      <c r="BA18" s="236"/>
      <c r="BB18" s="236"/>
      <c r="BC18" s="236"/>
      <c r="BD18" s="236"/>
      <c r="BE18" s="236"/>
      <c r="BF18" s="236"/>
    </row>
    <row r="19" spans="4:58" x14ac:dyDescent="0.2">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236"/>
      <c r="AT19" s="236"/>
      <c r="AU19" s="236"/>
      <c r="AV19" s="236"/>
      <c r="AW19" s="236"/>
      <c r="AX19" s="236"/>
      <c r="AY19" s="236"/>
      <c r="AZ19" s="236"/>
      <c r="BA19" s="236"/>
      <c r="BB19" s="236"/>
      <c r="BC19" s="236"/>
      <c r="BD19" s="236"/>
      <c r="BE19" s="236"/>
      <c r="BF19" s="236"/>
    </row>
    <row r="20" spans="4:58" ht="24" x14ac:dyDescent="0.2">
      <c r="D20" s="236"/>
      <c r="E20" s="236"/>
      <c r="F20" s="239" t="s">
        <v>250</v>
      </c>
      <c r="G20" s="128" t="str">
        <f>IF(ISBLANK(ETPT_TJ_DDG!$D$5),"",IF(ISERROR(ETPT_TJ!G20),"",IF(ETPT_TJ!G20=0,"",ETPT_TJ!G20)))</f>
        <v/>
      </c>
      <c r="H20" s="236"/>
      <c r="I20" s="236"/>
      <c r="J20" s="236"/>
      <c r="K20" s="236"/>
      <c r="L20" s="236"/>
      <c r="M20" s="236"/>
      <c r="N20" s="236"/>
      <c r="O20" s="236"/>
      <c r="P20" s="236"/>
      <c r="Q20" s="236"/>
      <c r="R20" s="236"/>
      <c r="S20" s="236"/>
      <c r="T20" s="236"/>
      <c r="U20" s="240" t="s">
        <v>251</v>
      </c>
      <c r="V20" s="128" t="str">
        <f>IF(ISBLANK(ETPT_TJ_DDG!$D$5),"",IF(ISERROR(ETPT_TJ!V20),"",IF(ETPT_TJ!V20=0,"",ETPT_TJ!V20)))</f>
        <v/>
      </c>
      <c r="W20" s="236"/>
      <c r="X20" s="236"/>
      <c r="Y20" s="236"/>
      <c r="Z20" s="236"/>
      <c r="AA20" s="236"/>
      <c r="AB20" s="236"/>
      <c r="AC20" s="241"/>
      <c r="AD20" s="236"/>
      <c r="AE20" s="236"/>
      <c r="AF20" s="236"/>
      <c r="AG20" s="236"/>
      <c r="AH20" s="236"/>
      <c r="AI20" s="236"/>
      <c r="AJ20" s="236"/>
      <c r="AK20" s="236"/>
      <c r="AL20" s="236"/>
      <c r="AM20" s="236"/>
      <c r="AN20" s="236"/>
      <c r="AO20" s="236"/>
      <c r="AP20" s="236"/>
      <c r="AQ20" s="236"/>
      <c r="AR20" s="236"/>
      <c r="AS20" s="240" t="s">
        <v>249</v>
      </c>
      <c r="AT20" s="240"/>
      <c r="AU20" s="128" t="str">
        <f>IF(ISBLANK(ETPT_TJ_DDG!$D$5),"",IF(ISERROR(ETPT_TJ!AU20),"",IF(ETPT_TJ!AU20=0,"",ETPT_TJ!AU20)))</f>
        <v/>
      </c>
      <c r="AV20" s="236"/>
      <c r="AW20" s="236"/>
      <c r="AX20" s="236"/>
      <c r="AY20" s="236"/>
      <c r="AZ20" s="236"/>
      <c r="BA20" s="236"/>
      <c r="BB20" s="236"/>
      <c r="BC20" s="236"/>
      <c r="BD20" s="236"/>
      <c r="BE20" s="236"/>
      <c r="BF20" s="236"/>
    </row>
    <row r="21" spans="4:58" ht="17" thickBot="1" x14ac:dyDescent="0.25">
      <c r="E21" s="39"/>
    </row>
    <row r="22" spans="4:58" ht="69" customHeight="1" thickBot="1" x14ac:dyDescent="0.25">
      <c r="E22" s="427" t="s">
        <v>341</v>
      </c>
      <c r="F22" s="428"/>
      <c r="G22" s="428"/>
      <c r="H22" s="428"/>
      <c r="I22" s="428"/>
      <c r="J22" s="428"/>
      <c r="K22" s="428"/>
      <c r="L22" s="428"/>
      <c r="M22" s="428"/>
      <c r="N22" s="428"/>
      <c r="O22" s="428"/>
      <c r="P22" s="428"/>
      <c r="Q22" s="428"/>
      <c r="R22" s="428"/>
      <c r="S22" s="428"/>
      <c r="T22" s="428"/>
      <c r="U22" s="428"/>
      <c r="V22" s="428"/>
      <c r="W22" s="428"/>
      <c r="X22" s="429"/>
    </row>
  </sheetData>
  <mergeCells count="6">
    <mergeCell ref="E22:X22"/>
    <mergeCell ref="BF2:BF4"/>
    <mergeCell ref="H2:H4"/>
    <mergeCell ref="W2:W4"/>
    <mergeCell ref="AG2:AG4"/>
    <mergeCell ref="AV2:AV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F461-4586-D34F-8E14-1071CB20CB72}">
  <sheetPr codeName="Feuil15">
    <tabColor rgb="FFF7EF2D"/>
  </sheetPr>
  <dimension ref="A1:BH22"/>
  <sheetViews>
    <sheetView showGridLines="0" topLeftCell="D1" zoomScaleNormal="100" workbookViewId="0">
      <selection activeCell="K5" sqref="K5"/>
    </sheetView>
  </sheetViews>
  <sheetFormatPr baseColWidth="10" defaultColWidth="11" defaultRowHeight="16" x14ac:dyDescent="0.2"/>
  <cols>
    <col min="1" max="3" width="11" style="37" hidden="1" customWidth="1"/>
    <col min="4" max="4" width="13.5" style="37" customWidth="1"/>
    <col min="5" max="5" width="11" style="37"/>
    <col min="6" max="6" width="48.1640625" style="37" customWidth="1"/>
    <col min="7" max="16384" width="11" style="37"/>
  </cols>
  <sheetData>
    <row r="1" spans="1:60" s="4" customFormat="1" ht="80" customHeight="1" x14ac:dyDescent="0.25">
      <c r="A1" s="3" t="s">
        <v>217</v>
      </c>
      <c r="B1" s="5"/>
      <c r="C1" s="5"/>
      <c r="D1" s="3" t="s">
        <v>480</v>
      </c>
      <c r="E1" s="7"/>
      <c r="F1" s="6"/>
      <c r="G1" s="6"/>
      <c r="H1" s="7"/>
      <c r="I1" s="7"/>
      <c r="J1" s="7"/>
      <c r="K1" s="7"/>
      <c r="L1" s="7"/>
      <c r="M1" s="7"/>
      <c r="N1" s="7"/>
      <c r="O1" s="7"/>
      <c r="P1" s="7"/>
      <c r="Q1" s="7"/>
      <c r="R1" s="7"/>
      <c r="S1" s="7"/>
      <c r="T1" s="7"/>
      <c r="U1" s="7"/>
      <c r="V1" s="7"/>
      <c r="W1" s="7"/>
      <c r="X1" s="7"/>
      <c r="Y1" s="7"/>
      <c r="Z1" s="7"/>
      <c r="AA1" s="7"/>
      <c r="AB1" s="7"/>
      <c r="AC1" s="7"/>
      <c r="AD1" s="7"/>
      <c r="AE1" s="7"/>
      <c r="AF1" s="7"/>
      <c r="AG1" s="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row>
    <row r="2" spans="1:60" ht="16" hidden="1" customHeight="1" x14ac:dyDescent="0.2">
      <c r="A2" s="74"/>
      <c r="B2" s="74"/>
      <c r="C2" s="74"/>
      <c r="D2" s="236"/>
      <c r="E2" s="236"/>
      <c r="F2" s="236"/>
      <c r="G2" s="249" t="s">
        <v>108</v>
      </c>
      <c r="H2" s="248" t="s">
        <v>168</v>
      </c>
      <c r="I2" s="249" t="s">
        <v>191</v>
      </c>
      <c r="J2" s="249" t="s">
        <v>190</v>
      </c>
      <c r="K2" s="249" t="s">
        <v>189</v>
      </c>
      <c r="L2" s="249" t="s">
        <v>188</v>
      </c>
      <c r="M2" s="249" t="s">
        <v>187</v>
      </c>
      <c r="N2" s="249" t="s">
        <v>186</v>
      </c>
      <c r="O2" s="249" t="s">
        <v>185</v>
      </c>
      <c r="P2" s="249" t="s">
        <v>184</v>
      </c>
      <c r="Q2" s="249" t="s">
        <v>183</v>
      </c>
      <c r="R2" s="249" t="s">
        <v>478</v>
      </c>
      <c r="S2" s="248" t="s">
        <v>166</v>
      </c>
      <c r="T2" s="249" t="s">
        <v>182</v>
      </c>
      <c r="U2" s="249" t="s">
        <v>181</v>
      </c>
      <c r="V2" s="249" t="s">
        <v>479</v>
      </c>
      <c r="W2" s="249" t="s">
        <v>179</v>
      </c>
      <c r="X2" s="249" t="s">
        <v>178</v>
      </c>
      <c r="Y2" s="249" t="s">
        <v>177</v>
      </c>
      <c r="Z2" s="249" t="s">
        <v>176</v>
      </c>
      <c r="AA2" s="249" t="s">
        <v>175</v>
      </c>
      <c r="AB2" s="249" t="s">
        <v>174</v>
      </c>
      <c r="AC2" s="248" t="s">
        <v>213</v>
      </c>
      <c r="AD2" s="249" t="s">
        <v>475</v>
      </c>
      <c r="AE2" s="249" t="s">
        <v>78</v>
      </c>
      <c r="AF2" s="249" t="s">
        <v>72</v>
      </c>
      <c r="AG2" s="248" t="s">
        <v>211</v>
      </c>
    </row>
    <row r="3" spans="1:60" ht="36" hidden="1" customHeight="1" x14ac:dyDescent="0.2">
      <c r="A3" s="74"/>
      <c r="B3" s="74"/>
      <c r="C3" s="74"/>
      <c r="D3" s="236"/>
      <c r="E3" s="236"/>
      <c r="F3" s="236"/>
      <c r="G3" s="249" t="s">
        <v>108</v>
      </c>
      <c r="H3" s="248" t="s">
        <v>168</v>
      </c>
      <c r="I3" s="249" t="s">
        <v>191</v>
      </c>
      <c r="J3" s="249" t="s">
        <v>190</v>
      </c>
      <c r="K3" s="249" t="s">
        <v>189</v>
      </c>
      <c r="L3" s="249" t="s">
        <v>188</v>
      </c>
      <c r="M3" s="249" t="s">
        <v>187</v>
      </c>
      <c r="N3" s="249" t="s">
        <v>186</v>
      </c>
      <c r="O3" s="249" t="s">
        <v>185</v>
      </c>
      <c r="P3" s="249" t="s">
        <v>184</v>
      </c>
      <c r="Q3" s="249" t="s">
        <v>183</v>
      </c>
      <c r="R3" s="249" t="s">
        <v>478</v>
      </c>
      <c r="S3" s="248" t="s">
        <v>166</v>
      </c>
      <c r="T3" s="249" t="s">
        <v>182</v>
      </c>
      <c r="U3" s="249" t="s">
        <v>181</v>
      </c>
      <c r="V3" s="249" t="s">
        <v>479</v>
      </c>
      <c r="W3" s="249" t="s">
        <v>179</v>
      </c>
      <c r="X3" s="249" t="s">
        <v>178</v>
      </c>
      <c r="Y3" s="249" t="s">
        <v>177</v>
      </c>
      <c r="Z3" s="249" t="s">
        <v>176</v>
      </c>
      <c r="AA3" s="249" t="s">
        <v>175</v>
      </c>
      <c r="AB3" s="249" t="s">
        <v>174</v>
      </c>
      <c r="AC3" s="248" t="s">
        <v>213</v>
      </c>
      <c r="AD3" s="249" t="s">
        <v>475</v>
      </c>
      <c r="AE3" s="249" t="s">
        <v>78</v>
      </c>
      <c r="AF3" s="249" t="s">
        <v>72</v>
      </c>
      <c r="AG3" s="248" t="s">
        <v>211</v>
      </c>
    </row>
    <row r="4" spans="1:60" ht="60" x14ac:dyDescent="0.2">
      <c r="A4" s="74"/>
      <c r="B4" s="72" t="s">
        <v>112</v>
      </c>
      <c r="C4" s="72" t="s">
        <v>111</v>
      </c>
      <c r="D4" s="72" t="s">
        <v>32</v>
      </c>
      <c r="E4" s="72" t="s">
        <v>110</v>
      </c>
      <c r="F4" s="72" t="s">
        <v>109</v>
      </c>
      <c r="G4" s="249" t="s">
        <v>108</v>
      </c>
      <c r="H4" s="248" t="s">
        <v>168</v>
      </c>
      <c r="I4" s="249" t="s">
        <v>191</v>
      </c>
      <c r="J4" s="249" t="s">
        <v>190</v>
      </c>
      <c r="K4" s="249" t="s">
        <v>189</v>
      </c>
      <c r="L4" s="249" t="s">
        <v>188</v>
      </c>
      <c r="M4" s="249" t="s">
        <v>187</v>
      </c>
      <c r="N4" s="249" t="s">
        <v>186</v>
      </c>
      <c r="O4" s="249" t="s">
        <v>185</v>
      </c>
      <c r="P4" s="249" t="s">
        <v>184</v>
      </c>
      <c r="Q4" s="249" t="s">
        <v>183</v>
      </c>
      <c r="R4" s="249" t="s">
        <v>478</v>
      </c>
      <c r="S4" s="248" t="s">
        <v>166</v>
      </c>
      <c r="T4" s="249" t="s">
        <v>182</v>
      </c>
      <c r="U4" s="249" t="s">
        <v>181</v>
      </c>
      <c r="V4" s="249" t="s">
        <v>479</v>
      </c>
      <c r="W4" s="249" t="s">
        <v>179</v>
      </c>
      <c r="X4" s="249" t="s">
        <v>178</v>
      </c>
      <c r="Y4" s="249" t="s">
        <v>177</v>
      </c>
      <c r="Z4" s="249" t="s">
        <v>176</v>
      </c>
      <c r="AA4" s="249" t="s">
        <v>175</v>
      </c>
      <c r="AB4" s="249" t="s">
        <v>174</v>
      </c>
      <c r="AC4" s="248" t="s">
        <v>213</v>
      </c>
      <c r="AD4" s="249" t="s">
        <v>475</v>
      </c>
      <c r="AE4" s="249" t="s">
        <v>78</v>
      </c>
      <c r="AF4" s="249" t="s">
        <v>72</v>
      </c>
      <c r="AG4" s="248" t="s">
        <v>211</v>
      </c>
    </row>
    <row r="5" spans="1:60" x14ac:dyDescent="0.2">
      <c r="A5" s="77" t="s">
        <v>172</v>
      </c>
      <c r="B5" s="59"/>
      <c r="C5" s="59"/>
      <c r="D5" s="96"/>
      <c r="E5" s="59" t="s">
        <v>62</v>
      </c>
      <c r="F5" s="252" t="s">
        <v>61</v>
      </c>
      <c r="G5" s="93" t="str">
        <f>IF(ISBLANK(ETPT_TPRX_DDG!$D$5),"",IF(ISERROR(ETPT_TPRX!G5),"",IF(ETPT_TPRX!G5=0,"",ETPT_TPRX!G5)))</f>
        <v/>
      </c>
      <c r="H5" s="78">
        <f t="shared" ref="H5:H15" si="0">SUM(G5)</f>
        <v>0</v>
      </c>
      <c r="I5" s="93" t="str">
        <f>IF(ISBLANK(ETPT_TPRX_DDG!$D$5),"",IF(ISERROR(ETPT_TPRX!I5),"",IF(ETPT_TPRX!I5=0,"",ETPT_TPRX!I5)))</f>
        <v/>
      </c>
      <c r="J5" s="93" t="str">
        <f>IF(ISBLANK(ETPT_TPRX_DDG!$D$5),"",IF(ISERROR(ETPT_TPRX!J5),"",IF(ETPT_TPRX!J5=0,"",ETPT_TPRX!J5)))</f>
        <v/>
      </c>
      <c r="K5" s="93" t="str">
        <f>IF(ISBLANK(ETPT_TPRX_DDG!$D$5),"",IF(ISERROR(ETPT_TPRX!K5),"",IF(ETPT_TPRX!K5=0,"",ETPT_TPRX!K5)))</f>
        <v/>
      </c>
      <c r="L5" s="93" t="str">
        <f>IF(ISBLANK(ETPT_TPRX_DDG!$D$5),"",IF(ISERROR(ETPT_TPRX!L5),"",IF(ETPT_TPRX!L5=0,"",ETPT_TPRX!L5)))</f>
        <v/>
      </c>
      <c r="M5" s="93" t="str">
        <f>IF(ISBLANK(ETPT_TPRX_DDG!$D$5),"",IF(ISERROR(ETPT_TPRX!M5),"",IF(ETPT_TPRX!M5=0,"",ETPT_TPRX!M5)))</f>
        <v/>
      </c>
      <c r="N5" s="93" t="str">
        <f>IF(ISBLANK(ETPT_TPRX_DDG!$D$5),"",IF(ISERROR(ETPT_TPRX!N5),"",IF(ETPT_TPRX!N5=0,"",ETPT_TPRX!N5)))</f>
        <v/>
      </c>
      <c r="O5" s="93" t="str">
        <f>IF(ISBLANK(ETPT_TPRX_DDG!$D$5),"",IF(ISERROR(ETPT_TPRX!O5),"",IF(ETPT_TPRX!O5=0,"",ETPT_TPRX!O5)))</f>
        <v/>
      </c>
      <c r="P5" s="93" t="str">
        <f>IF(ISBLANK(ETPT_TPRX_DDG!$D$5),"",IF(ISERROR(ETPT_TPRX!P5),"",IF(ETPT_TPRX!P5=0,"",ETPT_TPRX!P5)))</f>
        <v/>
      </c>
      <c r="Q5" s="93" t="str">
        <f>IF(ISBLANK(ETPT_TPRX_DDG!$D$5),"",IF(ISERROR(ETPT_TPRX!Q5),"",IF(ETPT_TPRX!Q5=0,"",ETPT_TPRX!Q5)))</f>
        <v/>
      </c>
      <c r="R5" s="93" t="str">
        <f>IF(ISBLANK(ETPT_TPRX_DDG!$D$5),"",IF(ISERROR(ETPT_TPRX!R5),"",IF(ETPT_TPRX!R5=0,"",ETPT_TPRX!R5)))</f>
        <v/>
      </c>
      <c r="S5" s="78">
        <f t="shared" ref="S5:S15" si="1">SUM(I5:R5)</f>
        <v>0</v>
      </c>
      <c r="T5" s="93" t="str">
        <f>IF(ISBLANK(ETPT_TPRX_DDG!$D$5),"",IF(ISERROR(ETPT_TPRX!T5),"",IF(ETPT_TPRX!T5=0,"",ETPT_TPRX!T5)))</f>
        <v/>
      </c>
      <c r="U5" s="93" t="str">
        <f>IF(ISBLANK(ETPT_TPRX_DDG!$D$5),"",IF(ISERROR(ETPT_TPRX!U5),"",IF(ETPT_TPRX!U5=0,"",ETPT_TPRX!U5)))</f>
        <v/>
      </c>
      <c r="V5" s="93" t="str">
        <f>IF(ISBLANK(ETPT_TPRX_DDG!$D$5),"",IF(ISERROR(ETPT_TPRX!V5),"",IF(ETPT_TPRX!V5=0,"",ETPT_TPRX!V5)))</f>
        <v/>
      </c>
      <c r="W5" s="93" t="str">
        <f>IF(ISBLANK(ETPT_TPRX_DDG!$D$5),"",IF(ISERROR(ETPT_TPRX!W5),"",IF(ETPT_TPRX!W5=0,"",ETPT_TPRX!W5)))</f>
        <v/>
      </c>
      <c r="X5" s="93" t="str">
        <f>IF(ISBLANK(ETPT_TPRX_DDG!$D$5),"",IF(ISERROR(ETPT_TPRX!X5),"",IF(ETPT_TPRX!X5=0,"",ETPT_TPRX!X5)))</f>
        <v/>
      </c>
      <c r="Y5" s="93" t="str">
        <f>IF(ISBLANK(ETPT_TPRX_DDG!$D$5),"",IF(ISERROR(ETPT_TPRX!Y5),"",IF(ETPT_TPRX!Y5=0,"",ETPT_TPRX!Y5)))</f>
        <v/>
      </c>
      <c r="Z5" s="93" t="str">
        <f>IF(ISBLANK(ETPT_TPRX_DDG!$D$5),"",IF(ISERROR(ETPT_TPRX!Z5),"",IF(ETPT_TPRX!Z5=0,"",ETPT_TPRX!Z5)))</f>
        <v/>
      </c>
      <c r="AA5" s="93" t="str">
        <f>IF(ISBLANK(ETPT_TPRX_DDG!$D$5),"",IF(ISERROR(ETPT_TPRX!AA5),"",IF(ETPT_TPRX!AA5=0,"",ETPT_TPRX!AA5)))</f>
        <v/>
      </c>
      <c r="AB5" s="93" t="str">
        <f>IF(ISBLANK(ETPT_TPRX_DDG!$D$5),"",IF(ISERROR(ETPT_TPRX!AB5),"",IF(ETPT_TPRX!AB5=0,"",ETPT_TPRX!AB5)))</f>
        <v/>
      </c>
      <c r="AC5" s="78">
        <f t="shared" ref="AC5:AC15" si="2">SUM(T5:AB5)</f>
        <v>0</v>
      </c>
      <c r="AD5" s="93" t="str">
        <f>IF(ISBLANK(ETPT_TPRX_DDG!$D$5),"",IF(ISERROR(ETPT_TPRX!AD5),"",IF(ETPT_TPRX!AD5=0,"",ETPT_TPRX!AD5)))</f>
        <v/>
      </c>
      <c r="AE5" s="93" t="str">
        <f>IF(ISBLANK(ETPT_TPRX_DDG!$D$5),"",IF(ISERROR(ETPT_TPRX!AE5),"",IF(ETPT_TPRX!AE5=0,"",ETPT_TPRX!AE5)))</f>
        <v/>
      </c>
      <c r="AF5" s="93" t="str">
        <f>IF(ISBLANK(ETPT_TPRX_DDG!$D$5),"",IF(ISERROR(ETPT_TPRX!AF5),"",IF(ETPT_TPRX!AF5=0,"",ETPT_TPRX!AF5)))</f>
        <v/>
      </c>
      <c r="AG5" s="78">
        <f t="shared" ref="AG5:AG15" si="3">SUM(AD5:AF5)</f>
        <v>0</v>
      </c>
    </row>
    <row r="6" spans="1:60" x14ac:dyDescent="0.2">
      <c r="A6" s="77" t="s">
        <v>172</v>
      </c>
      <c r="B6" s="59"/>
      <c r="C6" s="59"/>
      <c r="D6" s="59" t="str">
        <f t="shared" ref="D6:D15" si="4">IF(ISBLANK($D$5),"",$D$5)</f>
        <v/>
      </c>
      <c r="E6" s="59" t="s">
        <v>60</v>
      </c>
      <c r="F6" s="252" t="s">
        <v>59</v>
      </c>
      <c r="G6" s="93" t="str">
        <f>IF(ISBLANK(ETPT_TPRX_DDG!$D$5),"",IF(ISERROR(ETPT_TPRX!G6),"",IF(ETPT_TPRX!G6=0,"",ETPT_TPRX!G6)))</f>
        <v/>
      </c>
      <c r="H6" s="78">
        <f t="shared" si="0"/>
        <v>0</v>
      </c>
      <c r="I6" s="93" t="str">
        <f>IF(ISBLANK(ETPT_TPRX_DDG!$D$5),"",IF(ISERROR(ETPT_TPRX!I6),"",IF(ETPT_TPRX!I6=0,"",ETPT_TPRX!I6)))</f>
        <v/>
      </c>
      <c r="J6" s="93" t="str">
        <f>IF(ISBLANK(ETPT_TPRX_DDG!$D$5),"",IF(ISERROR(ETPT_TPRX!J6),"",IF(ETPT_TPRX!J6=0,"",ETPT_TPRX!J6)))</f>
        <v/>
      </c>
      <c r="K6" s="93" t="str">
        <f>IF(ISBLANK(ETPT_TPRX_DDG!$D$5),"",IF(ISERROR(ETPT_TPRX!K6),"",IF(ETPT_TPRX!K6=0,"",ETPT_TPRX!K6)))</f>
        <v/>
      </c>
      <c r="L6" s="93" t="str">
        <f>IF(ISBLANK(ETPT_TPRX_DDG!$D$5),"",IF(ISERROR(ETPT_TPRX!L6),"",IF(ETPT_TPRX!L6=0,"",ETPT_TPRX!L6)))</f>
        <v/>
      </c>
      <c r="M6" s="93" t="str">
        <f>IF(ISBLANK(ETPT_TPRX_DDG!$D$5),"",IF(ISERROR(ETPT_TPRX!M6),"",IF(ETPT_TPRX!M6=0,"",ETPT_TPRX!M6)))</f>
        <v/>
      </c>
      <c r="N6" s="93" t="str">
        <f>IF(ISBLANK(ETPT_TPRX_DDG!$D$5),"",IF(ISERROR(ETPT_TPRX!N6),"",IF(ETPT_TPRX!N6=0,"",ETPT_TPRX!N6)))</f>
        <v/>
      </c>
      <c r="O6" s="93" t="str">
        <f>IF(ISBLANK(ETPT_TPRX_DDG!$D$5),"",IF(ISERROR(ETPT_TPRX!O6),"",IF(ETPT_TPRX!O6=0,"",ETPT_TPRX!O6)))</f>
        <v/>
      </c>
      <c r="P6" s="93" t="str">
        <f>IF(ISBLANK(ETPT_TPRX_DDG!$D$5),"",IF(ISERROR(ETPT_TPRX!P6),"",IF(ETPT_TPRX!P6=0,"",ETPT_TPRX!P6)))</f>
        <v/>
      </c>
      <c r="Q6" s="93" t="str">
        <f>IF(ISBLANK(ETPT_TPRX_DDG!$D$5),"",IF(ISERROR(ETPT_TPRX!Q6),"",IF(ETPT_TPRX!Q6=0,"",ETPT_TPRX!Q6)))</f>
        <v/>
      </c>
      <c r="R6" s="93" t="str">
        <f>IF(ISBLANK(ETPT_TPRX_DDG!$D$5),"",IF(ISERROR(ETPT_TPRX!R6),"",IF(ETPT_TPRX!R6=0,"",ETPT_TPRX!R6)))</f>
        <v/>
      </c>
      <c r="S6" s="78">
        <f t="shared" si="1"/>
        <v>0</v>
      </c>
      <c r="T6" s="93" t="str">
        <f>IF(ISBLANK(ETPT_TPRX_DDG!$D$5),"",IF(ISERROR(ETPT_TPRX!T6),"",IF(ETPT_TPRX!T6=0,"",ETPT_TPRX!T6)))</f>
        <v/>
      </c>
      <c r="U6" s="93" t="str">
        <f>IF(ISBLANK(ETPT_TPRX_DDG!$D$5),"",IF(ISERROR(ETPT_TPRX!U6),"",IF(ETPT_TPRX!U6=0,"",ETPT_TPRX!U6)))</f>
        <v/>
      </c>
      <c r="V6" s="93" t="str">
        <f>IF(ISBLANK(ETPT_TPRX_DDG!$D$5),"",IF(ISERROR(ETPT_TPRX!V6),"",IF(ETPT_TPRX!V6=0,"",ETPT_TPRX!V6)))</f>
        <v/>
      </c>
      <c r="W6" s="93" t="str">
        <f>IF(ISBLANK(ETPT_TPRX_DDG!$D$5),"",IF(ISERROR(ETPT_TPRX!W6),"",IF(ETPT_TPRX!W6=0,"",ETPT_TPRX!W6)))</f>
        <v/>
      </c>
      <c r="X6" s="93" t="str">
        <f>IF(ISBLANK(ETPT_TPRX_DDG!$D$5),"",IF(ISERROR(ETPT_TPRX!X6),"",IF(ETPT_TPRX!X6=0,"",ETPT_TPRX!X6)))</f>
        <v/>
      </c>
      <c r="Y6" s="93" t="str">
        <f>IF(ISBLANK(ETPT_TPRX_DDG!$D$5),"",IF(ISERROR(ETPT_TPRX!Y6),"",IF(ETPT_TPRX!Y6=0,"",ETPT_TPRX!Y6)))</f>
        <v/>
      </c>
      <c r="Z6" s="93" t="str">
        <f>IF(ISBLANK(ETPT_TPRX_DDG!$D$5),"",IF(ISERROR(ETPT_TPRX!Z6),"",IF(ETPT_TPRX!Z6=0,"",ETPT_TPRX!Z6)))</f>
        <v/>
      </c>
      <c r="AA6" s="93" t="str">
        <f>IF(ISBLANK(ETPT_TPRX_DDG!$D$5),"",IF(ISERROR(ETPT_TPRX!AA6),"",IF(ETPT_TPRX!AA6=0,"",ETPT_TPRX!AA6)))</f>
        <v/>
      </c>
      <c r="AB6" s="93" t="str">
        <f>IF(ISBLANK(ETPT_TPRX_DDG!$D$5),"",IF(ISERROR(ETPT_TPRX!AB6),"",IF(ETPT_TPRX!AB6=0,"",ETPT_TPRX!AB6)))</f>
        <v/>
      </c>
      <c r="AC6" s="78">
        <f t="shared" si="2"/>
        <v>0</v>
      </c>
      <c r="AD6" s="93" t="str">
        <f>IF(ISBLANK(ETPT_TPRX_DDG!$D$5),"",IF(ISERROR(ETPT_TPRX!AD6),"",IF(ETPT_TPRX!AD6=0,"",ETPT_TPRX!AD6)))</f>
        <v/>
      </c>
      <c r="AE6" s="93" t="str">
        <f>IF(ISBLANK(ETPT_TPRX_DDG!$D$5),"",IF(ISERROR(ETPT_TPRX!AE6),"",IF(ETPT_TPRX!AE6=0,"",ETPT_TPRX!AE6)))</f>
        <v/>
      </c>
      <c r="AF6" s="93" t="str">
        <f>IF(ISBLANK(ETPT_TPRX_DDG!$D$5),"",IF(ISERROR(ETPT_TPRX!AF6),"",IF(ETPT_TPRX!AF6=0,"",ETPT_TPRX!AF6)))</f>
        <v/>
      </c>
      <c r="AG6" s="78">
        <f t="shared" si="3"/>
        <v>0</v>
      </c>
    </row>
    <row r="7" spans="1:60" x14ac:dyDescent="0.2">
      <c r="A7" s="77" t="s">
        <v>172</v>
      </c>
      <c r="B7" s="59"/>
      <c r="C7" s="59"/>
      <c r="D7" s="59" t="str">
        <f t="shared" si="4"/>
        <v/>
      </c>
      <c r="E7" s="59" t="s">
        <v>58</v>
      </c>
      <c r="F7" s="252" t="s">
        <v>57</v>
      </c>
      <c r="G7" s="93" t="str">
        <f>IF(ISBLANK(ETPT_TPRX_DDG!$D$5),"",IF(ISERROR(ETPT_TPRX!G7),"",IF(ETPT_TPRX!G7=0,"",ETPT_TPRX!G7)))</f>
        <v/>
      </c>
      <c r="H7" s="78">
        <f t="shared" si="0"/>
        <v>0</v>
      </c>
      <c r="I7" s="93" t="str">
        <f>IF(ISBLANK(ETPT_TPRX_DDG!$D$5),"",IF(ISERROR(ETPT_TPRX!I7),"",IF(ETPT_TPRX!I7=0,"",ETPT_TPRX!I7)))</f>
        <v/>
      </c>
      <c r="J7" s="93" t="str">
        <f>IF(ISBLANK(ETPT_TPRX_DDG!$D$5),"",IF(ISERROR(ETPT_TPRX!J7),"",IF(ETPT_TPRX!J7=0,"",ETPT_TPRX!J7)))</f>
        <v/>
      </c>
      <c r="K7" s="93" t="str">
        <f>IF(ISBLANK(ETPT_TPRX_DDG!$D$5),"",IF(ISERROR(ETPT_TPRX!K7),"",IF(ETPT_TPRX!K7=0,"",ETPT_TPRX!K7)))</f>
        <v/>
      </c>
      <c r="L7" s="93" t="str">
        <f>IF(ISBLANK(ETPT_TPRX_DDG!$D$5),"",IF(ISERROR(ETPT_TPRX!L7),"",IF(ETPT_TPRX!L7=0,"",ETPT_TPRX!L7)))</f>
        <v/>
      </c>
      <c r="M7" s="93" t="str">
        <f>IF(ISBLANK(ETPT_TPRX_DDG!$D$5),"",IF(ISERROR(ETPT_TPRX!M7),"",IF(ETPT_TPRX!M7=0,"",ETPT_TPRX!M7)))</f>
        <v/>
      </c>
      <c r="N7" s="93" t="str">
        <f>IF(ISBLANK(ETPT_TPRX_DDG!$D$5),"",IF(ISERROR(ETPT_TPRX!N7),"",IF(ETPT_TPRX!N7=0,"",ETPT_TPRX!N7)))</f>
        <v/>
      </c>
      <c r="O7" s="93" t="str">
        <f>IF(ISBLANK(ETPT_TPRX_DDG!$D$5),"",IF(ISERROR(ETPT_TPRX!O7),"",IF(ETPT_TPRX!O7=0,"",ETPT_TPRX!O7)))</f>
        <v/>
      </c>
      <c r="P7" s="93" t="str">
        <f>IF(ISBLANK(ETPT_TPRX_DDG!$D$5),"",IF(ISERROR(ETPT_TPRX!P7),"",IF(ETPT_TPRX!P7=0,"",ETPT_TPRX!P7)))</f>
        <v/>
      </c>
      <c r="Q7" s="93" t="str">
        <f>IF(ISBLANK(ETPT_TPRX_DDG!$D$5),"",IF(ISERROR(ETPT_TPRX!Q7),"",IF(ETPT_TPRX!Q7=0,"",ETPT_TPRX!Q7)))</f>
        <v/>
      </c>
      <c r="R7" s="93" t="str">
        <f>IF(ISBLANK(ETPT_TPRX_DDG!$D$5),"",IF(ISERROR(ETPT_TPRX!R7),"",IF(ETPT_TPRX!R7=0,"",ETPT_TPRX!R7)))</f>
        <v/>
      </c>
      <c r="S7" s="78">
        <f t="shared" si="1"/>
        <v>0</v>
      </c>
      <c r="T7" s="93" t="str">
        <f>IF(ISBLANK(ETPT_TPRX_DDG!$D$5),"",IF(ISERROR(ETPT_TPRX!T7),"",IF(ETPT_TPRX!T7=0,"",ETPT_TPRX!T7)))</f>
        <v/>
      </c>
      <c r="U7" s="93" t="str">
        <f>IF(ISBLANK(ETPT_TPRX_DDG!$D$5),"",IF(ISERROR(ETPT_TPRX!U7),"",IF(ETPT_TPRX!U7=0,"",ETPT_TPRX!U7)))</f>
        <v/>
      </c>
      <c r="V7" s="93" t="str">
        <f>IF(ISBLANK(ETPT_TPRX_DDG!$D$5),"",IF(ISERROR(ETPT_TPRX!V7),"",IF(ETPT_TPRX!V7=0,"",ETPT_TPRX!V7)))</f>
        <v/>
      </c>
      <c r="W7" s="93" t="str">
        <f>IF(ISBLANK(ETPT_TPRX_DDG!$D$5),"",IF(ISERROR(ETPT_TPRX!W7),"",IF(ETPT_TPRX!W7=0,"",ETPT_TPRX!W7)))</f>
        <v/>
      </c>
      <c r="X7" s="93" t="str">
        <f>IF(ISBLANK(ETPT_TPRX_DDG!$D$5),"",IF(ISERROR(ETPT_TPRX!X7),"",IF(ETPT_TPRX!X7=0,"",ETPT_TPRX!X7)))</f>
        <v/>
      </c>
      <c r="Y7" s="93" t="str">
        <f>IF(ISBLANK(ETPT_TPRX_DDG!$D$5),"",IF(ISERROR(ETPT_TPRX!Y7),"",IF(ETPT_TPRX!Y7=0,"",ETPT_TPRX!Y7)))</f>
        <v/>
      </c>
      <c r="Z7" s="93" t="str">
        <f>IF(ISBLANK(ETPT_TPRX_DDG!$D$5),"",IF(ISERROR(ETPT_TPRX!Z7),"",IF(ETPT_TPRX!Z7=0,"",ETPT_TPRX!Z7)))</f>
        <v/>
      </c>
      <c r="AA7" s="93" t="str">
        <f>IF(ISBLANK(ETPT_TPRX_DDG!$D$5),"",IF(ISERROR(ETPT_TPRX!AA7),"",IF(ETPT_TPRX!AA7=0,"",ETPT_TPRX!AA7)))</f>
        <v/>
      </c>
      <c r="AB7" s="93" t="str">
        <f>IF(ISBLANK(ETPT_TPRX_DDG!$D$5),"",IF(ISERROR(ETPT_TPRX!AB7),"",IF(ETPT_TPRX!AB7=0,"",ETPT_TPRX!AB7)))</f>
        <v/>
      </c>
      <c r="AC7" s="78">
        <f t="shared" si="2"/>
        <v>0</v>
      </c>
      <c r="AD7" s="93" t="str">
        <f>IF(ISBLANK(ETPT_TPRX_DDG!$D$5),"",IF(ISERROR(ETPT_TPRX!AD7),"",IF(ETPT_TPRX!AD7=0,"",ETPT_TPRX!AD7)))</f>
        <v/>
      </c>
      <c r="AE7" s="93" t="str">
        <f>IF(ISBLANK(ETPT_TPRX_DDG!$D$5),"",IF(ISERROR(ETPT_TPRX!AE7),"",IF(ETPT_TPRX!AE7=0,"",ETPT_TPRX!AE7)))</f>
        <v/>
      </c>
      <c r="AF7" s="93" t="str">
        <f>IF(ISBLANK(ETPT_TPRX_DDG!$D$5),"",IF(ISERROR(ETPT_TPRX!AF7),"",IF(ETPT_TPRX!AF7=0,"",ETPT_TPRX!AF7)))</f>
        <v/>
      </c>
      <c r="AG7" s="78">
        <f t="shared" si="3"/>
        <v>0</v>
      </c>
    </row>
    <row r="8" spans="1:60" x14ac:dyDescent="0.2">
      <c r="A8" s="77" t="s">
        <v>172</v>
      </c>
      <c r="B8" s="59"/>
      <c r="C8" s="59"/>
      <c r="D8" s="59" t="str">
        <f t="shared" si="4"/>
        <v/>
      </c>
      <c r="E8" s="59" t="s">
        <v>56</v>
      </c>
      <c r="F8" s="252" t="s">
        <v>55</v>
      </c>
      <c r="G8" s="93" t="str">
        <f>IF(ISBLANK(ETPT_TPRX_DDG!$D$5),"",IF(ISERROR(ETPT_TPRX!G8),"",IF(ETPT_TPRX!G8=0,"",ETPT_TPRX!G8)))</f>
        <v/>
      </c>
      <c r="H8" s="78">
        <f t="shared" si="0"/>
        <v>0</v>
      </c>
      <c r="I8" s="93" t="str">
        <f>IF(ISBLANK(ETPT_TPRX_DDG!$D$5),"",IF(ISERROR(ETPT_TPRX!I8),"",IF(ETPT_TPRX!I8=0,"",ETPT_TPRX!I8)))</f>
        <v/>
      </c>
      <c r="J8" s="93" t="str">
        <f>IF(ISBLANK(ETPT_TPRX_DDG!$D$5),"",IF(ISERROR(ETPT_TPRX!J8),"",IF(ETPT_TPRX!J8=0,"",ETPT_TPRX!J8)))</f>
        <v/>
      </c>
      <c r="K8" s="93" t="str">
        <f>IF(ISBLANK(ETPT_TPRX_DDG!$D$5),"",IF(ISERROR(ETPT_TPRX!K8),"",IF(ETPT_TPRX!K8=0,"",ETPT_TPRX!K8)))</f>
        <v/>
      </c>
      <c r="L8" s="93" t="str">
        <f>IF(ISBLANK(ETPT_TPRX_DDG!$D$5),"",IF(ISERROR(ETPT_TPRX!L8),"",IF(ETPT_TPRX!L8=0,"",ETPT_TPRX!L8)))</f>
        <v/>
      </c>
      <c r="M8" s="93" t="str">
        <f>IF(ISBLANK(ETPT_TPRX_DDG!$D$5),"",IF(ISERROR(ETPT_TPRX!M8),"",IF(ETPT_TPRX!M8=0,"",ETPT_TPRX!M8)))</f>
        <v/>
      </c>
      <c r="N8" s="93" t="str">
        <f>IF(ISBLANK(ETPT_TPRX_DDG!$D$5),"",IF(ISERROR(ETPT_TPRX!N8),"",IF(ETPT_TPRX!N8=0,"",ETPT_TPRX!N8)))</f>
        <v/>
      </c>
      <c r="O8" s="93" t="str">
        <f>IF(ISBLANK(ETPT_TPRX_DDG!$D$5),"",IF(ISERROR(ETPT_TPRX!O8),"",IF(ETPT_TPRX!O8=0,"",ETPT_TPRX!O8)))</f>
        <v/>
      </c>
      <c r="P8" s="93" t="str">
        <f>IF(ISBLANK(ETPT_TPRX_DDG!$D$5),"",IF(ISERROR(ETPT_TPRX!P8),"",IF(ETPT_TPRX!P8=0,"",ETPT_TPRX!P8)))</f>
        <v/>
      </c>
      <c r="Q8" s="93" t="str">
        <f>IF(ISBLANK(ETPT_TPRX_DDG!$D$5),"",IF(ISERROR(ETPT_TPRX!Q8),"",IF(ETPT_TPRX!Q8=0,"",ETPT_TPRX!Q8)))</f>
        <v/>
      </c>
      <c r="R8" s="93" t="str">
        <f>IF(ISBLANK(ETPT_TPRX_DDG!$D$5),"",IF(ISERROR(ETPT_TPRX!R8),"",IF(ETPT_TPRX!R8=0,"",ETPT_TPRX!R8)))</f>
        <v/>
      </c>
      <c r="S8" s="78">
        <f t="shared" si="1"/>
        <v>0</v>
      </c>
      <c r="T8" s="93" t="str">
        <f>IF(ISBLANK(ETPT_TPRX_DDG!$D$5),"",IF(ISERROR(ETPT_TPRX!T8),"",IF(ETPT_TPRX!T8=0,"",ETPT_TPRX!T8)))</f>
        <v/>
      </c>
      <c r="U8" s="93" t="str">
        <f>IF(ISBLANK(ETPT_TPRX_DDG!$D$5),"",IF(ISERROR(ETPT_TPRX!U8),"",IF(ETPT_TPRX!U8=0,"",ETPT_TPRX!U8)))</f>
        <v/>
      </c>
      <c r="V8" s="93" t="str">
        <f>IF(ISBLANK(ETPT_TPRX_DDG!$D$5),"",IF(ISERROR(ETPT_TPRX!V8),"",IF(ETPT_TPRX!V8=0,"",ETPT_TPRX!V8)))</f>
        <v/>
      </c>
      <c r="W8" s="93" t="str">
        <f>IF(ISBLANK(ETPT_TPRX_DDG!$D$5),"",IF(ISERROR(ETPT_TPRX!W8),"",IF(ETPT_TPRX!W8=0,"",ETPT_TPRX!W8)))</f>
        <v/>
      </c>
      <c r="X8" s="93" t="str">
        <f>IF(ISBLANK(ETPT_TPRX_DDG!$D$5),"",IF(ISERROR(ETPT_TPRX!X8),"",IF(ETPT_TPRX!X8=0,"",ETPT_TPRX!X8)))</f>
        <v/>
      </c>
      <c r="Y8" s="93" t="str">
        <f>IF(ISBLANK(ETPT_TPRX_DDG!$D$5),"",IF(ISERROR(ETPT_TPRX!Y8),"",IF(ETPT_TPRX!Y8=0,"",ETPT_TPRX!Y8)))</f>
        <v/>
      </c>
      <c r="Z8" s="93" t="str">
        <f>IF(ISBLANK(ETPT_TPRX_DDG!$D$5),"",IF(ISERROR(ETPT_TPRX!Z8),"",IF(ETPT_TPRX!Z8=0,"",ETPT_TPRX!Z8)))</f>
        <v/>
      </c>
      <c r="AA8" s="93" t="str">
        <f>IF(ISBLANK(ETPT_TPRX_DDG!$D$5),"",IF(ISERROR(ETPT_TPRX!AA8),"",IF(ETPT_TPRX!AA8=0,"",ETPT_TPRX!AA8)))</f>
        <v/>
      </c>
      <c r="AB8" s="93" t="str">
        <f>IF(ISBLANK(ETPT_TPRX_DDG!$D$5),"",IF(ISERROR(ETPT_TPRX!AB8),"",IF(ETPT_TPRX!AB8=0,"",ETPT_TPRX!AB8)))</f>
        <v/>
      </c>
      <c r="AC8" s="78">
        <f t="shared" si="2"/>
        <v>0</v>
      </c>
      <c r="AD8" s="93" t="str">
        <f>IF(ISBLANK(ETPT_TPRX_DDG!$D$5),"",IF(ISERROR(ETPT_TPRX!AD8),"",IF(ETPT_TPRX!AD8=0,"",ETPT_TPRX!AD8)))</f>
        <v/>
      </c>
      <c r="AE8" s="93" t="str">
        <f>IF(ISBLANK(ETPT_TPRX_DDG!$D$5),"",IF(ISERROR(ETPT_TPRX!AE8),"",IF(ETPT_TPRX!AE8=0,"",ETPT_TPRX!AE8)))</f>
        <v/>
      </c>
      <c r="AF8" s="93" t="str">
        <f>IF(ISBLANK(ETPT_TPRX_DDG!$D$5),"",IF(ISERROR(ETPT_TPRX!AF8),"",IF(ETPT_TPRX!AF8=0,"",ETPT_TPRX!AF8)))</f>
        <v/>
      </c>
      <c r="AG8" s="78">
        <f t="shared" si="3"/>
        <v>0</v>
      </c>
    </row>
    <row r="9" spans="1:60" x14ac:dyDescent="0.2">
      <c r="A9" s="77" t="s">
        <v>172</v>
      </c>
      <c r="B9" s="59"/>
      <c r="C9" s="59"/>
      <c r="D9" s="59" t="str">
        <f t="shared" si="4"/>
        <v/>
      </c>
      <c r="E9" s="59" t="s">
        <v>54</v>
      </c>
      <c r="F9" s="252" t="s">
        <v>53</v>
      </c>
      <c r="G9" s="93" t="str">
        <f>IF(ISBLANK(ETPT_TPRX_DDG!$D$5),"",IF(ISERROR(ETPT_TPRX!G9),"",IF(ETPT_TPRX!G9=0,"",ETPT_TPRX!G9)))</f>
        <v/>
      </c>
      <c r="H9" s="78">
        <f t="shared" si="0"/>
        <v>0</v>
      </c>
      <c r="I9" s="93" t="str">
        <f>IF(ISBLANK(ETPT_TPRX_DDG!$D$5),"",IF(ISERROR(ETPT_TPRX!I9),"",IF(ETPT_TPRX!I9=0,"",ETPT_TPRX!I9)))</f>
        <v/>
      </c>
      <c r="J9" s="93" t="str">
        <f>IF(ISBLANK(ETPT_TPRX_DDG!$D$5),"",IF(ISERROR(ETPT_TPRX!J9),"",IF(ETPT_TPRX!J9=0,"",ETPT_TPRX!J9)))</f>
        <v/>
      </c>
      <c r="K9" s="93" t="str">
        <f>IF(ISBLANK(ETPT_TPRX_DDG!$D$5),"",IF(ISERROR(ETPT_TPRX!K9),"",IF(ETPT_TPRX!K9=0,"",ETPT_TPRX!K9)))</f>
        <v/>
      </c>
      <c r="L9" s="93" t="str">
        <f>IF(ISBLANK(ETPT_TPRX_DDG!$D$5),"",IF(ISERROR(ETPT_TPRX!L9),"",IF(ETPT_TPRX!L9=0,"",ETPT_TPRX!L9)))</f>
        <v/>
      </c>
      <c r="M9" s="93" t="str">
        <f>IF(ISBLANK(ETPT_TPRX_DDG!$D$5),"",IF(ISERROR(ETPT_TPRX!M9),"",IF(ETPT_TPRX!M9=0,"",ETPT_TPRX!M9)))</f>
        <v/>
      </c>
      <c r="N9" s="93" t="str">
        <f>IF(ISBLANK(ETPT_TPRX_DDG!$D$5),"",IF(ISERROR(ETPT_TPRX!N9),"",IF(ETPT_TPRX!N9=0,"",ETPT_TPRX!N9)))</f>
        <v/>
      </c>
      <c r="O9" s="93" t="str">
        <f>IF(ISBLANK(ETPT_TPRX_DDG!$D$5),"",IF(ISERROR(ETPT_TPRX!O9),"",IF(ETPT_TPRX!O9=0,"",ETPT_TPRX!O9)))</f>
        <v/>
      </c>
      <c r="P9" s="93" t="str">
        <f>IF(ISBLANK(ETPT_TPRX_DDG!$D$5),"",IF(ISERROR(ETPT_TPRX!P9),"",IF(ETPT_TPRX!P9=0,"",ETPT_TPRX!P9)))</f>
        <v/>
      </c>
      <c r="Q9" s="93" t="str">
        <f>IF(ISBLANK(ETPT_TPRX_DDG!$D$5),"",IF(ISERROR(ETPT_TPRX!Q9),"",IF(ETPT_TPRX!Q9=0,"",ETPT_TPRX!Q9)))</f>
        <v/>
      </c>
      <c r="R9" s="93" t="str">
        <f>IF(ISBLANK(ETPT_TPRX_DDG!$D$5),"",IF(ISERROR(ETPT_TPRX!R9),"",IF(ETPT_TPRX!R9=0,"",ETPT_TPRX!R9)))</f>
        <v/>
      </c>
      <c r="S9" s="78">
        <f t="shared" si="1"/>
        <v>0</v>
      </c>
      <c r="T9" s="93" t="str">
        <f>IF(ISBLANK(ETPT_TPRX_DDG!$D$5),"",IF(ISERROR(ETPT_TPRX!T9),"",IF(ETPT_TPRX!T9=0,"",ETPT_TPRX!T9)))</f>
        <v/>
      </c>
      <c r="U9" s="93" t="str">
        <f>IF(ISBLANK(ETPT_TPRX_DDG!$D$5),"",IF(ISERROR(ETPT_TPRX!U9),"",IF(ETPT_TPRX!U9=0,"",ETPT_TPRX!U9)))</f>
        <v/>
      </c>
      <c r="V9" s="93" t="str">
        <f>IF(ISBLANK(ETPT_TPRX_DDG!$D$5),"",IF(ISERROR(ETPT_TPRX!V9),"",IF(ETPT_TPRX!V9=0,"",ETPT_TPRX!V9)))</f>
        <v/>
      </c>
      <c r="W9" s="93" t="str">
        <f>IF(ISBLANK(ETPT_TPRX_DDG!$D$5),"",IF(ISERROR(ETPT_TPRX!W9),"",IF(ETPT_TPRX!W9=0,"",ETPT_TPRX!W9)))</f>
        <v/>
      </c>
      <c r="X9" s="93" t="str">
        <f>IF(ISBLANK(ETPT_TPRX_DDG!$D$5),"",IF(ISERROR(ETPT_TPRX!X9),"",IF(ETPT_TPRX!X9=0,"",ETPT_TPRX!X9)))</f>
        <v/>
      </c>
      <c r="Y9" s="93" t="str">
        <f>IF(ISBLANK(ETPT_TPRX_DDG!$D$5),"",IF(ISERROR(ETPT_TPRX!Y9),"",IF(ETPT_TPRX!Y9=0,"",ETPT_TPRX!Y9)))</f>
        <v/>
      </c>
      <c r="Z9" s="93" t="str">
        <f>IF(ISBLANK(ETPT_TPRX_DDG!$D$5),"",IF(ISERROR(ETPT_TPRX!Z9),"",IF(ETPT_TPRX!Z9=0,"",ETPT_TPRX!Z9)))</f>
        <v/>
      </c>
      <c r="AA9" s="93" t="str">
        <f>IF(ISBLANK(ETPT_TPRX_DDG!$D$5),"",IF(ISERROR(ETPT_TPRX!AA9),"",IF(ETPT_TPRX!AA9=0,"",ETPT_TPRX!AA9)))</f>
        <v/>
      </c>
      <c r="AB9" s="93" t="str">
        <f>IF(ISBLANK(ETPT_TPRX_DDG!$D$5),"",IF(ISERROR(ETPT_TPRX!AB9),"",IF(ETPT_TPRX!AB9=0,"",ETPT_TPRX!AB9)))</f>
        <v/>
      </c>
      <c r="AC9" s="78">
        <f t="shared" si="2"/>
        <v>0</v>
      </c>
      <c r="AD9" s="93" t="str">
        <f>IF(ISBLANK(ETPT_TPRX_DDG!$D$5),"",IF(ISERROR(ETPT_TPRX!AD9),"",IF(ETPT_TPRX!AD9=0,"",ETPT_TPRX!AD9)))</f>
        <v/>
      </c>
      <c r="AE9" s="93" t="str">
        <f>IF(ISBLANK(ETPT_TPRX_DDG!$D$5),"",IF(ISERROR(ETPT_TPRX!AE9),"",IF(ETPT_TPRX!AE9=0,"",ETPT_TPRX!AE9)))</f>
        <v/>
      </c>
      <c r="AF9" s="93" t="str">
        <f>IF(ISBLANK(ETPT_TPRX_DDG!$D$5),"",IF(ISERROR(ETPT_TPRX!AF9),"",IF(ETPT_TPRX!AF9=0,"",ETPT_TPRX!AF9)))</f>
        <v/>
      </c>
      <c r="AG9" s="78">
        <f t="shared" si="3"/>
        <v>0</v>
      </c>
    </row>
    <row r="10" spans="1:60" x14ac:dyDescent="0.2">
      <c r="A10" s="77" t="s">
        <v>172</v>
      </c>
      <c r="B10" s="59"/>
      <c r="C10" s="59"/>
      <c r="D10" s="59" t="str">
        <f t="shared" si="4"/>
        <v/>
      </c>
      <c r="E10" s="59" t="s">
        <v>52</v>
      </c>
      <c r="F10" s="252" t="s">
        <v>51</v>
      </c>
      <c r="G10" s="93" t="str">
        <f>IF(ISBLANK(ETPT_TPRX_DDG!$D$5),"",IF(ISERROR(ETPT_TPRX!G10),"",IF(ETPT_TPRX!G10=0,"",ETPT_TPRX!G10)))</f>
        <v/>
      </c>
      <c r="H10" s="78">
        <f t="shared" si="0"/>
        <v>0</v>
      </c>
      <c r="I10" s="93" t="str">
        <f>IF(ISBLANK(ETPT_TPRX_DDG!$D$5),"",IF(ISERROR(ETPT_TPRX!I10),"",IF(ETPT_TPRX!I10=0,"",ETPT_TPRX!I10)))</f>
        <v/>
      </c>
      <c r="J10" s="93" t="str">
        <f>IF(ISBLANK(ETPT_TPRX_DDG!$D$5),"",IF(ISERROR(ETPT_TPRX!J10),"",IF(ETPT_TPRX!J10=0,"",ETPT_TPRX!J10)))</f>
        <v/>
      </c>
      <c r="K10" s="93" t="str">
        <f>IF(ISBLANK(ETPT_TPRX_DDG!$D$5),"",IF(ISERROR(ETPT_TPRX!K10),"",IF(ETPT_TPRX!K10=0,"",ETPT_TPRX!K10)))</f>
        <v/>
      </c>
      <c r="L10" s="93" t="str">
        <f>IF(ISBLANK(ETPT_TPRX_DDG!$D$5),"",IF(ISERROR(ETPT_TPRX!L10),"",IF(ETPT_TPRX!L10=0,"",ETPT_TPRX!L10)))</f>
        <v/>
      </c>
      <c r="M10" s="93" t="str">
        <f>IF(ISBLANK(ETPT_TPRX_DDG!$D$5),"",IF(ISERROR(ETPT_TPRX!M10),"",IF(ETPT_TPRX!M10=0,"",ETPT_TPRX!M10)))</f>
        <v/>
      </c>
      <c r="N10" s="93" t="str">
        <f>IF(ISBLANK(ETPT_TPRX_DDG!$D$5),"",IF(ISERROR(ETPT_TPRX!N10),"",IF(ETPT_TPRX!N10=0,"",ETPT_TPRX!N10)))</f>
        <v/>
      </c>
      <c r="O10" s="93" t="str">
        <f>IF(ISBLANK(ETPT_TPRX_DDG!$D$5),"",IF(ISERROR(ETPT_TPRX!O10),"",IF(ETPT_TPRX!O10=0,"",ETPT_TPRX!O10)))</f>
        <v/>
      </c>
      <c r="P10" s="93" t="str">
        <f>IF(ISBLANK(ETPT_TPRX_DDG!$D$5),"",IF(ISERROR(ETPT_TPRX!P10),"",IF(ETPT_TPRX!P10=0,"",ETPT_TPRX!P10)))</f>
        <v/>
      </c>
      <c r="Q10" s="93" t="str">
        <f>IF(ISBLANK(ETPT_TPRX_DDG!$D$5),"",IF(ISERROR(ETPT_TPRX!Q10),"",IF(ETPT_TPRX!Q10=0,"",ETPT_TPRX!Q10)))</f>
        <v/>
      </c>
      <c r="R10" s="93" t="str">
        <f>IF(ISBLANK(ETPT_TPRX_DDG!$D$5),"",IF(ISERROR(ETPT_TPRX!R10),"",IF(ETPT_TPRX!R10=0,"",ETPT_TPRX!R10)))</f>
        <v/>
      </c>
      <c r="S10" s="78">
        <f t="shared" si="1"/>
        <v>0</v>
      </c>
      <c r="T10" s="93" t="str">
        <f>IF(ISBLANK(ETPT_TPRX_DDG!$D$5),"",IF(ISERROR(ETPT_TPRX!T10),"",IF(ETPT_TPRX!T10=0,"",ETPT_TPRX!T10)))</f>
        <v/>
      </c>
      <c r="U10" s="93" t="str">
        <f>IF(ISBLANK(ETPT_TPRX_DDG!$D$5),"",IF(ISERROR(ETPT_TPRX!U10),"",IF(ETPT_TPRX!U10=0,"",ETPT_TPRX!U10)))</f>
        <v/>
      </c>
      <c r="V10" s="93" t="str">
        <f>IF(ISBLANK(ETPT_TPRX_DDG!$D$5),"",IF(ISERROR(ETPT_TPRX!V10),"",IF(ETPT_TPRX!V10=0,"",ETPT_TPRX!V10)))</f>
        <v/>
      </c>
      <c r="W10" s="93" t="str">
        <f>IF(ISBLANK(ETPT_TPRX_DDG!$D$5),"",IF(ISERROR(ETPT_TPRX!W10),"",IF(ETPT_TPRX!W10=0,"",ETPT_TPRX!W10)))</f>
        <v/>
      </c>
      <c r="X10" s="93" t="str">
        <f>IF(ISBLANK(ETPT_TPRX_DDG!$D$5),"",IF(ISERROR(ETPT_TPRX!X10),"",IF(ETPT_TPRX!X10=0,"",ETPT_TPRX!X10)))</f>
        <v/>
      </c>
      <c r="Y10" s="93" t="str">
        <f>IF(ISBLANK(ETPT_TPRX_DDG!$D$5),"",IF(ISERROR(ETPT_TPRX!Y10),"",IF(ETPT_TPRX!Y10=0,"",ETPT_TPRX!Y10)))</f>
        <v/>
      </c>
      <c r="Z10" s="93" t="str">
        <f>IF(ISBLANK(ETPT_TPRX_DDG!$D$5),"",IF(ISERROR(ETPT_TPRX!Z10),"",IF(ETPT_TPRX!Z10=0,"",ETPT_TPRX!Z10)))</f>
        <v/>
      </c>
      <c r="AA10" s="93" t="str">
        <f>IF(ISBLANK(ETPT_TPRX_DDG!$D$5),"",IF(ISERROR(ETPT_TPRX!AA10),"",IF(ETPT_TPRX!AA10=0,"",ETPT_TPRX!AA10)))</f>
        <v/>
      </c>
      <c r="AB10" s="93" t="str">
        <f>IF(ISBLANK(ETPT_TPRX_DDG!$D$5),"",IF(ISERROR(ETPT_TPRX!AB10),"",IF(ETPT_TPRX!AB10=0,"",ETPT_TPRX!AB10)))</f>
        <v/>
      </c>
      <c r="AC10" s="78">
        <f t="shared" si="2"/>
        <v>0</v>
      </c>
      <c r="AD10" s="93" t="str">
        <f>IF(ISBLANK(ETPT_TPRX_DDG!$D$5),"",IF(ISERROR(ETPT_TPRX!AD10),"",IF(ETPT_TPRX!AD10=0,"",ETPT_TPRX!AD10)))</f>
        <v/>
      </c>
      <c r="AE10" s="93" t="str">
        <f>IF(ISBLANK(ETPT_TPRX_DDG!$D$5),"",IF(ISERROR(ETPT_TPRX!AE10),"",IF(ETPT_TPRX!AE10=0,"",ETPT_TPRX!AE10)))</f>
        <v/>
      </c>
      <c r="AF10" s="93" t="str">
        <f>IF(ISBLANK(ETPT_TPRX_DDG!$D$5),"",IF(ISERROR(ETPT_TPRX!AF10),"",IF(ETPT_TPRX!AF10=0,"",ETPT_TPRX!AF10)))</f>
        <v/>
      </c>
      <c r="AG10" s="78">
        <f t="shared" si="3"/>
        <v>0</v>
      </c>
    </row>
    <row r="11" spans="1:60" x14ac:dyDescent="0.2">
      <c r="A11" s="77" t="s">
        <v>172</v>
      </c>
      <c r="B11" s="59"/>
      <c r="C11" s="59"/>
      <c r="D11" s="59" t="str">
        <f t="shared" si="4"/>
        <v/>
      </c>
      <c r="E11" s="59" t="s">
        <v>50</v>
      </c>
      <c r="F11" s="252" t="s">
        <v>49</v>
      </c>
      <c r="G11" s="93" t="str">
        <f>IF(ISBLANK(ETPT_TPRX_DDG!$D$5),"",IF(ISERROR(ETPT_TPRX!G11),"",IF(ETPT_TPRX!G11=0,"",ETPT_TPRX!G11)))</f>
        <v/>
      </c>
      <c r="H11" s="78">
        <f t="shared" si="0"/>
        <v>0</v>
      </c>
      <c r="I11" s="93" t="str">
        <f>IF(ISBLANK(ETPT_TPRX_DDG!$D$5),"",IF(ISERROR(ETPT_TPRX!I11),"",IF(ETPT_TPRX!I11=0,"",ETPT_TPRX!I11)))</f>
        <v/>
      </c>
      <c r="J11" s="93" t="str">
        <f>IF(ISBLANK(ETPT_TPRX_DDG!$D$5),"",IF(ISERROR(ETPT_TPRX!J11),"",IF(ETPT_TPRX!J11=0,"",ETPT_TPRX!J11)))</f>
        <v/>
      </c>
      <c r="K11" s="93" t="str">
        <f>IF(ISBLANK(ETPT_TPRX_DDG!$D$5),"",IF(ISERROR(ETPT_TPRX!K11),"",IF(ETPT_TPRX!K11=0,"",ETPT_TPRX!K11)))</f>
        <v/>
      </c>
      <c r="L11" s="93" t="str">
        <f>IF(ISBLANK(ETPT_TPRX_DDG!$D$5),"",IF(ISERROR(ETPT_TPRX!L11),"",IF(ETPT_TPRX!L11=0,"",ETPT_TPRX!L11)))</f>
        <v/>
      </c>
      <c r="M11" s="93" t="str">
        <f>IF(ISBLANK(ETPT_TPRX_DDG!$D$5),"",IF(ISERROR(ETPT_TPRX!M11),"",IF(ETPT_TPRX!M11=0,"",ETPT_TPRX!M11)))</f>
        <v/>
      </c>
      <c r="N11" s="93" t="str">
        <f>IF(ISBLANK(ETPT_TPRX_DDG!$D$5),"",IF(ISERROR(ETPT_TPRX!N11),"",IF(ETPT_TPRX!N11=0,"",ETPT_TPRX!N11)))</f>
        <v/>
      </c>
      <c r="O11" s="93" t="str">
        <f>IF(ISBLANK(ETPT_TPRX_DDG!$D$5),"",IF(ISERROR(ETPT_TPRX!O11),"",IF(ETPT_TPRX!O11=0,"",ETPT_TPRX!O11)))</f>
        <v/>
      </c>
      <c r="P11" s="93" t="str">
        <f>IF(ISBLANK(ETPT_TPRX_DDG!$D$5),"",IF(ISERROR(ETPT_TPRX!P11),"",IF(ETPT_TPRX!P11=0,"",ETPT_TPRX!P11)))</f>
        <v/>
      </c>
      <c r="Q11" s="93" t="str">
        <f>IF(ISBLANK(ETPT_TPRX_DDG!$D$5),"",IF(ISERROR(ETPT_TPRX!Q11),"",IF(ETPT_TPRX!Q11=0,"",ETPT_TPRX!Q11)))</f>
        <v/>
      </c>
      <c r="R11" s="93" t="str">
        <f>IF(ISBLANK(ETPT_TPRX_DDG!$D$5),"",IF(ISERROR(ETPT_TPRX!R11),"",IF(ETPT_TPRX!R11=0,"",ETPT_TPRX!R11)))</f>
        <v/>
      </c>
      <c r="S11" s="78">
        <f t="shared" si="1"/>
        <v>0</v>
      </c>
      <c r="T11" s="93" t="str">
        <f>IF(ISBLANK(ETPT_TPRX_DDG!$D$5),"",IF(ISERROR(ETPT_TPRX!T11),"",IF(ETPT_TPRX!T11=0,"",ETPT_TPRX!T11)))</f>
        <v/>
      </c>
      <c r="U11" s="93" t="str">
        <f>IF(ISBLANK(ETPT_TPRX_DDG!$D$5),"",IF(ISERROR(ETPT_TPRX!U11),"",IF(ETPT_TPRX!U11=0,"",ETPT_TPRX!U11)))</f>
        <v/>
      </c>
      <c r="V11" s="93" t="str">
        <f>IF(ISBLANK(ETPT_TPRX_DDG!$D$5),"",IF(ISERROR(ETPT_TPRX!V11),"",IF(ETPT_TPRX!V11=0,"",ETPT_TPRX!V11)))</f>
        <v/>
      </c>
      <c r="W11" s="93" t="str">
        <f>IF(ISBLANK(ETPT_TPRX_DDG!$D$5),"",IF(ISERROR(ETPT_TPRX!W11),"",IF(ETPT_TPRX!W11=0,"",ETPT_TPRX!W11)))</f>
        <v/>
      </c>
      <c r="X11" s="93" t="str">
        <f>IF(ISBLANK(ETPT_TPRX_DDG!$D$5),"",IF(ISERROR(ETPT_TPRX!X11),"",IF(ETPT_TPRX!X11=0,"",ETPT_TPRX!X11)))</f>
        <v/>
      </c>
      <c r="Y11" s="93" t="str">
        <f>IF(ISBLANK(ETPT_TPRX_DDG!$D$5),"",IF(ISERROR(ETPT_TPRX!Y11),"",IF(ETPT_TPRX!Y11=0,"",ETPT_TPRX!Y11)))</f>
        <v/>
      </c>
      <c r="Z11" s="93" t="str">
        <f>IF(ISBLANK(ETPT_TPRX_DDG!$D$5),"",IF(ISERROR(ETPT_TPRX!Z11),"",IF(ETPT_TPRX!Z11=0,"",ETPT_TPRX!Z11)))</f>
        <v/>
      </c>
      <c r="AA11" s="93" t="str">
        <f>IF(ISBLANK(ETPT_TPRX_DDG!$D$5),"",IF(ISERROR(ETPT_TPRX!AA11),"",IF(ETPT_TPRX!AA11=0,"",ETPT_TPRX!AA11)))</f>
        <v/>
      </c>
      <c r="AB11" s="93" t="str">
        <f>IF(ISBLANK(ETPT_TPRX_DDG!$D$5),"",IF(ISERROR(ETPT_TPRX!AB11),"",IF(ETPT_TPRX!AB11=0,"",ETPT_TPRX!AB11)))</f>
        <v/>
      </c>
      <c r="AC11" s="78">
        <f t="shared" si="2"/>
        <v>0</v>
      </c>
      <c r="AD11" s="93" t="str">
        <f>IF(ISBLANK(ETPT_TPRX_DDG!$D$5),"",IF(ISERROR(ETPT_TPRX!AD11),"",IF(ETPT_TPRX!AD11=0,"",ETPT_TPRX!AD11)))</f>
        <v/>
      </c>
      <c r="AE11" s="93" t="str">
        <f>IF(ISBLANK(ETPT_TPRX_DDG!$D$5),"",IF(ISERROR(ETPT_TPRX!AE11),"",IF(ETPT_TPRX!AE11=0,"",ETPT_TPRX!AE11)))</f>
        <v/>
      </c>
      <c r="AF11" s="93" t="str">
        <f>IF(ISBLANK(ETPT_TPRX_DDG!$D$5),"",IF(ISERROR(ETPT_TPRX!AF11),"",IF(ETPT_TPRX!AF11=0,"",ETPT_TPRX!AF11)))</f>
        <v/>
      </c>
      <c r="AG11" s="78">
        <f t="shared" si="3"/>
        <v>0</v>
      </c>
    </row>
    <row r="12" spans="1:60" x14ac:dyDescent="0.2">
      <c r="A12" s="77" t="s">
        <v>172</v>
      </c>
      <c r="B12" s="59"/>
      <c r="C12" s="59"/>
      <c r="D12" s="59" t="str">
        <f t="shared" si="4"/>
        <v/>
      </c>
      <c r="E12" s="59" t="s">
        <v>48</v>
      </c>
      <c r="F12" s="252" t="s">
        <v>47</v>
      </c>
      <c r="G12" s="93" t="str">
        <f>IF(ISBLANK(ETPT_TPRX_DDG!$D$5),"",IF(ISERROR(ETPT_TPRX!G12),"",IF(ETPT_TPRX!G12=0,"",ETPT_TPRX!G12)))</f>
        <v/>
      </c>
      <c r="H12" s="78">
        <f t="shared" si="0"/>
        <v>0</v>
      </c>
      <c r="I12" s="93" t="str">
        <f>IF(ISBLANK(ETPT_TPRX_DDG!$D$5),"",IF(ISERROR(ETPT_TPRX!I12),"",IF(ETPT_TPRX!I12=0,"",ETPT_TPRX!I12)))</f>
        <v/>
      </c>
      <c r="J12" s="93" t="str">
        <f>IF(ISBLANK(ETPT_TPRX_DDG!$D$5),"",IF(ISERROR(ETPT_TPRX!J12),"",IF(ETPT_TPRX!J12=0,"",ETPT_TPRX!J12)))</f>
        <v/>
      </c>
      <c r="K12" s="93" t="str">
        <f>IF(ISBLANK(ETPT_TPRX_DDG!$D$5),"",IF(ISERROR(ETPT_TPRX!K12),"",IF(ETPT_TPRX!K12=0,"",ETPT_TPRX!K12)))</f>
        <v/>
      </c>
      <c r="L12" s="93" t="str">
        <f>IF(ISBLANK(ETPT_TPRX_DDG!$D$5),"",IF(ISERROR(ETPT_TPRX!L12),"",IF(ETPT_TPRX!L12=0,"",ETPT_TPRX!L12)))</f>
        <v/>
      </c>
      <c r="M12" s="93" t="str">
        <f>IF(ISBLANK(ETPT_TPRX_DDG!$D$5),"",IF(ISERROR(ETPT_TPRX!M12),"",IF(ETPT_TPRX!M12=0,"",ETPT_TPRX!M12)))</f>
        <v/>
      </c>
      <c r="N12" s="93" t="str">
        <f>IF(ISBLANK(ETPT_TPRX_DDG!$D$5),"",IF(ISERROR(ETPT_TPRX!N12),"",IF(ETPT_TPRX!N12=0,"",ETPT_TPRX!N12)))</f>
        <v/>
      </c>
      <c r="O12" s="93" t="str">
        <f>IF(ISBLANK(ETPT_TPRX_DDG!$D$5),"",IF(ISERROR(ETPT_TPRX!O12),"",IF(ETPT_TPRX!O12=0,"",ETPT_TPRX!O12)))</f>
        <v/>
      </c>
      <c r="P12" s="93" t="str">
        <f>IF(ISBLANK(ETPT_TPRX_DDG!$D$5),"",IF(ISERROR(ETPT_TPRX!P12),"",IF(ETPT_TPRX!P12=0,"",ETPT_TPRX!P12)))</f>
        <v/>
      </c>
      <c r="Q12" s="93" t="str">
        <f>IF(ISBLANK(ETPT_TPRX_DDG!$D$5),"",IF(ISERROR(ETPT_TPRX!Q12),"",IF(ETPT_TPRX!Q12=0,"",ETPT_TPRX!Q12)))</f>
        <v/>
      </c>
      <c r="R12" s="93" t="str">
        <f>IF(ISBLANK(ETPT_TPRX_DDG!$D$5),"",IF(ISERROR(ETPT_TPRX!R12),"",IF(ETPT_TPRX!R12=0,"",ETPT_TPRX!R12)))</f>
        <v/>
      </c>
      <c r="S12" s="78">
        <f t="shared" si="1"/>
        <v>0</v>
      </c>
      <c r="T12" s="93" t="str">
        <f>IF(ISBLANK(ETPT_TPRX_DDG!$D$5),"",IF(ISERROR(ETPT_TPRX!T12),"",IF(ETPT_TPRX!T12=0,"",ETPT_TPRX!T12)))</f>
        <v/>
      </c>
      <c r="U12" s="93" t="str">
        <f>IF(ISBLANK(ETPT_TPRX_DDG!$D$5),"",IF(ISERROR(ETPT_TPRX!U12),"",IF(ETPT_TPRX!U12=0,"",ETPT_TPRX!U12)))</f>
        <v/>
      </c>
      <c r="V12" s="93" t="str">
        <f>IF(ISBLANK(ETPT_TPRX_DDG!$D$5),"",IF(ISERROR(ETPT_TPRX!V12),"",IF(ETPT_TPRX!V12=0,"",ETPT_TPRX!V12)))</f>
        <v/>
      </c>
      <c r="W12" s="93" t="str">
        <f>IF(ISBLANK(ETPT_TPRX_DDG!$D$5),"",IF(ISERROR(ETPT_TPRX!W12),"",IF(ETPT_TPRX!W12=0,"",ETPT_TPRX!W12)))</f>
        <v/>
      </c>
      <c r="X12" s="93" t="str">
        <f>IF(ISBLANK(ETPT_TPRX_DDG!$D$5),"",IF(ISERROR(ETPT_TPRX!X12),"",IF(ETPT_TPRX!X12=0,"",ETPT_TPRX!X12)))</f>
        <v/>
      </c>
      <c r="Y12" s="93" t="str">
        <f>IF(ISBLANK(ETPT_TPRX_DDG!$D$5),"",IF(ISERROR(ETPT_TPRX!Y12),"",IF(ETPT_TPRX!Y12=0,"",ETPT_TPRX!Y12)))</f>
        <v/>
      </c>
      <c r="Z12" s="93" t="str">
        <f>IF(ISBLANK(ETPT_TPRX_DDG!$D$5),"",IF(ISERROR(ETPT_TPRX!Z12),"",IF(ETPT_TPRX!Z12=0,"",ETPT_TPRX!Z12)))</f>
        <v/>
      </c>
      <c r="AA12" s="93" t="str">
        <f>IF(ISBLANK(ETPT_TPRX_DDG!$D$5),"",IF(ISERROR(ETPT_TPRX!AA12),"",IF(ETPT_TPRX!AA12=0,"",ETPT_TPRX!AA12)))</f>
        <v/>
      </c>
      <c r="AB12" s="93" t="str">
        <f>IF(ISBLANK(ETPT_TPRX_DDG!$D$5),"",IF(ISERROR(ETPT_TPRX!AB12),"",IF(ETPT_TPRX!AB12=0,"",ETPT_TPRX!AB12)))</f>
        <v/>
      </c>
      <c r="AC12" s="78">
        <f t="shared" si="2"/>
        <v>0</v>
      </c>
      <c r="AD12" s="93" t="str">
        <f>IF(ISBLANK(ETPT_TPRX_DDG!$D$5),"",IF(ISERROR(ETPT_TPRX!AD12),"",IF(ETPT_TPRX!AD12=0,"",ETPT_TPRX!AD12)))</f>
        <v/>
      </c>
      <c r="AE12" s="93" t="str">
        <f>IF(ISBLANK(ETPT_TPRX_DDG!$D$5),"",IF(ISERROR(ETPT_TPRX!AE12),"",IF(ETPT_TPRX!AE12=0,"",ETPT_TPRX!AE12)))</f>
        <v/>
      </c>
      <c r="AF12" s="93" t="str">
        <f>IF(ISBLANK(ETPT_TPRX_DDG!$D$5),"",IF(ISERROR(ETPT_TPRX!AF12),"",IF(ETPT_TPRX!AF12=0,"",ETPT_TPRX!AF12)))</f>
        <v/>
      </c>
      <c r="AG12" s="78">
        <f t="shared" si="3"/>
        <v>0</v>
      </c>
    </row>
    <row r="13" spans="1:60" x14ac:dyDescent="0.2">
      <c r="A13" s="77" t="s">
        <v>172</v>
      </c>
      <c r="B13" s="59"/>
      <c r="C13" s="59"/>
      <c r="D13" s="59" t="str">
        <f t="shared" si="4"/>
        <v/>
      </c>
      <c r="E13" s="59" t="s">
        <v>46</v>
      </c>
      <c r="F13" s="252" t="s">
        <v>45</v>
      </c>
      <c r="G13" s="93" t="str">
        <f>IF(ISBLANK(ETPT_TPRX_DDG!$D$5),"",IF(ISERROR(ETPT_TPRX!G13),"",IF(ETPT_TPRX!G13=0,"",ETPT_TPRX!G13)))</f>
        <v/>
      </c>
      <c r="H13" s="78">
        <f t="shared" si="0"/>
        <v>0</v>
      </c>
      <c r="I13" s="93" t="str">
        <f>IF(ISBLANK(ETPT_TPRX_DDG!$D$5),"",IF(ISERROR(ETPT_TPRX!I13),"",IF(ETPT_TPRX!I13=0,"",ETPT_TPRX!I13)))</f>
        <v/>
      </c>
      <c r="J13" s="93" t="str">
        <f>IF(ISBLANK(ETPT_TPRX_DDG!$D$5),"",IF(ISERROR(ETPT_TPRX!J13),"",IF(ETPT_TPRX!J13=0,"",ETPT_TPRX!J13)))</f>
        <v/>
      </c>
      <c r="K13" s="93" t="str">
        <f>IF(ISBLANK(ETPT_TPRX_DDG!$D$5),"",IF(ISERROR(ETPT_TPRX!K13),"",IF(ETPT_TPRX!K13=0,"",ETPT_TPRX!K13)))</f>
        <v/>
      </c>
      <c r="L13" s="93" t="str">
        <f>IF(ISBLANK(ETPT_TPRX_DDG!$D$5),"",IF(ISERROR(ETPT_TPRX!L13),"",IF(ETPT_TPRX!L13=0,"",ETPT_TPRX!L13)))</f>
        <v/>
      </c>
      <c r="M13" s="93" t="str">
        <f>IF(ISBLANK(ETPT_TPRX_DDG!$D$5),"",IF(ISERROR(ETPT_TPRX!M13),"",IF(ETPT_TPRX!M13=0,"",ETPT_TPRX!M13)))</f>
        <v/>
      </c>
      <c r="N13" s="93" t="str">
        <f>IF(ISBLANK(ETPT_TPRX_DDG!$D$5),"",IF(ISERROR(ETPT_TPRX!N13),"",IF(ETPT_TPRX!N13=0,"",ETPT_TPRX!N13)))</f>
        <v/>
      </c>
      <c r="O13" s="93" t="str">
        <f>IF(ISBLANK(ETPT_TPRX_DDG!$D$5),"",IF(ISERROR(ETPT_TPRX!O13),"",IF(ETPT_TPRX!O13=0,"",ETPT_TPRX!O13)))</f>
        <v/>
      </c>
      <c r="P13" s="93" t="str">
        <f>IF(ISBLANK(ETPT_TPRX_DDG!$D$5),"",IF(ISERROR(ETPT_TPRX!P13),"",IF(ETPT_TPRX!P13=0,"",ETPT_TPRX!P13)))</f>
        <v/>
      </c>
      <c r="Q13" s="93" t="str">
        <f>IF(ISBLANK(ETPT_TPRX_DDG!$D$5),"",IF(ISERROR(ETPT_TPRX!Q13),"",IF(ETPT_TPRX!Q13=0,"",ETPT_TPRX!Q13)))</f>
        <v/>
      </c>
      <c r="R13" s="93" t="str">
        <f>IF(ISBLANK(ETPT_TPRX_DDG!$D$5),"",IF(ISERROR(ETPT_TPRX!R13),"",IF(ETPT_TPRX!R13=0,"",ETPT_TPRX!R13)))</f>
        <v/>
      </c>
      <c r="S13" s="78">
        <f t="shared" si="1"/>
        <v>0</v>
      </c>
      <c r="T13" s="93" t="str">
        <f>IF(ISBLANK(ETPT_TPRX_DDG!$D$5),"",IF(ISERROR(ETPT_TPRX!T13),"",IF(ETPT_TPRX!T13=0,"",ETPT_TPRX!T13)))</f>
        <v/>
      </c>
      <c r="U13" s="93" t="str">
        <f>IF(ISBLANK(ETPT_TPRX_DDG!$D$5),"",IF(ISERROR(ETPT_TPRX!U13),"",IF(ETPT_TPRX!U13=0,"",ETPT_TPRX!U13)))</f>
        <v/>
      </c>
      <c r="V13" s="93" t="str">
        <f>IF(ISBLANK(ETPT_TPRX_DDG!$D$5),"",IF(ISERROR(ETPT_TPRX!V13),"",IF(ETPT_TPRX!V13=0,"",ETPT_TPRX!V13)))</f>
        <v/>
      </c>
      <c r="W13" s="93" t="str">
        <f>IF(ISBLANK(ETPT_TPRX_DDG!$D$5),"",IF(ISERROR(ETPT_TPRX!W13),"",IF(ETPT_TPRX!W13=0,"",ETPT_TPRX!W13)))</f>
        <v/>
      </c>
      <c r="X13" s="93" t="str">
        <f>IF(ISBLANK(ETPT_TPRX_DDG!$D$5),"",IF(ISERROR(ETPT_TPRX!X13),"",IF(ETPT_TPRX!X13=0,"",ETPT_TPRX!X13)))</f>
        <v/>
      </c>
      <c r="Y13" s="93" t="str">
        <f>IF(ISBLANK(ETPT_TPRX_DDG!$D$5),"",IF(ISERROR(ETPT_TPRX!Y13),"",IF(ETPT_TPRX!Y13=0,"",ETPT_TPRX!Y13)))</f>
        <v/>
      </c>
      <c r="Z13" s="93" t="str">
        <f>IF(ISBLANK(ETPT_TPRX_DDG!$D$5),"",IF(ISERROR(ETPT_TPRX!Z13),"",IF(ETPT_TPRX!Z13=0,"",ETPT_TPRX!Z13)))</f>
        <v/>
      </c>
      <c r="AA13" s="93" t="str">
        <f>IF(ISBLANK(ETPT_TPRX_DDG!$D$5),"",IF(ISERROR(ETPT_TPRX!AA13),"",IF(ETPT_TPRX!AA13=0,"",ETPT_TPRX!AA13)))</f>
        <v/>
      </c>
      <c r="AB13" s="93" t="str">
        <f>IF(ISBLANK(ETPT_TPRX_DDG!$D$5),"",IF(ISERROR(ETPT_TPRX!AB13),"",IF(ETPT_TPRX!AB13=0,"",ETPT_TPRX!AB13)))</f>
        <v/>
      </c>
      <c r="AC13" s="78">
        <f t="shared" si="2"/>
        <v>0</v>
      </c>
      <c r="AD13" s="93" t="str">
        <f>IF(ISBLANK(ETPT_TPRX_DDG!$D$5),"",IF(ISERROR(ETPT_TPRX!AD13),"",IF(ETPT_TPRX!AD13=0,"",ETPT_TPRX!AD13)))</f>
        <v/>
      </c>
      <c r="AE13" s="93" t="str">
        <f>IF(ISBLANK(ETPT_TPRX_DDG!$D$5),"",IF(ISERROR(ETPT_TPRX!AE13),"",IF(ETPT_TPRX!AE13=0,"",ETPT_TPRX!AE13)))</f>
        <v/>
      </c>
      <c r="AF13" s="93" t="str">
        <f>IF(ISBLANK(ETPT_TPRX_DDG!$D$5),"",IF(ISERROR(ETPT_TPRX!AF13),"",IF(ETPT_TPRX!AF13=0,"",ETPT_TPRX!AF13)))</f>
        <v/>
      </c>
      <c r="AG13" s="78">
        <f t="shared" si="3"/>
        <v>0</v>
      </c>
    </row>
    <row r="14" spans="1:60" x14ac:dyDescent="0.2">
      <c r="A14" s="77" t="s">
        <v>172</v>
      </c>
      <c r="B14" s="59"/>
      <c r="C14" s="59"/>
      <c r="D14" s="59" t="str">
        <f t="shared" si="4"/>
        <v/>
      </c>
      <c r="E14" s="59" t="s">
        <v>44</v>
      </c>
      <c r="F14" s="252" t="s">
        <v>43</v>
      </c>
      <c r="G14" s="93" t="str">
        <f>IF(ISBLANK(ETPT_TPRX_DDG!$D$5),"",IF(ISERROR(ETPT_TPRX!G14),"",IF(ETPT_TPRX!G14=0,"",ETPT_TPRX!G14)))</f>
        <v/>
      </c>
      <c r="H14" s="78">
        <f t="shared" si="0"/>
        <v>0</v>
      </c>
      <c r="I14" s="93" t="str">
        <f>IF(ISBLANK(ETPT_TPRX_DDG!$D$5),"",IF(ISERROR(ETPT_TPRX!I14),"",IF(ETPT_TPRX!I14=0,"",ETPT_TPRX!I14)))</f>
        <v/>
      </c>
      <c r="J14" s="93" t="str">
        <f>IF(ISBLANK(ETPT_TPRX_DDG!$D$5),"",IF(ISERROR(ETPT_TPRX!J14),"",IF(ETPT_TPRX!J14=0,"",ETPT_TPRX!J14)))</f>
        <v/>
      </c>
      <c r="K14" s="93" t="str">
        <f>IF(ISBLANK(ETPT_TPRX_DDG!$D$5),"",IF(ISERROR(ETPT_TPRX!K14),"",IF(ETPT_TPRX!K14=0,"",ETPT_TPRX!K14)))</f>
        <v/>
      </c>
      <c r="L14" s="93" t="str">
        <f>IF(ISBLANK(ETPT_TPRX_DDG!$D$5),"",IF(ISERROR(ETPT_TPRX!L14),"",IF(ETPT_TPRX!L14=0,"",ETPT_TPRX!L14)))</f>
        <v/>
      </c>
      <c r="M14" s="93" t="str">
        <f>IF(ISBLANK(ETPT_TPRX_DDG!$D$5),"",IF(ISERROR(ETPT_TPRX!M14),"",IF(ETPT_TPRX!M14=0,"",ETPT_TPRX!M14)))</f>
        <v/>
      </c>
      <c r="N14" s="93" t="str">
        <f>IF(ISBLANK(ETPT_TPRX_DDG!$D$5),"",IF(ISERROR(ETPT_TPRX!N14),"",IF(ETPT_TPRX!N14=0,"",ETPT_TPRX!N14)))</f>
        <v/>
      </c>
      <c r="O14" s="93" t="str">
        <f>IF(ISBLANK(ETPT_TPRX_DDG!$D$5),"",IF(ISERROR(ETPT_TPRX!O14),"",IF(ETPT_TPRX!O14=0,"",ETPT_TPRX!O14)))</f>
        <v/>
      </c>
      <c r="P14" s="93" t="str">
        <f>IF(ISBLANK(ETPT_TPRX_DDG!$D$5),"",IF(ISERROR(ETPT_TPRX!P14),"",IF(ETPT_TPRX!P14=0,"",ETPT_TPRX!P14)))</f>
        <v/>
      </c>
      <c r="Q14" s="93" t="str">
        <f>IF(ISBLANK(ETPT_TPRX_DDG!$D$5),"",IF(ISERROR(ETPT_TPRX!Q14),"",IF(ETPT_TPRX!Q14=0,"",ETPT_TPRX!Q14)))</f>
        <v/>
      </c>
      <c r="R14" s="93" t="str">
        <f>IF(ISBLANK(ETPT_TPRX_DDG!$D$5),"",IF(ISERROR(ETPT_TPRX!R14),"",IF(ETPT_TPRX!R14=0,"",ETPT_TPRX!R14)))</f>
        <v/>
      </c>
      <c r="S14" s="78">
        <f t="shared" si="1"/>
        <v>0</v>
      </c>
      <c r="T14" s="93" t="str">
        <f>IF(ISBLANK(ETPT_TPRX_DDG!$D$5),"",IF(ISERROR(ETPT_TPRX!T14),"",IF(ETPT_TPRX!T14=0,"",ETPT_TPRX!T14)))</f>
        <v/>
      </c>
      <c r="U14" s="93" t="str">
        <f>IF(ISBLANK(ETPT_TPRX_DDG!$D$5),"",IF(ISERROR(ETPT_TPRX!U14),"",IF(ETPT_TPRX!U14=0,"",ETPT_TPRX!U14)))</f>
        <v/>
      </c>
      <c r="V14" s="93" t="str">
        <f>IF(ISBLANK(ETPT_TPRX_DDG!$D$5),"",IF(ISERROR(ETPT_TPRX!V14),"",IF(ETPT_TPRX!V14=0,"",ETPT_TPRX!V14)))</f>
        <v/>
      </c>
      <c r="W14" s="93" t="str">
        <f>IF(ISBLANK(ETPT_TPRX_DDG!$D$5),"",IF(ISERROR(ETPT_TPRX!W14),"",IF(ETPT_TPRX!W14=0,"",ETPT_TPRX!W14)))</f>
        <v/>
      </c>
      <c r="X14" s="93" t="str">
        <f>IF(ISBLANK(ETPT_TPRX_DDG!$D$5),"",IF(ISERROR(ETPT_TPRX!X14),"",IF(ETPT_TPRX!X14=0,"",ETPT_TPRX!X14)))</f>
        <v/>
      </c>
      <c r="Y14" s="93" t="str">
        <f>IF(ISBLANK(ETPT_TPRX_DDG!$D$5),"",IF(ISERROR(ETPT_TPRX!Y14),"",IF(ETPT_TPRX!Y14=0,"",ETPT_TPRX!Y14)))</f>
        <v/>
      </c>
      <c r="Z14" s="93" t="str">
        <f>IF(ISBLANK(ETPT_TPRX_DDG!$D$5),"",IF(ISERROR(ETPT_TPRX!Z14),"",IF(ETPT_TPRX!Z14=0,"",ETPT_TPRX!Z14)))</f>
        <v/>
      </c>
      <c r="AA14" s="93" t="str">
        <f>IF(ISBLANK(ETPT_TPRX_DDG!$D$5),"",IF(ISERROR(ETPT_TPRX!AA14),"",IF(ETPT_TPRX!AA14=0,"",ETPT_TPRX!AA14)))</f>
        <v/>
      </c>
      <c r="AB14" s="93" t="str">
        <f>IF(ISBLANK(ETPT_TPRX_DDG!$D$5),"",IF(ISERROR(ETPT_TPRX!AB14),"",IF(ETPT_TPRX!AB14=0,"",ETPT_TPRX!AB14)))</f>
        <v/>
      </c>
      <c r="AC14" s="78">
        <f t="shared" si="2"/>
        <v>0</v>
      </c>
      <c r="AD14" s="93" t="str">
        <f>IF(ISBLANK(ETPT_TPRX_DDG!$D$5),"",IF(ISERROR(ETPT_TPRX!AD14),"",IF(ETPT_TPRX!AD14=0,"",ETPT_TPRX!AD14)))</f>
        <v/>
      </c>
      <c r="AE14" s="93" t="str">
        <f>IF(ISBLANK(ETPT_TPRX_DDG!$D$5),"",IF(ISERROR(ETPT_TPRX!AE14),"",IF(ETPT_TPRX!AE14=0,"",ETPT_TPRX!AE14)))</f>
        <v/>
      </c>
      <c r="AF14" s="93" t="str">
        <f>IF(ISBLANK(ETPT_TPRX_DDG!$D$5),"",IF(ISERROR(ETPT_TPRX!AF14),"",IF(ETPT_TPRX!AF14=0,"",ETPT_TPRX!AF14)))</f>
        <v/>
      </c>
      <c r="AG14" s="78">
        <f t="shared" si="3"/>
        <v>0</v>
      </c>
    </row>
    <row r="15" spans="1:60" x14ac:dyDescent="0.2">
      <c r="A15" s="77" t="s">
        <v>172</v>
      </c>
      <c r="B15" s="59"/>
      <c r="C15" s="59"/>
      <c r="D15" s="59" t="str">
        <f t="shared" si="4"/>
        <v/>
      </c>
      <c r="E15" s="59" t="s">
        <v>41</v>
      </c>
      <c r="F15" s="252" t="s">
        <v>40</v>
      </c>
      <c r="G15" s="93" t="str">
        <f>IF(ISBLANK(ETPT_TPRX_DDG!$D$5),"",IF(ISERROR(ETPT_TPRX!G15),"",IF(ETPT_TPRX!G15=0,"",ETPT_TPRX!G15)))</f>
        <v/>
      </c>
      <c r="H15" s="78">
        <f t="shared" si="0"/>
        <v>0</v>
      </c>
      <c r="I15" s="93" t="str">
        <f>IF(ISBLANK(ETPT_TPRX_DDG!$D$5),"",IF(ISERROR(ETPT_TPRX!I15),"",IF(ETPT_TPRX!I15=0,"",ETPT_TPRX!I15)))</f>
        <v/>
      </c>
      <c r="J15" s="93" t="str">
        <f>IF(ISBLANK(ETPT_TPRX_DDG!$D$5),"",IF(ISERROR(ETPT_TPRX!J15),"",IF(ETPT_TPRX!J15=0,"",ETPT_TPRX!J15)))</f>
        <v/>
      </c>
      <c r="K15" s="93" t="str">
        <f>IF(ISBLANK(ETPT_TPRX_DDG!$D$5),"",IF(ISERROR(ETPT_TPRX!K15),"",IF(ETPT_TPRX!K15=0,"",ETPT_TPRX!K15)))</f>
        <v/>
      </c>
      <c r="L15" s="93" t="str">
        <f>IF(ISBLANK(ETPT_TPRX_DDG!$D$5),"",IF(ISERROR(ETPT_TPRX!L15),"",IF(ETPT_TPRX!L15=0,"",ETPT_TPRX!L15)))</f>
        <v/>
      </c>
      <c r="M15" s="93" t="str">
        <f>IF(ISBLANK(ETPT_TPRX_DDG!$D$5),"",IF(ISERROR(ETPT_TPRX!M15),"",IF(ETPT_TPRX!M15=0,"",ETPT_TPRX!M15)))</f>
        <v/>
      </c>
      <c r="N15" s="93" t="str">
        <f>IF(ISBLANK(ETPT_TPRX_DDG!$D$5),"",IF(ISERROR(ETPT_TPRX!N15),"",IF(ETPT_TPRX!N15=0,"",ETPT_TPRX!N15)))</f>
        <v/>
      </c>
      <c r="O15" s="93" t="str">
        <f>IF(ISBLANK(ETPT_TPRX_DDG!$D$5),"",IF(ISERROR(ETPT_TPRX!O15),"",IF(ETPT_TPRX!O15=0,"",ETPT_TPRX!O15)))</f>
        <v/>
      </c>
      <c r="P15" s="93" t="str">
        <f>IF(ISBLANK(ETPT_TPRX_DDG!$D$5),"",IF(ISERROR(ETPT_TPRX!P15),"",IF(ETPT_TPRX!P15=0,"",ETPT_TPRX!P15)))</f>
        <v/>
      </c>
      <c r="Q15" s="93" t="str">
        <f>IF(ISBLANK(ETPT_TPRX_DDG!$D$5),"",IF(ISERROR(ETPT_TPRX!Q15),"",IF(ETPT_TPRX!Q15=0,"",ETPT_TPRX!Q15)))</f>
        <v/>
      </c>
      <c r="R15" s="93" t="str">
        <f>IF(ISBLANK(ETPT_TPRX_DDG!$D$5),"",IF(ISERROR(ETPT_TPRX!R15),"",IF(ETPT_TPRX!R15=0,"",ETPT_TPRX!R15)))</f>
        <v/>
      </c>
      <c r="S15" s="78">
        <f t="shared" si="1"/>
        <v>0</v>
      </c>
      <c r="T15" s="93" t="str">
        <f>IF(ISBLANK(ETPT_TPRX_DDG!$D$5),"",IF(ISERROR(ETPT_TPRX!T15),"",IF(ETPT_TPRX!T15=0,"",ETPT_TPRX!T15)))</f>
        <v/>
      </c>
      <c r="U15" s="93" t="str">
        <f>IF(ISBLANK(ETPT_TPRX_DDG!$D$5),"",IF(ISERROR(ETPT_TPRX!U15),"",IF(ETPT_TPRX!U15=0,"",ETPT_TPRX!U15)))</f>
        <v/>
      </c>
      <c r="V15" s="93" t="str">
        <f>IF(ISBLANK(ETPT_TPRX_DDG!$D$5),"",IF(ISERROR(ETPT_TPRX!V15),"",IF(ETPT_TPRX!V15=0,"",ETPT_TPRX!V15)))</f>
        <v/>
      </c>
      <c r="W15" s="93" t="str">
        <f>IF(ISBLANK(ETPT_TPRX_DDG!$D$5),"",IF(ISERROR(ETPT_TPRX!W15),"",IF(ETPT_TPRX!W15=0,"",ETPT_TPRX!W15)))</f>
        <v/>
      </c>
      <c r="X15" s="93" t="str">
        <f>IF(ISBLANK(ETPT_TPRX_DDG!$D$5),"",IF(ISERROR(ETPT_TPRX!X15),"",IF(ETPT_TPRX!X15=0,"",ETPT_TPRX!X15)))</f>
        <v/>
      </c>
      <c r="Y15" s="93" t="str">
        <f>IF(ISBLANK(ETPT_TPRX_DDG!$D$5),"",IF(ISERROR(ETPT_TPRX!Y15),"",IF(ETPT_TPRX!Y15=0,"",ETPT_TPRX!Y15)))</f>
        <v/>
      </c>
      <c r="Z15" s="93" t="str">
        <f>IF(ISBLANK(ETPT_TPRX_DDG!$D$5),"",IF(ISERROR(ETPT_TPRX!Z15),"",IF(ETPT_TPRX!Z15=0,"",ETPT_TPRX!Z15)))</f>
        <v/>
      </c>
      <c r="AA15" s="93" t="str">
        <f>IF(ISBLANK(ETPT_TPRX_DDG!$D$5),"",IF(ISERROR(ETPT_TPRX!AA15),"",IF(ETPT_TPRX!AA15=0,"",ETPT_TPRX!AA15)))</f>
        <v/>
      </c>
      <c r="AB15" s="93" t="str">
        <f>IF(ISBLANK(ETPT_TPRX_DDG!$D$5),"",IF(ISERROR(ETPT_TPRX!AB15),"",IF(ETPT_TPRX!AB15=0,"",ETPT_TPRX!AB15)))</f>
        <v/>
      </c>
      <c r="AC15" s="78">
        <f t="shared" si="2"/>
        <v>0</v>
      </c>
      <c r="AD15" s="93" t="str">
        <f>IF(ISBLANK(ETPT_TPRX_DDG!$D$5),"",IF(ISERROR(ETPT_TPRX!AD15),"",IF(ETPT_TPRX!AD15=0,"",ETPT_TPRX!AD15)))</f>
        <v/>
      </c>
      <c r="AE15" s="93" t="str">
        <f>IF(ISBLANK(ETPT_TPRX_DDG!$D$5),"",IF(ISERROR(ETPT_TPRX!AE15),"",IF(ETPT_TPRX!AE15=0,"",ETPT_TPRX!AE15)))</f>
        <v/>
      </c>
      <c r="AF15" s="93" t="str">
        <f>IF(ISBLANK(ETPT_TPRX_DDG!$D$5),"",IF(ISERROR(ETPT_TPRX!AF15),"",IF(ETPT_TPRX!AF15=0,"",ETPT_TPRX!AF15)))</f>
        <v/>
      </c>
      <c r="AG15" s="78">
        <f t="shared" si="3"/>
        <v>0</v>
      </c>
    </row>
    <row r="16" spans="1:60" x14ac:dyDescent="0.2">
      <c r="A16" s="77"/>
      <c r="B16" s="76"/>
      <c r="C16" s="76"/>
      <c r="D16" s="76"/>
      <c r="E16" s="76"/>
      <c r="F16" s="253" t="s">
        <v>39</v>
      </c>
      <c r="G16" s="46">
        <f t="shared" ref="G16:AG16" si="5">SUM(G5:G15)</f>
        <v>0</v>
      </c>
      <c r="H16" s="46">
        <f t="shared" si="5"/>
        <v>0</v>
      </c>
      <c r="I16" s="46">
        <f t="shared" si="5"/>
        <v>0</v>
      </c>
      <c r="J16" s="46">
        <f t="shared" si="5"/>
        <v>0</v>
      </c>
      <c r="K16" s="46">
        <f t="shared" si="5"/>
        <v>0</v>
      </c>
      <c r="L16" s="46">
        <f t="shared" si="5"/>
        <v>0</v>
      </c>
      <c r="M16" s="46">
        <f t="shared" si="5"/>
        <v>0</v>
      </c>
      <c r="N16" s="46">
        <f t="shared" si="5"/>
        <v>0</v>
      </c>
      <c r="O16" s="46">
        <f t="shared" si="5"/>
        <v>0</v>
      </c>
      <c r="P16" s="46">
        <f t="shared" si="5"/>
        <v>0</v>
      </c>
      <c r="Q16" s="46">
        <f t="shared" si="5"/>
        <v>0</v>
      </c>
      <c r="R16" s="46">
        <f t="shared" si="5"/>
        <v>0</v>
      </c>
      <c r="S16" s="46">
        <f t="shared" si="5"/>
        <v>0</v>
      </c>
      <c r="T16" s="46">
        <f t="shared" si="5"/>
        <v>0</v>
      </c>
      <c r="U16" s="46">
        <f t="shared" si="5"/>
        <v>0</v>
      </c>
      <c r="V16" s="46">
        <f t="shared" si="5"/>
        <v>0</v>
      </c>
      <c r="W16" s="46">
        <f t="shared" si="5"/>
        <v>0</v>
      </c>
      <c r="X16" s="46">
        <f t="shared" si="5"/>
        <v>0</v>
      </c>
      <c r="Y16" s="46">
        <f t="shared" si="5"/>
        <v>0</v>
      </c>
      <c r="Z16" s="46">
        <f t="shared" si="5"/>
        <v>0</v>
      </c>
      <c r="AA16" s="46">
        <f t="shared" si="5"/>
        <v>0</v>
      </c>
      <c r="AB16" s="46">
        <f t="shared" si="5"/>
        <v>0</v>
      </c>
      <c r="AC16" s="46">
        <f t="shared" si="5"/>
        <v>0</v>
      </c>
      <c r="AD16" s="46">
        <f t="shared" si="5"/>
        <v>0</v>
      </c>
      <c r="AE16" s="46">
        <f t="shared" si="5"/>
        <v>0</v>
      </c>
      <c r="AF16" s="46">
        <f t="shared" si="5"/>
        <v>0</v>
      </c>
      <c r="AG16" s="46">
        <f t="shared" si="5"/>
        <v>0</v>
      </c>
    </row>
    <row r="17" spans="4:33" x14ac:dyDescent="0.2">
      <c r="D17" s="236"/>
      <c r="E17" s="236"/>
      <c r="F17" s="236"/>
      <c r="G17" s="236"/>
      <c r="H17" s="236"/>
      <c r="I17" s="236"/>
      <c r="J17" s="236"/>
      <c r="K17" s="236"/>
      <c r="L17" s="236"/>
      <c r="M17" s="236"/>
      <c r="N17" s="236"/>
      <c r="O17" s="236"/>
      <c r="P17" s="236"/>
      <c r="Q17" s="236"/>
      <c r="R17" s="236"/>
      <c r="S17" s="237"/>
      <c r="T17" s="236"/>
      <c r="U17" s="236"/>
      <c r="V17" s="236"/>
      <c r="W17" s="236"/>
      <c r="X17" s="236"/>
      <c r="Y17" s="236"/>
      <c r="Z17" s="236"/>
      <c r="AA17" s="236"/>
      <c r="AB17" s="236"/>
      <c r="AC17" s="236"/>
      <c r="AD17" s="236"/>
      <c r="AE17" s="236"/>
      <c r="AF17" s="236"/>
      <c r="AG17" s="236"/>
    </row>
    <row r="18" spans="4:33" ht="24" x14ac:dyDescent="0.2">
      <c r="D18" s="242"/>
      <c r="E18" s="243"/>
      <c r="F18" s="239" t="s">
        <v>250</v>
      </c>
      <c r="G18" s="128" t="str">
        <f>IF(ISBLANK(ETPT_TPRX_DDG!$D$5),"",IF(ISERROR(ETPT_TPRX!G18),"",IF(ETPT_TPRX!G18=0,"",ETPT_TPRX!G18)))</f>
        <v/>
      </c>
      <c r="H18" s="243"/>
      <c r="I18" s="243"/>
      <c r="J18" s="243"/>
      <c r="K18" s="243"/>
      <c r="L18" s="236"/>
      <c r="M18" s="236"/>
      <c r="N18" s="236"/>
      <c r="O18" s="236"/>
      <c r="P18" s="236"/>
      <c r="Q18" s="240" t="s">
        <v>251</v>
      </c>
      <c r="R18" s="128" t="str">
        <f>IF(ISBLANK(ETPT_TPRX_DDG!$D$5),"",IF(ISERROR(ETPT_TPRX!R18),"",IF(ETPT_TPRX!R18=0,"",ETPT_TPRX!R18)))</f>
        <v/>
      </c>
      <c r="S18" s="236"/>
      <c r="T18" s="236"/>
      <c r="U18" s="236"/>
      <c r="V18" s="236"/>
      <c r="W18" s="236"/>
      <c r="X18" s="236"/>
      <c r="Y18" s="236"/>
      <c r="Z18" s="236"/>
      <c r="AA18" s="236"/>
      <c r="AB18" s="236"/>
      <c r="AC18" s="236"/>
      <c r="AD18" s="243"/>
      <c r="AE18" s="240" t="s">
        <v>249</v>
      </c>
      <c r="AF18" s="128" t="str">
        <f>IF(ISBLANK(ETPT_TPRX_DDG!$D$5),"",IF(ISERROR(ETPT_TPRX!AF18),"",IF(ETPT_TPRX!AF18=0,"",ETPT_TPRX!AF18)))</f>
        <v/>
      </c>
      <c r="AG18" s="236"/>
    </row>
    <row r="20" spans="4:33" x14ac:dyDescent="0.2">
      <c r="E20" s="124" t="s">
        <v>245</v>
      </c>
      <c r="F20" s="125"/>
      <c r="G20" s="125"/>
      <c r="H20" s="125"/>
      <c r="I20" s="125"/>
      <c r="J20" s="125"/>
      <c r="K20" s="125"/>
    </row>
    <row r="21" spans="4:33" ht="17" thickBot="1" x14ac:dyDescent="0.25">
      <c r="E21" s="124"/>
      <c r="F21" s="125"/>
      <c r="G21" s="125"/>
      <c r="H21" s="125"/>
      <c r="I21" s="125"/>
      <c r="J21" s="125"/>
      <c r="K21" s="125"/>
    </row>
    <row r="22" spans="4:33" ht="50" customHeight="1" thickBot="1" x14ac:dyDescent="0.25">
      <c r="E22" s="427" t="s">
        <v>342</v>
      </c>
      <c r="F22" s="428"/>
      <c r="G22" s="428"/>
      <c r="H22" s="428"/>
      <c r="I22" s="428"/>
      <c r="J22" s="428"/>
      <c r="K22" s="428"/>
      <c r="L22" s="428"/>
      <c r="M22" s="428"/>
      <c r="N22" s="428"/>
      <c r="O22" s="428"/>
      <c r="P22" s="428"/>
      <c r="Q22" s="428"/>
      <c r="R22" s="428"/>
      <c r="S22" s="428"/>
      <c r="T22" s="428"/>
      <c r="U22" s="428"/>
      <c r="V22" s="428"/>
      <c r="W22" s="428"/>
      <c r="X22" s="428"/>
      <c r="Y22" s="428"/>
      <c r="Z22" s="428"/>
      <c r="AA22" s="428"/>
      <c r="AB22" s="429"/>
    </row>
  </sheetData>
  <mergeCells count="1">
    <mergeCell ref="E22:AB22"/>
  </mergeCells>
  <pageMargins left="0.7" right="0.7" top="0.75" bottom="0.75" header="0.3" footer="0.3"/>
  <pageSetup paperSize="9"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B6A9-5FC7-3A43-BF37-0B81E3F33F51}">
  <sheetPr codeName="Feuil16">
    <tabColor rgb="FF01A94F"/>
  </sheetPr>
  <dimension ref="A1:BJ18"/>
  <sheetViews>
    <sheetView showGridLines="0" topLeftCell="D1" zoomScaleNormal="100" workbookViewId="0">
      <selection activeCell="D1" sqref="D1"/>
    </sheetView>
  </sheetViews>
  <sheetFormatPr baseColWidth="10" defaultColWidth="11" defaultRowHeight="16" x14ac:dyDescent="0.2"/>
  <cols>
    <col min="1" max="3" width="11" style="37" hidden="1" customWidth="1"/>
    <col min="4" max="4" width="16.83203125" style="37" customWidth="1"/>
    <col min="5" max="5" width="11" style="37"/>
    <col min="6" max="6" width="47.83203125" style="37" customWidth="1"/>
    <col min="7" max="10" width="11" style="37"/>
    <col min="11" max="11" width="18.6640625" style="37" customWidth="1"/>
    <col min="12" max="16384" width="11" style="37"/>
  </cols>
  <sheetData>
    <row r="1" spans="1:62" s="4" customFormat="1" ht="80" customHeight="1" x14ac:dyDescent="0.25">
      <c r="A1" s="3" t="s">
        <v>217</v>
      </c>
      <c r="B1" s="5"/>
      <c r="C1" s="5"/>
      <c r="D1" s="3" t="s">
        <v>481</v>
      </c>
      <c r="E1" s="7"/>
      <c r="F1" s="6"/>
      <c r="G1" s="6"/>
      <c r="H1" s="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row>
    <row r="2" spans="1:62" ht="16" hidden="1" customHeight="1" x14ac:dyDescent="0.2">
      <c r="A2" s="256"/>
      <c r="B2" s="256"/>
      <c r="C2" s="256"/>
      <c r="D2" s="256"/>
      <c r="E2" s="256"/>
      <c r="F2" s="256"/>
      <c r="G2" s="71" t="s">
        <v>167</v>
      </c>
      <c r="H2" s="423" t="s">
        <v>166</v>
      </c>
    </row>
    <row r="3" spans="1:62" ht="36" hidden="1" x14ac:dyDescent="0.2">
      <c r="A3" s="256"/>
      <c r="B3" s="256"/>
      <c r="C3" s="256"/>
      <c r="D3" s="256"/>
      <c r="E3" s="256"/>
      <c r="F3" s="256"/>
      <c r="G3" s="71" t="s">
        <v>145</v>
      </c>
      <c r="H3" s="423"/>
    </row>
    <row r="4" spans="1:62" ht="36" x14ac:dyDescent="0.2">
      <c r="A4" s="257"/>
      <c r="B4" s="85" t="s">
        <v>112</v>
      </c>
      <c r="C4" s="85" t="s">
        <v>111</v>
      </c>
      <c r="D4" s="85" t="s">
        <v>32</v>
      </c>
      <c r="E4" s="85" t="s">
        <v>110</v>
      </c>
      <c r="F4" s="85" t="s">
        <v>109</v>
      </c>
      <c r="G4" s="71" t="s">
        <v>94</v>
      </c>
      <c r="H4" s="423"/>
    </row>
    <row r="5" spans="1:62" x14ac:dyDescent="0.2">
      <c r="A5" s="83" t="s">
        <v>215</v>
      </c>
      <c r="B5" s="82"/>
      <c r="C5" s="82"/>
      <c r="D5" s="97"/>
      <c r="E5" s="82" t="s">
        <v>62</v>
      </c>
      <c r="F5" s="250" t="s">
        <v>61</v>
      </c>
      <c r="G5" s="92" t="str">
        <f>IF(ISBLANK(ETPT_CPH_DDG!$D$5),"",IF(ISERROR(ETPT_CPH!G5),"",IF(ETPT_CPH!G5=0,"",ETPT_CPH!G5)))</f>
        <v/>
      </c>
      <c r="H5" s="80">
        <f t="shared" ref="H5:H13" si="0">SUM(G5)</f>
        <v>0</v>
      </c>
    </row>
    <row r="6" spans="1:62" x14ac:dyDescent="0.2">
      <c r="A6" s="83" t="s">
        <v>215</v>
      </c>
      <c r="B6" s="82"/>
      <c r="C6" s="82"/>
      <c r="D6" s="59" t="str">
        <f t="shared" ref="D6:D13" si="1">IF(ISBLANK($D$5),"",$D$5)</f>
        <v/>
      </c>
      <c r="E6" s="82" t="s">
        <v>56</v>
      </c>
      <c r="F6" s="250" t="s">
        <v>55</v>
      </c>
      <c r="G6" s="92" t="str">
        <f>IF(ISBLANK(ETPT_CPH_DDG!$D$5),"",IF(ISERROR(ETPT_CPH!G6),"",IF(ETPT_CPH!G6=0,"",ETPT_CPH!G6)))</f>
        <v/>
      </c>
      <c r="H6" s="80">
        <f t="shared" si="0"/>
        <v>0</v>
      </c>
    </row>
    <row r="7" spans="1:62" x14ac:dyDescent="0.2">
      <c r="A7" s="83" t="s">
        <v>215</v>
      </c>
      <c r="B7" s="82"/>
      <c r="C7" s="82"/>
      <c r="D7" s="59" t="str">
        <f t="shared" si="1"/>
        <v/>
      </c>
      <c r="E7" s="82" t="s">
        <v>54</v>
      </c>
      <c r="F7" s="250" t="s">
        <v>53</v>
      </c>
      <c r="G7" s="92" t="str">
        <f>IF(ISBLANK(ETPT_CPH_DDG!$D$5),"",IF(ISERROR(ETPT_CPH!G7),"",IF(ETPT_CPH!G7=0,"",ETPT_CPH!G7)))</f>
        <v/>
      </c>
      <c r="H7" s="80">
        <f t="shared" si="0"/>
        <v>0</v>
      </c>
    </row>
    <row r="8" spans="1:62" x14ac:dyDescent="0.2">
      <c r="A8" s="83" t="s">
        <v>215</v>
      </c>
      <c r="B8" s="82"/>
      <c r="C8" s="82"/>
      <c r="D8" s="59" t="str">
        <f t="shared" si="1"/>
        <v/>
      </c>
      <c r="E8" s="82" t="s">
        <v>52</v>
      </c>
      <c r="F8" s="250" t="s">
        <v>51</v>
      </c>
      <c r="G8" s="92" t="str">
        <f>IF(ISBLANK(ETPT_CPH_DDG!$D$5),"",IF(ISERROR(ETPT_CPH!G8),"",IF(ETPT_CPH!G8=0,"",ETPT_CPH!G8)))</f>
        <v/>
      </c>
      <c r="H8" s="80">
        <f t="shared" si="0"/>
        <v>0</v>
      </c>
    </row>
    <row r="9" spans="1:62" x14ac:dyDescent="0.2">
      <c r="A9" s="83" t="s">
        <v>215</v>
      </c>
      <c r="B9" s="82"/>
      <c r="C9" s="82"/>
      <c r="D9" s="59" t="str">
        <f t="shared" si="1"/>
        <v/>
      </c>
      <c r="E9" s="82" t="s">
        <v>50</v>
      </c>
      <c r="F9" s="250" t="s">
        <v>49</v>
      </c>
      <c r="G9" s="92" t="str">
        <f>IF(ISBLANK(ETPT_CPH_DDG!$D$5),"",IF(ISERROR(ETPT_CPH!G9),"",IF(ETPT_CPH!G9=0,"",ETPT_CPH!G9)))</f>
        <v/>
      </c>
      <c r="H9" s="80">
        <f t="shared" si="0"/>
        <v>0</v>
      </c>
    </row>
    <row r="10" spans="1:62" x14ac:dyDescent="0.2">
      <c r="A10" s="83" t="s">
        <v>215</v>
      </c>
      <c r="B10" s="82"/>
      <c r="C10" s="82"/>
      <c r="D10" s="59" t="str">
        <f t="shared" si="1"/>
        <v/>
      </c>
      <c r="E10" s="82" t="s">
        <v>48</v>
      </c>
      <c r="F10" s="250" t="s">
        <v>47</v>
      </c>
      <c r="G10" s="92" t="str">
        <f>IF(ISBLANK(ETPT_CPH_DDG!$D$5),"",IF(ISERROR(ETPT_CPH!G10),"",IF(ETPT_CPH!G10=0,"",ETPT_CPH!G10)))</f>
        <v/>
      </c>
      <c r="H10" s="80">
        <f t="shared" si="0"/>
        <v>0</v>
      </c>
    </row>
    <row r="11" spans="1:62" x14ac:dyDescent="0.2">
      <c r="A11" s="83" t="s">
        <v>215</v>
      </c>
      <c r="B11" s="82"/>
      <c r="C11" s="82"/>
      <c r="D11" s="59" t="str">
        <f t="shared" si="1"/>
        <v/>
      </c>
      <c r="E11" s="82" t="s">
        <v>46</v>
      </c>
      <c r="F11" s="250" t="s">
        <v>45</v>
      </c>
      <c r="G11" s="92" t="str">
        <f>IF(ISBLANK(ETPT_CPH_DDG!$D$5),"",IF(ISERROR(ETPT_CPH!G11),"",IF(ETPT_CPH!G11=0,"",ETPT_CPH!G11)))</f>
        <v/>
      </c>
      <c r="H11" s="80">
        <f t="shared" si="0"/>
        <v>0</v>
      </c>
    </row>
    <row r="12" spans="1:62" x14ac:dyDescent="0.2">
      <c r="A12" s="83" t="s">
        <v>215</v>
      </c>
      <c r="B12" s="82"/>
      <c r="C12" s="82"/>
      <c r="D12" s="59" t="str">
        <f t="shared" si="1"/>
        <v/>
      </c>
      <c r="E12" s="82" t="s">
        <v>44</v>
      </c>
      <c r="F12" s="250" t="s">
        <v>43</v>
      </c>
      <c r="G12" s="92" t="str">
        <f>IF(ISBLANK(ETPT_CPH_DDG!$D$5),"",IF(ISERROR(ETPT_CPH!G12),"",IF(ETPT_CPH!G12=0,"",ETPT_CPH!G12)))</f>
        <v/>
      </c>
      <c r="H12" s="80">
        <f t="shared" si="0"/>
        <v>0</v>
      </c>
    </row>
    <row r="13" spans="1:62" x14ac:dyDescent="0.2">
      <c r="A13" s="83" t="s">
        <v>215</v>
      </c>
      <c r="B13" s="82"/>
      <c r="C13" s="82"/>
      <c r="D13" s="59" t="str">
        <f t="shared" si="1"/>
        <v/>
      </c>
      <c r="E13" s="82" t="s">
        <v>41</v>
      </c>
      <c r="F13" s="250" t="s">
        <v>40</v>
      </c>
      <c r="G13" s="92" t="str">
        <f>IF(ISBLANK(ETPT_CPH_DDG!$D$5),"",IF(ISERROR(ETPT_CPH!G13),"",IF(ETPT_CPH!G13=0,"",ETPT_CPH!G13)))</f>
        <v/>
      </c>
      <c r="H13" s="80">
        <f t="shared" si="0"/>
        <v>0</v>
      </c>
    </row>
    <row r="14" spans="1:62" x14ac:dyDescent="0.2">
      <c r="A14" s="258"/>
      <c r="B14" s="59"/>
      <c r="C14" s="59"/>
      <c r="D14" s="59"/>
      <c r="E14" s="76"/>
      <c r="F14" s="251" t="s">
        <v>39</v>
      </c>
      <c r="G14" s="80">
        <f>SUM(G5:G13)</f>
        <v>0</v>
      </c>
      <c r="H14" s="80">
        <f>SUM(H5:H13)</f>
        <v>0</v>
      </c>
    </row>
    <row r="16" spans="1:62" x14ac:dyDescent="0.2">
      <c r="E16" s="124" t="s">
        <v>245</v>
      </c>
      <c r="F16" s="21"/>
      <c r="G16" s="21"/>
      <c r="H16" s="21"/>
      <c r="I16" s="21"/>
      <c r="J16" s="21"/>
    </row>
    <row r="17" spans="4:11" ht="17" thickBot="1" x14ac:dyDescent="0.25">
      <c r="D17" s="124"/>
      <c r="F17" s="21"/>
      <c r="G17" s="21"/>
      <c r="H17" s="21"/>
      <c r="I17" s="21"/>
      <c r="J17" s="21"/>
    </row>
    <row r="18" spans="4:11" ht="91" customHeight="1" thickBot="1" x14ac:dyDescent="0.25">
      <c r="D18" s="124"/>
      <c r="E18" s="427" t="s">
        <v>483</v>
      </c>
      <c r="F18" s="428"/>
      <c r="G18" s="428"/>
      <c r="H18" s="428"/>
      <c r="I18" s="428"/>
      <c r="J18" s="428"/>
      <c r="K18" s="429"/>
    </row>
  </sheetData>
  <mergeCells count="2">
    <mergeCell ref="H2:H4"/>
    <mergeCell ref="E18:K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9BD7-EF2F-BA42-8B22-047003D2887B}">
  <sheetPr>
    <tabColor theme="8" tint="-0.249977111117893"/>
  </sheetPr>
  <dimension ref="A1:BL17"/>
  <sheetViews>
    <sheetView showGridLines="0" topLeftCell="F1" zoomScaleNormal="100" workbookViewId="0">
      <selection activeCell="L12" sqref="L12"/>
    </sheetView>
  </sheetViews>
  <sheetFormatPr baseColWidth="10" defaultRowHeight="15" x14ac:dyDescent="0.2"/>
  <cols>
    <col min="1" max="3" width="0" hidden="1" customWidth="1"/>
    <col min="4" max="4" width="16.83203125" customWidth="1"/>
    <col min="6" max="6" width="68.83203125" customWidth="1"/>
    <col min="7" max="18" width="13.5" customWidth="1"/>
  </cols>
  <sheetData>
    <row r="1" spans="1:64" s="4" customFormat="1" ht="80" customHeight="1" x14ac:dyDescent="0.25">
      <c r="A1" s="3"/>
      <c r="B1" s="5"/>
      <c r="C1" s="5"/>
      <c r="D1" s="3" t="s">
        <v>647</v>
      </c>
      <c r="E1" s="7"/>
      <c r="F1" s="6"/>
      <c r="G1" s="6"/>
      <c r="H1" s="7"/>
      <c r="I1" s="7"/>
      <c r="J1" s="7"/>
      <c r="K1" s="7"/>
      <c r="L1" s="7"/>
      <c r="M1" s="7"/>
      <c r="N1" s="7"/>
      <c r="O1" s="7"/>
      <c r="P1" s="7"/>
      <c r="Q1" s="7"/>
      <c r="R1" s="7"/>
      <c r="S1" s="7"/>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row>
    <row r="2" spans="1:64" hidden="1" x14ac:dyDescent="0.2">
      <c r="A2" s="254"/>
      <c r="B2" s="207"/>
      <c r="C2" s="207"/>
      <c r="D2" s="207"/>
      <c r="E2" s="207"/>
      <c r="F2" s="207"/>
      <c r="G2" s="208" t="s">
        <v>38</v>
      </c>
      <c r="H2" s="208" t="s">
        <v>38</v>
      </c>
      <c r="I2" s="208" t="s">
        <v>38</v>
      </c>
      <c r="J2" s="208"/>
      <c r="K2" s="208"/>
      <c r="L2" s="208" t="s">
        <v>38</v>
      </c>
      <c r="M2" s="208"/>
      <c r="N2" s="208"/>
      <c r="O2" s="208" t="s">
        <v>38</v>
      </c>
      <c r="P2" s="208" t="s">
        <v>38</v>
      </c>
      <c r="Q2" s="208" t="s">
        <v>38</v>
      </c>
      <c r="R2" s="208" t="s">
        <v>38</v>
      </c>
      <c r="S2" s="426" t="s">
        <v>271</v>
      </c>
    </row>
    <row r="3" spans="1:64" hidden="1" x14ac:dyDescent="0.2">
      <c r="A3" s="254"/>
      <c r="B3" s="207"/>
      <c r="C3" s="207"/>
      <c r="D3" s="207"/>
      <c r="E3" s="207"/>
      <c r="F3" s="207"/>
      <c r="G3" s="208" t="s">
        <v>272</v>
      </c>
      <c r="H3" s="208" t="s">
        <v>273</v>
      </c>
      <c r="I3" s="208" t="s">
        <v>143</v>
      </c>
      <c r="J3" s="208"/>
      <c r="K3" s="208"/>
      <c r="L3" s="208" t="s">
        <v>144</v>
      </c>
      <c r="M3" s="208"/>
      <c r="N3" s="208"/>
      <c r="O3" s="208" t="s">
        <v>275</v>
      </c>
      <c r="P3" s="208" t="s">
        <v>276</v>
      </c>
      <c r="Q3" s="208" t="s">
        <v>277</v>
      </c>
      <c r="R3" s="208" t="s">
        <v>278</v>
      </c>
      <c r="S3" s="426"/>
    </row>
    <row r="4" spans="1:64" ht="36" x14ac:dyDescent="0.2">
      <c r="A4" s="255"/>
      <c r="B4" s="244" t="s">
        <v>112</v>
      </c>
      <c r="C4" s="244" t="s">
        <v>111</v>
      </c>
      <c r="D4" s="244" t="s">
        <v>32</v>
      </c>
      <c r="E4" s="244" t="s">
        <v>279</v>
      </c>
      <c r="F4" s="244" t="s">
        <v>109</v>
      </c>
      <c r="G4" s="249" t="s">
        <v>476</v>
      </c>
      <c r="H4" s="249" t="s">
        <v>477</v>
      </c>
      <c r="I4" s="249" t="s">
        <v>648</v>
      </c>
      <c r="J4" s="249" t="s">
        <v>649</v>
      </c>
      <c r="K4" s="249" t="s">
        <v>650</v>
      </c>
      <c r="L4" s="249" t="s">
        <v>652</v>
      </c>
      <c r="M4" s="249" t="s">
        <v>659</v>
      </c>
      <c r="N4" s="249" t="s">
        <v>660</v>
      </c>
      <c r="O4" s="249" t="s">
        <v>653</v>
      </c>
      <c r="P4" s="249" t="s">
        <v>654</v>
      </c>
      <c r="Q4" s="249" t="s">
        <v>655</v>
      </c>
      <c r="R4" s="249" t="s">
        <v>651</v>
      </c>
      <c r="S4" s="426"/>
    </row>
    <row r="5" spans="1:64" x14ac:dyDescent="0.2">
      <c r="A5" s="211" t="s">
        <v>283</v>
      </c>
      <c r="B5" s="212"/>
      <c r="C5" s="212"/>
      <c r="D5" s="264"/>
      <c r="E5" s="212" t="s">
        <v>62</v>
      </c>
      <c r="F5" s="245" t="s">
        <v>61</v>
      </c>
      <c r="G5" s="247" t="str">
        <f>IF(ISBLANK(ETPT_ATTJ!G5),"",IF(ISERROR(ETPT_ATTJ!G5),"",IF(ETPT_ATTJ!G5=0,"",ETPT_ATTJ!G5)))</f>
        <v/>
      </c>
      <c r="H5" s="247" t="str">
        <f>IF(ISBLANK(ETPT_ATTJ!H5),"",IF(ISERROR(ETPT_ATTJ!H5),"",IF(ETPT_ATTJ!H5=0,"",ETPT_ATTJ!H5)))</f>
        <v/>
      </c>
      <c r="I5" s="247" t="str">
        <f>IF(ISBLANK(ETPT_ATTJ!I5),"",IF(ISERROR(ETPT_ATTJ!I5),"",IF(ETPT_ATTJ!I5=0,"",ETPT_ATTJ!I5)))</f>
        <v/>
      </c>
      <c r="J5" s="247"/>
      <c r="K5" s="247"/>
      <c r="L5" s="247" t="str">
        <f>IF(ISBLANK(ETPT_ATTJ!L5),"",IF(ISERROR(ETPT_ATTJ!L5),"",IF(ETPT_ATTJ!L5=0,"",ETPT_ATTJ!L5)))</f>
        <v/>
      </c>
      <c r="M5" s="247"/>
      <c r="N5" s="247"/>
      <c r="O5" s="247" t="str">
        <f>IF(ISBLANK(ETPT_ATTJ!O5),"",IF(ISERROR(ETPT_ATTJ!O5),"",IF(ETPT_ATTJ!O5=0,"",ETPT_ATTJ!O5)))</f>
        <v/>
      </c>
      <c r="P5" s="247" t="str">
        <f>IF(ISBLANK(ETPT_ATTJ!P5),"",IF(ISERROR(ETPT_ATTJ!P5),"",IF(ETPT_ATTJ!P5=0,"",ETPT_ATTJ!P5)))</f>
        <v/>
      </c>
      <c r="Q5" s="247" t="str">
        <f>IF(ISBLANK(ETPT_ATTJ!Q5),"",IF(ISERROR(ETPT_ATTJ!Q5),"",IF(ETPT_ATTJ!Q5=0,"",ETPT_ATTJ!Q5)))</f>
        <v/>
      </c>
      <c r="R5" s="247" t="str">
        <f>IF(ISBLANK(ETPT_ATTJ!R5),"",IF(ISERROR(ETPT_ATTJ!R5),"",IF(ETPT_ATTJ!R5=0,"",ETPT_ATTJ!R5)))</f>
        <v/>
      </c>
      <c r="S5" s="214">
        <f>ETPT_ATTJ!S5</f>
        <v>0</v>
      </c>
    </row>
    <row r="6" spans="1:64" x14ac:dyDescent="0.2">
      <c r="A6" s="211" t="s">
        <v>283</v>
      </c>
      <c r="B6" s="212"/>
      <c r="C6" s="212"/>
      <c r="D6" s="218">
        <f>$D$5</f>
        <v>0</v>
      </c>
      <c r="E6" s="212" t="s">
        <v>60</v>
      </c>
      <c r="F6" s="245" t="s">
        <v>59</v>
      </c>
      <c r="G6" s="247" t="str">
        <f>IF(ISBLANK(ETPT_ATTJ!G6),"",IF(ISERROR(ETPT_ATTJ!G6),"",IF(ETPT_ATTJ!G6=0,"",ETPT_ATTJ!G6)))</f>
        <v/>
      </c>
      <c r="H6" s="247" t="str">
        <f>IF(ISBLANK(ETPT_ATTJ!H6),"",IF(ISERROR(ETPT_ATTJ!H6),"",IF(ETPT_ATTJ!H6=0,"",ETPT_ATTJ!H6)))</f>
        <v/>
      </c>
      <c r="I6" s="247" t="str">
        <f>IF(ISBLANK(ETPT_ATTJ!I6),"",IF(ISERROR(ETPT_ATTJ!I6),"",IF(ETPT_ATTJ!I6=0,"",ETPT_ATTJ!I6)))</f>
        <v/>
      </c>
      <c r="J6" s="247" t="str">
        <f>IF(ISBLANK(ETPT_ATTJ!J6),"",IF(ISERROR(ETPT_ATTJ!J6),"",IF(ETPT_ATTJ!J6=0,"",ETPT_ATTJ!J6)))</f>
        <v/>
      </c>
      <c r="K6" s="247" t="str">
        <f>IF(ISBLANK(ETPT_ATTJ!K6),"",IF(ISERROR(ETPT_ATTJ!K6),"",IF(ETPT_ATTJ!K6=0,"",ETPT_ATTJ!K6)))</f>
        <v/>
      </c>
      <c r="L6" s="247" t="str">
        <f>IF(ISBLANK(ETPT_ATTJ!L6),"",IF(ISERROR(ETPT_ATTJ!L6),"",IF(ETPT_ATTJ!L6=0,"",ETPT_ATTJ!L6)))</f>
        <v/>
      </c>
      <c r="M6" s="247"/>
      <c r="N6" s="247"/>
      <c r="O6" s="247" t="str">
        <f>IF(ISBLANK(ETPT_ATTJ!O6),"",IF(ISERROR(ETPT_ATTJ!O6),"",IF(ETPT_ATTJ!O6=0,"",ETPT_ATTJ!O6)))</f>
        <v/>
      </c>
      <c r="P6" s="247" t="str">
        <f>IF(ISBLANK(ETPT_ATTJ!P6),"",IF(ISERROR(ETPT_ATTJ!P6),"",IF(ETPT_ATTJ!P6=0,"",ETPT_ATTJ!P6)))</f>
        <v/>
      </c>
      <c r="Q6" s="247" t="str">
        <f>IF(ISBLANK(ETPT_ATTJ!Q6),"",IF(ISERROR(ETPT_ATTJ!Q6),"",IF(ETPT_ATTJ!Q6=0,"",ETPT_ATTJ!Q6)))</f>
        <v/>
      </c>
      <c r="R6" s="247" t="str">
        <f>IF(ISBLANK(ETPT_ATTJ!R6),"",IF(ISERROR(ETPT_ATTJ!R6),"",IF(ETPT_ATTJ!R6=0,"",ETPT_ATTJ!R6)))</f>
        <v/>
      </c>
      <c r="S6" s="214">
        <f>ETPT_ATTJ!S6</f>
        <v>0</v>
      </c>
    </row>
    <row r="7" spans="1:64" x14ac:dyDescent="0.2">
      <c r="A7" s="211" t="s">
        <v>283</v>
      </c>
      <c r="B7" s="212"/>
      <c r="C7" s="212"/>
      <c r="D7" s="218">
        <f t="shared" ref="D7:D12" si="0">$D$5</f>
        <v>0</v>
      </c>
      <c r="E7" s="212" t="s">
        <v>56</v>
      </c>
      <c r="F7" s="245" t="s">
        <v>55</v>
      </c>
      <c r="G7" s="247" t="str">
        <f>IF(ISBLANK(ETPT_ATTJ!G7),"",IF(ISERROR(ETPT_ATTJ!G7),"",IF(ETPT_ATTJ!G7=0,"",ETPT_ATTJ!G7)))</f>
        <v/>
      </c>
      <c r="H7" s="247" t="str">
        <f>IF(ISBLANK(ETPT_ATTJ!H7),"",IF(ISERROR(ETPT_ATTJ!H7),"",IF(ETPT_ATTJ!H7=0,"",ETPT_ATTJ!H7)))</f>
        <v/>
      </c>
      <c r="I7" s="247" t="str">
        <f>IF(ISBLANK(ETPT_ATTJ!I7),"",IF(ISERROR(ETPT_ATTJ!I7),"",IF(ETPT_ATTJ!I7=0,"",ETPT_ATTJ!I7)))</f>
        <v/>
      </c>
      <c r="J7" s="247" t="str">
        <f>IF(ISBLANK(ETPT_ATTJ!J7),"",IF(ISERROR(ETPT_ATTJ!J7),"",IF(ETPT_ATTJ!J7=0,"",ETPT_ATTJ!J7)))</f>
        <v/>
      </c>
      <c r="K7" s="247" t="str">
        <f>IF(ISBLANK(ETPT_ATTJ!K7),"",IF(ISERROR(ETPT_ATTJ!K7),"",IF(ETPT_ATTJ!K7=0,"",ETPT_ATTJ!K7)))</f>
        <v/>
      </c>
      <c r="L7" s="247" t="str">
        <f>IF(ISBLANK(ETPT_ATTJ!L7),"",IF(ISERROR(ETPT_ATTJ!L7),"",IF(ETPT_ATTJ!L7=0,"",ETPT_ATTJ!L7)))</f>
        <v/>
      </c>
      <c r="M7" s="247"/>
      <c r="N7" s="247"/>
      <c r="O7" s="247" t="str">
        <f>IF(ISBLANK(ETPT_ATTJ!O7),"",IF(ISERROR(ETPT_ATTJ!O7),"",IF(ETPT_ATTJ!O7=0,"",ETPT_ATTJ!O7)))</f>
        <v/>
      </c>
      <c r="P7" s="247" t="str">
        <f>IF(ISBLANK(ETPT_ATTJ!P7),"",IF(ISERROR(ETPT_ATTJ!P7),"",IF(ETPT_ATTJ!P7=0,"",ETPT_ATTJ!P7)))</f>
        <v/>
      </c>
      <c r="Q7" s="247" t="str">
        <f>IF(ISBLANK(ETPT_ATTJ!Q7),"",IF(ISERROR(ETPT_ATTJ!Q7),"",IF(ETPT_ATTJ!Q7=0,"",ETPT_ATTJ!Q7)))</f>
        <v/>
      </c>
      <c r="R7" s="247" t="str">
        <f>IF(ISBLANK(ETPT_ATTJ!R7),"",IF(ISERROR(ETPT_ATTJ!R7),"",IF(ETPT_ATTJ!R7=0,"",ETPT_ATTJ!R7)))</f>
        <v/>
      </c>
      <c r="S7" s="214">
        <f>ETPT_ATTJ!S7</f>
        <v>0</v>
      </c>
    </row>
    <row r="8" spans="1:64" x14ac:dyDescent="0.2">
      <c r="A8" s="211" t="s">
        <v>283</v>
      </c>
      <c r="B8" s="212"/>
      <c r="C8" s="212"/>
      <c r="D8" s="218">
        <f t="shared" si="0"/>
        <v>0</v>
      </c>
      <c r="E8" s="212" t="s">
        <v>54</v>
      </c>
      <c r="F8" s="245" t="s">
        <v>53</v>
      </c>
      <c r="G8" s="247" t="str">
        <f>IF(ISBLANK(ETPT_ATTJ!G8),"",IF(ISERROR(ETPT_ATTJ!G8),"",IF(ETPT_ATTJ!G8=0,"",ETPT_ATTJ!G8)))</f>
        <v/>
      </c>
      <c r="H8" s="247" t="str">
        <f>IF(ISBLANK(ETPT_ATTJ!H8),"",IF(ISERROR(ETPT_ATTJ!H8),"",IF(ETPT_ATTJ!H8=0,"",ETPT_ATTJ!H8)))</f>
        <v/>
      </c>
      <c r="I8" s="247" t="str">
        <f>IF(ISBLANK(ETPT_ATTJ!I8),"",IF(ISERROR(ETPT_ATTJ!I8),"",IF(ETPT_ATTJ!I8=0,"",ETPT_ATTJ!I8)))</f>
        <v/>
      </c>
      <c r="J8" s="247" t="str">
        <f>IF(ISBLANK(ETPT_ATTJ!J8),"",IF(ISERROR(ETPT_ATTJ!J8),"",IF(ETPT_ATTJ!J8=0,"",ETPT_ATTJ!J8)))</f>
        <v/>
      </c>
      <c r="K8" s="247" t="str">
        <f>IF(ISBLANK(ETPT_ATTJ!K8),"",IF(ISERROR(ETPT_ATTJ!K8),"",IF(ETPT_ATTJ!K8=0,"",ETPT_ATTJ!K8)))</f>
        <v/>
      </c>
      <c r="L8" s="247" t="str">
        <f>IF(ISBLANK(ETPT_ATTJ!L8),"",IF(ISERROR(ETPT_ATTJ!L8),"",IF(ETPT_ATTJ!L8=0,"",ETPT_ATTJ!L8)))</f>
        <v/>
      </c>
      <c r="M8" s="247"/>
      <c r="N8" s="247"/>
      <c r="O8" s="247" t="str">
        <f>IF(ISBLANK(ETPT_ATTJ!O8),"",IF(ISERROR(ETPT_ATTJ!O8),"",IF(ETPT_ATTJ!O8=0,"",ETPT_ATTJ!O8)))</f>
        <v/>
      </c>
      <c r="P8" s="247" t="str">
        <f>IF(ISBLANK(ETPT_ATTJ!P8),"",IF(ISERROR(ETPT_ATTJ!P8),"",IF(ETPT_ATTJ!P8=0,"",ETPT_ATTJ!P8)))</f>
        <v/>
      </c>
      <c r="Q8" s="247" t="str">
        <f>IF(ISBLANK(ETPT_ATTJ!Q8),"",IF(ISERROR(ETPT_ATTJ!Q8),"",IF(ETPT_ATTJ!Q8=0,"",ETPT_ATTJ!Q8)))</f>
        <v/>
      </c>
      <c r="R8" s="247" t="str">
        <f>IF(ISBLANK(ETPT_ATTJ!R8),"",IF(ISERROR(ETPT_ATTJ!R8),"",IF(ETPT_ATTJ!R8=0,"",ETPT_ATTJ!R8)))</f>
        <v/>
      </c>
      <c r="S8" s="214">
        <f>ETPT_ATTJ!S8</f>
        <v>0</v>
      </c>
    </row>
    <row r="9" spans="1:64" x14ac:dyDescent="0.2">
      <c r="A9" s="211" t="s">
        <v>283</v>
      </c>
      <c r="B9" s="212"/>
      <c r="C9" s="212"/>
      <c r="D9" s="218">
        <f t="shared" si="0"/>
        <v>0</v>
      </c>
      <c r="E9" s="212" t="s">
        <v>52</v>
      </c>
      <c r="F9" s="245" t="s">
        <v>51</v>
      </c>
      <c r="G9" s="247" t="str">
        <f>IF(ISBLANK(ETPT_ATTJ!G9),"",IF(ISERROR(ETPT_ATTJ!G9),"",IF(ETPT_ATTJ!G9=0,"",ETPT_ATTJ!G9)))</f>
        <v/>
      </c>
      <c r="H9" s="247" t="str">
        <f>IF(ISBLANK(ETPT_ATTJ!H9),"",IF(ISERROR(ETPT_ATTJ!H9),"",IF(ETPT_ATTJ!H9=0,"",ETPT_ATTJ!H9)))</f>
        <v/>
      </c>
      <c r="I9" s="247" t="str">
        <f>IF(ISBLANK(ETPT_ATTJ!I9),"",IF(ISERROR(ETPT_ATTJ!I9),"",IF(ETPT_ATTJ!I9=0,"",ETPT_ATTJ!I9)))</f>
        <v/>
      </c>
      <c r="J9" s="247" t="str">
        <f>IF(ISBLANK(ETPT_ATTJ!J9),"",IF(ISERROR(ETPT_ATTJ!J9),"",IF(ETPT_ATTJ!J9=0,"",ETPT_ATTJ!J9)))</f>
        <v/>
      </c>
      <c r="K9" s="247" t="str">
        <f>IF(ISBLANK(ETPT_ATTJ!K9),"",IF(ISERROR(ETPT_ATTJ!K9),"",IF(ETPT_ATTJ!K9=0,"",ETPT_ATTJ!K9)))</f>
        <v/>
      </c>
      <c r="L9" s="247" t="str">
        <f>IF(ISBLANK(ETPT_ATTJ!L9),"",IF(ISERROR(ETPT_ATTJ!L9),"",IF(ETPT_ATTJ!L9=0,"",ETPT_ATTJ!L9)))</f>
        <v/>
      </c>
      <c r="M9" s="247"/>
      <c r="N9" s="247"/>
      <c r="O9" s="247" t="str">
        <f>IF(ISBLANK(ETPT_ATTJ!O9),"",IF(ISERROR(ETPT_ATTJ!O9),"",IF(ETPT_ATTJ!O9=0,"",ETPT_ATTJ!O9)))</f>
        <v/>
      </c>
      <c r="P9" s="247" t="str">
        <f>IF(ISBLANK(ETPT_ATTJ!P9),"",IF(ISERROR(ETPT_ATTJ!P9),"",IF(ETPT_ATTJ!P9=0,"",ETPT_ATTJ!P9)))</f>
        <v/>
      </c>
      <c r="Q9" s="247" t="str">
        <f>IF(ISBLANK(ETPT_ATTJ!Q9),"",IF(ISERROR(ETPT_ATTJ!Q9),"",IF(ETPT_ATTJ!Q9=0,"",ETPT_ATTJ!Q9)))</f>
        <v/>
      </c>
      <c r="R9" s="247" t="str">
        <f>IF(ISBLANK(ETPT_ATTJ!R9),"",IF(ISERROR(ETPT_ATTJ!R9),"",IF(ETPT_ATTJ!R9=0,"",ETPT_ATTJ!R9)))</f>
        <v/>
      </c>
      <c r="S9" s="214">
        <f>ETPT_ATTJ!S9</f>
        <v>0</v>
      </c>
    </row>
    <row r="10" spans="1:64" x14ac:dyDescent="0.2">
      <c r="A10" s="211" t="s">
        <v>283</v>
      </c>
      <c r="B10" s="212"/>
      <c r="C10" s="212"/>
      <c r="D10" s="218">
        <f t="shared" si="0"/>
        <v>0</v>
      </c>
      <c r="E10" s="212" t="s">
        <v>50</v>
      </c>
      <c r="F10" s="245" t="s">
        <v>49</v>
      </c>
      <c r="G10" s="247" t="str">
        <f>IF(ISBLANK(ETPT_ATTJ!G10),"",IF(ISERROR(ETPT_ATTJ!G10),"",IF(ETPT_ATTJ!G10=0,"",ETPT_ATTJ!G10)))</f>
        <v/>
      </c>
      <c r="H10" s="247" t="str">
        <f>IF(ISBLANK(ETPT_ATTJ!H10),"",IF(ISERROR(ETPT_ATTJ!H10),"",IF(ETPT_ATTJ!H10=0,"",ETPT_ATTJ!H10)))</f>
        <v/>
      </c>
      <c r="I10" s="247" t="str">
        <f>IF(ISBLANK(ETPT_ATTJ!I10),"",IF(ISERROR(ETPT_ATTJ!I10),"",IF(ETPT_ATTJ!I10=0,"",ETPT_ATTJ!I10)))</f>
        <v/>
      </c>
      <c r="J10" s="247" t="str">
        <f>IF(ISBLANK(ETPT_ATTJ!J10),"",IF(ISERROR(ETPT_ATTJ!J10),"",IF(ETPT_ATTJ!J10=0,"",ETPT_ATTJ!J10)))</f>
        <v/>
      </c>
      <c r="K10" s="247" t="str">
        <f>IF(ISBLANK(ETPT_ATTJ!K10),"",IF(ISERROR(ETPT_ATTJ!K10),"",IF(ETPT_ATTJ!K10=0,"",ETPT_ATTJ!K10)))</f>
        <v/>
      </c>
      <c r="L10" s="247" t="str">
        <f>IF(ISBLANK(ETPT_ATTJ!L10),"",IF(ISERROR(ETPT_ATTJ!L10),"",IF(ETPT_ATTJ!L10=0,"",ETPT_ATTJ!L10)))</f>
        <v/>
      </c>
      <c r="M10" s="247"/>
      <c r="N10" s="247"/>
      <c r="O10" s="247" t="str">
        <f>IF(ISBLANK(ETPT_ATTJ!O10),"",IF(ISERROR(ETPT_ATTJ!O10),"",IF(ETPT_ATTJ!O10=0,"",ETPT_ATTJ!O10)))</f>
        <v/>
      </c>
      <c r="P10" s="247" t="str">
        <f>IF(ISBLANK(ETPT_ATTJ!P10),"",IF(ISERROR(ETPT_ATTJ!P10),"",IF(ETPT_ATTJ!P10=0,"",ETPT_ATTJ!P10)))</f>
        <v/>
      </c>
      <c r="Q10" s="247" t="str">
        <f>IF(ISBLANK(ETPT_ATTJ!Q10),"",IF(ISERROR(ETPT_ATTJ!Q10),"",IF(ETPT_ATTJ!Q10=0,"",ETPT_ATTJ!Q10)))</f>
        <v/>
      </c>
      <c r="R10" s="247" t="str">
        <f>IF(ISBLANK(ETPT_ATTJ!R10),"",IF(ISERROR(ETPT_ATTJ!R10),"",IF(ETPT_ATTJ!R10=0,"",ETPT_ATTJ!R10)))</f>
        <v/>
      </c>
      <c r="S10" s="214">
        <f>ETPT_ATTJ!S10</f>
        <v>0</v>
      </c>
    </row>
    <row r="11" spans="1:64" x14ac:dyDescent="0.2">
      <c r="A11" s="211" t="s">
        <v>283</v>
      </c>
      <c r="B11" s="212"/>
      <c r="C11" s="212"/>
      <c r="D11" s="218">
        <f t="shared" si="0"/>
        <v>0</v>
      </c>
      <c r="E11" s="212" t="s">
        <v>48</v>
      </c>
      <c r="F11" s="245" t="s">
        <v>47</v>
      </c>
      <c r="G11" s="247" t="str">
        <f>IF(ISBLANK(ETPT_ATTJ!G11),"",IF(ISERROR(ETPT_ATTJ!G11),"",IF(ETPT_ATTJ!G11=0,"",ETPT_ATTJ!G11)))</f>
        <v/>
      </c>
      <c r="H11" s="247" t="str">
        <f>IF(ISBLANK(ETPT_ATTJ!H11),"",IF(ISERROR(ETPT_ATTJ!H11),"",IF(ETPT_ATTJ!H11=0,"",ETPT_ATTJ!H11)))</f>
        <v/>
      </c>
      <c r="I11" s="247" t="str">
        <f>IF(ISBLANK(ETPT_ATTJ!I11),"",IF(ISERROR(ETPT_ATTJ!I11),"",IF(ETPT_ATTJ!I11=0,"",ETPT_ATTJ!I11)))</f>
        <v/>
      </c>
      <c r="J11" s="247" t="str">
        <f>IF(ISBLANK(ETPT_ATTJ!J11),"",IF(ISERROR(ETPT_ATTJ!J11),"",IF(ETPT_ATTJ!J11=0,"",ETPT_ATTJ!J11)))</f>
        <v/>
      </c>
      <c r="K11" s="247" t="str">
        <f>IF(ISBLANK(ETPT_ATTJ!K11),"",IF(ISERROR(ETPT_ATTJ!K11),"",IF(ETPT_ATTJ!K11=0,"",ETPT_ATTJ!K11)))</f>
        <v/>
      </c>
      <c r="L11" s="247" t="str">
        <f>IF(ISBLANK(ETPT_ATTJ!L11),"",IF(ISERROR(ETPT_ATTJ!L11),"",IF(ETPT_ATTJ!L11=0,"",ETPT_ATTJ!L11)))</f>
        <v/>
      </c>
      <c r="M11" s="247"/>
      <c r="N11" s="247"/>
      <c r="O11" s="247" t="str">
        <f>IF(ISBLANK(ETPT_ATTJ!O11),"",IF(ISERROR(ETPT_ATTJ!O11),"",IF(ETPT_ATTJ!O11=0,"",ETPT_ATTJ!O11)))</f>
        <v/>
      </c>
      <c r="P11" s="247" t="str">
        <f>IF(ISBLANK(ETPT_ATTJ!P11),"",IF(ISERROR(ETPT_ATTJ!P11),"",IF(ETPT_ATTJ!P11=0,"",ETPT_ATTJ!P11)))</f>
        <v/>
      </c>
      <c r="Q11" s="247" t="str">
        <f>IF(ISBLANK(ETPT_ATTJ!Q11),"",IF(ISERROR(ETPT_ATTJ!Q11),"",IF(ETPT_ATTJ!Q11=0,"",ETPT_ATTJ!Q11)))</f>
        <v/>
      </c>
      <c r="R11" s="247" t="str">
        <f>IF(ISBLANK(ETPT_ATTJ!R11),"",IF(ISERROR(ETPT_ATTJ!R11),"",IF(ETPT_ATTJ!R11=0,"",ETPT_ATTJ!R11)))</f>
        <v/>
      </c>
      <c r="S11" s="214">
        <f>ETPT_ATTJ!S11</f>
        <v>0</v>
      </c>
    </row>
    <row r="12" spans="1:64" x14ac:dyDescent="0.2">
      <c r="A12" s="211" t="s">
        <v>283</v>
      </c>
      <c r="B12" s="212"/>
      <c r="C12" s="212"/>
      <c r="D12" s="260">
        <f t="shared" si="0"/>
        <v>0</v>
      </c>
      <c r="E12" s="261" t="s">
        <v>46</v>
      </c>
      <c r="F12" s="245" t="s">
        <v>45</v>
      </c>
      <c r="G12" s="247" t="str">
        <f>IF(ISBLANK(ETPT_ATTJ!G12),"",IF(ISERROR(ETPT_ATTJ!G12),"",IF(ETPT_ATTJ!G12=0,"",ETPT_ATTJ!G12)))</f>
        <v/>
      </c>
      <c r="H12" s="247" t="str">
        <f>IF(ISBLANK(ETPT_ATTJ!H12),"",IF(ISERROR(ETPT_ATTJ!H12),"",IF(ETPT_ATTJ!H12=0,"",ETPT_ATTJ!H12)))</f>
        <v/>
      </c>
      <c r="I12" s="247" t="str">
        <f>IF(ISBLANK(ETPT_ATTJ!I12),"",IF(ISERROR(ETPT_ATTJ!I12),"",IF(ETPT_ATTJ!I12=0,"",ETPT_ATTJ!I12)))</f>
        <v/>
      </c>
      <c r="J12" s="247" t="str">
        <f>IF(ISBLANK(ETPT_ATTJ!J12),"",IF(ISERROR(ETPT_ATTJ!J12),"",IF(ETPT_ATTJ!J12=0,"",ETPT_ATTJ!J12)))</f>
        <v/>
      </c>
      <c r="K12" s="247" t="str">
        <f>IF(ISBLANK(ETPT_ATTJ!K12),"",IF(ISERROR(ETPT_ATTJ!K12),"",IF(ETPT_ATTJ!K12=0,"",ETPT_ATTJ!K12)))</f>
        <v/>
      </c>
      <c r="L12" s="247" t="str">
        <f>IF(ISBLANK(ETPT_ATTJ!L12),"",IF(ISERROR(ETPT_ATTJ!L12),"",IF(ETPT_ATTJ!L12=0,"",ETPT_ATTJ!L12)))</f>
        <v/>
      </c>
      <c r="M12" s="247"/>
      <c r="N12" s="247"/>
      <c r="O12" s="247" t="str">
        <f>IF(ISBLANK(ETPT_ATTJ!O12),"",IF(ISERROR(ETPT_ATTJ!O12),"",IF(ETPT_ATTJ!O12=0,"",ETPT_ATTJ!O12)))</f>
        <v/>
      </c>
      <c r="P12" s="247" t="str">
        <f>IF(ISBLANK(ETPT_ATTJ!P12),"",IF(ISERROR(ETPT_ATTJ!P12),"",IF(ETPT_ATTJ!P12=0,"",ETPT_ATTJ!P12)))</f>
        <v/>
      </c>
      <c r="Q12" s="247" t="str">
        <f>IF(ISBLANK(ETPT_ATTJ!Q12),"",IF(ISERROR(ETPT_ATTJ!Q12),"",IF(ETPT_ATTJ!Q12=0,"",ETPT_ATTJ!Q12)))</f>
        <v/>
      </c>
      <c r="R12" s="247" t="str">
        <f>IF(ISBLANK(ETPT_ATTJ!R12),"",IF(ISERROR(ETPT_ATTJ!R12),"",IF(ETPT_ATTJ!R12=0,"",ETPT_ATTJ!R12)))</f>
        <v/>
      </c>
      <c r="S12" s="214">
        <f>ETPT_ATTJ!S12</f>
        <v>0</v>
      </c>
    </row>
    <row r="13" spans="1:64" x14ac:dyDescent="0.2">
      <c r="A13" s="246"/>
      <c r="B13" s="246"/>
      <c r="C13" s="246"/>
      <c r="D13" s="262"/>
      <c r="E13" s="263"/>
      <c r="F13" s="259" t="s">
        <v>39</v>
      </c>
      <c r="G13" s="214">
        <f>ETPT_ATTJ!G13</f>
        <v>0</v>
      </c>
      <c r="H13" s="214">
        <f>ETPT_ATTJ!H13</f>
        <v>0</v>
      </c>
      <c r="I13" s="214">
        <f>ETPT_ATTJ!I13</f>
        <v>0</v>
      </c>
      <c r="J13" s="214">
        <f>ETPT_ATTJ!J13</f>
        <v>0</v>
      </c>
      <c r="K13" s="214">
        <f>ETPT_ATTJ!K13</f>
        <v>0</v>
      </c>
      <c r="L13" s="214">
        <f>ETPT_ATTJ!L13</f>
        <v>0</v>
      </c>
      <c r="M13" s="214">
        <f>ETPT_ATTJ!M13</f>
        <v>0</v>
      </c>
      <c r="N13" s="214">
        <f>ETPT_ATTJ!N13</f>
        <v>0</v>
      </c>
      <c r="O13" s="214">
        <f>ETPT_ATTJ!O13</f>
        <v>0</v>
      </c>
      <c r="P13" s="214">
        <f>ETPT_ATTJ!P13</f>
        <v>0</v>
      </c>
      <c r="Q13" s="214">
        <f>ETPT_ATTJ!Q13</f>
        <v>0</v>
      </c>
      <c r="R13" s="214">
        <f>ETPT_ATTJ!R13</f>
        <v>0</v>
      </c>
      <c r="S13" s="214">
        <f>ETPT_ATTJ!S13</f>
        <v>0</v>
      </c>
    </row>
    <row r="14" spans="1:64" ht="16" x14ac:dyDescent="0.2">
      <c r="A14" s="217"/>
      <c r="B14" s="217"/>
      <c r="C14" s="217"/>
      <c r="D14" s="217"/>
      <c r="E14" s="216"/>
      <c r="F14" s="216"/>
      <c r="G14" s="216"/>
      <c r="H14" s="216"/>
      <c r="I14" s="216"/>
      <c r="J14" s="216"/>
      <c r="K14" s="216"/>
      <c r="L14" s="216"/>
      <c r="M14" s="216"/>
      <c r="N14" s="216"/>
      <c r="O14" s="216"/>
      <c r="P14" s="216"/>
      <c r="Q14" s="216"/>
      <c r="R14" s="216"/>
      <c r="S14" s="216"/>
      <c r="T14" s="216"/>
    </row>
    <row r="15" spans="1:64" ht="16" x14ac:dyDescent="0.2">
      <c r="A15" s="217"/>
      <c r="B15" s="217"/>
      <c r="C15" s="217"/>
      <c r="E15" s="124" t="s">
        <v>245</v>
      </c>
      <c r="F15" s="217"/>
      <c r="G15" s="217"/>
      <c r="H15" s="217"/>
      <c r="I15" s="216"/>
      <c r="J15" s="216"/>
      <c r="K15" s="216"/>
      <c r="L15" s="216"/>
      <c r="M15" s="216"/>
      <c r="N15" s="216"/>
      <c r="O15" s="216"/>
      <c r="P15" s="216"/>
      <c r="Q15" s="216"/>
      <c r="R15" s="216"/>
      <c r="S15" s="216"/>
      <c r="T15" s="216"/>
    </row>
    <row r="16" spans="1:64" ht="16" x14ac:dyDescent="0.2">
      <c r="A16" s="217"/>
      <c r="B16" s="217"/>
      <c r="C16" s="217"/>
      <c r="D16" s="217"/>
      <c r="E16" s="217"/>
      <c r="F16" s="217"/>
      <c r="G16" s="217"/>
      <c r="H16" s="217"/>
      <c r="I16" s="216"/>
      <c r="J16" s="216"/>
      <c r="K16" s="216"/>
      <c r="L16" s="216"/>
      <c r="M16" s="216"/>
      <c r="N16" s="216"/>
      <c r="O16" s="216"/>
      <c r="P16" s="216"/>
      <c r="Q16" s="216"/>
      <c r="R16" s="216"/>
      <c r="S16" s="216"/>
    </row>
    <row r="17" spans="1:20" ht="16" x14ac:dyDescent="0.2">
      <c r="A17" s="217"/>
      <c r="B17" s="217"/>
      <c r="C17" s="217"/>
      <c r="D17" s="217"/>
      <c r="E17" s="217"/>
      <c r="F17" s="217"/>
      <c r="G17" s="217"/>
      <c r="H17" s="217"/>
      <c r="I17" s="216"/>
      <c r="J17" s="216"/>
      <c r="K17" s="216"/>
      <c r="L17" s="216"/>
      <c r="M17" s="216"/>
      <c r="N17" s="216"/>
      <c r="O17" s="216"/>
      <c r="P17" s="216"/>
      <c r="Q17" s="216"/>
      <c r="R17" s="216"/>
      <c r="S17" s="216"/>
      <c r="T17" s="216"/>
    </row>
  </sheetData>
  <mergeCells count="1">
    <mergeCell ref="S2:S4"/>
  </mergeCells>
  <phoneticPr fontId="6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0A74-92BE-614C-B933-4270BECA0D39}">
  <sheetPr codeName="Feuil12"/>
  <dimension ref="A1:M30"/>
  <sheetViews>
    <sheetView workbookViewId="0">
      <selection activeCell="M30" sqref="M1:M30"/>
    </sheetView>
  </sheetViews>
  <sheetFormatPr baseColWidth="10" defaultColWidth="11" defaultRowHeight="13" x14ac:dyDescent="0.15"/>
  <cols>
    <col min="1" max="1" width="8.33203125" style="29" customWidth="1"/>
    <col min="2" max="2" width="25.5" style="30" bestFit="1" customWidth="1"/>
    <col min="3" max="3" width="11" style="29"/>
    <col min="4" max="4" width="11" style="29" customWidth="1"/>
    <col min="5" max="5" width="19" style="30" bestFit="1" customWidth="1"/>
    <col min="6" max="6" width="11" style="29"/>
    <col min="7" max="7" width="12" style="29" customWidth="1"/>
    <col min="8" max="8" width="27.33203125" style="30" bestFit="1" customWidth="1"/>
    <col min="9" max="9" width="12.1640625" style="29" customWidth="1"/>
    <col min="10" max="11" width="22.33203125" style="29" customWidth="1"/>
    <col min="12" max="16384" width="11" style="29"/>
  </cols>
  <sheetData>
    <row r="1" spans="1:13" s="33" customFormat="1" ht="16" x14ac:dyDescent="0.2">
      <c r="A1" s="34" t="s">
        <v>33</v>
      </c>
      <c r="B1"/>
      <c r="D1" s="34" t="s">
        <v>37</v>
      </c>
      <c r="E1"/>
      <c r="G1" s="34" t="s">
        <v>36</v>
      </c>
      <c r="H1"/>
      <c r="I1" s="98" t="s">
        <v>219</v>
      </c>
      <c r="M1" s="26" t="s">
        <v>0</v>
      </c>
    </row>
    <row r="2" spans="1:13" ht="16" x14ac:dyDescent="0.2">
      <c r="B2"/>
      <c r="E2"/>
      <c r="H2"/>
      <c r="I2"/>
      <c r="M2" s="26" t="s">
        <v>0</v>
      </c>
    </row>
    <row r="3" spans="1:13" ht="16" x14ac:dyDescent="0.2">
      <c r="B3" s="32"/>
      <c r="E3" s="32"/>
      <c r="H3" s="31"/>
      <c r="I3"/>
      <c r="M3" s="26" t="s">
        <v>0</v>
      </c>
    </row>
    <row r="4" spans="1:13" ht="16" x14ac:dyDescent="0.15">
      <c r="B4" s="32"/>
      <c r="E4" s="32"/>
      <c r="H4" s="31"/>
      <c r="M4" s="26" t="s">
        <v>0</v>
      </c>
    </row>
    <row r="5" spans="1:13" ht="16" x14ac:dyDescent="0.15">
      <c r="B5" s="32"/>
      <c r="E5" s="32"/>
      <c r="H5" s="31"/>
      <c r="M5" s="26" t="s">
        <v>0</v>
      </c>
    </row>
    <row r="6" spans="1:13" ht="16" x14ac:dyDescent="0.15">
      <c r="H6" s="31"/>
      <c r="M6" s="26" t="s">
        <v>0</v>
      </c>
    </row>
    <row r="7" spans="1:13" ht="16" x14ac:dyDescent="0.15">
      <c r="H7" s="31"/>
      <c r="M7" s="26" t="s">
        <v>0</v>
      </c>
    </row>
    <row r="8" spans="1:13" ht="16" x14ac:dyDescent="0.15">
      <c r="H8" s="31"/>
      <c r="M8" s="26" t="s">
        <v>0</v>
      </c>
    </row>
    <row r="9" spans="1:13" ht="16" x14ac:dyDescent="0.15">
      <c r="M9" s="26" t="s">
        <v>0</v>
      </c>
    </row>
    <row r="10" spans="1:13" ht="16" x14ac:dyDescent="0.15">
      <c r="M10" s="26" t="s">
        <v>0</v>
      </c>
    </row>
    <row r="11" spans="1:13" ht="16" x14ac:dyDescent="0.15">
      <c r="M11" s="26" t="s">
        <v>0</v>
      </c>
    </row>
    <row r="12" spans="1:13" ht="16" x14ac:dyDescent="0.15">
      <c r="M12" s="26" t="s">
        <v>0</v>
      </c>
    </row>
    <row r="13" spans="1:13" ht="16" x14ac:dyDescent="0.15">
      <c r="M13" s="26" t="s">
        <v>0</v>
      </c>
    </row>
    <row r="14" spans="1:13" ht="16" x14ac:dyDescent="0.15">
      <c r="M14" s="26" t="s">
        <v>0</v>
      </c>
    </row>
    <row r="15" spans="1:13" ht="16" x14ac:dyDescent="0.15">
      <c r="M15" s="26" t="s">
        <v>0</v>
      </c>
    </row>
    <row r="16" spans="1:13" ht="16" x14ac:dyDescent="0.15">
      <c r="M16" s="26" t="s">
        <v>0</v>
      </c>
    </row>
    <row r="17" spans="13:13" ht="16" x14ac:dyDescent="0.15">
      <c r="M17" s="26" t="s">
        <v>0</v>
      </c>
    </row>
    <row r="18" spans="13:13" ht="16" x14ac:dyDescent="0.15">
      <c r="M18" s="26" t="s">
        <v>0</v>
      </c>
    </row>
    <row r="19" spans="13:13" ht="16" x14ac:dyDescent="0.15">
      <c r="M19" s="26" t="s">
        <v>0</v>
      </c>
    </row>
    <row r="20" spans="13:13" ht="16" x14ac:dyDescent="0.15">
      <c r="M20" s="26" t="s">
        <v>0</v>
      </c>
    </row>
    <row r="21" spans="13:13" ht="16" x14ac:dyDescent="0.15">
      <c r="M21" s="26" t="s">
        <v>0</v>
      </c>
    </row>
    <row r="22" spans="13:13" ht="16" x14ac:dyDescent="0.15">
      <c r="M22" s="26" t="s">
        <v>0</v>
      </c>
    </row>
    <row r="23" spans="13:13" ht="16" x14ac:dyDescent="0.15">
      <c r="M23" s="26" t="s">
        <v>0</v>
      </c>
    </row>
    <row r="24" spans="13:13" ht="16" x14ac:dyDescent="0.15">
      <c r="M24" s="26" t="s">
        <v>0</v>
      </c>
    </row>
    <row r="25" spans="13:13" ht="16" x14ac:dyDescent="0.15">
      <c r="M25" s="26" t="s">
        <v>0</v>
      </c>
    </row>
    <row r="26" spans="13:13" ht="16" x14ac:dyDescent="0.15">
      <c r="M26" s="26" t="s">
        <v>0</v>
      </c>
    </row>
    <row r="27" spans="13:13" ht="16" x14ac:dyDescent="0.15">
      <c r="M27" s="26" t="s">
        <v>0</v>
      </c>
    </row>
    <row r="28" spans="13:13" ht="16" x14ac:dyDescent="0.15">
      <c r="M28" s="26" t="s">
        <v>0</v>
      </c>
    </row>
    <row r="29" spans="13:13" ht="16" x14ac:dyDescent="0.15">
      <c r="M29" s="26" t="s">
        <v>0</v>
      </c>
    </row>
    <row r="30" spans="13:13" ht="16" x14ac:dyDescent="0.2">
      <c r="M30" s="21" t="s">
        <v>7</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C4C8-D3B2-3F44-A4A5-E418681F372C}">
  <sheetPr codeName="Feuil7">
    <pageSetUpPr fitToPage="1"/>
  </sheetPr>
  <dimension ref="A1:BJ27"/>
  <sheetViews>
    <sheetView zoomScaleNormal="100" workbookViewId="0">
      <pane xSplit="5" ySplit="1" topLeftCell="F2" activePane="bottomRight" state="frozen"/>
      <selection pane="topRight" activeCell="G1" sqref="G1"/>
      <selection pane="bottomLeft" activeCell="A2" sqref="A2"/>
      <selection pane="bottomRight" activeCell="AC4" sqref="AC4"/>
    </sheetView>
  </sheetViews>
  <sheetFormatPr baseColWidth="10" defaultColWidth="10.83203125" defaultRowHeight="16" x14ac:dyDescent="0.2"/>
  <cols>
    <col min="1" max="1" width="5.83203125" style="138" bestFit="1" customWidth="1"/>
    <col min="2" max="2" width="17.1640625" style="139" hidden="1" customWidth="1"/>
    <col min="3" max="3" width="6.33203125" style="139" customWidth="1"/>
    <col min="4" max="4" width="6.5" style="138" customWidth="1"/>
    <col min="5" max="5" width="19.5" style="138" customWidth="1"/>
    <col min="6" max="6" width="23" style="139" customWidth="1"/>
    <col min="7" max="7" width="9.33203125" style="139" customWidth="1"/>
    <col min="8" max="8" width="11.33203125" style="139" customWidth="1"/>
    <col min="9" max="9" width="9" style="139" customWidth="1"/>
    <col min="10" max="29" width="9.33203125" style="139" customWidth="1"/>
    <col min="30" max="30" width="11.6640625" style="139" customWidth="1"/>
    <col min="31" max="38" width="9.33203125" style="139" customWidth="1"/>
    <col min="39" max="39" width="7.83203125" style="139" customWidth="1"/>
    <col min="40" max="40" width="8.6640625" style="139" customWidth="1"/>
    <col min="41" max="43" width="9.33203125" style="139" customWidth="1"/>
    <col min="44" max="44" width="10.83203125" style="139" customWidth="1"/>
    <col min="45" max="49" width="9.33203125" style="139" customWidth="1"/>
    <col min="50" max="50" width="15.5" style="139" customWidth="1"/>
    <col min="51" max="51" width="16.5" style="139" customWidth="1"/>
    <col min="52" max="52" width="9.33203125" style="139" customWidth="1"/>
    <col min="53" max="62" width="9.33203125" style="139" hidden="1" customWidth="1"/>
    <col min="63" max="63" width="4" style="139" customWidth="1"/>
    <col min="64" max="16384" width="10.83203125" style="139"/>
  </cols>
  <sheetData>
    <row r="1" spans="1:62" s="126" customFormat="1" ht="12" customHeight="1" x14ac:dyDescent="0.15">
      <c r="A1" s="303"/>
      <c r="B1" s="431" t="s">
        <v>170</v>
      </c>
      <c r="C1" s="431"/>
      <c r="D1" s="431"/>
      <c r="E1" s="431"/>
      <c r="F1" s="431"/>
      <c r="G1" s="304"/>
      <c r="H1" s="304"/>
      <c r="I1" s="304"/>
      <c r="J1" s="304"/>
      <c r="K1" s="304"/>
      <c r="L1" s="304"/>
      <c r="M1" s="304"/>
      <c r="N1" s="304"/>
      <c r="O1" s="304"/>
      <c r="P1" s="305"/>
      <c r="Q1" s="305"/>
      <c r="R1" s="305"/>
      <c r="S1" s="305"/>
      <c r="T1" s="305"/>
      <c r="U1" s="305"/>
      <c r="V1" s="305"/>
      <c r="W1" s="305"/>
      <c r="X1" s="305"/>
      <c r="Y1" s="305"/>
      <c r="Z1" s="305"/>
      <c r="AA1" s="305"/>
      <c r="AB1" s="305"/>
      <c r="AC1" s="305"/>
      <c r="AD1" s="305"/>
      <c r="AE1" s="305"/>
      <c r="AF1" s="305"/>
      <c r="AG1" s="305"/>
      <c r="AH1" s="305"/>
      <c r="AI1" s="305"/>
      <c r="AJ1" s="305"/>
      <c r="AK1" s="305"/>
      <c r="AL1" s="305"/>
      <c r="AM1" s="305"/>
      <c r="AN1" s="305"/>
      <c r="AO1" s="305"/>
    </row>
    <row r="2" spans="1:62" s="126" customFormat="1" ht="12" customHeight="1" x14ac:dyDescent="0.15">
      <c r="A2" s="306"/>
      <c r="B2" s="306"/>
      <c r="C2" s="306"/>
      <c r="D2" s="306"/>
      <c r="E2" s="306"/>
      <c r="F2" s="306"/>
      <c r="G2" s="307" t="s">
        <v>164</v>
      </c>
      <c r="H2" s="307" t="s">
        <v>164</v>
      </c>
      <c r="I2" s="307" t="s">
        <v>164</v>
      </c>
      <c r="J2" s="307" t="s">
        <v>164</v>
      </c>
      <c r="K2" s="307" t="s">
        <v>164</v>
      </c>
      <c r="L2" s="307" t="s">
        <v>164</v>
      </c>
      <c r="M2" s="307" t="s">
        <v>164</v>
      </c>
      <c r="N2" s="307" t="s">
        <v>164</v>
      </c>
      <c r="O2" s="307" t="s">
        <v>164</v>
      </c>
      <c r="P2" s="432" t="s">
        <v>163</v>
      </c>
      <c r="Q2" s="307" t="s">
        <v>162</v>
      </c>
      <c r="R2" s="307" t="s">
        <v>162</v>
      </c>
      <c r="S2" s="307" t="s">
        <v>162</v>
      </c>
      <c r="T2" s="307" t="s">
        <v>162</v>
      </c>
      <c r="U2" s="307" t="s">
        <v>162</v>
      </c>
      <c r="V2" s="307" t="s">
        <v>162</v>
      </c>
      <c r="W2" s="307" t="s">
        <v>162</v>
      </c>
      <c r="X2" s="307" t="s">
        <v>162</v>
      </c>
      <c r="Y2" s="307" t="s">
        <v>162</v>
      </c>
      <c r="Z2" s="307" t="s">
        <v>162</v>
      </c>
      <c r="AA2" s="307" t="s">
        <v>162</v>
      </c>
      <c r="AB2" s="307" t="s">
        <v>162</v>
      </c>
      <c r="AC2" s="307" t="s">
        <v>162</v>
      </c>
      <c r="AD2" s="307" t="s">
        <v>162</v>
      </c>
      <c r="AE2" s="432" t="s">
        <v>161</v>
      </c>
      <c r="AF2" s="307" t="s">
        <v>160</v>
      </c>
      <c r="AG2" s="307" t="s">
        <v>160</v>
      </c>
      <c r="AH2" s="307" t="s">
        <v>160</v>
      </c>
      <c r="AI2" s="307" t="s">
        <v>160</v>
      </c>
      <c r="AJ2" s="307" t="s">
        <v>160</v>
      </c>
      <c r="AK2" s="307" t="s">
        <v>160</v>
      </c>
      <c r="AL2" s="307" t="s">
        <v>160</v>
      </c>
      <c r="AM2" s="307" t="s">
        <v>160</v>
      </c>
      <c r="AN2" s="307" t="s">
        <v>160</v>
      </c>
      <c r="AO2" s="433" t="s">
        <v>159</v>
      </c>
      <c r="BA2" s="127"/>
      <c r="BB2" s="127"/>
      <c r="BC2" s="127"/>
      <c r="BD2" s="127"/>
      <c r="BE2" s="127"/>
      <c r="BF2" s="127"/>
      <c r="BG2" s="127"/>
      <c r="BH2" s="127"/>
      <c r="BI2" s="127"/>
      <c r="BJ2" s="430"/>
    </row>
    <row r="3" spans="1:62" s="126" customFormat="1" ht="36" customHeight="1" x14ac:dyDescent="0.15">
      <c r="A3" s="306"/>
      <c r="B3" s="306"/>
      <c r="C3" s="306"/>
      <c r="D3" s="306"/>
      <c r="E3" s="306"/>
      <c r="F3" s="306"/>
      <c r="G3" s="307" t="s">
        <v>141</v>
      </c>
      <c r="H3" s="307" t="s">
        <v>140</v>
      </c>
      <c r="I3" s="307" t="s">
        <v>139</v>
      </c>
      <c r="J3" s="307" t="s">
        <v>138</v>
      </c>
      <c r="K3" s="307" t="s">
        <v>137</v>
      </c>
      <c r="L3" s="307" t="s">
        <v>136</v>
      </c>
      <c r="M3" s="307" t="s">
        <v>35</v>
      </c>
      <c r="N3" s="307" t="s">
        <v>34</v>
      </c>
      <c r="O3" s="307" t="s">
        <v>135</v>
      </c>
      <c r="P3" s="432"/>
      <c r="Q3" s="307" t="s">
        <v>134</v>
      </c>
      <c r="R3" s="307" t="s">
        <v>133</v>
      </c>
      <c r="S3" s="307" t="s">
        <v>132</v>
      </c>
      <c r="T3" s="307" t="s">
        <v>131</v>
      </c>
      <c r="U3" s="307" t="s">
        <v>130</v>
      </c>
      <c r="V3" s="307" t="s">
        <v>129</v>
      </c>
      <c r="W3" s="307" t="s">
        <v>128</v>
      </c>
      <c r="X3" s="307" t="s">
        <v>127</v>
      </c>
      <c r="Y3" s="307" t="s">
        <v>126</v>
      </c>
      <c r="Z3" s="307" t="s">
        <v>125</v>
      </c>
      <c r="AA3" s="307" t="s">
        <v>124</v>
      </c>
      <c r="AB3" s="307" t="s">
        <v>123</v>
      </c>
      <c r="AC3" s="387" t="s">
        <v>638</v>
      </c>
      <c r="AD3" s="307" t="s">
        <v>122</v>
      </c>
      <c r="AE3" s="432"/>
      <c r="AF3" s="307" t="s">
        <v>121</v>
      </c>
      <c r="AG3" s="307" t="s">
        <v>120</v>
      </c>
      <c r="AH3" s="307" t="s">
        <v>119</v>
      </c>
      <c r="AI3" s="307" t="s">
        <v>118</v>
      </c>
      <c r="AJ3" s="307" t="s">
        <v>117</v>
      </c>
      <c r="AK3" s="307" t="s">
        <v>116</v>
      </c>
      <c r="AL3" s="307" t="s">
        <v>115</v>
      </c>
      <c r="AM3" s="307" t="s">
        <v>114</v>
      </c>
      <c r="AN3" s="307" t="s">
        <v>113</v>
      </c>
      <c r="AO3" s="434"/>
      <c r="BA3" s="127"/>
      <c r="BB3" s="127"/>
      <c r="BC3" s="127"/>
      <c r="BD3" s="127"/>
      <c r="BE3" s="127"/>
      <c r="BF3" s="127"/>
      <c r="BG3" s="127"/>
      <c r="BH3" s="127"/>
      <c r="BI3" s="127"/>
      <c r="BJ3" s="430"/>
    </row>
    <row r="4" spans="1:62" s="126" customFormat="1" ht="60" customHeight="1" x14ac:dyDescent="0.15">
      <c r="A4" s="308"/>
      <c r="B4" s="309" t="s">
        <v>112</v>
      </c>
      <c r="C4" s="309" t="s">
        <v>111</v>
      </c>
      <c r="D4" s="309" t="s">
        <v>32</v>
      </c>
      <c r="E4" s="309" t="s">
        <v>110</v>
      </c>
      <c r="F4" s="309" t="s">
        <v>109</v>
      </c>
      <c r="G4" s="307" t="s">
        <v>92</v>
      </c>
      <c r="H4" s="307" t="s">
        <v>91</v>
      </c>
      <c r="I4" s="307" t="s">
        <v>90</v>
      </c>
      <c r="J4" s="307" t="s">
        <v>89</v>
      </c>
      <c r="K4" s="307" t="s">
        <v>88</v>
      </c>
      <c r="L4" s="307" t="s">
        <v>87</v>
      </c>
      <c r="M4" s="307" t="s">
        <v>35</v>
      </c>
      <c r="N4" s="307" t="s">
        <v>86</v>
      </c>
      <c r="O4" s="307" t="s">
        <v>85</v>
      </c>
      <c r="P4" s="432"/>
      <c r="Q4" s="307" t="s">
        <v>84</v>
      </c>
      <c r="R4" s="307" t="s">
        <v>83</v>
      </c>
      <c r="S4" s="307" t="s">
        <v>82</v>
      </c>
      <c r="T4" s="307" t="s">
        <v>81</v>
      </c>
      <c r="U4" s="307" t="s">
        <v>80</v>
      </c>
      <c r="V4" s="307" t="s">
        <v>79</v>
      </c>
      <c r="W4" s="307" t="s">
        <v>78</v>
      </c>
      <c r="X4" s="307" t="s">
        <v>77</v>
      </c>
      <c r="Y4" s="307" t="s">
        <v>76</v>
      </c>
      <c r="Z4" s="307" t="s">
        <v>75</v>
      </c>
      <c r="AA4" s="307" t="s">
        <v>74</v>
      </c>
      <c r="AB4" s="307" t="s">
        <v>73</v>
      </c>
      <c r="AC4" s="387" t="s">
        <v>638</v>
      </c>
      <c r="AD4" s="307" t="s">
        <v>72</v>
      </c>
      <c r="AE4" s="432"/>
      <c r="AF4" s="307" t="s">
        <v>71</v>
      </c>
      <c r="AG4" s="307" t="s">
        <v>70</v>
      </c>
      <c r="AH4" s="307" t="s">
        <v>69</v>
      </c>
      <c r="AI4" s="307" t="s">
        <v>68</v>
      </c>
      <c r="AJ4" s="307" t="s">
        <v>67</v>
      </c>
      <c r="AK4" s="307" t="s">
        <v>66</v>
      </c>
      <c r="AL4" s="307" t="s">
        <v>65</v>
      </c>
      <c r="AM4" s="307" t="s">
        <v>64</v>
      </c>
      <c r="AN4" s="307" t="s">
        <v>63</v>
      </c>
      <c r="AO4" s="435"/>
      <c r="BA4" s="127"/>
      <c r="BB4" s="127"/>
      <c r="BC4" s="127"/>
      <c r="BD4" s="127"/>
      <c r="BE4" s="127"/>
      <c r="BF4" s="127"/>
      <c r="BG4" s="127"/>
      <c r="BH4" s="127"/>
      <c r="BI4" s="127"/>
      <c r="BJ4" s="430"/>
    </row>
    <row r="5" spans="1:62" s="126" customFormat="1" ht="293" customHeight="1" x14ac:dyDescent="0.15">
      <c r="A5" s="310" t="s">
        <v>42</v>
      </c>
      <c r="B5" s="311"/>
      <c r="C5" s="311"/>
      <c r="D5" s="312"/>
      <c r="E5" s="312" t="s">
        <v>62</v>
      </c>
      <c r="F5" s="312" t="s">
        <v>61</v>
      </c>
      <c r="G5" s="135" t="s">
        <v>403</v>
      </c>
      <c r="H5" s="135" t="s">
        <v>404</v>
      </c>
      <c r="I5" s="136"/>
      <c r="J5" s="136"/>
      <c r="K5" s="136"/>
      <c r="L5" s="136"/>
      <c r="M5" s="135"/>
      <c r="N5" s="135" t="s">
        <v>405</v>
      </c>
      <c r="O5" s="135"/>
      <c r="P5" s="313">
        <f>SUMIF($G$2:O$2,O$2,$G5:O5)</f>
        <v>0</v>
      </c>
      <c r="Q5" s="136"/>
      <c r="R5" s="136"/>
      <c r="S5" s="136"/>
      <c r="T5" s="136"/>
      <c r="U5" s="136"/>
      <c r="V5" s="136"/>
      <c r="W5" s="135" t="s">
        <v>406</v>
      </c>
      <c r="X5" s="135" t="s">
        <v>407</v>
      </c>
      <c r="Y5" s="135" t="s">
        <v>408</v>
      </c>
      <c r="Z5" s="135" t="s">
        <v>409</v>
      </c>
      <c r="AA5" s="135" t="s">
        <v>410</v>
      </c>
      <c r="AB5" s="135" t="s">
        <v>411</v>
      </c>
      <c r="AC5" s="135" t="s">
        <v>639</v>
      </c>
      <c r="AD5" s="135" t="s">
        <v>412</v>
      </c>
      <c r="AE5" s="314">
        <f>SUMIF($G$2:AD$2,Y$2,$G5:AD5)</f>
        <v>0</v>
      </c>
      <c r="AF5" s="315"/>
      <c r="AG5" s="315"/>
      <c r="AH5" s="316"/>
      <c r="AI5" s="316"/>
      <c r="AJ5" s="316"/>
      <c r="AK5" s="316"/>
      <c r="AL5" s="316"/>
      <c r="AM5" s="316"/>
      <c r="AN5" s="315"/>
      <c r="AO5" s="314">
        <f>SUMIF($G$2:AN$2,AN$2,$G5:AN5)</f>
        <v>0</v>
      </c>
      <c r="BA5" s="130"/>
      <c r="BB5" s="130"/>
      <c r="BC5" s="131"/>
      <c r="BD5" s="131"/>
      <c r="BE5" s="131"/>
      <c r="BF5" s="131"/>
      <c r="BG5" s="131"/>
      <c r="BH5" s="131"/>
      <c r="BI5" s="130"/>
      <c r="BJ5" s="129"/>
    </row>
    <row r="6" spans="1:62" s="126" customFormat="1" ht="409.6" x14ac:dyDescent="0.15">
      <c r="A6" s="310" t="s">
        <v>42</v>
      </c>
      <c r="B6" s="311"/>
      <c r="C6" s="311"/>
      <c r="D6" s="312"/>
      <c r="E6" s="312" t="s">
        <v>60</v>
      </c>
      <c r="F6" s="312" t="s">
        <v>59</v>
      </c>
      <c r="G6" s="136"/>
      <c r="H6" s="136"/>
      <c r="I6" s="135" t="s">
        <v>413</v>
      </c>
      <c r="J6" s="135" t="s">
        <v>414</v>
      </c>
      <c r="K6" s="135" t="s">
        <v>415</v>
      </c>
      <c r="L6" s="135" t="s">
        <v>416</v>
      </c>
      <c r="M6" s="135" t="s">
        <v>417</v>
      </c>
      <c r="N6" s="135" t="s">
        <v>418</v>
      </c>
      <c r="O6" s="135" t="s">
        <v>419</v>
      </c>
      <c r="P6" s="313">
        <f>SUMIF($G$2:O$2,O$2,$G6:O6)</f>
        <v>0</v>
      </c>
      <c r="Q6" s="135" t="s">
        <v>420</v>
      </c>
      <c r="R6" s="135" t="s">
        <v>421</v>
      </c>
      <c r="S6" s="135" t="s">
        <v>422</v>
      </c>
      <c r="T6" s="135" t="s">
        <v>423</v>
      </c>
      <c r="U6" s="135" t="s">
        <v>424</v>
      </c>
      <c r="V6" s="135" t="s">
        <v>425</v>
      </c>
      <c r="W6" s="136"/>
      <c r="X6" s="136"/>
      <c r="Y6" s="136"/>
      <c r="Z6" s="136"/>
      <c r="AA6" s="136"/>
      <c r="AB6" s="135" t="s">
        <v>516</v>
      </c>
      <c r="AC6" s="135"/>
      <c r="AD6" s="135" t="s">
        <v>517</v>
      </c>
      <c r="AE6" s="314">
        <f>SUMIF($G$2:AD$2,Y$2,$G6:AD6)</f>
        <v>0</v>
      </c>
      <c r="AF6" s="315"/>
      <c r="AG6" s="316"/>
      <c r="AH6" s="316"/>
      <c r="AI6" s="316"/>
      <c r="AJ6" s="316"/>
      <c r="AK6" s="316"/>
      <c r="AL6" s="316"/>
      <c r="AM6" s="316"/>
      <c r="AN6" s="315"/>
      <c r="AO6" s="314">
        <f>SUMIF($G$2:AN$2,AN$2,$G6:AN6)</f>
        <v>0</v>
      </c>
      <c r="BA6" s="130"/>
      <c r="BB6" s="131"/>
      <c r="BC6" s="131"/>
      <c r="BD6" s="131"/>
      <c r="BE6" s="131"/>
      <c r="BF6" s="131"/>
      <c r="BG6" s="131"/>
      <c r="BH6" s="131"/>
      <c r="BI6" s="130"/>
      <c r="BJ6" s="129"/>
    </row>
    <row r="7" spans="1:62" s="126" customFormat="1" ht="48" customHeight="1" x14ac:dyDescent="0.15">
      <c r="A7" s="310" t="s">
        <v>42</v>
      </c>
      <c r="B7" s="311"/>
      <c r="C7" s="311"/>
      <c r="D7" s="312"/>
      <c r="E7" s="312" t="s">
        <v>58</v>
      </c>
      <c r="F7" s="312" t="s">
        <v>57</v>
      </c>
      <c r="G7" s="136"/>
      <c r="H7" s="135" t="s">
        <v>426</v>
      </c>
      <c r="I7" s="135" t="s">
        <v>427</v>
      </c>
      <c r="J7" s="136"/>
      <c r="K7" s="136"/>
      <c r="L7" s="136"/>
      <c r="M7" s="135" t="s">
        <v>428</v>
      </c>
      <c r="N7" s="135" t="s">
        <v>429</v>
      </c>
      <c r="O7" s="135" t="s">
        <v>430</v>
      </c>
      <c r="P7" s="313">
        <f>SUMIF($G$2:O$2,O$2,$G7:O7)</f>
        <v>0</v>
      </c>
      <c r="Q7" s="136"/>
      <c r="R7" s="136"/>
      <c r="S7" s="136"/>
      <c r="T7" s="136"/>
      <c r="U7" s="136"/>
      <c r="V7" s="136"/>
      <c r="W7" s="136"/>
      <c r="X7" s="136"/>
      <c r="Y7" s="136"/>
      <c r="Z7" s="136"/>
      <c r="AA7" s="136"/>
      <c r="AB7" s="136"/>
      <c r="AC7" s="136"/>
      <c r="AD7" s="135" t="s">
        <v>431</v>
      </c>
      <c r="AE7" s="314">
        <f>SUMIF($G$2:AD$2,Y$2,$G7:AD7)</f>
        <v>0</v>
      </c>
      <c r="AF7" s="315"/>
      <c r="AG7" s="315"/>
      <c r="AH7" s="315"/>
      <c r="AI7" s="315"/>
      <c r="AJ7" s="315"/>
      <c r="AK7" s="315"/>
      <c r="AL7" s="315"/>
      <c r="AM7" s="315"/>
      <c r="AN7" s="317"/>
      <c r="AO7" s="314">
        <f>SUMIF($G$2:AN$2,AN$2,$G7:AN7)</f>
        <v>0</v>
      </c>
      <c r="BA7" s="130"/>
      <c r="BB7" s="130"/>
      <c r="BC7" s="130"/>
      <c r="BD7" s="130"/>
      <c r="BE7" s="130"/>
      <c r="BF7" s="130"/>
      <c r="BG7" s="130"/>
      <c r="BH7" s="130"/>
      <c r="BI7" s="132"/>
      <c r="BJ7" s="129"/>
    </row>
    <row r="8" spans="1:62" s="126" customFormat="1" ht="63" customHeight="1" x14ac:dyDescent="0.15">
      <c r="A8" s="310" t="s">
        <v>42</v>
      </c>
      <c r="B8" s="311"/>
      <c r="C8" s="311"/>
      <c r="D8" s="312"/>
      <c r="E8" s="312" t="s">
        <v>56</v>
      </c>
      <c r="F8" s="312" t="s">
        <v>55</v>
      </c>
      <c r="G8" s="235"/>
      <c r="H8" s="135" t="s">
        <v>432</v>
      </c>
      <c r="I8" s="135" t="s">
        <v>433</v>
      </c>
      <c r="J8" s="235"/>
      <c r="K8" s="235"/>
      <c r="L8" s="235"/>
      <c r="M8" s="135" t="s">
        <v>434</v>
      </c>
      <c r="N8" s="135" t="s">
        <v>435</v>
      </c>
      <c r="O8" s="135" t="s">
        <v>436</v>
      </c>
      <c r="P8" s="313">
        <f>SUMIF($G$2:O$2,O$2,$G8:O8)</f>
        <v>0</v>
      </c>
      <c r="Q8" s="136"/>
      <c r="R8" s="136"/>
      <c r="S8" s="136"/>
      <c r="T8" s="136"/>
      <c r="U8" s="136"/>
      <c r="V8" s="136"/>
      <c r="W8" s="136"/>
      <c r="X8" s="136"/>
      <c r="Y8" s="136"/>
      <c r="Z8" s="136"/>
      <c r="AA8" s="136"/>
      <c r="AB8" s="136"/>
      <c r="AC8" s="136"/>
      <c r="AD8" s="135" t="s">
        <v>437</v>
      </c>
      <c r="AE8" s="314">
        <f>SUMIF($G$2:AD$2,Y$2,$G8:AD8)</f>
        <v>0</v>
      </c>
      <c r="AF8" s="315"/>
      <c r="AG8" s="315"/>
      <c r="AH8" s="315"/>
      <c r="AI8" s="315"/>
      <c r="AJ8" s="315"/>
      <c r="AK8" s="315"/>
      <c r="AL8" s="315"/>
      <c r="AM8" s="315"/>
      <c r="AN8" s="315"/>
      <c r="AO8" s="314">
        <f>SUMIF($G$2:AN$2,AN$2,$G8:AN8)</f>
        <v>0</v>
      </c>
      <c r="BA8" s="130"/>
      <c r="BB8" s="130"/>
      <c r="BC8" s="130"/>
      <c r="BD8" s="130"/>
      <c r="BE8" s="130"/>
      <c r="BF8" s="130"/>
      <c r="BG8" s="130"/>
      <c r="BH8" s="130"/>
      <c r="BI8" s="130"/>
      <c r="BJ8" s="129"/>
    </row>
    <row r="9" spans="1:62" s="126" customFormat="1" ht="156" customHeight="1" x14ac:dyDescent="0.15">
      <c r="A9" s="310" t="s">
        <v>42</v>
      </c>
      <c r="B9" s="311"/>
      <c r="C9" s="311"/>
      <c r="D9" s="312"/>
      <c r="E9" s="312" t="s">
        <v>54</v>
      </c>
      <c r="F9" s="312" t="s">
        <v>53</v>
      </c>
      <c r="G9" s="133"/>
      <c r="H9" s="135" t="s">
        <v>438</v>
      </c>
      <c r="I9" s="135" t="s">
        <v>439</v>
      </c>
      <c r="J9" s="134"/>
      <c r="K9" s="134"/>
      <c r="L9" s="134"/>
      <c r="M9" s="135" t="s">
        <v>440</v>
      </c>
      <c r="N9" s="135" t="s">
        <v>441</v>
      </c>
      <c r="O9" s="135" t="s">
        <v>442</v>
      </c>
      <c r="P9" s="318">
        <f>SUMIF($G$2:O$2,O$2,$G9:O9)</f>
        <v>0</v>
      </c>
      <c r="Q9" s="136"/>
      <c r="R9" s="136"/>
      <c r="S9" s="136"/>
      <c r="T9" s="136"/>
      <c r="U9" s="136"/>
      <c r="V9" s="136"/>
      <c r="W9" s="136"/>
      <c r="X9" s="136"/>
      <c r="Y9" s="136"/>
      <c r="Z9" s="136"/>
      <c r="AA9" s="136"/>
      <c r="AB9" s="136"/>
      <c r="AC9" s="136"/>
      <c r="AD9" s="135" t="s">
        <v>443</v>
      </c>
      <c r="AE9" s="314">
        <f>SUMIF($G$2:AD$2,Y$2,$G9:AD9)</f>
        <v>0</v>
      </c>
      <c r="AF9" s="315"/>
      <c r="AG9" s="315"/>
      <c r="AH9" s="315"/>
      <c r="AI9" s="315"/>
      <c r="AJ9" s="315"/>
      <c r="AK9" s="315"/>
      <c r="AL9" s="315"/>
      <c r="AM9" s="315"/>
      <c r="AN9" s="315"/>
      <c r="AO9" s="314">
        <f>SUMIF($G$2:AN$2,AN$2,$G9:AN9)</f>
        <v>0</v>
      </c>
      <c r="BA9" s="130"/>
      <c r="BB9" s="130"/>
      <c r="BC9" s="130"/>
      <c r="BD9" s="130"/>
      <c r="BE9" s="130"/>
      <c r="BF9" s="130"/>
      <c r="BG9" s="130"/>
      <c r="BH9" s="130"/>
      <c r="BI9" s="130"/>
      <c r="BJ9" s="129"/>
    </row>
    <row r="10" spans="1:62" s="126" customFormat="1" ht="72" customHeight="1" x14ac:dyDescent="0.15">
      <c r="A10" s="310" t="s">
        <v>42</v>
      </c>
      <c r="B10" s="311"/>
      <c r="C10" s="311"/>
      <c r="D10" s="312"/>
      <c r="E10" s="312" t="s">
        <v>52</v>
      </c>
      <c r="F10" s="312" t="s">
        <v>51</v>
      </c>
      <c r="G10" s="133"/>
      <c r="H10" s="135" t="s">
        <v>444</v>
      </c>
      <c r="I10" s="135" t="s">
        <v>445</v>
      </c>
      <c r="J10" s="134"/>
      <c r="K10" s="134"/>
      <c r="L10" s="134"/>
      <c r="M10" s="135" t="s">
        <v>446</v>
      </c>
      <c r="N10" s="135" t="s">
        <v>447</v>
      </c>
      <c r="O10" s="135" t="s">
        <v>448</v>
      </c>
      <c r="P10" s="318">
        <f>SUMIF($G$2:O$2,O$2,$G10:O10)</f>
        <v>0</v>
      </c>
      <c r="Q10" s="136"/>
      <c r="R10" s="136"/>
      <c r="S10" s="136"/>
      <c r="T10" s="136"/>
      <c r="U10" s="136"/>
      <c r="V10" s="136"/>
      <c r="W10" s="136"/>
      <c r="X10" s="136"/>
      <c r="Y10" s="136"/>
      <c r="Z10" s="136"/>
      <c r="AA10" s="136"/>
      <c r="AB10" s="136"/>
      <c r="AC10" s="136"/>
      <c r="AD10" s="135" t="s">
        <v>449</v>
      </c>
      <c r="AE10" s="314">
        <f>SUMIF($G$2:AD$2,Y$2,$G10:AD10)</f>
        <v>0</v>
      </c>
      <c r="AF10" s="315"/>
      <c r="AG10" s="315"/>
      <c r="AH10" s="315"/>
      <c r="AI10" s="315"/>
      <c r="AJ10" s="315"/>
      <c r="AK10" s="315"/>
      <c r="AL10" s="315"/>
      <c r="AM10" s="315"/>
      <c r="AN10" s="315"/>
      <c r="AO10" s="314">
        <f>SUMIF($G$2:AN$2,AN$2,$G10:AN10)</f>
        <v>0</v>
      </c>
      <c r="BA10" s="130"/>
      <c r="BB10" s="130"/>
      <c r="BC10" s="130"/>
      <c r="BD10" s="130"/>
      <c r="BE10" s="130"/>
      <c r="BF10" s="130"/>
      <c r="BG10" s="130"/>
      <c r="BH10" s="130"/>
      <c r="BI10" s="130"/>
      <c r="BJ10" s="129"/>
    </row>
    <row r="11" spans="1:62" s="126" customFormat="1" ht="72" customHeight="1" x14ac:dyDescent="0.15">
      <c r="A11" s="310" t="s">
        <v>42</v>
      </c>
      <c r="B11" s="311"/>
      <c r="C11" s="311"/>
      <c r="D11" s="312"/>
      <c r="E11" s="312" t="s">
        <v>50</v>
      </c>
      <c r="F11" s="312" t="s">
        <v>49</v>
      </c>
      <c r="G11" s="133"/>
      <c r="H11" s="135" t="s">
        <v>450</v>
      </c>
      <c r="I11" s="135" t="s">
        <v>451</v>
      </c>
      <c r="J11" s="134"/>
      <c r="K11" s="134"/>
      <c r="L11" s="134"/>
      <c r="M11" s="135" t="s">
        <v>452</v>
      </c>
      <c r="N11" s="135" t="s">
        <v>453</v>
      </c>
      <c r="O11" s="135" t="s">
        <v>454</v>
      </c>
      <c r="P11" s="318">
        <f>SUMIF($G$2:O$2,O$2,$G11:O11)</f>
        <v>0</v>
      </c>
      <c r="Q11" s="136"/>
      <c r="R11" s="136"/>
      <c r="S11" s="136"/>
      <c r="T11" s="136"/>
      <c r="U11" s="136"/>
      <c r="V11" s="136"/>
      <c r="W11" s="136"/>
      <c r="X11" s="136"/>
      <c r="Y11" s="136"/>
      <c r="Z11" s="136"/>
      <c r="AA11" s="136"/>
      <c r="AB11" s="136"/>
      <c r="AC11" s="136"/>
      <c r="AD11" s="135" t="s">
        <v>455</v>
      </c>
      <c r="AE11" s="314">
        <f>SUMIF($G$2:AD$2,Y$2,$G11:AD11)</f>
        <v>0</v>
      </c>
      <c r="AF11" s="315"/>
      <c r="AG11" s="315"/>
      <c r="AH11" s="315"/>
      <c r="AI11" s="315"/>
      <c r="AJ11" s="315"/>
      <c r="AK11" s="315"/>
      <c r="AL11" s="315"/>
      <c r="AM11" s="315"/>
      <c r="AN11" s="315"/>
      <c r="AO11" s="314">
        <f>SUMIF($G$2:AN$2,AN$2,$G11:AN11)</f>
        <v>0</v>
      </c>
      <c r="BA11" s="130"/>
      <c r="BB11" s="130"/>
      <c r="BC11" s="130"/>
      <c r="BD11" s="130"/>
      <c r="BE11" s="130"/>
      <c r="BF11" s="130"/>
      <c r="BG11" s="130"/>
      <c r="BH11" s="130"/>
      <c r="BI11" s="130"/>
      <c r="BJ11" s="129"/>
    </row>
    <row r="12" spans="1:62" s="126" customFormat="1" ht="72" customHeight="1" x14ac:dyDescent="0.15">
      <c r="A12" s="310" t="s">
        <v>42</v>
      </c>
      <c r="B12" s="311"/>
      <c r="C12" s="311"/>
      <c r="D12" s="312"/>
      <c r="E12" s="312" t="s">
        <v>48</v>
      </c>
      <c r="F12" s="312" t="s">
        <v>47</v>
      </c>
      <c r="G12" s="133"/>
      <c r="H12" s="135" t="s">
        <v>456</v>
      </c>
      <c r="I12" s="135" t="s">
        <v>457</v>
      </c>
      <c r="J12" s="134"/>
      <c r="K12" s="134"/>
      <c r="L12" s="134"/>
      <c r="M12" s="135" t="s">
        <v>458</v>
      </c>
      <c r="N12" s="135" t="s">
        <v>459</v>
      </c>
      <c r="O12" s="135" t="s">
        <v>460</v>
      </c>
      <c r="P12" s="318">
        <f>SUMIF($G$2:O$2,O$2,$G12:O12)</f>
        <v>0</v>
      </c>
      <c r="Q12" s="136"/>
      <c r="R12" s="136"/>
      <c r="S12" s="136"/>
      <c r="T12" s="136"/>
      <c r="U12" s="136"/>
      <c r="V12" s="136"/>
      <c r="W12" s="136"/>
      <c r="X12" s="136"/>
      <c r="Y12" s="136"/>
      <c r="Z12" s="136"/>
      <c r="AA12" s="136"/>
      <c r="AB12" s="136"/>
      <c r="AC12" s="136"/>
      <c r="AD12" s="135" t="s">
        <v>461</v>
      </c>
      <c r="AE12" s="314">
        <f>SUMIF($G$2:AD$2,Y$2,$G12:AD12)</f>
        <v>0</v>
      </c>
      <c r="AF12" s="315"/>
      <c r="AG12" s="315"/>
      <c r="AH12" s="315"/>
      <c r="AI12" s="315"/>
      <c r="AJ12" s="315"/>
      <c r="AK12" s="315"/>
      <c r="AL12" s="315"/>
      <c r="AM12" s="315"/>
      <c r="AN12" s="315"/>
      <c r="AO12" s="314">
        <f>SUMIF($G$2:AN$2,AN$2,$G12:AN12)</f>
        <v>0</v>
      </c>
      <c r="BA12" s="130"/>
      <c r="BB12" s="130"/>
      <c r="BC12" s="130"/>
      <c r="BD12" s="130"/>
      <c r="BE12" s="130"/>
      <c r="BF12" s="130"/>
      <c r="BG12" s="130"/>
      <c r="BH12" s="130"/>
      <c r="BI12" s="130"/>
      <c r="BJ12" s="129"/>
    </row>
    <row r="13" spans="1:62" s="126" customFormat="1" ht="79" customHeight="1" x14ac:dyDescent="0.15">
      <c r="A13" s="310" t="s">
        <v>42</v>
      </c>
      <c r="B13" s="311"/>
      <c r="C13" s="311"/>
      <c r="D13" s="312"/>
      <c r="E13" s="312" t="s">
        <v>46</v>
      </c>
      <c r="F13" s="312" t="s">
        <v>45</v>
      </c>
      <c r="G13" s="319"/>
      <c r="H13" s="135" t="s">
        <v>462</v>
      </c>
      <c r="I13" s="135" t="s">
        <v>463</v>
      </c>
      <c r="J13" s="134"/>
      <c r="K13" s="134"/>
      <c r="L13" s="134"/>
      <c r="M13" s="135" t="s">
        <v>464</v>
      </c>
      <c r="N13" s="135" t="s">
        <v>465</v>
      </c>
      <c r="O13" s="135" t="s">
        <v>466</v>
      </c>
      <c r="P13" s="313">
        <f>SUMIF($G$2:O$2,O$2,$G13:O13)</f>
        <v>0</v>
      </c>
      <c r="Q13" s="136"/>
      <c r="R13" s="136"/>
      <c r="S13" s="136"/>
      <c r="T13" s="136"/>
      <c r="U13" s="136"/>
      <c r="V13" s="136"/>
      <c r="W13" s="136"/>
      <c r="X13" s="136"/>
      <c r="Y13" s="136"/>
      <c r="Z13" s="136"/>
      <c r="AA13" s="136"/>
      <c r="AB13" s="135" t="s">
        <v>467</v>
      </c>
      <c r="AC13" s="135"/>
      <c r="AD13" s="135" t="s">
        <v>468</v>
      </c>
      <c r="AE13" s="314">
        <f>SUMIF($G$2:AD$2,Y$2,$G13:AD13)</f>
        <v>0</v>
      </c>
      <c r="AF13" s="315"/>
      <c r="AG13" s="315"/>
      <c r="AH13" s="315"/>
      <c r="AI13" s="315"/>
      <c r="AJ13" s="315"/>
      <c r="AK13" s="315"/>
      <c r="AL13" s="315"/>
      <c r="AM13" s="315"/>
      <c r="AN13" s="315"/>
      <c r="AO13" s="314">
        <f>SUMIF($G$2:AN$2,AN$2,$G13:AN13)</f>
        <v>0</v>
      </c>
      <c r="BA13" s="130"/>
      <c r="BB13" s="130"/>
      <c r="BC13" s="130"/>
      <c r="BD13" s="130"/>
      <c r="BE13" s="130"/>
      <c r="BF13" s="130"/>
      <c r="BG13" s="130"/>
      <c r="BH13" s="130"/>
      <c r="BI13" s="130"/>
      <c r="BJ13" s="129"/>
    </row>
    <row r="14" spans="1:62" s="126" customFormat="1" ht="245" customHeight="1" x14ac:dyDescent="0.15">
      <c r="A14" s="310" t="s">
        <v>42</v>
      </c>
      <c r="B14" s="311"/>
      <c r="C14" s="311"/>
      <c r="D14" s="312"/>
      <c r="E14" s="312" t="s">
        <v>44</v>
      </c>
      <c r="F14" s="312" t="s">
        <v>43</v>
      </c>
      <c r="G14" s="135" t="s">
        <v>518</v>
      </c>
      <c r="H14" s="135" t="s">
        <v>519</v>
      </c>
      <c r="I14" s="135" t="s">
        <v>520</v>
      </c>
      <c r="J14" s="135" t="s">
        <v>521</v>
      </c>
      <c r="K14" s="135" t="s">
        <v>522</v>
      </c>
      <c r="L14" s="135" t="s">
        <v>523</v>
      </c>
      <c r="M14" s="135" t="s">
        <v>524</v>
      </c>
      <c r="N14" s="135" t="s">
        <v>525</v>
      </c>
      <c r="O14" s="135" t="s">
        <v>636</v>
      </c>
      <c r="P14" s="313">
        <f>SUMIF($G$2:O$2,O$2,$G14:O14)</f>
        <v>0</v>
      </c>
      <c r="Q14" s="135" t="s">
        <v>526</v>
      </c>
      <c r="R14" s="135" t="s">
        <v>527</v>
      </c>
      <c r="S14" s="135" t="s">
        <v>528</v>
      </c>
      <c r="T14" s="135" t="s">
        <v>529</v>
      </c>
      <c r="U14" s="135" t="s">
        <v>530</v>
      </c>
      <c r="V14" s="135" t="s">
        <v>531</v>
      </c>
      <c r="W14" s="135" t="s">
        <v>532</v>
      </c>
      <c r="X14" s="135" t="s">
        <v>533</v>
      </c>
      <c r="Y14" s="135" t="s">
        <v>534</v>
      </c>
      <c r="Z14" s="135" t="s">
        <v>535</v>
      </c>
      <c r="AA14" s="135" t="s">
        <v>536</v>
      </c>
      <c r="AB14" s="136"/>
      <c r="AC14" s="135" t="s">
        <v>640</v>
      </c>
      <c r="AD14" s="135" t="s">
        <v>537</v>
      </c>
      <c r="AE14" s="314">
        <f>SUMIF($G$2:AD$2,Y$2,$G14:AD14)</f>
        <v>0</v>
      </c>
      <c r="AF14" s="315"/>
      <c r="AG14" s="315"/>
      <c r="AH14" s="315"/>
      <c r="AI14" s="315"/>
      <c r="AJ14" s="315"/>
      <c r="AK14" s="315"/>
      <c r="AL14" s="315"/>
      <c r="AM14" s="315"/>
      <c r="AN14" s="315"/>
      <c r="AO14" s="314">
        <f>SUMIF($G$2:AN$2,AN$2,$G14:AN14)</f>
        <v>0</v>
      </c>
      <c r="BA14" s="130"/>
      <c r="BB14" s="130"/>
      <c r="BC14" s="130"/>
      <c r="BD14" s="130"/>
      <c r="BE14" s="130"/>
      <c r="BF14" s="130"/>
      <c r="BG14" s="130"/>
      <c r="BH14" s="130"/>
      <c r="BI14" s="130"/>
      <c r="BJ14" s="129"/>
    </row>
    <row r="15" spans="1:62" s="126" customFormat="1" ht="236" customHeight="1" x14ac:dyDescent="0.15">
      <c r="A15" s="310" t="s">
        <v>42</v>
      </c>
      <c r="B15" s="311"/>
      <c r="C15" s="311"/>
      <c r="D15" s="312"/>
      <c r="E15" s="312" t="s">
        <v>41</v>
      </c>
      <c r="F15" s="312" t="s">
        <v>40</v>
      </c>
      <c r="G15" s="135" t="s">
        <v>538</v>
      </c>
      <c r="H15" s="135" t="s">
        <v>539</v>
      </c>
      <c r="I15" s="135" t="s">
        <v>540</v>
      </c>
      <c r="J15" s="135" t="s">
        <v>541</v>
      </c>
      <c r="K15" s="135" t="s">
        <v>542</v>
      </c>
      <c r="L15" s="135" t="s">
        <v>543</v>
      </c>
      <c r="M15" s="135" t="s">
        <v>544</v>
      </c>
      <c r="N15" s="135" t="s">
        <v>545</v>
      </c>
      <c r="O15" s="135" t="s">
        <v>637</v>
      </c>
      <c r="P15" s="313">
        <f>SUMIF($G$2:O$2,O$2,$G15:O15)</f>
        <v>0</v>
      </c>
      <c r="Q15" s="135" t="s">
        <v>546</v>
      </c>
      <c r="R15" s="135" t="s">
        <v>547</v>
      </c>
      <c r="S15" s="135" t="s">
        <v>548</v>
      </c>
      <c r="T15" s="135" t="s">
        <v>549</v>
      </c>
      <c r="U15" s="135" t="s">
        <v>550</v>
      </c>
      <c r="V15" s="135" t="s">
        <v>551</v>
      </c>
      <c r="W15" s="135" t="s">
        <v>552</v>
      </c>
      <c r="X15" s="135" t="s">
        <v>553</v>
      </c>
      <c r="Y15" s="135" t="s">
        <v>554</v>
      </c>
      <c r="Z15" s="135" t="s">
        <v>555</v>
      </c>
      <c r="AA15" s="135" t="s">
        <v>556</v>
      </c>
      <c r="AB15" s="136"/>
      <c r="AC15" s="135" t="s">
        <v>641</v>
      </c>
      <c r="AD15" s="135" t="s">
        <v>557</v>
      </c>
      <c r="AE15" s="314">
        <f>SUMIF($G$2:AD$2,Y$2,$G15:AD15)</f>
        <v>0</v>
      </c>
      <c r="AF15" s="315"/>
      <c r="AG15" s="315"/>
      <c r="AH15" s="315"/>
      <c r="AI15" s="315"/>
      <c r="AJ15" s="315"/>
      <c r="AK15" s="315"/>
      <c r="AL15" s="315"/>
      <c r="AM15" s="315"/>
      <c r="AN15" s="315"/>
      <c r="AO15" s="314">
        <f>SUMIF($G$2:AN$2,AN$2,$G15:AN15)</f>
        <v>0</v>
      </c>
      <c r="BA15" s="130"/>
      <c r="BB15" s="130"/>
      <c r="BC15" s="130"/>
      <c r="BD15" s="130"/>
      <c r="BE15" s="130"/>
      <c r="BF15" s="130"/>
      <c r="BG15" s="130"/>
      <c r="BH15" s="130"/>
      <c r="BI15" s="130"/>
      <c r="BJ15" s="129"/>
    </row>
    <row r="16" spans="1:62" s="126" customFormat="1" ht="12" customHeight="1" x14ac:dyDescent="0.15">
      <c r="A16" s="310"/>
      <c r="B16" s="320"/>
      <c r="C16" s="320"/>
      <c r="D16" s="321"/>
      <c r="E16" s="321"/>
      <c r="F16" s="322" t="s">
        <v>39</v>
      </c>
      <c r="G16" s="314">
        <f>SUMIF($C$5:$C15,$C15,G$5:G15)</f>
        <v>0</v>
      </c>
      <c r="H16" s="314">
        <f>SUMIF($C$5:$C15,$C15,H$5:H15)</f>
        <v>0</v>
      </c>
      <c r="I16" s="314">
        <f>SUMIF($C$5:$C15,$C15,I$5:I15)</f>
        <v>0</v>
      </c>
      <c r="J16" s="314">
        <f>SUMIF($C$5:$C15,$C15,J$5:J15)</f>
        <v>0</v>
      </c>
      <c r="K16" s="314">
        <f>SUMIF($C$5:$C15,$C15,K$5:K15)</f>
        <v>0</v>
      </c>
      <c r="L16" s="314">
        <f>SUMIF($C$5:$C15,$C15,L$5:L15)</f>
        <v>0</v>
      </c>
      <c r="M16" s="314">
        <f>SUMIF($C$5:$C15,$C15,M$5:M15)</f>
        <v>0</v>
      </c>
      <c r="N16" s="314">
        <f>SUMIF($C$5:$C15,$C15,N$5:N15)</f>
        <v>0</v>
      </c>
      <c r="O16" s="314">
        <f>SUMIF($C$5:$C15,$C15,O$5:O15)</f>
        <v>0</v>
      </c>
      <c r="P16" s="314">
        <f>SUMIF($C$5:$C15,$C15,P$5:P15)</f>
        <v>0</v>
      </c>
      <c r="Q16" s="314">
        <f>SUMIF($C$5:$C15,$C15,Q$5:Q15)</f>
        <v>0</v>
      </c>
      <c r="R16" s="314">
        <f>SUMIF($C$5:$C15,$C15,R$5:R15)</f>
        <v>0</v>
      </c>
      <c r="S16" s="314">
        <f>SUMIF($C$5:$C15,$C15,S$5:S15)</f>
        <v>0</v>
      </c>
      <c r="T16" s="314">
        <f>SUMIF($C$5:$C15,$C15,T$5:T15)</f>
        <v>0</v>
      </c>
      <c r="U16" s="314">
        <f>SUMIF($C$5:$C15,$C15,U$5:U15)</f>
        <v>0</v>
      </c>
      <c r="V16" s="314">
        <f>SUMIF($C$5:$C15,$C15,V$5:V15)</f>
        <v>0</v>
      </c>
      <c r="W16" s="314">
        <f>SUMIF($C$5:$C15,$C15,W$5:W15)</f>
        <v>0</v>
      </c>
      <c r="X16" s="314">
        <f>SUMIF($C$5:$C15,$C15,X$5:X15)</f>
        <v>0</v>
      </c>
      <c r="Y16" s="314">
        <f>SUMIF($C$5:$C15,$C15,Y$5:Y15)</f>
        <v>0</v>
      </c>
      <c r="Z16" s="314">
        <f>SUMIF($C$5:$C15,$C15,Z$5:Z15)</f>
        <v>0</v>
      </c>
      <c r="AA16" s="314">
        <f>SUMIF($C$5:$C15,$C15,AA$5:AA15)</f>
        <v>0</v>
      </c>
      <c r="AB16" s="314">
        <f>SUMIF($C$5:$C15,$C15,AB$5:AB15)</f>
        <v>0</v>
      </c>
      <c r="AC16" s="314"/>
      <c r="AD16" s="314">
        <f>SUMIF($C$5:$C15,$C15,AD$5:AD15)</f>
        <v>0</v>
      </c>
      <c r="AE16" s="314">
        <f>SUMIF($C$5:$C15,$C15,AE$5:AE15)</f>
        <v>0</v>
      </c>
      <c r="AF16" s="314">
        <f>SUMIF($C$5:$C15,$C15,AF$5:AF15)</f>
        <v>0</v>
      </c>
      <c r="AG16" s="314">
        <f>SUMIF($C$5:$C15,$C15,AG$5:AG15)</f>
        <v>0</v>
      </c>
      <c r="AH16" s="314">
        <f>SUMIF($C$5:$C15,$C15,AH$5:AH15)</f>
        <v>0</v>
      </c>
      <c r="AI16" s="314">
        <f>SUMIF($C$5:$C15,$C15,AI$5:AI15)</f>
        <v>0</v>
      </c>
      <c r="AJ16" s="314">
        <f>SUMIF($C$5:$C15,$C15,AJ$5:AJ15)</f>
        <v>0</v>
      </c>
      <c r="AK16" s="314">
        <f>SUMIF($C$5:$C15,$C15,AK$5:AK15)</f>
        <v>0</v>
      </c>
      <c r="AL16" s="314">
        <f>SUMIF($C$5:$C15,$C15,AL$5:AL15)</f>
        <v>0</v>
      </c>
      <c r="AM16" s="314">
        <f>SUMIF($C$5:$C15,$C15,AM$5:AM15)</f>
        <v>0</v>
      </c>
      <c r="AN16" s="314">
        <f>SUMIF($C$5:$C15,$C15,AN$5:AN15)</f>
        <v>0</v>
      </c>
      <c r="AO16" s="314">
        <f>SUMIF($C$5:$C15,$C15,AO$5:AO15)</f>
        <v>0</v>
      </c>
      <c r="BA16" s="137"/>
      <c r="BB16" s="137"/>
      <c r="BC16" s="137"/>
      <c r="BD16" s="137"/>
      <c r="BE16" s="137"/>
      <c r="BF16" s="137"/>
      <c r="BG16" s="137"/>
      <c r="BH16" s="137"/>
      <c r="BI16" s="137"/>
      <c r="BJ16" s="129"/>
    </row>
    <row r="17" spans="1:52" ht="16" customHeight="1" x14ac:dyDescent="0.2">
      <c r="A17" s="323"/>
      <c r="B17" s="324"/>
      <c r="C17" s="324"/>
      <c r="D17" s="323"/>
      <c r="E17" s="323"/>
      <c r="F17" s="323"/>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183"/>
      <c r="AQ17" s="183"/>
      <c r="AR17" s="126"/>
      <c r="AS17" s="126"/>
      <c r="AT17" s="126"/>
      <c r="AU17" s="126"/>
      <c r="AV17" s="126"/>
      <c r="AW17" s="126"/>
      <c r="AX17" s="126"/>
      <c r="AY17" s="126"/>
      <c r="AZ17" s="126"/>
    </row>
    <row r="18" spans="1:52" ht="16" customHeight="1" x14ac:dyDescent="0.2">
      <c r="A18" s="323"/>
      <c r="B18" s="324"/>
      <c r="C18" s="324"/>
      <c r="D18" s="323"/>
      <c r="E18" s="323"/>
      <c r="F18" s="323"/>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183"/>
      <c r="AQ18" s="183"/>
    </row>
    <row r="19" spans="1:52" ht="180" x14ac:dyDescent="0.2">
      <c r="A19" s="323"/>
      <c r="B19" s="324"/>
      <c r="C19" s="324"/>
      <c r="D19" s="323"/>
      <c r="E19" s="323"/>
      <c r="F19" s="323"/>
      <c r="G19" s="324"/>
      <c r="H19" s="324"/>
      <c r="I19" s="324"/>
      <c r="J19" s="324"/>
      <c r="K19" s="324"/>
      <c r="L19" s="324"/>
      <c r="M19" s="324"/>
      <c r="N19" s="324"/>
      <c r="O19" s="324"/>
      <c r="P19" s="324"/>
      <c r="Q19" s="324"/>
      <c r="R19" s="324"/>
      <c r="S19" s="324"/>
      <c r="T19" s="324"/>
      <c r="U19" s="324"/>
      <c r="V19" s="324"/>
      <c r="W19" s="324"/>
      <c r="X19" s="324"/>
      <c r="Y19" s="324"/>
      <c r="Z19" s="324"/>
      <c r="AA19" s="324"/>
      <c r="AB19" s="180" t="s">
        <v>249</v>
      </c>
      <c r="AC19" s="180"/>
      <c r="AD19" s="135" t="s">
        <v>558</v>
      </c>
      <c r="AE19" s="324"/>
      <c r="AF19" s="324"/>
      <c r="AG19" s="324"/>
      <c r="AH19" s="324"/>
      <c r="AI19" s="324"/>
      <c r="AJ19" s="324"/>
      <c r="AK19" s="324"/>
      <c r="AL19" s="324"/>
      <c r="AM19" s="324"/>
      <c r="AN19" s="324"/>
      <c r="AO19" s="324"/>
      <c r="AP19" s="183"/>
      <c r="AQ19" s="183"/>
    </row>
    <row r="20" spans="1:52" x14ac:dyDescent="0.2">
      <c r="A20" s="184"/>
      <c r="B20" s="183"/>
      <c r="C20" s="183"/>
      <c r="D20" s="184"/>
      <c r="E20" s="184"/>
      <c r="F20" s="184"/>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row>
    <row r="21" spans="1:52" x14ac:dyDescent="0.2">
      <c r="A21" s="184"/>
      <c r="B21" s="183"/>
      <c r="C21" s="183"/>
      <c r="D21" s="184"/>
      <c r="E21" s="184"/>
      <c r="F21" s="184"/>
      <c r="G21" s="183"/>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row>
    <row r="22" spans="1:52" x14ac:dyDescent="0.2">
      <c r="A22" s="184"/>
      <c r="B22" s="183"/>
      <c r="C22" s="183"/>
      <c r="D22" s="184"/>
      <c r="E22" s="184"/>
      <c r="F22" s="184"/>
      <c r="G22" s="183"/>
      <c r="H22" s="183"/>
      <c r="I22" s="18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row>
    <row r="23" spans="1:52" x14ac:dyDescent="0.2">
      <c r="A23" s="184"/>
      <c r="B23" s="183"/>
      <c r="C23" s="183"/>
      <c r="D23" s="184"/>
      <c r="E23" s="184"/>
      <c r="F23" s="184"/>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row>
    <row r="24" spans="1:52" x14ac:dyDescent="0.2">
      <c r="A24" s="184"/>
      <c r="B24" s="183"/>
      <c r="C24" s="183"/>
      <c r="D24" s="184"/>
      <c r="E24" s="184"/>
      <c r="F24" s="184"/>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row>
    <row r="25" spans="1:52" x14ac:dyDescent="0.2">
      <c r="A25" s="184"/>
      <c r="B25" s="183"/>
      <c r="C25" s="183"/>
      <c r="D25" s="184"/>
      <c r="E25" s="184"/>
      <c r="F25" s="184"/>
      <c r="G25" s="183"/>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row>
    <row r="26" spans="1:52" x14ac:dyDescent="0.2">
      <c r="A26" s="184"/>
      <c r="B26" s="183"/>
      <c r="C26" s="183"/>
      <c r="D26" s="184"/>
      <c r="E26" s="184"/>
      <c r="F26" s="184"/>
      <c r="G26" s="183"/>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row>
    <row r="27" spans="1:52" x14ac:dyDescent="0.2">
      <c r="A27" s="184"/>
      <c r="B27" s="183"/>
      <c r="C27" s="183"/>
      <c r="D27" s="184"/>
      <c r="E27" s="184"/>
      <c r="F27" s="184"/>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row>
  </sheetData>
  <mergeCells count="5">
    <mergeCell ref="BJ2:BJ4"/>
    <mergeCell ref="B1:F1"/>
    <mergeCell ref="P2:P4"/>
    <mergeCell ref="AE2:AE4"/>
    <mergeCell ref="AO2:AO4"/>
  </mergeCells>
  <pageMargins left="0.70866141732283472" right="0.70866141732283472" top="0.74803149606299213" bottom="0.74803149606299213" header="0.31496062992125984" footer="0.31496062992125984"/>
  <pageSetup paperSize="8" scale="2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324D-705A-A94A-B5F8-6AFA2E068B3B}">
  <dimension ref="A1:T19"/>
  <sheetViews>
    <sheetView zoomScale="113" workbookViewId="0">
      <selection activeCell="O26" sqref="O26"/>
    </sheetView>
  </sheetViews>
  <sheetFormatPr baseColWidth="10" defaultRowHeight="15" x14ac:dyDescent="0.2"/>
  <cols>
    <col min="2" max="2" width="0" hidden="1" customWidth="1"/>
    <col min="6" max="6" width="52.6640625" customWidth="1"/>
  </cols>
  <sheetData>
    <row r="1" spans="1:20" ht="31" customHeight="1" x14ac:dyDescent="0.2">
      <c r="A1" s="436" t="s">
        <v>214</v>
      </c>
      <c r="B1" s="436"/>
      <c r="C1" s="436"/>
      <c r="D1" s="436"/>
      <c r="E1" s="436"/>
      <c r="F1" s="436"/>
      <c r="G1" s="227"/>
      <c r="H1" s="227"/>
      <c r="I1" s="227"/>
      <c r="J1" s="227"/>
      <c r="K1" s="227"/>
      <c r="L1" s="227"/>
      <c r="M1" s="227"/>
      <c r="N1" s="227"/>
      <c r="O1" s="227"/>
      <c r="P1" s="227"/>
      <c r="Q1" s="227"/>
      <c r="R1" s="227"/>
      <c r="S1" s="227"/>
      <c r="T1" s="227"/>
    </row>
    <row r="2" spans="1:20" ht="15" customHeight="1" x14ac:dyDescent="0.2">
      <c r="A2" s="334"/>
      <c r="B2" s="334"/>
      <c r="C2" s="334"/>
      <c r="D2" s="334"/>
      <c r="E2" s="334"/>
      <c r="F2" s="334"/>
      <c r="G2" s="141" t="s">
        <v>164</v>
      </c>
      <c r="H2" s="141" t="s">
        <v>164</v>
      </c>
      <c r="I2" s="141" t="s">
        <v>164</v>
      </c>
      <c r="J2" s="141" t="s">
        <v>164</v>
      </c>
      <c r="K2" s="141" t="s">
        <v>164</v>
      </c>
      <c r="L2" s="141" t="s">
        <v>164</v>
      </c>
      <c r="M2" s="141" t="s">
        <v>164</v>
      </c>
      <c r="N2" s="141" t="s">
        <v>164</v>
      </c>
      <c r="O2" s="141" t="s">
        <v>164</v>
      </c>
      <c r="P2" s="437" t="s">
        <v>213</v>
      </c>
      <c r="Q2" s="141" t="s">
        <v>212</v>
      </c>
      <c r="R2" s="141" t="s">
        <v>212</v>
      </c>
      <c r="S2" s="141" t="s">
        <v>212</v>
      </c>
      <c r="T2" s="437" t="s">
        <v>211</v>
      </c>
    </row>
    <row r="3" spans="1:20" ht="24" x14ac:dyDescent="0.2">
      <c r="A3" s="334"/>
      <c r="B3" s="334"/>
      <c r="C3" s="334"/>
      <c r="D3" s="334"/>
      <c r="E3" s="334"/>
      <c r="F3" s="334"/>
      <c r="G3" s="141" t="s">
        <v>201</v>
      </c>
      <c r="H3" s="141" t="s">
        <v>200</v>
      </c>
      <c r="I3" s="141" t="s">
        <v>199</v>
      </c>
      <c r="J3" s="141" t="s">
        <v>198</v>
      </c>
      <c r="K3" s="141" t="s">
        <v>197</v>
      </c>
      <c r="L3" s="141" t="s">
        <v>196</v>
      </c>
      <c r="M3" s="141" t="s">
        <v>195</v>
      </c>
      <c r="N3" s="141" t="s">
        <v>194</v>
      </c>
      <c r="O3" s="141" t="s">
        <v>193</v>
      </c>
      <c r="P3" s="437"/>
      <c r="Q3" s="141" t="s">
        <v>192</v>
      </c>
      <c r="R3" s="141" t="s">
        <v>128</v>
      </c>
      <c r="S3" s="141" t="s">
        <v>122</v>
      </c>
      <c r="T3" s="437"/>
    </row>
    <row r="4" spans="1:20" ht="60" x14ac:dyDescent="0.2">
      <c r="A4" s="334"/>
      <c r="B4" s="335" t="s">
        <v>112</v>
      </c>
      <c r="C4" s="335" t="s">
        <v>111</v>
      </c>
      <c r="D4" s="335" t="s">
        <v>32</v>
      </c>
      <c r="E4" s="335" t="s">
        <v>110</v>
      </c>
      <c r="F4" s="335" t="s">
        <v>109</v>
      </c>
      <c r="G4" s="141" t="s">
        <v>182</v>
      </c>
      <c r="H4" s="141" t="s">
        <v>181</v>
      </c>
      <c r="I4" s="141" t="s">
        <v>180</v>
      </c>
      <c r="J4" s="141" t="s">
        <v>179</v>
      </c>
      <c r="K4" s="141" t="s">
        <v>178</v>
      </c>
      <c r="L4" s="141" t="s">
        <v>177</v>
      </c>
      <c r="M4" s="141" t="s">
        <v>176</v>
      </c>
      <c r="N4" s="141" t="s">
        <v>175</v>
      </c>
      <c r="O4" s="141" t="s">
        <v>174</v>
      </c>
      <c r="P4" s="437"/>
      <c r="Q4" s="141" t="s">
        <v>173</v>
      </c>
      <c r="R4" s="141" t="s">
        <v>78</v>
      </c>
      <c r="S4" s="141" t="s">
        <v>72</v>
      </c>
      <c r="T4" s="437"/>
    </row>
    <row r="5" spans="1:20" ht="204" x14ac:dyDescent="0.2">
      <c r="A5" s="229" t="s">
        <v>172</v>
      </c>
      <c r="B5" s="228"/>
      <c r="C5" s="228"/>
      <c r="D5" s="228"/>
      <c r="E5" s="228" t="s">
        <v>62</v>
      </c>
      <c r="F5" s="228" t="s">
        <v>61</v>
      </c>
      <c r="G5" s="230"/>
      <c r="H5" s="135" t="s">
        <v>386</v>
      </c>
      <c r="I5" s="135" t="s">
        <v>387</v>
      </c>
      <c r="J5" s="135" t="s">
        <v>388</v>
      </c>
      <c r="K5" s="143" t="s">
        <v>389</v>
      </c>
      <c r="L5" s="143" t="s">
        <v>389</v>
      </c>
      <c r="M5" s="143"/>
      <c r="N5" s="143"/>
      <c r="O5" s="143" t="s">
        <v>348</v>
      </c>
      <c r="P5" s="336">
        <f t="shared" ref="P5:P15" si="0">SUM(G5:O5)</f>
        <v>0</v>
      </c>
      <c r="Q5" s="143" t="s">
        <v>390</v>
      </c>
      <c r="R5" s="135" t="s">
        <v>391</v>
      </c>
      <c r="S5" s="143" t="s">
        <v>392</v>
      </c>
      <c r="T5" s="336">
        <f t="shared" ref="T5:T15" si="1">SUM(Q5:S5)</f>
        <v>0</v>
      </c>
    </row>
    <row r="6" spans="1:20" ht="228" x14ac:dyDescent="0.2">
      <c r="A6" s="229" t="s">
        <v>172</v>
      </c>
      <c r="B6" s="228"/>
      <c r="C6" s="228"/>
      <c r="D6" s="228"/>
      <c r="E6" s="228" t="s">
        <v>60</v>
      </c>
      <c r="F6" s="228" t="s">
        <v>59</v>
      </c>
      <c r="G6" s="230"/>
      <c r="H6" s="231"/>
      <c r="I6" s="231"/>
      <c r="J6" s="231"/>
      <c r="K6" s="231"/>
      <c r="L6" s="231"/>
      <c r="M6" s="143" t="s">
        <v>393</v>
      </c>
      <c r="N6" s="143" t="s">
        <v>394</v>
      </c>
      <c r="O6" s="143" t="s">
        <v>348</v>
      </c>
      <c r="P6" s="336">
        <f t="shared" si="0"/>
        <v>0</v>
      </c>
      <c r="Q6" s="143" t="s">
        <v>395</v>
      </c>
      <c r="R6" s="231"/>
      <c r="S6" s="143"/>
      <c r="T6" s="336">
        <f t="shared" si="1"/>
        <v>0</v>
      </c>
    </row>
    <row r="7" spans="1:20" ht="108" x14ac:dyDescent="0.2">
      <c r="A7" s="229" t="s">
        <v>172</v>
      </c>
      <c r="B7" s="228"/>
      <c r="C7" s="228"/>
      <c r="D7" s="228"/>
      <c r="E7" s="228" t="s">
        <v>58</v>
      </c>
      <c r="F7" s="228" t="s">
        <v>57</v>
      </c>
      <c r="G7" s="230"/>
      <c r="H7" s="231"/>
      <c r="I7" s="231"/>
      <c r="J7" s="231"/>
      <c r="K7" s="231"/>
      <c r="L7" s="231"/>
      <c r="M7" s="231"/>
      <c r="N7" s="232"/>
      <c r="O7" s="233"/>
      <c r="P7" s="336">
        <f>SUM(G7:O7)</f>
        <v>0</v>
      </c>
      <c r="Q7" s="231"/>
      <c r="R7" s="231"/>
      <c r="S7" s="135" t="s">
        <v>396</v>
      </c>
      <c r="T7" s="336">
        <f>SUM(Q7:S7)</f>
        <v>0</v>
      </c>
    </row>
    <row r="8" spans="1:20" ht="120" x14ac:dyDescent="0.2">
      <c r="A8" s="229" t="s">
        <v>172</v>
      </c>
      <c r="B8" s="228"/>
      <c r="C8" s="228"/>
      <c r="D8" s="228"/>
      <c r="E8" s="228" t="s">
        <v>56</v>
      </c>
      <c r="F8" s="228" t="s">
        <v>55</v>
      </c>
      <c r="G8" s="230"/>
      <c r="H8" s="231"/>
      <c r="I8" s="231"/>
      <c r="J8" s="231"/>
      <c r="K8" s="231"/>
      <c r="L8" s="231"/>
      <c r="M8" s="231"/>
      <c r="N8" s="231"/>
      <c r="O8" s="231"/>
      <c r="P8" s="336">
        <f t="shared" si="0"/>
        <v>0</v>
      </c>
      <c r="Q8" s="231"/>
      <c r="R8" s="135"/>
      <c r="S8" s="135" t="s">
        <v>397</v>
      </c>
      <c r="T8" s="336">
        <f>SUM(Q8:R8)</f>
        <v>0</v>
      </c>
    </row>
    <row r="9" spans="1:20" ht="168" x14ac:dyDescent="0.2">
      <c r="A9" s="229" t="s">
        <v>172</v>
      </c>
      <c r="B9" s="228"/>
      <c r="C9" s="228"/>
      <c r="D9" s="228"/>
      <c r="E9" s="228" t="s">
        <v>54</v>
      </c>
      <c r="F9" s="228" t="s">
        <v>53</v>
      </c>
      <c r="G9" s="230"/>
      <c r="H9" s="231"/>
      <c r="I9" s="231"/>
      <c r="J9" s="231"/>
      <c r="K9" s="231"/>
      <c r="L9" s="231"/>
      <c r="M9" s="231"/>
      <c r="N9" s="231"/>
      <c r="O9" s="231"/>
      <c r="P9" s="336">
        <f t="shared" si="0"/>
        <v>0</v>
      </c>
      <c r="Q9" s="231"/>
      <c r="R9" s="135"/>
      <c r="S9" s="135" t="s">
        <v>575</v>
      </c>
      <c r="T9" s="336">
        <f>SUM(Q9:R9)</f>
        <v>0</v>
      </c>
    </row>
    <row r="10" spans="1:20" ht="120" x14ac:dyDescent="0.2">
      <c r="A10" s="229" t="s">
        <v>172</v>
      </c>
      <c r="B10" s="228"/>
      <c r="C10" s="228"/>
      <c r="D10" s="228"/>
      <c r="E10" s="228" t="s">
        <v>52</v>
      </c>
      <c r="F10" s="228" t="s">
        <v>51</v>
      </c>
      <c r="G10" s="230"/>
      <c r="H10" s="231"/>
      <c r="I10" s="231"/>
      <c r="J10" s="231"/>
      <c r="K10" s="231"/>
      <c r="L10" s="231"/>
      <c r="M10" s="231"/>
      <c r="N10" s="231"/>
      <c r="O10" s="231"/>
      <c r="P10" s="336">
        <f t="shared" si="0"/>
        <v>0</v>
      </c>
      <c r="Q10" s="231"/>
      <c r="R10" s="231"/>
      <c r="S10" s="135" t="s">
        <v>398</v>
      </c>
      <c r="T10" s="336">
        <f t="shared" si="1"/>
        <v>0</v>
      </c>
    </row>
    <row r="11" spans="1:20" ht="120" x14ac:dyDescent="0.2">
      <c r="A11" s="229" t="s">
        <v>172</v>
      </c>
      <c r="B11" s="228"/>
      <c r="C11" s="228"/>
      <c r="D11" s="228"/>
      <c r="E11" s="228" t="s">
        <v>50</v>
      </c>
      <c r="F11" s="228" t="s">
        <v>49</v>
      </c>
      <c r="G11" s="230"/>
      <c r="H11" s="231"/>
      <c r="I11" s="231"/>
      <c r="J11" s="231"/>
      <c r="K11" s="231"/>
      <c r="L11" s="231"/>
      <c r="M11" s="231"/>
      <c r="N11" s="231"/>
      <c r="O11" s="231"/>
      <c r="P11" s="336">
        <f t="shared" si="0"/>
        <v>0</v>
      </c>
      <c r="Q11" s="231"/>
      <c r="R11" s="135"/>
      <c r="S11" s="135" t="s">
        <v>399</v>
      </c>
      <c r="T11" s="336">
        <f>SUM(Q11:R11)</f>
        <v>0</v>
      </c>
    </row>
    <row r="12" spans="1:20" ht="180" x14ac:dyDescent="0.2">
      <c r="A12" s="229" t="s">
        <v>172</v>
      </c>
      <c r="B12" s="228"/>
      <c r="C12" s="228"/>
      <c r="D12" s="228"/>
      <c r="E12" s="228" t="s">
        <v>48</v>
      </c>
      <c r="F12" s="228" t="s">
        <v>47</v>
      </c>
      <c r="G12" s="230"/>
      <c r="H12" s="231"/>
      <c r="I12" s="231"/>
      <c r="J12" s="231"/>
      <c r="K12" s="231"/>
      <c r="L12" s="231"/>
      <c r="M12" s="231"/>
      <c r="N12" s="231"/>
      <c r="O12" s="231"/>
      <c r="P12" s="336">
        <f t="shared" si="0"/>
        <v>0</v>
      </c>
      <c r="Q12" s="231"/>
      <c r="R12" s="231"/>
      <c r="S12" s="135" t="s">
        <v>400</v>
      </c>
      <c r="T12" s="336">
        <f t="shared" si="1"/>
        <v>0</v>
      </c>
    </row>
    <row r="13" spans="1:20" ht="144" x14ac:dyDescent="0.2">
      <c r="A13" s="229" t="s">
        <v>172</v>
      </c>
      <c r="B13" s="228"/>
      <c r="C13" s="228"/>
      <c r="D13" s="228"/>
      <c r="E13" s="228" t="s">
        <v>46</v>
      </c>
      <c r="F13" s="228" t="s">
        <v>45</v>
      </c>
      <c r="G13" s="337" t="s">
        <v>401</v>
      </c>
      <c r="H13" s="231"/>
      <c r="I13" s="231"/>
      <c r="J13" s="231"/>
      <c r="K13" s="231"/>
      <c r="L13" s="231"/>
      <c r="M13" s="231"/>
      <c r="N13" s="231"/>
      <c r="O13" s="231"/>
      <c r="P13" s="336">
        <f t="shared" si="0"/>
        <v>0</v>
      </c>
      <c r="Q13" s="231"/>
      <c r="R13" s="231"/>
      <c r="S13" s="135" t="s">
        <v>402</v>
      </c>
      <c r="T13" s="336">
        <f t="shared" si="1"/>
        <v>0</v>
      </c>
    </row>
    <row r="14" spans="1:20" ht="240" x14ac:dyDescent="0.2">
      <c r="A14" s="229" t="s">
        <v>172</v>
      </c>
      <c r="B14" s="228"/>
      <c r="C14" s="228"/>
      <c r="D14" s="228"/>
      <c r="E14" s="228" t="s">
        <v>44</v>
      </c>
      <c r="F14" s="228" t="s">
        <v>43</v>
      </c>
      <c r="G14" s="337" t="s">
        <v>576</v>
      </c>
      <c r="H14" s="135" t="s">
        <v>577</v>
      </c>
      <c r="I14" s="135" t="s">
        <v>578</v>
      </c>
      <c r="J14" s="135" t="s">
        <v>579</v>
      </c>
      <c r="K14" s="234"/>
      <c r="L14" s="234"/>
      <c r="M14" s="231"/>
      <c r="N14" s="231"/>
      <c r="O14" s="231"/>
      <c r="P14" s="336">
        <f t="shared" si="0"/>
        <v>0</v>
      </c>
      <c r="Q14" s="231"/>
      <c r="R14" s="135" t="s">
        <v>580</v>
      </c>
      <c r="S14" s="135" t="s">
        <v>581</v>
      </c>
      <c r="T14" s="336">
        <f t="shared" si="1"/>
        <v>0</v>
      </c>
    </row>
    <row r="15" spans="1:20" ht="240" x14ac:dyDescent="0.2">
      <c r="A15" s="229" t="s">
        <v>172</v>
      </c>
      <c r="B15" s="228"/>
      <c r="C15" s="228"/>
      <c r="D15" s="228"/>
      <c r="E15" s="228" t="s">
        <v>41</v>
      </c>
      <c r="F15" s="228" t="s">
        <v>40</v>
      </c>
      <c r="G15" s="337" t="s">
        <v>582</v>
      </c>
      <c r="H15" s="135" t="s">
        <v>583</v>
      </c>
      <c r="I15" s="135" t="s">
        <v>584</v>
      </c>
      <c r="J15" s="135" t="s">
        <v>585</v>
      </c>
      <c r="K15" s="234"/>
      <c r="L15" s="234"/>
      <c r="M15" s="231"/>
      <c r="N15" s="231"/>
      <c r="O15" s="231"/>
      <c r="P15" s="336">
        <f t="shared" si="0"/>
        <v>0</v>
      </c>
      <c r="Q15" s="231"/>
      <c r="R15" s="135" t="s">
        <v>586</v>
      </c>
      <c r="S15" s="135" t="s">
        <v>587</v>
      </c>
      <c r="T15" s="336">
        <f t="shared" si="1"/>
        <v>0</v>
      </c>
    </row>
    <row r="16" spans="1:20" x14ac:dyDescent="0.2">
      <c r="A16" s="229"/>
      <c r="B16" s="338"/>
      <c r="C16" s="338"/>
      <c r="D16" s="338"/>
      <c r="E16" s="338"/>
      <c r="F16" s="339" t="s">
        <v>39</v>
      </c>
      <c r="G16" s="340">
        <f t="shared" ref="G16:T16" si="2">SUM(G5:G15)</f>
        <v>0</v>
      </c>
      <c r="H16" s="340">
        <f t="shared" si="2"/>
        <v>0</v>
      </c>
      <c r="I16" s="340">
        <f t="shared" si="2"/>
        <v>0</v>
      </c>
      <c r="J16" s="340">
        <f t="shared" si="2"/>
        <v>0</v>
      </c>
      <c r="K16" s="340">
        <f t="shared" si="2"/>
        <v>0</v>
      </c>
      <c r="L16" s="340">
        <f t="shared" si="2"/>
        <v>0</v>
      </c>
      <c r="M16" s="340">
        <f t="shared" si="2"/>
        <v>0</v>
      </c>
      <c r="N16" s="340">
        <f t="shared" si="2"/>
        <v>0</v>
      </c>
      <c r="O16" s="340">
        <f t="shared" si="2"/>
        <v>0</v>
      </c>
      <c r="P16" s="340">
        <f t="shared" si="2"/>
        <v>0</v>
      </c>
      <c r="Q16" s="340">
        <f t="shared" si="2"/>
        <v>0</v>
      </c>
      <c r="R16" s="340">
        <f t="shared" si="2"/>
        <v>0</v>
      </c>
      <c r="S16" s="340">
        <f t="shared" si="2"/>
        <v>0</v>
      </c>
      <c r="T16" s="340">
        <f t="shared" si="2"/>
        <v>0</v>
      </c>
    </row>
    <row r="17" spans="1:20" x14ac:dyDescent="0.2">
      <c r="A17" s="26"/>
      <c r="B17" s="26"/>
      <c r="C17" s="26"/>
      <c r="D17" s="26"/>
      <c r="E17" s="26"/>
      <c r="F17" s="26"/>
      <c r="G17" s="26"/>
      <c r="H17" s="26"/>
      <c r="I17" s="26"/>
      <c r="J17" s="26"/>
      <c r="K17" s="26"/>
      <c r="L17" s="26"/>
      <c r="M17" s="26"/>
      <c r="N17" s="26"/>
      <c r="O17" s="26"/>
      <c r="P17" s="26"/>
      <c r="Q17" s="26"/>
      <c r="R17" s="26"/>
      <c r="S17" s="26"/>
      <c r="T17" s="26"/>
    </row>
    <row r="18" spans="1:20" x14ac:dyDescent="0.2">
      <c r="A18" s="26"/>
      <c r="B18" s="26"/>
      <c r="C18" s="26"/>
      <c r="D18" s="26"/>
      <c r="E18" s="26"/>
      <c r="F18" s="26"/>
      <c r="G18" s="26"/>
      <c r="H18" s="26"/>
      <c r="I18" s="26"/>
      <c r="J18" s="26"/>
      <c r="K18" s="26"/>
      <c r="L18" s="26"/>
      <c r="M18" s="26"/>
      <c r="N18" s="26"/>
      <c r="O18" s="26"/>
      <c r="P18" s="26"/>
      <c r="Q18" s="26"/>
      <c r="R18" s="26"/>
      <c r="S18" s="26"/>
      <c r="T18" s="26"/>
    </row>
    <row r="19" spans="1:20" ht="192" x14ac:dyDescent="0.2">
      <c r="A19" s="26"/>
      <c r="B19" s="26"/>
      <c r="C19" s="26"/>
      <c r="D19" s="26"/>
      <c r="E19" s="26"/>
      <c r="F19" s="26"/>
      <c r="G19" s="26"/>
      <c r="H19" s="26"/>
      <c r="I19" s="26"/>
      <c r="J19" s="26"/>
      <c r="K19" s="26"/>
      <c r="L19" s="26"/>
      <c r="M19" s="26"/>
      <c r="N19" s="26"/>
      <c r="O19" s="26"/>
      <c r="P19" s="26"/>
      <c r="Q19" s="341"/>
      <c r="R19" s="180" t="s">
        <v>249</v>
      </c>
      <c r="S19" s="135" t="s">
        <v>558</v>
      </c>
      <c r="T19" s="26"/>
    </row>
  </sheetData>
  <mergeCells count="3">
    <mergeCell ref="A1:F1"/>
    <mergeCell ref="P2:P4"/>
    <mergeCell ref="T2:T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D3E5-B7F3-C14C-8528-86F4142584D0}">
  <dimension ref="A1:W19"/>
  <sheetViews>
    <sheetView topLeftCell="F1" workbookViewId="0">
      <selection activeCell="V15" sqref="V15"/>
    </sheetView>
  </sheetViews>
  <sheetFormatPr baseColWidth="10" defaultRowHeight="15" x14ac:dyDescent="0.2"/>
  <cols>
    <col min="2" max="2" width="0" hidden="1" customWidth="1"/>
    <col min="6" max="6" width="42.83203125" customWidth="1"/>
    <col min="7" max="7" width="26.1640625" customWidth="1"/>
  </cols>
  <sheetData>
    <row r="1" spans="1:23" ht="23" customHeight="1" x14ac:dyDescent="0.2">
      <c r="A1" s="283"/>
      <c r="B1" s="438" t="s">
        <v>170</v>
      </c>
      <c r="C1" s="438"/>
      <c r="D1" s="438"/>
      <c r="E1" s="438"/>
      <c r="F1" s="438"/>
      <c r="G1" s="438"/>
      <c r="H1" s="438"/>
      <c r="I1" s="438"/>
      <c r="J1" s="284"/>
      <c r="K1" s="284"/>
      <c r="L1" s="284"/>
      <c r="M1" s="284"/>
      <c r="N1" s="284"/>
      <c r="O1" s="284"/>
      <c r="P1" s="284"/>
      <c r="Q1" s="284"/>
      <c r="R1" s="284"/>
      <c r="S1" s="284"/>
      <c r="T1" s="284"/>
      <c r="U1" s="284"/>
      <c r="V1" s="284"/>
      <c r="W1" s="284"/>
    </row>
    <row r="2" spans="1:23" ht="28" customHeight="1" x14ac:dyDescent="0.2">
      <c r="A2" s="285"/>
      <c r="B2" s="285"/>
      <c r="C2" s="285"/>
      <c r="D2" s="285"/>
      <c r="E2" s="285"/>
      <c r="F2" s="285"/>
      <c r="G2" s="286" t="s">
        <v>169</v>
      </c>
      <c r="H2" s="439" t="s">
        <v>168</v>
      </c>
      <c r="I2" s="286" t="s">
        <v>167</v>
      </c>
      <c r="J2" s="286" t="s">
        <v>167</v>
      </c>
      <c r="K2" s="286" t="s">
        <v>167</v>
      </c>
      <c r="L2" s="286" t="s">
        <v>167</v>
      </c>
      <c r="M2" s="286" t="s">
        <v>167</v>
      </c>
      <c r="N2" s="286" t="s">
        <v>167</v>
      </c>
      <c r="O2" s="286" t="s">
        <v>167</v>
      </c>
      <c r="P2" s="286" t="s">
        <v>167</v>
      </c>
      <c r="Q2" s="286" t="s">
        <v>167</v>
      </c>
      <c r="R2" s="286" t="s">
        <v>167</v>
      </c>
      <c r="S2" s="286" t="s">
        <v>167</v>
      </c>
      <c r="T2" s="286" t="s">
        <v>167</v>
      </c>
      <c r="U2" s="286" t="s">
        <v>167</v>
      </c>
      <c r="V2" s="286" t="s">
        <v>167</v>
      </c>
      <c r="W2" s="439" t="s">
        <v>166</v>
      </c>
    </row>
    <row r="3" spans="1:23" ht="56" x14ac:dyDescent="0.2">
      <c r="A3" s="285"/>
      <c r="B3" s="285"/>
      <c r="C3" s="285"/>
      <c r="D3" s="285"/>
      <c r="E3" s="285"/>
      <c r="F3" s="285"/>
      <c r="G3" s="286" t="s">
        <v>158</v>
      </c>
      <c r="H3" s="439"/>
      <c r="I3" s="286" t="s">
        <v>157</v>
      </c>
      <c r="J3" s="286" t="s">
        <v>156</v>
      </c>
      <c r="K3" s="286" t="s">
        <v>155</v>
      </c>
      <c r="L3" s="286" t="s">
        <v>154</v>
      </c>
      <c r="M3" s="286" t="s">
        <v>153</v>
      </c>
      <c r="N3" s="286" t="s">
        <v>152</v>
      </c>
      <c r="O3" s="286" t="s">
        <v>151</v>
      </c>
      <c r="P3" s="286" t="s">
        <v>150</v>
      </c>
      <c r="Q3" s="286" t="s">
        <v>149</v>
      </c>
      <c r="R3" s="286"/>
      <c r="S3" s="286" t="s">
        <v>148</v>
      </c>
      <c r="T3" s="286" t="s">
        <v>147</v>
      </c>
      <c r="U3" s="286" t="s">
        <v>146</v>
      </c>
      <c r="V3" s="286" t="s">
        <v>145</v>
      </c>
      <c r="W3" s="439"/>
    </row>
    <row r="4" spans="1:23" ht="98" x14ac:dyDescent="0.2">
      <c r="A4" s="287"/>
      <c r="B4" s="288" t="s">
        <v>112</v>
      </c>
      <c r="C4" s="288" t="s">
        <v>111</v>
      </c>
      <c r="D4" s="288" t="s">
        <v>32</v>
      </c>
      <c r="E4" s="288" t="s">
        <v>110</v>
      </c>
      <c r="F4" s="288" t="s">
        <v>109</v>
      </c>
      <c r="G4" s="286" t="s">
        <v>108</v>
      </c>
      <c r="H4" s="439"/>
      <c r="I4" s="286" t="s">
        <v>107</v>
      </c>
      <c r="J4" s="289" t="s">
        <v>106</v>
      </c>
      <c r="K4" s="286" t="s">
        <v>105</v>
      </c>
      <c r="L4" s="286" t="s">
        <v>104</v>
      </c>
      <c r="M4" s="286" t="s">
        <v>103</v>
      </c>
      <c r="N4" s="286" t="s">
        <v>102</v>
      </c>
      <c r="O4" s="286" t="s">
        <v>101</v>
      </c>
      <c r="P4" s="286" t="s">
        <v>100</v>
      </c>
      <c r="Q4" s="286" t="s">
        <v>99</v>
      </c>
      <c r="R4" s="289" t="s">
        <v>98</v>
      </c>
      <c r="S4" s="286" t="s">
        <v>97</v>
      </c>
      <c r="T4" s="286" t="s">
        <v>96</v>
      </c>
      <c r="U4" s="286" t="s">
        <v>95</v>
      </c>
      <c r="V4" s="289" t="s">
        <v>94</v>
      </c>
      <c r="W4" s="439"/>
    </row>
    <row r="5" spans="1:23" ht="371" x14ac:dyDescent="0.2">
      <c r="A5" s="290" t="s">
        <v>42</v>
      </c>
      <c r="B5" s="291"/>
      <c r="C5" s="291"/>
      <c r="D5" s="292"/>
      <c r="E5" s="292" t="s">
        <v>62</v>
      </c>
      <c r="F5" s="292" t="s">
        <v>61</v>
      </c>
      <c r="G5" s="293" t="s">
        <v>361</v>
      </c>
      <c r="H5" s="294">
        <f>SUMIF($G$2:G$2,G$2,$G5:G5)</f>
        <v>0</v>
      </c>
      <c r="I5" s="293" t="s">
        <v>362</v>
      </c>
      <c r="J5" s="295"/>
      <c r="K5" s="296"/>
      <c r="L5" s="296"/>
      <c r="M5" s="296"/>
      <c r="N5" s="296"/>
      <c r="O5" s="296"/>
      <c r="P5" s="293" t="s">
        <v>363</v>
      </c>
      <c r="Q5" s="293" t="s">
        <v>364</v>
      </c>
      <c r="R5" s="293" t="s">
        <v>642</v>
      </c>
      <c r="S5" s="293" t="s">
        <v>365</v>
      </c>
      <c r="T5" s="293" t="s">
        <v>366</v>
      </c>
      <c r="U5" s="293" t="s">
        <v>367</v>
      </c>
      <c r="V5" s="293" t="s">
        <v>656</v>
      </c>
      <c r="W5" s="294">
        <f>SUMIF($G$2:V$2,V$2,$G5:V5)</f>
        <v>0</v>
      </c>
    </row>
    <row r="6" spans="1:23" ht="409.6" x14ac:dyDescent="0.2">
      <c r="A6" s="290" t="s">
        <v>42</v>
      </c>
      <c r="B6" s="291"/>
      <c r="C6" s="291"/>
      <c r="D6" s="292"/>
      <c r="E6" s="292" t="s">
        <v>60</v>
      </c>
      <c r="F6" s="292" t="s">
        <v>59</v>
      </c>
      <c r="G6" s="293" t="s">
        <v>368</v>
      </c>
      <c r="H6" s="294">
        <f>SUMIF($G$2:G$2,G$2,$G6:G6)</f>
        <v>0</v>
      </c>
      <c r="I6" s="295"/>
      <c r="J6" s="293" t="s">
        <v>369</v>
      </c>
      <c r="K6" s="293" t="s">
        <v>370</v>
      </c>
      <c r="L6" s="293" t="s">
        <v>371</v>
      </c>
      <c r="M6" s="293" t="s">
        <v>372</v>
      </c>
      <c r="N6" s="293" t="s">
        <v>373</v>
      </c>
      <c r="O6" s="293" t="s">
        <v>374</v>
      </c>
      <c r="P6" s="296"/>
      <c r="Q6" s="296"/>
      <c r="R6" s="293" t="s">
        <v>375</v>
      </c>
      <c r="S6" s="296"/>
      <c r="T6" s="296"/>
      <c r="U6" s="296"/>
      <c r="V6" s="297" t="s">
        <v>485</v>
      </c>
      <c r="W6" s="294">
        <f>SUMIF($G$2:V$2,V$2,$G6:V6)</f>
        <v>0</v>
      </c>
    </row>
    <row r="7" spans="1:23" x14ac:dyDescent="0.2">
      <c r="A7" s="290" t="s">
        <v>42</v>
      </c>
      <c r="B7" s="291"/>
      <c r="C7" s="291"/>
      <c r="D7" s="292"/>
      <c r="E7" s="292" t="s">
        <v>58</v>
      </c>
      <c r="F7" s="292" t="s">
        <v>57</v>
      </c>
      <c r="G7" s="144"/>
      <c r="H7" s="294">
        <f>SUMIF($G$2:G$2,G$2,$G7:G7)</f>
        <v>0</v>
      </c>
      <c r="I7" s="298"/>
      <c r="J7" s="298"/>
      <c r="K7" s="298"/>
      <c r="L7" s="298"/>
      <c r="M7" s="298"/>
      <c r="N7" s="298"/>
      <c r="O7" s="298"/>
      <c r="P7" s="298"/>
      <c r="Q7" s="298"/>
      <c r="R7" s="298"/>
      <c r="S7" s="298"/>
      <c r="T7" s="298"/>
      <c r="U7" s="298"/>
      <c r="V7" s="144"/>
      <c r="W7" s="294">
        <f>SUMIF($G$2:V$2,V$2,$G7:V7)</f>
        <v>0</v>
      </c>
    </row>
    <row r="8" spans="1:23" ht="196" x14ac:dyDescent="0.2">
      <c r="A8" s="290" t="s">
        <v>42</v>
      </c>
      <c r="B8" s="291"/>
      <c r="C8" s="291"/>
      <c r="D8" s="292"/>
      <c r="E8" s="292" t="s">
        <v>56</v>
      </c>
      <c r="F8" s="292" t="s">
        <v>55</v>
      </c>
      <c r="G8" s="293" t="s">
        <v>376</v>
      </c>
      <c r="H8" s="294">
        <f>SUMIF($G$2:G$2,G$2,$G8:G8)</f>
        <v>0</v>
      </c>
      <c r="I8" s="298"/>
      <c r="J8" s="298"/>
      <c r="K8" s="298"/>
      <c r="L8" s="298"/>
      <c r="M8" s="298"/>
      <c r="N8" s="298"/>
      <c r="O8" s="298"/>
      <c r="P8" s="298"/>
      <c r="Q8" s="298"/>
      <c r="R8" s="298"/>
      <c r="S8" s="298"/>
      <c r="T8" s="298"/>
      <c r="U8" s="298"/>
      <c r="V8" s="293" t="s">
        <v>377</v>
      </c>
      <c r="W8" s="294">
        <f>SUMIF($G$2:V$2,V$2,$G8:V8)</f>
        <v>0</v>
      </c>
    </row>
    <row r="9" spans="1:23" ht="280" x14ac:dyDescent="0.2">
      <c r="A9" s="290" t="s">
        <v>42</v>
      </c>
      <c r="B9" s="291"/>
      <c r="C9" s="291"/>
      <c r="D9" s="292"/>
      <c r="E9" s="292" t="s">
        <v>54</v>
      </c>
      <c r="F9" s="292" t="s">
        <v>53</v>
      </c>
      <c r="G9" s="293" t="s">
        <v>486</v>
      </c>
      <c r="H9" s="294">
        <f>SUMIF($G$2:G$2,G$2,$G9:G9)</f>
        <v>0</v>
      </c>
      <c r="I9" s="298"/>
      <c r="J9" s="298"/>
      <c r="K9" s="298"/>
      <c r="L9" s="298"/>
      <c r="M9" s="298"/>
      <c r="N9" s="298"/>
      <c r="O9" s="298"/>
      <c r="P9" s="298"/>
      <c r="Q9" s="298"/>
      <c r="R9" s="298"/>
      <c r="S9" s="298"/>
      <c r="T9" s="298"/>
      <c r="U9" s="298"/>
      <c r="V9" s="293" t="s">
        <v>487</v>
      </c>
      <c r="W9" s="294">
        <f>SUMIF($G$2:V$2,V$2,$G9:V9)</f>
        <v>0</v>
      </c>
    </row>
    <row r="10" spans="1:23" ht="196" x14ac:dyDescent="0.2">
      <c r="A10" s="290" t="s">
        <v>42</v>
      </c>
      <c r="B10" s="291"/>
      <c r="C10" s="291"/>
      <c r="D10" s="292"/>
      <c r="E10" s="292" t="s">
        <v>52</v>
      </c>
      <c r="F10" s="292" t="s">
        <v>51</v>
      </c>
      <c r="G10" s="293" t="s">
        <v>378</v>
      </c>
      <c r="H10" s="294">
        <f>SUMIF($G$2:G$2,G$2,$G10:G10)</f>
        <v>0</v>
      </c>
      <c r="I10" s="298"/>
      <c r="J10" s="298"/>
      <c r="K10" s="298"/>
      <c r="L10" s="298"/>
      <c r="M10" s="298"/>
      <c r="N10" s="298"/>
      <c r="O10" s="298"/>
      <c r="P10" s="298"/>
      <c r="Q10" s="298"/>
      <c r="S10" s="298"/>
      <c r="T10" s="298"/>
      <c r="U10" s="298"/>
      <c r="V10" s="293" t="s">
        <v>379</v>
      </c>
      <c r="W10" s="294">
        <f>SUMIF($G$2:V$2,V$2,$G10:V10)</f>
        <v>0</v>
      </c>
    </row>
    <row r="11" spans="1:23" ht="196" x14ac:dyDescent="0.2">
      <c r="A11" s="290" t="s">
        <v>42</v>
      </c>
      <c r="B11" s="291"/>
      <c r="C11" s="291"/>
      <c r="D11" s="292"/>
      <c r="E11" s="292" t="s">
        <v>50</v>
      </c>
      <c r="F11" s="292" t="s">
        <v>49</v>
      </c>
      <c r="G11" s="293" t="s">
        <v>380</v>
      </c>
      <c r="H11" s="294">
        <f>SUMIF($G$2:G$2,G$2,$G11:G11)</f>
        <v>0</v>
      </c>
      <c r="I11" s="298"/>
      <c r="J11" s="298"/>
      <c r="K11" s="298"/>
      <c r="L11" s="298"/>
      <c r="M11" s="298"/>
      <c r="N11" s="298"/>
      <c r="O11" s="298"/>
      <c r="P11" s="298"/>
      <c r="Q11" s="298"/>
      <c r="R11" s="298"/>
      <c r="S11" s="298"/>
      <c r="T11" s="298"/>
      <c r="U11" s="298"/>
      <c r="V11" s="293" t="s">
        <v>381</v>
      </c>
      <c r="W11" s="294">
        <f>SUMIF($G$2:V$2,V$2,$G11:V11)</f>
        <v>0</v>
      </c>
    </row>
    <row r="12" spans="1:23" ht="266" x14ac:dyDescent="0.2">
      <c r="A12" s="290" t="s">
        <v>42</v>
      </c>
      <c r="B12" s="291"/>
      <c r="C12" s="291"/>
      <c r="D12" s="292"/>
      <c r="E12" s="292" t="s">
        <v>48</v>
      </c>
      <c r="F12" s="292" t="s">
        <v>47</v>
      </c>
      <c r="G12" s="293" t="s">
        <v>382</v>
      </c>
      <c r="H12" s="294">
        <f>SUMIF($G$2:G$2,G$2,$G12:G12)</f>
        <v>0</v>
      </c>
      <c r="I12" s="298"/>
      <c r="J12" s="298"/>
      <c r="K12" s="298"/>
      <c r="L12" s="298"/>
      <c r="M12" s="298"/>
      <c r="N12" s="298"/>
      <c r="O12" s="298"/>
      <c r="P12" s="298"/>
      <c r="Q12" s="298"/>
      <c r="R12" s="298"/>
      <c r="S12" s="298"/>
      <c r="T12" s="298"/>
      <c r="U12" s="298"/>
      <c r="V12" s="293" t="s">
        <v>383</v>
      </c>
      <c r="W12" s="294">
        <f>SUMIF($G$2:V$2,V$2,$G12:V12)</f>
        <v>0</v>
      </c>
    </row>
    <row r="13" spans="1:23" ht="238" x14ac:dyDescent="0.2">
      <c r="A13" s="290" t="s">
        <v>42</v>
      </c>
      <c r="B13" s="291"/>
      <c r="C13" s="291"/>
      <c r="D13" s="292"/>
      <c r="E13" s="292" t="s">
        <v>46</v>
      </c>
      <c r="F13" s="292" t="s">
        <v>45</v>
      </c>
      <c r="G13" s="293" t="s">
        <v>384</v>
      </c>
      <c r="H13" s="294">
        <f>SUMIF($G$2:G$2,G$2,$G13:G13)</f>
        <v>0</v>
      </c>
      <c r="I13" s="298"/>
      <c r="J13" s="298"/>
      <c r="K13" s="298"/>
      <c r="L13" s="298"/>
      <c r="M13" s="298"/>
      <c r="N13" s="298"/>
      <c r="O13" s="298"/>
      <c r="P13" s="298"/>
      <c r="Q13" s="298"/>
      <c r="R13" s="298"/>
      <c r="S13" s="298"/>
      <c r="T13" s="298"/>
      <c r="U13" s="298"/>
      <c r="V13" s="293" t="s">
        <v>385</v>
      </c>
      <c r="W13" s="294">
        <f>SUMIF($G$2:V$2,V$2,$G13:V13)</f>
        <v>0</v>
      </c>
    </row>
    <row r="14" spans="1:23" ht="409.6" x14ac:dyDescent="0.2">
      <c r="A14" s="290" t="s">
        <v>42</v>
      </c>
      <c r="B14" s="291"/>
      <c r="C14" s="291"/>
      <c r="D14" s="292"/>
      <c r="E14" s="292" t="s">
        <v>44</v>
      </c>
      <c r="F14" s="292" t="s">
        <v>43</v>
      </c>
      <c r="G14" s="293" t="s">
        <v>488</v>
      </c>
      <c r="H14" s="294">
        <f>SUMIF($G$2:G$2,G$2,$G14:G14)</f>
        <v>0</v>
      </c>
      <c r="I14" s="293" t="s">
        <v>489</v>
      </c>
      <c r="J14" s="293" t="s">
        <v>490</v>
      </c>
      <c r="K14" s="293" t="s">
        <v>491</v>
      </c>
      <c r="L14" s="293" t="s">
        <v>492</v>
      </c>
      <c r="M14" s="293" t="s">
        <v>493</v>
      </c>
      <c r="N14" s="293" t="s">
        <v>494</v>
      </c>
      <c r="O14" s="293" t="s">
        <v>495</v>
      </c>
      <c r="P14" s="293" t="s">
        <v>496</v>
      </c>
      <c r="Q14" s="293" t="s">
        <v>497</v>
      </c>
      <c r="R14" s="388" t="s">
        <v>643</v>
      </c>
      <c r="S14" s="293" t="s">
        <v>498</v>
      </c>
      <c r="T14" s="293" t="s">
        <v>499</v>
      </c>
      <c r="U14" s="293" t="s">
        <v>500</v>
      </c>
      <c r="V14" s="293" t="s">
        <v>657</v>
      </c>
      <c r="W14" s="294">
        <f>SUMIF($G$2:V$2,V$2,$G14:V14)</f>
        <v>0</v>
      </c>
    </row>
    <row r="15" spans="1:23" ht="409.6" x14ac:dyDescent="0.2">
      <c r="A15" s="290" t="s">
        <v>42</v>
      </c>
      <c r="B15" s="291"/>
      <c r="C15" s="291"/>
      <c r="D15" s="292"/>
      <c r="E15" s="292" t="s">
        <v>41</v>
      </c>
      <c r="F15" s="292" t="s">
        <v>40</v>
      </c>
      <c r="G15" s="293" t="s">
        <v>501</v>
      </c>
      <c r="H15" s="294">
        <f>SUMIF($G$2:G$2,G$2,$G15:G15)</f>
        <v>0</v>
      </c>
      <c r="I15" s="293" t="s">
        <v>502</v>
      </c>
      <c r="J15" s="293" t="s">
        <v>503</v>
      </c>
      <c r="K15" s="293" t="s">
        <v>504</v>
      </c>
      <c r="L15" s="293" t="s">
        <v>505</v>
      </c>
      <c r="M15" s="293" t="s">
        <v>506</v>
      </c>
      <c r="N15" s="293" t="s">
        <v>507</v>
      </c>
      <c r="O15" s="293" t="s">
        <v>508</v>
      </c>
      <c r="P15" s="293" t="s">
        <v>509</v>
      </c>
      <c r="Q15" s="293" t="s">
        <v>510</v>
      </c>
      <c r="R15" s="388" t="s">
        <v>644</v>
      </c>
      <c r="S15" s="293" t="s">
        <v>511</v>
      </c>
      <c r="T15" s="293" t="s">
        <v>512</v>
      </c>
      <c r="U15" s="293" t="s">
        <v>513</v>
      </c>
      <c r="V15" s="297" t="s">
        <v>658</v>
      </c>
      <c r="W15" s="294">
        <f>SUMIF($G$2:V$2,V$2,$G15:V15)</f>
        <v>0</v>
      </c>
    </row>
    <row r="16" spans="1:23" x14ac:dyDescent="0.2">
      <c r="A16" s="290"/>
      <c r="B16" s="299"/>
      <c r="C16" s="299"/>
      <c r="D16" s="300"/>
      <c r="E16" s="300"/>
      <c r="F16" s="301" t="s">
        <v>39</v>
      </c>
      <c r="G16" s="294">
        <f>SUMIF($C$5:$C15,$C15,G$5:G15)</f>
        <v>0</v>
      </c>
      <c r="H16" s="302">
        <f>SUMIF($C$5:$C15,$C15,H$5:H15)</f>
        <v>0</v>
      </c>
      <c r="I16" s="294">
        <f>SUMIF($C$5:$C15,$C15,I$5:I15)</f>
        <v>0</v>
      </c>
      <c r="J16" s="294">
        <f>SUMIF($C$5:$C15,$C15,J$5:J15)</f>
        <v>0</v>
      </c>
      <c r="K16" s="294">
        <f>SUMIF($C$5:$C15,$C15,K$5:K15)</f>
        <v>0</v>
      </c>
      <c r="L16" s="294">
        <f>SUMIF($C$5:$C15,$C15,L$5:L15)</f>
        <v>0</v>
      </c>
      <c r="M16" s="294">
        <f>SUMIF($C$5:$C15,$C15,M$5:M15)</f>
        <v>0</v>
      </c>
      <c r="N16" s="294">
        <f>SUMIF($C$5:$C15,$C15,N$5:N15)</f>
        <v>0</v>
      </c>
      <c r="O16" s="294">
        <f>SUMIF($C$5:$C15,$C15,O$5:O15)</f>
        <v>0</v>
      </c>
      <c r="P16" s="294">
        <f>SUMIF($C$5:$C15,$C15,P$5:P15)</f>
        <v>0</v>
      </c>
      <c r="Q16" s="294">
        <f>SUMIF($C$5:$C15,$C15,Q$5:Q15)</f>
        <v>0</v>
      </c>
      <c r="R16" s="294"/>
      <c r="S16" s="294">
        <f>SUMIF($C$5:$C15,$C15,S$5:S15)</f>
        <v>0</v>
      </c>
      <c r="T16" s="294">
        <f>SUMIF($C$5:$C15,$C15,T$5:T15)</f>
        <v>0</v>
      </c>
      <c r="U16" s="294">
        <f>SUMIF($C$5:$C15,$C15,U$5:U15)</f>
        <v>0</v>
      </c>
      <c r="V16" s="294">
        <f>SUMIF($C$5:$C15,$C15,V$5:V15)</f>
        <v>0</v>
      </c>
      <c r="W16" s="294">
        <f>SUMIF($C$5:$C15,$C15,W$5:W15)</f>
        <v>0</v>
      </c>
    </row>
    <row r="17" spans="1:23" x14ac:dyDescent="0.2">
      <c r="A17" s="185"/>
      <c r="B17" s="185"/>
      <c r="C17" s="185"/>
      <c r="D17" s="185"/>
      <c r="E17" s="185"/>
      <c r="F17" s="185"/>
      <c r="G17" s="186"/>
      <c r="H17" s="186"/>
      <c r="I17" s="186"/>
      <c r="J17" s="186"/>
      <c r="K17" s="186"/>
      <c r="L17" s="186"/>
      <c r="M17" s="186"/>
      <c r="N17" s="186"/>
      <c r="O17" s="186"/>
      <c r="P17" s="186"/>
      <c r="Q17" s="186"/>
      <c r="R17" s="186"/>
      <c r="S17" s="186"/>
      <c r="T17" s="186"/>
      <c r="U17" s="186"/>
      <c r="V17" s="186"/>
      <c r="W17" s="186"/>
    </row>
    <row r="18" spans="1:23" x14ac:dyDescent="0.2">
      <c r="A18" s="185"/>
      <c r="B18" s="185"/>
      <c r="C18" s="185"/>
      <c r="D18" s="185"/>
      <c r="E18" s="185"/>
      <c r="F18" s="185"/>
      <c r="G18" s="186"/>
      <c r="H18" s="186"/>
      <c r="I18" s="186"/>
      <c r="J18" s="186"/>
      <c r="K18" s="186"/>
      <c r="L18" s="186"/>
      <c r="M18" s="186"/>
      <c r="N18" s="186"/>
      <c r="O18" s="186"/>
      <c r="P18" s="186"/>
      <c r="Q18" s="186"/>
      <c r="R18" s="186"/>
      <c r="S18" s="186"/>
      <c r="T18" s="186"/>
      <c r="U18" s="186"/>
      <c r="V18" s="186"/>
      <c r="W18" s="186"/>
    </row>
    <row r="19" spans="1:23" ht="345" x14ac:dyDescent="0.2">
      <c r="A19" s="185"/>
      <c r="B19" s="185"/>
      <c r="C19" s="185"/>
      <c r="D19" s="185"/>
      <c r="E19" s="185"/>
      <c r="F19" s="182" t="s">
        <v>250</v>
      </c>
      <c r="G19" s="293" t="s">
        <v>514</v>
      </c>
      <c r="H19" s="186"/>
      <c r="I19" s="186"/>
      <c r="J19" s="186"/>
      <c r="K19" s="186"/>
      <c r="L19" s="186"/>
      <c r="M19" s="186"/>
      <c r="N19" s="186"/>
      <c r="O19" s="186"/>
      <c r="P19" s="186"/>
      <c r="Q19" s="186"/>
      <c r="R19" s="186"/>
      <c r="S19" s="186"/>
      <c r="T19" s="186"/>
      <c r="U19" s="182" t="s">
        <v>251</v>
      </c>
      <c r="V19" s="293" t="s">
        <v>515</v>
      </c>
      <c r="W19" s="186"/>
    </row>
  </sheetData>
  <mergeCells count="3">
    <mergeCell ref="B1:I1"/>
    <mergeCell ref="H2:H4"/>
    <mergeCell ref="W2:W4"/>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76CA-691B-C543-A9EA-F5956F50D7E1}">
  <dimension ref="A1:U19"/>
  <sheetViews>
    <sheetView workbookViewId="0">
      <selection activeCell="A2" sqref="A2"/>
    </sheetView>
  </sheetViews>
  <sheetFormatPr baseColWidth="10" defaultRowHeight="15" x14ac:dyDescent="0.2"/>
  <cols>
    <col min="2" max="2" width="0" hidden="1" customWidth="1"/>
    <col min="18" max="18" width="13.83203125" bestFit="1" customWidth="1"/>
  </cols>
  <sheetData>
    <row r="1" spans="1:21" ht="42" customHeight="1" x14ac:dyDescent="0.2">
      <c r="A1" s="441" t="s">
        <v>214</v>
      </c>
      <c r="B1" s="441"/>
      <c r="C1" s="441"/>
      <c r="D1" s="441"/>
      <c r="E1" s="441"/>
      <c r="F1" s="441"/>
      <c r="G1" s="441"/>
      <c r="H1" s="441"/>
      <c r="I1" s="164"/>
      <c r="J1" s="164"/>
      <c r="K1" s="164"/>
      <c r="L1" s="164"/>
      <c r="M1" s="164"/>
      <c r="N1" s="164"/>
      <c r="O1" s="164"/>
      <c r="P1" s="164"/>
      <c r="Q1" s="164"/>
      <c r="R1" s="164"/>
      <c r="S1" s="164"/>
      <c r="T1" s="163"/>
      <c r="U1" s="163"/>
    </row>
    <row r="2" spans="1:21" ht="28" customHeight="1" x14ac:dyDescent="0.2">
      <c r="A2" s="325"/>
      <c r="B2" s="325"/>
      <c r="C2" s="325"/>
      <c r="D2" s="325"/>
      <c r="E2" s="325"/>
      <c r="F2" s="325"/>
      <c r="G2" s="165" t="s">
        <v>169</v>
      </c>
      <c r="H2" s="440" t="s">
        <v>168</v>
      </c>
      <c r="I2" s="165" t="s">
        <v>167</v>
      </c>
      <c r="J2" s="165" t="s">
        <v>167</v>
      </c>
      <c r="K2" s="165" t="s">
        <v>167</v>
      </c>
      <c r="L2" s="165" t="s">
        <v>167</v>
      </c>
      <c r="M2" s="165" t="s">
        <v>167</v>
      </c>
      <c r="N2" s="165" t="s">
        <v>167</v>
      </c>
      <c r="O2" s="165" t="s">
        <v>167</v>
      </c>
      <c r="P2" s="165" t="s">
        <v>167</v>
      </c>
      <c r="Q2" s="165" t="s">
        <v>167</v>
      </c>
      <c r="R2" s="165" t="s">
        <v>167</v>
      </c>
      <c r="S2" s="440" t="s">
        <v>166</v>
      </c>
    </row>
    <row r="3" spans="1:21" ht="56" x14ac:dyDescent="0.2">
      <c r="A3" s="325"/>
      <c r="B3" s="325"/>
      <c r="C3" s="325"/>
      <c r="D3" s="325"/>
      <c r="E3" s="325"/>
      <c r="F3" s="325"/>
      <c r="G3" s="165" t="s">
        <v>158</v>
      </c>
      <c r="H3" s="440"/>
      <c r="I3" s="165" t="s">
        <v>210</v>
      </c>
      <c r="J3" s="165" t="s">
        <v>209</v>
      </c>
      <c r="K3" s="165" t="s">
        <v>208</v>
      </c>
      <c r="L3" s="165" t="s">
        <v>207</v>
      </c>
      <c r="M3" s="165" t="s">
        <v>206</v>
      </c>
      <c r="N3" s="165" t="s">
        <v>205</v>
      </c>
      <c r="O3" s="165" t="s">
        <v>204</v>
      </c>
      <c r="P3" s="165" t="s">
        <v>203</v>
      </c>
      <c r="Q3" s="165" t="s">
        <v>202</v>
      </c>
      <c r="R3" s="165" t="s">
        <v>145</v>
      </c>
      <c r="S3" s="440"/>
    </row>
    <row r="4" spans="1:21" ht="112" x14ac:dyDescent="0.2">
      <c r="A4" s="325"/>
      <c r="B4" s="327" t="s">
        <v>112</v>
      </c>
      <c r="C4" s="327" t="s">
        <v>111</v>
      </c>
      <c r="D4" s="327" t="s">
        <v>32</v>
      </c>
      <c r="E4" s="327" t="s">
        <v>110</v>
      </c>
      <c r="F4" s="327" t="s">
        <v>109</v>
      </c>
      <c r="G4" s="165" t="s">
        <v>108</v>
      </c>
      <c r="H4" s="440"/>
      <c r="I4" s="165" t="s">
        <v>191</v>
      </c>
      <c r="J4" s="165" t="s">
        <v>190</v>
      </c>
      <c r="K4" s="165" t="s">
        <v>189</v>
      </c>
      <c r="L4" s="165" t="s">
        <v>188</v>
      </c>
      <c r="M4" s="165" t="s">
        <v>187</v>
      </c>
      <c r="N4" s="165" t="s">
        <v>186</v>
      </c>
      <c r="O4" s="165" t="s">
        <v>185</v>
      </c>
      <c r="P4" s="165" t="s">
        <v>184</v>
      </c>
      <c r="Q4" s="165" t="s">
        <v>183</v>
      </c>
      <c r="R4" s="165" t="s">
        <v>94</v>
      </c>
      <c r="S4" s="440"/>
    </row>
    <row r="5" spans="1:21" ht="409.6" x14ac:dyDescent="0.2">
      <c r="A5" s="169" t="s">
        <v>172</v>
      </c>
      <c r="B5" s="166"/>
      <c r="C5" s="166"/>
      <c r="D5" s="166"/>
      <c r="E5" s="166" t="s">
        <v>62</v>
      </c>
      <c r="F5" s="225" t="s">
        <v>61</v>
      </c>
      <c r="G5" s="293" t="s">
        <v>344</v>
      </c>
      <c r="H5" s="328">
        <f t="shared" ref="H5:H15" si="0">SUM(G5)</f>
        <v>0</v>
      </c>
      <c r="I5" s="170"/>
      <c r="J5" s="293" t="s">
        <v>345</v>
      </c>
      <c r="K5" s="293" t="s">
        <v>346</v>
      </c>
      <c r="L5" s="293" t="s">
        <v>347</v>
      </c>
      <c r="M5" s="329" t="s">
        <v>348</v>
      </c>
      <c r="N5" s="329" t="s">
        <v>348</v>
      </c>
      <c r="O5" s="330"/>
      <c r="P5" s="330"/>
      <c r="Q5" s="329" t="s">
        <v>348</v>
      </c>
      <c r="R5" s="293" t="s">
        <v>349</v>
      </c>
      <c r="S5" s="328">
        <f t="shared" ref="S5:S15" si="1">SUM(I5:R5)</f>
        <v>0</v>
      </c>
    </row>
    <row r="6" spans="1:21" ht="132" x14ac:dyDescent="0.2">
      <c r="A6" s="169" t="s">
        <v>172</v>
      </c>
      <c r="B6" s="166"/>
      <c r="C6" s="166"/>
      <c r="D6" s="166"/>
      <c r="E6" s="166" t="s">
        <v>60</v>
      </c>
      <c r="F6" s="225" t="s">
        <v>59</v>
      </c>
      <c r="G6" s="167"/>
      <c r="H6" s="328">
        <f t="shared" si="0"/>
        <v>0</v>
      </c>
      <c r="I6" s="170"/>
      <c r="J6" s="168"/>
      <c r="K6" s="168"/>
      <c r="L6" s="168"/>
      <c r="M6" s="331"/>
      <c r="N6" s="332"/>
      <c r="O6" s="329" t="s">
        <v>348</v>
      </c>
      <c r="P6" s="329" t="s">
        <v>348</v>
      </c>
      <c r="Q6" s="329" t="s">
        <v>348</v>
      </c>
      <c r="R6" s="143" t="s">
        <v>348</v>
      </c>
      <c r="S6" s="328">
        <f t="shared" si="1"/>
        <v>0</v>
      </c>
    </row>
    <row r="7" spans="1:21" ht="70" x14ac:dyDescent="0.2">
      <c r="A7" s="169" t="s">
        <v>172</v>
      </c>
      <c r="B7" s="166"/>
      <c r="C7" s="166"/>
      <c r="D7" s="166"/>
      <c r="E7" s="166" t="s">
        <v>58</v>
      </c>
      <c r="F7" s="225" t="s">
        <v>57</v>
      </c>
      <c r="G7" s="167"/>
      <c r="H7" s="328">
        <f t="shared" si="0"/>
        <v>0</v>
      </c>
      <c r="I7" s="170"/>
      <c r="J7" s="168"/>
      <c r="K7" s="168"/>
      <c r="L7" s="168"/>
      <c r="M7" s="168"/>
      <c r="N7" s="167"/>
      <c r="O7" s="168"/>
      <c r="P7" s="168"/>
      <c r="Q7" s="168"/>
      <c r="R7" s="168"/>
      <c r="S7" s="328">
        <f t="shared" si="1"/>
        <v>0</v>
      </c>
    </row>
    <row r="8" spans="1:21" ht="168" x14ac:dyDescent="0.2">
      <c r="A8" s="169" t="s">
        <v>172</v>
      </c>
      <c r="B8" s="166"/>
      <c r="C8" s="166"/>
      <c r="D8" s="166"/>
      <c r="E8" s="166" t="s">
        <v>56</v>
      </c>
      <c r="F8" s="225" t="s">
        <v>55</v>
      </c>
      <c r="G8" s="293" t="s">
        <v>350</v>
      </c>
      <c r="H8" s="328">
        <f t="shared" si="0"/>
        <v>0</v>
      </c>
      <c r="I8" s="170"/>
      <c r="J8" s="168"/>
      <c r="K8" s="168"/>
      <c r="L8" s="168"/>
      <c r="M8" s="168"/>
      <c r="N8" s="167"/>
      <c r="O8" s="168"/>
      <c r="P8" s="168"/>
      <c r="Q8" s="168"/>
      <c r="R8" s="293" t="s">
        <v>351</v>
      </c>
      <c r="S8" s="328">
        <f t="shared" si="1"/>
        <v>0</v>
      </c>
    </row>
    <row r="9" spans="1:21" ht="252" x14ac:dyDescent="0.2">
      <c r="A9" s="169" t="s">
        <v>172</v>
      </c>
      <c r="B9" s="166"/>
      <c r="C9" s="166"/>
      <c r="D9" s="166"/>
      <c r="E9" s="166" t="s">
        <v>54</v>
      </c>
      <c r="F9" s="225" t="s">
        <v>53</v>
      </c>
      <c r="G9" s="293" t="s">
        <v>559</v>
      </c>
      <c r="H9" s="328">
        <f t="shared" si="0"/>
        <v>0</v>
      </c>
      <c r="I9" s="170"/>
      <c r="J9" s="168"/>
      <c r="K9" s="168"/>
      <c r="L9" s="168"/>
      <c r="M9" s="168"/>
      <c r="N9" s="167"/>
      <c r="O9" s="168"/>
      <c r="P9" s="168"/>
      <c r="Q9" s="168"/>
      <c r="R9" s="293" t="s">
        <v>560</v>
      </c>
      <c r="S9" s="328">
        <f t="shared" si="1"/>
        <v>0</v>
      </c>
    </row>
    <row r="10" spans="1:21" ht="168" x14ac:dyDescent="0.2">
      <c r="A10" s="169" t="s">
        <v>172</v>
      </c>
      <c r="B10" s="166"/>
      <c r="C10" s="166"/>
      <c r="D10" s="166"/>
      <c r="E10" s="166" t="s">
        <v>52</v>
      </c>
      <c r="F10" s="225" t="s">
        <v>51</v>
      </c>
      <c r="G10" s="293" t="s">
        <v>352</v>
      </c>
      <c r="H10" s="328">
        <f>SUM(G10)</f>
        <v>0</v>
      </c>
      <c r="I10" s="170"/>
      <c r="J10" s="168"/>
      <c r="K10" s="168"/>
      <c r="L10" s="168"/>
      <c r="M10" s="168"/>
      <c r="N10" s="167"/>
      <c r="O10" s="168"/>
      <c r="P10" s="168"/>
      <c r="Q10" s="168"/>
      <c r="R10" s="293" t="s">
        <v>353</v>
      </c>
      <c r="S10" s="328">
        <f t="shared" si="1"/>
        <v>0</v>
      </c>
    </row>
    <row r="11" spans="1:21" ht="168" x14ac:dyDescent="0.2">
      <c r="A11" s="169" t="s">
        <v>172</v>
      </c>
      <c r="B11" s="166"/>
      <c r="C11" s="166"/>
      <c r="D11" s="166"/>
      <c r="E11" s="166" t="s">
        <v>50</v>
      </c>
      <c r="F11" s="225" t="s">
        <v>49</v>
      </c>
      <c r="G11" s="293" t="s">
        <v>354</v>
      </c>
      <c r="H11" s="328">
        <f>SUM(G11)</f>
        <v>0</v>
      </c>
      <c r="I11" s="170"/>
      <c r="J11" s="168"/>
      <c r="K11" s="168"/>
      <c r="L11" s="168"/>
      <c r="M11" s="168"/>
      <c r="N11" s="167"/>
      <c r="O11" s="168"/>
      <c r="P11" s="168"/>
      <c r="Q11" s="168"/>
      <c r="R11" s="293" t="s">
        <v>355</v>
      </c>
      <c r="S11" s="328">
        <f t="shared" si="1"/>
        <v>0</v>
      </c>
    </row>
    <row r="12" spans="1:21" ht="196" x14ac:dyDescent="0.2">
      <c r="A12" s="169" t="s">
        <v>172</v>
      </c>
      <c r="B12" s="166"/>
      <c r="C12" s="166"/>
      <c r="D12" s="166"/>
      <c r="E12" s="166" t="s">
        <v>48</v>
      </c>
      <c r="F12" s="225" t="s">
        <v>47</v>
      </c>
      <c r="G12" s="293" t="s">
        <v>356</v>
      </c>
      <c r="H12" s="328">
        <f t="shared" si="0"/>
        <v>0</v>
      </c>
      <c r="I12" s="170"/>
      <c r="J12" s="168"/>
      <c r="K12" s="168"/>
      <c r="L12" s="168"/>
      <c r="M12" s="168"/>
      <c r="N12" s="167"/>
      <c r="O12" s="168"/>
      <c r="P12" s="168"/>
      <c r="Q12" s="168"/>
      <c r="R12" s="293" t="s">
        <v>357</v>
      </c>
      <c r="S12" s="328">
        <f t="shared" si="1"/>
        <v>0</v>
      </c>
    </row>
    <row r="13" spans="1:21" ht="210" x14ac:dyDescent="0.2">
      <c r="A13" s="169" t="s">
        <v>172</v>
      </c>
      <c r="B13" s="166"/>
      <c r="C13" s="166"/>
      <c r="D13" s="166"/>
      <c r="E13" s="166" t="s">
        <v>46</v>
      </c>
      <c r="F13" s="225" t="s">
        <v>45</v>
      </c>
      <c r="G13" s="293" t="s">
        <v>358</v>
      </c>
      <c r="H13" s="328">
        <f t="shared" si="0"/>
        <v>0</v>
      </c>
      <c r="I13" s="293" t="s">
        <v>359</v>
      </c>
      <c r="J13" s="168"/>
      <c r="K13" s="168"/>
      <c r="L13" s="168"/>
      <c r="M13" s="168"/>
      <c r="N13" s="167"/>
      <c r="O13" s="168"/>
      <c r="P13" s="168"/>
      <c r="Q13" s="168"/>
      <c r="R13" s="293" t="s">
        <v>360</v>
      </c>
      <c r="S13" s="328">
        <f t="shared" si="1"/>
        <v>0</v>
      </c>
    </row>
    <row r="14" spans="1:21" ht="409.6" x14ac:dyDescent="0.2">
      <c r="A14" s="169" t="s">
        <v>172</v>
      </c>
      <c r="B14" s="166"/>
      <c r="C14" s="166"/>
      <c r="D14" s="166"/>
      <c r="E14" s="166" t="s">
        <v>44</v>
      </c>
      <c r="F14" s="225" t="s">
        <v>43</v>
      </c>
      <c r="G14" s="293" t="s">
        <v>561</v>
      </c>
      <c r="H14" s="328">
        <f t="shared" si="0"/>
        <v>0</v>
      </c>
      <c r="I14" s="293" t="s">
        <v>562</v>
      </c>
      <c r="J14" s="293" t="s">
        <v>563</v>
      </c>
      <c r="K14" s="293" t="s">
        <v>564</v>
      </c>
      <c r="L14" s="293" t="s">
        <v>565</v>
      </c>
      <c r="M14" s="167"/>
      <c r="N14" s="167"/>
      <c r="O14" s="168"/>
      <c r="P14" s="168"/>
      <c r="Q14" s="168"/>
      <c r="R14" s="293" t="s">
        <v>566</v>
      </c>
      <c r="S14" s="328">
        <f t="shared" si="1"/>
        <v>0</v>
      </c>
    </row>
    <row r="15" spans="1:21" ht="409.6" x14ac:dyDescent="0.2">
      <c r="A15" s="169" t="s">
        <v>172</v>
      </c>
      <c r="B15" s="166"/>
      <c r="C15" s="166"/>
      <c r="D15" s="166"/>
      <c r="E15" s="166" t="s">
        <v>41</v>
      </c>
      <c r="F15" s="225" t="s">
        <v>40</v>
      </c>
      <c r="G15" s="293" t="s">
        <v>567</v>
      </c>
      <c r="H15" s="328">
        <f t="shared" si="0"/>
        <v>0</v>
      </c>
      <c r="I15" s="293" t="s">
        <v>568</v>
      </c>
      <c r="J15" s="293" t="s">
        <v>569</v>
      </c>
      <c r="K15" s="293" t="s">
        <v>570</v>
      </c>
      <c r="L15" s="293" t="s">
        <v>571</v>
      </c>
      <c r="M15" s="167"/>
      <c r="N15" s="167"/>
      <c r="O15" s="168"/>
      <c r="P15" s="168"/>
      <c r="Q15" s="168"/>
      <c r="R15" s="293" t="s">
        <v>572</v>
      </c>
      <c r="S15" s="328">
        <f t="shared" si="1"/>
        <v>0</v>
      </c>
    </row>
    <row r="16" spans="1:21" ht="28" x14ac:dyDescent="0.2">
      <c r="A16" s="169"/>
      <c r="B16" s="333"/>
      <c r="C16" s="333"/>
      <c r="D16" s="333"/>
      <c r="E16" s="333"/>
      <c r="F16" s="326" t="s">
        <v>39</v>
      </c>
      <c r="G16" s="328">
        <f t="shared" ref="G16:S16" si="2">SUM(G5:G15)</f>
        <v>0</v>
      </c>
      <c r="H16" s="328">
        <f t="shared" si="2"/>
        <v>0</v>
      </c>
      <c r="I16" s="328">
        <f t="shared" si="2"/>
        <v>0</v>
      </c>
      <c r="J16" s="328">
        <f t="shared" si="2"/>
        <v>0</v>
      </c>
      <c r="K16" s="328">
        <f t="shared" si="2"/>
        <v>0</v>
      </c>
      <c r="L16" s="328">
        <f t="shared" si="2"/>
        <v>0</v>
      </c>
      <c r="M16" s="328">
        <f t="shared" si="2"/>
        <v>0</v>
      </c>
      <c r="N16" s="328">
        <f t="shared" si="2"/>
        <v>0</v>
      </c>
      <c r="O16" s="328">
        <f>SUM(O6:O15)</f>
        <v>0</v>
      </c>
      <c r="P16" s="328">
        <f>SUM(P6:P15)</f>
        <v>0</v>
      </c>
      <c r="Q16" s="328">
        <f t="shared" si="2"/>
        <v>0</v>
      </c>
      <c r="R16" s="328">
        <f>SUM(R5:R15)</f>
        <v>0</v>
      </c>
      <c r="S16" s="328">
        <f t="shared" si="2"/>
        <v>0</v>
      </c>
    </row>
    <row r="17" spans="1:21" x14ac:dyDescent="0.2">
      <c r="A17" s="187"/>
      <c r="B17" s="187"/>
      <c r="C17" s="187"/>
      <c r="D17" s="187"/>
      <c r="E17" s="187"/>
      <c r="F17" s="226"/>
      <c r="G17" s="187"/>
      <c r="H17" s="187"/>
      <c r="I17" s="187"/>
      <c r="J17" s="187"/>
      <c r="K17" s="187"/>
      <c r="L17" s="187"/>
      <c r="M17" s="187"/>
      <c r="N17" s="187"/>
      <c r="O17" s="187"/>
      <c r="P17" s="187"/>
      <c r="Q17" s="187"/>
      <c r="R17" s="187"/>
      <c r="S17" s="188"/>
    </row>
    <row r="18" spans="1:21" x14ac:dyDescent="0.2">
      <c r="A18" s="187"/>
      <c r="B18" s="187"/>
      <c r="C18" s="187"/>
      <c r="D18" s="187"/>
      <c r="E18" s="187"/>
      <c r="F18" s="226"/>
      <c r="G18" s="187"/>
      <c r="H18" s="187"/>
      <c r="I18" s="187"/>
      <c r="J18" s="187"/>
      <c r="K18" s="187"/>
      <c r="L18" s="187"/>
      <c r="M18" s="187"/>
      <c r="N18" s="187"/>
      <c r="O18" s="187"/>
      <c r="P18" s="187"/>
      <c r="Q18" s="187"/>
      <c r="R18" s="187"/>
      <c r="S18" s="189"/>
      <c r="T18" s="187"/>
      <c r="U18" s="187"/>
    </row>
    <row r="19" spans="1:21" ht="345" x14ac:dyDescent="0.2">
      <c r="A19" s="190"/>
      <c r="B19" s="190"/>
      <c r="C19" s="190"/>
      <c r="D19" s="191"/>
      <c r="E19" s="190"/>
      <c r="F19" s="182" t="s">
        <v>250</v>
      </c>
      <c r="G19" s="293" t="s">
        <v>573</v>
      </c>
      <c r="H19" s="190"/>
      <c r="I19" s="190"/>
      <c r="J19" s="190"/>
      <c r="K19" s="190"/>
      <c r="L19" s="190"/>
      <c r="M19" s="190"/>
      <c r="N19" s="190"/>
      <c r="O19" s="190"/>
      <c r="P19" s="190"/>
      <c r="Q19" s="182" t="s">
        <v>251</v>
      </c>
      <c r="R19" s="293" t="s">
        <v>574</v>
      </c>
      <c r="S19" s="190"/>
      <c r="T19" s="190"/>
      <c r="U19" s="190"/>
    </row>
  </sheetData>
  <mergeCells count="3">
    <mergeCell ref="H2:H4"/>
    <mergeCell ref="A1:H1"/>
    <mergeCell ref="S2:S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B0A6-0C7B-B24C-996E-E43BA15C7B84}">
  <dimension ref="A1:N17"/>
  <sheetViews>
    <sheetView topLeftCell="E1" workbookViewId="0">
      <selection activeCell="M15" sqref="M15"/>
    </sheetView>
  </sheetViews>
  <sheetFormatPr baseColWidth="10" defaultColWidth="11" defaultRowHeight="37" customHeight="1" x14ac:dyDescent="0.2"/>
  <cols>
    <col min="1" max="3" width="0" style="146" hidden="1" customWidth="1"/>
    <col min="4" max="4" width="15.1640625" style="146" hidden="1" customWidth="1"/>
    <col min="5" max="5" width="11" style="146"/>
    <col min="6" max="6" width="53.33203125" style="146" hidden="1" customWidth="1"/>
    <col min="7" max="7" width="13.5" style="146" customWidth="1"/>
    <col min="8" max="8" width="11" style="146"/>
    <col min="9" max="9" width="13.5" style="146" customWidth="1"/>
    <col min="10" max="10" width="50.5" style="146" customWidth="1"/>
    <col min="11" max="11" width="15.1640625" style="146" bestFit="1" customWidth="1"/>
    <col min="12" max="12" width="11" style="146"/>
    <col min="13" max="13" width="15.1640625" style="146" bestFit="1" customWidth="1"/>
    <col min="14" max="16384" width="11" style="146"/>
  </cols>
  <sheetData>
    <row r="1" spans="1:14" ht="37" customHeight="1" x14ac:dyDescent="0.2">
      <c r="A1" s="145"/>
      <c r="C1" s="147"/>
      <c r="E1" s="342"/>
      <c r="F1" s="343"/>
      <c r="G1" s="344"/>
      <c r="H1" s="343"/>
      <c r="I1" s="344" t="s">
        <v>216</v>
      </c>
      <c r="J1" s="345"/>
      <c r="K1" s="342"/>
      <c r="L1" s="342"/>
      <c r="M1" s="145"/>
      <c r="N1" s="145"/>
    </row>
    <row r="2" spans="1:14" ht="37" customHeight="1" x14ac:dyDescent="0.2">
      <c r="A2" s="148"/>
      <c r="B2" s="149"/>
      <c r="C2" s="149"/>
      <c r="D2" s="149"/>
      <c r="E2" s="346"/>
      <c r="F2" s="347"/>
      <c r="G2" s="347"/>
      <c r="H2" s="347"/>
      <c r="I2" s="347"/>
      <c r="J2" s="347"/>
      <c r="K2" s="141" t="s">
        <v>167</v>
      </c>
      <c r="L2" s="442" t="s">
        <v>166</v>
      </c>
      <c r="M2" s="140" t="s">
        <v>38</v>
      </c>
      <c r="N2" s="443" t="s">
        <v>165</v>
      </c>
    </row>
    <row r="3" spans="1:14" ht="37" customHeight="1" x14ac:dyDescent="0.2">
      <c r="A3" s="148"/>
      <c r="B3" s="149"/>
      <c r="C3" s="149"/>
      <c r="D3" s="149"/>
      <c r="E3" s="346"/>
      <c r="F3" s="347"/>
      <c r="G3" s="347"/>
      <c r="H3" s="347"/>
      <c r="I3" s="347"/>
      <c r="J3" s="347"/>
      <c r="K3" s="141" t="s">
        <v>145</v>
      </c>
      <c r="L3" s="442"/>
      <c r="M3" s="140" t="s">
        <v>142</v>
      </c>
      <c r="N3" s="443"/>
    </row>
    <row r="4" spans="1:14" ht="37" customHeight="1" x14ac:dyDescent="0.2">
      <c r="A4" s="150"/>
      <c r="B4" s="151"/>
      <c r="C4" s="151"/>
      <c r="D4" s="151"/>
      <c r="E4" s="348"/>
      <c r="F4" s="349" t="s">
        <v>112</v>
      </c>
      <c r="G4" s="349" t="s">
        <v>111</v>
      </c>
      <c r="H4" s="349" t="s">
        <v>32</v>
      </c>
      <c r="I4" s="349" t="s">
        <v>110</v>
      </c>
      <c r="J4" s="349" t="s">
        <v>109</v>
      </c>
      <c r="K4" s="141" t="s">
        <v>94</v>
      </c>
      <c r="L4" s="442"/>
      <c r="M4" s="140" t="s">
        <v>93</v>
      </c>
      <c r="N4" s="443"/>
    </row>
    <row r="5" spans="1:14" ht="37" customHeight="1" x14ac:dyDescent="0.2">
      <c r="A5" s="152"/>
      <c r="B5" s="153"/>
      <c r="C5" s="153"/>
      <c r="D5" s="154"/>
      <c r="E5" s="350" t="s">
        <v>215</v>
      </c>
      <c r="F5" s="154"/>
      <c r="G5" s="154"/>
      <c r="H5" s="154"/>
      <c r="I5" s="154" t="s">
        <v>62</v>
      </c>
      <c r="J5" s="351" t="s">
        <v>61</v>
      </c>
      <c r="K5" s="352" t="s">
        <v>343</v>
      </c>
      <c r="L5" s="353">
        <f t="shared" ref="L5:L13" si="0">SUM(K5)</f>
        <v>0</v>
      </c>
      <c r="M5" s="157"/>
      <c r="N5" s="155">
        <f t="shared" ref="N5:N13" si="1">SUM(M5)</f>
        <v>0</v>
      </c>
    </row>
    <row r="6" spans="1:14" ht="37" customHeight="1" x14ac:dyDescent="0.2">
      <c r="A6" s="152"/>
      <c r="B6" s="153"/>
      <c r="C6" s="153"/>
      <c r="D6" s="142"/>
      <c r="E6" s="350" t="s">
        <v>215</v>
      </c>
      <c r="F6" s="154"/>
      <c r="G6" s="154"/>
      <c r="H6" s="142"/>
      <c r="I6" s="154" t="s">
        <v>56</v>
      </c>
      <c r="J6" s="351" t="s">
        <v>55</v>
      </c>
      <c r="K6" s="156"/>
      <c r="L6" s="353">
        <f t="shared" si="0"/>
        <v>0</v>
      </c>
      <c r="M6" s="157"/>
      <c r="N6" s="155">
        <f t="shared" si="1"/>
        <v>0</v>
      </c>
    </row>
    <row r="7" spans="1:14" ht="37" customHeight="1" x14ac:dyDescent="0.2">
      <c r="A7" s="152"/>
      <c r="B7" s="153"/>
      <c r="C7" s="153"/>
      <c r="D7" s="142"/>
      <c r="E7" s="350" t="s">
        <v>215</v>
      </c>
      <c r="F7" s="154"/>
      <c r="G7" s="154"/>
      <c r="H7" s="142"/>
      <c r="I7" s="154" t="s">
        <v>54</v>
      </c>
      <c r="J7" s="351" t="s">
        <v>53</v>
      </c>
      <c r="K7" s="156"/>
      <c r="L7" s="353">
        <f t="shared" si="0"/>
        <v>0</v>
      </c>
      <c r="M7" s="158"/>
      <c r="N7" s="155">
        <f t="shared" si="1"/>
        <v>0</v>
      </c>
    </row>
    <row r="8" spans="1:14" ht="37" customHeight="1" x14ac:dyDescent="0.2">
      <c r="A8" s="152"/>
      <c r="B8" s="153"/>
      <c r="C8" s="153"/>
      <c r="D8" s="142"/>
      <c r="E8" s="350" t="s">
        <v>215</v>
      </c>
      <c r="F8" s="154"/>
      <c r="G8" s="154"/>
      <c r="H8" s="142"/>
      <c r="I8" s="154" t="s">
        <v>52</v>
      </c>
      <c r="J8" s="351" t="s">
        <v>51</v>
      </c>
      <c r="K8" s="156"/>
      <c r="L8" s="353">
        <f t="shared" si="0"/>
        <v>0</v>
      </c>
      <c r="M8" s="157"/>
      <c r="N8" s="155">
        <f t="shared" si="1"/>
        <v>0</v>
      </c>
    </row>
    <row r="9" spans="1:14" ht="37" customHeight="1" x14ac:dyDescent="0.2">
      <c r="A9" s="152"/>
      <c r="B9" s="153"/>
      <c r="C9" s="153"/>
      <c r="D9" s="142"/>
      <c r="E9" s="350" t="s">
        <v>215</v>
      </c>
      <c r="F9" s="154"/>
      <c r="G9" s="154"/>
      <c r="H9" s="142"/>
      <c r="I9" s="154" t="s">
        <v>50</v>
      </c>
      <c r="J9" s="351" t="s">
        <v>49</v>
      </c>
      <c r="K9" s="156"/>
      <c r="L9" s="353">
        <f t="shared" si="0"/>
        <v>0</v>
      </c>
      <c r="M9" s="158"/>
      <c r="N9" s="155">
        <f t="shared" si="1"/>
        <v>0</v>
      </c>
    </row>
    <row r="10" spans="1:14" ht="37" customHeight="1" x14ac:dyDescent="0.2">
      <c r="A10" s="152"/>
      <c r="B10" s="153"/>
      <c r="C10" s="153"/>
      <c r="D10" s="142"/>
      <c r="E10" s="350" t="s">
        <v>215</v>
      </c>
      <c r="F10" s="154"/>
      <c r="G10" s="154"/>
      <c r="H10" s="142"/>
      <c r="I10" s="154" t="s">
        <v>48</v>
      </c>
      <c r="J10" s="351" t="s">
        <v>47</v>
      </c>
      <c r="K10" s="156"/>
      <c r="L10" s="353">
        <f t="shared" si="0"/>
        <v>0</v>
      </c>
      <c r="M10" s="157"/>
      <c r="N10" s="155">
        <f t="shared" si="1"/>
        <v>0</v>
      </c>
    </row>
    <row r="11" spans="1:14" ht="37" customHeight="1" x14ac:dyDescent="0.2">
      <c r="A11" s="152"/>
      <c r="B11" s="153"/>
      <c r="C11" s="153"/>
      <c r="D11" s="142"/>
      <c r="E11" s="350" t="s">
        <v>215</v>
      </c>
      <c r="F11" s="154"/>
      <c r="G11" s="154"/>
      <c r="H11" s="142"/>
      <c r="I11" s="154" t="s">
        <v>46</v>
      </c>
      <c r="J11" s="351" t="s">
        <v>45</v>
      </c>
      <c r="K11" s="156"/>
      <c r="L11" s="353">
        <f t="shared" si="0"/>
        <v>0</v>
      </c>
      <c r="M11" s="158"/>
      <c r="N11" s="155">
        <f t="shared" si="1"/>
        <v>0</v>
      </c>
    </row>
    <row r="12" spans="1:14" ht="179" customHeight="1" x14ac:dyDescent="0.2">
      <c r="A12" s="152"/>
      <c r="B12" s="153"/>
      <c r="C12" s="153"/>
      <c r="D12" s="142"/>
      <c r="E12" s="350" t="s">
        <v>215</v>
      </c>
      <c r="F12" s="154"/>
      <c r="G12" s="154"/>
      <c r="H12" s="142"/>
      <c r="I12" s="154" t="s">
        <v>44</v>
      </c>
      <c r="J12" s="351" t="s">
        <v>43</v>
      </c>
      <c r="K12" s="352" t="s">
        <v>588</v>
      </c>
      <c r="L12" s="353">
        <f t="shared" si="0"/>
        <v>0</v>
      </c>
      <c r="M12" s="159"/>
      <c r="N12" s="155">
        <f t="shared" si="1"/>
        <v>0</v>
      </c>
    </row>
    <row r="13" spans="1:14" ht="167" customHeight="1" x14ac:dyDescent="0.2">
      <c r="A13" s="152"/>
      <c r="B13" s="153"/>
      <c r="C13" s="153"/>
      <c r="D13" s="142"/>
      <c r="E13" s="350" t="s">
        <v>215</v>
      </c>
      <c r="F13" s="154"/>
      <c r="G13" s="154"/>
      <c r="H13" s="142"/>
      <c r="I13" s="154" t="s">
        <v>41</v>
      </c>
      <c r="J13" s="351" t="s">
        <v>40</v>
      </c>
      <c r="K13" s="352" t="s">
        <v>589</v>
      </c>
      <c r="L13" s="353">
        <f t="shared" si="0"/>
        <v>0</v>
      </c>
      <c r="M13" s="159"/>
      <c r="N13" s="155">
        <f t="shared" si="1"/>
        <v>0</v>
      </c>
    </row>
    <row r="14" spans="1:14" ht="37" customHeight="1" x14ac:dyDescent="0.2">
      <c r="A14" s="160"/>
      <c r="B14" s="161"/>
      <c r="C14" s="161"/>
      <c r="D14" s="161"/>
      <c r="E14" s="354"/>
      <c r="F14" s="355"/>
      <c r="G14" s="355"/>
      <c r="H14" s="355"/>
      <c r="I14" s="356"/>
      <c r="J14" s="357" t="s">
        <v>39</v>
      </c>
      <c r="K14" s="353">
        <f>SUM(K5:K13)</f>
        <v>0</v>
      </c>
      <c r="L14" s="353">
        <f>SUM(L5:L13)</f>
        <v>0</v>
      </c>
      <c r="M14" s="155">
        <f>SUM(M5:M13)</f>
        <v>0</v>
      </c>
      <c r="N14" s="155">
        <f>SUM(N5:N13)</f>
        <v>0</v>
      </c>
    </row>
    <row r="15" spans="1:14" ht="37" customHeight="1" x14ac:dyDescent="0.2">
      <c r="E15" s="192"/>
      <c r="F15" s="192"/>
      <c r="G15" s="192"/>
      <c r="H15" s="192"/>
      <c r="I15" s="192"/>
      <c r="J15" s="192"/>
      <c r="K15" s="192"/>
      <c r="L15" s="192"/>
      <c r="M15" s="192"/>
      <c r="N15" s="192"/>
    </row>
    <row r="16" spans="1:14" ht="37" customHeight="1" x14ac:dyDescent="0.2">
      <c r="E16" s="192"/>
      <c r="F16" s="192"/>
      <c r="G16" s="192"/>
      <c r="H16" s="192"/>
      <c r="I16" s="192"/>
      <c r="J16" s="192"/>
      <c r="K16" s="192"/>
      <c r="L16" s="192"/>
      <c r="M16" s="192"/>
      <c r="N16" s="192"/>
    </row>
    <row r="17" spans="4:4" ht="37" customHeight="1" x14ac:dyDescent="0.2">
      <c r="D17" s="162"/>
    </row>
  </sheetData>
  <mergeCells count="2">
    <mergeCell ref="L2:L4"/>
    <mergeCell ref="N2:N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E93B-8E70-B54E-BC52-A477EEC4677F}">
  <dimension ref="A1:S13"/>
  <sheetViews>
    <sheetView topLeftCell="J11" workbookViewId="0">
      <selection activeCell="I6" sqref="I6"/>
    </sheetView>
  </sheetViews>
  <sheetFormatPr baseColWidth="10" defaultRowHeight="15" x14ac:dyDescent="0.2"/>
  <cols>
    <col min="6" max="6" width="82.83203125" customWidth="1"/>
    <col min="7" max="7" width="20.1640625" customWidth="1"/>
    <col min="8" max="10" width="20.83203125" customWidth="1"/>
    <col min="11" max="13" width="25.6640625" customWidth="1"/>
    <col min="14" max="14" width="19.33203125" customWidth="1"/>
    <col min="15" max="15" width="25" customWidth="1"/>
    <col min="16" max="16" width="17.5" customWidth="1"/>
    <col min="17" max="17" width="19" customWidth="1"/>
    <col min="18" max="18" width="28.6640625" customWidth="1"/>
  </cols>
  <sheetData>
    <row r="1" spans="1:19" x14ac:dyDescent="0.2">
      <c r="A1" s="358"/>
      <c r="B1" s="444" t="s">
        <v>285</v>
      </c>
      <c r="C1" s="444"/>
      <c r="D1" s="444"/>
      <c r="E1" s="444"/>
      <c r="F1" s="359"/>
      <c r="G1" s="358"/>
      <c r="H1" s="358"/>
      <c r="I1" s="358"/>
      <c r="J1" s="358"/>
      <c r="K1" s="358"/>
      <c r="L1" s="358"/>
      <c r="M1" s="358"/>
      <c r="N1" s="358"/>
      <c r="O1" s="358"/>
      <c r="P1" s="358"/>
      <c r="Q1" s="358"/>
      <c r="R1" s="358"/>
      <c r="S1" s="358"/>
    </row>
    <row r="2" spans="1:19" x14ac:dyDescent="0.2">
      <c r="A2" s="360"/>
      <c r="B2" s="361"/>
      <c r="C2" s="361"/>
      <c r="D2" s="361"/>
      <c r="E2" s="361"/>
      <c r="F2" s="362"/>
      <c r="G2" s="363" t="s">
        <v>661</v>
      </c>
      <c r="H2" s="363" t="s">
        <v>661</v>
      </c>
      <c r="I2" s="363" t="s">
        <v>661</v>
      </c>
      <c r="J2" s="363" t="s">
        <v>661</v>
      </c>
      <c r="K2" s="363" t="s">
        <v>661</v>
      </c>
      <c r="L2" s="363" t="s">
        <v>661</v>
      </c>
      <c r="M2" s="363" t="s">
        <v>661</v>
      </c>
      <c r="N2" s="363" t="s">
        <v>661</v>
      </c>
      <c r="O2" s="363" t="s">
        <v>661</v>
      </c>
      <c r="P2" s="363" t="s">
        <v>661</v>
      </c>
      <c r="Q2" s="363" t="s">
        <v>661</v>
      </c>
      <c r="R2" s="363" t="s">
        <v>661</v>
      </c>
      <c r="S2" s="445" t="s">
        <v>271</v>
      </c>
    </row>
    <row r="3" spans="1:19" s="395" customFormat="1" x14ac:dyDescent="0.2">
      <c r="A3" s="391"/>
      <c r="B3" s="392"/>
      <c r="C3" s="392"/>
      <c r="D3" s="392"/>
      <c r="E3" s="392"/>
      <c r="F3" s="393"/>
      <c r="G3" s="394" t="s">
        <v>273</v>
      </c>
      <c r="H3" s="394" t="s">
        <v>662</v>
      </c>
      <c r="I3" s="394"/>
      <c r="J3" s="394"/>
      <c r="K3" s="394" t="s">
        <v>144</v>
      </c>
      <c r="L3" s="394"/>
      <c r="M3" s="394"/>
      <c r="N3" s="394" t="s">
        <v>274</v>
      </c>
      <c r="O3" s="394" t="s">
        <v>275</v>
      </c>
      <c r="P3" s="394" t="s">
        <v>276</v>
      </c>
      <c r="Q3" s="394" t="s">
        <v>277</v>
      </c>
      <c r="R3" s="394" t="s">
        <v>278</v>
      </c>
      <c r="S3" s="445"/>
    </row>
    <row r="4" spans="1:19" ht="42" x14ac:dyDescent="0.2">
      <c r="A4" s="364"/>
      <c r="B4" s="365" t="s">
        <v>112</v>
      </c>
      <c r="C4" s="365" t="s">
        <v>111</v>
      </c>
      <c r="D4" s="365" t="s">
        <v>32</v>
      </c>
      <c r="E4" s="365" t="s">
        <v>279</v>
      </c>
      <c r="F4" s="365" t="s">
        <v>109</v>
      </c>
      <c r="G4" s="366" t="s">
        <v>280</v>
      </c>
      <c r="H4" s="366" t="s">
        <v>281</v>
      </c>
      <c r="I4" s="366" t="s">
        <v>649</v>
      </c>
      <c r="J4" s="366" t="s">
        <v>672</v>
      </c>
      <c r="K4" s="366" t="s">
        <v>671</v>
      </c>
      <c r="L4" s="366" t="s">
        <v>659</v>
      </c>
      <c r="M4" s="366" t="s">
        <v>686</v>
      </c>
      <c r="N4" s="366" t="s">
        <v>282</v>
      </c>
      <c r="O4" s="366" t="s">
        <v>687</v>
      </c>
      <c r="P4" s="366" t="s">
        <v>688</v>
      </c>
      <c r="Q4" s="366" t="s">
        <v>689</v>
      </c>
      <c r="R4" s="366" t="s">
        <v>690</v>
      </c>
      <c r="S4" s="445"/>
    </row>
    <row r="5" spans="1:19" ht="332" x14ac:dyDescent="0.2">
      <c r="A5" s="367" t="s">
        <v>283</v>
      </c>
      <c r="B5" s="368"/>
      <c r="C5" s="368"/>
      <c r="D5" s="368"/>
      <c r="E5" s="368" t="s">
        <v>62</v>
      </c>
      <c r="F5" s="369" t="s">
        <v>61</v>
      </c>
      <c r="G5" s="370" t="s">
        <v>286</v>
      </c>
      <c r="H5" s="389" t="s">
        <v>663</v>
      </c>
      <c r="I5" s="390"/>
      <c r="J5" s="390"/>
      <c r="K5" s="370" t="s">
        <v>287</v>
      </c>
      <c r="L5" s="370"/>
      <c r="M5" s="370"/>
      <c r="N5" s="370" t="s">
        <v>288</v>
      </c>
      <c r="O5" s="370"/>
      <c r="P5" s="370" t="s">
        <v>289</v>
      </c>
      <c r="Q5" s="370"/>
      <c r="R5" s="370"/>
      <c r="S5" s="371">
        <f>SUMIF($G$2:R$2,R$2,$G5:R5)</f>
        <v>0</v>
      </c>
    </row>
    <row r="6" spans="1:19" ht="266" x14ac:dyDescent="0.2">
      <c r="A6" s="367" t="s">
        <v>283</v>
      </c>
      <c r="B6" s="368"/>
      <c r="C6" s="368"/>
      <c r="D6" s="368"/>
      <c r="E6" s="368" t="s">
        <v>60</v>
      </c>
      <c r="F6" s="369" t="s">
        <v>59</v>
      </c>
      <c r="G6" s="370" t="s">
        <v>290</v>
      </c>
      <c r="H6" s="389" t="s">
        <v>664</v>
      </c>
      <c r="I6" s="389" t="s">
        <v>691</v>
      </c>
      <c r="J6" s="389" t="s">
        <v>673</v>
      </c>
      <c r="K6" s="370" t="s">
        <v>291</v>
      </c>
      <c r="L6" s="370"/>
      <c r="M6" s="370"/>
      <c r="N6" s="370" t="s">
        <v>292</v>
      </c>
      <c r="O6" s="370" t="s">
        <v>293</v>
      </c>
      <c r="P6" s="370" t="s">
        <v>294</v>
      </c>
      <c r="Q6" s="370" t="s">
        <v>295</v>
      </c>
      <c r="R6" s="370" t="s">
        <v>296</v>
      </c>
      <c r="S6" s="371">
        <f>SUMIF($G$2:R$2,R$2,$G6:R6)</f>
        <v>0</v>
      </c>
    </row>
    <row r="7" spans="1:19" ht="154" x14ac:dyDescent="0.2">
      <c r="A7" s="367" t="s">
        <v>283</v>
      </c>
      <c r="B7" s="368"/>
      <c r="C7" s="368"/>
      <c r="D7" s="368"/>
      <c r="E7" s="368" t="s">
        <v>56</v>
      </c>
      <c r="F7" s="369" t="s">
        <v>55</v>
      </c>
      <c r="G7" s="370" t="s">
        <v>297</v>
      </c>
      <c r="H7" s="389" t="s">
        <v>665</v>
      </c>
      <c r="I7" s="389" t="s">
        <v>674</v>
      </c>
      <c r="J7" s="389" t="s">
        <v>675</v>
      </c>
      <c r="K7" s="370" t="s">
        <v>298</v>
      </c>
      <c r="L7" s="370"/>
      <c r="M7" s="370"/>
      <c r="N7" s="370" t="s">
        <v>299</v>
      </c>
      <c r="O7" s="370" t="s">
        <v>300</v>
      </c>
      <c r="P7" s="370" t="s">
        <v>301</v>
      </c>
      <c r="Q7" s="370" t="s">
        <v>302</v>
      </c>
      <c r="R7" s="370" t="s">
        <v>303</v>
      </c>
      <c r="S7" s="371">
        <f>SUMIF($G$2:R$2,R$2,$G7:R7)</f>
        <v>0</v>
      </c>
    </row>
    <row r="8" spans="1:19" ht="238" x14ac:dyDescent="0.2">
      <c r="A8" s="367" t="s">
        <v>283</v>
      </c>
      <c r="B8" s="368"/>
      <c r="C8" s="368"/>
      <c r="D8" s="368"/>
      <c r="E8" s="368" t="s">
        <v>54</v>
      </c>
      <c r="F8" s="369" t="s">
        <v>53</v>
      </c>
      <c r="G8" s="370" t="s">
        <v>304</v>
      </c>
      <c r="H8" s="389" t="s">
        <v>666</v>
      </c>
      <c r="I8" s="389" t="s">
        <v>676</v>
      </c>
      <c r="J8" s="389" t="s">
        <v>677</v>
      </c>
      <c r="K8" s="370" t="s">
        <v>305</v>
      </c>
      <c r="L8" s="370"/>
      <c r="M8" s="370"/>
      <c r="N8" s="370" t="s">
        <v>306</v>
      </c>
      <c r="O8" s="370" t="s">
        <v>307</v>
      </c>
      <c r="P8" s="370" t="s">
        <v>308</v>
      </c>
      <c r="Q8" s="370" t="s">
        <v>309</v>
      </c>
      <c r="R8" s="370" t="s">
        <v>310</v>
      </c>
      <c r="S8" s="371">
        <f>SUMIF($G$2:R$2,R$2,$G8:R8)</f>
        <v>0</v>
      </c>
    </row>
    <row r="9" spans="1:19" ht="140" x14ac:dyDescent="0.2">
      <c r="A9" s="367" t="s">
        <v>283</v>
      </c>
      <c r="B9" s="368"/>
      <c r="C9" s="368"/>
      <c r="D9" s="368"/>
      <c r="E9" s="368" t="s">
        <v>52</v>
      </c>
      <c r="F9" s="369" t="s">
        <v>51</v>
      </c>
      <c r="G9" s="370" t="s">
        <v>311</v>
      </c>
      <c r="H9" s="389" t="s">
        <v>667</v>
      </c>
      <c r="I9" s="389" t="s">
        <v>678</v>
      </c>
      <c r="J9" s="389" t="s">
        <v>679</v>
      </c>
      <c r="K9" s="370" t="s">
        <v>312</v>
      </c>
      <c r="L9" s="370"/>
      <c r="M9" s="370"/>
      <c r="N9" s="370" t="s">
        <v>313</v>
      </c>
      <c r="O9" s="370" t="s">
        <v>314</v>
      </c>
      <c r="P9" s="370" t="s">
        <v>315</v>
      </c>
      <c r="Q9" s="370" t="s">
        <v>316</v>
      </c>
      <c r="R9" s="370" t="s">
        <v>317</v>
      </c>
      <c r="S9" s="371">
        <f>SUMIF($G$2:R$2,R$2,$G9:R9)</f>
        <v>0</v>
      </c>
    </row>
    <row r="10" spans="1:19" ht="154" x14ac:dyDescent="0.2">
      <c r="A10" s="367" t="s">
        <v>283</v>
      </c>
      <c r="B10" s="368"/>
      <c r="C10" s="368"/>
      <c r="D10" s="368"/>
      <c r="E10" s="368" t="s">
        <v>50</v>
      </c>
      <c r="F10" s="369" t="s">
        <v>49</v>
      </c>
      <c r="G10" s="370" t="s">
        <v>318</v>
      </c>
      <c r="H10" s="389" t="s">
        <v>668</v>
      </c>
      <c r="I10" s="389" t="s">
        <v>680</v>
      </c>
      <c r="J10" s="389" t="s">
        <v>681</v>
      </c>
      <c r="K10" s="370" t="s">
        <v>319</v>
      </c>
      <c r="L10" s="370"/>
      <c r="M10" s="370"/>
      <c r="N10" s="370" t="s">
        <v>320</v>
      </c>
      <c r="O10" s="370" t="s">
        <v>321</v>
      </c>
      <c r="P10" s="370" t="s">
        <v>322</v>
      </c>
      <c r="Q10" s="370" t="s">
        <v>323</v>
      </c>
      <c r="R10" s="370" t="s">
        <v>324</v>
      </c>
      <c r="S10" s="371">
        <f>SUMIF($G$2:R$2,R$2,$G10:R10)</f>
        <v>0</v>
      </c>
    </row>
    <row r="11" spans="1:19" ht="182" x14ac:dyDescent="0.2">
      <c r="A11" s="367" t="s">
        <v>283</v>
      </c>
      <c r="B11" s="368"/>
      <c r="C11" s="368"/>
      <c r="D11" s="368"/>
      <c r="E11" s="368" t="s">
        <v>48</v>
      </c>
      <c r="F11" s="369" t="s">
        <v>47</v>
      </c>
      <c r="G11" s="370" t="s">
        <v>325</v>
      </c>
      <c r="H11" s="389" t="s">
        <v>669</v>
      </c>
      <c r="I11" s="389" t="s">
        <v>682</v>
      </c>
      <c r="J11" s="389" t="s">
        <v>683</v>
      </c>
      <c r="K11" s="370" t="s">
        <v>326</v>
      </c>
      <c r="L11" s="370"/>
      <c r="M11" s="370"/>
      <c r="N11" s="370" t="s">
        <v>327</v>
      </c>
      <c r="O11" s="370" t="s">
        <v>328</v>
      </c>
      <c r="P11" s="370" t="s">
        <v>329</v>
      </c>
      <c r="Q11" s="370" t="s">
        <v>330</v>
      </c>
      <c r="R11" s="370" t="s">
        <v>331</v>
      </c>
      <c r="S11" s="371">
        <f>SUMIF($G$2:R$2,R$2,$G11:R11)</f>
        <v>0</v>
      </c>
    </row>
    <row r="12" spans="1:19" ht="182" x14ac:dyDescent="0.2">
      <c r="A12" s="367" t="s">
        <v>283</v>
      </c>
      <c r="B12" s="368"/>
      <c r="C12" s="368"/>
      <c r="D12" s="368"/>
      <c r="E12" s="368" t="s">
        <v>46</v>
      </c>
      <c r="F12" s="369" t="s">
        <v>45</v>
      </c>
      <c r="G12" s="370" t="s">
        <v>332</v>
      </c>
      <c r="H12" s="389" t="s">
        <v>670</v>
      </c>
      <c r="I12" s="389" t="s">
        <v>684</v>
      </c>
      <c r="J12" s="389" t="s">
        <v>685</v>
      </c>
      <c r="K12" s="370" t="s">
        <v>333</v>
      </c>
      <c r="L12" s="370"/>
      <c r="M12" s="370"/>
      <c r="N12" s="370" t="s">
        <v>334</v>
      </c>
      <c r="O12" s="370" t="s">
        <v>335</v>
      </c>
      <c r="P12" s="370" t="s">
        <v>336</v>
      </c>
      <c r="Q12" s="370" t="s">
        <v>337</v>
      </c>
      <c r="R12" s="370" t="s">
        <v>338</v>
      </c>
      <c r="S12" s="371">
        <f>SUMIF($G$2:R$2,R$2,$G12:R12)</f>
        <v>0</v>
      </c>
    </row>
    <row r="13" spans="1:19" x14ac:dyDescent="0.2">
      <c r="A13" s="372"/>
      <c r="B13" s="373"/>
      <c r="C13" s="373"/>
      <c r="D13" s="374"/>
      <c r="E13" s="373"/>
      <c r="F13" s="375" t="s">
        <v>39</v>
      </c>
      <c r="G13" s="371">
        <f>SUMIF($C$5:$C12,$C12,G$5:G12)</f>
        <v>0</v>
      </c>
      <c r="H13" s="371">
        <f>SUMIF($C$5:$C12,$C12,H$5:H12)</f>
        <v>0</v>
      </c>
      <c r="I13" s="371"/>
      <c r="J13" s="371"/>
      <c r="K13" s="371">
        <f>SUMIF($C$5:$C12,$C12,K$5:K12)</f>
        <v>0</v>
      </c>
      <c r="L13" s="371"/>
      <c r="M13" s="371"/>
      <c r="N13" s="371">
        <f>SUMIF($C$5:$C12,$C12,N$5:N12)</f>
        <v>0</v>
      </c>
      <c r="O13" s="371">
        <f>SUMIF($C$5:$C12,$C12,O$5:O12)</f>
        <v>0</v>
      </c>
      <c r="P13" s="371">
        <f>SUMIF($C$5:$C12,$C12,P$5:P12)</f>
        <v>0</v>
      </c>
      <c r="Q13" s="371">
        <f>SUMIF($C$5:$C12,$C12,Q$5:Q12)</f>
        <v>0</v>
      </c>
      <c r="R13" s="371">
        <f>SUMIF($C$5:$C12,$C12,R$5:R12)</f>
        <v>0</v>
      </c>
      <c r="S13" s="371">
        <f>SUMIF($C$5:$C12,$C12,S$5:S12)</f>
        <v>0</v>
      </c>
    </row>
  </sheetData>
  <mergeCells count="2">
    <mergeCell ref="B1:E1"/>
    <mergeCell ref="S2:S4"/>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21</vt:i4>
      </vt:variant>
      <vt:variant>
        <vt:lpstr>Plages nommées</vt:lpstr>
      </vt:variant>
      <vt:variant>
        <vt:i4>1</vt:i4>
      </vt:variant>
    </vt:vector>
  </HeadingPairs>
  <TitlesOfParts>
    <vt:vector size="22" baseType="lpstr">
      <vt:lpstr>ACCUEIL</vt:lpstr>
      <vt:lpstr>ETPT A-JUST</vt:lpstr>
      <vt:lpstr>ETPT Format DDG</vt:lpstr>
      <vt:lpstr>Synthèse ETPT</vt:lpstr>
      <vt:lpstr>Table_Fonctions</vt:lpstr>
      <vt:lpstr>ETPT Format DDG DETAIL</vt:lpstr>
      <vt:lpstr>ETPT_TJ</vt:lpstr>
      <vt:lpstr>ETPT_TPRX</vt:lpstr>
      <vt:lpstr>ETPT_CPH</vt:lpstr>
      <vt:lpstr>ETPT_ATTJ</vt:lpstr>
      <vt:lpstr>ETPT_TJ_DDG</vt:lpstr>
      <vt:lpstr>ETPT_TPRX_DDG</vt:lpstr>
      <vt:lpstr>ETPT_CPH_DDG</vt:lpstr>
      <vt:lpstr>ETPT_ATTJ_DDG</vt:lpstr>
      <vt:lpstr>Juridictions</vt:lpstr>
      <vt:lpstr>ETPT_TJ_corresp-SIEGE-TJ</vt:lpstr>
      <vt:lpstr>ETPT_TPROX_corresp-SIEGE-TPROX</vt:lpstr>
      <vt:lpstr>ETPT_TJ_corresp-GREFFE-TJ</vt:lpstr>
      <vt:lpstr>ETPT_TROX_corresp-GREFFE-TPROX</vt:lpstr>
      <vt:lpstr>ETPT_CPH_corresp-GREFFE-CPH</vt:lpstr>
      <vt:lpstr>ETPT_ATTACHES_JUSTICE  corresp</vt:lpstr>
      <vt:lpstr>TJCPH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Extraction de données d'effectifs</dc:title>
  <dc:subject/>
  <dc:creator>A-JUST</dc:creator>
  <cp:keywords/>
  <dc:description>Ce fichier est généré sur la base des données saisies dans A-JUST</dc:description>
  <cp:lastModifiedBy>François-Xavier Montigny</cp:lastModifiedBy>
  <dcterms:created xsi:type="dcterms:W3CDTF">2020-03-26T00:32:42Z</dcterms:created>
  <dcterms:modified xsi:type="dcterms:W3CDTF">2026-03-20T09:56:03Z</dcterms:modified>
  <cp:category/>
</cp:coreProperties>
</file>