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69B3E188-CE49-144E-96BF-F010583622E6}" xr6:coauthVersionLast="47" xr6:coauthVersionMax="47" xr10:uidLastSave="{00000000-0000-0000-0000-000000000000}"/>
  <bookViews>
    <workbookView xWindow="0" yWindow="760" windowWidth="30240" windowHeight="17700" activeTab="13"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_JUR" sheetId="38" state="hidden" r:id="rId10"/>
    <sheet name="ETPT_TJ_DDG" sheetId="28" r:id="rId11"/>
    <sheet name="ETPT_TPRX_DDG" sheetId="29" r:id="rId12"/>
    <sheet name="ETPT_CPH_DDG" sheetId="30" r:id="rId13"/>
    <sheet name="ETPT_ATT_JUR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39" l="1"/>
  <c r="J13" i="39"/>
  <c r="J6" i="39"/>
  <c r="K6" i="39"/>
  <c r="I6" i="38" a="1"/>
  <c r="I6" i="38" s="1"/>
  <c r="M13" i="39"/>
  <c r="N13" i="39"/>
  <c r="J6" i="38" a="1"/>
  <c r="J6" i="38" s="1"/>
  <c r="J13" i="38" s="1"/>
  <c r="AT15" i="25"/>
  <c r="AF15" i="25"/>
  <c r="AT14" i="25"/>
  <c r="AF14" i="25"/>
  <c r="R6" i="38" a="1"/>
  <c r="R6" i="38" s="1"/>
  <c r="Q6" i="38" a="1"/>
  <c r="Q6" i="38" s="1"/>
  <c r="P6" i="38" a="1"/>
  <c r="P6" i="38" s="1"/>
  <c r="O6" i="38" a="1"/>
  <c r="O6" i="38" s="1"/>
  <c r="L6" i="38" a="1"/>
  <c r="L6" i="38" s="1"/>
  <c r="K6" i="38" a="1"/>
  <c r="K6" i="38" s="1"/>
  <c r="P5" i="38" a="1"/>
  <c r="P5" i="38" s="1"/>
  <c r="L5" i="38" a="1"/>
  <c r="L5" i="38" s="1"/>
  <c r="I5" i="38" a="1"/>
  <c r="I5" i="38" s="1"/>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K13" i="38" l="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<sst xmlns="http://schemas.openxmlformats.org/spreadsheetml/2006/main" count="1840" uniqueCount="693">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</sst>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23" fillId="10" borderId="12" xfId="1" applyFont="1" applyFill="1" applyBorder="1" applyAlignment="1">
      <alignment horizontal="center" vertical="center" wrapText="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8" t="s">
        <v>221</v>
      </c>
      <c r="D1" s="398"/>
      <c r="E1" s="398"/>
      <c r="F1" s="101"/>
      <c r="H1" s="26" t="s">
        <v>0</v>
      </c>
    </row>
    <row r="2" spans="1:8" s="105" customFormat="1" ht="20" customHeight="1" x14ac:dyDescent="0.2">
      <c r="A2" s="102"/>
      <c r="B2" s="103"/>
      <c r="C2" s="399" t="s">
        <v>222</v>
      </c>
      <c r="D2" s="399"/>
      <c r="E2" s="399"/>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3" t="s">
        <v>226</v>
      </c>
      <c r="F4" s="404"/>
      <c r="G4" s="119"/>
      <c r="H4" s="26" t="s">
        <v>0</v>
      </c>
    </row>
    <row r="5" spans="1:8" s="26" customFormat="1" ht="48" customHeight="1" x14ac:dyDescent="0.2">
      <c r="A5" s="106"/>
      <c r="B5" s="120" t="s">
        <v>227</v>
      </c>
      <c r="C5" s="116" t="s">
        <v>228</v>
      </c>
      <c r="D5" s="116" t="s">
        <v>229</v>
      </c>
      <c r="E5" s="405" t="s">
        <v>242</v>
      </c>
      <c r="F5" s="406"/>
      <c r="G5" s="118"/>
      <c r="H5" s="26" t="s">
        <v>0</v>
      </c>
    </row>
    <row r="6" spans="1:8" s="26" customFormat="1" ht="48" customHeight="1" x14ac:dyDescent="0.2">
      <c r="A6" s="106"/>
      <c r="B6" s="121" t="s">
        <v>230</v>
      </c>
      <c r="C6" s="117" t="s">
        <v>231</v>
      </c>
      <c r="D6" s="117" t="s">
        <v>232</v>
      </c>
      <c r="E6" s="407" t="s">
        <v>243</v>
      </c>
      <c r="F6" s="408"/>
      <c r="G6" s="118"/>
      <c r="H6" s="26" t="s">
        <v>0</v>
      </c>
    </row>
    <row r="7" spans="1:8" s="26" customFormat="1" ht="48" customHeight="1" x14ac:dyDescent="0.2">
      <c r="A7" s="106"/>
      <c r="B7" s="122" t="s">
        <v>590</v>
      </c>
      <c r="C7" s="117" t="s">
        <v>234</v>
      </c>
      <c r="D7" s="117" t="s">
        <v>235</v>
      </c>
      <c r="E7" s="407" t="s">
        <v>242</v>
      </c>
      <c r="F7" s="408"/>
      <c r="G7" s="118"/>
      <c r="H7" s="26" t="s">
        <v>0</v>
      </c>
    </row>
    <row r="8" spans="1:8" s="26" customFormat="1" ht="23" customHeight="1" x14ac:dyDescent="0.2">
      <c r="A8" s="106"/>
      <c r="B8" s="123" t="s">
        <v>236</v>
      </c>
      <c r="C8" s="409" t="s">
        <v>237</v>
      </c>
      <c r="D8" s="409" t="s">
        <v>238</v>
      </c>
      <c r="E8" s="412" t="s">
        <v>244</v>
      </c>
      <c r="F8" s="412"/>
      <c r="G8" s="118"/>
      <c r="H8" s="26" t="s">
        <v>0</v>
      </c>
    </row>
    <row r="9" spans="1:8" s="26" customFormat="1" ht="23" customHeight="1" x14ac:dyDescent="0.2">
      <c r="A9" s="106"/>
      <c r="B9" s="223" t="s">
        <v>239</v>
      </c>
      <c r="C9" s="410"/>
      <c r="D9" s="410"/>
      <c r="E9" s="413"/>
      <c r="F9" s="413"/>
      <c r="G9" s="118"/>
      <c r="H9" s="26" t="s">
        <v>0</v>
      </c>
    </row>
    <row r="10" spans="1:8" s="26" customFormat="1" ht="23" customHeight="1" x14ac:dyDescent="0.2">
      <c r="A10" s="106"/>
      <c r="B10" s="224" t="s">
        <v>240</v>
      </c>
      <c r="C10" s="410"/>
      <c r="D10" s="410"/>
      <c r="E10" s="413"/>
      <c r="F10" s="413"/>
      <c r="G10" s="118"/>
      <c r="H10" s="26" t="s">
        <v>0</v>
      </c>
    </row>
    <row r="11" spans="1:8" s="26" customFormat="1" ht="23" customHeight="1" thickBot="1" x14ac:dyDescent="0.25">
      <c r="A11" s="106"/>
      <c r="B11" s="219" t="s">
        <v>340</v>
      </c>
      <c r="C11" s="411"/>
      <c r="D11" s="411"/>
      <c r="E11" s="414"/>
      <c r="F11" s="414"/>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2" t="s">
        <v>241</v>
      </c>
      <c r="D13" s="402"/>
      <c r="E13" s="402"/>
      <c r="F13" s="222"/>
      <c r="H13" s="26" t="s">
        <v>0</v>
      </c>
    </row>
    <row r="14" spans="1:8" s="26" customFormat="1" ht="6" customHeight="1" x14ac:dyDescent="0.2">
      <c r="A14" s="112"/>
      <c r="F14" s="107"/>
      <c r="H14" s="26" t="s">
        <v>0</v>
      </c>
    </row>
    <row r="15" spans="1:8" s="26" customFormat="1" ht="27" customHeight="1" x14ac:dyDescent="0.2">
      <c r="A15" s="400" t="s">
        <v>25</v>
      </c>
      <c r="B15" s="400"/>
      <c r="C15" s="400"/>
      <c r="D15" s="400"/>
      <c r="E15" s="400"/>
      <c r="F15" s="401"/>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5" t="s">
        <v>484</v>
      </c>
      <c r="E1" s="416"/>
      <c r="F1" s="416"/>
      <c r="G1" s="416"/>
      <c r="H1" s="416"/>
      <c r="I1" s="416"/>
      <c r="J1" s="417"/>
      <c r="K1" s="417"/>
      <c r="L1" s="417"/>
      <c r="M1" s="417"/>
      <c r="N1" s="417"/>
      <c r="O1" s="417"/>
      <c r="P1" s="417"/>
      <c r="Q1" s="417"/>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8" t="s">
        <v>26</v>
      </c>
      <c r="H4" s="419"/>
      <c r="I4" s="419"/>
      <c r="J4" s="419"/>
      <c r="K4" s="419"/>
      <c r="L4" s="420"/>
      <c r="M4" s="421"/>
      <c r="N4" s="422" t="s">
        <v>27</v>
      </c>
      <c r="O4" s="420"/>
      <c r="P4" s="420"/>
      <c r="Q4" s="420"/>
      <c r="R4" s="420"/>
      <c r="S4" s="420"/>
      <c r="T4" s="423"/>
      <c r="U4" s="418" t="s">
        <v>28</v>
      </c>
      <c r="V4" s="421"/>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5" t="s">
        <v>170</v>
      </c>
      <c r="C1" s="425"/>
      <c r="D1" s="425"/>
      <c r="E1" s="425"/>
      <c r="F1" s="425"/>
      <c r="G1" s="425"/>
      <c r="H1" s="425"/>
      <c r="I1" s="425"/>
    </row>
    <row r="2" spans="1:58" s="41" customFormat="1" ht="12.75" customHeight="1" x14ac:dyDescent="0.15">
      <c r="A2" s="74"/>
      <c r="B2" s="74"/>
      <c r="C2" s="74"/>
      <c r="D2" s="74"/>
      <c r="E2" s="74"/>
      <c r="F2" s="74"/>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4" t="s">
        <v>161</v>
      </c>
      <c r="AW2" s="68" t="s">
        <v>160</v>
      </c>
      <c r="AX2" s="68" t="s">
        <v>160</v>
      </c>
      <c r="AY2" s="68" t="s">
        <v>160</v>
      </c>
      <c r="AZ2" s="68" t="s">
        <v>160</v>
      </c>
      <c r="BA2" s="68" t="s">
        <v>160</v>
      </c>
      <c r="BB2" s="68" t="s">
        <v>160</v>
      </c>
      <c r="BC2" s="68" t="s">
        <v>160</v>
      </c>
      <c r="BD2" s="68" t="s">
        <v>160</v>
      </c>
      <c r="BE2" s="68" t="s">
        <v>160</v>
      </c>
      <c r="BF2" s="424" t="s">
        <v>159</v>
      </c>
    </row>
    <row r="3" spans="1:58"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8" s="41" customFormat="1" ht="72" x14ac:dyDescent="0.15">
      <c r="A4" s="73"/>
      <c r="B4" s="72" t="s">
        <v>112</v>
      </c>
      <c r="C4" s="72" t="s">
        <v>111</v>
      </c>
      <c r="D4" s="72" t="s">
        <v>32</v>
      </c>
      <c r="E4" s="72" t="s">
        <v>110</v>
      </c>
      <c r="F4" s="72" t="s">
        <v>109</v>
      </c>
      <c r="G4" s="71" t="s">
        <v>108</v>
      </c>
      <c r="H4" s="424"/>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69</v>
      </c>
      <c r="AZ4" s="68" t="s">
        <v>68</v>
      </c>
      <c r="BA4" s="68" t="s">
        <v>67</v>
      </c>
      <c r="BB4" s="68" t="s">
        <v>66</v>
      </c>
      <c r="BC4" s="68" t="s">
        <v>65</v>
      </c>
      <c r="BD4" s="68" t="s">
        <v>64</v>
      </c>
      <c r="BE4" s="68" t="s">
        <v>63</v>
      </c>
      <c r="BF4" s="424"/>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6" t="s">
        <v>214</v>
      </c>
      <c r="B1" s="426"/>
      <c r="C1" s="426"/>
      <c r="D1" s="426"/>
      <c r="E1" s="426"/>
      <c r="F1" s="426"/>
      <c r="G1" s="426"/>
      <c r="H1" s="426"/>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4" t="s">
        <v>168</v>
      </c>
      <c r="I2" s="71" t="s">
        <v>167</v>
      </c>
      <c r="J2" s="71" t="s">
        <v>167</v>
      </c>
      <c r="K2" s="71" t="s">
        <v>167</v>
      </c>
      <c r="L2" s="71" t="s">
        <v>167</v>
      </c>
      <c r="M2" s="71" t="s">
        <v>167</v>
      </c>
      <c r="N2" s="71" t="s">
        <v>167</v>
      </c>
      <c r="O2" s="95" t="s">
        <v>167</v>
      </c>
      <c r="P2" s="95" t="s">
        <v>167</v>
      </c>
      <c r="Q2" s="71" t="s">
        <v>167</v>
      </c>
      <c r="R2" s="71" t="s">
        <v>167</v>
      </c>
      <c r="S2" s="424" t="s">
        <v>166</v>
      </c>
      <c r="T2" s="71" t="s">
        <v>164</v>
      </c>
      <c r="U2" s="71" t="s">
        <v>164</v>
      </c>
      <c r="V2" s="71" t="s">
        <v>164</v>
      </c>
      <c r="W2" s="71" t="s">
        <v>164</v>
      </c>
      <c r="X2" s="71" t="s">
        <v>164</v>
      </c>
      <c r="Y2" s="71" t="s">
        <v>164</v>
      </c>
      <c r="Z2" s="95" t="s">
        <v>164</v>
      </c>
      <c r="AA2" s="95" t="s">
        <v>164</v>
      </c>
      <c r="AB2" s="71" t="s">
        <v>164</v>
      </c>
      <c r="AC2" s="424" t="s">
        <v>213</v>
      </c>
      <c r="AD2" s="71" t="s">
        <v>212</v>
      </c>
      <c r="AE2" s="71" t="s">
        <v>212</v>
      </c>
      <c r="AF2" s="71" t="s">
        <v>212</v>
      </c>
      <c r="AG2" s="424" t="s">
        <v>211</v>
      </c>
    </row>
    <row r="3" spans="1:33" ht="36" x14ac:dyDescent="0.2">
      <c r="A3" s="74"/>
      <c r="B3" s="74"/>
      <c r="C3" s="74"/>
      <c r="D3" s="74"/>
      <c r="E3" s="74"/>
      <c r="F3" s="74"/>
      <c r="G3" s="71" t="s">
        <v>158</v>
      </c>
      <c r="H3" s="424"/>
      <c r="I3" s="71" t="s">
        <v>210</v>
      </c>
      <c r="J3" s="71" t="s">
        <v>209</v>
      </c>
      <c r="K3" s="71" t="s">
        <v>208</v>
      </c>
      <c r="L3" s="71" t="s">
        <v>207</v>
      </c>
      <c r="M3" s="71" t="s">
        <v>206</v>
      </c>
      <c r="N3" s="71" t="s">
        <v>205</v>
      </c>
      <c r="O3" s="95" t="s">
        <v>204</v>
      </c>
      <c r="P3" s="95" t="s">
        <v>203</v>
      </c>
      <c r="Q3" s="71" t="s">
        <v>202</v>
      </c>
      <c r="R3" s="71" t="s">
        <v>145</v>
      </c>
      <c r="S3" s="424"/>
      <c r="T3" s="71" t="s">
        <v>201</v>
      </c>
      <c r="U3" s="71" t="s">
        <v>200</v>
      </c>
      <c r="V3" s="71" t="s">
        <v>199</v>
      </c>
      <c r="W3" s="71" t="s">
        <v>198</v>
      </c>
      <c r="X3" s="71" t="s">
        <v>197</v>
      </c>
      <c r="Y3" s="71" t="s">
        <v>196</v>
      </c>
      <c r="Z3" s="95" t="s">
        <v>195</v>
      </c>
      <c r="AA3" s="95" t="s">
        <v>194</v>
      </c>
      <c r="AB3" s="71" t="s">
        <v>193</v>
      </c>
      <c r="AC3" s="424"/>
      <c r="AD3" s="71" t="s">
        <v>192</v>
      </c>
      <c r="AE3" s="71" t="s">
        <v>128</v>
      </c>
      <c r="AF3" s="71" t="s">
        <v>122</v>
      </c>
      <c r="AG3" s="424"/>
    </row>
    <row r="4" spans="1:33" ht="60" x14ac:dyDescent="0.2">
      <c r="A4" s="74"/>
      <c r="B4" s="72" t="s">
        <v>112</v>
      </c>
      <c r="C4" s="72" t="s">
        <v>111</v>
      </c>
      <c r="D4" s="72" t="s">
        <v>32</v>
      </c>
      <c r="E4" s="72" t="s">
        <v>110</v>
      </c>
      <c r="F4" s="72" t="s">
        <v>109</v>
      </c>
      <c r="G4" s="71" t="s">
        <v>108</v>
      </c>
      <c r="H4" s="424"/>
      <c r="I4" s="71" t="s">
        <v>191</v>
      </c>
      <c r="J4" s="71" t="s">
        <v>190</v>
      </c>
      <c r="K4" s="71" t="s">
        <v>189</v>
      </c>
      <c r="L4" s="71" t="s">
        <v>188</v>
      </c>
      <c r="M4" s="71" t="s">
        <v>187</v>
      </c>
      <c r="N4" s="71" t="s">
        <v>186</v>
      </c>
      <c r="O4" s="95" t="s">
        <v>185</v>
      </c>
      <c r="P4" s="95" t="s">
        <v>184</v>
      </c>
      <c r="Q4" s="71" t="s">
        <v>183</v>
      </c>
      <c r="R4" s="71" t="s">
        <v>94</v>
      </c>
      <c r="S4" s="424"/>
      <c r="T4" s="71" t="s">
        <v>182</v>
      </c>
      <c r="U4" s="71" t="s">
        <v>181</v>
      </c>
      <c r="V4" s="71" t="s">
        <v>180</v>
      </c>
      <c r="W4" s="71" t="s">
        <v>179</v>
      </c>
      <c r="X4" s="71" t="s">
        <v>178</v>
      </c>
      <c r="Y4" s="71" t="s">
        <v>177</v>
      </c>
      <c r="Z4" s="95" t="s">
        <v>176</v>
      </c>
      <c r="AA4" s="95" t="s">
        <v>175</v>
      </c>
      <c r="AB4" s="71" t="s">
        <v>174</v>
      </c>
      <c r="AC4" s="424"/>
      <c r="AD4" s="71" t="s">
        <v>173</v>
      </c>
      <c r="AE4" s="71" t="s">
        <v>78</v>
      </c>
      <c r="AF4" s="71" t="s">
        <v>72</v>
      </c>
      <c r="AG4" s="424"/>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4" t="s">
        <v>166</v>
      </c>
      <c r="I2" s="71" t="s">
        <v>38</v>
      </c>
      <c r="J2" s="424" t="s">
        <v>165</v>
      </c>
    </row>
    <row r="3" spans="1:10" ht="36" x14ac:dyDescent="0.2">
      <c r="A3" s="87"/>
      <c r="B3" s="86"/>
      <c r="C3" s="86"/>
      <c r="D3" s="86"/>
      <c r="E3" s="86"/>
      <c r="F3" s="86"/>
      <c r="G3" s="71" t="s">
        <v>145</v>
      </c>
      <c r="H3" s="424"/>
      <c r="I3" s="71" t="s">
        <v>142</v>
      </c>
      <c r="J3" s="424"/>
    </row>
    <row r="4" spans="1:10" s="256" customFormat="1" ht="36" x14ac:dyDescent="0.15">
      <c r="A4" s="257"/>
      <c r="B4" s="85" t="s">
        <v>112</v>
      </c>
      <c r="C4" s="85" t="s">
        <v>111</v>
      </c>
      <c r="D4" s="85" t="s">
        <v>32</v>
      </c>
      <c r="E4" s="85" t="s">
        <v>110</v>
      </c>
      <c r="F4" s="85" t="s">
        <v>109</v>
      </c>
      <c r="G4" s="71" t="s">
        <v>94</v>
      </c>
      <c r="H4" s="424"/>
      <c r="I4" s="71" t="s">
        <v>93</v>
      </c>
      <c r="J4" s="424"/>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1" zoomScaleNormal="100" workbookViewId="0">
      <selection activeCell="H10" sqref="H10"/>
    </sheetView>
  </sheetViews>
  <sheetFormatPr baseColWidth="10" defaultRowHeight="15" x14ac:dyDescent="0.2"/>
  <cols>
    <col min="1" max="2" width="10.83203125" hidden="1" customWidth="1"/>
    <col min="3" max="3" width="9.83203125" bestFit="1" customWidth="1"/>
    <col min="6" max="6" width="73.83203125" customWidth="1"/>
    <col min="7"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12">
        <f>ETPT_ATT_JUR_DDG!D5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ETPT_ATT_JUR_DDG!D6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ETPT_ATT_JUR_DDG!D7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ETPT_ATT_JUR_DDG!D8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ETPT_ATT_JUR_DDG!D9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ETPT_ATT_JUR_DDG!D10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ETPT_ATT_JUR_DDG!D11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ETPT_ATT_JUR_DDG!D12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R4" sqref="R4"/>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4" t="s">
        <v>161</v>
      </c>
      <c r="AW2" s="68" t="s">
        <v>160</v>
      </c>
      <c r="AX2" s="68" t="s">
        <v>160</v>
      </c>
      <c r="AY2" s="68" t="s">
        <v>160</v>
      </c>
      <c r="AZ2" s="68" t="s">
        <v>160</v>
      </c>
      <c r="BA2" s="68" t="s">
        <v>160</v>
      </c>
      <c r="BB2" s="68" t="s">
        <v>160</v>
      </c>
      <c r="BC2" s="68" t="s">
        <v>160</v>
      </c>
      <c r="BD2" s="68" t="s">
        <v>160</v>
      </c>
      <c r="BE2" s="68" t="s">
        <v>160</v>
      </c>
      <c r="BF2" s="424" t="s">
        <v>159</v>
      </c>
      <c r="BG2"/>
    </row>
    <row r="3" spans="1:59"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9" s="41" customFormat="1" ht="72" x14ac:dyDescent="0.2">
      <c r="A4" s="73"/>
      <c r="B4" s="72" t="s">
        <v>112</v>
      </c>
      <c r="C4" s="72" t="s">
        <v>111</v>
      </c>
      <c r="D4" s="72" t="s">
        <v>32</v>
      </c>
      <c r="E4" s="72" t="s">
        <v>110</v>
      </c>
      <c r="F4" s="72" t="s">
        <v>109</v>
      </c>
      <c r="G4" s="71" t="s">
        <v>108</v>
      </c>
      <c r="H4" s="424"/>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471</v>
      </c>
      <c r="AZ4" s="68" t="s">
        <v>472</v>
      </c>
      <c r="BA4" s="68" t="s">
        <v>473</v>
      </c>
      <c r="BB4" s="68" t="s">
        <v>474</v>
      </c>
      <c r="BC4" s="68" t="s">
        <v>65</v>
      </c>
      <c r="BD4" s="68" t="s">
        <v>64</v>
      </c>
      <c r="BE4" s="68" t="s">
        <v>63</v>
      </c>
      <c r="BF4" s="424"/>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4" t="s">
        <v>166</v>
      </c>
    </row>
    <row r="3" spans="1:62" ht="36" hidden="1" x14ac:dyDescent="0.2">
      <c r="A3" s="256"/>
      <c r="B3" s="256"/>
      <c r="C3" s="256"/>
      <c r="D3" s="256"/>
      <c r="E3" s="256"/>
      <c r="F3" s="256"/>
      <c r="G3" s="71" t="s">
        <v>145</v>
      </c>
      <c r="H3" s="424"/>
    </row>
    <row r="4" spans="1:62" ht="36" x14ac:dyDescent="0.2">
      <c r="A4" s="257"/>
      <c r="B4" s="85" t="s">
        <v>112</v>
      </c>
      <c r="C4" s="85" t="s">
        <v>111</v>
      </c>
      <c r="D4" s="85" t="s">
        <v>32</v>
      </c>
      <c r="E4" s="85" t="s">
        <v>110</v>
      </c>
      <c r="F4" s="85" t="s">
        <v>109</v>
      </c>
      <c r="G4" s="71" t="s">
        <v>94</v>
      </c>
      <c r="H4" s="424"/>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abSelected="1" topLeftCell="F1" zoomScaleNormal="100" workbookViewId="0">
      <selection activeCell="G10" sqref="G10"/>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64"/>
      <c r="E5" s="212" t="s">
        <v>62</v>
      </c>
      <c r="F5" s="245" t="s">
        <v>61</v>
      </c>
      <c r="G5" s="247" t="str">
        <f>IF(ISBLANK(ETPT_ATT_JUR!G5),"",IF(ISERROR(ETPT_ATT_JUR!G5),"",IF(ETPT_ATT_JUR!G5=0,"",ETPT_ATT_JUR!G5)))</f>
        <v/>
      </c>
      <c r="H5" s="247" t="str">
        <f>IF(ISBLANK(ETPT_ATT_JUR!H5),"",IF(ISERROR(ETPT_ATT_JUR!H5),"",IF(ETPT_ATT_JUR!H5=0,"",ETPT_ATT_JUR!H5)))</f>
        <v/>
      </c>
      <c r="I5" s="247" t="str">
        <f>IF(ISBLANK(ETPT_ATT_JUR!I5),"",IF(ISERROR(ETPT_ATT_JUR!I5),"",IF(ETPT_ATT_JUR!I5=0,"",ETPT_ATT_JUR!I5)))</f>
        <v/>
      </c>
      <c r="J5" s="247"/>
      <c r="K5" s="247"/>
      <c r="L5" s="247" t="str">
        <f>IF(ISBLANK(ETPT_ATT_JUR!L5),"",IF(ISERROR(ETPT_ATT_JUR!L5),"",IF(ETPT_ATT_JUR!L5=0,"",ETPT_ATT_JUR!L5)))</f>
        <v/>
      </c>
      <c r="M5" s="247"/>
      <c r="N5" s="247"/>
      <c r="O5" s="247" t="str">
        <f>IF(ISBLANK(ETPT_ATT_JUR!O5),"",IF(ISERROR(ETPT_ATT_JUR!O5),"",IF(ETPT_ATT_JUR!O5=0,"",ETPT_ATT_JUR!O5)))</f>
        <v/>
      </c>
      <c r="P5" s="247" t="str">
        <f>IF(ISBLANK(ETPT_ATT_JUR!P5),"",IF(ISERROR(ETPT_ATT_JUR!P5),"",IF(ETPT_ATT_JUR!P5=0,"",ETPT_ATT_JUR!P5)))</f>
        <v/>
      </c>
      <c r="Q5" s="247" t="str">
        <f>IF(ISBLANK(ETPT_ATT_JUR!Q5),"",IF(ISERROR(ETPT_ATT_JUR!Q5),"",IF(ETPT_ATT_JUR!Q5=0,"",ETPT_ATT_JUR!Q5)))</f>
        <v/>
      </c>
      <c r="R5" s="247" t="str">
        <f>IF(ISBLANK(ETPT_ATT_JUR!R5),"",IF(ISERROR(ETPT_ATT_JUR!R5),"",IF(ETPT_ATT_JUR!R5=0,"",ETPT_ATT_JUR!R5)))</f>
        <v/>
      </c>
      <c r="S5" s="214">
        <f>ETPT_ATT_JUR!S5</f>
        <v>0</v>
      </c>
    </row>
    <row r="6" spans="1:64" x14ac:dyDescent="0.2">
      <c r="A6" s="211" t="s">
        <v>283</v>
      </c>
      <c r="B6" s="212"/>
      <c r="C6" s="212"/>
      <c r="D6" s="218">
        <f>$D$5</f>
        <v>0</v>
      </c>
      <c r="E6" s="212" t="s">
        <v>60</v>
      </c>
      <c r="F6" s="245" t="s">
        <v>59</v>
      </c>
      <c r="G6" s="247" t="str">
        <f>IF(ISBLANK(ETPT_ATT_JUR!G6),"",IF(ISERROR(ETPT_ATT_JUR!G6),"",IF(ETPT_ATT_JUR!G6=0,"",ETPT_ATT_JUR!G6)))</f>
        <v/>
      </c>
      <c r="H6" s="247" t="str">
        <f>IF(ISBLANK(ETPT_ATT_JUR!H6),"",IF(ISERROR(ETPT_ATT_JUR!H6),"",IF(ETPT_ATT_JUR!H6=0,"",ETPT_ATT_JUR!H6)))</f>
        <v/>
      </c>
      <c r="I6" s="247" t="str">
        <f>IF(ISBLANK(ETPT_ATT_JUR!I6),"",IF(ISERROR(ETPT_ATT_JUR!I6),"",IF(ETPT_ATT_JUR!I6=0,"",ETPT_ATT_JUR!I6)))</f>
        <v/>
      </c>
      <c r="J6" s="247" t="str">
        <f>IF(ISBLANK(ETPT_ATT_JUR!J6),"",IF(ISERROR(ETPT_ATT_JUR!J6),"",IF(ETPT_ATT_JUR!J6=0,"",ETPT_ATT_JUR!J6)))</f>
        <v/>
      </c>
      <c r="K6" s="247" t="str">
        <f>IF(ISBLANK(ETPT_ATT_JUR!K6),"",IF(ISERROR(ETPT_ATT_JUR!K6),"",IF(ETPT_ATT_JUR!K6=0,"",ETPT_ATT_JUR!K6)))</f>
        <v/>
      </c>
      <c r="L6" s="247" t="str">
        <f>IF(ISBLANK(ETPT_ATT_JUR!L6),"",IF(ISERROR(ETPT_ATT_JUR!L6),"",IF(ETPT_ATT_JUR!L6=0,"",ETPT_ATT_JUR!L6)))</f>
        <v/>
      </c>
      <c r="M6" s="247"/>
      <c r="N6" s="247"/>
      <c r="O6" s="247" t="str">
        <f>IF(ISBLANK(ETPT_ATT_JUR!O6),"",IF(ISERROR(ETPT_ATT_JUR!O6),"",IF(ETPT_ATT_JUR!O6=0,"",ETPT_ATT_JUR!O6)))</f>
        <v/>
      </c>
      <c r="P6" s="247" t="str">
        <f>IF(ISBLANK(ETPT_ATT_JUR!P6),"",IF(ISERROR(ETPT_ATT_JUR!P6),"",IF(ETPT_ATT_JUR!P6=0,"",ETPT_ATT_JUR!P6)))</f>
        <v/>
      </c>
      <c r="Q6" s="247" t="str">
        <f>IF(ISBLANK(ETPT_ATT_JUR!Q6),"",IF(ISERROR(ETPT_ATT_JUR!Q6),"",IF(ETPT_ATT_JUR!Q6=0,"",ETPT_ATT_JUR!Q6)))</f>
        <v/>
      </c>
      <c r="R6" s="247" t="str">
        <f>IF(ISBLANK(ETPT_ATT_JUR!R6),"",IF(ISERROR(ETPT_ATT_JUR!R6),"",IF(ETPT_ATT_JUR!R6=0,"",ETPT_ATT_JUR!R6)))</f>
        <v/>
      </c>
      <c r="S6" s="214">
        <f>ETPT_ATT_JUR!S6</f>
        <v>0</v>
      </c>
    </row>
    <row r="7" spans="1:64" x14ac:dyDescent="0.2">
      <c r="A7" s="211" t="s">
        <v>283</v>
      </c>
      <c r="B7" s="212"/>
      <c r="C7" s="212"/>
      <c r="D7" s="218">
        <f t="shared" ref="D7:D12" si="0">$D$5</f>
        <v>0</v>
      </c>
      <c r="E7" s="212" t="s">
        <v>56</v>
      </c>
      <c r="F7" s="245" t="s">
        <v>55</v>
      </c>
      <c r="G7" s="247" t="str">
        <f>IF(ISBLANK(ETPT_ATT_JUR!G7),"",IF(ISERROR(ETPT_ATT_JUR!G7),"",IF(ETPT_ATT_JUR!G7=0,"",ETPT_ATT_JUR!G7)))</f>
        <v/>
      </c>
      <c r="H7" s="247" t="str">
        <f>IF(ISBLANK(ETPT_ATT_JUR!H7),"",IF(ISERROR(ETPT_ATT_JUR!H7),"",IF(ETPT_ATT_JUR!H7=0,"",ETPT_ATT_JUR!H7)))</f>
        <v/>
      </c>
      <c r="I7" s="247" t="str">
        <f>IF(ISBLANK(ETPT_ATT_JUR!I7),"",IF(ISERROR(ETPT_ATT_JUR!I7),"",IF(ETPT_ATT_JUR!I7=0,"",ETPT_ATT_JUR!I7)))</f>
        <v/>
      </c>
      <c r="J7" s="247"/>
      <c r="K7" s="247"/>
      <c r="L7" s="247" t="str">
        <f>IF(ISBLANK(ETPT_ATT_JUR!L7),"",IF(ISERROR(ETPT_ATT_JUR!L7),"",IF(ETPT_ATT_JUR!L7=0,"",ETPT_ATT_JUR!L7)))</f>
        <v/>
      </c>
      <c r="M7" s="247"/>
      <c r="N7" s="247"/>
      <c r="O7" s="247" t="str">
        <f>IF(ISBLANK(ETPT_ATT_JUR!O7),"",IF(ISERROR(ETPT_ATT_JUR!O7),"",IF(ETPT_ATT_JUR!O7=0,"",ETPT_ATT_JUR!O7)))</f>
        <v/>
      </c>
      <c r="P7" s="247" t="str">
        <f>IF(ISBLANK(ETPT_ATT_JUR!P7),"",IF(ISERROR(ETPT_ATT_JUR!P7),"",IF(ETPT_ATT_JUR!P7=0,"",ETPT_ATT_JUR!P7)))</f>
        <v/>
      </c>
      <c r="Q7" s="247" t="str">
        <f>IF(ISBLANK(ETPT_ATT_JUR!Q7),"",IF(ISERROR(ETPT_ATT_JUR!Q7),"",IF(ETPT_ATT_JUR!Q7=0,"",ETPT_ATT_JUR!Q7)))</f>
        <v/>
      </c>
      <c r="R7" s="247" t="str">
        <f>IF(ISBLANK(ETPT_ATT_JUR!R7),"",IF(ISERROR(ETPT_ATT_JUR!R7),"",IF(ETPT_ATT_JUR!R7=0,"",ETPT_ATT_JUR!R7)))</f>
        <v/>
      </c>
      <c r="S7" s="214">
        <f>ETPT_ATT_JUR!S7</f>
        <v>0</v>
      </c>
    </row>
    <row r="8" spans="1:64" x14ac:dyDescent="0.2">
      <c r="A8" s="211" t="s">
        <v>283</v>
      </c>
      <c r="B8" s="212"/>
      <c r="C8" s="212"/>
      <c r="D8" s="218">
        <f t="shared" si="0"/>
        <v>0</v>
      </c>
      <c r="E8" s="212" t="s">
        <v>54</v>
      </c>
      <c r="F8" s="245" t="s">
        <v>53</v>
      </c>
      <c r="G8" s="247" t="str">
        <f>IF(ISBLANK(ETPT_ATT_JUR!G8),"",IF(ISERROR(ETPT_ATT_JUR!G8),"",IF(ETPT_ATT_JUR!G8=0,"",ETPT_ATT_JUR!G8)))</f>
        <v/>
      </c>
      <c r="H8" s="247" t="str">
        <f>IF(ISBLANK(ETPT_ATT_JUR!H8),"",IF(ISERROR(ETPT_ATT_JUR!H8),"",IF(ETPT_ATT_JUR!H8=0,"",ETPT_ATT_JUR!H8)))</f>
        <v/>
      </c>
      <c r="I8" s="247" t="str">
        <f>IF(ISBLANK(ETPT_ATT_JUR!I8),"",IF(ISERROR(ETPT_ATT_JUR!I8),"",IF(ETPT_ATT_JUR!I8=0,"",ETPT_ATT_JUR!I8)))</f>
        <v/>
      </c>
      <c r="J8" s="247"/>
      <c r="K8" s="247"/>
      <c r="L8" s="247" t="str">
        <f>IF(ISBLANK(ETPT_ATT_JUR!L8),"",IF(ISERROR(ETPT_ATT_JUR!L8),"",IF(ETPT_ATT_JUR!L8=0,"",ETPT_ATT_JUR!L8)))</f>
        <v/>
      </c>
      <c r="M8" s="247"/>
      <c r="N8" s="247"/>
      <c r="O8" s="247" t="str">
        <f>IF(ISBLANK(ETPT_ATT_JUR!O8),"",IF(ISERROR(ETPT_ATT_JUR!O8),"",IF(ETPT_ATT_JUR!O8=0,"",ETPT_ATT_JUR!O8)))</f>
        <v/>
      </c>
      <c r="P8" s="247" t="str">
        <f>IF(ISBLANK(ETPT_ATT_JUR!P8),"",IF(ISERROR(ETPT_ATT_JUR!P8),"",IF(ETPT_ATT_JUR!P8=0,"",ETPT_ATT_JUR!P8)))</f>
        <v/>
      </c>
      <c r="Q8" s="247" t="str">
        <f>IF(ISBLANK(ETPT_ATT_JUR!Q8),"",IF(ISERROR(ETPT_ATT_JUR!Q8),"",IF(ETPT_ATT_JUR!Q8=0,"",ETPT_ATT_JUR!Q8)))</f>
        <v/>
      </c>
      <c r="R8" s="247" t="str">
        <f>IF(ISBLANK(ETPT_ATT_JUR!R8),"",IF(ISERROR(ETPT_ATT_JUR!R8),"",IF(ETPT_ATT_JUR!R8=0,"",ETPT_ATT_JUR!R8)))</f>
        <v/>
      </c>
      <c r="S8" s="214">
        <f>ETPT_ATT_JUR!S8</f>
        <v>0</v>
      </c>
    </row>
    <row r="9" spans="1:64" x14ac:dyDescent="0.2">
      <c r="A9" s="211" t="s">
        <v>283</v>
      </c>
      <c r="B9" s="212"/>
      <c r="C9" s="212"/>
      <c r="D9" s="218">
        <f t="shared" si="0"/>
        <v>0</v>
      </c>
      <c r="E9" s="212" t="s">
        <v>52</v>
      </c>
      <c r="F9" s="245" t="s">
        <v>51</v>
      </c>
      <c r="G9" s="247" t="str">
        <f>IF(ISBLANK(ETPT_ATT_JUR!G9),"",IF(ISERROR(ETPT_ATT_JUR!G9),"",IF(ETPT_ATT_JUR!G9=0,"",ETPT_ATT_JUR!G9)))</f>
        <v/>
      </c>
      <c r="H9" s="247" t="str">
        <f>IF(ISBLANK(ETPT_ATT_JUR!H9),"",IF(ISERROR(ETPT_ATT_JUR!H9),"",IF(ETPT_ATT_JUR!H9=0,"",ETPT_ATT_JUR!H9)))</f>
        <v/>
      </c>
      <c r="I9" s="247" t="str">
        <f>IF(ISBLANK(ETPT_ATT_JUR!I9),"",IF(ISERROR(ETPT_ATT_JUR!I9),"",IF(ETPT_ATT_JUR!I9=0,"",ETPT_ATT_JUR!I9)))</f>
        <v/>
      </c>
      <c r="J9" s="247"/>
      <c r="K9" s="247"/>
      <c r="L9" s="247" t="str">
        <f>IF(ISBLANK(ETPT_ATT_JUR!L9),"",IF(ISERROR(ETPT_ATT_JUR!L9),"",IF(ETPT_ATT_JUR!L9=0,"",ETPT_ATT_JUR!L9)))</f>
        <v/>
      </c>
      <c r="M9" s="247"/>
      <c r="N9" s="247"/>
      <c r="O9" s="247" t="str">
        <f>IF(ISBLANK(ETPT_ATT_JUR!O9),"",IF(ISERROR(ETPT_ATT_JUR!O9),"",IF(ETPT_ATT_JUR!O9=0,"",ETPT_ATT_JUR!O9)))</f>
        <v/>
      </c>
      <c r="P9" s="247" t="str">
        <f>IF(ISBLANK(ETPT_ATT_JUR!P9),"",IF(ISERROR(ETPT_ATT_JUR!P9),"",IF(ETPT_ATT_JUR!P9=0,"",ETPT_ATT_JUR!P9)))</f>
        <v/>
      </c>
      <c r="Q9" s="247" t="str">
        <f>IF(ISBLANK(ETPT_ATT_JUR!Q9),"",IF(ISERROR(ETPT_ATT_JUR!Q9),"",IF(ETPT_ATT_JUR!Q9=0,"",ETPT_ATT_JUR!Q9)))</f>
        <v/>
      </c>
      <c r="R9" s="247" t="str">
        <f>IF(ISBLANK(ETPT_ATT_JUR!R9),"",IF(ISERROR(ETPT_ATT_JUR!R9),"",IF(ETPT_ATT_JUR!R9=0,"",ETPT_ATT_JUR!R9)))</f>
        <v/>
      </c>
      <c r="S9" s="214">
        <f>ETPT_ATT_JUR!S9</f>
        <v>0</v>
      </c>
    </row>
    <row r="10" spans="1:64" x14ac:dyDescent="0.2">
      <c r="A10" s="211" t="s">
        <v>283</v>
      </c>
      <c r="B10" s="212"/>
      <c r="C10" s="212"/>
      <c r="D10" s="218">
        <f t="shared" si="0"/>
        <v>0</v>
      </c>
      <c r="E10" s="212" t="s">
        <v>50</v>
      </c>
      <c r="F10" s="245" t="s">
        <v>49</v>
      </c>
      <c r="G10" s="247" t="str">
        <f>IF(ISBLANK(ETPT_ATT_JUR!G10),"",IF(ISERROR(ETPT_ATT_JUR!G10),"",IF(ETPT_ATT_JUR!G10=0,"",ETPT_ATT_JUR!G10)))</f>
        <v/>
      </c>
      <c r="H10" s="247" t="str">
        <f>IF(ISBLANK(ETPT_ATT_JUR!H10),"",IF(ISERROR(ETPT_ATT_JUR!H10),"",IF(ETPT_ATT_JUR!H10=0,"",ETPT_ATT_JUR!H10)))</f>
        <v/>
      </c>
      <c r="I10" s="247" t="str">
        <f>IF(ISBLANK(ETPT_ATT_JUR!I10),"",IF(ISERROR(ETPT_ATT_JUR!I10),"",IF(ETPT_ATT_JUR!I10=0,"",ETPT_ATT_JUR!I10)))</f>
        <v/>
      </c>
      <c r="J10" s="247"/>
      <c r="K10" s="247"/>
      <c r="L10" s="247" t="str">
        <f>IF(ISBLANK(ETPT_ATT_JUR!L10),"",IF(ISERROR(ETPT_ATT_JUR!L10),"",IF(ETPT_ATT_JUR!L10=0,"",ETPT_ATT_JUR!L10)))</f>
        <v/>
      </c>
      <c r="M10" s="247"/>
      <c r="N10" s="247"/>
      <c r="O10" s="247" t="str">
        <f>IF(ISBLANK(ETPT_ATT_JUR!O10),"",IF(ISERROR(ETPT_ATT_JUR!O10),"",IF(ETPT_ATT_JUR!O10=0,"",ETPT_ATT_JUR!O10)))</f>
        <v/>
      </c>
      <c r="P10" s="247" t="str">
        <f>IF(ISBLANK(ETPT_ATT_JUR!P10),"",IF(ISERROR(ETPT_ATT_JUR!P10),"",IF(ETPT_ATT_JUR!P10=0,"",ETPT_ATT_JUR!P10)))</f>
        <v/>
      </c>
      <c r="Q10" s="247" t="str">
        <f>IF(ISBLANK(ETPT_ATT_JUR!Q10),"",IF(ISERROR(ETPT_ATT_JUR!Q10),"",IF(ETPT_ATT_JUR!Q10=0,"",ETPT_ATT_JUR!Q10)))</f>
        <v/>
      </c>
      <c r="R10" s="247" t="str">
        <f>IF(ISBLANK(ETPT_ATT_JUR!R10),"",IF(ISERROR(ETPT_ATT_JUR!R10),"",IF(ETPT_ATT_JUR!R10=0,"",ETPT_ATT_JUR!R10)))</f>
        <v/>
      </c>
      <c r="S10" s="214">
        <f>ETPT_ATT_JUR!S10</f>
        <v>0</v>
      </c>
    </row>
    <row r="11" spans="1:64" x14ac:dyDescent="0.2">
      <c r="A11" s="211" t="s">
        <v>283</v>
      </c>
      <c r="B11" s="212"/>
      <c r="C11" s="212"/>
      <c r="D11" s="218">
        <f t="shared" si="0"/>
        <v>0</v>
      </c>
      <c r="E11" s="212" t="s">
        <v>48</v>
      </c>
      <c r="F11" s="245" t="s">
        <v>47</v>
      </c>
      <c r="G11" s="247" t="str">
        <f>IF(ISBLANK(ETPT_ATT_JUR!G11),"",IF(ISERROR(ETPT_ATT_JUR!G11),"",IF(ETPT_ATT_JUR!G11=0,"",ETPT_ATT_JUR!G11)))</f>
        <v/>
      </c>
      <c r="H11" s="247" t="str">
        <f>IF(ISBLANK(ETPT_ATT_JUR!H11),"",IF(ISERROR(ETPT_ATT_JUR!H11),"",IF(ETPT_ATT_JUR!H11=0,"",ETPT_ATT_JUR!H11)))</f>
        <v/>
      </c>
      <c r="I11" s="247" t="str">
        <f>IF(ISBLANK(ETPT_ATT_JUR!I11),"",IF(ISERROR(ETPT_ATT_JUR!I11),"",IF(ETPT_ATT_JUR!I11=0,"",ETPT_ATT_JUR!I11)))</f>
        <v/>
      </c>
      <c r="J11" s="247"/>
      <c r="K11" s="247"/>
      <c r="L11" s="247" t="str">
        <f>IF(ISBLANK(ETPT_ATT_JUR!L11),"",IF(ISERROR(ETPT_ATT_JUR!L11),"",IF(ETPT_ATT_JUR!L11=0,"",ETPT_ATT_JUR!L11)))</f>
        <v/>
      </c>
      <c r="M11" s="247"/>
      <c r="N11" s="247"/>
      <c r="O11" s="247" t="str">
        <f>IF(ISBLANK(ETPT_ATT_JUR!O11),"",IF(ISERROR(ETPT_ATT_JUR!O11),"",IF(ETPT_ATT_JUR!O11=0,"",ETPT_ATT_JUR!O11)))</f>
        <v/>
      </c>
      <c r="P11" s="247" t="str">
        <f>IF(ISBLANK(ETPT_ATT_JUR!P11),"",IF(ISERROR(ETPT_ATT_JUR!P11),"",IF(ETPT_ATT_JUR!P11=0,"",ETPT_ATT_JUR!P11)))</f>
        <v/>
      </c>
      <c r="Q11" s="247" t="str">
        <f>IF(ISBLANK(ETPT_ATT_JUR!Q11),"",IF(ISERROR(ETPT_ATT_JUR!Q11),"",IF(ETPT_ATT_JUR!Q11=0,"",ETPT_ATT_JUR!Q11)))</f>
        <v/>
      </c>
      <c r="R11" s="247" t="str">
        <f>IF(ISBLANK(ETPT_ATT_JUR!R11),"",IF(ISERROR(ETPT_ATT_JUR!R11),"",IF(ETPT_ATT_JUR!R11=0,"",ETPT_ATT_JUR!R11)))</f>
        <v/>
      </c>
      <c r="S11" s="214">
        <f>ETPT_ATT_JUR!S11</f>
        <v>0</v>
      </c>
    </row>
    <row r="12" spans="1:64" x14ac:dyDescent="0.2">
      <c r="A12" s="211" t="s">
        <v>283</v>
      </c>
      <c r="B12" s="212"/>
      <c r="C12" s="212"/>
      <c r="D12" s="260">
        <f t="shared" si="0"/>
        <v>0</v>
      </c>
      <c r="E12" s="261" t="s">
        <v>46</v>
      </c>
      <c r="F12" s="245" t="s">
        <v>45</v>
      </c>
      <c r="G12" s="247" t="str">
        <f>IF(ISBLANK(ETPT_ATT_JUR!G12),"",IF(ISERROR(ETPT_ATT_JUR!G12),"",IF(ETPT_ATT_JUR!G12=0,"",ETPT_ATT_JUR!G12)))</f>
        <v/>
      </c>
      <c r="H12" s="247" t="str">
        <f>IF(ISBLANK(ETPT_ATT_JUR!H12),"",IF(ISERROR(ETPT_ATT_JUR!H12),"",IF(ETPT_ATT_JUR!H12=0,"",ETPT_ATT_JUR!H12)))</f>
        <v/>
      </c>
      <c r="I12" s="247" t="str">
        <f>IF(ISBLANK(ETPT_ATT_JUR!I12),"",IF(ISERROR(ETPT_ATT_JUR!I12),"",IF(ETPT_ATT_JUR!I12=0,"",ETPT_ATT_JUR!I12)))</f>
        <v/>
      </c>
      <c r="J12" s="247"/>
      <c r="K12" s="247"/>
      <c r="L12" s="247" t="str">
        <f>IF(ISBLANK(ETPT_ATT_JUR!L12),"",IF(ISERROR(ETPT_ATT_JUR!L12),"",IF(ETPT_ATT_JUR!L12=0,"",ETPT_ATT_JUR!L12)))</f>
        <v/>
      </c>
      <c r="M12" s="247"/>
      <c r="N12" s="247"/>
      <c r="O12" s="247" t="str">
        <f>IF(ISBLANK(ETPT_ATT_JUR!O12),"",IF(ISERROR(ETPT_ATT_JUR!O12),"",IF(ETPT_ATT_JUR!O12=0,"",ETPT_ATT_JUR!O12)))</f>
        <v/>
      </c>
      <c r="P12" s="247" t="str">
        <f>IF(ISBLANK(ETPT_ATT_JUR!P12),"",IF(ISERROR(ETPT_ATT_JUR!P12),"",IF(ETPT_ATT_JUR!P12=0,"",ETPT_ATT_JUR!P12)))</f>
        <v/>
      </c>
      <c r="Q12" s="247" t="str">
        <f>IF(ISBLANK(ETPT_ATT_JUR!Q12),"",IF(ISERROR(ETPT_ATT_JUR!Q12),"",IF(ETPT_ATT_JUR!Q12=0,"",ETPT_ATT_JUR!Q12)))</f>
        <v/>
      </c>
      <c r="R12" s="247" t="str">
        <f>IF(ISBLANK(ETPT_ATT_JUR!R12),"",IF(ISERROR(ETPT_ATT_JUR!R12),"",IF(ETPT_ATT_JUR!R12=0,"",ETPT_ATT_JUR!R12)))</f>
        <v/>
      </c>
      <c r="S12" s="214">
        <f>ETPT_ATT_JUR!S12</f>
        <v>0</v>
      </c>
    </row>
    <row r="13" spans="1:64" x14ac:dyDescent="0.2">
      <c r="A13" s="246"/>
      <c r="B13" s="246"/>
      <c r="C13" s="246"/>
      <c r="D13" s="262"/>
      <c r="E13" s="263"/>
      <c r="F13" s="259" t="s">
        <v>39</v>
      </c>
      <c r="G13" s="214">
        <f>ETPT_ATT_JUR!G13</f>
        <v>0</v>
      </c>
      <c r="H13" s="214">
        <f>ETPT_ATT_JUR!H13</f>
        <v>0</v>
      </c>
      <c r="I13" s="214">
        <f>ETPT_ATT_JUR!I13</f>
        <v>0</v>
      </c>
      <c r="J13" s="214">
        <f>ETPT_ATT_JUR!J13</f>
        <v>0</v>
      </c>
      <c r="K13" s="214">
        <f>ETPT_ATT_JUR!K13</f>
        <v>0</v>
      </c>
      <c r="L13" s="214">
        <f>ETPT_ATT_JUR!L13</f>
        <v>0</v>
      </c>
      <c r="M13" s="214">
        <f>ETPT_ATT_JUR!M13</f>
        <v>0</v>
      </c>
      <c r="N13" s="214">
        <f>ETPT_ATT_JUR!N13</f>
        <v>0</v>
      </c>
      <c r="O13" s="214">
        <f>ETPT_ATT_JUR!O13</f>
        <v>0</v>
      </c>
      <c r="P13" s="214">
        <f>ETPT_ATT_JUR!P13</f>
        <v>0</v>
      </c>
      <c r="Q13" s="214">
        <f>ETPT_ATT_JUR!Q13</f>
        <v>0</v>
      </c>
      <c r="R13" s="214">
        <f>ETPT_ATT_JUR!R13</f>
        <v>0</v>
      </c>
      <c r="S13" s="214">
        <f>ETPT_ATT_JUR!S13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ETPT_ATT_JUR</vt:lpstr>
      <vt:lpstr>ETPT_TJ_DDG</vt:lpstr>
      <vt:lpstr>ETPT_TPRX_DDG</vt:lpstr>
      <vt:lpstr>ETPT_CPH_DDG</vt:lpstr>
      <vt:lpstr>ETPT_ATT_JUR_DDG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2026-02-18T15:24:17Z</dcterms:modified>
  <cp:category/>
</cp:coreProperties>
</file>